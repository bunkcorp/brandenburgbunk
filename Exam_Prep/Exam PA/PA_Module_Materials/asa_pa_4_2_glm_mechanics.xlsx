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kevinwoods/Desktop/ActuarialExams/Exam_Prep/Exam PA/PA_Module_Materials/"/>
    </mc:Choice>
  </mc:AlternateContent>
  <xr:revisionPtr revIDLastSave="0" documentId="11_79CD2F19EAA9C756BE6F98400B0EA9164158E2A2" xr6:coauthVersionLast="47" xr6:coauthVersionMax="47" xr10:uidLastSave="{00000000-0000-0000-0000-000000000000}"/>
  <bookViews>
    <workbookView xWindow="1200" yWindow="600" windowWidth="34560" windowHeight="21000" activeTab="6" xr2:uid="{00000000-000D-0000-FFFF-FFFF00000000}"/>
  </bookViews>
  <sheets>
    <sheet name="README" sheetId="1" r:id="rId1"/>
    <sheet name="Insurance_Data" sheetId="2" r:id="rId2"/>
    <sheet name="Design_Matrix" sheetId="3" r:id="rId3"/>
    <sheet name="Poisson_No_Offset" sheetId="4" r:id="rId4"/>
    <sheet name="Poisson_With_Offset" sheetId="5" r:id="rId5"/>
    <sheet name="Gaussian_Models" sheetId="6" r:id="rId6"/>
    <sheet name="Model_Comparis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5" i="3" l="1"/>
  <c r="L65" i="3"/>
  <c r="K65" i="3"/>
  <c r="J65" i="3"/>
  <c r="I65" i="3"/>
  <c r="H65" i="3"/>
  <c r="W68" i="6" s="1"/>
  <c r="G65" i="3"/>
  <c r="V68" i="6" s="1"/>
  <c r="F65" i="3"/>
  <c r="U68" i="6" s="1"/>
  <c r="E65" i="3"/>
  <c r="D65" i="3"/>
  <c r="C65" i="3"/>
  <c r="A65" i="3"/>
  <c r="A92" i="6" s="1"/>
  <c r="M64" i="3"/>
  <c r="L64" i="3"/>
  <c r="K64" i="3"/>
  <c r="J64" i="3"/>
  <c r="I64" i="3"/>
  <c r="X67" i="6" s="1"/>
  <c r="H64" i="3"/>
  <c r="W67" i="6" s="1"/>
  <c r="G64" i="3"/>
  <c r="V67" i="6" s="1"/>
  <c r="F64" i="3"/>
  <c r="U67" i="6" s="1"/>
  <c r="E64" i="3"/>
  <c r="D64" i="3"/>
  <c r="S67" i="6" s="1"/>
  <c r="C64" i="3"/>
  <c r="A64" i="3"/>
  <c r="A91" i="6" s="1"/>
  <c r="M63" i="3"/>
  <c r="L63" i="3"/>
  <c r="K63" i="3"/>
  <c r="Z66" i="6" s="1"/>
  <c r="J63" i="3"/>
  <c r="Y66" i="6" s="1"/>
  <c r="I63" i="3"/>
  <c r="X66" i="6" s="1"/>
  <c r="H63" i="3"/>
  <c r="W66" i="6" s="1"/>
  <c r="G63" i="3"/>
  <c r="V66" i="6" s="1"/>
  <c r="F63" i="3"/>
  <c r="U66" i="6" s="1"/>
  <c r="E63" i="3"/>
  <c r="T66" i="6" s="1"/>
  <c r="D63" i="3"/>
  <c r="S66" i="6" s="1"/>
  <c r="C63" i="3"/>
  <c r="R66" i="6" s="1"/>
  <c r="A63" i="3"/>
  <c r="A90" i="6" s="1"/>
  <c r="M62" i="3"/>
  <c r="L62" i="3"/>
  <c r="K62" i="3"/>
  <c r="Z65" i="6" s="1"/>
  <c r="J62" i="3"/>
  <c r="Y65" i="6" s="1"/>
  <c r="I62" i="3"/>
  <c r="X65" i="6" s="1"/>
  <c r="H62" i="3"/>
  <c r="W65" i="6" s="1"/>
  <c r="G62" i="3"/>
  <c r="V65" i="6" s="1"/>
  <c r="F62" i="3"/>
  <c r="U65" i="6" s="1"/>
  <c r="E62" i="3"/>
  <c r="T65" i="6" s="1"/>
  <c r="D62" i="3"/>
  <c r="S65" i="6" s="1"/>
  <c r="C62" i="3"/>
  <c r="R65" i="6" s="1"/>
  <c r="A62" i="3"/>
  <c r="A89" i="6" s="1"/>
  <c r="M61" i="3"/>
  <c r="L61" i="3"/>
  <c r="K61" i="3"/>
  <c r="Z64" i="6" s="1"/>
  <c r="J61" i="3"/>
  <c r="Y64" i="6" s="1"/>
  <c r="I61" i="3"/>
  <c r="X64" i="6" s="1"/>
  <c r="H61" i="3"/>
  <c r="W64" i="6" s="1"/>
  <c r="G61" i="3"/>
  <c r="V64" i="6" s="1"/>
  <c r="F61" i="3"/>
  <c r="U64" i="6" s="1"/>
  <c r="E61" i="3"/>
  <c r="T64" i="6" s="1"/>
  <c r="D61" i="3"/>
  <c r="C61" i="3"/>
  <c r="A61" i="3"/>
  <c r="A88" i="6" s="1"/>
  <c r="M60" i="3"/>
  <c r="L60" i="3"/>
  <c r="K60" i="3"/>
  <c r="Z63" i="6" s="1"/>
  <c r="J60" i="3"/>
  <c r="Y63" i="6" s="1"/>
  <c r="I60" i="3"/>
  <c r="X63" i="6" s="1"/>
  <c r="H60" i="3"/>
  <c r="G60" i="3"/>
  <c r="F60" i="3"/>
  <c r="U63" i="6" s="1"/>
  <c r="E60" i="3"/>
  <c r="T63" i="6" s="1"/>
  <c r="D60" i="3"/>
  <c r="C60" i="3"/>
  <c r="A60" i="3"/>
  <c r="A87" i="6" s="1"/>
  <c r="M59" i="3"/>
  <c r="L59" i="3"/>
  <c r="K59" i="3"/>
  <c r="Z62" i="6" s="1"/>
  <c r="J59" i="3"/>
  <c r="Y62" i="6" s="1"/>
  <c r="I59" i="3"/>
  <c r="H59" i="3"/>
  <c r="G59" i="3"/>
  <c r="V62" i="6" s="1"/>
  <c r="F59" i="3"/>
  <c r="E59" i="3"/>
  <c r="D59" i="3"/>
  <c r="C59" i="3"/>
  <c r="A59" i="3"/>
  <c r="A86" i="6" s="1"/>
  <c r="M58" i="3"/>
  <c r="L58" i="3"/>
  <c r="K58" i="3"/>
  <c r="J58" i="3"/>
  <c r="I58" i="3"/>
  <c r="H58" i="3"/>
  <c r="G58" i="3"/>
  <c r="F58" i="3"/>
  <c r="E58" i="3"/>
  <c r="D58" i="3"/>
  <c r="C58" i="3"/>
  <c r="A58" i="3"/>
  <c r="A85" i="6" s="1"/>
  <c r="M57" i="3"/>
  <c r="L57" i="3"/>
  <c r="K57" i="3"/>
  <c r="J57" i="3"/>
  <c r="I57" i="3"/>
  <c r="H57" i="3"/>
  <c r="G57" i="3"/>
  <c r="F57" i="3"/>
  <c r="E57" i="3"/>
  <c r="D57" i="3"/>
  <c r="C57" i="3"/>
  <c r="A57" i="3"/>
  <c r="A84" i="6" s="1"/>
  <c r="M56" i="3"/>
  <c r="L56" i="3"/>
  <c r="K56" i="3"/>
  <c r="J56" i="3"/>
  <c r="I56" i="3"/>
  <c r="H56" i="3"/>
  <c r="G56" i="3"/>
  <c r="F56" i="3"/>
  <c r="E56" i="3"/>
  <c r="D56" i="3"/>
  <c r="C56" i="3"/>
  <c r="A56" i="3"/>
  <c r="A83" i="6" s="1"/>
  <c r="M55" i="3"/>
  <c r="L55" i="3"/>
  <c r="K55" i="3"/>
  <c r="Z58" i="6" s="1"/>
  <c r="J55" i="3"/>
  <c r="Y58" i="6" s="1"/>
  <c r="I55" i="3"/>
  <c r="H55" i="3"/>
  <c r="W58" i="6" s="1"/>
  <c r="G55" i="3"/>
  <c r="F55" i="3"/>
  <c r="U58" i="6" s="1"/>
  <c r="E55" i="3"/>
  <c r="T58" i="6" s="1"/>
  <c r="D55" i="3"/>
  <c r="S58" i="6" s="1"/>
  <c r="C55" i="3"/>
  <c r="A55" i="3"/>
  <c r="A82" i="6" s="1"/>
  <c r="M54" i="3"/>
  <c r="L54" i="3"/>
  <c r="K54" i="3"/>
  <c r="Z57" i="6" s="1"/>
  <c r="J54" i="3"/>
  <c r="I54" i="3"/>
  <c r="H54" i="3"/>
  <c r="G54" i="3"/>
  <c r="V57" i="6" s="1"/>
  <c r="F54" i="3"/>
  <c r="E54" i="3"/>
  <c r="T57" i="6" s="1"/>
  <c r="D54" i="3"/>
  <c r="S57" i="6" s="1"/>
  <c r="C54" i="3"/>
  <c r="A54" i="3"/>
  <c r="A81" i="6" s="1"/>
  <c r="M53" i="3"/>
  <c r="L53" i="3"/>
  <c r="K53" i="3"/>
  <c r="J53" i="3"/>
  <c r="I53" i="3"/>
  <c r="H53" i="3"/>
  <c r="G53" i="3"/>
  <c r="F53" i="3"/>
  <c r="U56" i="6" s="1"/>
  <c r="E53" i="3"/>
  <c r="T56" i="6" s="1"/>
  <c r="D53" i="3"/>
  <c r="S56" i="6" s="1"/>
  <c r="C53" i="3"/>
  <c r="A53" i="3"/>
  <c r="A80" i="6" s="1"/>
  <c r="M52" i="3"/>
  <c r="L52" i="3"/>
  <c r="K52" i="3"/>
  <c r="J52" i="3"/>
  <c r="I52" i="3"/>
  <c r="X55" i="6" s="1"/>
  <c r="H52" i="3"/>
  <c r="G52" i="3"/>
  <c r="V55" i="6" s="1"/>
  <c r="F52" i="3"/>
  <c r="U55" i="6" s="1"/>
  <c r="E52" i="3"/>
  <c r="T55" i="6" s="1"/>
  <c r="D52" i="3"/>
  <c r="C52" i="3"/>
  <c r="A52" i="3"/>
  <c r="A79" i="6" s="1"/>
  <c r="M51" i="3"/>
  <c r="L51" i="3"/>
  <c r="K51" i="3"/>
  <c r="Z54" i="6" s="1"/>
  <c r="J51" i="3"/>
  <c r="Y54" i="6" s="1"/>
  <c r="I51" i="3"/>
  <c r="X54" i="6" s="1"/>
  <c r="H51" i="3"/>
  <c r="W54" i="6" s="1"/>
  <c r="G51" i="3"/>
  <c r="V54" i="6" s="1"/>
  <c r="F51" i="3"/>
  <c r="U54" i="6" s="1"/>
  <c r="E51" i="3"/>
  <c r="T54" i="6" s="1"/>
  <c r="D51" i="3"/>
  <c r="S54" i="6" s="1"/>
  <c r="C51" i="3"/>
  <c r="R54" i="6" s="1"/>
  <c r="A51" i="3"/>
  <c r="A78" i="6" s="1"/>
  <c r="M50" i="3"/>
  <c r="L50" i="3"/>
  <c r="K50" i="3"/>
  <c r="J50" i="3"/>
  <c r="Y53" i="6" s="1"/>
  <c r="I50" i="3"/>
  <c r="X53" i="6" s="1"/>
  <c r="H50" i="3"/>
  <c r="W53" i="6" s="1"/>
  <c r="G50" i="3"/>
  <c r="V53" i="6" s="1"/>
  <c r="F50" i="3"/>
  <c r="U53" i="6" s="1"/>
  <c r="E50" i="3"/>
  <c r="D50" i="3"/>
  <c r="S53" i="6" s="1"/>
  <c r="C50" i="3"/>
  <c r="A50" i="3"/>
  <c r="A77" i="6" s="1"/>
  <c r="M49" i="3"/>
  <c r="L49" i="3"/>
  <c r="K49" i="3"/>
  <c r="Z52" i="6" s="1"/>
  <c r="J49" i="3"/>
  <c r="Y52" i="6" s="1"/>
  <c r="I49" i="3"/>
  <c r="X52" i="6" s="1"/>
  <c r="H49" i="3"/>
  <c r="W52" i="6" s="1"/>
  <c r="G49" i="3"/>
  <c r="V52" i="6" s="1"/>
  <c r="F49" i="3"/>
  <c r="E49" i="3"/>
  <c r="T52" i="6" s="1"/>
  <c r="D49" i="3"/>
  <c r="S52" i="6" s="1"/>
  <c r="C49" i="3"/>
  <c r="A49" i="3"/>
  <c r="A76" i="6" s="1"/>
  <c r="M48" i="3"/>
  <c r="L48" i="3"/>
  <c r="K48" i="3"/>
  <c r="Z51" i="6" s="1"/>
  <c r="J48" i="3"/>
  <c r="Y51" i="6" s="1"/>
  <c r="I48" i="3"/>
  <c r="X51" i="6" s="1"/>
  <c r="H48" i="3"/>
  <c r="W51" i="6" s="1"/>
  <c r="G48" i="3"/>
  <c r="V51" i="6" s="1"/>
  <c r="F48" i="3"/>
  <c r="U51" i="6" s="1"/>
  <c r="E48" i="3"/>
  <c r="T51" i="6" s="1"/>
  <c r="D48" i="3"/>
  <c r="C48" i="3"/>
  <c r="A48" i="3"/>
  <c r="A75" i="6" s="1"/>
  <c r="M47" i="3"/>
  <c r="L47" i="3"/>
  <c r="K47" i="3"/>
  <c r="Z50" i="6" s="1"/>
  <c r="J47" i="3"/>
  <c r="I47" i="3"/>
  <c r="X50" i="6" s="1"/>
  <c r="H47" i="3"/>
  <c r="G47" i="3"/>
  <c r="F47" i="3"/>
  <c r="E47" i="3"/>
  <c r="D47" i="3"/>
  <c r="C47" i="3"/>
  <c r="A47" i="3"/>
  <c r="A74" i="6" s="1"/>
  <c r="M46" i="3"/>
  <c r="L46" i="3"/>
  <c r="K46" i="3"/>
  <c r="Z49" i="6" s="1"/>
  <c r="J46" i="3"/>
  <c r="Y49" i="6" s="1"/>
  <c r="I46" i="3"/>
  <c r="H46" i="3"/>
  <c r="W49" i="6" s="1"/>
  <c r="G46" i="3"/>
  <c r="V49" i="6" s="1"/>
  <c r="F46" i="3"/>
  <c r="E46" i="3"/>
  <c r="D46" i="3"/>
  <c r="S49" i="6" s="1"/>
  <c r="C46" i="3"/>
  <c r="A46" i="3"/>
  <c r="A73" i="6" s="1"/>
  <c r="M45" i="3"/>
  <c r="L45" i="3"/>
  <c r="K45" i="3"/>
  <c r="Z48" i="6" s="1"/>
  <c r="J45" i="3"/>
  <c r="I45" i="3"/>
  <c r="X48" i="6" s="1"/>
  <c r="H45" i="3"/>
  <c r="W48" i="6" s="1"/>
  <c r="G45" i="3"/>
  <c r="F45" i="3"/>
  <c r="E45" i="3"/>
  <c r="D45" i="3"/>
  <c r="C45" i="3"/>
  <c r="A45" i="3"/>
  <c r="A72" i="6" s="1"/>
  <c r="M44" i="3"/>
  <c r="L44" i="3"/>
  <c r="K44" i="3"/>
  <c r="J44" i="3"/>
  <c r="Y47" i="6" s="1"/>
  <c r="I44" i="3"/>
  <c r="X47" i="6" s="1"/>
  <c r="H44" i="3"/>
  <c r="G44" i="3"/>
  <c r="F44" i="3"/>
  <c r="U47" i="6" s="1"/>
  <c r="E44" i="3"/>
  <c r="D44" i="3"/>
  <c r="S47" i="6" s="1"/>
  <c r="C44" i="3"/>
  <c r="A44" i="3"/>
  <c r="A71" i="6" s="1"/>
  <c r="M43" i="3"/>
  <c r="L43" i="3"/>
  <c r="K43" i="3"/>
  <c r="J43" i="3"/>
  <c r="Y46" i="6" s="1"/>
  <c r="I43" i="3"/>
  <c r="H43" i="3"/>
  <c r="G43" i="3"/>
  <c r="V46" i="6" s="1"/>
  <c r="F43" i="3"/>
  <c r="E43" i="3"/>
  <c r="D43" i="3"/>
  <c r="C43" i="3"/>
  <c r="A43" i="3"/>
  <c r="A70" i="6" s="1"/>
  <c r="M42" i="3"/>
  <c r="L42" i="3"/>
  <c r="K42" i="3"/>
  <c r="Z45" i="6" s="1"/>
  <c r="J42" i="3"/>
  <c r="Y45" i="6" s="1"/>
  <c r="I42" i="3"/>
  <c r="X45" i="6" s="1"/>
  <c r="H42" i="3"/>
  <c r="W45" i="6" s="1"/>
  <c r="G42" i="3"/>
  <c r="F42" i="3"/>
  <c r="U45" i="6" s="1"/>
  <c r="E42" i="3"/>
  <c r="T45" i="6" s="1"/>
  <c r="D42" i="3"/>
  <c r="S45" i="6" s="1"/>
  <c r="C42" i="3"/>
  <c r="R45" i="6" s="1"/>
  <c r="A42" i="3"/>
  <c r="A69" i="6" s="1"/>
  <c r="M41" i="3"/>
  <c r="L41" i="3"/>
  <c r="K41" i="3"/>
  <c r="Z44" i="6" s="1"/>
  <c r="J41" i="3"/>
  <c r="I41" i="3"/>
  <c r="X44" i="6" s="1"/>
  <c r="H41" i="3"/>
  <c r="G41" i="3"/>
  <c r="F41" i="3"/>
  <c r="E41" i="3"/>
  <c r="T44" i="6" s="1"/>
  <c r="D41" i="3"/>
  <c r="C41" i="3"/>
  <c r="A41" i="3"/>
  <c r="A68" i="6" s="1"/>
  <c r="M40" i="3"/>
  <c r="L40" i="3"/>
  <c r="K40" i="3"/>
  <c r="J40" i="3"/>
  <c r="I40" i="3"/>
  <c r="H40" i="3"/>
  <c r="G40" i="3"/>
  <c r="F40" i="3"/>
  <c r="E40" i="3"/>
  <c r="D40" i="3"/>
  <c r="C40" i="3"/>
  <c r="A40" i="3"/>
  <c r="A67" i="6" s="1"/>
  <c r="M39" i="3"/>
  <c r="L39" i="3"/>
  <c r="K39" i="3"/>
  <c r="Z42" i="6" s="1"/>
  <c r="J39" i="3"/>
  <c r="I39" i="3"/>
  <c r="H39" i="3"/>
  <c r="G39" i="3"/>
  <c r="F39" i="3"/>
  <c r="E39" i="3"/>
  <c r="D39" i="3"/>
  <c r="C39" i="3"/>
  <c r="A39" i="3"/>
  <c r="A66" i="6" s="1"/>
  <c r="M38" i="3"/>
  <c r="L38" i="3"/>
  <c r="K38" i="3"/>
  <c r="J38" i="3"/>
  <c r="Y41" i="6" s="1"/>
  <c r="I38" i="3"/>
  <c r="H38" i="3"/>
  <c r="W41" i="6" s="1"/>
  <c r="G38" i="3"/>
  <c r="V41" i="6" s="1"/>
  <c r="F38" i="3"/>
  <c r="U41" i="6" s="1"/>
  <c r="E38" i="3"/>
  <c r="D38" i="3"/>
  <c r="S41" i="6" s="1"/>
  <c r="C38" i="3"/>
  <c r="A38" i="3"/>
  <c r="A65" i="6" s="1"/>
  <c r="M37" i="3"/>
  <c r="L37" i="3"/>
  <c r="K37" i="3"/>
  <c r="Z40" i="6" s="1"/>
  <c r="J37" i="3"/>
  <c r="I37" i="3"/>
  <c r="H37" i="3"/>
  <c r="G37" i="3"/>
  <c r="F37" i="3"/>
  <c r="E37" i="3"/>
  <c r="D37" i="3"/>
  <c r="C37" i="3"/>
  <c r="A37" i="3"/>
  <c r="A64" i="6" s="1"/>
  <c r="M36" i="3"/>
  <c r="L36" i="3"/>
  <c r="K36" i="3"/>
  <c r="Z39" i="6" s="1"/>
  <c r="J36" i="3"/>
  <c r="Y39" i="6" s="1"/>
  <c r="I36" i="3"/>
  <c r="X39" i="6" s="1"/>
  <c r="H36" i="3"/>
  <c r="W39" i="6" s="1"/>
  <c r="G36" i="3"/>
  <c r="F36" i="3"/>
  <c r="U39" i="6" s="1"/>
  <c r="E36" i="3"/>
  <c r="T39" i="6" s="1"/>
  <c r="D36" i="3"/>
  <c r="S39" i="6" s="1"/>
  <c r="C36" i="3"/>
  <c r="A36" i="3"/>
  <c r="A63" i="6" s="1"/>
  <c r="M35" i="3"/>
  <c r="L35" i="3"/>
  <c r="K35" i="3"/>
  <c r="J35" i="3"/>
  <c r="I35" i="3"/>
  <c r="H35" i="3"/>
  <c r="G35" i="3"/>
  <c r="F35" i="3"/>
  <c r="E35" i="3"/>
  <c r="D35" i="3"/>
  <c r="C35" i="3"/>
  <c r="A35" i="3"/>
  <c r="A62" i="6" s="1"/>
  <c r="M34" i="3"/>
  <c r="L34" i="3"/>
  <c r="K34" i="3"/>
  <c r="Z37" i="6" s="1"/>
  <c r="J34" i="3"/>
  <c r="Y37" i="6" s="1"/>
  <c r="I34" i="3"/>
  <c r="H34" i="3"/>
  <c r="W37" i="6" s="1"/>
  <c r="G34" i="3"/>
  <c r="V37" i="6" s="1"/>
  <c r="F34" i="3"/>
  <c r="U37" i="6" s="1"/>
  <c r="E34" i="3"/>
  <c r="T37" i="6" s="1"/>
  <c r="D34" i="3"/>
  <c r="S37" i="6" s="1"/>
  <c r="C34" i="3"/>
  <c r="A34" i="3"/>
  <c r="A61" i="6" s="1"/>
  <c r="M33" i="3"/>
  <c r="L33" i="3"/>
  <c r="K33" i="3"/>
  <c r="J33" i="3"/>
  <c r="I33" i="3"/>
  <c r="H33" i="3"/>
  <c r="G33" i="3"/>
  <c r="F33" i="3"/>
  <c r="E33" i="3"/>
  <c r="T36" i="6" s="1"/>
  <c r="D33" i="3"/>
  <c r="C33" i="3"/>
  <c r="A33" i="3"/>
  <c r="A60" i="6" s="1"/>
  <c r="M32" i="3"/>
  <c r="L32" i="3"/>
  <c r="K32" i="3"/>
  <c r="J32" i="3"/>
  <c r="Y35" i="6" s="1"/>
  <c r="I32" i="3"/>
  <c r="X35" i="6" s="1"/>
  <c r="H32" i="3"/>
  <c r="W35" i="6" s="1"/>
  <c r="G32" i="3"/>
  <c r="F32" i="3"/>
  <c r="U35" i="6" s="1"/>
  <c r="E32" i="3"/>
  <c r="D32" i="3"/>
  <c r="S35" i="6" s="1"/>
  <c r="C32" i="3"/>
  <c r="A32" i="3"/>
  <c r="A59" i="6" s="1"/>
  <c r="M31" i="3"/>
  <c r="L31" i="3"/>
  <c r="K31" i="3"/>
  <c r="J31" i="3"/>
  <c r="I31" i="3"/>
  <c r="H31" i="3"/>
  <c r="W34" i="6" s="1"/>
  <c r="G31" i="3"/>
  <c r="V34" i="6" s="1"/>
  <c r="F31" i="3"/>
  <c r="E31" i="3"/>
  <c r="T34" i="6" s="1"/>
  <c r="D31" i="3"/>
  <c r="C31" i="3"/>
  <c r="A31" i="3"/>
  <c r="A58" i="6" s="1"/>
  <c r="M30" i="3"/>
  <c r="L30" i="3"/>
  <c r="K30" i="3"/>
  <c r="Z33" i="6" s="1"/>
  <c r="J30" i="3"/>
  <c r="Y33" i="6" s="1"/>
  <c r="I30" i="3"/>
  <c r="X33" i="6" s="1"/>
  <c r="H30" i="3"/>
  <c r="W33" i="6" s="1"/>
  <c r="G30" i="3"/>
  <c r="V33" i="6" s="1"/>
  <c r="F30" i="3"/>
  <c r="U33" i="6" s="1"/>
  <c r="E30" i="3"/>
  <c r="T33" i="6" s="1"/>
  <c r="D30" i="3"/>
  <c r="S33" i="6" s="1"/>
  <c r="C30" i="3"/>
  <c r="A30" i="3"/>
  <c r="A57" i="6" s="1"/>
  <c r="M29" i="3"/>
  <c r="L29" i="3"/>
  <c r="K29" i="3"/>
  <c r="J29" i="3"/>
  <c r="I29" i="3"/>
  <c r="X32" i="6" s="1"/>
  <c r="H29" i="3"/>
  <c r="G29" i="3"/>
  <c r="V32" i="6" s="1"/>
  <c r="F29" i="3"/>
  <c r="E29" i="3"/>
  <c r="T32" i="6" s="1"/>
  <c r="D29" i="3"/>
  <c r="S32" i="6" s="1"/>
  <c r="C29" i="3"/>
  <c r="A29" i="3"/>
  <c r="A56" i="6" s="1"/>
  <c r="M28" i="3"/>
  <c r="L28" i="3"/>
  <c r="K28" i="3"/>
  <c r="J28" i="3"/>
  <c r="Y31" i="6" s="1"/>
  <c r="I28" i="3"/>
  <c r="H28" i="3"/>
  <c r="W31" i="6" s="1"/>
  <c r="G28" i="3"/>
  <c r="F28" i="3"/>
  <c r="U31" i="6" s="1"/>
  <c r="E28" i="3"/>
  <c r="T31" i="6" s="1"/>
  <c r="D28" i="3"/>
  <c r="C28" i="3"/>
  <c r="A28" i="3"/>
  <c r="A55" i="6" s="1"/>
  <c r="M27" i="3"/>
  <c r="L27" i="3"/>
  <c r="K27" i="3"/>
  <c r="Z30" i="6" s="1"/>
  <c r="J27" i="3"/>
  <c r="I27" i="3"/>
  <c r="X30" i="6" s="1"/>
  <c r="H27" i="3"/>
  <c r="G27" i="3"/>
  <c r="V30" i="6" s="1"/>
  <c r="F27" i="3"/>
  <c r="U30" i="6" s="1"/>
  <c r="E27" i="3"/>
  <c r="T30" i="6" s="1"/>
  <c r="D27" i="3"/>
  <c r="C27" i="3"/>
  <c r="A27" i="3"/>
  <c r="A54" i="6" s="1"/>
  <c r="M26" i="3"/>
  <c r="L26" i="3"/>
  <c r="K26" i="3"/>
  <c r="J26" i="3"/>
  <c r="Y29" i="6" s="1"/>
  <c r="I26" i="3"/>
  <c r="H26" i="3"/>
  <c r="W29" i="6" s="1"/>
  <c r="G26" i="3"/>
  <c r="V29" i="6" s="1"/>
  <c r="F26" i="3"/>
  <c r="U29" i="6" s="1"/>
  <c r="E26" i="3"/>
  <c r="D26" i="3"/>
  <c r="S29" i="6" s="1"/>
  <c r="C26" i="3"/>
  <c r="A26" i="3"/>
  <c r="A53" i="6" s="1"/>
  <c r="M25" i="3"/>
  <c r="L25" i="3"/>
  <c r="K25" i="3"/>
  <c r="Z28" i="6" s="1"/>
  <c r="J25" i="3"/>
  <c r="I25" i="3"/>
  <c r="X28" i="6" s="1"/>
  <c r="H25" i="3"/>
  <c r="W28" i="6" s="1"/>
  <c r="G25" i="3"/>
  <c r="F25" i="3"/>
  <c r="E25" i="3"/>
  <c r="D25" i="3"/>
  <c r="C25" i="3"/>
  <c r="A25" i="3"/>
  <c r="A52" i="6" s="1"/>
  <c r="M24" i="3"/>
  <c r="L24" i="3"/>
  <c r="K24" i="3"/>
  <c r="Z27" i="6" s="1"/>
  <c r="J24" i="3"/>
  <c r="Y27" i="6" s="1"/>
  <c r="I24" i="3"/>
  <c r="X27" i="6" s="1"/>
  <c r="H24" i="3"/>
  <c r="W27" i="6" s="1"/>
  <c r="G24" i="3"/>
  <c r="F24" i="3"/>
  <c r="U27" i="6" s="1"/>
  <c r="E24" i="3"/>
  <c r="T27" i="6" s="1"/>
  <c r="D24" i="3"/>
  <c r="S27" i="6" s="1"/>
  <c r="C24" i="3"/>
  <c r="A24" i="3"/>
  <c r="A51" i="6" s="1"/>
  <c r="M23" i="3"/>
  <c r="L23" i="3"/>
  <c r="K23" i="3"/>
  <c r="J23" i="3"/>
  <c r="Y26" i="6" s="1"/>
  <c r="I23" i="3"/>
  <c r="X26" i="6" s="1"/>
  <c r="H23" i="3"/>
  <c r="G23" i="3"/>
  <c r="F23" i="3"/>
  <c r="E23" i="3"/>
  <c r="D23" i="3"/>
  <c r="C23" i="3"/>
  <c r="A23" i="3"/>
  <c r="A50" i="6" s="1"/>
  <c r="M22" i="3"/>
  <c r="L22" i="3"/>
  <c r="K22" i="3"/>
  <c r="Z25" i="6" s="1"/>
  <c r="J22" i="3"/>
  <c r="Y25" i="6" s="1"/>
  <c r="I22" i="3"/>
  <c r="H22" i="3"/>
  <c r="W25" i="6" s="1"/>
  <c r="G22" i="3"/>
  <c r="V25" i="6" s="1"/>
  <c r="F22" i="3"/>
  <c r="U25" i="6" s="1"/>
  <c r="E22" i="3"/>
  <c r="T25" i="6" s="1"/>
  <c r="D22" i="3"/>
  <c r="S25" i="6" s="1"/>
  <c r="C22" i="3"/>
  <c r="A22" i="3"/>
  <c r="A49" i="6" s="1"/>
  <c r="M21" i="3"/>
  <c r="L21" i="3"/>
  <c r="K21" i="3"/>
  <c r="Z24" i="6" s="1"/>
  <c r="J21" i="3"/>
  <c r="I21" i="3"/>
  <c r="H21" i="3"/>
  <c r="G21" i="3"/>
  <c r="F21" i="3"/>
  <c r="E21" i="3"/>
  <c r="D21" i="3"/>
  <c r="C21" i="3"/>
  <c r="A21" i="3"/>
  <c r="A48" i="6" s="1"/>
  <c r="M20" i="3"/>
  <c r="L20" i="3"/>
  <c r="K20" i="3"/>
  <c r="J20" i="3"/>
  <c r="I20" i="3"/>
  <c r="H20" i="3"/>
  <c r="G20" i="3"/>
  <c r="F20" i="3"/>
  <c r="E20" i="3"/>
  <c r="D20" i="3"/>
  <c r="C20" i="3"/>
  <c r="A20" i="3"/>
  <c r="A47" i="6" s="1"/>
  <c r="M19" i="3"/>
  <c r="L19" i="3"/>
  <c r="K19" i="3"/>
  <c r="J19" i="3"/>
  <c r="I19" i="3"/>
  <c r="H19" i="3"/>
  <c r="G19" i="3"/>
  <c r="F19" i="3"/>
  <c r="E19" i="3"/>
  <c r="D19" i="3"/>
  <c r="C19" i="3"/>
  <c r="A19" i="3"/>
  <c r="A46" i="6" s="1"/>
  <c r="M18" i="3"/>
  <c r="L18" i="3"/>
  <c r="K18" i="3"/>
  <c r="Z21" i="6" s="1"/>
  <c r="J18" i="3"/>
  <c r="Y21" i="6" s="1"/>
  <c r="I18" i="3"/>
  <c r="X21" i="6" s="1"/>
  <c r="H18" i="3"/>
  <c r="W21" i="6" s="1"/>
  <c r="G18" i="3"/>
  <c r="V21" i="6" s="1"/>
  <c r="F18" i="3"/>
  <c r="U21" i="6" s="1"/>
  <c r="E18" i="3"/>
  <c r="T21" i="6" s="1"/>
  <c r="D18" i="3"/>
  <c r="S21" i="6" s="1"/>
  <c r="C18" i="3"/>
  <c r="A18" i="3"/>
  <c r="A45" i="6" s="1"/>
  <c r="M17" i="3"/>
  <c r="L17" i="3"/>
  <c r="K17" i="3"/>
  <c r="J17" i="3"/>
  <c r="I17" i="3"/>
  <c r="H17" i="3"/>
  <c r="G17" i="3"/>
  <c r="F17" i="3"/>
  <c r="E17" i="3"/>
  <c r="D17" i="3"/>
  <c r="C17" i="3"/>
  <c r="A17" i="3"/>
  <c r="A44" i="6" s="1"/>
  <c r="N16" i="3"/>
  <c r="AA19" i="6" s="1"/>
  <c r="M16" i="3"/>
  <c r="L16" i="3"/>
  <c r="K16" i="3"/>
  <c r="Z19" i="6" s="1"/>
  <c r="J16" i="3"/>
  <c r="Y19" i="6" s="1"/>
  <c r="I16" i="3"/>
  <c r="H16" i="3"/>
  <c r="G16" i="3"/>
  <c r="F16" i="3"/>
  <c r="U19" i="6" s="1"/>
  <c r="E16" i="3"/>
  <c r="T19" i="6" s="1"/>
  <c r="D16" i="3"/>
  <c r="S19" i="6" s="1"/>
  <c r="C16" i="3"/>
  <c r="A16" i="3"/>
  <c r="A43" i="6" s="1"/>
  <c r="M15" i="3"/>
  <c r="L15" i="3"/>
  <c r="K15" i="3"/>
  <c r="Z18" i="6" s="1"/>
  <c r="J15" i="3"/>
  <c r="I15" i="3"/>
  <c r="H15" i="3"/>
  <c r="W18" i="6" s="1"/>
  <c r="G15" i="3"/>
  <c r="V18" i="6" s="1"/>
  <c r="F15" i="3"/>
  <c r="U18" i="6" s="1"/>
  <c r="E15" i="3"/>
  <c r="T18" i="6" s="1"/>
  <c r="D15" i="3"/>
  <c r="C15" i="3"/>
  <c r="A15" i="3"/>
  <c r="A42" i="6" s="1"/>
  <c r="M14" i="3"/>
  <c r="L14" i="3"/>
  <c r="K14" i="3"/>
  <c r="J14" i="3"/>
  <c r="I14" i="3"/>
  <c r="H14" i="3"/>
  <c r="W17" i="6" s="1"/>
  <c r="G14" i="3"/>
  <c r="V17" i="6" s="1"/>
  <c r="F14" i="3"/>
  <c r="U17" i="6" s="1"/>
  <c r="E14" i="3"/>
  <c r="D14" i="3"/>
  <c r="S17" i="6" s="1"/>
  <c r="C14" i="3"/>
  <c r="A14" i="3"/>
  <c r="A41" i="6" s="1"/>
  <c r="M13" i="3"/>
  <c r="L13" i="3"/>
  <c r="K13" i="3"/>
  <c r="J13" i="3"/>
  <c r="I13" i="3"/>
  <c r="X16" i="6" s="1"/>
  <c r="H13" i="3"/>
  <c r="W16" i="6" s="1"/>
  <c r="G13" i="3"/>
  <c r="V16" i="6" s="1"/>
  <c r="F13" i="3"/>
  <c r="E13" i="3"/>
  <c r="T16" i="6" s="1"/>
  <c r="D13" i="3"/>
  <c r="C13" i="3"/>
  <c r="A13" i="3"/>
  <c r="A40" i="6" s="1"/>
  <c r="M12" i="3"/>
  <c r="L12" i="3"/>
  <c r="K12" i="3"/>
  <c r="Z15" i="6" s="1"/>
  <c r="J12" i="3"/>
  <c r="Y15" i="6" s="1"/>
  <c r="I12" i="3"/>
  <c r="X15" i="6" s="1"/>
  <c r="H12" i="3"/>
  <c r="W15" i="6" s="1"/>
  <c r="G12" i="3"/>
  <c r="F12" i="3"/>
  <c r="U15" i="6" s="1"/>
  <c r="E12" i="3"/>
  <c r="T15" i="6" s="1"/>
  <c r="D12" i="3"/>
  <c r="S15" i="6" s="1"/>
  <c r="C12" i="3"/>
  <c r="A12" i="3"/>
  <c r="A39" i="6" s="1"/>
  <c r="M11" i="3"/>
  <c r="L11" i="3"/>
  <c r="K11" i="3"/>
  <c r="Z14" i="6" s="1"/>
  <c r="J11" i="3"/>
  <c r="Y14" i="6" s="1"/>
  <c r="I11" i="3"/>
  <c r="X14" i="6" s="1"/>
  <c r="H11" i="3"/>
  <c r="G11" i="3"/>
  <c r="V14" i="6" s="1"/>
  <c r="F11" i="3"/>
  <c r="U14" i="6" s="1"/>
  <c r="E11" i="3"/>
  <c r="T14" i="6" s="1"/>
  <c r="D11" i="3"/>
  <c r="C11" i="3"/>
  <c r="A11" i="3"/>
  <c r="A38" i="6" s="1"/>
  <c r="M10" i="3"/>
  <c r="L10" i="3"/>
  <c r="K10" i="3"/>
  <c r="Z13" i="6" s="1"/>
  <c r="J10" i="3"/>
  <c r="Y13" i="6" s="1"/>
  <c r="I10" i="3"/>
  <c r="H10" i="3"/>
  <c r="W13" i="6" s="1"/>
  <c r="G10" i="3"/>
  <c r="V13" i="6" s="1"/>
  <c r="F10" i="3"/>
  <c r="U13" i="6" s="1"/>
  <c r="E10" i="3"/>
  <c r="T13" i="6" s="1"/>
  <c r="D10" i="3"/>
  <c r="S13" i="6" s="1"/>
  <c r="C10" i="3"/>
  <c r="A10" i="3"/>
  <c r="A37" i="6" s="1"/>
  <c r="N9" i="3"/>
  <c r="M9" i="3"/>
  <c r="L9" i="3"/>
  <c r="K9" i="3"/>
  <c r="Z12" i="6" s="1"/>
  <c r="J9" i="3"/>
  <c r="I9" i="3"/>
  <c r="X12" i="6" s="1"/>
  <c r="H9" i="3"/>
  <c r="W12" i="6" s="1"/>
  <c r="G9" i="3"/>
  <c r="V12" i="6" s="1"/>
  <c r="F9" i="3"/>
  <c r="U12" i="6" s="1"/>
  <c r="E9" i="3"/>
  <c r="T12" i="6" s="1"/>
  <c r="D9" i="3"/>
  <c r="C9" i="3"/>
  <c r="A9" i="3"/>
  <c r="A36" i="6" s="1"/>
  <c r="M8" i="3"/>
  <c r="L8" i="3"/>
  <c r="K8" i="3"/>
  <c r="J8" i="3"/>
  <c r="Y11" i="6" s="1"/>
  <c r="I8" i="3"/>
  <c r="X11" i="6" s="1"/>
  <c r="H8" i="3"/>
  <c r="G8" i="3"/>
  <c r="F8" i="3"/>
  <c r="E8" i="3"/>
  <c r="D8" i="3"/>
  <c r="C8" i="3"/>
  <c r="A8" i="3"/>
  <c r="A35" i="6" s="1"/>
  <c r="M7" i="3"/>
  <c r="L7" i="3"/>
  <c r="K7" i="3"/>
  <c r="Z10" i="6" s="1"/>
  <c r="J7" i="3"/>
  <c r="Y10" i="6" s="1"/>
  <c r="I7" i="3"/>
  <c r="H7" i="3"/>
  <c r="G7" i="3"/>
  <c r="F7" i="3"/>
  <c r="E7" i="3"/>
  <c r="D7" i="3"/>
  <c r="C7" i="3"/>
  <c r="A7" i="3"/>
  <c r="A34" i="6" s="1"/>
  <c r="M6" i="3"/>
  <c r="L6" i="3"/>
  <c r="K6" i="3"/>
  <c r="Z9" i="6" s="1"/>
  <c r="J6" i="3"/>
  <c r="Y9" i="6" s="1"/>
  <c r="I6" i="3"/>
  <c r="X9" i="6" s="1"/>
  <c r="H6" i="3"/>
  <c r="W9" i="6" s="1"/>
  <c r="G6" i="3"/>
  <c r="V9" i="6" s="1"/>
  <c r="F6" i="3"/>
  <c r="U9" i="6" s="1"/>
  <c r="E6" i="3"/>
  <c r="T9" i="6" s="1"/>
  <c r="D6" i="3"/>
  <c r="S9" i="6" s="1"/>
  <c r="C6" i="3"/>
  <c r="A6" i="3"/>
  <c r="A33" i="6" s="1"/>
  <c r="M5" i="3"/>
  <c r="L5" i="3"/>
  <c r="K5" i="3"/>
  <c r="Z8" i="6" s="1"/>
  <c r="J5" i="3"/>
  <c r="I5" i="3"/>
  <c r="H5" i="3"/>
  <c r="W8" i="6" s="1"/>
  <c r="G5" i="3"/>
  <c r="F5" i="3"/>
  <c r="E5" i="3"/>
  <c r="D5" i="3"/>
  <c r="C5" i="3"/>
  <c r="A5" i="3"/>
  <c r="A32" i="6" s="1"/>
  <c r="N4" i="3"/>
  <c r="M4" i="3"/>
  <c r="L4" i="3"/>
  <c r="K4" i="3"/>
  <c r="J4" i="3"/>
  <c r="I4" i="3"/>
  <c r="H4" i="3"/>
  <c r="G4" i="3"/>
  <c r="F4" i="3"/>
  <c r="E4" i="3"/>
  <c r="D4" i="3"/>
  <c r="C4" i="3"/>
  <c r="A4" i="3"/>
  <c r="A31" i="6" s="1"/>
  <c r="N3" i="3"/>
  <c r="M3" i="3"/>
  <c r="L3" i="3"/>
  <c r="K3" i="3"/>
  <c r="J3" i="3"/>
  <c r="I3" i="3"/>
  <c r="H3" i="3"/>
  <c r="G3" i="3"/>
  <c r="F3" i="3"/>
  <c r="E3" i="3"/>
  <c r="D3" i="3"/>
  <c r="C3" i="3"/>
  <c r="A3" i="3"/>
  <c r="A30" i="6" s="1"/>
  <c r="N2" i="3"/>
  <c r="M2" i="3"/>
  <c r="L2" i="3"/>
  <c r="K2" i="3"/>
  <c r="J2" i="3"/>
  <c r="I2" i="3"/>
  <c r="H2" i="3"/>
  <c r="G2" i="3"/>
  <c r="F2" i="3"/>
  <c r="E2" i="3"/>
  <c r="D2" i="3"/>
  <c r="C2" i="3"/>
  <c r="A2" i="3"/>
  <c r="A29" i="6" s="1"/>
  <c r="H65" i="2"/>
  <c r="N65" i="3" s="1"/>
  <c r="AA68" i="6" s="1"/>
  <c r="H64" i="2"/>
  <c r="N64" i="3" s="1"/>
  <c r="AA67" i="6" s="1"/>
  <c r="H63" i="2"/>
  <c r="N63" i="3" s="1"/>
  <c r="AA66" i="6" s="1"/>
  <c r="H62" i="2"/>
  <c r="N62" i="3" s="1"/>
  <c r="AA65" i="6" s="1"/>
  <c r="H61" i="2"/>
  <c r="N61" i="3" s="1"/>
  <c r="AA64" i="6" s="1"/>
  <c r="H60" i="2"/>
  <c r="N60" i="3" s="1"/>
  <c r="AA63" i="6" s="1"/>
  <c r="H59" i="2"/>
  <c r="N59" i="3" s="1"/>
  <c r="AA62" i="6" s="1"/>
  <c r="H58" i="2"/>
  <c r="N58" i="3" s="1"/>
  <c r="AA61" i="6" s="1"/>
  <c r="H57" i="2"/>
  <c r="N57" i="3" s="1"/>
  <c r="AA60" i="6" s="1"/>
  <c r="H56" i="2"/>
  <c r="N56" i="3" s="1"/>
  <c r="AA59" i="6" s="1"/>
  <c r="H55" i="2"/>
  <c r="N55" i="3" s="1"/>
  <c r="AA58" i="6" s="1"/>
  <c r="H54" i="2"/>
  <c r="N54" i="3" s="1"/>
  <c r="AA57" i="6" s="1"/>
  <c r="H53" i="2"/>
  <c r="N53" i="3" s="1"/>
  <c r="AA56" i="6" s="1"/>
  <c r="H52" i="2"/>
  <c r="N52" i="3" s="1"/>
  <c r="AA55" i="6" s="1"/>
  <c r="H51" i="2"/>
  <c r="N51" i="3" s="1"/>
  <c r="AA54" i="6" s="1"/>
  <c r="H50" i="2"/>
  <c r="N50" i="3" s="1"/>
  <c r="AA53" i="6" s="1"/>
  <c r="H49" i="2"/>
  <c r="N49" i="3" s="1"/>
  <c r="AA52" i="6" s="1"/>
  <c r="H48" i="2"/>
  <c r="N48" i="3" s="1"/>
  <c r="AA51" i="6" s="1"/>
  <c r="H47" i="2"/>
  <c r="N47" i="3" s="1"/>
  <c r="AA50" i="6" s="1"/>
  <c r="H46" i="2"/>
  <c r="N46" i="3" s="1"/>
  <c r="AA49" i="6" s="1"/>
  <c r="H45" i="2"/>
  <c r="N45" i="3" s="1"/>
  <c r="AA48" i="6" s="1"/>
  <c r="H44" i="2"/>
  <c r="N44" i="3" s="1"/>
  <c r="AA47" i="6" s="1"/>
  <c r="H43" i="2"/>
  <c r="N43" i="3" s="1"/>
  <c r="AA46" i="6" s="1"/>
  <c r="H42" i="2"/>
  <c r="N42" i="3" s="1"/>
  <c r="AA45" i="6" s="1"/>
  <c r="H41" i="2"/>
  <c r="N41" i="3" s="1"/>
  <c r="AA44" i="6" s="1"/>
  <c r="H40" i="2"/>
  <c r="N40" i="3" s="1"/>
  <c r="AA43" i="6" s="1"/>
  <c r="H39" i="2"/>
  <c r="N39" i="3" s="1"/>
  <c r="AA42" i="6" s="1"/>
  <c r="H38" i="2"/>
  <c r="N38" i="3" s="1"/>
  <c r="AA41" i="6" s="1"/>
  <c r="H37" i="2"/>
  <c r="N37" i="3" s="1"/>
  <c r="AA40" i="6" s="1"/>
  <c r="H36" i="2"/>
  <c r="N36" i="3" s="1"/>
  <c r="AA39" i="6" s="1"/>
  <c r="H35" i="2"/>
  <c r="N35" i="3" s="1"/>
  <c r="AA38" i="6" s="1"/>
  <c r="H34" i="2"/>
  <c r="N34" i="3" s="1"/>
  <c r="AA37" i="6" s="1"/>
  <c r="H33" i="2"/>
  <c r="N33" i="3" s="1"/>
  <c r="AA36" i="6" s="1"/>
  <c r="H32" i="2"/>
  <c r="N32" i="3" s="1"/>
  <c r="AA35" i="6" s="1"/>
  <c r="H31" i="2"/>
  <c r="N31" i="3" s="1"/>
  <c r="AA34" i="6" s="1"/>
  <c r="H30" i="2"/>
  <c r="N30" i="3" s="1"/>
  <c r="AA33" i="6" s="1"/>
  <c r="H29" i="2"/>
  <c r="N29" i="3" s="1"/>
  <c r="AA32" i="6" s="1"/>
  <c r="H28" i="2"/>
  <c r="N28" i="3" s="1"/>
  <c r="AA31" i="6" s="1"/>
  <c r="H27" i="2"/>
  <c r="N27" i="3" s="1"/>
  <c r="AA30" i="6" s="1"/>
  <c r="H26" i="2"/>
  <c r="N26" i="3" s="1"/>
  <c r="AA29" i="6" s="1"/>
  <c r="H25" i="2"/>
  <c r="N25" i="3" s="1"/>
  <c r="AA28" i="6" s="1"/>
  <c r="H24" i="2"/>
  <c r="N24" i="3" s="1"/>
  <c r="AA27" i="6" s="1"/>
  <c r="H23" i="2"/>
  <c r="N23" i="3" s="1"/>
  <c r="H22" i="2"/>
  <c r="N22" i="3" s="1"/>
  <c r="AA25" i="6" s="1"/>
  <c r="H21" i="2"/>
  <c r="N21" i="3" s="1"/>
  <c r="AA24" i="6" s="1"/>
  <c r="H20" i="2"/>
  <c r="N20" i="3" s="1"/>
  <c r="AA23" i="6" s="1"/>
  <c r="H19" i="2"/>
  <c r="N19" i="3" s="1"/>
  <c r="AA22" i="6" s="1"/>
  <c r="H18" i="2"/>
  <c r="N18" i="3" s="1"/>
  <c r="AA21" i="6" s="1"/>
  <c r="H17" i="2"/>
  <c r="N17" i="3" s="1"/>
  <c r="H16" i="2"/>
  <c r="H15" i="2"/>
  <c r="N15" i="3" s="1"/>
  <c r="AA18" i="6" s="1"/>
  <c r="H14" i="2"/>
  <c r="N14" i="3" s="1"/>
  <c r="AA17" i="6" s="1"/>
  <c r="H13" i="2"/>
  <c r="N13" i="3" s="1"/>
  <c r="AA16" i="6" s="1"/>
  <c r="H12" i="2"/>
  <c r="N12" i="3" s="1"/>
  <c r="AA15" i="6" s="1"/>
  <c r="H11" i="2"/>
  <c r="N11" i="3" s="1"/>
  <c r="AA14" i="6" s="1"/>
  <c r="H10" i="2"/>
  <c r="N10" i="3" s="1"/>
  <c r="AA13" i="6" s="1"/>
  <c r="H9" i="2"/>
  <c r="H8" i="2"/>
  <c r="N8" i="3" s="1"/>
  <c r="AA11" i="6" s="1"/>
  <c r="H7" i="2"/>
  <c r="N7" i="3" s="1"/>
  <c r="AA10" i="6" s="1"/>
  <c r="H6" i="2"/>
  <c r="N6" i="3" s="1"/>
  <c r="AA9" i="6" s="1"/>
  <c r="H5" i="2"/>
  <c r="N5" i="3" s="1"/>
  <c r="H4" i="2"/>
  <c r="H3" i="2"/>
  <c r="H2" i="2"/>
  <c r="Q10" i="6" l="1"/>
  <c r="L11" i="5"/>
  <c r="M11" i="5" s="1"/>
  <c r="U5" i="6"/>
  <c r="T6" i="6"/>
  <c r="W6" i="6"/>
  <c r="Y5" i="6"/>
  <c r="X6" i="6"/>
  <c r="W7" i="6"/>
  <c r="V8" i="6"/>
  <c r="U10" i="6"/>
  <c r="L17" i="5"/>
  <c r="M17" i="5" s="1"/>
  <c r="Q16" i="6"/>
  <c r="X20" i="6"/>
  <c r="W22" i="6"/>
  <c r="V23" i="6"/>
  <c r="U24" i="6"/>
  <c r="T26" i="6"/>
  <c r="S28" i="6"/>
  <c r="R29" i="6"/>
  <c r="L30" i="4"/>
  <c r="M30" i="4" s="1"/>
  <c r="Q31" i="6"/>
  <c r="L32" i="5"/>
  <c r="M32" i="5" s="1"/>
  <c r="Z34" i="6"/>
  <c r="X36" i="6"/>
  <c r="V40" i="6"/>
  <c r="U42" i="6"/>
  <c r="R46" i="6"/>
  <c r="L47" i="4"/>
  <c r="M47" i="4" s="1"/>
  <c r="Z5" i="6"/>
  <c r="Y6" i="6"/>
  <c r="X7" i="6"/>
  <c r="V10" i="6"/>
  <c r="U11" i="6"/>
  <c r="R14" i="6"/>
  <c r="L15" i="4"/>
  <c r="M15" i="4" s="1"/>
  <c r="R15" i="6"/>
  <c r="L16" i="4"/>
  <c r="M16" i="4" s="1"/>
  <c r="Q17" i="6"/>
  <c r="L18" i="5"/>
  <c r="M18" i="5" s="1"/>
  <c r="Y20" i="6"/>
  <c r="X22" i="6"/>
  <c r="W23" i="6"/>
  <c r="V24" i="6"/>
  <c r="U26" i="6"/>
  <c r="T28" i="6"/>
  <c r="R30" i="6"/>
  <c r="L31" i="4"/>
  <c r="M31" i="4" s="1"/>
  <c r="Q32" i="6"/>
  <c r="L33" i="5"/>
  <c r="M33" i="5" s="1"/>
  <c r="X38" i="6"/>
  <c r="W40" i="6"/>
  <c r="V42" i="6"/>
  <c r="U43" i="6"/>
  <c r="L5" i="6" a="1"/>
  <c r="Z6" i="6"/>
  <c r="Y7" i="6"/>
  <c r="X8" i="6"/>
  <c r="W10" i="6"/>
  <c r="V11" i="6"/>
  <c r="S14" i="6"/>
  <c r="R16" i="6"/>
  <c r="L17" i="4"/>
  <c r="M17" i="4" s="1"/>
  <c r="Q18" i="6"/>
  <c r="L19" i="5"/>
  <c r="M19" i="5" s="1"/>
  <c r="Z20" i="6"/>
  <c r="Y22" i="6"/>
  <c r="X23" i="6"/>
  <c r="W24" i="6"/>
  <c r="V26" i="6"/>
  <c r="Q34" i="6"/>
  <c r="L35" i="5"/>
  <c r="M35" i="5" s="1"/>
  <c r="Z36" i="6"/>
  <c r="Y38" i="6"/>
  <c r="X40" i="6"/>
  <c r="S20" i="6"/>
  <c r="R22" i="6"/>
  <c r="L23" i="4"/>
  <c r="M23" i="4" s="1"/>
  <c r="L25" i="5"/>
  <c r="M25" i="5" s="1"/>
  <c r="Q24" i="6"/>
  <c r="X5" i="6"/>
  <c r="AA8" i="6"/>
  <c r="AA20" i="6"/>
  <c r="L6" i="5"/>
  <c r="M6" i="5" s="1"/>
  <c r="B84" i="5" s="1"/>
  <c r="C14" i="5" s="1"/>
  <c r="Q5" i="6"/>
  <c r="Z7" i="6"/>
  <c r="Y8" i="6"/>
  <c r="X10" i="6"/>
  <c r="W11" i="6"/>
  <c r="S16" i="6"/>
  <c r="R17" i="6"/>
  <c r="L18" i="4"/>
  <c r="M18" i="4" s="1"/>
  <c r="Q19" i="6"/>
  <c r="L20" i="5"/>
  <c r="M20" i="5" s="1"/>
  <c r="Z22" i="6"/>
  <c r="Y23" i="6"/>
  <c r="X24" i="6"/>
  <c r="V28" i="6"/>
  <c r="S31" i="6"/>
  <c r="R32" i="6"/>
  <c r="L33" i="4"/>
  <c r="M33" i="4" s="1"/>
  <c r="R33" i="6"/>
  <c r="L34" i="4"/>
  <c r="M34" i="4" s="1"/>
  <c r="Q35" i="6"/>
  <c r="L36" i="5"/>
  <c r="M36" i="5" s="1"/>
  <c r="Z38" i="6"/>
  <c r="X42" i="6"/>
  <c r="W43" i="6"/>
  <c r="R18" i="6"/>
  <c r="L19" i="4"/>
  <c r="M19" i="4" s="1"/>
  <c r="Q20" i="6"/>
  <c r="L21" i="5"/>
  <c r="M21" i="5" s="1"/>
  <c r="R34" i="6"/>
  <c r="L35" i="4"/>
  <c r="M35" i="4" s="1"/>
  <c r="Q36" i="6"/>
  <c r="L37" i="5"/>
  <c r="M37" i="5" s="1"/>
  <c r="Q22" i="6"/>
  <c r="L23" i="5"/>
  <c r="M23" i="5" s="1"/>
  <c r="Q38" i="6"/>
  <c r="L39" i="5"/>
  <c r="M39" i="5" s="1"/>
  <c r="Y43" i="6"/>
  <c r="AA5" i="6"/>
  <c r="N5" i="6" a="1"/>
  <c r="Q6" i="6"/>
  <c r="L7" i="5"/>
  <c r="M7" i="5" s="1"/>
  <c r="S5" i="6"/>
  <c r="R6" i="6"/>
  <c r="L7" i="4"/>
  <c r="M7" i="4" s="1"/>
  <c r="AA7" i="6"/>
  <c r="Q8" i="6"/>
  <c r="L9" i="5"/>
  <c r="M9" i="5" s="1"/>
  <c r="B75" i="5" s="1"/>
  <c r="C5" i="5" s="1"/>
  <c r="R20" i="6"/>
  <c r="L21" i="4"/>
  <c r="M21" i="4" s="1"/>
  <c r="R21" i="6"/>
  <c r="L22" i="4"/>
  <c r="M22" i="4" s="1"/>
  <c r="Q23" i="6"/>
  <c r="L24" i="5"/>
  <c r="M24" i="5" s="1"/>
  <c r="Z26" i="6"/>
  <c r="R36" i="6"/>
  <c r="L37" i="4"/>
  <c r="M37" i="4" s="1"/>
  <c r="L38" i="4"/>
  <c r="M38" i="4" s="1"/>
  <c r="Q40" i="6"/>
  <c r="L41" i="5"/>
  <c r="M41" i="5" s="1"/>
  <c r="R38" i="6"/>
  <c r="L39" i="4"/>
  <c r="M39" i="4" s="1"/>
  <c r="Q42" i="6"/>
  <c r="L43" i="5"/>
  <c r="M43" i="5" s="1"/>
  <c r="R40" i="6"/>
  <c r="L41" i="4"/>
  <c r="M41" i="4" s="1"/>
  <c r="R41" i="6"/>
  <c r="L42" i="4"/>
  <c r="M42" i="4" s="1"/>
  <c r="Q43" i="6"/>
  <c r="L44" i="5"/>
  <c r="M44" i="5" s="1"/>
  <c r="T20" i="6"/>
  <c r="Q26" i="6"/>
  <c r="L27" i="5"/>
  <c r="M27" i="5" s="1"/>
  <c r="AA26" i="6"/>
  <c r="V5" i="6"/>
  <c r="U6" i="6"/>
  <c r="T7" i="6"/>
  <c r="S8" i="6"/>
  <c r="R10" i="6"/>
  <c r="L11" i="4"/>
  <c r="M11" i="4" s="1"/>
  <c r="L13" i="5"/>
  <c r="M13" i="5" s="1"/>
  <c r="Q12" i="6"/>
  <c r="Y16" i="6"/>
  <c r="X17" i="6"/>
  <c r="T22" i="6"/>
  <c r="S23" i="6"/>
  <c r="R24" i="6"/>
  <c r="L25" i="4"/>
  <c r="M25" i="4" s="1"/>
  <c r="Q28" i="6"/>
  <c r="L29" i="5"/>
  <c r="M29" i="5" s="1"/>
  <c r="T38" i="6"/>
  <c r="S40" i="6"/>
  <c r="R42" i="6"/>
  <c r="L43" i="4"/>
  <c r="M43" i="4" s="1"/>
  <c r="Q44" i="6"/>
  <c r="L45" i="5"/>
  <c r="M45" i="5" s="1"/>
  <c r="A5" i="6" a="1"/>
  <c r="R5" i="6"/>
  <c r="L6" i="4"/>
  <c r="M6" i="4" s="1"/>
  <c r="B79" i="4" s="1"/>
  <c r="C9" i="4" s="1"/>
  <c r="AA6" i="6"/>
  <c r="L8" i="5"/>
  <c r="M8" i="5" s="1"/>
  <c r="Q7" i="6"/>
  <c r="Q11" i="6"/>
  <c r="L12" i="5"/>
  <c r="M12" i="5" s="1"/>
  <c r="B81" i="5" s="1"/>
  <c r="C11" i="5" s="1"/>
  <c r="W5" i="6"/>
  <c r="V6" i="6"/>
  <c r="U7" i="6"/>
  <c r="T8" i="6"/>
  <c r="S10" i="6"/>
  <c r="R11" i="6"/>
  <c r="L12" i="4"/>
  <c r="M12" i="4" s="1"/>
  <c r="AA12" i="6"/>
  <c r="Q13" i="6"/>
  <c r="L14" i="5"/>
  <c r="M14" i="5" s="1"/>
  <c r="Z16" i="6"/>
  <c r="Y17" i="6"/>
  <c r="X18" i="6"/>
  <c r="W19" i="6"/>
  <c r="V20" i="6"/>
  <c r="R26" i="6"/>
  <c r="L27" i="4"/>
  <c r="M27" i="4" s="1"/>
  <c r="R27" i="6"/>
  <c r="L28" i="4"/>
  <c r="M28" i="4" s="1"/>
  <c r="Q29" i="6"/>
  <c r="L30" i="5"/>
  <c r="M30" i="5" s="1"/>
  <c r="Z31" i="6"/>
  <c r="Y32" i="6"/>
  <c r="X34" i="6"/>
  <c r="V36" i="6"/>
  <c r="U38" i="6"/>
  <c r="T40" i="6"/>
  <c r="Q46" i="6"/>
  <c r="L47" i="5"/>
  <c r="M47" i="5" s="1"/>
  <c r="S7" i="6"/>
  <c r="R8" i="6"/>
  <c r="L9" i="4"/>
  <c r="M9" i="4" s="1"/>
  <c r="R9" i="6"/>
  <c r="L10" i="4"/>
  <c r="M10" i="4" s="1"/>
  <c r="V7" i="6"/>
  <c r="U8" i="6"/>
  <c r="T10" i="6"/>
  <c r="S11" i="6"/>
  <c r="L13" i="4"/>
  <c r="M13" i="4" s="1"/>
  <c r="B76" i="4" s="1"/>
  <c r="C6" i="4" s="1"/>
  <c r="R12" i="6"/>
  <c r="Q14" i="6"/>
  <c r="L15" i="5"/>
  <c r="M15" i="5" s="1"/>
  <c r="V22" i="6"/>
  <c r="U23" i="6"/>
  <c r="T24" i="6"/>
  <c r="S26" i="6"/>
  <c r="R28" i="6"/>
  <c r="L29" i="4"/>
  <c r="M29" i="4" s="1"/>
  <c r="Q30" i="6"/>
  <c r="L31" i="5"/>
  <c r="M31" i="5" s="1"/>
  <c r="Z32" i="6"/>
  <c r="Y34" i="6"/>
  <c r="W36" i="6"/>
  <c r="V38" i="6"/>
  <c r="T42" i="6"/>
  <c r="S43" i="6"/>
  <c r="R44" i="6"/>
  <c r="L45" i="4"/>
  <c r="M45" i="4" s="1"/>
  <c r="Q48" i="6"/>
  <c r="L49" i="5"/>
  <c r="M49" i="5" s="1"/>
  <c r="V35" i="6"/>
  <c r="U36" i="6"/>
  <c r="S38" i="6"/>
  <c r="R39" i="6"/>
  <c r="L40" i="4"/>
  <c r="M40" i="4" s="1"/>
  <c r="Q41" i="6"/>
  <c r="L42" i="5"/>
  <c r="M42" i="5" s="1"/>
  <c r="Z43" i="6"/>
  <c r="Y44" i="6"/>
  <c r="W46" i="6"/>
  <c r="V47" i="6"/>
  <c r="U48" i="6"/>
  <c r="T49" i="6"/>
  <c r="S50" i="6"/>
  <c r="R51" i="6"/>
  <c r="L52" i="4"/>
  <c r="M52" i="4" s="1"/>
  <c r="Q53" i="6"/>
  <c r="S64" i="6"/>
  <c r="L65" i="4"/>
  <c r="M65" i="4" s="1"/>
  <c r="Q68" i="6"/>
  <c r="L69" i="5"/>
  <c r="M69" i="5" s="1"/>
  <c r="L55" i="4"/>
  <c r="M55" i="4" s="1"/>
  <c r="L64" i="4"/>
  <c r="M64" i="4" s="1"/>
  <c r="L67" i="4"/>
  <c r="M67" i="4" s="1"/>
  <c r="X46" i="6"/>
  <c r="W47" i="6"/>
  <c r="V48" i="6"/>
  <c r="Q55" i="6"/>
  <c r="L56" i="5"/>
  <c r="M56" i="5" s="1"/>
  <c r="X59" i="6"/>
  <c r="W60" i="6"/>
  <c r="V61" i="6"/>
  <c r="U62" i="6"/>
  <c r="R67" i="6"/>
  <c r="L68" i="4"/>
  <c r="M68" i="4" s="1"/>
  <c r="L53" i="4"/>
  <c r="M53" i="4" s="1"/>
  <c r="U50" i="6"/>
  <c r="R53" i="6"/>
  <c r="L54" i="4"/>
  <c r="M54" i="4" s="1"/>
  <c r="Q56" i="6"/>
  <c r="L57" i="5"/>
  <c r="M57" i="5" s="1"/>
  <c r="Y59" i="6"/>
  <c r="X60" i="6"/>
  <c r="W61" i="6"/>
  <c r="R68" i="6"/>
  <c r="L69" i="4"/>
  <c r="M69" i="4" s="1"/>
  <c r="L57" i="4"/>
  <c r="M57" i="4" s="1"/>
  <c r="Z46" i="6"/>
  <c r="V50" i="6"/>
  <c r="R55" i="6"/>
  <c r="L56" i="4"/>
  <c r="M56" i="4" s="1"/>
  <c r="Q57" i="6"/>
  <c r="L58" i="5"/>
  <c r="M58" i="5" s="1"/>
  <c r="Z59" i="6"/>
  <c r="Y60" i="6"/>
  <c r="X61" i="6"/>
  <c r="W62" i="6"/>
  <c r="V63" i="6"/>
  <c r="T5" i="6"/>
  <c r="S6" i="6"/>
  <c r="R7" i="6"/>
  <c r="L8" i="4"/>
  <c r="M8" i="4" s="1"/>
  <c r="Q9" i="6"/>
  <c r="L10" i="5"/>
  <c r="M10" i="5" s="1"/>
  <c r="B78" i="5" s="1"/>
  <c r="C8" i="5" s="1"/>
  <c r="Z11" i="6"/>
  <c r="Y12" i="6"/>
  <c r="X13" i="6"/>
  <c r="W14" i="6"/>
  <c r="V15" i="6"/>
  <c r="U16" i="6"/>
  <c r="T17" i="6"/>
  <c r="S18" i="6"/>
  <c r="R19" i="6"/>
  <c r="L20" i="4"/>
  <c r="M20" i="4" s="1"/>
  <c r="Q21" i="6"/>
  <c r="L22" i="5"/>
  <c r="M22" i="5" s="1"/>
  <c r="Z23" i="6"/>
  <c r="Y24" i="6"/>
  <c r="X25" i="6"/>
  <c r="W26" i="6"/>
  <c r="V27" i="6"/>
  <c r="U28" i="6"/>
  <c r="T29" i="6"/>
  <c r="S30" i="6"/>
  <c r="R31" i="6"/>
  <c r="L32" i="4"/>
  <c r="M32" i="4" s="1"/>
  <c r="Q33" i="6"/>
  <c r="L34" i="5"/>
  <c r="M34" i="5" s="1"/>
  <c r="Z35" i="6"/>
  <c r="Y36" i="6"/>
  <c r="X37" i="6"/>
  <c r="W38" i="6"/>
  <c r="V39" i="6"/>
  <c r="U40" i="6"/>
  <c r="T41" i="6"/>
  <c r="S42" i="6"/>
  <c r="R43" i="6"/>
  <c r="L44" i="4"/>
  <c r="M44" i="4" s="1"/>
  <c r="Q45" i="6"/>
  <c r="L46" i="5"/>
  <c r="M46" i="5" s="1"/>
  <c r="Z47" i="6"/>
  <c r="Y48" i="6"/>
  <c r="X49" i="6"/>
  <c r="W50" i="6"/>
  <c r="U52" i="6"/>
  <c r="T53" i="6"/>
  <c r="S55" i="6"/>
  <c r="R56" i="6"/>
  <c r="Q58" i="6"/>
  <c r="L59" i="5"/>
  <c r="M59" i="5" s="1"/>
  <c r="Z60" i="6"/>
  <c r="Y61" i="6"/>
  <c r="X62" i="6"/>
  <c r="W63" i="6"/>
  <c r="T68" i="6"/>
  <c r="L46" i="4"/>
  <c r="M46" i="4" s="1"/>
  <c r="R57" i="6"/>
  <c r="L58" i="4"/>
  <c r="M58" i="4" s="1"/>
  <c r="Q59" i="6"/>
  <c r="L60" i="5"/>
  <c r="M60" i="5" s="1"/>
  <c r="Z61" i="6"/>
  <c r="T43" i="6"/>
  <c r="S44" i="6"/>
  <c r="Q47" i="6"/>
  <c r="L48" i="5"/>
  <c r="M48" i="5" s="1"/>
  <c r="Y50" i="6"/>
  <c r="R58" i="6"/>
  <c r="L59" i="4"/>
  <c r="M59" i="4" s="1"/>
  <c r="Q60" i="6"/>
  <c r="L61" i="5"/>
  <c r="M61" i="5" s="1"/>
  <c r="R59" i="6"/>
  <c r="L60" i="4"/>
  <c r="M60" i="4" s="1"/>
  <c r="Q61" i="6"/>
  <c r="L62" i="5"/>
  <c r="M62" i="5" s="1"/>
  <c r="V19" i="6"/>
  <c r="U20" i="6"/>
  <c r="S22" i="6"/>
  <c r="R23" i="6"/>
  <c r="L24" i="4"/>
  <c r="M24" i="4" s="1"/>
  <c r="Q25" i="6"/>
  <c r="L26" i="5"/>
  <c r="M26" i="5" s="1"/>
  <c r="Y28" i="6"/>
  <c r="X29" i="6"/>
  <c r="W30" i="6"/>
  <c r="V31" i="6"/>
  <c r="U32" i="6"/>
  <c r="S34" i="6"/>
  <c r="R35" i="6"/>
  <c r="L36" i="4"/>
  <c r="M36" i="4" s="1"/>
  <c r="Q37" i="6"/>
  <c r="L38" i="5"/>
  <c r="M38" i="5" s="1"/>
  <c r="Y40" i="6"/>
  <c r="X41" i="6"/>
  <c r="W42" i="6"/>
  <c r="V43" i="6"/>
  <c r="U44" i="6"/>
  <c r="S46" i="6"/>
  <c r="R47" i="6"/>
  <c r="L48" i="4"/>
  <c r="M48" i="4" s="1"/>
  <c r="Q49" i="6"/>
  <c r="L50" i="5"/>
  <c r="M50" i="5" s="1"/>
  <c r="W55" i="6"/>
  <c r="V56" i="6"/>
  <c r="U57" i="6"/>
  <c r="S59" i="6"/>
  <c r="R60" i="6"/>
  <c r="L61" i="4"/>
  <c r="M61" i="4" s="1"/>
  <c r="Q62" i="6"/>
  <c r="L63" i="5"/>
  <c r="M63" i="5" s="1"/>
  <c r="L63" i="4"/>
  <c r="M63" i="4" s="1"/>
  <c r="L54" i="5"/>
  <c r="M54" i="5" s="1"/>
  <c r="V44" i="6"/>
  <c r="T46" i="6"/>
  <c r="R48" i="6"/>
  <c r="Q50" i="6"/>
  <c r="L51" i="5"/>
  <c r="M51" i="5" s="1"/>
  <c r="W56" i="6"/>
  <c r="T59" i="6"/>
  <c r="S60" i="6"/>
  <c r="R61" i="6"/>
  <c r="L62" i="4"/>
  <c r="M62" i="4" s="1"/>
  <c r="Q63" i="6"/>
  <c r="L64" i="5"/>
  <c r="M64" i="5" s="1"/>
  <c r="L66" i="4"/>
  <c r="M66" i="4" s="1"/>
  <c r="T11" i="6"/>
  <c r="S12" i="6"/>
  <c r="R13" i="6"/>
  <c r="L14" i="4"/>
  <c r="M14" i="4" s="1"/>
  <c r="Q15" i="6"/>
  <c r="L16" i="5"/>
  <c r="M16" i="5" s="1"/>
  <c r="Z17" i="6"/>
  <c r="Y18" i="6"/>
  <c r="X19" i="6"/>
  <c r="W20" i="6"/>
  <c r="U22" i="6"/>
  <c r="T23" i="6"/>
  <c r="S24" i="6"/>
  <c r="R25" i="6"/>
  <c r="L26" i="4"/>
  <c r="M26" i="4" s="1"/>
  <c r="Q27" i="6"/>
  <c r="L28" i="5"/>
  <c r="M28" i="5" s="1"/>
  <c r="Z29" i="6"/>
  <c r="Y30" i="6"/>
  <c r="X31" i="6"/>
  <c r="W32" i="6"/>
  <c r="U34" i="6"/>
  <c r="T35" i="6"/>
  <c r="S36" i="6"/>
  <c r="R37" i="6"/>
  <c r="L40" i="5"/>
  <c r="M40" i="5" s="1"/>
  <c r="Q39" i="6"/>
  <c r="Z41" i="6"/>
  <c r="Y42" i="6"/>
  <c r="X43" i="6"/>
  <c r="W44" i="6"/>
  <c r="V45" i="6"/>
  <c r="U46" i="6"/>
  <c r="T47" i="6"/>
  <c r="S48" i="6"/>
  <c r="R49" i="6"/>
  <c r="L50" i="4"/>
  <c r="M50" i="4" s="1"/>
  <c r="Q51" i="6"/>
  <c r="L52" i="5"/>
  <c r="M52" i="5" s="1"/>
  <c r="Z53" i="6"/>
  <c r="Q65" i="6"/>
  <c r="L66" i="5"/>
  <c r="M66" i="5" s="1"/>
  <c r="T48" i="6"/>
  <c r="R50" i="6"/>
  <c r="Q52" i="6"/>
  <c r="L53" i="5"/>
  <c r="M53" i="5" s="1"/>
  <c r="Z55" i="6"/>
  <c r="Y56" i="6"/>
  <c r="X57" i="6"/>
  <c r="V59" i="6"/>
  <c r="U60" i="6"/>
  <c r="T61" i="6"/>
  <c r="S62" i="6"/>
  <c r="R63" i="6"/>
  <c r="Q67" i="6"/>
  <c r="L68" i="5"/>
  <c r="M68" i="5" s="1"/>
  <c r="L49" i="4"/>
  <c r="M49" i="4" s="1"/>
  <c r="L51" i="4"/>
  <c r="M51" i="4" s="1"/>
  <c r="T67" i="6"/>
  <c r="S68" i="6"/>
  <c r="Y55" i="6"/>
  <c r="X56" i="6"/>
  <c r="W57" i="6"/>
  <c r="V58" i="6"/>
  <c r="U59" i="6"/>
  <c r="T60" i="6"/>
  <c r="S61" i="6"/>
  <c r="R62" i="6"/>
  <c r="Q64" i="6"/>
  <c r="L65" i="5"/>
  <c r="M65" i="5" s="1"/>
  <c r="Y67" i="6"/>
  <c r="X68" i="6"/>
  <c r="Z67" i="6"/>
  <c r="Y68" i="6"/>
  <c r="U49" i="6"/>
  <c r="T50" i="6"/>
  <c r="S51" i="6"/>
  <c r="R52" i="6"/>
  <c r="Q54" i="6"/>
  <c r="L55" i="5"/>
  <c r="M55" i="5" s="1"/>
  <c r="Z56" i="6"/>
  <c r="Y57" i="6"/>
  <c r="X58" i="6"/>
  <c r="W59" i="6"/>
  <c r="V60" i="6"/>
  <c r="U61" i="6"/>
  <c r="T62" i="6"/>
  <c r="S63" i="6"/>
  <c r="R64" i="6"/>
  <c r="Q66" i="6"/>
  <c r="L67" i="5"/>
  <c r="M67" i="5" s="1"/>
  <c r="Z68" i="6"/>
  <c r="N56" i="5" l="1"/>
  <c r="O56" i="5" s="1"/>
  <c r="N8" i="6"/>
  <c r="N7" i="6"/>
  <c r="N6" i="6"/>
  <c r="N13" i="6"/>
  <c r="N5" i="6"/>
  <c r="N11" i="6"/>
  <c r="N10" i="6"/>
  <c r="N14" i="6"/>
  <c r="N12" i="6"/>
  <c r="N9" i="6"/>
  <c r="B82" i="4"/>
  <c r="C12" i="4" s="1"/>
  <c r="B78" i="4"/>
  <c r="C8" i="4" s="1"/>
  <c r="AM17" i="6"/>
  <c r="B80" i="4"/>
  <c r="C10" i="4" s="1"/>
  <c r="B77" i="4"/>
  <c r="C7" i="4" s="1"/>
  <c r="A14" i="6"/>
  <c r="I12" i="6"/>
  <c r="G11" i="6"/>
  <c r="E10" i="6"/>
  <c r="C9" i="6"/>
  <c r="I13" i="6"/>
  <c r="G12" i="6"/>
  <c r="E11" i="6"/>
  <c r="C10" i="6"/>
  <c r="A9" i="6"/>
  <c r="I7" i="6"/>
  <c r="G6" i="6"/>
  <c r="E5" i="6"/>
  <c r="F14" i="6"/>
  <c r="D13" i="6"/>
  <c r="B12" i="6"/>
  <c r="J10" i="6"/>
  <c r="H9" i="6"/>
  <c r="F8" i="6"/>
  <c r="D7" i="6"/>
  <c r="B6" i="6"/>
  <c r="A5" i="6"/>
  <c r="H13" i="6"/>
  <c r="C12" i="6"/>
  <c r="G10" i="6"/>
  <c r="J8" i="6"/>
  <c r="F7" i="6"/>
  <c r="A6" i="6"/>
  <c r="G13" i="6"/>
  <c r="A12" i="6"/>
  <c r="F10" i="6"/>
  <c r="I8" i="6"/>
  <c r="E7" i="6"/>
  <c r="J5" i="6"/>
  <c r="F13" i="6"/>
  <c r="J11" i="6"/>
  <c r="D10" i="6"/>
  <c r="H8" i="6"/>
  <c r="C7" i="6"/>
  <c r="I5" i="6"/>
  <c r="J14" i="6"/>
  <c r="E13" i="6"/>
  <c r="I11" i="6"/>
  <c r="B10" i="6"/>
  <c r="G8" i="6"/>
  <c r="B7" i="6"/>
  <c r="H5" i="6"/>
  <c r="I14" i="6"/>
  <c r="C13" i="6"/>
  <c r="H11" i="6"/>
  <c r="A10" i="6"/>
  <c r="E8" i="6"/>
  <c r="A7" i="6"/>
  <c r="G5" i="6"/>
  <c r="H14" i="6"/>
  <c r="B13" i="6"/>
  <c r="F11" i="6"/>
  <c r="J9" i="6"/>
  <c r="D8" i="6"/>
  <c r="J6" i="6"/>
  <c r="F5" i="6"/>
  <c r="D14" i="6"/>
  <c r="H12" i="6"/>
  <c r="B11" i="6"/>
  <c r="F9" i="6"/>
  <c r="A8" i="6"/>
  <c r="F6" i="6"/>
  <c r="B5" i="6"/>
  <c r="E12" i="6"/>
  <c r="C8" i="6"/>
  <c r="D12" i="6"/>
  <c r="B8" i="6"/>
  <c r="D11" i="6"/>
  <c r="J7" i="6"/>
  <c r="C11" i="6"/>
  <c r="H7" i="6"/>
  <c r="J13" i="6"/>
  <c r="G9" i="6"/>
  <c r="D6" i="6"/>
  <c r="A11" i="6"/>
  <c r="D5" i="6"/>
  <c r="I10" i="6"/>
  <c r="C5" i="6"/>
  <c r="H10" i="6"/>
  <c r="I9" i="6"/>
  <c r="E9" i="6"/>
  <c r="B14" i="6"/>
  <c r="I6" i="6"/>
  <c r="D9" i="6"/>
  <c r="B9" i="6"/>
  <c r="G7" i="6"/>
  <c r="H6" i="6"/>
  <c r="E6" i="6"/>
  <c r="C6" i="6"/>
  <c r="G14" i="6"/>
  <c r="E14" i="6"/>
  <c r="C14" i="6"/>
  <c r="A13" i="6"/>
  <c r="J12" i="6"/>
  <c r="F12" i="6"/>
  <c r="AM16" i="6"/>
  <c r="AC16" i="6" a="1"/>
  <c r="E91" i="4"/>
  <c r="B81" i="4"/>
  <c r="C11" i="4" s="1"/>
  <c r="B76" i="5"/>
  <c r="C6" i="5" s="1"/>
  <c r="N40" i="5" s="1"/>
  <c r="O40" i="5" s="1"/>
  <c r="AM22" i="6"/>
  <c r="B80" i="5"/>
  <c r="C10" i="5" s="1"/>
  <c r="AM18" i="6"/>
  <c r="AM23" i="6"/>
  <c r="E91" i="5"/>
  <c r="L6" i="6"/>
  <c r="L5" i="6"/>
  <c r="L11" i="6"/>
  <c r="L9" i="6"/>
  <c r="L8" i="6"/>
  <c r="L7" i="6"/>
  <c r="L14" i="6"/>
  <c r="L13" i="6"/>
  <c r="L12" i="6"/>
  <c r="L10" i="6"/>
  <c r="B84" i="4"/>
  <c r="C14" i="4" s="1"/>
  <c r="B83" i="4"/>
  <c r="C13" i="4" s="1"/>
  <c r="AM19" i="6"/>
  <c r="B77" i="5"/>
  <c r="C7" i="5" s="1"/>
  <c r="N25" i="5" s="1"/>
  <c r="O25" i="5" s="1"/>
  <c r="B75" i="4"/>
  <c r="C5" i="4" s="1"/>
  <c r="B82" i="5"/>
  <c r="C12" i="5" s="1"/>
  <c r="AM25" i="6"/>
  <c r="AM20" i="6"/>
  <c r="B83" i="5"/>
  <c r="C13" i="5" s="1"/>
  <c r="AM21" i="6"/>
  <c r="B79" i="5"/>
  <c r="C9" i="5" s="1"/>
  <c r="AM24" i="6"/>
  <c r="N10" i="5" l="1"/>
  <c r="O10" i="5" s="1"/>
  <c r="N7" i="5"/>
  <c r="O7" i="5" s="1"/>
  <c r="N51" i="5"/>
  <c r="O51" i="5" s="1"/>
  <c r="N52" i="5"/>
  <c r="O52" i="5" s="1"/>
  <c r="A16" i="6" a="1"/>
  <c r="M5" i="6" a="1"/>
  <c r="O5" i="6" a="1"/>
  <c r="N41" i="5"/>
  <c r="O41" i="5" s="1"/>
  <c r="N12" i="5"/>
  <c r="O12" i="5" s="1"/>
  <c r="N33" i="5"/>
  <c r="O33" i="5" s="1"/>
  <c r="N19" i="5"/>
  <c r="O19" i="5" s="1"/>
  <c r="N54" i="5"/>
  <c r="O54" i="5" s="1"/>
  <c r="N18" i="5"/>
  <c r="O18" i="5" s="1"/>
  <c r="N14" i="5"/>
  <c r="O14" i="5" s="1"/>
  <c r="N27" i="5"/>
  <c r="O27" i="5" s="1"/>
  <c r="N45" i="5"/>
  <c r="O45" i="5" s="1"/>
  <c r="N15" i="5"/>
  <c r="O15" i="5" s="1"/>
  <c r="N32" i="5"/>
  <c r="O32" i="5" s="1"/>
  <c r="N53" i="5"/>
  <c r="O53" i="5" s="1"/>
  <c r="N58" i="5"/>
  <c r="O58" i="5" s="1"/>
  <c r="N26" i="5"/>
  <c r="O26" i="5" s="1"/>
  <c r="N21" i="5"/>
  <c r="O21" i="5" s="1"/>
  <c r="N38" i="5"/>
  <c r="O38" i="5" s="1"/>
  <c r="N34" i="5"/>
  <c r="O34" i="5" s="1"/>
  <c r="N55" i="5"/>
  <c r="O55" i="5" s="1"/>
  <c r="N60" i="5"/>
  <c r="O60" i="5" s="1"/>
  <c r="N37" i="5"/>
  <c r="O37" i="5" s="1"/>
  <c r="N36" i="5"/>
  <c r="O36" i="5" s="1"/>
  <c r="N50" i="5"/>
  <c r="O50" i="5" s="1"/>
  <c r="N46" i="5"/>
  <c r="O46" i="5" s="1"/>
  <c r="N57" i="5"/>
  <c r="O57" i="5" s="1"/>
  <c r="N62" i="5"/>
  <c r="O62" i="5" s="1"/>
  <c r="N42" i="5"/>
  <c r="O42" i="5" s="1"/>
  <c r="N6" i="5"/>
  <c r="O6" i="5" s="1"/>
  <c r="N9" i="5"/>
  <c r="O9" i="5" s="1"/>
  <c r="N20" i="5"/>
  <c r="O20" i="5" s="1"/>
  <c r="N59" i="5"/>
  <c r="O59" i="5" s="1"/>
  <c r="N64" i="5"/>
  <c r="O64" i="5" s="1"/>
  <c r="N44" i="5"/>
  <c r="O44" i="5" s="1"/>
  <c r="N8" i="5"/>
  <c r="O8" i="5" s="1"/>
  <c r="N11" i="5"/>
  <c r="O11" i="5" s="1"/>
  <c r="N28" i="5"/>
  <c r="O28" i="5" s="1"/>
  <c r="N61" i="5"/>
  <c r="O61" i="5" s="1"/>
  <c r="N66" i="5"/>
  <c r="O66" i="5" s="1"/>
  <c r="AD25" i="6"/>
  <c r="AL23" i="6"/>
  <c r="AJ22" i="6"/>
  <c r="AH21" i="6"/>
  <c r="AF20" i="6"/>
  <c r="AD19" i="6"/>
  <c r="AL17" i="6"/>
  <c r="AJ16" i="6"/>
  <c r="AL24" i="6"/>
  <c r="AJ23" i="6"/>
  <c r="AH22" i="6"/>
  <c r="AF21" i="6"/>
  <c r="AD20" i="6"/>
  <c r="AL18" i="6"/>
  <c r="AJ17" i="6"/>
  <c r="AH16" i="6"/>
  <c r="AI24" i="6"/>
  <c r="AE23" i="6"/>
  <c r="AK21" i="6"/>
  <c r="AG20" i="6"/>
  <c r="AK18" i="6"/>
  <c r="AG17" i="6"/>
  <c r="AL25" i="6"/>
  <c r="AH24" i="6"/>
  <c r="AD23" i="6"/>
  <c r="AJ21" i="6"/>
  <c r="AE20" i="6"/>
  <c r="AJ18" i="6"/>
  <c r="AF17" i="6"/>
  <c r="AC16" i="6"/>
  <c r="AK25" i="6"/>
  <c r="AG24" i="6"/>
  <c r="AC23" i="6"/>
  <c r="AI21" i="6"/>
  <c r="AC20" i="6"/>
  <c r="AI18" i="6"/>
  <c r="AE17" i="6"/>
  <c r="AF25" i="6"/>
  <c r="AK23" i="6"/>
  <c r="AF22" i="6"/>
  <c r="AL20" i="6"/>
  <c r="AH19" i="6"/>
  <c r="AD18" i="6"/>
  <c r="AI16" i="6"/>
  <c r="AC25" i="6"/>
  <c r="AK22" i="6"/>
  <c r="AJ20" i="6"/>
  <c r="AG18" i="6"/>
  <c r="AF16" i="6"/>
  <c r="AK24" i="6"/>
  <c r="AI22" i="6"/>
  <c r="AI20" i="6"/>
  <c r="AF18" i="6"/>
  <c r="AE16" i="6"/>
  <c r="AJ24" i="6"/>
  <c r="AG22" i="6"/>
  <c r="AH20" i="6"/>
  <c r="AE18" i="6"/>
  <c r="AD16" i="6"/>
  <c r="AF24" i="6"/>
  <c r="AE22" i="6"/>
  <c r="AL19" i="6"/>
  <c r="AC18" i="6"/>
  <c r="AE24" i="6"/>
  <c r="AD22" i="6"/>
  <c r="AK19" i="6"/>
  <c r="AK17" i="6"/>
  <c r="AD24" i="6"/>
  <c r="AC22" i="6"/>
  <c r="AJ19" i="6"/>
  <c r="AI17" i="6"/>
  <c r="AI25" i="6"/>
  <c r="AH23" i="6"/>
  <c r="AE21" i="6"/>
  <c r="AF19" i="6"/>
  <c r="AC17" i="6"/>
  <c r="AG23" i="6"/>
  <c r="AH18" i="6"/>
  <c r="AF23" i="6"/>
  <c r="AH17" i="6"/>
  <c r="AL22" i="6"/>
  <c r="AD17" i="6"/>
  <c r="AL21" i="6"/>
  <c r="AL16" i="6"/>
  <c r="AD21" i="6"/>
  <c r="AG16" i="6"/>
  <c r="AJ25" i="6"/>
  <c r="AC21" i="6"/>
  <c r="AG25" i="6"/>
  <c r="AI19" i="6"/>
  <c r="AE19" i="6"/>
  <c r="AC19" i="6"/>
  <c r="AK16" i="6"/>
  <c r="AI23" i="6"/>
  <c r="AH25" i="6"/>
  <c r="AE25" i="6"/>
  <c r="AC24" i="6"/>
  <c r="AG21" i="6"/>
  <c r="AK20" i="6"/>
  <c r="AG19" i="6"/>
  <c r="N17" i="5"/>
  <c r="O17" i="5" s="1"/>
  <c r="N13" i="5"/>
  <c r="O13" i="5" s="1"/>
  <c r="N35" i="5"/>
  <c r="O35" i="5" s="1"/>
  <c r="N63" i="5"/>
  <c r="O63" i="5" s="1"/>
  <c r="N68" i="5"/>
  <c r="O68" i="5" s="1"/>
  <c r="N69" i="4"/>
  <c r="O69" i="4" s="1"/>
  <c r="N61" i="4"/>
  <c r="O61" i="4" s="1"/>
  <c r="N68" i="4"/>
  <c r="O68" i="4" s="1"/>
  <c r="N60" i="4"/>
  <c r="O60" i="4" s="1"/>
  <c r="N56" i="4"/>
  <c r="O56" i="4" s="1"/>
  <c r="N48" i="4"/>
  <c r="O48" i="4" s="1"/>
  <c r="N58" i="4"/>
  <c r="O58" i="4" s="1"/>
  <c r="N54" i="4"/>
  <c r="O54" i="4" s="1"/>
  <c r="N50" i="4"/>
  <c r="O50" i="4" s="1"/>
  <c r="N44" i="4"/>
  <c r="O44" i="4" s="1"/>
  <c r="N36" i="4"/>
  <c r="O36" i="4" s="1"/>
  <c r="N13" i="4"/>
  <c r="O13" i="4" s="1"/>
  <c r="N7" i="4"/>
  <c r="O7" i="4" s="1"/>
  <c r="N62" i="4"/>
  <c r="O62" i="4" s="1"/>
  <c r="N41" i="4"/>
  <c r="O41" i="4" s="1"/>
  <c r="N12" i="4"/>
  <c r="O12" i="4" s="1"/>
  <c r="N6" i="4"/>
  <c r="O6" i="4" s="1"/>
  <c r="N63" i="4"/>
  <c r="O63" i="4" s="1"/>
  <c r="N57" i="4"/>
  <c r="O57" i="4" s="1"/>
  <c r="N53" i="4"/>
  <c r="O53" i="4" s="1"/>
  <c r="N46" i="4"/>
  <c r="O46" i="4" s="1"/>
  <c r="N64" i="4"/>
  <c r="O64" i="4" s="1"/>
  <c r="N49" i="4"/>
  <c r="O49" i="4" s="1"/>
  <c r="N66" i="4"/>
  <c r="O66" i="4" s="1"/>
  <c r="N45" i="4"/>
  <c r="O45" i="4" s="1"/>
  <c r="N37" i="4"/>
  <c r="O37" i="4" s="1"/>
  <c r="N10" i="4"/>
  <c r="O10" i="4" s="1"/>
  <c r="N47" i="4"/>
  <c r="O47" i="4" s="1"/>
  <c r="N40" i="4"/>
  <c r="O40" i="4" s="1"/>
  <c r="N29" i="4"/>
  <c r="O29" i="4" s="1"/>
  <c r="N27" i="4"/>
  <c r="O27" i="4" s="1"/>
  <c r="N25" i="4"/>
  <c r="O25" i="4" s="1"/>
  <c r="N23" i="4"/>
  <c r="O23" i="4" s="1"/>
  <c r="N21" i="4"/>
  <c r="O21" i="4" s="1"/>
  <c r="N19" i="4"/>
  <c r="O19" i="4" s="1"/>
  <c r="N17" i="4"/>
  <c r="O17" i="4" s="1"/>
  <c r="N15" i="4"/>
  <c r="O15" i="4" s="1"/>
  <c r="N43" i="4"/>
  <c r="O43" i="4" s="1"/>
  <c r="N30" i="4"/>
  <c r="O30" i="4" s="1"/>
  <c r="N28" i="4"/>
  <c r="O28" i="4" s="1"/>
  <c r="N26" i="4"/>
  <c r="O26" i="4" s="1"/>
  <c r="N24" i="4"/>
  <c r="O24" i="4" s="1"/>
  <c r="N22" i="4"/>
  <c r="O22" i="4" s="1"/>
  <c r="N20" i="4"/>
  <c r="O20" i="4" s="1"/>
  <c r="N18" i="4"/>
  <c r="O18" i="4" s="1"/>
  <c r="N16" i="4"/>
  <c r="O16" i="4" s="1"/>
  <c r="N14" i="4"/>
  <c r="O14" i="4" s="1"/>
  <c r="N52" i="4"/>
  <c r="O52" i="4" s="1"/>
  <c r="N31" i="4"/>
  <c r="O31" i="4" s="1"/>
  <c r="N9" i="4"/>
  <c r="O9" i="4" s="1"/>
  <c r="N65" i="4"/>
  <c r="O65" i="4" s="1"/>
  <c r="N38" i="4"/>
  <c r="O38" i="4" s="1"/>
  <c r="N32" i="4"/>
  <c r="O32" i="4" s="1"/>
  <c r="N11" i="4"/>
  <c r="O11" i="4" s="1"/>
  <c r="N33" i="4"/>
  <c r="O33" i="4" s="1"/>
  <c r="N67" i="4"/>
  <c r="O67" i="4" s="1"/>
  <c r="N55" i="4"/>
  <c r="O55" i="4" s="1"/>
  <c r="N34" i="4"/>
  <c r="O34" i="4" s="1"/>
  <c r="N59" i="4"/>
  <c r="O59" i="4" s="1"/>
  <c r="N42" i="4"/>
  <c r="O42" i="4" s="1"/>
  <c r="N51" i="4"/>
  <c r="O51" i="4" s="1"/>
  <c r="N39" i="4"/>
  <c r="O39" i="4" s="1"/>
  <c r="N35" i="4"/>
  <c r="O35" i="4" s="1"/>
  <c r="N8" i="4"/>
  <c r="O8" i="4" s="1"/>
  <c r="N39" i="5"/>
  <c r="O39" i="5" s="1"/>
  <c r="N24" i="5"/>
  <c r="O24" i="5" s="1"/>
  <c r="N22" i="5"/>
  <c r="O22" i="5" s="1"/>
  <c r="N49" i="5"/>
  <c r="O49" i="5" s="1"/>
  <c r="N30" i="5"/>
  <c r="O30" i="5" s="1"/>
  <c r="N43" i="5"/>
  <c r="O43" i="5" s="1"/>
  <c r="N67" i="5"/>
  <c r="O67" i="5" s="1"/>
  <c r="N16" i="5"/>
  <c r="O16" i="5" s="1"/>
  <c r="N29" i="5"/>
  <c r="O29" i="5" s="1"/>
  <c r="N65" i="5"/>
  <c r="O65" i="5" s="1"/>
  <c r="N48" i="5"/>
  <c r="O48" i="5" s="1"/>
  <c r="N23" i="5"/>
  <c r="O23" i="5" s="1"/>
  <c r="N31" i="5"/>
  <c r="O31" i="5" s="1"/>
  <c r="N47" i="5"/>
  <c r="O47" i="5" s="1"/>
  <c r="N69" i="5"/>
  <c r="O69" i="5" s="1"/>
  <c r="AM27" i="6" l="1" a="1"/>
  <c r="AC27" i="6" a="1"/>
  <c r="O9" i="6"/>
  <c r="O8" i="6"/>
  <c r="O7" i="6"/>
  <c r="O14" i="6"/>
  <c r="O12" i="6"/>
  <c r="O11" i="6"/>
  <c r="O10" i="6"/>
  <c r="O6" i="6"/>
  <c r="O5" i="6"/>
  <c r="O13" i="6"/>
  <c r="M7" i="6"/>
  <c r="M6" i="6"/>
  <c r="M12" i="6"/>
  <c r="M14" i="6"/>
  <c r="M13" i="6"/>
  <c r="M11" i="6"/>
  <c r="M10" i="6"/>
  <c r="M9" i="6"/>
  <c r="M5" i="6"/>
  <c r="M8" i="6"/>
  <c r="F25" i="6"/>
  <c r="D24" i="6"/>
  <c r="B23" i="6"/>
  <c r="J21" i="6"/>
  <c r="H20" i="6"/>
  <c r="F19" i="6"/>
  <c r="D18" i="6"/>
  <c r="B17" i="6"/>
  <c r="A16" i="6"/>
  <c r="D25" i="6"/>
  <c r="B24" i="6"/>
  <c r="J22" i="6"/>
  <c r="H21" i="6"/>
  <c r="F20" i="6"/>
  <c r="I25" i="6"/>
  <c r="E24" i="6"/>
  <c r="I22" i="6"/>
  <c r="E21" i="6"/>
  <c r="A20" i="6"/>
  <c r="H18" i="6"/>
  <c r="E17" i="6"/>
  <c r="B16" i="6"/>
  <c r="H25" i="6"/>
  <c r="C24" i="6"/>
  <c r="H22" i="6"/>
  <c r="D21" i="6"/>
  <c r="J19" i="6"/>
  <c r="G18" i="6"/>
  <c r="D17" i="6"/>
  <c r="G25" i="6"/>
  <c r="A24" i="6"/>
  <c r="G22" i="6"/>
  <c r="C21" i="6"/>
  <c r="I19" i="6"/>
  <c r="F18" i="6"/>
  <c r="C17" i="6"/>
  <c r="J24" i="6"/>
  <c r="F23" i="6"/>
  <c r="B22" i="6"/>
  <c r="G20" i="6"/>
  <c r="C19" i="6"/>
  <c r="J17" i="6"/>
  <c r="G16" i="6"/>
  <c r="C25" i="6"/>
  <c r="D23" i="6"/>
  <c r="A21" i="6"/>
  <c r="A19" i="6"/>
  <c r="J16" i="6"/>
  <c r="B25" i="6"/>
  <c r="C23" i="6"/>
  <c r="J20" i="6"/>
  <c r="J18" i="6"/>
  <c r="I16" i="6"/>
  <c r="A25" i="6"/>
  <c r="A23" i="6"/>
  <c r="I20" i="6"/>
  <c r="I18" i="6"/>
  <c r="H16" i="6"/>
  <c r="I24" i="6"/>
  <c r="F22" i="6"/>
  <c r="E20" i="6"/>
  <c r="E18" i="6"/>
  <c r="F16" i="6"/>
  <c r="H24" i="6"/>
  <c r="E22" i="6"/>
  <c r="D20" i="6"/>
  <c r="C18" i="6"/>
  <c r="E16" i="6"/>
  <c r="G24" i="6"/>
  <c r="D22" i="6"/>
  <c r="C20" i="6"/>
  <c r="B18" i="6"/>
  <c r="D16" i="6"/>
  <c r="I23" i="6"/>
  <c r="I21" i="6"/>
  <c r="G19" i="6"/>
  <c r="H17" i="6"/>
  <c r="J23" i="6"/>
  <c r="D19" i="6"/>
  <c r="H23" i="6"/>
  <c r="B19" i="6"/>
  <c r="G23" i="6"/>
  <c r="A18" i="6"/>
  <c r="E23" i="6"/>
  <c r="I17" i="6"/>
  <c r="A22" i="6"/>
  <c r="B21" i="6"/>
  <c r="E19" i="6"/>
  <c r="G17" i="6"/>
  <c r="F17" i="6"/>
  <c r="A17" i="6"/>
  <c r="J25" i="6"/>
  <c r="C16" i="6"/>
  <c r="G21" i="6"/>
  <c r="E25" i="6"/>
  <c r="F24" i="6"/>
  <c r="C22" i="6"/>
  <c r="F21" i="6"/>
  <c r="B20" i="6"/>
  <c r="H19" i="6"/>
  <c r="C75" i="4"/>
  <c r="D5" i="4" s="1"/>
  <c r="C76" i="4"/>
  <c r="D6" i="4" s="1"/>
  <c r="C82" i="4"/>
  <c r="D12" i="4" s="1"/>
  <c r="C83" i="4"/>
  <c r="D13" i="4" s="1"/>
  <c r="E92" i="4"/>
  <c r="C81" i="4"/>
  <c r="D11" i="4" s="1"/>
  <c r="C79" i="4"/>
  <c r="D9" i="4" s="1"/>
  <c r="C77" i="4"/>
  <c r="D7" i="4" s="1"/>
  <c r="C80" i="4"/>
  <c r="D10" i="4" s="1"/>
  <c r="C84" i="4"/>
  <c r="D14" i="4" s="1"/>
  <c r="C78" i="4"/>
  <c r="D8" i="4" s="1"/>
  <c r="C79" i="5"/>
  <c r="D9" i="5" s="1"/>
  <c r="C78" i="5"/>
  <c r="D8" i="5" s="1"/>
  <c r="C84" i="5"/>
  <c r="D14" i="5" s="1"/>
  <c r="C81" i="5"/>
  <c r="D11" i="5" s="1"/>
  <c r="C82" i="5"/>
  <c r="D12" i="5" s="1"/>
  <c r="C77" i="5"/>
  <c r="D7" i="5" s="1"/>
  <c r="E92" i="5"/>
  <c r="C80" i="5"/>
  <c r="D10" i="5" s="1"/>
  <c r="C83" i="5"/>
  <c r="D13" i="5" s="1"/>
  <c r="C76" i="5"/>
  <c r="D6" i="5" s="1"/>
  <c r="C75" i="5"/>
  <c r="D5" i="5" s="1"/>
  <c r="C58" i="6" l="1"/>
  <c r="D58" i="6" s="1"/>
  <c r="C46" i="6"/>
  <c r="D46" i="6" s="1"/>
  <c r="C34" i="6"/>
  <c r="D34" i="6" s="1"/>
  <c r="C65" i="6"/>
  <c r="D65" i="6" s="1"/>
  <c r="C53" i="6"/>
  <c r="D53" i="6" s="1"/>
  <c r="C41" i="6"/>
  <c r="D41" i="6" s="1"/>
  <c r="C29" i="6"/>
  <c r="D29" i="6" s="1"/>
  <c r="C60" i="6"/>
  <c r="D60" i="6" s="1"/>
  <c r="C48" i="6"/>
  <c r="D48" i="6" s="1"/>
  <c r="C36" i="6"/>
  <c r="D36" i="6" s="1"/>
  <c r="C67" i="6"/>
  <c r="D67" i="6" s="1"/>
  <c r="C55" i="6"/>
  <c r="D55" i="6" s="1"/>
  <c r="C43" i="6"/>
  <c r="D43" i="6" s="1"/>
  <c r="C31" i="6"/>
  <c r="D31" i="6" s="1"/>
  <c r="C61" i="6"/>
  <c r="D61" i="6" s="1"/>
  <c r="C49" i="6"/>
  <c r="D49" i="6" s="1"/>
  <c r="C89" i="6"/>
  <c r="D89" i="6" s="1"/>
  <c r="C85" i="6"/>
  <c r="D85" i="6" s="1"/>
  <c r="C81" i="6"/>
  <c r="D81" i="6" s="1"/>
  <c r="C77" i="6"/>
  <c r="D77" i="6" s="1"/>
  <c r="C73" i="6"/>
  <c r="D73" i="6" s="1"/>
  <c r="C69" i="6"/>
  <c r="D69" i="6" s="1"/>
  <c r="C47" i="6"/>
  <c r="D47" i="6" s="1"/>
  <c r="C37" i="6"/>
  <c r="D37" i="6" s="1"/>
  <c r="C59" i="6"/>
  <c r="D59" i="6" s="1"/>
  <c r="C40" i="6"/>
  <c r="D40" i="6" s="1"/>
  <c r="C39" i="6"/>
  <c r="D39" i="6" s="1"/>
  <c r="C56" i="6"/>
  <c r="D56" i="6" s="1"/>
  <c r="C45" i="6"/>
  <c r="D45" i="6" s="1"/>
  <c r="C30" i="6"/>
  <c r="D30" i="6" s="1"/>
  <c r="C54" i="6"/>
  <c r="D54" i="6" s="1"/>
  <c r="C32" i="6"/>
  <c r="D32" i="6" s="1"/>
  <c r="C92" i="6"/>
  <c r="D92" i="6" s="1"/>
  <c r="C80" i="6"/>
  <c r="D80" i="6" s="1"/>
  <c r="C63" i="6"/>
  <c r="D63" i="6" s="1"/>
  <c r="C52" i="6"/>
  <c r="D52" i="6" s="1"/>
  <c r="C50" i="6"/>
  <c r="D50" i="6" s="1"/>
  <c r="C35" i="6"/>
  <c r="D35" i="6" s="1"/>
  <c r="C91" i="6"/>
  <c r="D91" i="6" s="1"/>
  <c r="C86" i="6"/>
  <c r="D86" i="6" s="1"/>
  <c r="C79" i="6"/>
  <c r="D79" i="6" s="1"/>
  <c r="C74" i="6"/>
  <c r="D74" i="6" s="1"/>
  <c r="C90" i="6"/>
  <c r="D90" i="6" s="1"/>
  <c r="C83" i="6"/>
  <c r="D83" i="6" s="1"/>
  <c r="C78" i="6"/>
  <c r="D78" i="6" s="1"/>
  <c r="C71" i="6"/>
  <c r="D71" i="6" s="1"/>
  <c r="C64" i="6"/>
  <c r="D64" i="6" s="1"/>
  <c r="C62" i="6"/>
  <c r="D62" i="6" s="1"/>
  <c r="C44" i="6"/>
  <c r="D44" i="6" s="1"/>
  <c r="C57" i="6"/>
  <c r="D57" i="6" s="1"/>
  <c r="C88" i="6"/>
  <c r="D88" i="6" s="1"/>
  <c r="C76" i="6"/>
  <c r="D76" i="6" s="1"/>
  <c r="C87" i="6"/>
  <c r="D87" i="6" s="1"/>
  <c r="C75" i="6"/>
  <c r="D75" i="6" s="1"/>
  <c r="C38" i="6"/>
  <c r="D38" i="6" s="1"/>
  <c r="C66" i="6"/>
  <c r="D66" i="6" s="1"/>
  <c r="C51" i="6"/>
  <c r="D51" i="6" s="1"/>
  <c r="C33" i="6"/>
  <c r="D33" i="6" s="1"/>
  <c r="C84" i="6"/>
  <c r="D84" i="6" s="1"/>
  <c r="C72" i="6"/>
  <c r="D72" i="6" s="1"/>
  <c r="C82" i="6"/>
  <c r="D82" i="6" s="1"/>
  <c r="C42" i="6"/>
  <c r="D42" i="6" s="1"/>
  <c r="C70" i="6"/>
  <c r="D70" i="6" s="1"/>
  <c r="C68" i="6"/>
  <c r="D68" i="6" s="1"/>
  <c r="B92" i="6"/>
  <c r="B90" i="6"/>
  <c r="B88" i="6"/>
  <c r="B86" i="6"/>
  <c r="B84" i="6"/>
  <c r="B82" i="6"/>
  <c r="B80" i="6"/>
  <c r="B78" i="6"/>
  <c r="B76" i="6"/>
  <c r="B74" i="6"/>
  <c r="B72" i="6"/>
  <c r="B70" i="6"/>
  <c r="B63" i="6"/>
  <c r="B51" i="6"/>
  <c r="B39" i="6"/>
  <c r="B58" i="6"/>
  <c r="B46" i="6"/>
  <c r="B34" i="6"/>
  <c r="B65" i="6"/>
  <c r="B53" i="6"/>
  <c r="B41" i="6"/>
  <c r="B29" i="6"/>
  <c r="B60" i="6"/>
  <c r="B48" i="6"/>
  <c r="B36" i="6"/>
  <c r="B67" i="6"/>
  <c r="B66" i="6"/>
  <c r="B54" i="6"/>
  <c r="B64" i="6"/>
  <c r="B38" i="6"/>
  <c r="B89" i="6"/>
  <c r="B85" i="6"/>
  <c r="B81" i="6"/>
  <c r="B77" i="6"/>
  <c r="B73" i="6"/>
  <c r="B69" i="6"/>
  <c r="B47" i="6"/>
  <c r="B37" i="6"/>
  <c r="B59" i="6"/>
  <c r="B40" i="6"/>
  <c r="B91" i="6"/>
  <c r="B87" i="6"/>
  <c r="B83" i="6"/>
  <c r="B79" i="6"/>
  <c r="B75" i="6"/>
  <c r="B71" i="6"/>
  <c r="B62" i="6"/>
  <c r="B44" i="6"/>
  <c r="B31" i="6"/>
  <c r="B56" i="6"/>
  <c r="B45" i="6"/>
  <c r="B43" i="6"/>
  <c r="B32" i="6"/>
  <c r="B61" i="6"/>
  <c r="B68" i="6"/>
  <c r="B57" i="6"/>
  <c r="B49" i="6"/>
  <c r="B33" i="6"/>
  <c r="B42" i="6"/>
  <c r="B30" i="6"/>
  <c r="B50" i="6"/>
  <c r="B55" i="6"/>
  <c r="B35" i="6"/>
  <c r="B52" i="6"/>
  <c r="P68" i="4"/>
  <c r="Q68" i="4" s="1"/>
  <c r="P66" i="4"/>
  <c r="Q66" i="4" s="1"/>
  <c r="P64" i="4"/>
  <c r="Q64" i="4" s="1"/>
  <c r="P62" i="4"/>
  <c r="Q62" i="4" s="1"/>
  <c r="P60" i="4"/>
  <c r="Q60" i="4" s="1"/>
  <c r="P58" i="4"/>
  <c r="Q58" i="4" s="1"/>
  <c r="P53" i="4"/>
  <c r="Q53" i="4" s="1"/>
  <c r="P67" i="4"/>
  <c r="Q67" i="4" s="1"/>
  <c r="P61" i="4"/>
  <c r="Q61" i="4" s="1"/>
  <c r="P41" i="4"/>
  <c r="Q41" i="4" s="1"/>
  <c r="P12" i="4"/>
  <c r="Q12" i="4" s="1"/>
  <c r="P6" i="4"/>
  <c r="Q6" i="4" s="1"/>
  <c r="P57" i="4"/>
  <c r="Q57" i="4" s="1"/>
  <c r="P46" i="4"/>
  <c r="Q46" i="4" s="1"/>
  <c r="P38" i="4"/>
  <c r="Q38" i="4" s="1"/>
  <c r="P69" i="4"/>
  <c r="Q69" i="4" s="1"/>
  <c r="P63" i="4"/>
  <c r="Q63" i="4" s="1"/>
  <c r="P49" i="4"/>
  <c r="Q49" i="4" s="1"/>
  <c r="P33" i="4"/>
  <c r="Q33" i="4" s="1"/>
  <c r="P31" i="4"/>
  <c r="Q31" i="4" s="1"/>
  <c r="P29" i="4"/>
  <c r="Q29" i="4" s="1"/>
  <c r="P27" i="4"/>
  <c r="Q27" i="4" s="1"/>
  <c r="P25" i="4"/>
  <c r="Q25" i="4" s="1"/>
  <c r="P23" i="4"/>
  <c r="Q23" i="4" s="1"/>
  <c r="P21" i="4"/>
  <c r="Q21" i="4" s="1"/>
  <c r="P19" i="4"/>
  <c r="Q19" i="4" s="1"/>
  <c r="P17" i="4"/>
  <c r="Q17" i="4" s="1"/>
  <c r="P15" i="4"/>
  <c r="Q15" i="4" s="1"/>
  <c r="P11" i="4"/>
  <c r="Q11" i="4" s="1"/>
  <c r="P43" i="4"/>
  <c r="Q43" i="4" s="1"/>
  <c r="P56" i="4"/>
  <c r="Q56" i="4" s="1"/>
  <c r="P52" i="4"/>
  <c r="Q52" i="4" s="1"/>
  <c r="P40" i="4"/>
  <c r="Q40" i="4" s="1"/>
  <c r="P55" i="4"/>
  <c r="Q55" i="4" s="1"/>
  <c r="P42" i="4"/>
  <c r="Q42" i="4" s="1"/>
  <c r="P51" i="4"/>
  <c r="Q51" i="4" s="1"/>
  <c r="P34" i="4"/>
  <c r="Q34" i="4" s="1"/>
  <c r="P32" i="4"/>
  <c r="Q32" i="4" s="1"/>
  <c r="P30" i="4"/>
  <c r="Q30" i="4" s="1"/>
  <c r="P36" i="4"/>
  <c r="Q36" i="4" s="1"/>
  <c r="P45" i="4"/>
  <c r="Q45" i="4" s="1"/>
  <c r="P28" i="4"/>
  <c r="Q28" i="4" s="1"/>
  <c r="P26" i="4"/>
  <c r="Q26" i="4" s="1"/>
  <c r="P24" i="4"/>
  <c r="Q24" i="4" s="1"/>
  <c r="P22" i="4"/>
  <c r="Q22" i="4" s="1"/>
  <c r="P20" i="4"/>
  <c r="Q20" i="4" s="1"/>
  <c r="P18" i="4"/>
  <c r="Q18" i="4" s="1"/>
  <c r="P16" i="4"/>
  <c r="Q16" i="4" s="1"/>
  <c r="P14" i="4"/>
  <c r="Q14" i="4" s="1"/>
  <c r="P54" i="4"/>
  <c r="Q54" i="4" s="1"/>
  <c r="P37" i="4"/>
  <c r="Q37" i="4" s="1"/>
  <c r="P7" i="4"/>
  <c r="Q7" i="4" s="1"/>
  <c r="P50" i="4"/>
  <c r="Q50" i="4" s="1"/>
  <c r="P48" i="4"/>
  <c r="Q48" i="4" s="1"/>
  <c r="P9" i="4"/>
  <c r="Q9" i="4" s="1"/>
  <c r="P65" i="4"/>
  <c r="Q65" i="4" s="1"/>
  <c r="P13" i="4"/>
  <c r="Q13" i="4" s="1"/>
  <c r="P44" i="4"/>
  <c r="Q44" i="4" s="1"/>
  <c r="P59" i="4"/>
  <c r="Q59" i="4" s="1"/>
  <c r="P39" i="4"/>
  <c r="Q39" i="4" s="1"/>
  <c r="P35" i="4"/>
  <c r="Q35" i="4" s="1"/>
  <c r="P8" i="4"/>
  <c r="Q8" i="4" s="1"/>
  <c r="P10" i="4"/>
  <c r="Q10" i="4" s="1"/>
  <c r="P47" i="4"/>
  <c r="Q47" i="4" s="1"/>
  <c r="AK35" i="6"/>
  <c r="AI34" i="6"/>
  <c r="AG33" i="6"/>
  <c r="AE32" i="6"/>
  <c r="AC31" i="6"/>
  <c r="AK29" i="6"/>
  <c r="AI28" i="6"/>
  <c r="AG27" i="6"/>
  <c r="AL36" i="6"/>
  <c r="AJ35" i="6"/>
  <c r="AH34" i="6"/>
  <c r="AF33" i="6"/>
  <c r="AD32" i="6"/>
  <c r="AL30" i="6"/>
  <c r="AJ29" i="6"/>
  <c r="AH28" i="6"/>
  <c r="AF27" i="6"/>
  <c r="AK36" i="6"/>
  <c r="AI35" i="6"/>
  <c r="AG34" i="6"/>
  <c r="AE33" i="6"/>
  <c r="AC32" i="6"/>
  <c r="AK30" i="6"/>
  <c r="AI29" i="6"/>
  <c r="AG28" i="6"/>
  <c r="AI36" i="6"/>
  <c r="AD35" i="6"/>
  <c r="AI33" i="6"/>
  <c r="AK31" i="6"/>
  <c r="AF30" i="6"/>
  <c r="AK28" i="6"/>
  <c r="AD27" i="6"/>
  <c r="AH36" i="6"/>
  <c r="AC35" i="6"/>
  <c r="AH33" i="6"/>
  <c r="AJ31" i="6"/>
  <c r="AE30" i="6"/>
  <c r="AJ28" i="6"/>
  <c r="AG36" i="6"/>
  <c r="AL34" i="6"/>
  <c r="AD33" i="6"/>
  <c r="AI31" i="6"/>
  <c r="AD30" i="6"/>
  <c r="AF28" i="6"/>
  <c r="AC27" i="6"/>
  <c r="AJ34" i="6"/>
  <c r="AI32" i="6"/>
  <c r="AH30" i="6"/>
  <c r="AD28" i="6"/>
  <c r="AJ36" i="6"/>
  <c r="AF34" i="6"/>
  <c r="AH32" i="6"/>
  <c r="AG30" i="6"/>
  <c r="AC28" i="6"/>
  <c r="AF36" i="6"/>
  <c r="AE34" i="6"/>
  <c r="AG32" i="6"/>
  <c r="AC30" i="6"/>
  <c r="AL27" i="6"/>
  <c r="AH35" i="6"/>
  <c r="AJ33" i="6"/>
  <c r="AF31" i="6"/>
  <c r="AE29" i="6"/>
  <c r="AE27" i="6"/>
  <c r="AD36" i="6"/>
  <c r="AL32" i="6"/>
  <c r="AH29" i="6"/>
  <c r="AC36" i="6"/>
  <c r="AK32" i="6"/>
  <c r="AG29" i="6"/>
  <c r="AL35" i="6"/>
  <c r="AJ32" i="6"/>
  <c r="AF29" i="6"/>
  <c r="AG35" i="6"/>
  <c r="AF32" i="6"/>
  <c r="AD29" i="6"/>
  <c r="AF35" i="6"/>
  <c r="AL31" i="6"/>
  <c r="AC29" i="6"/>
  <c r="AE35" i="6"/>
  <c r="AH31" i="6"/>
  <c r="AL28" i="6"/>
  <c r="AC34" i="6"/>
  <c r="AD31" i="6"/>
  <c r="AJ27" i="6"/>
  <c r="AE36" i="6"/>
  <c r="AK27" i="6"/>
  <c r="AK34" i="6"/>
  <c r="AI27" i="6"/>
  <c r="AD34" i="6"/>
  <c r="AH27" i="6"/>
  <c r="AL33" i="6"/>
  <c r="AK33" i="6"/>
  <c r="AC33" i="6"/>
  <c r="AG31" i="6"/>
  <c r="AJ30" i="6"/>
  <c r="AE31" i="6"/>
  <c r="AI30" i="6"/>
  <c r="AL29" i="6"/>
  <c r="AE28" i="6"/>
  <c r="P68" i="5"/>
  <c r="Q68" i="5" s="1"/>
  <c r="P66" i="5"/>
  <c r="Q66" i="5" s="1"/>
  <c r="P64" i="5"/>
  <c r="Q64" i="5" s="1"/>
  <c r="P62" i="5"/>
  <c r="Q62" i="5" s="1"/>
  <c r="P60" i="5"/>
  <c r="Q60" i="5" s="1"/>
  <c r="P58" i="5"/>
  <c r="Q58" i="5" s="1"/>
  <c r="P56" i="5"/>
  <c r="Q56" i="5" s="1"/>
  <c r="P54" i="5"/>
  <c r="Q54" i="5" s="1"/>
  <c r="P52" i="5"/>
  <c r="Q52" i="5" s="1"/>
  <c r="P50" i="5"/>
  <c r="Q50" i="5" s="1"/>
  <c r="P48" i="5"/>
  <c r="Q48" i="5" s="1"/>
  <c r="P46" i="5"/>
  <c r="Q46" i="5" s="1"/>
  <c r="P44" i="5"/>
  <c r="Q44" i="5" s="1"/>
  <c r="P42" i="5"/>
  <c r="Q42" i="5" s="1"/>
  <c r="P40" i="5"/>
  <c r="Q40" i="5" s="1"/>
  <c r="P38" i="5"/>
  <c r="Q38" i="5" s="1"/>
  <c r="P36" i="5"/>
  <c r="Q36" i="5" s="1"/>
  <c r="P34" i="5"/>
  <c r="Q34" i="5" s="1"/>
  <c r="P69" i="5"/>
  <c r="Q69" i="5" s="1"/>
  <c r="P67" i="5"/>
  <c r="Q67" i="5" s="1"/>
  <c r="P65" i="5"/>
  <c r="Q65" i="5" s="1"/>
  <c r="P63" i="5"/>
  <c r="Q63" i="5" s="1"/>
  <c r="P61" i="5"/>
  <c r="Q61" i="5" s="1"/>
  <c r="P59" i="5"/>
  <c r="Q59" i="5" s="1"/>
  <c r="P57" i="5"/>
  <c r="Q57" i="5" s="1"/>
  <c r="P55" i="5"/>
  <c r="Q55" i="5" s="1"/>
  <c r="P53" i="5"/>
  <c r="Q53" i="5" s="1"/>
  <c r="P51" i="5"/>
  <c r="Q51" i="5" s="1"/>
  <c r="P47" i="5"/>
  <c r="Q47" i="5" s="1"/>
  <c r="P43" i="5"/>
  <c r="Q43" i="5" s="1"/>
  <c r="P39" i="5"/>
  <c r="Q39" i="5" s="1"/>
  <c r="P35" i="5"/>
  <c r="Q35" i="5" s="1"/>
  <c r="P32" i="5"/>
  <c r="Q32" i="5" s="1"/>
  <c r="P24" i="5"/>
  <c r="Q24" i="5" s="1"/>
  <c r="P16" i="5"/>
  <c r="Q16" i="5" s="1"/>
  <c r="P33" i="5"/>
  <c r="Q33" i="5" s="1"/>
  <c r="P25" i="5"/>
  <c r="Q25" i="5" s="1"/>
  <c r="P17" i="5"/>
  <c r="Q17" i="5" s="1"/>
  <c r="P7" i="5"/>
  <c r="Q7" i="5" s="1"/>
  <c r="P6" i="5"/>
  <c r="Q6" i="5" s="1"/>
  <c r="P31" i="5"/>
  <c r="Q31" i="5" s="1"/>
  <c r="P29" i="5"/>
  <c r="Q29" i="5" s="1"/>
  <c r="P13" i="5"/>
  <c r="Q13" i="5" s="1"/>
  <c r="P11" i="5"/>
  <c r="Q11" i="5" s="1"/>
  <c r="P9" i="5"/>
  <c r="Q9" i="5" s="1"/>
  <c r="P30" i="5"/>
  <c r="Q30" i="5" s="1"/>
  <c r="P41" i="5"/>
  <c r="Q41" i="5" s="1"/>
  <c r="P28" i="5"/>
  <c r="Q28" i="5" s="1"/>
  <c r="P27" i="5"/>
  <c r="Q27" i="5" s="1"/>
  <c r="P26" i="5"/>
  <c r="Q26" i="5" s="1"/>
  <c r="P20" i="5"/>
  <c r="Q20" i="5" s="1"/>
  <c r="P49" i="5"/>
  <c r="Q49" i="5" s="1"/>
  <c r="P12" i="5"/>
  <c r="Q12" i="5" s="1"/>
  <c r="P10" i="5"/>
  <c r="Q10" i="5" s="1"/>
  <c r="P8" i="5"/>
  <c r="Q8" i="5" s="1"/>
  <c r="P21" i="5"/>
  <c r="Q21" i="5" s="1"/>
  <c r="P14" i="5"/>
  <c r="Q14" i="5" s="1"/>
  <c r="P45" i="5"/>
  <c r="Q45" i="5" s="1"/>
  <c r="P18" i="5"/>
  <c r="Q18" i="5" s="1"/>
  <c r="P15" i="5"/>
  <c r="Q15" i="5" s="1"/>
  <c r="P22" i="5"/>
  <c r="Q22" i="5" s="1"/>
  <c r="P19" i="5"/>
  <c r="Q19" i="5" s="1"/>
  <c r="P37" i="5"/>
  <c r="Q37" i="5" s="1"/>
  <c r="P23" i="5"/>
  <c r="Q23" i="5" s="1"/>
  <c r="AM27" i="6"/>
  <c r="AM36" i="6"/>
  <c r="AM28" i="6"/>
  <c r="AM33" i="6"/>
  <c r="AM35" i="6"/>
  <c r="AM31" i="6"/>
  <c r="AM34" i="6"/>
  <c r="AM32" i="6"/>
  <c r="AM30" i="6"/>
  <c r="AM29" i="6"/>
  <c r="D76" i="5" l="1"/>
  <c r="E6" i="5" s="1"/>
  <c r="D84" i="5"/>
  <c r="E14" i="5" s="1"/>
  <c r="D81" i="5"/>
  <c r="E11" i="5" s="1"/>
  <c r="D78" i="5"/>
  <c r="E8" i="5" s="1"/>
  <c r="D82" i="5"/>
  <c r="E12" i="5" s="1"/>
  <c r="D75" i="5"/>
  <c r="E5" i="5" s="1"/>
  <c r="D77" i="5"/>
  <c r="E7" i="5" s="1"/>
  <c r="D80" i="5"/>
  <c r="E10" i="5" s="1"/>
  <c r="D83" i="5"/>
  <c r="E13" i="5" s="1"/>
  <c r="D79" i="5"/>
  <c r="E9" i="5" s="1"/>
  <c r="E93" i="5"/>
  <c r="B96" i="6"/>
  <c r="B5" i="7" s="1"/>
  <c r="B95" i="6"/>
  <c r="B4" i="7" s="1"/>
  <c r="D78" i="4"/>
  <c r="E8" i="4" s="1"/>
  <c r="D75" i="4"/>
  <c r="E5" i="4" s="1"/>
  <c r="D84" i="4"/>
  <c r="E14" i="4" s="1"/>
  <c r="D81" i="4"/>
  <c r="E11" i="4" s="1"/>
  <c r="D77" i="4"/>
  <c r="E7" i="4" s="1"/>
  <c r="D82" i="4"/>
  <c r="E12" i="4" s="1"/>
  <c r="D79" i="4"/>
  <c r="E9" i="4" s="1"/>
  <c r="E93" i="4"/>
  <c r="D80" i="4"/>
  <c r="E10" i="4" s="1"/>
  <c r="D76" i="4"/>
  <c r="E6" i="4" s="1"/>
  <c r="D83" i="4"/>
  <c r="E13" i="4" s="1"/>
  <c r="F60" i="6"/>
  <c r="G60" i="6" s="1"/>
  <c r="F48" i="6"/>
  <c r="G48" i="6" s="1"/>
  <c r="F36" i="6"/>
  <c r="G36" i="6" s="1"/>
  <c r="F67" i="6"/>
  <c r="G67" i="6" s="1"/>
  <c r="F55" i="6"/>
  <c r="G55" i="6" s="1"/>
  <c r="F43" i="6"/>
  <c r="G43" i="6" s="1"/>
  <c r="F31" i="6"/>
  <c r="G31" i="6" s="1"/>
  <c r="F62" i="6"/>
  <c r="G62" i="6" s="1"/>
  <c r="F50" i="6"/>
  <c r="G50" i="6" s="1"/>
  <c r="F38" i="6"/>
  <c r="G38" i="6" s="1"/>
  <c r="F91" i="6"/>
  <c r="G91" i="6" s="1"/>
  <c r="F89" i="6"/>
  <c r="G89" i="6" s="1"/>
  <c r="F87" i="6"/>
  <c r="G87" i="6" s="1"/>
  <c r="F85" i="6"/>
  <c r="G85" i="6" s="1"/>
  <c r="F83" i="6"/>
  <c r="G83" i="6" s="1"/>
  <c r="F81" i="6"/>
  <c r="G81" i="6" s="1"/>
  <c r="F79" i="6"/>
  <c r="G79" i="6" s="1"/>
  <c r="F77" i="6"/>
  <c r="G77" i="6" s="1"/>
  <c r="F75" i="6"/>
  <c r="G75" i="6" s="1"/>
  <c r="F73" i="6"/>
  <c r="G73" i="6" s="1"/>
  <c r="F71" i="6"/>
  <c r="G71" i="6" s="1"/>
  <c r="F69" i="6"/>
  <c r="G69" i="6" s="1"/>
  <c r="F57" i="6"/>
  <c r="G57" i="6" s="1"/>
  <c r="F45" i="6"/>
  <c r="G45" i="6" s="1"/>
  <c r="F33" i="6"/>
  <c r="G33" i="6" s="1"/>
  <c r="F92" i="6"/>
  <c r="G92" i="6" s="1"/>
  <c r="F90" i="6"/>
  <c r="G90" i="6" s="1"/>
  <c r="F88" i="6"/>
  <c r="G88" i="6" s="1"/>
  <c r="F86" i="6"/>
  <c r="G86" i="6" s="1"/>
  <c r="F84" i="6"/>
  <c r="G84" i="6" s="1"/>
  <c r="F82" i="6"/>
  <c r="G82" i="6" s="1"/>
  <c r="F80" i="6"/>
  <c r="G80" i="6" s="1"/>
  <c r="F78" i="6"/>
  <c r="G78" i="6" s="1"/>
  <c r="F76" i="6"/>
  <c r="G76" i="6" s="1"/>
  <c r="F74" i="6"/>
  <c r="G74" i="6" s="1"/>
  <c r="F72" i="6"/>
  <c r="G72" i="6" s="1"/>
  <c r="F70" i="6"/>
  <c r="G70" i="6" s="1"/>
  <c r="F63" i="6"/>
  <c r="G63" i="6" s="1"/>
  <c r="F51" i="6"/>
  <c r="G51" i="6" s="1"/>
  <c r="F53" i="6"/>
  <c r="G53" i="6" s="1"/>
  <c r="F39" i="6"/>
  <c r="G39" i="6" s="1"/>
  <c r="F65" i="6"/>
  <c r="G65" i="6" s="1"/>
  <c r="F54" i="6"/>
  <c r="G54" i="6" s="1"/>
  <c r="F42" i="6"/>
  <c r="G42" i="6" s="1"/>
  <c r="F66" i="6"/>
  <c r="G66" i="6" s="1"/>
  <c r="F41" i="6"/>
  <c r="G41" i="6" s="1"/>
  <c r="F32" i="6"/>
  <c r="G32" i="6" s="1"/>
  <c r="F52" i="6"/>
  <c r="G52" i="6" s="1"/>
  <c r="F35" i="6"/>
  <c r="G35" i="6" s="1"/>
  <c r="F61" i="6"/>
  <c r="G61" i="6" s="1"/>
  <c r="F30" i="6"/>
  <c r="G30" i="6" s="1"/>
  <c r="F34" i="6"/>
  <c r="G34" i="6" s="1"/>
  <c r="F46" i="6"/>
  <c r="G46" i="6" s="1"/>
  <c r="F29" i="6"/>
  <c r="G29" i="6" s="1"/>
  <c r="F59" i="6"/>
  <c r="G59" i="6" s="1"/>
  <c r="F44" i="6"/>
  <c r="G44" i="6" s="1"/>
  <c r="F64" i="6"/>
  <c r="G64" i="6" s="1"/>
  <c r="F56" i="6"/>
  <c r="G56" i="6" s="1"/>
  <c r="F37" i="6"/>
  <c r="G37" i="6" s="1"/>
  <c r="F49" i="6"/>
  <c r="G49" i="6" s="1"/>
  <c r="F47" i="6"/>
  <c r="G47" i="6" s="1"/>
  <c r="F68" i="6"/>
  <c r="G68" i="6" s="1"/>
  <c r="F40" i="6"/>
  <c r="G40" i="6" s="1"/>
  <c r="F58" i="6"/>
  <c r="G58" i="6" s="1"/>
  <c r="B97" i="6" l="1"/>
  <c r="B6" i="7" s="1"/>
  <c r="R29" i="5"/>
  <c r="S29" i="5" s="1"/>
  <c r="R21" i="5"/>
  <c r="S21" i="5" s="1"/>
  <c r="R50" i="5"/>
  <c r="S50" i="5" s="1"/>
  <c r="R46" i="5"/>
  <c r="S46" i="5" s="1"/>
  <c r="R42" i="5"/>
  <c r="S42" i="5" s="1"/>
  <c r="R38" i="5"/>
  <c r="S38" i="5" s="1"/>
  <c r="R34" i="5"/>
  <c r="S34" i="5" s="1"/>
  <c r="R30" i="5"/>
  <c r="S30" i="5" s="1"/>
  <c r="R22" i="5"/>
  <c r="S22" i="5" s="1"/>
  <c r="R14" i="5"/>
  <c r="S14" i="5" s="1"/>
  <c r="R13" i="5"/>
  <c r="S13" i="5" s="1"/>
  <c r="R68" i="5"/>
  <c r="S68" i="5" s="1"/>
  <c r="R61" i="5"/>
  <c r="S61" i="5" s="1"/>
  <c r="R55" i="5"/>
  <c r="S55" i="5" s="1"/>
  <c r="R41" i="5"/>
  <c r="S41" i="5" s="1"/>
  <c r="R28" i="5"/>
  <c r="S28" i="5" s="1"/>
  <c r="R27" i="5"/>
  <c r="S27" i="5" s="1"/>
  <c r="R26" i="5"/>
  <c r="S26" i="5" s="1"/>
  <c r="R58" i="5"/>
  <c r="S58" i="5" s="1"/>
  <c r="R52" i="5"/>
  <c r="S52" i="5" s="1"/>
  <c r="R47" i="5"/>
  <c r="S47" i="5" s="1"/>
  <c r="R35" i="5"/>
  <c r="S35" i="5" s="1"/>
  <c r="R25" i="5"/>
  <c r="S25" i="5" s="1"/>
  <c r="R23" i="5"/>
  <c r="S23" i="5" s="1"/>
  <c r="R66" i="5"/>
  <c r="S66" i="5" s="1"/>
  <c r="R24" i="5"/>
  <c r="S24" i="5" s="1"/>
  <c r="R69" i="5"/>
  <c r="S69" i="5" s="1"/>
  <c r="R64" i="5"/>
  <c r="S64" i="5" s="1"/>
  <c r="R59" i="5"/>
  <c r="S59" i="5" s="1"/>
  <c r="R53" i="5"/>
  <c r="S53" i="5" s="1"/>
  <c r="R65" i="5"/>
  <c r="S65" i="5" s="1"/>
  <c r="R57" i="5"/>
  <c r="S57" i="5" s="1"/>
  <c r="R45" i="5"/>
  <c r="S45" i="5" s="1"/>
  <c r="R56" i="5"/>
  <c r="S56" i="5" s="1"/>
  <c r="R51" i="5"/>
  <c r="S51" i="5" s="1"/>
  <c r="R33" i="5"/>
  <c r="S33" i="5" s="1"/>
  <c r="R12" i="5"/>
  <c r="S12" i="5" s="1"/>
  <c r="R10" i="5"/>
  <c r="S10" i="5" s="1"/>
  <c r="R8" i="5"/>
  <c r="S8" i="5" s="1"/>
  <c r="R67" i="5"/>
  <c r="S67" i="5" s="1"/>
  <c r="R40" i="5"/>
  <c r="S40" i="5" s="1"/>
  <c r="R11" i="5"/>
  <c r="S11" i="5" s="1"/>
  <c r="R9" i="5"/>
  <c r="S9" i="5" s="1"/>
  <c r="R7" i="5"/>
  <c r="S7" i="5" s="1"/>
  <c r="R36" i="5"/>
  <c r="S36" i="5" s="1"/>
  <c r="R18" i="5"/>
  <c r="S18" i="5" s="1"/>
  <c r="R15" i="5"/>
  <c r="S15" i="5" s="1"/>
  <c r="R43" i="5"/>
  <c r="S43" i="5" s="1"/>
  <c r="R31" i="5"/>
  <c r="S31" i="5" s="1"/>
  <c r="R63" i="5"/>
  <c r="S63" i="5" s="1"/>
  <c r="R60" i="5"/>
  <c r="S60" i="5" s="1"/>
  <c r="R48" i="5"/>
  <c r="S48" i="5" s="1"/>
  <c r="R19" i="5"/>
  <c r="S19" i="5" s="1"/>
  <c r="R39" i="5"/>
  <c r="S39" i="5" s="1"/>
  <c r="R37" i="5"/>
  <c r="S37" i="5" s="1"/>
  <c r="R16" i="5"/>
  <c r="S16" i="5" s="1"/>
  <c r="R62" i="5"/>
  <c r="S62" i="5" s="1"/>
  <c r="R32" i="5"/>
  <c r="S32" i="5" s="1"/>
  <c r="R44" i="5"/>
  <c r="S44" i="5" s="1"/>
  <c r="R54" i="5"/>
  <c r="S54" i="5" s="1"/>
  <c r="R20" i="5"/>
  <c r="S20" i="5" s="1"/>
  <c r="R49" i="5"/>
  <c r="S49" i="5" s="1"/>
  <c r="R6" i="5"/>
  <c r="S6" i="5" s="1"/>
  <c r="R17" i="5"/>
  <c r="S17" i="5" s="1"/>
  <c r="R67" i="4"/>
  <c r="S67" i="4" s="1"/>
  <c r="R50" i="4"/>
  <c r="S50" i="4" s="1"/>
  <c r="R66" i="4"/>
  <c r="S66" i="4" s="1"/>
  <c r="R69" i="4"/>
  <c r="S69" i="4" s="1"/>
  <c r="R63" i="4"/>
  <c r="S63" i="4" s="1"/>
  <c r="R53" i="4"/>
  <c r="S53" i="4" s="1"/>
  <c r="R49" i="4"/>
  <c r="S49" i="4" s="1"/>
  <c r="R46" i="4"/>
  <c r="S46" i="4" s="1"/>
  <c r="R38" i="4"/>
  <c r="S38" i="4" s="1"/>
  <c r="R33" i="4"/>
  <c r="S33" i="4" s="1"/>
  <c r="R31" i="4"/>
  <c r="S31" i="4" s="1"/>
  <c r="R29" i="4"/>
  <c r="S29" i="4" s="1"/>
  <c r="R27" i="4"/>
  <c r="S27" i="4" s="1"/>
  <c r="R25" i="4"/>
  <c r="S25" i="4" s="1"/>
  <c r="R23" i="4"/>
  <c r="S23" i="4" s="1"/>
  <c r="R21" i="4"/>
  <c r="S21" i="4" s="1"/>
  <c r="R19" i="4"/>
  <c r="S19" i="4" s="1"/>
  <c r="R17" i="4"/>
  <c r="S17" i="4" s="1"/>
  <c r="R15" i="4"/>
  <c r="S15" i="4" s="1"/>
  <c r="R11" i="4"/>
  <c r="S11" i="4" s="1"/>
  <c r="R43" i="4"/>
  <c r="S43" i="4" s="1"/>
  <c r="R35" i="4"/>
  <c r="S35" i="4" s="1"/>
  <c r="R64" i="4"/>
  <c r="S64" i="4" s="1"/>
  <c r="R10" i="4"/>
  <c r="S10" i="4" s="1"/>
  <c r="R65" i="4"/>
  <c r="S65" i="4" s="1"/>
  <c r="R56" i="4"/>
  <c r="S56" i="4" s="1"/>
  <c r="R52" i="4"/>
  <c r="S52" i="4" s="1"/>
  <c r="R48" i="4"/>
  <c r="S48" i="4" s="1"/>
  <c r="R45" i="4"/>
  <c r="S45" i="4" s="1"/>
  <c r="R47" i="4"/>
  <c r="S47" i="4" s="1"/>
  <c r="R39" i="4"/>
  <c r="S39" i="4" s="1"/>
  <c r="R40" i="4"/>
  <c r="S40" i="4" s="1"/>
  <c r="R28" i="4"/>
  <c r="S28" i="4" s="1"/>
  <c r="R26" i="4"/>
  <c r="S26" i="4" s="1"/>
  <c r="R24" i="4"/>
  <c r="S24" i="4" s="1"/>
  <c r="R22" i="4"/>
  <c r="S22" i="4" s="1"/>
  <c r="R20" i="4"/>
  <c r="S20" i="4" s="1"/>
  <c r="R18" i="4"/>
  <c r="S18" i="4" s="1"/>
  <c r="R16" i="4"/>
  <c r="S16" i="4" s="1"/>
  <c r="R14" i="4"/>
  <c r="S14" i="4" s="1"/>
  <c r="R37" i="4"/>
  <c r="S37" i="4" s="1"/>
  <c r="R30" i="4"/>
  <c r="S30" i="4" s="1"/>
  <c r="R7" i="4"/>
  <c r="S7" i="4" s="1"/>
  <c r="R58" i="4"/>
  <c r="S58" i="4" s="1"/>
  <c r="R54" i="4"/>
  <c r="S54" i="4" s="1"/>
  <c r="R9" i="4"/>
  <c r="S9" i="4" s="1"/>
  <c r="R60" i="4"/>
  <c r="S60" i="4" s="1"/>
  <c r="R41" i="4"/>
  <c r="S41" i="4" s="1"/>
  <c r="R32" i="4"/>
  <c r="S32" i="4" s="1"/>
  <c r="R13" i="4"/>
  <c r="S13" i="4" s="1"/>
  <c r="R68" i="4"/>
  <c r="S68" i="4" s="1"/>
  <c r="R62" i="4"/>
  <c r="S62" i="4" s="1"/>
  <c r="R55" i="4"/>
  <c r="S55" i="4" s="1"/>
  <c r="R44" i="4"/>
  <c r="S44" i="4" s="1"/>
  <c r="R34" i="4"/>
  <c r="S34" i="4" s="1"/>
  <c r="R6" i="4"/>
  <c r="S6" i="4" s="1"/>
  <c r="R59" i="4"/>
  <c r="S59" i="4" s="1"/>
  <c r="R57" i="4"/>
  <c r="S57" i="4" s="1"/>
  <c r="R8" i="4"/>
  <c r="S8" i="4" s="1"/>
  <c r="R51" i="4"/>
  <c r="S51" i="4" s="1"/>
  <c r="R42" i="4"/>
  <c r="S42" i="4" s="1"/>
  <c r="R61" i="4"/>
  <c r="S61" i="4" s="1"/>
  <c r="R36" i="4"/>
  <c r="S36" i="4" s="1"/>
  <c r="R12" i="4"/>
  <c r="S12" i="4" s="1"/>
  <c r="E75" i="4" l="1"/>
  <c r="F5" i="4" s="1"/>
  <c r="E84" i="4"/>
  <c r="F14" i="4" s="1"/>
  <c r="E80" i="4"/>
  <c r="F10" i="4" s="1"/>
  <c r="E77" i="4"/>
  <c r="F7" i="4" s="1"/>
  <c r="E76" i="4"/>
  <c r="F6" i="4" s="1"/>
  <c r="E79" i="4"/>
  <c r="F9" i="4" s="1"/>
  <c r="E83" i="4"/>
  <c r="F13" i="4" s="1"/>
  <c r="E94" i="4"/>
  <c r="E82" i="4"/>
  <c r="F12" i="4" s="1"/>
  <c r="E78" i="4"/>
  <c r="F8" i="4" s="1"/>
  <c r="E81" i="4"/>
  <c r="F11" i="4" s="1"/>
  <c r="E84" i="5"/>
  <c r="F14" i="5" s="1"/>
  <c r="E75" i="5"/>
  <c r="F5" i="5" s="1"/>
  <c r="E82" i="5"/>
  <c r="F12" i="5" s="1"/>
  <c r="E80" i="5"/>
  <c r="F10" i="5" s="1"/>
  <c r="E81" i="5"/>
  <c r="F11" i="5" s="1"/>
  <c r="E78" i="5"/>
  <c r="F8" i="5" s="1"/>
  <c r="E77" i="5"/>
  <c r="F7" i="5" s="1"/>
  <c r="E94" i="5"/>
  <c r="E79" i="5"/>
  <c r="F9" i="5" s="1"/>
  <c r="E83" i="5"/>
  <c r="F13" i="5" s="1"/>
  <c r="E76" i="5"/>
  <c r="F6" i="5" s="1"/>
  <c r="T69" i="5" l="1"/>
  <c r="U69" i="5" s="1"/>
  <c r="T67" i="5"/>
  <c r="U67" i="5" s="1"/>
  <c r="T65" i="5"/>
  <c r="U65" i="5" s="1"/>
  <c r="T63" i="5"/>
  <c r="U63" i="5" s="1"/>
  <c r="T61" i="5"/>
  <c r="U61" i="5" s="1"/>
  <c r="T59" i="5"/>
  <c r="U59" i="5" s="1"/>
  <c r="T57" i="5"/>
  <c r="U57" i="5" s="1"/>
  <c r="T55" i="5"/>
  <c r="U55" i="5" s="1"/>
  <c r="T53" i="5"/>
  <c r="U53" i="5" s="1"/>
  <c r="T68" i="5"/>
  <c r="U68" i="5" s="1"/>
  <c r="T66" i="5"/>
  <c r="U66" i="5" s="1"/>
  <c r="T64" i="5"/>
  <c r="U64" i="5" s="1"/>
  <c r="T62" i="5"/>
  <c r="U62" i="5" s="1"/>
  <c r="T60" i="5"/>
  <c r="U60" i="5" s="1"/>
  <c r="T58" i="5"/>
  <c r="U58" i="5" s="1"/>
  <c r="T56" i="5"/>
  <c r="U56" i="5" s="1"/>
  <c r="T54" i="5"/>
  <c r="U54" i="5" s="1"/>
  <c r="T52" i="5"/>
  <c r="U52" i="5" s="1"/>
  <c r="T26" i="5"/>
  <c r="U26" i="5" s="1"/>
  <c r="T18" i="5"/>
  <c r="U18" i="5" s="1"/>
  <c r="T50" i="5"/>
  <c r="U50" i="5" s="1"/>
  <c r="T46" i="5"/>
  <c r="U46" i="5" s="1"/>
  <c r="T42" i="5"/>
  <c r="U42" i="5" s="1"/>
  <c r="T38" i="5"/>
  <c r="U38" i="5" s="1"/>
  <c r="T34" i="5"/>
  <c r="U34" i="5" s="1"/>
  <c r="T31" i="5"/>
  <c r="U31" i="5" s="1"/>
  <c r="T23" i="5"/>
  <c r="U23" i="5" s="1"/>
  <c r="T15" i="5"/>
  <c r="U15" i="5" s="1"/>
  <c r="T49" i="5"/>
  <c r="U49" i="5" s="1"/>
  <c r="T45" i="5"/>
  <c r="U45" i="5" s="1"/>
  <c r="T41" i="5"/>
  <c r="U41" i="5" s="1"/>
  <c r="T37" i="5"/>
  <c r="U37" i="5" s="1"/>
  <c r="T24" i="5"/>
  <c r="U24" i="5" s="1"/>
  <c r="T22" i="5"/>
  <c r="U22" i="5" s="1"/>
  <c r="T21" i="5"/>
  <c r="U21" i="5" s="1"/>
  <c r="T20" i="5"/>
  <c r="U20" i="5" s="1"/>
  <c r="T48" i="5"/>
  <c r="U48" i="5" s="1"/>
  <c r="T36" i="5"/>
  <c r="U36" i="5" s="1"/>
  <c r="T19" i="5"/>
  <c r="U19" i="5" s="1"/>
  <c r="T17" i="5"/>
  <c r="U17" i="5" s="1"/>
  <c r="T33" i="5"/>
  <c r="U33" i="5" s="1"/>
  <c r="T40" i="5"/>
  <c r="U40" i="5" s="1"/>
  <c r="T30" i="5"/>
  <c r="U30" i="5" s="1"/>
  <c r="T13" i="5"/>
  <c r="U13" i="5" s="1"/>
  <c r="T47" i="5"/>
  <c r="U47" i="5" s="1"/>
  <c r="T27" i="5"/>
  <c r="U27" i="5" s="1"/>
  <c r="T43" i="5"/>
  <c r="U43" i="5" s="1"/>
  <c r="T28" i="5"/>
  <c r="U28" i="5" s="1"/>
  <c r="T25" i="5"/>
  <c r="U25" i="5" s="1"/>
  <c r="T39" i="5"/>
  <c r="U39" i="5" s="1"/>
  <c r="T16" i="5"/>
  <c r="U16" i="5" s="1"/>
  <c r="T32" i="5"/>
  <c r="U32" i="5" s="1"/>
  <c r="T29" i="5"/>
  <c r="U29" i="5" s="1"/>
  <c r="T44" i="5"/>
  <c r="U44" i="5" s="1"/>
  <c r="T35" i="5"/>
  <c r="U35" i="5" s="1"/>
  <c r="T9" i="5"/>
  <c r="U9" i="5" s="1"/>
  <c r="T8" i="5"/>
  <c r="U8" i="5" s="1"/>
  <c r="T14" i="5"/>
  <c r="U14" i="5" s="1"/>
  <c r="T51" i="5"/>
  <c r="U51" i="5" s="1"/>
  <c r="T7" i="5"/>
  <c r="U7" i="5" s="1"/>
  <c r="T6" i="5"/>
  <c r="U6" i="5" s="1"/>
  <c r="T12" i="5"/>
  <c r="U12" i="5" s="1"/>
  <c r="T11" i="5"/>
  <c r="U11" i="5" s="1"/>
  <c r="T10" i="5"/>
  <c r="U10" i="5" s="1"/>
  <c r="T66" i="4"/>
  <c r="U66" i="4" s="1"/>
  <c r="T65" i="4"/>
  <c r="U65" i="4" s="1"/>
  <c r="T58" i="4"/>
  <c r="U58" i="4" s="1"/>
  <c r="T64" i="4"/>
  <c r="U64" i="4" s="1"/>
  <c r="T10" i="4"/>
  <c r="U10" i="4" s="1"/>
  <c r="T56" i="4"/>
  <c r="U56" i="4" s="1"/>
  <c r="T52" i="4"/>
  <c r="U52" i="4" s="1"/>
  <c r="T40" i="4"/>
  <c r="U40" i="4" s="1"/>
  <c r="T48" i="4"/>
  <c r="U48" i="4" s="1"/>
  <c r="T45" i="4"/>
  <c r="U45" i="4" s="1"/>
  <c r="T37" i="4"/>
  <c r="U37" i="4" s="1"/>
  <c r="T9" i="4"/>
  <c r="U9" i="4" s="1"/>
  <c r="T55" i="4"/>
  <c r="U55" i="4" s="1"/>
  <c r="T51" i="4"/>
  <c r="U51" i="4" s="1"/>
  <c r="T42" i="4"/>
  <c r="U42" i="4" s="1"/>
  <c r="T67" i="4"/>
  <c r="U67" i="4" s="1"/>
  <c r="T59" i="4"/>
  <c r="U59" i="4" s="1"/>
  <c r="T54" i="4"/>
  <c r="U54" i="4" s="1"/>
  <c r="T44" i="4"/>
  <c r="U44" i="4" s="1"/>
  <c r="T36" i="4"/>
  <c r="U36" i="4" s="1"/>
  <c r="T61" i="4"/>
  <c r="U61" i="4" s="1"/>
  <c r="T60" i="4"/>
  <c r="U60" i="4" s="1"/>
  <c r="T50" i="4"/>
  <c r="U50" i="4" s="1"/>
  <c r="T41" i="4"/>
  <c r="U41" i="4" s="1"/>
  <c r="T69" i="4"/>
  <c r="U69" i="4" s="1"/>
  <c r="T7" i="4"/>
  <c r="U7" i="4" s="1"/>
  <c r="T63" i="4"/>
  <c r="U63" i="4" s="1"/>
  <c r="T31" i="4"/>
  <c r="U31" i="4" s="1"/>
  <c r="T43" i="4"/>
  <c r="U43" i="4" s="1"/>
  <c r="T32" i="4"/>
  <c r="U32" i="4" s="1"/>
  <c r="T11" i="4"/>
  <c r="U11" i="4" s="1"/>
  <c r="T68" i="4"/>
  <c r="U68" i="4" s="1"/>
  <c r="T38" i="4"/>
  <c r="U38" i="4" s="1"/>
  <c r="T33" i="4"/>
  <c r="U33" i="4" s="1"/>
  <c r="T13" i="4"/>
  <c r="U13" i="4" s="1"/>
  <c r="T62" i="4"/>
  <c r="U62" i="4" s="1"/>
  <c r="T46" i="4"/>
  <c r="U46" i="4" s="1"/>
  <c r="T34" i="4"/>
  <c r="U34" i="4" s="1"/>
  <c r="T6" i="4"/>
  <c r="U6" i="4" s="1"/>
  <c r="T57" i="4"/>
  <c r="U57" i="4" s="1"/>
  <c r="T8" i="4"/>
  <c r="U8" i="4" s="1"/>
  <c r="T39" i="4"/>
  <c r="U39" i="4" s="1"/>
  <c r="T53" i="4"/>
  <c r="U53" i="4" s="1"/>
  <c r="T35" i="4"/>
  <c r="U35" i="4" s="1"/>
  <c r="T49" i="4"/>
  <c r="U49" i="4" s="1"/>
  <c r="T47" i="4"/>
  <c r="U47" i="4" s="1"/>
  <c r="T12" i="4"/>
  <c r="U12" i="4" s="1"/>
  <c r="T28" i="4"/>
  <c r="U28" i="4" s="1"/>
  <c r="T26" i="4"/>
  <c r="U26" i="4" s="1"/>
  <c r="T24" i="4"/>
  <c r="U24" i="4" s="1"/>
  <c r="T22" i="4"/>
  <c r="U22" i="4" s="1"/>
  <c r="T20" i="4"/>
  <c r="U20" i="4" s="1"/>
  <c r="T18" i="4"/>
  <c r="U18" i="4" s="1"/>
  <c r="T16" i="4"/>
  <c r="U16" i="4" s="1"/>
  <c r="T14" i="4"/>
  <c r="U14" i="4" s="1"/>
  <c r="T30" i="4"/>
  <c r="U30" i="4" s="1"/>
  <c r="T29" i="4"/>
  <c r="U29" i="4" s="1"/>
  <c r="T27" i="4"/>
  <c r="U27" i="4" s="1"/>
  <c r="T25" i="4"/>
  <c r="U25" i="4" s="1"/>
  <c r="T23" i="4"/>
  <c r="U23" i="4" s="1"/>
  <c r="T21" i="4"/>
  <c r="U21" i="4" s="1"/>
  <c r="T19" i="4"/>
  <c r="U19" i="4" s="1"/>
  <c r="T17" i="4"/>
  <c r="U17" i="4" s="1"/>
  <c r="T15" i="4"/>
  <c r="U15" i="4" s="1"/>
  <c r="F78" i="5" l="1"/>
  <c r="G8" i="5" s="1"/>
  <c r="F83" i="5"/>
  <c r="G13" i="5" s="1"/>
  <c r="F82" i="5"/>
  <c r="G12" i="5" s="1"/>
  <c r="F77" i="5"/>
  <c r="G7" i="5" s="1"/>
  <c r="E95" i="5"/>
  <c r="F80" i="5"/>
  <c r="G10" i="5" s="1"/>
  <c r="F81" i="5"/>
  <c r="G11" i="5" s="1"/>
  <c r="F79" i="5"/>
  <c r="G9" i="5" s="1"/>
  <c r="F76" i="5"/>
  <c r="G6" i="5" s="1"/>
  <c r="F84" i="5"/>
  <c r="G14" i="5" s="1"/>
  <c r="F75" i="5"/>
  <c r="G5" i="5" s="1"/>
  <c r="F79" i="4"/>
  <c r="G9" i="4" s="1"/>
  <c r="F76" i="4"/>
  <c r="G6" i="4" s="1"/>
  <c r="F82" i="4"/>
  <c r="G12" i="4" s="1"/>
  <c r="F75" i="4"/>
  <c r="G5" i="4" s="1"/>
  <c r="E95" i="4"/>
  <c r="F80" i="4"/>
  <c r="G10" i="4" s="1"/>
  <c r="F83" i="4"/>
  <c r="G13" i="4" s="1"/>
  <c r="F84" i="4"/>
  <c r="G14" i="4" s="1"/>
  <c r="F77" i="4"/>
  <c r="G7" i="4" s="1"/>
  <c r="F78" i="4"/>
  <c r="G8" i="4" s="1"/>
  <c r="F81" i="4"/>
  <c r="G11" i="4" s="1"/>
  <c r="V69" i="5" l="1"/>
  <c r="W69" i="5" s="1"/>
  <c r="V67" i="5"/>
  <c r="W67" i="5" s="1"/>
  <c r="V65" i="5"/>
  <c r="W65" i="5" s="1"/>
  <c r="V63" i="5"/>
  <c r="W63" i="5" s="1"/>
  <c r="V61" i="5"/>
  <c r="W61" i="5" s="1"/>
  <c r="V59" i="5"/>
  <c r="W59" i="5" s="1"/>
  <c r="V57" i="5"/>
  <c r="W57" i="5" s="1"/>
  <c r="V55" i="5"/>
  <c r="W55" i="5" s="1"/>
  <c r="V53" i="5"/>
  <c r="W53" i="5" s="1"/>
  <c r="V51" i="5"/>
  <c r="W51" i="5" s="1"/>
  <c r="V49" i="5"/>
  <c r="W49" i="5" s="1"/>
  <c r="V47" i="5"/>
  <c r="W47" i="5" s="1"/>
  <c r="V45" i="5"/>
  <c r="W45" i="5" s="1"/>
  <c r="V43" i="5"/>
  <c r="W43" i="5" s="1"/>
  <c r="V41" i="5"/>
  <c r="W41" i="5" s="1"/>
  <c r="V39" i="5"/>
  <c r="W39" i="5" s="1"/>
  <c r="V37" i="5"/>
  <c r="W37" i="5" s="1"/>
  <c r="V35" i="5"/>
  <c r="W35" i="5" s="1"/>
  <c r="V31" i="5"/>
  <c r="W31" i="5" s="1"/>
  <c r="V23" i="5"/>
  <c r="W23" i="5" s="1"/>
  <c r="V15" i="5"/>
  <c r="W15" i="5" s="1"/>
  <c r="V28" i="5"/>
  <c r="W28" i="5" s="1"/>
  <c r="V20" i="5"/>
  <c r="W20" i="5" s="1"/>
  <c r="V68" i="5"/>
  <c r="W68" i="5" s="1"/>
  <c r="V66" i="5"/>
  <c r="W66" i="5" s="1"/>
  <c r="V64" i="5"/>
  <c r="W64" i="5" s="1"/>
  <c r="V62" i="5"/>
  <c r="W62" i="5" s="1"/>
  <c r="V60" i="5"/>
  <c r="W60" i="5" s="1"/>
  <c r="V58" i="5"/>
  <c r="W58" i="5" s="1"/>
  <c r="V56" i="5"/>
  <c r="W56" i="5" s="1"/>
  <c r="V54" i="5"/>
  <c r="W54" i="5" s="1"/>
  <c r="V52" i="5"/>
  <c r="W52" i="5" s="1"/>
  <c r="V48" i="5"/>
  <c r="W48" i="5" s="1"/>
  <c r="V36" i="5"/>
  <c r="W36" i="5" s="1"/>
  <c r="V21" i="5"/>
  <c r="W21" i="5" s="1"/>
  <c r="V42" i="5"/>
  <c r="W42" i="5" s="1"/>
  <c r="V19" i="5"/>
  <c r="W19" i="5" s="1"/>
  <c r="V18" i="5"/>
  <c r="W18" i="5" s="1"/>
  <c r="V17" i="5"/>
  <c r="W17" i="5" s="1"/>
  <c r="V10" i="5"/>
  <c r="W10" i="5" s="1"/>
  <c r="V8" i="5"/>
  <c r="W8" i="5" s="1"/>
  <c r="V6" i="5"/>
  <c r="W6" i="5" s="1"/>
  <c r="V16" i="5"/>
  <c r="W16" i="5" s="1"/>
  <c r="V14" i="5"/>
  <c r="W14" i="5" s="1"/>
  <c r="V12" i="5"/>
  <c r="W12" i="5" s="1"/>
  <c r="V40" i="5"/>
  <c r="W40" i="5" s="1"/>
  <c r="V32" i="5"/>
  <c r="W32" i="5" s="1"/>
  <c r="V30" i="5"/>
  <c r="W30" i="5" s="1"/>
  <c r="V13" i="5"/>
  <c r="W13" i="5" s="1"/>
  <c r="V11" i="5"/>
  <c r="W11" i="5" s="1"/>
  <c r="V38" i="5"/>
  <c r="W38" i="5" s="1"/>
  <c r="V27" i="5"/>
  <c r="W27" i="5" s="1"/>
  <c r="V24" i="5"/>
  <c r="W24" i="5" s="1"/>
  <c r="V34" i="5"/>
  <c r="W34" i="5" s="1"/>
  <c r="V50" i="5"/>
  <c r="W50" i="5" s="1"/>
  <c r="V25" i="5"/>
  <c r="W25" i="5" s="1"/>
  <c r="V22" i="5"/>
  <c r="W22" i="5" s="1"/>
  <c r="V46" i="5"/>
  <c r="W46" i="5" s="1"/>
  <c r="V44" i="5"/>
  <c r="W44" i="5" s="1"/>
  <c r="V29" i="5"/>
  <c r="W29" i="5" s="1"/>
  <c r="V26" i="5"/>
  <c r="W26" i="5" s="1"/>
  <c r="V33" i="5"/>
  <c r="W33" i="5" s="1"/>
  <c r="V9" i="5"/>
  <c r="W9" i="5" s="1"/>
  <c r="V7" i="5"/>
  <c r="W7" i="5" s="1"/>
  <c r="V69" i="4"/>
  <c r="W69" i="4" s="1"/>
  <c r="V67" i="4"/>
  <c r="W67" i="4" s="1"/>
  <c r="V65" i="4"/>
  <c r="W65" i="4" s="1"/>
  <c r="V63" i="4"/>
  <c r="W63" i="4" s="1"/>
  <c r="V61" i="4"/>
  <c r="W61" i="4" s="1"/>
  <c r="V59" i="4"/>
  <c r="W59" i="4" s="1"/>
  <c r="V57" i="4"/>
  <c r="W57" i="4" s="1"/>
  <c r="V49" i="4"/>
  <c r="W49" i="4" s="1"/>
  <c r="V64" i="4"/>
  <c r="W64" i="4" s="1"/>
  <c r="V52" i="4"/>
  <c r="W52" i="4" s="1"/>
  <c r="V48" i="4"/>
  <c r="W48" i="4" s="1"/>
  <c r="V45" i="4"/>
  <c r="W45" i="4" s="1"/>
  <c r="V37" i="4"/>
  <c r="W37" i="4" s="1"/>
  <c r="V9" i="4"/>
  <c r="W9" i="4" s="1"/>
  <c r="V55" i="4"/>
  <c r="W55" i="4" s="1"/>
  <c r="V51" i="4"/>
  <c r="W51" i="4" s="1"/>
  <c r="V42" i="4"/>
  <c r="W42" i="4" s="1"/>
  <c r="V34" i="4"/>
  <c r="W34" i="4" s="1"/>
  <c r="V32" i="4"/>
  <c r="W32" i="4" s="1"/>
  <c r="V30" i="4"/>
  <c r="W30" i="4" s="1"/>
  <c r="V28" i="4"/>
  <c r="W28" i="4" s="1"/>
  <c r="V26" i="4"/>
  <c r="W26" i="4" s="1"/>
  <c r="V24" i="4"/>
  <c r="W24" i="4" s="1"/>
  <c r="V22" i="4"/>
  <c r="W22" i="4" s="1"/>
  <c r="V20" i="4"/>
  <c r="W20" i="4" s="1"/>
  <c r="V18" i="4"/>
  <c r="W18" i="4" s="1"/>
  <c r="V16" i="4"/>
  <c r="W16" i="4" s="1"/>
  <c r="V14" i="4"/>
  <c r="W14" i="4" s="1"/>
  <c r="V8" i="4"/>
  <c r="W8" i="4" s="1"/>
  <c r="V47" i="4"/>
  <c r="W47" i="4" s="1"/>
  <c r="V60" i="4"/>
  <c r="W60" i="4" s="1"/>
  <c r="V58" i="4"/>
  <c r="W58" i="4" s="1"/>
  <c r="V68" i="4"/>
  <c r="W68" i="4" s="1"/>
  <c r="V62" i="4"/>
  <c r="W62" i="4" s="1"/>
  <c r="V53" i="4"/>
  <c r="W53" i="4" s="1"/>
  <c r="V46" i="4"/>
  <c r="W46" i="4" s="1"/>
  <c r="V38" i="4"/>
  <c r="W38" i="4" s="1"/>
  <c r="V33" i="4"/>
  <c r="W33" i="4" s="1"/>
  <c r="V31" i="4"/>
  <c r="W31" i="4" s="1"/>
  <c r="V66" i="4"/>
  <c r="W66" i="4" s="1"/>
  <c r="V54" i="4"/>
  <c r="W54" i="4" s="1"/>
  <c r="V43" i="4"/>
  <c r="W43" i="4" s="1"/>
  <c r="V56" i="4"/>
  <c r="W56" i="4" s="1"/>
  <c r="V11" i="4"/>
  <c r="W11" i="4" s="1"/>
  <c r="V50" i="4"/>
  <c r="W50" i="4" s="1"/>
  <c r="V41" i="4"/>
  <c r="W41" i="4" s="1"/>
  <c r="V13" i="4"/>
  <c r="W13" i="4" s="1"/>
  <c r="V6" i="4"/>
  <c r="W6" i="4" s="1"/>
  <c r="V44" i="4"/>
  <c r="W44" i="4" s="1"/>
  <c r="V39" i="4"/>
  <c r="W39" i="4" s="1"/>
  <c r="V35" i="4"/>
  <c r="W35" i="4" s="1"/>
  <c r="V10" i="4"/>
  <c r="W10" i="4" s="1"/>
  <c r="V12" i="4"/>
  <c r="W12" i="4" s="1"/>
  <c r="V36" i="4"/>
  <c r="W36" i="4" s="1"/>
  <c r="V29" i="4"/>
  <c r="W29" i="4" s="1"/>
  <c r="V27" i="4"/>
  <c r="W27" i="4" s="1"/>
  <c r="V25" i="4"/>
  <c r="W25" i="4" s="1"/>
  <c r="V23" i="4"/>
  <c r="W23" i="4" s="1"/>
  <c r="V21" i="4"/>
  <c r="W21" i="4" s="1"/>
  <c r="V19" i="4"/>
  <c r="W19" i="4" s="1"/>
  <c r="V17" i="4"/>
  <c r="W17" i="4" s="1"/>
  <c r="V15" i="4"/>
  <c r="W15" i="4" s="1"/>
  <c r="V7" i="4"/>
  <c r="W7" i="4" s="1"/>
  <c r="V40" i="4"/>
  <c r="W40" i="4" s="1"/>
  <c r="G83" i="4" l="1"/>
  <c r="H13" i="4" s="1"/>
  <c r="G80" i="4"/>
  <c r="H10" i="4" s="1"/>
  <c r="G82" i="4"/>
  <c r="H12" i="4" s="1"/>
  <c r="E96" i="4"/>
  <c r="G77" i="4"/>
  <c r="H7" i="4" s="1"/>
  <c r="G79" i="4"/>
  <c r="H9" i="4" s="1"/>
  <c r="G84" i="4"/>
  <c r="H14" i="4" s="1"/>
  <c r="G76" i="4"/>
  <c r="H6" i="4" s="1"/>
  <c r="G78" i="4"/>
  <c r="H8" i="4" s="1"/>
  <c r="G81" i="4"/>
  <c r="H11" i="4" s="1"/>
  <c r="G75" i="4"/>
  <c r="H5" i="4" s="1"/>
  <c r="E96" i="5"/>
  <c r="G77" i="5"/>
  <c r="H7" i="5" s="1"/>
  <c r="G81" i="5"/>
  <c r="H11" i="5" s="1"/>
  <c r="G80" i="5"/>
  <c r="H10" i="5" s="1"/>
  <c r="G82" i="5"/>
  <c r="H12" i="5" s="1"/>
  <c r="G84" i="5"/>
  <c r="H14" i="5" s="1"/>
  <c r="G75" i="5"/>
  <c r="H5" i="5" s="1"/>
  <c r="G76" i="5"/>
  <c r="H6" i="5" s="1"/>
  <c r="G79" i="5"/>
  <c r="H9" i="5" s="1"/>
  <c r="G83" i="5"/>
  <c r="H13" i="5" s="1"/>
  <c r="G78" i="5"/>
  <c r="H8" i="5" s="1"/>
  <c r="X49" i="5" l="1"/>
  <c r="Y49" i="5" s="1"/>
  <c r="X45" i="5"/>
  <c r="Y45" i="5" s="1"/>
  <c r="X41" i="5"/>
  <c r="Y41" i="5" s="1"/>
  <c r="X37" i="5"/>
  <c r="Y37" i="5" s="1"/>
  <c r="X33" i="5"/>
  <c r="Y33" i="5" s="1"/>
  <c r="X25" i="5"/>
  <c r="Y25" i="5" s="1"/>
  <c r="X17" i="5"/>
  <c r="Y17" i="5" s="1"/>
  <c r="X9" i="5"/>
  <c r="Y9" i="5" s="1"/>
  <c r="X8" i="5"/>
  <c r="Y8" i="5" s="1"/>
  <c r="X7" i="5"/>
  <c r="Y7" i="5" s="1"/>
  <c r="X6" i="5"/>
  <c r="Y6" i="5" s="1"/>
  <c r="X48" i="5"/>
  <c r="Y48" i="5" s="1"/>
  <c r="X44" i="5"/>
  <c r="Y44" i="5" s="1"/>
  <c r="X40" i="5"/>
  <c r="Y40" i="5" s="1"/>
  <c r="X36" i="5"/>
  <c r="Y36" i="5" s="1"/>
  <c r="X26" i="5"/>
  <c r="Y26" i="5" s="1"/>
  <c r="X18" i="5"/>
  <c r="Y18" i="5" s="1"/>
  <c r="X64" i="5"/>
  <c r="Y64" i="5" s="1"/>
  <c r="X16" i="5"/>
  <c r="Y16" i="5" s="1"/>
  <c r="X14" i="5"/>
  <c r="Y14" i="5" s="1"/>
  <c r="X12" i="5"/>
  <c r="Y12" i="5" s="1"/>
  <c r="X10" i="5"/>
  <c r="Y10" i="5" s="1"/>
  <c r="X56" i="5"/>
  <c r="Y56" i="5" s="1"/>
  <c r="X15" i="5"/>
  <c r="Y15" i="5" s="1"/>
  <c r="X69" i="5"/>
  <c r="Y69" i="5" s="1"/>
  <c r="X62" i="5"/>
  <c r="Y62" i="5" s="1"/>
  <c r="X59" i="5"/>
  <c r="Y59" i="5" s="1"/>
  <c r="X53" i="5"/>
  <c r="Y53" i="5" s="1"/>
  <c r="X43" i="5"/>
  <c r="Y43" i="5" s="1"/>
  <c r="X67" i="5"/>
  <c r="Y67" i="5" s="1"/>
  <c r="X68" i="5"/>
  <c r="Y68" i="5" s="1"/>
  <c r="X63" i="5"/>
  <c r="Y63" i="5" s="1"/>
  <c r="X29" i="5"/>
  <c r="Y29" i="5" s="1"/>
  <c r="X28" i="5"/>
  <c r="Y28" i="5" s="1"/>
  <c r="X27" i="5"/>
  <c r="Y27" i="5" s="1"/>
  <c r="X61" i="5"/>
  <c r="Y61" i="5" s="1"/>
  <c r="X47" i="5"/>
  <c r="Y47" i="5" s="1"/>
  <c r="X58" i="5"/>
  <c r="Y58" i="5" s="1"/>
  <c r="X21" i="5"/>
  <c r="Y21" i="5" s="1"/>
  <c r="X34" i="5"/>
  <c r="Y34" i="5" s="1"/>
  <c r="X31" i="5"/>
  <c r="Y31" i="5" s="1"/>
  <c r="X60" i="5"/>
  <c r="Y60" i="5" s="1"/>
  <c r="X50" i="5"/>
  <c r="Y50" i="5" s="1"/>
  <c r="X22" i="5"/>
  <c r="Y22" i="5" s="1"/>
  <c r="X66" i="5"/>
  <c r="Y66" i="5" s="1"/>
  <c r="X55" i="5"/>
  <c r="Y55" i="5" s="1"/>
  <c r="X52" i="5"/>
  <c r="Y52" i="5" s="1"/>
  <c r="X39" i="5"/>
  <c r="Y39" i="5" s="1"/>
  <c r="X32" i="5"/>
  <c r="Y32" i="5" s="1"/>
  <c r="X19" i="5"/>
  <c r="Y19" i="5" s="1"/>
  <c r="X57" i="5"/>
  <c r="Y57" i="5" s="1"/>
  <c r="X46" i="5"/>
  <c r="Y46" i="5" s="1"/>
  <c r="X65" i="5"/>
  <c r="Y65" i="5" s="1"/>
  <c r="X54" i="5"/>
  <c r="Y54" i="5" s="1"/>
  <c r="X35" i="5"/>
  <c r="Y35" i="5" s="1"/>
  <c r="X23" i="5"/>
  <c r="Y23" i="5" s="1"/>
  <c r="X42" i="5"/>
  <c r="Y42" i="5" s="1"/>
  <c r="X30" i="5"/>
  <c r="Y30" i="5" s="1"/>
  <c r="X20" i="5"/>
  <c r="Y20" i="5" s="1"/>
  <c r="X13" i="5"/>
  <c r="Y13" i="5" s="1"/>
  <c r="X11" i="5"/>
  <c r="Y11" i="5" s="1"/>
  <c r="X24" i="5"/>
  <c r="Y24" i="5" s="1"/>
  <c r="X51" i="5"/>
  <c r="Y51" i="5" s="1"/>
  <c r="X38" i="5"/>
  <c r="Y38" i="5" s="1"/>
  <c r="X64" i="4"/>
  <c r="Y64" i="4" s="1"/>
  <c r="X57" i="4"/>
  <c r="Y57" i="4" s="1"/>
  <c r="X54" i="4"/>
  <c r="Y54" i="4" s="1"/>
  <c r="X63" i="4"/>
  <c r="Y63" i="4" s="1"/>
  <c r="X42" i="4"/>
  <c r="Y42" i="4" s="1"/>
  <c r="X34" i="4"/>
  <c r="Y34" i="4" s="1"/>
  <c r="X32" i="4"/>
  <c r="Y32" i="4" s="1"/>
  <c r="X30" i="4"/>
  <c r="Y30" i="4" s="1"/>
  <c r="X28" i="4"/>
  <c r="Y28" i="4" s="1"/>
  <c r="X26" i="4"/>
  <c r="Y26" i="4" s="1"/>
  <c r="X24" i="4"/>
  <c r="Y24" i="4" s="1"/>
  <c r="X22" i="4"/>
  <c r="Y22" i="4" s="1"/>
  <c r="X20" i="4"/>
  <c r="Y20" i="4" s="1"/>
  <c r="X18" i="4"/>
  <c r="Y18" i="4" s="1"/>
  <c r="X16" i="4"/>
  <c r="Y16" i="4" s="1"/>
  <c r="X14" i="4"/>
  <c r="Y14" i="4" s="1"/>
  <c r="X8" i="4"/>
  <c r="Y8" i="4" s="1"/>
  <c r="X55" i="4"/>
  <c r="Y55" i="4" s="1"/>
  <c r="X51" i="4"/>
  <c r="Y51" i="4" s="1"/>
  <c r="X65" i="4"/>
  <c r="Y65" i="4" s="1"/>
  <c r="X47" i="4"/>
  <c r="Y47" i="4" s="1"/>
  <c r="X39" i="4"/>
  <c r="Y39" i="4" s="1"/>
  <c r="X13" i="4"/>
  <c r="Y13" i="4" s="1"/>
  <c r="X7" i="4"/>
  <c r="Y7" i="4" s="1"/>
  <c r="X66" i="4"/>
  <c r="Y66" i="4" s="1"/>
  <c r="X44" i="4"/>
  <c r="Y44" i="4" s="1"/>
  <c r="X50" i="4"/>
  <c r="Y50" i="4" s="1"/>
  <c r="X53" i="4"/>
  <c r="Y53" i="4" s="1"/>
  <c r="X69" i="4"/>
  <c r="Y69" i="4" s="1"/>
  <c r="X49" i="4"/>
  <c r="Y49" i="4" s="1"/>
  <c r="X43" i="4"/>
  <c r="Y43" i="4" s="1"/>
  <c r="X35" i="4"/>
  <c r="Y35" i="4" s="1"/>
  <c r="X11" i="4"/>
  <c r="Y11" i="4" s="1"/>
  <c r="X60" i="4"/>
  <c r="Y60" i="4" s="1"/>
  <c r="X52" i="4"/>
  <c r="Y52" i="4" s="1"/>
  <c r="X41" i="4"/>
  <c r="Y41" i="4" s="1"/>
  <c r="X48" i="4"/>
  <c r="Y48" i="4" s="1"/>
  <c r="X38" i="4"/>
  <c r="Y38" i="4" s="1"/>
  <c r="X33" i="4"/>
  <c r="Y33" i="4" s="1"/>
  <c r="X6" i="4"/>
  <c r="Y6" i="4" s="1"/>
  <c r="X68" i="4"/>
  <c r="Y68" i="4" s="1"/>
  <c r="X46" i="4"/>
  <c r="Y46" i="4" s="1"/>
  <c r="X62" i="4"/>
  <c r="Y62" i="4" s="1"/>
  <c r="X10" i="4"/>
  <c r="Y10" i="4" s="1"/>
  <c r="X59" i="4"/>
  <c r="Y59" i="4" s="1"/>
  <c r="X12" i="4"/>
  <c r="Y12" i="4" s="1"/>
  <c r="X67" i="4"/>
  <c r="Y67" i="4" s="1"/>
  <c r="X36" i="4"/>
  <c r="Y36" i="4" s="1"/>
  <c r="X29" i="4"/>
  <c r="Y29" i="4" s="1"/>
  <c r="X27" i="4"/>
  <c r="Y27" i="4" s="1"/>
  <c r="X25" i="4"/>
  <c r="Y25" i="4" s="1"/>
  <c r="X23" i="4"/>
  <c r="Y23" i="4" s="1"/>
  <c r="X21" i="4"/>
  <c r="Y21" i="4" s="1"/>
  <c r="X19" i="4"/>
  <c r="Y19" i="4" s="1"/>
  <c r="X17" i="4"/>
  <c r="Y17" i="4" s="1"/>
  <c r="X15" i="4"/>
  <c r="Y15" i="4" s="1"/>
  <c r="X61" i="4"/>
  <c r="Y61" i="4" s="1"/>
  <c r="X40" i="4"/>
  <c r="Y40" i="4" s="1"/>
  <c r="X58" i="4"/>
  <c r="Y58" i="4" s="1"/>
  <c r="X56" i="4"/>
  <c r="Y56" i="4" s="1"/>
  <c r="X45" i="4"/>
  <c r="Y45" i="4" s="1"/>
  <c r="X37" i="4"/>
  <c r="Y37" i="4" s="1"/>
  <c r="X31" i="4"/>
  <c r="Y31" i="4" s="1"/>
  <c r="X9" i="4"/>
  <c r="Y9" i="4" s="1"/>
  <c r="H80" i="5" l="1"/>
  <c r="I10" i="5" s="1"/>
  <c r="H79" i="5"/>
  <c r="I9" i="5" s="1"/>
  <c r="H81" i="5"/>
  <c r="I11" i="5" s="1"/>
  <c r="H76" i="5"/>
  <c r="I6" i="5" s="1"/>
  <c r="H75" i="5"/>
  <c r="I5" i="5" s="1"/>
  <c r="H84" i="5"/>
  <c r="I14" i="5" s="1"/>
  <c r="H77" i="5"/>
  <c r="I7" i="5" s="1"/>
  <c r="H83" i="5"/>
  <c r="I13" i="5" s="1"/>
  <c r="E97" i="5"/>
  <c r="H82" i="5"/>
  <c r="I12" i="5" s="1"/>
  <c r="H78" i="5"/>
  <c r="I8" i="5" s="1"/>
  <c r="H83" i="4"/>
  <c r="I13" i="4" s="1"/>
  <c r="H79" i="4"/>
  <c r="I9" i="4" s="1"/>
  <c r="E97" i="4"/>
  <c r="H82" i="4"/>
  <c r="I12" i="4" s="1"/>
  <c r="H76" i="4"/>
  <c r="I6" i="4" s="1"/>
  <c r="H77" i="4"/>
  <c r="I7" i="4" s="1"/>
  <c r="H84" i="4"/>
  <c r="I14" i="4" s="1"/>
  <c r="H78" i="4"/>
  <c r="I8" i="4" s="1"/>
  <c r="H75" i="4"/>
  <c r="I5" i="4" s="1"/>
  <c r="H80" i="4"/>
  <c r="I10" i="4" s="1"/>
  <c r="H81" i="4"/>
  <c r="I11" i="4" s="1"/>
  <c r="Z63" i="4" l="1"/>
  <c r="AA63" i="4" s="1"/>
  <c r="Z62" i="4"/>
  <c r="AA62" i="4" s="1"/>
  <c r="Z51" i="4"/>
  <c r="AA51" i="4" s="1"/>
  <c r="Z65" i="4"/>
  <c r="AA65" i="4" s="1"/>
  <c r="Z47" i="4"/>
  <c r="AA47" i="4" s="1"/>
  <c r="Z39" i="4"/>
  <c r="AA39" i="4" s="1"/>
  <c r="Z13" i="4"/>
  <c r="AA13" i="4" s="1"/>
  <c r="Z7" i="4"/>
  <c r="AA7" i="4" s="1"/>
  <c r="Z66" i="4"/>
  <c r="AA66" i="4" s="1"/>
  <c r="Z44" i="4"/>
  <c r="AA44" i="4" s="1"/>
  <c r="Z36" i="4"/>
  <c r="AA36" i="4" s="1"/>
  <c r="Z54" i="4"/>
  <c r="AA54" i="4" s="1"/>
  <c r="Z50" i="4"/>
  <c r="AA50" i="4" s="1"/>
  <c r="Z12" i="4"/>
  <c r="AA12" i="4" s="1"/>
  <c r="Z6" i="4"/>
  <c r="AA6" i="4" s="1"/>
  <c r="Z67" i="4"/>
  <c r="AA67" i="4" s="1"/>
  <c r="Z60" i="4"/>
  <c r="AA60" i="4" s="1"/>
  <c r="Z59" i="4"/>
  <c r="AA59" i="4" s="1"/>
  <c r="Z58" i="4"/>
  <c r="AA58" i="4" s="1"/>
  <c r="Z41" i="4"/>
  <c r="AA41" i="4" s="1"/>
  <c r="Z68" i="4"/>
  <c r="AA68" i="4" s="1"/>
  <c r="Z61" i="4"/>
  <c r="AA61" i="4" s="1"/>
  <c r="Z46" i="4"/>
  <c r="AA46" i="4" s="1"/>
  <c r="Z38" i="4"/>
  <c r="AA38" i="4" s="1"/>
  <c r="Z56" i="4"/>
  <c r="AA56" i="4" s="1"/>
  <c r="Z40" i="4"/>
  <c r="AA40" i="4" s="1"/>
  <c r="Z52" i="4"/>
  <c r="AA52" i="4" s="1"/>
  <c r="Z48" i="4"/>
  <c r="AA48" i="4" s="1"/>
  <c r="Z33" i="4"/>
  <c r="AA33" i="4" s="1"/>
  <c r="Z34" i="4"/>
  <c r="AA34" i="4" s="1"/>
  <c r="Z8" i="4"/>
  <c r="AA8" i="4" s="1"/>
  <c r="Z10" i="4"/>
  <c r="AA10" i="4" s="1"/>
  <c r="Z57" i="4"/>
  <c r="AA57" i="4" s="1"/>
  <c r="Z53" i="4"/>
  <c r="AA53" i="4" s="1"/>
  <c r="Z35" i="4"/>
  <c r="AA35" i="4" s="1"/>
  <c r="Z55" i="4"/>
  <c r="AA55" i="4" s="1"/>
  <c r="Z42" i="4"/>
  <c r="AA42" i="4" s="1"/>
  <c r="Z29" i="4"/>
  <c r="AA29" i="4" s="1"/>
  <c r="Z27" i="4"/>
  <c r="AA27" i="4" s="1"/>
  <c r="Z25" i="4"/>
  <c r="AA25" i="4" s="1"/>
  <c r="Z23" i="4"/>
  <c r="AA23" i="4" s="1"/>
  <c r="Z21" i="4"/>
  <c r="AA21" i="4" s="1"/>
  <c r="Z19" i="4"/>
  <c r="AA19" i="4" s="1"/>
  <c r="Z17" i="4"/>
  <c r="AA17" i="4" s="1"/>
  <c r="Z15" i="4"/>
  <c r="AA15" i="4" s="1"/>
  <c r="Z49" i="4"/>
  <c r="AA49" i="4" s="1"/>
  <c r="Z28" i="4"/>
  <c r="AA28" i="4" s="1"/>
  <c r="Z26" i="4"/>
  <c r="AA26" i="4" s="1"/>
  <c r="Z24" i="4"/>
  <c r="AA24" i="4" s="1"/>
  <c r="Z22" i="4"/>
  <c r="AA22" i="4" s="1"/>
  <c r="Z20" i="4"/>
  <c r="AA20" i="4" s="1"/>
  <c r="Z18" i="4"/>
  <c r="AA18" i="4" s="1"/>
  <c r="Z16" i="4"/>
  <c r="AA16" i="4" s="1"/>
  <c r="Z14" i="4"/>
  <c r="AA14" i="4" s="1"/>
  <c r="Z64" i="4"/>
  <c r="AA64" i="4" s="1"/>
  <c r="Z30" i="4"/>
  <c r="AA30" i="4" s="1"/>
  <c r="Z45" i="4"/>
  <c r="AA45" i="4" s="1"/>
  <c r="Z37" i="4"/>
  <c r="AA37" i="4" s="1"/>
  <c r="Z31" i="4"/>
  <c r="AA31" i="4" s="1"/>
  <c r="Z9" i="4"/>
  <c r="AA9" i="4" s="1"/>
  <c r="Z69" i="4"/>
  <c r="AA69" i="4" s="1"/>
  <c r="Z11" i="4"/>
  <c r="AA11" i="4" s="1"/>
  <c r="Z43" i="4"/>
  <c r="AA43" i="4" s="1"/>
  <c r="Z32" i="4"/>
  <c r="AA32" i="4" s="1"/>
  <c r="Z68" i="5"/>
  <c r="AA68" i="5" s="1"/>
  <c r="Z66" i="5"/>
  <c r="AA66" i="5" s="1"/>
  <c r="Z64" i="5"/>
  <c r="AA64" i="5" s="1"/>
  <c r="Z62" i="5"/>
  <c r="AA62" i="5" s="1"/>
  <c r="Z60" i="5"/>
  <c r="AA60" i="5" s="1"/>
  <c r="Z58" i="5"/>
  <c r="AA58" i="5" s="1"/>
  <c r="Z56" i="5"/>
  <c r="AA56" i="5" s="1"/>
  <c r="Z54" i="5"/>
  <c r="AA54" i="5" s="1"/>
  <c r="Z52" i="5"/>
  <c r="AA52" i="5" s="1"/>
  <c r="Z69" i="5"/>
  <c r="AA69" i="5" s="1"/>
  <c r="Z67" i="5"/>
  <c r="AA67" i="5" s="1"/>
  <c r="Z65" i="5"/>
  <c r="AA65" i="5" s="1"/>
  <c r="Z63" i="5"/>
  <c r="AA63" i="5" s="1"/>
  <c r="Z61" i="5"/>
  <c r="AA61" i="5" s="1"/>
  <c r="Z59" i="5"/>
  <c r="AA59" i="5" s="1"/>
  <c r="Z57" i="5"/>
  <c r="AA57" i="5" s="1"/>
  <c r="Z55" i="5"/>
  <c r="AA55" i="5" s="1"/>
  <c r="Z53" i="5"/>
  <c r="AA53" i="5" s="1"/>
  <c r="Z51" i="5"/>
  <c r="AA51" i="5" s="1"/>
  <c r="Z30" i="5"/>
  <c r="AA30" i="5" s="1"/>
  <c r="Z22" i="5"/>
  <c r="AA22" i="5" s="1"/>
  <c r="Z14" i="5"/>
  <c r="AA14" i="5" s="1"/>
  <c r="Z13" i="5"/>
  <c r="AA13" i="5" s="1"/>
  <c r="Z12" i="5"/>
  <c r="AA12" i="5" s="1"/>
  <c r="Z11" i="5"/>
  <c r="AA11" i="5" s="1"/>
  <c r="Z10" i="5"/>
  <c r="AA10" i="5" s="1"/>
  <c r="Z9" i="5"/>
  <c r="AA9" i="5" s="1"/>
  <c r="Z48" i="5"/>
  <c r="AA48" i="5" s="1"/>
  <c r="Z44" i="5"/>
  <c r="AA44" i="5" s="1"/>
  <c r="Z40" i="5"/>
  <c r="AA40" i="5" s="1"/>
  <c r="Z36" i="5"/>
  <c r="AA36" i="5" s="1"/>
  <c r="Z31" i="5"/>
  <c r="AA31" i="5" s="1"/>
  <c r="Z23" i="5"/>
  <c r="AA23" i="5" s="1"/>
  <c r="Z15" i="5"/>
  <c r="AA15" i="5" s="1"/>
  <c r="Z43" i="5"/>
  <c r="AA43" i="5" s="1"/>
  <c r="Z49" i="5"/>
  <c r="AA49" i="5" s="1"/>
  <c r="Z37" i="5"/>
  <c r="AA37" i="5" s="1"/>
  <c r="Z50" i="5"/>
  <c r="AA50" i="5" s="1"/>
  <c r="Z38" i="5"/>
  <c r="AA38" i="5" s="1"/>
  <c r="Z47" i="5"/>
  <c r="AA47" i="5" s="1"/>
  <c r="Z35" i="5"/>
  <c r="AA35" i="5" s="1"/>
  <c r="Z25" i="5"/>
  <c r="AA25" i="5" s="1"/>
  <c r="Z45" i="5"/>
  <c r="AA45" i="5" s="1"/>
  <c r="Z18" i="5"/>
  <c r="AA18" i="5" s="1"/>
  <c r="Z34" i="5"/>
  <c r="AA34" i="5" s="1"/>
  <c r="Z28" i="5"/>
  <c r="AA28" i="5" s="1"/>
  <c r="Z41" i="5"/>
  <c r="AA41" i="5" s="1"/>
  <c r="Z39" i="5"/>
  <c r="AA39" i="5" s="1"/>
  <c r="Z32" i="5"/>
  <c r="AA32" i="5" s="1"/>
  <c r="Z19" i="5"/>
  <c r="AA19" i="5" s="1"/>
  <c r="Z16" i="5"/>
  <c r="AA16" i="5" s="1"/>
  <c r="Z46" i="5"/>
  <c r="AA46" i="5" s="1"/>
  <c r="Z29" i="5"/>
  <c r="AA29" i="5" s="1"/>
  <c r="Z26" i="5"/>
  <c r="AA26" i="5" s="1"/>
  <c r="Z20" i="5"/>
  <c r="AA20" i="5" s="1"/>
  <c r="Z42" i="5"/>
  <c r="AA42" i="5" s="1"/>
  <c r="Z33" i="5"/>
  <c r="AA33" i="5" s="1"/>
  <c r="Z7" i="5"/>
  <c r="AA7" i="5" s="1"/>
  <c r="Z27" i="5"/>
  <c r="AA27" i="5" s="1"/>
  <c r="Z17" i="5"/>
  <c r="AA17" i="5" s="1"/>
  <c r="Z8" i="5"/>
  <c r="AA8" i="5" s="1"/>
  <c r="Z6" i="5"/>
  <c r="AA6" i="5" s="1"/>
  <c r="Z24" i="5"/>
  <c r="AA24" i="5" s="1"/>
  <c r="Z21" i="5"/>
  <c r="AA21" i="5" s="1"/>
  <c r="I79" i="4" l="1"/>
  <c r="J9" i="4" s="1"/>
  <c r="I77" i="4"/>
  <c r="J7" i="4" s="1"/>
  <c r="I80" i="4"/>
  <c r="J10" i="4" s="1"/>
  <c r="I76" i="4"/>
  <c r="J6" i="4" s="1"/>
  <c r="I75" i="4"/>
  <c r="J5" i="4" s="1"/>
  <c r="I78" i="4"/>
  <c r="J8" i="4" s="1"/>
  <c r="I81" i="4"/>
  <c r="J11" i="4" s="1"/>
  <c r="I83" i="4"/>
  <c r="J13" i="4" s="1"/>
  <c r="I82" i="4"/>
  <c r="J12" i="4" s="1"/>
  <c r="E98" i="4"/>
  <c r="I84" i="4"/>
  <c r="J14" i="4" s="1"/>
  <c r="I84" i="5"/>
  <c r="J14" i="5" s="1"/>
  <c r="I78" i="5"/>
  <c r="J8" i="5" s="1"/>
  <c r="E98" i="5"/>
  <c r="I80" i="5"/>
  <c r="J10" i="5" s="1"/>
  <c r="I82" i="5"/>
  <c r="J12" i="5" s="1"/>
  <c r="I76" i="5"/>
  <c r="J6" i="5" s="1"/>
  <c r="I79" i="5"/>
  <c r="J9" i="5" s="1"/>
  <c r="I83" i="5"/>
  <c r="J13" i="5" s="1"/>
  <c r="I75" i="5"/>
  <c r="J5" i="5" s="1"/>
  <c r="I81" i="5"/>
  <c r="J11" i="5" s="1"/>
  <c r="I77" i="5"/>
  <c r="J7" i="5" s="1"/>
  <c r="AB68" i="4" l="1"/>
  <c r="AC68" i="4" s="1"/>
  <c r="AB66" i="4"/>
  <c r="AC66" i="4" s="1"/>
  <c r="AB64" i="4"/>
  <c r="AC64" i="4" s="1"/>
  <c r="AB62" i="4"/>
  <c r="AC62" i="4" s="1"/>
  <c r="AB60" i="4"/>
  <c r="AC60" i="4" s="1"/>
  <c r="AB58" i="4"/>
  <c r="AC58" i="4" s="1"/>
  <c r="AB69" i="4"/>
  <c r="AC69" i="4" s="1"/>
  <c r="AB54" i="4"/>
  <c r="AC54" i="4" s="1"/>
  <c r="AB50" i="4"/>
  <c r="AC50" i="4" s="1"/>
  <c r="AB12" i="4"/>
  <c r="AC12" i="4" s="1"/>
  <c r="AB6" i="4"/>
  <c r="AC6" i="4" s="1"/>
  <c r="AB41" i="4"/>
  <c r="AC41" i="4" s="1"/>
  <c r="AB67" i="4"/>
  <c r="AC67" i="4" s="1"/>
  <c r="AB59" i="4"/>
  <c r="AC59" i="4" s="1"/>
  <c r="AB46" i="4"/>
  <c r="AC46" i="4" s="1"/>
  <c r="AB38" i="4"/>
  <c r="AC38" i="4" s="1"/>
  <c r="AB33" i="4"/>
  <c r="AC33" i="4" s="1"/>
  <c r="AB31" i="4"/>
  <c r="AC31" i="4" s="1"/>
  <c r="AB29" i="4"/>
  <c r="AC29" i="4" s="1"/>
  <c r="AB27" i="4"/>
  <c r="AC27" i="4" s="1"/>
  <c r="AB25" i="4"/>
  <c r="AC25" i="4" s="1"/>
  <c r="AB23" i="4"/>
  <c r="AC23" i="4" s="1"/>
  <c r="AB21" i="4"/>
  <c r="AC21" i="4" s="1"/>
  <c r="AB19" i="4"/>
  <c r="AC19" i="4" s="1"/>
  <c r="AB17" i="4"/>
  <c r="AC17" i="4" s="1"/>
  <c r="AB15" i="4"/>
  <c r="AC15" i="4" s="1"/>
  <c r="AB11" i="4"/>
  <c r="AC11" i="4" s="1"/>
  <c r="AB61" i="4"/>
  <c r="AC61" i="4" s="1"/>
  <c r="AB53" i="4"/>
  <c r="AC53" i="4" s="1"/>
  <c r="AB57" i="4"/>
  <c r="AC57" i="4" s="1"/>
  <c r="AB49" i="4"/>
  <c r="AC49" i="4" s="1"/>
  <c r="AB43" i="4"/>
  <c r="AC43" i="4" s="1"/>
  <c r="AB48" i="4"/>
  <c r="AC48" i="4" s="1"/>
  <c r="AB45" i="4"/>
  <c r="AC45" i="4" s="1"/>
  <c r="AB37" i="4"/>
  <c r="AC37" i="4" s="1"/>
  <c r="AB63" i="4"/>
  <c r="AC63" i="4" s="1"/>
  <c r="AB42" i="4"/>
  <c r="AC42" i="4" s="1"/>
  <c r="AB34" i="4"/>
  <c r="AC34" i="4" s="1"/>
  <c r="AB32" i="4"/>
  <c r="AC32" i="4" s="1"/>
  <c r="AB30" i="4"/>
  <c r="AC30" i="4" s="1"/>
  <c r="AB8" i="4"/>
  <c r="AC8" i="4" s="1"/>
  <c r="AB10" i="4"/>
  <c r="AC10" i="4" s="1"/>
  <c r="AB35" i="4"/>
  <c r="AC35" i="4" s="1"/>
  <c r="AB65" i="4"/>
  <c r="AC65" i="4" s="1"/>
  <c r="AB55" i="4"/>
  <c r="AC55" i="4" s="1"/>
  <c r="AB44" i="4"/>
  <c r="AC44" i="4" s="1"/>
  <c r="AB39" i="4"/>
  <c r="AC39" i="4" s="1"/>
  <c r="AB28" i="4"/>
  <c r="AC28" i="4" s="1"/>
  <c r="AB26" i="4"/>
  <c r="AC26" i="4" s="1"/>
  <c r="AB24" i="4"/>
  <c r="AC24" i="4" s="1"/>
  <c r="AB22" i="4"/>
  <c r="AC22" i="4" s="1"/>
  <c r="AB20" i="4"/>
  <c r="AC20" i="4" s="1"/>
  <c r="AB18" i="4"/>
  <c r="AC18" i="4" s="1"/>
  <c r="AB16" i="4"/>
  <c r="AC16" i="4" s="1"/>
  <c r="AB14" i="4"/>
  <c r="AC14" i="4" s="1"/>
  <c r="AB51" i="4"/>
  <c r="AC51" i="4" s="1"/>
  <c r="AB36" i="4"/>
  <c r="AC36" i="4" s="1"/>
  <c r="AB47" i="4"/>
  <c r="AC47" i="4" s="1"/>
  <c r="AB40" i="4"/>
  <c r="AC40" i="4" s="1"/>
  <c r="AB7" i="4"/>
  <c r="AC7" i="4" s="1"/>
  <c r="AB9" i="4"/>
  <c r="AC9" i="4" s="1"/>
  <c r="AB56" i="4"/>
  <c r="AC56" i="4" s="1"/>
  <c r="AB52" i="4"/>
  <c r="AC52" i="4" s="1"/>
  <c r="AB13" i="4"/>
  <c r="AC13" i="4" s="1"/>
  <c r="AB68" i="5"/>
  <c r="AC68" i="5" s="1"/>
  <c r="AB66" i="5"/>
  <c r="AC66" i="5" s="1"/>
  <c r="AB64" i="5"/>
  <c r="AC64" i="5" s="1"/>
  <c r="AB62" i="5"/>
  <c r="AC62" i="5" s="1"/>
  <c r="AB60" i="5"/>
  <c r="AC60" i="5" s="1"/>
  <c r="AB58" i="5"/>
  <c r="AC58" i="5" s="1"/>
  <c r="AB56" i="5"/>
  <c r="AC56" i="5" s="1"/>
  <c r="AB54" i="5"/>
  <c r="AC54" i="5" s="1"/>
  <c r="AB52" i="5"/>
  <c r="AC52" i="5" s="1"/>
  <c r="AB50" i="5"/>
  <c r="AC50" i="5" s="1"/>
  <c r="AB48" i="5"/>
  <c r="AC48" i="5" s="1"/>
  <c r="AB46" i="5"/>
  <c r="AC46" i="5" s="1"/>
  <c r="AB44" i="5"/>
  <c r="AC44" i="5" s="1"/>
  <c r="AB42" i="5"/>
  <c r="AC42" i="5" s="1"/>
  <c r="AB40" i="5"/>
  <c r="AC40" i="5" s="1"/>
  <c r="AB38" i="5"/>
  <c r="AC38" i="5" s="1"/>
  <c r="AB36" i="5"/>
  <c r="AC36" i="5" s="1"/>
  <c r="AB34" i="5"/>
  <c r="AC34" i="5" s="1"/>
  <c r="AB27" i="5"/>
  <c r="AC27" i="5" s="1"/>
  <c r="AB19" i="5"/>
  <c r="AC19" i="5" s="1"/>
  <c r="AB47" i="5"/>
  <c r="AC47" i="5" s="1"/>
  <c r="AB43" i="5"/>
  <c r="AC43" i="5" s="1"/>
  <c r="AB39" i="5"/>
  <c r="AC39" i="5" s="1"/>
  <c r="AB35" i="5"/>
  <c r="AC35" i="5" s="1"/>
  <c r="AB28" i="5"/>
  <c r="AC28" i="5" s="1"/>
  <c r="AB20" i="5"/>
  <c r="AC20" i="5" s="1"/>
  <c r="AB67" i="5"/>
  <c r="AC67" i="5" s="1"/>
  <c r="AB65" i="5"/>
  <c r="AC65" i="5" s="1"/>
  <c r="AB22" i="5"/>
  <c r="AC22" i="5" s="1"/>
  <c r="AB53" i="5"/>
  <c r="AC53" i="5" s="1"/>
  <c r="AB15" i="5"/>
  <c r="AC15" i="5" s="1"/>
  <c r="AB63" i="5"/>
  <c r="AC63" i="5" s="1"/>
  <c r="AB25" i="5"/>
  <c r="AC25" i="5" s="1"/>
  <c r="AB55" i="5"/>
  <c r="AC55" i="5" s="1"/>
  <c r="AB41" i="5"/>
  <c r="AC41" i="5" s="1"/>
  <c r="AB32" i="5"/>
  <c r="AC32" i="5" s="1"/>
  <c r="AB29" i="5"/>
  <c r="AC29" i="5" s="1"/>
  <c r="AB16" i="5"/>
  <c r="AC16" i="5" s="1"/>
  <c r="AB57" i="5"/>
  <c r="AC57" i="5" s="1"/>
  <c r="AB69" i="5"/>
  <c r="AC69" i="5" s="1"/>
  <c r="AB37" i="5"/>
  <c r="AC37" i="5" s="1"/>
  <c r="AB26" i="5"/>
  <c r="AC26" i="5" s="1"/>
  <c r="AB33" i="5"/>
  <c r="AC33" i="5" s="1"/>
  <c r="AB23" i="5"/>
  <c r="AC23" i="5" s="1"/>
  <c r="AB7" i="5"/>
  <c r="AC7" i="5" s="1"/>
  <c r="AB17" i="5"/>
  <c r="AC17" i="5" s="1"/>
  <c r="AB13" i="5"/>
  <c r="AC13" i="5" s="1"/>
  <c r="AB11" i="5"/>
  <c r="AC11" i="5" s="1"/>
  <c r="AB9" i="5"/>
  <c r="AC9" i="5" s="1"/>
  <c r="AB6" i="5"/>
  <c r="AC6" i="5" s="1"/>
  <c r="AB59" i="5"/>
  <c r="AC59" i="5" s="1"/>
  <c r="AB51" i="5"/>
  <c r="AC51" i="5" s="1"/>
  <c r="AB30" i="5"/>
  <c r="AC30" i="5" s="1"/>
  <c r="AB12" i="5"/>
  <c r="AC12" i="5" s="1"/>
  <c r="AB10" i="5"/>
  <c r="AC10" i="5" s="1"/>
  <c r="AB8" i="5"/>
  <c r="AC8" i="5" s="1"/>
  <c r="AB49" i="5"/>
  <c r="AC49" i="5" s="1"/>
  <c r="AB24" i="5"/>
  <c r="AC24" i="5" s="1"/>
  <c r="AB14" i="5"/>
  <c r="AC14" i="5" s="1"/>
  <c r="AB31" i="5"/>
  <c r="AC31" i="5" s="1"/>
  <c r="AB21" i="5"/>
  <c r="AC21" i="5" s="1"/>
  <c r="AB61" i="5"/>
  <c r="AC61" i="5" s="1"/>
  <c r="AB18" i="5"/>
  <c r="AC18" i="5" s="1"/>
  <c r="AB45" i="5"/>
  <c r="AC45" i="5" s="1"/>
  <c r="B91" i="4" l="1"/>
  <c r="B90" i="4"/>
  <c r="B2" i="7" s="1"/>
  <c r="E99" i="4"/>
  <c r="B91" i="5"/>
  <c r="B90" i="5"/>
  <c r="B3" i="7" s="1"/>
  <c r="E99" i="5"/>
</calcChain>
</file>

<file path=xl/sharedStrings.xml><?xml version="1.0" encoding="utf-8"?>
<sst xmlns="http://schemas.openxmlformats.org/spreadsheetml/2006/main" count="396" uniqueCount="121">
  <si>
    <t>sheet</t>
  </si>
  <si>
    <t>purpose</t>
  </si>
  <si>
    <t>Insurance_Data</t>
  </si>
  <si>
    <t>Chunk 1 data load, factor recode, and AvgClaims helper.</t>
  </si>
  <si>
    <t>Design_Matrix</t>
  </si>
  <si>
    <t>Dummy-variable design matrix used by all model mechanics.</t>
  </si>
  <si>
    <t>Poisson_No_Offset</t>
  </si>
  <si>
    <t>Chunk 2 mod1: Poisson without offset, gradient mechanics in formulas.</t>
  </si>
  <si>
    <t>Poisson_With_Offset</t>
  </si>
  <si>
    <t>Chunk 2 mod2: Poisson with log(Holders) offset, formula-only mechanics.</t>
  </si>
  <si>
    <t>Gaussian_Models</t>
  </si>
  <si>
    <t>Chunk 3 mod3/mod4/mod5 OLS and weighted least squares via matrix formulas.</t>
  </si>
  <si>
    <t>Model_Comparison</t>
  </si>
  <si>
    <t>SSE comparison matching sse1..sse5 with charts.</t>
  </si>
  <si>
    <t>All calculations are performed with Excel formulas.</t>
  </si>
  <si>
    <t>row_id</t>
  </si>
  <si>
    <t>District_raw</t>
  </si>
  <si>
    <t>District_factor</t>
  </si>
  <si>
    <t>Group</t>
  </si>
  <si>
    <t>Age</t>
  </si>
  <si>
    <t>Holders</t>
  </si>
  <si>
    <t>Claims</t>
  </si>
  <si>
    <t>AvgClaims</t>
  </si>
  <si>
    <t>1</t>
  </si>
  <si>
    <t>&lt;1l</t>
  </si>
  <si>
    <t>&lt;25</t>
  </si>
  <si>
    <t>25-29</t>
  </si>
  <si>
    <t>30-35</t>
  </si>
  <si>
    <t>&gt;35</t>
  </si>
  <si>
    <t>1-1.5l</t>
  </si>
  <si>
    <t>1.5-2l</t>
  </si>
  <si>
    <t>&gt;2l</t>
  </si>
  <si>
    <t>2</t>
  </si>
  <si>
    <t>3</t>
  </si>
  <si>
    <t>4</t>
  </si>
  <si>
    <t>Intercept</t>
  </si>
  <si>
    <t>District_2</t>
  </si>
  <si>
    <t>District_3</t>
  </si>
  <si>
    <t>District_4</t>
  </si>
  <si>
    <t>Group_1-1.5l</t>
  </si>
  <si>
    <t>Group_1.5-2l</t>
  </si>
  <si>
    <t>Group_&gt;2l</t>
  </si>
  <si>
    <t>Age_25-29</t>
  </si>
  <si>
    <t>Age_30-35</t>
  </si>
  <si>
    <t>Age_&gt;35</t>
  </si>
  <si>
    <t>learning_rate</t>
  </si>
  <si>
    <t>iterations</t>
  </si>
  <si>
    <t>coef</t>
  </si>
  <si>
    <t>iter_0</t>
  </si>
  <si>
    <t>iter_1</t>
  </si>
  <si>
    <t>iter_2</t>
  </si>
  <si>
    <t>iter_3</t>
  </si>
  <si>
    <t>iter_4</t>
  </si>
  <si>
    <t>iter_5</t>
  </si>
  <si>
    <t>iter_6</t>
  </si>
  <si>
    <t>iter_7</t>
  </si>
  <si>
    <t>iter_8</t>
  </si>
  <si>
    <t>Row mechanics by iteration</t>
  </si>
  <si>
    <t>eta_iter_0</t>
  </si>
  <si>
    <t>mu_iter_0</t>
  </si>
  <si>
    <t>eta_iter_1</t>
  </si>
  <si>
    <t>mu_iter_1</t>
  </si>
  <si>
    <t>eta_iter_2</t>
  </si>
  <si>
    <t>mu_iter_2</t>
  </si>
  <si>
    <t>eta_iter_3</t>
  </si>
  <si>
    <t>mu_iter_3</t>
  </si>
  <si>
    <t>eta_iter_4</t>
  </si>
  <si>
    <t>mu_iter_4</t>
  </si>
  <si>
    <t>eta_iter_5</t>
  </si>
  <si>
    <t>mu_iter_5</t>
  </si>
  <si>
    <t>eta_iter_6</t>
  </si>
  <si>
    <t>mu_iter_6</t>
  </si>
  <si>
    <t>eta_iter_7</t>
  </si>
  <si>
    <t>mu_iter_7</t>
  </si>
  <si>
    <t>eta_iter_8</t>
  </si>
  <si>
    <t>mu_iter_8</t>
  </si>
  <si>
    <t>Gradient block (score equations)</t>
  </si>
  <si>
    <t>g_iter_0</t>
  </si>
  <si>
    <t>g_iter_1</t>
  </si>
  <si>
    <t>g_iter_2</t>
  </si>
  <si>
    <t>g_iter_3</t>
  </si>
  <si>
    <t>g_iter_4</t>
  </si>
  <si>
    <t>g_iter_5</t>
  </si>
  <si>
    <t>g_iter_6</t>
  </si>
  <si>
    <t>g_iter_7</t>
  </si>
  <si>
    <t>SSE</t>
  </si>
  <si>
    <t>iter</t>
  </si>
  <si>
    <t>sse_iter</t>
  </si>
  <si>
    <t>mean_pred</t>
  </si>
  <si>
    <t>mod3/mod4/mod5 mechanics (matrix formulas)</t>
  </si>
  <si>
    <t>mod3 (gaussian on Claims)</t>
  </si>
  <si>
    <t>mod4 (gaussian on AvgClaims)</t>
  </si>
  <si>
    <t>mod5 (weighted gaussian on AvgClaims, weights=Holders)</t>
  </si>
  <si>
    <t>XTX</t>
  </si>
  <si>
    <t>XTy_claims</t>
  </si>
  <si>
    <t>beta_mod3</t>
  </si>
  <si>
    <t>XTy_avgclaims</t>
  </si>
  <si>
    <t>beta_mod4</t>
  </si>
  <si>
    <t>Weighted X = X*sqrt(w)</t>
  </si>
  <si>
    <t>Weighted y = AvgClaims*sqrt(w)</t>
  </si>
  <si>
    <t>X'WX</t>
  </si>
  <si>
    <t>X'Wy</t>
  </si>
  <si>
    <t>beta_mod5</t>
  </si>
  <si>
    <t>pred3</t>
  </si>
  <si>
    <t>pred4_avgclaims</t>
  </si>
  <si>
    <t>pred4_claims</t>
  </si>
  <si>
    <t>pred5_avgclaims</t>
  </si>
  <si>
    <t>pred5_claims</t>
  </si>
  <si>
    <t>sse3</t>
  </si>
  <si>
    <t>sse4</t>
  </si>
  <si>
    <t>sse5</t>
  </si>
  <si>
    <t>Model</t>
  </si>
  <si>
    <t>Source</t>
  </si>
  <si>
    <t>sse1_mod1_poisson_no_offset</t>
  </si>
  <si>
    <t>Chunk 2</t>
  </si>
  <si>
    <t>sse2_mod2_poisson_with_offset</t>
  </si>
  <si>
    <t>sse3_mod3_gaussian_claims</t>
  </si>
  <si>
    <t>Chunk 3</t>
  </si>
  <si>
    <t>sse4_mod4_gaussian_avgclaims</t>
  </si>
  <si>
    <t>sse5_mod5_weighted_gaussian</t>
  </si>
  <si>
    <t>Expected from the Rmd: offset helps Poisson, weighted gaussian helps among gaussian fits.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</si>
</sst>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Poisson_No_Offset SSE by iteration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Poisson_No_Offset!$E$90</c:f>
              <c:strCache>
                <c:ptCount val="1"/>
                <c:pt idx="0">
                  <c:v>sse_iter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Poisson_No_Offset!$D$91:$D$99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cat>
          <c:val>
            <c:numRef>
              <c:f>Poisson_No_Offset!$E$91:$E$99</c:f>
              <c:numCache>
                <c:formatCode>General</c:formatCode>
                <c:ptCount val="9"/>
                <c:pt idx="0">
                  <c:v>467937</c:v>
                </c:pt>
                <c:pt idx="1">
                  <c:v>467937</c:v>
                </c:pt>
                <c:pt idx="2">
                  <c:v>467937</c:v>
                </c:pt>
                <c:pt idx="3">
                  <c:v>467937</c:v>
                </c:pt>
                <c:pt idx="4">
                  <c:v>467937</c:v>
                </c:pt>
                <c:pt idx="5">
                  <c:v>467937</c:v>
                </c:pt>
                <c:pt idx="6">
                  <c:v>467937</c:v>
                </c:pt>
                <c:pt idx="7">
                  <c:v>467937</c:v>
                </c:pt>
                <c:pt idx="8">
                  <c:v>467937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E0-9C49-A6DF-E62BEF062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Poisson_With_Offset SSE by iteration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Poisson_With_Offset!$E$90</c:f>
              <c:strCache>
                <c:ptCount val="1"/>
                <c:pt idx="0">
                  <c:v>sse_iter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Poisson_With_Offset!$D$91:$D$99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cat>
          <c:val>
            <c:numRef>
              <c:f>Poisson_With_Offset!$E$91:$E$99</c:f>
              <c:numCache>
                <c:formatCode>General</c:formatCode>
                <c:ptCount val="9"/>
                <c:pt idx="0">
                  <c:v>25629248.000000015</c:v>
                </c:pt>
                <c:pt idx="1">
                  <c:v>25629248.000000015</c:v>
                </c:pt>
                <c:pt idx="2">
                  <c:v>25629248.000000015</c:v>
                </c:pt>
                <c:pt idx="3">
                  <c:v>25629248.000000015</c:v>
                </c:pt>
                <c:pt idx="4">
                  <c:v>25629248.000000015</c:v>
                </c:pt>
                <c:pt idx="5">
                  <c:v>25629248.000000015</c:v>
                </c:pt>
                <c:pt idx="6">
                  <c:v>25629248.000000015</c:v>
                </c:pt>
                <c:pt idx="7">
                  <c:v>25629248.000000015</c:v>
                </c:pt>
                <c:pt idx="8">
                  <c:v>25629248.000000015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4D-8B4F-8C3E-7A27308A4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SSE comparison (sse1..sse5)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Model_Comparison!$B$1</c:f>
              <c:strCache>
                <c:ptCount val="1"/>
                <c:pt idx="0">
                  <c:v>SSE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Model_Comparison!$A$2:$A$6</c:f>
              <c:strCache>
                <c:ptCount val="5"/>
                <c:pt idx="0">
                  <c:v>sse1_mod1_poisson_no_offset</c:v>
                </c:pt>
                <c:pt idx="1">
                  <c:v>sse2_mod2_poisson_with_offset</c:v>
                </c:pt>
                <c:pt idx="2">
                  <c:v>sse3_mod3_gaussian_claims</c:v>
                </c:pt>
                <c:pt idx="3">
                  <c:v>sse4_mod4_gaussian_avgclaims</c:v>
                </c:pt>
                <c:pt idx="4">
                  <c:v>sse5_mod5_weighted_gaussian</c:v>
                </c:pt>
              </c:strCache>
            </c:strRef>
          </c:cat>
          <c:val>
            <c:numRef>
              <c:f>Model_Comparison!$B$2:$B$6</c:f>
              <c:numCache>
                <c:formatCode>General</c:formatCode>
                <c:ptCount val="5"/>
                <c:pt idx="0">
                  <c:v>467937</c:v>
                </c:pt>
                <c:pt idx="1">
                  <c:v>25629248.000000015</c:v>
                </c:pt>
                <c:pt idx="2">
                  <c:v>95361.96875</c:v>
                </c:pt>
                <c:pt idx="3">
                  <c:v>9257.1853755766242</c:v>
                </c:pt>
                <c:pt idx="4">
                  <c:v>1807.9041431650812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B-7F4E-ACFD-2058656FB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89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89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baseColWidth="10" defaultColWidth="8.83203125" defaultRowHeight="15" x14ac:dyDescent="0.2"/>
  <cols>
    <col min="1" max="2" width="13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10" spans="1:2" x14ac:dyDescent="0.2">
      <c r="A10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5"/>
  <sheetViews>
    <sheetView workbookViewId="0"/>
  </sheetViews>
  <sheetFormatPr baseColWidth="10" defaultColWidth="8.83203125" defaultRowHeight="15" x14ac:dyDescent="0.2"/>
  <cols>
    <col min="1" max="1" width="13" customWidth="1"/>
    <col min="2" max="2" width="14" customWidth="1"/>
    <col min="3" max="3" width="17" customWidth="1"/>
    <col min="4" max="8" width="13" customWidth="1"/>
  </cols>
  <sheetData>
    <row r="1" spans="1:8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 x14ac:dyDescent="0.2">
      <c r="A2">
        <v>1</v>
      </c>
      <c r="B2">
        <v>1</v>
      </c>
      <c r="C2" t="s">
        <v>23</v>
      </c>
      <c r="D2" t="s">
        <v>24</v>
      </c>
      <c r="E2" t="s">
        <v>25</v>
      </c>
      <c r="F2">
        <v>197</v>
      </c>
      <c r="G2">
        <v>38</v>
      </c>
      <c r="H2">
        <f t="shared" ref="H2:H33" si="0">IFERROR(G2/F2,0)</f>
        <v>0.19289340101522842</v>
      </c>
    </row>
    <row r="3" spans="1:8" x14ac:dyDescent="0.2">
      <c r="A3">
        <v>2</v>
      </c>
      <c r="B3">
        <v>1</v>
      </c>
      <c r="C3" t="s">
        <v>23</v>
      </c>
      <c r="D3" t="s">
        <v>24</v>
      </c>
      <c r="E3" t="s">
        <v>26</v>
      </c>
      <c r="F3">
        <v>264</v>
      </c>
      <c r="G3">
        <v>35</v>
      </c>
      <c r="H3">
        <f t="shared" si="0"/>
        <v>0.13257575757575757</v>
      </c>
    </row>
    <row r="4" spans="1:8" x14ac:dyDescent="0.2">
      <c r="A4">
        <v>3</v>
      </c>
      <c r="B4">
        <v>1</v>
      </c>
      <c r="C4" t="s">
        <v>23</v>
      </c>
      <c r="D4" t="s">
        <v>24</v>
      </c>
      <c r="E4" t="s">
        <v>27</v>
      </c>
      <c r="F4">
        <v>246</v>
      </c>
      <c r="G4">
        <v>20</v>
      </c>
      <c r="H4">
        <f t="shared" si="0"/>
        <v>8.1300813008130079E-2</v>
      </c>
    </row>
    <row r="5" spans="1:8" x14ac:dyDescent="0.2">
      <c r="A5">
        <v>4</v>
      </c>
      <c r="B5">
        <v>1</v>
      </c>
      <c r="C5" t="s">
        <v>23</v>
      </c>
      <c r="D5" t="s">
        <v>24</v>
      </c>
      <c r="E5" t="s">
        <v>28</v>
      </c>
      <c r="F5">
        <v>1680</v>
      </c>
      <c r="G5">
        <v>156</v>
      </c>
      <c r="H5">
        <f t="shared" si="0"/>
        <v>9.285714285714286E-2</v>
      </c>
    </row>
    <row r="6" spans="1:8" x14ac:dyDescent="0.2">
      <c r="A6">
        <v>5</v>
      </c>
      <c r="B6">
        <v>1</v>
      </c>
      <c r="C6" t="s">
        <v>23</v>
      </c>
      <c r="D6" t="s">
        <v>29</v>
      </c>
      <c r="E6" t="s">
        <v>25</v>
      </c>
      <c r="F6">
        <v>284</v>
      </c>
      <c r="G6">
        <v>63</v>
      </c>
      <c r="H6">
        <f t="shared" si="0"/>
        <v>0.22183098591549297</v>
      </c>
    </row>
    <row r="7" spans="1:8" x14ac:dyDescent="0.2">
      <c r="A7">
        <v>6</v>
      </c>
      <c r="B7">
        <v>1</v>
      </c>
      <c r="C7" t="s">
        <v>23</v>
      </c>
      <c r="D7" t="s">
        <v>29</v>
      </c>
      <c r="E7" t="s">
        <v>26</v>
      </c>
      <c r="F7">
        <v>536</v>
      </c>
      <c r="G7">
        <v>84</v>
      </c>
      <c r="H7">
        <f t="shared" si="0"/>
        <v>0.15671641791044777</v>
      </c>
    </row>
    <row r="8" spans="1:8" x14ac:dyDescent="0.2">
      <c r="A8">
        <v>7</v>
      </c>
      <c r="B8">
        <v>1</v>
      </c>
      <c r="C8" t="s">
        <v>23</v>
      </c>
      <c r="D8" t="s">
        <v>29</v>
      </c>
      <c r="E8" t="s">
        <v>27</v>
      </c>
      <c r="F8">
        <v>696</v>
      </c>
      <c r="G8">
        <v>89</v>
      </c>
      <c r="H8">
        <f t="shared" si="0"/>
        <v>0.1278735632183908</v>
      </c>
    </row>
    <row r="9" spans="1:8" x14ac:dyDescent="0.2">
      <c r="A9">
        <v>8</v>
      </c>
      <c r="B9">
        <v>1</v>
      </c>
      <c r="C9" t="s">
        <v>23</v>
      </c>
      <c r="D9" t="s">
        <v>29</v>
      </c>
      <c r="E9" t="s">
        <v>28</v>
      </c>
      <c r="F9">
        <v>3582</v>
      </c>
      <c r="G9">
        <v>400</v>
      </c>
      <c r="H9">
        <f t="shared" si="0"/>
        <v>0.11166945840312674</v>
      </c>
    </row>
    <row r="10" spans="1:8" x14ac:dyDescent="0.2">
      <c r="A10">
        <v>9</v>
      </c>
      <c r="B10">
        <v>1</v>
      </c>
      <c r="C10" t="s">
        <v>23</v>
      </c>
      <c r="D10" t="s">
        <v>30</v>
      </c>
      <c r="E10" t="s">
        <v>25</v>
      </c>
      <c r="F10">
        <v>133</v>
      </c>
      <c r="G10">
        <v>19</v>
      </c>
      <c r="H10">
        <f t="shared" si="0"/>
        <v>0.14285714285714285</v>
      </c>
    </row>
    <row r="11" spans="1:8" x14ac:dyDescent="0.2">
      <c r="A11">
        <v>10</v>
      </c>
      <c r="B11">
        <v>1</v>
      </c>
      <c r="C11" t="s">
        <v>23</v>
      </c>
      <c r="D11" t="s">
        <v>30</v>
      </c>
      <c r="E11" t="s">
        <v>26</v>
      </c>
      <c r="F11">
        <v>286</v>
      </c>
      <c r="G11">
        <v>52</v>
      </c>
      <c r="H11">
        <f t="shared" si="0"/>
        <v>0.18181818181818182</v>
      </c>
    </row>
    <row r="12" spans="1:8" x14ac:dyDescent="0.2">
      <c r="A12">
        <v>11</v>
      </c>
      <c r="B12">
        <v>1</v>
      </c>
      <c r="C12" t="s">
        <v>23</v>
      </c>
      <c r="D12" t="s">
        <v>30</v>
      </c>
      <c r="E12" t="s">
        <v>27</v>
      </c>
      <c r="F12">
        <v>355</v>
      </c>
      <c r="G12">
        <v>74</v>
      </c>
      <c r="H12">
        <f t="shared" si="0"/>
        <v>0.20845070422535211</v>
      </c>
    </row>
    <row r="13" spans="1:8" x14ac:dyDescent="0.2">
      <c r="A13">
        <v>12</v>
      </c>
      <c r="B13">
        <v>1</v>
      </c>
      <c r="C13" t="s">
        <v>23</v>
      </c>
      <c r="D13" t="s">
        <v>30</v>
      </c>
      <c r="E13" t="s">
        <v>28</v>
      </c>
      <c r="F13">
        <v>1640</v>
      </c>
      <c r="G13">
        <v>233</v>
      </c>
      <c r="H13">
        <f t="shared" si="0"/>
        <v>0.1420731707317073</v>
      </c>
    </row>
    <row r="14" spans="1:8" x14ac:dyDescent="0.2">
      <c r="A14">
        <v>13</v>
      </c>
      <c r="B14">
        <v>1</v>
      </c>
      <c r="C14" t="s">
        <v>23</v>
      </c>
      <c r="D14" t="s">
        <v>31</v>
      </c>
      <c r="E14" t="s">
        <v>25</v>
      </c>
      <c r="F14">
        <v>24</v>
      </c>
      <c r="G14">
        <v>4</v>
      </c>
      <c r="H14">
        <f t="shared" si="0"/>
        <v>0.16666666666666666</v>
      </c>
    </row>
    <row r="15" spans="1:8" x14ac:dyDescent="0.2">
      <c r="A15">
        <v>14</v>
      </c>
      <c r="B15">
        <v>1</v>
      </c>
      <c r="C15" t="s">
        <v>23</v>
      </c>
      <c r="D15" t="s">
        <v>31</v>
      </c>
      <c r="E15" t="s">
        <v>26</v>
      </c>
      <c r="F15">
        <v>71</v>
      </c>
      <c r="G15">
        <v>18</v>
      </c>
      <c r="H15">
        <f t="shared" si="0"/>
        <v>0.25352112676056338</v>
      </c>
    </row>
    <row r="16" spans="1:8" x14ac:dyDescent="0.2">
      <c r="A16">
        <v>15</v>
      </c>
      <c r="B16">
        <v>1</v>
      </c>
      <c r="C16" t="s">
        <v>23</v>
      </c>
      <c r="D16" t="s">
        <v>31</v>
      </c>
      <c r="E16" t="s">
        <v>27</v>
      </c>
      <c r="F16">
        <v>99</v>
      </c>
      <c r="G16">
        <v>19</v>
      </c>
      <c r="H16">
        <f t="shared" si="0"/>
        <v>0.19191919191919191</v>
      </c>
    </row>
    <row r="17" spans="1:8" x14ac:dyDescent="0.2">
      <c r="A17">
        <v>16</v>
      </c>
      <c r="B17">
        <v>1</v>
      </c>
      <c r="C17" t="s">
        <v>23</v>
      </c>
      <c r="D17" t="s">
        <v>31</v>
      </c>
      <c r="E17" t="s">
        <v>28</v>
      </c>
      <c r="F17">
        <v>452</v>
      </c>
      <c r="G17">
        <v>77</v>
      </c>
      <c r="H17">
        <f t="shared" si="0"/>
        <v>0.17035398230088494</v>
      </c>
    </row>
    <row r="18" spans="1:8" x14ac:dyDescent="0.2">
      <c r="A18">
        <v>17</v>
      </c>
      <c r="B18">
        <v>2</v>
      </c>
      <c r="C18" t="s">
        <v>32</v>
      </c>
      <c r="D18" t="s">
        <v>24</v>
      </c>
      <c r="E18" t="s">
        <v>25</v>
      </c>
      <c r="F18">
        <v>85</v>
      </c>
      <c r="G18">
        <v>22</v>
      </c>
      <c r="H18">
        <f t="shared" si="0"/>
        <v>0.25882352941176473</v>
      </c>
    </row>
    <row r="19" spans="1:8" x14ac:dyDescent="0.2">
      <c r="A19">
        <v>18</v>
      </c>
      <c r="B19">
        <v>2</v>
      </c>
      <c r="C19" t="s">
        <v>32</v>
      </c>
      <c r="D19" t="s">
        <v>24</v>
      </c>
      <c r="E19" t="s">
        <v>26</v>
      </c>
      <c r="F19">
        <v>139</v>
      </c>
      <c r="G19">
        <v>19</v>
      </c>
      <c r="H19">
        <f t="shared" si="0"/>
        <v>0.1366906474820144</v>
      </c>
    </row>
    <row r="20" spans="1:8" x14ac:dyDescent="0.2">
      <c r="A20">
        <v>19</v>
      </c>
      <c r="B20">
        <v>2</v>
      </c>
      <c r="C20" t="s">
        <v>32</v>
      </c>
      <c r="D20" t="s">
        <v>24</v>
      </c>
      <c r="E20" t="s">
        <v>27</v>
      </c>
      <c r="F20">
        <v>151</v>
      </c>
      <c r="G20">
        <v>22</v>
      </c>
      <c r="H20">
        <f t="shared" si="0"/>
        <v>0.14569536423841059</v>
      </c>
    </row>
    <row r="21" spans="1:8" x14ac:dyDescent="0.2">
      <c r="A21">
        <v>20</v>
      </c>
      <c r="B21">
        <v>2</v>
      </c>
      <c r="C21" t="s">
        <v>32</v>
      </c>
      <c r="D21" t="s">
        <v>24</v>
      </c>
      <c r="E21" t="s">
        <v>28</v>
      </c>
      <c r="F21">
        <v>931</v>
      </c>
      <c r="G21">
        <v>87</v>
      </c>
      <c r="H21">
        <f t="shared" si="0"/>
        <v>9.3447905477980667E-2</v>
      </c>
    </row>
    <row r="22" spans="1:8" x14ac:dyDescent="0.2">
      <c r="A22">
        <v>21</v>
      </c>
      <c r="B22">
        <v>2</v>
      </c>
      <c r="C22" t="s">
        <v>32</v>
      </c>
      <c r="D22" t="s">
        <v>29</v>
      </c>
      <c r="E22" t="s">
        <v>25</v>
      </c>
      <c r="F22">
        <v>149</v>
      </c>
      <c r="G22">
        <v>25</v>
      </c>
      <c r="H22">
        <f t="shared" si="0"/>
        <v>0.16778523489932887</v>
      </c>
    </row>
    <row r="23" spans="1:8" x14ac:dyDescent="0.2">
      <c r="A23">
        <v>22</v>
      </c>
      <c r="B23">
        <v>2</v>
      </c>
      <c r="C23" t="s">
        <v>32</v>
      </c>
      <c r="D23" t="s">
        <v>29</v>
      </c>
      <c r="E23" t="s">
        <v>26</v>
      </c>
      <c r="F23">
        <v>313</v>
      </c>
      <c r="G23">
        <v>51</v>
      </c>
      <c r="H23">
        <f t="shared" si="0"/>
        <v>0.16293929712460065</v>
      </c>
    </row>
    <row r="24" spans="1:8" x14ac:dyDescent="0.2">
      <c r="A24">
        <v>23</v>
      </c>
      <c r="B24">
        <v>2</v>
      </c>
      <c r="C24" t="s">
        <v>32</v>
      </c>
      <c r="D24" t="s">
        <v>29</v>
      </c>
      <c r="E24" t="s">
        <v>27</v>
      </c>
      <c r="F24">
        <v>419</v>
      </c>
      <c r="G24">
        <v>49</v>
      </c>
      <c r="H24">
        <f t="shared" si="0"/>
        <v>0.11694510739856802</v>
      </c>
    </row>
    <row r="25" spans="1:8" x14ac:dyDescent="0.2">
      <c r="A25">
        <v>24</v>
      </c>
      <c r="B25">
        <v>2</v>
      </c>
      <c r="C25" t="s">
        <v>32</v>
      </c>
      <c r="D25" t="s">
        <v>29</v>
      </c>
      <c r="E25" t="s">
        <v>28</v>
      </c>
      <c r="F25">
        <v>2443</v>
      </c>
      <c r="G25">
        <v>290</v>
      </c>
      <c r="H25">
        <f t="shared" si="0"/>
        <v>0.11870650839132214</v>
      </c>
    </row>
    <row r="26" spans="1:8" x14ac:dyDescent="0.2">
      <c r="A26">
        <v>25</v>
      </c>
      <c r="B26">
        <v>2</v>
      </c>
      <c r="C26" t="s">
        <v>32</v>
      </c>
      <c r="D26" t="s">
        <v>30</v>
      </c>
      <c r="E26" t="s">
        <v>25</v>
      </c>
      <c r="F26">
        <v>66</v>
      </c>
      <c r="G26">
        <v>14</v>
      </c>
      <c r="H26">
        <f t="shared" si="0"/>
        <v>0.21212121212121213</v>
      </c>
    </row>
    <row r="27" spans="1:8" x14ac:dyDescent="0.2">
      <c r="A27">
        <v>26</v>
      </c>
      <c r="B27">
        <v>2</v>
      </c>
      <c r="C27" t="s">
        <v>32</v>
      </c>
      <c r="D27" t="s">
        <v>30</v>
      </c>
      <c r="E27" t="s">
        <v>26</v>
      </c>
      <c r="F27">
        <v>175</v>
      </c>
      <c r="G27">
        <v>46</v>
      </c>
      <c r="H27">
        <f t="shared" si="0"/>
        <v>0.26285714285714284</v>
      </c>
    </row>
    <row r="28" spans="1:8" x14ac:dyDescent="0.2">
      <c r="A28">
        <v>27</v>
      </c>
      <c r="B28">
        <v>2</v>
      </c>
      <c r="C28" t="s">
        <v>32</v>
      </c>
      <c r="D28" t="s">
        <v>30</v>
      </c>
      <c r="E28" t="s">
        <v>27</v>
      </c>
      <c r="F28">
        <v>221</v>
      </c>
      <c r="G28">
        <v>39</v>
      </c>
      <c r="H28">
        <f t="shared" si="0"/>
        <v>0.17647058823529413</v>
      </c>
    </row>
    <row r="29" spans="1:8" x14ac:dyDescent="0.2">
      <c r="A29">
        <v>28</v>
      </c>
      <c r="B29">
        <v>2</v>
      </c>
      <c r="C29" t="s">
        <v>32</v>
      </c>
      <c r="D29" t="s">
        <v>30</v>
      </c>
      <c r="E29" t="s">
        <v>28</v>
      </c>
      <c r="F29">
        <v>1110</v>
      </c>
      <c r="G29">
        <v>143</v>
      </c>
      <c r="H29">
        <f t="shared" si="0"/>
        <v>0.12882882882882882</v>
      </c>
    </row>
    <row r="30" spans="1:8" x14ac:dyDescent="0.2">
      <c r="A30">
        <v>29</v>
      </c>
      <c r="B30">
        <v>2</v>
      </c>
      <c r="C30" t="s">
        <v>32</v>
      </c>
      <c r="D30" t="s">
        <v>31</v>
      </c>
      <c r="E30" t="s">
        <v>25</v>
      </c>
      <c r="F30">
        <v>9</v>
      </c>
      <c r="G30">
        <v>4</v>
      </c>
      <c r="H30">
        <f t="shared" si="0"/>
        <v>0.44444444444444442</v>
      </c>
    </row>
    <row r="31" spans="1:8" x14ac:dyDescent="0.2">
      <c r="A31">
        <v>30</v>
      </c>
      <c r="B31">
        <v>2</v>
      </c>
      <c r="C31" t="s">
        <v>32</v>
      </c>
      <c r="D31" t="s">
        <v>31</v>
      </c>
      <c r="E31" t="s">
        <v>26</v>
      </c>
      <c r="F31">
        <v>48</v>
      </c>
      <c r="G31">
        <v>15</v>
      </c>
      <c r="H31">
        <f t="shared" si="0"/>
        <v>0.3125</v>
      </c>
    </row>
    <row r="32" spans="1:8" x14ac:dyDescent="0.2">
      <c r="A32">
        <v>31</v>
      </c>
      <c r="B32">
        <v>2</v>
      </c>
      <c r="C32" t="s">
        <v>32</v>
      </c>
      <c r="D32" t="s">
        <v>31</v>
      </c>
      <c r="E32" t="s">
        <v>27</v>
      </c>
      <c r="F32">
        <v>72</v>
      </c>
      <c r="G32">
        <v>12</v>
      </c>
      <c r="H32">
        <f t="shared" si="0"/>
        <v>0.16666666666666666</v>
      </c>
    </row>
    <row r="33" spans="1:8" x14ac:dyDescent="0.2">
      <c r="A33">
        <v>32</v>
      </c>
      <c r="B33">
        <v>2</v>
      </c>
      <c r="C33" t="s">
        <v>32</v>
      </c>
      <c r="D33" t="s">
        <v>31</v>
      </c>
      <c r="E33" t="s">
        <v>28</v>
      </c>
      <c r="F33">
        <v>322</v>
      </c>
      <c r="G33">
        <v>53</v>
      </c>
      <c r="H33">
        <f t="shared" si="0"/>
        <v>0.16459627329192547</v>
      </c>
    </row>
    <row r="34" spans="1:8" x14ac:dyDescent="0.2">
      <c r="A34">
        <v>33</v>
      </c>
      <c r="B34">
        <v>3</v>
      </c>
      <c r="C34" t="s">
        <v>33</v>
      </c>
      <c r="D34" t="s">
        <v>24</v>
      </c>
      <c r="E34" t="s">
        <v>25</v>
      </c>
      <c r="F34">
        <v>35</v>
      </c>
      <c r="G34">
        <v>5</v>
      </c>
      <c r="H34">
        <f t="shared" ref="H34:H65" si="1">IFERROR(G34/F34,0)</f>
        <v>0.14285714285714285</v>
      </c>
    </row>
    <row r="35" spans="1:8" x14ac:dyDescent="0.2">
      <c r="A35">
        <v>34</v>
      </c>
      <c r="B35">
        <v>3</v>
      </c>
      <c r="C35" t="s">
        <v>33</v>
      </c>
      <c r="D35" t="s">
        <v>24</v>
      </c>
      <c r="E35" t="s">
        <v>26</v>
      </c>
      <c r="F35">
        <v>73</v>
      </c>
      <c r="G35">
        <v>11</v>
      </c>
      <c r="H35">
        <f t="shared" si="1"/>
        <v>0.15068493150684931</v>
      </c>
    </row>
    <row r="36" spans="1:8" x14ac:dyDescent="0.2">
      <c r="A36">
        <v>35</v>
      </c>
      <c r="B36">
        <v>3</v>
      </c>
      <c r="C36" t="s">
        <v>33</v>
      </c>
      <c r="D36" t="s">
        <v>24</v>
      </c>
      <c r="E36" t="s">
        <v>27</v>
      </c>
      <c r="F36">
        <v>89</v>
      </c>
      <c r="G36">
        <v>10</v>
      </c>
      <c r="H36">
        <f t="shared" si="1"/>
        <v>0.11235955056179775</v>
      </c>
    </row>
    <row r="37" spans="1:8" x14ac:dyDescent="0.2">
      <c r="A37">
        <v>36</v>
      </c>
      <c r="B37">
        <v>3</v>
      </c>
      <c r="C37" t="s">
        <v>33</v>
      </c>
      <c r="D37" t="s">
        <v>24</v>
      </c>
      <c r="E37" t="s">
        <v>28</v>
      </c>
      <c r="F37">
        <v>648</v>
      </c>
      <c r="G37">
        <v>67</v>
      </c>
      <c r="H37">
        <f t="shared" si="1"/>
        <v>0.10339506172839506</v>
      </c>
    </row>
    <row r="38" spans="1:8" x14ac:dyDescent="0.2">
      <c r="A38">
        <v>37</v>
      </c>
      <c r="B38">
        <v>3</v>
      </c>
      <c r="C38" t="s">
        <v>33</v>
      </c>
      <c r="D38" t="s">
        <v>29</v>
      </c>
      <c r="E38" t="s">
        <v>25</v>
      </c>
      <c r="F38">
        <v>53</v>
      </c>
      <c r="G38">
        <v>10</v>
      </c>
      <c r="H38">
        <f t="shared" si="1"/>
        <v>0.18867924528301888</v>
      </c>
    </row>
    <row r="39" spans="1:8" x14ac:dyDescent="0.2">
      <c r="A39">
        <v>38</v>
      </c>
      <c r="B39">
        <v>3</v>
      </c>
      <c r="C39" t="s">
        <v>33</v>
      </c>
      <c r="D39" t="s">
        <v>29</v>
      </c>
      <c r="E39" t="s">
        <v>26</v>
      </c>
      <c r="F39">
        <v>155</v>
      </c>
      <c r="G39">
        <v>24</v>
      </c>
      <c r="H39">
        <f t="shared" si="1"/>
        <v>0.15483870967741936</v>
      </c>
    </row>
    <row r="40" spans="1:8" x14ac:dyDescent="0.2">
      <c r="A40">
        <v>39</v>
      </c>
      <c r="B40">
        <v>3</v>
      </c>
      <c r="C40" t="s">
        <v>33</v>
      </c>
      <c r="D40" t="s">
        <v>29</v>
      </c>
      <c r="E40" t="s">
        <v>27</v>
      </c>
      <c r="F40">
        <v>240</v>
      </c>
      <c r="G40">
        <v>37</v>
      </c>
      <c r="H40">
        <f t="shared" si="1"/>
        <v>0.15416666666666667</v>
      </c>
    </row>
    <row r="41" spans="1:8" x14ac:dyDescent="0.2">
      <c r="A41">
        <v>40</v>
      </c>
      <c r="B41">
        <v>3</v>
      </c>
      <c r="C41" t="s">
        <v>33</v>
      </c>
      <c r="D41" t="s">
        <v>29</v>
      </c>
      <c r="E41" t="s">
        <v>28</v>
      </c>
      <c r="F41">
        <v>1635</v>
      </c>
      <c r="G41">
        <v>187</v>
      </c>
      <c r="H41">
        <f t="shared" si="1"/>
        <v>0.11437308868501529</v>
      </c>
    </row>
    <row r="42" spans="1:8" x14ac:dyDescent="0.2">
      <c r="A42">
        <v>41</v>
      </c>
      <c r="B42">
        <v>3</v>
      </c>
      <c r="C42" t="s">
        <v>33</v>
      </c>
      <c r="D42" t="s">
        <v>30</v>
      </c>
      <c r="E42" t="s">
        <v>25</v>
      </c>
      <c r="F42">
        <v>24</v>
      </c>
      <c r="G42">
        <v>8</v>
      </c>
      <c r="H42">
        <f t="shared" si="1"/>
        <v>0.33333333333333331</v>
      </c>
    </row>
    <row r="43" spans="1:8" x14ac:dyDescent="0.2">
      <c r="A43">
        <v>42</v>
      </c>
      <c r="B43">
        <v>3</v>
      </c>
      <c r="C43" t="s">
        <v>33</v>
      </c>
      <c r="D43" t="s">
        <v>30</v>
      </c>
      <c r="E43" t="s">
        <v>26</v>
      </c>
      <c r="F43">
        <v>78</v>
      </c>
      <c r="G43">
        <v>19</v>
      </c>
      <c r="H43">
        <f t="shared" si="1"/>
        <v>0.24358974358974358</v>
      </c>
    </row>
    <row r="44" spans="1:8" x14ac:dyDescent="0.2">
      <c r="A44">
        <v>43</v>
      </c>
      <c r="B44">
        <v>3</v>
      </c>
      <c r="C44" t="s">
        <v>33</v>
      </c>
      <c r="D44" t="s">
        <v>30</v>
      </c>
      <c r="E44" t="s">
        <v>27</v>
      </c>
      <c r="F44">
        <v>121</v>
      </c>
      <c r="G44">
        <v>24</v>
      </c>
      <c r="H44">
        <f t="shared" si="1"/>
        <v>0.19834710743801653</v>
      </c>
    </row>
    <row r="45" spans="1:8" x14ac:dyDescent="0.2">
      <c r="A45">
        <v>44</v>
      </c>
      <c r="B45">
        <v>3</v>
      </c>
      <c r="C45" t="s">
        <v>33</v>
      </c>
      <c r="D45" t="s">
        <v>30</v>
      </c>
      <c r="E45" t="s">
        <v>28</v>
      </c>
      <c r="F45">
        <v>692</v>
      </c>
      <c r="G45">
        <v>101</v>
      </c>
      <c r="H45">
        <f t="shared" si="1"/>
        <v>0.14595375722543352</v>
      </c>
    </row>
    <row r="46" spans="1:8" x14ac:dyDescent="0.2">
      <c r="A46">
        <v>45</v>
      </c>
      <c r="B46">
        <v>3</v>
      </c>
      <c r="C46" t="s">
        <v>33</v>
      </c>
      <c r="D46" t="s">
        <v>31</v>
      </c>
      <c r="E46" t="s">
        <v>25</v>
      </c>
      <c r="F46">
        <v>7</v>
      </c>
      <c r="G46">
        <v>3</v>
      </c>
      <c r="H46">
        <f t="shared" si="1"/>
        <v>0.42857142857142855</v>
      </c>
    </row>
    <row r="47" spans="1:8" x14ac:dyDescent="0.2">
      <c r="A47">
        <v>46</v>
      </c>
      <c r="B47">
        <v>3</v>
      </c>
      <c r="C47" t="s">
        <v>33</v>
      </c>
      <c r="D47" t="s">
        <v>31</v>
      </c>
      <c r="E47" t="s">
        <v>26</v>
      </c>
      <c r="F47">
        <v>29</v>
      </c>
      <c r="G47">
        <v>2</v>
      </c>
      <c r="H47">
        <f t="shared" si="1"/>
        <v>6.8965517241379309E-2</v>
      </c>
    </row>
    <row r="48" spans="1:8" x14ac:dyDescent="0.2">
      <c r="A48">
        <v>47</v>
      </c>
      <c r="B48">
        <v>3</v>
      </c>
      <c r="C48" t="s">
        <v>33</v>
      </c>
      <c r="D48" t="s">
        <v>31</v>
      </c>
      <c r="E48" t="s">
        <v>27</v>
      </c>
      <c r="F48">
        <v>43</v>
      </c>
      <c r="G48">
        <v>8</v>
      </c>
      <c r="H48">
        <f t="shared" si="1"/>
        <v>0.18604651162790697</v>
      </c>
    </row>
    <row r="49" spans="1:8" x14ac:dyDescent="0.2">
      <c r="A49">
        <v>48</v>
      </c>
      <c r="B49">
        <v>3</v>
      </c>
      <c r="C49" t="s">
        <v>33</v>
      </c>
      <c r="D49" t="s">
        <v>31</v>
      </c>
      <c r="E49" t="s">
        <v>28</v>
      </c>
      <c r="F49">
        <v>245</v>
      </c>
      <c r="G49">
        <v>37</v>
      </c>
      <c r="H49">
        <f t="shared" si="1"/>
        <v>0.15102040816326531</v>
      </c>
    </row>
    <row r="50" spans="1:8" x14ac:dyDescent="0.2">
      <c r="A50">
        <v>49</v>
      </c>
      <c r="B50">
        <v>4</v>
      </c>
      <c r="C50" t="s">
        <v>34</v>
      </c>
      <c r="D50" t="s">
        <v>24</v>
      </c>
      <c r="E50" t="s">
        <v>25</v>
      </c>
      <c r="F50">
        <v>20</v>
      </c>
      <c r="G50">
        <v>2</v>
      </c>
      <c r="H50">
        <f t="shared" si="1"/>
        <v>0.1</v>
      </c>
    </row>
    <row r="51" spans="1:8" x14ac:dyDescent="0.2">
      <c r="A51">
        <v>50</v>
      </c>
      <c r="B51">
        <v>4</v>
      </c>
      <c r="C51" t="s">
        <v>34</v>
      </c>
      <c r="D51" t="s">
        <v>24</v>
      </c>
      <c r="E51" t="s">
        <v>26</v>
      </c>
      <c r="F51">
        <v>33</v>
      </c>
      <c r="G51">
        <v>5</v>
      </c>
      <c r="H51">
        <f t="shared" si="1"/>
        <v>0.15151515151515152</v>
      </c>
    </row>
    <row r="52" spans="1:8" x14ac:dyDescent="0.2">
      <c r="A52">
        <v>51</v>
      </c>
      <c r="B52">
        <v>4</v>
      </c>
      <c r="C52" t="s">
        <v>34</v>
      </c>
      <c r="D52" t="s">
        <v>24</v>
      </c>
      <c r="E52" t="s">
        <v>27</v>
      </c>
      <c r="F52">
        <v>40</v>
      </c>
      <c r="G52">
        <v>4</v>
      </c>
      <c r="H52">
        <f t="shared" si="1"/>
        <v>0.1</v>
      </c>
    </row>
    <row r="53" spans="1:8" x14ac:dyDescent="0.2">
      <c r="A53">
        <v>52</v>
      </c>
      <c r="B53">
        <v>4</v>
      </c>
      <c r="C53" t="s">
        <v>34</v>
      </c>
      <c r="D53" t="s">
        <v>24</v>
      </c>
      <c r="E53" t="s">
        <v>28</v>
      </c>
      <c r="F53">
        <v>316</v>
      </c>
      <c r="G53">
        <v>36</v>
      </c>
      <c r="H53">
        <f t="shared" si="1"/>
        <v>0.11392405063291139</v>
      </c>
    </row>
    <row r="54" spans="1:8" x14ac:dyDescent="0.2">
      <c r="A54">
        <v>53</v>
      </c>
      <c r="B54">
        <v>4</v>
      </c>
      <c r="C54" t="s">
        <v>34</v>
      </c>
      <c r="D54" t="s">
        <v>29</v>
      </c>
      <c r="E54" t="s">
        <v>25</v>
      </c>
      <c r="F54">
        <v>31</v>
      </c>
      <c r="G54">
        <v>7</v>
      </c>
      <c r="H54">
        <f t="shared" si="1"/>
        <v>0.22580645161290322</v>
      </c>
    </row>
    <row r="55" spans="1:8" x14ac:dyDescent="0.2">
      <c r="A55">
        <v>54</v>
      </c>
      <c r="B55">
        <v>4</v>
      </c>
      <c r="C55" t="s">
        <v>34</v>
      </c>
      <c r="D55" t="s">
        <v>29</v>
      </c>
      <c r="E55" t="s">
        <v>26</v>
      </c>
      <c r="F55">
        <v>81</v>
      </c>
      <c r="G55">
        <v>10</v>
      </c>
      <c r="H55">
        <f t="shared" si="1"/>
        <v>0.12345679012345678</v>
      </c>
    </row>
    <row r="56" spans="1:8" x14ac:dyDescent="0.2">
      <c r="A56">
        <v>55</v>
      </c>
      <c r="B56">
        <v>4</v>
      </c>
      <c r="C56" t="s">
        <v>34</v>
      </c>
      <c r="D56" t="s">
        <v>29</v>
      </c>
      <c r="E56" t="s">
        <v>27</v>
      </c>
      <c r="F56">
        <v>122</v>
      </c>
      <c r="G56">
        <v>22</v>
      </c>
      <c r="H56">
        <f t="shared" si="1"/>
        <v>0.18032786885245902</v>
      </c>
    </row>
    <row r="57" spans="1:8" x14ac:dyDescent="0.2">
      <c r="A57">
        <v>56</v>
      </c>
      <c r="B57">
        <v>4</v>
      </c>
      <c r="C57" t="s">
        <v>34</v>
      </c>
      <c r="D57" t="s">
        <v>29</v>
      </c>
      <c r="E57" t="s">
        <v>28</v>
      </c>
      <c r="F57">
        <v>724</v>
      </c>
      <c r="G57">
        <v>102</v>
      </c>
      <c r="H57">
        <f t="shared" si="1"/>
        <v>0.14088397790055249</v>
      </c>
    </row>
    <row r="58" spans="1:8" x14ac:dyDescent="0.2">
      <c r="A58">
        <v>57</v>
      </c>
      <c r="B58">
        <v>4</v>
      </c>
      <c r="C58" t="s">
        <v>34</v>
      </c>
      <c r="D58" t="s">
        <v>30</v>
      </c>
      <c r="E58" t="s">
        <v>25</v>
      </c>
      <c r="F58">
        <v>18</v>
      </c>
      <c r="G58">
        <v>5</v>
      </c>
      <c r="H58">
        <f t="shared" si="1"/>
        <v>0.27777777777777779</v>
      </c>
    </row>
    <row r="59" spans="1:8" x14ac:dyDescent="0.2">
      <c r="A59">
        <v>58</v>
      </c>
      <c r="B59">
        <v>4</v>
      </c>
      <c r="C59" t="s">
        <v>34</v>
      </c>
      <c r="D59" t="s">
        <v>30</v>
      </c>
      <c r="E59" t="s">
        <v>26</v>
      </c>
      <c r="F59">
        <v>39</v>
      </c>
      <c r="G59">
        <v>7</v>
      </c>
      <c r="H59">
        <f t="shared" si="1"/>
        <v>0.17948717948717949</v>
      </c>
    </row>
    <row r="60" spans="1:8" x14ac:dyDescent="0.2">
      <c r="A60">
        <v>59</v>
      </c>
      <c r="B60">
        <v>4</v>
      </c>
      <c r="C60" t="s">
        <v>34</v>
      </c>
      <c r="D60" t="s">
        <v>30</v>
      </c>
      <c r="E60" t="s">
        <v>27</v>
      </c>
      <c r="F60">
        <v>68</v>
      </c>
      <c r="G60">
        <v>16</v>
      </c>
      <c r="H60">
        <f t="shared" si="1"/>
        <v>0.23529411764705882</v>
      </c>
    </row>
    <row r="61" spans="1:8" x14ac:dyDescent="0.2">
      <c r="A61">
        <v>60</v>
      </c>
      <c r="B61">
        <v>4</v>
      </c>
      <c r="C61" t="s">
        <v>34</v>
      </c>
      <c r="D61" t="s">
        <v>30</v>
      </c>
      <c r="E61" t="s">
        <v>28</v>
      </c>
      <c r="F61">
        <v>344</v>
      </c>
      <c r="G61">
        <v>63</v>
      </c>
      <c r="H61">
        <f t="shared" si="1"/>
        <v>0.18313953488372092</v>
      </c>
    </row>
    <row r="62" spans="1:8" x14ac:dyDescent="0.2">
      <c r="A62">
        <v>61</v>
      </c>
      <c r="B62">
        <v>4</v>
      </c>
      <c r="C62" t="s">
        <v>34</v>
      </c>
      <c r="D62" t="s">
        <v>31</v>
      </c>
      <c r="E62" t="s">
        <v>25</v>
      </c>
      <c r="F62">
        <v>3</v>
      </c>
      <c r="G62">
        <v>0</v>
      </c>
      <c r="H62">
        <f t="shared" si="1"/>
        <v>0</v>
      </c>
    </row>
    <row r="63" spans="1:8" x14ac:dyDescent="0.2">
      <c r="A63">
        <v>62</v>
      </c>
      <c r="B63">
        <v>4</v>
      </c>
      <c r="C63" t="s">
        <v>34</v>
      </c>
      <c r="D63" t="s">
        <v>31</v>
      </c>
      <c r="E63" t="s">
        <v>26</v>
      </c>
      <c r="F63">
        <v>16</v>
      </c>
      <c r="G63">
        <v>6</v>
      </c>
      <c r="H63">
        <f t="shared" si="1"/>
        <v>0.375</v>
      </c>
    </row>
    <row r="64" spans="1:8" x14ac:dyDescent="0.2">
      <c r="A64">
        <v>63</v>
      </c>
      <c r="B64">
        <v>4</v>
      </c>
      <c r="C64" t="s">
        <v>34</v>
      </c>
      <c r="D64" t="s">
        <v>31</v>
      </c>
      <c r="E64" t="s">
        <v>27</v>
      </c>
      <c r="F64">
        <v>25</v>
      </c>
      <c r="G64">
        <v>8</v>
      </c>
      <c r="H64">
        <f t="shared" si="1"/>
        <v>0.32</v>
      </c>
    </row>
    <row r="65" spans="1:8" x14ac:dyDescent="0.2">
      <c r="A65">
        <v>64</v>
      </c>
      <c r="B65">
        <v>4</v>
      </c>
      <c r="C65" t="s">
        <v>34</v>
      </c>
      <c r="D65" t="s">
        <v>31</v>
      </c>
      <c r="E65" t="s">
        <v>28</v>
      </c>
      <c r="F65">
        <v>114</v>
      </c>
      <c r="G65">
        <v>33</v>
      </c>
      <c r="H65">
        <f t="shared" si="1"/>
        <v>0.28947368421052633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5"/>
  <sheetViews>
    <sheetView workbookViewId="0"/>
  </sheetViews>
  <sheetFormatPr baseColWidth="10" defaultColWidth="8.83203125" defaultRowHeight="15" x14ac:dyDescent="0.2"/>
  <cols>
    <col min="1" max="5" width="13" customWidth="1"/>
    <col min="6" max="7" width="14" customWidth="1"/>
    <col min="8" max="14" width="13" customWidth="1"/>
  </cols>
  <sheetData>
    <row r="1" spans="1:14" x14ac:dyDescent="0.2">
      <c r="A1" t="s">
        <v>15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21</v>
      </c>
      <c r="M1" t="s">
        <v>20</v>
      </c>
      <c r="N1" t="s">
        <v>22</v>
      </c>
    </row>
    <row r="2" spans="1:14" x14ac:dyDescent="0.2">
      <c r="A2">
        <f>Insurance_Data!A2</f>
        <v>1</v>
      </c>
      <c r="B2">
        <v>1</v>
      </c>
      <c r="C2">
        <f>--(Insurance_Data!C2="2")</f>
        <v>0</v>
      </c>
      <c r="D2">
        <f>--(Insurance_Data!C2="3")</f>
        <v>0</v>
      </c>
      <c r="E2">
        <f>--(Insurance_Data!C2="4")</f>
        <v>0</v>
      </c>
      <c r="F2">
        <f>--(Insurance_Data!D2="1-1.5l")</f>
        <v>0</v>
      </c>
      <c r="G2">
        <f>--(Insurance_Data!D2="1.5-2l")</f>
        <v>0</v>
      </c>
      <c r="H2">
        <f>--(Insurance_Data!D2="&gt;2l")</f>
        <v>0</v>
      </c>
      <c r="I2">
        <f>--(Insurance_Data!E2="25-29")</f>
        <v>0</v>
      </c>
      <c r="J2">
        <f>--(Insurance_Data!E2="30-35")</f>
        <v>0</v>
      </c>
      <c r="K2">
        <f>--(Insurance_Data!E2="&gt;35")</f>
        <v>0</v>
      </c>
      <c r="L2">
        <f>Insurance_Data!G2</f>
        <v>38</v>
      </c>
      <c r="M2">
        <f>Insurance_Data!F2</f>
        <v>197</v>
      </c>
      <c r="N2">
        <f>Insurance_Data!H2</f>
        <v>0.19289340101522842</v>
      </c>
    </row>
    <row r="3" spans="1:14" x14ac:dyDescent="0.2">
      <c r="A3">
        <f>Insurance_Data!A3</f>
        <v>2</v>
      </c>
      <c r="B3">
        <v>1</v>
      </c>
      <c r="C3">
        <f>--(Insurance_Data!C3="2")</f>
        <v>0</v>
      </c>
      <c r="D3">
        <f>--(Insurance_Data!C3="3")</f>
        <v>0</v>
      </c>
      <c r="E3">
        <f>--(Insurance_Data!C3="4")</f>
        <v>0</v>
      </c>
      <c r="F3">
        <f>--(Insurance_Data!D3="1-1.5l")</f>
        <v>0</v>
      </c>
      <c r="G3">
        <f>--(Insurance_Data!D3="1.5-2l")</f>
        <v>0</v>
      </c>
      <c r="H3">
        <f>--(Insurance_Data!D3="&gt;2l")</f>
        <v>0</v>
      </c>
      <c r="I3">
        <f>--(Insurance_Data!E3="25-29")</f>
        <v>1</v>
      </c>
      <c r="J3">
        <f>--(Insurance_Data!E3="30-35")</f>
        <v>0</v>
      </c>
      <c r="K3">
        <f>--(Insurance_Data!E3="&gt;35")</f>
        <v>0</v>
      </c>
      <c r="L3">
        <f>Insurance_Data!G3</f>
        <v>35</v>
      </c>
      <c r="M3">
        <f>Insurance_Data!F3</f>
        <v>264</v>
      </c>
      <c r="N3">
        <f>Insurance_Data!H3</f>
        <v>0.13257575757575757</v>
      </c>
    </row>
    <row r="4" spans="1:14" x14ac:dyDescent="0.2">
      <c r="A4">
        <f>Insurance_Data!A4</f>
        <v>3</v>
      </c>
      <c r="B4">
        <v>1</v>
      </c>
      <c r="C4">
        <f>--(Insurance_Data!C4="2")</f>
        <v>0</v>
      </c>
      <c r="D4">
        <f>--(Insurance_Data!C4="3")</f>
        <v>0</v>
      </c>
      <c r="E4">
        <f>--(Insurance_Data!C4="4")</f>
        <v>0</v>
      </c>
      <c r="F4">
        <f>--(Insurance_Data!D4="1-1.5l")</f>
        <v>0</v>
      </c>
      <c r="G4">
        <f>--(Insurance_Data!D4="1.5-2l")</f>
        <v>0</v>
      </c>
      <c r="H4">
        <f>--(Insurance_Data!D4="&gt;2l")</f>
        <v>0</v>
      </c>
      <c r="I4">
        <f>--(Insurance_Data!E4="25-29")</f>
        <v>0</v>
      </c>
      <c r="J4">
        <f>--(Insurance_Data!E4="30-35")</f>
        <v>1</v>
      </c>
      <c r="K4">
        <f>--(Insurance_Data!E4="&gt;35")</f>
        <v>0</v>
      </c>
      <c r="L4">
        <f>Insurance_Data!G4</f>
        <v>20</v>
      </c>
      <c r="M4">
        <f>Insurance_Data!F4</f>
        <v>246</v>
      </c>
      <c r="N4">
        <f>Insurance_Data!H4</f>
        <v>8.1300813008130079E-2</v>
      </c>
    </row>
    <row r="5" spans="1:14" x14ac:dyDescent="0.2">
      <c r="A5">
        <f>Insurance_Data!A5</f>
        <v>4</v>
      </c>
      <c r="B5">
        <v>1</v>
      </c>
      <c r="C5">
        <f>--(Insurance_Data!C5="2")</f>
        <v>0</v>
      </c>
      <c r="D5">
        <f>--(Insurance_Data!C5="3")</f>
        <v>0</v>
      </c>
      <c r="E5">
        <f>--(Insurance_Data!C5="4")</f>
        <v>0</v>
      </c>
      <c r="F5">
        <f>--(Insurance_Data!D5="1-1.5l")</f>
        <v>0</v>
      </c>
      <c r="G5">
        <f>--(Insurance_Data!D5="1.5-2l")</f>
        <v>0</v>
      </c>
      <c r="H5">
        <f>--(Insurance_Data!D5="&gt;2l")</f>
        <v>0</v>
      </c>
      <c r="I5">
        <f>--(Insurance_Data!E5="25-29")</f>
        <v>0</v>
      </c>
      <c r="J5">
        <f>--(Insurance_Data!E5="30-35")</f>
        <v>0</v>
      </c>
      <c r="K5">
        <f>--(Insurance_Data!E5="&gt;35")</f>
        <v>1</v>
      </c>
      <c r="L5">
        <f>Insurance_Data!G5</f>
        <v>156</v>
      </c>
      <c r="M5">
        <f>Insurance_Data!F5</f>
        <v>1680</v>
      </c>
      <c r="N5">
        <f>Insurance_Data!H5</f>
        <v>9.285714285714286E-2</v>
      </c>
    </row>
    <row r="6" spans="1:14" x14ac:dyDescent="0.2">
      <c r="A6">
        <f>Insurance_Data!A6</f>
        <v>5</v>
      </c>
      <c r="B6">
        <v>1</v>
      </c>
      <c r="C6">
        <f>--(Insurance_Data!C6="2")</f>
        <v>0</v>
      </c>
      <c r="D6">
        <f>--(Insurance_Data!C6="3")</f>
        <v>0</v>
      </c>
      <c r="E6">
        <f>--(Insurance_Data!C6="4")</f>
        <v>0</v>
      </c>
      <c r="F6">
        <f>--(Insurance_Data!D6="1-1.5l")</f>
        <v>1</v>
      </c>
      <c r="G6">
        <f>--(Insurance_Data!D6="1.5-2l")</f>
        <v>0</v>
      </c>
      <c r="H6">
        <f>--(Insurance_Data!D6="&gt;2l")</f>
        <v>0</v>
      </c>
      <c r="I6">
        <f>--(Insurance_Data!E6="25-29")</f>
        <v>0</v>
      </c>
      <c r="J6">
        <f>--(Insurance_Data!E6="30-35")</f>
        <v>0</v>
      </c>
      <c r="K6">
        <f>--(Insurance_Data!E6="&gt;35")</f>
        <v>0</v>
      </c>
      <c r="L6">
        <f>Insurance_Data!G6</f>
        <v>63</v>
      </c>
      <c r="M6">
        <f>Insurance_Data!F6</f>
        <v>284</v>
      </c>
      <c r="N6">
        <f>Insurance_Data!H6</f>
        <v>0.22183098591549297</v>
      </c>
    </row>
    <row r="7" spans="1:14" x14ac:dyDescent="0.2">
      <c r="A7">
        <f>Insurance_Data!A7</f>
        <v>6</v>
      </c>
      <c r="B7">
        <v>1</v>
      </c>
      <c r="C7">
        <f>--(Insurance_Data!C7="2")</f>
        <v>0</v>
      </c>
      <c r="D7">
        <f>--(Insurance_Data!C7="3")</f>
        <v>0</v>
      </c>
      <c r="E7">
        <f>--(Insurance_Data!C7="4")</f>
        <v>0</v>
      </c>
      <c r="F7">
        <f>--(Insurance_Data!D7="1-1.5l")</f>
        <v>1</v>
      </c>
      <c r="G7">
        <f>--(Insurance_Data!D7="1.5-2l")</f>
        <v>0</v>
      </c>
      <c r="H7">
        <f>--(Insurance_Data!D7="&gt;2l")</f>
        <v>0</v>
      </c>
      <c r="I7">
        <f>--(Insurance_Data!E7="25-29")</f>
        <v>1</v>
      </c>
      <c r="J7">
        <f>--(Insurance_Data!E7="30-35")</f>
        <v>0</v>
      </c>
      <c r="K7">
        <f>--(Insurance_Data!E7="&gt;35")</f>
        <v>0</v>
      </c>
      <c r="L7">
        <f>Insurance_Data!G7</f>
        <v>84</v>
      </c>
      <c r="M7">
        <f>Insurance_Data!F7</f>
        <v>536</v>
      </c>
      <c r="N7">
        <f>Insurance_Data!H7</f>
        <v>0.15671641791044777</v>
      </c>
    </row>
    <row r="8" spans="1:14" x14ac:dyDescent="0.2">
      <c r="A8">
        <f>Insurance_Data!A8</f>
        <v>7</v>
      </c>
      <c r="B8">
        <v>1</v>
      </c>
      <c r="C8">
        <f>--(Insurance_Data!C8="2")</f>
        <v>0</v>
      </c>
      <c r="D8">
        <f>--(Insurance_Data!C8="3")</f>
        <v>0</v>
      </c>
      <c r="E8">
        <f>--(Insurance_Data!C8="4")</f>
        <v>0</v>
      </c>
      <c r="F8">
        <f>--(Insurance_Data!D8="1-1.5l")</f>
        <v>1</v>
      </c>
      <c r="G8">
        <f>--(Insurance_Data!D8="1.5-2l")</f>
        <v>0</v>
      </c>
      <c r="H8">
        <f>--(Insurance_Data!D8="&gt;2l")</f>
        <v>0</v>
      </c>
      <c r="I8">
        <f>--(Insurance_Data!E8="25-29")</f>
        <v>0</v>
      </c>
      <c r="J8">
        <f>--(Insurance_Data!E8="30-35")</f>
        <v>1</v>
      </c>
      <c r="K8">
        <f>--(Insurance_Data!E8="&gt;35")</f>
        <v>0</v>
      </c>
      <c r="L8">
        <f>Insurance_Data!G8</f>
        <v>89</v>
      </c>
      <c r="M8">
        <f>Insurance_Data!F8</f>
        <v>696</v>
      </c>
      <c r="N8">
        <f>Insurance_Data!H8</f>
        <v>0.1278735632183908</v>
      </c>
    </row>
    <row r="9" spans="1:14" x14ac:dyDescent="0.2">
      <c r="A9">
        <f>Insurance_Data!A9</f>
        <v>8</v>
      </c>
      <c r="B9">
        <v>1</v>
      </c>
      <c r="C9">
        <f>--(Insurance_Data!C9="2")</f>
        <v>0</v>
      </c>
      <c r="D9">
        <f>--(Insurance_Data!C9="3")</f>
        <v>0</v>
      </c>
      <c r="E9">
        <f>--(Insurance_Data!C9="4")</f>
        <v>0</v>
      </c>
      <c r="F9">
        <f>--(Insurance_Data!D9="1-1.5l")</f>
        <v>1</v>
      </c>
      <c r="G9">
        <f>--(Insurance_Data!D9="1.5-2l")</f>
        <v>0</v>
      </c>
      <c r="H9">
        <f>--(Insurance_Data!D9="&gt;2l")</f>
        <v>0</v>
      </c>
      <c r="I9">
        <f>--(Insurance_Data!E9="25-29")</f>
        <v>0</v>
      </c>
      <c r="J9">
        <f>--(Insurance_Data!E9="30-35")</f>
        <v>0</v>
      </c>
      <c r="K9">
        <f>--(Insurance_Data!E9="&gt;35")</f>
        <v>1</v>
      </c>
      <c r="L9">
        <f>Insurance_Data!G9</f>
        <v>400</v>
      </c>
      <c r="M9">
        <f>Insurance_Data!F9</f>
        <v>3582</v>
      </c>
      <c r="N9">
        <f>Insurance_Data!H9</f>
        <v>0.11166945840312674</v>
      </c>
    </row>
    <row r="10" spans="1:14" x14ac:dyDescent="0.2">
      <c r="A10">
        <f>Insurance_Data!A10</f>
        <v>9</v>
      </c>
      <c r="B10">
        <v>1</v>
      </c>
      <c r="C10">
        <f>--(Insurance_Data!C10="2")</f>
        <v>0</v>
      </c>
      <c r="D10">
        <f>--(Insurance_Data!C10="3")</f>
        <v>0</v>
      </c>
      <c r="E10">
        <f>--(Insurance_Data!C10="4")</f>
        <v>0</v>
      </c>
      <c r="F10">
        <f>--(Insurance_Data!D10="1-1.5l")</f>
        <v>0</v>
      </c>
      <c r="G10">
        <f>--(Insurance_Data!D10="1.5-2l")</f>
        <v>1</v>
      </c>
      <c r="H10">
        <f>--(Insurance_Data!D10="&gt;2l")</f>
        <v>0</v>
      </c>
      <c r="I10">
        <f>--(Insurance_Data!E10="25-29")</f>
        <v>0</v>
      </c>
      <c r="J10">
        <f>--(Insurance_Data!E10="30-35")</f>
        <v>0</v>
      </c>
      <c r="K10">
        <f>--(Insurance_Data!E10="&gt;35")</f>
        <v>0</v>
      </c>
      <c r="L10">
        <f>Insurance_Data!G10</f>
        <v>19</v>
      </c>
      <c r="M10">
        <f>Insurance_Data!F10</f>
        <v>133</v>
      </c>
      <c r="N10">
        <f>Insurance_Data!H10</f>
        <v>0.14285714285714285</v>
      </c>
    </row>
    <row r="11" spans="1:14" x14ac:dyDescent="0.2">
      <c r="A11">
        <f>Insurance_Data!A11</f>
        <v>10</v>
      </c>
      <c r="B11">
        <v>1</v>
      </c>
      <c r="C11">
        <f>--(Insurance_Data!C11="2")</f>
        <v>0</v>
      </c>
      <c r="D11">
        <f>--(Insurance_Data!C11="3")</f>
        <v>0</v>
      </c>
      <c r="E11">
        <f>--(Insurance_Data!C11="4")</f>
        <v>0</v>
      </c>
      <c r="F11">
        <f>--(Insurance_Data!D11="1-1.5l")</f>
        <v>0</v>
      </c>
      <c r="G11">
        <f>--(Insurance_Data!D11="1.5-2l")</f>
        <v>1</v>
      </c>
      <c r="H11">
        <f>--(Insurance_Data!D11="&gt;2l")</f>
        <v>0</v>
      </c>
      <c r="I11">
        <f>--(Insurance_Data!E11="25-29")</f>
        <v>1</v>
      </c>
      <c r="J11">
        <f>--(Insurance_Data!E11="30-35")</f>
        <v>0</v>
      </c>
      <c r="K11">
        <f>--(Insurance_Data!E11="&gt;35")</f>
        <v>0</v>
      </c>
      <c r="L11">
        <f>Insurance_Data!G11</f>
        <v>52</v>
      </c>
      <c r="M11">
        <f>Insurance_Data!F11</f>
        <v>286</v>
      </c>
      <c r="N11">
        <f>Insurance_Data!H11</f>
        <v>0.18181818181818182</v>
      </c>
    </row>
    <row r="12" spans="1:14" x14ac:dyDescent="0.2">
      <c r="A12">
        <f>Insurance_Data!A12</f>
        <v>11</v>
      </c>
      <c r="B12">
        <v>1</v>
      </c>
      <c r="C12">
        <f>--(Insurance_Data!C12="2")</f>
        <v>0</v>
      </c>
      <c r="D12">
        <f>--(Insurance_Data!C12="3")</f>
        <v>0</v>
      </c>
      <c r="E12">
        <f>--(Insurance_Data!C12="4")</f>
        <v>0</v>
      </c>
      <c r="F12">
        <f>--(Insurance_Data!D12="1-1.5l")</f>
        <v>0</v>
      </c>
      <c r="G12">
        <f>--(Insurance_Data!D12="1.5-2l")</f>
        <v>1</v>
      </c>
      <c r="H12">
        <f>--(Insurance_Data!D12="&gt;2l")</f>
        <v>0</v>
      </c>
      <c r="I12">
        <f>--(Insurance_Data!E12="25-29")</f>
        <v>0</v>
      </c>
      <c r="J12">
        <f>--(Insurance_Data!E12="30-35")</f>
        <v>1</v>
      </c>
      <c r="K12">
        <f>--(Insurance_Data!E12="&gt;35")</f>
        <v>0</v>
      </c>
      <c r="L12">
        <f>Insurance_Data!G12</f>
        <v>74</v>
      </c>
      <c r="M12">
        <f>Insurance_Data!F12</f>
        <v>355</v>
      </c>
      <c r="N12">
        <f>Insurance_Data!H12</f>
        <v>0.20845070422535211</v>
      </c>
    </row>
    <row r="13" spans="1:14" x14ac:dyDescent="0.2">
      <c r="A13">
        <f>Insurance_Data!A13</f>
        <v>12</v>
      </c>
      <c r="B13">
        <v>1</v>
      </c>
      <c r="C13">
        <f>--(Insurance_Data!C13="2")</f>
        <v>0</v>
      </c>
      <c r="D13">
        <f>--(Insurance_Data!C13="3")</f>
        <v>0</v>
      </c>
      <c r="E13">
        <f>--(Insurance_Data!C13="4")</f>
        <v>0</v>
      </c>
      <c r="F13">
        <f>--(Insurance_Data!D13="1-1.5l")</f>
        <v>0</v>
      </c>
      <c r="G13">
        <f>--(Insurance_Data!D13="1.5-2l")</f>
        <v>1</v>
      </c>
      <c r="H13">
        <f>--(Insurance_Data!D13="&gt;2l")</f>
        <v>0</v>
      </c>
      <c r="I13">
        <f>--(Insurance_Data!E13="25-29")</f>
        <v>0</v>
      </c>
      <c r="J13">
        <f>--(Insurance_Data!E13="30-35")</f>
        <v>0</v>
      </c>
      <c r="K13">
        <f>--(Insurance_Data!E13="&gt;35")</f>
        <v>1</v>
      </c>
      <c r="L13">
        <f>Insurance_Data!G13</f>
        <v>233</v>
      </c>
      <c r="M13">
        <f>Insurance_Data!F13</f>
        <v>1640</v>
      </c>
      <c r="N13">
        <f>Insurance_Data!H13</f>
        <v>0.1420731707317073</v>
      </c>
    </row>
    <row r="14" spans="1:14" x14ac:dyDescent="0.2">
      <c r="A14">
        <f>Insurance_Data!A14</f>
        <v>13</v>
      </c>
      <c r="B14">
        <v>1</v>
      </c>
      <c r="C14">
        <f>--(Insurance_Data!C14="2")</f>
        <v>0</v>
      </c>
      <c r="D14">
        <f>--(Insurance_Data!C14="3")</f>
        <v>0</v>
      </c>
      <c r="E14">
        <f>--(Insurance_Data!C14="4")</f>
        <v>0</v>
      </c>
      <c r="F14">
        <f>--(Insurance_Data!D14="1-1.5l")</f>
        <v>0</v>
      </c>
      <c r="G14">
        <f>--(Insurance_Data!D14="1.5-2l")</f>
        <v>0</v>
      </c>
      <c r="H14">
        <f>--(Insurance_Data!D14="&gt;2l")</f>
        <v>1</v>
      </c>
      <c r="I14">
        <f>--(Insurance_Data!E14="25-29")</f>
        <v>0</v>
      </c>
      <c r="J14">
        <f>--(Insurance_Data!E14="30-35")</f>
        <v>0</v>
      </c>
      <c r="K14">
        <f>--(Insurance_Data!E14="&gt;35")</f>
        <v>0</v>
      </c>
      <c r="L14">
        <f>Insurance_Data!G14</f>
        <v>4</v>
      </c>
      <c r="M14">
        <f>Insurance_Data!F14</f>
        <v>24</v>
      </c>
      <c r="N14">
        <f>Insurance_Data!H14</f>
        <v>0.16666666666666666</v>
      </c>
    </row>
    <row r="15" spans="1:14" x14ac:dyDescent="0.2">
      <c r="A15">
        <f>Insurance_Data!A15</f>
        <v>14</v>
      </c>
      <c r="B15">
        <v>1</v>
      </c>
      <c r="C15">
        <f>--(Insurance_Data!C15="2")</f>
        <v>0</v>
      </c>
      <c r="D15">
        <f>--(Insurance_Data!C15="3")</f>
        <v>0</v>
      </c>
      <c r="E15">
        <f>--(Insurance_Data!C15="4")</f>
        <v>0</v>
      </c>
      <c r="F15">
        <f>--(Insurance_Data!D15="1-1.5l")</f>
        <v>0</v>
      </c>
      <c r="G15">
        <f>--(Insurance_Data!D15="1.5-2l")</f>
        <v>0</v>
      </c>
      <c r="H15">
        <f>--(Insurance_Data!D15="&gt;2l")</f>
        <v>1</v>
      </c>
      <c r="I15">
        <f>--(Insurance_Data!E15="25-29")</f>
        <v>1</v>
      </c>
      <c r="J15">
        <f>--(Insurance_Data!E15="30-35")</f>
        <v>0</v>
      </c>
      <c r="K15">
        <f>--(Insurance_Data!E15="&gt;35")</f>
        <v>0</v>
      </c>
      <c r="L15">
        <f>Insurance_Data!G15</f>
        <v>18</v>
      </c>
      <c r="M15">
        <f>Insurance_Data!F15</f>
        <v>71</v>
      </c>
      <c r="N15">
        <f>Insurance_Data!H15</f>
        <v>0.25352112676056338</v>
      </c>
    </row>
    <row r="16" spans="1:14" x14ac:dyDescent="0.2">
      <c r="A16">
        <f>Insurance_Data!A16</f>
        <v>15</v>
      </c>
      <c r="B16">
        <v>1</v>
      </c>
      <c r="C16">
        <f>--(Insurance_Data!C16="2")</f>
        <v>0</v>
      </c>
      <c r="D16">
        <f>--(Insurance_Data!C16="3")</f>
        <v>0</v>
      </c>
      <c r="E16">
        <f>--(Insurance_Data!C16="4")</f>
        <v>0</v>
      </c>
      <c r="F16">
        <f>--(Insurance_Data!D16="1-1.5l")</f>
        <v>0</v>
      </c>
      <c r="G16">
        <f>--(Insurance_Data!D16="1.5-2l")</f>
        <v>0</v>
      </c>
      <c r="H16">
        <f>--(Insurance_Data!D16="&gt;2l")</f>
        <v>1</v>
      </c>
      <c r="I16">
        <f>--(Insurance_Data!E16="25-29")</f>
        <v>0</v>
      </c>
      <c r="J16">
        <f>--(Insurance_Data!E16="30-35")</f>
        <v>1</v>
      </c>
      <c r="K16">
        <f>--(Insurance_Data!E16="&gt;35")</f>
        <v>0</v>
      </c>
      <c r="L16">
        <f>Insurance_Data!G16</f>
        <v>19</v>
      </c>
      <c r="M16">
        <f>Insurance_Data!F16</f>
        <v>99</v>
      </c>
      <c r="N16">
        <f>Insurance_Data!H16</f>
        <v>0.19191919191919191</v>
      </c>
    </row>
    <row r="17" spans="1:14" x14ac:dyDescent="0.2">
      <c r="A17">
        <f>Insurance_Data!A17</f>
        <v>16</v>
      </c>
      <c r="B17">
        <v>1</v>
      </c>
      <c r="C17">
        <f>--(Insurance_Data!C17="2")</f>
        <v>0</v>
      </c>
      <c r="D17">
        <f>--(Insurance_Data!C17="3")</f>
        <v>0</v>
      </c>
      <c r="E17">
        <f>--(Insurance_Data!C17="4")</f>
        <v>0</v>
      </c>
      <c r="F17">
        <f>--(Insurance_Data!D17="1-1.5l")</f>
        <v>0</v>
      </c>
      <c r="G17">
        <f>--(Insurance_Data!D17="1.5-2l")</f>
        <v>0</v>
      </c>
      <c r="H17">
        <f>--(Insurance_Data!D17="&gt;2l")</f>
        <v>1</v>
      </c>
      <c r="I17">
        <f>--(Insurance_Data!E17="25-29")</f>
        <v>0</v>
      </c>
      <c r="J17">
        <f>--(Insurance_Data!E17="30-35")</f>
        <v>0</v>
      </c>
      <c r="K17">
        <f>--(Insurance_Data!E17="&gt;35")</f>
        <v>1</v>
      </c>
      <c r="L17">
        <f>Insurance_Data!G17</f>
        <v>77</v>
      </c>
      <c r="M17">
        <f>Insurance_Data!F17</f>
        <v>452</v>
      </c>
      <c r="N17">
        <f>Insurance_Data!H17</f>
        <v>0.17035398230088494</v>
      </c>
    </row>
    <row r="18" spans="1:14" x14ac:dyDescent="0.2">
      <c r="A18">
        <f>Insurance_Data!A18</f>
        <v>17</v>
      </c>
      <c r="B18">
        <v>1</v>
      </c>
      <c r="C18">
        <f>--(Insurance_Data!C18="2")</f>
        <v>1</v>
      </c>
      <c r="D18">
        <f>--(Insurance_Data!C18="3")</f>
        <v>0</v>
      </c>
      <c r="E18">
        <f>--(Insurance_Data!C18="4")</f>
        <v>0</v>
      </c>
      <c r="F18">
        <f>--(Insurance_Data!D18="1-1.5l")</f>
        <v>0</v>
      </c>
      <c r="G18">
        <f>--(Insurance_Data!D18="1.5-2l")</f>
        <v>0</v>
      </c>
      <c r="H18">
        <f>--(Insurance_Data!D18="&gt;2l")</f>
        <v>0</v>
      </c>
      <c r="I18">
        <f>--(Insurance_Data!E18="25-29")</f>
        <v>0</v>
      </c>
      <c r="J18">
        <f>--(Insurance_Data!E18="30-35")</f>
        <v>0</v>
      </c>
      <c r="K18">
        <f>--(Insurance_Data!E18="&gt;35")</f>
        <v>0</v>
      </c>
      <c r="L18">
        <f>Insurance_Data!G18</f>
        <v>22</v>
      </c>
      <c r="M18">
        <f>Insurance_Data!F18</f>
        <v>85</v>
      </c>
      <c r="N18">
        <f>Insurance_Data!H18</f>
        <v>0.25882352941176473</v>
      </c>
    </row>
    <row r="19" spans="1:14" x14ac:dyDescent="0.2">
      <c r="A19">
        <f>Insurance_Data!A19</f>
        <v>18</v>
      </c>
      <c r="B19">
        <v>1</v>
      </c>
      <c r="C19">
        <f>--(Insurance_Data!C19="2")</f>
        <v>1</v>
      </c>
      <c r="D19">
        <f>--(Insurance_Data!C19="3")</f>
        <v>0</v>
      </c>
      <c r="E19">
        <f>--(Insurance_Data!C19="4")</f>
        <v>0</v>
      </c>
      <c r="F19">
        <f>--(Insurance_Data!D19="1-1.5l")</f>
        <v>0</v>
      </c>
      <c r="G19">
        <f>--(Insurance_Data!D19="1.5-2l")</f>
        <v>0</v>
      </c>
      <c r="H19">
        <f>--(Insurance_Data!D19="&gt;2l")</f>
        <v>0</v>
      </c>
      <c r="I19">
        <f>--(Insurance_Data!E19="25-29")</f>
        <v>1</v>
      </c>
      <c r="J19">
        <f>--(Insurance_Data!E19="30-35")</f>
        <v>0</v>
      </c>
      <c r="K19">
        <f>--(Insurance_Data!E19="&gt;35")</f>
        <v>0</v>
      </c>
      <c r="L19">
        <f>Insurance_Data!G19</f>
        <v>19</v>
      </c>
      <c r="M19">
        <f>Insurance_Data!F19</f>
        <v>139</v>
      </c>
      <c r="N19">
        <f>Insurance_Data!H19</f>
        <v>0.1366906474820144</v>
      </c>
    </row>
    <row r="20" spans="1:14" x14ac:dyDescent="0.2">
      <c r="A20">
        <f>Insurance_Data!A20</f>
        <v>19</v>
      </c>
      <c r="B20">
        <v>1</v>
      </c>
      <c r="C20">
        <f>--(Insurance_Data!C20="2")</f>
        <v>1</v>
      </c>
      <c r="D20">
        <f>--(Insurance_Data!C20="3")</f>
        <v>0</v>
      </c>
      <c r="E20">
        <f>--(Insurance_Data!C20="4")</f>
        <v>0</v>
      </c>
      <c r="F20">
        <f>--(Insurance_Data!D20="1-1.5l")</f>
        <v>0</v>
      </c>
      <c r="G20">
        <f>--(Insurance_Data!D20="1.5-2l")</f>
        <v>0</v>
      </c>
      <c r="H20">
        <f>--(Insurance_Data!D20="&gt;2l")</f>
        <v>0</v>
      </c>
      <c r="I20">
        <f>--(Insurance_Data!E20="25-29")</f>
        <v>0</v>
      </c>
      <c r="J20">
        <f>--(Insurance_Data!E20="30-35")</f>
        <v>1</v>
      </c>
      <c r="K20">
        <f>--(Insurance_Data!E20="&gt;35")</f>
        <v>0</v>
      </c>
      <c r="L20">
        <f>Insurance_Data!G20</f>
        <v>22</v>
      </c>
      <c r="M20">
        <f>Insurance_Data!F20</f>
        <v>151</v>
      </c>
      <c r="N20">
        <f>Insurance_Data!H20</f>
        <v>0.14569536423841059</v>
      </c>
    </row>
    <row r="21" spans="1:14" x14ac:dyDescent="0.2">
      <c r="A21">
        <f>Insurance_Data!A21</f>
        <v>20</v>
      </c>
      <c r="B21">
        <v>1</v>
      </c>
      <c r="C21">
        <f>--(Insurance_Data!C21="2")</f>
        <v>1</v>
      </c>
      <c r="D21">
        <f>--(Insurance_Data!C21="3")</f>
        <v>0</v>
      </c>
      <c r="E21">
        <f>--(Insurance_Data!C21="4")</f>
        <v>0</v>
      </c>
      <c r="F21">
        <f>--(Insurance_Data!D21="1-1.5l")</f>
        <v>0</v>
      </c>
      <c r="G21">
        <f>--(Insurance_Data!D21="1.5-2l")</f>
        <v>0</v>
      </c>
      <c r="H21">
        <f>--(Insurance_Data!D21="&gt;2l")</f>
        <v>0</v>
      </c>
      <c r="I21">
        <f>--(Insurance_Data!E21="25-29")</f>
        <v>0</v>
      </c>
      <c r="J21">
        <f>--(Insurance_Data!E21="30-35")</f>
        <v>0</v>
      </c>
      <c r="K21">
        <f>--(Insurance_Data!E21="&gt;35")</f>
        <v>1</v>
      </c>
      <c r="L21">
        <f>Insurance_Data!G21</f>
        <v>87</v>
      </c>
      <c r="M21">
        <f>Insurance_Data!F21</f>
        <v>931</v>
      </c>
      <c r="N21">
        <f>Insurance_Data!H21</f>
        <v>9.3447905477980667E-2</v>
      </c>
    </row>
    <row r="22" spans="1:14" x14ac:dyDescent="0.2">
      <c r="A22">
        <f>Insurance_Data!A22</f>
        <v>21</v>
      </c>
      <c r="B22">
        <v>1</v>
      </c>
      <c r="C22">
        <f>--(Insurance_Data!C22="2")</f>
        <v>1</v>
      </c>
      <c r="D22">
        <f>--(Insurance_Data!C22="3")</f>
        <v>0</v>
      </c>
      <c r="E22">
        <f>--(Insurance_Data!C22="4")</f>
        <v>0</v>
      </c>
      <c r="F22">
        <f>--(Insurance_Data!D22="1-1.5l")</f>
        <v>1</v>
      </c>
      <c r="G22">
        <f>--(Insurance_Data!D22="1.5-2l")</f>
        <v>0</v>
      </c>
      <c r="H22">
        <f>--(Insurance_Data!D22="&gt;2l")</f>
        <v>0</v>
      </c>
      <c r="I22">
        <f>--(Insurance_Data!E22="25-29")</f>
        <v>0</v>
      </c>
      <c r="J22">
        <f>--(Insurance_Data!E22="30-35")</f>
        <v>0</v>
      </c>
      <c r="K22">
        <f>--(Insurance_Data!E22="&gt;35")</f>
        <v>0</v>
      </c>
      <c r="L22">
        <f>Insurance_Data!G22</f>
        <v>25</v>
      </c>
      <c r="M22">
        <f>Insurance_Data!F22</f>
        <v>149</v>
      </c>
      <c r="N22">
        <f>Insurance_Data!H22</f>
        <v>0.16778523489932887</v>
      </c>
    </row>
    <row r="23" spans="1:14" x14ac:dyDescent="0.2">
      <c r="A23">
        <f>Insurance_Data!A23</f>
        <v>22</v>
      </c>
      <c r="B23">
        <v>1</v>
      </c>
      <c r="C23">
        <f>--(Insurance_Data!C23="2")</f>
        <v>1</v>
      </c>
      <c r="D23">
        <f>--(Insurance_Data!C23="3")</f>
        <v>0</v>
      </c>
      <c r="E23">
        <f>--(Insurance_Data!C23="4")</f>
        <v>0</v>
      </c>
      <c r="F23">
        <f>--(Insurance_Data!D23="1-1.5l")</f>
        <v>1</v>
      </c>
      <c r="G23">
        <f>--(Insurance_Data!D23="1.5-2l")</f>
        <v>0</v>
      </c>
      <c r="H23">
        <f>--(Insurance_Data!D23="&gt;2l")</f>
        <v>0</v>
      </c>
      <c r="I23">
        <f>--(Insurance_Data!E23="25-29")</f>
        <v>1</v>
      </c>
      <c r="J23">
        <f>--(Insurance_Data!E23="30-35")</f>
        <v>0</v>
      </c>
      <c r="K23">
        <f>--(Insurance_Data!E23="&gt;35")</f>
        <v>0</v>
      </c>
      <c r="L23">
        <f>Insurance_Data!G23</f>
        <v>51</v>
      </c>
      <c r="M23">
        <f>Insurance_Data!F23</f>
        <v>313</v>
      </c>
      <c r="N23">
        <f>Insurance_Data!H23</f>
        <v>0.16293929712460065</v>
      </c>
    </row>
    <row r="24" spans="1:14" x14ac:dyDescent="0.2">
      <c r="A24">
        <f>Insurance_Data!A24</f>
        <v>23</v>
      </c>
      <c r="B24">
        <v>1</v>
      </c>
      <c r="C24">
        <f>--(Insurance_Data!C24="2")</f>
        <v>1</v>
      </c>
      <c r="D24">
        <f>--(Insurance_Data!C24="3")</f>
        <v>0</v>
      </c>
      <c r="E24">
        <f>--(Insurance_Data!C24="4")</f>
        <v>0</v>
      </c>
      <c r="F24">
        <f>--(Insurance_Data!D24="1-1.5l")</f>
        <v>1</v>
      </c>
      <c r="G24">
        <f>--(Insurance_Data!D24="1.5-2l")</f>
        <v>0</v>
      </c>
      <c r="H24">
        <f>--(Insurance_Data!D24="&gt;2l")</f>
        <v>0</v>
      </c>
      <c r="I24">
        <f>--(Insurance_Data!E24="25-29")</f>
        <v>0</v>
      </c>
      <c r="J24">
        <f>--(Insurance_Data!E24="30-35")</f>
        <v>1</v>
      </c>
      <c r="K24">
        <f>--(Insurance_Data!E24="&gt;35")</f>
        <v>0</v>
      </c>
      <c r="L24">
        <f>Insurance_Data!G24</f>
        <v>49</v>
      </c>
      <c r="M24">
        <f>Insurance_Data!F24</f>
        <v>419</v>
      </c>
      <c r="N24">
        <f>Insurance_Data!H24</f>
        <v>0.11694510739856802</v>
      </c>
    </row>
    <row r="25" spans="1:14" x14ac:dyDescent="0.2">
      <c r="A25">
        <f>Insurance_Data!A25</f>
        <v>24</v>
      </c>
      <c r="B25">
        <v>1</v>
      </c>
      <c r="C25">
        <f>--(Insurance_Data!C25="2")</f>
        <v>1</v>
      </c>
      <c r="D25">
        <f>--(Insurance_Data!C25="3")</f>
        <v>0</v>
      </c>
      <c r="E25">
        <f>--(Insurance_Data!C25="4")</f>
        <v>0</v>
      </c>
      <c r="F25">
        <f>--(Insurance_Data!D25="1-1.5l")</f>
        <v>1</v>
      </c>
      <c r="G25">
        <f>--(Insurance_Data!D25="1.5-2l")</f>
        <v>0</v>
      </c>
      <c r="H25">
        <f>--(Insurance_Data!D25="&gt;2l")</f>
        <v>0</v>
      </c>
      <c r="I25">
        <f>--(Insurance_Data!E25="25-29")</f>
        <v>0</v>
      </c>
      <c r="J25">
        <f>--(Insurance_Data!E25="30-35")</f>
        <v>0</v>
      </c>
      <c r="K25">
        <f>--(Insurance_Data!E25="&gt;35")</f>
        <v>1</v>
      </c>
      <c r="L25">
        <f>Insurance_Data!G25</f>
        <v>290</v>
      </c>
      <c r="M25">
        <f>Insurance_Data!F25</f>
        <v>2443</v>
      </c>
      <c r="N25">
        <f>Insurance_Data!H25</f>
        <v>0.11870650839132214</v>
      </c>
    </row>
    <row r="26" spans="1:14" x14ac:dyDescent="0.2">
      <c r="A26">
        <f>Insurance_Data!A26</f>
        <v>25</v>
      </c>
      <c r="B26">
        <v>1</v>
      </c>
      <c r="C26">
        <f>--(Insurance_Data!C26="2")</f>
        <v>1</v>
      </c>
      <c r="D26">
        <f>--(Insurance_Data!C26="3")</f>
        <v>0</v>
      </c>
      <c r="E26">
        <f>--(Insurance_Data!C26="4")</f>
        <v>0</v>
      </c>
      <c r="F26">
        <f>--(Insurance_Data!D26="1-1.5l")</f>
        <v>0</v>
      </c>
      <c r="G26">
        <f>--(Insurance_Data!D26="1.5-2l")</f>
        <v>1</v>
      </c>
      <c r="H26">
        <f>--(Insurance_Data!D26="&gt;2l")</f>
        <v>0</v>
      </c>
      <c r="I26">
        <f>--(Insurance_Data!E26="25-29")</f>
        <v>0</v>
      </c>
      <c r="J26">
        <f>--(Insurance_Data!E26="30-35")</f>
        <v>0</v>
      </c>
      <c r="K26">
        <f>--(Insurance_Data!E26="&gt;35")</f>
        <v>0</v>
      </c>
      <c r="L26">
        <f>Insurance_Data!G26</f>
        <v>14</v>
      </c>
      <c r="M26">
        <f>Insurance_Data!F26</f>
        <v>66</v>
      </c>
      <c r="N26">
        <f>Insurance_Data!H26</f>
        <v>0.21212121212121213</v>
      </c>
    </row>
    <row r="27" spans="1:14" x14ac:dyDescent="0.2">
      <c r="A27">
        <f>Insurance_Data!A27</f>
        <v>26</v>
      </c>
      <c r="B27">
        <v>1</v>
      </c>
      <c r="C27">
        <f>--(Insurance_Data!C27="2")</f>
        <v>1</v>
      </c>
      <c r="D27">
        <f>--(Insurance_Data!C27="3")</f>
        <v>0</v>
      </c>
      <c r="E27">
        <f>--(Insurance_Data!C27="4")</f>
        <v>0</v>
      </c>
      <c r="F27">
        <f>--(Insurance_Data!D27="1-1.5l")</f>
        <v>0</v>
      </c>
      <c r="G27">
        <f>--(Insurance_Data!D27="1.5-2l")</f>
        <v>1</v>
      </c>
      <c r="H27">
        <f>--(Insurance_Data!D27="&gt;2l")</f>
        <v>0</v>
      </c>
      <c r="I27">
        <f>--(Insurance_Data!E27="25-29")</f>
        <v>1</v>
      </c>
      <c r="J27">
        <f>--(Insurance_Data!E27="30-35")</f>
        <v>0</v>
      </c>
      <c r="K27">
        <f>--(Insurance_Data!E27="&gt;35")</f>
        <v>0</v>
      </c>
      <c r="L27">
        <f>Insurance_Data!G27</f>
        <v>46</v>
      </c>
      <c r="M27">
        <f>Insurance_Data!F27</f>
        <v>175</v>
      </c>
      <c r="N27">
        <f>Insurance_Data!H27</f>
        <v>0.26285714285714284</v>
      </c>
    </row>
    <row r="28" spans="1:14" x14ac:dyDescent="0.2">
      <c r="A28">
        <f>Insurance_Data!A28</f>
        <v>27</v>
      </c>
      <c r="B28">
        <v>1</v>
      </c>
      <c r="C28">
        <f>--(Insurance_Data!C28="2")</f>
        <v>1</v>
      </c>
      <c r="D28">
        <f>--(Insurance_Data!C28="3")</f>
        <v>0</v>
      </c>
      <c r="E28">
        <f>--(Insurance_Data!C28="4")</f>
        <v>0</v>
      </c>
      <c r="F28">
        <f>--(Insurance_Data!D28="1-1.5l")</f>
        <v>0</v>
      </c>
      <c r="G28">
        <f>--(Insurance_Data!D28="1.5-2l")</f>
        <v>1</v>
      </c>
      <c r="H28">
        <f>--(Insurance_Data!D28="&gt;2l")</f>
        <v>0</v>
      </c>
      <c r="I28">
        <f>--(Insurance_Data!E28="25-29")</f>
        <v>0</v>
      </c>
      <c r="J28">
        <f>--(Insurance_Data!E28="30-35")</f>
        <v>1</v>
      </c>
      <c r="K28">
        <f>--(Insurance_Data!E28="&gt;35")</f>
        <v>0</v>
      </c>
      <c r="L28">
        <f>Insurance_Data!G28</f>
        <v>39</v>
      </c>
      <c r="M28">
        <f>Insurance_Data!F28</f>
        <v>221</v>
      </c>
      <c r="N28">
        <f>Insurance_Data!H28</f>
        <v>0.17647058823529413</v>
      </c>
    </row>
    <row r="29" spans="1:14" x14ac:dyDescent="0.2">
      <c r="A29">
        <f>Insurance_Data!A29</f>
        <v>28</v>
      </c>
      <c r="B29">
        <v>1</v>
      </c>
      <c r="C29">
        <f>--(Insurance_Data!C29="2")</f>
        <v>1</v>
      </c>
      <c r="D29">
        <f>--(Insurance_Data!C29="3")</f>
        <v>0</v>
      </c>
      <c r="E29">
        <f>--(Insurance_Data!C29="4")</f>
        <v>0</v>
      </c>
      <c r="F29">
        <f>--(Insurance_Data!D29="1-1.5l")</f>
        <v>0</v>
      </c>
      <c r="G29">
        <f>--(Insurance_Data!D29="1.5-2l")</f>
        <v>1</v>
      </c>
      <c r="H29">
        <f>--(Insurance_Data!D29="&gt;2l")</f>
        <v>0</v>
      </c>
      <c r="I29">
        <f>--(Insurance_Data!E29="25-29")</f>
        <v>0</v>
      </c>
      <c r="J29">
        <f>--(Insurance_Data!E29="30-35")</f>
        <v>0</v>
      </c>
      <c r="K29">
        <f>--(Insurance_Data!E29="&gt;35")</f>
        <v>1</v>
      </c>
      <c r="L29">
        <f>Insurance_Data!G29</f>
        <v>143</v>
      </c>
      <c r="M29">
        <f>Insurance_Data!F29</f>
        <v>1110</v>
      </c>
      <c r="N29">
        <f>Insurance_Data!H29</f>
        <v>0.12882882882882882</v>
      </c>
    </row>
    <row r="30" spans="1:14" x14ac:dyDescent="0.2">
      <c r="A30">
        <f>Insurance_Data!A30</f>
        <v>29</v>
      </c>
      <c r="B30">
        <v>1</v>
      </c>
      <c r="C30">
        <f>--(Insurance_Data!C30="2")</f>
        <v>1</v>
      </c>
      <c r="D30">
        <f>--(Insurance_Data!C30="3")</f>
        <v>0</v>
      </c>
      <c r="E30">
        <f>--(Insurance_Data!C30="4")</f>
        <v>0</v>
      </c>
      <c r="F30">
        <f>--(Insurance_Data!D30="1-1.5l")</f>
        <v>0</v>
      </c>
      <c r="G30">
        <f>--(Insurance_Data!D30="1.5-2l")</f>
        <v>0</v>
      </c>
      <c r="H30">
        <f>--(Insurance_Data!D30="&gt;2l")</f>
        <v>1</v>
      </c>
      <c r="I30">
        <f>--(Insurance_Data!E30="25-29")</f>
        <v>0</v>
      </c>
      <c r="J30">
        <f>--(Insurance_Data!E30="30-35")</f>
        <v>0</v>
      </c>
      <c r="K30">
        <f>--(Insurance_Data!E30="&gt;35")</f>
        <v>0</v>
      </c>
      <c r="L30">
        <f>Insurance_Data!G30</f>
        <v>4</v>
      </c>
      <c r="M30">
        <f>Insurance_Data!F30</f>
        <v>9</v>
      </c>
      <c r="N30">
        <f>Insurance_Data!H30</f>
        <v>0.44444444444444442</v>
      </c>
    </row>
    <row r="31" spans="1:14" x14ac:dyDescent="0.2">
      <c r="A31">
        <f>Insurance_Data!A31</f>
        <v>30</v>
      </c>
      <c r="B31">
        <v>1</v>
      </c>
      <c r="C31">
        <f>--(Insurance_Data!C31="2")</f>
        <v>1</v>
      </c>
      <c r="D31">
        <f>--(Insurance_Data!C31="3")</f>
        <v>0</v>
      </c>
      <c r="E31">
        <f>--(Insurance_Data!C31="4")</f>
        <v>0</v>
      </c>
      <c r="F31">
        <f>--(Insurance_Data!D31="1-1.5l")</f>
        <v>0</v>
      </c>
      <c r="G31">
        <f>--(Insurance_Data!D31="1.5-2l")</f>
        <v>0</v>
      </c>
      <c r="H31">
        <f>--(Insurance_Data!D31="&gt;2l")</f>
        <v>1</v>
      </c>
      <c r="I31">
        <f>--(Insurance_Data!E31="25-29")</f>
        <v>1</v>
      </c>
      <c r="J31">
        <f>--(Insurance_Data!E31="30-35")</f>
        <v>0</v>
      </c>
      <c r="K31">
        <f>--(Insurance_Data!E31="&gt;35")</f>
        <v>0</v>
      </c>
      <c r="L31">
        <f>Insurance_Data!G31</f>
        <v>15</v>
      </c>
      <c r="M31">
        <f>Insurance_Data!F31</f>
        <v>48</v>
      </c>
      <c r="N31">
        <f>Insurance_Data!H31</f>
        <v>0.3125</v>
      </c>
    </row>
    <row r="32" spans="1:14" x14ac:dyDescent="0.2">
      <c r="A32">
        <f>Insurance_Data!A32</f>
        <v>31</v>
      </c>
      <c r="B32">
        <v>1</v>
      </c>
      <c r="C32">
        <f>--(Insurance_Data!C32="2")</f>
        <v>1</v>
      </c>
      <c r="D32">
        <f>--(Insurance_Data!C32="3")</f>
        <v>0</v>
      </c>
      <c r="E32">
        <f>--(Insurance_Data!C32="4")</f>
        <v>0</v>
      </c>
      <c r="F32">
        <f>--(Insurance_Data!D32="1-1.5l")</f>
        <v>0</v>
      </c>
      <c r="G32">
        <f>--(Insurance_Data!D32="1.5-2l")</f>
        <v>0</v>
      </c>
      <c r="H32">
        <f>--(Insurance_Data!D32="&gt;2l")</f>
        <v>1</v>
      </c>
      <c r="I32">
        <f>--(Insurance_Data!E32="25-29")</f>
        <v>0</v>
      </c>
      <c r="J32">
        <f>--(Insurance_Data!E32="30-35")</f>
        <v>1</v>
      </c>
      <c r="K32">
        <f>--(Insurance_Data!E32="&gt;35")</f>
        <v>0</v>
      </c>
      <c r="L32">
        <f>Insurance_Data!G32</f>
        <v>12</v>
      </c>
      <c r="M32">
        <f>Insurance_Data!F32</f>
        <v>72</v>
      </c>
      <c r="N32">
        <f>Insurance_Data!H32</f>
        <v>0.16666666666666666</v>
      </c>
    </row>
    <row r="33" spans="1:14" x14ac:dyDescent="0.2">
      <c r="A33">
        <f>Insurance_Data!A33</f>
        <v>32</v>
      </c>
      <c r="B33">
        <v>1</v>
      </c>
      <c r="C33">
        <f>--(Insurance_Data!C33="2")</f>
        <v>1</v>
      </c>
      <c r="D33">
        <f>--(Insurance_Data!C33="3")</f>
        <v>0</v>
      </c>
      <c r="E33">
        <f>--(Insurance_Data!C33="4")</f>
        <v>0</v>
      </c>
      <c r="F33">
        <f>--(Insurance_Data!D33="1-1.5l")</f>
        <v>0</v>
      </c>
      <c r="G33">
        <f>--(Insurance_Data!D33="1.5-2l")</f>
        <v>0</v>
      </c>
      <c r="H33">
        <f>--(Insurance_Data!D33="&gt;2l")</f>
        <v>1</v>
      </c>
      <c r="I33">
        <f>--(Insurance_Data!E33="25-29")</f>
        <v>0</v>
      </c>
      <c r="J33">
        <f>--(Insurance_Data!E33="30-35")</f>
        <v>0</v>
      </c>
      <c r="K33">
        <f>--(Insurance_Data!E33="&gt;35")</f>
        <v>1</v>
      </c>
      <c r="L33">
        <f>Insurance_Data!G33</f>
        <v>53</v>
      </c>
      <c r="M33">
        <f>Insurance_Data!F33</f>
        <v>322</v>
      </c>
      <c r="N33">
        <f>Insurance_Data!H33</f>
        <v>0.16459627329192547</v>
      </c>
    </row>
    <row r="34" spans="1:14" x14ac:dyDescent="0.2">
      <c r="A34">
        <f>Insurance_Data!A34</f>
        <v>33</v>
      </c>
      <c r="B34">
        <v>1</v>
      </c>
      <c r="C34">
        <f>--(Insurance_Data!C34="2")</f>
        <v>0</v>
      </c>
      <c r="D34">
        <f>--(Insurance_Data!C34="3")</f>
        <v>1</v>
      </c>
      <c r="E34">
        <f>--(Insurance_Data!C34="4")</f>
        <v>0</v>
      </c>
      <c r="F34">
        <f>--(Insurance_Data!D34="1-1.5l")</f>
        <v>0</v>
      </c>
      <c r="G34">
        <f>--(Insurance_Data!D34="1.5-2l")</f>
        <v>0</v>
      </c>
      <c r="H34">
        <f>--(Insurance_Data!D34="&gt;2l")</f>
        <v>0</v>
      </c>
      <c r="I34">
        <f>--(Insurance_Data!E34="25-29")</f>
        <v>0</v>
      </c>
      <c r="J34">
        <f>--(Insurance_Data!E34="30-35")</f>
        <v>0</v>
      </c>
      <c r="K34">
        <f>--(Insurance_Data!E34="&gt;35")</f>
        <v>0</v>
      </c>
      <c r="L34">
        <f>Insurance_Data!G34</f>
        <v>5</v>
      </c>
      <c r="M34">
        <f>Insurance_Data!F34</f>
        <v>35</v>
      </c>
      <c r="N34">
        <f>Insurance_Data!H34</f>
        <v>0.14285714285714285</v>
      </c>
    </row>
    <row r="35" spans="1:14" x14ac:dyDescent="0.2">
      <c r="A35">
        <f>Insurance_Data!A35</f>
        <v>34</v>
      </c>
      <c r="B35">
        <v>1</v>
      </c>
      <c r="C35">
        <f>--(Insurance_Data!C35="2")</f>
        <v>0</v>
      </c>
      <c r="D35">
        <f>--(Insurance_Data!C35="3")</f>
        <v>1</v>
      </c>
      <c r="E35">
        <f>--(Insurance_Data!C35="4")</f>
        <v>0</v>
      </c>
      <c r="F35">
        <f>--(Insurance_Data!D35="1-1.5l")</f>
        <v>0</v>
      </c>
      <c r="G35">
        <f>--(Insurance_Data!D35="1.5-2l")</f>
        <v>0</v>
      </c>
      <c r="H35">
        <f>--(Insurance_Data!D35="&gt;2l")</f>
        <v>0</v>
      </c>
      <c r="I35">
        <f>--(Insurance_Data!E35="25-29")</f>
        <v>1</v>
      </c>
      <c r="J35">
        <f>--(Insurance_Data!E35="30-35")</f>
        <v>0</v>
      </c>
      <c r="K35">
        <f>--(Insurance_Data!E35="&gt;35")</f>
        <v>0</v>
      </c>
      <c r="L35">
        <f>Insurance_Data!G35</f>
        <v>11</v>
      </c>
      <c r="M35">
        <f>Insurance_Data!F35</f>
        <v>73</v>
      </c>
      <c r="N35">
        <f>Insurance_Data!H35</f>
        <v>0.15068493150684931</v>
      </c>
    </row>
    <row r="36" spans="1:14" x14ac:dyDescent="0.2">
      <c r="A36">
        <f>Insurance_Data!A36</f>
        <v>35</v>
      </c>
      <c r="B36">
        <v>1</v>
      </c>
      <c r="C36">
        <f>--(Insurance_Data!C36="2")</f>
        <v>0</v>
      </c>
      <c r="D36">
        <f>--(Insurance_Data!C36="3")</f>
        <v>1</v>
      </c>
      <c r="E36">
        <f>--(Insurance_Data!C36="4")</f>
        <v>0</v>
      </c>
      <c r="F36">
        <f>--(Insurance_Data!D36="1-1.5l")</f>
        <v>0</v>
      </c>
      <c r="G36">
        <f>--(Insurance_Data!D36="1.5-2l")</f>
        <v>0</v>
      </c>
      <c r="H36">
        <f>--(Insurance_Data!D36="&gt;2l")</f>
        <v>0</v>
      </c>
      <c r="I36">
        <f>--(Insurance_Data!E36="25-29")</f>
        <v>0</v>
      </c>
      <c r="J36">
        <f>--(Insurance_Data!E36="30-35")</f>
        <v>1</v>
      </c>
      <c r="K36">
        <f>--(Insurance_Data!E36="&gt;35")</f>
        <v>0</v>
      </c>
      <c r="L36">
        <f>Insurance_Data!G36</f>
        <v>10</v>
      </c>
      <c r="M36">
        <f>Insurance_Data!F36</f>
        <v>89</v>
      </c>
      <c r="N36">
        <f>Insurance_Data!H36</f>
        <v>0.11235955056179775</v>
      </c>
    </row>
    <row r="37" spans="1:14" x14ac:dyDescent="0.2">
      <c r="A37">
        <f>Insurance_Data!A37</f>
        <v>36</v>
      </c>
      <c r="B37">
        <v>1</v>
      </c>
      <c r="C37">
        <f>--(Insurance_Data!C37="2")</f>
        <v>0</v>
      </c>
      <c r="D37">
        <f>--(Insurance_Data!C37="3")</f>
        <v>1</v>
      </c>
      <c r="E37">
        <f>--(Insurance_Data!C37="4")</f>
        <v>0</v>
      </c>
      <c r="F37">
        <f>--(Insurance_Data!D37="1-1.5l")</f>
        <v>0</v>
      </c>
      <c r="G37">
        <f>--(Insurance_Data!D37="1.5-2l")</f>
        <v>0</v>
      </c>
      <c r="H37">
        <f>--(Insurance_Data!D37="&gt;2l")</f>
        <v>0</v>
      </c>
      <c r="I37">
        <f>--(Insurance_Data!E37="25-29")</f>
        <v>0</v>
      </c>
      <c r="J37">
        <f>--(Insurance_Data!E37="30-35")</f>
        <v>0</v>
      </c>
      <c r="K37">
        <f>--(Insurance_Data!E37="&gt;35")</f>
        <v>1</v>
      </c>
      <c r="L37">
        <f>Insurance_Data!G37</f>
        <v>67</v>
      </c>
      <c r="M37">
        <f>Insurance_Data!F37</f>
        <v>648</v>
      </c>
      <c r="N37">
        <f>Insurance_Data!H37</f>
        <v>0.10339506172839506</v>
      </c>
    </row>
    <row r="38" spans="1:14" x14ac:dyDescent="0.2">
      <c r="A38">
        <f>Insurance_Data!A38</f>
        <v>37</v>
      </c>
      <c r="B38">
        <v>1</v>
      </c>
      <c r="C38">
        <f>--(Insurance_Data!C38="2")</f>
        <v>0</v>
      </c>
      <c r="D38">
        <f>--(Insurance_Data!C38="3")</f>
        <v>1</v>
      </c>
      <c r="E38">
        <f>--(Insurance_Data!C38="4")</f>
        <v>0</v>
      </c>
      <c r="F38">
        <f>--(Insurance_Data!D38="1-1.5l")</f>
        <v>1</v>
      </c>
      <c r="G38">
        <f>--(Insurance_Data!D38="1.5-2l")</f>
        <v>0</v>
      </c>
      <c r="H38">
        <f>--(Insurance_Data!D38="&gt;2l")</f>
        <v>0</v>
      </c>
      <c r="I38">
        <f>--(Insurance_Data!E38="25-29")</f>
        <v>0</v>
      </c>
      <c r="J38">
        <f>--(Insurance_Data!E38="30-35")</f>
        <v>0</v>
      </c>
      <c r="K38">
        <f>--(Insurance_Data!E38="&gt;35")</f>
        <v>0</v>
      </c>
      <c r="L38">
        <f>Insurance_Data!G38</f>
        <v>10</v>
      </c>
      <c r="M38">
        <f>Insurance_Data!F38</f>
        <v>53</v>
      </c>
      <c r="N38">
        <f>Insurance_Data!H38</f>
        <v>0.18867924528301888</v>
      </c>
    </row>
    <row r="39" spans="1:14" x14ac:dyDescent="0.2">
      <c r="A39">
        <f>Insurance_Data!A39</f>
        <v>38</v>
      </c>
      <c r="B39">
        <v>1</v>
      </c>
      <c r="C39">
        <f>--(Insurance_Data!C39="2")</f>
        <v>0</v>
      </c>
      <c r="D39">
        <f>--(Insurance_Data!C39="3")</f>
        <v>1</v>
      </c>
      <c r="E39">
        <f>--(Insurance_Data!C39="4")</f>
        <v>0</v>
      </c>
      <c r="F39">
        <f>--(Insurance_Data!D39="1-1.5l")</f>
        <v>1</v>
      </c>
      <c r="G39">
        <f>--(Insurance_Data!D39="1.5-2l")</f>
        <v>0</v>
      </c>
      <c r="H39">
        <f>--(Insurance_Data!D39="&gt;2l")</f>
        <v>0</v>
      </c>
      <c r="I39">
        <f>--(Insurance_Data!E39="25-29")</f>
        <v>1</v>
      </c>
      <c r="J39">
        <f>--(Insurance_Data!E39="30-35")</f>
        <v>0</v>
      </c>
      <c r="K39">
        <f>--(Insurance_Data!E39="&gt;35")</f>
        <v>0</v>
      </c>
      <c r="L39">
        <f>Insurance_Data!G39</f>
        <v>24</v>
      </c>
      <c r="M39">
        <f>Insurance_Data!F39</f>
        <v>155</v>
      </c>
      <c r="N39">
        <f>Insurance_Data!H39</f>
        <v>0.15483870967741936</v>
      </c>
    </row>
    <row r="40" spans="1:14" x14ac:dyDescent="0.2">
      <c r="A40">
        <f>Insurance_Data!A40</f>
        <v>39</v>
      </c>
      <c r="B40">
        <v>1</v>
      </c>
      <c r="C40">
        <f>--(Insurance_Data!C40="2")</f>
        <v>0</v>
      </c>
      <c r="D40">
        <f>--(Insurance_Data!C40="3")</f>
        <v>1</v>
      </c>
      <c r="E40">
        <f>--(Insurance_Data!C40="4")</f>
        <v>0</v>
      </c>
      <c r="F40">
        <f>--(Insurance_Data!D40="1-1.5l")</f>
        <v>1</v>
      </c>
      <c r="G40">
        <f>--(Insurance_Data!D40="1.5-2l")</f>
        <v>0</v>
      </c>
      <c r="H40">
        <f>--(Insurance_Data!D40="&gt;2l")</f>
        <v>0</v>
      </c>
      <c r="I40">
        <f>--(Insurance_Data!E40="25-29")</f>
        <v>0</v>
      </c>
      <c r="J40">
        <f>--(Insurance_Data!E40="30-35")</f>
        <v>1</v>
      </c>
      <c r="K40">
        <f>--(Insurance_Data!E40="&gt;35")</f>
        <v>0</v>
      </c>
      <c r="L40">
        <f>Insurance_Data!G40</f>
        <v>37</v>
      </c>
      <c r="M40">
        <f>Insurance_Data!F40</f>
        <v>240</v>
      </c>
      <c r="N40">
        <f>Insurance_Data!H40</f>
        <v>0.15416666666666667</v>
      </c>
    </row>
    <row r="41" spans="1:14" x14ac:dyDescent="0.2">
      <c r="A41">
        <f>Insurance_Data!A41</f>
        <v>40</v>
      </c>
      <c r="B41">
        <v>1</v>
      </c>
      <c r="C41">
        <f>--(Insurance_Data!C41="2")</f>
        <v>0</v>
      </c>
      <c r="D41">
        <f>--(Insurance_Data!C41="3")</f>
        <v>1</v>
      </c>
      <c r="E41">
        <f>--(Insurance_Data!C41="4")</f>
        <v>0</v>
      </c>
      <c r="F41">
        <f>--(Insurance_Data!D41="1-1.5l")</f>
        <v>1</v>
      </c>
      <c r="G41">
        <f>--(Insurance_Data!D41="1.5-2l")</f>
        <v>0</v>
      </c>
      <c r="H41">
        <f>--(Insurance_Data!D41="&gt;2l")</f>
        <v>0</v>
      </c>
      <c r="I41">
        <f>--(Insurance_Data!E41="25-29")</f>
        <v>0</v>
      </c>
      <c r="J41">
        <f>--(Insurance_Data!E41="30-35")</f>
        <v>0</v>
      </c>
      <c r="K41">
        <f>--(Insurance_Data!E41="&gt;35")</f>
        <v>1</v>
      </c>
      <c r="L41">
        <f>Insurance_Data!G41</f>
        <v>187</v>
      </c>
      <c r="M41">
        <f>Insurance_Data!F41</f>
        <v>1635</v>
      </c>
      <c r="N41">
        <f>Insurance_Data!H41</f>
        <v>0.11437308868501529</v>
      </c>
    </row>
    <row r="42" spans="1:14" x14ac:dyDescent="0.2">
      <c r="A42">
        <f>Insurance_Data!A42</f>
        <v>41</v>
      </c>
      <c r="B42">
        <v>1</v>
      </c>
      <c r="C42">
        <f>--(Insurance_Data!C42="2")</f>
        <v>0</v>
      </c>
      <c r="D42">
        <f>--(Insurance_Data!C42="3")</f>
        <v>1</v>
      </c>
      <c r="E42">
        <f>--(Insurance_Data!C42="4")</f>
        <v>0</v>
      </c>
      <c r="F42">
        <f>--(Insurance_Data!D42="1-1.5l")</f>
        <v>0</v>
      </c>
      <c r="G42">
        <f>--(Insurance_Data!D42="1.5-2l")</f>
        <v>1</v>
      </c>
      <c r="H42">
        <f>--(Insurance_Data!D42="&gt;2l")</f>
        <v>0</v>
      </c>
      <c r="I42">
        <f>--(Insurance_Data!E42="25-29")</f>
        <v>0</v>
      </c>
      <c r="J42">
        <f>--(Insurance_Data!E42="30-35")</f>
        <v>0</v>
      </c>
      <c r="K42">
        <f>--(Insurance_Data!E42="&gt;35")</f>
        <v>0</v>
      </c>
      <c r="L42">
        <f>Insurance_Data!G42</f>
        <v>8</v>
      </c>
      <c r="M42">
        <f>Insurance_Data!F42</f>
        <v>24</v>
      </c>
      <c r="N42">
        <f>Insurance_Data!H42</f>
        <v>0.33333333333333331</v>
      </c>
    </row>
    <row r="43" spans="1:14" x14ac:dyDescent="0.2">
      <c r="A43">
        <f>Insurance_Data!A43</f>
        <v>42</v>
      </c>
      <c r="B43">
        <v>1</v>
      </c>
      <c r="C43">
        <f>--(Insurance_Data!C43="2")</f>
        <v>0</v>
      </c>
      <c r="D43">
        <f>--(Insurance_Data!C43="3")</f>
        <v>1</v>
      </c>
      <c r="E43">
        <f>--(Insurance_Data!C43="4")</f>
        <v>0</v>
      </c>
      <c r="F43">
        <f>--(Insurance_Data!D43="1-1.5l")</f>
        <v>0</v>
      </c>
      <c r="G43">
        <f>--(Insurance_Data!D43="1.5-2l")</f>
        <v>1</v>
      </c>
      <c r="H43">
        <f>--(Insurance_Data!D43="&gt;2l")</f>
        <v>0</v>
      </c>
      <c r="I43">
        <f>--(Insurance_Data!E43="25-29")</f>
        <v>1</v>
      </c>
      <c r="J43">
        <f>--(Insurance_Data!E43="30-35")</f>
        <v>0</v>
      </c>
      <c r="K43">
        <f>--(Insurance_Data!E43="&gt;35")</f>
        <v>0</v>
      </c>
      <c r="L43">
        <f>Insurance_Data!G43</f>
        <v>19</v>
      </c>
      <c r="M43">
        <f>Insurance_Data!F43</f>
        <v>78</v>
      </c>
      <c r="N43">
        <f>Insurance_Data!H43</f>
        <v>0.24358974358974358</v>
      </c>
    </row>
    <row r="44" spans="1:14" x14ac:dyDescent="0.2">
      <c r="A44">
        <f>Insurance_Data!A44</f>
        <v>43</v>
      </c>
      <c r="B44">
        <v>1</v>
      </c>
      <c r="C44">
        <f>--(Insurance_Data!C44="2")</f>
        <v>0</v>
      </c>
      <c r="D44">
        <f>--(Insurance_Data!C44="3")</f>
        <v>1</v>
      </c>
      <c r="E44">
        <f>--(Insurance_Data!C44="4")</f>
        <v>0</v>
      </c>
      <c r="F44">
        <f>--(Insurance_Data!D44="1-1.5l")</f>
        <v>0</v>
      </c>
      <c r="G44">
        <f>--(Insurance_Data!D44="1.5-2l")</f>
        <v>1</v>
      </c>
      <c r="H44">
        <f>--(Insurance_Data!D44="&gt;2l")</f>
        <v>0</v>
      </c>
      <c r="I44">
        <f>--(Insurance_Data!E44="25-29")</f>
        <v>0</v>
      </c>
      <c r="J44">
        <f>--(Insurance_Data!E44="30-35")</f>
        <v>1</v>
      </c>
      <c r="K44">
        <f>--(Insurance_Data!E44="&gt;35")</f>
        <v>0</v>
      </c>
      <c r="L44">
        <f>Insurance_Data!G44</f>
        <v>24</v>
      </c>
      <c r="M44">
        <f>Insurance_Data!F44</f>
        <v>121</v>
      </c>
      <c r="N44">
        <f>Insurance_Data!H44</f>
        <v>0.19834710743801653</v>
      </c>
    </row>
    <row r="45" spans="1:14" x14ac:dyDescent="0.2">
      <c r="A45">
        <f>Insurance_Data!A45</f>
        <v>44</v>
      </c>
      <c r="B45">
        <v>1</v>
      </c>
      <c r="C45">
        <f>--(Insurance_Data!C45="2")</f>
        <v>0</v>
      </c>
      <c r="D45">
        <f>--(Insurance_Data!C45="3")</f>
        <v>1</v>
      </c>
      <c r="E45">
        <f>--(Insurance_Data!C45="4")</f>
        <v>0</v>
      </c>
      <c r="F45">
        <f>--(Insurance_Data!D45="1-1.5l")</f>
        <v>0</v>
      </c>
      <c r="G45">
        <f>--(Insurance_Data!D45="1.5-2l")</f>
        <v>1</v>
      </c>
      <c r="H45">
        <f>--(Insurance_Data!D45="&gt;2l")</f>
        <v>0</v>
      </c>
      <c r="I45">
        <f>--(Insurance_Data!E45="25-29")</f>
        <v>0</v>
      </c>
      <c r="J45">
        <f>--(Insurance_Data!E45="30-35")</f>
        <v>0</v>
      </c>
      <c r="K45">
        <f>--(Insurance_Data!E45="&gt;35")</f>
        <v>1</v>
      </c>
      <c r="L45">
        <f>Insurance_Data!G45</f>
        <v>101</v>
      </c>
      <c r="M45">
        <f>Insurance_Data!F45</f>
        <v>692</v>
      </c>
      <c r="N45">
        <f>Insurance_Data!H45</f>
        <v>0.14595375722543352</v>
      </c>
    </row>
    <row r="46" spans="1:14" x14ac:dyDescent="0.2">
      <c r="A46">
        <f>Insurance_Data!A46</f>
        <v>45</v>
      </c>
      <c r="B46">
        <v>1</v>
      </c>
      <c r="C46">
        <f>--(Insurance_Data!C46="2")</f>
        <v>0</v>
      </c>
      <c r="D46">
        <f>--(Insurance_Data!C46="3")</f>
        <v>1</v>
      </c>
      <c r="E46">
        <f>--(Insurance_Data!C46="4")</f>
        <v>0</v>
      </c>
      <c r="F46">
        <f>--(Insurance_Data!D46="1-1.5l")</f>
        <v>0</v>
      </c>
      <c r="G46">
        <f>--(Insurance_Data!D46="1.5-2l")</f>
        <v>0</v>
      </c>
      <c r="H46">
        <f>--(Insurance_Data!D46="&gt;2l")</f>
        <v>1</v>
      </c>
      <c r="I46">
        <f>--(Insurance_Data!E46="25-29")</f>
        <v>0</v>
      </c>
      <c r="J46">
        <f>--(Insurance_Data!E46="30-35")</f>
        <v>0</v>
      </c>
      <c r="K46">
        <f>--(Insurance_Data!E46="&gt;35")</f>
        <v>0</v>
      </c>
      <c r="L46">
        <f>Insurance_Data!G46</f>
        <v>3</v>
      </c>
      <c r="M46">
        <f>Insurance_Data!F46</f>
        <v>7</v>
      </c>
      <c r="N46">
        <f>Insurance_Data!H46</f>
        <v>0.42857142857142855</v>
      </c>
    </row>
    <row r="47" spans="1:14" x14ac:dyDescent="0.2">
      <c r="A47">
        <f>Insurance_Data!A47</f>
        <v>46</v>
      </c>
      <c r="B47">
        <v>1</v>
      </c>
      <c r="C47">
        <f>--(Insurance_Data!C47="2")</f>
        <v>0</v>
      </c>
      <c r="D47">
        <f>--(Insurance_Data!C47="3")</f>
        <v>1</v>
      </c>
      <c r="E47">
        <f>--(Insurance_Data!C47="4")</f>
        <v>0</v>
      </c>
      <c r="F47">
        <f>--(Insurance_Data!D47="1-1.5l")</f>
        <v>0</v>
      </c>
      <c r="G47">
        <f>--(Insurance_Data!D47="1.5-2l")</f>
        <v>0</v>
      </c>
      <c r="H47">
        <f>--(Insurance_Data!D47="&gt;2l")</f>
        <v>1</v>
      </c>
      <c r="I47">
        <f>--(Insurance_Data!E47="25-29")</f>
        <v>1</v>
      </c>
      <c r="J47">
        <f>--(Insurance_Data!E47="30-35")</f>
        <v>0</v>
      </c>
      <c r="K47">
        <f>--(Insurance_Data!E47="&gt;35")</f>
        <v>0</v>
      </c>
      <c r="L47">
        <f>Insurance_Data!G47</f>
        <v>2</v>
      </c>
      <c r="M47">
        <f>Insurance_Data!F47</f>
        <v>29</v>
      </c>
      <c r="N47">
        <f>Insurance_Data!H47</f>
        <v>6.8965517241379309E-2</v>
      </c>
    </row>
    <row r="48" spans="1:14" x14ac:dyDescent="0.2">
      <c r="A48">
        <f>Insurance_Data!A48</f>
        <v>47</v>
      </c>
      <c r="B48">
        <v>1</v>
      </c>
      <c r="C48">
        <f>--(Insurance_Data!C48="2")</f>
        <v>0</v>
      </c>
      <c r="D48">
        <f>--(Insurance_Data!C48="3")</f>
        <v>1</v>
      </c>
      <c r="E48">
        <f>--(Insurance_Data!C48="4")</f>
        <v>0</v>
      </c>
      <c r="F48">
        <f>--(Insurance_Data!D48="1-1.5l")</f>
        <v>0</v>
      </c>
      <c r="G48">
        <f>--(Insurance_Data!D48="1.5-2l")</f>
        <v>0</v>
      </c>
      <c r="H48">
        <f>--(Insurance_Data!D48="&gt;2l")</f>
        <v>1</v>
      </c>
      <c r="I48">
        <f>--(Insurance_Data!E48="25-29")</f>
        <v>0</v>
      </c>
      <c r="J48">
        <f>--(Insurance_Data!E48="30-35")</f>
        <v>1</v>
      </c>
      <c r="K48">
        <f>--(Insurance_Data!E48="&gt;35")</f>
        <v>0</v>
      </c>
      <c r="L48">
        <f>Insurance_Data!G48</f>
        <v>8</v>
      </c>
      <c r="M48">
        <f>Insurance_Data!F48</f>
        <v>43</v>
      </c>
      <c r="N48">
        <f>Insurance_Data!H48</f>
        <v>0.18604651162790697</v>
      </c>
    </row>
    <row r="49" spans="1:14" x14ac:dyDescent="0.2">
      <c r="A49">
        <f>Insurance_Data!A49</f>
        <v>48</v>
      </c>
      <c r="B49">
        <v>1</v>
      </c>
      <c r="C49">
        <f>--(Insurance_Data!C49="2")</f>
        <v>0</v>
      </c>
      <c r="D49">
        <f>--(Insurance_Data!C49="3")</f>
        <v>1</v>
      </c>
      <c r="E49">
        <f>--(Insurance_Data!C49="4")</f>
        <v>0</v>
      </c>
      <c r="F49">
        <f>--(Insurance_Data!D49="1-1.5l")</f>
        <v>0</v>
      </c>
      <c r="G49">
        <f>--(Insurance_Data!D49="1.5-2l")</f>
        <v>0</v>
      </c>
      <c r="H49">
        <f>--(Insurance_Data!D49="&gt;2l")</f>
        <v>1</v>
      </c>
      <c r="I49">
        <f>--(Insurance_Data!E49="25-29")</f>
        <v>0</v>
      </c>
      <c r="J49">
        <f>--(Insurance_Data!E49="30-35")</f>
        <v>0</v>
      </c>
      <c r="K49">
        <f>--(Insurance_Data!E49="&gt;35")</f>
        <v>1</v>
      </c>
      <c r="L49">
        <f>Insurance_Data!G49</f>
        <v>37</v>
      </c>
      <c r="M49">
        <f>Insurance_Data!F49</f>
        <v>245</v>
      </c>
      <c r="N49">
        <f>Insurance_Data!H49</f>
        <v>0.15102040816326531</v>
      </c>
    </row>
    <row r="50" spans="1:14" x14ac:dyDescent="0.2">
      <c r="A50">
        <f>Insurance_Data!A50</f>
        <v>49</v>
      </c>
      <c r="B50">
        <v>1</v>
      </c>
      <c r="C50">
        <f>--(Insurance_Data!C50="2")</f>
        <v>0</v>
      </c>
      <c r="D50">
        <f>--(Insurance_Data!C50="3")</f>
        <v>0</v>
      </c>
      <c r="E50">
        <f>--(Insurance_Data!C50="4")</f>
        <v>1</v>
      </c>
      <c r="F50">
        <f>--(Insurance_Data!D50="1-1.5l")</f>
        <v>0</v>
      </c>
      <c r="G50">
        <f>--(Insurance_Data!D50="1.5-2l")</f>
        <v>0</v>
      </c>
      <c r="H50">
        <f>--(Insurance_Data!D50="&gt;2l")</f>
        <v>0</v>
      </c>
      <c r="I50">
        <f>--(Insurance_Data!E50="25-29")</f>
        <v>0</v>
      </c>
      <c r="J50">
        <f>--(Insurance_Data!E50="30-35")</f>
        <v>0</v>
      </c>
      <c r="K50">
        <f>--(Insurance_Data!E50="&gt;35")</f>
        <v>0</v>
      </c>
      <c r="L50">
        <f>Insurance_Data!G50</f>
        <v>2</v>
      </c>
      <c r="M50">
        <f>Insurance_Data!F50</f>
        <v>20</v>
      </c>
      <c r="N50">
        <f>Insurance_Data!H50</f>
        <v>0.1</v>
      </c>
    </row>
    <row r="51" spans="1:14" x14ac:dyDescent="0.2">
      <c r="A51">
        <f>Insurance_Data!A51</f>
        <v>50</v>
      </c>
      <c r="B51">
        <v>1</v>
      </c>
      <c r="C51">
        <f>--(Insurance_Data!C51="2")</f>
        <v>0</v>
      </c>
      <c r="D51">
        <f>--(Insurance_Data!C51="3")</f>
        <v>0</v>
      </c>
      <c r="E51">
        <f>--(Insurance_Data!C51="4")</f>
        <v>1</v>
      </c>
      <c r="F51">
        <f>--(Insurance_Data!D51="1-1.5l")</f>
        <v>0</v>
      </c>
      <c r="G51">
        <f>--(Insurance_Data!D51="1.5-2l")</f>
        <v>0</v>
      </c>
      <c r="H51">
        <f>--(Insurance_Data!D51="&gt;2l")</f>
        <v>0</v>
      </c>
      <c r="I51">
        <f>--(Insurance_Data!E51="25-29")</f>
        <v>1</v>
      </c>
      <c r="J51">
        <f>--(Insurance_Data!E51="30-35")</f>
        <v>0</v>
      </c>
      <c r="K51">
        <f>--(Insurance_Data!E51="&gt;35")</f>
        <v>0</v>
      </c>
      <c r="L51">
        <f>Insurance_Data!G51</f>
        <v>5</v>
      </c>
      <c r="M51">
        <f>Insurance_Data!F51</f>
        <v>33</v>
      </c>
      <c r="N51">
        <f>Insurance_Data!H51</f>
        <v>0.15151515151515152</v>
      </c>
    </row>
    <row r="52" spans="1:14" x14ac:dyDescent="0.2">
      <c r="A52">
        <f>Insurance_Data!A52</f>
        <v>51</v>
      </c>
      <c r="B52">
        <v>1</v>
      </c>
      <c r="C52">
        <f>--(Insurance_Data!C52="2")</f>
        <v>0</v>
      </c>
      <c r="D52">
        <f>--(Insurance_Data!C52="3")</f>
        <v>0</v>
      </c>
      <c r="E52">
        <f>--(Insurance_Data!C52="4")</f>
        <v>1</v>
      </c>
      <c r="F52">
        <f>--(Insurance_Data!D52="1-1.5l")</f>
        <v>0</v>
      </c>
      <c r="G52">
        <f>--(Insurance_Data!D52="1.5-2l")</f>
        <v>0</v>
      </c>
      <c r="H52">
        <f>--(Insurance_Data!D52="&gt;2l")</f>
        <v>0</v>
      </c>
      <c r="I52">
        <f>--(Insurance_Data!E52="25-29")</f>
        <v>0</v>
      </c>
      <c r="J52">
        <f>--(Insurance_Data!E52="30-35")</f>
        <v>1</v>
      </c>
      <c r="K52">
        <f>--(Insurance_Data!E52="&gt;35")</f>
        <v>0</v>
      </c>
      <c r="L52">
        <f>Insurance_Data!G52</f>
        <v>4</v>
      </c>
      <c r="M52">
        <f>Insurance_Data!F52</f>
        <v>40</v>
      </c>
      <c r="N52">
        <f>Insurance_Data!H52</f>
        <v>0.1</v>
      </c>
    </row>
    <row r="53" spans="1:14" x14ac:dyDescent="0.2">
      <c r="A53">
        <f>Insurance_Data!A53</f>
        <v>52</v>
      </c>
      <c r="B53">
        <v>1</v>
      </c>
      <c r="C53">
        <f>--(Insurance_Data!C53="2")</f>
        <v>0</v>
      </c>
      <c r="D53">
        <f>--(Insurance_Data!C53="3")</f>
        <v>0</v>
      </c>
      <c r="E53">
        <f>--(Insurance_Data!C53="4")</f>
        <v>1</v>
      </c>
      <c r="F53">
        <f>--(Insurance_Data!D53="1-1.5l")</f>
        <v>0</v>
      </c>
      <c r="G53">
        <f>--(Insurance_Data!D53="1.5-2l")</f>
        <v>0</v>
      </c>
      <c r="H53">
        <f>--(Insurance_Data!D53="&gt;2l")</f>
        <v>0</v>
      </c>
      <c r="I53">
        <f>--(Insurance_Data!E53="25-29")</f>
        <v>0</v>
      </c>
      <c r="J53">
        <f>--(Insurance_Data!E53="30-35")</f>
        <v>0</v>
      </c>
      <c r="K53">
        <f>--(Insurance_Data!E53="&gt;35")</f>
        <v>1</v>
      </c>
      <c r="L53">
        <f>Insurance_Data!G53</f>
        <v>36</v>
      </c>
      <c r="M53">
        <f>Insurance_Data!F53</f>
        <v>316</v>
      </c>
      <c r="N53">
        <f>Insurance_Data!H53</f>
        <v>0.11392405063291139</v>
      </c>
    </row>
    <row r="54" spans="1:14" x14ac:dyDescent="0.2">
      <c r="A54">
        <f>Insurance_Data!A54</f>
        <v>53</v>
      </c>
      <c r="B54">
        <v>1</v>
      </c>
      <c r="C54">
        <f>--(Insurance_Data!C54="2")</f>
        <v>0</v>
      </c>
      <c r="D54">
        <f>--(Insurance_Data!C54="3")</f>
        <v>0</v>
      </c>
      <c r="E54">
        <f>--(Insurance_Data!C54="4")</f>
        <v>1</v>
      </c>
      <c r="F54">
        <f>--(Insurance_Data!D54="1-1.5l")</f>
        <v>1</v>
      </c>
      <c r="G54">
        <f>--(Insurance_Data!D54="1.5-2l")</f>
        <v>0</v>
      </c>
      <c r="H54">
        <f>--(Insurance_Data!D54="&gt;2l")</f>
        <v>0</v>
      </c>
      <c r="I54">
        <f>--(Insurance_Data!E54="25-29")</f>
        <v>0</v>
      </c>
      <c r="J54">
        <f>--(Insurance_Data!E54="30-35")</f>
        <v>0</v>
      </c>
      <c r="K54">
        <f>--(Insurance_Data!E54="&gt;35")</f>
        <v>0</v>
      </c>
      <c r="L54">
        <f>Insurance_Data!G54</f>
        <v>7</v>
      </c>
      <c r="M54">
        <f>Insurance_Data!F54</f>
        <v>31</v>
      </c>
      <c r="N54">
        <f>Insurance_Data!H54</f>
        <v>0.22580645161290322</v>
      </c>
    </row>
    <row r="55" spans="1:14" x14ac:dyDescent="0.2">
      <c r="A55">
        <f>Insurance_Data!A55</f>
        <v>54</v>
      </c>
      <c r="B55">
        <v>1</v>
      </c>
      <c r="C55">
        <f>--(Insurance_Data!C55="2")</f>
        <v>0</v>
      </c>
      <c r="D55">
        <f>--(Insurance_Data!C55="3")</f>
        <v>0</v>
      </c>
      <c r="E55">
        <f>--(Insurance_Data!C55="4")</f>
        <v>1</v>
      </c>
      <c r="F55">
        <f>--(Insurance_Data!D55="1-1.5l")</f>
        <v>1</v>
      </c>
      <c r="G55">
        <f>--(Insurance_Data!D55="1.5-2l")</f>
        <v>0</v>
      </c>
      <c r="H55">
        <f>--(Insurance_Data!D55="&gt;2l")</f>
        <v>0</v>
      </c>
      <c r="I55">
        <f>--(Insurance_Data!E55="25-29")</f>
        <v>1</v>
      </c>
      <c r="J55">
        <f>--(Insurance_Data!E55="30-35")</f>
        <v>0</v>
      </c>
      <c r="K55">
        <f>--(Insurance_Data!E55="&gt;35")</f>
        <v>0</v>
      </c>
      <c r="L55">
        <f>Insurance_Data!G55</f>
        <v>10</v>
      </c>
      <c r="M55">
        <f>Insurance_Data!F55</f>
        <v>81</v>
      </c>
      <c r="N55">
        <f>Insurance_Data!H55</f>
        <v>0.12345679012345678</v>
      </c>
    </row>
    <row r="56" spans="1:14" x14ac:dyDescent="0.2">
      <c r="A56">
        <f>Insurance_Data!A56</f>
        <v>55</v>
      </c>
      <c r="B56">
        <v>1</v>
      </c>
      <c r="C56">
        <f>--(Insurance_Data!C56="2")</f>
        <v>0</v>
      </c>
      <c r="D56">
        <f>--(Insurance_Data!C56="3")</f>
        <v>0</v>
      </c>
      <c r="E56">
        <f>--(Insurance_Data!C56="4")</f>
        <v>1</v>
      </c>
      <c r="F56">
        <f>--(Insurance_Data!D56="1-1.5l")</f>
        <v>1</v>
      </c>
      <c r="G56">
        <f>--(Insurance_Data!D56="1.5-2l")</f>
        <v>0</v>
      </c>
      <c r="H56">
        <f>--(Insurance_Data!D56="&gt;2l")</f>
        <v>0</v>
      </c>
      <c r="I56">
        <f>--(Insurance_Data!E56="25-29")</f>
        <v>0</v>
      </c>
      <c r="J56">
        <f>--(Insurance_Data!E56="30-35")</f>
        <v>1</v>
      </c>
      <c r="K56">
        <f>--(Insurance_Data!E56="&gt;35")</f>
        <v>0</v>
      </c>
      <c r="L56">
        <f>Insurance_Data!G56</f>
        <v>22</v>
      </c>
      <c r="M56">
        <f>Insurance_Data!F56</f>
        <v>122</v>
      </c>
      <c r="N56">
        <f>Insurance_Data!H56</f>
        <v>0.18032786885245902</v>
      </c>
    </row>
    <row r="57" spans="1:14" x14ac:dyDescent="0.2">
      <c r="A57">
        <f>Insurance_Data!A57</f>
        <v>56</v>
      </c>
      <c r="B57">
        <v>1</v>
      </c>
      <c r="C57">
        <f>--(Insurance_Data!C57="2")</f>
        <v>0</v>
      </c>
      <c r="D57">
        <f>--(Insurance_Data!C57="3")</f>
        <v>0</v>
      </c>
      <c r="E57">
        <f>--(Insurance_Data!C57="4")</f>
        <v>1</v>
      </c>
      <c r="F57">
        <f>--(Insurance_Data!D57="1-1.5l")</f>
        <v>1</v>
      </c>
      <c r="G57">
        <f>--(Insurance_Data!D57="1.5-2l")</f>
        <v>0</v>
      </c>
      <c r="H57">
        <f>--(Insurance_Data!D57="&gt;2l")</f>
        <v>0</v>
      </c>
      <c r="I57">
        <f>--(Insurance_Data!E57="25-29")</f>
        <v>0</v>
      </c>
      <c r="J57">
        <f>--(Insurance_Data!E57="30-35")</f>
        <v>0</v>
      </c>
      <c r="K57">
        <f>--(Insurance_Data!E57="&gt;35")</f>
        <v>1</v>
      </c>
      <c r="L57">
        <f>Insurance_Data!G57</f>
        <v>102</v>
      </c>
      <c r="M57">
        <f>Insurance_Data!F57</f>
        <v>724</v>
      </c>
      <c r="N57">
        <f>Insurance_Data!H57</f>
        <v>0.14088397790055249</v>
      </c>
    </row>
    <row r="58" spans="1:14" x14ac:dyDescent="0.2">
      <c r="A58">
        <f>Insurance_Data!A58</f>
        <v>57</v>
      </c>
      <c r="B58">
        <v>1</v>
      </c>
      <c r="C58">
        <f>--(Insurance_Data!C58="2")</f>
        <v>0</v>
      </c>
      <c r="D58">
        <f>--(Insurance_Data!C58="3")</f>
        <v>0</v>
      </c>
      <c r="E58">
        <f>--(Insurance_Data!C58="4")</f>
        <v>1</v>
      </c>
      <c r="F58">
        <f>--(Insurance_Data!D58="1-1.5l")</f>
        <v>0</v>
      </c>
      <c r="G58">
        <f>--(Insurance_Data!D58="1.5-2l")</f>
        <v>1</v>
      </c>
      <c r="H58">
        <f>--(Insurance_Data!D58="&gt;2l")</f>
        <v>0</v>
      </c>
      <c r="I58">
        <f>--(Insurance_Data!E58="25-29")</f>
        <v>0</v>
      </c>
      <c r="J58">
        <f>--(Insurance_Data!E58="30-35")</f>
        <v>0</v>
      </c>
      <c r="K58">
        <f>--(Insurance_Data!E58="&gt;35")</f>
        <v>0</v>
      </c>
      <c r="L58">
        <f>Insurance_Data!G58</f>
        <v>5</v>
      </c>
      <c r="M58">
        <f>Insurance_Data!F58</f>
        <v>18</v>
      </c>
      <c r="N58">
        <f>Insurance_Data!H58</f>
        <v>0.27777777777777779</v>
      </c>
    </row>
    <row r="59" spans="1:14" x14ac:dyDescent="0.2">
      <c r="A59">
        <f>Insurance_Data!A59</f>
        <v>58</v>
      </c>
      <c r="B59">
        <v>1</v>
      </c>
      <c r="C59">
        <f>--(Insurance_Data!C59="2")</f>
        <v>0</v>
      </c>
      <c r="D59">
        <f>--(Insurance_Data!C59="3")</f>
        <v>0</v>
      </c>
      <c r="E59">
        <f>--(Insurance_Data!C59="4")</f>
        <v>1</v>
      </c>
      <c r="F59">
        <f>--(Insurance_Data!D59="1-1.5l")</f>
        <v>0</v>
      </c>
      <c r="G59">
        <f>--(Insurance_Data!D59="1.5-2l")</f>
        <v>1</v>
      </c>
      <c r="H59">
        <f>--(Insurance_Data!D59="&gt;2l")</f>
        <v>0</v>
      </c>
      <c r="I59">
        <f>--(Insurance_Data!E59="25-29")</f>
        <v>1</v>
      </c>
      <c r="J59">
        <f>--(Insurance_Data!E59="30-35")</f>
        <v>0</v>
      </c>
      <c r="K59">
        <f>--(Insurance_Data!E59="&gt;35")</f>
        <v>0</v>
      </c>
      <c r="L59">
        <f>Insurance_Data!G59</f>
        <v>7</v>
      </c>
      <c r="M59">
        <f>Insurance_Data!F59</f>
        <v>39</v>
      </c>
      <c r="N59">
        <f>Insurance_Data!H59</f>
        <v>0.17948717948717949</v>
      </c>
    </row>
    <row r="60" spans="1:14" x14ac:dyDescent="0.2">
      <c r="A60">
        <f>Insurance_Data!A60</f>
        <v>59</v>
      </c>
      <c r="B60">
        <v>1</v>
      </c>
      <c r="C60">
        <f>--(Insurance_Data!C60="2")</f>
        <v>0</v>
      </c>
      <c r="D60">
        <f>--(Insurance_Data!C60="3")</f>
        <v>0</v>
      </c>
      <c r="E60">
        <f>--(Insurance_Data!C60="4")</f>
        <v>1</v>
      </c>
      <c r="F60">
        <f>--(Insurance_Data!D60="1-1.5l")</f>
        <v>0</v>
      </c>
      <c r="G60">
        <f>--(Insurance_Data!D60="1.5-2l")</f>
        <v>1</v>
      </c>
      <c r="H60">
        <f>--(Insurance_Data!D60="&gt;2l")</f>
        <v>0</v>
      </c>
      <c r="I60">
        <f>--(Insurance_Data!E60="25-29")</f>
        <v>0</v>
      </c>
      <c r="J60">
        <f>--(Insurance_Data!E60="30-35")</f>
        <v>1</v>
      </c>
      <c r="K60">
        <f>--(Insurance_Data!E60="&gt;35")</f>
        <v>0</v>
      </c>
      <c r="L60">
        <f>Insurance_Data!G60</f>
        <v>16</v>
      </c>
      <c r="M60">
        <f>Insurance_Data!F60</f>
        <v>68</v>
      </c>
      <c r="N60">
        <f>Insurance_Data!H60</f>
        <v>0.23529411764705882</v>
      </c>
    </row>
    <row r="61" spans="1:14" x14ac:dyDescent="0.2">
      <c r="A61">
        <f>Insurance_Data!A61</f>
        <v>60</v>
      </c>
      <c r="B61">
        <v>1</v>
      </c>
      <c r="C61">
        <f>--(Insurance_Data!C61="2")</f>
        <v>0</v>
      </c>
      <c r="D61">
        <f>--(Insurance_Data!C61="3")</f>
        <v>0</v>
      </c>
      <c r="E61">
        <f>--(Insurance_Data!C61="4")</f>
        <v>1</v>
      </c>
      <c r="F61">
        <f>--(Insurance_Data!D61="1-1.5l")</f>
        <v>0</v>
      </c>
      <c r="G61">
        <f>--(Insurance_Data!D61="1.5-2l")</f>
        <v>1</v>
      </c>
      <c r="H61">
        <f>--(Insurance_Data!D61="&gt;2l")</f>
        <v>0</v>
      </c>
      <c r="I61">
        <f>--(Insurance_Data!E61="25-29")</f>
        <v>0</v>
      </c>
      <c r="J61">
        <f>--(Insurance_Data!E61="30-35")</f>
        <v>0</v>
      </c>
      <c r="K61">
        <f>--(Insurance_Data!E61="&gt;35")</f>
        <v>1</v>
      </c>
      <c r="L61">
        <f>Insurance_Data!G61</f>
        <v>63</v>
      </c>
      <c r="M61">
        <f>Insurance_Data!F61</f>
        <v>344</v>
      </c>
      <c r="N61">
        <f>Insurance_Data!H61</f>
        <v>0.18313953488372092</v>
      </c>
    </row>
    <row r="62" spans="1:14" x14ac:dyDescent="0.2">
      <c r="A62">
        <f>Insurance_Data!A62</f>
        <v>61</v>
      </c>
      <c r="B62">
        <v>1</v>
      </c>
      <c r="C62">
        <f>--(Insurance_Data!C62="2")</f>
        <v>0</v>
      </c>
      <c r="D62">
        <f>--(Insurance_Data!C62="3")</f>
        <v>0</v>
      </c>
      <c r="E62">
        <f>--(Insurance_Data!C62="4")</f>
        <v>1</v>
      </c>
      <c r="F62">
        <f>--(Insurance_Data!D62="1-1.5l")</f>
        <v>0</v>
      </c>
      <c r="G62">
        <f>--(Insurance_Data!D62="1.5-2l")</f>
        <v>0</v>
      </c>
      <c r="H62">
        <f>--(Insurance_Data!D62="&gt;2l")</f>
        <v>1</v>
      </c>
      <c r="I62">
        <f>--(Insurance_Data!E62="25-29")</f>
        <v>0</v>
      </c>
      <c r="J62">
        <f>--(Insurance_Data!E62="30-35")</f>
        <v>0</v>
      </c>
      <c r="K62">
        <f>--(Insurance_Data!E62="&gt;35")</f>
        <v>0</v>
      </c>
      <c r="L62">
        <f>Insurance_Data!G62</f>
        <v>0</v>
      </c>
      <c r="M62">
        <f>Insurance_Data!F62</f>
        <v>3</v>
      </c>
      <c r="N62">
        <f>Insurance_Data!H62</f>
        <v>0</v>
      </c>
    </row>
    <row r="63" spans="1:14" x14ac:dyDescent="0.2">
      <c r="A63">
        <f>Insurance_Data!A63</f>
        <v>62</v>
      </c>
      <c r="B63">
        <v>1</v>
      </c>
      <c r="C63">
        <f>--(Insurance_Data!C63="2")</f>
        <v>0</v>
      </c>
      <c r="D63">
        <f>--(Insurance_Data!C63="3")</f>
        <v>0</v>
      </c>
      <c r="E63">
        <f>--(Insurance_Data!C63="4")</f>
        <v>1</v>
      </c>
      <c r="F63">
        <f>--(Insurance_Data!D63="1-1.5l")</f>
        <v>0</v>
      </c>
      <c r="G63">
        <f>--(Insurance_Data!D63="1.5-2l")</f>
        <v>0</v>
      </c>
      <c r="H63">
        <f>--(Insurance_Data!D63="&gt;2l")</f>
        <v>1</v>
      </c>
      <c r="I63">
        <f>--(Insurance_Data!E63="25-29")</f>
        <v>1</v>
      </c>
      <c r="J63">
        <f>--(Insurance_Data!E63="30-35")</f>
        <v>0</v>
      </c>
      <c r="K63">
        <f>--(Insurance_Data!E63="&gt;35")</f>
        <v>0</v>
      </c>
      <c r="L63">
        <f>Insurance_Data!G63</f>
        <v>6</v>
      </c>
      <c r="M63">
        <f>Insurance_Data!F63</f>
        <v>16</v>
      </c>
      <c r="N63">
        <f>Insurance_Data!H63</f>
        <v>0.375</v>
      </c>
    </row>
    <row r="64" spans="1:14" x14ac:dyDescent="0.2">
      <c r="A64">
        <f>Insurance_Data!A64</f>
        <v>63</v>
      </c>
      <c r="B64">
        <v>1</v>
      </c>
      <c r="C64">
        <f>--(Insurance_Data!C64="2")</f>
        <v>0</v>
      </c>
      <c r="D64">
        <f>--(Insurance_Data!C64="3")</f>
        <v>0</v>
      </c>
      <c r="E64">
        <f>--(Insurance_Data!C64="4")</f>
        <v>1</v>
      </c>
      <c r="F64">
        <f>--(Insurance_Data!D64="1-1.5l")</f>
        <v>0</v>
      </c>
      <c r="G64">
        <f>--(Insurance_Data!D64="1.5-2l")</f>
        <v>0</v>
      </c>
      <c r="H64">
        <f>--(Insurance_Data!D64="&gt;2l")</f>
        <v>1</v>
      </c>
      <c r="I64">
        <f>--(Insurance_Data!E64="25-29")</f>
        <v>0</v>
      </c>
      <c r="J64">
        <f>--(Insurance_Data!E64="30-35")</f>
        <v>1</v>
      </c>
      <c r="K64">
        <f>--(Insurance_Data!E64="&gt;35")</f>
        <v>0</v>
      </c>
      <c r="L64">
        <f>Insurance_Data!G64</f>
        <v>8</v>
      </c>
      <c r="M64">
        <f>Insurance_Data!F64</f>
        <v>25</v>
      </c>
      <c r="N64">
        <f>Insurance_Data!H64</f>
        <v>0.32</v>
      </c>
    </row>
    <row r="65" spans="1:14" x14ac:dyDescent="0.2">
      <c r="A65">
        <f>Insurance_Data!A65</f>
        <v>64</v>
      </c>
      <c r="B65">
        <v>1</v>
      </c>
      <c r="C65">
        <f>--(Insurance_Data!C65="2")</f>
        <v>0</v>
      </c>
      <c r="D65">
        <f>--(Insurance_Data!C65="3")</f>
        <v>0</v>
      </c>
      <c r="E65">
        <f>--(Insurance_Data!C65="4")</f>
        <v>1</v>
      </c>
      <c r="F65">
        <f>--(Insurance_Data!D65="1-1.5l")</f>
        <v>0</v>
      </c>
      <c r="G65">
        <f>--(Insurance_Data!D65="1.5-2l")</f>
        <v>0</v>
      </c>
      <c r="H65">
        <f>--(Insurance_Data!D65="&gt;2l")</f>
        <v>1</v>
      </c>
      <c r="I65">
        <f>--(Insurance_Data!E65="25-29")</f>
        <v>0</v>
      </c>
      <c r="J65">
        <f>--(Insurance_Data!E65="30-35")</f>
        <v>0</v>
      </c>
      <c r="K65">
        <f>--(Insurance_Data!E65="&gt;35")</f>
        <v>1</v>
      </c>
      <c r="L65">
        <f>Insurance_Data!G65</f>
        <v>33</v>
      </c>
      <c r="M65">
        <f>Insurance_Data!F65</f>
        <v>114</v>
      </c>
      <c r="N65">
        <f>Insurance_Data!H65</f>
        <v>0.28947368421052633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99"/>
  <sheetViews>
    <sheetView workbookViewId="0"/>
  </sheetViews>
  <sheetFormatPr baseColWidth="10" defaultColWidth="8.83203125" defaultRowHeight="15" x14ac:dyDescent="0.2"/>
  <cols>
    <col min="1" max="1" width="15" customWidth="1"/>
    <col min="2" max="2" width="13" customWidth="1"/>
  </cols>
  <sheetData>
    <row r="1" spans="1:29" x14ac:dyDescent="0.2">
      <c r="A1" t="s">
        <v>45</v>
      </c>
      <c r="B1">
        <v>1.0000000000000001E-5</v>
      </c>
    </row>
    <row r="2" spans="1:29" x14ac:dyDescent="0.2">
      <c r="A2" t="s">
        <v>46</v>
      </c>
      <c r="B2">
        <v>8</v>
      </c>
    </row>
    <row r="4" spans="1:29" x14ac:dyDescent="0.2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L4" t="s">
        <v>57</v>
      </c>
    </row>
    <row r="5" spans="1:29" x14ac:dyDescent="0.2">
      <c r="A5" t="s">
        <v>35</v>
      </c>
      <c r="B5">
        <v>0</v>
      </c>
      <c r="C5">
        <f>IFERROR(B5+$B$1*B75/COUNT(Design_Matrix!A2:A65),B5)</f>
        <v>4.8234375000000003E-4</v>
      </c>
      <c r="D5">
        <f>IFERROR(C5+$B$1*C75/COUNT(Design_Matrix!A2:A65),C5)</f>
        <v>9.6468750000000005E-4</v>
      </c>
      <c r="E5">
        <f>IFERROR(D5+$B$1*D75/COUNT(Design_Matrix!A2:A65),D5)</f>
        <v>1.44703125E-3</v>
      </c>
      <c r="F5">
        <f>IFERROR(E5+$B$1*E75/COUNT(Design_Matrix!A2:A65),E5)</f>
        <v>1.9293750000000001E-3</v>
      </c>
      <c r="G5">
        <f>IFERROR(F5+$B$1*F75/COUNT(Design_Matrix!A2:A65),F5)</f>
        <v>2.4117187500000002E-3</v>
      </c>
      <c r="H5">
        <f>IFERROR(G5+$B$1*G75/COUNT(Design_Matrix!A2:A65),G5)</f>
        <v>2.8940625000000004E-3</v>
      </c>
      <c r="I5">
        <f>IFERROR(H5+$B$1*H75/COUNT(Design_Matrix!A2:A65),H5)</f>
        <v>3.3764062500000005E-3</v>
      </c>
      <c r="J5">
        <f>IFERROR(I5+$B$1*I75/COUNT(Design_Matrix!A2:A65),I5)</f>
        <v>3.8587500000000006E-3</v>
      </c>
      <c r="L5" t="s">
        <v>58</v>
      </c>
      <c r="M5" t="s">
        <v>59</v>
      </c>
      <c r="N5" t="s">
        <v>60</v>
      </c>
      <c r="O5" t="s">
        <v>61</v>
      </c>
      <c r="P5" t="s">
        <v>62</v>
      </c>
      <c r="Q5" t="s">
        <v>63</v>
      </c>
      <c r="R5" t="s">
        <v>64</v>
      </c>
      <c r="S5" t="s">
        <v>65</v>
      </c>
      <c r="T5" t="s">
        <v>66</v>
      </c>
      <c r="U5" t="s">
        <v>67</v>
      </c>
      <c r="V5" t="s">
        <v>68</v>
      </c>
      <c r="W5" t="s">
        <v>69</v>
      </c>
      <c r="X5" t="s">
        <v>70</v>
      </c>
      <c r="Y5" t="s">
        <v>71</v>
      </c>
      <c r="Z5" t="s">
        <v>72</v>
      </c>
      <c r="AA5" t="s">
        <v>73</v>
      </c>
      <c r="AB5" t="s">
        <v>74</v>
      </c>
      <c r="AC5" t="s">
        <v>75</v>
      </c>
    </row>
    <row r="6" spans="1:29" x14ac:dyDescent="0.2">
      <c r="A6" t="s">
        <v>36</v>
      </c>
      <c r="B6">
        <v>0</v>
      </c>
      <c r="C6">
        <f>IFERROR(B6+$B$1*B76/COUNT(Design_Matrix!A2:A65),B6)</f>
        <v>1.3671875000000001E-4</v>
      </c>
      <c r="D6">
        <f>IFERROR(C6+$B$1*C76/COUNT(Design_Matrix!A2:A65),C6)</f>
        <v>2.7343750000000003E-4</v>
      </c>
      <c r="E6">
        <f>IFERROR(D6+$B$1*D76/COUNT(Design_Matrix!A2:A65),D6)</f>
        <v>4.1015625000000004E-4</v>
      </c>
      <c r="F6">
        <f>IFERROR(E6+$B$1*E76/COUNT(Design_Matrix!A2:A65),E6)</f>
        <v>5.4687500000000005E-4</v>
      </c>
      <c r="G6">
        <f>IFERROR(F6+$B$1*F76/COUNT(Design_Matrix!A2:A65),F6)</f>
        <v>6.8359375000000007E-4</v>
      </c>
      <c r="H6">
        <f>IFERROR(G6+$B$1*G76/COUNT(Design_Matrix!A2:A65),G6)</f>
        <v>8.2031250000000008E-4</v>
      </c>
      <c r="I6">
        <f>IFERROR(H6+$B$1*H76/COUNT(Design_Matrix!A2:A65),H6)</f>
        <v>9.5703125000000009E-4</v>
      </c>
      <c r="J6">
        <f>IFERROR(I6+$B$1*I76/COUNT(Design_Matrix!A2:A65),I6)</f>
        <v>1.0937500000000001E-3</v>
      </c>
      <c r="L6">
        <f>IFERROR(SUMPRODUCT(Design_Matrix!B2:K2,$B$5:$B$14),0)</f>
        <v>0</v>
      </c>
      <c r="M6">
        <f t="shared" ref="M6:M37" si="0">EXP(MAX(-50,MIN(50,L6)))</f>
        <v>1</v>
      </c>
      <c r="N6">
        <f>IFERROR(SUMPRODUCT(Design_Matrix!B2:K2,$C$5:$C$14),0)</f>
        <v>0</v>
      </c>
      <c r="O6">
        <f t="shared" ref="O6:O37" si="1">EXP(MAX(-50,MIN(50,N6)))</f>
        <v>1</v>
      </c>
      <c r="P6">
        <f>IFERROR(SUMPRODUCT(Design_Matrix!B2:K2,$D$5:$D$14),0)</f>
        <v>0</v>
      </c>
      <c r="Q6">
        <f t="shared" ref="Q6:Q37" si="2">EXP(MAX(-50,MIN(50,P6)))</f>
        <v>1</v>
      </c>
      <c r="R6">
        <f>IFERROR(SUMPRODUCT(Design_Matrix!B2:K2,$E$5:$E$14),0)</f>
        <v>0</v>
      </c>
      <c r="S6">
        <f t="shared" ref="S6:S37" si="3">EXP(MAX(-50,MIN(50,R6)))</f>
        <v>1</v>
      </c>
      <c r="T6">
        <f>IFERROR(SUMPRODUCT(Design_Matrix!B2:K2,$F$5:$F$14),0)</f>
        <v>0</v>
      </c>
      <c r="U6">
        <f t="shared" ref="U6:U37" si="4">EXP(MAX(-50,MIN(50,T6)))</f>
        <v>1</v>
      </c>
      <c r="V6">
        <f>IFERROR(SUMPRODUCT(Design_Matrix!B2:K2,$G$5:$G$14),0)</f>
        <v>0</v>
      </c>
      <c r="W6">
        <f t="shared" ref="W6:W37" si="5">EXP(MAX(-50,MIN(50,V6)))</f>
        <v>1</v>
      </c>
      <c r="X6">
        <f>IFERROR(SUMPRODUCT(Design_Matrix!B2:K2,$H$5:$H$14),0)</f>
        <v>0</v>
      </c>
      <c r="Y6">
        <f t="shared" ref="Y6:Y37" si="6">EXP(MAX(-50,MIN(50,X6)))</f>
        <v>1</v>
      </c>
      <c r="Z6">
        <f>IFERROR(SUMPRODUCT(Design_Matrix!B2:K2,$I$5:$I$14),0)</f>
        <v>0</v>
      </c>
      <c r="AA6">
        <f t="shared" ref="AA6:AA37" si="7">EXP(MAX(-50,MIN(50,Z6)))</f>
        <v>1</v>
      </c>
      <c r="AB6">
        <f>IFERROR(SUMPRODUCT(Design_Matrix!B2:K2,$J$5:$J$14),0)</f>
        <v>0</v>
      </c>
      <c r="AC6">
        <f t="shared" ref="AC6:AC37" si="8">EXP(MAX(-50,MIN(50,AB6)))</f>
        <v>1</v>
      </c>
    </row>
    <row r="7" spans="1:29" x14ac:dyDescent="0.2">
      <c r="A7" t="s">
        <v>37</v>
      </c>
      <c r="B7">
        <v>0</v>
      </c>
      <c r="C7">
        <f>IFERROR(B7+$B$1*B77/COUNT(Design_Matrix!A2:A65),B7)</f>
        <v>8.390625000000001E-5</v>
      </c>
      <c r="D7">
        <f>IFERROR(C7+$B$1*C77/COUNT(Design_Matrix!A2:A65),C7)</f>
        <v>1.6781250000000002E-4</v>
      </c>
      <c r="E7">
        <f>IFERROR(D7+$B$1*D77/COUNT(Design_Matrix!A2:A65),D7)</f>
        <v>2.5171875000000004E-4</v>
      </c>
      <c r="F7">
        <f>IFERROR(E7+$B$1*E77/COUNT(Design_Matrix!A2:A65),E7)</f>
        <v>3.3562500000000004E-4</v>
      </c>
      <c r="G7">
        <f>IFERROR(F7+$B$1*F77/COUNT(Design_Matrix!A2:A65),F7)</f>
        <v>4.1953125000000004E-4</v>
      </c>
      <c r="H7">
        <f>IFERROR(G7+$B$1*G77/COUNT(Design_Matrix!A2:A65),G7)</f>
        <v>5.0343750000000009E-4</v>
      </c>
      <c r="I7">
        <f>IFERROR(H7+$B$1*H77/COUNT(Design_Matrix!A2:A65),H7)</f>
        <v>5.8734375000000008E-4</v>
      </c>
      <c r="J7">
        <f>IFERROR(I7+$B$1*I77/COUNT(Design_Matrix!A2:A65),I7)</f>
        <v>6.7125000000000008E-4</v>
      </c>
      <c r="L7">
        <f>IFERROR(SUMPRODUCT(Design_Matrix!B3:K3,$B$5:$B$14),0)</f>
        <v>0</v>
      </c>
      <c r="M7">
        <f t="shared" si="0"/>
        <v>1</v>
      </c>
      <c r="N7">
        <f>IFERROR(SUMPRODUCT(Design_Matrix!B3:K3,$C$5:$C$14),0)</f>
        <v>0</v>
      </c>
      <c r="O7">
        <f t="shared" si="1"/>
        <v>1</v>
      </c>
      <c r="P7">
        <f>IFERROR(SUMPRODUCT(Design_Matrix!B3:K3,$D$5:$D$14),0)</f>
        <v>0</v>
      </c>
      <c r="Q7">
        <f t="shared" si="2"/>
        <v>1</v>
      </c>
      <c r="R7">
        <f>IFERROR(SUMPRODUCT(Design_Matrix!B3:K3,$E$5:$E$14),0)</f>
        <v>0</v>
      </c>
      <c r="S7">
        <f t="shared" si="3"/>
        <v>1</v>
      </c>
      <c r="T7">
        <f>IFERROR(SUMPRODUCT(Design_Matrix!B3:K3,$F$5:$F$14),0)</f>
        <v>0</v>
      </c>
      <c r="U7">
        <f t="shared" si="4"/>
        <v>1</v>
      </c>
      <c r="V7">
        <f>IFERROR(SUMPRODUCT(Design_Matrix!B3:K3,$G$5:$G$14),0)</f>
        <v>0</v>
      </c>
      <c r="W7">
        <f t="shared" si="5"/>
        <v>1</v>
      </c>
      <c r="X7">
        <f>IFERROR(SUMPRODUCT(Design_Matrix!B3:K3,$H$5:$H$14),0)</f>
        <v>0</v>
      </c>
      <c r="Y7">
        <f t="shared" si="6"/>
        <v>1</v>
      </c>
      <c r="Z7">
        <f>IFERROR(SUMPRODUCT(Design_Matrix!B3:K3,$I$5:$I$14),0)</f>
        <v>0</v>
      </c>
      <c r="AA7">
        <f t="shared" si="7"/>
        <v>1</v>
      </c>
      <c r="AB7">
        <f>IFERROR(SUMPRODUCT(Design_Matrix!B3:K3,$J$5:$J$14),0)</f>
        <v>0</v>
      </c>
      <c r="AC7">
        <f t="shared" si="8"/>
        <v>1</v>
      </c>
    </row>
    <row r="8" spans="1:29" x14ac:dyDescent="0.2">
      <c r="A8" t="s">
        <v>38</v>
      </c>
      <c r="B8">
        <v>0</v>
      </c>
      <c r="C8">
        <f>IFERROR(B8+$B$1*B78/COUNT(Design_Matrix!A2:A65),B8)</f>
        <v>4.8437500000000005E-5</v>
      </c>
      <c r="D8">
        <f>IFERROR(C8+$B$1*C78/COUNT(Design_Matrix!A2:A65),C8)</f>
        <v>9.687500000000001E-5</v>
      </c>
      <c r="E8">
        <f>IFERROR(D8+$B$1*D78/COUNT(Design_Matrix!A2:A65),D8)</f>
        <v>1.4531250000000002E-4</v>
      </c>
      <c r="F8">
        <f>IFERROR(E8+$B$1*E78/COUNT(Design_Matrix!A2:A65),E8)</f>
        <v>1.9375000000000002E-4</v>
      </c>
      <c r="G8">
        <f>IFERROR(F8+$B$1*F78/COUNT(Design_Matrix!A2:A65),F8)</f>
        <v>2.4218750000000003E-4</v>
      </c>
      <c r="H8">
        <f>IFERROR(G8+$B$1*G78/COUNT(Design_Matrix!A2:A65),G8)</f>
        <v>2.9062500000000003E-4</v>
      </c>
      <c r="I8">
        <f>IFERROR(H8+$B$1*H78/COUNT(Design_Matrix!A2:A65),H8)</f>
        <v>3.3906250000000006E-4</v>
      </c>
      <c r="J8">
        <f>IFERROR(I8+$B$1*I78/COUNT(Design_Matrix!A2:A65),I8)</f>
        <v>3.8750000000000004E-4</v>
      </c>
      <c r="L8">
        <f>IFERROR(SUMPRODUCT(Design_Matrix!B4:K4,$B$5:$B$14),0)</f>
        <v>0</v>
      </c>
      <c r="M8">
        <f t="shared" si="0"/>
        <v>1</v>
      </c>
      <c r="N8">
        <f>IFERROR(SUMPRODUCT(Design_Matrix!B4:K4,$C$5:$C$14),0)</f>
        <v>0</v>
      </c>
      <c r="O8">
        <f t="shared" si="1"/>
        <v>1</v>
      </c>
      <c r="P8">
        <f>IFERROR(SUMPRODUCT(Design_Matrix!B4:K4,$D$5:$D$14),0)</f>
        <v>0</v>
      </c>
      <c r="Q8">
        <f t="shared" si="2"/>
        <v>1</v>
      </c>
      <c r="R8">
        <f>IFERROR(SUMPRODUCT(Design_Matrix!B4:K4,$E$5:$E$14),0)</f>
        <v>0</v>
      </c>
      <c r="S8">
        <f t="shared" si="3"/>
        <v>1</v>
      </c>
      <c r="T8">
        <f>IFERROR(SUMPRODUCT(Design_Matrix!B4:K4,$F$5:$F$14),0)</f>
        <v>0</v>
      </c>
      <c r="U8">
        <f t="shared" si="4"/>
        <v>1</v>
      </c>
      <c r="V8">
        <f>IFERROR(SUMPRODUCT(Design_Matrix!B4:K4,$G$5:$G$14),0)</f>
        <v>0</v>
      </c>
      <c r="W8">
        <f t="shared" si="5"/>
        <v>1</v>
      </c>
      <c r="X8">
        <f>IFERROR(SUMPRODUCT(Design_Matrix!B4:K4,$H$5:$H$14),0)</f>
        <v>0</v>
      </c>
      <c r="Y8">
        <f t="shared" si="6"/>
        <v>1</v>
      </c>
      <c r="Z8">
        <f>IFERROR(SUMPRODUCT(Design_Matrix!B4:K4,$I$5:$I$14),0)</f>
        <v>0</v>
      </c>
      <c r="AA8">
        <f t="shared" si="7"/>
        <v>1</v>
      </c>
      <c r="AB8">
        <f>IFERROR(SUMPRODUCT(Design_Matrix!B4:K4,$J$5:$J$14),0)</f>
        <v>0</v>
      </c>
      <c r="AC8">
        <f t="shared" si="8"/>
        <v>1</v>
      </c>
    </row>
    <row r="9" spans="1:29" x14ac:dyDescent="0.2">
      <c r="A9" t="s">
        <v>39</v>
      </c>
      <c r="B9">
        <v>0</v>
      </c>
      <c r="C9">
        <f>IFERROR(B9+$B$1*B79/COUNT(Design_Matrix!A2:A65),B9)</f>
        <v>2.240625E-4</v>
      </c>
      <c r="D9">
        <f>IFERROR(C9+$B$1*C79/COUNT(Design_Matrix!A2:A65),C9)</f>
        <v>4.4812500000000001E-4</v>
      </c>
      <c r="E9">
        <f>IFERROR(D9+$B$1*D79/COUNT(Design_Matrix!A2:A65),D9)</f>
        <v>6.7218750000000004E-4</v>
      </c>
      <c r="F9">
        <f>IFERROR(E9+$B$1*E79/COUNT(Design_Matrix!A2:A65),E9)</f>
        <v>8.9625000000000002E-4</v>
      </c>
      <c r="G9">
        <f>IFERROR(F9+$B$1*F79/COUNT(Design_Matrix!A2:A65),F9)</f>
        <v>1.1203125E-3</v>
      </c>
      <c r="H9">
        <f>IFERROR(G9+$B$1*G79/COUNT(Design_Matrix!A2:A65),G9)</f>
        <v>1.3443750000000001E-3</v>
      </c>
      <c r="I9">
        <f>IFERROR(H9+$B$1*H79/COUNT(Design_Matrix!A2:A65),H9)</f>
        <v>1.5684375000000002E-3</v>
      </c>
      <c r="J9">
        <f>IFERROR(I9+$B$1*I79/COUNT(Design_Matrix!A2:A65),I9)</f>
        <v>1.7925000000000003E-3</v>
      </c>
      <c r="L9">
        <f>IFERROR(SUMPRODUCT(Design_Matrix!B5:K5,$B$5:$B$14),0)</f>
        <v>0</v>
      </c>
      <c r="M9">
        <f t="shared" si="0"/>
        <v>1</v>
      </c>
      <c r="N9">
        <f>IFERROR(SUMPRODUCT(Design_Matrix!B5:K5,$C$5:$C$14),0)</f>
        <v>0</v>
      </c>
      <c r="O9">
        <f t="shared" si="1"/>
        <v>1</v>
      </c>
      <c r="P9">
        <f>IFERROR(SUMPRODUCT(Design_Matrix!B5:K5,$D$5:$D$14),0)</f>
        <v>0</v>
      </c>
      <c r="Q9">
        <f t="shared" si="2"/>
        <v>1</v>
      </c>
      <c r="R9">
        <f>IFERROR(SUMPRODUCT(Design_Matrix!B5:K5,$E$5:$E$14),0)</f>
        <v>0</v>
      </c>
      <c r="S9">
        <f t="shared" si="3"/>
        <v>1</v>
      </c>
      <c r="T9">
        <f>IFERROR(SUMPRODUCT(Design_Matrix!B5:K5,$F$5:$F$14),0)</f>
        <v>0</v>
      </c>
      <c r="U9">
        <f t="shared" si="4"/>
        <v>1</v>
      </c>
      <c r="V9">
        <f>IFERROR(SUMPRODUCT(Design_Matrix!B5:K5,$G$5:$G$14),0)</f>
        <v>0</v>
      </c>
      <c r="W9">
        <f t="shared" si="5"/>
        <v>1</v>
      </c>
      <c r="X9">
        <f>IFERROR(SUMPRODUCT(Design_Matrix!B5:K5,$H$5:$H$14),0)</f>
        <v>0</v>
      </c>
      <c r="Y9">
        <f t="shared" si="6"/>
        <v>1</v>
      </c>
      <c r="Z9">
        <f>IFERROR(SUMPRODUCT(Design_Matrix!B5:K5,$I$5:$I$14),0)</f>
        <v>0</v>
      </c>
      <c r="AA9">
        <f t="shared" si="7"/>
        <v>1</v>
      </c>
      <c r="AB9">
        <f>IFERROR(SUMPRODUCT(Design_Matrix!B5:K5,$J$5:$J$14),0)</f>
        <v>0</v>
      </c>
      <c r="AC9">
        <f t="shared" si="8"/>
        <v>1</v>
      </c>
    </row>
    <row r="10" spans="1:29" x14ac:dyDescent="0.2">
      <c r="A10" t="s">
        <v>40</v>
      </c>
      <c r="B10">
        <v>0</v>
      </c>
      <c r="C10">
        <f>IFERROR(B10+$B$1*B80/COUNT(Design_Matrix!A2:A65),B10)</f>
        <v>1.3234375E-4</v>
      </c>
      <c r="D10">
        <f>IFERROR(C10+$B$1*C80/COUNT(Design_Matrix!A2:A65),C10)</f>
        <v>2.646875E-4</v>
      </c>
      <c r="E10">
        <f>IFERROR(D10+$B$1*D80/COUNT(Design_Matrix!A2:A65),D10)</f>
        <v>3.9703125000000003E-4</v>
      </c>
      <c r="F10">
        <f>IFERROR(E10+$B$1*E80/COUNT(Design_Matrix!A2:A65),E10)</f>
        <v>5.2937500000000001E-4</v>
      </c>
      <c r="G10">
        <f>IFERROR(F10+$B$1*F80/COUNT(Design_Matrix!A2:A65),F10)</f>
        <v>6.6171874999999998E-4</v>
      </c>
      <c r="H10">
        <f>IFERROR(G10+$B$1*G80/COUNT(Design_Matrix!A2:A65),G10)</f>
        <v>7.9406249999999996E-4</v>
      </c>
      <c r="I10">
        <f>IFERROR(H10+$B$1*H80/COUNT(Design_Matrix!A2:A65),H10)</f>
        <v>9.2640624999999993E-4</v>
      </c>
      <c r="J10">
        <f>IFERROR(I10+$B$1*I80/COUNT(Design_Matrix!A2:A65),I10)</f>
        <v>1.05875E-3</v>
      </c>
      <c r="L10">
        <f>IFERROR(SUMPRODUCT(Design_Matrix!B6:K6,$B$5:$B$14),0)</f>
        <v>0</v>
      </c>
      <c r="M10">
        <f t="shared" si="0"/>
        <v>1</v>
      </c>
      <c r="N10">
        <f>IFERROR(SUMPRODUCT(Design_Matrix!B6:K6,$C$5:$C$14),0)</f>
        <v>0</v>
      </c>
      <c r="O10">
        <f t="shared" si="1"/>
        <v>1</v>
      </c>
      <c r="P10">
        <f>IFERROR(SUMPRODUCT(Design_Matrix!B6:K6,$D$5:$D$14),0)</f>
        <v>0</v>
      </c>
      <c r="Q10">
        <f t="shared" si="2"/>
        <v>1</v>
      </c>
      <c r="R10">
        <f>IFERROR(SUMPRODUCT(Design_Matrix!B6:K6,$E$5:$E$14),0)</f>
        <v>0</v>
      </c>
      <c r="S10">
        <f t="shared" si="3"/>
        <v>1</v>
      </c>
      <c r="T10">
        <f>IFERROR(SUMPRODUCT(Design_Matrix!B6:K6,$F$5:$F$14),0)</f>
        <v>0</v>
      </c>
      <c r="U10">
        <f t="shared" si="4"/>
        <v>1</v>
      </c>
      <c r="V10">
        <f>IFERROR(SUMPRODUCT(Design_Matrix!B6:K6,$G$5:$G$14),0)</f>
        <v>0</v>
      </c>
      <c r="W10">
        <f t="shared" si="5"/>
        <v>1</v>
      </c>
      <c r="X10">
        <f>IFERROR(SUMPRODUCT(Design_Matrix!B6:K6,$H$5:$H$14),0)</f>
        <v>0</v>
      </c>
      <c r="Y10">
        <f t="shared" si="6"/>
        <v>1</v>
      </c>
      <c r="Z10">
        <f>IFERROR(SUMPRODUCT(Design_Matrix!B6:K6,$I$5:$I$14),0)</f>
        <v>0</v>
      </c>
      <c r="AA10">
        <f t="shared" si="7"/>
        <v>1</v>
      </c>
      <c r="AB10">
        <f>IFERROR(SUMPRODUCT(Design_Matrix!B6:K6,$J$5:$J$14),0)</f>
        <v>0</v>
      </c>
      <c r="AC10">
        <f t="shared" si="8"/>
        <v>1</v>
      </c>
    </row>
    <row r="11" spans="1:29" x14ac:dyDescent="0.2">
      <c r="A11" t="s">
        <v>41</v>
      </c>
      <c r="B11">
        <v>0</v>
      </c>
      <c r="C11">
        <f>IFERROR(B11+$B$1*B81/COUNT(Design_Matrix!A2:A65),B11)</f>
        <v>4.4218750000000001E-5</v>
      </c>
      <c r="D11">
        <f>IFERROR(C11+$B$1*C81/COUNT(Design_Matrix!A2:A65),C11)</f>
        <v>8.8437500000000002E-5</v>
      </c>
      <c r="E11">
        <f>IFERROR(D11+$B$1*D81/COUNT(Design_Matrix!A2:A65),D11)</f>
        <v>1.3265625000000002E-4</v>
      </c>
      <c r="F11">
        <f>IFERROR(E11+$B$1*E81/COUNT(Design_Matrix!A2:A65),E11)</f>
        <v>1.76875E-4</v>
      </c>
      <c r="G11">
        <f>IFERROR(F11+$B$1*F81/COUNT(Design_Matrix!A2:A65),F11)</f>
        <v>2.2109374999999999E-4</v>
      </c>
      <c r="H11">
        <f>IFERROR(G11+$B$1*G81/COUNT(Design_Matrix!A2:A65),G11)</f>
        <v>2.6531249999999998E-4</v>
      </c>
      <c r="I11">
        <f>IFERROR(H11+$B$1*H81/COUNT(Design_Matrix!A2:A65),H11)</f>
        <v>3.0953124999999996E-4</v>
      </c>
      <c r="J11">
        <f>IFERROR(I11+$B$1*I81/COUNT(Design_Matrix!A2:A65),I11)</f>
        <v>3.5374999999999995E-4</v>
      </c>
      <c r="L11">
        <f>IFERROR(SUMPRODUCT(Design_Matrix!B7:K7,$B$5:$B$14),0)</f>
        <v>0</v>
      </c>
      <c r="M11">
        <f t="shared" si="0"/>
        <v>1</v>
      </c>
      <c r="N11">
        <f>IFERROR(SUMPRODUCT(Design_Matrix!B7:K7,$C$5:$C$14),0)</f>
        <v>0</v>
      </c>
      <c r="O11">
        <f t="shared" si="1"/>
        <v>1</v>
      </c>
      <c r="P11">
        <f>IFERROR(SUMPRODUCT(Design_Matrix!B7:K7,$D$5:$D$14),0)</f>
        <v>0</v>
      </c>
      <c r="Q11">
        <f t="shared" si="2"/>
        <v>1</v>
      </c>
      <c r="R11">
        <f>IFERROR(SUMPRODUCT(Design_Matrix!B7:K7,$E$5:$E$14),0)</f>
        <v>0</v>
      </c>
      <c r="S11">
        <f t="shared" si="3"/>
        <v>1</v>
      </c>
      <c r="T11">
        <f>IFERROR(SUMPRODUCT(Design_Matrix!B7:K7,$F$5:$F$14),0)</f>
        <v>0</v>
      </c>
      <c r="U11">
        <f t="shared" si="4"/>
        <v>1</v>
      </c>
      <c r="V11">
        <f>IFERROR(SUMPRODUCT(Design_Matrix!B7:K7,$G$5:$G$14),0)</f>
        <v>0</v>
      </c>
      <c r="W11">
        <f t="shared" si="5"/>
        <v>1</v>
      </c>
      <c r="X11">
        <f>IFERROR(SUMPRODUCT(Design_Matrix!B7:K7,$H$5:$H$14),0)</f>
        <v>0</v>
      </c>
      <c r="Y11">
        <f t="shared" si="6"/>
        <v>1</v>
      </c>
      <c r="Z11">
        <f>IFERROR(SUMPRODUCT(Design_Matrix!B7:K7,$I$5:$I$14),0)</f>
        <v>0</v>
      </c>
      <c r="AA11">
        <f t="shared" si="7"/>
        <v>1</v>
      </c>
      <c r="AB11">
        <f>IFERROR(SUMPRODUCT(Design_Matrix!B7:K7,$J$5:$J$14),0)</f>
        <v>0</v>
      </c>
      <c r="AC11">
        <f t="shared" si="8"/>
        <v>1</v>
      </c>
    </row>
    <row r="12" spans="1:29" x14ac:dyDescent="0.2">
      <c r="A12" t="s">
        <v>42</v>
      </c>
      <c r="B12">
        <v>0</v>
      </c>
      <c r="C12">
        <f>IFERROR(B12+$B$1*B82/COUNT(Design_Matrix!A2:A65),B12)</f>
        <v>6.0625000000000003E-5</v>
      </c>
      <c r="D12">
        <f>IFERROR(C12+$B$1*C82/COUNT(Design_Matrix!A2:A65),C12)</f>
        <v>1.2125000000000001E-4</v>
      </c>
      <c r="E12">
        <f>IFERROR(D12+$B$1*D82/COUNT(Design_Matrix!A2:A65),D12)</f>
        <v>1.8187500000000002E-4</v>
      </c>
      <c r="F12">
        <f>IFERROR(E12+$B$1*E82/COUNT(Design_Matrix!A2:A65),E12)</f>
        <v>2.4250000000000001E-4</v>
      </c>
      <c r="G12">
        <f>IFERROR(F12+$B$1*F82/COUNT(Design_Matrix!A2:A65),F12)</f>
        <v>3.0312500000000001E-4</v>
      </c>
      <c r="H12">
        <f>IFERROR(G12+$B$1*G82/COUNT(Design_Matrix!A2:A65),G12)</f>
        <v>3.6375000000000003E-4</v>
      </c>
      <c r="I12">
        <f>IFERROR(H12+$B$1*H82/COUNT(Design_Matrix!A2:A65),H12)</f>
        <v>4.2437500000000006E-4</v>
      </c>
      <c r="J12">
        <f>IFERROR(I12+$B$1*I82/COUNT(Design_Matrix!A2:A65),I12)</f>
        <v>4.8500000000000008E-4</v>
      </c>
      <c r="L12">
        <f>IFERROR(SUMPRODUCT(Design_Matrix!B8:K8,$B$5:$B$14),0)</f>
        <v>0</v>
      </c>
      <c r="M12">
        <f t="shared" si="0"/>
        <v>1</v>
      </c>
      <c r="N12">
        <f>IFERROR(SUMPRODUCT(Design_Matrix!B8:K8,$C$5:$C$14),0)</f>
        <v>0</v>
      </c>
      <c r="O12">
        <f t="shared" si="1"/>
        <v>1</v>
      </c>
      <c r="P12">
        <f>IFERROR(SUMPRODUCT(Design_Matrix!B8:K8,$D$5:$D$14),0)</f>
        <v>0</v>
      </c>
      <c r="Q12">
        <f t="shared" si="2"/>
        <v>1</v>
      </c>
      <c r="R12">
        <f>IFERROR(SUMPRODUCT(Design_Matrix!B8:K8,$E$5:$E$14),0)</f>
        <v>0</v>
      </c>
      <c r="S12">
        <f t="shared" si="3"/>
        <v>1</v>
      </c>
      <c r="T12">
        <f>IFERROR(SUMPRODUCT(Design_Matrix!B8:K8,$F$5:$F$14),0)</f>
        <v>0</v>
      </c>
      <c r="U12">
        <f t="shared" si="4"/>
        <v>1</v>
      </c>
      <c r="V12">
        <f>IFERROR(SUMPRODUCT(Design_Matrix!B8:K8,$G$5:$G$14),0)</f>
        <v>0</v>
      </c>
      <c r="W12">
        <f t="shared" si="5"/>
        <v>1</v>
      </c>
      <c r="X12">
        <f>IFERROR(SUMPRODUCT(Design_Matrix!B8:K8,$H$5:$H$14),0)</f>
        <v>0</v>
      </c>
      <c r="Y12">
        <f t="shared" si="6"/>
        <v>1</v>
      </c>
      <c r="Z12">
        <f>IFERROR(SUMPRODUCT(Design_Matrix!B8:K8,$I$5:$I$14),0)</f>
        <v>0</v>
      </c>
      <c r="AA12">
        <f t="shared" si="7"/>
        <v>1</v>
      </c>
      <c r="AB12">
        <f>IFERROR(SUMPRODUCT(Design_Matrix!B8:K8,$J$5:$J$14),0)</f>
        <v>0</v>
      </c>
      <c r="AC12">
        <f t="shared" si="8"/>
        <v>1</v>
      </c>
    </row>
    <row r="13" spans="1:29" x14ac:dyDescent="0.2">
      <c r="A13" t="s">
        <v>43</v>
      </c>
      <c r="B13">
        <v>0</v>
      </c>
      <c r="C13">
        <f>IFERROR(B13+$B$1*B83/COUNT(Design_Matrix!A2:A65),B13)</f>
        <v>6.828125000000001E-5</v>
      </c>
      <c r="D13">
        <f>IFERROR(C13+$B$1*C83/COUNT(Design_Matrix!A2:A65),C13)</f>
        <v>1.3656250000000002E-4</v>
      </c>
      <c r="E13">
        <f>IFERROR(D13+$B$1*D83/COUNT(Design_Matrix!A2:A65),D13)</f>
        <v>2.0484375000000003E-4</v>
      </c>
      <c r="F13">
        <f>IFERROR(E13+$B$1*E83/COUNT(Design_Matrix!A2:A65),E13)</f>
        <v>2.7312500000000004E-4</v>
      </c>
      <c r="G13">
        <f>IFERROR(F13+$B$1*F83/COUNT(Design_Matrix!A2:A65),F13)</f>
        <v>3.4140625000000002E-4</v>
      </c>
      <c r="H13">
        <f>IFERROR(G13+$B$1*G83/COUNT(Design_Matrix!A2:A65),G13)</f>
        <v>4.096875E-4</v>
      </c>
      <c r="I13">
        <f>IFERROR(H13+$B$1*H83/COUNT(Design_Matrix!A2:A65),H13)</f>
        <v>4.7796874999999999E-4</v>
      </c>
      <c r="J13">
        <f>IFERROR(I13+$B$1*I83/COUNT(Design_Matrix!A2:A65),I13)</f>
        <v>5.4624999999999997E-4</v>
      </c>
      <c r="L13">
        <f>IFERROR(SUMPRODUCT(Design_Matrix!B9:K9,$B$5:$B$14),0)</f>
        <v>0</v>
      </c>
      <c r="M13">
        <f t="shared" si="0"/>
        <v>1</v>
      </c>
      <c r="N13">
        <f>IFERROR(SUMPRODUCT(Design_Matrix!B9:K9,$C$5:$C$14),0)</f>
        <v>0</v>
      </c>
      <c r="O13">
        <f t="shared" si="1"/>
        <v>1</v>
      </c>
      <c r="P13">
        <f>IFERROR(SUMPRODUCT(Design_Matrix!B9:K9,$D$5:$D$14),0)</f>
        <v>0</v>
      </c>
      <c r="Q13">
        <f t="shared" si="2"/>
        <v>1</v>
      </c>
      <c r="R13">
        <f>IFERROR(SUMPRODUCT(Design_Matrix!B9:K9,$E$5:$E$14),0)</f>
        <v>0</v>
      </c>
      <c r="S13">
        <f t="shared" si="3"/>
        <v>1</v>
      </c>
      <c r="T13">
        <f>IFERROR(SUMPRODUCT(Design_Matrix!B9:K9,$F$5:$F$14),0)</f>
        <v>0</v>
      </c>
      <c r="U13">
        <f t="shared" si="4"/>
        <v>1</v>
      </c>
      <c r="V13">
        <f>IFERROR(SUMPRODUCT(Design_Matrix!B9:K9,$G$5:$G$14),0)</f>
        <v>0</v>
      </c>
      <c r="W13">
        <f t="shared" si="5"/>
        <v>1</v>
      </c>
      <c r="X13">
        <f>IFERROR(SUMPRODUCT(Design_Matrix!B9:K9,$H$5:$H$14),0)</f>
        <v>0</v>
      </c>
      <c r="Y13">
        <f t="shared" si="6"/>
        <v>1</v>
      </c>
      <c r="Z13">
        <f>IFERROR(SUMPRODUCT(Design_Matrix!B9:K9,$I$5:$I$14),0)</f>
        <v>0</v>
      </c>
      <c r="AA13">
        <f t="shared" si="7"/>
        <v>1</v>
      </c>
      <c r="AB13">
        <f>IFERROR(SUMPRODUCT(Design_Matrix!B9:K9,$J$5:$J$14),0)</f>
        <v>0</v>
      </c>
      <c r="AC13">
        <f t="shared" si="8"/>
        <v>1</v>
      </c>
    </row>
    <row r="14" spans="1:29" x14ac:dyDescent="0.2">
      <c r="A14" t="s">
        <v>44</v>
      </c>
      <c r="B14">
        <v>0</v>
      </c>
      <c r="C14">
        <f>IFERROR(B14+$B$1*B84/COUNT(Design_Matrix!A2:A65),B14)</f>
        <v>3.2015625000000002E-4</v>
      </c>
      <c r="D14">
        <f>IFERROR(C14+$B$1*C84/COUNT(Design_Matrix!A2:A65),C14)</f>
        <v>6.4031250000000004E-4</v>
      </c>
      <c r="E14">
        <f>IFERROR(D14+$B$1*D84/COUNT(Design_Matrix!A2:A65),D14)</f>
        <v>9.6046875000000006E-4</v>
      </c>
      <c r="F14">
        <f>IFERROR(E14+$B$1*E84/COUNT(Design_Matrix!A2:A65),E14)</f>
        <v>1.2806250000000001E-3</v>
      </c>
      <c r="G14">
        <f>IFERROR(F14+$B$1*F84/COUNT(Design_Matrix!A2:A65),F14)</f>
        <v>1.6007812500000002E-3</v>
      </c>
      <c r="H14">
        <f>IFERROR(G14+$B$1*G84/COUNT(Design_Matrix!A2:A65),G14)</f>
        <v>1.9209375000000003E-3</v>
      </c>
      <c r="I14">
        <f>IFERROR(H14+$B$1*H84/COUNT(Design_Matrix!A2:A65),H14)</f>
        <v>2.2410937500000005E-3</v>
      </c>
      <c r="J14">
        <f>IFERROR(I14+$B$1*I84/COUNT(Design_Matrix!A2:A65),I14)</f>
        <v>2.5612500000000006E-3</v>
      </c>
      <c r="L14">
        <f>IFERROR(SUMPRODUCT(Design_Matrix!B10:K10,$B$5:$B$14),0)</f>
        <v>0</v>
      </c>
      <c r="M14">
        <f t="shared" si="0"/>
        <v>1</v>
      </c>
      <c r="N14">
        <f>IFERROR(SUMPRODUCT(Design_Matrix!B10:K10,$C$5:$C$14),0)</f>
        <v>0</v>
      </c>
      <c r="O14">
        <f t="shared" si="1"/>
        <v>1</v>
      </c>
      <c r="P14">
        <f>IFERROR(SUMPRODUCT(Design_Matrix!B10:K10,$D$5:$D$14),0)</f>
        <v>0</v>
      </c>
      <c r="Q14">
        <f t="shared" si="2"/>
        <v>1</v>
      </c>
      <c r="R14">
        <f>IFERROR(SUMPRODUCT(Design_Matrix!B10:K10,$E$5:$E$14),0)</f>
        <v>0</v>
      </c>
      <c r="S14">
        <f t="shared" si="3"/>
        <v>1</v>
      </c>
      <c r="T14">
        <f>IFERROR(SUMPRODUCT(Design_Matrix!B10:K10,$F$5:$F$14),0)</f>
        <v>0</v>
      </c>
      <c r="U14">
        <f t="shared" si="4"/>
        <v>1</v>
      </c>
      <c r="V14">
        <f>IFERROR(SUMPRODUCT(Design_Matrix!B10:K10,$G$5:$G$14),0)</f>
        <v>0</v>
      </c>
      <c r="W14">
        <f t="shared" si="5"/>
        <v>1</v>
      </c>
      <c r="X14">
        <f>IFERROR(SUMPRODUCT(Design_Matrix!B10:K10,$H$5:$H$14),0)</f>
        <v>0</v>
      </c>
      <c r="Y14">
        <f t="shared" si="6"/>
        <v>1</v>
      </c>
      <c r="Z14">
        <f>IFERROR(SUMPRODUCT(Design_Matrix!B10:K10,$I$5:$I$14),0)</f>
        <v>0</v>
      </c>
      <c r="AA14">
        <f t="shared" si="7"/>
        <v>1</v>
      </c>
      <c r="AB14">
        <f>IFERROR(SUMPRODUCT(Design_Matrix!B10:K10,$J$5:$J$14),0)</f>
        <v>0</v>
      </c>
      <c r="AC14">
        <f t="shared" si="8"/>
        <v>1</v>
      </c>
    </row>
    <row r="15" spans="1:29" x14ac:dyDescent="0.2">
      <c r="L15">
        <f>IFERROR(SUMPRODUCT(Design_Matrix!B11:K11,$B$5:$B$14),0)</f>
        <v>0</v>
      </c>
      <c r="M15">
        <f t="shared" si="0"/>
        <v>1</v>
      </c>
      <c r="N15">
        <f>IFERROR(SUMPRODUCT(Design_Matrix!B11:K11,$C$5:$C$14),0)</f>
        <v>0</v>
      </c>
      <c r="O15">
        <f t="shared" si="1"/>
        <v>1</v>
      </c>
      <c r="P15">
        <f>IFERROR(SUMPRODUCT(Design_Matrix!B11:K11,$D$5:$D$14),0)</f>
        <v>0</v>
      </c>
      <c r="Q15">
        <f t="shared" si="2"/>
        <v>1</v>
      </c>
      <c r="R15">
        <f>IFERROR(SUMPRODUCT(Design_Matrix!B11:K11,$E$5:$E$14),0)</f>
        <v>0</v>
      </c>
      <c r="S15">
        <f t="shared" si="3"/>
        <v>1</v>
      </c>
      <c r="T15">
        <f>IFERROR(SUMPRODUCT(Design_Matrix!B11:K11,$F$5:$F$14),0)</f>
        <v>0</v>
      </c>
      <c r="U15">
        <f t="shared" si="4"/>
        <v>1</v>
      </c>
      <c r="V15">
        <f>IFERROR(SUMPRODUCT(Design_Matrix!B11:K11,$G$5:$G$14),0)</f>
        <v>0</v>
      </c>
      <c r="W15">
        <f t="shared" si="5"/>
        <v>1</v>
      </c>
      <c r="X15">
        <f>IFERROR(SUMPRODUCT(Design_Matrix!B11:K11,$H$5:$H$14),0)</f>
        <v>0</v>
      </c>
      <c r="Y15">
        <f t="shared" si="6"/>
        <v>1</v>
      </c>
      <c r="Z15">
        <f>IFERROR(SUMPRODUCT(Design_Matrix!B11:K11,$I$5:$I$14),0)</f>
        <v>0</v>
      </c>
      <c r="AA15">
        <f t="shared" si="7"/>
        <v>1</v>
      </c>
      <c r="AB15">
        <f>IFERROR(SUMPRODUCT(Design_Matrix!B11:K11,$J$5:$J$14),0)</f>
        <v>0</v>
      </c>
      <c r="AC15">
        <f t="shared" si="8"/>
        <v>1</v>
      </c>
    </row>
    <row r="16" spans="1:29" x14ac:dyDescent="0.2">
      <c r="L16">
        <f>IFERROR(SUMPRODUCT(Design_Matrix!B12:K12,$B$5:$B$14),0)</f>
        <v>0</v>
      </c>
      <c r="M16">
        <f t="shared" si="0"/>
        <v>1</v>
      </c>
      <c r="N16">
        <f>IFERROR(SUMPRODUCT(Design_Matrix!B12:K12,$C$5:$C$14),0)</f>
        <v>0</v>
      </c>
      <c r="O16">
        <f t="shared" si="1"/>
        <v>1</v>
      </c>
      <c r="P16">
        <f>IFERROR(SUMPRODUCT(Design_Matrix!B12:K12,$D$5:$D$14),0)</f>
        <v>0</v>
      </c>
      <c r="Q16">
        <f t="shared" si="2"/>
        <v>1</v>
      </c>
      <c r="R16">
        <f>IFERROR(SUMPRODUCT(Design_Matrix!B12:K12,$E$5:$E$14),0)</f>
        <v>0</v>
      </c>
      <c r="S16">
        <f t="shared" si="3"/>
        <v>1</v>
      </c>
      <c r="T16">
        <f>IFERROR(SUMPRODUCT(Design_Matrix!B12:K12,$F$5:$F$14),0)</f>
        <v>0</v>
      </c>
      <c r="U16">
        <f t="shared" si="4"/>
        <v>1</v>
      </c>
      <c r="V16">
        <f>IFERROR(SUMPRODUCT(Design_Matrix!B12:K12,$G$5:$G$14),0)</f>
        <v>0</v>
      </c>
      <c r="W16">
        <f t="shared" si="5"/>
        <v>1</v>
      </c>
      <c r="X16">
        <f>IFERROR(SUMPRODUCT(Design_Matrix!B12:K12,$H$5:$H$14),0)</f>
        <v>0</v>
      </c>
      <c r="Y16">
        <f t="shared" si="6"/>
        <v>1</v>
      </c>
      <c r="Z16">
        <f>IFERROR(SUMPRODUCT(Design_Matrix!B12:K12,$I$5:$I$14),0)</f>
        <v>0</v>
      </c>
      <c r="AA16">
        <f t="shared" si="7"/>
        <v>1</v>
      </c>
      <c r="AB16">
        <f>IFERROR(SUMPRODUCT(Design_Matrix!B12:K12,$J$5:$J$14),0)</f>
        <v>0</v>
      </c>
      <c r="AC16">
        <f t="shared" si="8"/>
        <v>1</v>
      </c>
    </row>
    <row r="17" spans="12:29" x14ac:dyDescent="0.2">
      <c r="L17">
        <f>IFERROR(SUMPRODUCT(Design_Matrix!B13:K13,$B$5:$B$14),0)</f>
        <v>0</v>
      </c>
      <c r="M17">
        <f t="shared" si="0"/>
        <v>1</v>
      </c>
      <c r="N17">
        <f>IFERROR(SUMPRODUCT(Design_Matrix!B13:K13,$C$5:$C$14),0)</f>
        <v>0</v>
      </c>
      <c r="O17">
        <f t="shared" si="1"/>
        <v>1</v>
      </c>
      <c r="P17">
        <f>IFERROR(SUMPRODUCT(Design_Matrix!B13:K13,$D$5:$D$14),0)</f>
        <v>0</v>
      </c>
      <c r="Q17">
        <f t="shared" si="2"/>
        <v>1</v>
      </c>
      <c r="R17">
        <f>IFERROR(SUMPRODUCT(Design_Matrix!B13:K13,$E$5:$E$14),0)</f>
        <v>0</v>
      </c>
      <c r="S17">
        <f t="shared" si="3"/>
        <v>1</v>
      </c>
      <c r="T17">
        <f>IFERROR(SUMPRODUCT(Design_Matrix!B13:K13,$F$5:$F$14),0)</f>
        <v>0</v>
      </c>
      <c r="U17">
        <f t="shared" si="4"/>
        <v>1</v>
      </c>
      <c r="V17">
        <f>IFERROR(SUMPRODUCT(Design_Matrix!B13:K13,$G$5:$G$14),0)</f>
        <v>0</v>
      </c>
      <c r="W17">
        <f t="shared" si="5"/>
        <v>1</v>
      </c>
      <c r="X17">
        <f>IFERROR(SUMPRODUCT(Design_Matrix!B13:K13,$H$5:$H$14),0)</f>
        <v>0</v>
      </c>
      <c r="Y17">
        <f t="shared" si="6"/>
        <v>1</v>
      </c>
      <c r="Z17">
        <f>IFERROR(SUMPRODUCT(Design_Matrix!B13:K13,$I$5:$I$14),0)</f>
        <v>0</v>
      </c>
      <c r="AA17">
        <f t="shared" si="7"/>
        <v>1</v>
      </c>
      <c r="AB17">
        <f>IFERROR(SUMPRODUCT(Design_Matrix!B13:K13,$J$5:$J$14),0)</f>
        <v>0</v>
      </c>
      <c r="AC17">
        <f t="shared" si="8"/>
        <v>1</v>
      </c>
    </row>
    <row r="18" spans="12:29" x14ac:dyDescent="0.2">
      <c r="L18">
        <f>IFERROR(SUMPRODUCT(Design_Matrix!B14:K14,$B$5:$B$14),0)</f>
        <v>0</v>
      </c>
      <c r="M18">
        <f t="shared" si="0"/>
        <v>1</v>
      </c>
      <c r="N18">
        <f>IFERROR(SUMPRODUCT(Design_Matrix!B14:K14,$C$5:$C$14),0)</f>
        <v>0</v>
      </c>
      <c r="O18">
        <f t="shared" si="1"/>
        <v>1</v>
      </c>
      <c r="P18">
        <f>IFERROR(SUMPRODUCT(Design_Matrix!B14:K14,$D$5:$D$14),0)</f>
        <v>0</v>
      </c>
      <c r="Q18">
        <f t="shared" si="2"/>
        <v>1</v>
      </c>
      <c r="R18">
        <f>IFERROR(SUMPRODUCT(Design_Matrix!B14:K14,$E$5:$E$14),0)</f>
        <v>0</v>
      </c>
      <c r="S18">
        <f t="shared" si="3"/>
        <v>1</v>
      </c>
      <c r="T18">
        <f>IFERROR(SUMPRODUCT(Design_Matrix!B14:K14,$F$5:$F$14),0)</f>
        <v>0</v>
      </c>
      <c r="U18">
        <f t="shared" si="4"/>
        <v>1</v>
      </c>
      <c r="V18">
        <f>IFERROR(SUMPRODUCT(Design_Matrix!B14:K14,$G$5:$G$14),0)</f>
        <v>0</v>
      </c>
      <c r="W18">
        <f t="shared" si="5"/>
        <v>1</v>
      </c>
      <c r="X18">
        <f>IFERROR(SUMPRODUCT(Design_Matrix!B14:K14,$H$5:$H$14),0)</f>
        <v>0</v>
      </c>
      <c r="Y18">
        <f t="shared" si="6"/>
        <v>1</v>
      </c>
      <c r="Z18">
        <f>IFERROR(SUMPRODUCT(Design_Matrix!B14:K14,$I$5:$I$14),0)</f>
        <v>0</v>
      </c>
      <c r="AA18">
        <f t="shared" si="7"/>
        <v>1</v>
      </c>
      <c r="AB18">
        <f>IFERROR(SUMPRODUCT(Design_Matrix!B14:K14,$J$5:$J$14),0)</f>
        <v>0</v>
      </c>
      <c r="AC18">
        <f t="shared" si="8"/>
        <v>1</v>
      </c>
    </row>
    <row r="19" spans="12:29" x14ac:dyDescent="0.2">
      <c r="L19">
        <f>IFERROR(SUMPRODUCT(Design_Matrix!B15:K15,$B$5:$B$14),0)</f>
        <v>0</v>
      </c>
      <c r="M19">
        <f t="shared" si="0"/>
        <v>1</v>
      </c>
      <c r="N19">
        <f>IFERROR(SUMPRODUCT(Design_Matrix!B15:K15,$C$5:$C$14),0)</f>
        <v>0</v>
      </c>
      <c r="O19">
        <f t="shared" si="1"/>
        <v>1</v>
      </c>
      <c r="P19">
        <f>IFERROR(SUMPRODUCT(Design_Matrix!B15:K15,$D$5:$D$14),0)</f>
        <v>0</v>
      </c>
      <c r="Q19">
        <f t="shared" si="2"/>
        <v>1</v>
      </c>
      <c r="R19">
        <f>IFERROR(SUMPRODUCT(Design_Matrix!B15:K15,$E$5:$E$14),0)</f>
        <v>0</v>
      </c>
      <c r="S19">
        <f t="shared" si="3"/>
        <v>1</v>
      </c>
      <c r="T19">
        <f>IFERROR(SUMPRODUCT(Design_Matrix!B15:K15,$F$5:$F$14),0)</f>
        <v>0</v>
      </c>
      <c r="U19">
        <f t="shared" si="4"/>
        <v>1</v>
      </c>
      <c r="V19">
        <f>IFERROR(SUMPRODUCT(Design_Matrix!B15:K15,$G$5:$G$14),0)</f>
        <v>0</v>
      </c>
      <c r="W19">
        <f t="shared" si="5"/>
        <v>1</v>
      </c>
      <c r="X19">
        <f>IFERROR(SUMPRODUCT(Design_Matrix!B15:K15,$H$5:$H$14),0)</f>
        <v>0</v>
      </c>
      <c r="Y19">
        <f t="shared" si="6"/>
        <v>1</v>
      </c>
      <c r="Z19">
        <f>IFERROR(SUMPRODUCT(Design_Matrix!B15:K15,$I$5:$I$14),0)</f>
        <v>0</v>
      </c>
      <c r="AA19">
        <f t="shared" si="7"/>
        <v>1</v>
      </c>
      <c r="AB19">
        <f>IFERROR(SUMPRODUCT(Design_Matrix!B15:K15,$J$5:$J$14),0)</f>
        <v>0</v>
      </c>
      <c r="AC19">
        <f t="shared" si="8"/>
        <v>1</v>
      </c>
    </row>
    <row r="20" spans="12:29" x14ac:dyDescent="0.2">
      <c r="L20">
        <f>IFERROR(SUMPRODUCT(Design_Matrix!B16:K16,$B$5:$B$14),0)</f>
        <v>0</v>
      </c>
      <c r="M20">
        <f t="shared" si="0"/>
        <v>1</v>
      </c>
      <c r="N20">
        <f>IFERROR(SUMPRODUCT(Design_Matrix!B16:K16,$C$5:$C$14),0)</f>
        <v>0</v>
      </c>
      <c r="O20">
        <f t="shared" si="1"/>
        <v>1</v>
      </c>
      <c r="P20">
        <f>IFERROR(SUMPRODUCT(Design_Matrix!B16:K16,$D$5:$D$14),0)</f>
        <v>0</v>
      </c>
      <c r="Q20">
        <f t="shared" si="2"/>
        <v>1</v>
      </c>
      <c r="R20">
        <f>IFERROR(SUMPRODUCT(Design_Matrix!B16:K16,$E$5:$E$14),0)</f>
        <v>0</v>
      </c>
      <c r="S20">
        <f t="shared" si="3"/>
        <v>1</v>
      </c>
      <c r="T20">
        <f>IFERROR(SUMPRODUCT(Design_Matrix!B16:K16,$F$5:$F$14),0)</f>
        <v>0</v>
      </c>
      <c r="U20">
        <f t="shared" si="4"/>
        <v>1</v>
      </c>
      <c r="V20">
        <f>IFERROR(SUMPRODUCT(Design_Matrix!B16:K16,$G$5:$G$14),0)</f>
        <v>0</v>
      </c>
      <c r="W20">
        <f t="shared" si="5"/>
        <v>1</v>
      </c>
      <c r="X20">
        <f>IFERROR(SUMPRODUCT(Design_Matrix!B16:K16,$H$5:$H$14),0)</f>
        <v>0</v>
      </c>
      <c r="Y20">
        <f t="shared" si="6"/>
        <v>1</v>
      </c>
      <c r="Z20">
        <f>IFERROR(SUMPRODUCT(Design_Matrix!B16:K16,$I$5:$I$14),0)</f>
        <v>0</v>
      </c>
      <c r="AA20">
        <f t="shared" si="7"/>
        <v>1</v>
      </c>
      <c r="AB20">
        <f>IFERROR(SUMPRODUCT(Design_Matrix!B16:K16,$J$5:$J$14),0)</f>
        <v>0</v>
      </c>
      <c r="AC20">
        <f t="shared" si="8"/>
        <v>1</v>
      </c>
    </row>
    <row r="21" spans="12:29" x14ac:dyDescent="0.2">
      <c r="L21">
        <f>IFERROR(SUMPRODUCT(Design_Matrix!B17:K17,$B$5:$B$14),0)</f>
        <v>0</v>
      </c>
      <c r="M21">
        <f t="shared" si="0"/>
        <v>1</v>
      </c>
      <c r="N21">
        <f>IFERROR(SUMPRODUCT(Design_Matrix!B17:K17,$C$5:$C$14),0)</f>
        <v>0</v>
      </c>
      <c r="O21">
        <f t="shared" si="1"/>
        <v>1</v>
      </c>
      <c r="P21">
        <f>IFERROR(SUMPRODUCT(Design_Matrix!B17:K17,$D$5:$D$14),0)</f>
        <v>0</v>
      </c>
      <c r="Q21">
        <f t="shared" si="2"/>
        <v>1</v>
      </c>
      <c r="R21">
        <f>IFERROR(SUMPRODUCT(Design_Matrix!B17:K17,$E$5:$E$14),0)</f>
        <v>0</v>
      </c>
      <c r="S21">
        <f t="shared" si="3"/>
        <v>1</v>
      </c>
      <c r="T21">
        <f>IFERROR(SUMPRODUCT(Design_Matrix!B17:K17,$F$5:$F$14),0)</f>
        <v>0</v>
      </c>
      <c r="U21">
        <f t="shared" si="4"/>
        <v>1</v>
      </c>
      <c r="V21">
        <f>IFERROR(SUMPRODUCT(Design_Matrix!B17:K17,$G$5:$G$14),0)</f>
        <v>0</v>
      </c>
      <c r="W21">
        <f t="shared" si="5"/>
        <v>1</v>
      </c>
      <c r="X21">
        <f>IFERROR(SUMPRODUCT(Design_Matrix!B17:K17,$H$5:$H$14),0)</f>
        <v>0</v>
      </c>
      <c r="Y21">
        <f t="shared" si="6"/>
        <v>1</v>
      </c>
      <c r="Z21">
        <f>IFERROR(SUMPRODUCT(Design_Matrix!B17:K17,$I$5:$I$14),0)</f>
        <v>0</v>
      </c>
      <c r="AA21">
        <f t="shared" si="7"/>
        <v>1</v>
      </c>
      <c r="AB21">
        <f>IFERROR(SUMPRODUCT(Design_Matrix!B17:K17,$J$5:$J$14),0)</f>
        <v>0</v>
      </c>
      <c r="AC21">
        <f t="shared" si="8"/>
        <v>1</v>
      </c>
    </row>
    <row r="22" spans="12:29" x14ac:dyDescent="0.2">
      <c r="L22">
        <f>IFERROR(SUMPRODUCT(Design_Matrix!B18:K18,$B$5:$B$14),0)</f>
        <v>0</v>
      </c>
      <c r="M22">
        <f t="shared" si="0"/>
        <v>1</v>
      </c>
      <c r="N22">
        <f>IFERROR(SUMPRODUCT(Design_Matrix!B18:K18,$C$5:$C$14),0)</f>
        <v>0</v>
      </c>
      <c r="O22">
        <f t="shared" si="1"/>
        <v>1</v>
      </c>
      <c r="P22">
        <f>IFERROR(SUMPRODUCT(Design_Matrix!B18:K18,$D$5:$D$14),0)</f>
        <v>0</v>
      </c>
      <c r="Q22">
        <f t="shared" si="2"/>
        <v>1</v>
      </c>
      <c r="R22">
        <f>IFERROR(SUMPRODUCT(Design_Matrix!B18:K18,$E$5:$E$14),0)</f>
        <v>0</v>
      </c>
      <c r="S22">
        <f t="shared" si="3"/>
        <v>1</v>
      </c>
      <c r="T22">
        <f>IFERROR(SUMPRODUCT(Design_Matrix!B18:K18,$F$5:$F$14),0)</f>
        <v>0</v>
      </c>
      <c r="U22">
        <f t="shared" si="4"/>
        <v>1</v>
      </c>
      <c r="V22">
        <f>IFERROR(SUMPRODUCT(Design_Matrix!B18:K18,$G$5:$G$14),0)</f>
        <v>0</v>
      </c>
      <c r="W22">
        <f t="shared" si="5"/>
        <v>1</v>
      </c>
      <c r="X22">
        <f>IFERROR(SUMPRODUCT(Design_Matrix!B18:K18,$H$5:$H$14),0)</f>
        <v>0</v>
      </c>
      <c r="Y22">
        <f t="shared" si="6"/>
        <v>1</v>
      </c>
      <c r="Z22">
        <f>IFERROR(SUMPRODUCT(Design_Matrix!B18:K18,$I$5:$I$14),0)</f>
        <v>0</v>
      </c>
      <c r="AA22">
        <f t="shared" si="7"/>
        <v>1</v>
      </c>
      <c r="AB22">
        <f>IFERROR(SUMPRODUCT(Design_Matrix!B18:K18,$J$5:$J$14),0)</f>
        <v>0</v>
      </c>
      <c r="AC22">
        <f t="shared" si="8"/>
        <v>1</v>
      </c>
    </row>
    <row r="23" spans="12:29" x14ac:dyDescent="0.2">
      <c r="L23">
        <f>IFERROR(SUMPRODUCT(Design_Matrix!B19:K19,$B$5:$B$14),0)</f>
        <v>0</v>
      </c>
      <c r="M23">
        <f t="shared" si="0"/>
        <v>1</v>
      </c>
      <c r="N23">
        <f>IFERROR(SUMPRODUCT(Design_Matrix!B19:K19,$C$5:$C$14),0)</f>
        <v>0</v>
      </c>
      <c r="O23">
        <f t="shared" si="1"/>
        <v>1</v>
      </c>
      <c r="P23">
        <f>IFERROR(SUMPRODUCT(Design_Matrix!B19:K19,$D$5:$D$14),0)</f>
        <v>0</v>
      </c>
      <c r="Q23">
        <f t="shared" si="2"/>
        <v>1</v>
      </c>
      <c r="R23">
        <f>IFERROR(SUMPRODUCT(Design_Matrix!B19:K19,$E$5:$E$14),0)</f>
        <v>0</v>
      </c>
      <c r="S23">
        <f t="shared" si="3"/>
        <v>1</v>
      </c>
      <c r="T23">
        <f>IFERROR(SUMPRODUCT(Design_Matrix!B19:K19,$F$5:$F$14),0)</f>
        <v>0</v>
      </c>
      <c r="U23">
        <f t="shared" si="4"/>
        <v>1</v>
      </c>
      <c r="V23">
        <f>IFERROR(SUMPRODUCT(Design_Matrix!B19:K19,$G$5:$G$14),0)</f>
        <v>0</v>
      </c>
      <c r="W23">
        <f t="shared" si="5"/>
        <v>1</v>
      </c>
      <c r="X23">
        <f>IFERROR(SUMPRODUCT(Design_Matrix!B19:K19,$H$5:$H$14),0)</f>
        <v>0</v>
      </c>
      <c r="Y23">
        <f t="shared" si="6"/>
        <v>1</v>
      </c>
      <c r="Z23">
        <f>IFERROR(SUMPRODUCT(Design_Matrix!B19:K19,$I$5:$I$14),0)</f>
        <v>0</v>
      </c>
      <c r="AA23">
        <f t="shared" si="7"/>
        <v>1</v>
      </c>
      <c r="AB23">
        <f>IFERROR(SUMPRODUCT(Design_Matrix!B19:K19,$J$5:$J$14),0)</f>
        <v>0</v>
      </c>
      <c r="AC23">
        <f t="shared" si="8"/>
        <v>1</v>
      </c>
    </row>
    <row r="24" spans="12:29" x14ac:dyDescent="0.2">
      <c r="L24">
        <f>IFERROR(SUMPRODUCT(Design_Matrix!B20:K20,$B$5:$B$14),0)</f>
        <v>0</v>
      </c>
      <c r="M24">
        <f t="shared" si="0"/>
        <v>1</v>
      </c>
      <c r="N24">
        <f>IFERROR(SUMPRODUCT(Design_Matrix!B20:K20,$C$5:$C$14),0)</f>
        <v>0</v>
      </c>
      <c r="O24">
        <f t="shared" si="1"/>
        <v>1</v>
      </c>
      <c r="P24">
        <f>IFERROR(SUMPRODUCT(Design_Matrix!B20:K20,$D$5:$D$14),0)</f>
        <v>0</v>
      </c>
      <c r="Q24">
        <f t="shared" si="2"/>
        <v>1</v>
      </c>
      <c r="R24">
        <f>IFERROR(SUMPRODUCT(Design_Matrix!B20:K20,$E$5:$E$14),0)</f>
        <v>0</v>
      </c>
      <c r="S24">
        <f t="shared" si="3"/>
        <v>1</v>
      </c>
      <c r="T24">
        <f>IFERROR(SUMPRODUCT(Design_Matrix!B20:K20,$F$5:$F$14),0)</f>
        <v>0</v>
      </c>
      <c r="U24">
        <f t="shared" si="4"/>
        <v>1</v>
      </c>
      <c r="V24">
        <f>IFERROR(SUMPRODUCT(Design_Matrix!B20:K20,$G$5:$G$14),0)</f>
        <v>0</v>
      </c>
      <c r="W24">
        <f t="shared" si="5"/>
        <v>1</v>
      </c>
      <c r="X24">
        <f>IFERROR(SUMPRODUCT(Design_Matrix!B20:K20,$H$5:$H$14),0)</f>
        <v>0</v>
      </c>
      <c r="Y24">
        <f t="shared" si="6"/>
        <v>1</v>
      </c>
      <c r="Z24">
        <f>IFERROR(SUMPRODUCT(Design_Matrix!B20:K20,$I$5:$I$14),0)</f>
        <v>0</v>
      </c>
      <c r="AA24">
        <f t="shared" si="7"/>
        <v>1</v>
      </c>
      <c r="AB24">
        <f>IFERROR(SUMPRODUCT(Design_Matrix!B20:K20,$J$5:$J$14),0)</f>
        <v>0</v>
      </c>
      <c r="AC24">
        <f t="shared" si="8"/>
        <v>1</v>
      </c>
    </row>
    <row r="25" spans="12:29" x14ac:dyDescent="0.2">
      <c r="L25">
        <f>IFERROR(SUMPRODUCT(Design_Matrix!B21:K21,$B$5:$B$14),0)</f>
        <v>0</v>
      </c>
      <c r="M25">
        <f t="shared" si="0"/>
        <v>1</v>
      </c>
      <c r="N25">
        <f>IFERROR(SUMPRODUCT(Design_Matrix!B21:K21,$C$5:$C$14),0)</f>
        <v>0</v>
      </c>
      <c r="O25">
        <f t="shared" si="1"/>
        <v>1</v>
      </c>
      <c r="P25">
        <f>IFERROR(SUMPRODUCT(Design_Matrix!B21:K21,$D$5:$D$14),0)</f>
        <v>0</v>
      </c>
      <c r="Q25">
        <f t="shared" si="2"/>
        <v>1</v>
      </c>
      <c r="R25">
        <f>IFERROR(SUMPRODUCT(Design_Matrix!B21:K21,$E$5:$E$14),0)</f>
        <v>0</v>
      </c>
      <c r="S25">
        <f t="shared" si="3"/>
        <v>1</v>
      </c>
      <c r="T25">
        <f>IFERROR(SUMPRODUCT(Design_Matrix!B21:K21,$F$5:$F$14),0)</f>
        <v>0</v>
      </c>
      <c r="U25">
        <f t="shared" si="4"/>
        <v>1</v>
      </c>
      <c r="V25">
        <f>IFERROR(SUMPRODUCT(Design_Matrix!B21:K21,$G$5:$G$14),0)</f>
        <v>0</v>
      </c>
      <c r="W25">
        <f t="shared" si="5"/>
        <v>1</v>
      </c>
      <c r="X25">
        <f>IFERROR(SUMPRODUCT(Design_Matrix!B21:K21,$H$5:$H$14),0)</f>
        <v>0</v>
      </c>
      <c r="Y25">
        <f t="shared" si="6"/>
        <v>1</v>
      </c>
      <c r="Z25">
        <f>IFERROR(SUMPRODUCT(Design_Matrix!B21:K21,$I$5:$I$14),0)</f>
        <v>0</v>
      </c>
      <c r="AA25">
        <f t="shared" si="7"/>
        <v>1</v>
      </c>
      <c r="AB25">
        <f>IFERROR(SUMPRODUCT(Design_Matrix!B21:K21,$J$5:$J$14),0)</f>
        <v>0</v>
      </c>
      <c r="AC25">
        <f t="shared" si="8"/>
        <v>1</v>
      </c>
    </row>
    <row r="26" spans="12:29" x14ac:dyDescent="0.2">
      <c r="L26">
        <f>IFERROR(SUMPRODUCT(Design_Matrix!B22:K22,$B$5:$B$14),0)</f>
        <v>0</v>
      </c>
      <c r="M26">
        <f t="shared" si="0"/>
        <v>1</v>
      </c>
      <c r="N26">
        <f>IFERROR(SUMPRODUCT(Design_Matrix!B22:K22,$C$5:$C$14),0)</f>
        <v>0</v>
      </c>
      <c r="O26">
        <f t="shared" si="1"/>
        <v>1</v>
      </c>
      <c r="P26">
        <f>IFERROR(SUMPRODUCT(Design_Matrix!B22:K22,$D$5:$D$14),0)</f>
        <v>0</v>
      </c>
      <c r="Q26">
        <f t="shared" si="2"/>
        <v>1</v>
      </c>
      <c r="R26">
        <f>IFERROR(SUMPRODUCT(Design_Matrix!B22:K22,$E$5:$E$14),0)</f>
        <v>0</v>
      </c>
      <c r="S26">
        <f t="shared" si="3"/>
        <v>1</v>
      </c>
      <c r="T26">
        <f>IFERROR(SUMPRODUCT(Design_Matrix!B22:K22,$F$5:$F$14),0)</f>
        <v>0</v>
      </c>
      <c r="U26">
        <f t="shared" si="4"/>
        <v>1</v>
      </c>
      <c r="V26">
        <f>IFERROR(SUMPRODUCT(Design_Matrix!B22:K22,$G$5:$G$14),0)</f>
        <v>0</v>
      </c>
      <c r="W26">
        <f t="shared" si="5"/>
        <v>1</v>
      </c>
      <c r="X26">
        <f>IFERROR(SUMPRODUCT(Design_Matrix!B22:K22,$H$5:$H$14),0)</f>
        <v>0</v>
      </c>
      <c r="Y26">
        <f t="shared" si="6"/>
        <v>1</v>
      </c>
      <c r="Z26">
        <f>IFERROR(SUMPRODUCT(Design_Matrix!B22:K22,$I$5:$I$14),0)</f>
        <v>0</v>
      </c>
      <c r="AA26">
        <f t="shared" si="7"/>
        <v>1</v>
      </c>
      <c r="AB26">
        <f>IFERROR(SUMPRODUCT(Design_Matrix!B22:K22,$J$5:$J$14),0)</f>
        <v>0</v>
      </c>
      <c r="AC26">
        <f t="shared" si="8"/>
        <v>1</v>
      </c>
    </row>
    <row r="27" spans="12:29" x14ac:dyDescent="0.2">
      <c r="L27">
        <f>IFERROR(SUMPRODUCT(Design_Matrix!B23:K23,$B$5:$B$14),0)</f>
        <v>0</v>
      </c>
      <c r="M27">
        <f t="shared" si="0"/>
        <v>1</v>
      </c>
      <c r="N27">
        <f>IFERROR(SUMPRODUCT(Design_Matrix!B23:K23,$C$5:$C$14),0)</f>
        <v>0</v>
      </c>
      <c r="O27">
        <f t="shared" si="1"/>
        <v>1</v>
      </c>
      <c r="P27">
        <f>IFERROR(SUMPRODUCT(Design_Matrix!B23:K23,$D$5:$D$14),0)</f>
        <v>0</v>
      </c>
      <c r="Q27">
        <f t="shared" si="2"/>
        <v>1</v>
      </c>
      <c r="R27">
        <f>IFERROR(SUMPRODUCT(Design_Matrix!B23:K23,$E$5:$E$14),0)</f>
        <v>0</v>
      </c>
      <c r="S27">
        <f t="shared" si="3"/>
        <v>1</v>
      </c>
      <c r="T27">
        <f>IFERROR(SUMPRODUCT(Design_Matrix!B23:K23,$F$5:$F$14),0)</f>
        <v>0</v>
      </c>
      <c r="U27">
        <f t="shared" si="4"/>
        <v>1</v>
      </c>
      <c r="V27">
        <f>IFERROR(SUMPRODUCT(Design_Matrix!B23:K23,$G$5:$G$14),0)</f>
        <v>0</v>
      </c>
      <c r="W27">
        <f t="shared" si="5"/>
        <v>1</v>
      </c>
      <c r="X27">
        <f>IFERROR(SUMPRODUCT(Design_Matrix!B23:K23,$H$5:$H$14),0)</f>
        <v>0</v>
      </c>
      <c r="Y27">
        <f t="shared" si="6"/>
        <v>1</v>
      </c>
      <c r="Z27">
        <f>IFERROR(SUMPRODUCT(Design_Matrix!B23:K23,$I$5:$I$14),0)</f>
        <v>0</v>
      </c>
      <c r="AA27">
        <f t="shared" si="7"/>
        <v>1</v>
      </c>
      <c r="AB27">
        <f>IFERROR(SUMPRODUCT(Design_Matrix!B23:K23,$J$5:$J$14),0)</f>
        <v>0</v>
      </c>
      <c r="AC27">
        <f t="shared" si="8"/>
        <v>1</v>
      </c>
    </row>
    <row r="28" spans="12:29" x14ac:dyDescent="0.2">
      <c r="L28">
        <f>IFERROR(SUMPRODUCT(Design_Matrix!B24:K24,$B$5:$B$14),0)</f>
        <v>0</v>
      </c>
      <c r="M28">
        <f t="shared" si="0"/>
        <v>1</v>
      </c>
      <c r="N28">
        <f>IFERROR(SUMPRODUCT(Design_Matrix!B24:K24,$C$5:$C$14),0)</f>
        <v>0</v>
      </c>
      <c r="O28">
        <f t="shared" si="1"/>
        <v>1</v>
      </c>
      <c r="P28">
        <f>IFERROR(SUMPRODUCT(Design_Matrix!B24:K24,$D$5:$D$14),0)</f>
        <v>0</v>
      </c>
      <c r="Q28">
        <f t="shared" si="2"/>
        <v>1</v>
      </c>
      <c r="R28">
        <f>IFERROR(SUMPRODUCT(Design_Matrix!B24:K24,$E$5:$E$14),0)</f>
        <v>0</v>
      </c>
      <c r="S28">
        <f t="shared" si="3"/>
        <v>1</v>
      </c>
      <c r="T28">
        <f>IFERROR(SUMPRODUCT(Design_Matrix!B24:K24,$F$5:$F$14),0)</f>
        <v>0</v>
      </c>
      <c r="U28">
        <f t="shared" si="4"/>
        <v>1</v>
      </c>
      <c r="V28">
        <f>IFERROR(SUMPRODUCT(Design_Matrix!B24:K24,$G$5:$G$14),0)</f>
        <v>0</v>
      </c>
      <c r="W28">
        <f t="shared" si="5"/>
        <v>1</v>
      </c>
      <c r="X28">
        <f>IFERROR(SUMPRODUCT(Design_Matrix!B24:K24,$H$5:$H$14),0)</f>
        <v>0</v>
      </c>
      <c r="Y28">
        <f t="shared" si="6"/>
        <v>1</v>
      </c>
      <c r="Z28">
        <f>IFERROR(SUMPRODUCT(Design_Matrix!B24:K24,$I$5:$I$14),0)</f>
        <v>0</v>
      </c>
      <c r="AA28">
        <f t="shared" si="7"/>
        <v>1</v>
      </c>
      <c r="AB28">
        <f>IFERROR(SUMPRODUCT(Design_Matrix!B24:K24,$J$5:$J$14),0)</f>
        <v>0</v>
      </c>
      <c r="AC28">
        <f t="shared" si="8"/>
        <v>1</v>
      </c>
    </row>
    <row r="29" spans="12:29" x14ac:dyDescent="0.2">
      <c r="L29">
        <f>IFERROR(SUMPRODUCT(Design_Matrix!B25:K25,$B$5:$B$14),0)</f>
        <v>0</v>
      </c>
      <c r="M29">
        <f t="shared" si="0"/>
        <v>1</v>
      </c>
      <c r="N29">
        <f>IFERROR(SUMPRODUCT(Design_Matrix!B25:K25,$C$5:$C$14),0)</f>
        <v>0</v>
      </c>
      <c r="O29">
        <f t="shared" si="1"/>
        <v>1</v>
      </c>
      <c r="P29">
        <f>IFERROR(SUMPRODUCT(Design_Matrix!B25:K25,$D$5:$D$14),0)</f>
        <v>0</v>
      </c>
      <c r="Q29">
        <f t="shared" si="2"/>
        <v>1</v>
      </c>
      <c r="R29">
        <f>IFERROR(SUMPRODUCT(Design_Matrix!B25:K25,$E$5:$E$14),0)</f>
        <v>0</v>
      </c>
      <c r="S29">
        <f t="shared" si="3"/>
        <v>1</v>
      </c>
      <c r="T29">
        <f>IFERROR(SUMPRODUCT(Design_Matrix!B25:K25,$F$5:$F$14),0)</f>
        <v>0</v>
      </c>
      <c r="U29">
        <f t="shared" si="4"/>
        <v>1</v>
      </c>
      <c r="V29">
        <f>IFERROR(SUMPRODUCT(Design_Matrix!B25:K25,$G$5:$G$14),0)</f>
        <v>0</v>
      </c>
      <c r="W29">
        <f t="shared" si="5"/>
        <v>1</v>
      </c>
      <c r="X29">
        <f>IFERROR(SUMPRODUCT(Design_Matrix!B25:K25,$H$5:$H$14),0)</f>
        <v>0</v>
      </c>
      <c r="Y29">
        <f t="shared" si="6"/>
        <v>1</v>
      </c>
      <c r="Z29">
        <f>IFERROR(SUMPRODUCT(Design_Matrix!B25:K25,$I$5:$I$14),0)</f>
        <v>0</v>
      </c>
      <c r="AA29">
        <f t="shared" si="7"/>
        <v>1</v>
      </c>
      <c r="AB29">
        <f>IFERROR(SUMPRODUCT(Design_Matrix!B25:K25,$J$5:$J$14),0)</f>
        <v>0</v>
      </c>
      <c r="AC29">
        <f t="shared" si="8"/>
        <v>1</v>
      </c>
    </row>
    <row r="30" spans="12:29" x14ac:dyDescent="0.2">
      <c r="L30">
        <f>IFERROR(SUMPRODUCT(Design_Matrix!B26:K26,$B$5:$B$14),0)</f>
        <v>0</v>
      </c>
      <c r="M30">
        <f t="shared" si="0"/>
        <v>1</v>
      </c>
      <c r="N30">
        <f>IFERROR(SUMPRODUCT(Design_Matrix!B26:K26,$C$5:$C$14),0)</f>
        <v>0</v>
      </c>
      <c r="O30">
        <f t="shared" si="1"/>
        <v>1</v>
      </c>
      <c r="P30">
        <f>IFERROR(SUMPRODUCT(Design_Matrix!B26:K26,$D$5:$D$14),0)</f>
        <v>0</v>
      </c>
      <c r="Q30">
        <f t="shared" si="2"/>
        <v>1</v>
      </c>
      <c r="R30">
        <f>IFERROR(SUMPRODUCT(Design_Matrix!B26:K26,$E$5:$E$14),0)</f>
        <v>0</v>
      </c>
      <c r="S30">
        <f t="shared" si="3"/>
        <v>1</v>
      </c>
      <c r="T30">
        <f>IFERROR(SUMPRODUCT(Design_Matrix!B26:K26,$F$5:$F$14),0)</f>
        <v>0</v>
      </c>
      <c r="U30">
        <f t="shared" si="4"/>
        <v>1</v>
      </c>
      <c r="V30">
        <f>IFERROR(SUMPRODUCT(Design_Matrix!B26:K26,$G$5:$G$14),0)</f>
        <v>0</v>
      </c>
      <c r="W30">
        <f t="shared" si="5"/>
        <v>1</v>
      </c>
      <c r="X30">
        <f>IFERROR(SUMPRODUCT(Design_Matrix!B26:K26,$H$5:$H$14),0)</f>
        <v>0</v>
      </c>
      <c r="Y30">
        <f t="shared" si="6"/>
        <v>1</v>
      </c>
      <c r="Z30">
        <f>IFERROR(SUMPRODUCT(Design_Matrix!B26:K26,$I$5:$I$14),0)</f>
        <v>0</v>
      </c>
      <c r="AA30">
        <f t="shared" si="7"/>
        <v>1</v>
      </c>
      <c r="AB30">
        <f>IFERROR(SUMPRODUCT(Design_Matrix!B26:K26,$J$5:$J$14),0)</f>
        <v>0</v>
      </c>
      <c r="AC30">
        <f t="shared" si="8"/>
        <v>1</v>
      </c>
    </row>
    <row r="31" spans="12:29" x14ac:dyDescent="0.2">
      <c r="L31">
        <f>IFERROR(SUMPRODUCT(Design_Matrix!B27:K27,$B$5:$B$14),0)</f>
        <v>0</v>
      </c>
      <c r="M31">
        <f t="shared" si="0"/>
        <v>1</v>
      </c>
      <c r="N31">
        <f>IFERROR(SUMPRODUCT(Design_Matrix!B27:K27,$C$5:$C$14),0)</f>
        <v>0</v>
      </c>
      <c r="O31">
        <f t="shared" si="1"/>
        <v>1</v>
      </c>
      <c r="P31">
        <f>IFERROR(SUMPRODUCT(Design_Matrix!B27:K27,$D$5:$D$14),0)</f>
        <v>0</v>
      </c>
      <c r="Q31">
        <f t="shared" si="2"/>
        <v>1</v>
      </c>
      <c r="R31">
        <f>IFERROR(SUMPRODUCT(Design_Matrix!B27:K27,$E$5:$E$14),0)</f>
        <v>0</v>
      </c>
      <c r="S31">
        <f t="shared" si="3"/>
        <v>1</v>
      </c>
      <c r="T31">
        <f>IFERROR(SUMPRODUCT(Design_Matrix!B27:K27,$F$5:$F$14),0)</f>
        <v>0</v>
      </c>
      <c r="U31">
        <f t="shared" si="4"/>
        <v>1</v>
      </c>
      <c r="V31">
        <f>IFERROR(SUMPRODUCT(Design_Matrix!B27:K27,$G$5:$G$14),0)</f>
        <v>0</v>
      </c>
      <c r="W31">
        <f t="shared" si="5"/>
        <v>1</v>
      </c>
      <c r="X31">
        <f>IFERROR(SUMPRODUCT(Design_Matrix!B27:K27,$H$5:$H$14),0)</f>
        <v>0</v>
      </c>
      <c r="Y31">
        <f t="shared" si="6"/>
        <v>1</v>
      </c>
      <c r="Z31">
        <f>IFERROR(SUMPRODUCT(Design_Matrix!B27:K27,$I$5:$I$14),0)</f>
        <v>0</v>
      </c>
      <c r="AA31">
        <f t="shared" si="7"/>
        <v>1</v>
      </c>
      <c r="AB31">
        <f>IFERROR(SUMPRODUCT(Design_Matrix!B27:K27,$J$5:$J$14),0)</f>
        <v>0</v>
      </c>
      <c r="AC31">
        <f t="shared" si="8"/>
        <v>1</v>
      </c>
    </row>
    <row r="32" spans="12:29" x14ac:dyDescent="0.2">
      <c r="L32">
        <f>IFERROR(SUMPRODUCT(Design_Matrix!B28:K28,$B$5:$B$14),0)</f>
        <v>0</v>
      </c>
      <c r="M32">
        <f t="shared" si="0"/>
        <v>1</v>
      </c>
      <c r="N32">
        <f>IFERROR(SUMPRODUCT(Design_Matrix!B28:K28,$C$5:$C$14),0)</f>
        <v>0</v>
      </c>
      <c r="O32">
        <f t="shared" si="1"/>
        <v>1</v>
      </c>
      <c r="P32">
        <f>IFERROR(SUMPRODUCT(Design_Matrix!B28:K28,$D$5:$D$14),0)</f>
        <v>0</v>
      </c>
      <c r="Q32">
        <f t="shared" si="2"/>
        <v>1</v>
      </c>
      <c r="R32">
        <f>IFERROR(SUMPRODUCT(Design_Matrix!B28:K28,$E$5:$E$14),0)</f>
        <v>0</v>
      </c>
      <c r="S32">
        <f t="shared" si="3"/>
        <v>1</v>
      </c>
      <c r="T32">
        <f>IFERROR(SUMPRODUCT(Design_Matrix!B28:K28,$F$5:$F$14),0)</f>
        <v>0</v>
      </c>
      <c r="U32">
        <f t="shared" si="4"/>
        <v>1</v>
      </c>
      <c r="V32">
        <f>IFERROR(SUMPRODUCT(Design_Matrix!B28:K28,$G$5:$G$14),0)</f>
        <v>0</v>
      </c>
      <c r="W32">
        <f t="shared" si="5"/>
        <v>1</v>
      </c>
      <c r="X32">
        <f>IFERROR(SUMPRODUCT(Design_Matrix!B28:K28,$H$5:$H$14),0)</f>
        <v>0</v>
      </c>
      <c r="Y32">
        <f t="shared" si="6"/>
        <v>1</v>
      </c>
      <c r="Z32">
        <f>IFERROR(SUMPRODUCT(Design_Matrix!B28:K28,$I$5:$I$14),0)</f>
        <v>0</v>
      </c>
      <c r="AA32">
        <f t="shared" si="7"/>
        <v>1</v>
      </c>
      <c r="AB32">
        <f>IFERROR(SUMPRODUCT(Design_Matrix!B28:K28,$J$5:$J$14),0)</f>
        <v>0</v>
      </c>
      <c r="AC32">
        <f t="shared" si="8"/>
        <v>1</v>
      </c>
    </row>
    <row r="33" spans="12:29" x14ac:dyDescent="0.2">
      <c r="L33">
        <f>IFERROR(SUMPRODUCT(Design_Matrix!B29:K29,$B$5:$B$14),0)</f>
        <v>0</v>
      </c>
      <c r="M33">
        <f t="shared" si="0"/>
        <v>1</v>
      </c>
      <c r="N33">
        <f>IFERROR(SUMPRODUCT(Design_Matrix!B29:K29,$C$5:$C$14),0)</f>
        <v>0</v>
      </c>
      <c r="O33">
        <f t="shared" si="1"/>
        <v>1</v>
      </c>
      <c r="P33">
        <f>IFERROR(SUMPRODUCT(Design_Matrix!B29:K29,$D$5:$D$14),0)</f>
        <v>0</v>
      </c>
      <c r="Q33">
        <f t="shared" si="2"/>
        <v>1</v>
      </c>
      <c r="R33">
        <f>IFERROR(SUMPRODUCT(Design_Matrix!B29:K29,$E$5:$E$14),0)</f>
        <v>0</v>
      </c>
      <c r="S33">
        <f t="shared" si="3"/>
        <v>1</v>
      </c>
      <c r="T33">
        <f>IFERROR(SUMPRODUCT(Design_Matrix!B29:K29,$F$5:$F$14),0)</f>
        <v>0</v>
      </c>
      <c r="U33">
        <f t="shared" si="4"/>
        <v>1</v>
      </c>
      <c r="V33">
        <f>IFERROR(SUMPRODUCT(Design_Matrix!B29:K29,$G$5:$G$14),0)</f>
        <v>0</v>
      </c>
      <c r="W33">
        <f t="shared" si="5"/>
        <v>1</v>
      </c>
      <c r="X33">
        <f>IFERROR(SUMPRODUCT(Design_Matrix!B29:K29,$H$5:$H$14),0)</f>
        <v>0</v>
      </c>
      <c r="Y33">
        <f t="shared" si="6"/>
        <v>1</v>
      </c>
      <c r="Z33">
        <f>IFERROR(SUMPRODUCT(Design_Matrix!B29:K29,$I$5:$I$14),0)</f>
        <v>0</v>
      </c>
      <c r="AA33">
        <f t="shared" si="7"/>
        <v>1</v>
      </c>
      <c r="AB33">
        <f>IFERROR(SUMPRODUCT(Design_Matrix!B29:K29,$J$5:$J$14),0)</f>
        <v>0</v>
      </c>
      <c r="AC33">
        <f t="shared" si="8"/>
        <v>1</v>
      </c>
    </row>
    <row r="34" spans="12:29" x14ac:dyDescent="0.2">
      <c r="L34">
        <f>IFERROR(SUMPRODUCT(Design_Matrix!B30:K30,$B$5:$B$14),0)</f>
        <v>0</v>
      </c>
      <c r="M34">
        <f t="shared" si="0"/>
        <v>1</v>
      </c>
      <c r="N34">
        <f>IFERROR(SUMPRODUCT(Design_Matrix!B30:K30,$C$5:$C$14),0)</f>
        <v>0</v>
      </c>
      <c r="O34">
        <f t="shared" si="1"/>
        <v>1</v>
      </c>
      <c r="P34">
        <f>IFERROR(SUMPRODUCT(Design_Matrix!B30:K30,$D$5:$D$14),0)</f>
        <v>0</v>
      </c>
      <c r="Q34">
        <f t="shared" si="2"/>
        <v>1</v>
      </c>
      <c r="R34">
        <f>IFERROR(SUMPRODUCT(Design_Matrix!B30:K30,$E$5:$E$14),0)</f>
        <v>0</v>
      </c>
      <c r="S34">
        <f t="shared" si="3"/>
        <v>1</v>
      </c>
      <c r="T34">
        <f>IFERROR(SUMPRODUCT(Design_Matrix!B30:K30,$F$5:$F$14),0)</f>
        <v>0</v>
      </c>
      <c r="U34">
        <f t="shared" si="4"/>
        <v>1</v>
      </c>
      <c r="V34">
        <f>IFERROR(SUMPRODUCT(Design_Matrix!B30:K30,$G$5:$G$14),0)</f>
        <v>0</v>
      </c>
      <c r="W34">
        <f t="shared" si="5"/>
        <v>1</v>
      </c>
      <c r="X34">
        <f>IFERROR(SUMPRODUCT(Design_Matrix!B30:K30,$H$5:$H$14),0)</f>
        <v>0</v>
      </c>
      <c r="Y34">
        <f t="shared" si="6"/>
        <v>1</v>
      </c>
      <c r="Z34">
        <f>IFERROR(SUMPRODUCT(Design_Matrix!B30:K30,$I$5:$I$14),0)</f>
        <v>0</v>
      </c>
      <c r="AA34">
        <f t="shared" si="7"/>
        <v>1</v>
      </c>
      <c r="AB34">
        <f>IFERROR(SUMPRODUCT(Design_Matrix!B30:K30,$J$5:$J$14),0)</f>
        <v>0</v>
      </c>
      <c r="AC34">
        <f t="shared" si="8"/>
        <v>1</v>
      </c>
    </row>
    <row r="35" spans="12:29" x14ac:dyDescent="0.2">
      <c r="L35">
        <f>IFERROR(SUMPRODUCT(Design_Matrix!B31:K31,$B$5:$B$14),0)</f>
        <v>0</v>
      </c>
      <c r="M35">
        <f t="shared" si="0"/>
        <v>1</v>
      </c>
      <c r="N35">
        <f>IFERROR(SUMPRODUCT(Design_Matrix!B31:K31,$C$5:$C$14),0)</f>
        <v>0</v>
      </c>
      <c r="O35">
        <f t="shared" si="1"/>
        <v>1</v>
      </c>
      <c r="P35">
        <f>IFERROR(SUMPRODUCT(Design_Matrix!B31:K31,$D$5:$D$14),0)</f>
        <v>0</v>
      </c>
      <c r="Q35">
        <f t="shared" si="2"/>
        <v>1</v>
      </c>
      <c r="R35">
        <f>IFERROR(SUMPRODUCT(Design_Matrix!B31:K31,$E$5:$E$14),0)</f>
        <v>0</v>
      </c>
      <c r="S35">
        <f t="shared" si="3"/>
        <v>1</v>
      </c>
      <c r="T35">
        <f>IFERROR(SUMPRODUCT(Design_Matrix!B31:K31,$F$5:$F$14),0)</f>
        <v>0</v>
      </c>
      <c r="U35">
        <f t="shared" si="4"/>
        <v>1</v>
      </c>
      <c r="V35">
        <f>IFERROR(SUMPRODUCT(Design_Matrix!B31:K31,$G$5:$G$14),0)</f>
        <v>0</v>
      </c>
      <c r="W35">
        <f t="shared" si="5"/>
        <v>1</v>
      </c>
      <c r="X35">
        <f>IFERROR(SUMPRODUCT(Design_Matrix!B31:K31,$H$5:$H$14),0)</f>
        <v>0</v>
      </c>
      <c r="Y35">
        <f t="shared" si="6"/>
        <v>1</v>
      </c>
      <c r="Z35">
        <f>IFERROR(SUMPRODUCT(Design_Matrix!B31:K31,$I$5:$I$14),0)</f>
        <v>0</v>
      </c>
      <c r="AA35">
        <f t="shared" si="7"/>
        <v>1</v>
      </c>
      <c r="AB35">
        <f>IFERROR(SUMPRODUCT(Design_Matrix!B31:K31,$J$5:$J$14),0)</f>
        <v>0</v>
      </c>
      <c r="AC35">
        <f t="shared" si="8"/>
        <v>1</v>
      </c>
    </row>
    <row r="36" spans="12:29" x14ac:dyDescent="0.2">
      <c r="L36">
        <f>IFERROR(SUMPRODUCT(Design_Matrix!B32:K32,$B$5:$B$14),0)</f>
        <v>0</v>
      </c>
      <c r="M36">
        <f t="shared" si="0"/>
        <v>1</v>
      </c>
      <c r="N36">
        <f>IFERROR(SUMPRODUCT(Design_Matrix!B32:K32,$C$5:$C$14),0)</f>
        <v>0</v>
      </c>
      <c r="O36">
        <f t="shared" si="1"/>
        <v>1</v>
      </c>
      <c r="P36">
        <f>IFERROR(SUMPRODUCT(Design_Matrix!B32:K32,$D$5:$D$14),0)</f>
        <v>0</v>
      </c>
      <c r="Q36">
        <f t="shared" si="2"/>
        <v>1</v>
      </c>
      <c r="R36">
        <f>IFERROR(SUMPRODUCT(Design_Matrix!B32:K32,$E$5:$E$14),0)</f>
        <v>0</v>
      </c>
      <c r="S36">
        <f t="shared" si="3"/>
        <v>1</v>
      </c>
      <c r="T36">
        <f>IFERROR(SUMPRODUCT(Design_Matrix!B32:K32,$F$5:$F$14),0)</f>
        <v>0</v>
      </c>
      <c r="U36">
        <f t="shared" si="4"/>
        <v>1</v>
      </c>
      <c r="V36">
        <f>IFERROR(SUMPRODUCT(Design_Matrix!B32:K32,$G$5:$G$14),0)</f>
        <v>0</v>
      </c>
      <c r="W36">
        <f t="shared" si="5"/>
        <v>1</v>
      </c>
      <c r="X36">
        <f>IFERROR(SUMPRODUCT(Design_Matrix!B32:K32,$H$5:$H$14),0)</f>
        <v>0</v>
      </c>
      <c r="Y36">
        <f t="shared" si="6"/>
        <v>1</v>
      </c>
      <c r="Z36">
        <f>IFERROR(SUMPRODUCT(Design_Matrix!B32:K32,$I$5:$I$14),0)</f>
        <v>0</v>
      </c>
      <c r="AA36">
        <f t="shared" si="7"/>
        <v>1</v>
      </c>
      <c r="AB36">
        <f>IFERROR(SUMPRODUCT(Design_Matrix!B32:K32,$J$5:$J$14),0)</f>
        <v>0</v>
      </c>
      <c r="AC36">
        <f t="shared" si="8"/>
        <v>1</v>
      </c>
    </row>
    <row r="37" spans="12:29" x14ac:dyDescent="0.2">
      <c r="L37">
        <f>IFERROR(SUMPRODUCT(Design_Matrix!B33:K33,$B$5:$B$14),0)</f>
        <v>0</v>
      </c>
      <c r="M37">
        <f t="shared" si="0"/>
        <v>1</v>
      </c>
      <c r="N37">
        <f>IFERROR(SUMPRODUCT(Design_Matrix!B33:K33,$C$5:$C$14),0)</f>
        <v>0</v>
      </c>
      <c r="O37">
        <f t="shared" si="1"/>
        <v>1</v>
      </c>
      <c r="P37">
        <f>IFERROR(SUMPRODUCT(Design_Matrix!B33:K33,$D$5:$D$14),0)</f>
        <v>0</v>
      </c>
      <c r="Q37">
        <f t="shared" si="2"/>
        <v>1</v>
      </c>
      <c r="R37">
        <f>IFERROR(SUMPRODUCT(Design_Matrix!B33:K33,$E$5:$E$14),0)</f>
        <v>0</v>
      </c>
      <c r="S37">
        <f t="shared" si="3"/>
        <v>1</v>
      </c>
      <c r="T37">
        <f>IFERROR(SUMPRODUCT(Design_Matrix!B33:K33,$F$5:$F$14),0)</f>
        <v>0</v>
      </c>
      <c r="U37">
        <f t="shared" si="4"/>
        <v>1</v>
      </c>
      <c r="V37">
        <f>IFERROR(SUMPRODUCT(Design_Matrix!B33:K33,$G$5:$G$14),0)</f>
        <v>0</v>
      </c>
      <c r="W37">
        <f t="shared" si="5"/>
        <v>1</v>
      </c>
      <c r="X37">
        <f>IFERROR(SUMPRODUCT(Design_Matrix!B33:K33,$H$5:$H$14),0)</f>
        <v>0</v>
      </c>
      <c r="Y37">
        <f t="shared" si="6"/>
        <v>1</v>
      </c>
      <c r="Z37">
        <f>IFERROR(SUMPRODUCT(Design_Matrix!B33:K33,$I$5:$I$14),0)</f>
        <v>0</v>
      </c>
      <c r="AA37">
        <f t="shared" si="7"/>
        <v>1</v>
      </c>
      <c r="AB37">
        <f>IFERROR(SUMPRODUCT(Design_Matrix!B33:K33,$J$5:$J$14),0)</f>
        <v>0</v>
      </c>
      <c r="AC37">
        <f t="shared" si="8"/>
        <v>1</v>
      </c>
    </row>
    <row r="38" spans="12:29" x14ac:dyDescent="0.2">
      <c r="L38">
        <f>IFERROR(SUMPRODUCT(Design_Matrix!B34:K34,$B$5:$B$14),0)</f>
        <v>0</v>
      </c>
      <c r="M38">
        <f t="shared" ref="M38:M69" si="9">EXP(MAX(-50,MIN(50,L38)))</f>
        <v>1</v>
      </c>
      <c r="N38">
        <f>IFERROR(SUMPRODUCT(Design_Matrix!B34:K34,$C$5:$C$14),0)</f>
        <v>0</v>
      </c>
      <c r="O38">
        <f t="shared" ref="O38:O69" si="10">EXP(MAX(-50,MIN(50,N38)))</f>
        <v>1</v>
      </c>
      <c r="P38">
        <f>IFERROR(SUMPRODUCT(Design_Matrix!B34:K34,$D$5:$D$14),0)</f>
        <v>0</v>
      </c>
      <c r="Q38">
        <f t="shared" ref="Q38:Q69" si="11">EXP(MAX(-50,MIN(50,P38)))</f>
        <v>1</v>
      </c>
      <c r="R38">
        <f>IFERROR(SUMPRODUCT(Design_Matrix!B34:K34,$E$5:$E$14),0)</f>
        <v>0</v>
      </c>
      <c r="S38">
        <f t="shared" ref="S38:S69" si="12">EXP(MAX(-50,MIN(50,R38)))</f>
        <v>1</v>
      </c>
      <c r="T38">
        <f>IFERROR(SUMPRODUCT(Design_Matrix!B34:K34,$F$5:$F$14),0)</f>
        <v>0</v>
      </c>
      <c r="U38">
        <f t="shared" ref="U38:U69" si="13">EXP(MAX(-50,MIN(50,T38)))</f>
        <v>1</v>
      </c>
      <c r="V38">
        <f>IFERROR(SUMPRODUCT(Design_Matrix!B34:K34,$G$5:$G$14),0)</f>
        <v>0</v>
      </c>
      <c r="W38">
        <f t="shared" ref="W38:W69" si="14">EXP(MAX(-50,MIN(50,V38)))</f>
        <v>1</v>
      </c>
      <c r="X38">
        <f>IFERROR(SUMPRODUCT(Design_Matrix!B34:K34,$H$5:$H$14),0)</f>
        <v>0</v>
      </c>
      <c r="Y38">
        <f t="shared" ref="Y38:Y69" si="15">EXP(MAX(-50,MIN(50,X38)))</f>
        <v>1</v>
      </c>
      <c r="Z38">
        <f>IFERROR(SUMPRODUCT(Design_Matrix!B34:K34,$I$5:$I$14),0)</f>
        <v>0</v>
      </c>
      <c r="AA38">
        <f t="shared" ref="AA38:AA69" si="16">EXP(MAX(-50,MIN(50,Z38)))</f>
        <v>1</v>
      </c>
      <c r="AB38">
        <f>IFERROR(SUMPRODUCT(Design_Matrix!B34:K34,$J$5:$J$14),0)</f>
        <v>0</v>
      </c>
      <c r="AC38">
        <f t="shared" ref="AC38:AC69" si="17">EXP(MAX(-50,MIN(50,AB38)))</f>
        <v>1</v>
      </c>
    </row>
    <row r="39" spans="12:29" x14ac:dyDescent="0.2">
      <c r="L39">
        <f>IFERROR(SUMPRODUCT(Design_Matrix!B35:K35,$B$5:$B$14),0)</f>
        <v>0</v>
      </c>
      <c r="M39">
        <f t="shared" si="9"/>
        <v>1</v>
      </c>
      <c r="N39">
        <f>IFERROR(SUMPRODUCT(Design_Matrix!B35:K35,$C$5:$C$14),0)</f>
        <v>0</v>
      </c>
      <c r="O39">
        <f t="shared" si="10"/>
        <v>1</v>
      </c>
      <c r="P39">
        <f>IFERROR(SUMPRODUCT(Design_Matrix!B35:K35,$D$5:$D$14),0)</f>
        <v>0</v>
      </c>
      <c r="Q39">
        <f t="shared" si="11"/>
        <v>1</v>
      </c>
      <c r="R39">
        <f>IFERROR(SUMPRODUCT(Design_Matrix!B35:K35,$E$5:$E$14),0)</f>
        <v>0</v>
      </c>
      <c r="S39">
        <f t="shared" si="12"/>
        <v>1</v>
      </c>
      <c r="T39">
        <f>IFERROR(SUMPRODUCT(Design_Matrix!B35:K35,$F$5:$F$14),0)</f>
        <v>0</v>
      </c>
      <c r="U39">
        <f t="shared" si="13"/>
        <v>1</v>
      </c>
      <c r="V39">
        <f>IFERROR(SUMPRODUCT(Design_Matrix!B35:K35,$G$5:$G$14),0)</f>
        <v>0</v>
      </c>
      <c r="W39">
        <f t="shared" si="14"/>
        <v>1</v>
      </c>
      <c r="X39">
        <f>IFERROR(SUMPRODUCT(Design_Matrix!B35:K35,$H$5:$H$14),0)</f>
        <v>0</v>
      </c>
      <c r="Y39">
        <f t="shared" si="15"/>
        <v>1</v>
      </c>
      <c r="Z39">
        <f>IFERROR(SUMPRODUCT(Design_Matrix!B35:K35,$I$5:$I$14),0)</f>
        <v>0</v>
      </c>
      <c r="AA39">
        <f t="shared" si="16"/>
        <v>1</v>
      </c>
      <c r="AB39">
        <f>IFERROR(SUMPRODUCT(Design_Matrix!B35:K35,$J$5:$J$14),0)</f>
        <v>0</v>
      </c>
      <c r="AC39">
        <f t="shared" si="17"/>
        <v>1</v>
      </c>
    </row>
    <row r="40" spans="12:29" x14ac:dyDescent="0.2">
      <c r="L40">
        <f>IFERROR(SUMPRODUCT(Design_Matrix!B36:K36,$B$5:$B$14),0)</f>
        <v>0</v>
      </c>
      <c r="M40">
        <f t="shared" si="9"/>
        <v>1</v>
      </c>
      <c r="N40">
        <f>IFERROR(SUMPRODUCT(Design_Matrix!B36:K36,$C$5:$C$14),0)</f>
        <v>0</v>
      </c>
      <c r="O40">
        <f t="shared" si="10"/>
        <v>1</v>
      </c>
      <c r="P40">
        <f>IFERROR(SUMPRODUCT(Design_Matrix!B36:K36,$D$5:$D$14),0)</f>
        <v>0</v>
      </c>
      <c r="Q40">
        <f t="shared" si="11"/>
        <v>1</v>
      </c>
      <c r="R40">
        <f>IFERROR(SUMPRODUCT(Design_Matrix!B36:K36,$E$5:$E$14),0)</f>
        <v>0</v>
      </c>
      <c r="S40">
        <f t="shared" si="12"/>
        <v>1</v>
      </c>
      <c r="T40">
        <f>IFERROR(SUMPRODUCT(Design_Matrix!B36:K36,$F$5:$F$14),0)</f>
        <v>0</v>
      </c>
      <c r="U40">
        <f t="shared" si="13"/>
        <v>1</v>
      </c>
      <c r="V40">
        <f>IFERROR(SUMPRODUCT(Design_Matrix!B36:K36,$G$5:$G$14),0)</f>
        <v>0</v>
      </c>
      <c r="W40">
        <f t="shared" si="14"/>
        <v>1</v>
      </c>
      <c r="X40">
        <f>IFERROR(SUMPRODUCT(Design_Matrix!B36:K36,$H$5:$H$14),0)</f>
        <v>0</v>
      </c>
      <c r="Y40">
        <f t="shared" si="15"/>
        <v>1</v>
      </c>
      <c r="Z40">
        <f>IFERROR(SUMPRODUCT(Design_Matrix!B36:K36,$I$5:$I$14),0)</f>
        <v>0</v>
      </c>
      <c r="AA40">
        <f t="shared" si="16"/>
        <v>1</v>
      </c>
      <c r="AB40">
        <f>IFERROR(SUMPRODUCT(Design_Matrix!B36:K36,$J$5:$J$14),0)</f>
        <v>0</v>
      </c>
      <c r="AC40">
        <f t="shared" si="17"/>
        <v>1</v>
      </c>
    </row>
    <row r="41" spans="12:29" x14ac:dyDescent="0.2">
      <c r="L41">
        <f>IFERROR(SUMPRODUCT(Design_Matrix!B37:K37,$B$5:$B$14),0)</f>
        <v>0</v>
      </c>
      <c r="M41">
        <f t="shared" si="9"/>
        <v>1</v>
      </c>
      <c r="N41">
        <f>IFERROR(SUMPRODUCT(Design_Matrix!B37:K37,$C$5:$C$14),0)</f>
        <v>0</v>
      </c>
      <c r="O41">
        <f t="shared" si="10"/>
        <v>1</v>
      </c>
      <c r="P41">
        <f>IFERROR(SUMPRODUCT(Design_Matrix!B37:K37,$D$5:$D$14),0)</f>
        <v>0</v>
      </c>
      <c r="Q41">
        <f t="shared" si="11"/>
        <v>1</v>
      </c>
      <c r="R41">
        <f>IFERROR(SUMPRODUCT(Design_Matrix!B37:K37,$E$5:$E$14),0)</f>
        <v>0</v>
      </c>
      <c r="S41">
        <f t="shared" si="12"/>
        <v>1</v>
      </c>
      <c r="T41">
        <f>IFERROR(SUMPRODUCT(Design_Matrix!B37:K37,$F$5:$F$14),0)</f>
        <v>0</v>
      </c>
      <c r="U41">
        <f t="shared" si="13"/>
        <v>1</v>
      </c>
      <c r="V41">
        <f>IFERROR(SUMPRODUCT(Design_Matrix!B37:K37,$G$5:$G$14),0)</f>
        <v>0</v>
      </c>
      <c r="W41">
        <f t="shared" si="14"/>
        <v>1</v>
      </c>
      <c r="X41">
        <f>IFERROR(SUMPRODUCT(Design_Matrix!B37:K37,$H$5:$H$14),0)</f>
        <v>0</v>
      </c>
      <c r="Y41">
        <f t="shared" si="15"/>
        <v>1</v>
      </c>
      <c r="Z41">
        <f>IFERROR(SUMPRODUCT(Design_Matrix!B37:K37,$I$5:$I$14),0)</f>
        <v>0</v>
      </c>
      <c r="AA41">
        <f t="shared" si="16"/>
        <v>1</v>
      </c>
      <c r="AB41">
        <f>IFERROR(SUMPRODUCT(Design_Matrix!B37:K37,$J$5:$J$14),0)</f>
        <v>0</v>
      </c>
      <c r="AC41">
        <f t="shared" si="17"/>
        <v>1</v>
      </c>
    </row>
    <row r="42" spans="12:29" x14ac:dyDescent="0.2">
      <c r="L42">
        <f>IFERROR(SUMPRODUCT(Design_Matrix!B38:K38,$B$5:$B$14),0)</f>
        <v>0</v>
      </c>
      <c r="M42">
        <f t="shared" si="9"/>
        <v>1</v>
      </c>
      <c r="N42">
        <f>IFERROR(SUMPRODUCT(Design_Matrix!B38:K38,$C$5:$C$14),0)</f>
        <v>0</v>
      </c>
      <c r="O42">
        <f t="shared" si="10"/>
        <v>1</v>
      </c>
      <c r="P42">
        <f>IFERROR(SUMPRODUCT(Design_Matrix!B38:K38,$D$5:$D$14),0)</f>
        <v>0</v>
      </c>
      <c r="Q42">
        <f t="shared" si="11"/>
        <v>1</v>
      </c>
      <c r="R42">
        <f>IFERROR(SUMPRODUCT(Design_Matrix!B38:K38,$E$5:$E$14),0)</f>
        <v>0</v>
      </c>
      <c r="S42">
        <f t="shared" si="12"/>
        <v>1</v>
      </c>
      <c r="T42">
        <f>IFERROR(SUMPRODUCT(Design_Matrix!B38:K38,$F$5:$F$14),0)</f>
        <v>0</v>
      </c>
      <c r="U42">
        <f t="shared" si="13"/>
        <v>1</v>
      </c>
      <c r="V42">
        <f>IFERROR(SUMPRODUCT(Design_Matrix!B38:K38,$G$5:$G$14),0)</f>
        <v>0</v>
      </c>
      <c r="W42">
        <f t="shared" si="14"/>
        <v>1</v>
      </c>
      <c r="X42">
        <f>IFERROR(SUMPRODUCT(Design_Matrix!B38:K38,$H$5:$H$14),0)</f>
        <v>0</v>
      </c>
      <c r="Y42">
        <f t="shared" si="15"/>
        <v>1</v>
      </c>
      <c r="Z42">
        <f>IFERROR(SUMPRODUCT(Design_Matrix!B38:K38,$I$5:$I$14),0)</f>
        <v>0</v>
      </c>
      <c r="AA42">
        <f t="shared" si="16"/>
        <v>1</v>
      </c>
      <c r="AB42">
        <f>IFERROR(SUMPRODUCT(Design_Matrix!B38:K38,$J$5:$J$14),0)</f>
        <v>0</v>
      </c>
      <c r="AC42">
        <f t="shared" si="17"/>
        <v>1</v>
      </c>
    </row>
    <row r="43" spans="12:29" x14ac:dyDescent="0.2">
      <c r="L43">
        <f>IFERROR(SUMPRODUCT(Design_Matrix!B39:K39,$B$5:$B$14),0)</f>
        <v>0</v>
      </c>
      <c r="M43">
        <f t="shared" si="9"/>
        <v>1</v>
      </c>
      <c r="N43">
        <f>IFERROR(SUMPRODUCT(Design_Matrix!B39:K39,$C$5:$C$14),0)</f>
        <v>0</v>
      </c>
      <c r="O43">
        <f t="shared" si="10"/>
        <v>1</v>
      </c>
      <c r="P43">
        <f>IFERROR(SUMPRODUCT(Design_Matrix!B39:K39,$D$5:$D$14),0)</f>
        <v>0</v>
      </c>
      <c r="Q43">
        <f t="shared" si="11"/>
        <v>1</v>
      </c>
      <c r="R43">
        <f>IFERROR(SUMPRODUCT(Design_Matrix!B39:K39,$E$5:$E$14),0)</f>
        <v>0</v>
      </c>
      <c r="S43">
        <f t="shared" si="12"/>
        <v>1</v>
      </c>
      <c r="T43">
        <f>IFERROR(SUMPRODUCT(Design_Matrix!B39:K39,$F$5:$F$14),0)</f>
        <v>0</v>
      </c>
      <c r="U43">
        <f t="shared" si="13"/>
        <v>1</v>
      </c>
      <c r="V43">
        <f>IFERROR(SUMPRODUCT(Design_Matrix!B39:K39,$G$5:$G$14),0)</f>
        <v>0</v>
      </c>
      <c r="W43">
        <f t="shared" si="14"/>
        <v>1</v>
      </c>
      <c r="X43">
        <f>IFERROR(SUMPRODUCT(Design_Matrix!B39:K39,$H$5:$H$14),0)</f>
        <v>0</v>
      </c>
      <c r="Y43">
        <f t="shared" si="15"/>
        <v>1</v>
      </c>
      <c r="Z43">
        <f>IFERROR(SUMPRODUCT(Design_Matrix!B39:K39,$I$5:$I$14),0)</f>
        <v>0</v>
      </c>
      <c r="AA43">
        <f t="shared" si="16"/>
        <v>1</v>
      </c>
      <c r="AB43">
        <f>IFERROR(SUMPRODUCT(Design_Matrix!B39:K39,$J$5:$J$14),0)</f>
        <v>0</v>
      </c>
      <c r="AC43">
        <f t="shared" si="17"/>
        <v>1</v>
      </c>
    </row>
    <row r="44" spans="12:29" x14ac:dyDescent="0.2">
      <c r="L44">
        <f>IFERROR(SUMPRODUCT(Design_Matrix!B40:K40,$B$5:$B$14),0)</f>
        <v>0</v>
      </c>
      <c r="M44">
        <f t="shared" si="9"/>
        <v>1</v>
      </c>
      <c r="N44">
        <f>IFERROR(SUMPRODUCT(Design_Matrix!B40:K40,$C$5:$C$14),0)</f>
        <v>0</v>
      </c>
      <c r="O44">
        <f t="shared" si="10"/>
        <v>1</v>
      </c>
      <c r="P44">
        <f>IFERROR(SUMPRODUCT(Design_Matrix!B40:K40,$D$5:$D$14),0)</f>
        <v>0</v>
      </c>
      <c r="Q44">
        <f t="shared" si="11"/>
        <v>1</v>
      </c>
      <c r="R44">
        <f>IFERROR(SUMPRODUCT(Design_Matrix!B40:K40,$E$5:$E$14),0)</f>
        <v>0</v>
      </c>
      <c r="S44">
        <f t="shared" si="12"/>
        <v>1</v>
      </c>
      <c r="T44">
        <f>IFERROR(SUMPRODUCT(Design_Matrix!B40:K40,$F$5:$F$14),0)</f>
        <v>0</v>
      </c>
      <c r="U44">
        <f t="shared" si="13"/>
        <v>1</v>
      </c>
      <c r="V44">
        <f>IFERROR(SUMPRODUCT(Design_Matrix!B40:K40,$G$5:$G$14),0)</f>
        <v>0</v>
      </c>
      <c r="W44">
        <f t="shared" si="14"/>
        <v>1</v>
      </c>
      <c r="X44">
        <f>IFERROR(SUMPRODUCT(Design_Matrix!B40:K40,$H$5:$H$14),0)</f>
        <v>0</v>
      </c>
      <c r="Y44">
        <f t="shared" si="15"/>
        <v>1</v>
      </c>
      <c r="Z44">
        <f>IFERROR(SUMPRODUCT(Design_Matrix!B40:K40,$I$5:$I$14),0)</f>
        <v>0</v>
      </c>
      <c r="AA44">
        <f t="shared" si="16"/>
        <v>1</v>
      </c>
      <c r="AB44">
        <f>IFERROR(SUMPRODUCT(Design_Matrix!B40:K40,$J$5:$J$14),0)</f>
        <v>0</v>
      </c>
      <c r="AC44">
        <f t="shared" si="17"/>
        <v>1</v>
      </c>
    </row>
    <row r="45" spans="12:29" x14ac:dyDescent="0.2">
      <c r="L45">
        <f>IFERROR(SUMPRODUCT(Design_Matrix!B41:K41,$B$5:$B$14),0)</f>
        <v>0</v>
      </c>
      <c r="M45">
        <f t="shared" si="9"/>
        <v>1</v>
      </c>
      <c r="N45">
        <f>IFERROR(SUMPRODUCT(Design_Matrix!B41:K41,$C$5:$C$14),0)</f>
        <v>0</v>
      </c>
      <c r="O45">
        <f t="shared" si="10"/>
        <v>1</v>
      </c>
      <c r="P45">
        <f>IFERROR(SUMPRODUCT(Design_Matrix!B41:K41,$D$5:$D$14),0)</f>
        <v>0</v>
      </c>
      <c r="Q45">
        <f t="shared" si="11"/>
        <v>1</v>
      </c>
      <c r="R45">
        <f>IFERROR(SUMPRODUCT(Design_Matrix!B41:K41,$E$5:$E$14),0)</f>
        <v>0</v>
      </c>
      <c r="S45">
        <f t="shared" si="12"/>
        <v>1</v>
      </c>
      <c r="T45">
        <f>IFERROR(SUMPRODUCT(Design_Matrix!B41:K41,$F$5:$F$14),0)</f>
        <v>0</v>
      </c>
      <c r="U45">
        <f t="shared" si="13"/>
        <v>1</v>
      </c>
      <c r="V45">
        <f>IFERROR(SUMPRODUCT(Design_Matrix!B41:K41,$G$5:$G$14),0)</f>
        <v>0</v>
      </c>
      <c r="W45">
        <f t="shared" si="14"/>
        <v>1</v>
      </c>
      <c r="X45">
        <f>IFERROR(SUMPRODUCT(Design_Matrix!B41:K41,$H$5:$H$14),0)</f>
        <v>0</v>
      </c>
      <c r="Y45">
        <f t="shared" si="15"/>
        <v>1</v>
      </c>
      <c r="Z45">
        <f>IFERROR(SUMPRODUCT(Design_Matrix!B41:K41,$I$5:$I$14),0)</f>
        <v>0</v>
      </c>
      <c r="AA45">
        <f t="shared" si="16"/>
        <v>1</v>
      </c>
      <c r="AB45">
        <f>IFERROR(SUMPRODUCT(Design_Matrix!B41:K41,$J$5:$J$14),0)</f>
        <v>0</v>
      </c>
      <c r="AC45">
        <f t="shared" si="17"/>
        <v>1</v>
      </c>
    </row>
    <row r="46" spans="12:29" x14ac:dyDescent="0.2">
      <c r="L46">
        <f>IFERROR(SUMPRODUCT(Design_Matrix!B42:K42,$B$5:$B$14),0)</f>
        <v>0</v>
      </c>
      <c r="M46">
        <f t="shared" si="9"/>
        <v>1</v>
      </c>
      <c r="N46">
        <f>IFERROR(SUMPRODUCT(Design_Matrix!B42:K42,$C$5:$C$14),0)</f>
        <v>0</v>
      </c>
      <c r="O46">
        <f t="shared" si="10"/>
        <v>1</v>
      </c>
      <c r="P46">
        <f>IFERROR(SUMPRODUCT(Design_Matrix!B42:K42,$D$5:$D$14),0)</f>
        <v>0</v>
      </c>
      <c r="Q46">
        <f t="shared" si="11"/>
        <v>1</v>
      </c>
      <c r="R46">
        <f>IFERROR(SUMPRODUCT(Design_Matrix!B42:K42,$E$5:$E$14),0)</f>
        <v>0</v>
      </c>
      <c r="S46">
        <f t="shared" si="12"/>
        <v>1</v>
      </c>
      <c r="T46">
        <f>IFERROR(SUMPRODUCT(Design_Matrix!B42:K42,$F$5:$F$14),0)</f>
        <v>0</v>
      </c>
      <c r="U46">
        <f t="shared" si="13"/>
        <v>1</v>
      </c>
      <c r="V46">
        <f>IFERROR(SUMPRODUCT(Design_Matrix!B42:K42,$G$5:$G$14),0)</f>
        <v>0</v>
      </c>
      <c r="W46">
        <f t="shared" si="14"/>
        <v>1</v>
      </c>
      <c r="X46">
        <f>IFERROR(SUMPRODUCT(Design_Matrix!B42:K42,$H$5:$H$14),0)</f>
        <v>0</v>
      </c>
      <c r="Y46">
        <f t="shared" si="15"/>
        <v>1</v>
      </c>
      <c r="Z46">
        <f>IFERROR(SUMPRODUCT(Design_Matrix!B42:K42,$I$5:$I$14),0)</f>
        <v>0</v>
      </c>
      <c r="AA46">
        <f t="shared" si="16"/>
        <v>1</v>
      </c>
      <c r="AB46">
        <f>IFERROR(SUMPRODUCT(Design_Matrix!B42:K42,$J$5:$J$14),0)</f>
        <v>0</v>
      </c>
      <c r="AC46">
        <f t="shared" si="17"/>
        <v>1</v>
      </c>
    </row>
    <row r="47" spans="12:29" x14ac:dyDescent="0.2">
      <c r="L47">
        <f>IFERROR(SUMPRODUCT(Design_Matrix!B43:K43,$B$5:$B$14),0)</f>
        <v>0</v>
      </c>
      <c r="M47">
        <f t="shared" si="9"/>
        <v>1</v>
      </c>
      <c r="N47">
        <f>IFERROR(SUMPRODUCT(Design_Matrix!B43:K43,$C$5:$C$14),0)</f>
        <v>0</v>
      </c>
      <c r="O47">
        <f t="shared" si="10"/>
        <v>1</v>
      </c>
      <c r="P47">
        <f>IFERROR(SUMPRODUCT(Design_Matrix!B43:K43,$D$5:$D$14),0)</f>
        <v>0</v>
      </c>
      <c r="Q47">
        <f t="shared" si="11"/>
        <v>1</v>
      </c>
      <c r="R47">
        <f>IFERROR(SUMPRODUCT(Design_Matrix!B43:K43,$E$5:$E$14),0)</f>
        <v>0</v>
      </c>
      <c r="S47">
        <f t="shared" si="12"/>
        <v>1</v>
      </c>
      <c r="T47">
        <f>IFERROR(SUMPRODUCT(Design_Matrix!B43:K43,$F$5:$F$14),0)</f>
        <v>0</v>
      </c>
      <c r="U47">
        <f t="shared" si="13"/>
        <v>1</v>
      </c>
      <c r="V47">
        <f>IFERROR(SUMPRODUCT(Design_Matrix!B43:K43,$G$5:$G$14),0)</f>
        <v>0</v>
      </c>
      <c r="W47">
        <f t="shared" si="14"/>
        <v>1</v>
      </c>
      <c r="X47">
        <f>IFERROR(SUMPRODUCT(Design_Matrix!B43:K43,$H$5:$H$14),0)</f>
        <v>0</v>
      </c>
      <c r="Y47">
        <f t="shared" si="15"/>
        <v>1</v>
      </c>
      <c r="Z47">
        <f>IFERROR(SUMPRODUCT(Design_Matrix!B43:K43,$I$5:$I$14),0)</f>
        <v>0</v>
      </c>
      <c r="AA47">
        <f t="shared" si="16"/>
        <v>1</v>
      </c>
      <c r="AB47">
        <f>IFERROR(SUMPRODUCT(Design_Matrix!B43:K43,$J$5:$J$14),0)</f>
        <v>0</v>
      </c>
      <c r="AC47">
        <f t="shared" si="17"/>
        <v>1</v>
      </c>
    </row>
    <row r="48" spans="12:29" x14ac:dyDescent="0.2">
      <c r="L48">
        <f>IFERROR(SUMPRODUCT(Design_Matrix!B44:K44,$B$5:$B$14),0)</f>
        <v>0</v>
      </c>
      <c r="M48">
        <f t="shared" si="9"/>
        <v>1</v>
      </c>
      <c r="N48">
        <f>IFERROR(SUMPRODUCT(Design_Matrix!B44:K44,$C$5:$C$14),0)</f>
        <v>0</v>
      </c>
      <c r="O48">
        <f t="shared" si="10"/>
        <v>1</v>
      </c>
      <c r="P48">
        <f>IFERROR(SUMPRODUCT(Design_Matrix!B44:K44,$D$5:$D$14),0)</f>
        <v>0</v>
      </c>
      <c r="Q48">
        <f t="shared" si="11"/>
        <v>1</v>
      </c>
      <c r="R48">
        <f>IFERROR(SUMPRODUCT(Design_Matrix!B44:K44,$E$5:$E$14),0)</f>
        <v>0</v>
      </c>
      <c r="S48">
        <f t="shared" si="12"/>
        <v>1</v>
      </c>
      <c r="T48">
        <f>IFERROR(SUMPRODUCT(Design_Matrix!B44:K44,$F$5:$F$14),0)</f>
        <v>0</v>
      </c>
      <c r="U48">
        <f t="shared" si="13"/>
        <v>1</v>
      </c>
      <c r="V48">
        <f>IFERROR(SUMPRODUCT(Design_Matrix!B44:K44,$G$5:$G$14),0)</f>
        <v>0</v>
      </c>
      <c r="W48">
        <f t="shared" si="14"/>
        <v>1</v>
      </c>
      <c r="X48">
        <f>IFERROR(SUMPRODUCT(Design_Matrix!B44:K44,$H$5:$H$14),0)</f>
        <v>0</v>
      </c>
      <c r="Y48">
        <f t="shared" si="15"/>
        <v>1</v>
      </c>
      <c r="Z48">
        <f>IFERROR(SUMPRODUCT(Design_Matrix!B44:K44,$I$5:$I$14),0)</f>
        <v>0</v>
      </c>
      <c r="AA48">
        <f t="shared" si="16"/>
        <v>1</v>
      </c>
      <c r="AB48">
        <f>IFERROR(SUMPRODUCT(Design_Matrix!B44:K44,$J$5:$J$14),0)</f>
        <v>0</v>
      </c>
      <c r="AC48">
        <f t="shared" si="17"/>
        <v>1</v>
      </c>
    </row>
    <row r="49" spans="12:29" x14ac:dyDescent="0.2">
      <c r="L49">
        <f>IFERROR(SUMPRODUCT(Design_Matrix!B45:K45,$B$5:$B$14),0)</f>
        <v>0</v>
      </c>
      <c r="M49">
        <f t="shared" si="9"/>
        <v>1</v>
      </c>
      <c r="N49">
        <f>IFERROR(SUMPRODUCT(Design_Matrix!B45:K45,$C$5:$C$14),0)</f>
        <v>0</v>
      </c>
      <c r="O49">
        <f t="shared" si="10"/>
        <v>1</v>
      </c>
      <c r="P49">
        <f>IFERROR(SUMPRODUCT(Design_Matrix!B45:K45,$D$5:$D$14),0)</f>
        <v>0</v>
      </c>
      <c r="Q49">
        <f t="shared" si="11"/>
        <v>1</v>
      </c>
      <c r="R49">
        <f>IFERROR(SUMPRODUCT(Design_Matrix!B45:K45,$E$5:$E$14),0)</f>
        <v>0</v>
      </c>
      <c r="S49">
        <f t="shared" si="12"/>
        <v>1</v>
      </c>
      <c r="T49">
        <f>IFERROR(SUMPRODUCT(Design_Matrix!B45:K45,$F$5:$F$14),0)</f>
        <v>0</v>
      </c>
      <c r="U49">
        <f t="shared" si="13"/>
        <v>1</v>
      </c>
      <c r="V49">
        <f>IFERROR(SUMPRODUCT(Design_Matrix!B45:K45,$G$5:$G$14),0)</f>
        <v>0</v>
      </c>
      <c r="W49">
        <f t="shared" si="14"/>
        <v>1</v>
      </c>
      <c r="X49">
        <f>IFERROR(SUMPRODUCT(Design_Matrix!B45:K45,$H$5:$H$14),0)</f>
        <v>0</v>
      </c>
      <c r="Y49">
        <f t="shared" si="15"/>
        <v>1</v>
      </c>
      <c r="Z49">
        <f>IFERROR(SUMPRODUCT(Design_Matrix!B45:K45,$I$5:$I$14),0)</f>
        <v>0</v>
      </c>
      <c r="AA49">
        <f t="shared" si="16"/>
        <v>1</v>
      </c>
      <c r="AB49">
        <f>IFERROR(SUMPRODUCT(Design_Matrix!B45:K45,$J$5:$J$14),0)</f>
        <v>0</v>
      </c>
      <c r="AC49">
        <f t="shared" si="17"/>
        <v>1</v>
      </c>
    </row>
    <row r="50" spans="12:29" x14ac:dyDescent="0.2">
      <c r="L50">
        <f>IFERROR(SUMPRODUCT(Design_Matrix!B46:K46,$B$5:$B$14),0)</f>
        <v>0</v>
      </c>
      <c r="M50">
        <f t="shared" si="9"/>
        <v>1</v>
      </c>
      <c r="N50">
        <f>IFERROR(SUMPRODUCT(Design_Matrix!B46:K46,$C$5:$C$14),0)</f>
        <v>0</v>
      </c>
      <c r="O50">
        <f t="shared" si="10"/>
        <v>1</v>
      </c>
      <c r="P50">
        <f>IFERROR(SUMPRODUCT(Design_Matrix!B46:K46,$D$5:$D$14),0)</f>
        <v>0</v>
      </c>
      <c r="Q50">
        <f t="shared" si="11"/>
        <v>1</v>
      </c>
      <c r="R50">
        <f>IFERROR(SUMPRODUCT(Design_Matrix!B46:K46,$E$5:$E$14),0)</f>
        <v>0</v>
      </c>
      <c r="S50">
        <f t="shared" si="12"/>
        <v>1</v>
      </c>
      <c r="T50">
        <f>IFERROR(SUMPRODUCT(Design_Matrix!B46:K46,$F$5:$F$14),0)</f>
        <v>0</v>
      </c>
      <c r="U50">
        <f t="shared" si="13"/>
        <v>1</v>
      </c>
      <c r="V50">
        <f>IFERROR(SUMPRODUCT(Design_Matrix!B46:K46,$G$5:$G$14),0)</f>
        <v>0</v>
      </c>
      <c r="W50">
        <f t="shared" si="14"/>
        <v>1</v>
      </c>
      <c r="X50">
        <f>IFERROR(SUMPRODUCT(Design_Matrix!B46:K46,$H$5:$H$14),0)</f>
        <v>0</v>
      </c>
      <c r="Y50">
        <f t="shared" si="15"/>
        <v>1</v>
      </c>
      <c r="Z50">
        <f>IFERROR(SUMPRODUCT(Design_Matrix!B46:K46,$I$5:$I$14),0)</f>
        <v>0</v>
      </c>
      <c r="AA50">
        <f t="shared" si="16"/>
        <v>1</v>
      </c>
      <c r="AB50">
        <f>IFERROR(SUMPRODUCT(Design_Matrix!B46:K46,$J$5:$J$14),0)</f>
        <v>0</v>
      </c>
      <c r="AC50">
        <f t="shared" si="17"/>
        <v>1</v>
      </c>
    </row>
    <row r="51" spans="12:29" x14ac:dyDescent="0.2">
      <c r="L51">
        <f>IFERROR(SUMPRODUCT(Design_Matrix!B47:K47,$B$5:$B$14),0)</f>
        <v>0</v>
      </c>
      <c r="M51">
        <f t="shared" si="9"/>
        <v>1</v>
      </c>
      <c r="N51">
        <f>IFERROR(SUMPRODUCT(Design_Matrix!B47:K47,$C$5:$C$14),0)</f>
        <v>0</v>
      </c>
      <c r="O51">
        <f t="shared" si="10"/>
        <v>1</v>
      </c>
      <c r="P51">
        <f>IFERROR(SUMPRODUCT(Design_Matrix!B47:K47,$D$5:$D$14),0)</f>
        <v>0</v>
      </c>
      <c r="Q51">
        <f t="shared" si="11"/>
        <v>1</v>
      </c>
      <c r="R51">
        <f>IFERROR(SUMPRODUCT(Design_Matrix!B47:K47,$E$5:$E$14),0)</f>
        <v>0</v>
      </c>
      <c r="S51">
        <f t="shared" si="12"/>
        <v>1</v>
      </c>
      <c r="T51">
        <f>IFERROR(SUMPRODUCT(Design_Matrix!B47:K47,$F$5:$F$14),0)</f>
        <v>0</v>
      </c>
      <c r="U51">
        <f t="shared" si="13"/>
        <v>1</v>
      </c>
      <c r="V51">
        <f>IFERROR(SUMPRODUCT(Design_Matrix!B47:K47,$G$5:$G$14),0)</f>
        <v>0</v>
      </c>
      <c r="W51">
        <f t="shared" si="14"/>
        <v>1</v>
      </c>
      <c r="X51">
        <f>IFERROR(SUMPRODUCT(Design_Matrix!B47:K47,$H$5:$H$14),0)</f>
        <v>0</v>
      </c>
      <c r="Y51">
        <f t="shared" si="15"/>
        <v>1</v>
      </c>
      <c r="Z51">
        <f>IFERROR(SUMPRODUCT(Design_Matrix!B47:K47,$I$5:$I$14),0)</f>
        <v>0</v>
      </c>
      <c r="AA51">
        <f t="shared" si="16"/>
        <v>1</v>
      </c>
      <c r="AB51">
        <f>IFERROR(SUMPRODUCT(Design_Matrix!B47:K47,$J$5:$J$14),0)</f>
        <v>0</v>
      </c>
      <c r="AC51">
        <f t="shared" si="17"/>
        <v>1</v>
      </c>
    </row>
    <row r="52" spans="12:29" x14ac:dyDescent="0.2">
      <c r="L52">
        <f>IFERROR(SUMPRODUCT(Design_Matrix!B48:K48,$B$5:$B$14),0)</f>
        <v>0</v>
      </c>
      <c r="M52">
        <f t="shared" si="9"/>
        <v>1</v>
      </c>
      <c r="N52">
        <f>IFERROR(SUMPRODUCT(Design_Matrix!B48:K48,$C$5:$C$14),0)</f>
        <v>0</v>
      </c>
      <c r="O52">
        <f t="shared" si="10"/>
        <v>1</v>
      </c>
      <c r="P52">
        <f>IFERROR(SUMPRODUCT(Design_Matrix!B48:K48,$D$5:$D$14),0)</f>
        <v>0</v>
      </c>
      <c r="Q52">
        <f t="shared" si="11"/>
        <v>1</v>
      </c>
      <c r="R52">
        <f>IFERROR(SUMPRODUCT(Design_Matrix!B48:K48,$E$5:$E$14),0)</f>
        <v>0</v>
      </c>
      <c r="S52">
        <f t="shared" si="12"/>
        <v>1</v>
      </c>
      <c r="T52">
        <f>IFERROR(SUMPRODUCT(Design_Matrix!B48:K48,$F$5:$F$14),0)</f>
        <v>0</v>
      </c>
      <c r="U52">
        <f t="shared" si="13"/>
        <v>1</v>
      </c>
      <c r="V52">
        <f>IFERROR(SUMPRODUCT(Design_Matrix!B48:K48,$G$5:$G$14),0)</f>
        <v>0</v>
      </c>
      <c r="W52">
        <f t="shared" si="14"/>
        <v>1</v>
      </c>
      <c r="X52">
        <f>IFERROR(SUMPRODUCT(Design_Matrix!B48:K48,$H$5:$H$14),0)</f>
        <v>0</v>
      </c>
      <c r="Y52">
        <f t="shared" si="15"/>
        <v>1</v>
      </c>
      <c r="Z52">
        <f>IFERROR(SUMPRODUCT(Design_Matrix!B48:K48,$I$5:$I$14),0)</f>
        <v>0</v>
      </c>
      <c r="AA52">
        <f t="shared" si="16"/>
        <v>1</v>
      </c>
      <c r="AB52">
        <f>IFERROR(SUMPRODUCT(Design_Matrix!B48:K48,$J$5:$J$14),0)</f>
        <v>0</v>
      </c>
      <c r="AC52">
        <f t="shared" si="17"/>
        <v>1</v>
      </c>
    </row>
    <row r="53" spans="12:29" x14ac:dyDescent="0.2">
      <c r="L53">
        <f>IFERROR(SUMPRODUCT(Design_Matrix!B49:K49,$B$5:$B$14),0)</f>
        <v>0</v>
      </c>
      <c r="M53">
        <f t="shared" si="9"/>
        <v>1</v>
      </c>
      <c r="N53">
        <f>IFERROR(SUMPRODUCT(Design_Matrix!B49:K49,$C$5:$C$14),0)</f>
        <v>0</v>
      </c>
      <c r="O53">
        <f t="shared" si="10"/>
        <v>1</v>
      </c>
      <c r="P53">
        <f>IFERROR(SUMPRODUCT(Design_Matrix!B49:K49,$D$5:$D$14),0)</f>
        <v>0</v>
      </c>
      <c r="Q53">
        <f t="shared" si="11"/>
        <v>1</v>
      </c>
      <c r="R53">
        <f>IFERROR(SUMPRODUCT(Design_Matrix!B49:K49,$E$5:$E$14),0)</f>
        <v>0</v>
      </c>
      <c r="S53">
        <f t="shared" si="12"/>
        <v>1</v>
      </c>
      <c r="T53">
        <f>IFERROR(SUMPRODUCT(Design_Matrix!B49:K49,$F$5:$F$14),0)</f>
        <v>0</v>
      </c>
      <c r="U53">
        <f t="shared" si="13"/>
        <v>1</v>
      </c>
      <c r="V53">
        <f>IFERROR(SUMPRODUCT(Design_Matrix!B49:K49,$G$5:$G$14),0)</f>
        <v>0</v>
      </c>
      <c r="W53">
        <f t="shared" si="14"/>
        <v>1</v>
      </c>
      <c r="X53">
        <f>IFERROR(SUMPRODUCT(Design_Matrix!B49:K49,$H$5:$H$14),0)</f>
        <v>0</v>
      </c>
      <c r="Y53">
        <f t="shared" si="15"/>
        <v>1</v>
      </c>
      <c r="Z53">
        <f>IFERROR(SUMPRODUCT(Design_Matrix!B49:K49,$I$5:$I$14),0)</f>
        <v>0</v>
      </c>
      <c r="AA53">
        <f t="shared" si="16"/>
        <v>1</v>
      </c>
      <c r="AB53">
        <f>IFERROR(SUMPRODUCT(Design_Matrix!B49:K49,$J$5:$J$14),0)</f>
        <v>0</v>
      </c>
      <c r="AC53">
        <f t="shared" si="17"/>
        <v>1</v>
      </c>
    </row>
    <row r="54" spans="12:29" x14ac:dyDescent="0.2">
      <c r="L54">
        <f>IFERROR(SUMPRODUCT(Design_Matrix!B50:K50,$B$5:$B$14),0)</f>
        <v>0</v>
      </c>
      <c r="M54">
        <f t="shared" si="9"/>
        <v>1</v>
      </c>
      <c r="N54">
        <f>IFERROR(SUMPRODUCT(Design_Matrix!B50:K50,$C$5:$C$14),0)</f>
        <v>0</v>
      </c>
      <c r="O54">
        <f t="shared" si="10"/>
        <v>1</v>
      </c>
      <c r="P54">
        <f>IFERROR(SUMPRODUCT(Design_Matrix!B50:K50,$D$5:$D$14),0)</f>
        <v>0</v>
      </c>
      <c r="Q54">
        <f t="shared" si="11"/>
        <v>1</v>
      </c>
      <c r="R54">
        <f>IFERROR(SUMPRODUCT(Design_Matrix!B50:K50,$E$5:$E$14),0)</f>
        <v>0</v>
      </c>
      <c r="S54">
        <f t="shared" si="12"/>
        <v>1</v>
      </c>
      <c r="T54">
        <f>IFERROR(SUMPRODUCT(Design_Matrix!B50:K50,$F$5:$F$14),0)</f>
        <v>0</v>
      </c>
      <c r="U54">
        <f t="shared" si="13"/>
        <v>1</v>
      </c>
      <c r="V54">
        <f>IFERROR(SUMPRODUCT(Design_Matrix!B50:K50,$G$5:$G$14),0)</f>
        <v>0</v>
      </c>
      <c r="W54">
        <f t="shared" si="14"/>
        <v>1</v>
      </c>
      <c r="X54">
        <f>IFERROR(SUMPRODUCT(Design_Matrix!B50:K50,$H$5:$H$14),0)</f>
        <v>0</v>
      </c>
      <c r="Y54">
        <f t="shared" si="15"/>
        <v>1</v>
      </c>
      <c r="Z54">
        <f>IFERROR(SUMPRODUCT(Design_Matrix!B50:K50,$I$5:$I$14),0)</f>
        <v>0</v>
      </c>
      <c r="AA54">
        <f t="shared" si="16"/>
        <v>1</v>
      </c>
      <c r="AB54">
        <f>IFERROR(SUMPRODUCT(Design_Matrix!B50:K50,$J$5:$J$14),0)</f>
        <v>0</v>
      </c>
      <c r="AC54">
        <f t="shared" si="17"/>
        <v>1</v>
      </c>
    </row>
    <row r="55" spans="12:29" x14ac:dyDescent="0.2">
      <c r="L55">
        <f>IFERROR(SUMPRODUCT(Design_Matrix!B51:K51,$B$5:$B$14),0)</f>
        <v>0</v>
      </c>
      <c r="M55">
        <f t="shared" si="9"/>
        <v>1</v>
      </c>
      <c r="N55">
        <f>IFERROR(SUMPRODUCT(Design_Matrix!B51:K51,$C$5:$C$14),0)</f>
        <v>0</v>
      </c>
      <c r="O55">
        <f t="shared" si="10"/>
        <v>1</v>
      </c>
      <c r="P55">
        <f>IFERROR(SUMPRODUCT(Design_Matrix!B51:K51,$D$5:$D$14),0)</f>
        <v>0</v>
      </c>
      <c r="Q55">
        <f t="shared" si="11"/>
        <v>1</v>
      </c>
      <c r="R55">
        <f>IFERROR(SUMPRODUCT(Design_Matrix!B51:K51,$E$5:$E$14),0)</f>
        <v>0</v>
      </c>
      <c r="S55">
        <f t="shared" si="12"/>
        <v>1</v>
      </c>
      <c r="T55">
        <f>IFERROR(SUMPRODUCT(Design_Matrix!B51:K51,$F$5:$F$14),0)</f>
        <v>0</v>
      </c>
      <c r="U55">
        <f t="shared" si="13"/>
        <v>1</v>
      </c>
      <c r="V55">
        <f>IFERROR(SUMPRODUCT(Design_Matrix!B51:K51,$G$5:$G$14),0)</f>
        <v>0</v>
      </c>
      <c r="W55">
        <f t="shared" si="14"/>
        <v>1</v>
      </c>
      <c r="X55">
        <f>IFERROR(SUMPRODUCT(Design_Matrix!B51:K51,$H$5:$H$14),0)</f>
        <v>0</v>
      </c>
      <c r="Y55">
        <f t="shared" si="15"/>
        <v>1</v>
      </c>
      <c r="Z55">
        <f>IFERROR(SUMPRODUCT(Design_Matrix!B51:K51,$I$5:$I$14),0)</f>
        <v>0</v>
      </c>
      <c r="AA55">
        <f t="shared" si="16"/>
        <v>1</v>
      </c>
      <c r="AB55">
        <f>IFERROR(SUMPRODUCT(Design_Matrix!B51:K51,$J$5:$J$14),0)</f>
        <v>0</v>
      </c>
      <c r="AC55">
        <f t="shared" si="17"/>
        <v>1</v>
      </c>
    </row>
    <row r="56" spans="12:29" x14ac:dyDescent="0.2">
      <c r="L56">
        <f>IFERROR(SUMPRODUCT(Design_Matrix!B52:K52,$B$5:$B$14),0)</f>
        <v>0</v>
      </c>
      <c r="M56">
        <f t="shared" si="9"/>
        <v>1</v>
      </c>
      <c r="N56">
        <f>IFERROR(SUMPRODUCT(Design_Matrix!B52:K52,$C$5:$C$14),0)</f>
        <v>0</v>
      </c>
      <c r="O56">
        <f t="shared" si="10"/>
        <v>1</v>
      </c>
      <c r="P56">
        <f>IFERROR(SUMPRODUCT(Design_Matrix!B52:K52,$D$5:$D$14),0)</f>
        <v>0</v>
      </c>
      <c r="Q56">
        <f t="shared" si="11"/>
        <v>1</v>
      </c>
      <c r="R56">
        <f>IFERROR(SUMPRODUCT(Design_Matrix!B52:K52,$E$5:$E$14),0)</f>
        <v>0</v>
      </c>
      <c r="S56">
        <f t="shared" si="12"/>
        <v>1</v>
      </c>
      <c r="T56">
        <f>IFERROR(SUMPRODUCT(Design_Matrix!B52:K52,$F$5:$F$14),0)</f>
        <v>0</v>
      </c>
      <c r="U56">
        <f t="shared" si="13"/>
        <v>1</v>
      </c>
      <c r="V56">
        <f>IFERROR(SUMPRODUCT(Design_Matrix!B52:K52,$G$5:$G$14),0)</f>
        <v>0</v>
      </c>
      <c r="W56">
        <f t="shared" si="14"/>
        <v>1</v>
      </c>
      <c r="X56">
        <f>IFERROR(SUMPRODUCT(Design_Matrix!B52:K52,$H$5:$H$14),0)</f>
        <v>0</v>
      </c>
      <c r="Y56">
        <f t="shared" si="15"/>
        <v>1</v>
      </c>
      <c r="Z56">
        <f>IFERROR(SUMPRODUCT(Design_Matrix!B52:K52,$I$5:$I$14),0)</f>
        <v>0</v>
      </c>
      <c r="AA56">
        <f t="shared" si="16"/>
        <v>1</v>
      </c>
      <c r="AB56">
        <f>IFERROR(SUMPRODUCT(Design_Matrix!B52:K52,$J$5:$J$14),0)</f>
        <v>0</v>
      </c>
      <c r="AC56">
        <f t="shared" si="17"/>
        <v>1</v>
      </c>
    </row>
    <row r="57" spans="12:29" x14ac:dyDescent="0.2">
      <c r="L57">
        <f>IFERROR(SUMPRODUCT(Design_Matrix!B53:K53,$B$5:$B$14),0)</f>
        <v>0</v>
      </c>
      <c r="M57">
        <f t="shared" si="9"/>
        <v>1</v>
      </c>
      <c r="N57">
        <f>IFERROR(SUMPRODUCT(Design_Matrix!B53:K53,$C$5:$C$14),0)</f>
        <v>0</v>
      </c>
      <c r="O57">
        <f t="shared" si="10"/>
        <v>1</v>
      </c>
      <c r="P57">
        <f>IFERROR(SUMPRODUCT(Design_Matrix!B53:K53,$D$5:$D$14),0)</f>
        <v>0</v>
      </c>
      <c r="Q57">
        <f t="shared" si="11"/>
        <v>1</v>
      </c>
      <c r="R57">
        <f>IFERROR(SUMPRODUCT(Design_Matrix!B53:K53,$E$5:$E$14),0)</f>
        <v>0</v>
      </c>
      <c r="S57">
        <f t="shared" si="12"/>
        <v>1</v>
      </c>
      <c r="T57">
        <f>IFERROR(SUMPRODUCT(Design_Matrix!B53:K53,$F$5:$F$14),0)</f>
        <v>0</v>
      </c>
      <c r="U57">
        <f t="shared" si="13"/>
        <v>1</v>
      </c>
      <c r="V57">
        <f>IFERROR(SUMPRODUCT(Design_Matrix!B53:K53,$G$5:$G$14),0)</f>
        <v>0</v>
      </c>
      <c r="W57">
        <f t="shared" si="14"/>
        <v>1</v>
      </c>
      <c r="X57">
        <f>IFERROR(SUMPRODUCT(Design_Matrix!B53:K53,$H$5:$H$14),0)</f>
        <v>0</v>
      </c>
      <c r="Y57">
        <f t="shared" si="15"/>
        <v>1</v>
      </c>
      <c r="Z57">
        <f>IFERROR(SUMPRODUCT(Design_Matrix!B53:K53,$I$5:$I$14),0)</f>
        <v>0</v>
      </c>
      <c r="AA57">
        <f t="shared" si="16"/>
        <v>1</v>
      </c>
      <c r="AB57">
        <f>IFERROR(SUMPRODUCT(Design_Matrix!B53:K53,$J$5:$J$14),0)</f>
        <v>0</v>
      </c>
      <c r="AC57">
        <f t="shared" si="17"/>
        <v>1</v>
      </c>
    </row>
    <row r="58" spans="12:29" x14ac:dyDescent="0.2">
      <c r="L58">
        <f>IFERROR(SUMPRODUCT(Design_Matrix!B54:K54,$B$5:$B$14),0)</f>
        <v>0</v>
      </c>
      <c r="M58">
        <f t="shared" si="9"/>
        <v>1</v>
      </c>
      <c r="N58">
        <f>IFERROR(SUMPRODUCT(Design_Matrix!B54:K54,$C$5:$C$14),0)</f>
        <v>0</v>
      </c>
      <c r="O58">
        <f t="shared" si="10"/>
        <v>1</v>
      </c>
      <c r="P58">
        <f>IFERROR(SUMPRODUCT(Design_Matrix!B54:K54,$D$5:$D$14),0)</f>
        <v>0</v>
      </c>
      <c r="Q58">
        <f t="shared" si="11"/>
        <v>1</v>
      </c>
      <c r="R58">
        <f>IFERROR(SUMPRODUCT(Design_Matrix!B54:K54,$E$5:$E$14),0)</f>
        <v>0</v>
      </c>
      <c r="S58">
        <f t="shared" si="12"/>
        <v>1</v>
      </c>
      <c r="T58">
        <f>IFERROR(SUMPRODUCT(Design_Matrix!B54:K54,$F$5:$F$14),0)</f>
        <v>0</v>
      </c>
      <c r="U58">
        <f t="shared" si="13"/>
        <v>1</v>
      </c>
      <c r="V58">
        <f>IFERROR(SUMPRODUCT(Design_Matrix!B54:K54,$G$5:$G$14),0)</f>
        <v>0</v>
      </c>
      <c r="W58">
        <f t="shared" si="14"/>
        <v>1</v>
      </c>
      <c r="X58">
        <f>IFERROR(SUMPRODUCT(Design_Matrix!B54:K54,$H$5:$H$14),0)</f>
        <v>0</v>
      </c>
      <c r="Y58">
        <f t="shared" si="15"/>
        <v>1</v>
      </c>
      <c r="Z58">
        <f>IFERROR(SUMPRODUCT(Design_Matrix!B54:K54,$I$5:$I$14),0)</f>
        <v>0</v>
      </c>
      <c r="AA58">
        <f t="shared" si="16"/>
        <v>1</v>
      </c>
      <c r="AB58">
        <f>IFERROR(SUMPRODUCT(Design_Matrix!B54:K54,$J$5:$J$14),0)</f>
        <v>0</v>
      </c>
      <c r="AC58">
        <f t="shared" si="17"/>
        <v>1</v>
      </c>
    </row>
    <row r="59" spans="12:29" x14ac:dyDescent="0.2">
      <c r="L59">
        <f>IFERROR(SUMPRODUCT(Design_Matrix!B55:K55,$B$5:$B$14),0)</f>
        <v>0</v>
      </c>
      <c r="M59">
        <f t="shared" si="9"/>
        <v>1</v>
      </c>
      <c r="N59">
        <f>IFERROR(SUMPRODUCT(Design_Matrix!B55:K55,$C$5:$C$14),0)</f>
        <v>0</v>
      </c>
      <c r="O59">
        <f t="shared" si="10"/>
        <v>1</v>
      </c>
      <c r="P59">
        <f>IFERROR(SUMPRODUCT(Design_Matrix!B55:K55,$D$5:$D$14),0)</f>
        <v>0</v>
      </c>
      <c r="Q59">
        <f t="shared" si="11"/>
        <v>1</v>
      </c>
      <c r="R59">
        <f>IFERROR(SUMPRODUCT(Design_Matrix!B55:K55,$E$5:$E$14),0)</f>
        <v>0</v>
      </c>
      <c r="S59">
        <f t="shared" si="12"/>
        <v>1</v>
      </c>
      <c r="T59">
        <f>IFERROR(SUMPRODUCT(Design_Matrix!B55:K55,$F$5:$F$14),0)</f>
        <v>0</v>
      </c>
      <c r="U59">
        <f t="shared" si="13"/>
        <v>1</v>
      </c>
      <c r="V59">
        <f>IFERROR(SUMPRODUCT(Design_Matrix!B55:K55,$G$5:$G$14),0)</f>
        <v>0</v>
      </c>
      <c r="W59">
        <f t="shared" si="14"/>
        <v>1</v>
      </c>
      <c r="X59">
        <f>IFERROR(SUMPRODUCT(Design_Matrix!B55:K55,$H$5:$H$14),0)</f>
        <v>0</v>
      </c>
      <c r="Y59">
        <f t="shared" si="15"/>
        <v>1</v>
      </c>
      <c r="Z59">
        <f>IFERROR(SUMPRODUCT(Design_Matrix!B55:K55,$I$5:$I$14),0)</f>
        <v>0</v>
      </c>
      <c r="AA59">
        <f t="shared" si="16"/>
        <v>1</v>
      </c>
      <c r="AB59">
        <f>IFERROR(SUMPRODUCT(Design_Matrix!B55:K55,$J$5:$J$14),0)</f>
        <v>0</v>
      </c>
      <c r="AC59">
        <f t="shared" si="17"/>
        <v>1</v>
      </c>
    </row>
    <row r="60" spans="12:29" x14ac:dyDescent="0.2">
      <c r="L60">
        <f>IFERROR(SUMPRODUCT(Design_Matrix!B56:K56,$B$5:$B$14),0)</f>
        <v>0</v>
      </c>
      <c r="M60">
        <f t="shared" si="9"/>
        <v>1</v>
      </c>
      <c r="N60">
        <f>IFERROR(SUMPRODUCT(Design_Matrix!B56:K56,$C$5:$C$14),0)</f>
        <v>0</v>
      </c>
      <c r="O60">
        <f t="shared" si="10"/>
        <v>1</v>
      </c>
      <c r="P60">
        <f>IFERROR(SUMPRODUCT(Design_Matrix!B56:K56,$D$5:$D$14),0)</f>
        <v>0</v>
      </c>
      <c r="Q60">
        <f t="shared" si="11"/>
        <v>1</v>
      </c>
      <c r="R60">
        <f>IFERROR(SUMPRODUCT(Design_Matrix!B56:K56,$E$5:$E$14),0)</f>
        <v>0</v>
      </c>
      <c r="S60">
        <f t="shared" si="12"/>
        <v>1</v>
      </c>
      <c r="T60">
        <f>IFERROR(SUMPRODUCT(Design_Matrix!B56:K56,$F$5:$F$14),0)</f>
        <v>0</v>
      </c>
      <c r="U60">
        <f t="shared" si="13"/>
        <v>1</v>
      </c>
      <c r="V60">
        <f>IFERROR(SUMPRODUCT(Design_Matrix!B56:K56,$G$5:$G$14),0)</f>
        <v>0</v>
      </c>
      <c r="W60">
        <f t="shared" si="14"/>
        <v>1</v>
      </c>
      <c r="X60">
        <f>IFERROR(SUMPRODUCT(Design_Matrix!B56:K56,$H$5:$H$14),0)</f>
        <v>0</v>
      </c>
      <c r="Y60">
        <f t="shared" si="15"/>
        <v>1</v>
      </c>
      <c r="Z60">
        <f>IFERROR(SUMPRODUCT(Design_Matrix!B56:K56,$I$5:$I$14),0)</f>
        <v>0</v>
      </c>
      <c r="AA60">
        <f t="shared" si="16"/>
        <v>1</v>
      </c>
      <c r="AB60">
        <f>IFERROR(SUMPRODUCT(Design_Matrix!B56:K56,$J$5:$J$14),0)</f>
        <v>0</v>
      </c>
      <c r="AC60">
        <f t="shared" si="17"/>
        <v>1</v>
      </c>
    </row>
    <row r="61" spans="12:29" x14ac:dyDescent="0.2">
      <c r="L61">
        <f>IFERROR(SUMPRODUCT(Design_Matrix!B57:K57,$B$5:$B$14),0)</f>
        <v>0</v>
      </c>
      <c r="M61">
        <f t="shared" si="9"/>
        <v>1</v>
      </c>
      <c r="N61">
        <f>IFERROR(SUMPRODUCT(Design_Matrix!B57:K57,$C$5:$C$14),0)</f>
        <v>0</v>
      </c>
      <c r="O61">
        <f t="shared" si="10"/>
        <v>1</v>
      </c>
      <c r="P61">
        <f>IFERROR(SUMPRODUCT(Design_Matrix!B57:K57,$D$5:$D$14),0)</f>
        <v>0</v>
      </c>
      <c r="Q61">
        <f t="shared" si="11"/>
        <v>1</v>
      </c>
      <c r="R61">
        <f>IFERROR(SUMPRODUCT(Design_Matrix!B57:K57,$E$5:$E$14),0)</f>
        <v>0</v>
      </c>
      <c r="S61">
        <f t="shared" si="12"/>
        <v>1</v>
      </c>
      <c r="T61">
        <f>IFERROR(SUMPRODUCT(Design_Matrix!B57:K57,$F$5:$F$14),0)</f>
        <v>0</v>
      </c>
      <c r="U61">
        <f t="shared" si="13"/>
        <v>1</v>
      </c>
      <c r="V61">
        <f>IFERROR(SUMPRODUCT(Design_Matrix!B57:K57,$G$5:$G$14),0)</f>
        <v>0</v>
      </c>
      <c r="W61">
        <f t="shared" si="14"/>
        <v>1</v>
      </c>
      <c r="X61">
        <f>IFERROR(SUMPRODUCT(Design_Matrix!B57:K57,$H$5:$H$14),0)</f>
        <v>0</v>
      </c>
      <c r="Y61">
        <f t="shared" si="15"/>
        <v>1</v>
      </c>
      <c r="Z61">
        <f>IFERROR(SUMPRODUCT(Design_Matrix!B57:K57,$I$5:$I$14),0)</f>
        <v>0</v>
      </c>
      <c r="AA61">
        <f t="shared" si="16"/>
        <v>1</v>
      </c>
      <c r="AB61">
        <f>IFERROR(SUMPRODUCT(Design_Matrix!B57:K57,$J$5:$J$14),0)</f>
        <v>0</v>
      </c>
      <c r="AC61">
        <f t="shared" si="17"/>
        <v>1</v>
      </c>
    </row>
    <row r="62" spans="12:29" x14ac:dyDescent="0.2">
      <c r="L62">
        <f>IFERROR(SUMPRODUCT(Design_Matrix!B58:K58,$B$5:$B$14),0)</f>
        <v>0</v>
      </c>
      <c r="M62">
        <f t="shared" si="9"/>
        <v>1</v>
      </c>
      <c r="N62">
        <f>IFERROR(SUMPRODUCT(Design_Matrix!B58:K58,$C$5:$C$14),0)</f>
        <v>0</v>
      </c>
      <c r="O62">
        <f t="shared" si="10"/>
        <v>1</v>
      </c>
      <c r="P62">
        <f>IFERROR(SUMPRODUCT(Design_Matrix!B58:K58,$D$5:$D$14),0)</f>
        <v>0</v>
      </c>
      <c r="Q62">
        <f t="shared" si="11"/>
        <v>1</v>
      </c>
      <c r="R62">
        <f>IFERROR(SUMPRODUCT(Design_Matrix!B58:K58,$E$5:$E$14),0)</f>
        <v>0</v>
      </c>
      <c r="S62">
        <f t="shared" si="12"/>
        <v>1</v>
      </c>
      <c r="T62">
        <f>IFERROR(SUMPRODUCT(Design_Matrix!B58:K58,$F$5:$F$14),0)</f>
        <v>0</v>
      </c>
      <c r="U62">
        <f t="shared" si="13"/>
        <v>1</v>
      </c>
      <c r="V62">
        <f>IFERROR(SUMPRODUCT(Design_Matrix!B58:K58,$G$5:$G$14),0)</f>
        <v>0</v>
      </c>
      <c r="W62">
        <f t="shared" si="14"/>
        <v>1</v>
      </c>
      <c r="X62">
        <f>IFERROR(SUMPRODUCT(Design_Matrix!B58:K58,$H$5:$H$14),0)</f>
        <v>0</v>
      </c>
      <c r="Y62">
        <f t="shared" si="15"/>
        <v>1</v>
      </c>
      <c r="Z62">
        <f>IFERROR(SUMPRODUCT(Design_Matrix!B58:K58,$I$5:$I$14),0)</f>
        <v>0</v>
      </c>
      <c r="AA62">
        <f t="shared" si="16"/>
        <v>1</v>
      </c>
      <c r="AB62">
        <f>IFERROR(SUMPRODUCT(Design_Matrix!B58:K58,$J$5:$J$14),0)</f>
        <v>0</v>
      </c>
      <c r="AC62">
        <f t="shared" si="17"/>
        <v>1</v>
      </c>
    </row>
    <row r="63" spans="12:29" x14ac:dyDescent="0.2">
      <c r="L63">
        <f>IFERROR(SUMPRODUCT(Design_Matrix!B59:K59,$B$5:$B$14),0)</f>
        <v>0</v>
      </c>
      <c r="M63">
        <f t="shared" si="9"/>
        <v>1</v>
      </c>
      <c r="N63">
        <f>IFERROR(SUMPRODUCT(Design_Matrix!B59:K59,$C$5:$C$14),0)</f>
        <v>0</v>
      </c>
      <c r="O63">
        <f t="shared" si="10"/>
        <v>1</v>
      </c>
      <c r="P63">
        <f>IFERROR(SUMPRODUCT(Design_Matrix!B59:K59,$D$5:$D$14),0)</f>
        <v>0</v>
      </c>
      <c r="Q63">
        <f t="shared" si="11"/>
        <v>1</v>
      </c>
      <c r="R63">
        <f>IFERROR(SUMPRODUCT(Design_Matrix!B59:K59,$E$5:$E$14),0)</f>
        <v>0</v>
      </c>
      <c r="S63">
        <f t="shared" si="12"/>
        <v>1</v>
      </c>
      <c r="T63">
        <f>IFERROR(SUMPRODUCT(Design_Matrix!B59:K59,$F$5:$F$14),0)</f>
        <v>0</v>
      </c>
      <c r="U63">
        <f t="shared" si="13"/>
        <v>1</v>
      </c>
      <c r="V63">
        <f>IFERROR(SUMPRODUCT(Design_Matrix!B59:K59,$G$5:$G$14),0)</f>
        <v>0</v>
      </c>
      <c r="W63">
        <f t="shared" si="14"/>
        <v>1</v>
      </c>
      <c r="X63">
        <f>IFERROR(SUMPRODUCT(Design_Matrix!B59:K59,$H$5:$H$14),0)</f>
        <v>0</v>
      </c>
      <c r="Y63">
        <f t="shared" si="15"/>
        <v>1</v>
      </c>
      <c r="Z63">
        <f>IFERROR(SUMPRODUCT(Design_Matrix!B59:K59,$I$5:$I$14),0)</f>
        <v>0</v>
      </c>
      <c r="AA63">
        <f t="shared" si="16"/>
        <v>1</v>
      </c>
      <c r="AB63">
        <f>IFERROR(SUMPRODUCT(Design_Matrix!B59:K59,$J$5:$J$14),0)</f>
        <v>0</v>
      </c>
      <c r="AC63">
        <f t="shared" si="17"/>
        <v>1</v>
      </c>
    </row>
    <row r="64" spans="12:29" x14ac:dyDescent="0.2">
      <c r="L64">
        <f>IFERROR(SUMPRODUCT(Design_Matrix!B60:K60,$B$5:$B$14),0)</f>
        <v>0</v>
      </c>
      <c r="M64">
        <f t="shared" si="9"/>
        <v>1</v>
      </c>
      <c r="N64">
        <f>IFERROR(SUMPRODUCT(Design_Matrix!B60:K60,$C$5:$C$14),0)</f>
        <v>0</v>
      </c>
      <c r="O64">
        <f t="shared" si="10"/>
        <v>1</v>
      </c>
      <c r="P64">
        <f>IFERROR(SUMPRODUCT(Design_Matrix!B60:K60,$D$5:$D$14),0)</f>
        <v>0</v>
      </c>
      <c r="Q64">
        <f t="shared" si="11"/>
        <v>1</v>
      </c>
      <c r="R64">
        <f>IFERROR(SUMPRODUCT(Design_Matrix!B60:K60,$E$5:$E$14),0)</f>
        <v>0</v>
      </c>
      <c r="S64">
        <f t="shared" si="12"/>
        <v>1</v>
      </c>
      <c r="T64">
        <f>IFERROR(SUMPRODUCT(Design_Matrix!B60:K60,$F$5:$F$14),0)</f>
        <v>0</v>
      </c>
      <c r="U64">
        <f t="shared" si="13"/>
        <v>1</v>
      </c>
      <c r="V64">
        <f>IFERROR(SUMPRODUCT(Design_Matrix!B60:K60,$G$5:$G$14),0)</f>
        <v>0</v>
      </c>
      <c r="W64">
        <f t="shared" si="14"/>
        <v>1</v>
      </c>
      <c r="X64">
        <f>IFERROR(SUMPRODUCT(Design_Matrix!B60:K60,$H$5:$H$14),0)</f>
        <v>0</v>
      </c>
      <c r="Y64">
        <f t="shared" si="15"/>
        <v>1</v>
      </c>
      <c r="Z64">
        <f>IFERROR(SUMPRODUCT(Design_Matrix!B60:K60,$I$5:$I$14),0)</f>
        <v>0</v>
      </c>
      <c r="AA64">
        <f t="shared" si="16"/>
        <v>1</v>
      </c>
      <c r="AB64">
        <f>IFERROR(SUMPRODUCT(Design_Matrix!B60:K60,$J$5:$J$14),0)</f>
        <v>0</v>
      </c>
      <c r="AC64">
        <f t="shared" si="17"/>
        <v>1</v>
      </c>
    </row>
    <row r="65" spans="1:29" x14ac:dyDescent="0.2">
      <c r="L65">
        <f>IFERROR(SUMPRODUCT(Design_Matrix!B61:K61,$B$5:$B$14),0)</f>
        <v>0</v>
      </c>
      <c r="M65">
        <f t="shared" si="9"/>
        <v>1</v>
      </c>
      <c r="N65">
        <f>IFERROR(SUMPRODUCT(Design_Matrix!B61:K61,$C$5:$C$14),0)</f>
        <v>0</v>
      </c>
      <c r="O65">
        <f t="shared" si="10"/>
        <v>1</v>
      </c>
      <c r="P65">
        <f>IFERROR(SUMPRODUCT(Design_Matrix!B61:K61,$D$5:$D$14),0)</f>
        <v>0</v>
      </c>
      <c r="Q65">
        <f t="shared" si="11"/>
        <v>1</v>
      </c>
      <c r="R65">
        <f>IFERROR(SUMPRODUCT(Design_Matrix!B61:K61,$E$5:$E$14),0)</f>
        <v>0</v>
      </c>
      <c r="S65">
        <f t="shared" si="12"/>
        <v>1</v>
      </c>
      <c r="T65">
        <f>IFERROR(SUMPRODUCT(Design_Matrix!B61:K61,$F$5:$F$14),0)</f>
        <v>0</v>
      </c>
      <c r="U65">
        <f t="shared" si="13"/>
        <v>1</v>
      </c>
      <c r="V65">
        <f>IFERROR(SUMPRODUCT(Design_Matrix!B61:K61,$G$5:$G$14),0)</f>
        <v>0</v>
      </c>
      <c r="W65">
        <f t="shared" si="14"/>
        <v>1</v>
      </c>
      <c r="X65">
        <f>IFERROR(SUMPRODUCT(Design_Matrix!B61:K61,$H$5:$H$14),0)</f>
        <v>0</v>
      </c>
      <c r="Y65">
        <f t="shared" si="15"/>
        <v>1</v>
      </c>
      <c r="Z65">
        <f>IFERROR(SUMPRODUCT(Design_Matrix!B61:K61,$I$5:$I$14),0)</f>
        <v>0</v>
      </c>
      <c r="AA65">
        <f t="shared" si="16"/>
        <v>1</v>
      </c>
      <c r="AB65">
        <f>IFERROR(SUMPRODUCT(Design_Matrix!B61:K61,$J$5:$J$14),0)</f>
        <v>0</v>
      </c>
      <c r="AC65">
        <f t="shared" si="17"/>
        <v>1</v>
      </c>
    </row>
    <row r="66" spans="1:29" x14ac:dyDescent="0.2">
      <c r="L66">
        <f>IFERROR(SUMPRODUCT(Design_Matrix!B62:K62,$B$5:$B$14),0)</f>
        <v>0</v>
      </c>
      <c r="M66">
        <f t="shared" si="9"/>
        <v>1</v>
      </c>
      <c r="N66">
        <f>IFERROR(SUMPRODUCT(Design_Matrix!B62:K62,$C$5:$C$14),0)</f>
        <v>0</v>
      </c>
      <c r="O66">
        <f t="shared" si="10"/>
        <v>1</v>
      </c>
      <c r="P66">
        <f>IFERROR(SUMPRODUCT(Design_Matrix!B62:K62,$D$5:$D$14),0)</f>
        <v>0</v>
      </c>
      <c r="Q66">
        <f t="shared" si="11"/>
        <v>1</v>
      </c>
      <c r="R66">
        <f>IFERROR(SUMPRODUCT(Design_Matrix!B62:K62,$E$5:$E$14),0)</f>
        <v>0</v>
      </c>
      <c r="S66">
        <f t="shared" si="12"/>
        <v>1</v>
      </c>
      <c r="T66">
        <f>IFERROR(SUMPRODUCT(Design_Matrix!B62:K62,$F$5:$F$14),0)</f>
        <v>0</v>
      </c>
      <c r="U66">
        <f t="shared" si="13"/>
        <v>1</v>
      </c>
      <c r="V66">
        <f>IFERROR(SUMPRODUCT(Design_Matrix!B62:K62,$G$5:$G$14),0)</f>
        <v>0</v>
      </c>
      <c r="W66">
        <f t="shared" si="14"/>
        <v>1</v>
      </c>
      <c r="X66">
        <f>IFERROR(SUMPRODUCT(Design_Matrix!B62:K62,$H$5:$H$14),0)</f>
        <v>0</v>
      </c>
      <c r="Y66">
        <f t="shared" si="15"/>
        <v>1</v>
      </c>
      <c r="Z66">
        <f>IFERROR(SUMPRODUCT(Design_Matrix!B62:K62,$I$5:$I$14),0)</f>
        <v>0</v>
      </c>
      <c r="AA66">
        <f t="shared" si="16"/>
        <v>1</v>
      </c>
      <c r="AB66">
        <f>IFERROR(SUMPRODUCT(Design_Matrix!B62:K62,$J$5:$J$14),0)</f>
        <v>0</v>
      </c>
      <c r="AC66">
        <f t="shared" si="17"/>
        <v>1</v>
      </c>
    </row>
    <row r="67" spans="1:29" x14ac:dyDescent="0.2">
      <c r="L67">
        <f>IFERROR(SUMPRODUCT(Design_Matrix!B63:K63,$B$5:$B$14),0)</f>
        <v>0</v>
      </c>
      <c r="M67">
        <f t="shared" si="9"/>
        <v>1</v>
      </c>
      <c r="N67">
        <f>IFERROR(SUMPRODUCT(Design_Matrix!B63:K63,$C$5:$C$14),0)</f>
        <v>0</v>
      </c>
      <c r="O67">
        <f t="shared" si="10"/>
        <v>1</v>
      </c>
      <c r="P67">
        <f>IFERROR(SUMPRODUCT(Design_Matrix!B63:K63,$D$5:$D$14),0)</f>
        <v>0</v>
      </c>
      <c r="Q67">
        <f t="shared" si="11"/>
        <v>1</v>
      </c>
      <c r="R67">
        <f>IFERROR(SUMPRODUCT(Design_Matrix!B63:K63,$E$5:$E$14),0)</f>
        <v>0</v>
      </c>
      <c r="S67">
        <f t="shared" si="12"/>
        <v>1</v>
      </c>
      <c r="T67">
        <f>IFERROR(SUMPRODUCT(Design_Matrix!B63:K63,$F$5:$F$14),0)</f>
        <v>0</v>
      </c>
      <c r="U67">
        <f t="shared" si="13"/>
        <v>1</v>
      </c>
      <c r="V67">
        <f>IFERROR(SUMPRODUCT(Design_Matrix!B63:K63,$G$5:$G$14),0)</f>
        <v>0</v>
      </c>
      <c r="W67">
        <f t="shared" si="14"/>
        <v>1</v>
      </c>
      <c r="X67">
        <f>IFERROR(SUMPRODUCT(Design_Matrix!B63:K63,$H$5:$H$14),0)</f>
        <v>0</v>
      </c>
      <c r="Y67">
        <f t="shared" si="15"/>
        <v>1</v>
      </c>
      <c r="Z67">
        <f>IFERROR(SUMPRODUCT(Design_Matrix!B63:K63,$I$5:$I$14),0)</f>
        <v>0</v>
      </c>
      <c r="AA67">
        <f t="shared" si="16"/>
        <v>1</v>
      </c>
      <c r="AB67">
        <f>IFERROR(SUMPRODUCT(Design_Matrix!B63:K63,$J$5:$J$14),0)</f>
        <v>0</v>
      </c>
      <c r="AC67">
        <f t="shared" si="17"/>
        <v>1</v>
      </c>
    </row>
    <row r="68" spans="1:29" x14ac:dyDescent="0.2">
      <c r="L68">
        <f>IFERROR(SUMPRODUCT(Design_Matrix!B64:K64,$B$5:$B$14),0)</f>
        <v>0</v>
      </c>
      <c r="M68">
        <f t="shared" si="9"/>
        <v>1</v>
      </c>
      <c r="N68">
        <f>IFERROR(SUMPRODUCT(Design_Matrix!B64:K64,$C$5:$C$14),0)</f>
        <v>0</v>
      </c>
      <c r="O68">
        <f t="shared" si="10"/>
        <v>1</v>
      </c>
      <c r="P68">
        <f>IFERROR(SUMPRODUCT(Design_Matrix!B64:K64,$D$5:$D$14),0)</f>
        <v>0</v>
      </c>
      <c r="Q68">
        <f t="shared" si="11"/>
        <v>1</v>
      </c>
      <c r="R68">
        <f>IFERROR(SUMPRODUCT(Design_Matrix!B64:K64,$E$5:$E$14),0)</f>
        <v>0</v>
      </c>
      <c r="S68">
        <f t="shared" si="12"/>
        <v>1</v>
      </c>
      <c r="T68">
        <f>IFERROR(SUMPRODUCT(Design_Matrix!B64:K64,$F$5:$F$14),0)</f>
        <v>0</v>
      </c>
      <c r="U68">
        <f t="shared" si="13"/>
        <v>1</v>
      </c>
      <c r="V68">
        <f>IFERROR(SUMPRODUCT(Design_Matrix!B64:K64,$G$5:$G$14),0)</f>
        <v>0</v>
      </c>
      <c r="W68">
        <f t="shared" si="14"/>
        <v>1</v>
      </c>
      <c r="X68">
        <f>IFERROR(SUMPRODUCT(Design_Matrix!B64:K64,$H$5:$H$14),0)</f>
        <v>0</v>
      </c>
      <c r="Y68">
        <f t="shared" si="15"/>
        <v>1</v>
      </c>
      <c r="Z68">
        <f>IFERROR(SUMPRODUCT(Design_Matrix!B64:K64,$I$5:$I$14),0)</f>
        <v>0</v>
      </c>
      <c r="AA68">
        <f t="shared" si="16"/>
        <v>1</v>
      </c>
      <c r="AB68">
        <f>IFERROR(SUMPRODUCT(Design_Matrix!B64:K64,$J$5:$J$14),0)</f>
        <v>0</v>
      </c>
      <c r="AC68">
        <f t="shared" si="17"/>
        <v>1</v>
      </c>
    </row>
    <row r="69" spans="1:29" x14ac:dyDescent="0.2">
      <c r="L69">
        <f>IFERROR(SUMPRODUCT(Design_Matrix!B65:K65,$B$5:$B$14),0)</f>
        <v>0</v>
      </c>
      <c r="M69">
        <f t="shared" si="9"/>
        <v>1</v>
      </c>
      <c r="N69">
        <f>IFERROR(SUMPRODUCT(Design_Matrix!B65:K65,$C$5:$C$14),0)</f>
        <v>0</v>
      </c>
      <c r="O69">
        <f t="shared" si="10"/>
        <v>1</v>
      </c>
      <c r="P69">
        <f>IFERROR(SUMPRODUCT(Design_Matrix!B65:K65,$D$5:$D$14),0)</f>
        <v>0</v>
      </c>
      <c r="Q69">
        <f t="shared" si="11"/>
        <v>1</v>
      </c>
      <c r="R69">
        <f>IFERROR(SUMPRODUCT(Design_Matrix!B65:K65,$E$5:$E$14),0)</f>
        <v>0</v>
      </c>
      <c r="S69">
        <f t="shared" si="12"/>
        <v>1</v>
      </c>
      <c r="T69">
        <f>IFERROR(SUMPRODUCT(Design_Matrix!B65:K65,$F$5:$F$14),0)</f>
        <v>0</v>
      </c>
      <c r="U69">
        <f t="shared" si="13"/>
        <v>1</v>
      </c>
      <c r="V69">
        <f>IFERROR(SUMPRODUCT(Design_Matrix!B65:K65,$G$5:$G$14),0)</f>
        <v>0</v>
      </c>
      <c r="W69">
        <f t="shared" si="14"/>
        <v>1</v>
      </c>
      <c r="X69">
        <f>IFERROR(SUMPRODUCT(Design_Matrix!B65:K65,$H$5:$H$14),0)</f>
        <v>0</v>
      </c>
      <c r="Y69">
        <f t="shared" si="15"/>
        <v>1</v>
      </c>
      <c r="Z69">
        <f>IFERROR(SUMPRODUCT(Design_Matrix!B65:K65,$I$5:$I$14),0)</f>
        <v>0</v>
      </c>
      <c r="AA69">
        <f t="shared" si="16"/>
        <v>1</v>
      </c>
      <c r="AB69">
        <f>IFERROR(SUMPRODUCT(Design_Matrix!B65:K65,$J$5:$J$14),0)</f>
        <v>0</v>
      </c>
      <c r="AC69">
        <f t="shared" si="17"/>
        <v>1</v>
      </c>
    </row>
    <row r="73" spans="1:29" x14ac:dyDescent="0.2">
      <c r="A73" t="s">
        <v>76</v>
      </c>
    </row>
    <row r="74" spans="1:29" x14ac:dyDescent="0.2">
      <c r="A74" t="s">
        <v>47</v>
      </c>
      <c r="B74" t="s">
        <v>77</v>
      </c>
      <c r="C74" t="s">
        <v>78</v>
      </c>
      <c r="D74" t="s">
        <v>79</v>
      </c>
      <c r="E74" t="s">
        <v>80</v>
      </c>
      <c r="F74" t="s">
        <v>81</v>
      </c>
      <c r="G74" t="s">
        <v>82</v>
      </c>
      <c r="H74" t="s">
        <v>83</v>
      </c>
      <c r="I74" t="s">
        <v>84</v>
      </c>
    </row>
    <row r="75" spans="1:29" x14ac:dyDescent="0.2">
      <c r="A75" t="s">
        <v>35</v>
      </c>
      <c r="B75">
        <f>IFERROR(SUMPRODUCT(Design_Matrix!B2:B65,Design_Matrix!L2:L65)-SUMPRODUCT(Design_Matrix!B2:B65,M6:M69),0)</f>
        <v>3087</v>
      </c>
      <c r="C75">
        <f>IFERROR(SUMPRODUCT(Design_Matrix!B2:B65,Design_Matrix!L2:L65)-SUMPRODUCT(Design_Matrix!B2:B65,O6:O69),0)</f>
        <v>3087</v>
      </c>
      <c r="D75">
        <f>IFERROR(SUMPRODUCT(Design_Matrix!B2:B65,Design_Matrix!L2:L65)-SUMPRODUCT(Design_Matrix!B2:B65,Q6:Q69),0)</f>
        <v>3087</v>
      </c>
      <c r="E75">
        <f>IFERROR(SUMPRODUCT(Design_Matrix!B2:B65,Design_Matrix!L2:L65)-SUMPRODUCT(Design_Matrix!B2:B65,S6:S69),0)</f>
        <v>3087</v>
      </c>
      <c r="F75">
        <f>IFERROR(SUMPRODUCT(Design_Matrix!B2:B65,Design_Matrix!L2:L65)-SUMPRODUCT(Design_Matrix!B2:B65,U6:U69),0)</f>
        <v>3087</v>
      </c>
      <c r="G75">
        <f>IFERROR(SUMPRODUCT(Design_Matrix!B2:B65,Design_Matrix!L2:L65)-SUMPRODUCT(Design_Matrix!B2:B65,W6:W69),0)</f>
        <v>3087</v>
      </c>
      <c r="H75">
        <f>IFERROR(SUMPRODUCT(Design_Matrix!B2:B65,Design_Matrix!L2:L65)-SUMPRODUCT(Design_Matrix!B2:B65,Y6:Y69),0)</f>
        <v>3087</v>
      </c>
      <c r="I75">
        <f>IFERROR(SUMPRODUCT(Design_Matrix!B2:B65,Design_Matrix!L2:L65)-SUMPRODUCT(Design_Matrix!B2:B65,AA6:AA69),0)</f>
        <v>3087</v>
      </c>
    </row>
    <row r="76" spans="1:29" x14ac:dyDescent="0.2">
      <c r="A76" t="s">
        <v>36</v>
      </c>
      <c r="B76">
        <f>IFERROR(SUMPRODUCT(Design_Matrix!C2:C65,Design_Matrix!L2:L65)-SUMPRODUCT(Design_Matrix!C2:C65,M6:M69),0)</f>
        <v>875</v>
      </c>
      <c r="C76">
        <f>IFERROR(SUMPRODUCT(Design_Matrix!C2:C65,Design_Matrix!L2:L65)-SUMPRODUCT(Design_Matrix!C2:C65,O6:O69),0)</f>
        <v>875</v>
      </c>
      <c r="D76">
        <f>IFERROR(SUMPRODUCT(Design_Matrix!C2:C65,Design_Matrix!L2:L65)-SUMPRODUCT(Design_Matrix!C2:C65,Q6:Q69),0)</f>
        <v>875</v>
      </c>
      <c r="E76">
        <f>IFERROR(SUMPRODUCT(Design_Matrix!C2:C65,Design_Matrix!L2:L65)-SUMPRODUCT(Design_Matrix!C2:C65,S6:S69),0)</f>
        <v>875</v>
      </c>
      <c r="F76">
        <f>IFERROR(SUMPRODUCT(Design_Matrix!C2:C65,Design_Matrix!L2:L65)-SUMPRODUCT(Design_Matrix!C2:C65,U6:U69),0)</f>
        <v>875</v>
      </c>
      <c r="G76">
        <f>IFERROR(SUMPRODUCT(Design_Matrix!C2:C65,Design_Matrix!L2:L65)-SUMPRODUCT(Design_Matrix!C2:C65,W6:W69),0)</f>
        <v>875</v>
      </c>
      <c r="H76">
        <f>IFERROR(SUMPRODUCT(Design_Matrix!C2:C65,Design_Matrix!L2:L65)-SUMPRODUCT(Design_Matrix!C2:C65,Y6:Y69),0)</f>
        <v>875</v>
      </c>
      <c r="I76">
        <f>IFERROR(SUMPRODUCT(Design_Matrix!C2:C65,Design_Matrix!L2:L65)-SUMPRODUCT(Design_Matrix!C2:C65,AA6:AA69),0)</f>
        <v>875</v>
      </c>
    </row>
    <row r="77" spans="1:29" x14ac:dyDescent="0.2">
      <c r="A77" t="s">
        <v>37</v>
      </c>
      <c r="B77">
        <f>IFERROR(SUMPRODUCT(Design_Matrix!D2:D65,Design_Matrix!L2:L65)-SUMPRODUCT(Design_Matrix!D2:D65,M6:M69),0)</f>
        <v>537</v>
      </c>
      <c r="C77">
        <f>IFERROR(SUMPRODUCT(Design_Matrix!D2:D65,Design_Matrix!L2:L65)-SUMPRODUCT(Design_Matrix!D2:D65,O6:O69),0)</f>
        <v>537</v>
      </c>
      <c r="D77">
        <f>IFERROR(SUMPRODUCT(Design_Matrix!D2:D65,Design_Matrix!L2:L65)-SUMPRODUCT(Design_Matrix!D2:D65,Q6:Q69),0)</f>
        <v>537</v>
      </c>
      <c r="E77">
        <f>IFERROR(SUMPRODUCT(Design_Matrix!D2:D65,Design_Matrix!L2:L65)-SUMPRODUCT(Design_Matrix!D2:D65,S6:S69),0)</f>
        <v>537</v>
      </c>
      <c r="F77">
        <f>IFERROR(SUMPRODUCT(Design_Matrix!D2:D65,Design_Matrix!L2:L65)-SUMPRODUCT(Design_Matrix!D2:D65,U6:U69),0)</f>
        <v>537</v>
      </c>
      <c r="G77">
        <f>IFERROR(SUMPRODUCT(Design_Matrix!D2:D65,Design_Matrix!L2:L65)-SUMPRODUCT(Design_Matrix!D2:D65,W6:W69),0)</f>
        <v>537</v>
      </c>
      <c r="H77">
        <f>IFERROR(SUMPRODUCT(Design_Matrix!D2:D65,Design_Matrix!L2:L65)-SUMPRODUCT(Design_Matrix!D2:D65,Y6:Y69),0)</f>
        <v>537</v>
      </c>
      <c r="I77">
        <f>IFERROR(SUMPRODUCT(Design_Matrix!D2:D65,Design_Matrix!L2:L65)-SUMPRODUCT(Design_Matrix!D2:D65,AA6:AA69),0)</f>
        <v>537</v>
      </c>
    </row>
    <row r="78" spans="1:29" x14ac:dyDescent="0.2">
      <c r="A78" t="s">
        <v>38</v>
      </c>
      <c r="B78">
        <f>IFERROR(SUMPRODUCT(Design_Matrix!E2:E65,Design_Matrix!L2:L65)-SUMPRODUCT(Design_Matrix!E2:E65,M6:M69),0)</f>
        <v>310</v>
      </c>
      <c r="C78">
        <f>IFERROR(SUMPRODUCT(Design_Matrix!E2:E65,Design_Matrix!L2:L65)-SUMPRODUCT(Design_Matrix!E2:E65,O6:O69),0)</f>
        <v>310</v>
      </c>
      <c r="D78">
        <f>IFERROR(SUMPRODUCT(Design_Matrix!E2:E65,Design_Matrix!L2:L65)-SUMPRODUCT(Design_Matrix!E2:E65,Q6:Q69),0)</f>
        <v>310</v>
      </c>
      <c r="E78">
        <f>IFERROR(SUMPRODUCT(Design_Matrix!E2:E65,Design_Matrix!L2:L65)-SUMPRODUCT(Design_Matrix!E2:E65,S6:S69),0)</f>
        <v>310</v>
      </c>
      <c r="F78">
        <f>IFERROR(SUMPRODUCT(Design_Matrix!E2:E65,Design_Matrix!L2:L65)-SUMPRODUCT(Design_Matrix!E2:E65,U6:U69),0)</f>
        <v>310</v>
      </c>
      <c r="G78">
        <f>IFERROR(SUMPRODUCT(Design_Matrix!E2:E65,Design_Matrix!L2:L65)-SUMPRODUCT(Design_Matrix!E2:E65,W6:W69),0)</f>
        <v>310</v>
      </c>
      <c r="H78">
        <f>IFERROR(SUMPRODUCT(Design_Matrix!E2:E65,Design_Matrix!L2:L65)-SUMPRODUCT(Design_Matrix!E2:E65,Y6:Y69),0)</f>
        <v>310</v>
      </c>
      <c r="I78">
        <f>IFERROR(SUMPRODUCT(Design_Matrix!E2:E65,Design_Matrix!L2:L65)-SUMPRODUCT(Design_Matrix!E2:E65,AA6:AA69),0)</f>
        <v>310</v>
      </c>
    </row>
    <row r="79" spans="1:29" x14ac:dyDescent="0.2">
      <c r="A79" t="s">
        <v>39</v>
      </c>
      <c r="B79">
        <f>IFERROR(SUMPRODUCT(Design_Matrix!F2:F65,Design_Matrix!L2:L65)-SUMPRODUCT(Design_Matrix!F2:F65,M6:M69),0)</f>
        <v>1434</v>
      </c>
      <c r="C79">
        <f>IFERROR(SUMPRODUCT(Design_Matrix!F2:F65,Design_Matrix!L2:L65)-SUMPRODUCT(Design_Matrix!F2:F65,O6:O69),0)</f>
        <v>1434</v>
      </c>
      <c r="D79">
        <f>IFERROR(SUMPRODUCT(Design_Matrix!F2:F65,Design_Matrix!L2:L65)-SUMPRODUCT(Design_Matrix!F2:F65,Q6:Q69),0)</f>
        <v>1434</v>
      </c>
      <c r="E79">
        <f>IFERROR(SUMPRODUCT(Design_Matrix!F2:F65,Design_Matrix!L2:L65)-SUMPRODUCT(Design_Matrix!F2:F65,S6:S69),0)</f>
        <v>1434</v>
      </c>
      <c r="F79">
        <f>IFERROR(SUMPRODUCT(Design_Matrix!F2:F65,Design_Matrix!L2:L65)-SUMPRODUCT(Design_Matrix!F2:F65,U6:U69),0)</f>
        <v>1434</v>
      </c>
      <c r="G79">
        <f>IFERROR(SUMPRODUCT(Design_Matrix!F2:F65,Design_Matrix!L2:L65)-SUMPRODUCT(Design_Matrix!F2:F65,W6:W69),0)</f>
        <v>1434</v>
      </c>
      <c r="H79">
        <f>IFERROR(SUMPRODUCT(Design_Matrix!F2:F65,Design_Matrix!L2:L65)-SUMPRODUCT(Design_Matrix!F2:F65,Y6:Y69),0)</f>
        <v>1434</v>
      </c>
      <c r="I79">
        <f>IFERROR(SUMPRODUCT(Design_Matrix!F2:F65,Design_Matrix!L2:L65)-SUMPRODUCT(Design_Matrix!F2:F65,AA6:AA69),0)</f>
        <v>1434</v>
      </c>
    </row>
    <row r="80" spans="1:29" x14ac:dyDescent="0.2">
      <c r="A80" t="s">
        <v>40</v>
      </c>
      <c r="B80">
        <f>IFERROR(SUMPRODUCT(Design_Matrix!G2:G65,Design_Matrix!L2:L65)-SUMPRODUCT(Design_Matrix!G2:G65,M6:M69),0)</f>
        <v>847</v>
      </c>
      <c r="C80">
        <f>IFERROR(SUMPRODUCT(Design_Matrix!G2:G65,Design_Matrix!L2:L65)-SUMPRODUCT(Design_Matrix!G2:G65,O6:O69),0)</f>
        <v>847</v>
      </c>
      <c r="D80">
        <f>IFERROR(SUMPRODUCT(Design_Matrix!G2:G65,Design_Matrix!L2:L65)-SUMPRODUCT(Design_Matrix!G2:G65,Q6:Q69),0)</f>
        <v>847</v>
      </c>
      <c r="E80">
        <f>IFERROR(SUMPRODUCT(Design_Matrix!G2:G65,Design_Matrix!L2:L65)-SUMPRODUCT(Design_Matrix!G2:G65,S6:S69),0)</f>
        <v>847</v>
      </c>
      <c r="F80">
        <f>IFERROR(SUMPRODUCT(Design_Matrix!G2:G65,Design_Matrix!L2:L65)-SUMPRODUCT(Design_Matrix!G2:G65,U6:U69),0)</f>
        <v>847</v>
      </c>
      <c r="G80">
        <f>IFERROR(SUMPRODUCT(Design_Matrix!G2:G65,Design_Matrix!L2:L65)-SUMPRODUCT(Design_Matrix!G2:G65,W6:W69),0)</f>
        <v>847</v>
      </c>
      <c r="H80">
        <f>IFERROR(SUMPRODUCT(Design_Matrix!G2:G65,Design_Matrix!L2:L65)-SUMPRODUCT(Design_Matrix!G2:G65,Y6:Y69),0)</f>
        <v>847</v>
      </c>
      <c r="I80">
        <f>IFERROR(SUMPRODUCT(Design_Matrix!G2:G65,Design_Matrix!L2:L65)-SUMPRODUCT(Design_Matrix!G2:G65,AA6:AA69),0)</f>
        <v>847</v>
      </c>
    </row>
    <row r="81" spans="1:9" x14ac:dyDescent="0.2">
      <c r="A81" t="s">
        <v>41</v>
      </c>
      <c r="B81">
        <f>IFERROR(SUMPRODUCT(Design_Matrix!H2:H65,Design_Matrix!L2:L65)-SUMPRODUCT(Design_Matrix!H2:H65,M6:M69),0)</f>
        <v>283</v>
      </c>
      <c r="C81">
        <f>IFERROR(SUMPRODUCT(Design_Matrix!H2:H65,Design_Matrix!L2:L65)-SUMPRODUCT(Design_Matrix!H2:H65,O6:O69),0)</f>
        <v>283</v>
      </c>
      <c r="D81">
        <f>IFERROR(SUMPRODUCT(Design_Matrix!H2:H65,Design_Matrix!L2:L65)-SUMPRODUCT(Design_Matrix!H2:H65,Q6:Q69),0)</f>
        <v>283</v>
      </c>
      <c r="E81">
        <f>IFERROR(SUMPRODUCT(Design_Matrix!H2:H65,Design_Matrix!L2:L65)-SUMPRODUCT(Design_Matrix!H2:H65,S6:S69),0)</f>
        <v>283</v>
      </c>
      <c r="F81">
        <f>IFERROR(SUMPRODUCT(Design_Matrix!H2:H65,Design_Matrix!L2:L65)-SUMPRODUCT(Design_Matrix!H2:H65,U6:U69),0)</f>
        <v>283</v>
      </c>
      <c r="G81">
        <f>IFERROR(SUMPRODUCT(Design_Matrix!H2:H65,Design_Matrix!L2:L65)-SUMPRODUCT(Design_Matrix!H2:H65,W6:W69),0)</f>
        <v>283</v>
      </c>
      <c r="H81">
        <f>IFERROR(SUMPRODUCT(Design_Matrix!H2:H65,Design_Matrix!L2:L65)-SUMPRODUCT(Design_Matrix!H2:H65,Y6:Y69),0)</f>
        <v>283</v>
      </c>
      <c r="I81">
        <f>IFERROR(SUMPRODUCT(Design_Matrix!H2:H65,Design_Matrix!L2:L65)-SUMPRODUCT(Design_Matrix!H2:H65,AA6:AA69),0)</f>
        <v>283</v>
      </c>
    </row>
    <row r="82" spans="1:9" x14ac:dyDescent="0.2">
      <c r="A82" t="s">
        <v>42</v>
      </c>
      <c r="B82">
        <f>IFERROR(SUMPRODUCT(Design_Matrix!I2:I65,Design_Matrix!L2:L65)-SUMPRODUCT(Design_Matrix!I2:I65,M6:M69),0)</f>
        <v>388</v>
      </c>
      <c r="C82">
        <f>IFERROR(SUMPRODUCT(Design_Matrix!I2:I65,Design_Matrix!L2:L65)-SUMPRODUCT(Design_Matrix!I2:I65,O6:O69),0)</f>
        <v>388</v>
      </c>
      <c r="D82">
        <f>IFERROR(SUMPRODUCT(Design_Matrix!I2:I65,Design_Matrix!L2:L65)-SUMPRODUCT(Design_Matrix!I2:I65,Q6:Q69),0)</f>
        <v>388</v>
      </c>
      <c r="E82">
        <f>IFERROR(SUMPRODUCT(Design_Matrix!I2:I65,Design_Matrix!L2:L65)-SUMPRODUCT(Design_Matrix!I2:I65,S6:S69),0)</f>
        <v>388</v>
      </c>
      <c r="F82">
        <f>IFERROR(SUMPRODUCT(Design_Matrix!I2:I65,Design_Matrix!L2:L65)-SUMPRODUCT(Design_Matrix!I2:I65,U6:U69),0)</f>
        <v>388</v>
      </c>
      <c r="G82">
        <f>IFERROR(SUMPRODUCT(Design_Matrix!I2:I65,Design_Matrix!L2:L65)-SUMPRODUCT(Design_Matrix!I2:I65,W6:W69),0)</f>
        <v>388</v>
      </c>
      <c r="H82">
        <f>IFERROR(SUMPRODUCT(Design_Matrix!I2:I65,Design_Matrix!L2:L65)-SUMPRODUCT(Design_Matrix!I2:I65,Y6:Y69),0)</f>
        <v>388</v>
      </c>
      <c r="I82">
        <f>IFERROR(SUMPRODUCT(Design_Matrix!I2:I65,Design_Matrix!L2:L65)-SUMPRODUCT(Design_Matrix!I2:I65,AA6:AA69),0)</f>
        <v>388</v>
      </c>
    </row>
    <row r="83" spans="1:9" x14ac:dyDescent="0.2">
      <c r="A83" t="s">
        <v>43</v>
      </c>
      <c r="B83">
        <f>IFERROR(SUMPRODUCT(Design_Matrix!J2:J65,Design_Matrix!L2:L65)-SUMPRODUCT(Design_Matrix!J2:J65,M6:M69),0)</f>
        <v>437</v>
      </c>
      <c r="C83">
        <f>IFERROR(SUMPRODUCT(Design_Matrix!J2:J65,Design_Matrix!L2:L65)-SUMPRODUCT(Design_Matrix!J2:J65,O6:O69),0)</f>
        <v>437</v>
      </c>
      <c r="D83">
        <f>IFERROR(SUMPRODUCT(Design_Matrix!J2:J65,Design_Matrix!L2:L65)-SUMPRODUCT(Design_Matrix!J2:J65,Q6:Q69),0)</f>
        <v>437</v>
      </c>
      <c r="E83">
        <f>IFERROR(SUMPRODUCT(Design_Matrix!J2:J65,Design_Matrix!L2:L65)-SUMPRODUCT(Design_Matrix!J2:J65,S6:S69),0)</f>
        <v>437</v>
      </c>
      <c r="F83">
        <f>IFERROR(SUMPRODUCT(Design_Matrix!J2:J65,Design_Matrix!L2:L65)-SUMPRODUCT(Design_Matrix!J2:J65,U6:U69),0)</f>
        <v>437</v>
      </c>
      <c r="G83">
        <f>IFERROR(SUMPRODUCT(Design_Matrix!J2:J65,Design_Matrix!L2:L65)-SUMPRODUCT(Design_Matrix!J2:J65,W6:W69),0)</f>
        <v>437</v>
      </c>
      <c r="H83">
        <f>IFERROR(SUMPRODUCT(Design_Matrix!J2:J65,Design_Matrix!L2:L65)-SUMPRODUCT(Design_Matrix!J2:J65,Y6:Y69),0)</f>
        <v>437</v>
      </c>
      <c r="I83">
        <f>IFERROR(SUMPRODUCT(Design_Matrix!J2:J65,Design_Matrix!L2:L65)-SUMPRODUCT(Design_Matrix!J2:J65,AA6:AA69),0)</f>
        <v>437</v>
      </c>
    </row>
    <row r="84" spans="1:9" x14ac:dyDescent="0.2">
      <c r="A84" t="s">
        <v>44</v>
      </c>
      <c r="B84">
        <f>IFERROR(SUMPRODUCT(Design_Matrix!K2:K65,Design_Matrix!L2:L65)-SUMPRODUCT(Design_Matrix!K2:K65,M6:M69),0)</f>
        <v>2049</v>
      </c>
      <c r="C84">
        <f>IFERROR(SUMPRODUCT(Design_Matrix!K2:K65,Design_Matrix!L2:L65)-SUMPRODUCT(Design_Matrix!K2:K65,O6:O69),0)</f>
        <v>2049</v>
      </c>
      <c r="D84">
        <f>IFERROR(SUMPRODUCT(Design_Matrix!K2:K65,Design_Matrix!L2:L65)-SUMPRODUCT(Design_Matrix!K2:K65,Q6:Q69),0)</f>
        <v>2049</v>
      </c>
      <c r="E84">
        <f>IFERROR(SUMPRODUCT(Design_Matrix!K2:K65,Design_Matrix!L2:L65)-SUMPRODUCT(Design_Matrix!K2:K65,S6:S69),0)</f>
        <v>2049</v>
      </c>
      <c r="F84">
        <f>IFERROR(SUMPRODUCT(Design_Matrix!K2:K65,Design_Matrix!L2:L65)-SUMPRODUCT(Design_Matrix!K2:K65,U6:U69),0)</f>
        <v>2049</v>
      </c>
      <c r="G84">
        <f>IFERROR(SUMPRODUCT(Design_Matrix!K2:K65,Design_Matrix!L2:L65)-SUMPRODUCT(Design_Matrix!K2:K65,W6:W69),0)</f>
        <v>2049</v>
      </c>
      <c r="H84">
        <f>IFERROR(SUMPRODUCT(Design_Matrix!K2:K65,Design_Matrix!L2:L65)-SUMPRODUCT(Design_Matrix!K2:K65,Y6:Y69),0)</f>
        <v>2049</v>
      </c>
      <c r="I84">
        <f>IFERROR(SUMPRODUCT(Design_Matrix!K2:K65,Design_Matrix!L2:L65)-SUMPRODUCT(Design_Matrix!K2:K65,AA6:AA69),0)</f>
        <v>2049</v>
      </c>
    </row>
    <row r="90" spans="1:9" x14ac:dyDescent="0.2">
      <c r="A90" t="s">
        <v>85</v>
      </c>
      <c r="B90">
        <f>SUMXMY2(Design_Matrix!L2:L65,AC6:AC69)</f>
        <v>467937</v>
      </c>
      <c r="D90" t="s">
        <v>86</v>
      </c>
      <c r="E90" t="s">
        <v>87</v>
      </c>
    </row>
    <row r="91" spans="1:9" x14ac:dyDescent="0.2">
      <c r="A91" t="s">
        <v>88</v>
      </c>
      <c r="B91">
        <f>AVERAGE(AC6:AC69)</f>
        <v>1</v>
      </c>
      <c r="D91">
        <v>0</v>
      </c>
      <c r="E91">
        <f>SUMXMY2(Design_Matrix!L2:L65,M6:M69)</f>
        <v>467937</v>
      </c>
    </row>
    <row r="92" spans="1:9" x14ac:dyDescent="0.2">
      <c r="D92">
        <v>1</v>
      </c>
      <c r="E92">
        <f>SUMXMY2(Design_Matrix!L2:L65,O6:O69)</f>
        <v>467937</v>
      </c>
    </row>
    <row r="93" spans="1:9" x14ac:dyDescent="0.2">
      <c r="D93">
        <v>2</v>
      </c>
      <c r="E93">
        <f>SUMXMY2(Design_Matrix!L2:L65,Q6:Q69)</f>
        <v>467937</v>
      </c>
    </row>
    <row r="94" spans="1:9" x14ac:dyDescent="0.2">
      <c r="D94">
        <v>3</v>
      </c>
      <c r="E94">
        <f>SUMXMY2(Design_Matrix!L2:L65,S6:S69)</f>
        <v>467937</v>
      </c>
    </row>
    <row r="95" spans="1:9" x14ac:dyDescent="0.2">
      <c r="D95">
        <v>4</v>
      </c>
      <c r="E95">
        <f>SUMXMY2(Design_Matrix!L2:L65,U6:U69)</f>
        <v>467937</v>
      </c>
    </row>
    <row r="96" spans="1:9" x14ac:dyDescent="0.2">
      <c r="D96">
        <v>5</v>
      </c>
      <c r="E96">
        <f>SUMXMY2(Design_Matrix!L2:L65,W6:W69)</f>
        <v>467937</v>
      </c>
    </row>
    <row r="97" spans="4:5" x14ac:dyDescent="0.2">
      <c r="D97">
        <v>6</v>
      </c>
      <c r="E97">
        <f>SUMXMY2(Design_Matrix!L2:L65,Y6:Y69)</f>
        <v>467937</v>
      </c>
    </row>
    <row r="98" spans="4:5" x14ac:dyDescent="0.2">
      <c r="D98">
        <v>7</v>
      </c>
      <c r="E98">
        <f>SUMXMY2(Design_Matrix!L2:L65,AA6:AA69)</f>
        <v>467937</v>
      </c>
    </row>
    <row r="99" spans="4:5" x14ac:dyDescent="0.2">
      <c r="D99">
        <v>8</v>
      </c>
      <c r="E99">
        <f>SUMXMY2(Design_Matrix!L2:L65,AC6:AC69)</f>
        <v>467937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99"/>
  <sheetViews>
    <sheetView workbookViewId="0"/>
  </sheetViews>
  <sheetFormatPr baseColWidth="10" defaultColWidth="8.83203125" defaultRowHeight="15" x14ac:dyDescent="0.2"/>
  <cols>
    <col min="1" max="1" width="15" customWidth="1"/>
    <col min="2" max="2" width="13" customWidth="1"/>
  </cols>
  <sheetData>
    <row r="1" spans="1:29" x14ac:dyDescent="0.2">
      <c r="A1" t="s">
        <v>45</v>
      </c>
      <c r="B1">
        <v>1.0000000000000001E-5</v>
      </c>
    </row>
    <row r="2" spans="1:29" x14ac:dyDescent="0.2">
      <c r="A2" t="s">
        <v>46</v>
      </c>
      <c r="B2">
        <v>8</v>
      </c>
    </row>
    <row r="4" spans="1:29" x14ac:dyDescent="0.2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L4" t="s">
        <v>57</v>
      </c>
    </row>
    <row r="5" spans="1:29" x14ac:dyDescent="0.2">
      <c r="A5" t="s">
        <v>35</v>
      </c>
      <c r="B5">
        <v>0</v>
      </c>
      <c r="C5">
        <f>IFERROR(B5+$B$1*B75/COUNT(Design_Matrix!A2:A65),B5)</f>
        <v>-3.1575000000000002E-3</v>
      </c>
      <c r="D5">
        <f>IFERROR(C5+$B$1*C75/COUNT(Design_Matrix!A2:A65),C5)</f>
        <v>-6.3150000000000003E-3</v>
      </c>
      <c r="E5">
        <f>IFERROR(D5+$B$1*D75/COUNT(Design_Matrix!A2:A65),D5)</f>
        <v>-9.4725E-3</v>
      </c>
      <c r="F5">
        <f>IFERROR(E5+$B$1*E75/COUNT(Design_Matrix!A2:A65),E5)</f>
        <v>-1.2630000000000001E-2</v>
      </c>
      <c r="G5">
        <f>IFERROR(F5+$B$1*F75/COUNT(Design_Matrix!A2:A65),F5)</f>
        <v>-1.5787499999999999E-2</v>
      </c>
      <c r="H5">
        <f>IFERROR(G5+$B$1*G75/COUNT(Design_Matrix!A2:A65),G5)</f>
        <v>-1.8945E-2</v>
      </c>
      <c r="I5">
        <f>IFERROR(H5+$B$1*H75/COUNT(Design_Matrix!A2:A65),H5)</f>
        <v>-2.2102500000000001E-2</v>
      </c>
      <c r="J5">
        <f>IFERROR(I5+$B$1*I75/COUNT(Design_Matrix!A2:A65),I5)</f>
        <v>-2.5260000000000001E-2</v>
      </c>
      <c r="L5" t="s">
        <v>58</v>
      </c>
      <c r="M5" t="s">
        <v>59</v>
      </c>
      <c r="N5" t="s">
        <v>60</v>
      </c>
      <c r="O5" t="s">
        <v>61</v>
      </c>
      <c r="P5" t="s">
        <v>62</v>
      </c>
      <c r="Q5" t="s">
        <v>63</v>
      </c>
      <c r="R5" t="s">
        <v>64</v>
      </c>
      <c r="S5" t="s">
        <v>65</v>
      </c>
      <c r="T5" t="s">
        <v>66</v>
      </c>
      <c r="U5" t="s">
        <v>67</v>
      </c>
      <c r="V5" t="s">
        <v>68</v>
      </c>
      <c r="W5" t="s">
        <v>69</v>
      </c>
      <c r="X5" t="s">
        <v>70</v>
      </c>
      <c r="Y5" t="s">
        <v>71</v>
      </c>
      <c r="Z5" t="s">
        <v>72</v>
      </c>
      <c r="AA5" t="s">
        <v>73</v>
      </c>
      <c r="AB5" t="s">
        <v>74</v>
      </c>
      <c r="AC5" t="s">
        <v>75</v>
      </c>
    </row>
    <row r="6" spans="1:29" x14ac:dyDescent="0.2">
      <c r="A6" t="s">
        <v>36</v>
      </c>
      <c r="B6">
        <v>0</v>
      </c>
      <c r="C6">
        <f>IFERROR(B6+$B$1*B76/COUNT(Design_Matrix!A2:A65),B6)</f>
        <v>-9.0031250000000007E-4</v>
      </c>
      <c r="D6">
        <f>IFERROR(C6+$B$1*C76/COUNT(Design_Matrix!A2:A65),C6)</f>
        <v>-1.8006250000000001E-3</v>
      </c>
      <c r="E6">
        <f>IFERROR(D6+$B$1*D76/COUNT(Design_Matrix!A2:A65),D6)</f>
        <v>-2.7009375000000002E-3</v>
      </c>
      <c r="F6">
        <f>IFERROR(E6+$B$1*E76/COUNT(Design_Matrix!A2:A65),E6)</f>
        <v>-3.6012500000000003E-3</v>
      </c>
      <c r="G6">
        <f>IFERROR(F6+$B$1*F76/COUNT(Design_Matrix!A2:A65),F6)</f>
        <v>-4.5015625000000004E-3</v>
      </c>
      <c r="H6">
        <f>IFERROR(G6+$B$1*G76/COUNT(Design_Matrix!A2:A65),G6)</f>
        <v>-5.4018750000000004E-3</v>
      </c>
      <c r="I6">
        <f>IFERROR(H6+$B$1*H76/COUNT(Design_Matrix!A2:A65),H6)</f>
        <v>-6.3021875000000005E-3</v>
      </c>
      <c r="J6">
        <f>IFERROR(I6+$B$1*I76/COUNT(Design_Matrix!A2:A65),I6)</f>
        <v>-7.2025000000000006E-3</v>
      </c>
      <c r="L6">
        <f>IFERROR(SUMPRODUCT(Design_Matrix!B2:K2,$B$5:$B$14),0)+IFERROR(LN(Design_Matrix!M2),0)</f>
        <v>5.2832037287379885</v>
      </c>
      <c r="M6">
        <f t="shared" ref="M6:M37" si="0">EXP(MAX(-50,MIN(50,L6)))</f>
        <v>197</v>
      </c>
      <c r="N6">
        <f>IFERROR(SUMPRODUCT(Design_Matrix!B2:K2,$C$5:$C$14),0)+IFERROR(LN(Design_Matrix!M2),0)</f>
        <v>5.2832037287379885</v>
      </c>
      <c r="O6">
        <f t="shared" ref="O6:O37" si="1">EXP(MAX(-50,MIN(50,N6)))</f>
        <v>197</v>
      </c>
      <c r="P6">
        <f>IFERROR(SUMPRODUCT(Design_Matrix!B2:K2,$D$5:$D$14),0)+IFERROR(LN(Design_Matrix!M2),0)</f>
        <v>5.2832037287379885</v>
      </c>
      <c r="Q6">
        <f t="shared" ref="Q6:Q37" si="2">EXP(MAX(-50,MIN(50,P6)))</f>
        <v>197</v>
      </c>
      <c r="R6">
        <f>IFERROR(SUMPRODUCT(Design_Matrix!B2:K2,$E$5:$E$14),0)+IFERROR(LN(Design_Matrix!M2),0)</f>
        <v>5.2832037287379885</v>
      </c>
      <c r="S6">
        <f t="shared" ref="S6:S37" si="3">EXP(MAX(-50,MIN(50,R6)))</f>
        <v>197</v>
      </c>
      <c r="T6">
        <f>IFERROR(SUMPRODUCT(Design_Matrix!B2:K2,$F$5:$F$14),0)+IFERROR(LN(Design_Matrix!M2),0)</f>
        <v>5.2832037287379885</v>
      </c>
      <c r="U6">
        <f t="shared" ref="U6:U37" si="4">EXP(MAX(-50,MIN(50,T6)))</f>
        <v>197</v>
      </c>
      <c r="V6">
        <f>IFERROR(SUMPRODUCT(Design_Matrix!B2:K2,$G$5:$G$14),0)+IFERROR(LN(Design_Matrix!M2),0)</f>
        <v>5.2832037287379885</v>
      </c>
      <c r="W6">
        <f t="shared" ref="W6:W37" si="5">EXP(MAX(-50,MIN(50,V6)))</f>
        <v>197</v>
      </c>
      <c r="X6">
        <f>IFERROR(SUMPRODUCT(Design_Matrix!B2:K2,$H$5:$H$14),0)+IFERROR(LN(Design_Matrix!M2),0)</f>
        <v>5.2832037287379885</v>
      </c>
      <c r="Y6">
        <f t="shared" ref="Y6:Y37" si="6">EXP(MAX(-50,MIN(50,X6)))</f>
        <v>197</v>
      </c>
      <c r="Z6">
        <f>IFERROR(SUMPRODUCT(Design_Matrix!B2:K2,$I$5:$I$14),0)+IFERROR(LN(Design_Matrix!M2),0)</f>
        <v>5.2832037287379885</v>
      </c>
      <c r="AA6">
        <f t="shared" ref="AA6:AA37" si="7">EXP(MAX(-50,MIN(50,Z6)))</f>
        <v>197</v>
      </c>
      <c r="AB6">
        <f>IFERROR(SUMPRODUCT(Design_Matrix!B2:K2,$J$5:$J$14),0)+IFERROR(LN(Design_Matrix!M2),0)</f>
        <v>5.2832037287379885</v>
      </c>
      <c r="AC6">
        <f t="shared" ref="AC6:AC37" si="8">EXP(MAX(-50,MIN(50,AB6)))</f>
        <v>197</v>
      </c>
    </row>
    <row r="7" spans="1:29" x14ac:dyDescent="0.2">
      <c r="A7" t="s">
        <v>37</v>
      </c>
      <c r="B7">
        <v>0</v>
      </c>
      <c r="C7">
        <f>IFERROR(B7+$B$1*B77/COUNT(Design_Matrix!A2:A65),B7)</f>
        <v>-5.6468750000000009E-4</v>
      </c>
      <c r="D7">
        <f>IFERROR(C7+$B$1*C77/COUNT(Design_Matrix!A2:A65),C7)</f>
        <v>-1.1293750000000002E-3</v>
      </c>
      <c r="E7">
        <f>IFERROR(D7+$B$1*D77/COUNT(Design_Matrix!A2:A65),D7)</f>
        <v>-1.6940625000000003E-3</v>
      </c>
      <c r="F7">
        <f>IFERROR(E7+$B$1*E77/COUNT(Design_Matrix!A2:A65),E7)</f>
        <v>-2.2587500000000003E-3</v>
      </c>
      <c r="G7">
        <f>IFERROR(F7+$B$1*F77/COUNT(Design_Matrix!A2:A65),F7)</f>
        <v>-2.8234375000000004E-3</v>
      </c>
      <c r="H7">
        <f>IFERROR(G7+$B$1*G77/COUNT(Design_Matrix!A2:A65),G7)</f>
        <v>-3.3881250000000005E-3</v>
      </c>
      <c r="I7">
        <f>IFERROR(H7+$B$1*H77/COUNT(Design_Matrix!A2:A65),H7)</f>
        <v>-3.9528125000000006E-3</v>
      </c>
      <c r="J7">
        <f>IFERROR(I7+$B$1*I77/COUNT(Design_Matrix!A2:A65),I7)</f>
        <v>-4.5175000000000007E-3</v>
      </c>
      <c r="L7">
        <f>IFERROR(SUMPRODUCT(Design_Matrix!B3:K3,$B$5:$B$14),0)+IFERROR(LN(Design_Matrix!M3),0)</f>
        <v>5.575949103146316</v>
      </c>
      <c r="M7">
        <f t="shared" si="0"/>
        <v>263.99999999999994</v>
      </c>
      <c r="N7">
        <f>IFERROR(SUMPRODUCT(Design_Matrix!B3:K3,$C$5:$C$14),0)+IFERROR(LN(Design_Matrix!M3),0)</f>
        <v>5.575949103146316</v>
      </c>
      <c r="O7">
        <f t="shared" si="1"/>
        <v>263.99999999999994</v>
      </c>
      <c r="P7">
        <f>IFERROR(SUMPRODUCT(Design_Matrix!B3:K3,$D$5:$D$14),0)+IFERROR(LN(Design_Matrix!M3),0)</f>
        <v>5.575949103146316</v>
      </c>
      <c r="Q7">
        <f t="shared" si="2"/>
        <v>263.99999999999994</v>
      </c>
      <c r="R7">
        <f>IFERROR(SUMPRODUCT(Design_Matrix!B3:K3,$E$5:$E$14),0)+IFERROR(LN(Design_Matrix!M3),0)</f>
        <v>5.575949103146316</v>
      </c>
      <c r="S7">
        <f t="shared" si="3"/>
        <v>263.99999999999994</v>
      </c>
      <c r="T7">
        <f>IFERROR(SUMPRODUCT(Design_Matrix!B3:K3,$F$5:$F$14),0)+IFERROR(LN(Design_Matrix!M3),0)</f>
        <v>5.575949103146316</v>
      </c>
      <c r="U7">
        <f t="shared" si="4"/>
        <v>263.99999999999994</v>
      </c>
      <c r="V7">
        <f>IFERROR(SUMPRODUCT(Design_Matrix!B3:K3,$G$5:$G$14),0)+IFERROR(LN(Design_Matrix!M3),0)</f>
        <v>5.575949103146316</v>
      </c>
      <c r="W7">
        <f t="shared" si="5"/>
        <v>263.99999999999994</v>
      </c>
      <c r="X7">
        <f>IFERROR(SUMPRODUCT(Design_Matrix!B3:K3,$H$5:$H$14),0)+IFERROR(LN(Design_Matrix!M3),0)</f>
        <v>5.575949103146316</v>
      </c>
      <c r="Y7">
        <f t="shared" si="6"/>
        <v>263.99999999999994</v>
      </c>
      <c r="Z7">
        <f>IFERROR(SUMPRODUCT(Design_Matrix!B3:K3,$I$5:$I$14),0)+IFERROR(LN(Design_Matrix!M3),0)</f>
        <v>5.575949103146316</v>
      </c>
      <c r="AA7">
        <f t="shared" si="7"/>
        <v>263.99999999999994</v>
      </c>
      <c r="AB7">
        <f>IFERROR(SUMPRODUCT(Design_Matrix!B3:K3,$J$5:$J$14),0)+IFERROR(LN(Design_Matrix!M3),0)</f>
        <v>5.575949103146316</v>
      </c>
      <c r="AC7">
        <f t="shared" si="8"/>
        <v>263.99999999999994</v>
      </c>
    </row>
    <row r="8" spans="1:29" x14ac:dyDescent="0.2">
      <c r="A8" t="s">
        <v>38</v>
      </c>
      <c r="B8">
        <v>0</v>
      </c>
      <c r="C8">
        <f>IFERROR(B8+$B$1*B78/COUNT(Design_Matrix!A2:A65),B8)</f>
        <v>-2.6062500000000001E-4</v>
      </c>
      <c r="D8">
        <f>IFERROR(C8+$B$1*C78/COUNT(Design_Matrix!A2:A65),C8)</f>
        <v>-5.2125000000000001E-4</v>
      </c>
      <c r="E8">
        <f>IFERROR(D8+$B$1*D78/COUNT(Design_Matrix!A2:A65),D8)</f>
        <v>-7.8187500000000002E-4</v>
      </c>
      <c r="F8">
        <f>IFERROR(E8+$B$1*E78/COUNT(Design_Matrix!A2:A65),E8)</f>
        <v>-1.0425E-3</v>
      </c>
      <c r="G8">
        <f>IFERROR(F8+$B$1*F78/COUNT(Design_Matrix!A2:A65),F8)</f>
        <v>-1.303125E-3</v>
      </c>
      <c r="H8">
        <f>IFERROR(G8+$B$1*G78/COUNT(Design_Matrix!A2:A65),G8)</f>
        <v>-1.56375E-3</v>
      </c>
      <c r="I8">
        <f>IFERROR(H8+$B$1*H78/COUNT(Design_Matrix!A2:A65),H8)</f>
        <v>-1.824375E-3</v>
      </c>
      <c r="J8">
        <f>IFERROR(I8+$B$1*I78/COUNT(Design_Matrix!A2:A65),I8)</f>
        <v>-2.085E-3</v>
      </c>
      <c r="L8">
        <f>IFERROR(SUMPRODUCT(Design_Matrix!B4:K4,$B$5:$B$14),0)+IFERROR(LN(Design_Matrix!M4),0)</f>
        <v>5.5053315359323625</v>
      </c>
      <c r="M8">
        <f t="shared" si="0"/>
        <v>245.99999999999991</v>
      </c>
      <c r="N8">
        <f>IFERROR(SUMPRODUCT(Design_Matrix!B4:K4,$C$5:$C$14),0)+IFERROR(LN(Design_Matrix!M4),0)</f>
        <v>5.5053315359323625</v>
      </c>
      <c r="O8">
        <f t="shared" si="1"/>
        <v>245.99999999999991</v>
      </c>
      <c r="P8">
        <f>IFERROR(SUMPRODUCT(Design_Matrix!B4:K4,$D$5:$D$14),0)+IFERROR(LN(Design_Matrix!M4),0)</f>
        <v>5.5053315359323625</v>
      </c>
      <c r="Q8">
        <f t="shared" si="2"/>
        <v>245.99999999999991</v>
      </c>
      <c r="R8">
        <f>IFERROR(SUMPRODUCT(Design_Matrix!B4:K4,$E$5:$E$14),0)+IFERROR(LN(Design_Matrix!M4),0)</f>
        <v>5.5053315359323625</v>
      </c>
      <c r="S8">
        <f t="shared" si="3"/>
        <v>245.99999999999991</v>
      </c>
      <c r="T8">
        <f>IFERROR(SUMPRODUCT(Design_Matrix!B4:K4,$F$5:$F$14),0)+IFERROR(LN(Design_Matrix!M4),0)</f>
        <v>5.5053315359323625</v>
      </c>
      <c r="U8">
        <f t="shared" si="4"/>
        <v>245.99999999999991</v>
      </c>
      <c r="V8">
        <f>IFERROR(SUMPRODUCT(Design_Matrix!B4:K4,$G$5:$G$14),0)+IFERROR(LN(Design_Matrix!M4),0)</f>
        <v>5.5053315359323625</v>
      </c>
      <c r="W8">
        <f t="shared" si="5"/>
        <v>245.99999999999991</v>
      </c>
      <c r="X8">
        <f>IFERROR(SUMPRODUCT(Design_Matrix!B4:K4,$H$5:$H$14),0)+IFERROR(LN(Design_Matrix!M4),0)</f>
        <v>5.5053315359323625</v>
      </c>
      <c r="Y8">
        <f t="shared" si="6"/>
        <v>245.99999999999991</v>
      </c>
      <c r="Z8">
        <f>IFERROR(SUMPRODUCT(Design_Matrix!B4:K4,$I$5:$I$14),0)+IFERROR(LN(Design_Matrix!M4),0)</f>
        <v>5.5053315359323625</v>
      </c>
      <c r="AA8">
        <f t="shared" si="7"/>
        <v>245.99999999999991</v>
      </c>
      <c r="AB8">
        <f>IFERROR(SUMPRODUCT(Design_Matrix!B4:K4,$J$5:$J$14),0)+IFERROR(LN(Design_Matrix!M4),0)</f>
        <v>5.5053315359323625</v>
      </c>
      <c r="AC8">
        <f t="shared" si="8"/>
        <v>245.99999999999991</v>
      </c>
    </row>
    <row r="9" spans="1:29" x14ac:dyDescent="0.2">
      <c r="A9" t="s">
        <v>39</v>
      </c>
      <c r="B9">
        <v>0</v>
      </c>
      <c r="C9">
        <f>IFERROR(B9+$B$1*B79/COUNT(Design_Matrix!A2:A65),B9)</f>
        <v>-1.5645312500000006E-3</v>
      </c>
      <c r="D9">
        <f>IFERROR(C9+$B$1*C79/COUNT(Design_Matrix!A2:A65),C9)</f>
        <v>-3.1290625000000012E-3</v>
      </c>
      <c r="E9">
        <f>IFERROR(D9+$B$1*D79/COUNT(Design_Matrix!A2:A65),D9)</f>
        <v>-4.6935937500000016E-3</v>
      </c>
      <c r="F9">
        <f>IFERROR(E9+$B$1*E79/COUNT(Design_Matrix!A2:A65),E9)</f>
        <v>-6.2581250000000024E-3</v>
      </c>
      <c r="G9">
        <f>IFERROR(F9+$B$1*F79/COUNT(Design_Matrix!A2:A65),F9)</f>
        <v>-7.8226562500000024E-3</v>
      </c>
      <c r="H9">
        <f>IFERROR(G9+$B$1*G79/COUNT(Design_Matrix!A2:A65),G9)</f>
        <v>-9.3871875000000032E-3</v>
      </c>
      <c r="I9">
        <f>IFERROR(H9+$B$1*H79/COUNT(Design_Matrix!A2:A65),H9)</f>
        <v>-1.0951718750000004E-2</v>
      </c>
      <c r="J9">
        <f>IFERROR(I9+$B$1*I79/COUNT(Design_Matrix!A2:A65),I9)</f>
        <v>-1.2516250000000005E-2</v>
      </c>
      <c r="L9">
        <f>IFERROR(SUMPRODUCT(Design_Matrix!B5:K5,$B$5:$B$14),0)+IFERROR(LN(Design_Matrix!M5),0)</f>
        <v>7.4265490723973047</v>
      </c>
      <c r="M9">
        <f t="shared" si="0"/>
        <v>1680</v>
      </c>
      <c r="N9">
        <f>IFERROR(SUMPRODUCT(Design_Matrix!B5:K5,$C$5:$C$14),0)+IFERROR(LN(Design_Matrix!M5),0)</f>
        <v>7.4265490723973047</v>
      </c>
      <c r="O9">
        <f t="shared" si="1"/>
        <v>1680</v>
      </c>
      <c r="P9">
        <f>IFERROR(SUMPRODUCT(Design_Matrix!B5:K5,$D$5:$D$14),0)+IFERROR(LN(Design_Matrix!M5),0)</f>
        <v>7.4265490723973047</v>
      </c>
      <c r="Q9">
        <f t="shared" si="2"/>
        <v>1680</v>
      </c>
      <c r="R9">
        <f>IFERROR(SUMPRODUCT(Design_Matrix!B5:K5,$E$5:$E$14),0)+IFERROR(LN(Design_Matrix!M5),0)</f>
        <v>7.4265490723973047</v>
      </c>
      <c r="S9">
        <f t="shared" si="3"/>
        <v>1680</v>
      </c>
      <c r="T9">
        <f>IFERROR(SUMPRODUCT(Design_Matrix!B5:K5,$F$5:$F$14),0)+IFERROR(LN(Design_Matrix!M5),0)</f>
        <v>7.4265490723973047</v>
      </c>
      <c r="U9">
        <f t="shared" si="4"/>
        <v>1680</v>
      </c>
      <c r="V9">
        <f>IFERROR(SUMPRODUCT(Design_Matrix!B5:K5,$G$5:$G$14),0)+IFERROR(LN(Design_Matrix!M5),0)</f>
        <v>7.4265490723973047</v>
      </c>
      <c r="W9">
        <f t="shared" si="5"/>
        <v>1680</v>
      </c>
      <c r="X9">
        <f>IFERROR(SUMPRODUCT(Design_Matrix!B5:K5,$H$5:$H$14),0)+IFERROR(LN(Design_Matrix!M5),0)</f>
        <v>7.4265490723973047</v>
      </c>
      <c r="Y9">
        <f t="shared" si="6"/>
        <v>1680</v>
      </c>
      <c r="Z9">
        <f>IFERROR(SUMPRODUCT(Design_Matrix!B5:K5,$I$5:$I$14),0)+IFERROR(LN(Design_Matrix!M5),0)</f>
        <v>7.4265490723973047</v>
      </c>
      <c r="AA9">
        <f t="shared" si="7"/>
        <v>1680</v>
      </c>
      <c r="AB9">
        <f>IFERROR(SUMPRODUCT(Design_Matrix!B5:K5,$J$5:$J$14),0)+IFERROR(LN(Design_Matrix!M5),0)</f>
        <v>7.4265490723973047</v>
      </c>
      <c r="AC9">
        <f t="shared" si="8"/>
        <v>1680</v>
      </c>
    </row>
    <row r="10" spans="1:29" x14ac:dyDescent="0.2">
      <c r="A10" t="s">
        <v>40</v>
      </c>
      <c r="B10">
        <v>0</v>
      </c>
      <c r="C10">
        <f>IFERROR(B10+$B$1*B80/COUNT(Design_Matrix!A2:A65),B10)</f>
        <v>-7.0421874999999988E-4</v>
      </c>
      <c r="D10">
        <f>IFERROR(C10+$B$1*C80/COUNT(Design_Matrix!A2:A65),C10)</f>
        <v>-1.4084374999999998E-3</v>
      </c>
      <c r="E10">
        <f>IFERROR(D10+$B$1*D80/COUNT(Design_Matrix!A2:A65),D10)</f>
        <v>-2.1126562499999995E-3</v>
      </c>
      <c r="F10">
        <f>IFERROR(E10+$B$1*E80/COUNT(Design_Matrix!A2:A65),E10)</f>
        <v>-2.8168749999999995E-3</v>
      </c>
      <c r="G10">
        <f>IFERROR(F10+$B$1*F80/COUNT(Design_Matrix!A2:A65),F10)</f>
        <v>-3.5210937499999995E-3</v>
      </c>
      <c r="H10">
        <f>IFERROR(G10+$B$1*G80/COUNT(Design_Matrix!A2:A65),G10)</f>
        <v>-4.225312499999999E-3</v>
      </c>
      <c r="I10">
        <f>IFERROR(H10+$B$1*H80/COUNT(Design_Matrix!A2:A65),H10)</f>
        <v>-4.929531249999999E-3</v>
      </c>
      <c r="J10">
        <f>IFERROR(I10+$B$1*I80/COUNT(Design_Matrix!A2:A65),I10)</f>
        <v>-5.633749999999999E-3</v>
      </c>
      <c r="L10">
        <f>IFERROR(SUMPRODUCT(Design_Matrix!B6:K6,$B$5:$B$14),0)+IFERROR(LN(Design_Matrix!M6),0)</f>
        <v>5.6489742381612063</v>
      </c>
      <c r="M10">
        <f t="shared" si="0"/>
        <v>284.00000000000006</v>
      </c>
      <c r="N10">
        <f>IFERROR(SUMPRODUCT(Design_Matrix!B6:K6,$C$5:$C$14),0)+IFERROR(LN(Design_Matrix!M6),0)</f>
        <v>5.6489742381612063</v>
      </c>
      <c r="O10">
        <f t="shared" si="1"/>
        <v>284.00000000000006</v>
      </c>
      <c r="P10">
        <f>IFERROR(SUMPRODUCT(Design_Matrix!B6:K6,$D$5:$D$14),0)+IFERROR(LN(Design_Matrix!M6),0)</f>
        <v>5.6489742381612063</v>
      </c>
      <c r="Q10">
        <f t="shared" si="2"/>
        <v>284.00000000000006</v>
      </c>
      <c r="R10">
        <f>IFERROR(SUMPRODUCT(Design_Matrix!B6:K6,$E$5:$E$14),0)+IFERROR(LN(Design_Matrix!M6),0)</f>
        <v>5.6489742381612063</v>
      </c>
      <c r="S10">
        <f t="shared" si="3"/>
        <v>284.00000000000006</v>
      </c>
      <c r="T10">
        <f>IFERROR(SUMPRODUCT(Design_Matrix!B6:K6,$F$5:$F$14),0)+IFERROR(LN(Design_Matrix!M6),0)</f>
        <v>5.6489742381612063</v>
      </c>
      <c r="U10">
        <f t="shared" si="4"/>
        <v>284.00000000000006</v>
      </c>
      <c r="V10">
        <f>IFERROR(SUMPRODUCT(Design_Matrix!B6:K6,$G$5:$G$14),0)+IFERROR(LN(Design_Matrix!M6),0)</f>
        <v>5.6489742381612063</v>
      </c>
      <c r="W10">
        <f t="shared" si="5"/>
        <v>284.00000000000006</v>
      </c>
      <c r="X10">
        <f>IFERROR(SUMPRODUCT(Design_Matrix!B6:K6,$H$5:$H$14),0)+IFERROR(LN(Design_Matrix!M6),0)</f>
        <v>5.6489742381612063</v>
      </c>
      <c r="Y10">
        <f t="shared" si="6"/>
        <v>284.00000000000006</v>
      </c>
      <c r="Z10">
        <f>IFERROR(SUMPRODUCT(Design_Matrix!B6:K6,$I$5:$I$14),0)+IFERROR(LN(Design_Matrix!M6),0)</f>
        <v>5.6489742381612063</v>
      </c>
      <c r="AA10">
        <f t="shared" si="7"/>
        <v>284.00000000000006</v>
      </c>
      <c r="AB10">
        <f>IFERROR(SUMPRODUCT(Design_Matrix!B6:K6,$J$5:$J$14),0)+IFERROR(LN(Design_Matrix!M6),0)</f>
        <v>5.6489742381612063</v>
      </c>
      <c r="AC10">
        <f t="shared" si="8"/>
        <v>284.00000000000006</v>
      </c>
    </row>
    <row r="11" spans="1:29" x14ac:dyDescent="0.2">
      <c r="A11" t="s">
        <v>41</v>
      </c>
      <c r="B11">
        <v>0</v>
      </c>
      <c r="C11">
        <f>IFERROR(B11+$B$1*B81/COUNT(Design_Matrix!A2:A65),B11)</f>
        <v>-2.0000000000000009E-4</v>
      </c>
      <c r="D11">
        <f>IFERROR(C11+$B$1*C81/COUNT(Design_Matrix!A2:A65),C11)</f>
        <v>-4.0000000000000018E-4</v>
      </c>
      <c r="E11">
        <f>IFERROR(D11+$B$1*D81/COUNT(Design_Matrix!A2:A65),D11)</f>
        <v>-6.0000000000000027E-4</v>
      </c>
      <c r="F11">
        <f>IFERROR(E11+$B$1*E81/COUNT(Design_Matrix!A2:A65),E11)</f>
        <v>-8.0000000000000036E-4</v>
      </c>
      <c r="G11">
        <f>IFERROR(F11+$B$1*F81/COUNT(Design_Matrix!A2:A65),F11)</f>
        <v>-1.0000000000000005E-3</v>
      </c>
      <c r="H11">
        <f>IFERROR(G11+$B$1*G81/COUNT(Design_Matrix!A2:A65),G11)</f>
        <v>-1.2000000000000005E-3</v>
      </c>
      <c r="I11">
        <f>IFERROR(H11+$B$1*H81/COUNT(Design_Matrix!A2:A65),H11)</f>
        <v>-1.4000000000000006E-3</v>
      </c>
      <c r="J11">
        <f>IFERROR(I11+$B$1*I81/COUNT(Design_Matrix!A2:A65),I11)</f>
        <v>-1.6000000000000007E-3</v>
      </c>
      <c r="L11">
        <f>IFERROR(SUMPRODUCT(Design_Matrix!B7:K7,$B$5:$B$14),0)+IFERROR(LN(Design_Matrix!M7),0)</f>
        <v>6.2841341610708019</v>
      </c>
      <c r="M11">
        <f t="shared" si="0"/>
        <v>536</v>
      </c>
      <c r="N11">
        <f>IFERROR(SUMPRODUCT(Design_Matrix!B7:K7,$C$5:$C$14),0)+IFERROR(LN(Design_Matrix!M7),0)</f>
        <v>6.2841341610708019</v>
      </c>
      <c r="O11">
        <f t="shared" si="1"/>
        <v>536</v>
      </c>
      <c r="P11">
        <f>IFERROR(SUMPRODUCT(Design_Matrix!B7:K7,$D$5:$D$14),0)+IFERROR(LN(Design_Matrix!M7),0)</f>
        <v>6.2841341610708019</v>
      </c>
      <c r="Q11">
        <f t="shared" si="2"/>
        <v>536</v>
      </c>
      <c r="R11">
        <f>IFERROR(SUMPRODUCT(Design_Matrix!B7:K7,$E$5:$E$14),0)+IFERROR(LN(Design_Matrix!M7),0)</f>
        <v>6.2841341610708019</v>
      </c>
      <c r="S11">
        <f t="shared" si="3"/>
        <v>536</v>
      </c>
      <c r="T11">
        <f>IFERROR(SUMPRODUCT(Design_Matrix!B7:K7,$F$5:$F$14),0)+IFERROR(LN(Design_Matrix!M7),0)</f>
        <v>6.2841341610708019</v>
      </c>
      <c r="U11">
        <f t="shared" si="4"/>
        <v>536</v>
      </c>
      <c r="V11">
        <f>IFERROR(SUMPRODUCT(Design_Matrix!B7:K7,$G$5:$G$14),0)+IFERROR(LN(Design_Matrix!M7),0)</f>
        <v>6.2841341610708019</v>
      </c>
      <c r="W11">
        <f t="shared" si="5"/>
        <v>536</v>
      </c>
      <c r="X11">
        <f>IFERROR(SUMPRODUCT(Design_Matrix!B7:K7,$H$5:$H$14),0)+IFERROR(LN(Design_Matrix!M7),0)</f>
        <v>6.2841341610708019</v>
      </c>
      <c r="Y11">
        <f t="shared" si="6"/>
        <v>536</v>
      </c>
      <c r="Z11">
        <f>IFERROR(SUMPRODUCT(Design_Matrix!B7:K7,$I$5:$I$14),0)+IFERROR(LN(Design_Matrix!M7),0)</f>
        <v>6.2841341610708019</v>
      </c>
      <c r="AA11">
        <f t="shared" si="7"/>
        <v>536</v>
      </c>
      <c r="AB11">
        <f>IFERROR(SUMPRODUCT(Design_Matrix!B7:K7,$J$5:$J$14),0)+IFERROR(LN(Design_Matrix!M7),0)</f>
        <v>6.2841341610708019</v>
      </c>
      <c r="AC11">
        <f t="shared" si="8"/>
        <v>536</v>
      </c>
    </row>
    <row r="12" spans="1:29" x14ac:dyDescent="0.2">
      <c r="A12" t="s">
        <v>42</v>
      </c>
      <c r="B12">
        <v>0</v>
      </c>
      <c r="C12">
        <f>IFERROR(B12+$B$1*B82/COUNT(Design_Matrix!A2:A65),B12)</f>
        <v>-3.0187500000000001E-4</v>
      </c>
      <c r="D12">
        <f>IFERROR(C12+$B$1*C82/COUNT(Design_Matrix!A2:A65),C12)</f>
        <v>-6.0375000000000001E-4</v>
      </c>
      <c r="E12">
        <f>IFERROR(D12+$B$1*D82/COUNT(Design_Matrix!A2:A65),D12)</f>
        <v>-9.0562499999999996E-4</v>
      </c>
      <c r="F12">
        <f>IFERROR(E12+$B$1*E82/COUNT(Design_Matrix!A2:A65),E12)</f>
        <v>-1.2075E-3</v>
      </c>
      <c r="G12">
        <f>IFERROR(F12+$B$1*F82/COUNT(Design_Matrix!A2:A65),F12)</f>
        <v>-1.5093750000000001E-3</v>
      </c>
      <c r="H12">
        <f>IFERROR(G12+$B$1*G82/COUNT(Design_Matrix!A2:A65),G12)</f>
        <v>-1.8112500000000001E-3</v>
      </c>
      <c r="I12">
        <f>IFERROR(H12+$B$1*H82/COUNT(Design_Matrix!A2:A65),H12)</f>
        <v>-2.113125E-3</v>
      </c>
      <c r="J12">
        <f>IFERROR(I12+$B$1*I82/COUNT(Design_Matrix!A2:A65),I12)</f>
        <v>-2.415E-3</v>
      </c>
      <c r="L12">
        <f>IFERROR(SUMPRODUCT(Design_Matrix!B8:K8,$B$5:$B$14),0)+IFERROR(LN(Design_Matrix!M8),0)</f>
        <v>6.5453496603344199</v>
      </c>
      <c r="M12">
        <f t="shared" si="0"/>
        <v>696.00000000000023</v>
      </c>
      <c r="N12">
        <f>IFERROR(SUMPRODUCT(Design_Matrix!B8:K8,$C$5:$C$14),0)+IFERROR(LN(Design_Matrix!M8),0)</f>
        <v>6.5453496603344199</v>
      </c>
      <c r="O12">
        <f t="shared" si="1"/>
        <v>696.00000000000023</v>
      </c>
      <c r="P12">
        <f>IFERROR(SUMPRODUCT(Design_Matrix!B8:K8,$D$5:$D$14),0)+IFERROR(LN(Design_Matrix!M8),0)</f>
        <v>6.5453496603344199</v>
      </c>
      <c r="Q12">
        <f t="shared" si="2"/>
        <v>696.00000000000023</v>
      </c>
      <c r="R12">
        <f>IFERROR(SUMPRODUCT(Design_Matrix!B8:K8,$E$5:$E$14),0)+IFERROR(LN(Design_Matrix!M8),0)</f>
        <v>6.5453496603344199</v>
      </c>
      <c r="S12">
        <f t="shared" si="3"/>
        <v>696.00000000000023</v>
      </c>
      <c r="T12">
        <f>IFERROR(SUMPRODUCT(Design_Matrix!B8:K8,$F$5:$F$14),0)+IFERROR(LN(Design_Matrix!M8),0)</f>
        <v>6.5453496603344199</v>
      </c>
      <c r="U12">
        <f t="shared" si="4"/>
        <v>696.00000000000023</v>
      </c>
      <c r="V12">
        <f>IFERROR(SUMPRODUCT(Design_Matrix!B8:K8,$G$5:$G$14),0)+IFERROR(LN(Design_Matrix!M8),0)</f>
        <v>6.5453496603344199</v>
      </c>
      <c r="W12">
        <f t="shared" si="5"/>
        <v>696.00000000000023</v>
      </c>
      <c r="X12">
        <f>IFERROR(SUMPRODUCT(Design_Matrix!B8:K8,$H$5:$H$14),0)+IFERROR(LN(Design_Matrix!M8),0)</f>
        <v>6.5453496603344199</v>
      </c>
      <c r="Y12">
        <f t="shared" si="6"/>
        <v>696.00000000000023</v>
      </c>
      <c r="Z12">
        <f>IFERROR(SUMPRODUCT(Design_Matrix!B8:K8,$I$5:$I$14),0)+IFERROR(LN(Design_Matrix!M8),0)</f>
        <v>6.5453496603344199</v>
      </c>
      <c r="AA12">
        <f t="shared" si="7"/>
        <v>696.00000000000023</v>
      </c>
      <c r="AB12">
        <f>IFERROR(SUMPRODUCT(Design_Matrix!B8:K8,$J$5:$J$14),0)+IFERROR(LN(Design_Matrix!M8),0)</f>
        <v>6.5453496603344199</v>
      </c>
      <c r="AC12">
        <f t="shared" si="8"/>
        <v>696.00000000000023</v>
      </c>
    </row>
    <row r="13" spans="1:29" x14ac:dyDescent="0.2">
      <c r="A13" t="s">
        <v>43</v>
      </c>
      <c r="B13">
        <v>0</v>
      </c>
      <c r="C13">
        <f>IFERROR(B13+$B$1*B83/COUNT(Design_Matrix!A2:A65),B13)</f>
        <v>-3.9906250000000006E-4</v>
      </c>
      <c r="D13">
        <f>IFERROR(C13+$B$1*C83/COUNT(Design_Matrix!A2:A65),C13)</f>
        <v>-7.9812500000000011E-4</v>
      </c>
      <c r="E13">
        <f>IFERROR(D13+$B$1*D83/COUNT(Design_Matrix!A2:A65),D13)</f>
        <v>-1.1971875000000001E-3</v>
      </c>
      <c r="F13">
        <f>IFERROR(E13+$B$1*E83/COUNT(Design_Matrix!A2:A65),E13)</f>
        <v>-1.5962500000000002E-3</v>
      </c>
      <c r="G13">
        <f>IFERROR(F13+$B$1*F83/COUNT(Design_Matrix!A2:A65),F13)</f>
        <v>-1.9953125000000001E-3</v>
      </c>
      <c r="H13">
        <f>IFERROR(G13+$B$1*G83/COUNT(Design_Matrix!A2:A65),G13)</f>
        <v>-2.3943750000000002E-3</v>
      </c>
      <c r="I13">
        <f>IFERROR(H13+$B$1*H83/COUNT(Design_Matrix!A2:A65),H13)</f>
        <v>-2.7934375000000003E-3</v>
      </c>
      <c r="J13">
        <f>IFERROR(I13+$B$1*I83/COUNT(Design_Matrix!A2:A65),I13)</f>
        <v>-3.1925000000000005E-3</v>
      </c>
      <c r="L13">
        <f>IFERROR(SUMPRODUCT(Design_Matrix!B9:K9,$B$5:$B$14),0)+IFERROR(LN(Design_Matrix!M9),0)</f>
        <v>8.1836765826206577</v>
      </c>
      <c r="M13">
        <f t="shared" si="0"/>
        <v>3582.0000000000023</v>
      </c>
      <c r="N13">
        <f>IFERROR(SUMPRODUCT(Design_Matrix!B9:K9,$C$5:$C$14),0)+IFERROR(LN(Design_Matrix!M9),0)</f>
        <v>8.1836765826206577</v>
      </c>
      <c r="O13">
        <f t="shared" si="1"/>
        <v>3582.0000000000023</v>
      </c>
      <c r="P13">
        <f>IFERROR(SUMPRODUCT(Design_Matrix!B9:K9,$D$5:$D$14),0)+IFERROR(LN(Design_Matrix!M9),0)</f>
        <v>8.1836765826206577</v>
      </c>
      <c r="Q13">
        <f t="shared" si="2"/>
        <v>3582.0000000000023</v>
      </c>
      <c r="R13">
        <f>IFERROR(SUMPRODUCT(Design_Matrix!B9:K9,$E$5:$E$14),0)+IFERROR(LN(Design_Matrix!M9),0)</f>
        <v>8.1836765826206577</v>
      </c>
      <c r="S13">
        <f t="shared" si="3"/>
        <v>3582.0000000000023</v>
      </c>
      <c r="T13">
        <f>IFERROR(SUMPRODUCT(Design_Matrix!B9:K9,$F$5:$F$14),0)+IFERROR(LN(Design_Matrix!M9),0)</f>
        <v>8.1836765826206577</v>
      </c>
      <c r="U13">
        <f t="shared" si="4"/>
        <v>3582.0000000000023</v>
      </c>
      <c r="V13">
        <f>IFERROR(SUMPRODUCT(Design_Matrix!B9:K9,$G$5:$G$14),0)+IFERROR(LN(Design_Matrix!M9),0)</f>
        <v>8.1836765826206577</v>
      </c>
      <c r="W13">
        <f t="shared" si="5"/>
        <v>3582.0000000000023</v>
      </c>
      <c r="X13">
        <f>IFERROR(SUMPRODUCT(Design_Matrix!B9:K9,$H$5:$H$14),0)+IFERROR(LN(Design_Matrix!M9),0)</f>
        <v>8.1836765826206577</v>
      </c>
      <c r="Y13">
        <f t="shared" si="6"/>
        <v>3582.0000000000023</v>
      </c>
      <c r="Z13">
        <f>IFERROR(SUMPRODUCT(Design_Matrix!B9:K9,$I$5:$I$14),0)+IFERROR(LN(Design_Matrix!M9),0)</f>
        <v>8.1836765826206577</v>
      </c>
      <c r="AA13">
        <f t="shared" si="7"/>
        <v>3582.0000000000023</v>
      </c>
      <c r="AB13">
        <f>IFERROR(SUMPRODUCT(Design_Matrix!B9:K9,$J$5:$J$14),0)+IFERROR(LN(Design_Matrix!M9),0)</f>
        <v>8.1836765826206577</v>
      </c>
      <c r="AC13">
        <f t="shared" si="8"/>
        <v>3582.0000000000023</v>
      </c>
    </row>
    <row r="14" spans="1:29" x14ac:dyDescent="0.2">
      <c r="A14" t="s">
        <v>44</v>
      </c>
      <c r="B14">
        <v>0</v>
      </c>
      <c r="C14">
        <f>IFERROR(B14+$B$1*B84/COUNT(Design_Matrix!A2:A65),B14)</f>
        <v>-2.3145312500000002E-3</v>
      </c>
      <c r="D14">
        <f>IFERROR(C14+$B$1*C84/COUNT(Design_Matrix!A2:A65),C14)</f>
        <v>-4.6290625000000004E-3</v>
      </c>
      <c r="E14">
        <f>IFERROR(D14+$B$1*D84/COUNT(Design_Matrix!A2:A65),D14)</f>
        <v>-6.943593750000001E-3</v>
      </c>
      <c r="F14">
        <f>IFERROR(E14+$B$1*E84/COUNT(Design_Matrix!A2:A65),E14)</f>
        <v>-9.2581250000000007E-3</v>
      </c>
      <c r="G14">
        <f>IFERROR(F14+$B$1*F84/COUNT(Design_Matrix!A2:A65),F14)</f>
        <v>-1.157265625E-2</v>
      </c>
      <c r="H14">
        <f>IFERROR(G14+$B$1*G84/COUNT(Design_Matrix!A2:A65),G14)</f>
        <v>-1.38871875E-2</v>
      </c>
      <c r="I14">
        <f>IFERROR(H14+$B$1*H84/COUNT(Design_Matrix!A2:A65),H14)</f>
        <v>-1.620171875E-2</v>
      </c>
      <c r="J14">
        <f>IFERROR(I14+$B$1*I84/COUNT(Design_Matrix!A2:A65),I14)</f>
        <v>-1.8516250000000001E-2</v>
      </c>
      <c r="L14">
        <f>IFERROR(SUMPRODUCT(Design_Matrix!B10:K10,$B$5:$B$14),0)+IFERROR(LN(Design_Matrix!M10),0)</f>
        <v>4.8903491282217537</v>
      </c>
      <c r="M14">
        <f t="shared" si="0"/>
        <v>133</v>
      </c>
      <c r="N14">
        <f>IFERROR(SUMPRODUCT(Design_Matrix!B10:K10,$C$5:$C$14),0)+IFERROR(LN(Design_Matrix!M10),0)</f>
        <v>4.8903491282217537</v>
      </c>
      <c r="O14">
        <f t="shared" si="1"/>
        <v>133</v>
      </c>
      <c r="P14">
        <f>IFERROR(SUMPRODUCT(Design_Matrix!B10:K10,$D$5:$D$14),0)+IFERROR(LN(Design_Matrix!M10),0)</f>
        <v>4.8903491282217537</v>
      </c>
      <c r="Q14">
        <f t="shared" si="2"/>
        <v>133</v>
      </c>
      <c r="R14">
        <f>IFERROR(SUMPRODUCT(Design_Matrix!B10:K10,$E$5:$E$14),0)+IFERROR(LN(Design_Matrix!M10),0)</f>
        <v>4.8903491282217537</v>
      </c>
      <c r="S14">
        <f t="shared" si="3"/>
        <v>133</v>
      </c>
      <c r="T14">
        <f>IFERROR(SUMPRODUCT(Design_Matrix!B10:K10,$F$5:$F$14),0)+IFERROR(LN(Design_Matrix!M10),0)</f>
        <v>4.8903491282217537</v>
      </c>
      <c r="U14">
        <f t="shared" si="4"/>
        <v>133</v>
      </c>
      <c r="V14">
        <f>IFERROR(SUMPRODUCT(Design_Matrix!B10:K10,$G$5:$G$14),0)+IFERROR(LN(Design_Matrix!M10),0)</f>
        <v>4.8903491282217537</v>
      </c>
      <c r="W14">
        <f t="shared" si="5"/>
        <v>133</v>
      </c>
      <c r="X14">
        <f>IFERROR(SUMPRODUCT(Design_Matrix!B10:K10,$H$5:$H$14),0)+IFERROR(LN(Design_Matrix!M10),0)</f>
        <v>4.8903491282217537</v>
      </c>
      <c r="Y14">
        <f t="shared" si="6"/>
        <v>133</v>
      </c>
      <c r="Z14">
        <f>IFERROR(SUMPRODUCT(Design_Matrix!B10:K10,$I$5:$I$14),0)+IFERROR(LN(Design_Matrix!M10),0)</f>
        <v>4.8903491282217537</v>
      </c>
      <c r="AA14">
        <f t="shared" si="7"/>
        <v>133</v>
      </c>
      <c r="AB14">
        <f>IFERROR(SUMPRODUCT(Design_Matrix!B10:K10,$J$5:$J$14),0)+IFERROR(LN(Design_Matrix!M10),0)</f>
        <v>4.8903491282217537</v>
      </c>
      <c r="AC14">
        <f t="shared" si="8"/>
        <v>133</v>
      </c>
    </row>
    <row r="15" spans="1:29" x14ac:dyDescent="0.2">
      <c r="L15">
        <f>IFERROR(SUMPRODUCT(Design_Matrix!B11:K11,$B$5:$B$14),0)+IFERROR(LN(Design_Matrix!M11),0)</f>
        <v>5.6559918108198524</v>
      </c>
      <c r="M15">
        <f t="shared" si="0"/>
        <v>285.99999999999994</v>
      </c>
      <c r="N15">
        <f>IFERROR(SUMPRODUCT(Design_Matrix!B11:K11,$C$5:$C$14),0)+IFERROR(LN(Design_Matrix!M11),0)</f>
        <v>5.6559918108198524</v>
      </c>
      <c r="O15">
        <f t="shared" si="1"/>
        <v>285.99999999999994</v>
      </c>
      <c r="P15">
        <f>IFERROR(SUMPRODUCT(Design_Matrix!B11:K11,$D$5:$D$14),0)+IFERROR(LN(Design_Matrix!M11),0)</f>
        <v>5.6559918108198524</v>
      </c>
      <c r="Q15">
        <f t="shared" si="2"/>
        <v>285.99999999999994</v>
      </c>
      <c r="R15">
        <f>IFERROR(SUMPRODUCT(Design_Matrix!B11:K11,$E$5:$E$14),0)+IFERROR(LN(Design_Matrix!M11),0)</f>
        <v>5.6559918108198524</v>
      </c>
      <c r="S15">
        <f t="shared" si="3"/>
        <v>285.99999999999994</v>
      </c>
      <c r="T15">
        <f>IFERROR(SUMPRODUCT(Design_Matrix!B11:K11,$F$5:$F$14),0)+IFERROR(LN(Design_Matrix!M11),0)</f>
        <v>5.6559918108198524</v>
      </c>
      <c r="U15">
        <f t="shared" si="4"/>
        <v>285.99999999999994</v>
      </c>
      <c r="V15">
        <f>IFERROR(SUMPRODUCT(Design_Matrix!B11:K11,$G$5:$G$14),0)+IFERROR(LN(Design_Matrix!M11),0)</f>
        <v>5.6559918108198524</v>
      </c>
      <c r="W15">
        <f t="shared" si="5"/>
        <v>285.99999999999994</v>
      </c>
      <c r="X15">
        <f>IFERROR(SUMPRODUCT(Design_Matrix!B11:K11,$H$5:$H$14),0)+IFERROR(LN(Design_Matrix!M11),0)</f>
        <v>5.6559918108198524</v>
      </c>
      <c r="Y15">
        <f t="shared" si="6"/>
        <v>285.99999999999994</v>
      </c>
      <c r="Z15">
        <f>IFERROR(SUMPRODUCT(Design_Matrix!B11:K11,$I$5:$I$14),0)+IFERROR(LN(Design_Matrix!M11),0)</f>
        <v>5.6559918108198524</v>
      </c>
      <c r="AA15">
        <f t="shared" si="7"/>
        <v>285.99999999999994</v>
      </c>
      <c r="AB15">
        <f>IFERROR(SUMPRODUCT(Design_Matrix!B11:K11,$J$5:$J$14),0)+IFERROR(LN(Design_Matrix!M11),0)</f>
        <v>5.6559918108198524</v>
      </c>
      <c r="AC15">
        <f t="shared" si="8"/>
        <v>285.99999999999994</v>
      </c>
    </row>
    <row r="16" spans="1:29" x14ac:dyDescent="0.2">
      <c r="L16">
        <f>IFERROR(SUMPRODUCT(Design_Matrix!B12:K12,$B$5:$B$14),0)+IFERROR(LN(Design_Matrix!M12),0)</f>
        <v>5.872117789475416</v>
      </c>
      <c r="M16">
        <f t="shared" si="0"/>
        <v>355.00000000000006</v>
      </c>
      <c r="N16">
        <f>IFERROR(SUMPRODUCT(Design_Matrix!B12:K12,$C$5:$C$14),0)+IFERROR(LN(Design_Matrix!M12),0)</f>
        <v>5.872117789475416</v>
      </c>
      <c r="O16">
        <f t="shared" si="1"/>
        <v>355.00000000000006</v>
      </c>
      <c r="P16">
        <f>IFERROR(SUMPRODUCT(Design_Matrix!B12:K12,$D$5:$D$14),0)+IFERROR(LN(Design_Matrix!M12),0)</f>
        <v>5.872117789475416</v>
      </c>
      <c r="Q16">
        <f t="shared" si="2"/>
        <v>355.00000000000006</v>
      </c>
      <c r="R16">
        <f>IFERROR(SUMPRODUCT(Design_Matrix!B12:K12,$E$5:$E$14),0)+IFERROR(LN(Design_Matrix!M12),0)</f>
        <v>5.872117789475416</v>
      </c>
      <c r="S16">
        <f t="shared" si="3"/>
        <v>355.00000000000006</v>
      </c>
      <c r="T16">
        <f>IFERROR(SUMPRODUCT(Design_Matrix!B12:K12,$F$5:$F$14),0)+IFERROR(LN(Design_Matrix!M12),0)</f>
        <v>5.872117789475416</v>
      </c>
      <c r="U16">
        <f t="shared" si="4"/>
        <v>355.00000000000006</v>
      </c>
      <c r="V16">
        <f>IFERROR(SUMPRODUCT(Design_Matrix!B12:K12,$G$5:$G$14),0)+IFERROR(LN(Design_Matrix!M12),0)</f>
        <v>5.872117789475416</v>
      </c>
      <c r="W16">
        <f t="shared" si="5"/>
        <v>355.00000000000006</v>
      </c>
      <c r="X16">
        <f>IFERROR(SUMPRODUCT(Design_Matrix!B12:K12,$H$5:$H$14),0)+IFERROR(LN(Design_Matrix!M12),0)</f>
        <v>5.872117789475416</v>
      </c>
      <c r="Y16">
        <f t="shared" si="6"/>
        <v>355.00000000000006</v>
      </c>
      <c r="Z16">
        <f>IFERROR(SUMPRODUCT(Design_Matrix!B12:K12,$I$5:$I$14),0)+IFERROR(LN(Design_Matrix!M12),0)</f>
        <v>5.872117789475416</v>
      </c>
      <c r="AA16">
        <f t="shared" si="7"/>
        <v>355.00000000000006</v>
      </c>
      <c r="AB16">
        <f>IFERROR(SUMPRODUCT(Design_Matrix!B12:K12,$J$5:$J$14),0)+IFERROR(LN(Design_Matrix!M12),0)</f>
        <v>5.872117789475416</v>
      </c>
      <c r="AC16">
        <f t="shared" si="8"/>
        <v>355.00000000000006</v>
      </c>
    </row>
    <row r="17" spans="12:29" x14ac:dyDescent="0.2">
      <c r="L17">
        <f>IFERROR(SUMPRODUCT(Design_Matrix!B13:K13,$B$5:$B$14),0)+IFERROR(LN(Design_Matrix!M13),0)</f>
        <v>7.4024515208182438</v>
      </c>
      <c r="M17">
        <f t="shared" si="0"/>
        <v>1639.9999999999993</v>
      </c>
      <c r="N17">
        <f>IFERROR(SUMPRODUCT(Design_Matrix!B13:K13,$C$5:$C$14),0)+IFERROR(LN(Design_Matrix!M13),0)</f>
        <v>7.4024515208182438</v>
      </c>
      <c r="O17">
        <f t="shared" si="1"/>
        <v>1639.9999999999993</v>
      </c>
      <c r="P17">
        <f>IFERROR(SUMPRODUCT(Design_Matrix!B13:K13,$D$5:$D$14),0)+IFERROR(LN(Design_Matrix!M13),0)</f>
        <v>7.4024515208182438</v>
      </c>
      <c r="Q17">
        <f t="shared" si="2"/>
        <v>1639.9999999999993</v>
      </c>
      <c r="R17">
        <f>IFERROR(SUMPRODUCT(Design_Matrix!B13:K13,$E$5:$E$14),0)+IFERROR(LN(Design_Matrix!M13),0)</f>
        <v>7.4024515208182438</v>
      </c>
      <c r="S17">
        <f t="shared" si="3"/>
        <v>1639.9999999999993</v>
      </c>
      <c r="T17">
        <f>IFERROR(SUMPRODUCT(Design_Matrix!B13:K13,$F$5:$F$14),0)+IFERROR(LN(Design_Matrix!M13),0)</f>
        <v>7.4024515208182438</v>
      </c>
      <c r="U17">
        <f t="shared" si="4"/>
        <v>1639.9999999999993</v>
      </c>
      <c r="V17">
        <f>IFERROR(SUMPRODUCT(Design_Matrix!B13:K13,$G$5:$G$14),0)+IFERROR(LN(Design_Matrix!M13),0)</f>
        <v>7.4024515208182438</v>
      </c>
      <c r="W17">
        <f t="shared" si="5"/>
        <v>1639.9999999999993</v>
      </c>
      <c r="X17">
        <f>IFERROR(SUMPRODUCT(Design_Matrix!B13:K13,$H$5:$H$14),0)+IFERROR(LN(Design_Matrix!M13),0)</f>
        <v>7.4024515208182438</v>
      </c>
      <c r="Y17">
        <f t="shared" si="6"/>
        <v>1639.9999999999993</v>
      </c>
      <c r="Z17">
        <f>IFERROR(SUMPRODUCT(Design_Matrix!B13:K13,$I$5:$I$14),0)+IFERROR(LN(Design_Matrix!M13),0)</f>
        <v>7.4024515208182438</v>
      </c>
      <c r="AA17">
        <f t="shared" si="7"/>
        <v>1639.9999999999993</v>
      </c>
      <c r="AB17">
        <f>IFERROR(SUMPRODUCT(Design_Matrix!B13:K13,$J$5:$J$14),0)+IFERROR(LN(Design_Matrix!M13),0)</f>
        <v>7.4024515208182438</v>
      </c>
      <c r="AC17">
        <f t="shared" si="8"/>
        <v>1639.9999999999993</v>
      </c>
    </row>
    <row r="18" spans="12:29" x14ac:dyDescent="0.2">
      <c r="L18">
        <f>IFERROR(SUMPRODUCT(Design_Matrix!B14:K14,$B$5:$B$14),0)+IFERROR(LN(Design_Matrix!M14),0)</f>
        <v>3.1780538303479458</v>
      </c>
      <c r="M18">
        <f t="shared" si="0"/>
        <v>24.000000000000004</v>
      </c>
      <c r="N18">
        <f>IFERROR(SUMPRODUCT(Design_Matrix!B14:K14,$C$5:$C$14),0)+IFERROR(LN(Design_Matrix!M14),0)</f>
        <v>3.1780538303479458</v>
      </c>
      <c r="O18">
        <f t="shared" si="1"/>
        <v>24.000000000000004</v>
      </c>
      <c r="P18">
        <f>IFERROR(SUMPRODUCT(Design_Matrix!B14:K14,$D$5:$D$14),0)+IFERROR(LN(Design_Matrix!M14),0)</f>
        <v>3.1780538303479458</v>
      </c>
      <c r="Q18">
        <f t="shared" si="2"/>
        <v>24.000000000000004</v>
      </c>
      <c r="R18">
        <f>IFERROR(SUMPRODUCT(Design_Matrix!B14:K14,$E$5:$E$14),0)+IFERROR(LN(Design_Matrix!M14),0)</f>
        <v>3.1780538303479458</v>
      </c>
      <c r="S18">
        <f t="shared" si="3"/>
        <v>24.000000000000004</v>
      </c>
      <c r="T18">
        <f>IFERROR(SUMPRODUCT(Design_Matrix!B14:K14,$F$5:$F$14),0)+IFERROR(LN(Design_Matrix!M14),0)</f>
        <v>3.1780538303479458</v>
      </c>
      <c r="U18">
        <f t="shared" si="4"/>
        <v>24.000000000000004</v>
      </c>
      <c r="V18">
        <f>IFERROR(SUMPRODUCT(Design_Matrix!B14:K14,$G$5:$G$14),0)+IFERROR(LN(Design_Matrix!M14),0)</f>
        <v>3.1780538303479458</v>
      </c>
      <c r="W18">
        <f t="shared" si="5"/>
        <v>24.000000000000004</v>
      </c>
      <c r="X18">
        <f>IFERROR(SUMPRODUCT(Design_Matrix!B14:K14,$H$5:$H$14),0)+IFERROR(LN(Design_Matrix!M14),0)</f>
        <v>3.1780538303479458</v>
      </c>
      <c r="Y18">
        <f t="shared" si="6"/>
        <v>24.000000000000004</v>
      </c>
      <c r="Z18">
        <f>IFERROR(SUMPRODUCT(Design_Matrix!B14:K14,$I$5:$I$14),0)+IFERROR(LN(Design_Matrix!M14),0)</f>
        <v>3.1780538303479458</v>
      </c>
      <c r="AA18">
        <f t="shared" si="7"/>
        <v>24.000000000000004</v>
      </c>
      <c r="AB18">
        <f>IFERROR(SUMPRODUCT(Design_Matrix!B14:K14,$J$5:$J$14),0)+IFERROR(LN(Design_Matrix!M14),0)</f>
        <v>3.1780538303479458</v>
      </c>
      <c r="AC18">
        <f t="shared" si="8"/>
        <v>24.000000000000004</v>
      </c>
    </row>
    <row r="19" spans="12:29" x14ac:dyDescent="0.2">
      <c r="L19">
        <f>IFERROR(SUMPRODUCT(Design_Matrix!B15:K15,$B$5:$B$14),0)+IFERROR(LN(Design_Matrix!M15),0)</f>
        <v>4.2626798770413155</v>
      </c>
      <c r="M19">
        <f t="shared" si="0"/>
        <v>71</v>
      </c>
      <c r="N19">
        <f>IFERROR(SUMPRODUCT(Design_Matrix!B15:K15,$C$5:$C$14),0)+IFERROR(LN(Design_Matrix!M15),0)</f>
        <v>4.2626798770413155</v>
      </c>
      <c r="O19">
        <f t="shared" si="1"/>
        <v>71</v>
      </c>
      <c r="P19">
        <f>IFERROR(SUMPRODUCT(Design_Matrix!B15:K15,$D$5:$D$14),0)+IFERROR(LN(Design_Matrix!M15),0)</f>
        <v>4.2626798770413155</v>
      </c>
      <c r="Q19">
        <f t="shared" si="2"/>
        <v>71</v>
      </c>
      <c r="R19">
        <f>IFERROR(SUMPRODUCT(Design_Matrix!B15:K15,$E$5:$E$14),0)+IFERROR(LN(Design_Matrix!M15),0)</f>
        <v>4.2626798770413155</v>
      </c>
      <c r="S19">
        <f t="shared" si="3"/>
        <v>71</v>
      </c>
      <c r="T19">
        <f>IFERROR(SUMPRODUCT(Design_Matrix!B15:K15,$F$5:$F$14),0)+IFERROR(LN(Design_Matrix!M15),0)</f>
        <v>4.2626798770413155</v>
      </c>
      <c r="U19">
        <f t="shared" si="4"/>
        <v>71</v>
      </c>
      <c r="V19">
        <f>IFERROR(SUMPRODUCT(Design_Matrix!B15:K15,$G$5:$G$14),0)+IFERROR(LN(Design_Matrix!M15),0)</f>
        <v>4.2626798770413155</v>
      </c>
      <c r="W19">
        <f t="shared" si="5"/>
        <v>71</v>
      </c>
      <c r="X19">
        <f>IFERROR(SUMPRODUCT(Design_Matrix!B15:K15,$H$5:$H$14),0)+IFERROR(LN(Design_Matrix!M15),0)</f>
        <v>4.2626798770413155</v>
      </c>
      <c r="Y19">
        <f t="shared" si="6"/>
        <v>71</v>
      </c>
      <c r="Z19">
        <f>IFERROR(SUMPRODUCT(Design_Matrix!B15:K15,$I$5:$I$14),0)+IFERROR(LN(Design_Matrix!M15),0)</f>
        <v>4.2626798770413155</v>
      </c>
      <c r="AA19">
        <f t="shared" si="7"/>
        <v>71</v>
      </c>
      <c r="AB19">
        <f>IFERROR(SUMPRODUCT(Design_Matrix!B15:K15,$J$5:$J$14),0)+IFERROR(LN(Design_Matrix!M15),0)</f>
        <v>4.2626798770413155</v>
      </c>
      <c r="AC19">
        <f t="shared" si="8"/>
        <v>71</v>
      </c>
    </row>
    <row r="20" spans="12:29" x14ac:dyDescent="0.2">
      <c r="L20">
        <f>IFERROR(SUMPRODUCT(Design_Matrix!B16:K16,$B$5:$B$14),0)+IFERROR(LN(Design_Matrix!M16),0)</f>
        <v>4.5951198501345898</v>
      </c>
      <c r="M20">
        <f t="shared" si="0"/>
        <v>98.999999999999986</v>
      </c>
      <c r="N20">
        <f>IFERROR(SUMPRODUCT(Design_Matrix!B16:K16,$C$5:$C$14),0)+IFERROR(LN(Design_Matrix!M16),0)</f>
        <v>4.5951198501345898</v>
      </c>
      <c r="O20">
        <f t="shared" si="1"/>
        <v>98.999999999999986</v>
      </c>
      <c r="P20">
        <f>IFERROR(SUMPRODUCT(Design_Matrix!B16:K16,$D$5:$D$14),0)+IFERROR(LN(Design_Matrix!M16),0)</f>
        <v>4.5951198501345898</v>
      </c>
      <c r="Q20">
        <f t="shared" si="2"/>
        <v>98.999999999999986</v>
      </c>
      <c r="R20">
        <f>IFERROR(SUMPRODUCT(Design_Matrix!B16:K16,$E$5:$E$14),0)+IFERROR(LN(Design_Matrix!M16),0)</f>
        <v>4.5951198501345898</v>
      </c>
      <c r="S20">
        <f t="shared" si="3"/>
        <v>98.999999999999986</v>
      </c>
      <c r="T20">
        <f>IFERROR(SUMPRODUCT(Design_Matrix!B16:K16,$F$5:$F$14),0)+IFERROR(LN(Design_Matrix!M16),0)</f>
        <v>4.5951198501345898</v>
      </c>
      <c r="U20">
        <f t="shared" si="4"/>
        <v>98.999999999999986</v>
      </c>
      <c r="V20">
        <f>IFERROR(SUMPRODUCT(Design_Matrix!B16:K16,$G$5:$G$14),0)+IFERROR(LN(Design_Matrix!M16),0)</f>
        <v>4.5951198501345898</v>
      </c>
      <c r="W20">
        <f t="shared" si="5"/>
        <v>98.999999999999986</v>
      </c>
      <c r="X20">
        <f>IFERROR(SUMPRODUCT(Design_Matrix!B16:K16,$H$5:$H$14),0)+IFERROR(LN(Design_Matrix!M16),0)</f>
        <v>4.5951198501345898</v>
      </c>
      <c r="Y20">
        <f t="shared" si="6"/>
        <v>98.999999999999986</v>
      </c>
      <c r="Z20">
        <f>IFERROR(SUMPRODUCT(Design_Matrix!B16:K16,$I$5:$I$14),0)+IFERROR(LN(Design_Matrix!M16),0)</f>
        <v>4.5951198501345898</v>
      </c>
      <c r="AA20">
        <f t="shared" si="7"/>
        <v>98.999999999999986</v>
      </c>
      <c r="AB20">
        <f>IFERROR(SUMPRODUCT(Design_Matrix!B16:K16,$J$5:$J$14),0)+IFERROR(LN(Design_Matrix!M16),0)</f>
        <v>4.5951198501345898</v>
      </c>
      <c r="AC20">
        <f t="shared" si="8"/>
        <v>98.999999999999986</v>
      </c>
    </row>
    <row r="21" spans="12:29" x14ac:dyDescent="0.2">
      <c r="L21">
        <f>IFERROR(SUMPRODUCT(Design_Matrix!B17:K17,$B$5:$B$14),0)+IFERROR(LN(Design_Matrix!M17),0)</f>
        <v>6.1136821798322316</v>
      </c>
      <c r="M21">
        <f t="shared" si="0"/>
        <v>452.00000000000017</v>
      </c>
      <c r="N21">
        <f>IFERROR(SUMPRODUCT(Design_Matrix!B17:K17,$C$5:$C$14),0)+IFERROR(LN(Design_Matrix!M17),0)</f>
        <v>6.1136821798322316</v>
      </c>
      <c r="O21">
        <f t="shared" si="1"/>
        <v>452.00000000000017</v>
      </c>
      <c r="P21">
        <f>IFERROR(SUMPRODUCT(Design_Matrix!B17:K17,$D$5:$D$14),0)+IFERROR(LN(Design_Matrix!M17),0)</f>
        <v>6.1136821798322316</v>
      </c>
      <c r="Q21">
        <f t="shared" si="2"/>
        <v>452.00000000000017</v>
      </c>
      <c r="R21">
        <f>IFERROR(SUMPRODUCT(Design_Matrix!B17:K17,$E$5:$E$14),0)+IFERROR(LN(Design_Matrix!M17),0)</f>
        <v>6.1136821798322316</v>
      </c>
      <c r="S21">
        <f t="shared" si="3"/>
        <v>452.00000000000017</v>
      </c>
      <c r="T21">
        <f>IFERROR(SUMPRODUCT(Design_Matrix!B17:K17,$F$5:$F$14),0)+IFERROR(LN(Design_Matrix!M17),0)</f>
        <v>6.1136821798322316</v>
      </c>
      <c r="U21">
        <f t="shared" si="4"/>
        <v>452.00000000000017</v>
      </c>
      <c r="V21">
        <f>IFERROR(SUMPRODUCT(Design_Matrix!B17:K17,$G$5:$G$14),0)+IFERROR(LN(Design_Matrix!M17),0)</f>
        <v>6.1136821798322316</v>
      </c>
      <c r="W21">
        <f t="shared" si="5"/>
        <v>452.00000000000017</v>
      </c>
      <c r="X21">
        <f>IFERROR(SUMPRODUCT(Design_Matrix!B17:K17,$H$5:$H$14),0)+IFERROR(LN(Design_Matrix!M17),0)</f>
        <v>6.1136821798322316</v>
      </c>
      <c r="Y21">
        <f t="shared" si="6"/>
        <v>452.00000000000017</v>
      </c>
      <c r="Z21">
        <f>IFERROR(SUMPRODUCT(Design_Matrix!B17:K17,$I$5:$I$14),0)+IFERROR(LN(Design_Matrix!M17),0)</f>
        <v>6.1136821798322316</v>
      </c>
      <c r="AA21">
        <f t="shared" si="7"/>
        <v>452.00000000000017</v>
      </c>
      <c r="AB21">
        <f>IFERROR(SUMPRODUCT(Design_Matrix!B17:K17,$J$5:$J$14),0)+IFERROR(LN(Design_Matrix!M17),0)</f>
        <v>6.1136821798322316</v>
      </c>
      <c r="AC21">
        <f t="shared" si="8"/>
        <v>452.00000000000017</v>
      </c>
    </row>
    <row r="22" spans="12:29" x14ac:dyDescent="0.2">
      <c r="L22">
        <f>IFERROR(SUMPRODUCT(Design_Matrix!B18:K18,$B$5:$B$14),0)+IFERROR(LN(Design_Matrix!M18),0)</f>
        <v>4.4426512564903167</v>
      </c>
      <c r="M22">
        <f t="shared" si="0"/>
        <v>85.000000000000014</v>
      </c>
      <c r="N22">
        <f>IFERROR(SUMPRODUCT(Design_Matrix!B18:K18,$C$5:$C$14),0)+IFERROR(LN(Design_Matrix!M18),0)</f>
        <v>4.4426512564903167</v>
      </c>
      <c r="O22">
        <f t="shared" si="1"/>
        <v>85.000000000000014</v>
      </c>
      <c r="P22">
        <f>IFERROR(SUMPRODUCT(Design_Matrix!B18:K18,$D$5:$D$14),0)+IFERROR(LN(Design_Matrix!M18),0)</f>
        <v>4.4426512564903167</v>
      </c>
      <c r="Q22">
        <f t="shared" si="2"/>
        <v>85.000000000000014</v>
      </c>
      <c r="R22">
        <f>IFERROR(SUMPRODUCT(Design_Matrix!B18:K18,$E$5:$E$14),0)+IFERROR(LN(Design_Matrix!M18),0)</f>
        <v>4.4426512564903167</v>
      </c>
      <c r="S22">
        <f t="shared" si="3"/>
        <v>85.000000000000014</v>
      </c>
      <c r="T22">
        <f>IFERROR(SUMPRODUCT(Design_Matrix!B18:K18,$F$5:$F$14),0)+IFERROR(LN(Design_Matrix!M18),0)</f>
        <v>4.4426512564903167</v>
      </c>
      <c r="U22">
        <f t="shared" si="4"/>
        <v>85.000000000000014</v>
      </c>
      <c r="V22">
        <f>IFERROR(SUMPRODUCT(Design_Matrix!B18:K18,$G$5:$G$14),0)+IFERROR(LN(Design_Matrix!M18),0)</f>
        <v>4.4426512564903167</v>
      </c>
      <c r="W22">
        <f t="shared" si="5"/>
        <v>85.000000000000014</v>
      </c>
      <c r="X22">
        <f>IFERROR(SUMPRODUCT(Design_Matrix!B18:K18,$H$5:$H$14),0)+IFERROR(LN(Design_Matrix!M18),0)</f>
        <v>4.4426512564903167</v>
      </c>
      <c r="Y22">
        <f t="shared" si="6"/>
        <v>85.000000000000014</v>
      </c>
      <c r="Z22">
        <f>IFERROR(SUMPRODUCT(Design_Matrix!B18:K18,$I$5:$I$14),0)+IFERROR(LN(Design_Matrix!M18),0)</f>
        <v>4.4426512564903167</v>
      </c>
      <c r="AA22">
        <f t="shared" si="7"/>
        <v>85.000000000000014</v>
      </c>
      <c r="AB22">
        <f>IFERROR(SUMPRODUCT(Design_Matrix!B18:K18,$J$5:$J$14),0)+IFERROR(LN(Design_Matrix!M18),0)</f>
        <v>4.4426512564903167</v>
      </c>
      <c r="AC22">
        <f t="shared" si="8"/>
        <v>85.000000000000014</v>
      </c>
    </row>
    <row r="23" spans="12:29" x14ac:dyDescent="0.2">
      <c r="L23">
        <f>IFERROR(SUMPRODUCT(Design_Matrix!B19:K19,$B$5:$B$14),0)+IFERROR(LN(Design_Matrix!M19),0)</f>
        <v>4.9344739331306915</v>
      </c>
      <c r="M23">
        <f t="shared" si="0"/>
        <v>138.99999999999997</v>
      </c>
      <c r="N23">
        <f>IFERROR(SUMPRODUCT(Design_Matrix!B19:K19,$C$5:$C$14),0)+IFERROR(LN(Design_Matrix!M19),0)</f>
        <v>4.9344739331306915</v>
      </c>
      <c r="O23">
        <f t="shared" si="1"/>
        <v>138.99999999999997</v>
      </c>
      <c r="P23">
        <f>IFERROR(SUMPRODUCT(Design_Matrix!B19:K19,$D$5:$D$14),0)+IFERROR(LN(Design_Matrix!M19),0)</f>
        <v>4.9344739331306915</v>
      </c>
      <c r="Q23">
        <f t="shared" si="2"/>
        <v>138.99999999999997</v>
      </c>
      <c r="R23">
        <f>IFERROR(SUMPRODUCT(Design_Matrix!B19:K19,$E$5:$E$14),0)+IFERROR(LN(Design_Matrix!M19),0)</f>
        <v>4.9344739331306915</v>
      </c>
      <c r="S23">
        <f t="shared" si="3"/>
        <v>138.99999999999997</v>
      </c>
      <c r="T23">
        <f>IFERROR(SUMPRODUCT(Design_Matrix!B19:K19,$F$5:$F$14),0)+IFERROR(LN(Design_Matrix!M19),0)</f>
        <v>4.9344739331306915</v>
      </c>
      <c r="U23">
        <f t="shared" si="4"/>
        <v>138.99999999999997</v>
      </c>
      <c r="V23">
        <f>IFERROR(SUMPRODUCT(Design_Matrix!B19:K19,$G$5:$G$14),0)+IFERROR(LN(Design_Matrix!M19),0)</f>
        <v>4.9344739331306915</v>
      </c>
      <c r="W23">
        <f t="shared" si="5"/>
        <v>138.99999999999997</v>
      </c>
      <c r="X23">
        <f>IFERROR(SUMPRODUCT(Design_Matrix!B19:K19,$H$5:$H$14),0)+IFERROR(LN(Design_Matrix!M19),0)</f>
        <v>4.9344739331306915</v>
      </c>
      <c r="Y23">
        <f t="shared" si="6"/>
        <v>138.99999999999997</v>
      </c>
      <c r="Z23">
        <f>IFERROR(SUMPRODUCT(Design_Matrix!B19:K19,$I$5:$I$14),0)+IFERROR(LN(Design_Matrix!M19),0)</f>
        <v>4.9344739331306915</v>
      </c>
      <c r="AA23">
        <f t="shared" si="7"/>
        <v>138.99999999999997</v>
      </c>
      <c r="AB23">
        <f>IFERROR(SUMPRODUCT(Design_Matrix!B19:K19,$J$5:$J$14),0)+IFERROR(LN(Design_Matrix!M19),0)</f>
        <v>4.9344739331306915</v>
      </c>
      <c r="AC23">
        <f t="shared" si="8"/>
        <v>138.99999999999997</v>
      </c>
    </row>
    <row r="24" spans="12:29" x14ac:dyDescent="0.2">
      <c r="L24">
        <f>IFERROR(SUMPRODUCT(Design_Matrix!B20:K20,$B$5:$B$14),0)+IFERROR(LN(Design_Matrix!M20),0)</f>
        <v>5.0172798368149243</v>
      </c>
      <c r="M24">
        <f t="shared" si="0"/>
        <v>151</v>
      </c>
      <c r="N24">
        <f>IFERROR(SUMPRODUCT(Design_Matrix!B20:K20,$C$5:$C$14),0)+IFERROR(LN(Design_Matrix!M20),0)</f>
        <v>5.0172798368149243</v>
      </c>
      <c r="O24">
        <f t="shared" si="1"/>
        <v>151</v>
      </c>
      <c r="P24">
        <f>IFERROR(SUMPRODUCT(Design_Matrix!B20:K20,$D$5:$D$14),0)+IFERROR(LN(Design_Matrix!M20),0)</f>
        <v>5.0172798368149243</v>
      </c>
      <c r="Q24">
        <f t="shared" si="2"/>
        <v>151</v>
      </c>
      <c r="R24">
        <f>IFERROR(SUMPRODUCT(Design_Matrix!B20:K20,$E$5:$E$14),0)+IFERROR(LN(Design_Matrix!M20),0)</f>
        <v>5.0172798368149243</v>
      </c>
      <c r="S24">
        <f t="shared" si="3"/>
        <v>151</v>
      </c>
      <c r="T24">
        <f>IFERROR(SUMPRODUCT(Design_Matrix!B20:K20,$F$5:$F$14),0)+IFERROR(LN(Design_Matrix!M20),0)</f>
        <v>5.0172798368149243</v>
      </c>
      <c r="U24">
        <f t="shared" si="4"/>
        <v>151</v>
      </c>
      <c r="V24">
        <f>IFERROR(SUMPRODUCT(Design_Matrix!B20:K20,$G$5:$G$14),0)+IFERROR(LN(Design_Matrix!M20),0)</f>
        <v>5.0172798368149243</v>
      </c>
      <c r="W24">
        <f t="shared" si="5"/>
        <v>151</v>
      </c>
      <c r="X24">
        <f>IFERROR(SUMPRODUCT(Design_Matrix!B20:K20,$H$5:$H$14),0)+IFERROR(LN(Design_Matrix!M20),0)</f>
        <v>5.0172798368149243</v>
      </c>
      <c r="Y24">
        <f t="shared" si="6"/>
        <v>151</v>
      </c>
      <c r="Z24">
        <f>IFERROR(SUMPRODUCT(Design_Matrix!B20:K20,$I$5:$I$14),0)+IFERROR(LN(Design_Matrix!M20),0)</f>
        <v>5.0172798368149243</v>
      </c>
      <c r="AA24">
        <f t="shared" si="7"/>
        <v>151</v>
      </c>
      <c r="AB24">
        <f>IFERROR(SUMPRODUCT(Design_Matrix!B20:K20,$J$5:$J$14),0)+IFERROR(LN(Design_Matrix!M20),0)</f>
        <v>5.0172798368149243</v>
      </c>
      <c r="AC24">
        <f t="shared" si="8"/>
        <v>151</v>
      </c>
    </row>
    <row r="25" spans="12:29" x14ac:dyDescent="0.2">
      <c r="L25">
        <f>IFERROR(SUMPRODUCT(Design_Matrix!B21:K21,$B$5:$B$14),0)+IFERROR(LN(Design_Matrix!M21),0)</f>
        <v>6.8362592772770672</v>
      </c>
      <c r="M25">
        <f t="shared" si="0"/>
        <v>931.00000000000011</v>
      </c>
      <c r="N25">
        <f>IFERROR(SUMPRODUCT(Design_Matrix!B21:K21,$C$5:$C$14),0)+IFERROR(LN(Design_Matrix!M21),0)</f>
        <v>6.8362592772770672</v>
      </c>
      <c r="O25">
        <f t="shared" si="1"/>
        <v>931.00000000000011</v>
      </c>
      <c r="P25">
        <f>IFERROR(SUMPRODUCT(Design_Matrix!B21:K21,$D$5:$D$14),0)+IFERROR(LN(Design_Matrix!M21),0)</f>
        <v>6.8362592772770672</v>
      </c>
      <c r="Q25">
        <f t="shared" si="2"/>
        <v>931.00000000000011</v>
      </c>
      <c r="R25">
        <f>IFERROR(SUMPRODUCT(Design_Matrix!B21:K21,$E$5:$E$14),0)+IFERROR(LN(Design_Matrix!M21),0)</f>
        <v>6.8362592772770672</v>
      </c>
      <c r="S25">
        <f t="shared" si="3"/>
        <v>931.00000000000011</v>
      </c>
      <c r="T25">
        <f>IFERROR(SUMPRODUCT(Design_Matrix!B21:K21,$F$5:$F$14),0)+IFERROR(LN(Design_Matrix!M21),0)</f>
        <v>6.8362592772770672</v>
      </c>
      <c r="U25">
        <f t="shared" si="4"/>
        <v>931.00000000000011</v>
      </c>
      <c r="V25">
        <f>IFERROR(SUMPRODUCT(Design_Matrix!B21:K21,$G$5:$G$14),0)+IFERROR(LN(Design_Matrix!M21),0)</f>
        <v>6.8362592772770672</v>
      </c>
      <c r="W25">
        <f t="shared" si="5"/>
        <v>931.00000000000011</v>
      </c>
      <c r="X25">
        <f>IFERROR(SUMPRODUCT(Design_Matrix!B21:K21,$H$5:$H$14),0)+IFERROR(LN(Design_Matrix!M21),0)</f>
        <v>6.8362592772770672</v>
      </c>
      <c r="Y25">
        <f t="shared" si="6"/>
        <v>931.00000000000011</v>
      </c>
      <c r="Z25">
        <f>IFERROR(SUMPRODUCT(Design_Matrix!B21:K21,$I$5:$I$14),0)+IFERROR(LN(Design_Matrix!M21),0)</f>
        <v>6.8362592772770672</v>
      </c>
      <c r="AA25">
        <f t="shared" si="7"/>
        <v>931.00000000000011</v>
      </c>
      <c r="AB25">
        <f>IFERROR(SUMPRODUCT(Design_Matrix!B21:K21,$J$5:$J$14),0)+IFERROR(LN(Design_Matrix!M21),0)</f>
        <v>6.8362592772770672</v>
      </c>
      <c r="AC25">
        <f t="shared" si="8"/>
        <v>931.00000000000011</v>
      </c>
    </row>
    <row r="26" spans="12:29" x14ac:dyDescent="0.2">
      <c r="L26">
        <f>IFERROR(SUMPRODUCT(Design_Matrix!B22:K22,$B$5:$B$14),0)+IFERROR(LN(Design_Matrix!M22),0)</f>
        <v>5.0039463059454592</v>
      </c>
      <c r="M26">
        <f t="shared" si="0"/>
        <v>149</v>
      </c>
      <c r="N26">
        <f>IFERROR(SUMPRODUCT(Design_Matrix!B22:K22,$C$5:$C$14),0)+IFERROR(LN(Design_Matrix!M22),0)</f>
        <v>5.0039463059454592</v>
      </c>
      <c r="O26">
        <f t="shared" si="1"/>
        <v>149</v>
      </c>
      <c r="P26">
        <f>IFERROR(SUMPRODUCT(Design_Matrix!B22:K22,$D$5:$D$14),0)+IFERROR(LN(Design_Matrix!M22),0)</f>
        <v>5.0039463059454592</v>
      </c>
      <c r="Q26">
        <f t="shared" si="2"/>
        <v>149</v>
      </c>
      <c r="R26">
        <f>IFERROR(SUMPRODUCT(Design_Matrix!B22:K22,$E$5:$E$14),0)+IFERROR(LN(Design_Matrix!M22),0)</f>
        <v>5.0039463059454592</v>
      </c>
      <c r="S26">
        <f t="shared" si="3"/>
        <v>149</v>
      </c>
      <c r="T26">
        <f>IFERROR(SUMPRODUCT(Design_Matrix!B22:K22,$F$5:$F$14),0)+IFERROR(LN(Design_Matrix!M22),0)</f>
        <v>5.0039463059454592</v>
      </c>
      <c r="U26">
        <f t="shared" si="4"/>
        <v>149</v>
      </c>
      <c r="V26">
        <f>IFERROR(SUMPRODUCT(Design_Matrix!B22:K22,$G$5:$G$14),0)+IFERROR(LN(Design_Matrix!M22),0)</f>
        <v>5.0039463059454592</v>
      </c>
      <c r="W26">
        <f t="shared" si="5"/>
        <v>149</v>
      </c>
      <c r="X26">
        <f>IFERROR(SUMPRODUCT(Design_Matrix!B22:K22,$H$5:$H$14),0)+IFERROR(LN(Design_Matrix!M22),0)</f>
        <v>5.0039463059454592</v>
      </c>
      <c r="Y26">
        <f t="shared" si="6"/>
        <v>149</v>
      </c>
      <c r="Z26">
        <f>IFERROR(SUMPRODUCT(Design_Matrix!B22:K22,$I$5:$I$14),0)+IFERROR(LN(Design_Matrix!M22),0)</f>
        <v>5.0039463059454592</v>
      </c>
      <c r="AA26">
        <f t="shared" si="7"/>
        <v>149</v>
      </c>
      <c r="AB26">
        <f>IFERROR(SUMPRODUCT(Design_Matrix!B22:K22,$J$5:$J$14),0)+IFERROR(LN(Design_Matrix!M22),0)</f>
        <v>5.0039463059454592</v>
      </c>
      <c r="AC26">
        <f t="shared" si="8"/>
        <v>149</v>
      </c>
    </row>
    <row r="27" spans="12:29" x14ac:dyDescent="0.2">
      <c r="L27">
        <f>IFERROR(SUMPRODUCT(Design_Matrix!B23:K23,$B$5:$B$14),0)+IFERROR(LN(Design_Matrix!M23),0)</f>
        <v>5.7462031905401529</v>
      </c>
      <c r="M27">
        <f t="shared" si="0"/>
        <v>312.99999999999989</v>
      </c>
      <c r="N27">
        <f>IFERROR(SUMPRODUCT(Design_Matrix!B23:K23,$C$5:$C$14),0)+IFERROR(LN(Design_Matrix!M23),0)</f>
        <v>5.7462031905401529</v>
      </c>
      <c r="O27">
        <f t="shared" si="1"/>
        <v>312.99999999999989</v>
      </c>
      <c r="P27">
        <f>IFERROR(SUMPRODUCT(Design_Matrix!B23:K23,$D$5:$D$14),0)+IFERROR(LN(Design_Matrix!M23),0)</f>
        <v>5.7462031905401529</v>
      </c>
      <c r="Q27">
        <f t="shared" si="2"/>
        <v>312.99999999999989</v>
      </c>
      <c r="R27">
        <f>IFERROR(SUMPRODUCT(Design_Matrix!B23:K23,$E$5:$E$14),0)+IFERROR(LN(Design_Matrix!M23),0)</f>
        <v>5.7462031905401529</v>
      </c>
      <c r="S27">
        <f t="shared" si="3"/>
        <v>312.99999999999989</v>
      </c>
      <c r="T27">
        <f>IFERROR(SUMPRODUCT(Design_Matrix!B23:K23,$F$5:$F$14),0)+IFERROR(LN(Design_Matrix!M23),0)</f>
        <v>5.7462031905401529</v>
      </c>
      <c r="U27">
        <f t="shared" si="4"/>
        <v>312.99999999999989</v>
      </c>
      <c r="V27">
        <f>IFERROR(SUMPRODUCT(Design_Matrix!B23:K23,$G$5:$G$14),0)+IFERROR(LN(Design_Matrix!M23),0)</f>
        <v>5.7462031905401529</v>
      </c>
      <c r="W27">
        <f t="shared" si="5"/>
        <v>312.99999999999989</v>
      </c>
      <c r="X27">
        <f>IFERROR(SUMPRODUCT(Design_Matrix!B23:K23,$H$5:$H$14),0)+IFERROR(LN(Design_Matrix!M23),0)</f>
        <v>5.7462031905401529</v>
      </c>
      <c r="Y27">
        <f t="shared" si="6"/>
        <v>312.99999999999989</v>
      </c>
      <c r="Z27">
        <f>IFERROR(SUMPRODUCT(Design_Matrix!B23:K23,$I$5:$I$14),0)+IFERROR(LN(Design_Matrix!M23),0)</f>
        <v>5.7462031905401529</v>
      </c>
      <c r="AA27">
        <f t="shared" si="7"/>
        <v>312.99999999999989</v>
      </c>
      <c r="AB27">
        <f>IFERROR(SUMPRODUCT(Design_Matrix!B23:K23,$J$5:$J$14),0)+IFERROR(LN(Design_Matrix!M23),0)</f>
        <v>5.7462031905401529</v>
      </c>
      <c r="AC27">
        <f t="shared" si="8"/>
        <v>312.99999999999989</v>
      </c>
    </row>
    <row r="28" spans="12:29" x14ac:dyDescent="0.2">
      <c r="L28">
        <f>IFERROR(SUMPRODUCT(Design_Matrix!B24:K24,$B$5:$B$14),0)+IFERROR(LN(Design_Matrix!M24),0)</f>
        <v>6.0378709199221374</v>
      </c>
      <c r="M28">
        <f t="shared" si="0"/>
        <v>418.99999999999989</v>
      </c>
      <c r="N28">
        <f>IFERROR(SUMPRODUCT(Design_Matrix!B24:K24,$C$5:$C$14),0)+IFERROR(LN(Design_Matrix!M24),0)</f>
        <v>6.0378709199221374</v>
      </c>
      <c r="O28">
        <f t="shared" si="1"/>
        <v>418.99999999999989</v>
      </c>
      <c r="P28">
        <f>IFERROR(SUMPRODUCT(Design_Matrix!B24:K24,$D$5:$D$14),0)+IFERROR(LN(Design_Matrix!M24),0)</f>
        <v>6.0378709199221374</v>
      </c>
      <c r="Q28">
        <f t="shared" si="2"/>
        <v>418.99999999999989</v>
      </c>
      <c r="R28">
        <f>IFERROR(SUMPRODUCT(Design_Matrix!B24:K24,$E$5:$E$14),0)+IFERROR(LN(Design_Matrix!M24),0)</f>
        <v>6.0378709199221374</v>
      </c>
      <c r="S28">
        <f t="shared" si="3"/>
        <v>418.99999999999989</v>
      </c>
      <c r="T28">
        <f>IFERROR(SUMPRODUCT(Design_Matrix!B24:K24,$F$5:$F$14),0)+IFERROR(LN(Design_Matrix!M24),0)</f>
        <v>6.0378709199221374</v>
      </c>
      <c r="U28">
        <f t="shared" si="4"/>
        <v>418.99999999999989</v>
      </c>
      <c r="V28">
        <f>IFERROR(SUMPRODUCT(Design_Matrix!B24:K24,$G$5:$G$14),0)+IFERROR(LN(Design_Matrix!M24),0)</f>
        <v>6.0378709199221374</v>
      </c>
      <c r="W28">
        <f t="shared" si="5"/>
        <v>418.99999999999989</v>
      </c>
      <c r="X28">
        <f>IFERROR(SUMPRODUCT(Design_Matrix!B24:K24,$H$5:$H$14),0)+IFERROR(LN(Design_Matrix!M24),0)</f>
        <v>6.0378709199221374</v>
      </c>
      <c r="Y28">
        <f t="shared" si="6"/>
        <v>418.99999999999989</v>
      </c>
      <c r="Z28">
        <f>IFERROR(SUMPRODUCT(Design_Matrix!B24:K24,$I$5:$I$14),0)+IFERROR(LN(Design_Matrix!M24),0)</f>
        <v>6.0378709199221374</v>
      </c>
      <c r="AA28">
        <f t="shared" si="7"/>
        <v>418.99999999999989</v>
      </c>
      <c r="AB28">
        <f>IFERROR(SUMPRODUCT(Design_Matrix!B24:K24,$J$5:$J$14),0)+IFERROR(LN(Design_Matrix!M24),0)</f>
        <v>6.0378709199221374</v>
      </c>
      <c r="AC28">
        <f t="shared" si="8"/>
        <v>418.99999999999989</v>
      </c>
    </row>
    <row r="29" spans="12:29" x14ac:dyDescent="0.2">
      <c r="L29">
        <f>IFERROR(SUMPRODUCT(Design_Matrix!B25:K25,$B$5:$B$14),0)+IFERROR(LN(Design_Matrix!M25),0)</f>
        <v>7.8009820712577405</v>
      </c>
      <c r="M29">
        <f t="shared" si="0"/>
        <v>2443</v>
      </c>
      <c r="N29">
        <f>IFERROR(SUMPRODUCT(Design_Matrix!B25:K25,$C$5:$C$14),0)+IFERROR(LN(Design_Matrix!M25),0)</f>
        <v>7.8009820712577405</v>
      </c>
      <c r="O29">
        <f t="shared" si="1"/>
        <v>2443</v>
      </c>
      <c r="P29">
        <f>IFERROR(SUMPRODUCT(Design_Matrix!B25:K25,$D$5:$D$14),0)+IFERROR(LN(Design_Matrix!M25),0)</f>
        <v>7.8009820712577405</v>
      </c>
      <c r="Q29">
        <f t="shared" si="2"/>
        <v>2443</v>
      </c>
      <c r="R29">
        <f>IFERROR(SUMPRODUCT(Design_Matrix!B25:K25,$E$5:$E$14),0)+IFERROR(LN(Design_Matrix!M25),0)</f>
        <v>7.8009820712577405</v>
      </c>
      <c r="S29">
        <f t="shared" si="3"/>
        <v>2443</v>
      </c>
      <c r="T29">
        <f>IFERROR(SUMPRODUCT(Design_Matrix!B25:K25,$F$5:$F$14),0)+IFERROR(LN(Design_Matrix!M25),0)</f>
        <v>7.8009820712577405</v>
      </c>
      <c r="U29">
        <f t="shared" si="4"/>
        <v>2443</v>
      </c>
      <c r="V29">
        <f>IFERROR(SUMPRODUCT(Design_Matrix!B25:K25,$G$5:$G$14),0)+IFERROR(LN(Design_Matrix!M25),0)</f>
        <v>7.8009820712577405</v>
      </c>
      <c r="W29">
        <f t="shared" si="5"/>
        <v>2443</v>
      </c>
      <c r="X29">
        <f>IFERROR(SUMPRODUCT(Design_Matrix!B25:K25,$H$5:$H$14),0)+IFERROR(LN(Design_Matrix!M25),0)</f>
        <v>7.8009820712577405</v>
      </c>
      <c r="Y29">
        <f t="shared" si="6"/>
        <v>2443</v>
      </c>
      <c r="Z29">
        <f>IFERROR(SUMPRODUCT(Design_Matrix!B25:K25,$I$5:$I$14),0)+IFERROR(LN(Design_Matrix!M25),0)</f>
        <v>7.8009820712577405</v>
      </c>
      <c r="AA29">
        <f t="shared" si="7"/>
        <v>2443</v>
      </c>
      <c r="AB29">
        <f>IFERROR(SUMPRODUCT(Design_Matrix!B25:K25,$J$5:$J$14),0)+IFERROR(LN(Design_Matrix!M25),0)</f>
        <v>7.8009820712577405</v>
      </c>
      <c r="AC29">
        <f t="shared" si="8"/>
        <v>2443</v>
      </c>
    </row>
    <row r="30" spans="12:29" x14ac:dyDescent="0.2">
      <c r="L30">
        <f>IFERROR(SUMPRODUCT(Design_Matrix!B26:K26,$B$5:$B$14),0)+IFERROR(LN(Design_Matrix!M26),0)</f>
        <v>4.1896547420264252</v>
      </c>
      <c r="M30">
        <f t="shared" si="0"/>
        <v>65.999999999999972</v>
      </c>
      <c r="N30">
        <f>IFERROR(SUMPRODUCT(Design_Matrix!B26:K26,$C$5:$C$14),0)+IFERROR(LN(Design_Matrix!M26),0)</f>
        <v>4.1896547420264252</v>
      </c>
      <c r="O30">
        <f t="shared" si="1"/>
        <v>65.999999999999972</v>
      </c>
      <c r="P30">
        <f>IFERROR(SUMPRODUCT(Design_Matrix!B26:K26,$D$5:$D$14),0)+IFERROR(LN(Design_Matrix!M26),0)</f>
        <v>4.1896547420264252</v>
      </c>
      <c r="Q30">
        <f t="shared" si="2"/>
        <v>65.999999999999972</v>
      </c>
      <c r="R30">
        <f>IFERROR(SUMPRODUCT(Design_Matrix!B26:K26,$E$5:$E$14),0)+IFERROR(LN(Design_Matrix!M26),0)</f>
        <v>4.1896547420264252</v>
      </c>
      <c r="S30">
        <f t="shared" si="3"/>
        <v>65.999999999999972</v>
      </c>
      <c r="T30">
        <f>IFERROR(SUMPRODUCT(Design_Matrix!B26:K26,$F$5:$F$14),0)+IFERROR(LN(Design_Matrix!M26),0)</f>
        <v>4.1896547420264252</v>
      </c>
      <c r="U30">
        <f t="shared" si="4"/>
        <v>65.999999999999972</v>
      </c>
      <c r="V30">
        <f>IFERROR(SUMPRODUCT(Design_Matrix!B26:K26,$G$5:$G$14),0)+IFERROR(LN(Design_Matrix!M26),0)</f>
        <v>4.1896547420264252</v>
      </c>
      <c r="W30">
        <f t="shared" si="5"/>
        <v>65.999999999999972</v>
      </c>
      <c r="X30">
        <f>IFERROR(SUMPRODUCT(Design_Matrix!B26:K26,$H$5:$H$14),0)+IFERROR(LN(Design_Matrix!M26),0)</f>
        <v>4.1896547420264252</v>
      </c>
      <c r="Y30">
        <f t="shared" si="6"/>
        <v>65.999999999999972</v>
      </c>
      <c r="Z30">
        <f>IFERROR(SUMPRODUCT(Design_Matrix!B26:K26,$I$5:$I$14),0)+IFERROR(LN(Design_Matrix!M26),0)</f>
        <v>4.1896547420264252</v>
      </c>
      <c r="AA30">
        <f t="shared" si="7"/>
        <v>65.999999999999972</v>
      </c>
      <c r="AB30">
        <f>IFERROR(SUMPRODUCT(Design_Matrix!B26:K26,$J$5:$J$14),0)+IFERROR(LN(Design_Matrix!M26),0)</f>
        <v>4.1896547420264252</v>
      </c>
      <c r="AC30">
        <f t="shared" si="8"/>
        <v>65.999999999999972</v>
      </c>
    </row>
    <row r="31" spans="12:29" x14ac:dyDescent="0.2">
      <c r="L31">
        <f>IFERROR(SUMPRODUCT(Design_Matrix!B27:K27,$B$5:$B$14),0)+IFERROR(LN(Design_Matrix!M27),0)</f>
        <v>5.1647859739235145</v>
      </c>
      <c r="M31">
        <f t="shared" si="0"/>
        <v>175.00000000000009</v>
      </c>
      <c r="N31">
        <f>IFERROR(SUMPRODUCT(Design_Matrix!B27:K27,$C$5:$C$14),0)+IFERROR(LN(Design_Matrix!M27),0)</f>
        <v>5.1647859739235145</v>
      </c>
      <c r="O31">
        <f t="shared" si="1"/>
        <v>175.00000000000009</v>
      </c>
      <c r="P31">
        <f>IFERROR(SUMPRODUCT(Design_Matrix!B27:K27,$D$5:$D$14),0)+IFERROR(LN(Design_Matrix!M27),0)</f>
        <v>5.1647859739235145</v>
      </c>
      <c r="Q31">
        <f t="shared" si="2"/>
        <v>175.00000000000009</v>
      </c>
      <c r="R31">
        <f>IFERROR(SUMPRODUCT(Design_Matrix!B27:K27,$E$5:$E$14),0)+IFERROR(LN(Design_Matrix!M27),0)</f>
        <v>5.1647859739235145</v>
      </c>
      <c r="S31">
        <f t="shared" si="3"/>
        <v>175.00000000000009</v>
      </c>
      <c r="T31">
        <f>IFERROR(SUMPRODUCT(Design_Matrix!B27:K27,$F$5:$F$14),0)+IFERROR(LN(Design_Matrix!M27),0)</f>
        <v>5.1647859739235145</v>
      </c>
      <c r="U31">
        <f t="shared" si="4"/>
        <v>175.00000000000009</v>
      </c>
      <c r="V31">
        <f>IFERROR(SUMPRODUCT(Design_Matrix!B27:K27,$G$5:$G$14),0)+IFERROR(LN(Design_Matrix!M27),0)</f>
        <v>5.1647859739235145</v>
      </c>
      <c r="W31">
        <f t="shared" si="5"/>
        <v>175.00000000000009</v>
      </c>
      <c r="X31">
        <f>IFERROR(SUMPRODUCT(Design_Matrix!B27:K27,$H$5:$H$14),0)+IFERROR(LN(Design_Matrix!M27),0)</f>
        <v>5.1647859739235145</v>
      </c>
      <c r="Y31">
        <f t="shared" si="6"/>
        <v>175.00000000000009</v>
      </c>
      <c r="Z31">
        <f>IFERROR(SUMPRODUCT(Design_Matrix!B27:K27,$I$5:$I$14),0)+IFERROR(LN(Design_Matrix!M27),0)</f>
        <v>5.1647859739235145</v>
      </c>
      <c r="AA31">
        <f t="shared" si="7"/>
        <v>175.00000000000009</v>
      </c>
      <c r="AB31">
        <f>IFERROR(SUMPRODUCT(Design_Matrix!B27:K27,$J$5:$J$14),0)+IFERROR(LN(Design_Matrix!M27),0)</f>
        <v>5.1647859739235145</v>
      </c>
      <c r="AC31">
        <f t="shared" si="8"/>
        <v>175.00000000000009</v>
      </c>
    </row>
    <row r="32" spans="12:29" x14ac:dyDescent="0.2">
      <c r="L32">
        <f>IFERROR(SUMPRODUCT(Design_Matrix!B28:K28,$B$5:$B$14),0)+IFERROR(LN(Design_Matrix!M28),0)</f>
        <v>5.3981627015177525</v>
      </c>
      <c r="M32">
        <f t="shared" si="0"/>
        <v>220.99999999999991</v>
      </c>
      <c r="N32">
        <f>IFERROR(SUMPRODUCT(Design_Matrix!B28:K28,$C$5:$C$14),0)+IFERROR(LN(Design_Matrix!M28),0)</f>
        <v>5.3981627015177525</v>
      </c>
      <c r="O32">
        <f t="shared" si="1"/>
        <v>220.99999999999991</v>
      </c>
      <c r="P32">
        <f>IFERROR(SUMPRODUCT(Design_Matrix!B28:K28,$D$5:$D$14),0)+IFERROR(LN(Design_Matrix!M28),0)</f>
        <v>5.3981627015177525</v>
      </c>
      <c r="Q32">
        <f t="shared" si="2"/>
        <v>220.99999999999991</v>
      </c>
      <c r="R32">
        <f>IFERROR(SUMPRODUCT(Design_Matrix!B28:K28,$E$5:$E$14),0)+IFERROR(LN(Design_Matrix!M28),0)</f>
        <v>5.3981627015177525</v>
      </c>
      <c r="S32">
        <f t="shared" si="3"/>
        <v>220.99999999999991</v>
      </c>
      <c r="T32">
        <f>IFERROR(SUMPRODUCT(Design_Matrix!B28:K28,$F$5:$F$14),0)+IFERROR(LN(Design_Matrix!M28),0)</f>
        <v>5.3981627015177525</v>
      </c>
      <c r="U32">
        <f t="shared" si="4"/>
        <v>220.99999999999991</v>
      </c>
      <c r="V32">
        <f>IFERROR(SUMPRODUCT(Design_Matrix!B28:K28,$G$5:$G$14),0)+IFERROR(LN(Design_Matrix!M28),0)</f>
        <v>5.3981627015177525</v>
      </c>
      <c r="W32">
        <f t="shared" si="5"/>
        <v>220.99999999999991</v>
      </c>
      <c r="X32">
        <f>IFERROR(SUMPRODUCT(Design_Matrix!B28:K28,$H$5:$H$14),0)+IFERROR(LN(Design_Matrix!M28),0)</f>
        <v>5.3981627015177525</v>
      </c>
      <c r="Y32">
        <f t="shared" si="6"/>
        <v>220.99999999999991</v>
      </c>
      <c r="Z32">
        <f>IFERROR(SUMPRODUCT(Design_Matrix!B28:K28,$I$5:$I$14),0)+IFERROR(LN(Design_Matrix!M28),0)</f>
        <v>5.3981627015177525</v>
      </c>
      <c r="AA32">
        <f t="shared" si="7"/>
        <v>220.99999999999991</v>
      </c>
      <c r="AB32">
        <f>IFERROR(SUMPRODUCT(Design_Matrix!B28:K28,$J$5:$J$14),0)+IFERROR(LN(Design_Matrix!M28),0)</f>
        <v>5.3981627015177525</v>
      </c>
      <c r="AC32">
        <f t="shared" si="8"/>
        <v>220.99999999999991</v>
      </c>
    </row>
    <row r="33" spans="12:29" x14ac:dyDescent="0.2">
      <c r="L33">
        <f>IFERROR(SUMPRODUCT(Design_Matrix!B29:K29,$B$5:$B$14),0)+IFERROR(LN(Design_Matrix!M29),0)</f>
        <v>7.0121152943063798</v>
      </c>
      <c r="M33">
        <f t="shared" si="0"/>
        <v>1110</v>
      </c>
      <c r="N33">
        <f>IFERROR(SUMPRODUCT(Design_Matrix!B29:K29,$C$5:$C$14),0)+IFERROR(LN(Design_Matrix!M29),0)</f>
        <v>7.0121152943063798</v>
      </c>
      <c r="O33">
        <f t="shared" si="1"/>
        <v>1110</v>
      </c>
      <c r="P33">
        <f>IFERROR(SUMPRODUCT(Design_Matrix!B29:K29,$D$5:$D$14),0)+IFERROR(LN(Design_Matrix!M29),0)</f>
        <v>7.0121152943063798</v>
      </c>
      <c r="Q33">
        <f t="shared" si="2"/>
        <v>1110</v>
      </c>
      <c r="R33">
        <f>IFERROR(SUMPRODUCT(Design_Matrix!B29:K29,$E$5:$E$14),0)+IFERROR(LN(Design_Matrix!M29),0)</f>
        <v>7.0121152943063798</v>
      </c>
      <c r="S33">
        <f t="shared" si="3"/>
        <v>1110</v>
      </c>
      <c r="T33">
        <f>IFERROR(SUMPRODUCT(Design_Matrix!B29:K29,$F$5:$F$14),0)+IFERROR(LN(Design_Matrix!M29),0)</f>
        <v>7.0121152943063798</v>
      </c>
      <c r="U33">
        <f t="shared" si="4"/>
        <v>1110</v>
      </c>
      <c r="V33">
        <f>IFERROR(SUMPRODUCT(Design_Matrix!B29:K29,$G$5:$G$14),0)+IFERROR(LN(Design_Matrix!M29),0)</f>
        <v>7.0121152943063798</v>
      </c>
      <c r="W33">
        <f t="shared" si="5"/>
        <v>1110</v>
      </c>
      <c r="X33">
        <f>IFERROR(SUMPRODUCT(Design_Matrix!B29:K29,$H$5:$H$14),0)+IFERROR(LN(Design_Matrix!M29),0)</f>
        <v>7.0121152943063798</v>
      </c>
      <c r="Y33">
        <f t="shared" si="6"/>
        <v>1110</v>
      </c>
      <c r="Z33">
        <f>IFERROR(SUMPRODUCT(Design_Matrix!B29:K29,$I$5:$I$14),0)+IFERROR(LN(Design_Matrix!M29),0)</f>
        <v>7.0121152943063798</v>
      </c>
      <c r="AA33">
        <f t="shared" si="7"/>
        <v>1110</v>
      </c>
      <c r="AB33">
        <f>IFERROR(SUMPRODUCT(Design_Matrix!B29:K29,$J$5:$J$14),0)+IFERROR(LN(Design_Matrix!M29),0)</f>
        <v>7.0121152943063798</v>
      </c>
      <c r="AC33">
        <f t="shared" si="8"/>
        <v>1110</v>
      </c>
    </row>
    <row r="34" spans="12:29" x14ac:dyDescent="0.2">
      <c r="L34">
        <f>IFERROR(SUMPRODUCT(Design_Matrix!B30:K30,$B$5:$B$14),0)+IFERROR(LN(Design_Matrix!M30),0)</f>
        <v>2.1972245773362196</v>
      </c>
      <c r="M34">
        <f t="shared" si="0"/>
        <v>9.0000000000000018</v>
      </c>
      <c r="N34">
        <f>IFERROR(SUMPRODUCT(Design_Matrix!B30:K30,$C$5:$C$14),0)+IFERROR(LN(Design_Matrix!M30),0)</f>
        <v>2.1972245773362196</v>
      </c>
      <c r="O34">
        <f t="shared" si="1"/>
        <v>9.0000000000000018</v>
      </c>
      <c r="P34">
        <f>IFERROR(SUMPRODUCT(Design_Matrix!B30:K30,$D$5:$D$14),0)+IFERROR(LN(Design_Matrix!M30),0)</f>
        <v>2.1972245773362196</v>
      </c>
      <c r="Q34">
        <f t="shared" si="2"/>
        <v>9.0000000000000018</v>
      </c>
      <c r="R34">
        <f>IFERROR(SUMPRODUCT(Design_Matrix!B30:K30,$E$5:$E$14),0)+IFERROR(LN(Design_Matrix!M30),0)</f>
        <v>2.1972245773362196</v>
      </c>
      <c r="S34">
        <f t="shared" si="3"/>
        <v>9.0000000000000018</v>
      </c>
      <c r="T34">
        <f>IFERROR(SUMPRODUCT(Design_Matrix!B30:K30,$F$5:$F$14),0)+IFERROR(LN(Design_Matrix!M30),0)</f>
        <v>2.1972245773362196</v>
      </c>
      <c r="U34">
        <f t="shared" si="4"/>
        <v>9.0000000000000018</v>
      </c>
      <c r="V34">
        <f>IFERROR(SUMPRODUCT(Design_Matrix!B30:K30,$G$5:$G$14),0)+IFERROR(LN(Design_Matrix!M30),0)</f>
        <v>2.1972245773362196</v>
      </c>
      <c r="W34">
        <f t="shared" si="5"/>
        <v>9.0000000000000018</v>
      </c>
      <c r="X34">
        <f>IFERROR(SUMPRODUCT(Design_Matrix!B30:K30,$H$5:$H$14),0)+IFERROR(LN(Design_Matrix!M30),0)</f>
        <v>2.1972245773362196</v>
      </c>
      <c r="Y34">
        <f t="shared" si="6"/>
        <v>9.0000000000000018</v>
      </c>
      <c r="Z34">
        <f>IFERROR(SUMPRODUCT(Design_Matrix!B30:K30,$I$5:$I$14),0)+IFERROR(LN(Design_Matrix!M30),0)</f>
        <v>2.1972245773362196</v>
      </c>
      <c r="AA34">
        <f t="shared" si="7"/>
        <v>9.0000000000000018</v>
      </c>
      <c r="AB34">
        <f>IFERROR(SUMPRODUCT(Design_Matrix!B30:K30,$J$5:$J$14),0)+IFERROR(LN(Design_Matrix!M30),0)</f>
        <v>2.1972245773362196</v>
      </c>
      <c r="AC34">
        <f t="shared" si="8"/>
        <v>9.0000000000000018</v>
      </c>
    </row>
    <row r="35" spans="12:29" x14ac:dyDescent="0.2">
      <c r="L35">
        <f>IFERROR(SUMPRODUCT(Design_Matrix!B31:K31,$B$5:$B$14),0)+IFERROR(LN(Design_Matrix!M31),0)</f>
        <v>3.8712010109078911</v>
      </c>
      <c r="M35">
        <f t="shared" si="0"/>
        <v>48.000000000000007</v>
      </c>
      <c r="N35">
        <f>IFERROR(SUMPRODUCT(Design_Matrix!B31:K31,$C$5:$C$14),0)+IFERROR(LN(Design_Matrix!M31),0)</f>
        <v>3.8712010109078911</v>
      </c>
      <c r="O35">
        <f t="shared" si="1"/>
        <v>48.000000000000007</v>
      </c>
      <c r="P35">
        <f>IFERROR(SUMPRODUCT(Design_Matrix!B31:K31,$D$5:$D$14),0)+IFERROR(LN(Design_Matrix!M31),0)</f>
        <v>3.8712010109078911</v>
      </c>
      <c r="Q35">
        <f t="shared" si="2"/>
        <v>48.000000000000007</v>
      </c>
      <c r="R35">
        <f>IFERROR(SUMPRODUCT(Design_Matrix!B31:K31,$E$5:$E$14),0)+IFERROR(LN(Design_Matrix!M31),0)</f>
        <v>3.8712010109078911</v>
      </c>
      <c r="S35">
        <f t="shared" si="3"/>
        <v>48.000000000000007</v>
      </c>
      <c r="T35">
        <f>IFERROR(SUMPRODUCT(Design_Matrix!B31:K31,$F$5:$F$14),0)+IFERROR(LN(Design_Matrix!M31),0)</f>
        <v>3.8712010109078911</v>
      </c>
      <c r="U35">
        <f t="shared" si="4"/>
        <v>48.000000000000007</v>
      </c>
      <c r="V35">
        <f>IFERROR(SUMPRODUCT(Design_Matrix!B31:K31,$G$5:$G$14),0)+IFERROR(LN(Design_Matrix!M31),0)</f>
        <v>3.8712010109078911</v>
      </c>
      <c r="W35">
        <f t="shared" si="5"/>
        <v>48.000000000000007</v>
      </c>
      <c r="X35">
        <f>IFERROR(SUMPRODUCT(Design_Matrix!B31:K31,$H$5:$H$14),0)+IFERROR(LN(Design_Matrix!M31),0)</f>
        <v>3.8712010109078911</v>
      </c>
      <c r="Y35">
        <f t="shared" si="6"/>
        <v>48.000000000000007</v>
      </c>
      <c r="Z35">
        <f>IFERROR(SUMPRODUCT(Design_Matrix!B31:K31,$I$5:$I$14),0)+IFERROR(LN(Design_Matrix!M31),0)</f>
        <v>3.8712010109078911</v>
      </c>
      <c r="AA35">
        <f t="shared" si="7"/>
        <v>48.000000000000007</v>
      </c>
      <c r="AB35">
        <f>IFERROR(SUMPRODUCT(Design_Matrix!B31:K31,$J$5:$J$14),0)+IFERROR(LN(Design_Matrix!M31),0)</f>
        <v>3.8712010109078911</v>
      </c>
      <c r="AC35">
        <f t="shared" si="8"/>
        <v>48.000000000000007</v>
      </c>
    </row>
    <row r="36" spans="12:29" x14ac:dyDescent="0.2">
      <c r="L36">
        <f>IFERROR(SUMPRODUCT(Design_Matrix!B32:K32,$B$5:$B$14),0)+IFERROR(LN(Design_Matrix!M32),0)</f>
        <v>4.2766661190160553</v>
      </c>
      <c r="M36">
        <f t="shared" si="0"/>
        <v>72</v>
      </c>
      <c r="N36">
        <f>IFERROR(SUMPRODUCT(Design_Matrix!B32:K32,$C$5:$C$14),0)+IFERROR(LN(Design_Matrix!M32),0)</f>
        <v>4.2766661190160553</v>
      </c>
      <c r="O36">
        <f t="shared" si="1"/>
        <v>72</v>
      </c>
      <c r="P36">
        <f>IFERROR(SUMPRODUCT(Design_Matrix!B32:K32,$D$5:$D$14),0)+IFERROR(LN(Design_Matrix!M32),0)</f>
        <v>4.2766661190160553</v>
      </c>
      <c r="Q36">
        <f t="shared" si="2"/>
        <v>72</v>
      </c>
      <c r="R36">
        <f>IFERROR(SUMPRODUCT(Design_Matrix!B32:K32,$E$5:$E$14),0)+IFERROR(LN(Design_Matrix!M32),0)</f>
        <v>4.2766661190160553</v>
      </c>
      <c r="S36">
        <f t="shared" si="3"/>
        <v>72</v>
      </c>
      <c r="T36">
        <f>IFERROR(SUMPRODUCT(Design_Matrix!B32:K32,$F$5:$F$14),0)+IFERROR(LN(Design_Matrix!M32),0)</f>
        <v>4.2766661190160553</v>
      </c>
      <c r="U36">
        <f t="shared" si="4"/>
        <v>72</v>
      </c>
      <c r="V36">
        <f>IFERROR(SUMPRODUCT(Design_Matrix!B32:K32,$G$5:$G$14),0)+IFERROR(LN(Design_Matrix!M32),0)</f>
        <v>4.2766661190160553</v>
      </c>
      <c r="W36">
        <f t="shared" si="5"/>
        <v>72</v>
      </c>
      <c r="X36">
        <f>IFERROR(SUMPRODUCT(Design_Matrix!B32:K32,$H$5:$H$14),0)+IFERROR(LN(Design_Matrix!M32),0)</f>
        <v>4.2766661190160553</v>
      </c>
      <c r="Y36">
        <f t="shared" si="6"/>
        <v>72</v>
      </c>
      <c r="Z36">
        <f>IFERROR(SUMPRODUCT(Design_Matrix!B32:K32,$I$5:$I$14),0)+IFERROR(LN(Design_Matrix!M32),0)</f>
        <v>4.2766661190160553</v>
      </c>
      <c r="AA36">
        <f t="shared" si="7"/>
        <v>72</v>
      </c>
      <c r="AB36">
        <f>IFERROR(SUMPRODUCT(Design_Matrix!B32:K32,$J$5:$J$14),0)+IFERROR(LN(Design_Matrix!M32),0)</f>
        <v>4.2766661190160553</v>
      </c>
      <c r="AC36">
        <f t="shared" si="8"/>
        <v>72</v>
      </c>
    </row>
    <row r="37" spans="12:29" x14ac:dyDescent="0.2">
      <c r="L37">
        <f>IFERROR(SUMPRODUCT(Design_Matrix!B33:K33,$B$5:$B$14),0)+IFERROR(LN(Design_Matrix!M33),0)</f>
        <v>5.7745515455444085</v>
      </c>
      <c r="M37">
        <f t="shared" si="0"/>
        <v>322.00000000000006</v>
      </c>
      <c r="N37">
        <f>IFERROR(SUMPRODUCT(Design_Matrix!B33:K33,$C$5:$C$14),0)+IFERROR(LN(Design_Matrix!M33),0)</f>
        <v>5.7745515455444085</v>
      </c>
      <c r="O37">
        <f t="shared" si="1"/>
        <v>322.00000000000006</v>
      </c>
      <c r="P37">
        <f>IFERROR(SUMPRODUCT(Design_Matrix!B33:K33,$D$5:$D$14),0)+IFERROR(LN(Design_Matrix!M33),0)</f>
        <v>5.7745515455444085</v>
      </c>
      <c r="Q37">
        <f t="shared" si="2"/>
        <v>322.00000000000006</v>
      </c>
      <c r="R37">
        <f>IFERROR(SUMPRODUCT(Design_Matrix!B33:K33,$E$5:$E$14),0)+IFERROR(LN(Design_Matrix!M33),0)</f>
        <v>5.7745515455444085</v>
      </c>
      <c r="S37">
        <f t="shared" si="3"/>
        <v>322.00000000000006</v>
      </c>
      <c r="T37">
        <f>IFERROR(SUMPRODUCT(Design_Matrix!B33:K33,$F$5:$F$14),0)+IFERROR(LN(Design_Matrix!M33),0)</f>
        <v>5.7745515455444085</v>
      </c>
      <c r="U37">
        <f t="shared" si="4"/>
        <v>322.00000000000006</v>
      </c>
      <c r="V37">
        <f>IFERROR(SUMPRODUCT(Design_Matrix!B33:K33,$G$5:$G$14),0)+IFERROR(LN(Design_Matrix!M33),0)</f>
        <v>5.7745515455444085</v>
      </c>
      <c r="W37">
        <f t="shared" si="5"/>
        <v>322.00000000000006</v>
      </c>
      <c r="X37">
        <f>IFERROR(SUMPRODUCT(Design_Matrix!B33:K33,$H$5:$H$14),0)+IFERROR(LN(Design_Matrix!M33),0)</f>
        <v>5.7745515455444085</v>
      </c>
      <c r="Y37">
        <f t="shared" si="6"/>
        <v>322.00000000000006</v>
      </c>
      <c r="Z37">
        <f>IFERROR(SUMPRODUCT(Design_Matrix!B33:K33,$I$5:$I$14),0)+IFERROR(LN(Design_Matrix!M33),0)</f>
        <v>5.7745515455444085</v>
      </c>
      <c r="AA37">
        <f t="shared" si="7"/>
        <v>322.00000000000006</v>
      </c>
      <c r="AB37">
        <f>IFERROR(SUMPRODUCT(Design_Matrix!B33:K33,$J$5:$J$14),0)+IFERROR(LN(Design_Matrix!M33),0)</f>
        <v>5.7745515455444085</v>
      </c>
      <c r="AC37">
        <f t="shared" si="8"/>
        <v>322.00000000000006</v>
      </c>
    </row>
    <row r="38" spans="12:29" x14ac:dyDescent="0.2">
      <c r="L38">
        <f>IFERROR(SUMPRODUCT(Design_Matrix!B34:K34,$B$5:$B$14),0)+IFERROR(LN(Design_Matrix!M34),0)</f>
        <v>3.5553480614894135</v>
      </c>
      <c r="M38">
        <f t="shared" ref="M38:M69" si="9">EXP(MAX(-50,MIN(50,L38)))</f>
        <v>34.999999999999993</v>
      </c>
      <c r="N38">
        <f>IFERROR(SUMPRODUCT(Design_Matrix!B34:K34,$C$5:$C$14),0)+IFERROR(LN(Design_Matrix!M34),0)</f>
        <v>3.5553480614894135</v>
      </c>
      <c r="O38">
        <f t="shared" ref="O38:O69" si="10">EXP(MAX(-50,MIN(50,N38)))</f>
        <v>34.999999999999993</v>
      </c>
      <c r="P38">
        <f>IFERROR(SUMPRODUCT(Design_Matrix!B34:K34,$D$5:$D$14),0)+IFERROR(LN(Design_Matrix!M34),0)</f>
        <v>3.5553480614894135</v>
      </c>
      <c r="Q38">
        <f t="shared" ref="Q38:Q69" si="11">EXP(MAX(-50,MIN(50,P38)))</f>
        <v>34.999999999999993</v>
      </c>
      <c r="R38">
        <f>IFERROR(SUMPRODUCT(Design_Matrix!B34:K34,$E$5:$E$14),0)+IFERROR(LN(Design_Matrix!M34),0)</f>
        <v>3.5553480614894135</v>
      </c>
      <c r="S38">
        <f t="shared" ref="S38:S69" si="12">EXP(MAX(-50,MIN(50,R38)))</f>
        <v>34.999999999999993</v>
      </c>
      <c r="T38">
        <f>IFERROR(SUMPRODUCT(Design_Matrix!B34:K34,$F$5:$F$14),0)+IFERROR(LN(Design_Matrix!M34),0)</f>
        <v>3.5553480614894135</v>
      </c>
      <c r="U38">
        <f t="shared" ref="U38:U69" si="13">EXP(MAX(-50,MIN(50,T38)))</f>
        <v>34.999999999999993</v>
      </c>
      <c r="V38">
        <f>IFERROR(SUMPRODUCT(Design_Matrix!B34:K34,$G$5:$G$14),0)+IFERROR(LN(Design_Matrix!M34),0)</f>
        <v>3.5553480614894135</v>
      </c>
      <c r="W38">
        <f t="shared" ref="W38:W69" si="14">EXP(MAX(-50,MIN(50,V38)))</f>
        <v>34.999999999999993</v>
      </c>
      <c r="X38">
        <f>IFERROR(SUMPRODUCT(Design_Matrix!B34:K34,$H$5:$H$14),0)+IFERROR(LN(Design_Matrix!M34),0)</f>
        <v>3.5553480614894135</v>
      </c>
      <c r="Y38">
        <f t="shared" ref="Y38:Y69" si="15">EXP(MAX(-50,MIN(50,X38)))</f>
        <v>34.999999999999993</v>
      </c>
      <c r="Z38">
        <f>IFERROR(SUMPRODUCT(Design_Matrix!B34:K34,$I$5:$I$14),0)+IFERROR(LN(Design_Matrix!M34),0)</f>
        <v>3.5553480614894135</v>
      </c>
      <c r="AA38">
        <f t="shared" ref="AA38:AA69" si="16">EXP(MAX(-50,MIN(50,Z38)))</f>
        <v>34.999999999999993</v>
      </c>
      <c r="AB38">
        <f>IFERROR(SUMPRODUCT(Design_Matrix!B34:K34,$J$5:$J$14),0)+IFERROR(LN(Design_Matrix!M34),0)</f>
        <v>3.5553480614894135</v>
      </c>
      <c r="AC38">
        <f t="shared" ref="AC38:AC69" si="17">EXP(MAX(-50,MIN(50,AB38)))</f>
        <v>34.999999999999993</v>
      </c>
    </row>
    <row r="39" spans="12:29" x14ac:dyDescent="0.2">
      <c r="L39">
        <f>IFERROR(SUMPRODUCT(Design_Matrix!B35:K35,$B$5:$B$14),0)+IFERROR(LN(Design_Matrix!M35),0)</f>
        <v>4.290459441148391</v>
      </c>
      <c r="M39">
        <f t="shared" si="9"/>
        <v>72.999999999999986</v>
      </c>
      <c r="N39">
        <f>IFERROR(SUMPRODUCT(Design_Matrix!B35:K35,$C$5:$C$14),0)+IFERROR(LN(Design_Matrix!M35),0)</f>
        <v>4.290459441148391</v>
      </c>
      <c r="O39">
        <f t="shared" si="10"/>
        <v>72.999999999999986</v>
      </c>
      <c r="P39">
        <f>IFERROR(SUMPRODUCT(Design_Matrix!B35:K35,$D$5:$D$14),0)+IFERROR(LN(Design_Matrix!M35),0)</f>
        <v>4.290459441148391</v>
      </c>
      <c r="Q39">
        <f t="shared" si="11"/>
        <v>72.999999999999986</v>
      </c>
      <c r="R39">
        <f>IFERROR(SUMPRODUCT(Design_Matrix!B35:K35,$E$5:$E$14),0)+IFERROR(LN(Design_Matrix!M35),0)</f>
        <v>4.290459441148391</v>
      </c>
      <c r="S39">
        <f t="shared" si="12"/>
        <v>72.999999999999986</v>
      </c>
      <c r="T39">
        <f>IFERROR(SUMPRODUCT(Design_Matrix!B35:K35,$F$5:$F$14),0)+IFERROR(LN(Design_Matrix!M35),0)</f>
        <v>4.290459441148391</v>
      </c>
      <c r="U39">
        <f t="shared" si="13"/>
        <v>72.999999999999986</v>
      </c>
      <c r="V39">
        <f>IFERROR(SUMPRODUCT(Design_Matrix!B35:K35,$G$5:$G$14),0)+IFERROR(LN(Design_Matrix!M35),0)</f>
        <v>4.290459441148391</v>
      </c>
      <c r="W39">
        <f t="shared" si="14"/>
        <v>72.999999999999986</v>
      </c>
      <c r="X39">
        <f>IFERROR(SUMPRODUCT(Design_Matrix!B35:K35,$H$5:$H$14),0)+IFERROR(LN(Design_Matrix!M35),0)</f>
        <v>4.290459441148391</v>
      </c>
      <c r="Y39">
        <f t="shared" si="15"/>
        <v>72.999999999999986</v>
      </c>
      <c r="Z39">
        <f>IFERROR(SUMPRODUCT(Design_Matrix!B35:K35,$I$5:$I$14),0)+IFERROR(LN(Design_Matrix!M35),0)</f>
        <v>4.290459441148391</v>
      </c>
      <c r="AA39">
        <f t="shared" si="16"/>
        <v>72.999999999999986</v>
      </c>
      <c r="AB39">
        <f>IFERROR(SUMPRODUCT(Design_Matrix!B35:K35,$J$5:$J$14),0)+IFERROR(LN(Design_Matrix!M35),0)</f>
        <v>4.290459441148391</v>
      </c>
      <c r="AC39">
        <f t="shared" si="17"/>
        <v>72.999999999999986</v>
      </c>
    </row>
    <row r="40" spans="12:29" x14ac:dyDescent="0.2">
      <c r="L40">
        <f>IFERROR(SUMPRODUCT(Design_Matrix!B36:K36,$B$5:$B$14),0)+IFERROR(LN(Design_Matrix!M36),0)</f>
        <v>4.4886363697321396</v>
      </c>
      <c r="M40">
        <f t="shared" si="9"/>
        <v>88.999999999999986</v>
      </c>
      <c r="N40">
        <f>IFERROR(SUMPRODUCT(Design_Matrix!B36:K36,$C$5:$C$14),0)+IFERROR(LN(Design_Matrix!M36),0)</f>
        <v>4.4886363697321396</v>
      </c>
      <c r="O40">
        <f t="shared" si="10"/>
        <v>88.999999999999986</v>
      </c>
      <c r="P40">
        <f>IFERROR(SUMPRODUCT(Design_Matrix!B36:K36,$D$5:$D$14),0)+IFERROR(LN(Design_Matrix!M36),0)</f>
        <v>4.4886363697321396</v>
      </c>
      <c r="Q40">
        <f t="shared" si="11"/>
        <v>88.999999999999986</v>
      </c>
      <c r="R40">
        <f>IFERROR(SUMPRODUCT(Design_Matrix!B36:K36,$E$5:$E$14),0)+IFERROR(LN(Design_Matrix!M36),0)</f>
        <v>4.4886363697321396</v>
      </c>
      <c r="S40">
        <f t="shared" si="12"/>
        <v>88.999999999999986</v>
      </c>
      <c r="T40">
        <f>IFERROR(SUMPRODUCT(Design_Matrix!B36:K36,$F$5:$F$14),0)+IFERROR(LN(Design_Matrix!M36),0)</f>
        <v>4.4886363697321396</v>
      </c>
      <c r="U40">
        <f t="shared" si="13"/>
        <v>88.999999999999986</v>
      </c>
      <c r="V40">
        <f>IFERROR(SUMPRODUCT(Design_Matrix!B36:K36,$G$5:$G$14),0)+IFERROR(LN(Design_Matrix!M36),0)</f>
        <v>4.4886363697321396</v>
      </c>
      <c r="W40">
        <f t="shared" si="14"/>
        <v>88.999999999999986</v>
      </c>
      <c r="X40">
        <f>IFERROR(SUMPRODUCT(Design_Matrix!B36:K36,$H$5:$H$14),0)+IFERROR(LN(Design_Matrix!M36),0)</f>
        <v>4.4886363697321396</v>
      </c>
      <c r="Y40">
        <f t="shared" si="15"/>
        <v>88.999999999999986</v>
      </c>
      <c r="Z40">
        <f>IFERROR(SUMPRODUCT(Design_Matrix!B36:K36,$I$5:$I$14),0)+IFERROR(LN(Design_Matrix!M36),0)</f>
        <v>4.4886363697321396</v>
      </c>
      <c r="AA40">
        <f t="shared" si="16"/>
        <v>88.999999999999986</v>
      </c>
      <c r="AB40">
        <f>IFERROR(SUMPRODUCT(Design_Matrix!B36:K36,$J$5:$J$14),0)+IFERROR(LN(Design_Matrix!M36),0)</f>
        <v>4.4886363697321396</v>
      </c>
      <c r="AC40">
        <f t="shared" si="17"/>
        <v>88.999999999999986</v>
      </c>
    </row>
    <row r="41" spans="12:29" x14ac:dyDescent="0.2">
      <c r="L41">
        <f>IFERROR(SUMPRODUCT(Design_Matrix!B37:K37,$B$5:$B$14),0)+IFERROR(LN(Design_Matrix!M37),0)</f>
        <v>6.4738906963522744</v>
      </c>
      <c r="M41">
        <f t="shared" si="9"/>
        <v>647.99999999999989</v>
      </c>
      <c r="N41">
        <f>IFERROR(SUMPRODUCT(Design_Matrix!B37:K37,$C$5:$C$14),0)+IFERROR(LN(Design_Matrix!M37),0)</f>
        <v>6.4738906963522744</v>
      </c>
      <c r="O41">
        <f t="shared" si="10"/>
        <v>647.99999999999989</v>
      </c>
      <c r="P41">
        <f>IFERROR(SUMPRODUCT(Design_Matrix!B37:K37,$D$5:$D$14),0)+IFERROR(LN(Design_Matrix!M37),0)</f>
        <v>6.4738906963522744</v>
      </c>
      <c r="Q41">
        <f t="shared" si="11"/>
        <v>647.99999999999989</v>
      </c>
      <c r="R41">
        <f>IFERROR(SUMPRODUCT(Design_Matrix!B37:K37,$E$5:$E$14),0)+IFERROR(LN(Design_Matrix!M37),0)</f>
        <v>6.4738906963522744</v>
      </c>
      <c r="S41">
        <f t="shared" si="12"/>
        <v>647.99999999999989</v>
      </c>
      <c r="T41">
        <f>IFERROR(SUMPRODUCT(Design_Matrix!B37:K37,$F$5:$F$14),0)+IFERROR(LN(Design_Matrix!M37),0)</f>
        <v>6.4738906963522744</v>
      </c>
      <c r="U41">
        <f t="shared" si="13"/>
        <v>647.99999999999989</v>
      </c>
      <c r="V41">
        <f>IFERROR(SUMPRODUCT(Design_Matrix!B37:K37,$G$5:$G$14),0)+IFERROR(LN(Design_Matrix!M37),0)</f>
        <v>6.4738906963522744</v>
      </c>
      <c r="W41">
        <f t="shared" si="14"/>
        <v>647.99999999999989</v>
      </c>
      <c r="X41">
        <f>IFERROR(SUMPRODUCT(Design_Matrix!B37:K37,$H$5:$H$14),0)+IFERROR(LN(Design_Matrix!M37),0)</f>
        <v>6.4738906963522744</v>
      </c>
      <c r="Y41">
        <f t="shared" si="15"/>
        <v>647.99999999999989</v>
      </c>
      <c r="Z41">
        <f>IFERROR(SUMPRODUCT(Design_Matrix!B37:K37,$I$5:$I$14),0)+IFERROR(LN(Design_Matrix!M37),0)</f>
        <v>6.4738906963522744</v>
      </c>
      <c r="AA41">
        <f t="shared" si="16"/>
        <v>647.99999999999989</v>
      </c>
      <c r="AB41">
        <f>IFERROR(SUMPRODUCT(Design_Matrix!B37:K37,$J$5:$J$14),0)+IFERROR(LN(Design_Matrix!M37),0)</f>
        <v>6.4738906963522744</v>
      </c>
      <c r="AC41">
        <f t="shared" si="17"/>
        <v>647.99999999999989</v>
      </c>
    </row>
    <row r="42" spans="12:29" x14ac:dyDescent="0.2">
      <c r="L42">
        <f>IFERROR(SUMPRODUCT(Design_Matrix!B38:K38,$B$5:$B$14),0)+IFERROR(LN(Design_Matrix!M38),0)</f>
        <v>3.970291913552122</v>
      </c>
      <c r="M42">
        <f t="shared" si="9"/>
        <v>53.000000000000007</v>
      </c>
      <c r="N42">
        <f>IFERROR(SUMPRODUCT(Design_Matrix!B38:K38,$C$5:$C$14),0)+IFERROR(LN(Design_Matrix!M38),0)</f>
        <v>3.970291913552122</v>
      </c>
      <c r="O42">
        <f t="shared" si="10"/>
        <v>53.000000000000007</v>
      </c>
      <c r="P42">
        <f>IFERROR(SUMPRODUCT(Design_Matrix!B38:K38,$D$5:$D$14),0)+IFERROR(LN(Design_Matrix!M38),0)</f>
        <v>3.970291913552122</v>
      </c>
      <c r="Q42">
        <f t="shared" si="11"/>
        <v>53.000000000000007</v>
      </c>
      <c r="R42">
        <f>IFERROR(SUMPRODUCT(Design_Matrix!B38:K38,$E$5:$E$14),0)+IFERROR(LN(Design_Matrix!M38),0)</f>
        <v>3.970291913552122</v>
      </c>
      <c r="S42">
        <f t="shared" si="12"/>
        <v>53.000000000000007</v>
      </c>
      <c r="T42">
        <f>IFERROR(SUMPRODUCT(Design_Matrix!B38:K38,$F$5:$F$14),0)+IFERROR(LN(Design_Matrix!M38),0)</f>
        <v>3.970291913552122</v>
      </c>
      <c r="U42">
        <f t="shared" si="13"/>
        <v>53.000000000000007</v>
      </c>
      <c r="V42">
        <f>IFERROR(SUMPRODUCT(Design_Matrix!B38:K38,$G$5:$G$14),0)+IFERROR(LN(Design_Matrix!M38),0)</f>
        <v>3.970291913552122</v>
      </c>
      <c r="W42">
        <f t="shared" si="14"/>
        <v>53.000000000000007</v>
      </c>
      <c r="X42">
        <f>IFERROR(SUMPRODUCT(Design_Matrix!B38:K38,$H$5:$H$14),0)+IFERROR(LN(Design_Matrix!M38),0)</f>
        <v>3.970291913552122</v>
      </c>
      <c r="Y42">
        <f t="shared" si="15"/>
        <v>53.000000000000007</v>
      </c>
      <c r="Z42">
        <f>IFERROR(SUMPRODUCT(Design_Matrix!B38:K38,$I$5:$I$14),0)+IFERROR(LN(Design_Matrix!M38),0)</f>
        <v>3.970291913552122</v>
      </c>
      <c r="AA42">
        <f t="shared" si="16"/>
        <v>53.000000000000007</v>
      </c>
      <c r="AB42">
        <f>IFERROR(SUMPRODUCT(Design_Matrix!B38:K38,$J$5:$J$14),0)+IFERROR(LN(Design_Matrix!M38),0)</f>
        <v>3.970291913552122</v>
      </c>
      <c r="AC42">
        <f t="shared" si="17"/>
        <v>53.000000000000007</v>
      </c>
    </row>
    <row r="43" spans="12:29" x14ac:dyDescent="0.2">
      <c r="L43">
        <f>IFERROR(SUMPRODUCT(Design_Matrix!B39:K39,$B$5:$B$14),0)+IFERROR(LN(Design_Matrix!M39),0)</f>
        <v>5.0434251169192468</v>
      </c>
      <c r="M43">
        <f t="shared" si="9"/>
        <v>155.00000000000003</v>
      </c>
      <c r="N43">
        <f>IFERROR(SUMPRODUCT(Design_Matrix!B39:K39,$C$5:$C$14),0)+IFERROR(LN(Design_Matrix!M39),0)</f>
        <v>5.0434251169192468</v>
      </c>
      <c r="O43">
        <f t="shared" si="10"/>
        <v>155.00000000000003</v>
      </c>
      <c r="P43">
        <f>IFERROR(SUMPRODUCT(Design_Matrix!B39:K39,$D$5:$D$14),0)+IFERROR(LN(Design_Matrix!M39),0)</f>
        <v>5.0434251169192468</v>
      </c>
      <c r="Q43">
        <f t="shared" si="11"/>
        <v>155.00000000000003</v>
      </c>
      <c r="R43">
        <f>IFERROR(SUMPRODUCT(Design_Matrix!B39:K39,$E$5:$E$14),0)+IFERROR(LN(Design_Matrix!M39),0)</f>
        <v>5.0434251169192468</v>
      </c>
      <c r="S43">
        <f t="shared" si="12"/>
        <v>155.00000000000003</v>
      </c>
      <c r="T43">
        <f>IFERROR(SUMPRODUCT(Design_Matrix!B39:K39,$F$5:$F$14),0)+IFERROR(LN(Design_Matrix!M39),0)</f>
        <v>5.0434251169192468</v>
      </c>
      <c r="U43">
        <f t="shared" si="13"/>
        <v>155.00000000000003</v>
      </c>
      <c r="V43">
        <f>IFERROR(SUMPRODUCT(Design_Matrix!B39:K39,$G$5:$G$14),0)+IFERROR(LN(Design_Matrix!M39),0)</f>
        <v>5.0434251169192468</v>
      </c>
      <c r="W43">
        <f t="shared" si="14"/>
        <v>155.00000000000003</v>
      </c>
      <c r="X43">
        <f>IFERROR(SUMPRODUCT(Design_Matrix!B39:K39,$H$5:$H$14),0)+IFERROR(LN(Design_Matrix!M39),0)</f>
        <v>5.0434251169192468</v>
      </c>
      <c r="Y43">
        <f t="shared" si="15"/>
        <v>155.00000000000003</v>
      </c>
      <c r="Z43">
        <f>IFERROR(SUMPRODUCT(Design_Matrix!B39:K39,$I$5:$I$14),0)+IFERROR(LN(Design_Matrix!M39),0)</f>
        <v>5.0434251169192468</v>
      </c>
      <c r="AA43">
        <f t="shared" si="16"/>
        <v>155.00000000000003</v>
      </c>
      <c r="AB43">
        <f>IFERROR(SUMPRODUCT(Design_Matrix!B39:K39,$J$5:$J$14),0)+IFERROR(LN(Design_Matrix!M39),0)</f>
        <v>5.0434251169192468</v>
      </c>
      <c r="AC43">
        <f t="shared" si="17"/>
        <v>155.00000000000003</v>
      </c>
    </row>
    <row r="44" spans="12:29" x14ac:dyDescent="0.2">
      <c r="L44">
        <f>IFERROR(SUMPRODUCT(Design_Matrix!B40:K40,$B$5:$B$14),0)+IFERROR(LN(Design_Matrix!M40),0)</f>
        <v>5.4806389233419912</v>
      </c>
      <c r="M44">
        <f t="shared" si="9"/>
        <v>239.99999999999997</v>
      </c>
      <c r="N44">
        <f>IFERROR(SUMPRODUCT(Design_Matrix!B40:K40,$C$5:$C$14),0)+IFERROR(LN(Design_Matrix!M40),0)</f>
        <v>5.4806389233419912</v>
      </c>
      <c r="O44">
        <f t="shared" si="10"/>
        <v>239.99999999999997</v>
      </c>
      <c r="P44">
        <f>IFERROR(SUMPRODUCT(Design_Matrix!B40:K40,$D$5:$D$14),0)+IFERROR(LN(Design_Matrix!M40),0)</f>
        <v>5.4806389233419912</v>
      </c>
      <c r="Q44">
        <f t="shared" si="11"/>
        <v>239.99999999999997</v>
      </c>
      <c r="R44">
        <f>IFERROR(SUMPRODUCT(Design_Matrix!B40:K40,$E$5:$E$14),0)+IFERROR(LN(Design_Matrix!M40),0)</f>
        <v>5.4806389233419912</v>
      </c>
      <c r="S44">
        <f t="shared" si="12"/>
        <v>239.99999999999997</v>
      </c>
      <c r="T44">
        <f>IFERROR(SUMPRODUCT(Design_Matrix!B40:K40,$F$5:$F$14),0)+IFERROR(LN(Design_Matrix!M40),0)</f>
        <v>5.4806389233419912</v>
      </c>
      <c r="U44">
        <f t="shared" si="13"/>
        <v>239.99999999999997</v>
      </c>
      <c r="V44">
        <f>IFERROR(SUMPRODUCT(Design_Matrix!B40:K40,$G$5:$G$14),0)+IFERROR(LN(Design_Matrix!M40),0)</f>
        <v>5.4806389233419912</v>
      </c>
      <c r="W44">
        <f t="shared" si="14"/>
        <v>239.99999999999997</v>
      </c>
      <c r="X44">
        <f>IFERROR(SUMPRODUCT(Design_Matrix!B40:K40,$H$5:$H$14),0)+IFERROR(LN(Design_Matrix!M40),0)</f>
        <v>5.4806389233419912</v>
      </c>
      <c r="Y44">
        <f t="shared" si="15"/>
        <v>239.99999999999997</v>
      </c>
      <c r="Z44">
        <f>IFERROR(SUMPRODUCT(Design_Matrix!B40:K40,$I$5:$I$14),0)+IFERROR(LN(Design_Matrix!M40),0)</f>
        <v>5.4806389233419912</v>
      </c>
      <c r="AA44">
        <f t="shared" si="16"/>
        <v>239.99999999999997</v>
      </c>
      <c r="AB44">
        <f>IFERROR(SUMPRODUCT(Design_Matrix!B40:K40,$J$5:$J$14),0)+IFERROR(LN(Design_Matrix!M40),0)</f>
        <v>5.4806389233419912</v>
      </c>
      <c r="AC44">
        <f t="shared" si="17"/>
        <v>239.99999999999997</v>
      </c>
    </row>
    <row r="45" spans="12:29" x14ac:dyDescent="0.2">
      <c r="L45">
        <f>IFERROR(SUMPRODUCT(Design_Matrix!B41:K41,$B$5:$B$14),0)+IFERROR(LN(Design_Matrix!M41),0)</f>
        <v>7.399398083331354</v>
      </c>
      <c r="M45">
        <f t="shared" si="9"/>
        <v>1635.0000000000002</v>
      </c>
      <c r="N45">
        <f>IFERROR(SUMPRODUCT(Design_Matrix!B41:K41,$C$5:$C$14),0)+IFERROR(LN(Design_Matrix!M41),0)</f>
        <v>7.399398083331354</v>
      </c>
      <c r="O45">
        <f t="shared" si="10"/>
        <v>1635.0000000000002</v>
      </c>
      <c r="P45">
        <f>IFERROR(SUMPRODUCT(Design_Matrix!B41:K41,$D$5:$D$14),0)+IFERROR(LN(Design_Matrix!M41),0)</f>
        <v>7.399398083331354</v>
      </c>
      <c r="Q45">
        <f t="shared" si="11"/>
        <v>1635.0000000000002</v>
      </c>
      <c r="R45">
        <f>IFERROR(SUMPRODUCT(Design_Matrix!B41:K41,$E$5:$E$14),0)+IFERROR(LN(Design_Matrix!M41),0)</f>
        <v>7.399398083331354</v>
      </c>
      <c r="S45">
        <f t="shared" si="12"/>
        <v>1635.0000000000002</v>
      </c>
      <c r="T45">
        <f>IFERROR(SUMPRODUCT(Design_Matrix!B41:K41,$F$5:$F$14),0)+IFERROR(LN(Design_Matrix!M41),0)</f>
        <v>7.399398083331354</v>
      </c>
      <c r="U45">
        <f t="shared" si="13"/>
        <v>1635.0000000000002</v>
      </c>
      <c r="V45">
        <f>IFERROR(SUMPRODUCT(Design_Matrix!B41:K41,$G$5:$G$14),0)+IFERROR(LN(Design_Matrix!M41),0)</f>
        <v>7.399398083331354</v>
      </c>
      <c r="W45">
        <f t="shared" si="14"/>
        <v>1635.0000000000002</v>
      </c>
      <c r="X45">
        <f>IFERROR(SUMPRODUCT(Design_Matrix!B41:K41,$H$5:$H$14),0)+IFERROR(LN(Design_Matrix!M41),0)</f>
        <v>7.399398083331354</v>
      </c>
      <c r="Y45">
        <f t="shared" si="15"/>
        <v>1635.0000000000002</v>
      </c>
      <c r="Z45">
        <f>IFERROR(SUMPRODUCT(Design_Matrix!B41:K41,$I$5:$I$14),0)+IFERROR(LN(Design_Matrix!M41),0)</f>
        <v>7.399398083331354</v>
      </c>
      <c r="AA45">
        <f t="shared" si="16"/>
        <v>1635.0000000000002</v>
      </c>
      <c r="AB45">
        <f>IFERROR(SUMPRODUCT(Design_Matrix!B41:K41,$J$5:$J$14),0)+IFERROR(LN(Design_Matrix!M41),0)</f>
        <v>7.399398083331354</v>
      </c>
      <c r="AC45">
        <f t="shared" si="17"/>
        <v>1635.0000000000002</v>
      </c>
    </row>
    <row r="46" spans="12:29" x14ac:dyDescent="0.2">
      <c r="L46">
        <f>IFERROR(SUMPRODUCT(Design_Matrix!B42:K42,$B$5:$B$14),0)+IFERROR(LN(Design_Matrix!M42),0)</f>
        <v>3.1780538303479458</v>
      </c>
      <c r="M46">
        <f t="shared" si="9"/>
        <v>24.000000000000004</v>
      </c>
      <c r="N46">
        <f>IFERROR(SUMPRODUCT(Design_Matrix!B42:K42,$C$5:$C$14),0)+IFERROR(LN(Design_Matrix!M42),0)</f>
        <v>3.1780538303479458</v>
      </c>
      <c r="O46">
        <f t="shared" si="10"/>
        <v>24.000000000000004</v>
      </c>
      <c r="P46">
        <f>IFERROR(SUMPRODUCT(Design_Matrix!B42:K42,$D$5:$D$14),0)+IFERROR(LN(Design_Matrix!M42),0)</f>
        <v>3.1780538303479458</v>
      </c>
      <c r="Q46">
        <f t="shared" si="11"/>
        <v>24.000000000000004</v>
      </c>
      <c r="R46">
        <f>IFERROR(SUMPRODUCT(Design_Matrix!B42:K42,$E$5:$E$14),0)+IFERROR(LN(Design_Matrix!M42),0)</f>
        <v>3.1780538303479458</v>
      </c>
      <c r="S46">
        <f t="shared" si="12"/>
        <v>24.000000000000004</v>
      </c>
      <c r="T46">
        <f>IFERROR(SUMPRODUCT(Design_Matrix!B42:K42,$F$5:$F$14),0)+IFERROR(LN(Design_Matrix!M42),0)</f>
        <v>3.1780538303479458</v>
      </c>
      <c r="U46">
        <f t="shared" si="13"/>
        <v>24.000000000000004</v>
      </c>
      <c r="V46">
        <f>IFERROR(SUMPRODUCT(Design_Matrix!B42:K42,$G$5:$G$14),0)+IFERROR(LN(Design_Matrix!M42),0)</f>
        <v>3.1780538303479458</v>
      </c>
      <c r="W46">
        <f t="shared" si="14"/>
        <v>24.000000000000004</v>
      </c>
      <c r="X46">
        <f>IFERROR(SUMPRODUCT(Design_Matrix!B42:K42,$H$5:$H$14),0)+IFERROR(LN(Design_Matrix!M42),0)</f>
        <v>3.1780538303479458</v>
      </c>
      <c r="Y46">
        <f t="shared" si="15"/>
        <v>24.000000000000004</v>
      </c>
      <c r="Z46">
        <f>IFERROR(SUMPRODUCT(Design_Matrix!B42:K42,$I$5:$I$14),0)+IFERROR(LN(Design_Matrix!M42),0)</f>
        <v>3.1780538303479458</v>
      </c>
      <c r="AA46">
        <f t="shared" si="16"/>
        <v>24.000000000000004</v>
      </c>
      <c r="AB46">
        <f>IFERROR(SUMPRODUCT(Design_Matrix!B42:K42,$J$5:$J$14),0)+IFERROR(LN(Design_Matrix!M42),0)</f>
        <v>3.1780538303479458</v>
      </c>
      <c r="AC46">
        <f t="shared" si="17"/>
        <v>24.000000000000004</v>
      </c>
    </row>
    <row r="47" spans="12:29" x14ac:dyDescent="0.2">
      <c r="L47">
        <f>IFERROR(SUMPRODUCT(Design_Matrix!B43:K43,$B$5:$B$14),0)+IFERROR(LN(Design_Matrix!M43),0)</f>
        <v>4.3567088266895917</v>
      </c>
      <c r="M47">
        <f t="shared" si="9"/>
        <v>78</v>
      </c>
      <c r="N47">
        <f>IFERROR(SUMPRODUCT(Design_Matrix!B43:K43,$C$5:$C$14),0)+IFERROR(LN(Design_Matrix!M43),0)</f>
        <v>4.3567088266895917</v>
      </c>
      <c r="O47">
        <f t="shared" si="10"/>
        <v>78</v>
      </c>
      <c r="P47">
        <f>IFERROR(SUMPRODUCT(Design_Matrix!B43:K43,$D$5:$D$14),0)+IFERROR(LN(Design_Matrix!M43),0)</f>
        <v>4.3567088266895917</v>
      </c>
      <c r="Q47">
        <f t="shared" si="11"/>
        <v>78</v>
      </c>
      <c r="R47">
        <f>IFERROR(SUMPRODUCT(Design_Matrix!B43:K43,$E$5:$E$14),0)+IFERROR(LN(Design_Matrix!M43),0)</f>
        <v>4.3567088266895917</v>
      </c>
      <c r="S47">
        <f t="shared" si="12"/>
        <v>78</v>
      </c>
      <c r="T47">
        <f>IFERROR(SUMPRODUCT(Design_Matrix!B43:K43,$F$5:$F$14),0)+IFERROR(LN(Design_Matrix!M43),0)</f>
        <v>4.3567088266895917</v>
      </c>
      <c r="U47">
        <f t="shared" si="13"/>
        <v>78</v>
      </c>
      <c r="V47">
        <f>IFERROR(SUMPRODUCT(Design_Matrix!B43:K43,$G$5:$G$14),0)+IFERROR(LN(Design_Matrix!M43),0)</f>
        <v>4.3567088266895917</v>
      </c>
      <c r="W47">
        <f t="shared" si="14"/>
        <v>78</v>
      </c>
      <c r="X47">
        <f>IFERROR(SUMPRODUCT(Design_Matrix!B43:K43,$H$5:$H$14),0)+IFERROR(LN(Design_Matrix!M43),0)</f>
        <v>4.3567088266895917</v>
      </c>
      <c r="Y47">
        <f t="shared" si="15"/>
        <v>78</v>
      </c>
      <c r="Z47">
        <f>IFERROR(SUMPRODUCT(Design_Matrix!B43:K43,$I$5:$I$14),0)+IFERROR(LN(Design_Matrix!M43),0)</f>
        <v>4.3567088266895917</v>
      </c>
      <c r="AA47">
        <f t="shared" si="16"/>
        <v>78</v>
      </c>
      <c r="AB47">
        <f>IFERROR(SUMPRODUCT(Design_Matrix!B43:K43,$J$5:$J$14),0)+IFERROR(LN(Design_Matrix!M43),0)</f>
        <v>4.3567088266895917</v>
      </c>
      <c r="AC47">
        <f t="shared" si="17"/>
        <v>78</v>
      </c>
    </row>
    <row r="48" spans="12:29" x14ac:dyDescent="0.2">
      <c r="L48">
        <f>IFERROR(SUMPRODUCT(Design_Matrix!B44:K44,$B$5:$B$14),0)+IFERROR(LN(Design_Matrix!M44),0)</f>
        <v>4.7957905455967413</v>
      </c>
      <c r="M48">
        <f t="shared" si="9"/>
        <v>121.00000000000003</v>
      </c>
      <c r="N48">
        <f>IFERROR(SUMPRODUCT(Design_Matrix!B44:K44,$C$5:$C$14),0)+IFERROR(LN(Design_Matrix!M44),0)</f>
        <v>4.7957905455967413</v>
      </c>
      <c r="O48">
        <f t="shared" si="10"/>
        <v>121.00000000000003</v>
      </c>
      <c r="P48">
        <f>IFERROR(SUMPRODUCT(Design_Matrix!B44:K44,$D$5:$D$14),0)+IFERROR(LN(Design_Matrix!M44),0)</f>
        <v>4.7957905455967413</v>
      </c>
      <c r="Q48">
        <f t="shared" si="11"/>
        <v>121.00000000000003</v>
      </c>
      <c r="R48">
        <f>IFERROR(SUMPRODUCT(Design_Matrix!B44:K44,$E$5:$E$14),0)+IFERROR(LN(Design_Matrix!M44),0)</f>
        <v>4.7957905455967413</v>
      </c>
      <c r="S48">
        <f t="shared" si="12"/>
        <v>121.00000000000003</v>
      </c>
      <c r="T48">
        <f>IFERROR(SUMPRODUCT(Design_Matrix!B44:K44,$F$5:$F$14),0)+IFERROR(LN(Design_Matrix!M44),0)</f>
        <v>4.7957905455967413</v>
      </c>
      <c r="U48">
        <f t="shared" si="13"/>
        <v>121.00000000000003</v>
      </c>
      <c r="V48">
        <f>IFERROR(SUMPRODUCT(Design_Matrix!B44:K44,$G$5:$G$14),0)+IFERROR(LN(Design_Matrix!M44),0)</f>
        <v>4.7957905455967413</v>
      </c>
      <c r="W48">
        <f t="shared" si="14"/>
        <v>121.00000000000003</v>
      </c>
      <c r="X48">
        <f>IFERROR(SUMPRODUCT(Design_Matrix!B44:K44,$H$5:$H$14),0)+IFERROR(LN(Design_Matrix!M44),0)</f>
        <v>4.7957905455967413</v>
      </c>
      <c r="Y48">
        <f t="shared" si="15"/>
        <v>121.00000000000003</v>
      </c>
      <c r="Z48">
        <f>IFERROR(SUMPRODUCT(Design_Matrix!B44:K44,$I$5:$I$14),0)+IFERROR(LN(Design_Matrix!M44),0)</f>
        <v>4.7957905455967413</v>
      </c>
      <c r="AA48">
        <f t="shared" si="16"/>
        <v>121.00000000000003</v>
      </c>
      <c r="AB48">
        <f>IFERROR(SUMPRODUCT(Design_Matrix!B44:K44,$J$5:$J$14),0)+IFERROR(LN(Design_Matrix!M44),0)</f>
        <v>4.7957905455967413</v>
      </c>
      <c r="AC48">
        <f t="shared" si="17"/>
        <v>121.00000000000003</v>
      </c>
    </row>
    <row r="49" spans="12:29" x14ac:dyDescent="0.2">
      <c r="L49">
        <f>IFERROR(SUMPRODUCT(Design_Matrix!B45:K45,$B$5:$B$14),0)+IFERROR(LN(Design_Matrix!M45),0)</f>
        <v>6.5395859556176692</v>
      </c>
      <c r="M49">
        <f t="shared" si="9"/>
        <v>691.99999999999977</v>
      </c>
      <c r="N49">
        <f>IFERROR(SUMPRODUCT(Design_Matrix!B45:K45,$C$5:$C$14),0)+IFERROR(LN(Design_Matrix!M45),0)</f>
        <v>6.5395859556176692</v>
      </c>
      <c r="O49">
        <f t="shared" si="10"/>
        <v>691.99999999999977</v>
      </c>
      <c r="P49">
        <f>IFERROR(SUMPRODUCT(Design_Matrix!B45:K45,$D$5:$D$14),0)+IFERROR(LN(Design_Matrix!M45),0)</f>
        <v>6.5395859556176692</v>
      </c>
      <c r="Q49">
        <f t="shared" si="11"/>
        <v>691.99999999999977</v>
      </c>
      <c r="R49">
        <f>IFERROR(SUMPRODUCT(Design_Matrix!B45:K45,$E$5:$E$14),0)+IFERROR(LN(Design_Matrix!M45),0)</f>
        <v>6.5395859556176692</v>
      </c>
      <c r="S49">
        <f t="shared" si="12"/>
        <v>691.99999999999977</v>
      </c>
      <c r="T49">
        <f>IFERROR(SUMPRODUCT(Design_Matrix!B45:K45,$F$5:$F$14),0)+IFERROR(LN(Design_Matrix!M45),0)</f>
        <v>6.5395859556176692</v>
      </c>
      <c r="U49">
        <f t="shared" si="13"/>
        <v>691.99999999999977</v>
      </c>
      <c r="V49">
        <f>IFERROR(SUMPRODUCT(Design_Matrix!B45:K45,$G$5:$G$14),0)+IFERROR(LN(Design_Matrix!M45),0)</f>
        <v>6.5395859556176692</v>
      </c>
      <c r="W49">
        <f t="shared" si="14"/>
        <v>691.99999999999977</v>
      </c>
      <c r="X49">
        <f>IFERROR(SUMPRODUCT(Design_Matrix!B45:K45,$H$5:$H$14),0)+IFERROR(LN(Design_Matrix!M45),0)</f>
        <v>6.5395859556176692</v>
      </c>
      <c r="Y49">
        <f t="shared" si="15"/>
        <v>691.99999999999977</v>
      </c>
      <c r="Z49">
        <f>IFERROR(SUMPRODUCT(Design_Matrix!B45:K45,$I$5:$I$14),0)+IFERROR(LN(Design_Matrix!M45),0)</f>
        <v>6.5395859556176692</v>
      </c>
      <c r="AA49">
        <f t="shared" si="16"/>
        <v>691.99999999999977</v>
      </c>
      <c r="AB49">
        <f>IFERROR(SUMPRODUCT(Design_Matrix!B45:K45,$J$5:$J$14),0)+IFERROR(LN(Design_Matrix!M45),0)</f>
        <v>6.5395859556176692</v>
      </c>
      <c r="AC49">
        <f t="shared" si="17"/>
        <v>691.99999999999977</v>
      </c>
    </row>
    <row r="50" spans="12:29" x14ac:dyDescent="0.2">
      <c r="L50">
        <f>IFERROR(SUMPRODUCT(Design_Matrix!B46:K46,$B$5:$B$14),0)+IFERROR(LN(Design_Matrix!M46),0)</f>
        <v>1.9459101490553132</v>
      </c>
      <c r="M50">
        <f t="shared" si="9"/>
        <v>6.9999999999999991</v>
      </c>
      <c r="N50">
        <f>IFERROR(SUMPRODUCT(Design_Matrix!B46:K46,$C$5:$C$14),0)+IFERROR(LN(Design_Matrix!M46),0)</f>
        <v>1.9459101490553132</v>
      </c>
      <c r="O50">
        <f t="shared" si="10"/>
        <v>6.9999999999999991</v>
      </c>
      <c r="P50">
        <f>IFERROR(SUMPRODUCT(Design_Matrix!B46:K46,$D$5:$D$14),0)+IFERROR(LN(Design_Matrix!M46),0)</f>
        <v>1.9459101490553132</v>
      </c>
      <c r="Q50">
        <f t="shared" si="11"/>
        <v>6.9999999999999991</v>
      </c>
      <c r="R50">
        <f>IFERROR(SUMPRODUCT(Design_Matrix!B46:K46,$E$5:$E$14),0)+IFERROR(LN(Design_Matrix!M46),0)</f>
        <v>1.9459101490553132</v>
      </c>
      <c r="S50">
        <f t="shared" si="12"/>
        <v>6.9999999999999991</v>
      </c>
      <c r="T50">
        <f>IFERROR(SUMPRODUCT(Design_Matrix!B46:K46,$F$5:$F$14),0)+IFERROR(LN(Design_Matrix!M46),0)</f>
        <v>1.9459101490553132</v>
      </c>
      <c r="U50">
        <f t="shared" si="13"/>
        <v>6.9999999999999991</v>
      </c>
      <c r="V50">
        <f>IFERROR(SUMPRODUCT(Design_Matrix!B46:K46,$G$5:$G$14),0)+IFERROR(LN(Design_Matrix!M46),0)</f>
        <v>1.9459101490553132</v>
      </c>
      <c r="W50">
        <f t="shared" si="14"/>
        <v>6.9999999999999991</v>
      </c>
      <c r="X50">
        <f>IFERROR(SUMPRODUCT(Design_Matrix!B46:K46,$H$5:$H$14),0)+IFERROR(LN(Design_Matrix!M46),0)</f>
        <v>1.9459101490553132</v>
      </c>
      <c r="Y50">
        <f t="shared" si="15"/>
        <v>6.9999999999999991</v>
      </c>
      <c r="Z50">
        <f>IFERROR(SUMPRODUCT(Design_Matrix!B46:K46,$I$5:$I$14),0)+IFERROR(LN(Design_Matrix!M46),0)</f>
        <v>1.9459101490553132</v>
      </c>
      <c r="AA50">
        <f t="shared" si="16"/>
        <v>6.9999999999999991</v>
      </c>
      <c r="AB50">
        <f>IFERROR(SUMPRODUCT(Design_Matrix!B46:K46,$J$5:$J$14),0)+IFERROR(LN(Design_Matrix!M46),0)</f>
        <v>1.9459101490553132</v>
      </c>
      <c r="AC50">
        <f t="shared" si="17"/>
        <v>6.9999999999999991</v>
      </c>
    </row>
    <row r="51" spans="12:29" x14ac:dyDescent="0.2">
      <c r="L51">
        <f>IFERROR(SUMPRODUCT(Design_Matrix!B47:K47,$B$5:$B$14),0)+IFERROR(LN(Design_Matrix!M47),0)</f>
        <v>3.3672958299864741</v>
      </c>
      <c r="M51">
        <f t="shared" si="9"/>
        <v>29.000000000000004</v>
      </c>
      <c r="N51">
        <f>IFERROR(SUMPRODUCT(Design_Matrix!B47:K47,$C$5:$C$14),0)+IFERROR(LN(Design_Matrix!M47),0)</f>
        <v>3.3672958299864741</v>
      </c>
      <c r="O51">
        <f t="shared" si="10"/>
        <v>29.000000000000004</v>
      </c>
      <c r="P51">
        <f>IFERROR(SUMPRODUCT(Design_Matrix!B47:K47,$D$5:$D$14),0)+IFERROR(LN(Design_Matrix!M47),0)</f>
        <v>3.3672958299864741</v>
      </c>
      <c r="Q51">
        <f t="shared" si="11"/>
        <v>29.000000000000004</v>
      </c>
      <c r="R51">
        <f>IFERROR(SUMPRODUCT(Design_Matrix!B47:K47,$E$5:$E$14),0)+IFERROR(LN(Design_Matrix!M47),0)</f>
        <v>3.3672958299864741</v>
      </c>
      <c r="S51">
        <f t="shared" si="12"/>
        <v>29.000000000000004</v>
      </c>
      <c r="T51">
        <f>IFERROR(SUMPRODUCT(Design_Matrix!B47:K47,$F$5:$F$14),0)+IFERROR(LN(Design_Matrix!M47),0)</f>
        <v>3.3672958299864741</v>
      </c>
      <c r="U51">
        <f t="shared" si="13"/>
        <v>29.000000000000004</v>
      </c>
      <c r="V51">
        <f>IFERROR(SUMPRODUCT(Design_Matrix!B47:K47,$G$5:$G$14),0)+IFERROR(LN(Design_Matrix!M47),0)</f>
        <v>3.3672958299864741</v>
      </c>
      <c r="W51">
        <f t="shared" si="14"/>
        <v>29.000000000000004</v>
      </c>
      <c r="X51">
        <f>IFERROR(SUMPRODUCT(Design_Matrix!B47:K47,$H$5:$H$14),0)+IFERROR(LN(Design_Matrix!M47),0)</f>
        <v>3.3672958299864741</v>
      </c>
      <c r="Y51">
        <f t="shared" si="15"/>
        <v>29.000000000000004</v>
      </c>
      <c r="Z51">
        <f>IFERROR(SUMPRODUCT(Design_Matrix!B47:K47,$I$5:$I$14),0)+IFERROR(LN(Design_Matrix!M47),0)</f>
        <v>3.3672958299864741</v>
      </c>
      <c r="AA51">
        <f t="shared" si="16"/>
        <v>29.000000000000004</v>
      </c>
      <c r="AB51">
        <f>IFERROR(SUMPRODUCT(Design_Matrix!B47:K47,$J$5:$J$14),0)+IFERROR(LN(Design_Matrix!M47),0)</f>
        <v>3.3672958299864741</v>
      </c>
      <c r="AC51">
        <f t="shared" si="17"/>
        <v>29.000000000000004</v>
      </c>
    </row>
    <row r="52" spans="12:29" x14ac:dyDescent="0.2">
      <c r="L52">
        <f>IFERROR(SUMPRODUCT(Design_Matrix!B48:K48,$B$5:$B$14),0)+IFERROR(LN(Design_Matrix!M48),0)</f>
        <v>3.7612001156935624</v>
      </c>
      <c r="M52">
        <f t="shared" si="9"/>
        <v>43</v>
      </c>
      <c r="N52">
        <f>IFERROR(SUMPRODUCT(Design_Matrix!B48:K48,$C$5:$C$14),0)+IFERROR(LN(Design_Matrix!M48),0)</f>
        <v>3.7612001156935624</v>
      </c>
      <c r="O52">
        <f t="shared" si="10"/>
        <v>43</v>
      </c>
      <c r="P52">
        <f>IFERROR(SUMPRODUCT(Design_Matrix!B48:K48,$D$5:$D$14),0)+IFERROR(LN(Design_Matrix!M48),0)</f>
        <v>3.7612001156935624</v>
      </c>
      <c r="Q52">
        <f t="shared" si="11"/>
        <v>43</v>
      </c>
      <c r="R52">
        <f>IFERROR(SUMPRODUCT(Design_Matrix!B48:K48,$E$5:$E$14),0)+IFERROR(LN(Design_Matrix!M48),0)</f>
        <v>3.7612001156935624</v>
      </c>
      <c r="S52">
        <f t="shared" si="12"/>
        <v>43</v>
      </c>
      <c r="T52">
        <f>IFERROR(SUMPRODUCT(Design_Matrix!B48:K48,$F$5:$F$14),0)+IFERROR(LN(Design_Matrix!M48),0)</f>
        <v>3.7612001156935624</v>
      </c>
      <c r="U52">
        <f t="shared" si="13"/>
        <v>43</v>
      </c>
      <c r="V52">
        <f>IFERROR(SUMPRODUCT(Design_Matrix!B48:K48,$G$5:$G$14),0)+IFERROR(LN(Design_Matrix!M48),0)</f>
        <v>3.7612001156935624</v>
      </c>
      <c r="W52">
        <f t="shared" si="14"/>
        <v>43</v>
      </c>
      <c r="X52">
        <f>IFERROR(SUMPRODUCT(Design_Matrix!B48:K48,$H$5:$H$14),0)+IFERROR(LN(Design_Matrix!M48),0)</f>
        <v>3.7612001156935624</v>
      </c>
      <c r="Y52">
        <f t="shared" si="15"/>
        <v>43</v>
      </c>
      <c r="Z52">
        <f>IFERROR(SUMPRODUCT(Design_Matrix!B48:K48,$I$5:$I$14),0)+IFERROR(LN(Design_Matrix!M48),0)</f>
        <v>3.7612001156935624</v>
      </c>
      <c r="AA52">
        <f t="shared" si="16"/>
        <v>43</v>
      </c>
      <c r="AB52">
        <f>IFERROR(SUMPRODUCT(Design_Matrix!B48:K48,$J$5:$J$14),0)+IFERROR(LN(Design_Matrix!M48),0)</f>
        <v>3.7612001156935624</v>
      </c>
      <c r="AC52">
        <f t="shared" si="17"/>
        <v>43</v>
      </c>
    </row>
    <row r="53" spans="12:29" x14ac:dyDescent="0.2">
      <c r="L53">
        <f>IFERROR(SUMPRODUCT(Design_Matrix!B49:K49,$B$5:$B$14),0)+IFERROR(LN(Design_Matrix!M49),0)</f>
        <v>5.5012582105447274</v>
      </c>
      <c r="M53">
        <f t="shared" si="9"/>
        <v>245.00000000000011</v>
      </c>
      <c r="N53">
        <f>IFERROR(SUMPRODUCT(Design_Matrix!B49:K49,$C$5:$C$14),0)+IFERROR(LN(Design_Matrix!M49),0)</f>
        <v>5.5012582105447274</v>
      </c>
      <c r="O53">
        <f t="shared" si="10"/>
        <v>245.00000000000011</v>
      </c>
      <c r="P53">
        <f>IFERROR(SUMPRODUCT(Design_Matrix!B49:K49,$D$5:$D$14),0)+IFERROR(LN(Design_Matrix!M49),0)</f>
        <v>5.5012582105447274</v>
      </c>
      <c r="Q53">
        <f t="shared" si="11"/>
        <v>245.00000000000011</v>
      </c>
      <c r="R53">
        <f>IFERROR(SUMPRODUCT(Design_Matrix!B49:K49,$E$5:$E$14),0)+IFERROR(LN(Design_Matrix!M49),0)</f>
        <v>5.5012582105447274</v>
      </c>
      <c r="S53">
        <f t="shared" si="12"/>
        <v>245.00000000000011</v>
      </c>
      <c r="T53">
        <f>IFERROR(SUMPRODUCT(Design_Matrix!B49:K49,$F$5:$F$14),0)+IFERROR(LN(Design_Matrix!M49),0)</f>
        <v>5.5012582105447274</v>
      </c>
      <c r="U53">
        <f t="shared" si="13"/>
        <v>245.00000000000011</v>
      </c>
      <c r="V53">
        <f>IFERROR(SUMPRODUCT(Design_Matrix!B49:K49,$G$5:$G$14),0)+IFERROR(LN(Design_Matrix!M49),0)</f>
        <v>5.5012582105447274</v>
      </c>
      <c r="W53">
        <f t="shared" si="14"/>
        <v>245.00000000000011</v>
      </c>
      <c r="X53">
        <f>IFERROR(SUMPRODUCT(Design_Matrix!B49:K49,$H$5:$H$14),0)+IFERROR(LN(Design_Matrix!M49),0)</f>
        <v>5.5012582105447274</v>
      </c>
      <c r="Y53">
        <f t="shared" si="15"/>
        <v>245.00000000000011</v>
      </c>
      <c r="Z53">
        <f>IFERROR(SUMPRODUCT(Design_Matrix!B49:K49,$I$5:$I$14),0)+IFERROR(LN(Design_Matrix!M49),0)</f>
        <v>5.5012582105447274</v>
      </c>
      <c r="AA53">
        <f t="shared" si="16"/>
        <v>245.00000000000011</v>
      </c>
      <c r="AB53">
        <f>IFERROR(SUMPRODUCT(Design_Matrix!B49:K49,$J$5:$J$14),0)+IFERROR(LN(Design_Matrix!M49),0)</f>
        <v>5.5012582105447274</v>
      </c>
      <c r="AC53">
        <f t="shared" si="17"/>
        <v>245.00000000000011</v>
      </c>
    </row>
    <row r="54" spans="12:29" x14ac:dyDescent="0.2">
      <c r="L54">
        <f>IFERROR(SUMPRODUCT(Design_Matrix!B50:K50,$B$5:$B$14),0)+IFERROR(LN(Design_Matrix!M50),0)</f>
        <v>2.9957322735539909</v>
      </c>
      <c r="M54">
        <f t="shared" si="9"/>
        <v>19.999999999999996</v>
      </c>
      <c r="N54">
        <f>IFERROR(SUMPRODUCT(Design_Matrix!B50:K50,$C$5:$C$14),0)+IFERROR(LN(Design_Matrix!M50),0)</f>
        <v>2.9957322735539909</v>
      </c>
      <c r="O54">
        <f t="shared" si="10"/>
        <v>19.999999999999996</v>
      </c>
      <c r="P54">
        <f>IFERROR(SUMPRODUCT(Design_Matrix!B50:K50,$D$5:$D$14),0)+IFERROR(LN(Design_Matrix!M50),0)</f>
        <v>2.9957322735539909</v>
      </c>
      <c r="Q54">
        <f t="shared" si="11"/>
        <v>19.999999999999996</v>
      </c>
      <c r="R54">
        <f>IFERROR(SUMPRODUCT(Design_Matrix!B50:K50,$E$5:$E$14),0)+IFERROR(LN(Design_Matrix!M50),0)</f>
        <v>2.9957322735539909</v>
      </c>
      <c r="S54">
        <f t="shared" si="12"/>
        <v>19.999999999999996</v>
      </c>
      <c r="T54">
        <f>IFERROR(SUMPRODUCT(Design_Matrix!B50:K50,$F$5:$F$14),0)+IFERROR(LN(Design_Matrix!M50),0)</f>
        <v>2.9957322735539909</v>
      </c>
      <c r="U54">
        <f t="shared" si="13"/>
        <v>19.999999999999996</v>
      </c>
      <c r="V54">
        <f>IFERROR(SUMPRODUCT(Design_Matrix!B50:K50,$G$5:$G$14),0)+IFERROR(LN(Design_Matrix!M50),0)</f>
        <v>2.9957322735539909</v>
      </c>
      <c r="W54">
        <f t="shared" si="14"/>
        <v>19.999999999999996</v>
      </c>
      <c r="X54">
        <f>IFERROR(SUMPRODUCT(Design_Matrix!B50:K50,$H$5:$H$14),0)+IFERROR(LN(Design_Matrix!M50),0)</f>
        <v>2.9957322735539909</v>
      </c>
      <c r="Y54">
        <f t="shared" si="15"/>
        <v>19.999999999999996</v>
      </c>
      <c r="Z54">
        <f>IFERROR(SUMPRODUCT(Design_Matrix!B50:K50,$I$5:$I$14),0)+IFERROR(LN(Design_Matrix!M50),0)</f>
        <v>2.9957322735539909</v>
      </c>
      <c r="AA54">
        <f t="shared" si="16"/>
        <v>19.999999999999996</v>
      </c>
      <c r="AB54">
        <f>IFERROR(SUMPRODUCT(Design_Matrix!B50:K50,$J$5:$J$14),0)+IFERROR(LN(Design_Matrix!M50),0)</f>
        <v>2.9957322735539909</v>
      </c>
      <c r="AC54">
        <f t="shared" si="17"/>
        <v>19.999999999999996</v>
      </c>
    </row>
    <row r="55" spans="12:29" x14ac:dyDescent="0.2">
      <c r="L55">
        <f>IFERROR(SUMPRODUCT(Design_Matrix!B51:K51,$B$5:$B$14),0)+IFERROR(LN(Design_Matrix!M51),0)</f>
        <v>3.4965075614664802</v>
      </c>
      <c r="M55">
        <f t="shared" si="9"/>
        <v>33</v>
      </c>
      <c r="N55">
        <f>IFERROR(SUMPRODUCT(Design_Matrix!B51:K51,$C$5:$C$14),0)+IFERROR(LN(Design_Matrix!M51),0)</f>
        <v>3.4965075614664802</v>
      </c>
      <c r="O55">
        <f t="shared" si="10"/>
        <v>33</v>
      </c>
      <c r="P55">
        <f>IFERROR(SUMPRODUCT(Design_Matrix!B51:K51,$D$5:$D$14),0)+IFERROR(LN(Design_Matrix!M51),0)</f>
        <v>3.4965075614664802</v>
      </c>
      <c r="Q55">
        <f t="shared" si="11"/>
        <v>33</v>
      </c>
      <c r="R55">
        <f>IFERROR(SUMPRODUCT(Design_Matrix!B51:K51,$E$5:$E$14),0)+IFERROR(LN(Design_Matrix!M51),0)</f>
        <v>3.4965075614664802</v>
      </c>
      <c r="S55">
        <f t="shared" si="12"/>
        <v>33</v>
      </c>
      <c r="T55">
        <f>IFERROR(SUMPRODUCT(Design_Matrix!B51:K51,$F$5:$F$14),0)+IFERROR(LN(Design_Matrix!M51),0)</f>
        <v>3.4965075614664802</v>
      </c>
      <c r="U55">
        <f t="shared" si="13"/>
        <v>33</v>
      </c>
      <c r="V55">
        <f>IFERROR(SUMPRODUCT(Design_Matrix!B51:K51,$G$5:$G$14),0)+IFERROR(LN(Design_Matrix!M51),0)</f>
        <v>3.4965075614664802</v>
      </c>
      <c r="W55">
        <f t="shared" si="14"/>
        <v>33</v>
      </c>
      <c r="X55">
        <f>IFERROR(SUMPRODUCT(Design_Matrix!B51:K51,$H$5:$H$14),0)+IFERROR(LN(Design_Matrix!M51),0)</f>
        <v>3.4965075614664802</v>
      </c>
      <c r="Y55">
        <f t="shared" si="15"/>
        <v>33</v>
      </c>
      <c r="Z55">
        <f>IFERROR(SUMPRODUCT(Design_Matrix!B51:K51,$I$5:$I$14),0)+IFERROR(LN(Design_Matrix!M51),0)</f>
        <v>3.4965075614664802</v>
      </c>
      <c r="AA55">
        <f t="shared" si="16"/>
        <v>33</v>
      </c>
      <c r="AB55">
        <f>IFERROR(SUMPRODUCT(Design_Matrix!B51:K51,$J$5:$J$14),0)+IFERROR(LN(Design_Matrix!M51),0)</f>
        <v>3.4965075614664802</v>
      </c>
      <c r="AC55">
        <f t="shared" si="17"/>
        <v>33</v>
      </c>
    </row>
    <row r="56" spans="12:29" x14ac:dyDescent="0.2">
      <c r="L56">
        <f>IFERROR(SUMPRODUCT(Design_Matrix!B52:K52,$B$5:$B$14),0)+IFERROR(LN(Design_Matrix!M52),0)</f>
        <v>3.6888794541139363</v>
      </c>
      <c r="M56">
        <f t="shared" si="9"/>
        <v>40</v>
      </c>
      <c r="N56">
        <f>IFERROR(SUMPRODUCT(Design_Matrix!B52:K52,$C$5:$C$14),0)+IFERROR(LN(Design_Matrix!M52),0)</f>
        <v>3.6888794541139363</v>
      </c>
      <c r="O56">
        <f t="shared" si="10"/>
        <v>40</v>
      </c>
      <c r="P56">
        <f>IFERROR(SUMPRODUCT(Design_Matrix!B52:K52,$D$5:$D$14),0)+IFERROR(LN(Design_Matrix!M52),0)</f>
        <v>3.6888794541139363</v>
      </c>
      <c r="Q56">
        <f t="shared" si="11"/>
        <v>40</v>
      </c>
      <c r="R56">
        <f>IFERROR(SUMPRODUCT(Design_Matrix!B52:K52,$E$5:$E$14),0)+IFERROR(LN(Design_Matrix!M52),0)</f>
        <v>3.6888794541139363</v>
      </c>
      <c r="S56">
        <f t="shared" si="12"/>
        <v>40</v>
      </c>
      <c r="T56">
        <f>IFERROR(SUMPRODUCT(Design_Matrix!B52:K52,$F$5:$F$14),0)+IFERROR(LN(Design_Matrix!M52),0)</f>
        <v>3.6888794541139363</v>
      </c>
      <c r="U56">
        <f t="shared" si="13"/>
        <v>40</v>
      </c>
      <c r="V56">
        <f>IFERROR(SUMPRODUCT(Design_Matrix!B52:K52,$G$5:$G$14),0)+IFERROR(LN(Design_Matrix!M52),0)</f>
        <v>3.6888794541139363</v>
      </c>
      <c r="W56">
        <f t="shared" si="14"/>
        <v>40</v>
      </c>
      <c r="X56">
        <f>IFERROR(SUMPRODUCT(Design_Matrix!B52:K52,$H$5:$H$14),0)+IFERROR(LN(Design_Matrix!M52),0)</f>
        <v>3.6888794541139363</v>
      </c>
      <c r="Y56">
        <f t="shared" si="15"/>
        <v>40</v>
      </c>
      <c r="Z56">
        <f>IFERROR(SUMPRODUCT(Design_Matrix!B52:K52,$I$5:$I$14),0)+IFERROR(LN(Design_Matrix!M52),0)</f>
        <v>3.6888794541139363</v>
      </c>
      <c r="AA56">
        <f t="shared" si="16"/>
        <v>40</v>
      </c>
      <c r="AB56">
        <f>IFERROR(SUMPRODUCT(Design_Matrix!B52:K52,$J$5:$J$14),0)+IFERROR(LN(Design_Matrix!M52),0)</f>
        <v>3.6888794541139363</v>
      </c>
      <c r="AC56">
        <f t="shared" si="17"/>
        <v>40</v>
      </c>
    </row>
    <row r="57" spans="12:29" x14ac:dyDescent="0.2">
      <c r="L57">
        <f>IFERROR(SUMPRODUCT(Design_Matrix!B53:K53,$B$5:$B$14),0)+IFERROR(LN(Design_Matrix!M53),0)</f>
        <v>5.7557422135869123</v>
      </c>
      <c r="M57">
        <f t="shared" si="9"/>
        <v>316.00000000000006</v>
      </c>
      <c r="N57">
        <f>IFERROR(SUMPRODUCT(Design_Matrix!B53:K53,$C$5:$C$14),0)+IFERROR(LN(Design_Matrix!M53),0)</f>
        <v>5.7557422135869123</v>
      </c>
      <c r="O57">
        <f t="shared" si="10"/>
        <v>316.00000000000006</v>
      </c>
      <c r="P57">
        <f>IFERROR(SUMPRODUCT(Design_Matrix!B53:K53,$D$5:$D$14),0)+IFERROR(LN(Design_Matrix!M53),0)</f>
        <v>5.7557422135869123</v>
      </c>
      <c r="Q57">
        <f t="shared" si="11"/>
        <v>316.00000000000006</v>
      </c>
      <c r="R57">
        <f>IFERROR(SUMPRODUCT(Design_Matrix!B53:K53,$E$5:$E$14),0)+IFERROR(LN(Design_Matrix!M53),0)</f>
        <v>5.7557422135869123</v>
      </c>
      <c r="S57">
        <f t="shared" si="12"/>
        <v>316.00000000000006</v>
      </c>
      <c r="T57">
        <f>IFERROR(SUMPRODUCT(Design_Matrix!B53:K53,$F$5:$F$14),0)+IFERROR(LN(Design_Matrix!M53),0)</f>
        <v>5.7557422135869123</v>
      </c>
      <c r="U57">
        <f t="shared" si="13"/>
        <v>316.00000000000006</v>
      </c>
      <c r="V57">
        <f>IFERROR(SUMPRODUCT(Design_Matrix!B53:K53,$G$5:$G$14),0)+IFERROR(LN(Design_Matrix!M53),0)</f>
        <v>5.7557422135869123</v>
      </c>
      <c r="W57">
        <f t="shared" si="14"/>
        <v>316.00000000000006</v>
      </c>
      <c r="X57">
        <f>IFERROR(SUMPRODUCT(Design_Matrix!B53:K53,$H$5:$H$14),0)+IFERROR(LN(Design_Matrix!M53),0)</f>
        <v>5.7557422135869123</v>
      </c>
      <c r="Y57">
        <f t="shared" si="15"/>
        <v>316.00000000000006</v>
      </c>
      <c r="Z57">
        <f>IFERROR(SUMPRODUCT(Design_Matrix!B53:K53,$I$5:$I$14),0)+IFERROR(LN(Design_Matrix!M53),0)</f>
        <v>5.7557422135869123</v>
      </c>
      <c r="AA57">
        <f t="shared" si="16"/>
        <v>316.00000000000006</v>
      </c>
      <c r="AB57">
        <f>IFERROR(SUMPRODUCT(Design_Matrix!B53:K53,$J$5:$J$14),0)+IFERROR(LN(Design_Matrix!M53),0)</f>
        <v>5.7557422135869123</v>
      </c>
      <c r="AC57">
        <f t="shared" si="17"/>
        <v>316.00000000000006</v>
      </c>
    </row>
    <row r="58" spans="12:29" x14ac:dyDescent="0.2">
      <c r="L58">
        <f>IFERROR(SUMPRODUCT(Design_Matrix!B54:K54,$B$5:$B$14),0)+IFERROR(LN(Design_Matrix!M54),0)</f>
        <v>3.4339872044851463</v>
      </c>
      <c r="M58">
        <f t="shared" si="9"/>
        <v>31</v>
      </c>
      <c r="N58">
        <f>IFERROR(SUMPRODUCT(Design_Matrix!B54:K54,$C$5:$C$14),0)+IFERROR(LN(Design_Matrix!M54),0)</f>
        <v>3.4339872044851463</v>
      </c>
      <c r="O58">
        <f t="shared" si="10"/>
        <v>31</v>
      </c>
      <c r="P58">
        <f>IFERROR(SUMPRODUCT(Design_Matrix!B54:K54,$D$5:$D$14),0)+IFERROR(LN(Design_Matrix!M54),0)</f>
        <v>3.4339872044851463</v>
      </c>
      <c r="Q58">
        <f t="shared" si="11"/>
        <v>31</v>
      </c>
      <c r="R58">
        <f>IFERROR(SUMPRODUCT(Design_Matrix!B54:K54,$E$5:$E$14),0)+IFERROR(LN(Design_Matrix!M54),0)</f>
        <v>3.4339872044851463</v>
      </c>
      <c r="S58">
        <f t="shared" si="12"/>
        <v>31</v>
      </c>
      <c r="T58">
        <f>IFERROR(SUMPRODUCT(Design_Matrix!B54:K54,$F$5:$F$14),0)+IFERROR(LN(Design_Matrix!M54),0)</f>
        <v>3.4339872044851463</v>
      </c>
      <c r="U58">
        <f t="shared" si="13"/>
        <v>31</v>
      </c>
      <c r="V58">
        <f>IFERROR(SUMPRODUCT(Design_Matrix!B54:K54,$G$5:$G$14),0)+IFERROR(LN(Design_Matrix!M54),0)</f>
        <v>3.4339872044851463</v>
      </c>
      <c r="W58">
        <f t="shared" si="14"/>
        <v>31</v>
      </c>
      <c r="X58">
        <f>IFERROR(SUMPRODUCT(Design_Matrix!B54:K54,$H$5:$H$14),0)+IFERROR(LN(Design_Matrix!M54),0)</f>
        <v>3.4339872044851463</v>
      </c>
      <c r="Y58">
        <f t="shared" si="15"/>
        <v>31</v>
      </c>
      <c r="Z58">
        <f>IFERROR(SUMPRODUCT(Design_Matrix!B54:K54,$I$5:$I$14),0)+IFERROR(LN(Design_Matrix!M54),0)</f>
        <v>3.4339872044851463</v>
      </c>
      <c r="AA58">
        <f t="shared" si="16"/>
        <v>31</v>
      </c>
      <c r="AB58">
        <f>IFERROR(SUMPRODUCT(Design_Matrix!B54:K54,$J$5:$J$14),0)+IFERROR(LN(Design_Matrix!M54),0)</f>
        <v>3.4339872044851463</v>
      </c>
      <c r="AC58">
        <f t="shared" si="17"/>
        <v>31</v>
      </c>
    </row>
    <row r="59" spans="12:29" x14ac:dyDescent="0.2">
      <c r="L59">
        <f>IFERROR(SUMPRODUCT(Design_Matrix!B55:K55,$B$5:$B$14),0)+IFERROR(LN(Design_Matrix!M55),0)</f>
        <v>4.3944491546724391</v>
      </c>
      <c r="M59">
        <f t="shared" si="9"/>
        <v>81.000000000000028</v>
      </c>
      <c r="N59">
        <f>IFERROR(SUMPRODUCT(Design_Matrix!B55:K55,$C$5:$C$14),0)+IFERROR(LN(Design_Matrix!M55),0)</f>
        <v>4.3944491546724391</v>
      </c>
      <c r="O59">
        <f t="shared" si="10"/>
        <v>81.000000000000028</v>
      </c>
      <c r="P59">
        <f>IFERROR(SUMPRODUCT(Design_Matrix!B55:K55,$D$5:$D$14),0)+IFERROR(LN(Design_Matrix!M55),0)</f>
        <v>4.3944491546724391</v>
      </c>
      <c r="Q59">
        <f t="shared" si="11"/>
        <v>81.000000000000028</v>
      </c>
      <c r="R59">
        <f>IFERROR(SUMPRODUCT(Design_Matrix!B55:K55,$E$5:$E$14),0)+IFERROR(LN(Design_Matrix!M55),0)</f>
        <v>4.3944491546724391</v>
      </c>
      <c r="S59">
        <f t="shared" si="12"/>
        <v>81.000000000000028</v>
      </c>
      <c r="T59">
        <f>IFERROR(SUMPRODUCT(Design_Matrix!B55:K55,$F$5:$F$14),0)+IFERROR(LN(Design_Matrix!M55),0)</f>
        <v>4.3944491546724391</v>
      </c>
      <c r="U59">
        <f t="shared" si="13"/>
        <v>81.000000000000028</v>
      </c>
      <c r="V59">
        <f>IFERROR(SUMPRODUCT(Design_Matrix!B55:K55,$G$5:$G$14),0)+IFERROR(LN(Design_Matrix!M55),0)</f>
        <v>4.3944491546724391</v>
      </c>
      <c r="W59">
        <f t="shared" si="14"/>
        <v>81.000000000000028</v>
      </c>
      <c r="X59">
        <f>IFERROR(SUMPRODUCT(Design_Matrix!B55:K55,$H$5:$H$14),0)+IFERROR(LN(Design_Matrix!M55),0)</f>
        <v>4.3944491546724391</v>
      </c>
      <c r="Y59">
        <f t="shared" si="15"/>
        <v>81.000000000000028</v>
      </c>
      <c r="Z59">
        <f>IFERROR(SUMPRODUCT(Design_Matrix!B55:K55,$I$5:$I$14),0)+IFERROR(LN(Design_Matrix!M55),0)</f>
        <v>4.3944491546724391</v>
      </c>
      <c r="AA59">
        <f t="shared" si="16"/>
        <v>81.000000000000028</v>
      </c>
      <c r="AB59">
        <f>IFERROR(SUMPRODUCT(Design_Matrix!B55:K55,$J$5:$J$14),0)+IFERROR(LN(Design_Matrix!M55),0)</f>
        <v>4.3944491546724391</v>
      </c>
      <c r="AC59">
        <f t="shared" si="17"/>
        <v>81.000000000000028</v>
      </c>
    </row>
    <row r="60" spans="12:29" x14ac:dyDescent="0.2">
      <c r="L60">
        <f>IFERROR(SUMPRODUCT(Design_Matrix!B56:K56,$B$5:$B$14),0)+IFERROR(LN(Design_Matrix!M56),0)</f>
        <v>4.8040210447332568</v>
      </c>
      <c r="M60">
        <f t="shared" si="9"/>
        <v>122.00000000000003</v>
      </c>
      <c r="N60">
        <f>IFERROR(SUMPRODUCT(Design_Matrix!B56:K56,$C$5:$C$14),0)+IFERROR(LN(Design_Matrix!M56),0)</f>
        <v>4.8040210447332568</v>
      </c>
      <c r="O60">
        <f t="shared" si="10"/>
        <v>122.00000000000003</v>
      </c>
      <c r="P60">
        <f>IFERROR(SUMPRODUCT(Design_Matrix!B56:K56,$D$5:$D$14),0)+IFERROR(LN(Design_Matrix!M56),0)</f>
        <v>4.8040210447332568</v>
      </c>
      <c r="Q60">
        <f t="shared" si="11"/>
        <v>122.00000000000003</v>
      </c>
      <c r="R60">
        <f>IFERROR(SUMPRODUCT(Design_Matrix!B56:K56,$E$5:$E$14),0)+IFERROR(LN(Design_Matrix!M56),0)</f>
        <v>4.8040210447332568</v>
      </c>
      <c r="S60">
        <f t="shared" si="12"/>
        <v>122.00000000000003</v>
      </c>
      <c r="T60">
        <f>IFERROR(SUMPRODUCT(Design_Matrix!B56:K56,$F$5:$F$14),0)+IFERROR(LN(Design_Matrix!M56),0)</f>
        <v>4.8040210447332568</v>
      </c>
      <c r="U60">
        <f t="shared" si="13"/>
        <v>122.00000000000003</v>
      </c>
      <c r="V60">
        <f>IFERROR(SUMPRODUCT(Design_Matrix!B56:K56,$G$5:$G$14),0)+IFERROR(LN(Design_Matrix!M56),0)</f>
        <v>4.8040210447332568</v>
      </c>
      <c r="W60">
        <f t="shared" si="14"/>
        <v>122.00000000000003</v>
      </c>
      <c r="X60">
        <f>IFERROR(SUMPRODUCT(Design_Matrix!B56:K56,$H$5:$H$14),0)+IFERROR(LN(Design_Matrix!M56),0)</f>
        <v>4.8040210447332568</v>
      </c>
      <c r="Y60">
        <f t="shared" si="15"/>
        <v>122.00000000000003</v>
      </c>
      <c r="Z60">
        <f>IFERROR(SUMPRODUCT(Design_Matrix!B56:K56,$I$5:$I$14),0)+IFERROR(LN(Design_Matrix!M56),0)</f>
        <v>4.8040210447332568</v>
      </c>
      <c r="AA60">
        <f t="shared" si="16"/>
        <v>122.00000000000003</v>
      </c>
      <c r="AB60">
        <f>IFERROR(SUMPRODUCT(Design_Matrix!B56:K56,$J$5:$J$14),0)+IFERROR(LN(Design_Matrix!M56),0)</f>
        <v>4.8040210447332568</v>
      </c>
      <c r="AC60">
        <f t="shared" si="17"/>
        <v>122.00000000000003</v>
      </c>
    </row>
    <row r="61" spans="12:29" x14ac:dyDescent="0.2">
      <c r="L61">
        <f>IFERROR(SUMPRODUCT(Design_Matrix!B57:K57,$B$5:$B$14),0)+IFERROR(LN(Design_Matrix!M57),0)</f>
        <v>6.584791392385716</v>
      </c>
      <c r="M61">
        <f t="shared" si="9"/>
        <v>723.99999999999977</v>
      </c>
      <c r="N61">
        <f>IFERROR(SUMPRODUCT(Design_Matrix!B57:K57,$C$5:$C$14),0)+IFERROR(LN(Design_Matrix!M57),0)</f>
        <v>6.584791392385716</v>
      </c>
      <c r="O61">
        <f t="shared" si="10"/>
        <v>723.99999999999977</v>
      </c>
      <c r="P61">
        <f>IFERROR(SUMPRODUCT(Design_Matrix!B57:K57,$D$5:$D$14),0)+IFERROR(LN(Design_Matrix!M57),0)</f>
        <v>6.584791392385716</v>
      </c>
      <c r="Q61">
        <f t="shared" si="11"/>
        <v>723.99999999999977</v>
      </c>
      <c r="R61">
        <f>IFERROR(SUMPRODUCT(Design_Matrix!B57:K57,$E$5:$E$14),0)+IFERROR(LN(Design_Matrix!M57),0)</f>
        <v>6.584791392385716</v>
      </c>
      <c r="S61">
        <f t="shared" si="12"/>
        <v>723.99999999999977</v>
      </c>
      <c r="T61">
        <f>IFERROR(SUMPRODUCT(Design_Matrix!B57:K57,$F$5:$F$14),0)+IFERROR(LN(Design_Matrix!M57),0)</f>
        <v>6.584791392385716</v>
      </c>
      <c r="U61">
        <f t="shared" si="13"/>
        <v>723.99999999999977</v>
      </c>
      <c r="V61">
        <f>IFERROR(SUMPRODUCT(Design_Matrix!B57:K57,$G$5:$G$14),0)+IFERROR(LN(Design_Matrix!M57),0)</f>
        <v>6.584791392385716</v>
      </c>
      <c r="W61">
        <f t="shared" si="14"/>
        <v>723.99999999999977</v>
      </c>
      <c r="X61">
        <f>IFERROR(SUMPRODUCT(Design_Matrix!B57:K57,$H$5:$H$14),0)+IFERROR(LN(Design_Matrix!M57),0)</f>
        <v>6.584791392385716</v>
      </c>
      <c r="Y61">
        <f t="shared" si="15"/>
        <v>723.99999999999977</v>
      </c>
      <c r="Z61">
        <f>IFERROR(SUMPRODUCT(Design_Matrix!B57:K57,$I$5:$I$14),0)+IFERROR(LN(Design_Matrix!M57),0)</f>
        <v>6.584791392385716</v>
      </c>
      <c r="AA61">
        <f t="shared" si="16"/>
        <v>723.99999999999977</v>
      </c>
      <c r="AB61">
        <f>IFERROR(SUMPRODUCT(Design_Matrix!B57:K57,$J$5:$J$14),0)+IFERROR(LN(Design_Matrix!M57),0)</f>
        <v>6.584791392385716</v>
      </c>
      <c r="AC61">
        <f t="shared" si="17"/>
        <v>723.99999999999977</v>
      </c>
    </row>
    <row r="62" spans="12:29" x14ac:dyDescent="0.2">
      <c r="L62">
        <f>IFERROR(SUMPRODUCT(Design_Matrix!B58:K58,$B$5:$B$14),0)+IFERROR(LN(Design_Matrix!M58),0)</f>
        <v>2.8903717578961645</v>
      </c>
      <c r="M62">
        <f t="shared" si="9"/>
        <v>17.999999999999996</v>
      </c>
      <c r="N62">
        <f>IFERROR(SUMPRODUCT(Design_Matrix!B58:K58,$C$5:$C$14),0)+IFERROR(LN(Design_Matrix!M58),0)</f>
        <v>2.8903717578961645</v>
      </c>
      <c r="O62">
        <f t="shared" si="10"/>
        <v>17.999999999999996</v>
      </c>
      <c r="P62">
        <f>IFERROR(SUMPRODUCT(Design_Matrix!B58:K58,$D$5:$D$14),0)+IFERROR(LN(Design_Matrix!M58),0)</f>
        <v>2.8903717578961645</v>
      </c>
      <c r="Q62">
        <f t="shared" si="11"/>
        <v>17.999999999999996</v>
      </c>
      <c r="R62">
        <f>IFERROR(SUMPRODUCT(Design_Matrix!B58:K58,$E$5:$E$14),0)+IFERROR(LN(Design_Matrix!M58),0)</f>
        <v>2.8903717578961645</v>
      </c>
      <c r="S62">
        <f t="shared" si="12"/>
        <v>17.999999999999996</v>
      </c>
      <c r="T62">
        <f>IFERROR(SUMPRODUCT(Design_Matrix!B58:K58,$F$5:$F$14),0)+IFERROR(LN(Design_Matrix!M58),0)</f>
        <v>2.8903717578961645</v>
      </c>
      <c r="U62">
        <f t="shared" si="13"/>
        <v>17.999999999999996</v>
      </c>
      <c r="V62">
        <f>IFERROR(SUMPRODUCT(Design_Matrix!B58:K58,$G$5:$G$14),0)+IFERROR(LN(Design_Matrix!M58),0)</f>
        <v>2.8903717578961645</v>
      </c>
      <c r="W62">
        <f t="shared" si="14"/>
        <v>17.999999999999996</v>
      </c>
      <c r="X62">
        <f>IFERROR(SUMPRODUCT(Design_Matrix!B58:K58,$H$5:$H$14),0)+IFERROR(LN(Design_Matrix!M58),0)</f>
        <v>2.8903717578961645</v>
      </c>
      <c r="Y62">
        <f t="shared" si="15"/>
        <v>17.999999999999996</v>
      </c>
      <c r="Z62">
        <f>IFERROR(SUMPRODUCT(Design_Matrix!B58:K58,$I$5:$I$14),0)+IFERROR(LN(Design_Matrix!M58),0)</f>
        <v>2.8903717578961645</v>
      </c>
      <c r="AA62">
        <f t="shared" si="16"/>
        <v>17.999999999999996</v>
      </c>
      <c r="AB62">
        <f>IFERROR(SUMPRODUCT(Design_Matrix!B58:K58,$J$5:$J$14),0)+IFERROR(LN(Design_Matrix!M58),0)</f>
        <v>2.8903717578961645</v>
      </c>
      <c r="AC62">
        <f t="shared" si="17"/>
        <v>17.999999999999996</v>
      </c>
    </row>
    <row r="63" spans="12:29" x14ac:dyDescent="0.2">
      <c r="L63">
        <f>IFERROR(SUMPRODUCT(Design_Matrix!B59:K59,$B$5:$B$14),0)+IFERROR(LN(Design_Matrix!M59),0)</f>
        <v>3.6635616461296463</v>
      </c>
      <c r="M63">
        <f t="shared" si="9"/>
        <v>38.999999999999993</v>
      </c>
      <c r="N63">
        <f>IFERROR(SUMPRODUCT(Design_Matrix!B59:K59,$C$5:$C$14),0)+IFERROR(LN(Design_Matrix!M59),0)</f>
        <v>3.6635616461296463</v>
      </c>
      <c r="O63">
        <f t="shared" si="10"/>
        <v>38.999999999999993</v>
      </c>
      <c r="P63">
        <f>IFERROR(SUMPRODUCT(Design_Matrix!B59:K59,$D$5:$D$14),0)+IFERROR(LN(Design_Matrix!M59),0)</f>
        <v>3.6635616461296463</v>
      </c>
      <c r="Q63">
        <f t="shared" si="11"/>
        <v>38.999999999999993</v>
      </c>
      <c r="R63">
        <f>IFERROR(SUMPRODUCT(Design_Matrix!B59:K59,$E$5:$E$14),0)+IFERROR(LN(Design_Matrix!M59),0)</f>
        <v>3.6635616461296463</v>
      </c>
      <c r="S63">
        <f t="shared" si="12"/>
        <v>38.999999999999993</v>
      </c>
      <c r="T63">
        <f>IFERROR(SUMPRODUCT(Design_Matrix!B59:K59,$F$5:$F$14),0)+IFERROR(LN(Design_Matrix!M59),0)</f>
        <v>3.6635616461296463</v>
      </c>
      <c r="U63">
        <f t="shared" si="13"/>
        <v>38.999999999999993</v>
      </c>
      <c r="V63">
        <f>IFERROR(SUMPRODUCT(Design_Matrix!B59:K59,$G$5:$G$14),0)+IFERROR(LN(Design_Matrix!M59),0)</f>
        <v>3.6635616461296463</v>
      </c>
      <c r="W63">
        <f t="shared" si="14"/>
        <v>38.999999999999993</v>
      </c>
      <c r="X63">
        <f>IFERROR(SUMPRODUCT(Design_Matrix!B59:K59,$H$5:$H$14),0)+IFERROR(LN(Design_Matrix!M59),0)</f>
        <v>3.6635616461296463</v>
      </c>
      <c r="Y63">
        <f t="shared" si="15"/>
        <v>38.999999999999993</v>
      </c>
      <c r="Z63">
        <f>IFERROR(SUMPRODUCT(Design_Matrix!B59:K59,$I$5:$I$14),0)+IFERROR(LN(Design_Matrix!M59),0)</f>
        <v>3.6635616461296463</v>
      </c>
      <c r="AA63">
        <f t="shared" si="16"/>
        <v>38.999999999999993</v>
      </c>
      <c r="AB63">
        <f>IFERROR(SUMPRODUCT(Design_Matrix!B59:K59,$J$5:$J$14),0)+IFERROR(LN(Design_Matrix!M59),0)</f>
        <v>3.6635616461296463</v>
      </c>
      <c r="AC63">
        <f t="shared" si="17"/>
        <v>38.999999999999993</v>
      </c>
    </row>
    <row r="64" spans="12:29" x14ac:dyDescent="0.2">
      <c r="L64">
        <f>IFERROR(SUMPRODUCT(Design_Matrix!B60:K60,$B$5:$B$14),0)+IFERROR(LN(Design_Matrix!M60),0)</f>
        <v>4.219507705176107</v>
      </c>
      <c r="M64">
        <f t="shared" si="9"/>
        <v>68.000000000000014</v>
      </c>
      <c r="N64">
        <f>IFERROR(SUMPRODUCT(Design_Matrix!B60:K60,$C$5:$C$14),0)+IFERROR(LN(Design_Matrix!M60),0)</f>
        <v>4.219507705176107</v>
      </c>
      <c r="O64">
        <f t="shared" si="10"/>
        <v>68.000000000000014</v>
      </c>
      <c r="P64">
        <f>IFERROR(SUMPRODUCT(Design_Matrix!B60:K60,$D$5:$D$14),0)+IFERROR(LN(Design_Matrix!M60),0)</f>
        <v>4.219507705176107</v>
      </c>
      <c r="Q64">
        <f t="shared" si="11"/>
        <v>68.000000000000014</v>
      </c>
      <c r="R64">
        <f>IFERROR(SUMPRODUCT(Design_Matrix!B60:K60,$E$5:$E$14),0)+IFERROR(LN(Design_Matrix!M60),0)</f>
        <v>4.219507705176107</v>
      </c>
      <c r="S64">
        <f t="shared" si="12"/>
        <v>68.000000000000014</v>
      </c>
      <c r="T64">
        <f>IFERROR(SUMPRODUCT(Design_Matrix!B60:K60,$F$5:$F$14),0)+IFERROR(LN(Design_Matrix!M60),0)</f>
        <v>4.219507705176107</v>
      </c>
      <c r="U64">
        <f t="shared" si="13"/>
        <v>68.000000000000014</v>
      </c>
      <c r="V64">
        <f>IFERROR(SUMPRODUCT(Design_Matrix!B60:K60,$G$5:$G$14),0)+IFERROR(LN(Design_Matrix!M60),0)</f>
        <v>4.219507705176107</v>
      </c>
      <c r="W64">
        <f t="shared" si="14"/>
        <v>68.000000000000014</v>
      </c>
      <c r="X64">
        <f>IFERROR(SUMPRODUCT(Design_Matrix!B60:K60,$H$5:$H$14),0)+IFERROR(LN(Design_Matrix!M60),0)</f>
        <v>4.219507705176107</v>
      </c>
      <c r="Y64">
        <f t="shared" si="15"/>
        <v>68.000000000000014</v>
      </c>
      <c r="Z64">
        <f>IFERROR(SUMPRODUCT(Design_Matrix!B60:K60,$I$5:$I$14),0)+IFERROR(LN(Design_Matrix!M60),0)</f>
        <v>4.219507705176107</v>
      </c>
      <c r="AA64">
        <f t="shared" si="16"/>
        <v>68.000000000000014</v>
      </c>
      <c r="AB64">
        <f>IFERROR(SUMPRODUCT(Design_Matrix!B60:K60,$J$5:$J$14),0)+IFERROR(LN(Design_Matrix!M60),0)</f>
        <v>4.219507705176107</v>
      </c>
      <c r="AC64">
        <f t="shared" si="17"/>
        <v>68.000000000000014</v>
      </c>
    </row>
    <row r="65" spans="1:29" x14ac:dyDescent="0.2">
      <c r="L65">
        <f>IFERROR(SUMPRODUCT(Design_Matrix!B61:K61,$B$5:$B$14),0)+IFERROR(LN(Design_Matrix!M61),0)</f>
        <v>5.8406416573733981</v>
      </c>
      <c r="M65">
        <f t="shared" si="9"/>
        <v>343.99999999999994</v>
      </c>
      <c r="N65">
        <f>IFERROR(SUMPRODUCT(Design_Matrix!B61:K61,$C$5:$C$14),0)+IFERROR(LN(Design_Matrix!M61),0)</f>
        <v>5.8406416573733981</v>
      </c>
      <c r="O65">
        <f t="shared" si="10"/>
        <v>343.99999999999994</v>
      </c>
      <c r="P65">
        <f>IFERROR(SUMPRODUCT(Design_Matrix!B61:K61,$D$5:$D$14),0)+IFERROR(LN(Design_Matrix!M61),0)</f>
        <v>5.8406416573733981</v>
      </c>
      <c r="Q65">
        <f t="shared" si="11"/>
        <v>343.99999999999994</v>
      </c>
      <c r="R65">
        <f>IFERROR(SUMPRODUCT(Design_Matrix!B61:K61,$E$5:$E$14),0)+IFERROR(LN(Design_Matrix!M61),0)</f>
        <v>5.8406416573733981</v>
      </c>
      <c r="S65">
        <f t="shared" si="12"/>
        <v>343.99999999999994</v>
      </c>
      <c r="T65">
        <f>IFERROR(SUMPRODUCT(Design_Matrix!B61:K61,$F$5:$F$14),0)+IFERROR(LN(Design_Matrix!M61),0)</f>
        <v>5.8406416573733981</v>
      </c>
      <c r="U65">
        <f t="shared" si="13"/>
        <v>343.99999999999994</v>
      </c>
      <c r="V65">
        <f>IFERROR(SUMPRODUCT(Design_Matrix!B61:K61,$G$5:$G$14),0)+IFERROR(LN(Design_Matrix!M61),0)</f>
        <v>5.8406416573733981</v>
      </c>
      <c r="W65">
        <f t="shared" si="14"/>
        <v>343.99999999999994</v>
      </c>
      <c r="X65">
        <f>IFERROR(SUMPRODUCT(Design_Matrix!B61:K61,$H$5:$H$14),0)+IFERROR(LN(Design_Matrix!M61),0)</f>
        <v>5.8406416573733981</v>
      </c>
      <c r="Y65">
        <f t="shared" si="15"/>
        <v>343.99999999999994</v>
      </c>
      <c r="Z65">
        <f>IFERROR(SUMPRODUCT(Design_Matrix!B61:K61,$I$5:$I$14),0)+IFERROR(LN(Design_Matrix!M61),0)</f>
        <v>5.8406416573733981</v>
      </c>
      <c r="AA65">
        <f t="shared" si="16"/>
        <v>343.99999999999994</v>
      </c>
      <c r="AB65">
        <f>IFERROR(SUMPRODUCT(Design_Matrix!B61:K61,$J$5:$J$14),0)+IFERROR(LN(Design_Matrix!M61),0)</f>
        <v>5.8406416573733981</v>
      </c>
      <c r="AC65">
        <f t="shared" si="17"/>
        <v>343.99999999999994</v>
      </c>
    </row>
    <row r="66" spans="1:29" x14ac:dyDescent="0.2">
      <c r="L66">
        <f>IFERROR(SUMPRODUCT(Design_Matrix!B62:K62,$B$5:$B$14),0)+IFERROR(LN(Design_Matrix!M62),0)</f>
        <v>1.0986122886681098</v>
      </c>
      <c r="M66">
        <f t="shared" si="9"/>
        <v>3.0000000000000004</v>
      </c>
      <c r="N66">
        <f>IFERROR(SUMPRODUCT(Design_Matrix!B62:K62,$C$5:$C$14),0)+IFERROR(LN(Design_Matrix!M62),0)</f>
        <v>1.0986122886681098</v>
      </c>
      <c r="O66">
        <f t="shared" si="10"/>
        <v>3.0000000000000004</v>
      </c>
      <c r="P66">
        <f>IFERROR(SUMPRODUCT(Design_Matrix!B62:K62,$D$5:$D$14),0)+IFERROR(LN(Design_Matrix!M62),0)</f>
        <v>1.0986122886681098</v>
      </c>
      <c r="Q66">
        <f t="shared" si="11"/>
        <v>3.0000000000000004</v>
      </c>
      <c r="R66">
        <f>IFERROR(SUMPRODUCT(Design_Matrix!B62:K62,$E$5:$E$14),0)+IFERROR(LN(Design_Matrix!M62),0)</f>
        <v>1.0986122886681098</v>
      </c>
      <c r="S66">
        <f t="shared" si="12"/>
        <v>3.0000000000000004</v>
      </c>
      <c r="T66">
        <f>IFERROR(SUMPRODUCT(Design_Matrix!B62:K62,$F$5:$F$14),0)+IFERROR(LN(Design_Matrix!M62),0)</f>
        <v>1.0986122886681098</v>
      </c>
      <c r="U66">
        <f t="shared" si="13"/>
        <v>3.0000000000000004</v>
      </c>
      <c r="V66">
        <f>IFERROR(SUMPRODUCT(Design_Matrix!B62:K62,$G$5:$G$14),0)+IFERROR(LN(Design_Matrix!M62),0)</f>
        <v>1.0986122886681098</v>
      </c>
      <c r="W66">
        <f t="shared" si="14"/>
        <v>3.0000000000000004</v>
      </c>
      <c r="X66">
        <f>IFERROR(SUMPRODUCT(Design_Matrix!B62:K62,$H$5:$H$14),0)+IFERROR(LN(Design_Matrix!M62),0)</f>
        <v>1.0986122886681098</v>
      </c>
      <c r="Y66">
        <f t="shared" si="15"/>
        <v>3.0000000000000004</v>
      </c>
      <c r="Z66">
        <f>IFERROR(SUMPRODUCT(Design_Matrix!B62:K62,$I$5:$I$14),0)+IFERROR(LN(Design_Matrix!M62),0)</f>
        <v>1.0986122886681098</v>
      </c>
      <c r="AA66">
        <f t="shared" si="16"/>
        <v>3.0000000000000004</v>
      </c>
      <c r="AB66">
        <f>IFERROR(SUMPRODUCT(Design_Matrix!B62:K62,$J$5:$J$14),0)+IFERROR(LN(Design_Matrix!M62),0)</f>
        <v>1.0986122886681098</v>
      </c>
      <c r="AC66">
        <f t="shared" si="17"/>
        <v>3.0000000000000004</v>
      </c>
    </row>
    <row r="67" spans="1:29" x14ac:dyDescent="0.2">
      <c r="L67">
        <f>IFERROR(SUMPRODUCT(Design_Matrix!B63:K63,$B$5:$B$14),0)+IFERROR(LN(Design_Matrix!M63),0)</f>
        <v>2.7725887222397811</v>
      </c>
      <c r="M67">
        <f t="shared" si="9"/>
        <v>15.999999999999998</v>
      </c>
      <c r="N67">
        <f>IFERROR(SUMPRODUCT(Design_Matrix!B63:K63,$C$5:$C$14),0)+IFERROR(LN(Design_Matrix!M63),0)</f>
        <v>2.7725887222397811</v>
      </c>
      <c r="O67">
        <f t="shared" si="10"/>
        <v>15.999999999999998</v>
      </c>
      <c r="P67">
        <f>IFERROR(SUMPRODUCT(Design_Matrix!B63:K63,$D$5:$D$14),0)+IFERROR(LN(Design_Matrix!M63),0)</f>
        <v>2.7725887222397811</v>
      </c>
      <c r="Q67">
        <f t="shared" si="11"/>
        <v>15.999999999999998</v>
      </c>
      <c r="R67">
        <f>IFERROR(SUMPRODUCT(Design_Matrix!B63:K63,$E$5:$E$14),0)+IFERROR(LN(Design_Matrix!M63),0)</f>
        <v>2.7725887222397811</v>
      </c>
      <c r="S67">
        <f t="shared" si="12"/>
        <v>15.999999999999998</v>
      </c>
      <c r="T67">
        <f>IFERROR(SUMPRODUCT(Design_Matrix!B63:K63,$F$5:$F$14),0)+IFERROR(LN(Design_Matrix!M63),0)</f>
        <v>2.7725887222397811</v>
      </c>
      <c r="U67">
        <f t="shared" si="13"/>
        <v>15.999999999999998</v>
      </c>
      <c r="V67">
        <f>IFERROR(SUMPRODUCT(Design_Matrix!B63:K63,$G$5:$G$14),0)+IFERROR(LN(Design_Matrix!M63),0)</f>
        <v>2.7725887222397811</v>
      </c>
      <c r="W67">
        <f t="shared" si="14"/>
        <v>15.999999999999998</v>
      </c>
      <c r="X67">
        <f>IFERROR(SUMPRODUCT(Design_Matrix!B63:K63,$H$5:$H$14),0)+IFERROR(LN(Design_Matrix!M63),0)</f>
        <v>2.7725887222397811</v>
      </c>
      <c r="Y67">
        <f t="shared" si="15"/>
        <v>15.999999999999998</v>
      </c>
      <c r="Z67">
        <f>IFERROR(SUMPRODUCT(Design_Matrix!B63:K63,$I$5:$I$14),0)+IFERROR(LN(Design_Matrix!M63),0)</f>
        <v>2.7725887222397811</v>
      </c>
      <c r="AA67">
        <f t="shared" si="16"/>
        <v>15.999999999999998</v>
      </c>
      <c r="AB67">
        <f>IFERROR(SUMPRODUCT(Design_Matrix!B63:K63,$J$5:$J$14),0)+IFERROR(LN(Design_Matrix!M63),0)</f>
        <v>2.7725887222397811</v>
      </c>
      <c r="AC67">
        <f t="shared" si="17"/>
        <v>15.999999999999998</v>
      </c>
    </row>
    <row r="68" spans="1:29" x14ac:dyDescent="0.2">
      <c r="L68">
        <f>IFERROR(SUMPRODUCT(Design_Matrix!B64:K64,$B$5:$B$14),0)+IFERROR(LN(Design_Matrix!M64),0)</f>
        <v>3.2188758248682006</v>
      </c>
      <c r="M68">
        <f t="shared" si="9"/>
        <v>24.999999999999996</v>
      </c>
      <c r="N68">
        <f>IFERROR(SUMPRODUCT(Design_Matrix!B64:K64,$C$5:$C$14),0)+IFERROR(LN(Design_Matrix!M64),0)</f>
        <v>3.2188758248682006</v>
      </c>
      <c r="O68">
        <f t="shared" si="10"/>
        <v>24.999999999999996</v>
      </c>
      <c r="P68">
        <f>IFERROR(SUMPRODUCT(Design_Matrix!B64:K64,$D$5:$D$14),0)+IFERROR(LN(Design_Matrix!M64),0)</f>
        <v>3.2188758248682006</v>
      </c>
      <c r="Q68">
        <f t="shared" si="11"/>
        <v>24.999999999999996</v>
      </c>
      <c r="R68">
        <f>IFERROR(SUMPRODUCT(Design_Matrix!B64:K64,$E$5:$E$14),0)+IFERROR(LN(Design_Matrix!M64),0)</f>
        <v>3.2188758248682006</v>
      </c>
      <c r="S68">
        <f t="shared" si="12"/>
        <v>24.999999999999996</v>
      </c>
      <c r="T68">
        <f>IFERROR(SUMPRODUCT(Design_Matrix!B64:K64,$F$5:$F$14),0)+IFERROR(LN(Design_Matrix!M64),0)</f>
        <v>3.2188758248682006</v>
      </c>
      <c r="U68">
        <f t="shared" si="13"/>
        <v>24.999999999999996</v>
      </c>
      <c r="V68">
        <f>IFERROR(SUMPRODUCT(Design_Matrix!B64:K64,$G$5:$G$14),0)+IFERROR(LN(Design_Matrix!M64),0)</f>
        <v>3.2188758248682006</v>
      </c>
      <c r="W68">
        <f t="shared" si="14"/>
        <v>24.999999999999996</v>
      </c>
      <c r="X68">
        <f>IFERROR(SUMPRODUCT(Design_Matrix!B64:K64,$H$5:$H$14),0)+IFERROR(LN(Design_Matrix!M64),0)</f>
        <v>3.2188758248682006</v>
      </c>
      <c r="Y68">
        <f t="shared" si="15"/>
        <v>24.999999999999996</v>
      </c>
      <c r="Z68">
        <f>IFERROR(SUMPRODUCT(Design_Matrix!B64:K64,$I$5:$I$14),0)+IFERROR(LN(Design_Matrix!M64),0)</f>
        <v>3.2188758248682006</v>
      </c>
      <c r="AA68">
        <f t="shared" si="16"/>
        <v>24.999999999999996</v>
      </c>
      <c r="AB68">
        <f>IFERROR(SUMPRODUCT(Design_Matrix!B64:K64,$J$5:$J$14),0)+IFERROR(LN(Design_Matrix!M64),0)</f>
        <v>3.2188758248682006</v>
      </c>
      <c r="AC68">
        <f t="shared" si="17"/>
        <v>24.999999999999996</v>
      </c>
    </row>
    <row r="69" spans="1:29" x14ac:dyDescent="0.2">
      <c r="L69">
        <f>IFERROR(SUMPRODUCT(Design_Matrix!B65:K65,$B$5:$B$14),0)+IFERROR(LN(Design_Matrix!M65),0)</f>
        <v>4.7361984483944957</v>
      </c>
      <c r="M69">
        <f t="shared" si="9"/>
        <v>114.00000000000003</v>
      </c>
      <c r="N69">
        <f>IFERROR(SUMPRODUCT(Design_Matrix!B65:K65,$C$5:$C$14),0)+IFERROR(LN(Design_Matrix!M65),0)</f>
        <v>4.7361984483944957</v>
      </c>
      <c r="O69">
        <f t="shared" si="10"/>
        <v>114.00000000000003</v>
      </c>
      <c r="P69">
        <f>IFERROR(SUMPRODUCT(Design_Matrix!B65:K65,$D$5:$D$14),0)+IFERROR(LN(Design_Matrix!M65),0)</f>
        <v>4.7361984483944957</v>
      </c>
      <c r="Q69">
        <f t="shared" si="11"/>
        <v>114.00000000000003</v>
      </c>
      <c r="R69">
        <f>IFERROR(SUMPRODUCT(Design_Matrix!B65:K65,$E$5:$E$14),0)+IFERROR(LN(Design_Matrix!M65),0)</f>
        <v>4.7361984483944957</v>
      </c>
      <c r="S69">
        <f t="shared" si="12"/>
        <v>114.00000000000003</v>
      </c>
      <c r="T69">
        <f>IFERROR(SUMPRODUCT(Design_Matrix!B65:K65,$F$5:$F$14),0)+IFERROR(LN(Design_Matrix!M65),0)</f>
        <v>4.7361984483944957</v>
      </c>
      <c r="U69">
        <f t="shared" si="13"/>
        <v>114.00000000000003</v>
      </c>
      <c r="V69">
        <f>IFERROR(SUMPRODUCT(Design_Matrix!B65:K65,$G$5:$G$14),0)+IFERROR(LN(Design_Matrix!M65),0)</f>
        <v>4.7361984483944957</v>
      </c>
      <c r="W69">
        <f t="shared" si="14"/>
        <v>114.00000000000003</v>
      </c>
      <c r="X69">
        <f>IFERROR(SUMPRODUCT(Design_Matrix!B65:K65,$H$5:$H$14),0)+IFERROR(LN(Design_Matrix!M65),0)</f>
        <v>4.7361984483944957</v>
      </c>
      <c r="Y69">
        <f t="shared" si="15"/>
        <v>114.00000000000003</v>
      </c>
      <c r="Z69">
        <f>IFERROR(SUMPRODUCT(Design_Matrix!B65:K65,$I$5:$I$14),0)+IFERROR(LN(Design_Matrix!M65),0)</f>
        <v>4.7361984483944957</v>
      </c>
      <c r="AA69">
        <f t="shared" si="16"/>
        <v>114.00000000000003</v>
      </c>
      <c r="AB69">
        <f>IFERROR(SUMPRODUCT(Design_Matrix!B65:K65,$J$5:$J$14),0)+IFERROR(LN(Design_Matrix!M65),0)</f>
        <v>4.7361984483944957</v>
      </c>
      <c r="AC69">
        <f t="shared" si="17"/>
        <v>114.00000000000003</v>
      </c>
    </row>
    <row r="73" spans="1:29" x14ac:dyDescent="0.2">
      <c r="A73" t="s">
        <v>76</v>
      </c>
    </row>
    <row r="74" spans="1:29" x14ac:dyDescent="0.2">
      <c r="A74" t="s">
        <v>47</v>
      </c>
      <c r="B74" t="s">
        <v>77</v>
      </c>
      <c r="C74" t="s">
        <v>78</v>
      </c>
      <c r="D74" t="s">
        <v>79</v>
      </c>
      <c r="E74" t="s">
        <v>80</v>
      </c>
      <c r="F74" t="s">
        <v>81</v>
      </c>
      <c r="G74" t="s">
        <v>82</v>
      </c>
      <c r="H74" t="s">
        <v>83</v>
      </c>
      <c r="I74" t="s">
        <v>84</v>
      </c>
    </row>
    <row r="75" spans="1:29" x14ac:dyDescent="0.2">
      <c r="A75" t="s">
        <v>35</v>
      </c>
      <c r="B75">
        <f>IFERROR(SUMPRODUCT(Design_Matrix!B2:B65,Design_Matrix!L2:L65)-SUMPRODUCT(Design_Matrix!B2:B65,M6:M69),0)</f>
        <v>-20208</v>
      </c>
      <c r="C75">
        <f>IFERROR(SUMPRODUCT(Design_Matrix!B2:B65,Design_Matrix!L2:L65)-SUMPRODUCT(Design_Matrix!B2:B65,O6:O69),0)</f>
        <v>-20208</v>
      </c>
      <c r="D75">
        <f>IFERROR(SUMPRODUCT(Design_Matrix!B2:B65,Design_Matrix!L2:L65)-SUMPRODUCT(Design_Matrix!B2:B65,Q6:Q69),0)</f>
        <v>-20208</v>
      </c>
      <c r="E75">
        <f>IFERROR(SUMPRODUCT(Design_Matrix!B2:B65,Design_Matrix!L2:L65)-SUMPRODUCT(Design_Matrix!B2:B65,S6:S69),0)</f>
        <v>-20208</v>
      </c>
      <c r="F75">
        <f>IFERROR(SUMPRODUCT(Design_Matrix!B2:B65,Design_Matrix!L2:L65)-SUMPRODUCT(Design_Matrix!B2:B65,U6:U69),0)</f>
        <v>-20208</v>
      </c>
      <c r="G75">
        <f>IFERROR(SUMPRODUCT(Design_Matrix!B2:B65,Design_Matrix!L2:L65)-SUMPRODUCT(Design_Matrix!B2:B65,W6:W69),0)</f>
        <v>-20208</v>
      </c>
      <c r="H75">
        <f>IFERROR(SUMPRODUCT(Design_Matrix!B2:B65,Design_Matrix!L2:L65)-SUMPRODUCT(Design_Matrix!B2:B65,Y6:Y69),0)</f>
        <v>-20208</v>
      </c>
      <c r="I75">
        <f>IFERROR(SUMPRODUCT(Design_Matrix!B2:B65,Design_Matrix!L2:L65)-SUMPRODUCT(Design_Matrix!B2:B65,AA6:AA69),0)</f>
        <v>-20208</v>
      </c>
    </row>
    <row r="76" spans="1:29" x14ac:dyDescent="0.2">
      <c r="A76" t="s">
        <v>36</v>
      </c>
      <c r="B76">
        <f>IFERROR(SUMPRODUCT(Design_Matrix!C2:C65,Design_Matrix!L2:L65)-SUMPRODUCT(Design_Matrix!C2:C65,M6:M69),0)</f>
        <v>-5762</v>
      </c>
      <c r="C76">
        <f>IFERROR(SUMPRODUCT(Design_Matrix!C2:C65,Design_Matrix!L2:L65)-SUMPRODUCT(Design_Matrix!C2:C65,O6:O69),0)</f>
        <v>-5762</v>
      </c>
      <c r="D76">
        <f>IFERROR(SUMPRODUCT(Design_Matrix!C2:C65,Design_Matrix!L2:L65)-SUMPRODUCT(Design_Matrix!C2:C65,Q6:Q69),0)</f>
        <v>-5762</v>
      </c>
      <c r="E76">
        <f>IFERROR(SUMPRODUCT(Design_Matrix!C2:C65,Design_Matrix!L2:L65)-SUMPRODUCT(Design_Matrix!C2:C65,S6:S69),0)</f>
        <v>-5762</v>
      </c>
      <c r="F76">
        <f>IFERROR(SUMPRODUCT(Design_Matrix!C2:C65,Design_Matrix!L2:L65)-SUMPRODUCT(Design_Matrix!C2:C65,U6:U69),0)</f>
        <v>-5762</v>
      </c>
      <c r="G76">
        <f>IFERROR(SUMPRODUCT(Design_Matrix!C2:C65,Design_Matrix!L2:L65)-SUMPRODUCT(Design_Matrix!C2:C65,W6:W69),0)</f>
        <v>-5762</v>
      </c>
      <c r="H76">
        <f>IFERROR(SUMPRODUCT(Design_Matrix!C2:C65,Design_Matrix!L2:L65)-SUMPRODUCT(Design_Matrix!C2:C65,Y6:Y69),0)</f>
        <v>-5762</v>
      </c>
      <c r="I76">
        <f>IFERROR(SUMPRODUCT(Design_Matrix!C2:C65,Design_Matrix!L2:L65)-SUMPRODUCT(Design_Matrix!C2:C65,AA6:AA69),0)</f>
        <v>-5762</v>
      </c>
    </row>
    <row r="77" spans="1:29" x14ac:dyDescent="0.2">
      <c r="A77" t="s">
        <v>37</v>
      </c>
      <c r="B77">
        <f>IFERROR(SUMPRODUCT(Design_Matrix!D2:D65,Design_Matrix!L2:L65)-SUMPRODUCT(Design_Matrix!D2:D65,M6:M69),0)</f>
        <v>-3614</v>
      </c>
      <c r="C77">
        <f>IFERROR(SUMPRODUCT(Design_Matrix!D2:D65,Design_Matrix!L2:L65)-SUMPRODUCT(Design_Matrix!D2:D65,O6:O69),0)</f>
        <v>-3614</v>
      </c>
      <c r="D77">
        <f>IFERROR(SUMPRODUCT(Design_Matrix!D2:D65,Design_Matrix!L2:L65)-SUMPRODUCT(Design_Matrix!D2:D65,Q6:Q69),0)</f>
        <v>-3614</v>
      </c>
      <c r="E77">
        <f>IFERROR(SUMPRODUCT(Design_Matrix!D2:D65,Design_Matrix!L2:L65)-SUMPRODUCT(Design_Matrix!D2:D65,S6:S69),0)</f>
        <v>-3614</v>
      </c>
      <c r="F77">
        <f>IFERROR(SUMPRODUCT(Design_Matrix!D2:D65,Design_Matrix!L2:L65)-SUMPRODUCT(Design_Matrix!D2:D65,U6:U69),0)</f>
        <v>-3614</v>
      </c>
      <c r="G77">
        <f>IFERROR(SUMPRODUCT(Design_Matrix!D2:D65,Design_Matrix!L2:L65)-SUMPRODUCT(Design_Matrix!D2:D65,W6:W69),0)</f>
        <v>-3614</v>
      </c>
      <c r="H77">
        <f>IFERROR(SUMPRODUCT(Design_Matrix!D2:D65,Design_Matrix!L2:L65)-SUMPRODUCT(Design_Matrix!D2:D65,Y6:Y69),0)</f>
        <v>-3614</v>
      </c>
      <c r="I77">
        <f>IFERROR(SUMPRODUCT(Design_Matrix!D2:D65,Design_Matrix!L2:L65)-SUMPRODUCT(Design_Matrix!D2:D65,AA6:AA69),0)</f>
        <v>-3614</v>
      </c>
    </row>
    <row r="78" spans="1:29" x14ac:dyDescent="0.2">
      <c r="A78" t="s">
        <v>38</v>
      </c>
      <c r="B78">
        <f>IFERROR(SUMPRODUCT(Design_Matrix!E2:E65,Design_Matrix!L2:L65)-SUMPRODUCT(Design_Matrix!E2:E65,M6:M69),0)</f>
        <v>-1668</v>
      </c>
      <c r="C78">
        <f>IFERROR(SUMPRODUCT(Design_Matrix!E2:E65,Design_Matrix!L2:L65)-SUMPRODUCT(Design_Matrix!E2:E65,O6:O69),0)</f>
        <v>-1668</v>
      </c>
      <c r="D78">
        <f>IFERROR(SUMPRODUCT(Design_Matrix!E2:E65,Design_Matrix!L2:L65)-SUMPRODUCT(Design_Matrix!E2:E65,Q6:Q69),0)</f>
        <v>-1668</v>
      </c>
      <c r="E78">
        <f>IFERROR(SUMPRODUCT(Design_Matrix!E2:E65,Design_Matrix!L2:L65)-SUMPRODUCT(Design_Matrix!E2:E65,S6:S69),0)</f>
        <v>-1668</v>
      </c>
      <c r="F78">
        <f>IFERROR(SUMPRODUCT(Design_Matrix!E2:E65,Design_Matrix!L2:L65)-SUMPRODUCT(Design_Matrix!E2:E65,U6:U69),0)</f>
        <v>-1668</v>
      </c>
      <c r="G78">
        <f>IFERROR(SUMPRODUCT(Design_Matrix!E2:E65,Design_Matrix!L2:L65)-SUMPRODUCT(Design_Matrix!E2:E65,W6:W69),0)</f>
        <v>-1668</v>
      </c>
      <c r="H78">
        <f>IFERROR(SUMPRODUCT(Design_Matrix!E2:E65,Design_Matrix!L2:L65)-SUMPRODUCT(Design_Matrix!E2:E65,Y6:Y69),0)</f>
        <v>-1668</v>
      </c>
      <c r="I78">
        <f>IFERROR(SUMPRODUCT(Design_Matrix!E2:E65,Design_Matrix!L2:L65)-SUMPRODUCT(Design_Matrix!E2:E65,AA6:AA69),0)</f>
        <v>-1668</v>
      </c>
    </row>
    <row r="79" spans="1:29" x14ac:dyDescent="0.2">
      <c r="A79" t="s">
        <v>39</v>
      </c>
      <c r="B79">
        <f>IFERROR(SUMPRODUCT(Design_Matrix!F2:F65,Design_Matrix!L2:L65)-SUMPRODUCT(Design_Matrix!F2:F65,M6:M69),0)</f>
        <v>-10013.000000000004</v>
      </c>
      <c r="C79">
        <f>IFERROR(SUMPRODUCT(Design_Matrix!F2:F65,Design_Matrix!L2:L65)-SUMPRODUCT(Design_Matrix!F2:F65,O6:O69),0)</f>
        <v>-10013.000000000004</v>
      </c>
      <c r="D79">
        <f>IFERROR(SUMPRODUCT(Design_Matrix!F2:F65,Design_Matrix!L2:L65)-SUMPRODUCT(Design_Matrix!F2:F65,Q6:Q69),0)</f>
        <v>-10013.000000000004</v>
      </c>
      <c r="E79">
        <f>IFERROR(SUMPRODUCT(Design_Matrix!F2:F65,Design_Matrix!L2:L65)-SUMPRODUCT(Design_Matrix!F2:F65,S6:S69),0)</f>
        <v>-10013.000000000004</v>
      </c>
      <c r="F79">
        <f>IFERROR(SUMPRODUCT(Design_Matrix!F2:F65,Design_Matrix!L2:L65)-SUMPRODUCT(Design_Matrix!F2:F65,U6:U69),0)</f>
        <v>-10013.000000000004</v>
      </c>
      <c r="G79">
        <f>IFERROR(SUMPRODUCT(Design_Matrix!F2:F65,Design_Matrix!L2:L65)-SUMPRODUCT(Design_Matrix!F2:F65,W6:W69),0)</f>
        <v>-10013.000000000004</v>
      </c>
      <c r="H79">
        <f>IFERROR(SUMPRODUCT(Design_Matrix!F2:F65,Design_Matrix!L2:L65)-SUMPRODUCT(Design_Matrix!F2:F65,Y6:Y69),0)</f>
        <v>-10013.000000000004</v>
      </c>
      <c r="I79">
        <f>IFERROR(SUMPRODUCT(Design_Matrix!F2:F65,Design_Matrix!L2:L65)-SUMPRODUCT(Design_Matrix!F2:F65,AA6:AA69),0)</f>
        <v>-10013.000000000004</v>
      </c>
    </row>
    <row r="80" spans="1:29" x14ac:dyDescent="0.2">
      <c r="A80" t="s">
        <v>40</v>
      </c>
      <c r="B80">
        <f>IFERROR(SUMPRODUCT(Design_Matrix!G2:G65,Design_Matrix!L2:L65)-SUMPRODUCT(Design_Matrix!G2:G65,M6:M69),0)</f>
        <v>-4506.9999999999991</v>
      </c>
      <c r="C80">
        <f>IFERROR(SUMPRODUCT(Design_Matrix!G2:G65,Design_Matrix!L2:L65)-SUMPRODUCT(Design_Matrix!G2:G65,O6:O69),0)</f>
        <v>-4506.9999999999991</v>
      </c>
      <c r="D80">
        <f>IFERROR(SUMPRODUCT(Design_Matrix!G2:G65,Design_Matrix!L2:L65)-SUMPRODUCT(Design_Matrix!G2:G65,Q6:Q69),0)</f>
        <v>-4506.9999999999991</v>
      </c>
      <c r="E80">
        <f>IFERROR(SUMPRODUCT(Design_Matrix!G2:G65,Design_Matrix!L2:L65)-SUMPRODUCT(Design_Matrix!G2:G65,S6:S69),0)</f>
        <v>-4506.9999999999991</v>
      </c>
      <c r="F80">
        <f>IFERROR(SUMPRODUCT(Design_Matrix!G2:G65,Design_Matrix!L2:L65)-SUMPRODUCT(Design_Matrix!G2:G65,U6:U69),0)</f>
        <v>-4506.9999999999991</v>
      </c>
      <c r="G80">
        <f>IFERROR(SUMPRODUCT(Design_Matrix!G2:G65,Design_Matrix!L2:L65)-SUMPRODUCT(Design_Matrix!G2:G65,W6:W69),0)</f>
        <v>-4506.9999999999991</v>
      </c>
      <c r="H80">
        <f>IFERROR(SUMPRODUCT(Design_Matrix!G2:G65,Design_Matrix!L2:L65)-SUMPRODUCT(Design_Matrix!G2:G65,Y6:Y69),0)</f>
        <v>-4506.9999999999991</v>
      </c>
      <c r="I80">
        <f>IFERROR(SUMPRODUCT(Design_Matrix!G2:G65,Design_Matrix!L2:L65)-SUMPRODUCT(Design_Matrix!G2:G65,AA6:AA69),0)</f>
        <v>-4506.9999999999991</v>
      </c>
    </row>
    <row r="81" spans="1:9" x14ac:dyDescent="0.2">
      <c r="A81" t="s">
        <v>41</v>
      </c>
      <c r="B81">
        <f>IFERROR(SUMPRODUCT(Design_Matrix!H2:H65,Design_Matrix!L2:L65)-SUMPRODUCT(Design_Matrix!H2:H65,M6:M69),0)</f>
        <v>-1280.0000000000005</v>
      </c>
      <c r="C81">
        <f>IFERROR(SUMPRODUCT(Design_Matrix!H2:H65,Design_Matrix!L2:L65)-SUMPRODUCT(Design_Matrix!H2:H65,O6:O69),0)</f>
        <v>-1280.0000000000005</v>
      </c>
      <c r="D81">
        <f>IFERROR(SUMPRODUCT(Design_Matrix!H2:H65,Design_Matrix!L2:L65)-SUMPRODUCT(Design_Matrix!H2:H65,Q6:Q69),0)</f>
        <v>-1280.0000000000005</v>
      </c>
      <c r="E81">
        <f>IFERROR(SUMPRODUCT(Design_Matrix!H2:H65,Design_Matrix!L2:L65)-SUMPRODUCT(Design_Matrix!H2:H65,S6:S69),0)</f>
        <v>-1280.0000000000005</v>
      </c>
      <c r="F81">
        <f>IFERROR(SUMPRODUCT(Design_Matrix!H2:H65,Design_Matrix!L2:L65)-SUMPRODUCT(Design_Matrix!H2:H65,U6:U69),0)</f>
        <v>-1280.0000000000005</v>
      </c>
      <c r="G81">
        <f>IFERROR(SUMPRODUCT(Design_Matrix!H2:H65,Design_Matrix!L2:L65)-SUMPRODUCT(Design_Matrix!H2:H65,W6:W69),0)</f>
        <v>-1280.0000000000005</v>
      </c>
      <c r="H81">
        <f>IFERROR(SUMPRODUCT(Design_Matrix!H2:H65,Design_Matrix!L2:L65)-SUMPRODUCT(Design_Matrix!H2:H65,Y6:Y69),0)</f>
        <v>-1280.0000000000005</v>
      </c>
      <c r="I81">
        <f>IFERROR(SUMPRODUCT(Design_Matrix!H2:H65,Design_Matrix!L2:L65)-SUMPRODUCT(Design_Matrix!H2:H65,AA6:AA69),0)</f>
        <v>-1280.0000000000005</v>
      </c>
    </row>
    <row r="82" spans="1:9" x14ac:dyDescent="0.2">
      <c r="A82" t="s">
        <v>42</v>
      </c>
      <c r="B82">
        <f>IFERROR(SUMPRODUCT(Design_Matrix!I2:I65,Design_Matrix!L2:L65)-SUMPRODUCT(Design_Matrix!I2:I65,M6:M69),0)</f>
        <v>-1932</v>
      </c>
      <c r="C82">
        <f>IFERROR(SUMPRODUCT(Design_Matrix!I2:I65,Design_Matrix!L2:L65)-SUMPRODUCT(Design_Matrix!I2:I65,O6:O69),0)</f>
        <v>-1932</v>
      </c>
      <c r="D82">
        <f>IFERROR(SUMPRODUCT(Design_Matrix!I2:I65,Design_Matrix!L2:L65)-SUMPRODUCT(Design_Matrix!I2:I65,Q6:Q69),0)</f>
        <v>-1932</v>
      </c>
      <c r="E82">
        <f>IFERROR(SUMPRODUCT(Design_Matrix!I2:I65,Design_Matrix!L2:L65)-SUMPRODUCT(Design_Matrix!I2:I65,S6:S69),0)</f>
        <v>-1932</v>
      </c>
      <c r="F82">
        <f>IFERROR(SUMPRODUCT(Design_Matrix!I2:I65,Design_Matrix!L2:L65)-SUMPRODUCT(Design_Matrix!I2:I65,U6:U69),0)</f>
        <v>-1932</v>
      </c>
      <c r="G82">
        <f>IFERROR(SUMPRODUCT(Design_Matrix!I2:I65,Design_Matrix!L2:L65)-SUMPRODUCT(Design_Matrix!I2:I65,W6:W69),0)</f>
        <v>-1932</v>
      </c>
      <c r="H82">
        <f>IFERROR(SUMPRODUCT(Design_Matrix!I2:I65,Design_Matrix!L2:L65)-SUMPRODUCT(Design_Matrix!I2:I65,Y6:Y69),0)</f>
        <v>-1932</v>
      </c>
      <c r="I82">
        <f>IFERROR(SUMPRODUCT(Design_Matrix!I2:I65,Design_Matrix!L2:L65)-SUMPRODUCT(Design_Matrix!I2:I65,AA6:AA69),0)</f>
        <v>-1932</v>
      </c>
    </row>
    <row r="83" spans="1:9" x14ac:dyDescent="0.2">
      <c r="A83" t="s">
        <v>43</v>
      </c>
      <c r="B83">
        <f>IFERROR(SUMPRODUCT(Design_Matrix!J2:J65,Design_Matrix!L2:L65)-SUMPRODUCT(Design_Matrix!J2:J65,M6:M69),0)</f>
        <v>-2554</v>
      </c>
      <c r="C83">
        <f>IFERROR(SUMPRODUCT(Design_Matrix!J2:J65,Design_Matrix!L2:L65)-SUMPRODUCT(Design_Matrix!J2:J65,O6:O69),0)</f>
        <v>-2554</v>
      </c>
      <c r="D83">
        <f>IFERROR(SUMPRODUCT(Design_Matrix!J2:J65,Design_Matrix!L2:L65)-SUMPRODUCT(Design_Matrix!J2:J65,Q6:Q69),0)</f>
        <v>-2554</v>
      </c>
      <c r="E83">
        <f>IFERROR(SUMPRODUCT(Design_Matrix!J2:J65,Design_Matrix!L2:L65)-SUMPRODUCT(Design_Matrix!J2:J65,S6:S69),0)</f>
        <v>-2554</v>
      </c>
      <c r="F83">
        <f>IFERROR(SUMPRODUCT(Design_Matrix!J2:J65,Design_Matrix!L2:L65)-SUMPRODUCT(Design_Matrix!J2:J65,U6:U69),0)</f>
        <v>-2554</v>
      </c>
      <c r="G83">
        <f>IFERROR(SUMPRODUCT(Design_Matrix!J2:J65,Design_Matrix!L2:L65)-SUMPRODUCT(Design_Matrix!J2:J65,W6:W69),0)</f>
        <v>-2554</v>
      </c>
      <c r="H83">
        <f>IFERROR(SUMPRODUCT(Design_Matrix!J2:J65,Design_Matrix!L2:L65)-SUMPRODUCT(Design_Matrix!J2:J65,Y6:Y69),0)</f>
        <v>-2554</v>
      </c>
      <c r="I83">
        <f>IFERROR(SUMPRODUCT(Design_Matrix!J2:J65,Design_Matrix!L2:L65)-SUMPRODUCT(Design_Matrix!J2:J65,AA6:AA69),0)</f>
        <v>-2554</v>
      </c>
    </row>
    <row r="84" spans="1:9" x14ac:dyDescent="0.2">
      <c r="A84" t="s">
        <v>44</v>
      </c>
      <c r="B84">
        <f>IFERROR(SUMPRODUCT(Design_Matrix!K2:K65,Design_Matrix!L2:L65)-SUMPRODUCT(Design_Matrix!K2:K65,M6:M69),0)</f>
        <v>-14813</v>
      </c>
      <c r="C84">
        <f>IFERROR(SUMPRODUCT(Design_Matrix!K2:K65,Design_Matrix!L2:L65)-SUMPRODUCT(Design_Matrix!K2:K65,O6:O69),0)</f>
        <v>-14813</v>
      </c>
      <c r="D84">
        <f>IFERROR(SUMPRODUCT(Design_Matrix!K2:K65,Design_Matrix!L2:L65)-SUMPRODUCT(Design_Matrix!K2:K65,Q6:Q69),0)</f>
        <v>-14813</v>
      </c>
      <c r="E84">
        <f>IFERROR(SUMPRODUCT(Design_Matrix!K2:K65,Design_Matrix!L2:L65)-SUMPRODUCT(Design_Matrix!K2:K65,S6:S69),0)</f>
        <v>-14813</v>
      </c>
      <c r="F84">
        <f>IFERROR(SUMPRODUCT(Design_Matrix!K2:K65,Design_Matrix!L2:L65)-SUMPRODUCT(Design_Matrix!K2:K65,U6:U69),0)</f>
        <v>-14813</v>
      </c>
      <c r="G84">
        <f>IFERROR(SUMPRODUCT(Design_Matrix!K2:K65,Design_Matrix!L2:L65)-SUMPRODUCT(Design_Matrix!K2:K65,W6:W69),0)</f>
        <v>-14813</v>
      </c>
      <c r="H84">
        <f>IFERROR(SUMPRODUCT(Design_Matrix!K2:K65,Design_Matrix!L2:L65)-SUMPRODUCT(Design_Matrix!K2:K65,Y6:Y69),0)</f>
        <v>-14813</v>
      </c>
      <c r="I84">
        <f>IFERROR(SUMPRODUCT(Design_Matrix!K2:K65,Design_Matrix!L2:L65)-SUMPRODUCT(Design_Matrix!K2:K65,AA6:AA69),0)</f>
        <v>-14813</v>
      </c>
    </row>
    <row r="90" spans="1:9" x14ac:dyDescent="0.2">
      <c r="A90" t="s">
        <v>85</v>
      </c>
      <c r="B90">
        <f>SUMXMY2(Design_Matrix!L2:L65,AC6:AC69)</f>
        <v>25629248.000000015</v>
      </c>
      <c r="D90" t="s">
        <v>86</v>
      </c>
      <c r="E90" t="s">
        <v>87</v>
      </c>
    </row>
    <row r="91" spans="1:9" x14ac:dyDescent="0.2">
      <c r="A91" t="s">
        <v>88</v>
      </c>
      <c r="B91">
        <f>AVERAGE(AC6:AC69)</f>
        <v>364.984375</v>
      </c>
      <c r="D91">
        <v>0</v>
      </c>
      <c r="E91">
        <f>SUMXMY2(Design_Matrix!L2:L65,M6:M69)</f>
        <v>25629248.000000015</v>
      </c>
    </row>
    <row r="92" spans="1:9" x14ac:dyDescent="0.2">
      <c r="D92">
        <v>1</v>
      </c>
      <c r="E92">
        <f>SUMXMY2(Design_Matrix!L2:L65,O6:O69)</f>
        <v>25629248.000000015</v>
      </c>
    </row>
    <row r="93" spans="1:9" x14ac:dyDescent="0.2">
      <c r="D93">
        <v>2</v>
      </c>
      <c r="E93">
        <f>SUMXMY2(Design_Matrix!L2:L65,Q6:Q69)</f>
        <v>25629248.000000015</v>
      </c>
    </row>
    <row r="94" spans="1:9" x14ac:dyDescent="0.2">
      <c r="D94">
        <v>3</v>
      </c>
      <c r="E94">
        <f>SUMXMY2(Design_Matrix!L2:L65,S6:S69)</f>
        <v>25629248.000000015</v>
      </c>
    </row>
    <row r="95" spans="1:9" x14ac:dyDescent="0.2">
      <c r="D95">
        <v>4</v>
      </c>
      <c r="E95">
        <f>SUMXMY2(Design_Matrix!L2:L65,U6:U69)</f>
        <v>25629248.000000015</v>
      </c>
    </row>
    <row r="96" spans="1:9" x14ac:dyDescent="0.2">
      <c r="D96">
        <v>5</v>
      </c>
      <c r="E96">
        <f>SUMXMY2(Design_Matrix!L2:L65,W6:W69)</f>
        <v>25629248.000000015</v>
      </c>
    </row>
    <row r="97" spans="4:5" x14ac:dyDescent="0.2">
      <c r="D97">
        <v>6</v>
      </c>
      <c r="E97">
        <f>SUMXMY2(Design_Matrix!L2:L65,Y6:Y69)</f>
        <v>25629248.000000015</v>
      </c>
    </row>
    <row r="98" spans="4:5" x14ac:dyDescent="0.2">
      <c r="D98">
        <v>7</v>
      </c>
      <c r="E98">
        <f>SUMXMY2(Design_Matrix!L2:L65,AA6:AA69)</f>
        <v>25629248.000000015</v>
      </c>
    </row>
    <row r="99" spans="4:5" x14ac:dyDescent="0.2">
      <c r="D99">
        <v>8</v>
      </c>
      <c r="E99">
        <f>SUMXMY2(Design_Matrix!L2:L65,AC6:AC69)</f>
        <v>25629248.000000015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97"/>
  <sheetViews>
    <sheetView workbookViewId="0"/>
  </sheetViews>
  <sheetFormatPr baseColWidth="10" defaultColWidth="8.83203125" defaultRowHeight="15" x14ac:dyDescent="0.2"/>
  <cols>
    <col min="1" max="1" width="44" customWidth="1"/>
  </cols>
  <sheetData>
    <row r="1" spans="1:39" x14ac:dyDescent="0.2">
      <c r="A1" t="s">
        <v>89</v>
      </c>
    </row>
    <row r="2" spans="1:39" x14ac:dyDescent="0.2">
      <c r="A2" t="s">
        <v>90</v>
      </c>
      <c r="M2" t="s">
        <v>91</v>
      </c>
      <c r="AB2" t="s">
        <v>92</v>
      </c>
    </row>
    <row r="4" spans="1:39" x14ac:dyDescent="0.2">
      <c r="A4" t="s">
        <v>93</v>
      </c>
      <c r="L4" t="s">
        <v>94</v>
      </c>
      <c r="M4" t="s">
        <v>95</v>
      </c>
      <c r="N4" t="s">
        <v>96</v>
      </c>
      <c r="O4" t="s">
        <v>97</v>
      </c>
      <c r="Q4" t="s">
        <v>98</v>
      </c>
      <c r="AA4" t="s">
        <v>99</v>
      </c>
      <c r="AC4" t="s">
        <v>100</v>
      </c>
      <c r="AM4" t="s">
        <v>101</v>
      </c>
    </row>
    <row r="5" spans="1:39" x14ac:dyDescent="0.2">
      <c r="A5">
        <f t="array" ref="A5:J14">MMULT(TRANSPOSE(Design_Matrix!B2:K65),Design_Matrix!B2:K65)</f>
        <v>64</v>
      </c>
      <c r="B5">
        <v>16</v>
      </c>
      <c r="C5">
        <v>16</v>
      </c>
      <c r="D5">
        <v>16</v>
      </c>
      <c r="E5">
        <v>16</v>
      </c>
      <c r="F5">
        <v>16</v>
      </c>
      <c r="G5">
        <v>16</v>
      </c>
      <c r="H5">
        <v>16</v>
      </c>
      <c r="I5">
        <v>16</v>
      </c>
      <c r="J5">
        <v>16</v>
      </c>
      <c r="L5">
        <f t="array" ref="L5:L14">MMULT(TRANSPOSE(Design_Matrix!B2:K65),Design_Matrix!L2:L65)</f>
        <v>3151</v>
      </c>
      <c r="M5">
        <f t="array" ref="M5:M14">MMULT(MINVERSE(A5:J14),L5:L14)</f>
        <v>35.84375</v>
      </c>
      <c r="N5">
        <f t="array" ref="N5:N14">MMULT(TRANSPOSE(Design_Matrix!B2:K65),Design_Matrix!N2:N65)</f>
        <v>11.518165246853425</v>
      </c>
      <c r="O5">
        <f t="array" ref="O5:O14">MMULT(MINVERSE(A5:J14),N5:N14)</f>
        <v>0.15186022064951654</v>
      </c>
      <c r="Q5">
        <f>Design_Matrix!B2*SQRT(Design_Matrix!M2)</f>
        <v>14.035668847618199</v>
      </c>
      <c r="R5">
        <f>Design_Matrix!C2*SQRT(Design_Matrix!M2)</f>
        <v>0</v>
      </c>
      <c r="S5">
        <f>Design_Matrix!D2*SQRT(Design_Matrix!M2)</f>
        <v>0</v>
      </c>
      <c r="T5">
        <f>Design_Matrix!E2*SQRT(Design_Matrix!M2)</f>
        <v>0</v>
      </c>
      <c r="U5">
        <f>Design_Matrix!F2*SQRT(Design_Matrix!M2)</f>
        <v>0</v>
      </c>
      <c r="V5">
        <f>Design_Matrix!G2*SQRT(Design_Matrix!M2)</f>
        <v>0</v>
      </c>
      <c r="W5">
        <f>Design_Matrix!H2*SQRT(Design_Matrix!M2)</f>
        <v>0</v>
      </c>
      <c r="X5">
        <f>Design_Matrix!I2*SQRT(Design_Matrix!M2)</f>
        <v>0</v>
      </c>
      <c r="Y5">
        <f>Design_Matrix!J2*SQRT(Design_Matrix!M2)</f>
        <v>0</v>
      </c>
      <c r="Z5">
        <f>Design_Matrix!K2*SQRT(Design_Matrix!M2)</f>
        <v>0</v>
      </c>
      <c r="AA5">
        <f>Design_Matrix!N2*SQRT(Design_Matrix!M2)</f>
        <v>2.7073878995405662</v>
      </c>
    </row>
    <row r="6" spans="1:39" x14ac:dyDescent="0.2">
      <c r="A6">
        <v>16</v>
      </c>
      <c r="B6">
        <v>16</v>
      </c>
      <c r="C6">
        <v>0</v>
      </c>
      <c r="D6">
        <v>0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L6">
        <v>891</v>
      </c>
      <c r="M6">
        <v>-30.625</v>
      </c>
      <c r="N6">
        <v>3.0695187508695043</v>
      </c>
      <c r="O6">
        <v>3.088381523038089E-2</v>
      </c>
      <c r="Q6">
        <f>Design_Matrix!B3*SQRT(Design_Matrix!M3)</f>
        <v>16.248076809271922</v>
      </c>
      <c r="R6">
        <f>Design_Matrix!C3*SQRT(Design_Matrix!M3)</f>
        <v>0</v>
      </c>
      <c r="S6">
        <f>Design_Matrix!D3*SQRT(Design_Matrix!M3)</f>
        <v>0</v>
      </c>
      <c r="T6">
        <f>Design_Matrix!E3*SQRT(Design_Matrix!M3)</f>
        <v>0</v>
      </c>
      <c r="U6">
        <f>Design_Matrix!F3*SQRT(Design_Matrix!M3)</f>
        <v>0</v>
      </c>
      <c r="V6">
        <f>Design_Matrix!G3*SQRT(Design_Matrix!M3)</f>
        <v>0</v>
      </c>
      <c r="W6">
        <f>Design_Matrix!H3*SQRT(Design_Matrix!M3)</f>
        <v>0</v>
      </c>
      <c r="X6">
        <f>Design_Matrix!I3*SQRT(Design_Matrix!M3)</f>
        <v>16.248076809271922</v>
      </c>
      <c r="Y6">
        <f>Design_Matrix!J3*SQRT(Design_Matrix!M3)</f>
        <v>0</v>
      </c>
      <c r="Z6">
        <f>Design_Matrix!K3*SQRT(Design_Matrix!M3)</f>
        <v>0</v>
      </c>
      <c r="AA6">
        <f>Design_Matrix!N3*SQRT(Design_Matrix!M3)</f>
        <v>2.154101092138323</v>
      </c>
    </row>
    <row r="7" spans="1:39" x14ac:dyDescent="0.2">
      <c r="A7">
        <v>16</v>
      </c>
      <c r="B7">
        <v>0</v>
      </c>
      <c r="C7">
        <v>16</v>
      </c>
      <c r="D7">
        <v>0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L7">
        <v>553</v>
      </c>
      <c r="M7">
        <v>-51.75</v>
      </c>
      <c r="N7">
        <v>2.8771822041568123</v>
      </c>
      <c r="O7">
        <v>1.8862781060837608E-2</v>
      </c>
      <c r="Q7">
        <f>Design_Matrix!B4*SQRT(Design_Matrix!M4)</f>
        <v>15.684387141358123</v>
      </c>
      <c r="R7">
        <f>Design_Matrix!C4*SQRT(Design_Matrix!M4)</f>
        <v>0</v>
      </c>
      <c r="S7">
        <f>Design_Matrix!D4*SQRT(Design_Matrix!M4)</f>
        <v>0</v>
      </c>
      <c r="T7">
        <f>Design_Matrix!E4*SQRT(Design_Matrix!M4)</f>
        <v>0</v>
      </c>
      <c r="U7">
        <f>Design_Matrix!F4*SQRT(Design_Matrix!M4)</f>
        <v>0</v>
      </c>
      <c r="V7">
        <f>Design_Matrix!G4*SQRT(Design_Matrix!M4)</f>
        <v>0</v>
      </c>
      <c r="W7">
        <f>Design_Matrix!H4*SQRT(Design_Matrix!M4)</f>
        <v>0</v>
      </c>
      <c r="X7">
        <f>Design_Matrix!I4*SQRT(Design_Matrix!M4)</f>
        <v>0</v>
      </c>
      <c r="Y7">
        <f>Design_Matrix!J4*SQRT(Design_Matrix!M4)</f>
        <v>15.684387141358123</v>
      </c>
      <c r="Z7">
        <f>Design_Matrix!K4*SQRT(Design_Matrix!M4)</f>
        <v>0</v>
      </c>
      <c r="AA7">
        <f>Design_Matrix!N4*SQRT(Design_Matrix!M4)</f>
        <v>1.2751534261266766</v>
      </c>
    </row>
    <row r="8" spans="1:39" x14ac:dyDescent="0.2">
      <c r="A8">
        <v>16</v>
      </c>
      <c r="B8">
        <v>0</v>
      </c>
      <c r="C8">
        <v>0</v>
      </c>
      <c r="D8">
        <v>16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L8">
        <v>326</v>
      </c>
      <c r="M8">
        <v>-65.9375</v>
      </c>
      <c r="N8">
        <v>2.9960865846436979</v>
      </c>
      <c r="O8">
        <v>2.6294304841267935E-2</v>
      </c>
      <c r="Q8">
        <f>Design_Matrix!B5*SQRT(Design_Matrix!M5)</f>
        <v>40.987803063838392</v>
      </c>
      <c r="R8">
        <f>Design_Matrix!C5*SQRT(Design_Matrix!M5)</f>
        <v>0</v>
      </c>
      <c r="S8">
        <f>Design_Matrix!D5*SQRT(Design_Matrix!M5)</f>
        <v>0</v>
      </c>
      <c r="T8">
        <f>Design_Matrix!E5*SQRT(Design_Matrix!M5)</f>
        <v>0</v>
      </c>
      <c r="U8">
        <f>Design_Matrix!F5*SQRT(Design_Matrix!M5)</f>
        <v>0</v>
      </c>
      <c r="V8">
        <f>Design_Matrix!G5*SQRT(Design_Matrix!M5)</f>
        <v>0</v>
      </c>
      <c r="W8">
        <f>Design_Matrix!H5*SQRT(Design_Matrix!M5)</f>
        <v>0</v>
      </c>
      <c r="X8">
        <f>Design_Matrix!I5*SQRT(Design_Matrix!M5)</f>
        <v>0</v>
      </c>
      <c r="Y8">
        <f>Design_Matrix!J5*SQRT(Design_Matrix!M5)</f>
        <v>0</v>
      </c>
      <c r="Z8">
        <f>Design_Matrix!K5*SQRT(Design_Matrix!M5)</f>
        <v>40.987803063838392</v>
      </c>
      <c r="AA8">
        <f>Design_Matrix!N5*SQRT(Design_Matrix!M5)</f>
        <v>3.8060102844992794</v>
      </c>
    </row>
    <row r="9" spans="1:39" x14ac:dyDescent="0.2">
      <c r="A9">
        <v>16</v>
      </c>
      <c r="B9">
        <v>4</v>
      </c>
      <c r="C9">
        <v>4</v>
      </c>
      <c r="D9">
        <v>4</v>
      </c>
      <c r="E9">
        <v>16</v>
      </c>
      <c r="F9">
        <v>0</v>
      </c>
      <c r="G9">
        <v>0</v>
      </c>
      <c r="H9">
        <v>4</v>
      </c>
      <c r="I9">
        <v>4</v>
      </c>
      <c r="J9">
        <v>4</v>
      </c>
      <c r="L9">
        <v>1450</v>
      </c>
      <c r="M9">
        <v>56.9375</v>
      </c>
      <c r="N9">
        <v>2.4669993720627699</v>
      </c>
      <c r="O9">
        <v>2.2373682637130687E-2</v>
      </c>
      <c r="Q9">
        <f>Design_Matrix!B6*SQRT(Design_Matrix!M6)</f>
        <v>16.852299546352718</v>
      </c>
      <c r="R9">
        <f>Design_Matrix!C6*SQRT(Design_Matrix!M6)</f>
        <v>0</v>
      </c>
      <c r="S9">
        <f>Design_Matrix!D6*SQRT(Design_Matrix!M6)</f>
        <v>0</v>
      </c>
      <c r="T9">
        <f>Design_Matrix!E6*SQRT(Design_Matrix!M6)</f>
        <v>0</v>
      </c>
      <c r="U9">
        <f>Design_Matrix!F6*SQRT(Design_Matrix!M6)</f>
        <v>16.852299546352718</v>
      </c>
      <c r="V9">
        <f>Design_Matrix!G6*SQRT(Design_Matrix!M6)</f>
        <v>0</v>
      </c>
      <c r="W9">
        <f>Design_Matrix!H6*SQRT(Design_Matrix!M6)</f>
        <v>0</v>
      </c>
      <c r="X9">
        <f>Design_Matrix!I6*SQRT(Design_Matrix!M6)</f>
        <v>0</v>
      </c>
      <c r="Y9">
        <f>Design_Matrix!J6*SQRT(Design_Matrix!M6)</f>
        <v>0</v>
      </c>
      <c r="Z9">
        <f>Design_Matrix!K6*SQRT(Design_Matrix!M6)</f>
        <v>0</v>
      </c>
      <c r="AA9">
        <f>Design_Matrix!N6*SQRT(Design_Matrix!M6)</f>
        <v>3.7383622233106384</v>
      </c>
    </row>
    <row r="10" spans="1:39" x14ac:dyDescent="0.2">
      <c r="A10">
        <v>16</v>
      </c>
      <c r="B10">
        <v>4</v>
      </c>
      <c r="C10">
        <v>4</v>
      </c>
      <c r="D10">
        <v>4</v>
      </c>
      <c r="E10">
        <v>0</v>
      </c>
      <c r="F10">
        <v>16</v>
      </c>
      <c r="G10">
        <v>0</v>
      </c>
      <c r="H10">
        <v>4</v>
      </c>
      <c r="I10">
        <v>4</v>
      </c>
      <c r="J10">
        <v>4</v>
      </c>
      <c r="L10">
        <v>863</v>
      </c>
      <c r="M10">
        <v>20.25</v>
      </c>
      <c r="N10">
        <v>3.2523995230571261</v>
      </c>
      <c r="O10">
        <v>7.1461192074277924E-2</v>
      </c>
      <c r="Q10">
        <f>Design_Matrix!B7*SQRT(Design_Matrix!M7)</f>
        <v>23.151673805580451</v>
      </c>
      <c r="R10">
        <f>Design_Matrix!C7*SQRT(Design_Matrix!M7)</f>
        <v>0</v>
      </c>
      <c r="S10">
        <f>Design_Matrix!D7*SQRT(Design_Matrix!M7)</f>
        <v>0</v>
      </c>
      <c r="T10">
        <f>Design_Matrix!E7*SQRT(Design_Matrix!M7)</f>
        <v>0</v>
      </c>
      <c r="U10">
        <f>Design_Matrix!F7*SQRT(Design_Matrix!M7)</f>
        <v>23.151673805580451</v>
      </c>
      <c r="V10">
        <f>Design_Matrix!G7*SQRT(Design_Matrix!M7)</f>
        <v>0</v>
      </c>
      <c r="W10">
        <f>Design_Matrix!H7*SQRT(Design_Matrix!M7)</f>
        <v>0</v>
      </c>
      <c r="X10">
        <f>Design_Matrix!I7*SQRT(Design_Matrix!M7)</f>
        <v>23.151673805580451</v>
      </c>
      <c r="Y10">
        <f>Design_Matrix!J7*SQRT(Design_Matrix!M7)</f>
        <v>0</v>
      </c>
      <c r="Z10">
        <f>Design_Matrix!K7*SQRT(Design_Matrix!M7)</f>
        <v>0</v>
      </c>
      <c r="AA10">
        <f>Design_Matrix!N7*SQRT(Design_Matrix!M7)</f>
        <v>3.6282473874417125</v>
      </c>
    </row>
    <row r="11" spans="1:39" x14ac:dyDescent="0.2">
      <c r="A11">
        <v>16</v>
      </c>
      <c r="B11">
        <v>4</v>
      </c>
      <c r="C11">
        <v>4</v>
      </c>
      <c r="D11">
        <v>4</v>
      </c>
      <c r="E11">
        <v>0</v>
      </c>
      <c r="F11">
        <v>0</v>
      </c>
      <c r="G11">
        <v>16</v>
      </c>
      <c r="H11">
        <v>4</v>
      </c>
      <c r="I11">
        <v>4</v>
      </c>
      <c r="J11">
        <v>4</v>
      </c>
      <c r="L11">
        <v>299</v>
      </c>
      <c r="M11">
        <v>-15</v>
      </c>
      <c r="N11">
        <v>3.6897459018648497</v>
      </c>
      <c r="O11">
        <v>9.8795340749760652E-2</v>
      </c>
      <c r="Q11">
        <f>Design_Matrix!B8*SQRT(Design_Matrix!M8)</f>
        <v>26.381811916545839</v>
      </c>
      <c r="R11">
        <f>Design_Matrix!C8*SQRT(Design_Matrix!M8)</f>
        <v>0</v>
      </c>
      <c r="S11">
        <f>Design_Matrix!D8*SQRT(Design_Matrix!M8)</f>
        <v>0</v>
      </c>
      <c r="T11">
        <f>Design_Matrix!E8*SQRT(Design_Matrix!M8)</f>
        <v>0</v>
      </c>
      <c r="U11">
        <f>Design_Matrix!F8*SQRT(Design_Matrix!M8)</f>
        <v>26.381811916545839</v>
      </c>
      <c r="V11">
        <f>Design_Matrix!G8*SQRT(Design_Matrix!M8)</f>
        <v>0</v>
      </c>
      <c r="W11">
        <f>Design_Matrix!H8*SQRT(Design_Matrix!M8)</f>
        <v>0</v>
      </c>
      <c r="X11">
        <f>Design_Matrix!I8*SQRT(Design_Matrix!M8)</f>
        <v>0</v>
      </c>
      <c r="Y11">
        <f>Design_Matrix!J8*SQRT(Design_Matrix!M8)</f>
        <v>26.381811916545839</v>
      </c>
      <c r="Z11">
        <f>Design_Matrix!K8*SQRT(Design_Matrix!M8)</f>
        <v>0</v>
      </c>
      <c r="AA11">
        <f>Design_Matrix!N8*SQRT(Design_Matrix!M8)</f>
        <v>3.37353629392612</v>
      </c>
    </row>
    <row r="12" spans="1:39" x14ac:dyDescent="0.2">
      <c r="A12">
        <v>16</v>
      </c>
      <c r="B12">
        <v>4</v>
      </c>
      <c r="C12">
        <v>4</v>
      </c>
      <c r="D12">
        <v>4</v>
      </c>
      <c r="E12">
        <v>4</v>
      </c>
      <c r="F12">
        <v>4</v>
      </c>
      <c r="G12">
        <v>4</v>
      </c>
      <c r="H12">
        <v>16</v>
      </c>
      <c r="I12">
        <v>0</v>
      </c>
      <c r="J12">
        <v>0</v>
      </c>
      <c r="L12">
        <v>404</v>
      </c>
      <c r="M12">
        <v>10.9375</v>
      </c>
      <c r="N12">
        <v>3.0471565946698878</v>
      </c>
      <c r="O12">
        <v>-2.8580712631062516E-2</v>
      </c>
      <c r="Q12">
        <f>Design_Matrix!B9*SQRT(Design_Matrix!M9)</f>
        <v>59.849812029780011</v>
      </c>
      <c r="R12">
        <f>Design_Matrix!C9*SQRT(Design_Matrix!M9)</f>
        <v>0</v>
      </c>
      <c r="S12">
        <f>Design_Matrix!D9*SQRT(Design_Matrix!M9)</f>
        <v>0</v>
      </c>
      <c r="T12">
        <f>Design_Matrix!E9*SQRT(Design_Matrix!M9)</f>
        <v>0</v>
      </c>
      <c r="U12">
        <f>Design_Matrix!F9*SQRT(Design_Matrix!M9)</f>
        <v>59.849812029780011</v>
      </c>
      <c r="V12">
        <f>Design_Matrix!G9*SQRT(Design_Matrix!M9)</f>
        <v>0</v>
      </c>
      <c r="W12">
        <f>Design_Matrix!H9*SQRT(Design_Matrix!M9)</f>
        <v>0</v>
      </c>
      <c r="X12">
        <f>Design_Matrix!I9*SQRT(Design_Matrix!M9)</f>
        <v>0</v>
      </c>
      <c r="Y12">
        <f>Design_Matrix!J9*SQRT(Design_Matrix!M9)</f>
        <v>0</v>
      </c>
      <c r="Z12">
        <f>Design_Matrix!K9*SQRT(Design_Matrix!M9)</f>
        <v>59.849812029780011</v>
      </c>
      <c r="AA12">
        <f>Design_Matrix!N9*SQRT(Design_Matrix!M9)</f>
        <v>6.6833960948944737</v>
      </c>
    </row>
    <row r="13" spans="1:39" x14ac:dyDescent="0.2">
      <c r="A13">
        <v>16</v>
      </c>
      <c r="B13">
        <v>4</v>
      </c>
      <c r="C13">
        <v>4</v>
      </c>
      <c r="D13">
        <v>4</v>
      </c>
      <c r="E13">
        <v>4</v>
      </c>
      <c r="F13">
        <v>4</v>
      </c>
      <c r="G13">
        <v>4</v>
      </c>
      <c r="H13">
        <v>0</v>
      </c>
      <c r="I13">
        <v>16</v>
      </c>
      <c r="J13">
        <v>0</v>
      </c>
      <c r="L13">
        <v>453</v>
      </c>
      <c r="M13">
        <v>14</v>
      </c>
      <c r="N13">
        <v>2.7018638217039102</v>
      </c>
      <c r="O13">
        <v>-5.0161510941436116E-2</v>
      </c>
      <c r="Q13">
        <f>Design_Matrix!B10*SQRT(Design_Matrix!M10)</f>
        <v>11.532562594670797</v>
      </c>
      <c r="R13">
        <f>Design_Matrix!C10*SQRT(Design_Matrix!M10)</f>
        <v>0</v>
      </c>
      <c r="S13">
        <f>Design_Matrix!D10*SQRT(Design_Matrix!M10)</f>
        <v>0</v>
      </c>
      <c r="T13">
        <f>Design_Matrix!E10*SQRT(Design_Matrix!M10)</f>
        <v>0</v>
      </c>
      <c r="U13">
        <f>Design_Matrix!F10*SQRT(Design_Matrix!M10)</f>
        <v>0</v>
      </c>
      <c r="V13">
        <f>Design_Matrix!G10*SQRT(Design_Matrix!M10)</f>
        <v>11.532562594670797</v>
      </c>
      <c r="W13">
        <f>Design_Matrix!H10*SQRT(Design_Matrix!M10)</f>
        <v>0</v>
      </c>
      <c r="X13">
        <f>Design_Matrix!I10*SQRT(Design_Matrix!M10)</f>
        <v>0</v>
      </c>
      <c r="Y13">
        <f>Design_Matrix!J10*SQRT(Design_Matrix!M10)</f>
        <v>0</v>
      </c>
      <c r="Z13">
        <f>Design_Matrix!K10*SQRT(Design_Matrix!M10)</f>
        <v>0</v>
      </c>
      <c r="AA13">
        <f>Design_Matrix!N10*SQRT(Design_Matrix!M10)</f>
        <v>1.647508942095828</v>
      </c>
    </row>
    <row r="14" spans="1:39" x14ac:dyDescent="0.2">
      <c r="A14">
        <v>16</v>
      </c>
      <c r="B14">
        <v>4</v>
      </c>
      <c r="C14">
        <v>4</v>
      </c>
      <c r="D14">
        <v>4</v>
      </c>
      <c r="E14">
        <v>4</v>
      </c>
      <c r="F14">
        <v>4</v>
      </c>
      <c r="G14">
        <v>4</v>
      </c>
      <c r="H14">
        <v>0</v>
      </c>
      <c r="I14">
        <v>0</v>
      </c>
      <c r="J14">
        <v>16</v>
      </c>
      <c r="L14">
        <v>2065</v>
      </c>
      <c r="M14">
        <v>114.75</v>
      </c>
      <c r="N14">
        <v>2.2646968337127387</v>
      </c>
      <c r="O14">
        <v>-7.7484447690884362E-2</v>
      </c>
      <c r="Q14">
        <f>Design_Matrix!B11*SQRT(Design_Matrix!M11)</f>
        <v>16.911534525287763</v>
      </c>
      <c r="R14">
        <f>Design_Matrix!C11*SQRT(Design_Matrix!M11)</f>
        <v>0</v>
      </c>
      <c r="S14">
        <f>Design_Matrix!D11*SQRT(Design_Matrix!M11)</f>
        <v>0</v>
      </c>
      <c r="T14">
        <f>Design_Matrix!E11*SQRT(Design_Matrix!M11)</f>
        <v>0</v>
      </c>
      <c r="U14">
        <f>Design_Matrix!F11*SQRT(Design_Matrix!M11)</f>
        <v>0</v>
      </c>
      <c r="V14">
        <f>Design_Matrix!G11*SQRT(Design_Matrix!M11)</f>
        <v>16.911534525287763</v>
      </c>
      <c r="W14">
        <f>Design_Matrix!H11*SQRT(Design_Matrix!M11)</f>
        <v>0</v>
      </c>
      <c r="X14">
        <f>Design_Matrix!I11*SQRT(Design_Matrix!M11)</f>
        <v>16.911534525287763</v>
      </c>
      <c r="Y14">
        <f>Design_Matrix!J11*SQRT(Design_Matrix!M11)</f>
        <v>0</v>
      </c>
      <c r="Z14">
        <f>Design_Matrix!K11*SQRT(Design_Matrix!M11)</f>
        <v>0</v>
      </c>
      <c r="AA14">
        <f>Design_Matrix!N11*SQRT(Design_Matrix!M11)</f>
        <v>3.0748244591432297</v>
      </c>
    </row>
    <row r="15" spans="1:39" x14ac:dyDescent="0.2">
      <c r="Q15">
        <f>Design_Matrix!B12*SQRT(Design_Matrix!M12)</f>
        <v>18.841443681416774</v>
      </c>
      <c r="R15">
        <f>Design_Matrix!C12*SQRT(Design_Matrix!M12)</f>
        <v>0</v>
      </c>
      <c r="S15">
        <f>Design_Matrix!D12*SQRT(Design_Matrix!M12)</f>
        <v>0</v>
      </c>
      <c r="T15">
        <f>Design_Matrix!E12*SQRT(Design_Matrix!M12)</f>
        <v>0</v>
      </c>
      <c r="U15">
        <f>Design_Matrix!F12*SQRT(Design_Matrix!M12)</f>
        <v>0</v>
      </c>
      <c r="V15">
        <f>Design_Matrix!G12*SQRT(Design_Matrix!M12)</f>
        <v>18.841443681416774</v>
      </c>
      <c r="W15">
        <f>Design_Matrix!H12*SQRT(Design_Matrix!M12)</f>
        <v>0</v>
      </c>
      <c r="X15">
        <f>Design_Matrix!I12*SQRT(Design_Matrix!M12)</f>
        <v>0</v>
      </c>
      <c r="Y15">
        <f>Design_Matrix!J12*SQRT(Design_Matrix!M12)</f>
        <v>18.841443681416774</v>
      </c>
      <c r="Z15">
        <f>Design_Matrix!K12*SQRT(Design_Matrix!M12)</f>
        <v>0</v>
      </c>
      <c r="AA15">
        <f>Design_Matrix!N12*SQRT(Design_Matrix!M12)</f>
        <v>3.9275122040136372</v>
      </c>
    </row>
    <row r="16" spans="1:39" x14ac:dyDescent="0.2">
      <c r="A16">
        <f t="array" ref="A16:J25">MINVERSE(A5:J14)</f>
        <v>0.15625</v>
      </c>
      <c r="B16">
        <v>-6.25E-2</v>
      </c>
      <c r="C16">
        <v>-6.25E-2</v>
      </c>
      <c r="D16">
        <v>-6.25E-2</v>
      </c>
      <c r="E16">
        <v>-6.25E-2</v>
      </c>
      <c r="F16">
        <v>-6.25E-2</v>
      </c>
      <c r="G16">
        <v>-6.25E-2</v>
      </c>
      <c r="H16">
        <v>-6.25E-2</v>
      </c>
      <c r="I16">
        <v>-6.25E-2</v>
      </c>
      <c r="J16">
        <v>-6.25E-2</v>
      </c>
      <c r="Q16">
        <f>Design_Matrix!B13*SQRT(Design_Matrix!M13)</f>
        <v>40.496913462633174</v>
      </c>
      <c r="R16">
        <f>Design_Matrix!C13*SQRT(Design_Matrix!M13)</f>
        <v>0</v>
      </c>
      <c r="S16">
        <f>Design_Matrix!D13*SQRT(Design_Matrix!M13)</f>
        <v>0</v>
      </c>
      <c r="T16">
        <f>Design_Matrix!E13*SQRT(Design_Matrix!M13)</f>
        <v>0</v>
      </c>
      <c r="U16">
        <f>Design_Matrix!F13*SQRT(Design_Matrix!M13)</f>
        <v>0</v>
      </c>
      <c r="V16">
        <f>Design_Matrix!G13*SQRT(Design_Matrix!M13)</f>
        <v>40.496913462633174</v>
      </c>
      <c r="W16">
        <f>Design_Matrix!H13*SQRT(Design_Matrix!M13)</f>
        <v>0</v>
      </c>
      <c r="X16">
        <f>Design_Matrix!I13*SQRT(Design_Matrix!M13)</f>
        <v>0</v>
      </c>
      <c r="Y16">
        <f>Design_Matrix!J13*SQRT(Design_Matrix!M13)</f>
        <v>0</v>
      </c>
      <c r="Z16">
        <f>Design_Matrix!K13*SQRT(Design_Matrix!M13)</f>
        <v>40.496913462633174</v>
      </c>
      <c r="AA16">
        <f>Design_Matrix!N13*SQRT(Design_Matrix!M13)</f>
        <v>5.7535249004838587</v>
      </c>
      <c r="AC16">
        <f t="array" ref="AC16:AL25">MMULT(TRANSPOSE(Q5:Z68),Q5:Z68)</f>
        <v>23359</v>
      </c>
      <c r="AD16">
        <v>6653</v>
      </c>
      <c r="AE16">
        <v>4167</v>
      </c>
      <c r="AF16">
        <v>1994</v>
      </c>
      <c r="AG16">
        <v>11463</v>
      </c>
      <c r="AH16">
        <v>5370</v>
      </c>
      <c r="AI16">
        <v>1579</v>
      </c>
      <c r="AJ16">
        <v>2336</v>
      </c>
      <c r="AK16">
        <v>3007</v>
      </c>
      <c r="AL16">
        <v>16878</v>
      </c>
      <c r="AM16">
        <f>SUMPRODUCT(Q5:Q68,$AA$5:$AA$68)</f>
        <v>3151</v>
      </c>
    </row>
    <row r="17" spans="1:39" x14ac:dyDescent="0.2">
      <c r="A17">
        <v>-6.25E-2</v>
      </c>
      <c r="B17">
        <v>0.125</v>
      </c>
      <c r="C17">
        <v>6.25E-2</v>
      </c>
      <c r="D17">
        <v>6.25E-2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Q17">
        <f>Design_Matrix!B14*SQRT(Design_Matrix!M14)</f>
        <v>4.8989794855663558</v>
      </c>
      <c r="R17">
        <f>Design_Matrix!C14*SQRT(Design_Matrix!M14)</f>
        <v>0</v>
      </c>
      <c r="S17">
        <f>Design_Matrix!D14*SQRT(Design_Matrix!M14)</f>
        <v>0</v>
      </c>
      <c r="T17">
        <f>Design_Matrix!E14*SQRT(Design_Matrix!M14)</f>
        <v>0</v>
      </c>
      <c r="U17">
        <f>Design_Matrix!F14*SQRT(Design_Matrix!M14)</f>
        <v>0</v>
      </c>
      <c r="V17">
        <f>Design_Matrix!G14*SQRT(Design_Matrix!M14)</f>
        <v>0</v>
      </c>
      <c r="W17">
        <f>Design_Matrix!H14*SQRT(Design_Matrix!M14)</f>
        <v>4.8989794855663558</v>
      </c>
      <c r="X17">
        <f>Design_Matrix!I14*SQRT(Design_Matrix!M14)</f>
        <v>0</v>
      </c>
      <c r="Y17">
        <f>Design_Matrix!J14*SQRT(Design_Matrix!M14)</f>
        <v>0</v>
      </c>
      <c r="Z17">
        <f>Design_Matrix!K14*SQRT(Design_Matrix!M14)</f>
        <v>0</v>
      </c>
      <c r="AA17">
        <f>Design_Matrix!N14*SQRT(Design_Matrix!M14)</f>
        <v>0.81649658092772592</v>
      </c>
      <c r="AC17">
        <v>6653</v>
      </c>
      <c r="AD17">
        <v>6653</v>
      </c>
      <c r="AE17">
        <v>0</v>
      </c>
      <c r="AF17">
        <v>0</v>
      </c>
      <c r="AG17">
        <v>3324.0000000000005</v>
      </c>
      <c r="AH17">
        <v>1572.0000000000002</v>
      </c>
      <c r="AI17">
        <v>451</v>
      </c>
      <c r="AJ17">
        <v>674.99999999999989</v>
      </c>
      <c r="AK17">
        <v>863</v>
      </c>
      <c r="AL17">
        <v>4806.0000000000009</v>
      </c>
      <c r="AM17">
        <f>SUMPRODUCT(R5:R68,$AA$5:$AA$68)</f>
        <v>891</v>
      </c>
    </row>
    <row r="18" spans="1:39" x14ac:dyDescent="0.2">
      <c r="A18">
        <v>-6.25E-2</v>
      </c>
      <c r="B18">
        <v>6.25E-2</v>
      </c>
      <c r="C18">
        <v>0.125</v>
      </c>
      <c r="D18">
        <v>6.25E-2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Q18">
        <f>Design_Matrix!B15*SQRT(Design_Matrix!M15)</f>
        <v>8.426149773176359</v>
      </c>
      <c r="R18">
        <f>Design_Matrix!C15*SQRT(Design_Matrix!M15)</f>
        <v>0</v>
      </c>
      <c r="S18">
        <f>Design_Matrix!D15*SQRT(Design_Matrix!M15)</f>
        <v>0</v>
      </c>
      <c r="T18">
        <f>Design_Matrix!E15*SQRT(Design_Matrix!M15)</f>
        <v>0</v>
      </c>
      <c r="U18">
        <f>Design_Matrix!F15*SQRT(Design_Matrix!M15)</f>
        <v>0</v>
      </c>
      <c r="V18">
        <f>Design_Matrix!G15*SQRT(Design_Matrix!M15)</f>
        <v>0</v>
      </c>
      <c r="W18">
        <f>Design_Matrix!H15*SQRT(Design_Matrix!M15)</f>
        <v>8.426149773176359</v>
      </c>
      <c r="X18">
        <f>Design_Matrix!I15*SQRT(Design_Matrix!M15)</f>
        <v>8.426149773176359</v>
      </c>
      <c r="Y18">
        <f>Design_Matrix!J15*SQRT(Design_Matrix!M15)</f>
        <v>0</v>
      </c>
      <c r="Z18">
        <f>Design_Matrix!K15*SQRT(Design_Matrix!M15)</f>
        <v>0</v>
      </c>
      <c r="AA18">
        <f>Design_Matrix!N15*SQRT(Design_Matrix!M15)</f>
        <v>2.1362069847489362</v>
      </c>
      <c r="AC18">
        <v>4167</v>
      </c>
      <c r="AD18">
        <v>0</v>
      </c>
      <c r="AE18">
        <v>4167</v>
      </c>
      <c r="AF18">
        <v>0</v>
      </c>
      <c r="AG18">
        <v>2083</v>
      </c>
      <c r="AH18">
        <v>915</v>
      </c>
      <c r="AI18">
        <v>324</v>
      </c>
      <c r="AJ18">
        <v>335</v>
      </c>
      <c r="AK18">
        <v>493</v>
      </c>
      <c r="AL18">
        <v>3220</v>
      </c>
      <c r="AM18">
        <f>SUMPRODUCT(S5:S68,$AA$5:$AA$68)</f>
        <v>553</v>
      </c>
    </row>
    <row r="19" spans="1:39" x14ac:dyDescent="0.2">
      <c r="A19">
        <v>-6.25E-2</v>
      </c>
      <c r="B19">
        <v>6.25E-2</v>
      </c>
      <c r="C19">
        <v>6.25E-2</v>
      </c>
      <c r="D19">
        <v>0.125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Q19">
        <f>Design_Matrix!B16*SQRT(Design_Matrix!M16)</f>
        <v>9.9498743710661994</v>
      </c>
      <c r="R19">
        <f>Design_Matrix!C16*SQRT(Design_Matrix!M16)</f>
        <v>0</v>
      </c>
      <c r="S19">
        <f>Design_Matrix!D16*SQRT(Design_Matrix!M16)</f>
        <v>0</v>
      </c>
      <c r="T19">
        <f>Design_Matrix!E16*SQRT(Design_Matrix!M16)</f>
        <v>0</v>
      </c>
      <c r="U19">
        <f>Design_Matrix!F16*SQRT(Design_Matrix!M16)</f>
        <v>0</v>
      </c>
      <c r="V19">
        <f>Design_Matrix!G16*SQRT(Design_Matrix!M16)</f>
        <v>0</v>
      </c>
      <c r="W19">
        <f>Design_Matrix!H16*SQRT(Design_Matrix!M16)</f>
        <v>9.9498743710661994</v>
      </c>
      <c r="X19">
        <f>Design_Matrix!I16*SQRT(Design_Matrix!M16)</f>
        <v>0</v>
      </c>
      <c r="Y19">
        <f>Design_Matrix!J16*SQRT(Design_Matrix!M16)</f>
        <v>9.9498743710661994</v>
      </c>
      <c r="Z19">
        <f>Design_Matrix!K16*SQRT(Design_Matrix!M16)</f>
        <v>0</v>
      </c>
      <c r="AA19">
        <f>Design_Matrix!N16*SQRT(Design_Matrix!M16)</f>
        <v>1.9095718489925029</v>
      </c>
      <c r="AC19">
        <v>1994</v>
      </c>
      <c r="AD19">
        <v>0</v>
      </c>
      <c r="AE19">
        <v>0</v>
      </c>
      <c r="AF19">
        <v>1994</v>
      </c>
      <c r="AG19">
        <v>958</v>
      </c>
      <c r="AH19">
        <v>469</v>
      </c>
      <c r="AI19">
        <v>158</v>
      </c>
      <c r="AJ19">
        <v>169</v>
      </c>
      <c r="AK19">
        <v>255.00000000000003</v>
      </c>
      <c r="AL19">
        <v>1498</v>
      </c>
      <c r="AM19">
        <f>SUMPRODUCT(T5:T68,$AA$5:$AA$68)</f>
        <v>326</v>
      </c>
    </row>
    <row r="20" spans="1:39" x14ac:dyDescent="0.2">
      <c r="A20">
        <v>-6.25E-2</v>
      </c>
      <c r="B20">
        <v>0</v>
      </c>
      <c r="C20">
        <v>0</v>
      </c>
      <c r="D20">
        <v>0</v>
      </c>
      <c r="E20">
        <v>0.125</v>
      </c>
      <c r="F20">
        <v>6.25E-2</v>
      </c>
      <c r="G20">
        <v>6.25E-2</v>
      </c>
      <c r="H20">
        <v>0</v>
      </c>
      <c r="I20">
        <v>0</v>
      </c>
      <c r="J20">
        <v>0</v>
      </c>
      <c r="Q20">
        <f>Design_Matrix!B17*SQRT(Design_Matrix!M17)</f>
        <v>21.2602916254693</v>
      </c>
      <c r="R20">
        <f>Design_Matrix!C17*SQRT(Design_Matrix!M17)</f>
        <v>0</v>
      </c>
      <c r="S20">
        <f>Design_Matrix!D17*SQRT(Design_Matrix!M17)</f>
        <v>0</v>
      </c>
      <c r="T20">
        <f>Design_Matrix!E17*SQRT(Design_Matrix!M17)</f>
        <v>0</v>
      </c>
      <c r="U20">
        <f>Design_Matrix!F17*SQRT(Design_Matrix!M17)</f>
        <v>0</v>
      </c>
      <c r="V20">
        <f>Design_Matrix!G17*SQRT(Design_Matrix!M17)</f>
        <v>0</v>
      </c>
      <c r="W20">
        <f>Design_Matrix!H17*SQRT(Design_Matrix!M17)</f>
        <v>21.2602916254693</v>
      </c>
      <c r="X20">
        <f>Design_Matrix!I17*SQRT(Design_Matrix!M17)</f>
        <v>0</v>
      </c>
      <c r="Y20">
        <f>Design_Matrix!J17*SQRT(Design_Matrix!M17)</f>
        <v>0</v>
      </c>
      <c r="Z20">
        <f>Design_Matrix!K17*SQRT(Design_Matrix!M17)</f>
        <v>21.2602916254693</v>
      </c>
      <c r="AA20">
        <f>Design_Matrix!N17*SQRT(Design_Matrix!M17)</f>
        <v>3.6217753432768496</v>
      </c>
      <c r="AC20">
        <v>11463</v>
      </c>
      <c r="AD20">
        <v>3324.0000000000005</v>
      </c>
      <c r="AE20">
        <v>2083</v>
      </c>
      <c r="AF20">
        <v>958</v>
      </c>
      <c r="AG20">
        <v>11463</v>
      </c>
      <c r="AH20">
        <v>0</v>
      </c>
      <c r="AI20">
        <v>0</v>
      </c>
      <c r="AJ20">
        <v>1085</v>
      </c>
      <c r="AK20">
        <v>1477</v>
      </c>
      <c r="AL20">
        <v>8384</v>
      </c>
      <c r="AM20">
        <f>SUMPRODUCT(U5:U68,$AA$5:$AA$68)</f>
        <v>1450</v>
      </c>
    </row>
    <row r="21" spans="1:39" x14ac:dyDescent="0.2">
      <c r="A21">
        <v>-6.25E-2</v>
      </c>
      <c r="B21">
        <v>0</v>
      </c>
      <c r="C21">
        <v>0</v>
      </c>
      <c r="D21">
        <v>0</v>
      </c>
      <c r="E21">
        <v>6.25E-2</v>
      </c>
      <c r="F21">
        <v>0.125</v>
      </c>
      <c r="G21">
        <v>6.25E-2</v>
      </c>
      <c r="H21">
        <v>0</v>
      </c>
      <c r="I21">
        <v>0</v>
      </c>
      <c r="J21">
        <v>0</v>
      </c>
      <c r="Q21">
        <f>Design_Matrix!B18*SQRT(Design_Matrix!M18)</f>
        <v>9.2195444572928871</v>
      </c>
      <c r="R21">
        <f>Design_Matrix!C18*SQRT(Design_Matrix!M18)</f>
        <v>9.2195444572928871</v>
      </c>
      <c r="S21">
        <f>Design_Matrix!D18*SQRT(Design_Matrix!M18)</f>
        <v>0</v>
      </c>
      <c r="T21">
        <f>Design_Matrix!E18*SQRT(Design_Matrix!M18)</f>
        <v>0</v>
      </c>
      <c r="U21">
        <f>Design_Matrix!F18*SQRT(Design_Matrix!M18)</f>
        <v>0</v>
      </c>
      <c r="V21">
        <f>Design_Matrix!G18*SQRT(Design_Matrix!M18)</f>
        <v>0</v>
      </c>
      <c r="W21">
        <f>Design_Matrix!H18*SQRT(Design_Matrix!M18)</f>
        <v>0</v>
      </c>
      <c r="X21">
        <f>Design_Matrix!I18*SQRT(Design_Matrix!M18)</f>
        <v>0</v>
      </c>
      <c r="Y21">
        <f>Design_Matrix!J18*SQRT(Design_Matrix!M18)</f>
        <v>0</v>
      </c>
      <c r="Z21">
        <f>Design_Matrix!K18*SQRT(Design_Matrix!M18)</f>
        <v>0</v>
      </c>
      <c r="AA21">
        <f>Design_Matrix!N18*SQRT(Design_Matrix!M18)</f>
        <v>2.386235036005218</v>
      </c>
      <c r="AC21">
        <v>5370</v>
      </c>
      <c r="AD21">
        <v>1572.0000000000002</v>
      </c>
      <c r="AE21">
        <v>915</v>
      </c>
      <c r="AF21">
        <v>469</v>
      </c>
      <c r="AG21">
        <v>0</v>
      </c>
      <c r="AH21">
        <v>5370</v>
      </c>
      <c r="AI21">
        <v>0</v>
      </c>
      <c r="AJ21">
        <v>578</v>
      </c>
      <c r="AK21">
        <v>765.00000000000011</v>
      </c>
      <c r="AL21">
        <v>3786</v>
      </c>
      <c r="AM21">
        <f>SUMPRODUCT(V5:V68,$AA$5:$AA$68)</f>
        <v>863</v>
      </c>
    </row>
    <row r="22" spans="1:39" x14ac:dyDescent="0.2">
      <c r="A22">
        <v>-6.25E-2</v>
      </c>
      <c r="B22">
        <v>0</v>
      </c>
      <c r="C22">
        <v>0</v>
      </c>
      <c r="D22">
        <v>0</v>
      </c>
      <c r="E22">
        <v>6.25E-2</v>
      </c>
      <c r="F22">
        <v>6.25E-2</v>
      </c>
      <c r="G22">
        <v>0.125</v>
      </c>
      <c r="H22">
        <v>0</v>
      </c>
      <c r="I22">
        <v>0</v>
      </c>
      <c r="J22">
        <v>0</v>
      </c>
      <c r="Q22">
        <f>Design_Matrix!B19*SQRT(Design_Matrix!M19)</f>
        <v>11.789826122551595</v>
      </c>
      <c r="R22">
        <f>Design_Matrix!C19*SQRT(Design_Matrix!M19)</f>
        <v>11.789826122551595</v>
      </c>
      <c r="S22">
        <f>Design_Matrix!D19*SQRT(Design_Matrix!M19)</f>
        <v>0</v>
      </c>
      <c r="T22">
        <f>Design_Matrix!E19*SQRT(Design_Matrix!M19)</f>
        <v>0</v>
      </c>
      <c r="U22">
        <f>Design_Matrix!F19*SQRT(Design_Matrix!M19)</f>
        <v>0</v>
      </c>
      <c r="V22">
        <f>Design_Matrix!G19*SQRT(Design_Matrix!M19)</f>
        <v>0</v>
      </c>
      <c r="W22">
        <f>Design_Matrix!H19*SQRT(Design_Matrix!M19)</f>
        <v>0</v>
      </c>
      <c r="X22">
        <f>Design_Matrix!I19*SQRT(Design_Matrix!M19)</f>
        <v>11.789826122551595</v>
      </c>
      <c r="Y22">
        <f>Design_Matrix!J19*SQRT(Design_Matrix!M19)</f>
        <v>0</v>
      </c>
      <c r="Z22">
        <f>Design_Matrix!K19*SQRT(Design_Matrix!M19)</f>
        <v>0</v>
      </c>
      <c r="AA22">
        <f>Design_Matrix!N19*SQRT(Design_Matrix!M19)</f>
        <v>1.6115589663919447</v>
      </c>
      <c r="AC22">
        <v>1579</v>
      </c>
      <c r="AD22">
        <v>451</v>
      </c>
      <c r="AE22">
        <v>324</v>
      </c>
      <c r="AF22">
        <v>158</v>
      </c>
      <c r="AG22">
        <v>0</v>
      </c>
      <c r="AH22">
        <v>0</v>
      </c>
      <c r="AI22">
        <v>1579</v>
      </c>
      <c r="AJ22">
        <v>164</v>
      </c>
      <c r="AK22">
        <v>239</v>
      </c>
      <c r="AL22">
        <v>1133</v>
      </c>
      <c r="AM22">
        <f>SUMPRODUCT(W5:W68,$AA$5:$AA$68)</f>
        <v>299</v>
      </c>
    </row>
    <row r="23" spans="1:39" x14ac:dyDescent="0.2">
      <c r="A23">
        <v>-6.25E-2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0.125</v>
      </c>
      <c r="I23">
        <v>6.25E-2</v>
      </c>
      <c r="J23">
        <v>6.25E-2</v>
      </c>
      <c r="Q23">
        <f>Design_Matrix!B20*SQRT(Design_Matrix!M20)</f>
        <v>12.288205727444508</v>
      </c>
      <c r="R23">
        <f>Design_Matrix!C20*SQRT(Design_Matrix!M20)</f>
        <v>12.288205727444508</v>
      </c>
      <c r="S23">
        <f>Design_Matrix!D20*SQRT(Design_Matrix!M20)</f>
        <v>0</v>
      </c>
      <c r="T23">
        <f>Design_Matrix!E20*SQRT(Design_Matrix!M20)</f>
        <v>0</v>
      </c>
      <c r="U23">
        <f>Design_Matrix!F20*SQRT(Design_Matrix!M20)</f>
        <v>0</v>
      </c>
      <c r="V23">
        <f>Design_Matrix!G20*SQRT(Design_Matrix!M20)</f>
        <v>0</v>
      </c>
      <c r="W23">
        <f>Design_Matrix!H20*SQRT(Design_Matrix!M20)</f>
        <v>0</v>
      </c>
      <c r="X23">
        <f>Design_Matrix!I20*SQRT(Design_Matrix!M20)</f>
        <v>0</v>
      </c>
      <c r="Y23">
        <f>Design_Matrix!J20*SQRT(Design_Matrix!M20)</f>
        <v>12.288205727444508</v>
      </c>
      <c r="Z23">
        <f>Design_Matrix!K20*SQRT(Design_Matrix!M20)</f>
        <v>0</v>
      </c>
      <c r="AA23">
        <f>Design_Matrix!N20*SQRT(Design_Matrix!M20)</f>
        <v>1.7903346092965506</v>
      </c>
      <c r="AC23">
        <v>2336</v>
      </c>
      <c r="AD23">
        <v>674.99999999999989</v>
      </c>
      <c r="AE23">
        <v>335</v>
      </c>
      <c r="AF23">
        <v>169</v>
      </c>
      <c r="AG23">
        <v>1085</v>
      </c>
      <c r="AH23">
        <v>578</v>
      </c>
      <c r="AI23">
        <v>164</v>
      </c>
      <c r="AJ23">
        <v>2336</v>
      </c>
      <c r="AK23">
        <v>0</v>
      </c>
      <c r="AL23">
        <v>0</v>
      </c>
      <c r="AM23">
        <f>SUMPRODUCT(X5:X68,$AA$5:$AA$68)</f>
        <v>404</v>
      </c>
    </row>
    <row r="24" spans="1:39" x14ac:dyDescent="0.2">
      <c r="A24">
        <v>-6.25E-2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6.25E-2</v>
      </c>
      <c r="I24">
        <v>0.125</v>
      </c>
      <c r="J24">
        <v>6.25E-2</v>
      </c>
      <c r="Q24">
        <f>Design_Matrix!B21*SQRT(Design_Matrix!M21)</f>
        <v>30.512292604784715</v>
      </c>
      <c r="R24">
        <f>Design_Matrix!C21*SQRT(Design_Matrix!M21)</f>
        <v>30.512292604784715</v>
      </c>
      <c r="S24">
        <f>Design_Matrix!D21*SQRT(Design_Matrix!M21)</f>
        <v>0</v>
      </c>
      <c r="T24">
        <f>Design_Matrix!E21*SQRT(Design_Matrix!M21)</f>
        <v>0</v>
      </c>
      <c r="U24">
        <f>Design_Matrix!F21*SQRT(Design_Matrix!M21)</f>
        <v>0</v>
      </c>
      <c r="V24">
        <f>Design_Matrix!G21*SQRT(Design_Matrix!M21)</f>
        <v>0</v>
      </c>
      <c r="W24">
        <f>Design_Matrix!H21*SQRT(Design_Matrix!M21)</f>
        <v>0</v>
      </c>
      <c r="X24">
        <f>Design_Matrix!I21*SQRT(Design_Matrix!M21)</f>
        <v>0</v>
      </c>
      <c r="Y24">
        <f>Design_Matrix!J21*SQRT(Design_Matrix!M21)</f>
        <v>0</v>
      </c>
      <c r="Z24">
        <f>Design_Matrix!K21*SQRT(Design_Matrix!M21)</f>
        <v>30.512292604784715</v>
      </c>
      <c r="AA24">
        <f>Design_Matrix!N21*SQRT(Design_Matrix!M21)</f>
        <v>2.8513098352484105</v>
      </c>
      <c r="AC24">
        <v>3007</v>
      </c>
      <c r="AD24">
        <v>863</v>
      </c>
      <c r="AE24">
        <v>493</v>
      </c>
      <c r="AF24">
        <v>255.00000000000003</v>
      </c>
      <c r="AG24">
        <v>1477</v>
      </c>
      <c r="AH24">
        <v>765.00000000000011</v>
      </c>
      <c r="AI24">
        <v>239</v>
      </c>
      <c r="AJ24">
        <v>0</v>
      </c>
      <c r="AK24">
        <v>3007</v>
      </c>
      <c r="AL24">
        <v>0</v>
      </c>
      <c r="AM24">
        <f>SUMPRODUCT(Y5:Y68,$AA$5:$AA$68)</f>
        <v>453</v>
      </c>
    </row>
    <row r="25" spans="1:39" x14ac:dyDescent="0.2">
      <c r="A25">
        <v>-6.25E-2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6.25E-2</v>
      </c>
      <c r="I25">
        <v>6.25E-2</v>
      </c>
      <c r="J25">
        <v>0.125</v>
      </c>
      <c r="Q25">
        <f>Design_Matrix!B22*SQRT(Design_Matrix!M22)</f>
        <v>12.206555615733702</v>
      </c>
      <c r="R25">
        <f>Design_Matrix!C22*SQRT(Design_Matrix!M22)</f>
        <v>12.206555615733702</v>
      </c>
      <c r="S25">
        <f>Design_Matrix!D22*SQRT(Design_Matrix!M22)</f>
        <v>0</v>
      </c>
      <c r="T25">
        <f>Design_Matrix!E22*SQRT(Design_Matrix!M22)</f>
        <v>0</v>
      </c>
      <c r="U25">
        <f>Design_Matrix!F22*SQRT(Design_Matrix!M22)</f>
        <v>12.206555615733702</v>
      </c>
      <c r="V25">
        <f>Design_Matrix!G22*SQRT(Design_Matrix!M22)</f>
        <v>0</v>
      </c>
      <c r="W25">
        <f>Design_Matrix!H22*SQRT(Design_Matrix!M22)</f>
        <v>0</v>
      </c>
      <c r="X25">
        <f>Design_Matrix!I22*SQRT(Design_Matrix!M22)</f>
        <v>0</v>
      </c>
      <c r="Y25">
        <f>Design_Matrix!J22*SQRT(Design_Matrix!M22)</f>
        <v>0</v>
      </c>
      <c r="Z25">
        <f>Design_Matrix!K22*SQRT(Design_Matrix!M22)</f>
        <v>0</v>
      </c>
      <c r="AA25">
        <f>Design_Matrix!N22*SQRT(Design_Matrix!M22)</f>
        <v>2.0480798012976011</v>
      </c>
      <c r="AC25">
        <v>16878</v>
      </c>
      <c r="AD25">
        <v>4806.0000000000009</v>
      </c>
      <c r="AE25">
        <v>3220</v>
      </c>
      <c r="AF25">
        <v>1498</v>
      </c>
      <c r="AG25">
        <v>8384</v>
      </c>
      <c r="AH25">
        <v>3786</v>
      </c>
      <c r="AI25">
        <v>1133</v>
      </c>
      <c r="AJ25">
        <v>0</v>
      </c>
      <c r="AK25">
        <v>0</v>
      </c>
      <c r="AL25">
        <v>16878</v>
      </c>
      <c r="AM25">
        <f>SUMPRODUCT(Z5:Z68,$AA$5:$AA$68)</f>
        <v>2065</v>
      </c>
    </row>
    <row r="26" spans="1:39" x14ac:dyDescent="0.2">
      <c r="Q26">
        <f>Design_Matrix!B23*SQRT(Design_Matrix!M23)</f>
        <v>17.691806012954132</v>
      </c>
      <c r="R26">
        <f>Design_Matrix!C23*SQRT(Design_Matrix!M23)</f>
        <v>17.691806012954132</v>
      </c>
      <c r="S26">
        <f>Design_Matrix!D23*SQRT(Design_Matrix!M23)</f>
        <v>0</v>
      </c>
      <c r="T26">
        <f>Design_Matrix!E23*SQRT(Design_Matrix!M23)</f>
        <v>0</v>
      </c>
      <c r="U26">
        <f>Design_Matrix!F23*SQRT(Design_Matrix!M23)</f>
        <v>17.691806012954132</v>
      </c>
      <c r="V26">
        <f>Design_Matrix!G23*SQRT(Design_Matrix!M23)</f>
        <v>0</v>
      </c>
      <c r="W26">
        <f>Design_Matrix!H23*SQRT(Design_Matrix!M23)</f>
        <v>0</v>
      </c>
      <c r="X26">
        <f>Design_Matrix!I23*SQRT(Design_Matrix!M23)</f>
        <v>17.691806012954132</v>
      </c>
      <c r="Y26">
        <f>Design_Matrix!J23*SQRT(Design_Matrix!M23)</f>
        <v>0</v>
      </c>
      <c r="Z26">
        <f>Design_Matrix!K23*SQRT(Design_Matrix!M23)</f>
        <v>0</v>
      </c>
      <c r="AA26">
        <f>Design_Matrix!N23*SQRT(Design_Matrix!M23)</f>
        <v>2.8826904366155297</v>
      </c>
      <c r="AM26" t="s">
        <v>102</v>
      </c>
    </row>
    <row r="27" spans="1:39" x14ac:dyDescent="0.2">
      <c r="Q27">
        <f>Design_Matrix!B24*SQRT(Design_Matrix!M24)</f>
        <v>20.46948949045872</v>
      </c>
      <c r="R27">
        <f>Design_Matrix!C24*SQRT(Design_Matrix!M24)</f>
        <v>20.46948949045872</v>
      </c>
      <c r="S27">
        <f>Design_Matrix!D24*SQRT(Design_Matrix!M24)</f>
        <v>0</v>
      </c>
      <c r="T27">
        <f>Design_Matrix!E24*SQRT(Design_Matrix!M24)</f>
        <v>0</v>
      </c>
      <c r="U27">
        <f>Design_Matrix!F24*SQRT(Design_Matrix!M24)</f>
        <v>20.46948949045872</v>
      </c>
      <c r="V27">
        <f>Design_Matrix!G24*SQRT(Design_Matrix!M24)</f>
        <v>0</v>
      </c>
      <c r="W27">
        <f>Design_Matrix!H24*SQRT(Design_Matrix!M24)</f>
        <v>0</v>
      </c>
      <c r="X27">
        <f>Design_Matrix!I24*SQRT(Design_Matrix!M24)</f>
        <v>0</v>
      </c>
      <c r="Y27">
        <f>Design_Matrix!J24*SQRT(Design_Matrix!M24)</f>
        <v>20.46948949045872</v>
      </c>
      <c r="Z27">
        <f>Design_Matrix!K24*SQRT(Design_Matrix!M24)</f>
        <v>0</v>
      </c>
      <c r="AA27">
        <f>Design_Matrix!N24*SQRT(Design_Matrix!M24)</f>
        <v>2.3938066468555546</v>
      </c>
      <c r="AC27">
        <f t="array" ref="AC27:AL36">MINVERSE(AC16:AL25)</f>
        <v>1.0368191633938811E-3</v>
      </c>
      <c r="AD27">
        <v>-7.7539434654787549E-5</v>
      </c>
      <c r="AE27">
        <v>-6.3625488436454871E-5</v>
      </c>
      <c r="AF27">
        <v>-7.0554016188894628E-5</v>
      </c>
      <c r="AG27">
        <v>-1.7981575139315695E-4</v>
      </c>
      <c r="AH27">
        <v>-1.798639273751937E-4</v>
      </c>
      <c r="AI27">
        <v>-1.6226163666703888E-4</v>
      </c>
      <c r="AJ27">
        <v>-8.60770518508629E-4</v>
      </c>
      <c r="AK27">
        <v>-8.511725147581779E-4</v>
      </c>
      <c r="AL27">
        <v>-8.5577869443821555E-4</v>
      </c>
      <c r="AM27">
        <f t="array" ref="AM27:AM36">MMULT(MINVERSE(AC16:AL25),AM16:AM25)</f>
        <v>0.17475696230759485</v>
      </c>
    </row>
    <row r="28" spans="1:39" x14ac:dyDescent="0.2">
      <c r="A28" t="s">
        <v>15</v>
      </c>
      <c r="B28" t="s">
        <v>103</v>
      </c>
      <c r="C28" t="s">
        <v>104</v>
      </c>
      <c r="D28" t="s">
        <v>105</v>
      </c>
      <c r="F28" t="s">
        <v>106</v>
      </c>
      <c r="G28" t="s">
        <v>107</v>
      </c>
      <c r="Q28">
        <f>Design_Matrix!B25*SQRT(Design_Matrix!M25)</f>
        <v>49.42671342502959</v>
      </c>
      <c r="R28">
        <f>Design_Matrix!C25*SQRT(Design_Matrix!M25)</f>
        <v>49.42671342502959</v>
      </c>
      <c r="S28">
        <f>Design_Matrix!D25*SQRT(Design_Matrix!M25)</f>
        <v>0</v>
      </c>
      <c r="T28">
        <f>Design_Matrix!E25*SQRT(Design_Matrix!M25)</f>
        <v>0</v>
      </c>
      <c r="U28">
        <f>Design_Matrix!F25*SQRT(Design_Matrix!M25)</f>
        <v>49.42671342502959</v>
      </c>
      <c r="V28">
        <f>Design_Matrix!G25*SQRT(Design_Matrix!M25)</f>
        <v>0</v>
      </c>
      <c r="W28">
        <f>Design_Matrix!H25*SQRT(Design_Matrix!M25)</f>
        <v>0</v>
      </c>
      <c r="X28">
        <f>Design_Matrix!I25*SQRT(Design_Matrix!M25)</f>
        <v>0</v>
      </c>
      <c r="Y28">
        <f>Design_Matrix!J25*SQRT(Design_Matrix!M25)</f>
        <v>0</v>
      </c>
      <c r="Z28">
        <f>Design_Matrix!K25*SQRT(Design_Matrix!M25)</f>
        <v>49.42671342502959</v>
      </c>
      <c r="AA28">
        <f>Design_Matrix!N25*SQRT(Design_Matrix!M25)</f>
        <v>5.86727257194375</v>
      </c>
      <c r="AC28">
        <v>-7.753943465478759E-5</v>
      </c>
      <c r="AD28">
        <v>2.4560933453120502E-4</v>
      </c>
      <c r="AE28">
        <v>9.5653131331080262E-5</v>
      </c>
      <c r="AF28">
        <v>9.5493329449202364E-5</v>
      </c>
      <c r="AG28">
        <v>-7.2235377206075971E-6</v>
      </c>
      <c r="AH28">
        <v>-7.2769039659653393E-6</v>
      </c>
      <c r="AI28">
        <v>-9.8452842879849323E-6</v>
      </c>
      <c r="AJ28">
        <v>-8.2098191718278831E-6</v>
      </c>
      <c r="AK28">
        <v>-1.0548237032631724E-5</v>
      </c>
      <c r="AL28">
        <v>-1.3240476851015799E-5</v>
      </c>
      <c r="AM28">
        <v>3.403624658430502E-3</v>
      </c>
    </row>
    <row r="29" spans="1:39" x14ac:dyDescent="0.2">
      <c r="A29">
        <f>Design_Matrix!A2</f>
        <v>1</v>
      </c>
      <c r="B29">
        <f>MMULT(Design_Matrix!B2:K2,$M$5:$M$14)</f>
        <v>35.84375</v>
      </c>
      <c r="C29">
        <f>MMULT(Design_Matrix!B2:K2,$O$5:$O$14)</f>
        <v>0.15186022064951654</v>
      </c>
      <c r="D29">
        <f>Design_Matrix!M2*C29</f>
        <v>29.91646346795476</v>
      </c>
      <c r="F29">
        <f>MMULT(Design_Matrix!B2:K2,$AM$27:$AM$36)</f>
        <v>0.17475696230759485</v>
      </c>
      <c r="G29">
        <f>Design_Matrix!M2*F29</f>
        <v>34.427121574596185</v>
      </c>
      <c r="Q29">
        <f>Design_Matrix!B26*SQRT(Design_Matrix!M26)</f>
        <v>8.1240384046359608</v>
      </c>
      <c r="R29">
        <f>Design_Matrix!C26*SQRT(Design_Matrix!M26)</f>
        <v>8.1240384046359608</v>
      </c>
      <c r="S29">
        <f>Design_Matrix!D26*SQRT(Design_Matrix!M26)</f>
        <v>0</v>
      </c>
      <c r="T29">
        <f>Design_Matrix!E26*SQRT(Design_Matrix!M26)</f>
        <v>0</v>
      </c>
      <c r="U29">
        <f>Design_Matrix!F26*SQRT(Design_Matrix!M26)</f>
        <v>0</v>
      </c>
      <c r="V29">
        <f>Design_Matrix!G26*SQRT(Design_Matrix!M26)</f>
        <v>8.1240384046359608</v>
      </c>
      <c r="W29">
        <f>Design_Matrix!H26*SQRT(Design_Matrix!M26)</f>
        <v>0</v>
      </c>
      <c r="X29">
        <f>Design_Matrix!I26*SQRT(Design_Matrix!M26)</f>
        <v>0</v>
      </c>
      <c r="Y29">
        <f>Design_Matrix!J26*SQRT(Design_Matrix!M26)</f>
        <v>0</v>
      </c>
      <c r="Z29">
        <f>Design_Matrix!K26*SQRT(Design_Matrix!M26)</f>
        <v>0</v>
      </c>
      <c r="AA29">
        <f>Design_Matrix!N26*SQRT(Design_Matrix!M26)</f>
        <v>1.7232808737106584</v>
      </c>
      <c r="AC29">
        <v>-6.3625488436454763E-5</v>
      </c>
      <c r="AD29">
        <v>9.5653131331080262E-5</v>
      </c>
      <c r="AE29">
        <v>3.3677411424658867E-4</v>
      </c>
      <c r="AF29">
        <v>9.6342299626746666E-5</v>
      </c>
      <c r="AG29">
        <v>-5.5775010518011027E-6</v>
      </c>
      <c r="AH29">
        <v>-2.7332730445459481E-6</v>
      </c>
      <c r="AI29">
        <v>-1.445325724584259E-5</v>
      </c>
      <c r="AJ29">
        <v>-1.4998349709408536E-5</v>
      </c>
      <c r="AK29">
        <v>-2.2627363460042318E-5</v>
      </c>
      <c r="AL29">
        <v>-3.2058649545981723E-5</v>
      </c>
      <c r="AM29">
        <v>5.1083454878923518E-3</v>
      </c>
    </row>
    <row r="30" spans="1:39" x14ac:dyDescent="0.2">
      <c r="A30">
        <f>Design_Matrix!A3</f>
        <v>2</v>
      </c>
      <c r="B30">
        <f>MMULT(Design_Matrix!B3:K3,$M$5:$M$14)</f>
        <v>46.78125</v>
      </c>
      <c r="C30">
        <f>MMULT(Design_Matrix!B3:K3,$O$5:$O$14)</f>
        <v>0.12327950801845403</v>
      </c>
      <c r="D30">
        <f>Design_Matrix!M3*C30</f>
        <v>32.545790116871864</v>
      </c>
      <c r="F30">
        <f>MMULT(Design_Matrix!B3:K3,$AM$27:$AM$36)</f>
        <v>0.14119426833896531</v>
      </c>
      <c r="G30">
        <f>Design_Matrix!M3*F30</f>
        <v>37.275286841486846</v>
      </c>
      <c r="Q30">
        <f>Design_Matrix!B27*SQRT(Design_Matrix!M27)</f>
        <v>13.228756555322953</v>
      </c>
      <c r="R30">
        <f>Design_Matrix!C27*SQRT(Design_Matrix!M27)</f>
        <v>13.228756555322953</v>
      </c>
      <c r="S30">
        <f>Design_Matrix!D27*SQRT(Design_Matrix!M27)</f>
        <v>0</v>
      </c>
      <c r="T30">
        <f>Design_Matrix!E27*SQRT(Design_Matrix!M27)</f>
        <v>0</v>
      </c>
      <c r="U30">
        <f>Design_Matrix!F27*SQRT(Design_Matrix!M27)</f>
        <v>0</v>
      </c>
      <c r="V30">
        <f>Design_Matrix!G27*SQRT(Design_Matrix!M27)</f>
        <v>13.228756555322953</v>
      </c>
      <c r="W30">
        <f>Design_Matrix!H27*SQRT(Design_Matrix!M27)</f>
        <v>0</v>
      </c>
      <c r="X30">
        <f>Design_Matrix!I27*SQRT(Design_Matrix!M27)</f>
        <v>13.228756555322953</v>
      </c>
      <c r="Y30">
        <f>Design_Matrix!J27*SQRT(Design_Matrix!M27)</f>
        <v>0</v>
      </c>
      <c r="Z30">
        <f>Design_Matrix!K27*SQRT(Design_Matrix!M27)</f>
        <v>0</v>
      </c>
      <c r="AA30">
        <f>Design_Matrix!N27*SQRT(Design_Matrix!M27)</f>
        <v>3.4772731516848903</v>
      </c>
      <c r="AC30">
        <v>-7.0554016188894628E-5</v>
      </c>
      <c r="AD30">
        <v>9.549332944920235E-5</v>
      </c>
      <c r="AE30">
        <v>9.6342299626746693E-5</v>
      </c>
      <c r="AF30">
        <v>5.9758994007386667E-4</v>
      </c>
      <c r="AG30">
        <v>-3.5097784565325961E-6</v>
      </c>
      <c r="AH30">
        <v>-5.1771028439601163E-6</v>
      </c>
      <c r="AI30">
        <v>-1.5021871402810374E-5</v>
      </c>
      <c r="AJ30">
        <v>-1.0122912598111991E-5</v>
      </c>
      <c r="AK30">
        <v>-1.9089574774951057E-5</v>
      </c>
      <c r="AL30">
        <v>-2.4143613987397392E-5</v>
      </c>
      <c r="AM30">
        <v>3.4218108673287929E-2</v>
      </c>
    </row>
    <row r="31" spans="1:39" x14ac:dyDescent="0.2">
      <c r="A31">
        <f>Design_Matrix!A4</f>
        <v>3</v>
      </c>
      <c r="B31">
        <f>MMULT(Design_Matrix!B4:K4,$M$5:$M$14)</f>
        <v>49.84375</v>
      </c>
      <c r="C31">
        <f>MMULT(Design_Matrix!B4:K4,$O$5:$O$14)</f>
        <v>0.10169870970808043</v>
      </c>
      <c r="D31">
        <f>Design_Matrix!M4*C31</f>
        <v>25.017882588187785</v>
      </c>
      <c r="F31">
        <f>MMULT(Design_Matrix!B4:K4,$AM$27:$AM$36)</f>
        <v>0.11673883767782489</v>
      </c>
      <c r="G31">
        <f>Design_Matrix!M4*F31</f>
        <v>28.717754068744924</v>
      </c>
      <c r="Q31">
        <f>Design_Matrix!B28*SQRT(Design_Matrix!M28)</f>
        <v>14.866068747318506</v>
      </c>
      <c r="R31">
        <f>Design_Matrix!C28*SQRT(Design_Matrix!M28)</f>
        <v>14.866068747318506</v>
      </c>
      <c r="S31">
        <f>Design_Matrix!D28*SQRT(Design_Matrix!M28)</f>
        <v>0</v>
      </c>
      <c r="T31">
        <f>Design_Matrix!E28*SQRT(Design_Matrix!M28)</f>
        <v>0</v>
      </c>
      <c r="U31">
        <f>Design_Matrix!F28*SQRT(Design_Matrix!M28)</f>
        <v>0</v>
      </c>
      <c r="V31">
        <f>Design_Matrix!G28*SQRT(Design_Matrix!M28)</f>
        <v>14.866068747318506</v>
      </c>
      <c r="W31">
        <f>Design_Matrix!H28*SQRT(Design_Matrix!M28)</f>
        <v>0</v>
      </c>
      <c r="X31">
        <f>Design_Matrix!I28*SQRT(Design_Matrix!M28)</f>
        <v>0</v>
      </c>
      <c r="Y31">
        <f>Design_Matrix!J28*SQRT(Design_Matrix!M28)</f>
        <v>14.866068747318506</v>
      </c>
      <c r="Z31">
        <f>Design_Matrix!K28*SQRT(Design_Matrix!M28)</f>
        <v>0</v>
      </c>
      <c r="AA31">
        <f>Design_Matrix!N28*SQRT(Design_Matrix!M28)</f>
        <v>2.6234238965856189</v>
      </c>
      <c r="AC31">
        <v>-1.79815751393157E-4</v>
      </c>
      <c r="AD31">
        <v>-7.2235377206076267E-6</v>
      </c>
      <c r="AE31">
        <v>-5.5775010518010891E-6</v>
      </c>
      <c r="AF31">
        <v>-3.5097784565326025E-6</v>
      </c>
      <c r="AG31">
        <v>2.902882455121541E-4</v>
      </c>
      <c r="AH31">
        <v>2.0307423673545687E-4</v>
      </c>
      <c r="AI31">
        <v>2.0369560307177296E-4</v>
      </c>
      <c r="AJ31">
        <v>-1.6420648754374883E-5</v>
      </c>
      <c r="AK31">
        <v>-2.7338277300022816E-5</v>
      </c>
      <c r="AL31">
        <v>-2.0176505102561246E-5</v>
      </c>
      <c r="AM31">
        <v>1.9129192255941264E-2</v>
      </c>
    </row>
    <row r="32" spans="1:39" x14ac:dyDescent="0.2">
      <c r="A32">
        <f>Design_Matrix!A5</f>
        <v>4</v>
      </c>
      <c r="B32">
        <f>MMULT(Design_Matrix!B5:K5,$M$5:$M$14)</f>
        <v>150.59375</v>
      </c>
      <c r="C32">
        <f>MMULT(Design_Matrix!B5:K5,$O$5:$O$14)</f>
        <v>7.437577295863218E-2</v>
      </c>
      <c r="D32">
        <f>Design_Matrix!M5*C32</f>
        <v>124.95129857050206</v>
      </c>
      <c r="F32">
        <f>MMULT(Design_Matrix!B5:K5,$AM$27:$AM$36)</f>
        <v>9.0651049037964171E-2</v>
      </c>
      <c r="G32">
        <f>Design_Matrix!M5*F32</f>
        <v>152.29376238377981</v>
      </c>
      <c r="Q32">
        <f>Design_Matrix!B29*SQRT(Design_Matrix!M29)</f>
        <v>33.316662497915367</v>
      </c>
      <c r="R32">
        <f>Design_Matrix!C29*SQRT(Design_Matrix!M29)</f>
        <v>33.316662497915367</v>
      </c>
      <c r="S32">
        <f>Design_Matrix!D29*SQRT(Design_Matrix!M29)</f>
        <v>0</v>
      </c>
      <c r="T32">
        <f>Design_Matrix!E29*SQRT(Design_Matrix!M29)</f>
        <v>0</v>
      </c>
      <c r="U32">
        <f>Design_Matrix!F29*SQRT(Design_Matrix!M29)</f>
        <v>0</v>
      </c>
      <c r="V32">
        <f>Design_Matrix!G29*SQRT(Design_Matrix!M29)</f>
        <v>33.316662497915367</v>
      </c>
      <c r="W32">
        <f>Design_Matrix!H29*SQRT(Design_Matrix!M29)</f>
        <v>0</v>
      </c>
      <c r="X32">
        <f>Design_Matrix!I29*SQRT(Design_Matrix!M29)</f>
        <v>0</v>
      </c>
      <c r="Y32">
        <f>Design_Matrix!J29*SQRT(Design_Matrix!M29)</f>
        <v>0</v>
      </c>
      <c r="Z32">
        <f>Design_Matrix!K29*SQRT(Design_Matrix!M29)</f>
        <v>33.316662497915367</v>
      </c>
      <c r="AA32">
        <f>Design_Matrix!N29*SQRT(Design_Matrix!M29)</f>
        <v>4.2921466100917991</v>
      </c>
      <c r="AC32">
        <v>-1.7986392737519375E-4</v>
      </c>
      <c r="AD32">
        <v>-7.2769039659653521E-6</v>
      </c>
      <c r="AE32">
        <v>-2.733273044545929E-6</v>
      </c>
      <c r="AF32">
        <v>-5.1771028439601188E-6</v>
      </c>
      <c r="AG32">
        <v>2.0307423673545684E-4</v>
      </c>
      <c r="AH32">
        <v>3.8952866644355815E-4</v>
      </c>
      <c r="AI32">
        <v>2.0385894349746585E-4</v>
      </c>
      <c r="AJ32">
        <v>-2.2282260881806647E-5</v>
      </c>
      <c r="AK32">
        <v>-3.220947868556018E-5</v>
      </c>
      <c r="AL32">
        <v>-1.9020589463524722E-5</v>
      </c>
      <c r="AM32">
        <v>5.2270069916282663E-2</v>
      </c>
    </row>
    <row r="33" spans="1:39" x14ac:dyDescent="0.2">
      <c r="A33">
        <f>Design_Matrix!A6</f>
        <v>5</v>
      </c>
      <c r="B33">
        <f>MMULT(Design_Matrix!B6:K6,$M$5:$M$14)</f>
        <v>92.78125</v>
      </c>
      <c r="C33">
        <f>MMULT(Design_Matrix!B6:K6,$O$5:$O$14)</f>
        <v>0.17423390328664723</v>
      </c>
      <c r="D33">
        <f>Design_Matrix!M6*C33</f>
        <v>49.482428533407813</v>
      </c>
      <c r="F33">
        <f>MMULT(Design_Matrix!B6:K6,$AM$27:$AM$36)</f>
        <v>0.19388615456353611</v>
      </c>
      <c r="G33">
        <f>Design_Matrix!M6*F33</f>
        <v>55.063667896044258</v>
      </c>
      <c r="Q33">
        <f>Design_Matrix!B30*SQRT(Design_Matrix!M30)</f>
        <v>3</v>
      </c>
      <c r="R33">
        <f>Design_Matrix!C30*SQRT(Design_Matrix!M30)</f>
        <v>3</v>
      </c>
      <c r="S33">
        <f>Design_Matrix!D30*SQRT(Design_Matrix!M30)</f>
        <v>0</v>
      </c>
      <c r="T33">
        <f>Design_Matrix!E30*SQRT(Design_Matrix!M30)</f>
        <v>0</v>
      </c>
      <c r="U33">
        <f>Design_Matrix!F30*SQRT(Design_Matrix!M30)</f>
        <v>0</v>
      </c>
      <c r="V33">
        <f>Design_Matrix!G30*SQRT(Design_Matrix!M30)</f>
        <v>0</v>
      </c>
      <c r="W33">
        <f>Design_Matrix!H30*SQRT(Design_Matrix!M30)</f>
        <v>3</v>
      </c>
      <c r="X33">
        <f>Design_Matrix!I30*SQRT(Design_Matrix!M30)</f>
        <v>0</v>
      </c>
      <c r="Y33">
        <f>Design_Matrix!J30*SQRT(Design_Matrix!M30)</f>
        <v>0</v>
      </c>
      <c r="Z33">
        <f>Design_Matrix!K30*SQRT(Design_Matrix!M30)</f>
        <v>0</v>
      </c>
      <c r="AA33">
        <f>Design_Matrix!N30*SQRT(Design_Matrix!M30)</f>
        <v>1.3333333333333333</v>
      </c>
      <c r="AC33">
        <v>-1.6226163666703905E-4</v>
      </c>
      <c r="AD33">
        <v>-9.845284287984956E-6</v>
      </c>
      <c r="AE33">
        <v>-1.4453257245842577E-5</v>
      </c>
      <c r="AF33">
        <v>-1.5021871402810384E-5</v>
      </c>
      <c r="AG33">
        <v>2.0369560307177299E-4</v>
      </c>
      <c r="AH33">
        <v>2.0385894349746585E-4</v>
      </c>
      <c r="AI33">
        <v>8.3853059428696175E-4</v>
      </c>
      <c r="AJ33">
        <v>-3.5654935164574259E-5</v>
      </c>
      <c r="AK33">
        <v>-4.9832409284642378E-5</v>
      </c>
      <c r="AL33">
        <v>-3.4046597222118424E-5</v>
      </c>
      <c r="AM33">
        <v>8.1776295135378166E-2</v>
      </c>
    </row>
    <row r="34" spans="1:39" x14ac:dyDescent="0.2">
      <c r="A34">
        <f>Design_Matrix!A7</f>
        <v>6</v>
      </c>
      <c r="B34">
        <f>MMULT(Design_Matrix!B7:K7,$M$5:$M$14)</f>
        <v>103.71875</v>
      </c>
      <c r="C34">
        <f>MMULT(Design_Matrix!B7:K7,$O$5:$O$14)</f>
        <v>0.14565319065558471</v>
      </c>
      <c r="D34">
        <f>Design_Matrix!M7*C34</f>
        <v>78.070110191393411</v>
      </c>
      <c r="F34">
        <f>MMULT(Design_Matrix!B7:K7,$AM$27:$AM$36)</f>
        <v>0.16032346059490657</v>
      </c>
      <c r="G34">
        <f>Design_Matrix!M7*F34</f>
        <v>85.933374878869927</v>
      </c>
      <c r="Q34">
        <f>Design_Matrix!B31*SQRT(Design_Matrix!M31)</f>
        <v>6.9282032302755088</v>
      </c>
      <c r="R34">
        <f>Design_Matrix!C31*SQRT(Design_Matrix!M31)</f>
        <v>6.9282032302755088</v>
      </c>
      <c r="S34">
        <f>Design_Matrix!D31*SQRT(Design_Matrix!M31)</f>
        <v>0</v>
      </c>
      <c r="T34">
        <f>Design_Matrix!E31*SQRT(Design_Matrix!M31)</f>
        <v>0</v>
      </c>
      <c r="U34">
        <f>Design_Matrix!F31*SQRT(Design_Matrix!M31)</f>
        <v>0</v>
      </c>
      <c r="V34">
        <f>Design_Matrix!G31*SQRT(Design_Matrix!M31)</f>
        <v>0</v>
      </c>
      <c r="W34">
        <f>Design_Matrix!H31*SQRT(Design_Matrix!M31)</f>
        <v>6.9282032302755088</v>
      </c>
      <c r="X34">
        <f>Design_Matrix!I31*SQRT(Design_Matrix!M31)</f>
        <v>6.9282032302755088</v>
      </c>
      <c r="Y34">
        <f>Design_Matrix!J31*SQRT(Design_Matrix!M31)</f>
        <v>0</v>
      </c>
      <c r="Z34">
        <f>Design_Matrix!K31*SQRT(Design_Matrix!M31)</f>
        <v>0</v>
      </c>
      <c r="AA34">
        <f>Design_Matrix!N31*SQRT(Design_Matrix!M31)</f>
        <v>2.1650635094610964</v>
      </c>
      <c r="AC34">
        <v>-8.607705185086289E-4</v>
      </c>
      <c r="AD34">
        <v>-8.2098191718279103E-6</v>
      </c>
      <c r="AE34">
        <v>-1.4998349709408443E-5</v>
      </c>
      <c r="AF34">
        <v>-1.0122912598112008E-5</v>
      </c>
      <c r="AG34">
        <v>-1.6420648754374944E-5</v>
      </c>
      <c r="AH34">
        <v>-2.2282260881806691E-5</v>
      </c>
      <c r="AI34">
        <v>-3.5654935164574326E-5</v>
      </c>
      <c r="AJ34">
        <v>1.3097516004340946E-3</v>
      </c>
      <c r="AK34">
        <v>8.8301240755208504E-4</v>
      </c>
      <c r="AL34">
        <v>8.8241666144456548E-4</v>
      </c>
      <c r="AM34">
        <v>-3.3562693968629542E-2</v>
      </c>
    </row>
    <row r="35" spans="1:39" x14ac:dyDescent="0.2">
      <c r="A35">
        <f>Design_Matrix!A8</f>
        <v>7</v>
      </c>
      <c r="B35">
        <f>MMULT(Design_Matrix!B8:K8,$M$5:$M$14)</f>
        <v>106.78125</v>
      </c>
      <c r="C35">
        <f>MMULT(Design_Matrix!B8:K8,$O$5:$O$14)</f>
        <v>0.12407239234521111</v>
      </c>
      <c r="D35">
        <f>Design_Matrix!M8*C35</f>
        <v>86.354385072266936</v>
      </c>
      <c r="F35">
        <f>MMULT(Design_Matrix!B8:K8,$AM$27:$AM$36)</f>
        <v>0.13586802993376615</v>
      </c>
      <c r="G35">
        <f>Design_Matrix!M8*F35</f>
        <v>94.564148833901243</v>
      </c>
      <c r="Q35">
        <f>Design_Matrix!B32*SQRT(Design_Matrix!M32)</f>
        <v>8.4852813742385695</v>
      </c>
      <c r="R35">
        <f>Design_Matrix!C32*SQRT(Design_Matrix!M32)</f>
        <v>8.4852813742385695</v>
      </c>
      <c r="S35">
        <f>Design_Matrix!D32*SQRT(Design_Matrix!M32)</f>
        <v>0</v>
      </c>
      <c r="T35">
        <f>Design_Matrix!E32*SQRT(Design_Matrix!M32)</f>
        <v>0</v>
      </c>
      <c r="U35">
        <f>Design_Matrix!F32*SQRT(Design_Matrix!M32)</f>
        <v>0</v>
      </c>
      <c r="V35">
        <f>Design_Matrix!G32*SQRT(Design_Matrix!M32)</f>
        <v>0</v>
      </c>
      <c r="W35">
        <f>Design_Matrix!H32*SQRT(Design_Matrix!M32)</f>
        <v>8.4852813742385695</v>
      </c>
      <c r="X35">
        <f>Design_Matrix!I32*SQRT(Design_Matrix!M32)</f>
        <v>0</v>
      </c>
      <c r="Y35">
        <f>Design_Matrix!J32*SQRT(Design_Matrix!M32)</f>
        <v>8.4852813742385695</v>
      </c>
      <c r="Z35">
        <f>Design_Matrix!K32*SQRT(Design_Matrix!M32)</f>
        <v>0</v>
      </c>
      <c r="AA35">
        <f>Design_Matrix!N32*SQRT(Design_Matrix!M32)</f>
        <v>1.4142135623730949</v>
      </c>
      <c r="AC35">
        <v>-8.511725147581779E-4</v>
      </c>
      <c r="AD35">
        <v>-1.0548237032631739E-5</v>
      </c>
      <c r="AE35">
        <v>-2.2627363460042223E-5</v>
      </c>
      <c r="AF35">
        <v>-1.9089574774951063E-5</v>
      </c>
      <c r="AG35">
        <v>-2.7338277300022904E-5</v>
      </c>
      <c r="AH35">
        <v>-3.2209478685560248E-5</v>
      </c>
      <c r="AI35">
        <v>-4.9832409284642453E-5</v>
      </c>
      <c r="AJ35">
        <v>8.8301240755208504E-4</v>
      </c>
      <c r="AK35">
        <v>1.2176690537998116E-3</v>
      </c>
      <c r="AL35">
        <v>8.8433760798246181E-4</v>
      </c>
      <c r="AM35">
        <v>-5.8018124629769963E-2</v>
      </c>
    </row>
    <row r="36" spans="1:39" x14ac:dyDescent="0.2">
      <c r="A36">
        <f>Design_Matrix!A9</f>
        <v>8</v>
      </c>
      <c r="B36">
        <f>MMULT(Design_Matrix!B9:K9,$M$5:$M$14)</f>
        <v>207.53125</v>
      </c>
      <c r="C36">
        <f>MMULT(Design_Matrix!B9:K9,$O$5:$O$14)</f>
        <v>9.6749455595762868E-2</v>
      </c>
      <c r="D36">
        <f>Design_Matrix!M9*C36</f>
        <v>346.55654994402261</v>
      </c>
      <c r="F36">
        <f>MMULT(Design_Matrix!B9:K9,$AM$27:$AM$36)</f>
        <v>0.10978024129390543</v>
      </c>
      <c r="G36">
        <f>Design_Matrix!M9*F36</f>
        <v>393.23282431476923</v>
      </c>
      <c r="Q36">
        <f>Design_Matrix!B33*SQRT(Design_Matrix!M33)</f>
        <v>17.944358444926362</v>
      </c>
      <c r="R36">
        <f>Design_Matrix!C33*SQRT(Design_Matrix!M33)</f>
        <v>17.944358444926362</v>
      </c>
      <c r="S36">
        <f>Design_Matrix!D33*SQRT(Design_Matrix!M33)</f>
        <v>0</v>
      </c>
      <c r="T36">
        <f>Design_Matrix!E33*SQRT(Design_Matrix!M33)</f>
        <v>0</v>
      </c>
      <c r="U36">
        <f>Design_Matrix!F33*SQRT(Design_Matrix!M33)</f>
        <v>0</v>
      </c>
      <c r="V36">
        <f>Design_Matrix!G33*SQRT(Design_Matrix!M33)</f>
        <v>0</v>
      </c>
      <c r="W36">
        <f>Design_Matrix!H33*SQRT(Design_Matrix!M33)</f>
        <v>17.944358444926362</v>
      </c>
      <c r="X36">
        <f>Design_Matrix!I33*SQRT(Design_Matrix!M33)</f>
        <v>0</v>
      </c>
      <c r="Y36">
        <f>Design_Matrix!J33*SQRT(Design_Matrix!M33)</f>
        <v>0</v>
      </c>
      <c r="Z36">
        <f>Design_Matrix!K33*SQRT(Design_Matrix!M33)</f>
        <v>17.944358444926362</v>
      </c>
      <c r="AA36">
        <f>Design_Matrix!N33*SQRT(Design_Matrix!M33)</f>
        <v>2.95357452664937</v>
      </c>
      <c r="AC36">
        <v>-8.5577869443821555E-4</v>
      </c>
      <c r="AD36">
        <v>-1.3240476851015809E-5</v>
      </c>
      <c r="AE36">
        <v>-3.2058649545981628E-5</v>
      </c>
      <c r="AF36">
        <v>-2.4143613987397395E-5</v>
      </c>
      <c r="AG36">
        <v>-2.017650510256131E-5</v>
      </c>
      <c r="AH36">
        <v>-1.9020589463524769E-5</v>
      </c>
      <c r="AI36">
        <v>-3.4046597222118485E-5</v>
      </c>
      <c r="AJ36">
        <v>8.8241666144456548E-4</v>
      </c>
      <c r="AK36">
        <v>8.8433760798246181E-4</v>
      </c>
      <c r="AL36">
        <v>9.4363130032627124E-4</v>
      </c>
      <c r="AM36">
        <v>-8.4105913269630683E-2</v>
      </c>
    </row>
    <row r="37" spans="1:39" x14ac:dyDescent="0.2">
      <c r="A37">
        <f>Design_Matrix!A10</f>
        <v>9</v>
      </c>
      <c r="B37">
        <f>MMULT(Design_Matrix!B10:K10,$M$5:$M$14)</f>
        <v>56.09375</v>
      </c>
      <c r="C37">
        <f>MMULT(Design_Matrix!B10:K10,$O$5:$O$14)</f>
        <v>0.22332141272379447</v>
      </c>
      <c r="D37">
        <f>Design_Matrix!M10*C37</f>
        <v>29.701747892264663</v>
      </c>
      <c r="F37">
        <f>MMULT(Design_Matrix!B10:K10,$AM$27:$AM$36)</f>
        <v>0.22702703222387752</v>
      </c>
      <c r="G37">
        <f>Design_Matrix!M10*F37</f>
        <v>30.194595285775709</v>
      </c>
      <c r="Q37">
        <f>Design_Matrix!B34*SQRT(Design_Matrix!M34)</f>
        <v>5.9160797830996161</v>
      </c>
      <c r="R37">
        <f>Design_Matrix!C34*SQRT(Design_Matrix!M34)</f>
        <v>0</v>
      </c>
      <c r="S37">
        <f>Design_Matrix!D34*SQRT(Design_Matrix!M34)</f>
        <v>5.9160797830996161</v>
      </c>
      <c r="T37">
        <f>Design_Matrix!E34*SQRT(Design_Matrix!M34)</f>
        <v>0</v>
      </c>
      <c r="U37">
        <f>Design_Matrix!F34*SQRT(Design_Matrix!M34)</f>
        <v>0</v>
      </c>
      <c r="V37">
        <f>Design_Matrix!G34*SQRT(Design_Matrix!M34)</f>
        <v>0</v>
      </c>
      <c r="W37">
        <f>Design_Matrix!H34*SQRT(Design_Matrix!M34)</f>
        <v>0</v>
      </c>
      <c r="X37">
        <f>Design_Matrix!I34*SQRT(Design_Matrix!M34)</f>
        <v>0</v>
      </c>
      <c r="Y37">
        <f>Design_Matrix!J34*SQRT(Design_Matrix!M34)</f>
        <v>0</v>
      </c>
      <c r="Z37">
        <f>Design_Matrix!K34*SQRT(Design_Matrix!M34)</f>
        <v>0</v>
      </c>
      <c r="AA37">
        <f>Design_Matrix!N34*SQRT(Design_Matrix!M34)</f>
        <v>0.84515425472851657</v>
      </c>
    </row>
    <row r="38" spans="1:39" x14ac:dyDescent="0.2">
      <c r="A38">
        <f>Design_Matrix!A11</f>
        <v>10</v>
      </c>
      <c r="B38">
        <f>MMULT(Design_Matrix!B11:K11,$M$5:$M$14)</f>
        <v>67.03125</v>
      </c>
      <c r="C38">
        <f>MMULT(Design_Matrix!B11:K11,$O$5:$O$14)</f>
        <v>0.19474070009273195</v>
      </c>
      <c r="D38">
        <f>Design_Matrix!M11*C38</f>
        <v>55.695840226521341</v>
      </c>
      <c r="F38">
        <f>MMULT(Design_Matrix!B11:K11,$AM$27:$AM$36)</f>
        <v>0.19346433825524798</v>
      </c>
      <c r="G38">
        <f>Design_Matrix!M11*F38</f>
        <v>55.330800741000921</v>
      </c>
      <c r="Q38">
        <f>Design_Matrix!B35*SQRT(Design_Matrix!M35)</f>
        <v>8.5440037453175304</v>
      </c>
      <c r="R38">
        <f>Design_Matrix!C35*SQRT(Design_Matrix!M35)</f>
        <v>0</v>
      </c>
      <c r="S38">
        <f>Design_Matrix!D35*SQRT(Design_Matrix!M35)</f>
        <v>8.5440037453175304</v>
      </c>
      <c r="T38">
        <f>Design_Matrix!E35*SQRT(Design_Matrix!M35)</f>
        <v>0</v>
      </c>
      <c r="U38">
        <f>Design_Matrix!F35*SQRT(Design_Matrix!M35)</f>
        <v>0</v>
      </c>
      <c r="V38">
        <f>Design_Matrix!G35*SQRT(Design_Matrix!M35)</f>
        <v>0</v>
      </c>
      <c r="W38">
        <f>Design_Matrix!H35*SQRT(Design_Matrix!M35)</f>
        <v>0</v>
      </c>
      <c r="X38">
        <f>Design_Matrix!I35*SQRT(Design_Matrix!M35)</f>
        <v>8.5440037453175304</v>
      </c>
      <c r="Y38">
        <f>Design_Matrix!J35*SQRT(Design_Matrix!M35)</f>
        <v>0</v>
      </c>
      <c r="Z38">
        <f>Design_Matrix!K35*SQRT(Design_Matrix!M35)</f>
        <v>0</v>
      </c>
      <c r="AA38">
        <f>Design_Matrix!N35*SQRT(Design_Matrix!M35)</f>
        <v>1.287452619157436</v>
      </c>
    </row>
    <row r="39" spans="1:39" x14ac:dyDescent="0.2">
      <c r="A39">
        <f>Design_Matrix!A12</f>
        <v>11</v>
      </c>
      <c r="B39">
        <f>MMULT(Design_Matrix!B12:K12,$M$5:$M$14)</f>
        <v>70.09375</v>
      </c>
      <c r="C39">
        <f>MMULT(Design_Matrix!B12:K12,$O$5:$O$14)</f>
        <v>0.17315990178235835</v>
      </c>
      <c r="D39">
        <f>Design_Matrix!M12*C39</f>
        <v>61.471765132737211</v>
      </c>
      <c r="F39">
        <f>MMULT(Design_Matrix!B12:K12,$AM$27:$AM$36)</f>
        <v>0.16900890759410755</v>
      </c>
      <c r="G39">
        <f>Design_Matrix!M12*F39</f>
        <v>59.998162195908179</v>
      </c>
      <c r="Q39">
        <f>Design_Matrix!B36*SQRT(Design_Matrix!M36)</f>
        <v>9.4339811320566032</v>
      </c>
      <c r="R39">
        <f>Design_Matrix!C36*SQRT(Design_Matrix!M36)</f>
        <v>0</v>
      </c>
      <c r="S39">
        <f>Design_Matrix!D36*SQRT(Design_Matrix!M36)</f>
        <v>9.4339811320566032</v>
      </c>
      <c r="T39">
        <f>Design_Matrix!E36*SQRT(Design_Matrix!M36)</f>
        <v>0</v>
      </c>
      <c r="U39">
        <f>Design_Matrix!F36*SQRT(Design_Matrix!M36)</f>
        <v>0</v>
      </c>
      <c r="V39">
        <f>Design_Matrix!G36*SQRT(Design_Matrix!M36)</f>
        <v>0</v>
      </c>
      <c r="W39">
        <f>Design_Matrix!H36*SQRT(Design_Matrix!M36)</f>
        <v>0</v>
      </c>
      <c r="X39">
        <f>Design_Matrix!I36*SQRT(Design_Matrix!M36)</f>
        <v>0</v>
      </c>
      <c r="Y39">
        <f>Design_Matrix!J36*SQRT(Design_Matrix!M36)</f>
        <v>9.4339811320566032</v>
      </c>
      <c r="Z39">
        <f>Design_Matrix!K36*SQRT(Design_Matrix!M36)</f>
        <v>0</v>
      </c>
      <c r="AA39">
        <f>Design_Matrix!N36*SQRT(Design_Matrix!M36)</f>
        <v>1.0599978800063599</v>
      </c>
    </row>
    <row r="40" spans="1:39" x14ac:dyDescent="0.2">
      <c r="A40">
        <f>Design_Matrix!A13</f>
        <v>12</v>
      </c>
      <c r="B40">
        <f>MMULT(Design_Matrix!B13:K13,$M$5:$M$14)</f>
        <v>170.84375</v>
      </c>
      <c r="C40">
        <f>MMULT(Design_Matrix!B13:K13,$O$5:$O$14)</f>
        <v>0.1458369650329101</v>
      </c>
      <c r="D40">
        <f>Design_Matrix!M13*C40</f>
        <v>239.17262265397258</v>
      </c>
      <c r="F40">
        <f>MMULT(Design_Matrix!B13:K13,$AM$27:$AM$36)</f>
        <v>0.14292111895424683</v>
      </c>
      <c r="G40">
        <f>Design_Matrix!M13*F40</f>
        <v>234.3906350849648</v>
      </c>
      <c r="Q40">
        <f>Design_Matrix!B37*SQRT(Design_Matrix!M37)</f>
        <v>25.45584412271571</v>
      </c>
      <c r="R40">
        <f>Design_Matrix!C37*SQRT(Design_Matrix!M37)</f>
        <v>0</v>
      </c>
      <c r="S40">
        <f>Design_Matrix!D37*SQRT(Design_Matrix!M37)</f>
        <v>25.45584412271571</v>
      </c>
      <c r="T40">
        <f>Design_Matrix!E37*SQRT(Design_Matrix!M37)</f>
        <v>0</v>
      </c>
      <c r="U40">
        <f>Design_Matrix!F37*SQRT(Design_Matrix!M37)</f>
        <v>0</v>
      </c>
      <c r="V40">
        <f>Design_Matrix!G37*SQRT(Design_Matrix!M37)</f>
        <v>0</v>
      </c>
      <c r="W40">
        <f>Design_Matrix!H37*SQRT(Design_Matrix!M37)</f>
        <v>0</v>
      </c>
      <c r="X40">
        <f>Design_Matrix!I37*SQRT(Design_Matrix!M37)</f>
        <v>0</v>
      </c>
      <c r="Y40">
        <f>Design_Matrix!J37*SQRT(Design_Matrix!M37)</f>
        <v>0</v>
      </c>
      <c r="Z40">
        <f>Design_Matrix!K37*SQRT(Design_Matrix!M37)</f>
        <v>25.45584412271571</v>
      </c>
      <c r="AA40">
        <f>Design_Matrix!N37*SQRT(Design_Matrix!M37)</f>
        <v>2.6320085744165937</v>
      </c>
    </row>
    <row r="41" spans="1:39" x14ac:dyDescent="0.2">
      <c r="A41">
        <f>Design_Matrix!A14</f>
        <v>13</v>
      </c>
      <c r="B41">
        <f>MMULT(Design_Matrix!B14:K14,$M$5:$M$14)</f>
        <v>20.84375</v>
      </c>
      <c r="C41">
        <f>MMULT(Design_Matrix!B14:K14,$O$5:$O$14)</f>
        <v>0.25065556139927719</v>
      </c>
      <c r="D41">
        <f>Design_Matrix!M14*C41</f>
        <v>6.0157334735826531</v>
      </c>
      <c r="F41">
        <f>MMULT(Design_Matrix!B14:K14,$AM$27:$AM$36)</f>
        <v>0.25653325744297301</v>
      </c>
      <c r="G41">
        <f>Design_Matrix!M14*F41</f>
        <v>6.1567981786313517</v>
      </c>
      <c r="Q41">
        <f>Design_Matrix!B38*SQRT(Design_Matrix!M38)</f>
        <v>7.2801098892805181</v>
      </c>
      <c r="R41">
        <f>Design_Matrix!C38*SQRT(Design_Matrix!M38)</f>
        <v>0</v>
      </c>
      <c r="S41">
        <f>Design_Matrix!D38*SQRT(Design_Matrix!M38)</f>
        <v>7.2801098892805181</v>
      </c>
      <c r="T41">
        <f>Design_Matrix!E38*SQRT(Design_Matrix!M38)</f>
        <v>0</v>
      </c>
      <c r="U41">
        <f>Design_Matrix!F38*SQRT(Design_Matrix!M38)</f>
        <v>7.2801098892805181</v>
      </c>
      <c r="V41">
        <f>Design_Matrix!G38*SQRT(Design_Matrix!M38)</f>
        <v>0</v>
      </c>
      <c r="W41">
        <f>Design_Matrix!H38*SQRT(Design_Matrix!M38)</f>
        <v>0</v>
      </c>
      <c r="X41">
        <f>Design_Matrix!I38*SQRT(Design_Matrix!M38)</f>
        <v>0</v>
      </c>
      <c r="Y41">
        <f>Design_Matrix!J38*SQRT(Design_Matrix!M38)</f>
        <v>0</v>
      </c>
      <c r="Z41">
        <f>Design_Matrix!K38*SQRT(Design_Matrix!M38)</f>
        <v>0</v>
      </c>
      <c r="AA41">
        <f>Design_Matrix!N38*SQRT(Design_Matrix!M38)</f>
        <v>1.3736056394868903</v>
      </c>
    </row>
    <row r="42" spans="1:39" x14ac:dyDescent="0.2">
      <c r="A42">
        <f>Design_Matrix!A15</f>
        <v>14</v>
      </c>
      <c r="B42">
        <f>MMULT(Design_Matrix!B15:K15,$M$5:$M$14)</f>
        <v>31.78125</v>
      </c>
      <c r="C42">
        <f>MMULT(Design_Matrix!B15:K15,$O$5:$O$14)</f>
        <v>0.22207484876821468</v>
      </c>
      <c r="D42">
        <f>Design_Matrix!M15*C42</f>
        <v>15.767314262543243</v>
      </c>
      <c r="F42">
        <f>MMULT(Design_Matrix!B15:K15,$AM$27:$AM$36)</f>
        <v>0.22297056347434346</v>
      </c>
      <c r="G42">
        <f>Design_Matrix!M15*F42</f>
        <v>15.830910006678385</v>
      </c>
      <c r="Q42">
        <f>Design_Matrix!B39*SQRT(Design_Matrix!M39)</f>
        <v>12.449899597988733</v>
      </c>
      <c r="R42">
        <f>Design_Matrix!C39*SQRT(Design_Matrix!M39)</f>
        <v>0</v>
      </c>
      <c r="S42">
        <f>Design_Matrix!D39*SQRT(Design_Matrix!M39)</f>
        <v>12.449899597988733</v>
      </c>
      <c r="T42">
        <f>Design_Matrix!E39*SQRT(Design_Matrix!M39)</f>
        <v>0</v>
      </c>
      <c r="U42">
        <f>Design_Matrix!F39*SQRT(Design_Matrix!M39)</f>
        <v>12.449899597988733</v>
      </c>
      <c r="V42">
        <f>Design_Matrix!G39*SQRT(Design_Matrix!M39)</f>
        <v>0</v>
      </c>
      <c r="W42">
        <f>Design_Matrix!H39*SQRT(Design_Matrix!M39)</f>
        <v>0</v>
      </c>
      <c r="X42">
        <f>Design_Matrix!I39*SQRT(Design_Matrix!M39)</f>
        <v>12.449899597988733</v>
      </c>
      <c r="Y42">
        <f>Design_Matrix!J39*SQRT(Design_Matrix!M39)</f>
        <v>0</v>
      </c>
      <c r="Z42">
        <f>Design_Matrix!K39*SQRT(Design_Matrix!M39)</f>
        <v>0</v>
      </c>
      <c r="AA42">
        <f>Design_Matrix!N39*SQRT(Design_Matrix!M39)</f>
        <v>1.9277263893659975</v>
      </c>
    </row>
    <row r="43" spans="1:39" x14ac:dyDescent="0.2">
      <c r="A43">
        <f>Design_Matrix!A16</f>
        <v>15</v>
      </c>
      <c r="B43">
        <f>MMULT(Design_Matrix!B16:K16,$M$5:$M$14)</f>
        <v>34.84375</v>
      </c>
      <c r="C43">
        <f>MMULT(Design_Matrix!B16:K16,$O$5:$O$14)</f>
        <v>0.20049405045784108</v>
      </c>
      <c r="D43">
        <f>Design_Matrix!M16*C43</f>
        <v>19.848910995326268</v>
      </c>
      <c r="F43">
        <f>MMULT(Design_Matrix!B16:K16,$AM$27:$AM$36)</f>
        <v>0.19851513281320304</v>
      </c>
      <c r="G43">
        <f>Design_Matrix!M16*F43</f>
        <v>19.652998148507102</v>
      </c>
      <c r="Q43">
        <f>Design_Matrix!B40*SQRT(Design_Matrix!M40)</f>
        <v>15.491933384829668</v>
      </c>
      <c r="R43">
        <f>Design_Matrix!C40*SQRT(Design_Matrix!M40)</f>
        <v>0</v>
      </c>
      <c r="S43">
        <f>Design_Matrix!D40*SQRT(Design_Matrix!M40)</f>
        <v>15.491933384829668</v>
      </c>
      <c r="T43">
        <f>Design_Matrix!E40*SQRT(Design_Matrix!M40)</f>
        <v>0</v>
      </c>
      <c r="U43">
        <f>Design_Matrix!F40*SQRT(Design_Matrix!M40)</f>
        <v>15.491933384829668</v>
      </c>
      <c r="V43">
        <f>Design_Matrix!G40*SQRT(Design_Matrix!M40)</f>
        <v>0</v>
      </c>
      <c r="W43">
        <f>Design_Matrix!H40*SQRT(Design_Matrix!M40)</f>
        <v>0</v>
      </c>
      <c r="X43">
        <f>Design_Matrix!I40*SQRT(Design_Matrix!M40)</f>
        <v>0</v>
      </c>
      <c r="Y43">
        <f>Design_Matrix!J40*SQRT(Design_Matrix!M40)</f>
        <v>15.491933384829668</v>
      </c>
      <c r="Z43">
        <f>Design_Matrix!K40*SQRT(Design_Matrix!M40)</f>
        <v>0</v>
      </c>
      <c r="AA43">
        <f>Design_Matrix!N40*SQRT(Design_Matrix!M40)</f>
        <v>2.3883397301612406</v>
      </c>
    </row>
    <row r="44" spans="1:39" x14ac:dyDescent="0.2">
      <c r="A44">
        <f>Design_Matrix!A17</f>
        <v>16</v>
      </c>
      <c r="B44">
        <f>MMULT(Design_Matrix!B17:K17,$M$5:$M$14)</f>
        <v>135.59375</v>
      </c>
      <c r="C44">
        <f>MMULT(Design_Matrix!B17:K17,$O$5:$O$14)</f>
        <v>0.17317111370839283</v>
      </c>
      <c r="D44">
        <f>Design_Matrix!M17*C44</f>
        <v>78.273343396193553</v>
      </c>
      <c r="F44">
        <f>MMULT(Design_Matrix!B17:K17,$AM$27:$AM$36)</f>
        <v>0.17242734417334232</v>
      </c>
      <c r="G44">
        <f>Design_Matrix!M17*F44</f>
        <v>77.937159566350729</v>
      </c>
      <c r="Q44">
        <f>Design_Matrix!B41*SQRT(Design_Matrix!M41)</f>
        <v>40.435133238311458</v>
      </c>
      <c r="R44">
        <f>Design_Matrix!C41*SQRT(Design_Matrix!M41)</f>
        <v>0</v>
      </c>
      <c r="S44">
        <f>Design_Matrix!D41*SQRT(Design_Matrix!M41)</f>
        <v>40.435133238311458</v>
      </c>
      <c r="T44">
        <f>Design_Matrix!E41*SQRT(Design_Matrix!M41)</f>
        <v>0</v>
      </c>
      <c r="U44">
        <f>Design_Matrix!F41*SQRT(Design_Matrix!M41)</f>
        <v>40.435133238311458</v>
      </c>
      <c r="V44">
        <f>Design_Matrix!G41*SQRT(Design_Matrix!M41)</f>
        <v>0</v>
      </c>
      <c r="W44">
        <f>Design_Matrix!H41*SQRT(Design_Matrix!M41)</f>
        <v>0</v>
      </c>
      <c r="X44">
        <f>Design_Matrix!I41*SQRT(Design_Matrix!M41)</f>
        <v>0</v>
      </c>
      <c r="Y44">
        <f>Design_Matrix!J41*SQRT(Design_Matrix!M41)</f>
        <v>0</v>
      </c>
      <c r="Z44">
        <f>Design_Matrix!K41*SQRT(Design_Matrix!M41)</f>
        <v>40.435133238311458</v>
      </c>
      <c r="AA44">
        <f>Design_Matrix!N41*SQRT(Design_Matrix!M41)</f>
        <v>4.6246910798558059</v>
      </c>
    </row>
    <row r="45" spans="1:39" x14ac:dyDescent="0.2">
      <c r="A45">
        <f>Design_Matrix!A18</f>
        <v>17</v>
      </c>
      <c r="B45">
        <f>MMULT(Design_Matrix!B18:K18,$M$5:$M$14)</f>
        <v>5.21875</v>
      </c>
      <c r="C45">
        <f>MMULT(Design_Matrix!B18:K18,$O$5:$O$14)</f>
        <v>0.18274403587989743</v>
      </c>
      <c r="D45">
        <f>Design_Matrix!M18*C45</f>
        <v>15.533243049791281</v>
      </c>
      <c r="F45">
        <f>MMULT(Design_Matrix!B18:K18,$AM$27:$AM$36)</f>
        <v>0.17816058696602535</v>
      </c>
      <c r="G45">
        <f>Design_Matrix!M18*F45</f>
        <v>15.143649892112155</v>
      </c>
      <c r="Q45">
        <f>Design_Matrix!B42*SQRT(Design_Matrix!M42)</f>
        <v>4.8989794855663558</v>
      </c>
      <c r="R45">
        <f>Design_Matrix!C42*SQRT(Design_Matrix!M42)</f>
        <v>0</v>
      </c>
      <c r="S45">
        <f>Design_Matrix!D42*SQRT(Design_Matrix!M42)</f>
        <v>4.8989794855663558</v>
      </c>
      <c r="T45">
        <f>Design_Matrix!E42*SQRT(Design_Matrix!M42)</f>
        <v>0</v>
      </c>
      <c r="U45">
        <f>Design_Matrix!F42*SQRT(Design_Matrix!M42)</f>
        <v>0</v>
      </c>
      <c r="V45">
        <f>Design_Matrix!G42*SQRT(Design_Matrix!M42)</f>
        <v>4.8989794855663558</v>
      </c>
      <c r="W45">
        <f>Design_Matrix!H42*SQRT(Design_Matrix!M42)</f>
        <v>0</v>
      </c>
      <c r="X45">
        <f>Design_Matrix!I42*SQRT(Design_Matrix!M42)</f>
        <v>0</v>
      </c>
      <c r="Y45">
        <f>Design_Matrix!J42*SQRT(Design_Matrix!M42)</f>
        <v>0</v>
      </c>
      <c r="Z45">
        <f>Design_Matrix!K42*SQRT(Design_Matrix!M42)</f>
        <v>0</v>
      </c>
      <c r="AA45">
        <f>Design_Matrix!N42*SQRT(Design_Matrix!M42)</f>
        <v>1.6329931618554518</v>
      </c>
    </row>
    <row r="46" spans="1:39" x14ac:dyDescent="0.2">
      <c r="A46">
        <f>Design_Matrix!A19</f>
        <v>18</v>
      </c>
      <c r="B46">
        <f>MMULT(Design_Matrix!B19:K19,$M$5:$M$14)</f>
        <v>16.15625</v>
      </c>
      <c r="C46">
        <f>MMULT(Design_Matrix!B19:K19,$O$5:$O$14)</f>
        <v>0.15416332324883492</v>
      </c>
      <c r="D46">
        <f>Design_Matrix!M19*C46</f>
        <v>21.428701931588055</v>
      </c>
      <c r="F46">
        <f>MMULT(Design_Matrix!B19:K19,$AM$27:$AM$36)</f>
        <v>0.14459789299739581</v>
      </c>
      <c r="G46">
        <f>Design_Matrix!M19*F46</f>
        <v>20.099107126638017</v>
      </c>
      <c r="Q46">
        <f>Design_Matrix!B43*SQRT(Design_Matrix!M43)</f>
        <v>8.8317608663278477</v>
      </c>
      <c r="R46">
        <f>Design_Matrix!C43*SQRT(Design_Matrix!M43)</f>
        <v>0</v>
      </c>
      <c r="S46">
        <f>Design_Matrix!D43*SQRT(Design_Matrix!M43)</f>
        <v>8.8317608663278477</v>
      </c>
      <c r="T46">
        <f>Design_Matrix!E43*SQRT(Design_Matrix!M43)</f>
        <v>0</v>
      </c>
      <c r="U46">
        <f>Design_Matrix!F43*SQRT(Design_Matrix!M43)</f>
        <v>0</v>
      </c>
      <c r="V46">
        <f>Design_Matrix!G43*SQRT(Design_Matrix!M43)</f>
        <v>8.8317608663278477</v>
      </c>
      <c r="W46">
        <f>Design_Matrix!H43*SQRT(Design_Matrix!M43)</f>
        <v>0</v>
      </c>
      <c r="X46">
        <f>Design_Matrix!I43*SQRT(Design_Matrix!M43)</f>
        <v>8.8317608663278477</v>
      </c>
      <c r="Y46">
        <f>Design_Matrix!J43*SQRT(Design_Matrix!M43)</f>
        <v>0</v>
      </c>
      <c r="Z46">
        <f>Design_Matrix!K43*SQRT(Design_Matrix!M43)</f>
        <v>0</v>
      </c>
      <c r="AA46">
        <f>Design_Matrix!N43*SQRT(Design_Matrix!M43)</f>
        <v>2.1513263648747323</v>
      </c>
    </row>
    <row r="47" spans="1:39" x14ac:dyDescent="0.2">
      <c r="A47">
        <f>Design_Matrix!A20</f>
        <v>19</v>
      </c>
      <c r="B47">
        <f>MMULT(Design_Matrix!B20:K20,$M$5:$M$14)</f>
        <v>19.21875</v>
      </c>
      <c r="C47">
        <f>MMULT(Design_Matrix!B20:K20,$O$5:$O$14)</f>
        <v>0.13258252493846132</v>
      </c>
      <c r="D47">
        <f>Design_Matrix!M20*C47</f>
        <v>20.019961265707657</v>
      </c>
      <c r="F47">
        <f>MMULT(Design_Matrix!B20:K20,$AM$27:$AM$36)</f>
        <v>0.12014246233625539</v>
      </c>
      <c r="G47">
        <f>Design_Matrix!M20*F47</f>
        <v>18.141511812774564</v>
      </c>
      <c r="Q47">
        <f>Design_Matrix!B44*SQRT(Design_Matrix!M44)</f>
        <v>11</v>
      </c>
      <c r="R47">
        <f>Design_Matrix!C44*SQRT(Design_Matrix!M44)</f>
        <v>0</v>
      </c>
      <c r="S47">
        <f>Design_Matrix!D44*SQRT(Design_Matrix!M44)</f>
        <v>11</v>
      </c>
      <c r="T47">
        <f>Design_Matrix!E44*SQRT(Design_Matrix!M44)</f>
        <v>0</v>
      </c>
      <c r="U47">
        <f>Design_Matrix!F44*SQRT(Design_Matrix!M44)</f>
        <v>0</v>
      </c>
      <c r="V47">
        <f>Design_Matrix!G44*SQRT(Design_Matrix!M44)</f>
        <v>11</v>
      </c>
      <c r="W47">
        <f>Design_Matrix!H44*SQRT(Design_Matrix!M44)</f>
        <v>0</v>
      </c>
      <c r="X47">
        <f>Design_Matrix!I44*SQRT(Design_Matrix!M44)</f>
        <v>0</v>
      </c>
      <c r="Y47">
        <f>Design_Matrix!J44*SQRT(Design_Matrix!M44)</f>
        <v>11</v>
      </c>
      <c r="Z47">
        <f>Design_Matrix!K44*SQRT(Design_Matrix!M44)</f>
        <v>0</v>
      </c>
      <c r="AA47">
        <f>Design_Matrix!N44*SQRT(Design_Matrix!M44)</f>
        <v>2.1818181818181817</v>
      </c>
    </row>
    <row r="48" spans="1:39" x14ac:dyDescent="0.2">
      <c r="A48">
        <f>Design_Matrix!A21</f>
        <v>20</v>
      </c>
      <c r="B48">
        <f>MMULT(Design_Matrix!B21:K21,$M$5:$M$14)</f>
        <v>119.96875</v>
      </c>
      <c r="C48">
        <f>MMULT(Design_Matrix!B21:K21,$O$5:$O$14)</f>
        <v>0.10525958818901307</v>
      </c>
      <c r="D48">
        <f>Design_Matrix!M21*C48</f>
        <v>97.996676603971167</v>
      </c>
      <c r="F48">
        <f>MMULT(Design_Matrix!B21:K21,$AM$27:$AM$36)</f>
        <v>9.4054673696394669E-2</v>
      </c>
      <c r="G48">
        <f>Design_Matrix!M21*F48</f>
        <v>87.56490121134344</v>
      </c>
      <c r="Q48">
        <f>Design_Matrix!B45*SQRT(Design_Matrix!M45)</f>
        <v>26.305892875931811</v>
      </c>
      <c r="R48">
        <f>Design_Matrix!C45*SQRT(Design_Matrix!M45)</f>
        <v>0</v>
      </c>
      <c r="S48">
        <f>Design_Matrix!D45*SQRT(Design_Matrix!M45)</f>
        <v>26.305892875931811</v>
      </c>
      <c r="T48">
        <f>Design_Matrix!E45*SQRT(Design_Matrix!M45)</f>
        <v>0</v>
      </c>
      <c r="U48">
        <f>Design_Matrix!F45*SQRT(Design_Matrix!M45)</f>
        <v>0</v>
      </c>
      <c r="V48">
        <f>Design_Matrix!G45*SQRT(Design_Matrix!M45)</f>
        <v>26.305892875931811</v>
      </c>
      <c r="W48">
        <f>Design_Matrix!H45*SQRT(Design_Matrix!M45)</f>
        <v>0</v>
      </c>
      <c r="X48">
        <f>Design_Matrix!I45*SQRT(Design_Matrix!M45)</f>
        <v>0</v>
      </c>
      <c r="Y48">
        <f>Design_Matrix!J45*SQRT(Design_Matrix!M45)</f>
        <v>0</v>
      </c>
      <c r="Z48">
        <f>Design_Matrix!K45*SQRT(Design_Matrix!M45)</f>
        <v>26.305892875931811</v>
      </c>
      <c r="AA48">
        <f>Design_Matrix!N45*SQRT(Design_Matrix!M45)</f>
        <v>3.8394439024120128</v>
      </c>
    </row>
    <row r="49" spans="1:27" x14ac:dyDescent="0.2">
      <c r="A49">
        <f>Design_Matrix!A22</f>
        <v>21</v>
      </c>
      <c r="B49">
        <f>MMULT(Design_Matrix!B22:K22,$M$5:$M$14)</f>
        <v>62.15625</v>
      </c>
      <c r="C49">
        <f>MMULT(Design_Matrix!B22:K22,$O$5:$O$14)</f>
        <v>0.20511771851702812</v>
      </c>
      <c r="D49">
        <f>Design_Matrix!M22*C49</f>
        <v>30.56254005903719</v>
      </c>
      <c r="F49">
        <f>MMULT(Design_Matrix!B22:K22,$AM$27:$AM$36)</f>
        <v>0.19728977922196661</v>
      </c>
      <c r="G49">
        <f>Design_Matrix!M22*F49</f>
        <v>29.396177104073026</v>
      </c>
      <c r="Q49">
        <f>Design_Matrix!B46*SQRT(Design_Matrix!M46)</f>
        <v>2.6457513110645907</v>
      </c>
      <c r="R49">
        <f>Design_Matrix!C46*SQRT(Design_Matrix!M46)</f>
        <v>0</v>
      </c>
      <c r="S49">
        <f>Design_Matrix!D46*SQRT(Design_Matrix!M46)</f>
        <v>2.6457513110645907</v>
      </c>
      <c r="T49">
        <f>Design_Matrix!E46*SQRT(Design_Matrix!M46)</f>
        <v>0</v>
      </c>
      <c r="U49">
        <f>Design_Matrix!F46*SQRT(Design_Matrix!M46)</f>
        <v>0</v>
      </c>
      <c r="V49">
        <f>Design_Matrix!G46*SQRT(Design_Matrix!M46)</f>
        <v>0</v>
      </c>
      <c r="W49">
        <f>Design_Matrix!H46*SQRT(Design_Matrix!M46)</f>
        <v>2.6457513110645907</v>
      </c>
      <c r="X49">
        <f>Design_Matrix!I46*SQRT(Design_Matrix!M46)</f>
        <v>0</v>
      </c>
      <c r="Y49">
        <f>Design_Matrix!J46*SQRT(Design_Matrix!M46)</f>
        <v>0</v>
      </c>
      <c r="Z49">
        <f>Design_Matrix!K46*SQRT(Design_Matrix!M46)</f>
        <v>0</v>
      </c>
      <c r="AA49">
        <f>Design_Matrix!N46*SQRT(Design_Matrix!M46)</f>
        <v>1.1338934190276817</v>
      </c>
    </row>
    <row r="50" spans="1:27" x14ac:dyDescent="0.2">
      <c r="A50">
        <f>Design_Matrix!A23</f>
        <v>22</v>
      </c>
      <c r="B50">
        <f>MMULT(Design_Matrix!B23:K23,$M$5:$M$14)</f>
        <v>73.09375</v>
      </c>
      <c r="C50">
        <f>MMULT(Design_Matrix!B23:K23,$O$5:$O$14)</f>
        <v>0.1765370058859656</v>
      </c>
      <c r="D50">
        <f>Design_Matrix!M23*C50</f>
        <v>55.256082842307237</v>
      </c>
      <c r="F50">
        <f>MMULT(Design_Matrix!B23:K23,$AM$27:$AM$36)</f>
        <v>0.16372708525333707</v>
      </c>
      <c r="G50">
        <f>Design_Matrix!M23*F50</f>
        <v>51.2465776842945</v>
      </c>
      <c r="Q50">
        <f>Design_Matrix!B47*SQRT(Design_Matrix!M47)</f>
        <v>5.3851648071345037</v>
      </c>
      <c r="R50">
        <f>Design_Matrix!C47*SQRT(Design_Matrix!M47)</f>
        <v>0</v>
      </c>
      <c r="S50">
        <f>Design_Matrix!D47*SQRT(Design_Matrix!M47)</f>
        <v>5.3851648071345037</v>
      </c>
      <c r="T50">
        <f>Design_Matrix!E47*SQRT(Design_Matrix!M47)</f>
        <v>0</v>
      </c>
      <c r="U50">
        <f>Design_Matrix!F47*SQRT(Design_Matrix!M47)</f>
        <v>0</v>
      </c>
      <c r="V50">
        <f>Design_Matrix!G47*SQRT(Design_Matrix!M47)</f>
        <v>0</v>
      </c>
      <c r="W50">
        <f>Design_Matrix!H47*SQRT(Design_Matrix!M47)</f>
        <v>5.3851648071345037</v>
      </c>
      <c r="X50">
        <f>Design_Matrix!I47*SQRT(Design_Matrix!M47)</f>
        <v>5.3851648071345037</v>
      </c>
      <c r="Y50">
        <f>Design_Matrix!J47*SQRT(Design_Matrix!M47)</f>
        <v>0</v>
      </c>
      <c r="Z50">
        <f>Design_Matrix!K47*SQRT(Design_Matrix!M47)</f>
        <v>0</v>
      </c>
      <c r="AA50">
        <f>Design_Matrix!N47*SQRT(Design_Matrix!M47)</f>
        <v>0.37139067635410372</v>
      </c>
    </row>
    <row r="51" spans="1:27" x14ac:dyDescent="0.2">
      <c r="A51">
        <f>Design_Matrix!A24</f>
        <v>23</v>
      </c>
      <c r="B51">
        <f>MMULT(Design_Matrix!B24:K24,$M$5:$M$14)</f>
        <v>76.15625</v>
      </c>
      <c r="C51">
        <f>MMULT(Design_Matrix!B24:K24,$O$5:$O$14)</f>
        <v>0.154956207575592</v>
      </c>
      <c r="D51">
        <f>Design_Matrix!M24*C51</f>
        <v>64.926650974173043</v>
      </c>
      <c r="F51">
        <f>MMULT(Design_Matrix!B24:K24,$AM$27:$AM$36)</f>
        <v>0.13927165459219665</v>
      </c>
      <c r="G51">
        <f>Design_Matrix!M24*F51</f>
        <v>58.354823274130396</v>
      </c>
      <c r="Q51">
        <f>Design_Matrix!B48*SQRT(Design_Matrix!M48)</f>
        <v>6.5574385243020004</v>
      </c>
      <c r="R51">
        <f>Design_Matrix!C48*SQRT(Design_Matrix!M48)</f>
        <v>0</v>
      </c>
      <c r="S51">
        <f>Design_Matrix!D48*SQRT(Design_Matrix!M48)</f>
        <v>6.5574385243020004</v>
      </c>
      <c r="T51">
        <f>Design_Matrix!E48*SQRT(Design_Matrix!M48)</f>
        <v>0</v>
      </c>
      <c r="U51">
        <f>Design_Matrix!F48*SQRT(Design_Matrix!M48)</f>
        <v>0</v>
      </c>
      <c r="V51">
        <f>Design_Matrix!G48*SQRT(Design_Matrix!M48)</f>
        <v>0</v>
      </c>
      <c r="W51">
        <f>Design_Matrix!H48*SQRT(Design_Matrix!M48)</f>
        <v>6.5574385243020004</v>
      </c>
      <c r="X51">
        <f>Design_Matrix!I48*SQRT(Design_Matrix!M48)</f>
        <v>0</v>
      </c>
      <c r="Y51">
        <f>Design_Matrix!J48*SQRT(Design_Matrix!M48)</f>
        <v>6.5574385243020004</v>
      </c>
      <c r="Z51">
        <f>Design_Matrix!K48*SQRT(Design_Matrix!M48)</f>
        <v>0</v>
      </c>
      <c r="AA51">
        <f>Design_Matrix!N48*SQRT(Design_Matrix!M48)</f>
        <v>1.2199885626608373</v>
      </c>
    </row>
    <row r="52" spans="1:27" x14ac:dyDescent="0.2">
      <c r="A52">
        <f>Design_Matrix!A25</f>
        <v>24</v>
      </c>
      <c r="B52">
        <f>MMULT(Design_Matrix!B25:K25,$M$5:$M$14)</f>
        <v>176.90625</v>
      </c>
      <c r="C52">
        <f>MMULT(Design_Matrix!B25:K25,$O$5:$O$14)</f>
        <v>0.12763327082614376</v>
      </c>
      <c r="D52">
        <f>Design_Matrix!M25*C52</f>
        <v>311.80808062826918</v>
      </c>
      <c r="F52">
        <f>MMULT(Design_Matrix!B25:K25,$AM$27:$AM$36)</f>
        <v>0.11318386595233593</v>
      </c>
      <c r="G52">
        <f>Design_Matrix!M25*F52</f>
        <v>276.50818452155664</v>
      </c>
      <c r="Q52">
        <f>Design_Matrix!B49*SQRT(Design_Matrix!M49)</f>
        <v>15.652475842498529</v>
      </c>
      <c r="R52">
        <f>Design_Matrix!C49*SQRT(Design_Matrix!M49)</f>
        <v>0</v>
      </c>
      <c r="S52">
        <f>Design_Matrix!D49*SQRT(Design_Matrix!M49)</f>
        <v>15.652475842498529</v>
      </c>
      <c r="T52">
        <f>Design_Matrix!E49*SQRT(Design_Matrix!M49)</f>
        <v>0</v>
      </c>
      <c r="U52">
        <f>Design_Matrix!F49*SQRT(Design_Matrix!M49)</f>
        <v>0</v>
      </c>
      <c r="V52">
        <f>Design_Matrix!G49*SQRT(Design_Matrix!M49)</f>
        <v>0</v>
      </c>
      <c r="W52">
        <f>Design_Matrix!H49*SQRT(Design_Matrix!M49)</f>
        <v>15.652475842498529</v>
      </c>
      <c r="X52">
        <f>Design_Matrix!I49*SQRT(Design_Matrix!M49)</f>
        <v>0</v>
      </c>
      <c r="Y52">
        <f>Design_Matrix!J49*SQRT(Design_Matrix!M49)</f>
        <v>0</v>
      </c>
      <c r="Z52">
        <f>Design_Matrix!K49*SQRT(Design_Matrix!M49)</f>
        <v>15.652475842498529</v>
      </c>
      <c r="AA52">
        <f>Design_Matrix!N49*SQRT(Design_Matrix!M49)</f>
        <v>2.3638432904997777</v>
      </c>
    </row>
    <row r="53" spans="1:27" x14ac:dyDescent="0.2">
      <c r="A53">
        <f>Design_Matrix!A26</f>
        <v>25</v>
      </c>
      <c r="B53">
        <f>MMULT(Design_Matrix!B26:K26,$M$5:$M$14)</f>
        <v>25.46875</v>
      </c>
      <c r="C53">
        <f>MMULT(Design_Matrix!B26:K26,$O$5:$O$14)</f>
        <v>0.25420522795417533</v>
      </c>
      <c r="D53">
        <f>Design_Matrix!M26*C53</f>
        <v>16.777545044975572</v>
      </c>
      <c r="F53">
        <f>MMULT(Design_Matrix!B26:K26,$AM$27:$AM$36)</f>
        <v>0.23043065688230802</v>
      </c>
      <c r="G53">
        <f>Design_Matrix!M26*F53</f>
        <v>15.208423354232329</v>
      </c>
      <c r="Q53">
        <f>Design_Matrix!B50*SQRT(Design_Matrix!M50)</f>
        <v>4.4721359549995796</v>
      </c>
      <c r="R53">
        <f>Design_Matrix!C50*SQRT(Design_Matrix!M50)</f>
        <v>0</v>
      </c>
      <c r="S53">
        <f>Design_Matrix!D50*SQRT(Design_Matrix!M50)</f>
        <v>0</v>
      </c>
      <c r="T53">
        <f>Design_Matrix!E50*SQRT(Design_Matrix!M50)</f>
        <v>4.4721359549995796</v>
      </c>
      <c r="U53">
        <f>Design_Matrix!F50*SQRT(Design_Matrix!M50)</f>
        <v>0</v>
      </c>
      <c r="V53">
        <f>Design_Matrix!G50*SQRT(Design_Matrix!M50)</f>
        <v>0</v>
      </c>
      <c r="W53">
        <f>Design_Matrix!H50*SQRT(Design_Matrix!M50)</f>
        <v>0</v>
      </c>
      <c r="X53">
        <f>Design_Matrix!I50*SQRT(Design_Matrix!M50)</f>
        <v>0</v>
      </c>
      <c r="Y53">
        <f>Design_Matrix!J50*SQRT(Design_Matrix!M50)</f>
        <v>0</v>
      </c>
      <c r="Z53">
        <f>Design_Matrix!K50*SQRT(Design_Matrix!M50)</f>
        <v>0</v>
      </c>
      <c r="AA53">
        <f>Design_Matrix!N50*SQRT(Design_Matrix!M50)</f>
        <v>0.44721359549995798</v>
      </c>
    </row>
    <row r="54" spans="1:27" x14ac:dyDescent="0.2">
      <c r="A54">
        <f>Design_Matrix!A27</f>
        <v>26</v>
      </c>
      <c r="B54">
        <f>MMULT(Design_Matrix!B27:K27,$M$5:$M$14)</f>
        <v>36.40625</v>
      </c>
      <c r="C54">
        <f>MMULT(Design_Matrix!B27:K27,$O$5:$O$14)</f>
        <v>0.22562451532311281</v>
      </c>
      <c r="D54">
        <f>Design_Matrix!M27*C54</f>
        <v>39.484290181544743</v>
      </c>
      <c r="F54">
        <f>MMULT(Design_Matrix!B27:K27,$AM$27:$AM$36)</f>
        <v>0.19686796291367847</v>
      </c>
      <c r="G54">
        <f>Design_Matrix!M27*F54</f>
        <v>34.451893509893736</v>
      </c>
      <c r="Q54">
        <f>Design_Matrix!B51*SQRT(Design_Matrix!M51)</f>
        <v>5.7445626465380286</v>
      </c>
      <c r="R54">
        <f>Design_Matrix!C51*SQRT(Design_Matrix!M51)</f>
        <v>0</v>
      </c>
      <c r="S54">
        <f>Design_Matrix!D51*SQRT(Design_Matrix!M51)</f>
        <v>0</v>
      </c>
      <c r="T54">
        <f>Design_Matrix!E51*SQRT(Design_Matrix!M51)</f>
        <v>5.7445626465380286</v>
      </c>
      <c r="U54">
        <f>Design_Matrix!F51*SQRT(Design_Matrix!M51)</f>
        <v>0</v>
      </c>
      <c r="V54">
        <f>Design_Matrix!G51*SQRT(Design_Matrix!M51)</f>
        <v>0</v>
      </c>
      <c r="W54">
        <f>Design_Matrix!H51*SQRT(Design_Matrix!M51)</f>
        <v>0</v>
      </c>
      <c r="X54">
        <f>Design_Matrix!I51*SQRT(Design_Matrix!M51)</f>
        <v>5.7445626465380286</v>
      </c>
      <c r="Y54">
        <f>Design_Matrix!J51*SQRT(Design_Matrix!M51)</f>
        <v>0</v>
      </c>
      <c r="Z54">
        <f>Design_Matrix!K51*SQRT(Design_Matrix!M51)</f>
        <v>0</v>
      </c>
      <c r="AA54">
        <f>Design_Matrix!N51*SQRT(Design_Matrix!M51)</f>
        <v>0.8703882797784892</v>
      </c>
    </row>
    <row r="55" spans="1:27" x14ac:dyDescent="0.2">
      <c r="A55">
        <f>Design_Matrix!A28</f>
        <v>27</v>
      </c>
      <c r="B55">
        <f>MMULT(Design_Matrix!B28:K28,$M$5:$M$14)</f>
        <v>39.46875</v>
      </c>
      <c r="C55">
        <f>MMULT(Design_Matrix!B28:K28,$O$5:$O$14)</f>
        <v>0.20404371701273921</v>
      </c>
      <c r="D55">
        <f>Design_Matrix!M28*C55</f>
        <v>45.093661459815365</v>
      </c>
      <c r="F55">
        <f>MMULT(Design_Matrix!B28:K28,$AM$27:$AM$36)</f>
        <v>0.17241253225253805</v>
      </c>
      <c r="G55">
        <f>Design_Matrix!M28*F55</f>
        <v>38.103169627810907</v>
      </c>
      <c r="Q55">
        <f>Design_Matrix!B52*SQRT(Design_Matrix!M52)</f>
        <v>6.324555320336759</v>
      </c>
      <c r="R55">
        <f>Design_Matrix!C52*SQRT(Design_Matrix!M52)</f>
        <v>0</v>
      </c>
      <c r="S55">
        <f>Design_Matrix!D52*SQRT(Design_Matrix!M52)</f>
        <v>0</v>
      </c>
      <c r="T55">
        <f>Design_Matrix!E52*SQRT(Design_Matrix!M52)</f>
        <v>6.324555320336759</v>
      </c>
      <c r="U55">
        <f>Design_Matrix!F52*SQRT(Design_Matrix!M52)</f>
        <v>0</v>
      </c>
      <c r="V55">
        <f>Design_Matrix!G52*SQRT(Design_Matrix!M52)</f>
        <v>0</v>
      </c>
      <c r="W55">
        <f>Design_Matrix!H52*SQRT(Design_Matrix!M52)</f>
        <v>0</v>
      </c>
      <c r="X55">
        <f>Design_Matrix!I52*SQRT(Design_Matrix!M52)</f>
        <v>0</v>
      </c>
      <c r="Y55">
        <f>Design_Matrix!J52*SQRT(Design_Matrix!M52)</f>
        <v>6.324555320336759</v>
      </c>
      <c r="Z55">
        <f>Design_Matrix!K52*SQRT(Design_Matrix!M52)</f>
        <v>0</v>
      </c>
      <c r="AA55">
        <f>Design_Matrix!N52*SQRT(Design_Matrix!M52)</f>
        <v>0.63245553203367599</v>
      </c>
    </row>
    <row r="56" spans="1:27" x14ac:dyDescent="0.2">
      <c r="A56">
        <f>Design_Matrix!A29</f>
        <v>28</v>
      </c>
      <c r="B56">
        <f>MMULT(Design_Matrix!B29:K29,$M$5:$M$14)</f>
        <v>140.21875</v>
      </c>
      <c r="C56">
        <f>MMULT(Design_Matrix!B29:K29,$O$5:$O$14)</f>
        <v>0.17672078026329097</v>
      </c>
      <c r="D56">
        <f>Design_Matrix!M29*C56</f>
        <v>196.16006609225298</v>
      </c>
      <c r="F56">
        <f>MMULT(Design_Matrix!B29:K29,$AM$27:$AM$36)</f>
        <v>0.14632474361267733</v>
      </c>
      <c r="G56">
        <f>Design_Matrix!M29*F56</f>
        <v>162.42046541007184</v>
      </c>
      <c r="Q56">
        <f>Design_Matrix!B53*SQRT(Design_Matrix!M53)</f>
        <v>17.776388834631177</v>
      </c>
      <c r="R56">
        <f>Design_Matrix!C53*SQRT(Design_Matrix!M53)</f>
        <v>0</v>
      </c>
      <c r="S56">
        <f>Design_Matrix!D53*SQRT(Design_Matrix!M53)</f>
        <v>0</v>
      </c>
      <c r="T56">
        <f>Design_Matrix!E53*SQRT(Design_Matrix!M53)</f>
        <v>17.776388834631177</v>
      </c>
      <c r="U56">
        <f>Design_Matrix!F53*SQRT(Design_Matrix!M53)</f>
        <v>0</v>
      </c>
      <c r="V56">
        <f>Design_Matrix!G53*SQRT(Design_Matrix!M53)</f>
        <v>0</v>
      </c>
      <c r="W56">
        <f>Design_Matrix!H53*SQRT(Design_Matrix!M53)</f>
        <v>0</v>
      </c>
      <c r="X56">
        <f>Design_Matrix!I53*SQRT(Design_Matrix!M53)</f>
        <v>0</v>
      </c>
      <c r="Y56">
        <f>Design_Matrix!J53*SQRT(Design_Matrix!M53)</f>
        <v>0</v>
      </c>
      <c r="Z56">
        <f>Design_Matrix!K53*SQRT(Design_Matrix!M53)</f>
        <v>17.776388834631177</v>
      </c>
      <c r="AA56">
        <f>Design_Matrix!N53*SQRT(Design_Matrix!M53)</f>
        <v>2.0251582216668429</v>
      </c>
    </row>
    <row r="57" spans="1:27" x14ac:dyDescent="0.2">
      <c r="A57">
        <f>Design_Matrix!A30</f>
        <v>29</v>
      </c>
      <c r="B57">
        <f>MMULT(Design_Matrix!B30:K30,$M$5:$M$14)</f>
        <v>-9.78125</v>
      </c>
      <c r="C57">
        <f>MMULT(Design_Matrix!B30:K30,$O$5:$O$14)</f>
        <v>0.28153937662965811</v>
      </c>
      <c r="D57">
        <f>Design_Matrix!M30*C57</f>
        <v>2.533854389666923</v>
      </c>
      <c r="F57">
        <f>MMULT(Design_Matrix!B30:K30,$AM$27:$AM$36)</f>
        <v>0.25993688210140353</v>
      </c>
      <c r="G57">
        <f>Design_Matrix!M30*F57</f>
        <v>2.3394319389126319</v>
      </c>
      <c r="Q57">
        <f>Design_Matrix!B54*SQRT(Design_Matrix!M54)</f>
        <v>5.5677643628300215</v>
      </c>
      <c r="R57">
        <f>Design_Matrix!C54*SQRT(Design_Matrix!M54)</f>
        <v>0</v>
      </c>
      <c r="S57">
        <f>Design_Matrix!D54*SQRT(Design_Matrix!M54)</f>
        <v>0</v>
      </c>
      <c r="T57">
        <f>Design_Matrix!E54*SQRT(Design_Matrix!M54)</f>
        <v>5.5677643628300215</v>
      </c>
      <c r="U57">
        <f>Design_Matrix!F54*SQRT(Design_Matrix!M54)</f>
        <v>5.5677643628300215</v>
      </c>
      <c r="V57">
        <f>Design_Matrix!G54*SQRT(Design_Matrix!M54)</f>
        <v>0</v>
      </c>
      <c r="W57">
        <f>Design_Matrix!H54*SQRT(Design_Matrix!M54)</f>
        <v>0</v>
      </c>
      <c r="X57">
        <f>Design_Matrix!I54*SQRT(Design_Matrix!M54)</f>
        <v>0</v>
      </c>
      <c r="Y57">
        <f>Design_Matrix!J54*SQRT(Design_Matrix!M54)</f>
        <v>0</v>
      </c>
      <c r="Z57">
        <f>Design_Matrix!K54*SQRT(Design_Matrix!M54)</f>
        <v>0</v>
      </c>
      <c r="AA57">
        <f>Design_Matrix!N54*SQRT(Design_Matrix!M54)</f>
        <v>1.2572371141874241</v>
      </c>
    </row>
    <row r="58" spans="1:27" x14ac:dyDescent="0.2">
      <c r="A58">
        <f>Design_Matrix!A31</f>
        <v>30</v>
      </c>
      <c r="B58">
        <f>MMULT(Design_Matrix!B31:K31,$M$5:$M$14)</f>
        <v>1.15625</v>
      </c>
      <c r="C58">
        <f>MMULT(Design_Matrix!B31:K31,$O$5:$O$14)</f>
        <v>0.25295866399859557</v>
      </c>
      <c r="D58">
        <f>Design_Matrix!M31*C58</f>
        <v>12.142015871932587</v>
      </c>
      <c r="F58">
        <f>MMULT(Design_Matrix!B31:K31,$AM$27:$AM$36)</f>
        <v>0.22637418813277399</v>
      </c>
      <c r="G58">
        <f>Design_Matrix!M31*F58</f>
        <v>10.865961030373152</v>
      </c>
      <c r="Q58">
        <f>Design_Matrix!B55*SQRT(Design_Matrix!M55)</f>
        <v>9</v>
      </c>
      <c r="R58">
        <f>Design_Matrix!C55*SQRT(Design_Matrix!M55)</f>
        <v>0</v>
      </c>
      <c r="S58">
        <f>Design_Matrix!D55*SQRT(Design_Matrix!M55)</f>
        <v>0</v>
      </c>
      <c r="T58">
        <f>Design_Matrix!E55*SQRT(Design_Matrix!M55)</f>
        <v>9</v>
      </c>
      <c r="U58">
        <f>Design_Matrix!F55*SQRT(Design_Matrix!M55)</f>
        <v>9</v>
      </c>
      <c r="V58">
        <f>Design_Matrix!G55*SQRT(Design_Matrix!M55)</f>
        <v>0</v>
      </c>
      <c r="W58">
        <f>Design_Matrix!H55*SQRT(Design_Matrix!M55)</f>
        <v>0</v>
      </c>
      <c r="X58">
        <f>Design_Matrix!I55*SQRT(Design_Matrix!M55)</f>
        <v>9</v>
      </c>
      <c r="Y58">
        <f>Design_Matrix!J55*SQRT(Design_Matrix!M55)</f>
        <v>0</v>
      </c>
      <c r="Z58">
        <f>Design_Matrix!K55*SQRT(Design_Matrix!M55)</f>
        <v>0</v>
      </c>
      <c r="AA58">
        <f>Design_Matrix!N55*SQRT(Design_Matrix!M55)</f>
        <v>1.1111111111111112</v>
      </c>
    </row>
    <row r="59" spans="1:27" x14ac:dyDescent="0.2">
      <c r="A59">
        <f>Design_Matrix!A32</f>
        <v>31</v>
      </c>
      <c r="B59">
        <f>MMULT(Design_Matrix!B32:K32,$M$5:$M$14)</f>
        <v>4.21875</v>
      </c>
      <c r="C59">
        <f>MMULT(Design_Matrix!B32:K32,$O$5:$O$14)</f>
        <v>0.231377865688222</v>
      </c>
      <c r="D59">
        <f>Design_Matrix!M32*C59</f>
        <v>16.659206329551985</v>
      </c>
      <c r="F59">
        <f>MMULT(Design_Matrix!B32:K32,$AM$27:$AM$36)</f>
        <v>0.20191875747163357</v>
      </c>
      <c r="G59">
        <f>Design_Matrix!M32*F59</f>
        <v>14.538150537957616</v>
      </c>
      <c r="Q59">
        <f>Design_Matrix!B56*SQRT(Design_Matrix!M56)</f>
        <v>11.045361017187261</v>
      </c>
      <c r="R59">
        <f>Design_Matrix!C56*SQRT(Design_Matrix!M56)</f>
        <v>0</v>
      </c>
      <c r="S59">
        <f>Design_Matrix!D56*SQRT(Design_Matrix!M56)</f>
        <v>0</v>
      </c>
      <c r="T59">
        <f>Design_Matrix!E56*SQRT(Design_Matrix!M56)</f>
        <v>11.045361017187261</v>
      </c>
      <c r="U59">
        <f>Design_Matrix!F56*SQRT(Design_Matrix!M56)</f>
        <v>11.045361017187261</v>
      </c>
      <c r="V59">
        <f>Design_Matrix!G56*SQRT(Design_Matrix!M56)</f>
        <v>0</v>
      </c>
      <c r="W59">
        <f>Design_Matrix!H56*SQRT(Design_Matrix!M56)</f>
        <v>0</v>
      </c>
      <c r="X59">
        <f>Design_Matrix!I56*SQRT(Design_Matrix!M56)</f>
        <v>0</v>
      </c>
      <c r="Y59">
        <f>Design_Matrix!J56*SQRT(Design_Matrix!M56)</f>
        <v>11.045361017187261</v>
      </c>
      <c r="Z59">
        <f>Design_Matrix!K56*SQRT(Design_Matrix!M56)</f>
        <v>0</v>
      </c>
      <c r="AA59">
        <f>Design_Matrix!N56*SQRT(Design_Matrix!M56)</f>
        <v>1.9917864129354079</v>
      </c>
    </row>
    <row r="60" spans="1:27" x14ac:dyDescent="0.2">
      <c r="A60">
        <f>Design_Matrix!A33</f>
        <v>32</v>
      </c>
      <c r="B60">
        <f>MMULT(Design_Matrix!B33:K33,$M$5:$M$14)</f>
        <v>104.96875</v>
      </c>
      <c r="C60">
        <f>MMULT(Design_Matrix!B33:K33,$O$5:$O$14)</f>
        <v>0.20405492893877375</v>
      </c>
      <c r="D60">
        <f>Design_Matrix!M33*C60</f>
        <v>65.705687118285141</v>
      </c>
      <c r="F60">
        <f>MMULT(Design_Matrix!B33:K33,$AM$27:$AM$36)</f>
        <v>0.17583096883177285</v>
      </c>
      <c r="G60">
        <f>Design_Matrix!M33*F60</f>
        <v>56.617571963830855</v>
      </c>
      <c r="Q60">
        <f>Design_Matrix!B57*SQRT(Design_Matrix!M57)</f>
        <v>26.90724809414742</v>
      </c>
      <c r="R60">
        <f>Design_Matrix!C57*SQRT(Design_Matrix!M57)</f>
        <v>0</v>
      </c>
      <c r="S60">
        <f>Design_Matrix!D57*SQRT(Design_Matrix!M57)</f>
        <v>0</v>
      </c>
      <c r="T60">
        <f>Design_Matrix!E57*SQRT(Design_Matrix!M57)</f>
        <v>26.90724809414742</v>
      </c>
      <c r="U60">
        <f>Design_Matrix!F57*SQRT(Design_Matrix!M57)</f>
        <v>26.90724809414742</v>
      </c>
      <c r="V60">
        <f>Design_Matrix!G57*SQRT(Design_Matrix!M57)</f>
        <v>0</v>
      </c>
      <c r="W60">
        <f>Design_Matrix!H57*SQRT(Design_Matrix!M57)</f>
        <v>0</v>
      </c>
      <c r="X60">
        <f>Design_Matrix!I57*SQRT(Design_Matrix!M57)</f>
        <v>0</v>
      </c>
      <c r="Y60">
        <f>Design_Matrix!J57*SQRT(Design_Matrix!M57)</f>
        <v>0</v>
      </c>
      <c r="Z60">
        <f>Design_Matrix!K57*SQRT(Design_Matrix!M57)</f>
        <v>26.90724809414742</v>
      </c>
      <c r="AA60">
        <f>Design_Matrix!N57*SQRT(Design_Matrix!M57)</f>
        <v>3.790800145860548</v>
      </c>
    </row>
    <row r="61" spans="1:27" x14ac:dyDescent="0.2">
      <c r="A61">
        <f>Design_Matrix!A34</f>
        <v>33</v>
      </c>
      <c r="B61">
        <f>MMULT(Design_Matrix!B34:K34,$M$5:$M$14)</f>
        <v>-15.90625</v>
      </c>
      <c r="C61">
        <f>MMULT(Design_Matrix!B34:K34,$O$5:$O$14)</f>
        <v>0.17072300171035415</v>
      </c>
      <c r="D61">
        <f>Design_Matrix!M34*C61</f>
        <v>5.9753050598623956</v>
      </c>
      <c r="F61">
        <f>MMULT(Design_Matrix!B34:K34,$AM$27:$AM$36)</f>
        <v>0.17986530779548721</v>
      </c>
      <c r="G61">
        <f>Design_Matrix!M34*F61</f>
        <v>6.2952857728420524</v>
      </c>
      <c r="Q61">
        <f>Design_Matrix!B58*SQRT(Design_Matrix!M58)</f>
        <v>4.2426406871192848</v>
      </c>
      <c r="R61">
        <f>Design_Matrix!C58*SQRT(Design_Matrix!M58)</f>
        <v>0</v>
      </c>
      <c r="S61">
        <f>Design_Matrix!D58*SQRT(Design_Matrix!M58)</f>
        <v>0</v>
      </c>
      <c r="T61">
        <f>Design_Matrix!E58*SQRT(Design_Matrix!M58)</f>
        <v>4.2426406871192848</v>
      </c>
      <c r="U61">
        <f>Design_Matrix!F58*SQRT(Design_Matrix!M58)</f>
        <v>0</v>
      </c>
      <c r="V61">
        <f>Design_Matrix!G58*SQRT(Design_Matrix!M58)</f>
        <v>4.2426406871192848</v>
      </c>
      <c r="W61">
        <f>Design_Matrix!H58*SQRT(Design_Matrix!M58)</f>
        <v>0</v>
      </c>
      <c r="X61">
        <f>Design_Matrix!I58*SQRT(Design_Matrix!M58)</f>
        <v>0</v>
      </c>
      <c r="Y61">
        <f>Design_Matrix!J58*SQRT(Design_Matrix!M58)</f>
        <v>0</v>
      </c>
      <c r="Z61">
        <f>Design_Matrix!K58*SQRT(Design_Matrix!M58)</f>
        <v>0</v>
      </c>
      <c r="AA61">
        <f>Design_Matrix!N58*SQRT(Design_Matrix!M58)</f>
        <v>1.1785113019775793</v>
      </c>
    </row>
    <row r="62" spans="1:27" x14ac:dyDescent="0.2">
      <c r="A62">
        <f>Design_Matrix!A35</f>
        <v>34</v>
      </c>
      <c r="B62">
        <f>MMULT(Design_Matrix!B35:K35,$M$5:$M$14)</f>
        <v>-4.96875</v>
      </c>
      <c r="C62">
        <f>MMULT(Design_Matrix!B35:K35,$O$5:$O$14)</f>
        <v>0.14214228907929163</v>
      </c>
      <c r="D62">
        <f>Design_Matrix!M35*C62</f>
        <v>10.376387102788289</v>
      </c>
      <c r="F62">
        <f>MMULT(Design_Matrix!B35:K35,$AM$27:$AM$36)</f>
        <v>0.14630261382685766</v>
      </c>
      <c r="G62">
        <f>Design_Matrix!M35*F62</f>
        <v>10.680090809360609</v>
      </c>
      <c r="Q62">
        <f>Design_Matrix!B59*SQRT(Design_Matrix!M59)</f>
        <v>6.2449979983983983</v>
      </c>
      <c r="R62">
        <f>Design_Matrix!C59*SQRT(Design_Matrix!M59)</f>
        <v>0</v>
      </c>
      <c r="S62">
        <f>Design_Matrix!D59*SQRT(Design_Matrix!M59)</f>
        <v>0</v>
      </c>
      <c r="T62">
        <f>Design_Matrix!E59*SQRT(Design_Matrix!M59)</f>
        <v>6.2449979983983983</v>
      </c>
      <c r="U62">
        <f>Design_Matrix!F59*SQRT(Design_Matrix!M59)</f>
        <v>0</v>
      </c>
      <c r="V62">
        <f>Design_Matrix!G59*SQRT(Design_Matrix!M59)</f>
        <v>6.2449979983983983</v>
      </c>
      <c r="W62">
        <f>Design_Matrix!H59*SQRT(Design_Matrix!M59)</f>
        <v>0</v>
      </c>
      <c r="X62">
        <f>Design_Matrix!I59*SQRT(Design_Matrix!M59)</f>
        <v>6.2449979983983983</v>
      </c>
      <c r="Y62">
        <f>Design_Matrix!J59*SQRT(Design_Matrix!M59)</f>
        <v>0</v>
      </c>
      <c r="Z62">
        <f>Design_Matrix!K59*SQRT(Design_Matrix!M59)</f>
        <v>0</v>
      </c>
      <c r="AA62">
        <f>Design_Matrix!N59*SQRT(Design_Matrix!M59)</f>
        <v>1.1208970766356099</v>
      </c>
    </row>
    <row r="63" spans="1:27" x14ac:dyDescent="0.2">
      <c r="A63">
        <f>Design_Matrix!A36</f>
        <v>35</v>
      </c>
      <c r="B63">
        <f>MMULT(Design_Matrix!B36:K36,$M$5:$M$14)</f>
        <v>-1.90625</v>
      </c>
      <c r="C63">
        <f>MMULT(Design_Matrix!B36:K36,$O$5:$O$14)</f>
        <v>0.12056149076891803</v>
      </c>
      <c r="D63">
        <f>Design_Matrix!M36*C63</f>
        <v>10.729972678433706</v>
      </c>
      <c r="F63">
        <f>MMULT(Design_Matrix!B36:K36,$AM$27:$AM$36)</f>
        <v>0.12184718316571724</v>
      </c>
      <c r="G63">
        <f>Design_Matrix!M36*F63</f>
        <v>10.844399301748835</v>
      </c>
      <c r="Q63">
        <f>Design_Matrix!B60*SQRT(Design_Matrix!M60)</f>
        <v>8.2462112512353212</v>
      </c>
      <c r="R63">
        <f>Design_Matrix!C60*SQRT(Design_Matrix!M60)</f>
        <v>0</v>
      </c>
      <c r="S63">
        <f>Design_Matrix!D60*SQRT(Design_Matrix!M60)</f>
        <v>0</v>
      </c>
      <c r="T63">
        <f>Design_Matrix!E60*SQRT(Design_Matrix!M60)</f>
        <v>8.2462112512353212</v>
      </c>
      <c r="U63">
        <f>Design_Matrix!F60*SQRT(Design_Matrix!M60)</f>
        <v>0</v>
      </c>
      <c r="V63">
        <f>Design_Matrix!G60*SQRT(Design_Matrix!M60)</f>
        <v>8.2462112512353212</v>
      </c>
      <c r="W63">
        <f>Design_Matrix!H60*SQRT(Design_Matrix!M60)</f>
        <v>0</v>
      </c>
      <c r="X63">
        <f>Design_Matrix!I60*SQRT(Design_Matrix!M60)</f>
        <v>0</v>
      </c>
      <c r="Y63">
        <f>Design_Matrix!J60*SQRT(Design_Matrix!M60)</f>
        <v>8.2462112512353212</v>
      </c>
      <c r="Z63">
        <f>Design_Matrix!K60*SQRT(Design_Matrix!M60)</f>
        <v>0</v>
      </c>
      <c r="AA63">
        <f>Design_Matrix!N60*SQRT(Design_Matrix!M60)</f>
        <v>1.9402850002906638</v>
      </c>
    </row>
    <row r="64" spans="1:27" x14ac:dyDescent="0.2">
      <c r="A64">
        <f>Design_Matrix!A37</f>
        <v>36</v>
      </c>
      <c r="B64">
        <f>MMULT(Design_Matrix!B37:K37,$M$5:$M$14)</f>
        <v>98.84375</v>
      </c>
      <c r="C64">
        <f>MMULT(Design_Matrix!B37:K37,$O$5:$O$14)</f>
        <v>9.3238554019469788E-2</v>
      </c>
      <c r="D64">
        <f>Design_Matrix!M37*C64</f>
        <v>60.418583004616423</v>
      </c>
      <c r="F64">
        <f>MMULT(Design_Matrix!B37:K37,$AM$27:$AM$36)</f>
        <v>9.5759394525856523E-2</v>
      </c>
      <c r="G64">
        <f>Design_Matrix!M37*F64</f>
        <v>62.052087652755027</v>
      </c>
      <c r="Q64">
        <f>Design_Matrix!B61*SQRT(Design_Matrix!M61)</f>
        <v>18.547236990991408</v>
      </c>
      <c r="R64">
        <f>Design_Matrix!C61*SQRT(Design_Matrix!M61)</f>
        <v>0</v>
      </c>
      <c r="S64">
        <f>Design_Matrix!D61*SQRT(Design_Matrix!M61)</f>
        <v>0</v>
      </c>
      <c r="T64">
        <f>Design_Matrix!E61*SQRT(Design_Matrix!M61)</f>
        <v>18.547236990991408</v>
      </c>
      <c r="U64">
        <f>Design_Matrix!F61*SQRT(Design_Matrix!M61)</f>
        <v>0</v>
      </c>
      <c r="V64">
        <f>Design_Matrix!G61*SQRT(Design_Matrix!M61)</f>
        <v>18.547236990991408</v>
      </c>
      <c r="W64">
        <f>Design_Matrix!H61*SQRT(Design_Matrix!M61)</f>
        <v>0</v>
      </c>
      <c r="X64">
        <f>Design_Matrix!I61*SQRT(Design_Matrix!M61)</f>
        <v>0</v>
      </c>
      <c r="Y64">
        <f>Design_Matrix!J61*SQRT(Design_Matrix!M61)</f>
        <v>0</v>
      </c>
      <c r="Z64">
        <f>Design_Matrix!K61*SQRT(Design_Matrix!M61)</f>
        <v>18.547236990991408</v>
      </c>
      <c r="AA64">
        <f>Design_Matrix!N61*SQRT(Design_Matrix!M61)</f>
        <v>3.39673235590831</v>
      </c>
    </row>
    <row r="65" spans="1:27" x14ac:dyDescent="0.2">
      <c r="A65">
        <f>Design_Matrix!A38</f>
        <v>37</v>
      </c>
      <c r="B65">
        <f>MMULT(Design_Matrix!B38:K38,$M$5:$M$14)</f>
        <v>41.03125</v>
      </c>
      <c r="C65">
        <f>MMULT(Design_Matrix!B38:K38,$O$5:$O$14)</f>
        <v>0.19309668434748484</v>
      </c>
      <c r="D65">
        <f>Design_Matrix!M38*C65</f>
        <v>10.234124270416697</v>
      </c>
      <c r="F65">
        <f>MMULT(Design_Matrix!B38:K38,$AM$27:$AM$36)</f>
        <v>0.19899450005142846</v>
      </c>
      <c r="G65">
        <f>Design_Matrix!M38*F65</f>
        <v>10.546708502725709</v>
      </c>
      <c r="Q65">
        <f>Design_Matrix!B62*SQRT(Design_Matrix!M62)</f>
        <v>1.7320508075688772</v>
      </c>
      <c r="R65">
        <f>Design_Matrix!C62*SQRT(Design_Matrix!M62)</f>
        <v>0</v>
      </c>
      <c r="S65">
        <f>Design_Matrix!D62*SQRT(Design_Matrix!M62)</f>
        <v>0</v>
      </c>
      <c r="T65">
        <f>Design_Matrix!E62*SQRT(Design_Matrix!M62)</f>
        <v>1.7320508075688772</v>
      </c>
      <c r="U65">
        <f>Design_Matrix!F62*SQRT(Design_Matrix!M62)</f>
        <v>0</v>
      </c>
      <c r="V65">
        <f>Design_Matrix!G62*SQRT(Design_Matrix!M62)</f>
        <v>0</v>
      </c>
      <c r="W65">
        <f>Design_Matrix!H62*SQRT(Design_Matrix!M62)</f>
        <v>1.7320508075688772</v>
      </c>
      <c r="X65">
        <f>Design_Matrix!I62*SQRT(Design_Matrix!M62)</f>
        <v>0</v>
      </c>
      <c r="Y65">
        <f>Design_Matrix!J62*SQRT(Design_Matrix!M62)</f>
        <v>0</v>
      </c>
      <c r="Z65">
        <f>Design_Matrix!K62*SQRT(Design_Matrix!M62)</f>
        <v>0</v>
      </c>
      <c r="AA65">
        <f>Design_Matrix!N62*SQRT(Design_Matrix!M62)</f>
        <v>0</v>
      </c>
    </row>
    <row r="66" spans="1:27" x14ac:dyDescent="0.2">
      <c r="A66">
        <f>Design_Matrix!A39</f>
        <v>38</v>
      </c>
      <c r="B66">
        <f>MMULT(Design_Matrix!B39:K39,$M$5:$M$14)</f>
        <v>51.96875</v>
      </c>
      <c r="C66">
        <f>MMULT(Design_Matrix!B39:K39,$O$5:$O$14)</f>
        <v>0.16451597171642232</v>
      </c>
      <c r="D66">
        <f>Design_Matrix!M39*C66</f>
        <v>25.499975616045461</v>
      </c>
      <c r="F66">
        <f>MMULT(Design_Matrix!B39:K39,$AM$27:$AM$36)</f>
        <v>0.16543180608279892</v>
      </c>
      <c r="G66">
        <f>Design_Matrix!M39*F66</f>
        <v>25.641929942833833</v>
      </c>
      <c r="Q66">
        <f>Design_Matrix!B63*SQRT(Design_Matrix!M63)</f>
        <v>4</v>
      </c>
      <c r="R66">
        <f>Design_Matrix!C63*SQRT(Design_Matrix!M63)</f>
        <v>0</v>
      </c>
      <c r="S66">
        <f>Design_Matrix!D63*SQRT(Design_Matrix!M63)</f>
        <v>0</v>
      </c>
      <c r="T66">
        <f>Design_Matrix!E63*SQRT(Design_Matrix!M63)</f>
        <v>4</v>
      </c>
      <c r="U66">
        <f>Design_Matrix!F63*SQRT(Design_Matrix!M63)</f>
        <v>0</v>
      </c>
      <c r="V66">
        <f>Design_Matrix!G63*SQRT(Design_Matrix!M63)</f>
        <v>0</v>
      </c>
      <c r="W66">
        <f>Design_Matrix!H63*SQRT(Design_Matrix!M63)</f>
        <v>4</v>
      </c>
      <c r="X66">
        <f>Design_Matrix!I63*SQRT(Design_Matrix!M63)</f>
        <v>4</v>
      </c>
      <c r="Y66">
        <f>Design_Matrix!J63*SQRT(Design_Matrix!M63)</f>
        <v>0</v>
      </c>
      <c r="Z66">
        <f>Design_Matrix!K63*SQRT(Design_Matrix!M63)</f>
        <v>0</v>
      </c>
      <c r="AA66">
        <f>Design_Matrix!N63*SQRT(Design_Matrix!M63)</f>
        <v>1.5</v>
      </c>
    </row>
    <row r="67" spans="1:27" x14ac:dyDescent="0.2">
      <c r="A67">
        <f>Design_Matrix!A40</f>
        <v>39</v>
      </c>
      <c r="B67">
        <f>MMULT(Design_Matrix!B40:K40,$M$5:$M$14)</f>
        <v>55.03125</v>
      </c>
      <c r="C67">
        <f>MMULT(Design_Matrix!B40:K40,$O$5:$O$14)</f>
        <v>0.14293517340604872</v>
      </c>
      <c r="D67">
        <f>Design_Matrix!M40*C67</f>
        <v>34.304441617451694</v>
      </c>
      <c r="F67">
        <f>MMULT(Design_Matrix!B40:K40,$AM$27:$AM$36)</f>
        <v>0.1409763754216585</v>
      </c>
      <c r="G67">
        <f>Design_Matrix!M40*F67</f>
        <v>33.834330101198042</v>
      </c>
      <c r="Q67">
        <f>Design_Matrix!B64*SQRT(Design_Matrix!M64)</f>
        <v>5</v>
      </c>
      <c r="R67">
        <f>Design_Matrix!C64*SQRT(Design_Matrix!M64)</f>
        <v>0</v>
      </c>
      <c r="S67">
        <f>Design_Matrix!D64*SQRT(Design_Matrix!M64)</f>
        <v>0</v>
      </c>
      <c r="T67">
        <f>Design_Matrix!E64*SQRT(Design_Matrix!M64)</f>
        <v>5</v>
      </c>
      <c r="U67">
        <f>Design_Matrix!F64*SQRT(Design_Matrix!M64)</f>
        <v>0</v>
      </c>
      <c r="V67">
        <f>Design_Matrix!G64*SQRT(Design_Matrix!M64)</f>
        <v>0</v>
      </c>
      <c r="W67">
        <f>Design_Matrix!H64*SQRT(Design_Matrix!M64)</f>
        <v>5</v>
      </c>
      <c r="X67">
        <f>Design_Matrix!I64*SQRT(Design_Matrix!M64)</f>
        <v>0</v>
      </c>
      <c r="Y67">
        <f>Design_Matrix!J64*SQRT(Design_Matrix!M64)</f>
        <v>5</v>
      </c>
      <c r="Z67">
        <f>Design_Matrix!K64*SQRT(Design_Matrix!M64)</f>
        <v>0</v>
      </c>
      <c r="AA67">
        <f>Design_Matrix!N64*SQRT(Design_Matrix!M64)</f>
        <v>1.6</v>
      </c>
    </row>
    <row r="68" spans="1:27" x14ac:dyDescent="0.2">
      <c r="A68">
        <f>Design_Matrix!A41</f>
        <v>40</v>
      </c>
      <c r="B68">
        <f>MMULT(Design_Matrix!B41:K41,$M$5:$M$14)</f>
        <v>155.78125</v>
      </c>
      <c r="C68">
        <f>MMULT(Design_Matrix!B41:K41,$O$5:$O$14)</f>
        <v>0.11561223665660048</v>
      </c>
      <c r="D68">
        <f>Design_Matrix!M41*C68</f>
        <v>189.02600693354177</v>
      </c>
      <c r="F68">
        <f>MMULT(Design_Matrix!B41:K41,$AM$27:$AM$36)</f>
        <v>0.11488858678179778</v>
      </c>
      <c r="G68">
        <f>Design_Matrix!M41*F68</f>
        <v>187.84283938823938</v>
      </c>
      <c r="Q68">
        <f>Design_Matrix!B65*SQRT(Design_Matrix!M65)</f>
        <v>10.677078252031311</v>
      </c>
      <c r="R68">
        <f>Design_Matrix!C65*SQRT(Design_Matrix!M65)</f>
        <v>0</v>
      </c>
      <c r="S68">
        <f>Design_Matrix!D65*SQRT(Design_Matrix!M65)</f>
        <v>0</v>
      </c>
      <c r="T68">
        <f>Design_Matrix!E65*SQRT(Design_Matrix!M65)</f>
        <v>10.677078252031311</v>
      </c>
      <c r="U68">
        <f>Design_Matrix!F65*SQRT(Design_Matrix!M65)</f>
        <v>0</v>
      </c>
      <c r="V68">
        <f>Design_Matrix!G65*SQRT(Design_Matrix!M65)</f>
        <v>0</v>
      </c>
      <c r="W68">
        <f>Design_Matrix!H65*SQRT(Design_Matrix!M65)</f>
        <v>10.677078252031311</v>
      </c>
      <c r="X68">
        <f>Design_Matrix!I65*SQRT(Design_Matrix!M65)</f>
        <v>0</v>
      </c>
      <c r="Y68">
        <f>Design_Matrix!J65*SQRT(Design_Matrix!M65)</f>
        <v>0</v>
      </c>
      <c r="Z68">
        <f>Design_Matrix!K65*SQRT(Design_Matrix!M65)</f>
        <v>10.677078252031311</v>
      </c>
      <c r="AA68">
        <f>Design_Matrix!N65*SQRT(Design_Matrix!M65)</f>
        <v>3.0907331782195904</v>
      </c>
    </row>
    <row r="69" spans="1:27" x14ac:dyDescent="0.2">
      <c r="A69">
        <f>Design_Matrix!A42</f>
        <v>41</v>
      </c>
      <c r="B69">
        <f>MMULT(Design_Matrix!B42:K42,$M$5:$M$14)</f>
        <v>4.34375</v>
      </c>
      <c r="C69">
        <f>MMULT(Design_Matrix!B42:K42,$O$5:$O$14)</f>
        <v>0.24218419378463207</v>
      </c>
      <c r="D69">
        <f>Design_Matrix!M42*C69</f>
        <v>5.8124206508311698</v>
      </c>
      <c r="F69">
        <f>MMULT(Design_Matrix!B42:K42,$AM$27:$AM$36)</f>
        <v>0.23213537771176987</v>
      </c>
      <c r="G69">
        <f>Design_Matrix!M42*F69</f>
        <v>5.5712490650824771</v>
      </c>
    </row>
    <row r="70" spans="1:27" x14ac:dyDescent="0.2">
      <c r="A70">
        <f>Design_Matrix!A43</f>
        <v>42</v>
      </c>
      <c r="B70">
        <f>MMULT(Design_Matrix!B43:K43,$M$5:$M$14)</f>
        <v>15.28125</v>
      </c>
      <c r="C70">
        <f>MMULT(Design_Matrix!B43:K43,$O$5:$O$14)</f>
        <v>0.21360348115356956</v>
      </c>
      <c r="D70">
        <f>Design_Matrix!M43*C70</f>
        <v>16.661071529978425</v>
      </c>
      <c r="F70">
        <f>MMULT(Design_Matrix!B43:K43,$AM$27:$AM$36)</f>
        <v>0.19857268374314033</v>
      </c>
      <c r="G70">
        <f>Design_Matrix!M43*F70</f>
        <v>15.488669331964946</v>
      </c>
    </row>
    <row r="71" spans="1:27" x14ac:dyDescent="0.2">
      <c r="A71">
        <f>Design_Matrix!A44</f>
        <v>43</v>
      </c>
      <c r="B71">
        <f>MMULT(Design_Matrix!B44:K44,$M$5:$M$14)</f>
        <v>18.34375</v>
      </c>
      <c r="C71">
        <f>MMULT(Design_Matrix!B44:K44,$O$5:$O$14)</f>
        <v>0.19202268284319596</v>
      </c>
      <c r="D71">
        <f>Design_Matrix!M44*C71</f>
        <v>23.23474462402671</v>
      </c>
      <c r="F71">
        <f>MMULT(Design_Matrix!B44:K44,$AM$27:$AM$36)</f>
        <v>0.17411725308199991</v>
      </c>
      <c r="G71">
        <f>Design_Matrix!M44*F71</f>
        <v>21.06818762292199</v>
      </c>
    </row>
    <row r="72" spans="1:27" x14ac:dyDescent="0.2">
      <c r="A72">
        <f>Design_Matrix!A45</f>
        <v>44</v>
      </c>
      <c r="B72">
        <f>MMULT(Design_Matrix!B45:K45,$M$5:$M$14)</f>
        <v>119.09375</v>
      </c>
      <c r="C72">
        <f>MMULT(Design_Matrix!B45:K45,$O$5:$O$14)</f>
        <v>0.16469974609374771</v>
      </c>
      <c r="D72">
        <f>Design_Matrix!M45*C72</f>
        <v>113.97222429687342</v>
      </c>
      <c r="F72">
        <f>MMULT(Design_Matrix!B45:K45,$AM$27:$AM$36)</f>
        <v>0.14802946444213919</v>
      </c>
      <c r="G72">
        <f>Design_Matrix!M45*F72</f>
        <v>102.43638939396031</v>
      </c>
    </row>
    <row r="73" spans="1:27" x14ac:dyDescent="0.2">
      <c r="A73">
        <f>Design_Matrix!A46</f>
        <v>45</v>
      </c>
      <c r="B73">
        <f>MMULT(Design_Matrix!B46:K46,$M$5:$M$14)</f>
        <v>-30.90625</v>
      </c>
      <c r="C73">
        <f>MMULT(Design_Matrix!B46:K46,$O$5:$O$14)</f>
        <v>0.2695183424601148</v>
      </c>
      <c r="D73">
        <f>Design_Matrix!M46*C73</f>
        <v>1.8866283972208036</v>
      </c>
      <c r="F73">
        <f>MMULT(Design_Matrix!B46:K46,$AM$27:$AM$36)</f>
        <v>0.26164160293086536</v>
      </c>
      <c r="G73">
        <f>Design_Matrix!M46*F73</f>
        <v>1.8314912205160576</v>
      </c>
    </row>
    <row r="74" spans="1:27" x14ac:dyDescent="0.2">
      <c r="A74">
        <f>Design_Matrix!A47</f>
        <v>46</v>
      </c>
      <c r="B74">
        <f>MMULT(Design_Matrix!B47:K47,$M$5:$M$14)</f>
        <v>-19.96875</v>
      </c>
      <c r="C74">
        <f>MMULT(Design_Matrix!B47:K47,$O$5:$O$14)</f>
        <v>0.24093762982905229</v>
      </c>
      <c r="D74">
        <f>Design_Matrix!M47*C74</f>
        <v>6.9871912650425161</v>
      </c>
      <c r="F74">
        <f>MMULT(Design_Matrix!B47:K47,$AM$27:$AM$36)</f>
        <v>0.22807890896223582</v>
      </c>
      <c r="G74">
        <f>Design_Matrix!M47*F74</f>
        <v>6.6142883599048385</v>
      </c>
    </row>
    <row r="75" spans="1:27" x14ac:dyDescent="0.2">
      <c r="A75">
        <f>Design_Matrix!A48</f>
        <v>47</v>
      </c>
      <c r="B75">
        <f>MMULT(Design_Matrix!B48:K48,$M$5:$M$14)</f>
        <v>-16.90625</v>
      </c>
      <c r="C75">
        <f>MMULT(Design_Matrix!B48:K48,$O$5:$O$14)</f>
        <v>0.21935683151867869</v>
      </c>
      <c r="D75">
        <f>Design_Matrix!M48*C75</f>
        <v>9.432343755303183</v>
      </c>
      <c r="F75">
        <f>MMULT(Design_Matrix!B48:K48,$AM$27:$AM$36)</f>
        <v>0.2036234783010954</v>
      </c>
      <c r="G75">
        <f>Design_Matrix!M48*F75</f>
        <v>8.7558095669471019</v>
      </c>
    </row>
    <row r="76" spans="1:27" x14ac:dyDescent="0.2">
      <c r="A76">
        <f>Design_Matrix!A49</f>
        <v>48</v>
      </c>
      <c r="B76">
        <f>MMULT(Design_Matrix!B49:K49,$M$5:$M$14)</f>
        <v>83.84375</v>
      </c>
      <c r="C76">
        <f>MMULT(Design_Matrix!B49:K49,$O$5:$O$14)</f>
        <v>0.19203389476923044</v>
      </c>
      <c r="D76">
        <f>Design_Matrix!M49*C76</f>
        <v>47.04830421846146</v>
      </c>
      <c r="F76">
        <f>MMULT(Design_Matrix!B49:K49,$AM$27:$AM$36)</f>
        <v>0.17753568966123467</v>
      </c>
      <c r="G76">
        <f>Design_Matrix!M49*F76</f>
        <v>43.496243967002492</v>
      </c>
    </row>
    <row r="77" spans="1:27" x14ac:dyDescent="0.2">
      <c r="A77">
        <f>Design_Matrix!A50</f>
        <v>49</v>
      </c>
      <c r="B77">
        <f>MMULT(Design_Matrix!B50:K50,$M$5:$M$14)</f>
        <v>-30.09375</v>
      </c>
      <c r="C77">
        <f>MMULT(Design_Matrix!B50:K50,$O$5:$O$14)</f>
        <v>0.17815452549078448</v>
      </c>
      <c r="D77">
        <f>Design_Matrix!M50*C77</f>
        <v>3.5630905098156895</v>
      </c>
      <c r="F77">
        <f>MMULT(Design_Matrix!B50:K50,$AM$27:$AM$36)</f>
        <v>0.20897507098088278</v>
      </c>
      <c r="G77">
        <f>Design_Matrix!M50*F77</f>
        <v>4.1795014196176554</v>
      </c>
    </row>
    <row r="78" spans="1:27" x14ac:dyDescent="0.2">
      <c r="A78">
        <f>Design_Matrix!A51</f>
        <v>50</v>
      </c>
      <c r="B78">
        <f>MMULT(Design_Matrix!B51:K51,$M$5:$M$14)</f>
        <v>-19.15625</v>
      </c>
      <c r="C78">
        <f>MMULT(Design_Matrix!B51:K51,$O$5:$O$14)</f>
        <v>0.14957381285972196</v>
      </c>
      <c r="D78">
        <f>Design_Matrix!M51*C78</f>
        <v>4.9359358243708247</v>
      </c>
      <c r="F78">
        <f>MMULT(Design_Matrix!B51:K51,$AM$27:$AM$36)</f>
        <v>0.17541237701225323</v>
      </c>
      <c r="G78">
        <f>Design_Matrix!M51*F78</f>
        <v>5.7886084414043566</v>
      </c>
    </row>
    <row r="79" spans="1:27" x14ac:dyDescent="0.2">
      <c r="A79">
        <f>Design_Matrix!A52</f>
        <v>51</v>
      </c>
      <c r="B79">
        <f>MMULT(Design_Matrix!B52:K52,$M$5:$M$14)</f>
        <v>-16.09375</v>
      </c>
      <c r="C79">
        <f>MMULT(Design_Matrix!B52:K52,$O$5:$O$14)</f>
        <v>0.12799301454934836</v>
      </c>
      <c r="D79">
        <f>Design_Matrix!M52*C79</f>
        <v>5.1197205819739349</v>
      </c>
      <c r="F79">
        <f>MMULT(Design_Matrix!B52:K52,$AM$27:$AM$36)</f>
        <v>0.15095694635111281</v>
      </c>
      <c r="G79">
        <f>Design_Matrix!M52*F79</f>
        <v>6.0382778540445123</v>
      </c>
    </row>
    <row r="80" spans="1:27" x14ac:dyDescent="0.2">
      <c r="A80">
        <f>Design_Matrix!A53</f>
        <v>52</v>
      </c>
      <c r="B80">
        <f>MMULT(Design_Matrix!B53:K53,$M$5:$M$14)</f>
        <v>84.65625</v>
      </c>
      <c r="C80">
        <f>MMULT(Design_Matrix!B53:K53,$O$5:$O$14)</f>
        <v>0.10067007779990012</v>
      </c>
      <c r="D80">
        <f>Design_Matrix!M53*C80</f>
        <v>31.811744584768437</v>
      </c>
      <c r="F80">
        <f>MMULT(Design_Matrix!B53:K53,$AM$27:$AM$36)</f>
        <v>0.12486915771125209</v>
      </c>
      <c r="G80">
        <f>Design_Matrix!M53*F80</f>
        <v>39.458653836755659</v>
      </c>
    </row>
    <row r="81" spans="1:7" x14ac:dyDescent="0.2">
      <c r="A81">
        <f>Design_Matrix!A54</f>
        <v>53</v>
      </c>
      <c r="B81">
        <f>MMULT(Design_Matrix!B54:K54,$M$5:$M$14)</f>
        <v>26.84375</v>
      </c>
      <c r="C81">
        <f>MMULT(Design_Matrix!B54:K54,$O$5:$O$14)</f>
        <v>0.20052820812791516</v>
      </c>
      <c r="D81">
        <f>Design_Matrix!M54*C81</f>
        <v>6.2163744519653701</v>
      </c>
      <c r="F81">
        <f>MMULT(Design_Matrix!B54:K54,$AM$27:$AM$36)</f>
        <v>0.22810426323682403</v>
      </c>
      <c r="G81">
        <f>Design_Matrix!M54*F81</f>
        <v>7.0712321603415447</v>
      </c>
    </row>
    <row r="82" spans="1:7" x14ac:dyDescent="0.2">
      <c r="A82">
        <f>Design_Matrix!A55</f>
        <v>54</v>
      </c>
      <c r="B82">
        <f>MMULT(Design_Matrix!B55:K55,$M$5:$M$14)</f>
        <v>37.78125</v>
      </c>
      <c r="C82">
        <f>MMULT(Design_Matrix!B55:K55,$O$5:$O$14)</f>
        <v>0.17194749549685265</v>
      </c>
      <c r="D82">
        <f>Design_Matrix!M55*C82</f>
        <v>13.927747135245065</v>
      </c>
      <c r="F82">
        <f>MMULT(Design_Matrix!B55:K55,$AM$27:$AM$36)</f>
        <v>0.19454156926819449</v>
      </c>
      <c r="G82">
        <f>Design_Matrix!M55*F82</f>
        <v>15.757867110723755</v>
      </c>
    </row>
    <row r="83" spans="1:7" x14ac:dyDescent="0.2">
      <c r="A83">
        <f>Design_Matrix!A56</f>
        <v>55</v>
      </c>
      <c r="B83">
        <f>MMULT(Design_Matrix!B56:K56,$M$5:$M$14)</f>
        <v>40.84375</v>
      </c>
      <c r="C83">
        <f>MMULT(Design_Matrix!B56:K56,$O$5:$O$14)</f>
        <v>0.15036669718647905</v>
      </c>
      <c r="D83">
        <f>Design_Matrix!M56*C83</f>
        <v>18.344737056750443</v>
      </c>
      <c r="F83">
        <f>MMULT(Design_Matrix!B56:K56,$AM$27:$AM$36)</f>
        <v>0.17008613860705407</v>
      </c>
      <c r="G83">
        <f>Design_Matrix!M56*F83</f>
        <v>20.750508910060596</v>
      </c>
    </row>
    <row r="84" spans="1:7" x14ac:dyDescent="0.2">
      <c r="A84">
        <f>Design_Matrix!A57</f>
        <v>56</v>
      </c>
      <c r="B84">
        <f>MMULT(Design_Matrix!B57:K57,$M$5:$M$14)</f>
        <v>141.59375</v>
      </c>
      <c r="C84">
        <f>MMULT(Design_Matrix!B57:K57,$O$5:$O$14)</f>
        <v>0.1230437604370308</v>
      </c>
      <c r="D84">
        <f>Design_Matrix!M57*C84</f>
        <v>89.083682556410295</v>
      </c>
      <c r="F84">
        <f>MMULT(Design_Matrix!B57:K57,$AM$27:$AM$36)</f>
        <v>0.14399834996719335</v>
      </c>
      <c r="G84">
        <f>Design_Matrix!M57*F84</f>
        <v>104.25480537624799</v>
      </c>
    </row>
    <row r="85" spans="1:7" x14ac:dyDescent="0.2">
      <c r="A85">
        <f>Design_Matrix!A58</f>
        <v>57</v>
      </c>
      <c r="B85">
        <f>MMULT(Design_Matrix!B58:K58,$M$5:$M$14)</f>
        <v>-9.84375</v>
      </c>
      <c r="C85">
        <f>MMULT(Design_Matrix!B58:K58,$O$5:$O$14)</f>
        <v>0.2496157175650624</v>
      </c>
      <c r="D85">
        <f>Design_Matrix!M58*C85</f>
        <v>4.4930829161711232</v>
      </c>
      <c r="F85">
        <f>MMULT(Design_Matrix!B58:K58,$AM$27:$AM$36)</f>
        <v>0.26124514089716544</v>
      </c>
      <c r="G85">
        <f>Design_Matrix!M58*F85</f>
        <v>4.7024125361489784</v>
      </c>
    </row>
    <row r="86" spans="1:7" x14ac:dyDescent="0.2">
      <c r="A86">
        <f>Design_Matrix!A59</f>
        <v>58</v>
      </c>
      <c r="B86">
        <f>MMULT(Design_Matrix!B59:K59,$M$5:$M$14)</f>
        <v>1.09375</v>
      </c>
      <c r="C86">
        <f>MMULT(Design_Matrix!B59:K59,$O$5:$O$14)</f>
        <v>0.22103500493399988</v>
      </c>
      <c r="D86">
        <f>Design_Matrix!M59*C86</f>
        <v>8.6203651924259947</v>
      </c>
      <c r="F86">
        <f>MMULT(Design_Matrix!B59:K59,$AM$27:$AM$36)</f>
        <v>0.2276824469285359</v>
      </c>
      <c r="G86">
        <f>Design_Matrix!M59*F86</f>
        <v>8.8796154302128993</v>
      </c>
    </row>
    <row r="87" spans="1:7" x14ac:dyDescent="0.2">
      <c r="A87">
        <f>Design_Matrix!A60</f>
        <v>59</v>
      </c>
      <c r="B87">
        <f>MMULT(Design_Matrix!B60:K60,$M$5:$M$14)</f>
        <v>4.15625</v>
      </c>
      <c r="C87">
        <f>MMULT(Design_Matrix!B60:K60,$O$5:$O$14)</f>
        <v>0.19945420662362628</v>
      </c>
      <c r="D87">
        <f>Design_Matrix!M60*C87</f>
        <v>13.562886050406588</v>
      </c>
      <c r="F87">
        <f>MMULT(Design_Matrix!B60:K60,$AM$27:$AM$36)</f>
        <v>0.20322701626739548</v>
      </c>
      <c r="G87">
        <f>Design_Matrix!M60*F87</f>
        <v>13.819437106182892</v>
      </c>
    </row>
    <row r="88" spans="1:7" x14ac:dyDescent="0.2">
      <c r="A88">
        <f>Design_Matrix!A61</f>
        <v>60</v>
      </c>
      <c r="B88">
        <f>MMULT(Design_Matrix!B61:K61,$M$5:$M$14)</f>
        <v>104.90625</v>
      </c>
      <c r="C88">
        <f>MMULT(Design_Matrix!B61:K61,$O$5:$O$14)</f>
        <v>0.17213126987417804</v>
      </c>
      <c r="D88">
        <f>Design_Matrix!M61*C88</f>
        <v>59.213156836717246</v>
      </c>
      <c r="F88">
        <f>MMULT(Design_Matrix!B61:K61,$AM$27:$AM$36)</f>
        <v>0.17713922762753476</v>
      </c>
      <c r="G88">
        <f>Design_Matrix!M61*F88</f>
        <v>60.935894303871954</v>
      </c>
    </row>
    <row r="89" spans="1:7" x14ac:dyDescent="0.2">
      <c r="A89">
        <f>Design_Matrix!A62</f>
        <v>61</v>
      </c>
      <c r="B89">
        <f>MMULT(Design_Matrix!B62:K62,$M$5:$M$14)</f>
        <v>-45.09375</v>
      </c>
      <c r="C89">
        <f>MMULT(Design_Matrix!B62:K62,$O$5:$O$14)</f>
        <v>0.27694986624054513</v>
      </c>
      <c r="D89">
        <f>Design_Matrix!M62*C89</f>
        <v>0.83084959872163533</v>
      </c>
      <c r="F89">
        <f>MMULT(Design_Matrix!B62:K62,$AM$27:$AM$36)</f>
        <v>0.29075136611626096</v>
      </c>
      <c r="G89">
        <f>Design_Matrix!M62*F89</f>
        <v>0.87225409834878287</v>
      </c>
    </row>
    <row r="90" spans="1:7" x14ac:dyDescent="0.2">
      <c r="A90">
        <f>Design_Matrix!A63</f>
        <v>62</v>
      </c>
      <c r="B90">
        <f>MMULT(Design_Matrix!B63:K63,$M$5:$M$14)</f>
        <v>-34.15625</v>
      </c>
      <c r="C90">
        <f>MMULT(Design_Matrix!B63:K63,$O$5:$O$14)</f>
        <v>0.24836915360948261</v>
      </c>
      <c r="D90">
        <f>Design_Matrix!M63*C90</f>
        <v>3.9739064577517218</v>
      </c>
      <c r="F90">
        <f>MMULT(Design_Matrix!B63:K63,$AM$27:$AM$36)</f>
        <v>0.25718867214763141</v>
      </c>
      <c r="G90">
        <f>Design_Matrix!M63*F90</f>
        <v>4.1150187543621026</v>
      </c>
    </row>
    <row r="91" spans="1:7" x14ac:dyDescent="0.2">
      <c r="A91">
        <f>Design_Matrix!A64</f>
        <v>63</v>
      </c>
      <c r="B91">
        <f>MMULT(Design_Matrix!B64:K64,$M$5:$M$14)</f>
        <v>-31.09375</v>
      </c>
      <c r="C91">
        <f>MMULT(Design_Matrix!B64:K64,$O$5:$O$14)</f>
        <v>0.22678835529910901</v>
      </c>
      <c r="D91">
        <f>Design_Matrix!M64*C91</f>
        <v>5.6697088824777255</v>
      </c>
      <c r="F91">
        <f>MMULT(Design_Matrix!B64:K64,$AM$27:$AM$36)</f>
        <v>0.23273324148649099</v>
      </c>
      <c r="G91">
        <f>Design_Matrix!M64*F91</f>
        <v>5.8183310371622747</v>
      </c>
    </row>
    <row r="92" spans="1:7" x14ac:dyDescent="0.2">
      <c r="A92">
        <f>Design_Matrix!A65</f>
        <v>64</v>
      </c>
      <c r="B92">
        <f>MMULT(Design_Matrix!B65:K65,$M$5:$M$14)</f>
        <v>69.65625</v>
      </c>
      <c r="C92">
        <f>MMULT(Design_Matrix!B65:K65,$O$5:$O$14)</f>
        <v>0.19946541854966077</v>
      </c>
      <c r="D92">
        <f>Design_Matrix!M65*C92</f>
        <v>22.739057714661328</v>
      </c>
      <c r="F92">
        <f>MMULT(Design_Matrix!B65:K65,$AM$27:$AM$36)</f>
        <v>0.20664545284663027</v>
      </c>
      <c r="G92">
        <f>Design_Matrix!M65*F92</f>
        <v>23.557581624515851</v>
      </c>
    </row>
    <row r="95" spans="1:7" x14ac:dyDescent="0.2">
      <c r="A95" t="s">
        <v>108</v>
      </c>
      <c r="B95">
        <f>SUMXMY2(Design_Matrix!L2:L65,B29:B92)</f>
        <v>95361.96875</v>
      </c>
    </row>
    <row r="96" spans="1:7" x14ac:dyDescent="0.2">
      <c r="A96" t="s">
        <v>109</v>
      </c>
      <c r="B96">
        <f>SUMXMY2(Design_Matrix!L2:L65,D29:D92)</f>
        <v>9257.1853755766242</v>
      </c>
    </row>
    <row r="97" spans="1:2" x14ac:dyDescent="0.2">
      <c r="A97" t="s">
        <v>110</v>
      </c>
      <c r="B97">
        <f>SUMXMY2(Design_Matrix!L2:L65,G29:G92)</f>
        <v>1807.9041431650812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1" max="3" width="13" customWidth="1"/>
  </cols>
  <sheetData>
    <row r="1" spans="1:3" x14ac:dyDescent="0.2">
      <c r="A1" t="s">
        <v>111</v>
      </c>
      <c r="B1" t="s">
        <v>85</v>
      </c>
      <c r="C1" t="s">
        <v>112</v>
      </c>
    </row>
    <row r="2" spans="1:3" x14ac:dyDescent="0.2">
      <c r="A2" t="s">
        <v>113</v>
      </c>
      <c r="B2">
        <f>Poisson_No_Offset!B90</f>
        <v>467937</v>
      </c>
      <c r="C2" t="s">
        <v>114</v>
      </c>
    </row>
    <row r="3" spans="1:3" x14ac:dyDescent="0.2">
      <c r="A3" t="s">
        <v>115</v>
      </c>
      <c r="B3">
        <f>Poisson_With_Offset!B90</f>
        <v>25629248.000000015</v>
      </c>
      <c r="C3" t="s">
        <v>114</v>
      </c>
    </row>
    <row r="4" spans="1:3" x14ac:dyDescent="0.2">
      <c r="A4" t="s">
        <v>116</v>
      </c>
      <c r="B4">
        <f>Gaussian_Models!B95</f>
        <v>95361.96875</v>
      </c>
      <c r="C4" t="s">
        <v>117</v>
      </c>
    </row>
    <row r="5" spans="1:3" x14ac:dyDescent="0.2">
      <c r="A5" t="s">
        <v>118</v>
      </c>
      <c r="B5">
        <f>Gaussian_Models!B96</f>
        <v>9257.1853755766242</v>
      </c>
      <c r="C5" t="s">
        <v>117</v>
      </c>
    </row>
    <row r="6" spans="1:3" x14ac:dyDescent="0.2">
      <c r="A6" t="s">
        <v>119</v>
      </c>
      <c r="B6">
        <f>Gaussian_Models!B97</f>
        <v>1807.9041431650812</v>
      </c>
      <c r="C6" t="s">
        <v>117</v>
      </c>
    </row>
    <row r="8" spans="1:3" x14ac:dyDescent="0.2">
      <c r="A8" t="s">
        <v>120</v>
      </c>
    </row>
  </sheetData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6750481e-a151-4612-bf89-7209c355296a}" enabled="1" method="Standard" siteId="{9e1e4653-0328-4aed-8a88-8ef64de7c9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Insurance_Data</vt:lpstr>
      <vt:lpstr>Design_Matrix</vt:lpstr>
      <vt:lpstr>Poisson_No_Offset</vt:lpstr>
      <vt:lpstr>Poisson_With_Offset</vt:lpstr>
      <vt:lpstr>Gaussian_Models</vt:lpstr>
      <vt:lpstr>Model_Comparison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Woods</cp:lastModifiedBy>
  <dcterms:created xsi:type="dcterms:W3CDTF">2026-03-21T10:25:49Z</dcterms:created>
  <dcterms:modified xsi:type="dcterms:W3CDTF">2026-03-21T10:27:56Z</dcterms:modified>
</cp:coreProperties>
</file>