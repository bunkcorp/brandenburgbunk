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ain_Effects_Mechanics" sheetId="3" state="visible" r:id="rId3"/>
    <sheet xmlns:r="http://schemas.openxmlformats.org/officeDocument/2006/relationships" name="Interaction_Mechanics" sheetId="4" state="visible" r:id="rId4"/>
    <sheet xmlns:r="http://schemas.openxmlformats.org/officeDocument/2006/relationships" name="Model_Comparison" sheetId="5" state="visible" r:id="rId5"/>
    <sheet xmlns:r="http://schemas.openxmlformats.org/officeDocument/2006/relationships" name="Plot_Pa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log(actual) by sex</a:t>
            </a:r>
          </a:p>
        </rich>
      </tx>
    </title>
    <plotArea>
      <scatterChart>
        <ser>
          <idx val="0"/>
          <order val="0"/>
          <tx>
            <v>F actual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'Data'!$L$2:$L$149</f>
            </numRef>
          </xVal>
          <yVal>
            <numRef>
              <f>'Data'!$M$2:$M$149</f>
            </numRef>
          </yVal>
        </ser>
        <ser>
          <idx val="1"/>
          <order val="1"/>
          <tx>
            <v>M actual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'Data'!$P$2:$P$149</f>
            </numRef>
          </xVal>
          <yVal>
            <numRef>
              <f>'Data'!$Q$2:$Q$149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log(actual)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Main-only: log(pred) vs log(actual)</a:t>
            </a:r>
          </a:p>
        </rich>
      </tx>
    </title>
    <plotArea>
      <scatterChart>
        <ser>
          <idx val="0"/>
          <order val="0"/>
          <tx>
            <v>F pred_main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'Data'!$L$2:$L$149</f>
            </numRef>
          </xVal>
          <yVal>
            <numRef>
              <f>'Data'!$N$2:$N$149</f>
            </numRef>
          </yVal>
        </ser>
        <ser>
          <idx val="1"/>
          <order val="1"/>
          <tx>
            <v>F actual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'Data'!$L$2:$L$149</f>
            </numRef>
          </xVal>
          <yVal>
            <numRef>
              <f>'Data'!$M$2:$M$149</f>
            </numRef>
          </yVal>
        </ser>
        <ser>
          <idx val="2"/>
          <order val="2"/>
          <tx>
            <v>M pred_main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'Data'!$P$2:$P$149</f>
            </numRef>
          </xVal>
          <yVal>
            <numRef>
              <f>'Data'!$R$2:$R$149</f>
            </numRef>
          </yVal>
        </ser>
        <ser>
          <idx val="3"/>
          <order val="3"/>
          <tx>
            <v>M actual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'Data'!$P$2:$P$149</f>
            </numRef>
          </xVal>
          <yVal>
            <numRef>
              <f>'Data'!$Q$2:$Q$149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log(value)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Interaction: log(pred) vs log(actual)</a:t>
            </a:r>
          </a:p>
        </rich>
      </tx>
    </title>
    <plotArea>
      <scatterChart>
        <ser>
          <idx val="0"/>
          <order val="0"/>
          <tx>
            <v>F pred_interact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'Data'!$L$2:$L$149</f>
            </numRef>
          </xVal>
          <yVal>
            <numRef>
              <f>'Data'!$O$2:$O$149</f>
            </numRef>
          </yVal>
        </ser>
        <ser>
          <idx val="1"/>
          <order val="1"/>
          <tx>
            <v>F actual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'Data'!$L$2:$L$149</f>
            </numRef>
          </xVal>
          <yVal>
            <numRef>
              <f>'Data'!$M$2:$M$149</f>
            </numRef>
          </yVal>
        </ser>
        <ser>
          <idx val="2"/>
          <order val="2"/>
          <tx>
            <v>M pred_interact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'Data'!$P$2:$P$149</f>
            </numRef>
          </xVal>
          <yVal>
            <numRef>
              <f>'Data'!$S$2:$S$149</f>
            </numRef>
          </yVal>
        </ser>
        <ser>
          <idx val="3"/>
          <order val="3"/>
          <tx>
            <v>M actual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'Data'!$P$2:$P$149</f>
            </numRef>
          </xVal>
          <yVal>
            <numRef>
              <f>'Data'!$Q$2:$Q$149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log(value)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Data</t>
        </is>
      </c>
      <c r="B2" t="inlineStr">
        <is>
          <t>Chunk 1 data, helper columns, and model predictions in formulas.</t>
        </is>
      </c>
    </row>
    <row r="3">
      <c r="A3" t="inlineStr">
        <is>
          <t>Main_Effects_Mechanics</t>
        </is>
      </c>
      <c r="B3" t="inlineStr">
        <is>
          <t>Chunk 2: log-link main-effects mechanics via matrix normal equations on log(actual).</t>
        </is>
      </c>
    </row>
    <row r="4">
      <c r="A4" t="inlineStr">
        <is>
          <t>Interaction_Mechanics</t>
        </is>
      </c>
      <c r="B4" t="inlineStr">
        <is>
          <t>Chunk 3: interaction mechanics via matrix normal equations on log(actual).</t>
        </is>
      </c>
    </row>
    <row r="5">
      <c r="A5" t="inlineStr">
        <is>
          <t>Model_Comparison</t>
        </is>
      </c>
      <c r="B5" t="inlineStr">
        <is>
          <t>AIC-style comparison and SSE on log scale.</t>
        </is>
      </c>
    </row>
    <row r="6">
      <c r="A6" t="inlineStr">
        <is>
          <t>Plot_Parity</t>
        </is>
      </c>
      <c r="B6" t="inlineStr">
        <is>
          <t>Formula-driven line charts matching chunk visuals.</t>
        </is>
      </c>
    </row>
    <row r="10">
      <c r="A10" t="inlineStr">
        <is>
          <t>All mechanics use Excel formulas only (no LINEST).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5" customWidth="1" min="10" max="10"/>
    <col width="19" customWidth="1" min="11" max="11"/>
    <col width="13" customWidth="1" min="12" max="12"/>
    <col width="14" customWidth="1" min="13" max="13"/>
    <col width="17" customWidth="1" min="14" max="14"/>
    <col width="21" customWidth="1" min="15" max="15"/>
    <col width="13" customWidth="1" min="16" max="16"/>
    <col width="14" customWidth="1" min="17" max="17"/>
    <col width="17" customWidth="1" min="18" max="18"/>
    <col width="21" customWidth="1" min="19" max="19"/>
  </cols>
  <sheetData>
    <row r="1">
      <c r="A1" t="inlineStr">
        <is>
          <t>row_id</t>
        </is>
      </c>
      <c r="B1" t="inlineStr">
        <is>
          <t>age</t>
        </is>
      </c>
      <c r="C1" t="inlineStr">
        <is>
          <t>sex</t>
        </is>
      </c>
      <c r="D1" t="inlineStr">
        <is>
          <t>actual</t>
        </is>
      </c>
      <c r="E1" t="inlineStr">
        <is>
          <t>log_actual</t>
        </is>
      </c>
      <c r="F1" t="inlineStr">
        <is>
          <t>sex_M</t>
        </is>
      </c>
      <c r="G1" t="inlineStr">
        <is>
          <t>sex_age</t>
        </is>
      </c>
      <c r="H1" t="inlineStr">
        <is>
          <t>pred_main</t>
        </is>
      </c>
      <c r="I1" t="inlineStr">
        <is>
          <t>log_pred_main</t>
        </is>
      </c>
      <c r="J1" t="inlineStr">
        <is>
          <t>pred_interact</t>
        </is>
      </c>
      <c r="K1" t="inlineStr">
        <is>
          <t>log_pred_interact</t>
        </is>
      </c>
      <c r="L1" t="inlineStr">
        <is>
          <t>age_F</t>
        </is>
      </c>
      <c r="M1" t="inlineStr">
        <is>
          <t>log_actual_F</t>
        </is>
      </c>
      <c r="N1" t="inlineStr">
        <is>
          <t>log_pred_main_F</t>
        </is>
      </c>
      <c r="O1" t="inlineStr">
        <is>
          <t>log_pred_interact_F</t>
        </is>
      </c>
      <c r="P1" t="inlineStr">
        <is>
          <t>age_M</t>
        </is>
      </c>
      <c r="Q1" t="inlineStr">
        <is>
          <t>log_actual_M</t>
        </is>
      </c>
      <c r="R1" t="inlineStr">
        <is>
          <t>log_pred_main_M</t>
        </is>
      </c>
      <c r="S1" t="inlineStr">
        <is>
          <t>log_pred_interact_M</t>
        </is>
      </c>
    </row>
    <row r="2">
      <c r="A2" t="n">
        <v>1</v>
      </c>
      <c r="B2" t="n">
        <v>36</v>
      </c>
      <c r="C2" t="inlineStr">
        <is>
          <t>F</t>
        </is>
      </c>
      <c r="D2" t="n">
        <v>0.61</v>
      </c>
      <c r="E2">
        <f>LN(D2)</f>
        <v/>
      </c>
      <c r="F2">
        <f>--(C2="M")</f>
        <v/>
      </c>
      <c r="G2">
        <f>B2*F2</f>
        <v/>
      </c>
      <c r="H2">
        <f>EXP(Main_Effects_Mechanics!$G$11+Main_Effects_Mechanics!$G$12*F2+Main_Effects_Mechanics!$G$13*B2)</f>
        <v/>
      </c>
      <c r="I2">
        <f>LN(H2)</f>
        <v/>
      </c>
      <c r="J2">
        <f>EXP(Interaction_Mechanics!$H$12+Interaction_Mechanics!$H$13*F2+Interaction_Mechanics!$H$14*B2+Interaction_Mechanics!$H$15*G2)</f>
        <v/>
      </c>
      <c r="K2">
        <f>LN(J2)</f>
        <v/>
      </c>
      <c r="L2">
        <f>IF(C2="F",B2,NA())</f>
        <v/>
      </c>
      <c r="M2">
        <f>IF(C2="F",E2,NA())</f>
        <v/>
      </c>
      <c r="N2">
        <f>IF(C2="F",I2,NA())</f>
        <v/>
      </c>
      <c r="O2">
        <f>IF(C2="F",K2,NA())</f>
        <v/>
      </c>
      <c r="P2">
        <f>IF(C2="M",B2,NA())</f>
        <v/>
      </c>
      <c r="Q2">
        <f>IF(C2="M",E2,NA())</f>
        <v/>
      </c>
      <c r="R2">
        <f>IF(C2="M",I2,NA())</f>
        <v/>
      </c>
      <c r="S2">
        <f>IF(C2="M",K2,NA())</f>
        <v/>
      </c>
    </row>
    <row r="3">
      <c r="A3" t="n">
        <v>2</v>
      </c>
      <c r="B3" t="n">
        <v>37</v>
      </c>
      <c r="C3" t="inlineStr">
        <is>
          <t>F</t>
        </is>
      </c>
      <c r="D3" t="n">
        <v>0.68</v>
      </c>
      <c r="E3">
        <f>LN(D3)</f>
        <v/>
      </c>
      <c r="F3">
        <f>--(C3="M")</f>
        <v/>
      </c>
      <c r="G3">
        <f>B3*F3</f>
        <v/>
      </c>
      <c r="H3">
        <f>EXP(Main_Effects_Mechanics!$G$11+Main_Effects_Mechanics!$G$12*F3+Main_Effects_Mechanics!$G$13*B3)</f>
        <v/>
      </c>
      <c r="I3">
        <f>LN(H3)</f>
        <v/>
      </c>
      <c r="J3">
        <f>EXP(Interaction_Mechanics!$H$12+Interaction_Mechanics!$H$13*F3+Interaction_Mechanics!$H$14*B3+Interaction_Mechanics!$H$15*G3)</f>
        <v/>
      </c>
      <c r="K3">
        <f>LN(J3)</f>
        <v/>
      </c>
      <c r="L3">
        <f>IF(C3="F",B3,NA())</f>
        <v/>
      </c>
      <c r="M3">
        <f>IF(C3="F",E3,NA())</f>
        <v/>
      </c>
      <c r="N3">
        <f>IF(C3="F",I3,NA())</f>
        <v/>
      </c>
      <c r="O3">
        <f>IF(C3="F",K3,NA())</f>
        <v/>
      </c>
      <c r="P3">
        <f>IF(C3="M",B3,NA())</f>
        <v/>
      </c>
      <c r="Q3">
        <f>IF(C3="M",E3,NA())</f>
        <v/>
      </c>
      <c r="R3">
        <f>IF(C3="M",I3,NA())</f>
        <v/>
      </c>
      <c r="S3">
        <f>IF(C3="M",K3,NA())</f>
        <v/>
      </c>
    </row>
    <row r="4">
      <c r="A4" t="n">
        <v>3</v>
      </c>
      <c r="B4" t="n">
        <v>38</v>
      </c>
      <c r="C4" t="inlineStr">
        <is>
          <t>F</t>
        </is>
      </c>
      <c r="D4" t="n">
        <v>0.75</v>
      </c>
      <c r="E4">
        <f>LN(D4)</f>
        <v/>
      </c>
      <c r="F4">
        <f>--(C4="M")</f>
        <v/>
      </c>
      <c r="G4">
        <f>B4*F4</f>
        <v/>
      </c>
      <c r="H4">
        <f>EXP(Main_Effects_Mechanics!$G$11+Main_Effects_Mechanics!$G$12*F4+Main_Effects_Mechanics!$G$13*B4)</f>
        <v/>
      </c>
      <c r="I4">
        <f>LN(H4)</f>
        <v/>
      </c>
      <c r="J4">
        <f>EXP(Interaction_Mechanics!$H$12+Interaction_Mechanics!$H$13*F4+Interaction_Mechanics!$H$14*B4+Interaction_Mechanics!$H$15*G4)</f>
        <v/>
      </c>
      <c r="K4">
        <f>LN(J4)</f>
        <v/>
      </c>
      <c r="L4">
        <f>IF(C4="F",B4,NA())</f>
        <v/>
      </c>
      <c r="M4">
        <f>IF(C4="F",E4,NA())</f>
        <v/>
      </c>
      <c r="N4">
        <f>IF(C4="F",I4,NA())</f>
        <v/>
      </c>
      <c r="O4">
        <f>IF(C4="F",K4,NA())</f>
        <v/>
      </c>
      <c r="P4">
        <f>IF(C4="M",B4,NA())</f>
        <v/>
      </c>
      <c r="Q4">
        <f>IF(C4="M",E4,NA())</f>
        <v/>
      </c>
      <c r="R4">
        <f>IF(C4="M",I4,NA())</f>
        <v/>
      </c>
      <c r="S4">
        <f>IF(C4="M",K4,NA())</f>
        <v/>
      </c>
    </row>
    <row r="5">
      <c r="A5" t="n">
        <v>4</v>
      </c>
      <c r="B5" t="n">
        <v>39</v>
      </c>
      <c r="C5" t="inlineStr">
        <is>
          <t>F</t>
        </is>
      </c>
      <c r="D5" t="n">
        <v>0.8</v>
      </c>
      <c r="E5">
        <f>LN(D5)</f>
        <v/>
      </c>
      <c r="F5">
        <f>--(C5="M")</f>
        <v/>
      </c>
      <c r="G5">
        <f>B5*F5</f>
        <v/>
      </c>
      <c r="H5">
        <f>EXP(Main_Effects_Mechanics!$G$11+Main_Effects_Mechanics!$G$12*F5+Main_Effects_Mechanics!$G$13*B5)</f>
        <v/>
      </c>
      <c r="I5">
        <f>LN(H5)</f>
        <v/>
      </c>
      <c r="J5">
        <f>EXP(Interaction_Mechanics!$H$12+Interaction_Mechanics!$H$13*F5+Interaction_Mechanics!$H$14*B5+Interaction_Mechanics!$H$15*G5)</f>
        <v/>
      </c>
      <c r="K5">
        <f>LN(J5)</f>
        <v/>
      </c>
      <c r="L5">
        <f>IF(C5="F",B5,NA())</f>
        <v/>
      </c>
      <c r="M5">
        <f>IF(C5="F",E5,NA())</f>
        <v/>
      </c>
      <c r="N5">
        <f>IF(C5="F",I5,NA())</f>
        <v/>
      </c>
      <c r="O5">
        <f>IF(C5="F",K5,NA())</f>
        <v/>
      </c>
      <c r="P5">
        <f>IF(C5="M",B5,NA())</f>
        <v/>
      </c>
      <c r="Q5">
        <f>IF(C5="M",E5,NA())</f>
        <v/>
      </c>
      <c r="R5">
        <f>IF(C5="M",I5,NA())</f>
        <v/>
      </c>
      <c r="S5">
        <f>IF(C5="M",K5,NA())</f>
        <v/>
      </c>
    </row>
    <row r="6">
      <c r="A6" t="n">
        <v>5</v>
      </c>
      <c r="B6" t="n">
        <v>40</v>
      </c>
      <c r="C6" t="inlineStr">
        <is>
          <t>F</t>
        </is>
      </c>
      <c r="D6" t="n">
        <v>0.84</v>
      </c>
      <c r="E6">
        <f>LN(D6)</f>
        <v/>
      </c>
      <c r="F6">
        <f>--(C6="M")</f>
        <v/>
      </c>
      <c r="G6">
        <f>B6*F6</f>
        <v/>
      </c>
      <c r="H6">
        <f>EXP(Main_Effects_Mechanics!$G$11+Main_Effects_Mechanics!$G$12*F6+Main_Effects_Mechanics!$G$13*B6)</f>
        <v/>
      </c>
      <c r="I6">
        <f>LN(H6)</f>
        <v/>
      </c>
      <c r="J6">
        <f>EXP(Interaction_Mechanics!$H$12+Interaction_Mechanics!$H$13*F6+Interaction_Mechanics!$H$14*B6+Interaction_Mechanics!$H$15*G6)</f>
        <v/>
      </c>
      <c r="K6">
        <f>LN(J6)</f>
        <v/>
      </c>
      <c r="L6">
        <f>IF(C6="F",B6,NA())</f>
        <v/>
      </c>
      <c r="M6">
        <f>IF(C6="F",E6,NA())</f>
        <v/>
      </c>
      <c r="N6">
        <f>IF(C6="F",I6,NA())</f>
        <v/>
      </c>
      <c r="O6">
        <f>IF(C6="F",K6,NA())</f>
        <v/>
      </c>
      <c r="P6">
        <f>IF(C6="M",B6,NA())</f>
        <v/>
      </c>
      <c r="Q6">
        <f>IF(C6="M",E6,NA())</f>
        <v/>
      </c>
      <c r="R6">
        <f>IF(C6="M",I6,NA())</f>
        <v/>
      </c>
      <c r="S6">
        <f>IF(C6="M",K6,NA())</f>
        <v/>
      </c>
    </row>
    <row r="7">
      <c r="A7" t="n">
        <v>6</v>
      </c>
      <c r="B7" t="n">
        <v>41</v>
      </c>
      <c r="C7" t="inlineStr">
        <is>
          <t>F</t>
        </is>
      </c>
      <c r="D7" t="n">
        <v>0.88</v>
      </c>
      <c r="E7">
        <f>LN(D7)</f>
        <v/>
      </c>
      <c r="F7">
        <f>--(C7="M")</f>
        <v/>
      </c>
      <c r="G7">
        <f>B7*F7</f>
        <v/>
      </c>
      <c r="H7">
        <f>EXP(Main_Effects_Mechanics!$G$11+Main_Effects_Mechanics!$G$12*F7+Main_Effects_Mechanics!$G$13*B7)</f>
        <v/>
      </c>
      <c r="I7">
        <f>LN(H7)</f>
        <v/>
      </c>
      <c r="J7">
        <f>EXP(Interaction_Mechanics!$H$12+Interaction_Mechanics!$H$13*F7+Interaction_Mechanics!$H$14*B7+Interaction_Mechanics!$H$15*G7)</f>
        <v/>
      </c>
      <c r="K7">
        <f>LN(J7)</f>
        <v/>
      </c>
      <c r="L7">
        <f>IF(C7="F",B7,NA())</f>
        <v/>
      </c>
      <c r="M7">
        <f>IF(C7="F",E7,NA())</f>
        <v/>
      </c>
      <c r="N7">
        <f>IF(C7="F",I7,NA())</f>
        <v/>
      </c>
      <c r="O7">
        <f>IF(C7="F",K7,NA())</f>
        <v/>
      </c>
      <c r="P7">
        <f>IF(C7="M",B7,NA())</f>
        <v/>
      </c>
      <c r="Q7">
        <f>IF(C7="M",E7,NA())</f>
        <v/>
      </c>
      <c r="R7">
        <f>IF(C7="M",I7,NA())</f>
        <v/>
      </c>
      <c r="S7">
        <f>IF(C7="M",K7,NA())</f>
        <v/>
      </c>
    </row>
    <row r="8">
      <c r="A8" t="n">
        <v>7</v>
      </c>
      <c r="B8" t="n">
        <v>42</v>
      </c>
      <c r="C8" t="inlineStr">
        <is>
          <t>F</t>
        </is>
      </c>
      <c r="D8" t="n">
        <v>0.91</v>
      </c>
      <c r="E8">
        <f>LN(D8)</f>
        <v/>
      </c>
      <c r="F8">
        <f>--(C8="M")</f>
        <v/>
      </c>
      <c r="G8">
        <f>B8*F8</f>
        <v/>
      </c>
      <c r="H8">
        <f>EXP(Main_Effects_Mechanics!$G$11+Main_Effects_Mechanics!$G$12*F8+Main_Effects_Mechanics!$G$13*B8)</f>
        <v/>
      </c>
      <c r="I8">
        <f>LN(H8)</f>
        <v/>
      </c>
      <c r="J8">
        <f>EXP(Interaction_Mechanics!$H$12+Interaction_Mechanics!$H$13*F8+Interaction_Mechanics!$H$14*B8+Interaction_Mechanics!$H$15*G8)</f>
        <v/>
      </c>
      <c r="K8">
        <f>LN(J8)</f>
        <v/>
      </c>
      <c r="L8">
        <f>IF(C8="F",B8,NA())</f>
        <v/>
      </c>
      <c r="M8">
        <f>IF(C8="F",E8,NA())</f>
        <v/>
      </c>
      <c r="N8">
        <f>IF(C8="F",I8,NA())</f>
        <v/>
      </c>
      <c r="O8">
        <f>IF(C8="F",K8,NA())</f>
        <v/>
      </c>
      <c r="P8">
        <f>IF(C8="M",B8,NA())</f>
        <v/>
      </c>
      <c r="Q8">
        <f>IF(C8="M",E8,NA())</f>
        <v/>
      </c>
      <c r="R8">
        <f>IF(C8="M",I8,NA())</f>
        <v/>
      </c>
      <c r="S8">
        <f>IF(C8="M",K8,NA())</f>
        <v/>
      </c>
    </row>
    <row r="9">
      <c r="A9" t="n">
        <v>8</v>
      </c>
      <c r="B9" t="n">
        <v>43</v>
      </c>
      <c r="C9" t="inlineStr">
        <is>
          <t>F</t>
        </is>
      </c>
      <c r="D9" t="n">
        <v>0.9399999999999999</v>
      </c>
      <c r="E9">
        <f>LN(D9)</f>
        <v/>
      </c>
      <c r="F9">
        <f>--(C9="M")</f>
        <v/>
      </c>
      <c r="G9">
        <f>B9*F9</f>
        <v/>
      </c>
      <c r="H9">
        <f>EXP(Main_Effects_Mechanics!$G$11+Main_Effects_Mechanics!$G$12*F9+Main_Effects_Mechanics!$G$13*B9)</f>
        <v/>
      </c>
      <c r="I9">
        <f>LN(H9)</f>
        <v/>
      </c>
      <c r="J9">
        <f>EXP(Interaction_Mechanics!$H$12+Interaction_Mechanics!$H$13*F9+Interaction_Mechanics!$H$14*B9+Interaction_Mechanics!$H$15*G9)</f>
        <v/>
      </c>
      <c r="K9">
        <f>LN(J9)</f>
        <v/>
      </c>
      <c r="L9">
        <f>IF(C9="F",B9,NA())</f>
        <v/>
      </c>
      <c r="M9">
        <f>IF(C9="F",E9,NA())</f>
        <v/>
      </c>
      <c r="N9">
        <f>IF(C9="F",I9,NA())</f>
        <v/>
      </c>
      <c r="O9">
        <f>IF(C9="F",K9,NA())</f>
        <v/>
      </c>
      <c r="P9">
        <f>IF(C9="M",B9,NA())</f>
        <v/>
      </c>
      <c r="Q9">
        <f>IF(C9="M",E9,NA())</f>
        <v/>
      </c>
      <c r="R9">
        <f>IF(C9="M",I9,NA())</f>
        <v/>
      </c>
      <c r="S9">
        <f>IF(C9="M",K9,NA())</f>
        <v/>
      </c>
    </row>
    <row r="10">
      <c r="A10" t="n">
        <v>9</v>
      </c>
      <c r="B10" t="n">
        <v>44</v>
      </c>
      <c r="C10" t="inlineStr">
        <is>
          <t>F</t>
        </is>
      </c>
      <c r="D10" t="n">
        <v>0.99</v>
      </c>
      <c r="E10">
        <f>LN(D10)</f>
        <v/>
      </c>
      <c r="F10">
        <f>--(C10="M")</f>
        <v/>
      </c>
      <c r="G10">
        <f>B10*F10</f>
        <v/>
      </c>
      <c r="H10">
        <f>EXP(Main_Effects_Mechanics!$G$11+Main_Effects_Mechanics!$G$12*F10+Main_Effects_Mechanics!$G$13*B10)</f>
        <v/>
      </c>
      <c r="I10">
        <f>LN(H10)</f>
        <v/>
      </c>
      <c r="J10">
        <f>EXP(Interaction_Mechanics!$H$12+Interaction_Mechanics!$H$13*F10+Interaction_Mechanics!$H$14*B10+Interaction_Mechanics!$H$15*G10)</f>
        <v/>
      </c>
      <c r="K10">
        <f>LN(J10)</f>
        <v/>
      </c>
      <c r="L10">
        <f>IF(C10="F",B10,NA())</f>
        <v/>
      </c>
      <c r="M10">
        <f>IF(C10="F",E10,NA())</f>
        <v/>
      </c>
      <c r="N10">
        <f>IF(C10="F",I10,NA())</f>
        <v/>
      </c>
      <c r="O10">
        <f>IF(C10="F",K10,NA())</f>
        <v/>
      </c>
      <c r="P10">
        <f>IF(C10="M",B10,NA())</f>
        <v/>
      </c>
      <c r="Q10">
        <f>IF(C10="M",E10,NA())</f>
        <v/>
      </c>
      <c r="R10">
        <f>IF(C10="M",I10,NA())</f>
        <v/>
      </c>
      <c r="S10">
        <f>IF(C10="M",K10,NA())</f>
        <v/>
      </c>
    </row>
    <row r="11">
      <c r="A11" t="n">
        <v>10</v>
      </c>
      <c r="B11" t="n">
        <v>45</v>
      </c>
      <c r="C11" t="inlineStr">
        <is>
          <t>F</t>
        </is>
      </c>
      <c r="D11" t="n">
        <v>1.04</v>
      </c>
      <c r="E11">
        <f>LN(D11)</f>
        <v/>
      </c>
      <c r="F11">
        <f>--(C11="M")</f>
        <v/>
      </c>
      <c r="G11">
        <f>B11*F11</f>
        <v/>
      </c>
      <c r="H11">
        <f>EXP(Main_Effects_Mechanics!$G$11+Main_Effects_Mechanics!$G$12*F11+Main_Effects_Mechanics!$G$13*B11)</f>
        <v/>
      </c>
      <c r="I11">
        <f>LN(H11)</f>
        <v/>
      </c>
      <c r="J11">
        <f>EXP(Interaction_Mechanics!$H$12+Interaction_Mechanics!$H$13*F11+Interaction_Mechanics!$H$14*B11+Interaction_Mechanics!$H$15*G11)</f>
        <v/>
      </c>
      <c r="K11">
        <f>LN(J11)</f>
        <v/>
      </c>
      <c r="L11">
        <f>IF(C11="F",B11,NA())</f>
        <v/>
      </c>
      <c r="M11">
        <f>IF(C11="F",E11,NA())</f>
        <v/>
      </c>
      <c r="N11">
        <f>IF(C11="F",I11,NA())</f>
        <v/>
      </c>
      <c r="O11">
        <f>IF(C11="F",K11,NA())</f>
        <v/>
      </c>
      <c r="P11">
        <f>IF(C11="M",B11,NA())</f>
        <v/>
      </c>
      <c r="Q11">
        <f>IF(C11="M",E11,NA())</f>
        <v/>
      </c>
      <c r="R11">
        <f>IF(C11="M",I11,NA())</f>
        <v/>
      </c>
      <c r="S11">
        <f>IF(C11="M",K11,NA())</f>
        <v/>
      </c>
    </row>
    <row r="12">
      <c r="A12" t="n">
        <v>11</v>
      </c>
      <c r="B12" t="n">
        <v>46</v>
      </c>
      <c r="C12" t="inlineStr">
        <is>
          <t>F</t>
        </is>
      </c>
      <c r="D12" t="n">
        <v>1.09</v>
      </c>
      <c r="E12">
        <f>LN(D12)</f>
        <v/>
      </c>
      <c r="F12">
        <f>--(C12="M")</f>
        <v/>
      </c>
      <c r="G12">
        <f>B12*F12</f>
        <v/>
      </c>
      <c r="H12">
        <f>EXP(Main_Effects_Mechanics!$G$11+Main_Effects_Mechanics!$G$12*F12+Main_Effects_Mechanics!$G$13*B12)</f>
        <v/>
      </c>
      <c r="I12">
        <f>LN(H12)</f>
        <v/>
      </c>
      <c r="J12">
        <f>EXP(Interaction_Mechanics!$H$12+Interaction_Mechanics!$H$13*F12+Interaction_Mechanics!$H$14*B12+Interaction_Mechanics!$H$15*G12)</f>
        <v/>
      </c>
      <c r="K12">
        <f>LN(J12)</f>
        <v/>
      </c>
      <c r="L12">
        <f>IF(C12="F",B12,NA())</f>
        <v/>
      </c>
      <c r="M12">
        <f>IF(C12="F",E12,NA())</f>
        <v/>
      </c>
      <c r="N12">
        <f>IF(C12="F",I12,NA())</f>
        <v/>
      </c>
      <c r="O12">
        <f>IF(C12="F",K12,NA())</f>
        <v/>
      </c>
      <c r="P12">
        <f>IF(C12="M",B12,NA())</f>
        <v/>
      </c>
      <c r="Q12">
        <f>IF(C12="M",E12,NA())</f>
        <v/>
      </c>
      <c r="R12">
        <f>IF(C12="M",I12,NA())</f>
        <v/>
      </c>
      <c r="S12">
        <f>IF(C12="M",K12,NA())</f>
        <v/>
      </c>
    </row>
    <row r="13">
      <c r="A13" t="n">
        <v>12</v>
      </c>
      <c r="B13" t="n">
        <v>47</v>
      </c>
      <c r="C13" t="inlineStr">
        <is>
          <t>F</t>
        </is>
      </c>
      <c r="D13" t="n">
        <v>1.15</v>
      </c>
      <c r="E13">
        <f>LN(D13)</f>
        <v/>
      </c>
      <c r="F13">
        <f>--(C13="M")</f>
        <v/>
      </c>
      <c r="G13">
        <f>B13*F13</f>
        <v/>
      </c>
      <c r="H13">
        <f>EXP(Main_Effects_Mechanics!$G$11+Main_Effects_Mechanics!$G$12*F13+Main_Effects_Mechanics!$G$13*B13)</f>
        <v/>
      </c>
      <c r="I13">
        <f>LN(H13)</f>
        <v/>
      </c>
      <c r="J13">
        <f>EXP(Interaction_Mechanics!$H$12+Interaction_Mechanics!$H$13*F13+Interaction_Mechanics!$H$14*B13+Interaction_Mechanics!$H$15*G13)</f>
        <v/>
      </c>
      <c r="K13">
        <f>LN(J13)</f>
        <v/>
      </c>
      <c r="L13">
        <f>IF(C13="F",B13,NA())</f>
        <v/>
      </c>
      <c r="M13">
        <f>IF(C13="F",E13,NA())</f>
        <v/>
      </c>
      <c r="N13">
        <f>IF(C13="F",I13,NA())</f>
        <v/>
      </c>
      <c r="O13">
        <f>IF(C13="F",K13,NA())</f>
        <v/>
      </c>
      <c r="P13">
        <f>IF(C13="M",B13,NA())</f>
        <v/>
      </c>
      <c r="Q13">
        <f>IF(C13="M",E13,NA())</f>
        <v/>
      </c>
      <c r="R13">
        <f>IF(C13="M",I13,NA())</f>
        <v/>
      </c>
      <c r="S13">
        <f>IF(C13="M",K13,NA())</f>
        <v/>
      </c>
    </row>
    <row r="14">
      <c r="A14" t="n">
        <v>13</v>
      </c>
      <c r="B14" t="n">
        <v>48</v>
      </c>
      <c r="C14" t="inlineStr">
        <is>
          <t>F</t>
        </is>
      </c>
      <c r="D14" t="n">
        <v>1.26</v>
      </c>
      <c r="E14">
        <f>LN(D14)</f>
        <v/>
      </c>
      <c r="F14">
        <f>--(C14="M")</f>
        <v/>
      </c>
      <c r="G14">
        <f>B14*F14</f>
        <v/>
      </c>
      <c r="H14">
        <f>EXP(Main_Effects_Mechanics!$G$11+Main_Effects_Mechanics!$G$12*F14+Main_Effects_Mechanics!$G$13*B14)</f>
        <v/>
      </c>
      <c r="I14">
        <f>LN(H14)</f>
        <v/>
      </c>
      <c r="J14">
        <f>EXP(Interaction_Mechanics!$H$12+Interaction_Mechanics!$H$13*F14+Interaction_Mechanics!$H$14*B14+Interaction_Mechanics!$H$15*G14)</f>
        <v/>
      </c>
      <c r="K14">
        <f>LN(J14)</f>
        <v/>
      </c>
      <c r="L14">
        <f>IF(C14="F",B14,NA())</f>
        <v/>
      </c>
      <c r="M14">
        <f>IF(C14="F",E14,NA())</f>
        <v/>
      </c>
      <c r="N14">
        <f>IF(C14="F",I14,NA())</f>
        <v/>
      </c>
      <c r="O14">
        <f>IF(C14="F",K14,NA())</f>
        <v/>
      </c>
      <c r="P14">
        <f>IF(C14="M",B14,NA())</f>
        <v/>
      </c>
      <c r="Q14">
        <f>IF(C14="M",E14,NA())</f>
        <v/>
      </c>
      <c r="R14">
        <f>IF(C14="M",I14,NA())</f>
        <v/>
      </c>
      <c r="S14">
        <f>IF(C14="M",K14,NA())</f>
        <v/>
      </c>
    </row>
    <row r="15">
      <c r="A15" t="n">
        <v>14</v>
      </c>
      <c r="B15" t="n">
        <v>49</v>
      </c>
      <c r="C15" t="inlineStr">
        <is>
          <t>F</t>
        </is>
      </c>
      <c r="D15" t="n">
        <v>1.36</v>
      </c>
      <c r="E15">
        <f>LN(D15)</f>
        <v/>
      </c>
      <c r="F15">
        <f>--(C15="M")</f>
        <v/>
      </c>
      <c r="G15">
        <f>B15*F15</f>
        <v/>
      </c>
      <c r="H15">
        <f>EXP(Main_Effects_Mechanics!$G$11+Main_Effects_Mechanics!$G$12*F15+Main_Effects_Mechanics!$G$13*B15)</f>
        <v/>
      </c>
      <c r="I15">
        <f>LN(H15)</f>
        <v/>
      </c>
      <c r="J15">
        <f>EXP(Interaction_Mechanics!$H$12+Interaction_Mechanics!$H$13*F15+Interaction_Mechanics!$H$14*B15+Interaction_Mechanics!$H$15*G15)</f>
        <v/>
      </c>
      <c r="K15">
        <f>LN(J15)</f>
        <v/>
      </c>
      <c r="L15">
        <f>IF(C15="F",B15,NA())</f>
        <v/>
      </c>
      <c r="M15">
        <f>IF(C15="F",E15,NA())</f>
        <v/>
      </c>
      <c r="N15">
        <f>IF(C15="F",I15,NA())</f>
        <v/>
      </c>
      <c r="O15">
        <f>IF(C15="F",K15,NA())</f>
        <v/>
      </c>
      <c r="P15">
        <f>IF(C15="M",B15,NA())</f>
        <v/>
      </c>
      <c r="Q15">
        <f>IF(C15="M",E15,NA())</f>
        <v/>
      </c>
      <c r="R15">
        <f>IF(C15="M",I15,NA())</f>
        <v/>
      </c>
      <c r="S15">
        <f>IF(C15="M",K15,NA())</f>
        <v/>
      </c>
    </row>
    <row r="16">
      <c r="A16" t="n">
        <v>15</v>
      </c>
      <c r="B16" t="n">
        <v>50</v>
      </c>
      <c r="C16" t="inlineStr">
        <is>
          <t>F</t>
        </is>
      </c>
      <c r="D16" t="n">
        <v>1.46</v>
      </c>
      <c r="E16">
        <f>LN(D16)</f>
        <v/>
      </c>
      <c r="F16">
        <f>--(C16="M")</f>
        <v/>
      </c>
      <c r="G16">
        <f>B16*F16</f>
        <v/>
      </c>
      <c r="H16">
        <f>EXP(Main_Effects_Mechanics!$G$11+Main_Effects_Mechanics!$G$12*F16+Main_Effects_Mechanics!$G$13*B16)</f>
        <v/>
      </c>
      <c r="I16">
        <f>LN(H16)</f>
        <v/>
      </c>
      <c r="J16">
        <f>EXP(Interaction_Mechanics!$H$12+Interaction_Mechanics!$H$13*F16+Interaction_Mechanics!$H$14*B16+Interaction_Mechanics!$H$15*G16)</f>
        <v/>
      </c>
      <c r="K16">
        <f>LN(J16)</f>
        <v/>
      </c>
      <c r="L16">
        <f>IF(C16="F",B16,NA())</f>
        <v/>
      </c>
      <c r="M16">
        <f>IF(C16="F",E16,NA())</f>
        <v/>
      </c>
      <c r="N16">
        <f>IF(C16="F",I16,NA())</f>
        <v/>
      </c>
      <c r="O16">
        <f>IF(C16="F",K16,NA())</f>
        <v/>
      </c>
      <c r="P16">
        <f>IF(C16="M",B16,NA())</f>
        <v/>
      </c>
      <c r="Q16">
        <f>IF(C16="M",E16,NA())</f>
        <v/>
      </c>
      <c r="R16">
        <f>IF(C16="M",I16,NA())</f>
        <v/>
      </c>
      <c r="S16">
        <f>IF(C16="M",K16,NA())</f>
        <v/>
      </c>
    </row>
    <row r="17">
      <c r="A17" t="n">
        <v>16</v>
      </c>
      <c r="B17" t="n">
        <v>51</v>
      </c>
      <c r="C17" t="inlineStr">
        <is>
          <t>F</t>
        </is>
      </c>
      <c r="D17" t="n">
        <v>1.57</v>
      </c>
      <c r="E17">
        <f>LN(D17)</f>
        <v/>
      </c>
      <c r="F17">
        <f>--(C17="M")</f>
        <v/>
      </c>
      <c r="G17">
        <f>B17*F17</f>
        <v/>
      </c>
      <c r="H17">
        <f>EXP(Main_Effects_Mechanics!$G$11+Main_Effects_Mechanics!$G$12*F17+Main_Effects_Mechanics!$G$13*B17)</f>
        <v/>
      </c>
      <c r="I17">
        <f>LN(H17)</f>
        <v/>
      </c>
      <c r="J17">
        <f>EXP(Interaction_Mechanics!$H$12+Interaction_Mechanics!$H$13*F17+Interaction_Mechanics!$H$14*B17+Interaction_Mechanics!$H$15*G17)</f>
        <v/>
      </c>
      <c r="K17">
        <f>LN(J17)</f>
        <v/>
      </c>
      <c r="L17">
        <f>IF(C17="F",B17,NA())</f>
        <v/>
      </c>
      <c r="M17">
        <f>IF(C17="F",E17,NA())</f>
        <v/>
      </c>
      <c r="N17">
        <f>IF(C17="F",I17,NA())</f>
        <v/>
      </c>
      <c r="O17">
        <f>IF(C17="F",K17,NA())</f>
        <v/>
      </c>
      <c r="P17">
        <f>IF(C17="M",B17,NA())</f>
        <v/>
      </c>
      <c r="Q17">
        <f>IF(C17="M",E17,NA())</f>
        <v/>
      </c>
      <c r="R17">
        <f>IF(C17="M",I17,NA())</f>
        <v/>
      </c>
      <c r="S17">
        <f>IF(C17="M",K17,NA())</f>
        <v/>
      </c>
    </row>
    <row r="18">
      <c r="A18" t="n">
        <v>17</v>
      </c>
      <c r="B18" t="n">
        <v>52</v>
      </c>
      <c r="C18" t="inlineStr">
        <is>
          <t>F</t>
        </is>
      </c>
      <c r="D18" t="n">
        <v>1.69</v>
      </c>
      <c r="E18">
        <f>LN(D18)</f>
        <v/>
      </c>
      <c r="F18">
        <f>--(C18="M")</f>
        <v/>
      </c>
      <c r="G18">
        <f>B18*F18</f>
        <v/>
      </c>
      <c r="H18">
        <f>EXP(Main_Effects_Mechanics!$G$11+Main_Effects_Mechanics!$G$12*F18+Main_Effects_Mechanics!$G$13*B18)</f>
        <v/>
      </c>
      <c r="I18">
        <f>LN(H18)</f>
        <v/>
      </c>
      <c r="J18">
        <f>EXP(Interaction_Mechanics!$H$12+Interaction_Mechanics!$H$13*F18+Interaction_Mechanics!$H$14*B18+Interaction_Mechanics!$H$15*G18)</f>
        <v/>
      </c>
      <c r="K18">
        <f>LN(J18)</f>
        <v/>
      </c>
      <c r="L18">
        <f>IF(C18="F",B18,NA())</f>
        <v/>
      </c>
      <c r="M18">
        <f>IF(C18="F",E18,NA())</f>
        <v/>
      </c>
      <c r="N18">
        <f>IF(C18="F",I18,NA())</f>
        <v/>
      </c>
      <c r="O18">
        <f>IF(C18="F",K18,NA())</f>
        <v/>
      </c>
      <c r="P18">
        <f>IF(C18="M",B18,NA())</f>
        <v/>
      </c>
      <c r="Q18">
        <f>IF(C18="M",E18,NA())</f>
        <v/>
      </c>
      <c r="R18">
        <f>IF(C18="M",I18,NA())</f>
        <v/>
      </c>
      <c r="S18">
        <f>IF(C18="M",K18,NA())</f>
        <v/>
      </c>
    </row>
    <row r="19">
      <c r="A19" t="n">
        <v>18</v>
      </c>
      <c r="B19" t="n">
        <v>53</v>
      </c>
      <c r="C19" t="inlineStr">
        <is>
          <t>F</t>
        </is>
      </c>
      <c r="D19" t="n">
        <v>1.84</v>
      </c>
      <c r="E19">
        <f>LN(D19)</f>
        <v/>
      </c>
      <c r="F19">
        <f>--(C19="M")</f>
        <v/>
      </c>
      <c r="G19">
        <f>B19*F19</f>
        <v/>
      </c>
      <c r="H19">
        <f>EXP(Main_Effects_Mechanics!$G$11+Main_Effects_Mechanics!$G$12*F19+Main_Effects_Mechanics!$G$13*B19)</f>
        <v/>
      </c>
      <c r="I19">
        <f>LN(H19)</f>
        <v/>
      </c>
      <c r="J19">
        <f>EXP(Interaction_Mechanics!$H$12+Interaction_Mechanics!$H$13*F19+Interaction_Mechanics!$H$14*B19+Interaction_Mechanics!$H$15*G19)</f>
        <v/>
      </c>
      <c r="K19">
        <f>LN(J19)</f>
        <v/>
      </c>
      <c r="L19">
        <f>IF(C19="F",B19,NA())</f>
        <v/>
      </c>
      <c r="M19">
        <f>IF(C19="F",E19,NA())</f>
        <v/>
      </c>
      <c r="N19">
        <f>IF(C19="F",I19,NA())</f>
        <v/>
      </c>
      <c r="O19">
        <f>IF(C19="F",K19,NA())</f>
        <v/>
      </c>
      <c r="P19">
        <f>IF(C19="M",B19,NA())</f>
        <v/>
      </c>
      <c r="Q19">
        <f>IF(C19="M",E19,NA())</f>
        <v/>
      </c>
      <c r="R19">
        <f>IF(C19="M",I19,NA())</f>
        <v/>
      </c>
      <c r="S19">
        <f>IF(C19="M",K19,NA())</f>
        <v/>
      </c>
    </row>
    <row r="20">
      <c r="A20" t="n">
        <v>19</v>
      </c>
      <c r="B20" t="n">
        <v>54</v>
      </c>
      <c r="C20" t="inlineStr">
        <is>
          <t>F</t>
        </is>
      </c>
      <c r="D20" t="n">
        <v>2.02</v>
      </c>
      <c r="E20">
        <f>LN(D20)</f>
        <v/>
      </c>
      <c r="F20">
        <f>--(C20="M")</f>
        <v/>
      </c>
      <c r="G20">
        <f>B20*F20</f>
        <v/>
      </c>
      <c r="H20">
        <f>EXP(Main_Effects_Mechanics!$G$11+Main_Effects_Mechanics!$G$12*F20+Main_Effects_Mechanics!$G$13*B20)</f>
        <v/>
      </c>
      <c r="I20">
        <f>LN(H20)</f>
        <v/>
      </c>
      <c r="J20">
        <f>EXP(Interaction_Mechanics!$H$12+Interaction_Mechanics!$H$13*F20+Interaction_Mechanics!$H$14*B20+Interaction_Mechanics!$H$15*G20)</f>
        <v/>
      </c>
      <c r="K20">
        <f>LN(J20)</f>
        <v/>
      </c>
      <c r="L20">
        <f>IF(C20="F",B20,NA())</f>
        <v/>
      </c>
      <c r="M20">
        <f>IF(C20="F",E20,NA())</f>
        <v/>
      </c>
      <c r="N20">
        <f>IF(C20="F",I20,NA())</f>
        <v/>
      </c>
      <c r="O20">
        <f>IF(C20="F",K20,NA())</f>
        <v/>
      </c>
      <c r="P20">
        <f>IF(C20="M",B20,NA())</f>
        <v/>
      </c>
      <c r="Q20">
        <f>IF(C20="M",E20,NA())</f>
        <v/>
      </c>
      <c r="R20">
        <f>IF(C20="M",I20,NA())</f>
        <v/>
      </c>
      <c r="S20">
        <f>IF(C20="M",K20,NA())</f>
        <v/>
      </c>
    </row>
    <row r="21">
      <c r="A21" t="n">
        <v>20</v>
      </c>
      <c r="B21" t="n">
        <v>55</v>
      </c>
      <c r="C21" t="inlineStr">
        <is>
          <t>F</t>
        </is>
      </c>
      <c r="D21" t="n">
        <v>2.23</v>
      </c>
      <c r="E21">
        <f>LN(D21)</f>
        <v/>
      </c>
      <c r="F21">
        <f>--(C21="M")</f>
        <v/>
      </c>
      <c r="G21">
        <f>B21*F21</f>
        <v/>
      </c>
      <c r="H21">
        <f>EXP(Main_Effects_Mechanics!$G$11+Main_Effects_Mechanics!$G$12*F21+Main_Effects_Mechanics!$G$13*B21)</f>
        <v/>
      </c>
      <c r="I21">
        <f>LN(H21)</f>
        <v/>
      </c>
      <c r="J21">
        <f>EXP(Interaction_Mechanics!$H$12+Interaction_Mechanics!$H$13*F21+Interaction_Mechanics!$H$14*B21+Interaction_Mechanics!$H$15*G21)</f>
        <v/>
      </c>
      <c r="K21">
        <f>LN(J21)</f>
        <v/>
      </c>
      <c r="L21">
        <f>IF(C21="F",B21,NA())</f>
        <v/>
      </c>
      <c r="M21">
        <f>IF(C21="F",E21,NA())</f>
        <v/>
      </c>
      <c r="N21">
        <f>IF(C21="F",I21,NA())</f>
        <v/>
      </c>
      <c r="O21">
        <f>IF(C21="F",K21,NA())</f>
        <v/>
      </c>
      <c r="P21">
        <f>IF(C21="M",B21,NA())</f>
        <v/>
      </c>
      <c r="Q21">
        <f>IF(C21="M",E21,NA())</f>
        <v/>
      </c>
      <c r="R21">
        <f>IF(C21="M",I21,NA())</f>
        <v/>
      </c>
      <c r="S21">
        <f>IF(C21="M",K21,NA())</f>
        <v/>
      </c>
    </row>
    <row r="22">
      <c r="A22" t="n">
        <v>21</v>
      </c>
      <c r="B22" t="n">
        <v>56</v>
      </c>
      <c r="C22" t="inlineStr">
        <is>
          <t>F</t>
        </is>
      </c>
      <c r="D22" t="n">
        <v>2.46</v>
      </c>
      <c r="E22">
        <f>LN(D22)</f>
        <v/>
      </c>
      <c r="F22">
        <f>--(C22="M")</f>
        <v/>
      </c>
      <c r="G22">
        <f>B22*F22</f>
        <v/>
      </c>
      <c r="H22">
        <f>EXP(Main_Effects_Mechanics!$G$11+Main_Effects_Mechanics!$G$12*F22+Main_Effects_Mechanics!$G$13*B22)</f>
        <v/>
      </c>
      <c r="I22">
        <f>LN(H22)</f>
        <v/>
      </c>
      <c r="J22">
        <f>EXP(Interaction_Mechanics!$H$12+Interaction_Mechanics!$H$13*F22+Interaction_Mechanics!$H$14*B22+Interaction_Mechanics!$H$15*G22)</f>
        <v/>
      </c>
      <c r="K22">
        <f>LN(J22)</f>
        <v/>
      </c>
      <c r="L22">
        <f>IF(C22="F",B22,NA())</f>
        <v/>
      </c>
      <c r="M22">
        <f>IF(C22="F",E22,NA())</f>
        <v/>
      </c>
      <c r="N22">
        <f>IF(C22="F",I22,NA())</f>
        <v/>
      </c>
      <c r="O22">
        <f>IF(C22="F",K22,NA())</f>
        <v/>
      </c>
      <c r="P22">
        <f>IF(C22="M",B22,NA())</f>
        <v/>
      </c>
      <c r="Q22">
        <f>IF(C22="M",E22,NA())</f>
        <v/>
      </c>
      <c r="R22">
        <f>IF(C22="M",I22,NA())</f>
        <v/>
      </c>
      <c r="S22">
        <f>IF(C22="M",K22,NA())</f>
        <v/>
      </c>
    </row>
    <row r="23">
      <c r="A23" t="n">
        <v>22</v>
      </c>
      <c r="B23" t="n">
        <v>57</v>
      </c>
      <c r="C23" t="inlineStr">
        <is>
          <t>F</t>
        </is>
      </c>
      <c r="D23" t="n">
        <v>2.71</v>
      </c>
      <c r="E23">
        <f>LN(D23)</f>
        <v/>
      </c>
      <c r="F23">
        <f>--(C23="M")</f>
        <v/>
      </c>
      <c r="G23">
        <f>B23*F23</f>
        <v/>
      </c>
      <c r="H23">
        <f>EXP(Main_Effects_Mechanics!$G$11+Main_Effects_Mechanics!$G$12*F23+Main_Effects_Mechanics!$G$13*B23)</f>
        <v/>
      </c>
      <c r="I23">
        <f>LN(H23)</f>
        <v/>
      </c>
      <c r="J23">
        <f>EXP(Interaction_Mechanics!$H$12+Interaction_Mechanics!$H$13*F23+Interaction_Mechanics!$H$14*B23+Interaction_Mechanics!$H$15*G23)</f>
        <v/>
      </c>
      <c r="K23">
        <f>LN(J23)</f>
        <v/>
      </c>
      <c r="L23">
        <f>IF(C23="F",B23,NA())</f>
        <v/>
      </c>
      <c r="M23">
        <f>IF(C23="F",E23,NA())</f>
        <v/>
      </c>
      <c r="N23">
        <f>IF(C23="F",I23,NA())</f>
        <v/>
      </c>
      <c r="O23">
        <f>IF(C23="F",K23,NA())</f>
        <v/>
      </c>
      <c r="P23">
        <f>IF(C23="M",B23,NA())</f>
        <v/>
      </c>
      <c r="Q23">
        <f>IF(C23="M",E23,NA())</f>
        <v/>
      </c>
      <c r="R23">
        <f>IF(C23="M",I23,NA())</f>
        <v/>
      </c>
      <c r="S23">
        <f>IF(C23="M",K23,NA())</f>
        <v/>
      </c>
    </row>
    <row r="24">
      <c r="A24" t="n">
        <v>23</v>
      </c>
      <c r="B24" t="n">
        <v>58</v>
      </c>
      <c r="C24" t="inlineStr">
        <is>
          <t>F</t>
        </is>
      </c>
      <c r="D24" t="n">
        <v>2.99</v>
      </c>
      <c r="E24">
        <f>LN(D24)</f>
        <v/>
      </c>
      <c r="F24">
        <f>--(C24="M")</f>
        <v/>
      </c>
      <c r="G24">
        <f>B24*F24</f>
        <v/>
      </c>
      <c r="H24">
        <f>EXP(Main_Effects_Mechanics!$G$11+Main_Effects_Mechanics!$G$12*F24+Main_Effects_Mechanics!$G$13*B24)</f>
        <v/>
      </c>
      <c r="I24">
        <f>LN(H24)</f>
        <v/>
      </c>
      <c r="J24">
        <f>EXP(Interaction_Mechanics!$H$12+Interaction_Mechanics!$H$13*F24+Interaction_Mechanics!$H$14*B24+Interaction_Mechanics!$H$15*G24)</f>
        <v/>
      </c>
      <c r="K24">
        <f>LN(J24)</f>
        <v/>
      </c>
      <c r="L24">
        <f>IF(C24="F",B24,NA())</f>
        <v/>
      </c>
      <c r="M24">
        <f>IF(C24="F",E24,NA())</f>
        <v/>
      </c>
      <c r="N24">
        <f>IF(C24="F",I24,NA())</f>
        <v/>
      </c>
      <c r="O24">
        <f>IF(C24="F",K24,NA())</f>
        <v/>
      </c>
      <c r="P24">
        <f>IF(C24="M",B24,NA())</f>
        <v/>
      </c>
      <c r="Q24">
        <f>IF(C24="M",E24,NA())</f>
        <v/>
      </c>
      <c r="R24">
        <f>IF(C24="M",I24,NA())</f>
        <v/>
      </c>
      <c r="S24">
        <f>IF(C24="M",K24,NA())</f>
        <v/>
      </c>
    </row>
    <row r="25">
      <c r="A25" t="n">
        <v>24</v>
      </c>
      <c r="B25" t="n">
        <v>59</v>
      </c>
      <c r="C25" t="inlineStr">
        <is>
          <t>F</t>
        </is>
      </c>
      <c r="D25" t="n">
        <v>3.29</v>
      </c>
      <c r="E25">
        <f>LN(D25)</f>
        <v/>
      </c>
      <c r="F25">
        <f>--(C25="M")</f>
        <v/>
      </c>
      <c r="G25">
        <f>B25*F25</f>
        <v/>
      </c>
      <c r="H25">
        <f>EXP(Main_Effects_Mechanics!$G$11+Main_Effects_Mechanics!$G$12*F25+Main_Effects_Mechanics!$G$13*B25)</f>
        <v/>
      </c>
      <c r="I25">
        <f>LN(H25)</f>
        <v/>
      </c>
      <c r="J25">
        <f>EXP(Interaction_Mechanics!$H$12+Interaction_Mechanics!$H$13*F25+Interaction_Mechanics!$H$14*B25+Interaction_Mechanics!$H$15*G25)</f>
        <v/>
      </c>
      <c r="K25">
        <f>LN(J25)</f>
        <v/>
      </c>
      <c r="L25">
        <f>IF(C25="F",B25,NA())</f>
        <v/>
      </c>
      <c r="M25">
        <f>IF(C25="F",E25,NA())</f>
        <v/>
      </c>
      <c r="N25">
        <f>IF(C25="F",I25,NA())</f>
        <v/>
      </c>
      <c r="O25">
        <f>IF(C25="F",K25,NA())</f>
        <v/>
      </c>
      <c r="P25">
        <f>IF(C25="M",B25,NA())</f>
        <v/>
      </c>
      <c r="Q25">
        <f>IF(C25="M",E25,NA())</f>
        <v/>
      </c>
      <c r="R25">
        <f>IF(C25="M",I25,NA())</f>
        <v/>
      </c>
      <c r="S25">
        <f>IF(C25="M",K25,NA())</f>
        <v/>
      </c>
    </row>
    <row r="26">
      <c r="A26" t="n">
        <v>25</v>
      </c>
      <c r="B26" t="n">
        <v>60</v>
      </c>
      <c r="C26" t="inlineStr">
        <is>
          <t>F</t>
        </is>
      </c>
      <c r="D26" t="n">
        <v>3.63</v>
      </c>
      <c r="E26">
        <f>LN(D26)</f>
        <v/>
      </c>
      <c r="F26">
        <f>--(C26="M")</f>
        <v/>
      </c>
      <c r="G26">
        <f>B26*F26</f>
        <v/>
      </c>
      <c r="H26">
        <f>EXP(Main_Effects_Mechanics!$G$11+Main_Effects_Mechanics!$G$12*F26+Main_Effects_Mechanics!$G$13*B26)</f>
        <v/>
      </c>
      <c r="I26">
        <f>LN(H26)</f>
        <v/>
      </c>
      <c r="J26">
        <f>EXP(Interaction_Mechanics!$H$12+Interaction_Mechanics!$H$13*F26+Interaction_Mechanics!$H$14*B26+Interaction_Mechanics!$H$15*G26)</f>
        <v/>
      </c>
      <c r="K26">
        <f>LN(J26)</f>
        <v/>
      </c>
      <c r="L26">
        <f>IF(C26="F",B26,NA())</f>
        <v/>
      </c>
      <c r="M26">
        <f>IF(C26="F",E26,NA())</f>
        <v/>
      </c>
      <c r="N26">
        <f>IF(C26="F",I26,NA())</f>
        <v/>
      </c>
      <c r="O26">
        <f>IF(C26="F",K26,NA())</f>
        <v/>
      </c>
      <c r="P26">
        <f>IF(C26="M",B26,NA())</f>
        <v/>
      </c>
      <c r="Q26">
        <f>IF(C26="M",E26,NA())</f>
        <v/>
      </c>
      <c r="R26">
        <f>IF(C26="M",I26,NA())</f>
        <v/>
      </c>
      <c r="S26">
        <f>IF(C26="M",K26,NA())</f>
        <v/>
      </c>
    </row>
    <row r="27">
      <c r="A27" t="n">
        <v>26</v>
      </c>
      <c r="B27" t="n">
        <v>61</v>
      </c>
      <c r="C27" t="inlineStr">
        <is>
          <t>F</t>
        </is>
      </c>
      <c r="D27" t="n">
        <v>4.04</v>
      </c>
      <c r="E27">
        <f>LN(D27)</f>
        <v/>
      </c>
      <c r="F27">
        <f>--(C27="M")</f>
        <v/>
      </c>
      <c r="G27">
        <f>B27*F27</f>
        <v/>
      </c>
      <c r="H27">
        <f>EXP(Main_Effects_Mechanics!$G$11+Main_Effects_Mechanics!$G$12*F27+Main_Effects_Mechanics!$G$13*B27)</f>
        <v/>
      </c>
      <c r="I27">
        <f>LN(H27)</f>
        <v/>
      </c>
      <c r="J27">
        <f>EXP(Interaction_Mechanics!$H$12+Interaction_Mechanics!$H$13*F27+Interaction_Mechanics!$H$14*B27+Interaction_Mechanics!$H$15*G27)</f>
        <v/>
      </c>
      <c r="K27">
        <f>LN(J27)</f>
        <v/>
      </c>
      <c r="L27">
        <f>IF(C27="F",B27,NA())</f>
        <v/>
      </c>
      <c r="M27">
        <f>IF(C27="F",E27,NA())</f>
        <v/>
      </c>
      <c r="N27">
        <f>IF(C27="F",I27,NA())</f>
        <v/>
      </c>
      <c r="O27">
        <f>IF(C27="F",K27,NA())</f>
        <v/>
      </c>
      <c r="P27">
        <f>IF(C27="M",B27,NA())</f>
        <v/>
      </c>
      <c r="Q27">
        <f>IF(C27="M",E27,NA())</f>
        <v/>
      </c>
      <c r="R27">
        <f>IF(C27="M",I27,NA())</f>
        <v/>
      </c>
      <c r="S27">
        <f>IF(C27="M",K27,NA())</f>
        <v/>
      </c>
    </row>
    <row r="28">
      <c r="A28" t="n">
        <v>27</v>
      </c>
      <c r="B28" t="n">
        <v>62</v>
      </c>
      <c r="C28" t="inlineStr">
        <is>
          <t>F</t>
        </is>
      </c>
      <c r="D28" t="n">
        <v>4.45</v>
      </c>
      <c r="E28">
        <f>LN(D28)</f>
        <v/>
      </c>
      <c r="F28">
        <f>--(C28="M")</f>
        <v/>
      </c>
      <c r="G28">
        <f>B28*F28</f>
        <v/>
      </c>
      <c r="H28">
        <f>EXP(Main_Effects_Mechanics!$G$11+Main_Effects_Mechanics!$G$12*F28+Main_Effects_Mechanics!$G$13*B28)</f>
        <v/>
      </c>
      <c r="I28">
        <f>LN(H28)</f>
        <v/>
      </c>
      <c r="J28">
        <f>EXP(Interaction_Mechanics!$H$12+Interaction_Mechanics!$H$13*F28+Interaction_Mechanics!$H$14*B28+Interaction_Mechanics!$H$15*G28)</f>
        <v/>
      </c>
      <c r="K28">
        <f>LN(J28)</f>
        <v/>
      </c>
      <c r="L28">
        <f>IF(C28="F",B28,NA())</f>
        <v/>
      </c>
      <c r="M28">
        <f>IF(C28="F",E28,NA())</f>
        <v/>
      </c>
      <c r="N28">
        <f>IF(C28="F",I28,NA())</f>
        <v/>
      </c>
      <c r="O28">
        <f>IF(C28="F",K28,NA())</f>
        <v/>
      </c>
      <c r="P28">
        <f>IF(C28="M",B28,NA())</f>
        <v/>
      </c>
      <c r="Q28">
        <f>IF(C28="M",E28,NA())</f>
        <v/>
      </c>
      <c r="R28">
        <f>IF(C28="M",I28,NA())</f>
        <v/>
      </c>
      <c r="S28">
        <f>IF(C28="M",K28,NA())</f>
        <v/>
      </c>
    </row>
    <row r="29">
      <c r="A29" t="n">
        <v>28</v>
      </c>
      <c r="B29" t="n">
        <v>63</v>
      </c>
      <c r="C29" t="inlineStr">
        <is>
          <t>F</t>
        </is>
      </c>
      <c r="D29" t="n">
        <v>4.97</v>
      </c>
      <c r="E29">
        <f>LN(D29)</f>
        <v/>
      </c>
      <c r="F29">
        <f>--(C29="M")</f>
        <v/>
      </c>
      <c r="G29">
        <f>B29*F29</f>
        <v/>
      </c>
      <c r="H29">
        <f>EXP(Main_Effects_Mechanics!$G$11+Main_Effects_Mechanics!$G$12*F29+Main_Effects_Mechanics!$G$13*B29)</f>
        <v/>
      </c>
      <c r="I29">
        <f>LN(H29)</f>
        <v/>
      </c>
      <c r="J29">
        <f>EXP(Interaction_Mechanics!$H$12+Interaction_Mechanics!$H$13*F29+Interaction_Mechanics!$H$14*B29+Interaction_Mechanics!$H$15*G29)</f>
        <v/>
      </c>
      <c r="K29">
        <f>LN(J29)</f>
        <v/>
      </c>
      <c r="L29">
        <f>IF(C29="F",B29,NA())</f>
        <v/>
      </c>
      <c r="M29">
        <f>IF(C29="F",E29,NA())</f>
        <v/>
      </c>
      <c r="N29">
        <f>IF(C29="F",I29,NA())</f>
        <v/>
      </c>
      <c r="O29">
        <f>IF(C29="F",K29,NA())</f>
        <v/>
      </c>
      <c r="P29">
        <f>IF(C29="M",B29,NA())</f>
        <v/>
      </c>
      <c r="Q29">
        <f>IF(C29="M",E29,NA())</f>
        <v/>
      </c>
      <c r="R29">
        <f>IF(C29="M",I29,NA())</f>
        <v/>
      </c>
      <c r="S29">
        <f>IF(C29="M",K29,NA())</f>
        <v/>
      </c>
    </row>
    <row r="30">
      <c r="A30" t="n">
        <v>29</v>
      </c>
      <c r="B30" t="n">
        <v>64</v>
      </c>
      <c r="C30" t="inlineStr">
        <is>
          <t>F</t>
        </is>
      </c>
      <c r="D30" t="n">
        <v>5.55</v>
      </c>
      <c r="E30">
        <f>LN(D30)</f>
        <v/>
      </c>
      <c r="F30">
        <f>--(C30="M")</f>
        <v/>
      </c>
      <c r="G30">
        <f>B30*F30</f>
        <v/>
      </c>
      <c r="H30">
        <f>EXP(Main_Effects_Mechanics!$G$11+Main_Effects_Mechanics!$G$12*F30+Main_Effects_Mechanics!$G$13*B30)</f>
        <v/>
      </c>
      <c r="I30">
        <f>LN(H30)</f>
        <v/>
      </c>
      <c r="J30">
        <f>EXP(Interaction_Mechanics!$H$12+Interaction_Mechanics!$H$13*F30+Interaction_Mechanics!$H$14*B30+Interaction_Mechanics!$H$15*G30)</f>
        <v/>
      </c>
      <c r="K30">
        <f>LN(J30)</f>
        <v/>
      </c>
      <c r="L30">
        <f>IF(C30="F",B30,NA())</f>
        <v/>
      </c>
      <c r="M30">
        <f>IF(C30="F",E30,NA())</f>
        <v/>
      </c>
      <c r="N30">
        <f>IF(C30="F",I30,NA())</f>
        <v/>
      </c>
      <c r="O30">
        <f>IF(C30="F",K30,NA())</f>
        <v/>
      </c>
      <c r="P30">
        <f>IF(C30="M",B30,NA())</f>
        <v/>
      </c>
      <c r="Q30">
        <f>IF(C30="M",E30,NA())</f>
        <v/>
      </c>
      <c r="R30">
        <f>IF(C30="M",I30,NA())</f>
        <v/>
      </c>
      <c r="S30">
        <f>IF(C30="M",K30,NA())</f>
        <v/>
      </c>
    </row>
    <row r="31">
      <c r="A31" t="n">
        <v>30</v>
      </c>
      <c r="B31" t="n">
        <v>65</v>
      </c>
      <c r="C31" t="inlineStr">
        <is>
          <t>F</t>
        </is>
      </c>
      <c r="D31" t="n">
        <v>6.21</v>
      </c>
      <c r="E31">
        <f>LN(D31)</f>
        <v/>
      </c>
      <c r="F31">
        <f>--(C31="M")</f>
        <v/>
      </c>
      <c r="G31">
        <f>B31*F31</f>
        <v/>
      </c>
      <c r="H31">
        <f>EXP(Main_Effects_Mechanics!$G$11+Main_Effects_Mechanics!$G$12*F31+Main_Effects_Mechanics!$G$13*B31)</f>
        <v/>
      </c>
      <c r="I31">
        <f>LN(H31)</f>
        <v/>
      </c>
      <c r="J31">
        <f>EXP(Interaction_Mechanics!$H$12+Interaction_Mechanics!$H$13*F31+Interaction_Mechanics!$H$14*B31+Interaction_Mechanics!$H$15*G31)</f>
        <v/>
      </c>
      <c r="K31">
        <f>LN(J31)</f>
        <v/>
      </c>
      <c r="L31">
        <f>IF(C31="F",B31,NA())</f>
        <v/>
      </c>
      <c r="M31">
        <f>IF(C31="F",E31,NA())</f>
        <v/>
      </c>
      <c r="N31">
        <f>IF(C31="F",I31,NA())</f>
        <v/>
      </c>
      <c r="O31">
        <f>IF(C31="F",K31,NA())</f>
        <v/>
      </c>
      <c r="P31">
        <f>IF(C31="M",B31,NA())</f>
        <v/>
      </c>
      <c r="Q31">
        <f>IF(C31="M",E31,NA())</f>
        <v/>
      </c>
      <c r="R31">
        <f>IF(C31="M",I31,NA())</f>
        <v/>
      </c>
      <c r="S31">
        <f>IF(C31="M",K31,NA())</f>
        <v/>
      </c>
    </row>
    <row r="32">
      <c r="A32" t="n">
        <v>31</v>
      </c>
      <c r="B32" t="n">
        <v>66</v>
      </c>
      <c r="C32" t="inlineStr">
        <is>
          <t>F</t>
        </is>
      </c>
      <c r="D32" t="n">
        <v>6.92</v>
      </c>
      <c r="E32">
        <f>LN(D32)</f>
        <v/>
      </c>
      <c r="F32">
        <f>--(C32="M")</f>
        <v/>
      </c>
      <c r="G32">
        <f>B32*F32</f>
        <v/>
      </c>
      <c r="H32">
        <f>EXP(Main_Effects_Mechanics!$G$11+Main_Effects_Mechanics!$G$12*F32+Main_Effects_Mechanics!$G$13*B32)</f>
        <v/>
      </c>
      <c r="I32">
        <f>LN(H32)</f>
        <v/>
      </c>
      <c r="J32">
        <f>EXP(Interaction_Mechanics!$H$12+Interaction_Mechanics!$H$13*F32+Interaction_Mechanics!$H$14*B32+Interaction_Mechanics!$H$15*G32)</f>
        <v/>
      </c>
      <c r="K32">
        <f>LN(J32)</f>
        <v/>
      </c>
      <c r="L32">
        <f>IF(C32="F",B32,NA())</f>
        <v/>
      </c>
      <c r="M32">
        <f>IF(C32="F",E32,NA())</f>
        <v/>
      </c>
      <c r="N32">
        <f>IF(C32="F",I32,NA())</f>
        <v/>
      </c>
      <c r="O32">
        <f>IF(C32="F",K32,NA())</f>
        <v/>
      </c>
      <c r="P32">
        <f>IF(C32="M",B32,NA())</f>
        <v/>
      </c>
      <c r="Q32">
        <f>IF(C32="M",E32,NA())</f>
        <v/>
      </c>
      <c r="R32">
        <f>IF(C32="M",I32,NA())</f>
        <v/>
      </c>
      <c r="S32">
        <f>IF(C32="M",K32,NA())</f>
        <v/>
      </c>
    </row>
    <row r="33">
      <c r="A33" t="n">
        <v>32</v>
      </c>
      <c r="B33" t="n">
        <v>67</v>
      </c>
      <c r="C33" t="inlineStr">
        <is>
          <t>F</t>
        </is>
      </c>
      <c r="D33" t="n">
        <v>7.68</v>
      </c>
      <c r="E33">
        <f>LN(D33)</f>
        <v/>
      </c>
      <c r="F33">
        <f>--(C33="M")</f>
        <v/>
      </c>
      <c r="G33">
        <f>B33*F33</f>
        <v/>
      </c>
      <c r="H33">
        <f>EXP(Main_Effects_Mechanics!$G$11+Main_Effects_Mechanics!$G$12*F33+Main_Effects_Mechanics!$G$13*B33)</f>
        <v/>
      </c>
      <c r="I33">
        <f>LN(H33)</f>
        <v/>
      </c>
      <c r="J33">
        <f>EXP(Interaction_Mechanics!$H$12+Interaction_Mechanics!$H$13*F33+Interaction_Mechanics!$H$14*B33+Interaction_Mechanics!$H$15*G33)</f>
        <v/>
      </c>
      <c r="K33">
        <f>LN(J33)</f>
        <v/>
      </c>
      <c r="L33">
        <f>IF(C33="F",B33,NA())</f>
        <v/>
      </c>
      <c r="M33">
        <f>IF(C33="F",E33,NA())</f>
        <v/>
      </c>
      <c r="N33">
        <f>IF(C33="F",I33,NA())</f>
        <v/>
      </c>
      <c r="O33">
        <f>IF(C33="F",K33,NA())</f>
        <v/>
      </c>
      <c r="P33">
        <f>IF(C33="M",B33,NA())</f>
        <v/>
      </c>
      <c r="Q33">
        <f>IF(C33="M",E33,NA())</f>
        <v/>
      </c>
      <c r="R33">
        <f>IF(C33="M",I33,NA())</f>
        <v/>
      </c>
      <c r="S33">
        <f>IF(C33="M",K33,NA())</f>
        <v/>
      </c>
    </row>
    <row r="34">
      <c r="A34" t="n">
        <v>33</v>
      </c>
      <c r="B34" t="n">
        <v>68</v>
      </c>
      <c r="C34" t="inlineStr">
        <is>
          <t>F</t>
        </is>
      </c>
      <c r="D34" t="n">
        <v>8.460000000000001</v>
      </c>
      <c r="E34">
        <f>LN(D34)</f>
        <v/>
      </c>
      <c r="F34">
        <f>--(C34="M")</f>
        <v/>
      </c>
      <c r="G34">
        <f>B34*F34</f>
        <v/>
      </c>
      <c r="H34">
        <f>EXP(Main_Effects_Mechanics!$G$11+Main_Effects_Mechanics!$G$12*F34+Main_Effects_Mechanics!$G$13*B34)</f>
        <v/>
      </c>
      <c r="I34">
        <f>LN(H34)</f>
        <v/>
      </c>
      <c r="J34">
        <f>EXP(Interaction_Mechanics!$H$12+Interaction_Mechanics!$H$13*F34+Interaction_Mechanics!$H$14*B34+Interaction_Mechanics!$H$15*G34)</f>
        <v/>
      </c>
      <c r="K34">
        <f>LN(J34)</f>
        <v/>
      </c>
      <c r="L34">
        <f>IF(C34="F",B34,NA())</f>
        <v/>
      </c>
      <c r="M34">
        <f>IF(C34="F",E34,NA())</f>
        <v/>
      </c>
      <c r="N34">
        <f>IF(C34="F",I34,NA())</f>
        <v/>
      </c>
      <c r="O34">
        <f>IF(C34="F",K34,NA())</f>
        <v/>
      </c>
      <c r="P34">
        <f>IF(C34="M",B34,NA())</f>
        <v/>
      </c>
      <c r="Q34">
        <f>IF(C34="M",E34,NA())</f>
        <v/>
      </c>
      <c r="R34">
        <f>IF(C34="M",I34,NA())</f>
        <v/>
      </c>
      <c r="S34">
        <f>IF(C34="M",K34,NA())</f>
        <v/>
      </c>
    </row>
    <row r="35">
      <c r="A35" t="n">
        <v>34</v>
      </c>
      <c r="B35" t="n">
        <v>69</v>
      </c>
      <c r="C35" t="inlineStr">
        <is>
          <t>F</t>
        </is>
      </c>
      <c r="D35" t="n">
        <v>9.289999999999999</v>
      </c>
      <c r="E35">
        <f>LN(D35)</f>
        <v/>
      </c>
      <c r="F35">
        <f>--(C35="M")</f>
        <v/>
      </c>
      <c r="G35">
        <f>B35*F35</f>
        <v/>
      </c>
      <c r="H35">
        <f>EXP(Main_Effects_Mechanics!$G$11+Main_Effects_Mechanics!$G$12*F35+Main_Effects_Mechanics!$G$13*B35)</f>
        <v/>
      </c>
      <c r="I35">
        <f>LN(H35)</f>
        <v/>
      </c>
      <c r="J35">
        <f>EXP(Interaction_Mechanics!$H$12+Interaction_Mechanics!$H$13*F35+Interaction_Mechanics!$H$14*B35+Interaction_Mechanics!$H$15*G35)</f>
        <v/>
      </c>
      <c r="K35">
        <f>LN(J35)</f>
        <v/>
      </c>
      <c r="L35">
        <f>IF(C35="F",B35,NA())</f>
        <v/>
      </c>
      <c r="M35">
        <f>IF(C35="F",E35,NA())</f>
        <v/>
      </c>
      <c r="N35">
        <f>IF(C35="F",I35,NA())</f>
        <v/>
      </c>
      <c r="O35">
        <f>IF(C35="F",K35,NA())</f>
        <v/>
      </c>
      <c r="P35">
        <f>IF(C35="M",B35,NA())</f>
        <v/>
      </c>
      <c r="Q35">
        <f>IF(C35="M",E35,NA())</f>
        <v/>
      </c>
      <c r="R35">
        <f>IF(C35="M",I35,NA())</f>
        <v/>
      </c>
      <c r="S35">
        <f>IF(C35="M",K35,NA())</f>
        <v/>
      </c>
    </row>
    <row r="36">
      <c r="A36" t="n">
        <v>35</v>
      </c>
      <c r="B36" t="n">
        <v>70</v>
      </c>
      <c r="C36" t="inlineStr">
        <is>
          <t>F</t>
        </is>
      </c>
      <c r="D36" t="n">
        <v>10.16</v>
      </c>
      <c r="E36">
        <f>LN(D36)</f>
        <v/>
      </c>
      <c r="F36">
        <f>--(C36="M")</f>
        <v/>
      </c>
      <c r="G36">
        <f>B36*F36</f>
        <v/>
      </c>
      <c r="H36">
        <f>EXP(Main_Effects_Mechanics!$G$11+Main_Effects_Mechanics!$G$12*F36+Main_Effects_Mechanics!$G$13*B36)</f>
        <v/>
      </c>
      <c r="I36">
        <f>LN(H36)</f>
        <v/>
      </c>
      <c r="J36">
        <f>EXP(Interaction_Mechanics!$H$12+Interaction_Mechanics!$H$13*F36+Interaction_Mechanics!$H$14*B36+Interaction_Mechanics!$H$15*G36)</f>
        <v/>
      </c>
      <c r="K36">
        <f>LN(J36)</f>
        <v/>
      </c>
      <c r="L36">
        <f>IF(C36="F",B36,NA())</f>
        <v/>
      </c>
      <c r="M36">
        <f>IF(C36="F",E36,NA())</f>
        <v/>
      </c>
      <c r="N36">
        <f>IF(C36="F",I36,NA())</f>
        <v/>
      </c>
      <c r="O36">
        <f>IF(C36="F",K36,NA())</f>
        <v/>
      </c>
      <c r="P36">
        <f>IF(C36="M",B36,NA())</f>
        <v/>
      </c>
      <c r="Q36">
        <f>IF(C36="M",E36,NA())</f>
        <v/>
      </c>
      <c r="R36">
        <f>IF(C36="M",I36,NA())</f>
        <v/>
      </c>
      <c r="S36">
        <f>IF(C36="M",K36,NA())</f>
        <v/>
      </c>
    </row>
    <row r="37">
      <c r="A37" t="n">
        <v>36</v>
      </c>
      <c r="B37" t="n">
        <v>71</v>
      </c>
      <c r="C37" t="inlineStr">
        <is>
          <t>F</t>
        </is>
      </c>
      <c r="D37" t="n">
        <v>11.22</v>
      </c>
      <c r="E37">
        <f>LN(D37)</f>
        <v/>
      </c>
      <c r="F37">
        <f>--(C37="M")</f>
        <v/>
      </c>
      <c r="G37">
        <f>B37*F37</f>
        <v/>
      </c>
      <c r="H37">
        <f>EXP(Main_Effects_Mechanics!$G$11+Main_Effects_Mechanics!$G$12*F37+Main_Effects_Mechanics!$G$13*B37)</f>
        <v/>
      </c>
      <c r="I37">
        <f>LN(H37)</f>
        <v/>
      </c>
      <c r="J37">
        <f>EXP(Interaction_Mechanics!$H$12+Interaction_Mechanics!$H$13*F37+Interaction_Mechanics!$H$14*B37+Interaction_Mechanics!$H$15*G37)</f>
        <v/>
      </c>
      <c r="K37">
        <f>LN(J37)</f>
        <v/>
      </c>
      <c r="L37">
        <f>IF(C37="F",B37,NA())</f>
        <v/>
      </c>
      <c r="M37">
        <f>IF(C37="F",E37,NA())</f>
        <v/>
      </c>
      <c r="N37">
        <f>IF(C37="F",I37,NA())</f>
        <v/>
      </c>
      <c r="O37">
        <f>IF(C37="F",K37,NA())</f>
        <v/>
      </c>
      <c r="P37">
        <f>IF(C37="M",B37,NA())</f>
        <v/>
      </c>
      <c r="Q37">
        <f>IF(C37="M",E37,NA())</f>
        <v/>
      </c>
      <c r="R37">
        <f>IF(C37="M",I37,NA())</f>
        <v/>
      </c>
      <c r="S37">
        <f>IF(C37="M",K37,NA())</f>
        <v/>
      </c>
    </row>
    <row r="38">
      <c r="A38" t="n">
        <v>37</v>
      </c>
      <c r="B38" t="n">
        <v>72</v>
      </c>
      <c r="C38" t="inlineStr">
        <is>
          <t>F</t>
        </is>
      </c>
      <c r="D38" t="n">
        <v>12.41</v>
      </c>
      <c r="E38">
        <f>LN(D38)</f>
        <v/>
      </c>
      <c r="F38">
        <f>--(C38="M")</f>
        <v/>
      </c>
      <c r="G38">
        <f>B38*F38</f>
        <v/>
      </c>
      <c r="H38">
        <f>EXP(Main_Effects_Mechanics!$G$11+Main_Effects_Mechanics!$G$12*F38+Main_Effects_Mechanics!$G$13*B38)</f>
        <v/>
      </c>
      <c r="I38">
        <f>LN(H38)</f>
        <v/>
      </c>
      <c r="J38">
        <f>EXP(Interaction_Mechanics!$H$12+Interaction_Mechanics!$H$13*F38+Interaction_Mechanics!$H$14*B38+Interaction_Mechanics!$H$15*G38)</f>
        <v/>
      </c>
      <c r="K38">
        <f>LN(J38)</f>
        <v/>
      </c>
      <c r="L38">
        <f>IF(C38="F",B38,NA())</f>
        <v/>
      </c>
      <c r="M38">
        <f>IF(C38="F",E38,NA())</f>
        <v/>
      </c>
      <c r="N38">
        <f>IF(C38="F",I38,NA())</f>
        <v/>
      </c>
      <c r="O38">
        <f>IF(C38="F",K38,NA())</f>
        <v/>
      </c>
      <c r="P38">
        <f>IF(C38="M",B38,NA())</f>
        <v/>
      </c>
      <c r="Q38">
        <f>IF(C38="M",E38,NA())</f>
        <v/>
      </c>
      <c r="R38">
        <f>IF(C38="M",I38,NA())</f>
        <v/>
      </c>
      <c r="S38">
        <f>IF(C38="M",K38,NA())</f>
        <v/>
      </c>
    </row>
    <row r="39">
      <c r="A39" t="n">
        <v>38</v>
      </c>
      <c r="B39" t="n">
        <v>73</v>
      </c>
      <c r="C39" t="inlineStr">
        <is>
          <t>F</t>
        </is>
      </c>
      <c r="D39" t="n">
        <v>13.76</v>
      </c>
      <c r="E39">
        <f>LN(D39)</f>
        <v/>
      </c>
      <c r="F39">
        <f>--(C39="M")</f>
        <v/>
      </c>
      <c r="G39">
        <f>B39*F39</f>
        <v/>
      </c>
      <c r="H39">
        <f>EXP(Main_Effects_Mechanics!$G$11+Main_Effects_Mechanics!$G$12*F39+Main_Effects_Mechanics!$G$13*B39)</f>
        <v/>
      </c>
      <c r="I39">
        <f>LN(H39)</f>
        <v/>
      </c>
      <c r="J39">
        <f>EXP(Interaction_Mechanics!$H$12+Interaction_Mechanics!$H$13*F39+Interaction_Mechanics!$H$14*B39+Interaction_Mechanics!$H$15*G39)</f>
        <v/>
      </c>
      <c r="K39">
        <f>LN(J39)</f>
        <v/>
      </c>
      <c r="L39">
        <f>IF(C39="F",B39,NA())</f>
        <v/>
      </c>
      <c r="M39">
        <f>IF(C39="F",E39,NA())</f>
        <v/>
      </c>
      <c r="N39">
        <f>IF(C39="F",I39,NA())</f>
        <v/>
      </c>
      <c r="O39">
        <f>IF(C39="F",K39,NA())</f>
        <v/>
      </c>
      <c r="P39">
        <f>IF(C39="M",B39,NA())</f>
        <v/>
      </c>
      <c r="Q39">
        <f>IF(C39="M",E39,NA())</f>
        <v/>
      </c>
      <c r="R39">
        <f>IF(C39="M",I39,NA())</f>
        <v/>
      </c>
      <c r="S39">
        <f>IF(C39="M",K39,NA())</f>
        <v/>
      </c>
    </row>
    <row r="40">
      <c r="A40" t="n">
        <v>39</v>
      </c>
      <c r="B40" t="n">
        <v>74</v>
      </c>
      <c r="C40" t="inlineStr">
        <is>
          <t>F</t>
        </is>
      </c>
      <c r="D40" t="n">
        <v>15.34</v>
      </c>
      <c r="E40">
        <f>LN(D40)</f>
        <v/>
      </c>
      <c r="F40">
        <f>--(C40="M")</f>
        <v/>
      </c>
      <c r="G40">
        <f>B40*F40</f>
        <v/>
      </c>
      <c r="H40">
        <f>EXP(Main_Effects_Mechanics!$G$11+Main_Effects_Mechanics!$G$12*F40+Main_Effects_Mechanics!$G$13*B40)</f>
        <v/>
      </c>
      <c r="I40">
        <f>LN(H40)</f>
        <v/>
      </c>
      <c r="J40">
        <f>EXP(Interaction_Mechanics!$H$12+Interaction_Mechanics!$H$13*F40+Interaction_Mechanics!$H$14*B40+Interaction_Mechanics!$H$15*G40)</f>
        <v/>
      </c>
      <c r="K40">
        <f>LN(J40)</f>
        <v/>
      </c>
      <c r="L40">
        <f>IF(C40="F",B40,NA())</f>
        <v/>
      </c>
      <c r="M40">
        <f>IF(C40="F",E40,NA())</f>
        <v/>
      </c>
      <c r="N40">
        <f>IF(C40="F",I40,NA())</f>
        <v/>
      </c>
      <c r="O40">
        <f>IF(C40="F",K40,NA())</f>
        <v/>
      </c>
      <c r="P40">
        <f>IF(C40="M",B40,NA())</f>
        <v/>
      </c>
      <c r="Q40">
        <f>IF(C40="M",E40,NA())</f>
        <v/>
      </c>
      <c r="R40">
        <f>IF(C40="M",I40,NA())</f>
        <v/>
      </c>
      <c r="S40">
        <f>IF(C40="M",K40,NA())</f>
        <v/>
      </c>
    </row>
    <row r="41">
      <c r="A41" t="n">
        <v>40</v>
      </c>
      <c r="B41" t="n">
        <v>75</v>
      </c>
      <c r="C41" t="inlineStr">
        <is>
          <t>F</t>
        </is>
      </c>
      <c r="D41" t="n">
        <v>17</v>
      </c>
      <c r="E41">
        <f>LN(D41)</f>
        <v/>
      </c>
      <c r="F41">
        <f>--(C41="M")</f>
        <v/>
      </c>
      <c r="G41">
        <f>B41*F41</f>
        <v/>
      </c>
      <c r="H41">
        <f>EXP(Main_Effects_Mechanics!$G$11+Main_Effects_Mechanics!$G$12*F41+Main_Effects_Mechanics!$G$13*B41)</f>
        <v/>
      </c>
      <c r="I41">
        <f>LN(H41)</f>
        <v/>
      </c>
      <c r="J41">
        <f>EXP(Interaction_Mechanics!$H$12+Interaction_Mechanics!$H$13*F41+Interaction_Mechanics!$H$14*B41+Interaction_Mechanics!$H$15*G41)</f>
        <v/>
      </c>
      <c r="K41">
        <f>LN(J41)</f>
        <v/>
      </c>
      <c r="L41">
        <f>IF(C41="F",B41,NA())</f>
        <v/>
      </c>
      <c r="M41">
        <f>IF(C41="F",E41,NA())</f>
        <v/>
      </c>
      <c r="N41">
        <f>IF(C41="F",I41,NA())</f>
        <v/>
      </c>
      <c r="O41">
        <f>IF(C41="F",K41,NA())</f>
        <v/>
      </c>
      <c r="P41">
        <f>IF(C41="M",B41,NA())</f>
        <v/>
      </c>
      <c r="Q41">
        <f>IF(C41="M",E41,NA())</f>
        <v/>
      </c>
      <c r="R41">
        <f>IF(C41="M",I41,NA())</f>
        <v/>
      </c>
      <c r="S41">
        <f>IF(C41="M",K41,NA())</f>
        <v/>
      </c>
    </row>
    <row r="42">
      <c r="A42" t="n">
        <v>41</v>
      </c>
      <c r="B42" t="n">
        <v>76</v>
      </c>
      <c r="C42" t="inlineStr">
        <is>
          <t>F</t>
        </is>
      </c>
      <c r="D42" t="n">
        <v>18.86</v>
      </c>
      <c r="E42">
        <f>LN(D42)</f>
        <v/>
      </c>
      <c r="F42">
        <f>--(C42="M")</f>
        <v/>
      </c>
      <c r="G42">
        <f>B42*F42</f>
        <v/>
      </c>
      <c r="H42">
        <f>EXP(Main_Effects_Mechanics!$G$11+Main_Effects_Mechanics!$G$12*F42+Main_Effects_Mechanics!$G$13*B42)</f>
        <v/>
      </c>
      <c r="I42">
        <f>LN(H42)</f>
        <v/>
      </c>
      <c r="J42">
        <f>EXP(Interaction_Mechanics!$H$12+Interaction_Mechanics!$H$13*F42+Interaction_Mechanics!$H$14*B42+Interaction_Mechanics!$H$15*G42)</f>
        <v/>
      </c>
      <c r="K42">
        <f>LN(J42)</f>
        <v/>
      </c>
      <c r="L42">
        <f>IF(C42="F",B42,NA())</f>
        <v/>
      </c>
      <c r="M42">
        <f>IF(C42="F",E42,NA())</f>
        <v/>
      </c>
      <c r="N42">
        <f>IF(C42="F",I42,NA())</f>
        <v/>
      </c>
      <c r="O42">
        <f>IF(C42="F",K42,NA())</f>
        <v/>
      </c>
      <c r="P42">
        <f>IF(C42="M",B42,NA())</f>
        <v/>
      </c>
      <c r="Q42">
        <f>IF(C42="M",E42,NA())</f>
        <v/>
      </c>
      <c r="R42">
        <f>IF(C42="M",I42,NA())</f>
        <v/>
      </c>
      <c r="S42">
        <f>IF(C42="M",K42,NA())</f>
        <v/>
      </c>
    </row>
    <row r="43">
      <c r="A43" t="n">
        <v>42</v>
      </c>
      <c r="B43" t="n">
        <v>77</v>
      </c>
      <c r="C43" t="inlineStr">
        <is>
          <t>F</t>
        </is>
      </c>
      <c r="D43" t="n">
        <v>20.97</v>
      </c>
      <c r="E43">
        <f>LN(D43)</f>
        <v/>
      </c>
      <c r="F43">
        <f>--(C43="M")</f>
        <v/>
      </c>
      <c r="G43">
        <f>B43*F43</f>
        <v/>
      </c>
      <c r="H43">
        <f>EXP(Main_Effects_Mechanics!$G$11+Main_Effects_Mechanics!$G$12*F43+Main_Effects_Mechanics!$G$13*B43)</f>
        <v/>
      </c>
      <c r="I43">
        <f>LN(H43)</f>
        <v/>
      </c>
      <c r="J43">
        <f>EXP(Interaction_Mechanics!$H$12+Interaction_Mechanics!$H$13*F43+Interaction_Mechanics!$H$14*B43+Interaction_Mechanics!$H$15*G43)</f>
        <v/>
      </c>
      <c r="K43">
        <f>LN(J43)</f>
        <v/>
      </c>
      <c r="L43">
        <f>IF(C43="F",B43,NA())</f>
        <v/>
      </c>
      <c r="M43">
        <f>IF(C43="F",E43,NA())</f>
        <v/>
      </c>
      <c r="N43">
        <f>IF(C43="F",I43,NA())</f>
        <v/>
      </c>
      <c r="O43">
        <f>IF(C43="F",K43,NA())</f>
        <v/>
      </c>
      <c r="P43">
        <f>IF(C43="M",B43,NA())</f>
        <v/>
      </c>
      <c r="Q43">
        <f>IF(C43="M",E43,NA())</f>
        <v/>
      </c>
      <c r="R43">
        <f>IF(C43="M",I43,NA())</f>
        <v/>
      </c>
      <c r="S43">
        <f>IF(C43="M",K43,NA())</f>
        <v/>
      </c>
    </row>
    <row r="44">
      <c r="A44" t="n">
        <v>43</v>
      </c>
      <c r="B44" t="n">
        <v>78</v>
      </c>
      <c r="C44" t="inlineStr">
        <is>
          <t>F</t>
        </is>
      </c>
      <c r="D44" t="n">
        <v>22.95</v>
      </c>
      <c r="E44">
        <f>LN(D44)</f>
        <v/>
      </c>
      <c r="F44">
        <f>--(C44="M")</f>
        <v/>
      </c>
      <c r="G44">
        <f>B44*F44</f>
        <v/>
      </c>
      <c r="H44">
        <f>EXP(Main_Effects_Mechanics!$G$11+Main_Effects_Mechanics!$G$12*F44+Main_Effects_Mechanics!$G$13*B44)</f>
        <v/>
      </c>
      <c r="I44">
        <f>LN(H44)</f>
        <v/>
      </c>
      <c r="J44">
        <f>EXP(Interaction_Mechanics!$H$12+Interaction_Mechanics!$H$13*F44+Interaction_Mechanics!$H$14*B44+Interaction_Mechanics!$H$15*G44)</f>
        <v/>
      </c>
      <c r="K44">
        <f>LN(J44)</f>
        <v/>
      </c>
      <c r="L44">
        <f>IF(C44="F",B44,NA())</f>
        <v/>
      </c>
      <c r="M44">
        <f>IF(C44="F",E44,NA())</f>
        <v/>
      </c>
      <c r="N44">
        <f>IF(C44="F",I44,NA())</f>
        <v/>
      </c>
      <c r="O44">
        <f>IF(C44="F",K44,NA())</f>
        <v/>
      </c>
      <c r="P44">
        <f>IF(C44="M",B44,NA())</f>
        <v/>
      </c>
      <c r="Q44">
        <f>IF(C44="M",E44,NA())</f>
        <v/>
      </c>
      <c r="R44">
        <f>IF(C44="M",I44,NA())</f>
        <v/>
      </c>
      <c r="S44">
        <f>IF(C44="M",K44,NA())</f>
        <v/>
      </c>
    </row>
    <row r="45">
      <c r="A45" t="n">
        <v>44</v>
      </c>
      <c r="B45" t="n">
        <v>79</v>
      </c>
      <c r="C45" t="inlineStr">
        <is>
          <t>F</t>
        </is>
      </c>
      <c r="D45" t="n">
        <v>25.45</v>
      </c>
      <c r="E45">
        <f>LN(D45)</f>
        <v/>
      </c>
      <c r="F45">
        <f>--(C45="M")</f>
        <v/>
      </c>
      <c r="G45">
        <f>B45*F45</f>
        <v/>
      </c>
      <c r="H45">
        <f>EXP(Main_Effects_Mechanics!$G$11+Main_Effects_Mechanics!$G$12*F45+Main_Effects_Mechanics!$G$13*B45)</f>
        <v/>
      </c>
      <c r="I45">
        <f>LN(H45)</f>
        <v/>
      </c>
      <c r="J45">
        <f>EXP(Interaction_Mechanics!$H$12+Interaction_Mechanics!$H$13*F45+Interaction_Mechanics!$H$14*B45+Interaction_Mechanics!$H$15*G45)</f>
        <v/>
      </c>
      <c r="K45">
        <f>LN(J45)</f>
        <v/>
      </c>
      <c r="L45">
        <f>IF(C45="F",B45,NA())</f>
        <v/>
      </c>
      <c r="M45">
        <f>IF(C45="F",E45,NA())</f>
        <v/>
      </c>
      <c r="N45">
        <f>IF(C45="F",I45,NA())</f>
        <v/>
      </c>
      <c r="O45">
        <f>IF(C45="F",K45,NA())</f>
        <v/>
      </c>
      <c r="P45">
        <f>IF(C45="M",B45,NA())</f>
        <v/>
      </c>
      <c r="Q45">
        <f>IF(C45="M",E45,NA())</f>
        <v/>
      </c>
      <c r="R45">
        <f>IF(C45="M",I45,NA())</f>
        <v/>
      </c>
      <c r="S45">
        <f>IF(C45="M",K45,NA())</f>
        <v/>
      </c>
    </row>
    <row r="46">
      <c r="A46" t="n">
        <v>45</v>
      </c>
      <c r="B46" t="n">
        <v>80</v>
      </c>
      <c r="C46" t="inlineStr">
        <is>
          <t>F</t>
        </is>
      </c>
      <c r="D46" t="n">
        <v>28.89</v>
      </c>
      <c r="E46">
        <f>LN(D46)</f>
        <v/>
      </c>
      <c r="F46">
        <f>--(C46="M")</f>
        <v/>
      </c>
      <c r="G46">
        <f>B46*F46</f>
        <v/>
      </c>
      <c r="H46">
        <f>EXP(Main_Effects_Mechanics!$G$11+Main_Effects_Mechanics!$G$12*F46+Main_Effects_Mechanics!$G$13*B46)</f>
        <v/>
      </c>
      <c r="I46">
        <f>LN(H46)</f>
        <v/>
      </c>
      <c r="J46">
        <f>EXP(Interaction_Mechanics!$H$12+Interaction_Mechanics!$H$13*F46+Interaction_Mechanics!$H$14*B46+Interaction_Mechanics!$H$15*G46)</f>
        <v/>
      </c>
      <c r="K46">
        <f>LN(J46)</f>
        <v/>
      </c>
      <c r="L46">
        <f>IF(C46="F",B46,NA())</f>
        <v/>
      </c>
      <c r="M46">
        <f>IF(C46="F",E46,NA())</f>
        <v/>
      </c>
      <c r="N46">
        <f>IF(C46="F",I46,NA())</f>
        <v/>
      </c>
      <c r="O46">
        <f>IF(C46="F",K46,NA())</f>
        <v/>
      </c>
      <c r="P46">
        <f>IF(C46="M",B46,NA())</f>
        <v/>
      </c>
      <c r="Q46">
        <f>IF(C46="M",E46,NA())</f>
        <v/>
      </c>
      <c r="R46">
        <f>IF(C46="M",I46,NA())</f>
        <v/>
      </c>
      <c r="S46">
        <f>IF(C46="M",K46,NA())</f>
        <v/>
      </c>
    </row>
    <row r="47">
      <c r="A47" t="n">
        <v>46</v>
      </c>
      <c r="B47" t="n">
        <v>81</v>
      </c>
      <c r="C47" t="inlineStr">
        <is>
          <t>F</t>
        </is>
      </c>
      <c r="D47" t="n">
        <v>32.83</v>
      </c>
      <c r="E47">
        <f>LN(D47)</f>
        <v/>
      </c>
      <c r="F47">
        <f>--(C47="M")</f>
        <v/>
      </c>
      <c r="G47">
        <f>B47*F47</f>
        <v/>
      </c>
      <c r="H47">
        <f>EXP(Main_Effects_Mechanics!$G$11+Main_Effects_Mechanics!$G$12*F47+Main_Effects_Mechanics!$G$13*B47)</f>
        <v/>
      </c>
      <c r="I47">
        <f>LN(H47)</f>
        <v/>
      </c>
      <c r="J47">
        <f>EXP(Interaction_Mechanics!$H$12+Interaction_Mechanics!$H$13*F47+Interaction_Mechanics!$H$14*B47+Interaction_Mechanics!$H$15*G47)</f>
        <v/>
      </c>
      <c r="K47">
        <f>LN(J47)</f>
        <v/>
      </c>
      <c r="L47">
        <f>IF(C47="F",B47,NA())</f>
        <v/>
      </c>
      <c r="M47">
        <f>IF(C47="F",E47,NA())</f>
        <v/>
      </c>
      <c r="N47">
        <f>IF(C47="F",I47,NA())</f>
        <v/>
      </c>
      <c r="O47">
        <f>IF(C47="F",K47,NA())</f>
        <v/>
      </c>
      <c r="P47">
        <f>IF(C47="M",B47,NA())</f>
        <v/>
      </c>
      <c r="Q47">
        <f>IF(C47="M",E47,NA())</f>
        <v/>
      </c>
      <c r="R47">
        <f>IF(C47="M",I47,NA())</f>
        <v/>
      </c>
      <c r="S47">
        <f>IF(C47="M",K47,NA())</f>
        <v/>
      </c>
    </row>
    <row r="48">
      <c r="A48" t="n">
        <v>47</v>
      </c>
      <c r="B48" t="n">
        <v>82</v>
      </c>
      <c r="C48" t="inlineStr">
        <is>
          <t>F</t>
        </is>
      </c>
      <c r="D48" t="n">
        <v>38.04</v>
      </c>
      <c r="E48">
        <f>LN(D48)</f>
        <v/>
      </c>
      <c r="F48">
        <f>--(C48="M")</f>
        <v/>
      </c>
      <c r="G48">
        <f>B48*F48</f>
        <v/>
      </c>
      <c r="H48">
        <f>EXP(Main_Effects_Mechanics!$G$11+Main_Effects_Mechanics!$G$12*F48+Main_Effects_Mechanics!$G$13*B48)</f>
        <v/>
      </c>
      <c r="I48">
        <f>LN(H48)</f>
        <v/>
      </c>
      <c r="J48">
        <f>EXP(Interaction_Mechanics!$H$12+Interaction_Mechanics!$H$13*F48+Interaction_Mechanics!$H$14*B48+Interaction_Mechanics!$H$15*G48)</f>
        <v/>
      </c>
      <c r="K48">
        <f>LN(J48)</f>
        <v/>
      </c>
      <c r="L48">
        <f>IF(C48="F",B48,NA())</f>
        <v/>
      </c>
      <c r="M48">
        <f>IF(C48="F",E48,NA())</f>
        <v/>
      </c>
      <c r="N48">
        <f>IF(C48="F",I48,NA())</f>
        <v/>
      </c>
      <c r="O48">
        <f>IF(C48="F",K48,NA())</f>
        <v/>
      </c>
      <c r="P48">
        <f>IF(C48="M",B48,NA())</f>
        <v/>
      </c>
      <c r="Q48">
        <f>IF(C48="M",E48,NA())</f>
        <v/>
      </c>
      <c r="R48">
        <f>IF(C48="M",I48,NA())</f>
        <v/>
      </c>
      <c r="S48">
        <f>IF(C48="M",K48,NA())</f>
        <v/>
      </c>
    </row>
    <row r="49">
      <c r="A49" t="n">
        <v>48</v>
      </c>
      <c r="B49" t="n">
        <v>83</v>
      </c>
      <c r="C49" t="inlineStr">
        <is>
          <t>F</t>
        </is>
      </c>
      <c r="D49" t="n">
        <v>42.51</v>
      </c>
      <c r="E49">
        <f>LN(D49)</f>
        <v/>
      </c>
      <c r="F49">
        <f>--(C49="M")</f>
        <v/>
      </c>
      <c r="G49">
        <f>B49*F49</f>
        <v/>
      </c>
      <c r="H49">
        <f>EXP(Main_Effects_Mechanics!$G$11+Main_Effects_Mechanics!$G$12*F49+Main_Effects_Mechanics!$G$13*B49)</f>
        <v/>
      </c>
      <c r="I49">
        <f>LN(H49)</f>
        <v/>
      </c>
      <c r="J49">
        <f>EXP(Interaction_Mechanics!$H$12+Interaction_Mechanics!$H$13*F49+Interaction_Mechanics!$H$14*B49+Interaction_Mechanics!$H$15*G49)</f>
        <v/>
      </c>
      <c r="K49">
        <f>LN(J49)</f>
        <v/>
      </c>
      <c r="L49">
        <f>IF(C49="F",B49,NA())</f>
        <v/>
      </c>
      <c r="M49">
        <f>IF(C49="F",E49,NA())</f>
        <v/>
      </c>
      <c r="N49">
        <f>IF(C49="F",I49,NA())</f>
        <v/>
      </c>
      <c r="O49">
        <f>IF(C49="F",K49,NA())</f>
        <v/>
      </c>
      <c r="P49">
        <f>IF(C49="M",B49,NA())</f>
        <v/>
      </c>
      <c r="Q49">
        <f>IF(C49="M",E49,NA())</f>
        <v/>
      </c>
      <c r="R49">
        <f>IF(C49="M",I49,NA())</f>
        <v/>
      </c>
      <c r="S49">
        <f>IF(C49="M",K49,NA())</f>
        <v/>
      </c>
    </row>
    <row r="50">
      <c r="A50" t="n">
        <v>49</v>
      </c>
      <c r="B50" t="n">
        <v>84</v>
      </c>
      <c r="C50" t="inlineStr">
        <is>
          <t>F</t>
        </is>
      </c>
      <c r="D50" t="n">
        <v>47.74</v>
      </c>
      <c r="E50">
        <f>LN(D50)</f>
        <v/>
      </c>
      <c r="F50">
        <f>--(C50="M")</f>
        <v/>
      </c>
      <c r="G50">
        <f>B50*F50</f>
        <v/>
      </c>
      <c r="H50">
        <f>EXP(Main_Effects_Mechanics!$G$11+Main_Effects_Mechanics!$G$12*F50+Main_Effects_Mechanics!$G$13*B50)</f>
        <v/>
      </c>
      <c r="I50">
        <f>LN(H50)</f>
        <v/>
      </c>
      <c r="J50">
        <f>EXP(Interaction_Mechanics!$H$12+Interaction_Mechanics!$H$13*F50+Interaction_Mechanics!$H$14*B50+Interaction_Mechanics!$H$15*G50)</f>
        <v/>
      </c>
      <c r="K50">
        <f>LN(J50)</f>
        <v/>
      </c>
      <c r="L50">
        <f>IF(C50="F",B50,NA())</f>
        <v/>
      </c>
      <c r="M50">
        <f>IF(C50="F",E50,NA())</f>
        <v/>
      </c>
      <c r="N50">
        <f>IF(C50="F",I50,NA())</f>
        <v/>
      </c>
      <c r="O50">
        <f>IF(C50="F",K50,NA())</f>
        <v/>
      </c>
      <c r="P50">
        <f>IF(C50="M",B50,NA())</f>
        <v/>
      </c>
      <c r="Q50">
        <f>IF(C50="M",E50,NA())</f>
        <v/>
      </c>
      <c r="R50">
        <f>IF(C50="M",I50,NA())</f>
        <v/>
      </c>
      <c r="S50">
        <f>IF(C50="M",K50,NA())</f>
        <v/>
      </c>
    </row>
    <row r="51">
      <c r="A51" t="n">
        <v>50</v>
      </c>
      <c r="B51" t="n">
        <v>85</v>
      </c>
      <c r="C51" t="inlineStr">
        <is>
          <t>F</t>
        </is>
      </c>
      <c r="D51" t="n">
        <v>53.93</v>
      </c>
      <c r="E51">
        <f>LN(D51)</f>
        <v/>
      </c>
      <c r="F51">
        <f>--(C51="M")</f>
        <v/>
      </c>
      <c r="G51">
        <f>B51*F51</f>
        <v/>
      </c>
      <c r="H51">
        <f>EXP(Main_Effects_Mechanics!$G$11+Main_Effects_Mechanics!$G$12*F51+Main_Effects_Mechanics!$G$13*B51)</f>
        <v/>
      </c>
      <c r="I51">
        <f>LN(H51)</f>
        <v/>
      </c>
      <c r="J51">
        <f>EXP(Interaction_Mechanics!$H$12+Interaction_Mechanics!$H$13*F51+Interaction_Mechanics!$H$14*B51+Interaction_Mechanics!$H$15*G51)</f>
        <v/>
      </c>
      <c r="K51">
        <f>LN(J51)</f>
        <v/>
      </c>
      <c r="L51">
        <f>IF(C51="F",B51,NA())</f>
        <v/>
      </c>
      <c r="M51">
        <f>IF(C51="F",E51,NA())</f>
        <v/>
      </c>
      <c r="N51">
        <f>IF(C51="F",I51,NA())</f>
        <v/>
      </c>
      <c r="O51">
        <f>IF(C51="F",K51,NA())</f>
        <v/>
      </c>
      <c r="P51">
        <f>IF(C51="M",B51,NA())</f>
        <v/>
      </c>
      <c r="Q51">
        <f>IF(C51="M",E51,NA())</f>
        <v/>
      </c>
      <c r="R51">
        <f>IF(C51="M",I51,NA())</f>
        <v/>
      </c>
      <c r="S51">
        <f>IF(C51="M",K51,NA())</f>
        <v/>
      </c>
    </row>
    <row r="52">
      <c r="A52" t="n">
        <v>51</v>
      </c>
      <c r="B52" t="n">
        <v>86</v>
      </c>
      <c r="C52" t="inlineStr">
        <is>
          <t>F</t>
        </is>
      </c>
      <c r="D52" t="n">
        <v>61.85</v>
      </c>
      <c r="E52">
        <f>LN(D52)</f>
        <v/>
      </c>
      <c r="F52">
        <f>--(C52="M")</f>
        <v/>
      </c>
      <c r="G52">
        <f>B52*F52</f>
        <v/>
      </c>
      <c r="H52">
        <f>EXP(Main_Effects_Mechanics!$G$11+Main_Effects_Mechanics!$G$12*F52+Main_Effects_Mechanics!$G$13*B52)</f>
        <v/>
      </c>
      <c r="I52">
        <f>LN(H52)</f>
        <v/>
      </c>
      <c r="J52">
        <f>EXP(Interaction_Mechanics!$H$12+Interaction_Mechanics!$H$13*F52+Interaction_Mechanics!$H$14*B52+Interaction_Mechanics!$H$15*G52)</f>
        <v/>
      </c>
      <c r="K52">
        <f>LN(J52)</f>
        <v/>
      </c>
      <c r="L52">
        <f>IF(C52="F",B52,NA())</f>
        <v/>
      </c>
      <c r="M52">
        <f>IF(C52="F",E52,NA())</f>
        <v/>
      </c>
      <c r="N52">
        <f>IF(C52="F",I52,NA())</f>
        <v/>
      </c>
      <c r="O52">
        <f>IF(C52="F",K52,NA())</f>
        <v/>
      </c>
      <c r="P52">
        <f>IF(C52="M",B52,NA())</f>
        <v/>
      </c>
      <c r="Q52">
        <f>IF(C52="M",E52,NA())</f>
        <v/>
      </c>
      <c r="R52">
        <f>IF(C52="M",I52,NA())</f>
        <v/>
      </c>
      <c r="S52">
        <f>IF(C52="M",K52,NA())</f>
        <v/>
      </c>
    </row>
    <row r="53">
      <c r="A53" t="n">
        <v>52</v>
      </c>
      <c r="B53" t="n">
        <v>87</v>
      </c>
      <c r="C53" t="inlineStr">
        <is>
          <t>F</t>
        </is>
      </c>
      <c r="D53" t="n">
        <v>70.12</v>
      </c>
      <c r="E53">
        <f>LN(D53)</f>
        <v/>
      </c>
      <c r="F53">
        <f>--(C53="M")</f>
        <v/>
      </c>
      <c r="G53">
        <f>B53*F53</f>
        <v/>
      </c>
      <c r="H53">
        <f>EXP(Main_Effects_Mechanics!$G$11+Main_Effects_Mechanics!$G$12*F53+Main_Effects_Mechanics!$G$13*B53)</f>
        <v/>
      </c>
      <c r="I53">
        <f>LN(H53)</f>
        <v/>
      </c>
      <c r="J53">
        <f>EXP(Interaction_Mechanics!$H$12+Interaction_Mechanics!$H$13*F53+Interaction_Mechanics!$H$14*B53+Interaction_Mechanics!$H$15*G53)</f>
        <v/>
      </c>
      <c r="K53">
        <f>LN(J53)</f>
        <v/>
      </c>
      <c r="L53">
        <f>IF(C53="F",B53,NA())</f>
        <v/>
      </c>
      <c r="M53">
        <f>IF(C53="F",E53,NA())</f>
        <v/>
      </c>
      <c r="N53">
        <f>IF(C53="F",I53,NA())</f>
        <v/>
      </c>
      <c r="O53">
        <f>IF(C53="F",K53,NA())</f>
        <v/>
      </c>
      <c r="P53">
        <f>IF(C53="M",B53,NA())</f>
        <v/>
      </c>
      <c r="Q53">
        <f>IF(C53="M",E53,NA())</f>
        <v/>
      </c>
      <c r="R53">
        <f>IF(C53="M",I53,NA())</f>
        <v/>
      </c>
      <c r="S53">
        <f>IF(C53="M",K53,NA())</f>
        <v/>
      </c>
    </row>
    <row r="54">
      <c r="A54" t="n">
        <v>53</v>
      </c>
      <c r="B54" t="n">
        <v>88</v>
      </c>
      <c r="C54" t="inlineStr">
        <is>
          <t>F</t>
        </is>
      </c>
      <c r="D54" t="n">
        <v>78.72</v>
      </c>
      <c r="E54">
        <f>LN(D54)</f>
        <v/>
      </c>
      <c r="F54">
        <f>--(C54="M")</f>
        <v/>
      </c>
      <c r="G54">
        <f>B54*F54</f>
        <v/>
      </c>
      <c r="H54">
        <f>EXP(Main_Effects_Mechanics!$G$11+Main_Effects_Mechanics!$G$12*F54+Main_Effects_Mechanics!$G$13*B54)</f>
        <v/>
      </c>
      <c r="I54">
        <f>LN(H54)</f>
        <v/>
      </c>
      <c r="J54">
        <f>EXP(Interaction_Mechanics!$H$12+Interaction_Mechanics!$H$13*F54+Interaction_Mechanics!$H$14*B54+Interaction_Mechanics!$H$15*G54)</f>
        <v/>
      </c>
      <c r="K54">
        <f>LN(J54)</f>
        <v/>
      </c>
      <c r="L54">
        <f>IF(C54="F",B54,NA())</f>
        <v/>
      </c>
      <c r="M54">
        <f>IF(C54="F",E54,NA())</f>
        <v/>
      </c>
      <c r="N54">
        <f>IF(C54="F",I54,NA())</f>
        <v/>
      </c>
      <c r="O54">
        <f>IF(C54="F",K54,NA())</f>
        <v/>
      </c>
      <c r="P54">
        <f>IF(C54="M",B54,NA())</f>
        <v/>
      </c>
      <c r="Q54">
        <f>IF(C54="M",E54,NA())</f>
        <v/>
      </c>
      <c r="R54">
        <f>IF(C54="M",I54,NA())</f>
        <v/>
      </c>
      <c r="S54">
        <f>IF(C54="M",K54,NA())</f>
        <v/>
      </c>
    </row>
    <row r="55">
      <c r="A55" t="n">
        <v>54</v>
      </c>
      <c r="B55" t="n">
        <v>89</v>
      </c>
      <c r="C55" t="inlineStr">
        <is>
          <t>F</t>
        </is>
      </c>
      <c r="D55" t="n">
        <v>88.59999999999999</v>
      </c>
      <c r="E55">
        <f>LN(D55)</f>
        <v/>
      </c>
      <c r="F55">
        <f>--(C55="M")</f>
        <v/>
      </c>
      <c r="G55">
        <f>B55*F55</f>
        <v/>
      </c>
      <c r="H55">
        <f>EXP(Main_Effects_Mechanics!$G$11+Main_Effects_Mechanics!$G$12*F55+Main_Effects_Mechanics!$G$13*B55)</f>
        <v/>
      </c>
      <c r="I55">
        <f>LN(H55)</f>
        <v/>
      </c>
      <c r="J55">
        <f>EXP(Interaction_Mechanics!$H$12+Interaction_Mechanics!$H$13*F55+Interaction_Mechanics!$H$14*B55+Interaction_Mechanics!$H$15*G55)</f>
        <v/>
      </c>
      <c r="K55">
        <f>LN(J55)</f>
        <v/>
      </c>
      <c r="L55">
        <f>IF(C55="F",B55,NA())</f>
        <v/>
      </c>
      <c r="M55">
        <f>IF(C55="F",E55,NA())</f>
        <v/>
      </c>
      <c r="N55">
        <f>IF(C55="F",I55,NA())</f>
        <v/>
      </c>
      <c r="O55">
        <f>IF(C55="F",K55,NA())</f>
        <v/>
      </c>
      <c r="P55">
        <f>IF(C55="M",B55,NA())</f>
        <v/>
      </c>
      <c r="Q55">
        <f>IF(C55="M",E55,NA())</f>
        <v/>
      </c>
      <c r="R55">
        <f>IF(C55="M",I55,NA())</f>
        <v/>
      </c>
      <c r="S55">
        <f>IF(C55="M",K55,NA())</f>
        <v/>
      </c>
    </row>
    <row r="56">
      <c r="A56" t="n">
        <v>55</v>
      </c>
      <c r="B56" t="n">
        <v>90</v>
      </c>
      <c r="C56" t="inlineStr">
        <is>
          <t>F</t>
        </is>
      </c>
      <c r="D56" t="n">
        <v>99.45</v>
      </c>
      <c r="E56">
        <f>LN(D56)</f>
        <v/>
      </c>
      <c r="F56">
        <f>--(C56="M")</f>
        <v/>
      </c>
      <c r="G56">
        <f>B56*F56</f>
        <v/>
      </c>
      <c r="H56">
        <f>EXP(Main_Effects_Mechanics!$G$11+Main_Effects_Mechanics!$G$12*F56+Main_Effects_Mechanics!$G$13*B56)</f>
        <v/>
      </c>
      <c r="I56">
        <f>LN(H56)</f>
        <v/>
      </c>
      <c r="J56">
        <f>EXP(Interaction_Mechanics!$H$12+Interaction_Mechanics!$H$13*F56+Interaction_Mechanics!$H$14*B56+Interaction_Mechanics!$H$15*G56)</f>
        <v/>
      </c>
      <c r="K56">
        <f>LN(J56)</f>
        <v/>
      </c>
      <c r="L56">
        <f>IF(C56="F",B56,NA())</f>
        <v/>
      </c>
      <c r="M56">
        <f>IF(C56="F",E56,NA())</f>
        <v/>
      </c>
      <c r="N56">
        <f>IF(C56="F",I56,NA())</f>
        <v/>
      </c>
      <c r="O56">
        <f>IF(C56="F",K56,NA())</f>
        <v/>
      </c>
      <c r="P56">
        <f>IF(C56="M",B56,NA())</f>
        <v/>
      </c>
      <c r="Q56">
        <f>IF(C56="M",E56,NA())</f>
        <v/>
      </c>
      <c r="R56">
        <f>IF(C56="M",I56,NA())</f>
        <v/>
      </c>
      <c r="S56">
        <f>IF(C56="M",K56,NA())</f>
        <v/>
      </c>
    </row>
    <row r="57">
      <c r="A57" t="n">
        <v>56</v>
      </c>
      <c r="B57" t="n">
        <v>91</v>
      </c>
      <c r="C57" t="inlineStr">
        <is>
          <t>F</t>
        </is>
      </c>
      <c r="D57" t="n">
        <v>111.2</v>
      </c>
      <c r="E57">
        <f>LN(D57)</f>
        <v/>
      </c>
      <c r="F57">
        <f>--(C57="M")</f>
        <v/>
      </c>
      <c r="G57">
        <f>B57*F57</f>
        <v/>
      </c>
      <c r="H57">
        <f>EXP(Main_Effects_Mechanics!$G$11+Main_Effects_Mechanics!$G$12*F57+Main_Effects_Mechanics!$G$13*B57)</f>
        <v/>
      </c>
      <c r="I57">
        <f>LN(H57)</f>
        <v/>
      </c>
      <c r="J57">
        <f>EXP(Interaction_Mechanics!$H$12+Interaction_Mechanics!$H$13*F57+Interaction_Mechanics!$H$14*B57+Interaction_Mechanics!$H$15*G57)</f>
        <v/>
      </c>
      <c r="K57">
        <f>LN(J57)</f>
        <v/>
      </c>
      <c r="L57">
        <f>IF(C57="F",B57,NA())</f>
        <v/>
      </c>
      <c r="M57">
        <f>IF(C57="F",E57,NA())</f>
        <v/>
      </c>
      <c r="N57">
        <f>IF(C57="F",I57,NA())</f>
        <v/>
      </c>
      <c r="O57">
        <f>IF(C57="F",K57,NA())</f>
        <v/>
      </c>
      <c r="P57">
        <f>IF(C57="M",B57,NA())</f>
        <v/>
      </c>
      <c r="Q57">
        <f>IF(C57="M",E57,NA())</f>
        <v/>
      </c>
      <c r="R57">
        <f>IF(C57="M",I57,NA())</f>
        <v/>
      </c>
      <c r="S57">
        <f>IF(C57="M",K57,NA())</f>
        <v/>
      </c>
    </row>
    <row r="58">
      <c r="A58" t="n">
        <v>57</v>
      </c>
      <c r="B58" t="n">
        <v>92</v>
      </c>
      <c r="C58" t="inlineStr">
        <is>
          <t>F</t>
        </is>
      </c>
      <c r="D58" t="n">
        <v>123.55</v>
      </c>
      <c r="E58">
        <f>LN(D58)</f>
        <v/>
      </c>
      <c r="F58">
        <f>--(C58="M")</f>
        <v/>
      </c>
      <c r="G58">
        <f>B58*F58</f>
        <v/>
      </c>
      <c r="H58">
        <f>EXP(Main_Effects_Mechanics!$G$11+Main_Effects_Mechanics!$G$12*F58+Main_Effects_Mechanics!$G$13*B58)</f>
        <v/>
      </c>
      <c r="I58">
        <f>LN(H58)</f>
        <v/>
      </c>
      <c r="J58">
        <f>EXP(Interaction_Mechanics!$H$12+Interaction_Mechanics!$H$13*F58+Interaction_Mechanics!$H$14*B58+Interaction_Mechanics!$H$15*G58)</f>
        <v/>
      </c>
      <c r="K58">
        <f>LN(J58)</f>
        <v/>
      </c>
      <c r="L58">
        <f>IF(C58="F",B58,NA())</f>
        <v/>
      </c>
      <c r="M58">
        <f>IF(C58="F",E58,NA())</f>
        <v/>
      </c>
      <c r="N58">
        <f>IF(C58="F",I58,NA())</f>
        <v/>
      </c>
      <c r="O58">
        <f>IF(C58="F",K58,NA())</f>
        <v/>
      </c>
      <c r="P58">
        <f>IF(C58="M",B58,NA())</f>
        <v/>
      </c>
      <c r="Q58">
        <f>IF(C58="M",E58,NA())</f>
        <v/>
      </c>
      <c r="R58">
        <f>IF(C58="M",I58,NA())</f>
        <v/>
      </c>
      <c r="S58">
        <f>IF(C58="M",K58,NA())</f>
        <v/>
      </c>
    </row>
    <row r="59">
      <c r="A59" t="n">
        <v>58</v>
      </c>
      <c r="B59" t="n">
        <v>93</v>
      </c>
      <c r="C59" t="inlineStr">
        <is>
          <t>F</t>
        </is>
      </c>
      <c r="D59" t="n">
        <v>136.78</v>
      </c>
      <c r="E59">
        <f>LN(D59)</f>
        <v/>
      </c>
      <c r="F59">
        <f>--(C59="M")</f>
        <v/>
      </c>
      <c r="G59">
        <f>B59*F59</f>
        <v/>
      </c>
      <c r="H59">
        <f>EXP(Main_Effects_Mechanics!$G$11+Main_Effects_Mechanics!$G$12*F59+Main_Effects_Mechanics!$G$13*B59)</f>
        <v/>
      </c>
      <c r="I59">
        <f>LN(H59)</f>
        <v/>
      </c>
      <c r="J59">
        <f>EXP(Interaction_Mechanics!$H$12+Interaction_Mechanics!$H$13*F59+Interaction_Mechanics!$H$14*B59+Interaction_Mechanics!$H$15*G59)</f>
        <v/>
      </c>
      <c r="K59">
        <f>LN(J59)</f>
        <v/>
      </c>
      <c r="L59">
        <f>IF(C59="F",B59,NA())</f>
        <v/>
      </c>
      <c r="M59">
        <f>IF(C59="F",E59,NA())</f>
        <v/>
      </c>
      <c r="N59">
        <f>IF(C59="F",I59,NA())</f>
        <v/>
      </c>
      <c r="O59">
        <f>IF(C59="F",K59,NA())</f>
        <v/>
      </c>
      <c r="P59">
        <f>IF(C59="M",B59,NA())</f>
        <v/>
      </c>
      <c r="Q59">
        <f>IF(C59="M",E59,NA())</f>
        <v/>
      </c>
      <c r="R59">
        <f>IF(C59="M",I59,NA())</f>
        <v/>
      </c>
      <c r="S59">
        <f>IF(C59="M",K59,NA())</f>
        <v/>
      </c>
    </row>
    <row r="60">
      <c r="A60" t="n">
        <v>59</v>
      </c>
      <c r="B60" t="n">
        <v>94</v>
      </c>
      <c r="C60" t="inlineStr">
        <is>
          <t>F</t>
        </is>
      </c>
      <c r="D60" t="n">
        <v>150.94</v>
      </c>
      <c r="E60">
        <f>LN(D60)</f>
        <v/>
      </c>
      <c r="F60">
        <f>--(C60="M")</f>
        <v/>
      </c>
      <c r="G60">
        <f>B60*F60</f>
        <v/>
      </c>
      <c r="H60">
        <f>EXP(Main_Effects_Mechanics!$G$11+Main_Effects_Mechanics!$G$12*F60+Main_Effects_Mechanics!$G$13*B60)</f>
        <v/>
      </c>
      <c r="I60">
        <f>LN(H60)</f>
        <v/>
      </c>
      <c r="J60">
        <f>EXP(Interaction_Mechanics!$H$12+Interaction_Mechanics!$H$13*F60+Interaction_Mechanics!$H$14*B60+Interaction_Mechanics!$H$15*G60)</f>
        <v/>
      </c>
      <c r="K60">
        <f>LN(J60)</f>
        <v/>
      </c>
      <c r="L60">
        <f>IF(C60="F",B60,NA())</f>
        <v/>
      </c>
      <c r="M60">
        <f>IF(C60="F",E60,NA())</f>
        <v/>
      </c>
      <c r="N60">
        <f>IF(C60="F",I60,NA())</f>
        <v/>
      </c>
      <c r="O60">
        <f>IF(C60="F",K60,NA())</f>
        <v/>
      </c>
      <c r="P60">
        <f>IF(C60="M",B60,NA())</f>
        <v/>
      </c>
      <c r="Q60">
        <f>IF(C60="M",E60,NA())</f>
        <v/>
      </c>
      <c r="R60">
        <f>IF(C60="M",I60,NA())</f>
        <v/>
      </c>
      <c r="S60">
        <f>IF(C60="M",K60,NA())</f>
        <v/>
      </c>
    </row>
    <row r="61">
      <c r="A61" t="n">
        <v>60</v>
      </c>
      <c r="B61" t="n">
        <v>95</v>
      </c>
      <c r="C61" t="inlineStr">
        <is>
          <t>F</t>
        </is>
      </c>
      <c r="D61" t="n">
        <v>165.14</v>
      </c>
      <c r="E61">
        <f>LN(D61)</f>
        <v/>
      </c>
      <c r="F61">
        <f>--(C61="M")</f>
        <v/>
      </c>
      <c r="G61">
        <f>B61*F61</f>
        <v/>
      </c>
      <c r="H61">
        <f>EXP(Main_Effects_Mechanics!$G$11+Main_Effects_Mechanics!$G$12*F61+Main_Effects_Mechanics!$G$13*B61)</f>
        <v/>
      </c>
      <c r="I61">
        <f>LN(H61)</f>
        <v/>
      </c>
      <c r="J61">
        <f>EXP(Interaction_Mechanics!$H$12+Interaction_Mechanics!$H$13*F61+Interaction_Mechanics!$H$14*B61+Interaction_Mechanics!$H$15*G61)</f>
        <v/>
      </c>
      <c r="K61">
        <f>LN(J61)</f>
        <v/>
      </c>
      <c r="L61">
        <f>IF(C61="F",B61,NA())</f>
        <v/>
      </c>
      <c r="M61">
        <f>IF(C61="F",E61,NA())</f>
        <v/>
      </c>
      <c r="N61">
        <f>IF(C61="F",I61,NA())</f>
        <v/>
      </c>
      <c r="O61">
        <f>IF(C61="F",K61,NA())</f>
        <v/>
      </c>
      <c r="P61">
        <f>IF(C61="M",B61,NA())</f>
        <v/>
      </c>
      <c r="Q61">
        <f>IF(C61="M",E61,NA())</f>
        <v/>
      </c>
      <c r="R61">
        <f>IF(C61="M",I61,NA())</f>
        <v/>
      </c>
      <c r="S61">
        <f>IF(C61="M",K61,NA())</f>
        <v/>
      </c>
    </row>
    <row r="62">
      <c r="A62" t="n">
        <v>61</v>
      </c>
      <c r="B62" t="n">
        <v>96</v>
      </c>
      <c r="C62" t="inlineStr">
        <is>
          <t>F</t>
        </is>
      </c>
      <c r="D62" t="n">
        <v>180.27</v>
      </c>
      <c r="E62">
        <f>LN(D62)</f>
        <v/>
      </c>
      <c r="F62">
        <f>--(C62="M")</f>
        <v/>
      </c>
      <c r="G62">
        <f>B62*F62</f>
        <v/>
      </c>
      <c r="H62">
        <f>EXP(Main_Effects_Mechanics!$G$11+Main_Effects_Mechanics!$G$12*F62+Main_Effects_Mechanics!$G$13*B62)</f>
        <v/>
      </c>
      <c r="I62">
        <f>LN(H62)</f>
        <v/>
      </c>
      <c r="J62">
        <f>EXP(Interaction_Mechanics!$H$12+Interaction_Mechanics!$H$13*F62+Interaction_Mechanics!$H$14*B62+Interaction_Mechanics!$H$15*G62)</f>
        <v/>
      </c>
      <c r="K62">
        <f>LN(J62)</f>
        <v/>
      </c>
      <c r="L62">
        <f>IF(C62="F",B62,NA())</f>
        <v/>
      </c>
      <c r="M62">
        <f>IF(C62="F",E62,NA())</f>
        <v/>
      </c>
      <c r="N62">
        <f>IF(C62="F",I62,NA())</f>
        <v/>
      </c>
      <c r="O62">
        <f>IF(C62="F",K62,NA())</f>
        <v/>
      </c>
      <c r="P62">
        <f>IF(C62="M",B62,NA())</f>
        <v/>
      </c>
      <c r="Q62">
        <f>IF(C62="M",E62,NA())</f>
        <v/>
      </c>
      <c r="R62">
        <f>IF(C62="M",I62,NA())</f>
        <v/>
      </c>
      <c r="S62">
        <f>IF(C62="M",K62,NA())</f>
        <v/>
      </c>
    </row>
    <row r="63">
      <c r="A63" t="n">
        <v>62</v>
      </c>
      <c r="B63" t="n">
        <v>97</v>
      </c>
      <c r="C63" t="inlineStr">
        <is>
          <t>F</t>
        </is>
      </c>
      <c r="D63" t="n">
        <v>199.02</v>
      </c>
      <c r="E63">
        <f>LN(D63)</f>
        <v/>
      </c>
      <c r="F63">
        <f>--(C63="M")</f>
        <v/>
      </c>
      <c r="G63">
        <f>B63*F63</f>
        <v/>
      </c>
      <c r="H63">
        <f>EXP(Main_Effects_Mechanics!$G$11+Main_Effects_Mechanics!$G$12*F63+Main_Effects_Mechanics!$G$13*B63)</f>
        <v/>
      </c>
      <c r="I63">
        <f>LN(H63)</f>
        <v/>
      </c>
      <c r="J63">
        <f>EXP(Interaction_Mechanics!$H$12+Interaction_Mechanics!$H$13*F63+Interaction_Mechanics!$H$14*B63+Interaction_Mechanics!$H$15*G63)</f>
        <v/>
      </c>
      <c r="K63">
        <f>LN(J63)</f>
        <v/>
      </c>
      <c r="L63">
        <f>IF(C63="F",B63,NA())</f>
        <v/>
      </c>
      <c r="M63">
        <f>IF(C63="F",E63,NA())</f>
        <v/>
      </c>
      <c r="N63">
        <f>IF(C63="F",I63,NA())</f>
        <v/>
      </c>
      <c r="O63">
        <f>IF(C63="F",K63,NA())</f>
        <v/>
      </c>
      <c r="P63">
        <f>IF(C63="M",B63,NA())</f>
        <v/>
      </c>
      <c r="Q63">
        <f>IF(C63="M",E63,NA())</f>
        <v/>
      </c>
      <c r="R63">
        <f>IF(C63="M",I63,NA())</f>
        <v/>
      </c>
      <c r="S63">
        <f>IF(C63="M",K63,NA())</f>
        <v/>
      </c>
    </row>
    <row r="64">
      <c r="A64" t="n">
        <v>63</v>
      </c>
      <c r="B64" t="n">
        <v>98</v>
      </c>
      <c r="C64" t="inlineStr">
        <is>
          <t>F</t>
        </is>
      </c>
      <c r="D64" t="n">
        <v>219.45</v>
      </c>
      <c r="E64">
        <f>LN(D64)</f>
        <v/>
      </c>
      <c r="F64">
        <f>--(C64="M")</f>
        <v/>
      </c>
      <c r="G64">
        <f>B64*F64</f>
        <v/>
      </c>
      <c r="H64">
        <f>EXP(Main_Effects_Mechanics!$G$11+Main_Effects_Mechanics!$G$12*F64+Main_Effects_Mechanics!$G$13*B64)</f>
        <v/>
      </c>
      <c r="I64">
        <f>LN(H64)</f>
        <v/>
      </c>
      <c r="J64">
        <f>EXP(Interaction_Mechanics!$H$12+Interaction_Mechanics!$H$13*F64+Interaction_Mechanics!$H$14*B64+Interaction_Mechanics!$H$15*G64)</f>
        <v/>
      </c>
      <c r="K64">
        <f>LN(J64)</f>
        <v/>
      </c>
      <c r="L64">
        <f>IF(C64="F",B64,NA())</f>
        <v/>
      </c>
      <c r="M64">
        <f>IF(C64="F",E64,NA())</f>
        <v/>
      </c>
      <c r="N64">
        <f>IF(C64="F",I64,NA())</f>
        <v/>
      </c>
      <c r="O64">
        <f>IF(C64="F",K64,NA())</f>
        <v/>
      </c>
      <c r="P64">
        <f>IF(C64="M",B64,NA())</f>
        <v/>
      </c>
      <c r="Q64">
        <f>IF(C64="M",E64,NA())</f>
        <v/>
      </c>
      <c r="R64">
        <f>IF(C64="M",I64,NA())</f>
        <v/>
      </c>
      <c r="S64">
        <f>IF(C64="M",K64,NA())</f>
        <v/>
      </c>
    </row>
    <row r="65">
      <c r="A65" t="n">
        <v>64</v>
      </c>
      <c r="B65" t="n">
        <v>99</v>
      </c>
      <c r="C65" t="inlineStr">
        <is>
          <t>F</t>
        </is>
      </c>
      <c r="D65" t="n">
        <v>241.54</v>
      </c>
      <c r="E65">
        <f>LN(D65)</f>
        <v/>
      </c>
      <c r="F65">
        <f>--(C65="M")</f>
        <v/>
      </c>
      <c r="G65">
        <f>B65*F65</f>
        <v/>
      </c>
      <c r="H65">
        <f>EXP(Main_Effects_Mechanics!$G$11+Main_Effects_Mechanics!$G$12*F65+Main_Effects_Mechanics!$G$13*B65)</f>
        <v/>
      </c>
      <c r="I65">
        <f>LN(H65)</f>
        <v/>
      </c>
      <c r="J65">
        <f>EXP(Interaction_Mechanics!$H$12+Interaction_Mechanics!$H$13*F65+Interaction_Mechanics!$H$14*B65+Interaction_Mechanics!$H$15*G65)</f>
        <v/>
      </c>
      <c r="K65">
        <f>LN(J65)</f>
        <v/>
      </c>
      <c r="L65">
        <f>IF(C65="F",B65,NA())</f>
        <v/>
      </c>
      <c r="M65">
        <f>IF(C65="F",E65,NA())</f>
        <v/>
      </c>
      <c r="N65">
        <f>IF(C65="F",I65,NA())</f>
        <v/>
      </c>
      <c r="O65">
        <f>IF(C65="F",K65,NA())</f>
        <v/>
      </c>
      <c r="P65">
        <f>IF(C65="M",B65,NA())</f>
        <v/>
      </c>
      <c r="Q65">
        <f>IF(C65="M",E65,NA())</f>
        <v/>
      </c>
      <c r="R65">
        <f>IF(C65="M",I65,NA())</f>
        <v/>
      </c>
      <c r="S65">
        <f>IF(C65="M",K65,NA())</f>
        <v/>
      </c>
    </row>
    <row r="66">
      <c r="A66" t="n">
        <v>65</v>
      </c>
      <c r="B66" t="n">
        <v>100</v>
      </c>
      <c r="C66" t="inlineStr">
        <is>
          <t>F</t>
        </is>
      </c>
      <c r="D66" t="n">
        <v>264.9</v>
      </c>
      <c r="E66">
        <f>LN(D66)</f>
        <v/>
      </c>
      <c r="F66">
        <f>--(C66="M")</f>
        <v/>
      </c>
      <c r="G66">
        <f>B66*F66</f>
        <v/>
      </c>
      <c r="H66">
        <f>EXP(Main_Effects_Mechanics!$G$11+Main_Effects_Mechanics!$G$12*F66+Main_Effects_Mechanics!$G$13*B66)</f>
        <v/>
      </c>
      <c r="I66">
        <f>LN(H66)</f>
        <v/>
      </c>
      <c r="J66">
        <f>EXP(Interaction_Mechanics!$H$12+Interaction_Mechanics!$H$13*F66+Interaction_Mechanics!$H$14*B66+Interaction_Mechanics!$H$15*G66)</f>
        <v/>
      </c>
      <c r="K66">
        <f>LN(J66)</f>
        <v/>
      </c>
      <c r="L66">
        <f>IF(C66="F",B66,NA())</f>
        <v/>
      </c>
      <c r="M66">
        <f>IF(C66="F",E66,NA())</f>
        <v/>
      </c>
      <c r="N66">
        <f>IF(C66="F",I66,NA())</f>
        <v/>
      </c>
      <c r="O66">
        <f>IF(C66="F",K66,NA())</f>
        <v/>
      </c>
      <c r="P66">
        <f>IF(C66="M",B66,NA())</f>
        <v/>
      </c>
      <c r="Q66">
        <f>IF(C66="M",E66,NA())</f>
        <v/>
      </c>
      <c r="R66">
        <f>IF(C66="M",I66,NA())</f>
        <v/>
      </c>
      <c r="S66">
        <f>IF(C66="M",K66,NA())</f>
        <v/>
      </c>
    </row>
    <row r="67">
      <c r="A67" t="n">
        <v>66</v>
      </c>
      <c r="B67" t="n">
        <v>101</v>
      </c>
      <c r="C67" t="inlineStr">
        <is>
          <t>F</t>
        </is>
      </c>
      <c r="D67" t="n">
        <v>289.19</v>
      </c>
      <c r="E67">
        <f>LN(D67)</f>
        <v/>
      </c>
      <c r="F67">
        <f>--(C67="M")</f>
        <v/>
      </c>
      <c r="G67">
        <f>B67*F67</f>
        <v/>
      </c>
      <c r="H67">
        <f>EXP(Main_Effects_Mechanics!$G$11+Main_Effects_Mechanics!$G$12*F67+Main_Effects_Mechanics!$G$13*B67)</f>
        <v/>
      </c>
      <c r="I67">
        <f>LN(H67)</f>
        <v/>
      </c>
      <c r="J67">
        <f>EXP(Interaction_Mechanics!$H$12+Interaction_Mechanics!$H$13*F67+Interaction_Mechanics!$H$14*B67+Interaction_Mechanics!$H$15*G67)</f>
        <v/>
      </c>
      <c r="K67">
        <f>LN(J67)</f>
        <v/>
      </c>
      <c r="L67">
        <f>IF(C67="F",B67,NA())</f>
        <v/>
      </c>
      <c r="M67">
        <f>IF(C67="F",E67,NA())</f>
        <v/>
      </c>
      <c r="N67">
        <f>IF(C67="F",I67,NA())</f>
        <v/>
      </c>
      <c r="O67">
        <f>IF(C67="F",K67,NA())</f>
        <v/>
      </c>
      <c r="P67">
        <f>IF(C67="M",B67,NA())</f>
        <v/>
      </c>
      <c r="Q67">
        <f>IF(C67="M",E67,NA())</f>
        <v/>
      </c>
      <c r="R67">
        <f>IF(C67="M",I67,NA())</f>
        <v/>
      </c>
      <c r="S67">
        <f>IF(C67="M",K67,NA())</f>
        <v/>
      </c>
    </row>
    <row r="68">
      <c r="A68" t="n">
        <v>67</v>
      </c>
      <c r="B68" t="n">
        <v>102</v>
      </c>
      <c r="C68" t="inlineStr">
        <is>
          <t>F</t>
        </is>
      </c>
      <c r="D68" t="n">
        <v>313.3</v>
      </c>
      <c r="E68">
        <f>LN(D68)</f>
        <v/>
      </c>
      <c r="F68">
        <f>--(C68="M")</f>
        <v/>
      </c>
      <c r="G68">
        <f>B68*F68</f>
        <v/>
      </c>
      <c r="H68">
        <f>EXP(Main_Effects_Mechanics!$G$11+Main_Effects_Mechanics!$G$12*F68+Main_Effects_Mechanics!$G$13*B68)</f>
        <v/>
      </c>
      <c r="I68">
        <f>LN(H68)</f>
        <v/>
      </c>
      <c r="J68">
        <f>EXP(Interaction_Mechanics!$H$12+Interaction_Mechanics!$H$13*F68+Interaction_Mechanics!$H$14*B68+Interaction_Mechanics!$H$15*G68)</f>
        <v/>
      </c>
      <c r="K68">
        <f>LN(J68)</f>
        <v/>
      </c>
      <c r="L68">
        <f>IF(C68="F",B68,NA())</f>
        <v/>
      </c>
      <c r="M68">
        <f>IF(C68="F",E68,NA())</f>
        <v/>
      </c>
      <c r="N68">
        <f>IF(C68="F",I68,NA())</f>
        <v/>
      </c>
      <c r="O68">
        <f>IF(C68="F",K68,NA())</f>
        <v/>
      </c>
      <c r="P68">
        <f>IF(C68="M",B68,NA())</f>
        <v/>
      </c>
      <c r="Q68">
        <f>IF(C68="M",E68,NA())</f>
        <v/>
      </c>
      <c r="R68">
        <f>IF(C68="M",I68,NA())</f>
        <v/>
      </c>
      <c r="S68">
        <f>IF(C68="M",K68,NA())</f>
        <v/>
      </c>
    </row>
    <row r="69">
      <c r="A69" t="n">
        <v>68</v>
      </c>
      <c r="B69" t="n">
        <v>103</v>
      </c>
      <c r="C69" t="inlineStr">
        <is>
          <t>F</t>
        </is>
      </c>
      <c r="D69" t="n">
        <v>337.47</v>
      </c>
      <c r="E69">
        <f>LN(D69)</f>
        <v/>
      </c>
      <c r="F69">
        <f>--(C69="M")</f>
        <v/>
      </c>
      <c r="G69">
        <f>B69*F69</f>
        <v/>
      </c>
      <c r="H69">
        <f>EXP(Main_Effects_Mechanics!$G$11+Main_Effects_Mechanics!$G$12*F69+Main_Effects_Mechanics!$G$13*B69)</f>
        <v/>
      </c>
      <c r="I69">
        <f>LN(H69)</f>
        <v/>
      </c>
      <c r="J69">
        <f>EXP(Interaction_Mechanics!$H$12+Interaction_Mechanics!$H$13*F69+Interaction_Mechanics!$H$14*B69+Interaction_Mechanics!$H$15*G69)</f>
        <v/>
      </c>
      <c r="K69">
        <f>LN(J69)</f>
        <v/>
      </c>
      <c r="L69">
        <f>IF(C69="F",B69,NA())</f>
        <v/>
      </c>
      <c r="M69">
        <f>IF(C69="F",E69,NA())</f>
        <v/>
      </c>
      <c r="N69">
        <f>IF(C69="F",I69,NA())</f>
        <v/>
      </c>
      <c r="O69">
        <f>IF(C69="F",K69,NA())</f>
        <v/>
      </c>
      <c r="P69">
        <f>IF(C69="M",B69,NA())</f>
        <v/>
      </c>
      <c r="Q69">
        <f>IF(C69="M",E69,NA())</f>
        <v/>
      </c>
      <c r="R69">
        <f>IF(C69="M",I69,NA())</f>
        <v/>
      </c>
      <c r="S69">
        <f>IF(C69="M",K69,NA())</f>
        <v/>
      </c>
    </row>
    <row r="70">
      <c r="A70" t="n">
        <v>69</v>
      </c>
      <c r="B70" t="n">
        <v>104</v>
      </c>
      <c r="C70" t="inlineStr">
        <is>
          <t>F</t>
        </is>
      </c>
      <c r="D70" t="n">
        <v>361.33</v>
      </c>
      <c r="E70">
        <f>LN(D70)</f>
        <v/>
      </c>
      <c r="F70">
        <f>--(C70="M")</f>
        <v/>
      </c>
      <c r="G70">
        <f>B70*F70</f>
        <v/>
      </c>
      <c r="H70">
        <f>EXP(Main_Effects_Mechanics!$G$11+Main_Effects_Mechanics!$G$12*F70+Main_Effects_Mechanics!$G$13*B70)</f>
        <v/>
      </c>
      <c r="I70">
        <f>LN(H70)</f>
        <v/>
      </c>
      <c r="J70">
        <f>EXP(Interaction_Mechanics!$H$12+Interaction_Mechanics!$H$13*F70+Interaction_Mechanics!$H$14*B70+Interaction_Mechanics!$H$15*G70)</f>
        <v/>
      </c>
      <c r="K70">
        <f>LN(J70)</f>
        <v/>
      </c>
      <c r="L70">
        <f>IF(C70="F",B70,NA())</f>
        <v/>
      </c>
      <c r="M70">
        <f>IF(C70="F",E70,NA())</f>
        <v/>
      </c>
      <c r="N70">
        <f>IF(C70="F",I70,NA())</f>
        <v/>
      </c>
      <c r="O70">
        <f>IF(C70="F",K70,NA())</f>
        <v/>
      </c>
      <c r="P70">
        <f>IF(C70="M",B70,NA())</f>
        <v/>
      </c>
      <c r="Q70">
        <f>IF(C70="M",E70,NA())</f>
        <v/>
      </c>
      <c r="R70">
        <f>IF(C70="M",I70,NA())</f>
        <v/>
      </c>
      <c r="S70">
        <f>IF(C70="M",K70,NA())</f>
        <v/>
      </c>
    </row>
    <row r="71">
      <c r="A71" t="n">
        <v>70</v>
      </c>
      <c r="B71" t="n">
        <v>105</v>
      </c>
      <c r="C71" t="inlineStr">
        <is>
          <t>F</t>
        </is>
      </c>
      <c r="D71" t="n">
        <v>384.5</v>
      </c>
      <c r="E71">
        <f>LN(D71)</f>
        <v/>
      </c>
      <c r="F71">
        <f>--(C71="M")</f>
        <v/>
      </c>
      <c r="G71">
        <f>B71*F71</f>
        <v/>
      </c>
      <c r="H71">
        <f>EXP(Main_Effects_Mechanics!$G$11+Main_Effects_Mechanics!$G$12*F71+Main_Effects_Mechanics!$G$13*B71)</f>
        <v/>
      </c>
      <c r="I71">
        <f>LN(H71)</f>
        <v/>
      </c>
      <c r="J71">
        <f>EXP(Interaction_Mechanics!$H$12+Interaction_Mechanics!$H$13*F71+Interaction_Mechanics!$H$14*B71+Interaction_Mechanics!$H$15*G71)</f>
        <v/>
      </c>
      <c r="K71">
        <f>LN(J71)</f>
        <v/>
      </c>
      <c r="L71">
        <f>IF(C71="F",B71,NA())</f>
        <v/>
      </c>
      <c r="M71">
        <f>IF(C71="F",E71,NA())</f>
        <v/>
      </c>
      <c r="N71">
        <f>IF(C71="F",I71,NA())</f>
        <v/>
      </c>
      <c r="O71">
        <f>IF(C71="F",K71,NA())</f>
        <v/>
      </c>
      <c r="P71">
        <f>IF(C71="M",B71,NA())</f>
        <v/>
      </c>
      <c r="Q71">
        <f>IF(C71="M",E71,NA())</f>
        <v/>
      </c>
      <c r="R71">
        <f>IF(C71="M",I71,NA())</f>
        <v/>
      </c>
      <c r="S71">
        <f>IF(C71="M",K71,NA())</f>
        <v/>
      </c>
    </row>
    <row r="72">
      <c r="A72" t="n">
        <v>71</v>
      </c>
      <c r="B72" t="n">
        <v>106</v>
      </c>
      <c r="C72" t="inlineStr">
        <is>
          <t>F</t>
        </is>
      </c>
      <c r="D72" t="n">
        <v>406.6</v>
      </c>
      <c r="E72">
        <f>LN(D72)</f>
        <v/>
      </c>
      <c r="F72">
        <f>--(C72="M")</f>
        <v/>
      </c>
      <c r="G72">
        <f>B72*F72</f>
        <v/>
      </c>
      <c r="H72">
        <f>EXP(Main_Effects_Mechanics!$G$11+Main_Effects_Mechanics!$G$12*F72+Main_Effects_Mechanics!$G$13*B72)</f>
        <v/>
      </c>
      <c r="I72">
        <f>LN(H72)</f>
        <v/>
      </c>
      <c r="J72">
        <f>EXP(Interaction_Mechanics!$H$12+Interaction_Mechanics!$H$13*F72+Interaction_Mechanics!$H$14*B72+Interaction_Mechanics!$H$15*G72)</f>
        <v/>
      </c>
      <c r="K72">
        <f>LN(J72)</f>
        <v/>
      </c>
      <c r="L72">
        <f>IF(C72="F",B72,NA())</f>
        <v/>
      </c>
      <c r="M72">
        <f>IF(C72="F",E72,NA())</f>
        <v/>
      </c>
      <c r="N72">
        <f>IF(C72="F",I72,NA())</f>
        <v/>
      </c>
      <c r="O72">
        <f>IF(C72="F",K72,NA())</f>
        <v/>
      </c>
      <c r="P72">
        <f>IF(C72="M",B72,NA())</f>
        <v/>
      </c>
      <c r="Q72">
        <f>IF(C72="M",E72,NA())</f>
        <v/>
      </c>
      <c r="R72">
        <f>IF(C72="M",I72,NA())</f>
        <v/>
      </c>
      <c r="S72">
        <f>IF(C72="M",K72,NA())</f>
        <v/>
      </c>
    </row>
    <row r="73">
      <c r="A73" t="n">
        <v>72</v>
      </c>
      <c r="B73" t="n">
        <v>107</v>
      </c>
      <c r="C73" t="inlineStr">
        <is>
          <t>F</t>
        </is>
      </c>
      <c r="D73" t="n">
        <v>427.26</v>
      </c>
      <c r="E73">
        <f>LN(D73)</f>
        <v/>
      </c>
      <c r="F73">
        <f>--(C73="M")</f>
        <v/>
      </c>
      <c r="G73">
        <f>B73*F73</f>
        <v/>
      </c>
      <c r="H73">
        <f>EXP(Main_Effects_Mechanics!$G$11+Main_Effects_Mechanics!$G$12*F73+Main_Effects_Mechanics!$G$13*B73)</f>
        <v/>
      </c>
      <c r="I73">
        <f>LN(H73)</f>
        <v/>
      </c>
      <c r="J73">
        <f>EXP(Interaction_Mechanics!$H$12+Interaction_Mechanics!$H$13*F73+Interaction_Mechanics!$H$14*B73+Interaction_Mechanics!$H$15*G73)</f>
        <v/>
      </c>
      <c r="K73">
        <f>LN(J73)</f>
        <v/>
      </c>
      <c r="L73">
        <f>IF(C73="F",B73,NA())</f>
        <v/>
      </c>
      <c r="M73">
        <f>IF(C73="F",E73,NA())</f>
        <v/>
      </c>
      <c r="N73">
        <f>IF(C73="F",I73,NA())</f>
        <v/>
      </c>
      <c r="O73">
        <f>IF(C73="F",K73,NA())</f>
        <v/>
      </c>
      <c r="P73">
        <f>IF(C73="M",B73,NA())</f>
        <v/>
      </c>
      <c r="Q73">
        <f>IF(C73="M",E73,NA())</f>
        <v/>
      </c>
      <c r="R73">
        <f>IF(C73="M",I73,NA())</f>
        <v/>
      </c>
      <c r="S73">
        <f>IF(C73="M",K73,NA())</f>
        <v/>
      </c>
    </row>
    <row r="74">
      <c r="A74" t="n">
        <v>73</v>
      </c>
      <c r="B74" t="n">
        <v>108</v>
      </c>
      <c r="C74" t="inlineStr">
        <is>
          <t>F</t>
        </is>
      </c>
      <c r="D74" t="n">
        <v>446.11</v>
      </c>
      <c r="E74">
        <f>LN(D74)</f>
        <v/>
      </c>
      <c r="F74">
        <f>--(C74="M")</f>
        <v/>
      </c>
      <c r="G74">
        <f>B74*F74</f>
        <v/>
      </c>
      <c r="H74">
        <f>EXP(Main_Effects_Mechanics!$G$11+Main_Effects_Mechanics!$G$12*F74+Main_Effects_Mechanics!$G$13*B74)</f>
        <v/>
      </c>
      <c r="I74">
        <f>LN(H74)</f>
        <v/>
      </c>
      <c r="J74">
        <f>EXP(Interaction_Mechanics!$H$12+Interaction_Mechanics!$H$13*F74+Interaction_Mechanics!$H$14*B74+Interaction_Mechanics!$H$15*G74)</f>
        <v/>
      </c>
      <c r="K74">
        <f>LN(J74)</f>
        <v/>
      </c>
      <c r="L74">
        <f>IF(C74="F",B74,NA())</f>
        <v/>
      </c>
      <c r="M74">
        <f>IF(C74="F",E74,NA())</f>
        <v/>
      </c>
      <c r="N74">
        <f>IF(C74="F",I74,NA())</f>
        <v/>
      </c>
      <c r="O74">
        <f>IF(C74="F",K74,NA())</f>
        <v/>
      </c>
      <c r="P74">
        <f>IF(C74="M",B74,NA())</f>
        <v/>
      </c>
      <c r="Q74">
        <f>IF(C74="M",E74,NA())</f>
        <v/>
      </c>
      <c r="R74">
        <f>IF(C74="M",I74,NA())</f>
        <v/>
      </c>
      <c r="S74">
        <f>IF(C74="M",K74,NA())</f>
        <v/>
      </c>
    </row>
    <row r="75">
      <c r="A75" t="n">
        <v>74</v>
      </c>
      <c r="B75" t="n">
        <v>109</v>
      </c>
      <c r="C75" t="inlineStr">
        <is>
          <t>F</t>
        </is>
      </c>
      <c r="D75" t="n">
        <v>462.77</v>
      </c>
      <c r="E75">
        <f>LN(D75)</f>
        <v/>
      </c>
      <c r="F75">
        <f>--(C75="M")</f>
        <v/>
      </c>
      <c r="G75">
        <f>B75*F75</f>
        <v/>
      </c>
      <c r="H75">
        <f>EXP(Main_Effects_Mechanics!$G$11+Main_Effects_Mechanics!$G$12*F75+Main_Effects_Mechanics!$G$13*B75)</f>
        <v/>
      </c>
      <c r="I75">
        <f>LN(H75)</f>
        <v/>
      </c>
      <c r="J75">
        <f>EXP(Interaction_Mechanics!$H$12+Interaction_Mechanics!$H$13*F75+Interaction_Mechanics!$H$14*B75+Interaction_Mechanics!$H$15*G75)</f>
        <v/>
      </c>
      <c r="K75">
        <f>LN(J75)</f>
        <v/>
      </c>
      <c r="L75">
        <f>IF(C75="F",B75,NA())</f>
        <v/>
      </c>
      <c r="M75">
        <f>IF(C75="F",E75,NA())</f>
        <v/>
      </c>
      <c r="N75">
        <f>IF(C75="F",I75,NA())</f>
        <v/>
      </c>
      <c r="O75">
        <f>IF(C75="F",K75,NA())</f>
        <v/>
      </c>
      <c r="P75">
        <f>IF(C75="M",B75,NA())</f>
        <v/>
      </c>
      <c r="Q75">
        <f>IF(C75="M",E75,NA())</f>
        <v/>
      </c>
      <c r="R75">
        <f>IF(C75="M",I75,NA())</f>
        <v/>
      </c>
      <c r="S75">
        <f>IF(C75="M",K75,NA())</f>
        <v/>
      </c>
    </row>
    <row r="76">
      <c r="A76" t="n">
        <v>75</v>
      </c>
      <c r="B76" t="n">
        <v>36</v>
      </c>
      <c r="C76" t="inlineStr">
        <is>
          <t>M</t>
        </is>
      </c>
      <c r="D76" t="n">
        <v>0.96</v>
      </c>
      <c r="E76">
        <f>LN(D76)</f>
        <v/>
      </c>
      <c r="F76">
        <f>--(C76="M")</f>
        <v/>
      </c>
      <c r="G76">
        <f>B76*F76</f>
        <v/>
      </c>
      <c r="H76">
        <f>EXP(Main_Effects_Mechanics!$G$11+Main_Effects_Mechanics!$G$12*F76+Main_Effects_Mechanics!$G$13*B76)</f>
        <v/>
      </c>
      <c r="I76">
        <f>LN(H76)</f>
        <v/>
      </c>
      <c r="J76">
        <f>EXP(Interaction_Mechanics!$H$12+Interaction_Mechanics!$H$13*F76+Interaction_Mechanics!$H$14*B76+Interaction_Mechanics!$H$15*G76)</f>
        <v/>
      </c>
      <c r="K76">
        <f>LN(J76)</f>
        <v/>
      </c>
      <c r="L76">
        <f>IF(C76="F",B76,NA())</f>
        <v/>
      </c>
      <c r="M76">
        <f>IF(C76="F",E76,NA())</f>
        <v/>
      </c>
      <c r="N76">
        <f>IF(C76="F",I76,NA())</f>
        <v/>
      </c>
      <c r="O76">
        <f>IF(C76="F",K76,NA())</f>
        <v/>
      </c>
      <c r="P76">
        <f>IF(C76="M",B76,NA())</f>
        <v/>
      </c>
      <c r="Q76">
        <f>IF(C76="M",E76,NA())</f>
        <v/>
      </c>
      <c r="R76">
        <f>IF(C76="M",I76,NA())</f>
        <v/>
      </c>
      <c r="S76">
        <f>IF(C76="M",K76,NA())</f>
        <v/>
      </c>
    </row>
    <row r="77">
      <c r="A77" t="n">
        <v>76</v>
      </c>
      <c r="B77" t="n">
        <v>37</v>
      </c>
      <c r="C77" t="inlineStr">
        <is>
          <t>M</t>
        </is>
      </c>
      <c r="D77" t="n">
        <v>1</v>
      </c>
      <c r="E77">
        <f>LN(D77)</f>
        <v/>
      </c>
      <c r="F77">
        <f>--(C77="M")</f>
        <v/>
      </c>
      <c r="G77">
        <f>B77*F77</f>
        <v/>
      </c>
      <c r="H77">
        <f>EXP(Main_Effects_Mechanics!$G$11+Main_Effects_Mechanics!$G$12*F77+Main_Effects_Mechanics!$G$13*B77)</f>
        <v/>
      </c>
      <c r="I77">
        <f>LN(H77)</f>
        <v/>
      </c>
      <c r="J77">
        <f>EXP(Interaction_Mechanics!$H$12+Interaction_Mechanics!$H$13*F77+Interaction_Mechanics!$H$14*B77+Interaction_Mechanics!$H$15*G77)</f>
        <v/>
      </c>
      <c r="K77">
        <f>LN(J77)</f>
        <v/>
      </c>
      <c r="L77">
        <f>IF(C77="F",B77,NA())</f>
        <v/>
      </c>
      <c r="M77">
        <f>IF(C77="F",E77,NA())</f>
        <v/>
      </c>
      <c r="N77">
        <f>IF(C77="F",I77,NA())</f>
        <v/>
      </c>
      <c r="O77">
        <f>IF(C77="F",K77,NA())</f>
        <v/>
      </c>
      <c r="P77">
        <f>IF(C77="M",B77,NA())</f>
        <v/>
      </c>
      <c r="Q77">
        <f>IF(C77="M",E77,NA())</f>
        <v/>
      </c>
      <c r="R77">
        <f>IF(C77="M",I77,NA())</f>
        <v/>
      </c>
      <c r="S77">
        <f>IF(C77="M",K77,NA())</f>
        <v/>
      </c>
    </row>
    <row r="78">
      <c r="A78" t="n">
        <v>77</v>
      </c>
      <c r="B78" t="n">
        <v>38</v>
      </c>
      <c r="C78" t="inlineStr">
        <is>
          <t>M</t>
        </is>
      </c>
      <c r="D78" t="n">
        <v>1.03</v>
      </c>
      <c r="E78">
        <f>LN(D78)</f>
        <v/>
      </c>
      <c r="F78">
        <f>--(C78="M")</f>
        <v/>
      </c>
      <c r="G78">
        <f>B78*F78</f>
        <v/>
      </c>
      <c r="H78">
        <f>EXP(Main_Effects_Mechanics!$G$11+Main_Effects_Mechanics!$G$12*F78+Main_Effects_Mechanics!$G$13*B78)</f>
        <v/>
      </c>
      <c r="I78">
        <f>LN(H78)</f>
        <v/>
      </c>
      <c r="J78">
        <f>EXP(Interaction_Mechanics!$H$12+Interaction_Mechanics!$H$13*F78+Interaction_Mechanics!$H$14*B78+Interaction_Mechanics!$H$15*G78)</f>
        <v/>
      </c>
      <c r="K78">
        <f>LN(J78)</f>
        <v/>
      </c>
      <c r="L78">
        <f>IF(C78="F",B78,NA())</f>
        <v/>
      </c>
      <c r="M78">
        <f>IF(C78="F",E78,NA())</f>
        <v/>
      </c>
      <c r="N78">
        <f>IF(C78="F",I78,NA())</f>
        <v/>
      </c>
      <c r="O78">
        <f>IF(C78="F",K78,NA())</f>
        <v/>
      </c>
      <c r="P78">
        <f>IF(C78="M",B78,NA())</f>
        <v/>
      </c>
      <c r="Q78">
        <f>IF(C78="M",E78,NA())</f>
        <v/>
      </c>
      <c r="R78">
        <f>IF(C78="M",I78,NA())</f>
        <v/>
      </c>
      <c r="S78">
        <f>IF(C78="M",K78,NA())</f>
        <v/>
      </c>
    </row>
    <row r="79">
      <c r="A79" t="n">
        <v>78</v>
      </c>
      <c r="B79" t="n">
        <v>39</v>
      </c>
      <c r="C79" t="inlineStr">
        <is>
          <t>M</t>
        </is>
      </c>
      <c r="D79" t="n">
        <v>1.1</v>
      </c>
      <c r="E79">
        <f>LN(D79)</f>
        <v/>
      </c>
      <c r="F79">
        <f>--(C79="M")</f>
        <v/>
      </c>
      <c r="G79">
        <f>B79*F79</f>
        <v/>
      </c>
      <c r="H79">
        <f>EXP(Main_Effects_Mechanics!$G$11+Main_Effects_Mechanics!$G$12*F79+Main_Effects_Mechanics!$G$13*B79)</f>
        <v/>
      </c>
      <c r="I79">
        <f>LN(H79)</f>
        <v/>
      </c>
      <c r="J79">
        <f>EXP(Interaction_Mechanics!$H$12+Interaction_Mechanics!$H$13*F79+Interaction_Mechanics!$H$14*B79+Interaction_Mechanics!$H$15*G79)</f>
        <v/>
      </c>
      <c r="K79">
        <f>LN(J79)</f>
        <v/>
      </c>
      <c r="L79">
        <f>IF(C79="F",B79,NA())</f>
        <v/>
      </c>
      <c r="M79">
        <f>IF(C79="F",E79,NA())</f>
        <v/>
      </c>
      <c r="N79">
        <f>IF(C79="F",I79,NA())</f>
        <v/>
      </c>
      <c r="O79">
        <f>IF(C79="F",K79,NA())</f>
        <v/>
      </c>
      <c r="P79">
        <f>IF(C79="M",B79,NA())</f>
        <v/>
      </c>
      <c r="Q79">
        <f>IF(C79="M",E79,NA())</f>
        <v/>
      </c>
      <c r="R79">
        <f>IF(C79="M",I79,NA())</f>
        <v/>
      </c>
      <c r="S79">
        <f>IF(C79="M",K79,NA())</f>
        <v/>
      </c>
    </row>
    <row r="80">
      <c r="A80" t="n">
        <v>79</v>
      </c>
      <c r="B80" t="n">
        <v>40</v>
      </c>
      <c r="C80" t="inlineStr">
        <is>
          <t>M</t>
        </is>
      </c>
      <c r="D80" t="n">
        <v>1.16</v>
      </c>
      <c r="E80">
        <f>LN(D80)</f>
        <v/>
      </c>
      <c r="F80">
        <f>--(C80="M")</f>
        <v/>
      </c>
      <c r="G80">
        <f>B80*F80</f>
        <v/>
      </c>
      <c r="H80">
        <f>EXP(Main_Effects_Mechanics!$G$11+Main_Effects_Mechanics!$G$12*F80+Main_Effects_Mechanics!$G$13*B80)</f>
        <v/>
      </c>
      <c r="I80">
        <f>LN(H80)</f>
        <v/>
      </c>
      <c r="J80">
        <f>EXP(Interaction_Mechanics!$H$12+Interaction_Mechanics!$H$13*F80+Interaction_Mechanics!$H$14*B80+Interaction_Mechanics!$H$15*G80)</f>
        <v/>
      </c>
      <c r="K80">
        <f>LN(J80)</f>
        <v/>
      </c>
      <c r="L80">
        <f>IF(C80="F",B80,NA())</f>
        <v/>
      </c>
      <c r="M80">
        <f>IF(C80="F",E80,NA())</f>
        <v/>
      </c>
      <c r="N80">
        <f>IF(C80="F",I80,NA())</f>
        <v/>
      </c>
      <c r="O80">
        <f>IF(C80="F",K80,NA())</f>
        <v/>
      </c>
      <c r="P80">
        <f>IF(C80="M",B80,NA())</f>
        <v/>
      </c>
      <c r="Q80">
        <f>IF(C80="M",E80,NA())</f>
        <v/>
      </c>
      <c r="R80">
        <f>IF(C80="M",I80,NA())</f>
        <v/>
      </c>
      <c r="S80">
        <f>IF(C80="M",K80,NA())</f>
        <v/>
      </c>
    </row>
    <row r="81">
      <c r="A81" t="n">
        <v>80</v>
      </c>
      <c r="B81" t="n">
        <v>41</v>
      </c>
      <c r="C81" t="inlineStr">
        <is>
          <t>M</t>
        </is>
      </c>
      <c r="D81" t="n">
        <v>1.24</v>
      </c>
      <c r="E81">
        <f>LN(D81)</f>
        <v/>
      </c>
      <c r="F81">
        <f>--(C81="M")</f>
        <v/>
      </c>
      <c r="G81">
        <f>B81*F81</f>
        <v/>
      </c>
      <c r="H81">
        <f>EXP(Main_Effects_Mechanics!$G$11+Main_Effects_Mechanics!$G$12*F81+Main_Effects_Mechanics!$G$13*B81)</f>
        <v/>
      </c>
      <c r="I81">
        <f>LN(H81)</f>
        <v/>
      </c>
      <c r="J81">
        <f>EXP(Interaction_Mechanics!$H$12+Interaction_Mechanics!$H$13*F81+Interaction_Mechanics!$H$14*B81+Interaction_Mechanics!$H$15*G81)</f>
        <v/>
      </c>
      <c r="K81">
        <f>LN(J81)</f>
        <v/>
      </c>
      <c r="L81">
        <f>IF(C81="F",B81,NA())</f>
        <v/>
      </c>
      <c r="M81">
        <f>IF(C81="F",E81,NA())</f>
        <v/>
      </c>
      <c r="N81">
        <f>IF(C81="F",I81,NA())</f>
        <v/>
      </c>
      <c r="O81">
        <f>IF(C81="F",K81,NA())</f>
        <v/>
      </c>
      <c r="P81">
        <f>IF(C81="M",B81,NA())</f>
        <v/>
      </c>
      <c r="Q81">
        <f>IF(C81="M",E81,NA())</f>
        <v/>
      </c>
      <c r="R81">
        <f>IF(C81="M",I81,NA())</f>
        <v/>
      </c>
      <c r="S81">
        <f>IF(C81="M",K81,NA())</f>
        <v/>
      </c>
    </row>
    <row r="82">
      <c r="A82" t="n">
        <v>81</v>
      </c>
      <c r="B82" t="n">
        <v>42</v>
      </c>
      <c r="C82" t="inlineStr">
        <is>
          <t>M</t>
        </is>
      </c>
      <c r="D82" t="n">
        <v>1.31</v>
      </c>
      <c r="E82">
        <f>LN(D82)</f>
        <v/>
      </c>
      <c r="F82">
        <f>--(C82="M")</f>
        <v/>
      </c>
      <c r="G82">
        <f>B82*F82</f>
        <v/>
      </c>
      <c r="H82">
        <f>EXP(Main_Effects_Mechanics!$G$11+Main_Effects_Mechanics!$G$12*F82+Main_Effects_Mechanics!$G$13*B82)</f>
        <v/>
      </c>
      <c r="I82">
        <f>LN(H82)</f>
        <v/>
      </c>
      <c r="J82">
        <f>EXP(Interaction_Mechanics!$H$12+Interaction_Mechanics!$H$13*F82+Interaction_Mechanics!$H$14*B82+Interaction_Mechanics!$H$15*G82)</f>
        <v/>
      </c>
      <c r="K82">
        <f>LN(J82)</f>
        <v/>
      </c>
      <c r="L82">
        <f>IF(C82="F",B82,NA())</f>
        <v/>
      </c>
      <c r="M82">
        <f>IF(C82="F",E82,NA())</f>
        <v/>
      </c>
      <c r="N82">
        <f>IF(C82="F",I82,NA())</f>
        <v/>
      </c>
      <c r="O82">
        <f>IF(C82="F",K82,NA())</f>
        <v/>
      </c>
      <c r="P82">
        <f>IF(C82="M",B82,NA())</f>
        <v/>
      </c>
      <c r="Q82">
        <f>IF(C82="M",E82,NA())</f>
        <v/>
      </c>
      <c r="R82">
        <f>IF(C82="M",I82,NA())</f>
        <v/>
      </c>
      <c r="S82">
        <f>IF(C82="M",K82,NA())</f>
        <v/>
      </c>
    </row>
    <row r="83">
      <c r="A83" t="n">
        <v>82</v>
      </c>
      <c r="B83" t="n">
        <v>43</v>
      </c>
      <c r="C83" t="inlineStr">
        <is>
          <t>M</t>
        </is>
      </c>
      <c r="D83" t="n">
        <v>1.39</v>
      </c>
      <c r="E83">
        <f>LN(D83)</f>
        <v/>
      </c>
      <c r="F83">
        <f>--(C83="M")</f>
        <v/>
      </c>
      <c r="G83">
        <f>B83*F83</f>
        <v/>
      </c>
      <c r="H83">
        <f>EXP(Main_Effects_Mechanics!$G$11+Main_Effects_Mechanics!$G$12*F83+Main_Effects_Mechanics!$G$13*B83)</f>
        <v/>
      </c>
      <c r="I83">
        <f>LN(H83)</f>
        <v/>
      </c>
      <c r="J83">
        <f>EXP(Interaction_Mechanics!$H$12+Interaction_Mechanics!$H$13*F83+Interaction_Mechanics!$H$14*B83+Interaction_Mechanics!$H$15*G83)</f>
        <v/>
      </c>
      <c r="K83">
        <f>LN(J83)</f>
        <v/>
      </c>
      <c r="L83">
        <f>IF(C83="F",B83,NA())</f>
        <v/>
      </c>
      <c r="M83">
        <f>IF(C83="F",E83,NA())</f>
        <v/>
      </c>
      <c r="N83">
        <f>IF(C83="F",I83,NA())</f>
        <v/>
      </c>
      <c r="O83">
        <f>IF(C83="F",K83,NA())</f>
        <v/>
      </c>
      <c r="P83">
        <f>IF(C83="M",B83,NA())</f>
        <v/>
      </c>
      <c r="Q83">
        <f>IF(C83="M",E83,NA())</f>
        <v/>
      </c>
      <c r="R83">
        <f>IF(C83="M",I83,NA())</f>
        <v/>
      </c>
      <c r="S83">
        <f>IF(C83="M",K83,NA())</f>
        <v/>
      </c>
    </row>
    <row r="84">
      <c r="A84" t="n">
        <v>83</v>
      </c>
      <c r="B84" t="n">
        <v>44</v>
      </c>
      <c r="C84" t="inlineStr">
        <is>
          <t>M</t>
        </is>
      </c>
      <c r="D84" t="n">
        <v>1.45</v>
      </c>
      <c r="E84">
        <f>LN(D84)</f>
        <v/>
      </c>
      <c r="F84">
        <f>--(C84="M")</f>
        <v/>
      </c>
      <c r="G84">
        <f>B84*F84</f>
        <v/>
      </c>
      <c r="H84">
        <f>EXP(Main_Effects_Mechanics!$G$11+Main_Effects_Mechanics!$G$12*F84+Main_Effects_Mechanics!$G$13*B84)</f>
        <v/>
      </c>
      <c r="I84">
        <f>LN(H84)</f>
        <v/>
      </c>
      <c r="J84">
        <f>EXP(Interaction_Mechanics!$H$12+Interaction_Mechanics!$H$13*F84+Interaction_Mechanics!$H$14*B84+Interaction_Mechanics!$H$15*G84)</f>
        <v/>
      </c>
      <c r="K84">
        <f>LN(J84)</f>
        <v/>
      </c>
      <c r="L84">
        <f>IF(C84="F",B84,NA())</f>
        <v/>
      </c>
      <c r="M84">
        <f>IF(C84="F",E84,NA())</f>
        <v/>
      </c>
      <c r="N84">
        <f>IF(C84="F",I84,NA())</f>
        <v/>
      </c>
      <c r="O84">
        <f>IF(C84="F",K84,NA())</f>
        <v/>
      </c>
      <c r="P84">
        <f>IF(C84="M",B84,NA())</f>
        <v/>
      </c>
      <c r="Q84">
        <f>IF(C84="M",E84,NA())</f>
        <v/>
      </c>
      <c r="R84">
        <f>IF(C84="M",I84,NA())</f>
        <v/>
      </c>
      <c r="S84">
        <f>IF(C84="M",K84,NA())</f>
        <v/>
      </c>
    </row>
    <row r="85">
      <c r="A85" t="n">
        <v>84</v>
      </c>
      <c r="B85" t="n">
        <v>45</v>
      </c>
      <c r="C85" t="inlineStr">
        <is>
          <t>M</t>
        </is>
      </c>
      <c r="D85" t="n">
        <v>1.49</v>
      </c>
      <c r="E85">
        <f>LN(D85)</f>
        <v/>
      </c>
      <c r="F85">
        <f>--(C85="M")</f>
        <v/>
      </c>
      <c r="G85">
        <f>B85*F85</f>
        <v/>
      </c>
      <c r="H85">
        <f>EXP(Main_Effects_Mechanics!$G$11+Main_Effects_Mechanics!$G$12*F85+Main_Effects_Mechanics!$G$13*B85)</f>
        <v/>
      </c>
      <c r="I85">
        <f>LN(H85)</f>
        <v/>
      </c>
      <c r="J85">
        <f>EXP(Interaction_Mechanics!$H$12+Interaction_Mechanics!$H$13*F85+Interaction_Mechanics!$H$14*B85+Interaction_Mechanics!$H$15*G85)</f>
        <v/>
      </c>
      <c r="K85">
        <f>LN(J85)</f>
        <v/>
      </c>
      <c r="L85">
        <f>IF(C85="F",B85,NA())</f>
        <v/>
      </c>
      <c r="M85">
        <f>IF(C85="F",E85,NA())</f>
        <v/>
      </c>
      <c r="N85">
        <f>IF(C85="F",I85,NA())</f>
        <v/>
      </c>
      <c r="O85">
        <f>IF(C85="F",K85,NA())</f>
        <v/>
      </c>
      <c r="P85">
        <f>IF(C85="M",B85,NA())</f>
        <v/>
      </c>
      <c r="Q85">
        <f>IF(C85="M",E85,NA())</f>
        <v/>
      </c>
      <c r="R85">
        <f>IF(C85="M",I85,NA())</f>
        <v/>
      </c>
      <c r="S85">
        <f>IF(C85="M",K85,NA())</f>
        <v/>
      </c>
    </row>
    <row r="86">
      <c r="A86" t="n">
        <v>85</v>
      </c>
      <c r="B86" t="n">
        <v>46</v>
      </c>
      <c r="C86" t="inlineStr">
        <is>
          <t>M</t>
        </is>
      </c>
      <c r="D86" t="n">
        <v>1.52</v>
      </c>
      <c r="E86">
        <f>LN(D86)</f>
        <v/>
      </c>
      <c r="F86">
        <f>--(C86="M")</f>
        <v/>
      </c>
      <c r="G86">
        <f>B86*F86</f>
        <v/>
      </c>
      <c r="H86">
        <f>EXP(Main_Effects_Mechanics!$G$11+Main_Effects_Mechanics!$G$12*F86+Main_Effects_Mechanics!$G$13*B86)</f>
        <v/>
      </c>
      <c r="I86">
        <f>LN(H86)</f>
        <v/>
      </c>
      <c r="J86">
        <f>EXP(Interaction_Mechanics!$H$12+Interaction_Mechanics!$H$13*F86+Interaction_Mechanics!$H$14*B86+Interaction_Mechanics!$H$15*G86)</f>
        <v/>
      </c>
      <c r="K86">
        <f>LN(J86)</f>
        <v/>
      </c>
      <c r="L86">
        <f>IF(C86="F",B86,NA())</f>
        <v/>
      </c>
      <c r="M86">
        <f>IF(C86="F",E86,NA())</f>
        <v/>
      </c>
      <c r="N86">
        <f>IF(C86="F",I86,NA())</f>
        <v/>
      </c>
      <c r="O86">
        <f>IF(C86="F",K86,NA())</f>
        <v/>
      </c>
      <c r="P86">
        <f>IF(C86="M",B86,NA())</f>
        <v/>
      </c>
      <c r="Q86">
        <f>IF(C86="M",E86,NA())</f>
        <v/>
      </c>
      <c r="R86">
        <f>IF(C86="M",I86,NA())</f>
        <v/>
      </c>
      <c r="S86">
        <f>IF(C86="M",K86,NA())</f>
        <v/>
      </c>
    </row>
    <row r="87">
      <c r="A87" t="n">
        <v>86</v>
      </c>
      <c r="B87" t="n">
        <v>47</v>
      </c>
      <c r="C87" t="inlineStr">
        <is>
          <t>M</t>
        </is>
      </c>
      <c r="D87" t="n">
        <v>1.6</v>
      </c>
      <c r="E87">
        <f>LN(D87)</f>
        <v/>
      </c>
      <c r="F87">
        <f>--(C87="M")</f>
        <v/>
      </c>
      <c r="G87">
        <f>B87*F87</f>
        <v/>
      </c>
      <c r="H87">
        <f>EXP(Main_Effects_Mechanics!$G$11+Main_Effects_Mechanics!$G$12*F87+Main_Effects_Mechanics!$G$13*B87)</f>
        <v/>
      </c>
      <c r="I87">
        <f>LN(H87)</f>
        <v/>
      </c>
      <c r="J87">
        <f>EXP(Interaction_Mechanics!$H$12+Interaction_Mechanics!$H$13*F87+Interaction_Mechanics!$H$14*B87+Interaction_Mechanics!$H$15*G87)</f>
        <v/>
      </c>
      <c r="K87">
        <f>LN(J87)</f>
        <v/>
      </c>
      <c r="L87">
        <f>IF(C87="F",B87,NA())</f>
        <v/>
      </c>
      <c r="M87">
        <f>IF(C87="F",E87,NA())</f>
        <v/>
      </c>
      <c r="N87">
        <f>IF(C87="F",I87,NA())</f>
        <v/>
      </c>
      <c r="O87">
        <f>IF(C87="F",K87,NA())</f>
        <v/>
      </c>
      <c r="P87">
        <f>IF(C87="M",B87,NA())</f>
        <v/>
      </c>
      <c r="Q87">
        <f>IF(C87="M",E87,NA())</f>
        <v/>
      </c>
      <c r="R87">
        <f>IF(C87="M",I87,NA())</f>
        <v/>
      </c>
      <c r="S87">
        <f>IF(C87="M",K87,NA())</f>
        <v/>
      </c>
    </row>
    <row r="88">
      <c r="A88" t="n">
        <v>87</v>
      </c>
      <c r="B88" t="n">
        <v>48</v>
      </c>
      <c r="C88" t="inlineStr">
        <is>
          <t>M</t>
        </is>
      </c>
      <c r="D88" t="n">
        <v>1.7</v>
      </c>
      <c r="E88">
        <f>LN(D88)</f>
        <v/>
      </c>
      <c r="F88">
        <f>--(C88="M")</f>
        <v/>
      </c>
      <c r="G88">
        <f>B88*F88</f>
        <v/>
      </c>
      <c r="H88">
        <f>EXP(Main_Effects_Mechanics!$G$11+Main_Effects_Mechanics!$G$12*F88+Main_Effects_Mechanics!$G$13*B88)</f>
        <v/>
      </c>
      <c r="I88">
        <f>LN(H88)</f>
        <v/>
      </c>
      <c r="J88">
        <f>EXP(Interaction_Mechanics!$H$12+Interaction_Mechanics!$H$13*F88+Interaction_Mechanics!$H$14*B88+Interaction_Mechanics!$H$15*G88)</f>
        <v/>
      </c>
      <c r="K88">
        <f>LN(J88)</f>
        <v/>
      </c>
      <c r="L88">
        <f>IF(C88="F",B88,NA())</f>
        <v/>
      </c>
      <c r="M88">
        <f>IF(C88="F",E88,NA())</f>
        <v/>
      </c>
      <c r="N88">
        <f>IF(C88="F",I88,NA())</f>
        <v/>
      </c>
      <c r="O88">
        <f>IF(C88="F",K88,NA())</f>
        <v/>
      </c>
      <c r="P88">
        <f>IF(C88="M",B88,NA())</f>
        <v/>
      </c>
      <c r="Q88">
        <f>IF(C88="M",E88,NA())</f>
        <v/>
      </c>
      <c r="R88">
        <f>IF(C88="M",I88,NA())</f>
        <v/>
      </c>
      <c r="S88">
        <f>IF(C88="M",K88,NA())</f>
        <v/>
      </c>
    </row>
    <row r="89">
      <c r="A89" t="n">
        <v>88</v>
      </c>
      <c r="B89" t="n">
        <v>49</v>
      </c>
      <c r="C89" t="inlineStr">
        <is>
          <t>M</t>
        </is>
      </c>
      <c r="D89" t="n">
        <v>1.81</v>
      </c>
      <c r="E89">
        <f>LN(D89)</f>
        <v/>
      </c>
      <c r="F89">
        <f>--(C89="M")</f>
        <v/>
      </c>
      <c r="G89">
        <f>B89*F89</f>
        <v/>
      </c>
      <c r="H89">
        <f>EXP(Main_Effects_Mechanics!$G$11+Main_Effects_Mechanics!$G$12*F89+Main_Effects_Mechanics!$G$13*B89)</f>
        <v/>
      </c>
      <c r="I89">
        <f>LN(H89)</f>
        <v/>
      </c>
      <c r="J89">
        <f>EXP(Interaction_Mechanics!$H$12+Interaction_Mechanics!$H$13*F89+Interaction_Mechanics!$H$14*B89+Interaction_Mechanics!$H$15*G89)</f>
        <v/>
      </c>
      <c r="K89">
        <f>LN(J89)</f>
        <v/>
      </c>
      <c r="L89">
        <f>IF(C89="F",B89,NA())</f>
        <v/>
      </c>
      <c r="M89">
        <f>IF(C89="F",E89,NA())</f>
        <v/>
      </c>
      <c r="N89">
        <f>IF(C89="F",I89,NA())</f>
        <v/>
      </c>
      <c r="O89">
        <f>IF(C89="F",K89,NA())</f>
        <v/>
      </c>
      <c r="P89">
        <f>IF(C89="M",B89,NA())</f>
        <v/>
      </c>
      <c r="Q89">
        <f>IF(C89="M",E89,NA())</f>
        <v/>
      </c>
      <c r="R89">
        <f>IF(C89="M",I89,NA())</f>
        <v/>
      </c>
      <c r="S89">
        <f>IF(C89="M",K89,NA())</f>
        <v/>
      </c>
    </row>
    <row r="90">
      <c r="A90" t="n">
        <v>89</v>
      </c>
      <c r="B90" t="n">
        <v>50</v>
      </c>
      <c r="C90" t="inlineStr">
        <is>
          <t>M</t>
        </is>
      </c>
      <c r="D90" t="n">
        <v>1.96</v>
      </c>
      <c r="E90">
        <f>LN(D90)</f>
        <v/>
      </c>
      <c r="F90">
        <f>--(C90="M")</f>
        <v/>
      </c>
      <c r="G90">
        <f>B90*F90</f>
        <v/>
      </c>
      <c r="H90">
        <f>EXP(Main_Effects_Mechanics!$G$11+Main_Effects_Mechanics!$G$12*F90+Main_Effects_Mechanics!$G$13*B90)</f>
        <v/>
      </c>
      <c r="I90">
        <f>LN(H90)</f>
        <v/>
      </c>
      <c r="J90">
        <f>EXP(Interaction_Mechanics!$H$12+Interaction_Mechanics!$H$13*F90+Interaction_Mechanics!$H$14*B90+Interaction_Mechanics!$H$15*G90)</f>
        <v/>
      </c>
      <c r="K90">
        <f>LN(J90)</f>
        <v/>
      </c>
      <c r="L90">
        <f>IF(C90="F",B90,NA())</f>
        <v/>
      </c>
      <c r="M90">
        <f>IF(C90="F",E90,NA())</f>
        <v/>
      </c>
      <c r="N90">
        <f>IF(C90="F",I90,NA())</f>
        <v/>
      </c>
      <c r="O90">
        <f>IF(C90="F",K90,NA())</f>
        <v/>
      </c>
      <c r="P90">
        <f>IF(C90="M",B90,NA())</f>
        <v/>
      </c>
      <c r="Q90">
        <f>IF(C90="M",E90,NA())</f>
        <v/>
      </c>
      <c r="R90">
        <f>IF(C90="M",I90,NA())</f>
        <v/>
      </c>
      <c r="S90">
        <f>IF(C90="M",K90,NA())</f>
        <v/>
      </c>
    </row>
    <row r="91">
      <c r="A91" t="n">
        <v>90</v>
      </c>
      <c r="B91" t="n">
        <v>51</v>
      </c>
      <c r="C91" t="inlineStr">
        <is>
          <t>M</t>
        </is>
      </c>
      <c r="D91" t="n">
        <v>2.12</v>
      </c>
      <c r="E91">
        <f>LN(D91)</f>
        <v/>
      </c>
      <c r="F91">
        <f>--(C91="M")</f>
        <v/>
      </c>
      <c r="G91">
        <f>B91*F91</f>
        <v/>
      </c>
      <c r="H91">
        <f>EXP(Main_Effects_Mechanics!$G$11+Main_Effects_Mechanics!$G$12*F91+Main_Effects_Mechanics!$G$13*B91)</f>
        <v/>
      </c>
      <c r="I91">
        <f>LN(H91)</f>
        <v/>
      </c>
      <c r="J91">
        <f>EXP(Interaction_Mechanics!$H$12+Interaction_Mechanics!$H$13*F91+Interaction_Mechanics!$H$14*B91+Interaction_Mechanics!$H$15*G91)</f>
        <v/>
      </c>
      <c r="K91">
        <f>LN(J91)</f>
        <v/>
      </c>
      <c r="L91">
        <f>IF(C91="F",B91,NA())</f>
        <v/>
      </c>
      <c r="M91">
        <f>IF(C91="F",E91,NA())</f>
        <v/>
      </c>
      <c r="N91">
        <f>IF(C91="F",I91,NA())</f>
        <v/>
      </c>
      <c r="O91">
        <f>IF(C91="F",K91,NA())</f>
        <v/>
      </c>
      <c r="P91">
        <f>IF(C91="M",B91,NA())</f>
        <v/>
      </c>
      <c r="Q91">
        <f>IF(C91="M",E91,NA())</f>
        <v/>
      </c>
      <c r="R91">
        <f>IF(C91="M",I91,NA())</f>
        <v/>
      </c>
      <c r="S91">
        <f>IF(C91="M",K91,NA())</f>
        <v/>
      </c>
    </row>
    <row r="92">
      <c r="A92" t="n">
        <v>91</v>
      </c>
      <c r="B92" t="n">
        <v>52</v>
      </c>
      <c r="C92" t="inlineStr">
        <is>
          <t>M</t>
        </is>
      </c>
      <c r="D92" t="n">
        <v>2.3</v>
      </c>
      <c r="E92">
        <f>LN(D92)</f>
        <v/>
      </c>
      <c r="F92">
        <f>--(C92="M")</f>
        <v/>
      </c>
      <c r="G92">
        <f>B92*F92</f>
        <v/>
      </c>
      <c r="H92">
        <f>EXP(Main_Effects_Mechanics!$G$11+Main_Effects_Mechanics!$G$12*F92+Main_Effects_Mechanics!$G$13*B92)</f>
        <v/>
      </c>
      <c r="I92">
        <f>LN(H92)</f>
        <v/>
      </c>
      <c r="J92">
        <f>EXP(Interaction_Mechanics!$H$12+Interaction_Mechanics!$H$13*F92+Interaction_Mechanics!$H$14*B92+Interaction_Mechanics!$H$15*G92)</f>
        <v/>
      </c>
      <c r="K92">
        <f>LN(J92)</f>
        <v/>
      </c>
      <c r="L92">
        <f>IF(C92="F",B92,NA())</f>
        <v/>
      </c>
      <c r="M92">
        <f>IF(C92="F",E92,NA())</f>
        <v/>
      </c>
      <c r="N92">
        <f>IF(C92="F",I92,NA())</f>
        <v/>
      </c>
      <c r="O92">
        <f>IF(C92="F",K92,NA())</f>
        <v/>
      </c>
      <c r="P92">
        <f>IF(C92="M",B92,NA())</f>
        <v/>
      </c>
      <c r="Q92">
        <f>IF(C92="M",E92,NA())</f>
        <v/>
      </c>
      <c r="R92">
        <f>IF(C92="M",I92,NA())</f>
        <v/>
      </c>
      <c r="S92">
        <f>IF(C92="M",K92,NA())</f>
        <v/>
      </c>
    </row>
    <row r="93">
      <c r="A93" t="n">
        <v>92</v>
      </c>
      <c r="B93" t="n">
        <v>53</v>
      </c>
      <c r="C93" t="inlineStr">
        <is>
          <t>M</t>
        </is>
      </c>
      <c r="D93" t="n">
        <v>2.49</v>
      </c>
      <c r="E93">
        <f>LN(D93)</f>
        <v/>
      </c>
      <c r="F93">
        <f>--(C93="M")</f>
        <v/>
      </c>
      <c r="G93">
        <f>B93*F93</f>
        <v/>
      </c>
      <c r="H93">
        <f>EXP(Main_Effects_Mechanics!$G$11+Main_Effects_Mechanics!$G$12*F93+Main_Effects_Mechanics!$G$13*B93)</f>
        <v/>
      </c>
      <c r="I93">
        <f>LN(H93)</f>
        <v/>
      </c>
      <c r="J93">
        <f>EXP(Interaction_Mechanics!$H$12+Interaction_Mechanics!$H$13*F93+Interaction_Mechanics!$H$14*B93+Interaction_Mechanics!$H$15*G93)</f>
        <v/>
      </c>
      <c r="K93">
        <f>LN(J93)</f>
        <v/>
      </c>
      <c r="L93">
        <f>IF(C93="F",B93,NA())</f>
        <v/>
      </c>
      <c r="M93">
        <f>IF(C93="F",E93,NA())</f>
        <v/>
      </c>
      <c r="N93">
        <f>IF(C93="F",I93,NA())</f>
        <v/>
      </c>
      <c r="O93">
        <f>IF(C93="F",K93,NA())</f>
        <v/>
      </c>
      <c r="P93">
        <f>IF(C93="M",B93,NA())</f>
        <v/>
      </c>
      <c r="Q93">
        <f>IF(C93="M",E93,NA())</f>
        <v/>
      </c>
      <c r="R93">
        <f>IF(C93="M",I93,NA())</f>
        <v/>
      </c>
      <c r="S93">
        <f>IF(C93="M",K93,NA())</f>
        <v/>
      </c>
    </row>
    <row r="94">
      <c r="A94" t="n">
        <v>93</v>
      </c>
      <c r="B94" t="n">
        <v>54</v>
      </c>
      <c r="C94" t="inlineStr">
        <is>
          <t>M</t>
        </is>
      </c>
      <c r="D94" t="n">
        <v>2.7</v>
      </c>
      <c r="E94">
        <f>LN(D94)</f>
        <v/>
      </c>
      <c r="F94">
        <f>--(C94="M")</f>
        <v/>
      </c>
      <c r="G94">
        <f>B94*F94</f>
        <v/>
      </c>
      <c r="H94">
        <f>EXP(Main_Effects_Mechanics!$G$11+Main_Effects_Mechanics!$G$12*F94+Main_Effects_Mechanics!$G$13*B94)</f>
        <v/>
      </c>
      <c r="I94">
        <f>LN(H94)</f>
        <v/>
      </c>
      <c r="J94">
        <f>EXP(Interaction_Mechanics!$H$12+Interaction_Mechanics!$H$13*F94+Interaction_Mechanics!$H$14*B94+Interaction_Mechanics!$H$15*G94)</f>
        <v/>
      </c>
      <c r="K94">
        <f>LN(J94)</f>
        <v/>
      </c>
      <c r="L94">
        <f>IF(C94="F",B94,NA())</f>
        <v/>
      </c>
      <c r="M94">
        <f>IF(C94="F",E94,NA())</f>
        <v/>
      </c>
      <c r="N94">
        <f>IF(C94="F",I94,NA())</f>
        <v/>
      </c>
      <c r="O94">
        <f>IF(C94="F",K94,NA())</f>
        <v/>
      </c>
      <c r="P94">
        <f>IF(C94="M",B94,NA())</f>
        <v/>
      </c>
      <c r="Q94">
        <f>IF(C94="M",E94,NA())</f>
        <v/>
      </c>
      <c r="R94">
        <f>IF(C94="M",I94,NA())</f>
        <v/>
      </c>
      <c r="S94">
        <f>IF(C94="M",K94,NA())</f>
        <v/>
      </c>
    </row>
    <row r="95">
      <c r="A95" t="n">
        <v>94</v>
      </c>
      <c r="B95" t="n">
        <v>55</v>
      </c>
      <c r="C95" t="inlineStr">
        <is>
          <t>M</t>
        </is>
      </c>
      <c r="D95" t="n">
        <v>2.93</v>
      </c>
      <c r="E95">
        <f>LN(D95)</f>
        <v/>
      </c>
      <c r="F95">
        <f>--(C95="M")</f>
        <v/>
      </c>
      <c r="G95">
        <f>B95*F95</f>
        <v/>
      </c>
      <c r="H95">
        <f>EXP(Main_Effects_Mechanics!$G$11+Main_Effects_Mechanics!$G$12*F95+Main_Effects_Mechanics!$G$13*B95)</f>
        <v/>
      </c>
      <c r="I95">
        <f>LN(H95)</f>
        <v/>
      </c>
      <c r="J95">
        <f>EXP(Interaction_Mechanics!$H$12+Interaction_Mechanics!$H$13*F95+Interaction_Mechanics!$H$14*B95+Interaction_Mechanics!$H$15*G95)</f>
        <v/>
      </c>
      <c r="K95">
        <f>LN(J95)</f>
        <v/>
      </c>
      <c r="L95">
        <f>IF(C95="F",B95,NA())</f>
        <v/>
      </c>
      <c r="M95">
        <f>IF(C95="F",E95,NA())</f>
        <v/>
      </c>
      <c r="N95">
        <f>IF(C95="F",I95,NA())</f>
        <v/>
      </c>
      <c r="O95">
        <f>IF(C95="F",K95,NA())</f>
        <v/>
      </c>
      <c r="P95">
        <f>IF(C95="M",B95,NA())</f>
        <v/>
      </c>
      <c r="Q95">
        <f>IF(C95="M",E95,NA())</f>
        <v/>
      </c>
      <c r="R95">
        <f>IF(C95="M",I95,NA())</f>
        <v/>
      </c>
      <c r="S95">
        <f>IF(C95="M",K95,NA())</f>
        <v/>
      </c>
    </row>
    <row r="96">
      <c r="A96" t="n">
        <v>95</v>
      </c>
      <c r="B96" t="n">
        <v>56</v>
      </c>
      <c r="C96" t="inlineStr">
        <is>
          <t>M</t>
        </is>
      </c>
      <c r="D96" t="n">
        <v>3.21</v>
      </c>
      <c r="E96">
        <f>LN(D96)</f>
        <v/>
      </c>
      <c r="F96">
        <f>--(C96="M")</f>
        <v/>
      </c>
      <c r="G96">
        <f>B96*F96</f>
        <v/>
      </c>
      <c r="H96">
        <f>EXP(Main_Effects_Mechanics!$G$11+Main_Effects_Mechanics!$G$12*F96+Main_Effects_Mechanics!$G$13*B96)</f>
        <v/>
      </c>
      <c r="I96">
        <f>LN(H96)</f>
        <v/>
      </c>
      <c r="J96">
        <f>EXP(Interaction_Mechanics!$H$12+Interaction_Mechanics!$H$13*F96+Interaction_Mechanics!$H$14*B96+Interaction_Mechanics!$H$15*G96)</f>
        <v/>
      </c>
      <c r="K96">
        <f>LN(J96)</f>
        <v/>
      </c>
      <c r="L96">
        <f>IF(C96="F",B96,NA())</f>
        <v/>
      </c>
      <c r="M96">
        <f>IF(C96="F",E96,NA())</f>
        <v/>
      </c>
      <c r="N96">
        <f>IF(C96="F",I96,NA())</f>
        <v/>
      </c>
      <c r="O96">
        <f>IF(C96="F",K96,NA())</f>
        <v/>
      </c>
      <c r="P96">
        <f>IF(C96="M",B96,NA())</f>
        <v/>
      </c>
      <c r="Q96">
        <f>IF(C96="M",E96,NA())</f>
        <v/>
      </c>
      <c r="R96">
        <f>IF(C96="M",I96,NA())</f>
        <v/>
      </c>
      <c r="S96">
        <f>IF(C96="M",K96,NA())</f>
        <v/>
      </c>
    </row>
    <row r="97">
      <c r="A97" t="n">
        <v>96</v>
      </c>
      <c r="B97" t="n">
        <v>57</v>
      </c>
      <c r="C97" t="inlineStr">
        <is>
          <t>M</t>
        </is>
      </c>
      <c r="D97" t="n">
        <v>3.55</v>
      </c>
      <c r="E97">
        <f>LN(D97)</f>
        <v/>
      </c>
      <c r="F97">
        <f>--(C97="M")</f>
        <v/>
      </c>
      <c r="G97">
        <f>B97*F97</f>
        <v/>
      </c>
      <c r="H97">
        <f>EXP(Main_Effects_Mechanics!$G$11+Main_Effects_Mechanics!$G$12*F97+Main_Effects_Mechanics!$G$13*B97)</f>
        <v/>
      </c>
      <c r="I97">
        <f>LN(H97)</f>
        <v/>
      </c>
      <c r="J97">
        <f>EXP(Interaction_Mechanics!$H$12+Interaction_Mechanics!$H$13*F97+Interaction_Mechanics!$H$14*B97+Interaction_Mechanics!$H$15*G97)</f>
        <v/>
      </c>
      <c r="K97">
        <f>LN(J97)</f>
        <v/>
      </c>
      <c r="L97">
        <f>IF(C97="F",B97,NA())</f>
        <v/>
      </c>
      <c r="M97">
        <f>IF(C97="F",E97,NA())</f>
        <v/>
      </c>
      <c r="N97">
        <f>IF(C97="F",I97,NA())</f>
        <v/>
      </c>
      <c r="O97">
        <f>IF(C97="F",K97,NA())</f>
        <v/>
      </c>
      <c r="P97">
        <f>IF(C97="M",B97,NA())</f>
        <v/>
      </c>
      <c r="Q97">
        <f>IF(C97="M",E97,NA())</f>
        <v/>
      </c>
      <c r="R97">
        <f>IF(C97="M",I97,NA())</f>
        <v/>
      </c>
      <c r="S97">
        <f>IF(C97="M",K97,NA())</f>
        <v/>
      </c>
    </row>
    <row r="98">
      <c r="A98" t="n">
        <v>97</v>
      </c>
      <c r="B98" t="n">
        <v>58</v>
      </c>
      <c r="C98" t="inlineStr">
        <is>
          <t>M</t>
        </is>
      </c>
      <c r="D98" t="n">
        <v>3.94</v>
      </c>
      <c r="E98">
        <f>LN(D98)</f>
        <v/>
      </c>
      <c r="F98">
        <f>--(C98="M")</f>
        <v/>
      </c>
      <c r="G98">
        <f>B98*F98</f>
        <v/>
      </c>
      <c r="H98">
        <f>EXP(Main_Effects_Mechanics!$G$11+Main_Effects_Mechanics!$G$12*F98+Main_Effects_Mechanics!$G$13*B98)</f>
        <v/>
      </c>
      <c r="I98">
        <f>LN(H98)</f>
        <v/>
      </c>
      <c r="J98">
        <f>EXP(Interaction_Mechanics!$H$12+Interaction_Mechanics!$H$13*F98+Interaction_Mechanics!$H$14*B98+Interaction_Mechanics!$H$15*G98)</f>
        <v/>
      </c>
      <c r="K98">
        <f>LN(J98)</f>
        <v/>
      </c>
      <c r="L98">
        <f>IF(C98="F",B98,NA())</f>
        <v/>
      </c>
      <c r="M98">
        <f>IF(C98="F",E98,NA())</f>
        <v/>
      </c>
      <c r="N98">
        <f>IF(C98="F",I98,NA())</f>
        <v/>
      </c>
      <c r="O98">
        <f>IF(C98="F",K98,NA())</f>
        <v/>
      </c>
      <c r="P98">
        <f>IF(C98="M",B98,NA())</f>
        <v/>
      </c>
      <c r="Q98">
        <f>IF(C98="M",E98,NA())</f>
        <v/>
      </c>
      <c r="R98">
        <f>IF(C98="M",I98,NA())</f>
        <v/>
      </c>
      <c r="S98">
        <f>IF(C98="M",K98,NA())</f>
        <v/>
      </c>
    </row>
    <row r="99">
      <c r="A99" t="n">
        <v>98</v>
      </c>
      <c r="B99" t="n">
        <v>59</v>
      </c>
      <c r="C99" t="inlineStr">
        <is>
          <t>M</t>
        </is>
      </c>
      <c r="D99" t="n">
        <v>4.44</v>
      </c>
      <c r="E99">
        <f>LN(D99)</f>
        <v/>
      </c>
      <c r="F99">
        <f>--(C99="M")</f>
        <v/>
      </c>
      <c r="G99">
        <f>B99*F99</f>
        <v/>
      </c>
      <c r="H99">
        <f>EXP(Main_Effects_Mechanics!$G$11+Main_Effects_Mechanics!$G$12*F99+Main_Effects_Mechanics!$G$13*B99)</f>
        <v/>
      </c>
      <c r="I99">
        <f>LN(H99)</f>
        <v/>
      </c>
      <c r="J99">
        <f>EXP(Interaction_Mechanics!$H$12+Interaction_Mechanics!$H$13*F99+Interaction_Mechanics!$H$14*B99+Interaction_Mechanics!$H$15*G99)</f>
        <v/>
      </c>
      <c r="K99">
        <f>LN(J99)</f>
        <v/>
      </c>
      <c r="L99">
        <f>IF(C99="F",B99,NA())</f>
        <v/>
      </c>
      <c r="M99">
        <f>IF(C99="F",E99,NA())</f>
        <v/>
      </c>
      <c r="N99">
        <f>IF(C99="F",I99,NA())</f>
        <v/>
      </c>
      <c r="O99">
        <f>IF(C99="F",K99,NA())</f>
        <v/>
      </c>
      <c r="P99">
        <f>IF(C99="M",B99,NA())</f>
        <v/>
      </c>
      <c r="Q99">
        <f>IF(C99="M",E99,NA())</f>
        <v/>
      </c>
      <c r="R99">
        <f>IF(C99="M",I99,NA())</f>
        <v/>
      </c>
      <c r="S99">
        <f>IF(C99="M",K99,NA())</f>
        <v/>
      </c>
    </row>
    <row r="100">
      <c r="A100" t="n">
        <v>99</v>
      </c>
      <c r="B100" t="n">
        <v>60</v>
      </c>
      <c r="C100" t="inlineStr">
        <is>
          <t>M</t>
        </is>
      </c>
      <c r="D100" t="n">
        <v>4.94</v>
      </c>
      <c r="E100">
        <f>LN(D100)</f>
        <v/>
      </c>
      <c r="F100">
        <f>--(C100="M")</f>
        <v/>
      </c>
      <c r="G100">
        <f>B100*F100</f>
        <v/>
      </c>
      <c r="H100">
        <f>EXP(Main_Effects_Mechanics!$G$11+Main_Effects_Mechanics!$G$12*F100+Main_Effects_Mechanics!$G$13*B100)</f>
        <v/>
      </c>
      <c r="I100">
        <f>LN(H100)</f>
        <v/>
      </c>
      <c r="J100">
        <f>EXP(Interaction_Mechanics!$H$12+Interaction_Mechanics!$H$13*F100+Interaction_Mechanics!$H$14*B100+Interaction_Mechanics!$H$15*G100)</f>
        <v/>
      </c>
      <c r="K100">
        <f>LN(J100)</f>
        <v/>
      </c>
      <c r="L100">
        <f>IF(C100="F",B100,NA())</f>
        <v/>
      </c>
      <c r="M100">
        <f>IF(C100="F",E100,NA())</f>
        <v/>
      </c>
      <c r="N100">
        <f>IF(C100="F",I100,NA())</f>
        <v/>
      </c>
      <c r="O100">
        <f>IF(C100="F",K100,NA())</f>
        <v/>
      </c>
      <c r="P100">
        <f>IF(C100="M",B100,NA())</f>
        <v/>
      </c>
      <c r="Q100">
        <f>IF(C100="M",E100,NA())</f>
        <v/>
      </c>
      <c r="R100">
        <f>IF(C100="M",I100,NA())</f>
        <v/>
      </c>
      <c r="S100">
        <f>IF(C100="M",K100,NA())</f>
        <v/>
      </c>
    </row>
    <row r="101">
      <c r="A101" t="n">
        <v>100</v>
      </c>
      <c r="B101" t="n">
        <v>61</v>
      </c>
      <c r="C101" t="inlineStr">
        <is>
          <t>M</t>
        </is>
      </c>
      <c r="D101" t="n">
        <v>5.45</v>
      </c>
      <c r="E101">
        <f>LN(D101)</f>
        <v/>
      </c>
      <c r="F101">
        <f>--(C101="M")</f>
        <v/>
      </c>
      <c r="G101">
        <f>B101*F101</f>
        <v/>
      </c>
      <c r="H101">
        <f>EXP(Main_Effects_Mechanics!$G$11+Main_Effects_Mechanics!$G$12*F101+Main_Effects_Mechanics!$G$13*B101)</f>
        <v/>
      </c>
      <c r="I101">
        <f>LN(H101)</f>
        <v/>
      </c>
      <c r="J101">
        <f>EXP(Interaction_Mechanics!$H$12+Interaction_Mechanics!$H$13*F101+Interaction_Mechanics!$H$14*B101+Interaction_Mechanics!$H$15*G101)</f>
        <v/>
      </c>
      <c r="K101">
        <f>LN(J101)</f>
        <v/>
      </c>
      <c r="L101">
        <f>IF(C101="F",B101,NA())</f>
        <v/>
      </c>
      <c r="M101">
        <f>IF(C101="F",E101,NA())</f>
        <v/>
      </c>
      <c r="N101">
        <f>IF(C101="F",I101,NA())</f>
        <v/>
      </c>
      <c r="O101">
        <f>IF(C101="F",K101,NA())</f>
        <v/>
      </c>
      <c r="P101">
        <f>IF(C101="M",B101,NA())</f>
        <v/>
      </c>
      <c r="Q101">
        <f>IF(C101="M",E101,NA())</f>
        <v/>
      </c>
      <c r="R101">
        <f>IF(C101="M",I101,NA())</f>
        <v/>
      </c>
      <c r="S101">
        <f>IF(C101="M",K101,NA())</f>
        <v/>
      </c>
    </row>
    <row r="102">
      <c r="A102" t="n">
        <v>101</v>
      </c>
      <c r="B102" t="n">
        <v>62</v>
      </c>
      <c r="C102" t="inlineStr">
        <is>
          <t>M</t>
        </is>
      </c>
      <c r="D102" t="n">
        <v>6.04</v>
      </c>
      <c r="E102">
        <f>LN(D102)</f>
        <v/>
      </c>
      <c r="F102">
        <f>--(C102="M")</f>
        <v/>
      </c>
      <c r="G102">
        <f>B102*F102</f>
        <v/>
      </c>
      <c r="H102">
        <f>EXP(Main_Effects_Mechanics!$G$11+Main_Effects_Mechanics!$G$12*F102+Main_Effects_Mechanics!$G$13*B102)</f>
        <v/>
      </c>
      <c r="I102">
        <f>LN(H102)</f>
        <v/>
      </c>
      <c r="J102">
        <f>EXP(Interaction_Mechanics!$H$12+Interaction_Mechanics!$H$13*F102+Interaction_Mechanics!$H$14*B102+Interaction_Mechanics!$H$15*G102)</f>
        <v/>
      </c>
      <c r="K102">
        <f>LN(J102)</f>
        <v/>
      </c>
      <c r="L102">
        <f>IF(C102="F",B102,NA())</f>
        <v/>
      </c>
      <c r="M102">
        <f>IF(C102="F",E102,NA())</f>
        <v/>
      </c>
      <c r="N102">
        <f>IF(C102="F",I102,NA())</f>
        <v/>
      </c>
      <c r="O102">
        <f>IF(C102="F",K102,NA())</f>
        <v/>
      </c>
      <c r="P102">
        <f>IF(C102="M",B102,NA())</f>
        <v/>
      </c>
      <c r="Q102">
        <f>IF(C102="M",E102,NA())</f>
        <v/>
      </c>
      <c r="R102">
        <f>IF(C102="M",I102,NA())</f>
        <v/>
      </c>
      <c r="S102">
        <f>IF(C102="M",K102,NA())</f>
        <v/>
      </c>
    </row>
    <row r="103">
      <c r="A103" t="n">
        <v>102</v>
      </c>
      <c r="B103" t="n">
        <v>63</v>
      </c>
      <c r="C103" t="inlineStr">
        <is>
          <t>M</t>
        </is>
      </c>
      <c r="D103" t="n">
        <v>6.67</v>
      </c>
      <c r="E103">
        <f>LN(D103)</f>
        <v/>
      </c>
      <c r="F103">
        <f>--(C103="M")</f>
        <v/>
      </c>
      <c r="G103">
        <f>B103*F103</f>
        <v/>
      </c>
      <c r="H103">
        <f>EXP(Main_Effects_Mechanics!$G$11+Main_Effects_Mechanics!$G$12*F103+Main_Effects_Mechanics!$G$13*B103)</f>
        <v/>
      </c>
      <c r="I103">
        <f>LN(H103)</f>
        <v/>
      </c>
      <c r="J103">
        <f>EXP(Interaction_Mechanics!$H$12+Interaction_Mechanics!$H$13*F103+Interaction_Mechanics!$H$14*B103+Interaction_Mechanics!$H$15*G103)</f>
        <v/>
      </c>
      <c r="K103">
        <f>LN(J103)</f>
        <v/>
      </c>
      <c r="L103">
        <f>IF(C103="F",B103,NA())</f>
        <v/>
      </c>
      <c r="M103">
        <f>IF(C103="F",E103,NA())</f>
        <v/>
      </c>
      <c r="N103">
        <f>IF(C103="F",I103,NA())</f>
        <v/>
      </c>
      <c r="O103">
        <f>IF(C103="F",K103,NA())</f>
        <v/>
      </c>
      <c r="P103">
        <f>IF(C103="M",B103,NA())</f>
        <v/>
      </c>
      <c r="Q103">
        <f>IF(C103="M",E103,NA())</f>
        <v/>
      </c>
      <c r="R103">
        <f>IF(C103="M",I103,NA())</f>
        <v/>
      </c>
      <c r="S103">
        <f>IF(C103="M",K103,NA())</f>
        <v/>
      </c>
    </row>
    <row r="104">
      <c r="A104" t="n">
        <v>103</v>
      </c>
      <c r="B104" t="n">
        <v>64</v>
      </c>
      <c r="C104" t="inlineStr">
        <is>
          <t>M</t>
        </is>
      </c>
      <c r="D104" t="n">
        <v>7.32</v>
      </c>
      <c r="E104">
        <f>LN(D104)</f>
        <v/>
      </c>
      <c r="F104">
        <f>--(C104="M")</f>
        <v/>
      </c>
      <c r="G104">
        <f>B104*F104</f>
        <v/>
      </c>
      <c r="H104">
        <f>EXP(Main_Effects_Mechanics!$G$11+Main_Effects_Mechanics!$G$12*F104+Main_Effects_Mechanics!$G$13*B104)</f>
        <v/>
      </c>
      <c r="I104">
        <f>LN(H104)</f>
        <v/>
      </c>
      <c r="J104">
        <f>EXP(Interaction_Mechanics!$H$12+Interaction_Mechanics!$H$13*F104+Interaction_Mechanics!$H$14*B104+Interaction_Mechanics!$H$15*G104)</f>
        <v/>
      </c>
      <c r="K104">
        <f>LN(J104)</f>
        <v/>
      </c>
      <c r="L104">
        <f>IF(C104="F",B104,NA())</f>
        <v/>
      </c>
      <c r="M104">
        <f>IF(C104="F",E104,NA())</f>
        <v/>
      </c>
      <c r="N104">
        <f>IF(C104="F",I104,NA())</f>
        <v/>
      </c>
      <c r="O104">
        <f>IF(C104="F",K104,NA())</f>
        <v/>
      </c>
      <c r="P104">
        <f>IF(C104="M",B104,NA())</f>
        <v/>
      </c>
      <c r="Q104">
        <f>IF(C104="M",E104,NA())</f>
        <v/>
      </c>
      <c r="R104">
        <f>IF(C104="M",I104,NA())</f>
        <v/>
      </c>
      <c r="S104">
        <f>IF(C104="M",K104,NA())</f>
        <v/>
      </c>
    </row>
    <row r="105">
      <c r="A105" t="n">
        <v>104</v>
      </c>
      <c r="B105" t="n">
        <v>65</v>
      </c>
      <c r="C105" t="inlineStr">
        <is>
          <t>M</t>
        </is>
      </c>
      <c r="D105" t="n">
        <v>8.029999999999999</v>
      </c>
      <c r="E105">
        <f>LN(D105)</f>
        <v/>
      </c>
      <c r="F105">
        <f>--(C105="M")</f>
        <v/>
      </c>
      <c r="G105">
        <f>B105*F105</f>
        <v/>
      </c>
      <c r="H105">
        <f>EXP(Main_Effects_Mechanics!$G$11+Main_Effects_Mechanics!$G$12*F105+Main_Effects_Mechanics!$G$13*B105)</f>
        <v/>
      </c>
      <c r="I105">
        <f>LN(H105)</f>
        <v/>
      </c>
      <c r="J105">
        <f>EXP(Interaction_Mechanics!$H$12+Interaction_Mechanics!$H$13*F105+Interaction_Mechanics!$H$14*B105+Interaction_Mechanics!$H$15*G105)</f>
        <v/>
      </c>
      <c r="K105">
        <f>LN(J105)</f>
        <v/>
      </c>
      <c r="L105">
        <f>IF(C105="F",B105,NA())</f>
        <v/>
      </c>
      <c r="M105">
        <f>IF(C105="F",E105,NA())</f>
        <v/>
      </c>
      <c r="N105">
        <f>IF(C105="F",I105,NA())</f>
        <v/>
      </c>
      <c r="O105">
        <f>IF(C105="F",K105,NA())</f>
        <v/>
      </c>
      <c r="P105">
        <f>IF(C105="M",B105,NA())</f>
        <v/>
      </c>
      <c r="Q105">
        <f>IF(C105="M",E105,NA())</f>
        <v/>
      </c>
      <c r="R105">
        <f>IF(C105="M",I105,NA())</f>
        <v/>
      </c>
      <c r="S105">
        <f>IF(C105="M",K105,NA())</f>
        <v/>
      </c>
    </row>
    <row r="106">
      <c r="A106" t="n">
        <v>105</v>
      </c>
      <c r="B106" t="n">
        <v>66</v>
      </c>
      <c r="C106" t="inlineStr">
        <is>
          <t>M</t>
        </is>
      </c>
      <c r="D106" t="n">
        <v>8.84</v>
      </c>
      <c r="E106">
        <f>LN(D106)</f>
        <v/>
      </c>
      <c r="F106">
        <f>--(C106="M")</f>
        <v/>
      </c>
      <c r="G106">
        <f>B106*F106</f>
        <v/>
      </c>
      <c r="H106">
        <f>EXP(Main_Effects_Mechanics!$G$11+Main_Effects_Mechanics!$G$12*F106+Main_Effects_Mechanics!$G$13*B106)</f>
        <v/>
      </c>
      <c r="I106">
        <f>LN(H106)</f>
        <v/>
      </c>
      <c r="J106">
        <f>EXP(Interaction_Mechanics!$H$12+Interaction_Mechanics!$H$13*F106+Interaction_Mechanics!$H$14*B106+Interaction_Mechanics!$H$15*G106)</f>
        <v/>
      </c>
      <c r="K106">
        <f>LN(J106)</f>
        <v/>
      </c>
      <c r="L106">
        <f>IF(C106="F",B106,NA())</f>
        <v/>
      </c>
      <c r="M106">
        <f>IF(C106="F",E106,NA())</f>
        <v/>
      </c>
      <c r="N106">
        <f>IF(C106="F",I106,NA())</f>
        <v/>
      </c>
      <c r="O106">
        <f>IF(C106="F",K106,NA())</f>
        <v/>
      </c>
      <c r="P106">
        <f>IF(C106="M",B106,NA())</f>
        <v/>
      </c>
      <c r="Q106">
        <f>IF(C106="M",E106,NA())</f>
        <v/>
      </c>
      <c r="R106">
        <f>IF(C106="M",I106,NA())</f>
        <v/>
      </c>
      <c r="S106">
        <f>IF(C106="M",K106,NA())</f>
        <v/>
      </c>
    </row>
    <row r="107">
      <c r="A107" t="n">
        <v>106</v>
      </c>
      <c r="B107" t="n">
        <v>67</v>
      </c>
      <c r="C107" t="inlineStr">
        <is>
          <t>M</t>
        </is>
      </c>
      <c r="D107" t="n">
        <v>9.76</v>
      </c>
      <c r="E107">
        <f>LN(D107)</f>
        <v/>
      </c>
      <c r="F107">
        <f>--(C107="M")</f>
        <v/>
      </c>
      <c r="G107">
        <f>B107*F107</f>
        <v/>
      </c>
      <c r="H107">
        <f>EXP(Main_Effects_Mechanics!$G$11+Main_Effects_Mechanics!$G$12*F107+Main_Effects_Mechanics!$G$13*B107)</f>
        <v/>
      </c>
      <c r="I107">
        <f>LN(H107)</f>
        <v/>
      </c>
      <c r="J107">
        <f>EXP(Interaction_Mechanics!$H$12+Interaction_Mechanics!$H$13*F107+Interaction_Mechanics!$H$14*B107+Interaction_Mechanics!$H$15*G107)</f>
        <v/>
      </c>
      <c r="K107">
        <f>LN(J107)</f>
        <v/>
      </c>
      <c r="L107">
        <f>IF(C107="F",B107,NA())</f>
        <v/>
      </c>
      <c r="M107">
        <f>IF(C107="F",E107,NA())</f>
        <v/>
      </c>
      <c r="N107">
        <f>IF(C107="F",I107,NA())</f>
        <v/>
      </c>
      <c r="O107">
        <f>IF(C107="F",K107,NA())</f>
        <v/>
      </c>
      <c r="P107">
        <f>IF(C107="M",B107,NA())</f>
        <v/>
      </c>
      <c r="Q107">
        <f>IF(C107="M",E107,NA())</f>
        <v/>
      </c>
      <c r="R107">
        <f>IF(C107="M",I107,NA())</f>
        <v/>
      </c>
      <c r="S107">
        <f>IF(C107="M",K107,NA())</f>
        <v/>
      </c>
    </row>
    <row r="108">
      <c r="A108" t="n">
        <v>107</v>
      </c>
      <c r="B108" t="n">
        <v>68</v>
      </c>
      <c r="C108" t="inlineStr">
        <is>
          <t>M</t>
        </is>
      </c>
      <c r="D108" t="n">
        <v>10.79</v>
      </c>
      <c r="E108">
        <f>LN(D108)</f>
        <v/>
      </c>
      <c r="F108">
        <f>--(C108="M")</f>
        <v/>
      </c>
      <c r="G108">
        <f>B108*F108</f>
        <v/>
      </c>
      <c r="H108">
        <f>EXP(Main_Effects_Mechanics!$G$11+Main_Effects_Mechanics!$G$12*F108+Main_Effects_Mechanics!$G$13*B108)</f>
        <v/>
      </c>
      <c r="I108">
        <f>LN(H108)</f>
        <v/>
      </c>
      <c r="J108">
        <f>EXP(Interaction_Mechanics!$H$12+Interaction_Mechanics!$H$13*F108+Interaction_Mechanics!$H$14*B108+Interaction_Mechanics!$H$15*G108)</f>
        <v/>
      </c>
      <c r="K108">
        <f>LN(J108)</f>
        <v/>
      </c>
      <c r="L108">
        <f>IF(C108="F",B108,NA())</f>
        <v/>
      </c>
      <c r="M108">
        <f>IF(C108="F",E108,NA())</f>
        <v/>
      </c>
      <c r="N108">
        <f>IF(C108="F",I108,NA())</f>
        <v/>
      </c>
      <c r="O108">
        <f>IF(C108="F",K108,NA())</f>
        <v/>
      </c>
      <c r="P108">
        <f>IF(C108="M",B108,NA())</f>
        <v/>
      </c>
      <c r="Q108">
        <f>IF(C108="M",E108,NA())</f>
        <v/>
      </c>
      <c r="R108">
        <f>IF(C108="M",I108,NA())</f>
        <v/>
      </c>
      <c r="S108">
        <f>IF(C108="M",K108,NA())</f>
        <v/>
      </c>
    </row>
    <row r="109">
      <c r="A109" t="n">
        <v>108</v>
      </c>
      <c r="B109" t="n">
        <v>69</v>
      </c>
      <c r="C109" t="inlineStr">
        <is>
          <t>M</t>
        </is>
      </c>
      <c r="D109" t="n">
        <v>11.86</v>
      </c>
      <c r="E109">
        <f>LN(D109)</f>
        <v/>
      </c>
      <c r="F109">
        <f>--(C109="M")</f>
        <v/>
      </c>
      <c r="G109">
        <f>B109*F109</f>
        <v/>
      </c>
      <c r="H109">
        <f>EXP(Main_Effects_Mechanics!$G$11+Main_Effects_Mechanics!$G$12*F109+Main_Effects_Mechanics!$G$13*B109)</f>
        <v/>
      </c>
      <c r="I109">
        <f>LN(H109)</f>
        <v/>
      </c>
      <c r="J109">
        <f>EXP(Interaction_Mechanics!$H$12+Interaction_Mechanics!$H$13*F109+Interaction_Mechanics!$H$14*B109+Interaction_Mechanics!$H$15*G109)</f>
        <v/>
      </c>
      <c r="K109">
        <f>LN(J109)</f>
        <v/>
      </c>
      <c r="L109">
        <f>IF(C109="F",B109,NA())</f>
        <v/>
      </c>
      <c r="M109">
        <f>IF(C109="F",E109,NA())</f>
        <v/>
      </c>
      <c r="N109">
        <f>IF(C109="F",I109,NA())</f>
        <v/>
      </c>
      <c r="O109">
        <f>IF(C109="F",K109,NA())</f>
        <v/>
      </c>
      <c r="P109">
        <f>IF(C109="M",B109,NA())</f>
        <v/>
      </c>
      <c r="Q109">
        <f>IF(C109="M",E109,NA())</f>
        <v/>
      </c>
      <c r="R109">
        <f>IF(C109="M",I109,NA())</f>
        <v/>
      </c>
      <c r="S109">
        <f>IF(C109="M",K109,NA())</f>
        <v/>
      </c>
    </row>
    <row r="110">
      <c r="A110" t="n">
        <v>109</v>
      </c>
      <c r="B110" t="n">
        <v>70</v>
      </c>
      <c r="C110" t="inlineStr">
        <is>
          <t>M</t>
        </is>
      </c>
      <c r="D110" t="n">
        <v>13.05</v>
      </c>
      <c r="E110">
        <f>LN(D110)</f>
        <v/>
      </c>
      <c r="F110">
        <f>--(C110="M")</f>
        <v/>
      </c>
      <c r="G110">
        <f>B110*F110</f>
        <v/>
      </c>
      <c r="H110">
        <f>EXP(Main_Effects_Mechanics!$G$11+Main_Effects_Mechanics!$G$12*F110+Main_Effects_Mechanics!$G$13*B110)</f>
        <v/>
      </c>
      <c r="I110">
        <f>LN(H110)</f>
        <v/>
      </c>
      <c r="J110">
        <f>EXP(Interaction_Mechanics!$H$12+Interaction_Mechanics!$H$13*F110+Interaction_Mechanics!$H$14*B110+Interaction_Mechanics!$H$15*G110)</f>
        <v/>
      </c>
      <c r="K110">
        <f>LN(J110)</f>
        <v/>
      </c>
      <c r="L110">
        <f>IF(C110="F",B110,NA())</f>
        <v/>
      </c>
      <c r="M110">
        <f>IF(C110="F",E110,NA())</f>
        <v/>
      </c>
      <c r="N110">
        <f>IF(C110="F",I110,NA())</f>
        <v/>
      </c>
      <c r="O110">
        <f>IF(C110="F",K110,NA())</f>
        <v/>
      </c>
      <c r="P110">
        <f>IF(C110="M",B110,NA())</f>
        <v/>
      </c>
      <c r="Q110">
        <f>IF(C110="M",E110,NA())</f>
        <v/>
      </c>
      <c r="R110">
        <f>IF(C110="M",I110,NA())</f>
        <v/>
      </c>
      <c r="S110">
        <f>IF(C110="M",K110,NA())</f>
        <v/>
      </c>
    </row>
    <row r="111">
      <c r="A111" t="n">
        <v>110</v>
      </c>
      <c r="B111" t="n">
        <v>71</v>
      </c>
      <c r="C111" t="inlineStr">
        <is>
          <t>M</t>
        </is>
      </c>
      <c r="D111" t="n">
        <v>14.55</v>
      </c>
      <c r="E111">
        <f>LN(D111)</f>
        <v/>
      </c>
      <c r="F111">
        <f>--(C111="M")</f>
        <v/>
      </c>
      <c r="G111">
        <f>B111*F111</f>
        <v/>
      </c>
      <c r="H111">
        <f>EXP(Main_Effects_Mechanics!$G$11+Main_Effects_Mechanics!$G$12*F111+Main_Effects_Mechanics!$G$13*B111)</f>
        <v/>
      </c>
      <c r="I111">
        <f>LN(H111)</f>
        <v/>
      </c>
      <c r="J111">
        <f>EXP(Interaction_Mechanics!$H$12+Interaction_Mechanics!$H$13*F111+Interaction_Mechanics!$H$14*B111+Interaction_Mechanics!$H$15*G111)</f>
        <v/>
      </c>
      <c r="K111">
        <f>LN(J111)</f>
        <v/>
      </c>
      <c r="L111">
        <f>IF(C111="F",B111,NA())</f>
        <v/>
      </c>
      <c r="M111">
        <f>IF(C111="F",E111,NA())</f>
        <v/>
      </c>
      <c r="N111">
        <f>IF(C111="F",I111,NA())</f>
        <v/>
      </c>
      <c r="O111">
        <f>IF(C111="F",K111,NA())</f>
        <v/>
      </c>
      <c r="P111">
        <f>IF(C111="M",B111,NA())</f>
        <v/>
      </c>
      <c r="Q111">
        <f>IF(C111="M",E111,NA())</f>
        <v/>
      </c>
      <c r="R111">
        <f>IF(C111="M",I111,NA())</f>
        <v/>
      </c>
      <c r="S111">
        <f>IF(C111="M",K111,NA())</f>
        <v/>
      </c>
    </row>
    <row r="112">
      <c r="A112" t="n">
        <v>111</v>
      </c>
      <c r="B112" t="n">
        <v>72</v>
      </c>
      <c r="C112" t="inlineStr">
        <is>
          <t>M</t>
        </is>
      </c>
      <c r="D112" t="n">
        <v>16.31</v>
      </c>
      <c r="E112">
        <f>LN(D112)</f>
        <v/>
      </c>
      <c r="F112">
        <f>--(C112="M")</f>
        <v/>
      </c>
      <c r="G112">
        <f>B112*F112</f>
        <v/>
      </c>
      <c r="H112">
        <f>EXP(Main_Effects_Mechanics!$G$11+Main_Effects_Mechanics!$G$12*F112+Main_Effects_Mechanics!$G$13*B112)</f>
        <v/>
      </c>
      <c r="I112">
        <f>LN(H112)</f>
        <v/>
      </c>
      <c r="J112">
        <f>EXP(Interaction_Mechanics!$H$12+Interaction_Mechanics!$H$13*F112+Interaction_Mechanics!$H$14*B112+Interaction_Mechanics!$H$15*G112)</f>
        <v/>
      </c>
      <c r="K112">
        <f>LN(J112)</f>
        <v/>
      </c>
      <c r="L112">
        <f>IF(C112="F",B112,NA())</f>
        <v/>
      </c>
      <c r="M112">
        <f>IF(C112="F",E112,NA())</f>
        <v/>
      </c>
      <c r="N112">
        <f>IF(C112="F",I112,NA())</f>
        <v/>
      </c>
      <c r="O112">
        <f>IF(C112="F",K112,NA())</f>
        <v/>
      </c>
      <c r="P112">
        <f>IF(C112="M",B112,NA())</f>
        <v/>
      </c>
      <c r="Q112">
        <f>IF(C112="M",E112,NA())</f>
        <v/>
      </c>
      <c r="R112">
        <f>IF(C112="M",I112,NA())</f>
        <v/>
      </c>
      <c r="S112">
        <f>IF(C112="M",K112,NA())</f>
        <v/>
      </c>
    </row>
    <row r="113">
      <c r="A113" t="n">
        <v>112</v>
      </c>
      <c r="B113" t="n">
        <v>73</v>
      </c>
      <c r="C113" t="inlineStr">
        <is>
          <t>M</t>
        </is>
      </c>
      <c r="D113" t="n">
        <v>18.39</v>
      </c>
      <c r="E113">
        <f>LN(D113)</f>
        <v/>
      </c>
      <c r="F113">
        <f>--(C113="M")</f>
        <v/>
      </c>
      <c r="G113">
        <f>B113*F113</f>
        <v/>
      </c>
      <c r="H113">
        <f>EXP(Main_Effects_Mechanics!$G$11+Main_Effects_Mechanics!$G$12*F113+Main_Effects_Mechanics!$G$13*B113)</f>
        <v/>
      </c>
      <c r="I113">
        <f>LN(H113)</f>
        <v/>
      </c>
      <c r="J113">
        <f>EXP(Interaction_Mechanics!$H$12+Interaction_Mechanics!$H$13*F113+Interaction_Mechanics!$H$14*B113+Interaction_Mechanics!$H$15*G113)</f>
        <v/>
      </c>
      <c r="K113">
        <f>LN(J113)</f>
        <v/>
      </c>
      <c r="L113">
        <f>IF(C113="F",B113,NA())</f>
        <v/>
      </c>
      <c r="M113">
        <f>IF(C113="F",E113,NA())</f>
        <v/>
      </c>
      <c r="N113">
        <f>IF(C113="F",I113,NA())</f>
        <v/>
      </c>
      <c r="O113">
        <f>IF(C113="F",K113,NA())</f>
        <v/>
      </c>
      <c r="P113">
        <f>IF(C113="M",B113,NA())</f>
        <v/>
      </c>
      <c r="Q113">
        <f>IF(C113="M",E113,NA())</f>
        <v/>
      </c>
      <c r="R113">
        <f>IF(C113="M",I113,NA())</f>
        <v/>
      </c>
      <c r="S113">
        <f>IF(C113="M",K113,NA())</f>
        <v/>
      </c>
    </row>
    <row r="114">
      <c r="A114" t="n">
        <v>113</v>
      </c>
      <c r="B114" t="n">
        <v>74</v>
      </c>
      <c r="C114" t="inlineStr">
        <is>
          <t>M</t>
        </is>
      </c>
      <c r="D114" t="n">
        <v>20.77</v>
      </c>
      <c r="E114">
        <f>LN(D114)</f>
        <v/>
      </c>
      <c r="F114">
        <f>--(C114="M")</f>
        <v/>
      </c>
      <c r="G114">
        <f>B114*F114</f>
        <v/>
      </c>
      <c r="H114">
        <f>EXP(Main_Effects_Mechanics!$G$11+Main_Effects_Mechanics!$G$12*F114+Main_Effects_Mechanics!$G$13*B114)</f>
        <v/>
      </c>
      <c r="I114">
        <f>LN(H114)</f>
        <v/>
      </c>
      <c r="J114">
        <f>EXP(Interaction_Mechanics!$H$12+Interaction_Mechanics!$H$13*F114+Interaction_Mechanics!$H$14*B114+Interaction_Mechanics!$H$15*G114)</f>
        <v/>
      </c>
      <c r="K114">
        <f>LN(J114)</f>
        <v/>
      </c>
      <c r="L114">
        <f>IF(C114="F",B114,NA())</f>
        <v/>
      </c>
      <c r="M114">
        <f>IF(C114="F",E114,NA())</f>
        <v/>
      </c>
      <c r="N114">
        <f>IF(C114="F",I114,NA())</f>
        <v/>
      </c>
      <c r="O114">
        <f>IF(C114="F",K114,NA())</f>
        <v/>
      </c>
      <c r="P114">
        <f>IF(C114="M",B114,NA())</f>
        <v/>
      </c>
      <c r="Q114">
        <f>IF(C114="M",E114,NA())</f>
        <v/>
      </c>
      <c r="R114">
        <f>IF(C114="M",I114,NA())</f>
        <v/>
      </c>
      <c r="S114">
        <f>IF(C114="M",K114,NA())</f>
        <v/>
      </c>
    </row>
    <row r="115">
      <c r="A115" t="n">
        <v>114</v>
      </c>
      <c r="B115" t="n">
        <v>75</v>
      </c>
      <c r="C115" t="inlineStr">
        <is>
          <t>M</t>
        </is>
      </c>
      <c r="D115" t="n">
        <v>23.13</v>
      </c>
      <c r="E115">
        <f>LN(D115)</f>
        <v/>
      </c>
      <c r="F115">
        <f>--(C115="M")</f>
        <v/>
      </c>
      <c r="G115">
        <f>B115*F115</f>
        <v/>
      </c>
      <c r="H115">
        <f>EXP(Main_Effects_Mechanics!$G$11+Main_Effects_Mechanics!$G$12*F115+Main_Effects_Mechanics!$G$13*B115)</f>
        <v/>
      </c>
      <c r="I115">
        <f>LN(H115)</f>
        <v/>
      </c>
      <c r="J115">
        <f>EXP(Interaction_Mechanics!$H$12+Interaction_Mechanics!$H$13*F115+Interaction_Mechanics!$H$14*B115+Interaction_Mechanics!$H$15*G115)</f>
        <v/>
      </c>
      <c r="K115">
        <f>LN(J115)</f>
        <v/>
      </c>
      <c r="L115">
        <f>IF(C115="F",B115,NA())</f>
        <v/>
      </c>
      <c r="M115">
        <f>IF(C115="F",E115,NA())</f>
        <v/>
      </c>
      <c r="N115">
        <f>IF(C115="F",I115,NA())</f>
        <v/>
      </c>
      <c r="O115">
        <f>IF(C115="F",K115,NA())</f>
        <v/>
      </c>
      <c r="P115">
        <f>IF(C115="M",B115,NA())</f>
        <v/>
      </c>
      <c r="Q115">
        <f>IF(C115="M",E115,NA())</f>
        <v/>
      </c>
      <c r="R115">
        <f>IF(C115="M",I115,NA())</f>
        <v/>
      </c>
      <c r="S115">
        <f>IF(C115="M",K115,NA())</f>
        <v/>
      </c>
    </row>
    <row r="116">
      <c r="A116" t="n">
        <v>115</v>
      </c>
      <c r="B116" t="n">
        <v>76</v>
      </c>
      <c r="C116" t="inlineStr">
        <is>
          <t>M</t>
        </is>
      </c>
      <c r="D116" t="n">
        <v>25.97</v>
      </c>
      <c r="E116">
        <f>LN(D116)</f>
        <v/>
      </c>
      <c r="F116">
        <f>--(C116="M")</f>
        <v/>
      </c>
      <c r="G116">
        <f>B116*F116</f>
        <v/>
      </c>
      <c r="H116">
        <f>EXP(Main_Effects_Mechanics!$G$11+Main_Effects_Mechanics!$G$12*F116+Main_Effects_Mechanics!$G$13*B116)</f>
        <v/>
      </c>
      <c r="I116">
        <f>LN(H116)</f>
        <v/>
      </c>
      <c r="J116">
        <f>EXP(Interaction_Mechanics!$H$12+Interaction_Mechanics!$H$13*F116+Interaction_Mechanics!$H$14*B116+Interaction_Mechanics!$H$15*G116)</f>
        <v/>
      </c>
      <c r="K116">
        <f>LN(J116)</f>
        <v/>
      </c>
      <c r="L116">
        <f>IF(C116="F",B116,NA())</f>
        <v/>
      </c>
      <c r="M116">
        <f>IF(C116="F",E116,NA())</f>
        <v/>
      </c>
      <c r="N116">
        <f>IF(C116="F",I116,NA())</f>
        <v/>
      </c>
      <c r="O116">
        <f>IF(C116="F",K116,NA())</f>
        <v/>
      </c>
      <c r="P116">
        <f>IF(C116="M",B116,NA())</f>
        <v/>
      </c>
      <c r="Q116">
        <f>IF(C116="M",E116,NA())</f>
        <v/>
      </c>
      <c r="R116">
        <f>IF(C116="M",I116,NA())</f>
        <v/>
      </c>
      <c r="S116">
        <f>IF(C116="M",K116,NA())</f>
        <v/>
      </c>
    </row>
    <row r="117">
      <c r="A117" t="n">
        <v>116</v>
      </c>
      <c r="B117" t="n">
        <v>77</v>
      </c>
      <c r="C117" t="inlineStr">
        <is>
          <t>M</t>
        </is>
      </c>
      <c r="D117" t="n">
        <v>28.87</v>
      </c>
      <c r="E117">
        <f>LN(D117)</f>
        <v/>
      </c>
      <c r="F117">
        <f>--(C117="M")</f>
        <v/>
      </c>
      <c r="G117">
        <f>B117*F117</f>
        <v/>
      </c>
      <c r="H117">
        <f>EXP(Main_Effects_Mechanics!$G$11+Main_Effects_Mechanics!$G$12*F117+Main_Effects_Mechanics!$G$13*B117)</f>
        <v/>
      </c>
      <c r="I117">
        <f>LN(H117)</f>
        <v/>
      </c>
      <c r="J117">
        <f>EXP(Interaction_Mechanics!$H$12+Interaction_Mechanics!$H$13*F117+Interaction_Mechanics!$H$14*B117+Interaction_Mechanics!$H$15*G117)</f>
        <v/>
      </c>
      <c r="K117">
        <f>LN(J117)</f>
        <v/>
      </c>
      <c r="L117">
        <f>IF(C117="F",B117,NA())</f>
        <v/>
      </c>
      <c r="M117">
        <f>IF(C117="F",E117,NA())</f>
        <v/>
      </c>
      <c r="N117">
        <f>IF(C117="F",I117,NA())</f>
        <v/>
      </c>
      <c r="O117">
        <f>IF(C117="F",K117,NA())</f>
        <v/>
      </c>
      <c r="P117">
        <f>IF(C117="M",B117,NA())</f>
        <v/>
      </c>
      <c r="Q117">
        <f>IF(C117="M",E117,NA())</f>
        <v/>
      </c>
      <c r="R117">
        <f>IF(C117="M",I117,NA())</f>
        <v/>
      </c>
      <c r="S117">
        <f>IF(C117="M",K117,NA())</f>
        <v/>
      </c>
    </row>
    <row r="118">
      <c r="A118" t="n">
        <v>117</v>
      </c>
      <c r="B118" t="n">
        <v>78</v>
      </c>
      <c r="C118" t="inlineStr">
        <is>
          <t>M</t>
        </is>
      </c>
      <c r="D118" t="n">
        <v>31.92</v>
      </c>
      <c r="E118">
        <f>LN(D118)</f>
        <v/>
      </c>
      <c r="F118">
        <f>--(C118="M")</f>
        <v/>
      </c>
      <c r="G118">
        <f>B118*F118</f>
        <v/>
      </c>
      <c r="H118">
        <f>EXP(Main_Effects_Mechanics!$G$11+Main_Effects_Mechanics!$G$12*F118+Main_Effects_Mechanics!$G$13*B118)</f>
        <v/>
      </c>
      <c r="I118">
        <f>LN(H118)</f>
        <v/>
      </c>
      <c r="J118">
        <f>EXP(Interaction_Mechanics!$H$12+Interaction_Mechanics!$H$13*F118+Interaction_Mechanics!$H$14*B118+Interaction_Mechanics!$H$15*G118)</f>
        <v/>
      </c>
      <c r="K118">
        <f>LN(J118)</f>
        <v/>
      </c>
      <c r="L118">
        <f>IF(C118="F",B118,NA())</f>
        <v/>
      </c>
      <c r="M118">
        <f>IF(C118="F",E118,NA())</f>
        <v/>
      </c>
      <c r="N118">
        <f>IF(C118="F",I118,NA())</f>
        <v/>
      </c>
      <c r="O118">
        <f>IF(C118="F",K118,NA())</f>
        <v/>
      </c>
      <c r="P118">
        <f>IF(C118="M",B118,NA())</f>
        <v/>
      </c>
      <c r="Q118">
        <f>IF(C118="M",E118,NA())</f>
        <v/>
      </c>
      <c r="R118">
        <f>IF(C118="M",I118,NA())</f>
        <v/>
      </c>
      <c r="S118">
        <f>IF(C118="M",K118,NA())</f>
        <v/>
      </c>
    </row>
    <row r="119">
      <c r="A119" t="n">
        <v>118</v>
      </c>
      <c r="B119" t="n">
        <v>79</v>
      </c>
      <c r="C119" t="inlineStr">
        <is>
          <t>M</t>
        </is>
      </c>
      <c r="D119" t="n">
        <v>35.17</v>
      </c>
      <c r="E119">
        <f>LN(D119)</f>
        <v/>
      </c>
      <c r="F119">
        <f>--(C119="M")</f>
        <v/>
      </c>
      <c r="G119">
        <f>B119*F119</f>
        <v/>
      </c>
      <c r="H119">
        <f>EXP(Main_Effects_Mechanics!$G$11+Main_Effects_Mechanics!$G$12*F119+Main_Effects_Mechanics!$G$13*B119)</f>
        <v/>
      </c>
      <c r="I119">
        <f>LN(H119)</f>
        <v/>
      </c>
      <c r="J119">
        <f>EXP(Interaction_Mechanics!$H$12+Interaction_Mechanics!$H$13*F119+Interaction_Mechanics!$H$14*B119+Interaction_Mechanics!$H$15*G119)</f>
        <v/>
      </c>
      <c r="K119">
        <f>LN(J119)</f>
        <v/>
      </c>
      <c r="L119">
        <f>IF(C119="F",B119,NA())</f>
        <v/>
      </c>
      <c r="M119">
        <f>IF(C119="F",E119,NA())</f>
        <v/>
      </c>
      <c r="N119">
        <f>IF(C119="F",I119,NA())</f>
        <v/>
      </c>
      <c r="O119">
        <f>IF(C119="F",K119,NA())</f>
        <v/>
      </c>
      <c r="P119">
        <f>IF(C119="M",B119,NA())</f>
        <v/>
      </c>
      <c r="Q119">
        <f>IF(C119="M",E119,NA())</f>
        <v/>
      </c>
      <c r="R119">
        <f>IF(C119="M",I119,NA())</f>
        <v/>
      </c>
      <c r="S119">
        <f>IF(C119="M",K119,NA())</f>
        <v/>
      </c>
    </row>
    <row r="120">
      <c r="A120" t="n">
        <v>119</v>
      </c>
      <c r="B120" t="n">
        <v>80</v>
      </c>
      <c r="C120" t="inlineStr">
        <is>
          <t>M</t>
        </is>
      </c>
      <c r="D120" t="n">
        <v>39.44</v>
      </c>
      <c r="E120">
        <f>LN(D120)</f>
        <v/>
      </c>
      <c r="F120">
        <f>--(C120="M")</f>
        <v/>
      </c>
      <c r="G120">
        <f>B120*F120</f>
        <v/>
      </c>
      <c r="H120">
        <f>EXP(Main_Effects_Mechanics!$G$11+Main_Effects_Mechanics!$G$12*F120+Main_Effects_Mechanics!$G$13*B120)</f>
        <v/>
      </c>
      <c r="I120">
        <f>LN(H120)</f>
        <v/>
      </c>
      <c r="J120">
        <f>EXP(Interaction_Mechanics!$H$12+Interaction_Mechanics!$H$13*F120+Interaction_Mechanics!$H$14*B120+Interaction_Mechanics!$H$15*G120)</f>
        <v/>
      </c>
      <c r="K120">
        <f>LN(J120)</f>
        <v/>
      </c>
      <c r="L120">
        <f>IF(C120="F",B120,NA())</f>
        <v/>
      </c>
      <c r="M120">
        <f>IF(C120="F",E120,NA())</f>
        <v/>
      </c>
      <c r="N120">
        <f>IF(C120="F",I120,NA())</f>
        <v/>
      </c>
      <c r="O120">
        <f>IF(C120="F",K120,NA())</f>
        <v/>
      </c>
      <c r="P120">
        <f>IF(C120="M",B120,NA())</f>
        <v/>
      </c>
      <c r="Q120">
        <f>IF(C120="M",E120,NA())</f>
        <v/>
      </c>
      <c r="R120">
        <f>IF(C120="M",I120,NA())</f>
        <v/>
      </c>
      <c r="S120">
        <f>IF(C120="M",K120,NA())</f>
        <v/>
      </c>
    </row>
    <row r="121">
      <c r="A121" t="n">
        <v>120</v>
      </c>
      <c r="B121" t="n">
        <v>81</v>
      </c>
      <c r="C121" t="inlineStr">
        <is>
          <t>M</t>
        </is>
      </c>
      <c r="D121" t="n">
        <v>43.53</v>
      </c>
      <c r="E121">
        <f>LN(D121)</f>
        <v/>
      </c>
      <c r="F121">
        <f>--(C121="M")</f>
        <v/>
      </c>
      <c r="G121">
        <f>B121*F121</f>
        <v/>
      </c>
      <c r="H121">
        <f>EXP(Main_Effects_Mechanics!$G$11+Main_Effects_Mechanics!$G$12*F121+Main_Effects_Mechanics!$G$13*B121)</f>
        <v/>
      </c>
      <c r="I121">
        <f>LN(H121)</f>
        <v/>
      </c>
      <c r="J121">
        <f>EXP(Interaction_Mechanics!$H$12+Interaction_Mechanics!$H$13*F121+Interaction_Mechanics!$H$14*B121+Interaction_Mechanics!$H$15*G121)</f>
        <v/>
      </c>
      <c r="K121">
        <f>LN(J121)</f>
        <v/>
      </c>
      <c r="L121">
        <f>IF(C121="F",B121,NA())</f>
        <v/>
      </c>
      <c r="M121">
        <f>IF(C121="F",E121,NA())</f>
        <v/>
      </c>
      <c r="N121">
        <f>IF(C121="F",I121,NA())</f>
        <v/>
      </c>
      <c r="O121">
        <f>IF(C121="F",K121,NA())</f>
        <v/>
      </c>
      <c r="P121">
        <f>IF(C121="M",B121,NA())</f>
        <v/>
      </c>
      <c r="Q121">
        <f>IF(C121="M",E121,NA())</f>
        <v/>
      </c>
      <c r="R121">
        <f>IF(C121="M",I121,NA())</f>
        <v/>
      </c>
      <c r="S121">
        <f>IF(C121="M",K121,NA())</f>
        <v/>
      </c>
    </row>
    <row r="122">
      <c r="A122" t="n">
        <v>121</v>
      </c>
      <c r="B122" t="n">
        <v>82</v>
      </c>
      <c r="C122" t="inlineStr">
        <is>
          <t>M</t>
        </is>
      </c>
      <c r="D122" t="n">
        <v>48.5</v>
      </c>
      <c r="E122">
        <f>LN(D122)</f>
        <v/>
      </c>
      <c r="F122">
        <f>--(C122="M")</f>
        <v/>
      </c>
      <c r="G122">
        <f>B122*F122</f>
        <v/>
      </c>
      <c r="H122">
        <f>EXP(Main_Effects_Mechanics!$G$11+Main_Effects_Mechanics!$G$12*F122+Main_Effects_Mechanics!$G$13*B122)</f>
        <v/>
      </c>
      <c r="I122">
        <f>LN(H122)</f>
        <v/>
      </c>
      <c r="J122">
        <f>EXP(Interaction_Mechanics!$H$12+Interaction_Mechanics!$H$13*F122+Interaction_Mechanics!$H$14*B122+Interaction_Mechanics!$H$15*G122)</f>
        <v/>
      </c>
      <c r="K122">
        <f>LN(J122)</f>
        <v/>
      </c>
      <c r="L122">
        <f>IF(C122="F",B122,NA())</f>
        <v/>
      </c>
      <c r="M122">
        <f>IF(C122="F",E122,NA())</f>
        <v/>
      </c>
      <c r="N122">
        <f>IF(C122="F",I122,NA())</f>
        <v/>
      </c>
      <c r="O122">
        <f>IF(C122="F",K122,NA())</f>
        <v/>
      </c>
      <c r="P122">
        <f>IF(C122="M",B122,NA())</f>
        <v/>
      </c>
      <c r="Q122">
        <f>IF(C122="M",E122,NA())</f>
        <v/>
      </c>
      <c r="R122">
        <f>IF(C122="M",I122,NA())</f>
        <v/>
      </c>
      <c r="S122">
        <f>IF(C122="M",K122,NA())</f>
        <v/>
      </c>
    </row>
    <row r="123">
      <c r="A123" t="n">
        <v>122</v>
      </c>
      <c r="B123" t="n">
        <v>83</v>
      </c>
      <c r="C123" t="inlineStr">
        <is>
          <t>M</t>
        </is>
      </c>
      <c r="D123" t="n">
        <v>53.45</v>
      </c>
      <c r="E123">
        <f>LN(D123)</f>
        <v/>
      </c>
      <c r="F123">
        <f>--(C123="M")</f>
        <v/>
      </c>
      <c r="G123">
        <f>B123*F123</f>
        <v/>
      </c>
      <c r="H123">
        <f>EXP(Main_Effects_Mechanics!$G$11+Main_Effects_Mechanics!$G$12*F123+Main_Effects_Mechanics!$G$13*B123)</f>
        <v/>
      </c>
      <c r="I123">
        <f>LN(H123)</f>
        <v/>
      </c>
      <c r="J123">
        <f>EXP(Interaction_Mechanics!$H$12+Interaction_Mechanics!$H$13*F123+Interaction_Mechanics!$H$14*B123+Interaction_Mechanics!$H$15*G123)</f>
        <v/>
      </c>
      <c r="K123">
        <f>LN(J123)</f>
        <v/>
      </c>
      <c r="L123">
        <f>IF(C123="F",B123,NA())</f>
        <v/>
      </c>
      <c r="M123">
        <f>IF(C123="F",E123,NA())</f>
        <v/>
      </c>
      <c r="N123">
        <f>IF(C123="F",I123,NA())</f>
        <v/>
      </c>
      <c r="O123">
        <f>IF(C123="F",K123,NA())</f>
        <v/>
      </c>
      <c r="P123">
        <f>IF(C123="M",B123,NA())</f>
        <v/>
      </c>
      <c r="Q123">
        <f>IF(C123="M",E123,NA())</f>
        <v/>
      </c>
      <c r="R123">
        <f>IF(C123="M",I123,NA())</f>
        <v/>
      </c>
      <c r="S123">
        <f>IF(C123="M",K123,NA())</f>
        <v/>
      </c>
    </row>
    <row r="124">
      <c r="A124" t="n">
        <v>123</v>
      </c>
      <c r="B124" t="n">
        <v>84</v>
      </c>
      <c r="C124" t="inlineStr">
        <is>
          <t>M</t>
        </is>
      </c>
      <c r="D124" t="n">
        <v>61.12</v>
      </c>
      <c r="E124">
        <f>LN(D124)</f>
        <v/>
      </c>
      <c r="F124">
        <f>--(C124="M")</f>
        <v/>
      </c>
      <c r="G124">
        <f>B124*F124</f>
        <v/>
      </c>
      <c r="H124">
        <f>EXP(Main_Effects_Mechanics!$G$11+Main_Effects_Mechanics!$G$12*F124+Main_Effects_Mechanics!$G$13*B124)</f>
        <v/>
      </c>
      <c r="I124">
        <f>LN(H124)</f>
        <v/>
      </c>
      <c r="J124">
        <f>EXP(Interaction_Mechanics!$H$12+Interaction_Mechanics!$H$13*F124+Interaction_Mechanics!$H$14*B124+Interaction_Mechanics!$H$15*G124)</f>
        <v/>
      </c>
      <c r="K124">
        <f>LN(J124)</f>
        <v/>
      </c>
      <c r="L124">
        <f>IF(C124="F",B124,NA())</f>
        <v/>
      </c>
      <c r="M124">
        <f>IF(C124="F",E124,NA())</f>
        <v/>
      </c>
      <c r="N124">
        <f>IF(C124="F",I124,NA())</f>
        <v/>
      </c>
      <c r="O124">
        <f>IF(C124="F",K124,NA())</f>
        <v/>
      </c>
      <c r="P124">
        <f>IF(C124="M",B124,NA())</f>
        <v/>
      </c>
      <c r="Q124">
        <f>IF(C124="M",E124,NA())</f>
        <v/>
      </c>
      <c r="R124">
        <f>IF(C124="M",I124,NA())</f>
        <v/>
      </c>
      <c r="S124">
        <f>IF(C124="M",K124,NA())</f>
        <v/>
      </c>
    </row>
    <row r="125">
      <c r="A125" t="n">
        <v>124</v>
      </c>
      <c r="B125" t="n">
        <v>85</v>
      </c>
      <c r="C125" t="inlineStr">
        <is>
          <t>M</t>
        </is>
      </c>
      <c r="D125" t="n">
        <v>68.67</v>
      </c>
      <c r="E125">
        <f>LN(D125)</f>
        <v/>
      </c>
      <c r="F125">
        <f>--(C125="M")</f>
        <v/>
      </c>
      <c r="G125">
        <f>B125*F125</f>
        <v/>
      </c>
      <c r="H125">
        <f>EXP(Main_Effects_Mechanics!$G$11+Main_Effects_Mechanics!$G$12*F125+Main_Effects_Mechanics!$G$13*B125)</f>
        <v/>
      </c>
      <c r="I125">
        <f>LN(H125)</f>
        <v/>
      </c>
      <c r="J125">
        <f>EXP(Interaction_Mechanics!$H$12+Interaction_Mechanics!$H$13*F125+Interaction_Mechanics!$H$14*B125+Interaction_Mechanics!$H$15*G125)</f>
        <v/>
      </c>
      <c r="K125">
        <f>LN(J125)</f>
        <v/>
      </c>
      <c r="L125">
        <f>IF(C125="F",B125,NA())</f>
        <v/>
      </c>
      <c r="M125">
        <f>IF(C125="F",E125,NA())</f>
        <v/>
      </c>
      <c r="N125">
        <f>IF(C125="F",I125,NA())</f>
        <v/>
      </c>
      <c r="O125">
        <f>IF(C125="F",K125,NA())</f>
        <v/>
      </c>
      <c r="P125">
        <f>IF(C125="M",B125,NA())</f>
        <v/>
      </c>
      <c r="Q125">
        <f>IF(C125="M",E125,NA())</f>
        <v/>
      </c>
      <c r="R125">
        <f>IF(C125="M",I125,NA())</f>
        <v/>
      </c>
      <c r="S125">
        <f>IF(C125="M",K125,NA())</f>
        <v/>
      </c>
    </row>
    <row r="126">
      <c r="A126" t="n">
        <v>125</v>
      </c>
      <c r="B126" t="n">
        <v>86</v>
      </c>
      <c r="C126" t="inlineStr">
        <is>
          <t>M</t>
        </is>
      </c>
      <c r="D126" t="n">
        <v>77.48999999999999</v>
      </c>
      <c r="E126">
        <f>LN(D126)</f>
        <v/>
      </c>
      <c r="F126">
        <f>--(C126="M")</f>
        <v/>
      </c>
      <c r="G126">
        <f>B126*F126</f>
        <v/>
      </c>
      <c r="H126">
        <f>EXP(Main_Effects_Mechanics!$G$11+Main_Effects_Mechanics!$G$12*F126+Main_Effects_Mechanics!$G$13*B126)</f>
        <v/>
      </c>
      <c r="I126">
        <f>LN(H126)</f>
        <v/>
      </c>
      <c r="J126">
        <f>EXP(Interaction_Mechanics!$H$12+Interaction_Mechanics!$H$13*F126+Interaction_Mechanics!$H$14*B126+Interaction_Mechanics!$H$15*G126)</f>
        <v/>
      </c>
      <c r="K126">
        <f>LN(J126)</f>
        <v/>
      </c>
      <c r="L126">
        <f>IF(C126="F",B126,NA())</f>
        <v/>
      </c>
      <c r="M126">
        <f>IF(C126="F",E126,NA())</f>
        <v/>
      </c>
      <c r="N126">
        <f>IF(C126="F",I126,NA())</f>
        <v/>
      </c>
      <c r="O126">
        <f>IF(C126="F",K126,NA())</f>
        <v/>
      </c>
      <c r="P126">
        <f>IF(C126="M",B126,NA())</f>
        <v/>
      </c>
      <c r="Q126">
        <f>IF(C126="M",E126,NA())</f>
        <v/>
      </c>
      <c r="R126">
        <f>IF(C126="M",I126,NA())</f>
        <v/>
      </c>
      <c r="S126">
        <f>IF(C126="M",K126,NA())</f>
        <v/>
      </c>
    </row>
    <row r="127">
      <c r="A127" t="n">
        <v>126</v>
      </c>
      <c r="B127" t="n">
        <v>87</v>
      </c>
      <c r="C127" t="inlineStr">
        <is>
          <t>M</t>
        </is>
      </c>
      <c r="D127" t="n">
        <v>87.52</v>
      </c>
      <c r="E127">
        <f>LN(D127)</f>
        <v/>
      </c>
      <c r="F127">
        <f>--(C127="M")</f>
        <v/>
      </c>
      <c r="G127">
        <f>B127*F127</f>
        <v/>
      </c>
      <c r="H127">
        <f>EXP(Main_Effects_Mechanics!$G$11+Main_Effects_Mechanics!$G$12*F127+Main_Effects_Mechanics!$G$13*B127)</f>
        <v/>
      </c>
      <c r="I127">
        <f>LN(H127)</f>
        <v/>
      </c>
      <c r="J127">
        <f>EXP(Interaction_Mechanics!$H$12+Interaction_Mechanics!$H$13*F127+Interaction_Mechanics!$H$14*B127+Interaction_Mechanics!$H$15*G127)</f>
        <v/>
      </c>
      <c r="K127">
        <f>LN(J127)</f>
        <v/>
      </c>
      <c r="L127">
        <f>IF(C127="F",B127,NA())</f>
        <v/>
      </c>
      <c r="M127">
        <f>IF(C127="F",E127,NA())</f>
        <v/>
      </c>
      <c r="N127">
        <f>IF(C127="F",I127,NA())</f>
        <v/>
      </c>
      <c r="O127">
        <f>IF(C127="F",K127,NA())</f>
        <v/>
      </c>
      <c r="P127">
        <f>IF(C127="M",B127,NA())</f>
        <v/>
      </c>
      <c r="Q127">
        <f>IF(C127="M",E127,NA())</f>
        <v/>
      </c>
      <c r="R127">
        <f>IF(C127="M",I127,NA())</f>
        <v/>
      </c>
      <c r="S127">
        <f>IF(C127="M",K127,NA())</f>
        <v/>
      </c>
    </row>
    <row r="128">
      <c r="A128" t="n">
        <v>127</v>
      </c>
      <c r="B128" t="n">
        <v>88</v>
      </c>
      <c r="C128" t="inlineStr">
        <is>
          <t>M</t>
        </is>
      </c>
      <c r="D128" t="n">
        <v>100.46</v>
      </c>
      <c r="E128">
        <f>LN(D128)</f>
        <v/>
      </c>
      <c r="F128">
        <f>--(C128="M")</f>
        <v/>
      </c>
      <c r="G128">
        <f>B128*F128</f>
        <v/>
      </c>
      <c r="H128">
        <f>EXP(Main_Effects_Mechanics!$G$11+Main_Effects_Mechanics!$G$12*F128+Main_Effects_Mechanics!$G$13*B128)</f>
        <v/>
      </c>
      <c r="I128">
        <f>LN(H128)</f>
        <v/>
      </c>
      <c r="J128">
        <f>EXP(Interaction_Mechanics!$H$12+Interaction_Mechanics!$H$13*F128+Interaction_Mechanics!$H$14*B128+Interaction_Mechanics!$H$15*G128)</f>
        <v/>
      </c>
      <c r="K128">
        <f>LN(J128)</f>
        <v/>
      </c>
      <c r="L128">
        <f>IF(C128="F",B128,NA())</f>
        <v/>
      </c>
      <c r="M128">
        <f>IF(C128="F",E128,NA())</f>
        <v/>
      </c>
      <c r="N128">
        <f>IF(C128="F",I128,NA())</f>
        <v/>
      </c>
      <c r="O128">
        <f>IF(C128="F",K128,NA())</f>
        <v/>
      </c>
      <c r="P128">
        <f>IF(C128="M",B128,NA())</f>
        <v/>
      </c>
      <c r="Q128">
        <f>IF(C128="M",E128,NA())</f>
        <v/>
      </c>
      <c r="R128">
        <f>IF(C128="M",I128,NA())</f>
        <v/>
      </c>
      <c r="S128">
        <f>IF(C128="M",K128,NA())</f>
        <v/>
      </c>
    </row>
    <row r="129">
      <c r="A129" t="n">
        <v>128</v>
      </c>
      <c r="B129" t="n">
        <v>89</v>
      </c>
      <c r="C129" t="inlineStr">
        <is>
          <t>M</t>
        </is>
      </c>
      <c r="D129" t="n">
        <v>113.47</v>
      </c>
      <c r="E129">
        <f>LN(D129)</f>
        <v/>
      </c>
      <c r="F129">
        <f>--(C129="M")</f>
        <v/>
      </c>
      <c r="G129">
        <f>B129*F129</f>
        <v/>
      </c>
      <c r="H129">
        <f>EXP(Main_Effects_Mechanics!$G$11+Main_Effects_Mechanics!$G$12*F129+Main_Effects_Mechanics!$G$13*B129)</f>
        <v/>
      </c>
      <c r="I129">
        <f>LN(H129)</f>
        <v/>
      </c>
      <c r="J129">
        <f>EXP(Interaction_Mechanics!$H$12+Interaction_Mechanics!$H$13*F129+Interaction_Mechanics!$H$14*B129+Interaction_Mechanics!$H$15*G129)</f>
        <v/>
      </c>
      <c r="K129">
        <f>LN(J129)</f>
        <v/>
      </c>
      <c r="L129">
        <f>IF(C129="F",B129,NA())</f>
        <v/>
      </c>
      <c r="M129">
        <f>IF(C129="F",E129,NA())</f>
        <v/>
      </c>
      <c r="N129">
        <f>IF(C129="F",I129,NA())</f>
        <v/>
      </c>
      <c r="O129">
        <f>IF(C129="F",K129,NA())</f>
        <v/>
      </c>
      <c r="P129">
        <f>IF(C129="M",B129,NA())</f>
        <v/>
      </c>
      <c r="Q129">
        <f>IF(C129="M",E129,NA())</f>
        <v/>
      </c>
      <c r="R129">
        <f>IF(C129="M",I129,NA())</f>
        <v/>
      </c>
      <c r="S129">
        <f>IF(C129="M",K129,NA())</f>
        <v/>
      </c>
    </row>
    <row r="130">
      <c r="A130" t="n">
        <v>129</v>
      </c>
      <c r="B130" t="n">
        <v>90</v>
      </c>
      <c r="C130" t="inlineStr">
        <is>
          <t>M</t>
        </is>
      </c>
      <c r="D130" t="n">
        <v>127.45</v>
      </c>
      <c r="E130">
        <f>LN(D130)</f>
        <v/>
      </c>
      <c r="F130">
        <f>--(C130="M")</f>
        <v/>
      </c>
      <c r="G130">
        <f>B130*F130</f>
        <v/>
      </c>
      <c r="H130">
        <f>EXP(Main_Effects_Mechanics!$G$11+Main_Effects_Mechanics!$G$12*F130+Main_Effects_Mechanics!$G$13*B130)</f>
        <v/>
      </c>
      <c r="I130">
        <f>LN(H130)</f>
        <v/>
      </c>
      <c r="J130">
        <f>EXP(Interaction_Mechanics!$H$12+Interaction_Mechanics!$H$13*F130+Interaction_Mechanics!$H$14*B130+Interaction_Mechanics!$H$15*G130)</f>
        <v/>
      </c>
      <c r="K130">
        <f>LN(J130)</f>
        <v/>
      </c>
      <c r="L130">
        <f>IF(C130="F",B130,NA())</f>
        <v/>
      </c>
      <c r="M130">
        <f>IF(C130="F",E130,NA())</f>
        <v/>
      </c>
      <c r="N130">
        <f>IF(C130="F",I130,NA())</f>
        <v/>
      </c>
      <c r="O130">
        <f>IF(C130="F",K130,NA())</f>
        <v/>
      </c>
      <c r="P130">
        <f>IF(C130="M",B130,NA())</f>
        <v/>
      </c>
      <c r="Q130">
        <f>IF(C130="M",E130,NA())</f>
        <v/>
      </c>
      <c r="R130">
        <f>IF(C130="M",I130,NA())</f>
        <v/>
      </c>
      <c r="S130">
        <f>IF(C130="M",K130,NA())</f>
        <v/>
      </c>
    </row>
    <row r="131">
      <c r="A131" t="n">
        <v>130</v>
      </c>
      <c r="B131" t="n">
        <v>91</v>
      </c>
      <c r="C131" t="inlineStr">
        <is>
          <t>M</t>
        </is>
      </c>
      <c r="D131" t="n">
        <v>142.24</v>
      </c>
      <c r="E131">
        <f>LN(D131)</f>
        <v/>
      </c>
      <c r="F131">
        <f>--(C131="M")</f>
        <v/>
      </c>
      <c r="G131">
        <f>B131*F131</f>
        <v/>
      </c>
      <c r="H131">
        <f>EXP(Main_Effects_Mechanics!$G$11+Main_Effects_Mechanics!$G$12*F131+Main_Effects_Mechanics!$G$13*B131)</f>
        <v/>
      </c>
      <c r="I131">
        <f>LN(H131)</f>
        <v/>
      </c>
      <c r="J131">
        <f>EXP(Interaction_Mechanics!$H$12+Interaction_Mechanics!$H$13*F131+Interaction_Mechanics!$H$14*B131+Interaction_Mechanics!$H$15*G131)</f>
        <v/>
      </c>
      <c r="K131">
        <f>LN(J131)</f>
        <v/>
      </c>
      <c r="L131">
        <f>IF(C131="F",B131,NA())</f>
        <v/>
      </c>
      <c r="M131">
        <f>IF(C131="F",E131,NA())</f>
        <v/>
      </c>
      <c r="N131">
        <f>IF(C131="F",I131,NA())</f>
        <v/>
      </c>
      <c r="O131">
        <f>IF(C131="F",K131,NA())</f>
        <v/>
      </c>
      <c r="P131">
        <f>IF(C131="M",B131,NA())</f>
        <v/>
      </c>
      <c r="Q131">
        <f>IF(C131="M",E131,NA())</f>
        <v/>
      </c>
      <c r="R131">
        <f>IF(C131="M",I131,NA())</f>
        <v/>
      </c>
      <c r="S131">
        <f>IF(C131="M",K131,NA())</f>
        <v/>
      </c>
    </row>
    <row r="132">
      <c r="A132" t="n">
        <v>131</v>
      </c>
      <c r="B132" t="n">
        <v>92</v>
      </c>
      <c r="C132" t="inlineStr">
        <is>
          <t>M</t>
        </is>
      </c>
      <c r="D132" t="n">
        <v>157.34</v>
      </c>
      <c r="E132">
        <f>LN(D132)</f>
        <v/>
      </c>
      <c r="F132">
        <f>--(C132="M")</f>
        <v/>
      </c>
      <c r="G132">
        <f>B132*F132</f>
        <v/>
      </c>
      <c r="H132">
        <f>EXP(Main_Effects_Mechanics!$G$11+Main_Effects_Mechanics!$G$12*F132+Main_Effects_Mechanics!$G$13*B132)</f>
        <v/>
      </c>
      <c r="I132">
        <f>LN(H132)</f>
        <v/>
      </c>
      <c r="J132">
        <f>EXP(Interaction_Mechanics!$H$12+Interaction_Mechanics!$H$13*F132+Interaction_Mechanics!$H$14*B132+Interaction_Mechanics!$H$15*G132)</f>
        <v/>
      </c>
      <c r="K132">
        <f>LN(J132)</f>
        <v/>
      </c>
      <c r="L132">
        <f>IF(C132="F",B132,NA())</f>
        <v/>
      </c>
      <c r="M132">
        <f>IF(C132="F",E132,NA())</f>
        <v/>
      </c>
      <c r="N132">
        <f>IF(C132="F",I132,NA())</f>
        <v/>
      </c>
      <c r="O132">
        <f>IF(C132="F",K132,NA())</f>
        <v/>
      </c>
      <c r="P132">
        <f>IF(C132="M",B132,NA())</f>
        <v/>
      </c>
      <c r="Q132">
        <f>IF(C132="M",E132,NA())</f>
        <v/>
      </c>
      <c r="R132">
        <f>IF(C132="M",I132,NA())</f>
        <v/>
      </c>
      <c r="S132">
        <f>IF(C132="M",K132,NA())</f>
        <v/>
      </c>
    </row>
    <row r="133">
      <c r="A133" t="n">
        <v>132</v>
      </c>
      <c r="B133" t="n">
        <v>93</v>
      </c>
      <c r="C133" t="inlineStr">
        <is>
          <t>M</t>
        </is>
      </c>
      <c r="D133" t="n">
        <v>172.35</v>
      </c>
      <c r="E133">
        <f>LN(D133)</f>
        <v/>
      </c>
      <c r="F133">
        <f>--(C133="M")</f>
        <v/>
      </c>
      <c r="G133">
        <f>B133*F133</f>
        <v/>
      </c>
      <c r="H133">
        <f>EXP(Main_Effects_Mechanics!$G$11+Main_Effects_Mechanics!$G$12*F133+Main_Effects_Mechanics!$G$13*B133)</f>
        <v/>
      </c>
      <c r="I133">
        <f>LN(H133)</f>
        <v/>
      </c>
      <c r="J133">
        <f>EXP(Interaction_Mechanics!$H$12+Interaction_Mechanics!$H$13*F133+Interaction_Mechanics!$H$14*B133+Interaction_Mechanics!$H$15*G133)</f>
        <v/>
      </c>
      <c r="K133">
        <f>LN(J133)</f>
        <v/>
      </c>
      <c r="L133">
        <f>IF(C133="F",B133,NA())</f>
        <v/>
      </c>
      <c r="M133">
        <f>IF(C133="F",E133,NA())</f>
        <v/>
      </c>
      <c r="N133">
        <f>IF(C133="F",I133,NA())</f>
        <v/>
      </c>
      <c r="O133">
        <f>IF(C133="F",K133,NA())</f>
        <v/>
      </c>
      <c r="P133">
        <f>IF(C133="M",B133,NA())</f>
        <v/>
      </c>
      <c r="Q133">
        <f>IF(C133="M",E133,NA())</f>
        <v/>
      </c>
      <c r="R133">
        <f>IF(C133="M",I133,NA())</f>
        <v/>
      </c>
      <c r="S133">
        <f>IF(C133="M",K133,NA())</f>
        <v/>
      </c>
    </row>
    <row r="134">
      <c r="A134" t="n">
        <v>133</v>
      </c>
      <c r="B134" t="n">
        <v>94</v>
      </c>
      <c r="C134" t="inlineStr">
        <is>
          <t>M</t>
        </is>
      </c>
      <c r="D134" t="n">
        <v>187.18</v>
      </c>
      <c r="E134">
        <f>LN(D134)</f>
        <v/>
      </c>
      <c r="F134">
        <f>--(C134="M")</f>
        <v/>
      </c>
      <c r="G134">
        <f>B134*F134</f>
        <v/>
      </c>
      <c r="H134">
        <f>EXP(Main_Effects_Mechanics!$G$11+Main_Effects_Mechanics!$G$12*F134+Main_Effects_Mechanics!$G$13*B134)</f>
        <v/>
      </c>
      <c r="I134">
        <f>LN(H134)</f>
        <v/>
      </c>
      <c r="J134">
        <f>EXP(Interaction_Mechanics!$H$12+Interaction_Mechanics!$H$13*F134+Interaction_Mechanics!$H$14*B134+Interaction_Mechanics!$H$15*G134)</f>
        <v/>
      </c>
      <c r="K134">
        <f>LN(J134)</f>
        <v/>
      </c>
      <c r="L134">
        <f>IF(C134="F",B134,NA())</f>
        <v/>
      </c>
      <c r="M134">
        <f>IF(C134="F",E134,NA())</f>
        <v/>
      </c>
      <c r="N134">
        <f>IF(C134="F",I134,NA())</f>
        <v/>
      </c>
      <c r="O134">
        <f>IF(C134="F",K134,NA())</f>
        <v/>
      </c>
      <c r="P134">
        <f>IF(C134="M",B134,NA())</f>
        <v/>
      </c>
      <c r="Q134">
        <f>IF(C134="M",E134,NA())</f>
        <v/>
      </c>
      <c r="R134">
        <f>IF(C134="M",I134,NA())</f>
        <v/>
      </c>
      <c r="S134">
        <f>IF(C134="M",K134,NA())</f>
        <v/>
      </c>
    </row>
    <row r="135">
      <c r="A135" t="n">
        <v>134</v>
      </c>
      <c r="B135" t="n">
        <v>95</v>
      </c>
      <c r="C135" t="inlineStr">
        <is>
          <t>M</t>
        </is>
      </c>
      <c r="D135" t="n">
        <v>200.98</v>
      </c>
      <c r="E135">
        <f>LN(D135)</f>
        <v/>
      </c>
      <c r="F135">
        <f>--(C135="M")</f>
        <v/>
      </c>
      <c r="G135">
        <f>B135*F135</f>
        <v/>
      </c>
      <c r="H135">
        <f>EXP(Main_Effects_Mechanics!$G$11+Main_Effects_Mechanics!$G$12*F135+Main_Effects_Mechanics!$G$13*B135)</f>
        <v/>
      </c>
      <c r="I135">
        <f>LN(H135)</f>
        <v/>
      </c>
      <c r="J135">
        <f>EXP(Interaction_Mechanics!$H$12+Interaction_Mechanics!$H$13*F135+Interaction_Mechanics!$H$14*B135+Interaction_Mechanics!$H$15*G135)</f>
        <v/>
      </c>
      <c r="K135">
        <f>LN(J135)</f>
        <v/>
      </c>
      <c r="L135">
        <f>IF(C135="F",B135,NA())</f>
        <v/>
      </c>
      <c r="M135">
        <f>IF(C135="F",E135,NA())</f>
        <v/>
      </c>
      <c r="N135">
        <f>IF(C135="F",I135,NA())</f>
        <v/>
      </c>
      <c r="O135">
        <f>IF(C135="F",K135,NA())</f>
        <v/>
      </c>
      <c r="P135">
        <f>IF(C135="M",B135,NA())</f>
        <v/>
      </c>
      <c r="Q135">
        <f>IF(C135="M",E135,NA())</f>
        <v/>
      </c>
      <c r="R135">
        <f>IF(C135="M",I135,NA())</f>
        <v/>
      </c>
      <c r="S135">
        <f>IF(C135="M",K135,NA())</f>
        <v/>
      </c>
    </row>
    <row r="136">
      <c r="A136" t="n">
        <v>135</v>
      </c>
      <c r="B136" t="n">
        <v>96</v>
      </c>
      <c r="C136" t="inlineStr">
        <is>
          <t>M</t>
        </is>
      </c>
      <c r="D136" t="n">
        <v>213.17</v>
      </c>
      <c r="E136">
        <f>LN(D136)</f>
        <v/>
      </c>
      <c r="F136">
        <f>--(C136="M")</f>
        <v/>
      </c>
      <c r="G136">
        <f>B136*F136</f>
        <v/>
      </c>
      <c r="H136">
        <f>EXP(Main_Effects_Mechanics!$G$11+Main_Effects_Mechanics!$G$12*F136+Main_Effects_Mechanics!$G$13*B136)</f>
        <v/>
      </c>
      <c r="I136">
        <f>LN(H136)</f>
        <v/>
      </c>
      <c r="J136">
        <f>EXP(Interaction_Mechanics!$H$12+Interaction_Mechanics!$H$13*F136+Interaction_Mechanics!$H$14*B136+Interaction_Mechanics!$H$15*G136)</f>
        <v/>
      </c>
      <c r="K136">
        <f>LN(J136)</f>
        <v/>
      </c>
      <c r="L136">
        <f>IF(C136="F",B136,NA())</f>
        <v/>
      </c>
      <c r="M136">
        <f>IF(C136="F",E136,NA())</f>
        <v/>
      </c>
      <c r="N136">
        <f>IF(C136="F",I136,NA())</f>
        <v/>
      </c>
      <c r="O136">
        <f>IF(C136="F",K136,NA())</f>
        <v/>
      </c>
      <c r="P136">
        <f>IF(C136="M",B136,NA())</f>
        <v/>
      </c>
      <c r="Q136">
        <f>IF(C136="M",E136,NA())</f>
        <v/>
      </c>
      <c r="R136">
        <f>IF(C136="M",I136,NA())</f>
        <v/>
      </c>
      <c r="S136">
        <f>IF(C136="M",K136,NA())</f>
        <v/>
      </c>
    </row>
    <row r="137">
      <c r="A137" t="n">
        <v>136</v>
      </c>
      <c r="B137" t="n">
        <v>97</v>
      </c>
      <c r="C137" t="inlineStr">
        <is>
          <t>M</t>
        </is>
      </c>
      <c r="D137" t="n">
        <v>229.28</v>
      </c>
      <c r="E137">
        <f>LN(D137)</f>
        <v/>
      </c>
      <c r="F137">
        <f>--(C137="M")</f>
        <v/>
      </c>
      <c r="G137">
        <f>B137*F137</f>
        <v/>
      </c>
      <c r="H137">
        <f>EXP(Main_Effects_Mechanics!$G$11+Main_Effects_Mechanics!$G$12*F137+Main_Effects_Mechanics!$G$13*B137)</f>
        <v/>
      </c>
      <c r="I137">
        <f>LN(H137)</f>
        <v/>
      </c>
      <c r="J137">
        <f>EXP(Interaction_Mechanics!$H$12+Interaction_Mechanics!$H$13*F137+Interaction_Mechanics!$H$14*B137+Interaction_Mechanics!$H$15*G137)</f>
        <v/>
      </c>
      <c r="K137">
        <f>LN(J137)</f>
        <v/>
      </c>
      <c r="L137">
        <f>IF(C137="F",B137,NA())</f>
        <v/>
      </c>
      <c r="M137">
        <f>IF(C137="F",E137,NA())</f>
        <v/>
      </c>
      <c r="N137">
        <f>IF(C137="F",I137,NA())</f>
        <v/>
      </c>
      <c r="O137">
        <f>IF(C137="F",K137,NA())</f>
        <v/>
      </c>
      <c r="P137">
        <f>IF(C137="M",B137,NA())</f>
        <v/>
      </c>
      <c r="Q137">
        <f>IF(C137="M",E137,NA())</f>
        <v/>
      </c>
      <c r="R137">
        <f>IF(C137="M",I137,NA())</f>
        <v/>
      </c>
      <c r="S137">
        <f>IF(C137="M",K137,NA())</f>
        <v/>
      </c>
    </row>
    <row r="138">
      <c r="A138" t="n">
        <v>137</v>
      </c>
      <c r="B138" t="n">
        <v>98</v>
      </c>
      <c r="C138" t="inlineStr">
        <is>
          <t>M</t>
        </is>
      </c>
      <c r="D138" t="n">
        <v>246.55</v>
      </c>
      <c r="E138">
        <f>LN(D138)</f>
        <v/>
      </c>
      <c r="F138">
        <f>--(C138="M")</f>
        <v/>
      </c>
      <c r="G138">
        <f>B138*F138</f>
        <v/>
      </c>
      <c r="H138">
        <f>EXP(Main_Effects_Mechanics!$G$11+Main_Effects_Mechanics!$G$12*F138+Main_Effects_Mechanics!$G$13*B138)</f>
        <v/>
      </c>
      <c r="I138">
        <f>LN(H138)</f>
        <v/>
      </c>
      <c r="J138">
        <f>EXP(Interaction_Mechanics!$H$12+Interaction_Mechanics!$H$13*F138+Interaction_Mechanics!$H$14*B138+Interaction_Mechanics!$H$15*G138)</f>
        <v/>
      </c>
      <c r="K138">
        <f>LN(J138)</f>
        <v/>
      </c>
      <c r="L138">
        <f>IF(C138="F",B138,NA())</f>
        <v/>
      </c>
      <c r="M138">
        <f>IF(C138="F",E138,NA())</f>
        <v/>
      </c>
      <c r="N138">
        <f>IF(C138="F",I138,NA())</f>
        <v/>
      </c>
      <c r="O138">
        <f>IF(C138="F",K138,NA())</f>
        <v/>
      </c>
      <c r="P138">
        <f>IF(C138="M",B138,NA())</f>
        <v/>
      </c>
      <c r="Q138">
        <f>IF(C138="M",E138,NA())</f>
        <v/>
      </c>
      <c r="R138">
        <f>IF(C138="M",I138,NA())</f>
        <v/>
      </c>
      <c r="S138">
        <f>IF(C138="M",K138,NA())</f>
        <v/>
      </c>
    </row>
    <row r="139">
      <c r="A139" t="n">
        <v>138</v>
      </c>
      <c r="B139" t="n">
        <v>99</v>
      </c>
      <c r="C139" t="inlineStr">
        <is>
          <t>M</t>
        </is>
      </c>
      <c r="D139" t="n">
        <v>265.47</v>
      </c>
      <c r="E139">
        <f>LN(D139)</f>
        <v/>
      </c>
      <c r="F139">
        <f>--(C139="M")</f>
        <v/>
      </c>
      <c r="G139">
        <f>B139*F139</f>
        <v/>
      </c>
      <c r="H139">
        <f>EXP(Main_Effects_Mechanics!$G$11+Main_Effects_Mechanics!$G$12*F139+Main_Effects_Mechanics!$G$13*B139)</f>
        <v/>
      </c>
      <c r="I139">
        <f>LN(H139)</f>
        <v/>
      </c>
      <c r="J139">
        <f>EXP(Interaction_Mechanics!$H$12+Interaction_Mechanics!$H$13*F139+Interaction_Mechanics!$H$14*B139+Interaction_Mechanics!$H$15*G139)</f>
        <v/>
      </c>
      <c r="K139">
        <f>LN(J139)</f>
        <v/>
      </c>
      <c r="L139">
        <f>IF(C139="F",B139,NA())</f>
        <v/>
      </c>
      <c r="M139">
        <f>IF(C139="F",E139,NA())</f>
        <v/>
      </c>
      <c r="N139">
        <f>IF(C139="F",I139,NA())</f>
        <v/>
      </c>
      <c r="O139">
        <f>IF(C139="F",K139,NA())</f>
        <v/>
      </c>
      <c r="P139">
        <f>IF(C139="M",B139,NA())</f>
        <v/>
      </c>
      <c r="Q139">
        <f>IF(C139="M",E139,NA())</f>
        <v/>
      </c>
      <c r="R139">
        <f>IF(C139="M",I139,NA())</f>
        <v/>
      </c>
      <c r="S139">
        <f>IF(C139="M",K139,NA())</f>
        <v/>
      </c>
    </row>
    <row r="140">
      <c r="A140" t="n">
        <v>139</v>
      </c>
      <c r="B140" t="n">
        <v>100</v>
      </c>
      <c r="C140" t="inlineStr">
        <is>
          <t>M</t>
        </is>
      </c>
      <c r="D140" t="n">
        <v>285.65</v>
      </c>
      <c r="E140">
        <f>LN(D140)</f>
        <v/>
      </c>
      <c r="F140">
        <f>--(C140="M")</f>
        <v/>
      </c>
      <c r="G140">
        <f>B140*F140</f>
        <v/>
      </c>
      <c r="H140">
        <f>EXP(Main_Effects_Mechanics!$G$11+Main_Effects_Mechanics!$G$12*F140+Main_Effects_Mechanics!$G$13*B140)</f>
        <v/>
      </c>
      <c r="I140">
        <f>LN(H140)</f>
        <v/>
      </c>
      <c r="J140">
        <f>EXP(Interaction_Mechanics!$H$12+Interaction_Mechanics!$H$13*F140+Interaction_Mechanics!$H$14*B140+Interaction_Mechanics!$H$15*G140)</f>
        <v/>
      </c>
      <c r="K140">
        <f>LN(J140)</f>
        <v/>
      </c>
      <c r="L140">
        <f>IF(C140="F",B140,NA())</f>
        <v/>
      </c>
      <c r="M140">
        <f>IF(C140="F",E140,NA())</f>
        <v/>
      </c>
      <c r="N140">
        <f>IF(C140="F",I140,NA())</f>
        <v/>
      </c>
      <c r="O140">
        <f>IF(C140="F",K140,NA())</f>
        <v/>
      </c>
      <c r="P140">
        <f>IF(C140="M",B140,NA())</f>
        <v/>
      </c>
      <c r="Q140">
        <f>IF(C140="M",E140,NA())</f>
        <v/>
      </c>
      <c r="R140">
        <f>IF(C140="M",I140,NA())</f>
        <v/>
      </c>
      <c r="S140">
        <f>IF(C140="M",K140,NA())</f>
        <v/>
      </c>
    </row>
    <row r="141">
      <c r="A141" t="n">
        <v>140</v>
      </c>
      <c r="B141" t="n">
        <v>101</v>
      </c>
      <c r="C141" t="inlineStr">
        <is>
          <t>M</t>
        </is>
      </c>
      <c r="D141" t="n">
        <v>306.7</v>
      </c>
      <c r="E141">
        <f>LN(D141)</f>
        <v/>
      </c>
      <c r="F141">
        <f>--(C141="M")</f>
        <v/>
      </c>
      <c r="G141">
        <f>B141*F141</f>
        <v/>
      </c>
      <c r="H141">
        <f>EXP(Main_Effects_Mechanics!$G$11+Main_Effects_Mechanics!$G$12*F141+Main_Effects_Mechanics!$G$13*B141)</f>
        <v/>
      </c>
      <c r="I141">
        <f>LN(H141)</f>
        <v/>
      </c>
      <c r="J141">
        <f>EXP(Interaction_Mechanics!$H$12+Interaction_Mechanics!$H$13*F141+Interaction_Mechanics!$H$14*B141+Interaction_Mechanics!$H$15*G141)</f>
        <v/>
      </c>
      <c r="K141">
        <f>LN(J141)</f>
        <v/>
      </c>
      <c r="L141">
        <f>IF(C141="F",B141,NA())</f>
        <v/>
      </c>
      <c r="M141">
        <f>IF(C141="F",E141,NA())</f>
        <v/>
      </c>
      <c r="N141">
        <f>IF(C141="F",I141,NA())</f>
        <v/>
      </c>
      <c r="O141">
        <f>IF(C141="F",K141,NA())</f>
        <v/>
      </c>
      <c r="P141">
        <f>IF(C141="M",B141,NA())</f>
        <v/>
      </c>
      <c r="Q141">
        <f>IF(C141="M",E141,NA())</f>
        <v/>
      </c>
      <c r="R141">
        <f>IF(C141="M",I141,NA())</f>
        <v/>
      </c>
      <c r="S141">
        <f>IF(C141="M",K141,NA())</f>
        <v/>
      </c>
    </row>
    <row r="142">
      <c r="A142" t="n">
        <v>141</v>
      </c>
      <c r="B142" t="n">
        <v>102</v>
      </c>
      <c r="C142" t="inlineStr">
        <is>
          <t>M</t>
        </is>
      </c>
      <c r="D142" t="n">
        <v>328.25</v>
      </c>
      <c r="E142">
        <f>LN(D142)</f>
        <v/>
      </c>
      <c r="F142">
        <f>--(C142="M")</f>
        <v/>
      </c>
      <c r="G142">
        <f>B142*F142</f>
        <v/>
      </c>
      <c r="H142">
        <f>EXP(Main_Effects_Mechanics!$G$11+Main_Effects_Mechanics!$G$12*F142+Main_Effects_Mechanics!$G$13*B142)</f>
        <v/>
      </c>
      <c r="I142">
        <f>LN(H142)</f>
        <v/>
      </c>
      <c r="J142">
        <f>EXP(Interaction_Mechanics!$H$12+Interaction_Mechanics!$H$13*F142+Interaction_Mechanics!$H$14*B142+Interaction_Mechanics!$H$15*G142)</f>
        <v/>
      </c>
      <c r="K142">
        <f>LN(J142)</f>
        <v/>
      </c>
      <c r="L142">
        <f>IF(C142="F",B142,NA())</f>
        <v/>
      </c>
      <c r="M142">
        <f>IF(C142="F",E142,NA())</f>
        <v/>
      </c>
      <c r="N142">
        <f>IF(C142="F",I142,NA())</f>
        <v/>
      </c>
      <c r="O142">
        <f>IF(C142="F",K142,NA())</f>
        <v/>
      </c>
      <c r="P142">
        <f>IF(C142="M",B142,NA())</f>
        <v/>
      </c>
      <c r="Q142">
        <f>IF(C142="M",E142,NA())</f>
        <v/>
      </c>
      <c r="R142">
        <f>IF(C142="M",I142,NA())</f>
        <v/>
      </c>
      <c r="S142">
        <f>IF(C142="M",K142,NA())</f>
        <v/>
      </c>
    </row>
    <row r="143">
      <c r="A143" t="n">
        <v>142</v>
      </c>
      <c r="B143" t="n">
        <v>103</v>
      </c>
      <c r="C143" t="inlineStr">
        <is>
          <t>M</t>
        </is>
      </c>
      <c r="D143" t="n">
        <v>350.02</v>
      </c>
      <c r="E143">
        <f>LN(D143)</f>
        <v/>
      </c>
      <c r="F143">
        <f>--(C143="M")</f>
        <v/>
      </c>
      <c r="G143">
        <f>B143*F143</f>
        <v/>
      </c>
      <c r="H143">
        <f>EXP(Main_Effects_Mechanics!$G$11+Main_Effects_Mechanics!$G$12*F143+Main_Effects_Mechanics!$G$13*B143)</f>
        <v/>
      </c>
      <c r="I143">
        <f>LN(H143)</f>
        <v/>
      </c>
      <c r="J143">
        <f>EXP(Interaction_Mechanics!$H$12+Interaction_Mechanics!$H$13*F143+Interaction_Mechanics!$H$14*B143+Interaction_Mechanics!$H$15*G143)</f>
        <v/>
      </c>
      <c r="K143">
        <f>LN(J143)</f>
        <v/>
      </c>
      <c r="L143">
        <f>IF(C143="F",B143,NA())</f>
        <v/>
      </c>
      <c r="M143">
        <f>IF(C143="F",E143,NA())</f>
        <v/>
      </c>
      <c r="N143">
        <f>IF(C143="F",I143,NA())</f>
        <v/>
      </c>
      <c r="O143">
        <f>IF(C143="F",K143,NA())</f>
        <v/>
      </c>
      <c r="P143">
        <f>IF(C143="M",B143,NA())</f>
        <v/>
      </c>
      <c r="Q143">
        <f>IF(C143="M",E143,NA())</f>
        <v/>
      </c>
      <c r="R143">
        <f>IF(C143="M",I143,NA())</f>
        <v/>
      </c>
      <c r="S143">
        <f>IF(C143="M",K143,NA())</f>
        <v/>
      </c>
    </row>
    <row r="144">
      <c r="A144" t="n">
        <v>143</v>
      </c>
      <c r="B144" t="n">
        <v>104</v>
      </c>
      <c r="C144" t="inlineStr">
        <is>
          <t>M</t>
        </is>
      </c>
      <c r="D144" t="n">
        <v>371.65</v>
      </c>
      <c r="E144">
        <f>LN(D144)</f>
        <v/>
      </c>
      <c r="F144">
        <f>--(C144="M")</f>
        <v/>
      </c>
      <c r="G144">
        <f>B144*F144</f>
        <v/>
      </c>
      <c r="H144">
        <f>EXP(Main_Effects_Mechanics!$G$11+Main_Effects_Mechanics!$G$12*F144+Main_Effects_Mechanics!$G$13*B144)</f>
        <v/>
      </c>
      <c r="I144">
        <f>LN(H144)</f>
        <v/>
      </c>
      <c r="J144">
        <f>EXP(Interaction_Mechanics!$H$12+Interaction_Mechanics!$H$13*F144+Interaction_Mechanics!$H$14*B144+Interaction_Mechanics!$H$15*G144)</f>
        <v/>
      </c>
      <c r="K144">
        <f>LN(J144)</f>
        <v/>
      </c>
      <c r="L144">
        <f>IF(C144="F",B144,NA())</f>
        <v/>
      </c>
      <c r="M144">
        <f>IF(C144="F",E144,NA())</f>
        <v/>
      </c>
      <c r="N144">
        <f>IF(C144="F",I144,NA())</f>
        <v/>
      </c>
      <c r="O144">
        <f>IF(C144="F",K144,NA())</f>
        <v/>
      </c>
      <c r="P144">
        <f>IF(C144="M",B144,NA())</f>
        <v/>
      </c>
      <c r="Q144">
        <f>IF(C144="M",E144,NA())</f>
        <v/>
      </c>
      <c r="R144">
        <f>IF(C144="M",I144,NA())</f>
        <v/>
      </c>
      <c r="S144">
        <f>IF(C144="M",K144,NA())</f>
        <v/>
      </c>
    </row>
    <row r="145">
      <c r="A145" t="n">
        <v>144</v>
      </c>
      <c r="B145" t="n">
        <v>105</v>
      </c>
      <c r="C145" t="inlineStr">
        <is>
          <t>M</t>
        </is>
      </c>
      <c r="D145" t="n">
        <v>392.79</v>
      </c>
      <c r="E145">
        <f>LN(D145)</f>
        <v/>
      </c>
      <c r="F145">
        <f>--(C145="M")</f>
        <v/>
      </c>
      <c r="G145">
        <f>B145*F145</f>
        <v/>
      </c>
      <c r="H145">
        <f>EXP(Main_Effects_Mechanics!$G$11+Main_Effects_Mechanics!$G$12*F145+Main_Effects_Mechanics!$G$13*B145)</f>
        <v/>
      </c>
      <c r="I145">
        <f>LN(H145)</f>
        <v/>
      </c>
      <c r="J145">
        <f>EXP(Interaction_Mechanics!$H$12+Interaction_Mechanics!$H$13*F145+Interaction_Mechanics!$H$14*B145+Interaction_Mechanics!$H$15*G145)</f>
        <v/>
      </c>
      <c r="K145">
        <f>LN(J145)</f>
        <v/>
      </c>
      <c r="L145">
        <f>IF(C145="F",B145,NA())</f>
        <v/>
      </c>
      <c r="M145">
        <f>IF(C145="F",E145,NA())</f>
        <v/>
      </c>
      <c r="N145">
        <f>IF(C145="F",I145,NA())</f>
        <v/>
      </c>
      <c r="O145">
        <f>IF(C145="F",K145,NA())</f>
        <v/>
      </c>
      <c r="P145">
        <f>IF(C145="M",B145,NA())</f>
        <v/>
      </c>
      <c r="Q145">
        <f>IF(C145="M",E145,NA())</f>
        <v/>
      </c>
      <c r="R145">
        <f>IF(C145="M",I145,NA())</f>
        <v/>
      </c>
      <c r="S145">
        <f>IF(C145="M",K145,NA())</f>
        <v/>
      </c>
    </row>
    <row r="146">
      <c r="A146" t="n">
        <v>145</v>
      </c>
      <c r="B146" t="n">
        <v>106</v>
      </c>
      <c r="C146" t="inlineStr">
        <is>
          <t>M</t>
        </is>
      </c>
      <c r="D146" t="n">
        <v>413.05</v>
      </c>
      <c r="E146">
        <f>LN(D146)</f>
        <v/>
      </c>
      <c r="F146">
        <f>--(C146="M")</f>
        <v/>
      </c>
      <c r="G146">
        <f>B146*F146</f>
        <v/>
      </c>
      <c r="H146">
        <f>EXP(Main_Effects_Mechanics!$G$11+Main_Effects_Mechanics!$G$12*F146+Main_Effects_Mechanics!$G$13*B146)</f>
        <v/>
      </c>
      <c r="I146">
        <f>LN(H146)</f>
        <v/>
      </c>
      <c r="J146">
        <f>EXP(Interaction_Mechanics!$H$12+Interaction_Mechanics!$H$13*F146+Interaction_Mechanics!$H$14*B146+Interaction_Mechanics!$H$15*G146)</f>
        <v/>
      </c>
      <c r="K146">
        <f>LN(J146)</f>
        <v/>
      </c>
      <c r="L146">
        <f>IF(C146="F",B146,NA())</f>
        <v/>
      </c>
      <c r="M146">
        <f>IF(C146="F",E146,NA())</f>
        <v/>
      </c>
      <c r="N146">
        <f>IF(C146="F",I146,NA())</f>
        <v/>
      </c>
      <c r="O146">
        <f>IF(C146="F",K146,NA())</f>
        <v/>
      </c>
      <c r="P146">
        <f>IF(C146="M",B146,NA())</f>
        <v/>
      </c>
      <c r="Q146">
        <f>IF(C146="M",E146,NA())</f>
        <v/>
      </c>
      <c r="R146">
        <f>IF(C146="M",I146,NA())</f>
        <v/>
      </c>
      <c r="S146">
        <f>IF(C146="M",K146,NA())</f>
        <v/>
      </c>
    </row>
    <row r="147">
      <c r="A147" t="n">
        <v>146</v>
      </c>
      <c r="B147" t="n">
        <v>107</v>
      </c>
      <c r="C147" t="inlineStr">
        <is>
          <t>M</t>
        </is>
      </c>
      <c r="D147" t="n">
        <v>432.08</v>
      </c>
      <c r="E147">
        <f>LN(D147)</f>
        <v/>
      </c>
      <c r="F147">
        <f>--(C147="M")</f>
        <v/>
      </c>
      <c r="G147">
        <f>B147*F147</f>
        <v/>
      </c>
      <c r="H147">
        <f>EXP(Main_Effects_Mechanics!$G$11+Main_Effects_Mechanics!$G$12*F147+Main_Effects_Mechanics!$G$13*B147)</f>
        <v/>
      </c>
      <c r="I147">
        <f>LN(H147)</f>
        <v/>
      </c>
      <c r="J147">
        <f>EXP(Interaction_Mechanics!$H$12+Interaction_Mechanics!$H$13*F147+Interaction_Mechanics!$H$14*B147+Interaction_Mechanics!$H$15*G147)</f>
        <v/>
      </c>
      <c r="K147">
        <f>LN(J147)</f>
        <v/>
      </c>
      <c r="L147">
        <f>IF(C147="F",B147,NA())</f>
        <v/>
      </c>
      <c r="M147">
        <f>IF(C147="F",E147,NA())</f>
        <v/>
      </c>
      <c r="N147">
        <f>IF(C147="F",I147,NA())</f>
        <v/>
      </c>
      <c r="O147">
        <f>IF(C147="F",K147,NA())</f>
        <v/>
      </c>
      <c r="P147">
        <f>IF(C147="M",B147,NA())</f>
        <v/>
      </c>
      <c r="Q147">
        <f>IF(C147="M",E147,NA())</f>
        <v/>
      </c>
      <c r="R147">
        <f>IF(C147="M",I147,NA())</f>
        <v/>
      </c>
      <c r="S147">
        <f>IF(C147="M",K147,NA())</f>
        <v/>
      </c>
    </row>
    <row r="148">
      <c r="A148" t="n">
        <v>147</v>
      </c>
      <c r="B148" t="n">
        <v>108</v>
      </c>
      <c r="C148" t="inlineStr">
        <is>
          <t>M</t>
        </is>
      </c>
      <c r="D148" t="n">
        <v>449.51</v>
      </c>
      <c r="E148">
        <f>LN(D148)</f>
        <v/>
      </c>
      <c r="F148">
        <f>--(C148="M")</f>
        <v/>
      </c>
      <c r="G148">
        <f>B148*F148</f>
        <v/>
      </c>
      <c r="H148">
        <f>EXP(Main_Effects_Mechanics!$G$11+Main_Effects_Mechanics!$G$12*F148+Main_Effects_Mechanics!$G$13*B148)</f>
        <v/>
      </c>
      <c r="I148">
        <f>LN(H148)</f>
        <v/>
      </c>
      <c r="J148">
        <f>EXP(Interaction_Mechanics!$H$12+Interaction_Mechanics!$H$13*F148+Interaction_Mechanics!$H$14*B148+Interaction_Mechanics!$H$15*G148)</f>
        <v/>
      </c>
      <c r="K148">
        <f>LN(J148)</f>
        <v/>
      </c>
      <c r="L148">
        <f>IF(C148="F",B148,NA())</f>
        <v/>
      </c>
      <c r="M148">
        <f>IF(C148="F",E148,NA())</f>
        <v/>
      </c>
      <c r="N148">
        <f>IF(C148="F",I148,NA())</f>
        <v/>
      </c>
      <c r="O148">
        <f>IF(C148="F",K148,NA())</f>
        <v/>
      </c>
      <c r="P148">
        <f>IF(C148="M",B148,NA())</f>
        <v/>
      </c>
      <c r="Q148">
        <f>IF(C148="M",E148,NA())</f>
        <v/>
      </c>
      <c r="R148">
        <f>IF(C148="M",I148,NA())</f>
        <v/>
      </c>
      <c r="S148">
        <f>IF(C148="M",K148,NA())</f>
        <v/>
      </c>
    </row>
    <row r="149">
      <c r="A149" t="n">
        <v>148</v>
      </c>
      <c r="B149" t="n">
        <v>109</v>
      </c>
      <c r="C149" t="inlineStr">
        <is>
          <t>M</t>
        </is>
      </c>
      <c r="D149" t="n">
        <v>464.98</v>
      </c>
      <c r="E149">
        <f>LN(D149)</f>
        <v/>
      </c>
      <c r="F149">
        <f>--(C149="M")</f>
        <v/>
      </c>
      <c r="G149">
        <f>B149*F149</f>
        <v/>
      </c>
      <c r="H149">
        <f>EXP(Main_Effects_Mechanics!$G$11+Main_Effects_Mechanics!$G$12*F149+Main_Effects_Mechanics!$G$13*B149)</f>
        <v/>
      </c>
      <c r="I149">
        <f>LN(H149)</f>
        <v/>
      </c>
      <c r="J149">
        <f>EXP(Interaction_Mechanics!$H$12+Interaction_Mechanics!$H$13*F149+Interaction_Mechanics!$H$14*B149+Interaction_Mechanics!$H$15*G149)</f>
        <v/>
      </c>
      <c r="K149">
        <f>LN(J149)</f>
        <v/>
      </c>
      <c r="L149">
        <f>IF(C149="F",B149,NA())</f>
        <v/>
      </c>
      <c r="M149">
        <f>IF(C149="F",E149,NA())</f>
        <v/>
      </c>
      <c r="N149">
        <f>IF(C149="F",I149,NA())</f>
        <v/>
      </c>
      <c r="O149">
        <f>IF(C149="F",K149,NA())</f>
        <v/>
      </c>
      <c r="P149">
        <f>IF(C149="M",B149,NA())</f>
        <v/>
      </c>
      <c r="Q149">
        <f>IF(C149="M",E149,NA())</f>
        <v/>
      </c>
      <c r="R149">
        <f>IF(C149="M",I149,NA())</f>
        <v/>
      </c>
      <c r="S149">
        <f>IF(C149="M",K149,NA())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t="inlineStr">
        <is>
          <t>Chunk 2 model: log(actual) ~ 1 + sex_M + age</t>
        </is>
      </c>
    </row>
    <row r="3">
      <c r="A3" t="inlineStr">
        <is>
          <t>X'X</t>
        </is>
      </c>
      <c r="F3" t="inlineStr">
        <is>
          <t>X'y (y=log_actual)</t>
        </is>
      </c>
    </row>
    <row r="4">
      <c r="B4" t="inlineStr">
        <is>
          <t>Intercept</t>
        </is>
      </c>
      <c r="C4" t="inlineStr">
        <is>
          <t>sex_M</t>
        </is>
      </c>
      <c r="D4" t="inlineStr">
        <is>
          <t>age</t>
        </is>
      </c>
      <c r="F4" t="inlineStr">
        <is>
          <t>vector</t>
        </is>
      </c>
    </row>
    <row r="5">
      <c r="B5">
        <f>COUNT(Data!A2:A149)</f>
        <v/>
      </c>
      <c r="C5">
        <f>SUM(Data!F2:F149)</f>
        <v/>
      </c>
      <c r="D5">
        <f>SUM(Data!B2:B149)</f>
        <v/>
      </c>
      <c r="F5">
        <f>SUM(Data!E2:E149)</f>
        <v/>
      </c>
    </row>
    <row r="6">
      <c r="B6">
        <f>SUM(Data!F2:F149)</f>
        <v/>
      </c>
      <c r="C6">
        <f>SUMPRODUCT(Data!F2:F149,Data!F2:F149)</f>
        <v/>
      </c>
      <c r="D6">
        <f>SUMPRODUCT(Data!F2:F149,Data!B2:B149)</f>
        <v/>
      </c>
      <c r="F6">
        <f>SUMPRODUCT(Data!F2:F149,Data!E2:E149)</f>
        <v/>
      </c>
    </row>
    <row r="7">
      <c r="B7">
        <f>SUM(Data!B2:B149)</f>
        <v/>
      </c>
      <c r="C7">
        <f>SUMPRODUCT(Data!F2:F149,Data!B2:B149)</f>
        <v/>
      </c>
      <c r="D7">
        <f>SUMPRODUCT(Data!B2:B149,Data!B2:B149)</f>
        <v/>
      </c>
      <c r="F7">
        <f>SUMPRODUCT(Data!B2:B149,Data!E2:E149)</f>
        <v/>
      </c>
    </row>
    <row r="10">
      <c r="B10" t="inlineStr">
        <is>
          <t>inv(X'X)</t>
        </is>
      </c>
      <c r="G10" t="inlineStr">
        <is>
          <t>beta_main</t>
        </is>
      </c>
    </row>
    <row r="11">
      <c r="B11">
        <f t="array" ref="B11:D13">MINVERSE(B5:D7)</f>
        <v/>
      </c>
      <c r="G11">
        <f>MMULT(B11:D13,F5:F7)</f>
        <v/>
      </c>
    </row>
    <row r="12">
      <c r="G12">
        <f>MMULT(B12:D12,F5:F7)</f>
        <v/>
      </c>
    </row>
    <row r="13">
      <c r="G13">
        <f>MMULT(B13:D13,F5:F7)</f>
        <v/>
      </c>
    </row>
    <row r="16">
      <c r="A16" t="inlineStr">
        <is>
          <t>SSE_log_main</t>
        </is>
      </c>
      <c r="B16">
        <f>SUMXMY2(Data!E2:E149,Data!I2:I149)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Chunk 3 model: log(actual) ~ 1 + sex_M + age + sex_M*age</t>
        </is>
      </c>
    </row>
    <row r="3">
      <c r="A3" t="inlineStr">
        <is>
          <t>X'X</t>
        </is>
      </c>
      <c r="G3" t="inlineStr">
        <is>
          <t>X'y (y=log_actual)</t>
        </is>
      </c>
    </row>
    <row r="4">
      <c r="B4" t="inlineStr">
        <is>
          <t>Intercept</t>
        </is>
      </c>
      <c r="C4" t="inlineStr">
        <is>
          <t>sex_M</t>
        </is>
      </c>
      <c r="D4" t="inlineStr">
        <is>
          <t>age</t>
        </is>
      </c>
      <c r="E4" t="inlineStr">
        <is>
          <t>sex_age</t>
        </is>
      </c>
      <c r="G4" t="inlineStr">
        <is>
          <t>vector</t>
        </is>
      </c>
    </row>
    <row r="5">
      <c r="B5">
        <f>COUNT(Data!A2:A149)</f>
        <v/>
      </c>
      <c r="C5">
        <f>SUM(Data!F2:F149)</f>
        <v/>
      </c>
      <c r="D5">
        <f>SUM(Data!B2:B149)</f>
        <v/>
      </c>
      <c r="E5">
        <f>SUM(Data!G2:G149)</f>
        <v/>
      </c>
      <c r="G5">
        <f>SUM(Data!E2:E149)</f>
        <v/>
      </c>
    </row>
    <row r="6">
      <c r="B6">
        <f>SUM(Data!F2:F149)</f>
        <v/>
      </c>
      <c r="C6">
        <f>SUMPRODUCT(Data!F2:F149,Data!F2:F149)</f>
        <v/>
      </c>
      <c r="D6">
        <f>SUMPRODUCT(Data!F2:F149,Data!B2:B149)</f>
        <v/>
      </c>
      <c r="E6">
        <f>SUMPRODUCT(Data!F2:F149,Data!G2:G149)</f>
        <v/>
      </c>
      <c r="G6">
        <f>SUMPRODUCT(Data!F2:F149,Data!E2:E149)</f>
        <v/>
      </c>
    </row>
    <row r="7">
      <c r="B7">
        <f>SUM(Data!B2:B149)</f>
        <v/>
      </c>
      <c r="C7">
        <f>SUMPRODUCT(Data!B2:B149,Data!F2:F149)</f>
        <v/>
      </c>
      <c r="D7">
        <f>SUMPRODUCT(Data!B2:B149,Data!B2:B149)</f>
        <v/>
      </c>
      <c r="E7">
        <f>SUMPRODUCT(Data!B2:B149,Data!G2:G149)</f>
        <v/>
      </c>
      <c r="G7">
        <f>SUMPRODUCT(Data!B2:B149,Data!E2:E149)</f>
        <v/>
      </c>
    </row>
    <row r="8">
      <c r="B8">
        <f>SUM(Data!G2:G149)</f>
        <v/>
      </c>
      <c r="C8">
        <f>SUMPRODUCT(Data!G2:G149,Data!F2:F149)</f>
        <v/>
      </c>
      <c r="D8">
        <f>SUMPRODUCT(Data!G2:G149,Data!B2:B149)</f>
        <v/>
      </c>
      <c r="E8">
        <f>SUMPRODUCT(Data!G2:G149,Data!G2:G149)</f>
        <v/>
      </c>
      <c r="G8">
        <f>SUMPRODUCT(Data!G2:G149,Data!E2:E149)</f>
        <v/>
      </c>
    </row>
    <row r="11">
      <c r="B11" t="inlineStr">
        <is>
          <t>inv(X'X)</t>
        </is>
      </c>
      <c r="H11" t="inlineStr">
        <is>
          <t>beta_interact</t>
        </is>
      </c>
    </row>
    <row r="12">
      <c r="B12">
        <f t="array" ref="B12:E15">MINVERSE(B5:E8)</f>
        <v/>
      </c>
      <c r="H12">
        <f>MMULT(B12:E12,G5:G8)</f>
        <v/>
      </c>
    </row>
    <row r="13">
      <c r="H13">
        <f>MMULT(B13:E13,G5:G8)</f>
        <v/>
      </c>
    </row>
    <row r="14">
      <c r="H14">
        <f>MMULT(B14:E14,G5:G8)</f>
        <v/>
      </c>
    </row>
    <row r="15">
      <c r="H15">
        <f>MMULT(B15:E15,G5:G8)</f>
        <v/>
      </c>
    </row>
    <row r="18">
      <c r="A18" t="inlineStr">
        <is>
          <t>SSE_log_interact</t>
        </is>
      </c>
      <c r="B18">
        <f>SUMXMY2(Data!E2:E149,Data!K2:K149)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>
        <f>COUNT(Data!A2:A149)</f>
        <v/>
      </c>
    </row>
    <row r="3">
      <c r="A3" t="inlineStr">
        <is>
          <t>k_main</t>
        </is>
      </c>
      <c r="B3" t="n">
        <v>3</v>
      </c>
    </row>
    <row r="4">
      <c r="A4" t="inlineStr">
        <is>
          <t>k_interact</t>
        </is>
      </c>
      <c r="B4" t="n">
        <v>4</v>
      </c>
    </row>
    <row r="5">
      <c r="A5" t="inlineStr">
        <is>
          <t>SSE_log_main</t>
        </is>
      </c>
      <c r="B5">
        <f>Main_Effects_Mechanics!B16</f>
        <v/>
      </c>
    </row>
    <row r="6">
      <c r="A6" t="inlineStr">
        <is>
          <t>SSE_log_interact</t>
        </is>
      </c>
      <c r="B6">
        <f>Interaction_Mechanics!B18</f>
        <v/>
      </c>
    </row>
    <row r="7">
      <c r="A7" t="inlineStr">
        <is>
          <t>AIC_proxy_main</t>
        </is>
      </c>
      <c r="B7">
        <f>B2*LN(B5/B2)+2*B3</f>
        <v/>
      </c>
    </row>
    <row r="8">
      <c r="A8" t="inlineStr">
        <is>
          <t>AIC_proxy_interact</t>
        </is>
      </c>
      <c r="B8">
        <f>B2*LN(B6/B2)+2*B4</f>
        <v/>
      </c>
    </row>
    <row r="9">
      <c r="A9" t="inlineStr">
        <is>
          <t>Delta_AIC_proxy (interact-main)</t>
        </is>
      </c>
      <c r="B9">
        <f>B8-B7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cols>
    <col width="43" customWidth="1" min="1" max="1"/>
  </cols>
  <sheetData>
    <row r="1">
      <c r="A1" t="inlineStr">
        <is>
          <t>Chunk 1 parity: log(actual) vs age by sex</t>
        </is>
      </c>
    </row>
    <row r="20">
      <c r="A20" t="inlineStr">
        <is>
          <t>Chunk 2 parity: log(pred_main_only) + log(actual)</t>
        </is>
      </c>
    </row>
    <row r="39">
      <c r="A39" t="inlineStr">
        <is>
          <t>Chunk 3 parity: log(pred_interact) + log(actual)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2026-03-21T10:33:28Z</dcterms:created>
  <dcterms:modified xmlns:dcterms="http://purl.org/dc/terms/" xmlns:xsi="http://www.w3.org/2001/XMLSchema-instance" xsi:type="dcterms:W3CDTF">2026-03-21T10:33:28Z</dcterms:modified>
</cp:coreProperties>
</file>