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mulated_Splits" sheetId="2" state="visible" r:id="rId2"/>
    <sheet xmlns:r="http://schemas.openxmlformats.org/officeDocument/2006/relationships" name="BreastCancer_Data" sheetId="3" state="visible" r:id="rId3"/>
    <sheet xmlns:r="http://schemas.openxmlformats.org/officeDocument/2006/relationships" name="Front_Input" sheetId="4" state="visible" r:id="rId4"/>
    <sheet xmlns:r="http://schemas.openxmlformats.org/officeDocument/2006/relationships" name="DTTable" sheetId="5" state="visible" r:id="rId5"/>
    <sheet xmlns:r="http://schemas.openxmlformats.org/officeDocument/2006/relationships" name="Validation_Scoring" sheetId="6" state="visible" r:id="rId6"/>
    <sheet xmlns:r="http://schemas.openxmlformats.org/officeDocument/2006/relationships" name="Confusion_Metrics" sheetId="7" state="visible" r:id="rId7"/>
    <sheet xmlns:r="http://schemas.openxmlformats.org/officeDocument/2006/relationships" name="CP_Prune_Mechanics" sheetId="8" state="visible" r:id="rId8"/>
    <sheet xmlns:r="http://schemas.openxmlformats.org/officeDocument/2006/relationships" name="German_Data" sheetId="9" state="visible" r:id="rId9"/>
    <sheet xmlns:r="http://schemas.openxmlformats.org/officeDocument/2006/relationships" name="German_Tree_Mechanics" sheetId="10" state="visible" r:id="rId10"/>
    <sheet xmlns:r="http://schemas.openxmlformats.org/officeDocument/2006/relationships" name="German_Caret_Tuning" sheetId="11" state="visible" r:id="rId11"/>
    <sheet xmlns:r="http://schemas.openxmlformats.org/officeDocument/2006/relationships" name="AutoClaim_Data" sheetId="12" state="visible" r:id="rId12"/>
    <sheet xmlns:r="http://schemas.openxmlformats.org/officeDocument/2006/relationships" name="AutoClaim_Tree" sheetId="13" state="visible" r:id="rId13"/>
    <sheet xmlns:r="http://schemas.openxmlformats.org/officeDocument/2006/relationships" name="AutoClaim_Caret_CV" sheetId="14" state="visible" r:id="rId14"/>
    <sheet xmlns:r="http://schemas.openxmlformats.org/officeDocument/2006/relationships" name="DT2_Summary_Parity" sheetId="15" state="visible" r:id="rId15"/>
    <sheet xmlns:r="http://schemas.openxmlformats.org/officeDocument/2006/relationships" name="Tree_Visu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Exercise 5.1.1/5.1.2 Split Regions</a:t>
            </a:r>
          </a:p>
        </rich>
      </tx>
    </title>
    <plotArea>
      <scatterChart>
        <ser>
          <idx val="0"/>
          <order val="0"/>
          <tx>
            <v>Red region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'Simulated_Splits'!$I$2:$I$501</f>
            </numRef>
          </xVal>
          <yVal>
            <numRef>
              <f>'Simulated_Splits'!$J$2:$J$501</f>
            </numRef>
          </yVal>
        </ser>
        <ser>
          <idx val="1"/>
          <order val="1"/>
          <tx>
            <v>Black region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'Simulated_Splits'!$K$2:$K$501</f>
            </numRef>
          </xVal>
          <yVal>
            <numRef>
              <f>'Simulated_Splits'!$L$2:$L$501</f>
            </numRef>
          </yVal>
        </ser>
        <ser>
          <idx val="2"/>
          <order val="2"/>
          <tx>
            <v>split_2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'Simulated_Splits'!$N$2:$N$3</f>
            </numRef>
          </xVal>
          <yVal>
            <numRef>
              <f>'Simulated_Splits'!$O$2:$O$3</f>
            </numRef>
          </yVal>
        </ser>
        <ser>
          <idx val="3"/>
          <order val="3"/>
          <tx>
            <v>split_5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'Simulated_Splits'!$N$5:$N$6</f>
            </numRef>
          </xVal>
          <yVal>
            <numRef>
              <f>'Simulated_Splits'!$O$5:$O$6</f>
            </numRef>
          </yVal>
        </ser>
        <ser>
          <idx val="4"/>
          <order val="4"/>
          <tx>
            <v>split_8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'Simulated_Splits'!$N$8:$N$9</f>
            </numRef>
          </xVal>
          <yVal>
            <numRef>
              <f>'Simulated_Splits'!$O$8:$O$9</f>
            </numRef>
          </yVal>
        </ser>
        <axId val="10"/>
        <axId val="20"/>
      </scatterChart>
      <valAx>
        <axId val="1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x1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Confusion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'Confusion_Metrics'!B1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'Confusion_Metrics'!$A$2:$A$5</f>
            </numRef>
          </cat>
          <val>
            <numRef>
              <f>'Confusion_Metrics'!$B$2:$B$5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 (DT2 variance reduction proxy)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'Confusion_Metrics'!I1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'Confusion_Metrics'!$H$2:$H$19</f>
            </numRef>
          </cat>
          <val>
            <numRef>
              <f>'Confusion_Metrics'!$I$2:$I$19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xerror Proxy vs Tree Complexity</a:t>
            </a:r>
          </a:p>
        </rich>
      </tx>
    </title>
    <plotArea>
      <lineChart>
        <grouping val="standard"/>
        <ser>
          <idx val="0"/>
          <order val="0"/>
          <tx>
            <strRef>
              <f>'CP_Prune_Mechanics'!C1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'CP_Prune_Mechanics'!$B$2:$B$4</f>
            </numRef>
          </cat>
          <val>
            <numRef>
              <f>'CP_Prune_Mechanics'!$C$2:$C$4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 Credit Confusion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'German_Tree_Mechanics'!$L$1:$L$4</f>
            </numRef>
          </cat>
          <val>
            <numRef>
              <f>'German_Tree_Mechanics'!$M$1:$M$4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 caret-style cp tuning</a:t>
            </a:r>
          </a:p>
        </rich>
      </tx>
    </title>
    <plotArea>
      <lineChart>
        <grouping val="standard"/>
        <ser>
          <idx val="0"/>
          <order val="0"/>
          <tx>
            <strRef>
              <f>'German_Caret_Tuning'!B1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'German_Caret_Tuning'!$A$2:$A$22</f>
            </numRef>
          </cat>
          <val>
            <numRef>
              <f>'German_Caret_Tuning'!$B$2:$B$22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AutoClaim model RMSE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'AutoClaim_Tree'!M5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'AutoClaim_Tree'!$L$6:$L$8</f>
            </numRef>
          </cat>
          <val>
            <numRef>
              <f>'AutoClaim_Tree'!$M$6:$M$8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AutoClaim caret-style CV RMSE vs cp</a:t>
            </a:r>
          </a:p>
        </rich>
      </tx>
    </title>
    <plotArea>
      <lineChart>
        <grouping val="standard"/>
        <ser>
          <idx val="0"/>
          <order val="0"/>
          <tx>
            <strRef>
              <f>'AutoClaim_Caret_CV'!B1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'AutoClaim_Caret_CV'!$A$2:$A$12</f>
            </numRef>
          </cat>
          <val>
            <numRef>
              <f>'AutoClaim_Caret_CV'!$B$2:$B$12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dt2 cptable-style xerror curve</a:t>
            </a:r>
          </a:p>
        </rich>
      </tx>
    </title>
    <plotArea>
      <lineChart>
        <grouping val="standard"/>
        <ser>
          <idx val="0"/>
          <order val="0"/>
          <tx>
            <strRef>
              <f>'DT2_Summary_Parity'!D7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'DT2_Summary_Parity'!$B$8:$B$63</f>
            </numRef>
          </cat>
          <val>
            <numRef>
              <f>'DT2_Summary_Parity'!$D$8:$D$63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Breast dt1 (unpruned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'Tree_Visuals'!$A$60:$A$61</f>
            </numRef>
          </xVal>
          <yVal>
            <numRef>
              <f>'Tree_Visuals'!$B$60:$B$61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'Tree_Visuals'!$A$63:$A$64</f>
            </numRef>
          </xVal>
          <yVal>
            <numRef>
              <f>'Tree_Visuals'!$B$63:$B$64</f>
            </numRef>
          </yVal>
        </ser>
        <ser>
          <idx val="2"/>
          <order val="2"/>
          <tx>
            <v>e_1_3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'Tree_Visuals'!$A$66:$A$67</f>
            </numRef>
          </xVal>
          <yVal>
            <numRef>
              <f>'Tree_Visuals'!$B$66:$B$67</f>
            </numRef>
          </yVal>
        </ser>
        <ser>
          <idx val="3"/>
          <order val="3"/>
          <tx>
            <v>e_1_4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'Tree_Visuals'!$A$69:$A$70</f>
            </numRef>
          </xVal>
          <yVal>
            <numRef>
              <f>'Tree_Visuals'!$B$69:$B$70</f>
            </numRef>
          </yVal>
        </ser>
        <ser>
          <idx val="4"/>
          <order val="4"/>
          <tx>
            <v>e_2_5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'Tree_Visuals'!$A$72:$A$73</f>
            </numRef>
          </xVal>
          <yVal>
            <numRef>
              <f>'Tree_Visuals'!$B$72:$B$73</f>
            </numRef>
          </yVal>
        </ser>
        <ser>
          <idx val="5"/>
          <order val="5"/>
          <tx>
            <v>e_2_6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'Tree_Visuals'!$A$75:$A$76</f>
            </numRef>
          </xVal>
          <yVal>
            <numRef>
              <f>'Tree_Visuals'!$B$75:$B$76</f>
            </numRef>
          </yVal>
        </ser>
        <ser>
          <idx val="6"/>
          <order val="6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'Tree_Visuals'!$D$60:$D$66</f>
            </numRef>
          </xVal>
          <yVal>
            <numRef>
              <f>'Tree_Visuals'!$E$60:$E$66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Breast pdt1 (pruned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'Tree_Visuals'!$J$60:$J$61</f>
            </numRef>
          </xVal>
          <yVal>
            <numRef>
              <f>'Tree_Visuals'!$K$60:$K$61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'Tree_Visuals'!$J$63:$J$64</f>
            </numRef>
          </xVal>
          <yVal>
            <numRef>
              <f>'Tree_Visuals'!$K$63:$K$64</f>
            </numRef>
          </yVal>
        </ser>
        <ser>
          <idx val="2"/>
          <order val="2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'Tree_Visuals'!$M$60:$M$62</f>
            </numRef>
          </xVal>
          <yVal>
            <numRef>
              <f>'Tree_Visuals'!$N$60:$N$62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 tree (unpruned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'Tree_Visuals'!$A$110:$A$111</f>
            </numRef>
          </xVal>
          <yVal>
            <numRef>
              <f>'Tree_Visuals'!$B$110:$B$111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'Tree_Visuals'!$A$113:$A$114</f>
            </numRef>
          </xVal>
          <yVal>
            <numRef>
              <f>'Tree_Visuals'!$B$113:$B$114</f>
            </numRef>
          </yVal>
        </ser>
        <ser>
          <idx val="2"/>
          <order val="2"/>
          <tx>
            <v>e_1_3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'Tree_Visuals'!$A$116:$A$117</f>
            </numRef>
          </xVal>
          <yVal>
            <numRef>
              <f>'Tree_Visuals'!$B$116:$B$117</f>
            </numRef>
          </yVal>
        </ser>
        <ser>
          <idx val="3"/>
          <order val="3"/>
          <tx>
            <v>e_1_4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'Tree_Visuals'!$A$119:$A$120</f>
            </numRef>
          </xVal>
          <yVal>
            <numRef>
              <f>'Tree_Visuals'!$B$119:$B$120</f>
            </numRef>
          </yVal>
        </ser>
        <ser>
          <idx val="4"/>
          <order val="4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'Tree_Visuals'!$D$110:$D$114</f>
            </numRef>
          </xVal>
          <yVal>
            <numRef>
              <f>'Tree_Visuals'!$E$110:$E$114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 caret final (pruned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'Tree_Visuals'!$J$110:$J$111</f>
            </numRef>
          </xVal>
          <yVal>
            <numRef>
              <f>'Tree_Visuals'!$K$110:$K$111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'Tree_Visuals'!$J$113:$J$114</f>
            </numRef>
          </xVal>
          <yVal>
            <numRef>
              <f>'Tree_Visuals'!$K$113:$K$114</f>
            </numRef>
          </yVal>
        </ser>
        <ser>
          <idx val="2"/>
          <order val="2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'Tree_Visuals'!$M$110:$M$112</f>
            </numRef>
          </xVal>
          <yVal>
            <numRef>
              <f>'Tree_Visuals'!$N$110:$N$112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AutoClaim dt2 (unpruned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'Tree_Visuals'!$A$160:$A$161</f>
            </numRef>
          </xVal>
          <yVal>
            <numRef>
              <f>'Tree_Visuals'!$B$160:$B$161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'Tree_Visuals'!$A$163:$A$164</f>
            </numRef>
          </xVal>
          <yVal>
            <numRef>
              <f>'Tree_Visuals'!$B$163:$B$164</f>
            </numRef>
          </yVal>
        </ser>
        <ser>
          <idx val="2"/>
          <order val="2"/>
          <tx>
            <v>e_1_3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'Tree_Visuals'!$A$166:$A$167</f>
            </numRef>
          </xVal>
          <yVal>
            <numRef>
              <f>'Tree_Visuals'!$B$166:$B$167</f>
            </numRef>
          </yVal>
        </ser>
        <ser>
          <idx val="3"/>
          <order val="3"/>
          <tx>
            <v>e_1_4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'Tree_Visuals'!$A$169:$A$170</f>
            </numRef>
          </xVal>
          <yVal>
            <numRef>
              <f>'Tree_Visuals'!$B$169:$B$170</f>
            </numRef>
          </yVal>
        </ser>
        <ser>
          <idx val="4"/>
          <order val="4"/>
          <tx>
            <v>e_2_5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'Tree_Visuals'!$A$172:$A$173</f>
            </numRef>
          </xVal>
          <yVal>
            <numRef>
              <f>'Tree_Visuals'!$B$172:$B$173</f>
            </numRef>
          </yVal>
        </ser>
        <ser>
          <idx val="5"/>
          <order val="5"/>
          <tx>
            <v>e_2_6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'Tree_Visuals'!$A$175:$A$176</f>
            </numRef>
          </xVal>
          <yVal>
            <numRef>
              <f>'Tree_Visuals'!$B$175:$B$176</f>
            </numRef>
          </yVal>
        </ser>
        <ser>
          <idx val="6"/>
          <order val="6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'Tree_Visuals'!$D$160:$D$166</f>
            </numRef>
          </xVal>
          <yVal>
            <numRef>
              <f>'Tree_Visuals'!$E$160:$E$166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AutoClaim pdt2/caret1 (pruned proxy)</a:t>
            </a:r>
          </a:p>
        </rich>
      </tx>
    </title>
    <plotArea>
      <scatterChart>
        <ser>
          <idx val="0"/>
          <order val="0"/>
          <tx>
            <v>e_0_1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'Tree_Visuals'!$J$160:$J$161</f>
            </numRef>
          </xVal>
          <yVal>
            <numRef>
              <f>'Tree_Visuals'!$K$160:$K$161</f>
            </numRef>
          </yVal>
        </ser>
        <ser>
          <idx val="1"/>
          <order val="1"/>
          <tx>
            <v>e_0_2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'Tree_Visuals'!$J$163:$J$164</f>
            </numRef>
          </xVal>
          <yVal>
            <numRef>
              <f>'Tree_Visuals'!$K$163:$K$164</f>
            </numRef>
          </yVal>
        </ser>
        <ser>
          <idx val="2"/>
          <order val="2"/>
          <tx>
            <v>nodes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'Tree_Visuals'!$M$160:$M$162</f>
            </numRef>
          </xVal>
          <yVal>
            <numRef>
              <f>'Tree_Visuals'!$N$160:$N$162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width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72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38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Simulated_Splits</t>
        </is>
      </c>
      <c r="B2" t="inlineStr">
        <is>
          <t>Chunk 1-6 style split-mechanics visuals and formulas.</t>
        </is>
      </c>
    </row>
    <row r="3">
      <c r="A3" t="inlineStr">
        <is>
          <t>BreastCancer_Data</t>
        </is>
      </c>
      <c r="B3" t="inlineStr">
        <is>
          <t>Training/validation data with all tree features.</t>
        </is>
      </c>
    </row>
    <row r="4">
      <c r="A4" t="inlineStr">
        <is>
          <t>Front_Input</t>
        </is>
      </c>
      <c r="B4" t="inlineStr">
        <is>
          <t>Manual what-if input panel like the original workbook.</t>
        </is>
      </c>
    </row>
    <row r="5">
      <c r="A5" t="inlineStr">
        <is>
          <t>DTTable</t>
        </is>
      </c>
      <c r="B5" t="inlineStr">
        <is>
          <t>Decision table with leaf rules and formulas.</t>
        </is>
      </c>
    </row>
    <row r="6">
      <c r="A6" t="inlineStr">
        <is>
          <t>Validation_Scoring</t>
        </is>
      </c>
      <c r="B6" t="inlineStr">
        <is>
          <t>Row-level rule evaluation and predictions via formulas only.</t>
        </is>
      </c>
    </row>
    <row r="7">
      <c r="A7" t="inlineStr">
        <is>
          <t>Confusion_Metrics</t>
        </is>
      </c>
      <c r="B7" t="inlineStr">
        <is>
          <t>Confusion matrix, accuracy, precision, recall, F1 with charts.</t>
        </is>
      </c>
    </row>
    <row r="8">
      <c r="A8" t="inlineStr">
        <is>
          <t>CP_Prune_Mechanics</t>
        </is>
      </c>
      <c r="B8" t="inlineStr">
        <is>
          <t>Root/stump/full xerror mechanics and cp-style curve.</t>
        </is>
      </c>
    </row>
    <row r="9">
      <c r="A9" t="inlineStr">
        <is>
          <t>German_Data</t>
        </is>
      </c>
      <c r="B9" t="inlineStr">
        <is>
          <t>Chunk 7/20 German credit dataset with recoded target.</t>
        </is>
      </c>
    </row>
    <row r="10">
      <c r="A10" t="inlineStr">
        <is>
          <t>German_Tree_Mechanics</t>
        </is>
      </c>
      <c r="B10" t="inlineStr">
        <is>
          <t>Chunk 7/20 tree-style rules, confusion and accuracy formulas.</t>
        </is>
      </c>
    </row>
    <row r="11">
      <c r="A11" t="inlineStr">
        <is>
          <t>German_Caret_Tuning</t>
        </is>
      </c>
      <c r="B11" t="inlineStr">
        <is>
          <t>Chunk 22/23 caret-style cp tuning curve and predicted probabilities.</t>
        </is>
      </c>
    </row>
    <row r="12">
      <c r="A12" t="inlineStr">
        <is>
          <t>AutoClaim_Data</t>
        </is>
      </c>
      <c r="B12" t="inlineStr">
        <is>
          <t>Chunk 15 cleaned AutoClaim with train/validation split.</t>
        </is>
      </c>
    </row>
    <row r="13">
      <c r="A13" t="inlineStr">
        <is>
          <t>AutoClaim_Tree</t>
        </is>
      </c>
      <c r="B13" t="inlineStr">
        <is>
          <t>Chunk 16-18 regression-tree-style formula mechanics and prune proxies.</t>
        </is>
      </c>
    </row>
    <row r="14">
      <c r="A14" t="inlineStr">
        <is>
          <t>AutoClaim_Caret_CV</t>
        </is>
      </c>
      <c r="B14" t="inlineStr">
        <is>
          <t>Chunk 19 caret CV/tuneGrid-style RMSE curve (formula mechanics).</t>
        </is>
      </c>
    </row>
    <row r="15">
      <c r="A15" t="inlineStr">
        <is>
          <t>Tree_Visuals</t>
        </is>
      </c>
      <c r="B15" t="inlineStr">
        <is>
          <t>Plotted tree diagrams for unpruned/pruned model proxies across chunks.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idx</t>
        </is>
      </c>
      <c r="B1" t="inlineStr">
        <is>
          <t>x1</t>
        </is>
      </c>
      <c r="C1" t="inlineStr">
        <is>
          <t>x2</t>
        </is>
      </c>
      <c r="D1" t="inlineStr">
        <is>
          <t>class</t>
        </is>
      </c>
      <c r="E1" t="inlineStr">
        <is>
          <t>split_v3</t>
        </is>
      </c>
      <c r="F1" t="inlineStr">
        <is>
          <t>split_h2</t>
        </is>
      </c>
      <c r="G1" t="inlineStr">
        <is>
          <t>split_h4</t>
        </is>
      </c>
      <c r="I1" t="inlineStr">
        <is>
          <t>red_x</t>
        </is>
      </c>
      <c r="J1" t="inlineStr">
        <is>
          <t>red_y</t>
        </is>
      </c>
      <c r="K1" t="inlineStr">
        <is>
          <t>black_x</t>
        </is>
      </c>
      <c r="L1" t="inlineStr">
        <is>
          <t>black_y</t>
        </is>
      </c>
    </row>
    <row r="2">
      <c r="A2" t="n">
        <v>1</v>
      </c>
      <c r="B2">
        <f>RAND()*4+1</f>
        <v/>
      </c>
      <c r="C2">
        <f>RAND()*4+1</f>
        <v/>
      </c>
      <c r="D2">
        <f>IF(OR(AND(B2&gt;3,C2&lt;4),AND(B2&lt;=3,C2&lt;2)),"Red","Black")</f>
        <v/>
      </c>
      <c r="E2" t="n">
        <v>3</v>
      </c>
      <c r="F2" t="n">
        <v>2</v>
      </c>
      <c r="G2" t="n">
        <v>4</v>
      </c>
      <c r="I2">
        <f>IF(D2="Red",B2,NA())</f>
        <v/>
      </c>
      <c r="J2">
        <f>IF(D2="Red",C2,NA())</f>
        <v/>
      </c>
      <c r="K2">
        <f>IF(D2="Black",B2,NA())</f>
        <v/>
      </c>
      <c r="L2">
        <f>IF(D2="Black",C2,NA())</f>
        <v/>
      </c>
      <c r="N2" t="n">
        <v>3</v>
      </c>
      <c r="O2" t="n">
        <v>1</v>
      </c>
    </row>
    <row r="3">
      <c r="A3" t="n">
        <v>2</v>
      </c>
      <c r="B3">
        <f>RAND()*4+1</f>
        <v/>
      </c>
      <c r="C3">
        <f>RAND()*4+1</f>
        <v/>
      </c>
      <c r="D3">
        <f>IF(OR(AND(B3&gt;3,C3&lt;4),AND(B3&lt;=3,C3&lt;2)),"Red","Black")</f>
        <v/>
      </c>
      <c r="E3" t="n">
        <v>3</v>
      </c>
      <c r="F3" t="n">
        <v>2</v>
      </c>
      <c r="G3" t="n">
        <v>4</v>
      </c>
      <c r="I3">
        <f>IF(D3="Red",B3,NA())</f>
        <v/>
      </c>
      <c r="J3">
        <f>IF(D3="Red",C3,NA())</f>
        <v/>
      </c>
      <c r="K3">
        <f>IF(D3="Black",B3,NA())</f>
        <v/>
      </c>
      <c r="L3">
        <f>IF(D3="Black",C3,NA())</f>
        <v/>
      </c>
      <c r="N3" t="n">
        <v>3</v>
      </c>
      <c r="O3" t="n">
        <v>5</v>
      </c>
    </row>
    <row r="4">
      <c r="A4" t="n">
        <v>3</v>
      </c>
      <c r="B4">
        <f>RAND()*4+1</f>
        <v/>
      </c>
      <c r="C4">
        <f>RAND()*4+1</f>
        <v/>
      </c>
      <c r="D4">
        <f>IF(OR(AND(B4&gt;3,C4&lt;4),AND(B4&lt;=3,C4&lt;2)),"Red","Black")</f>
        <v/>
      </c>
      <c r="E4" t="n">
        <v>3</v>
      </c>
      <c r="F4" t="n">
        <v>2</v>
      </c>
      <c r="G4" t="n">
        <v>4</v>
      </c>
      <c r="I4">
        <f>IF(D4="Red",B4,NA())</f>
        <v/>
      </c>
      <c r="J4">
        <f>IF(D4="Red",C4,NA())</f>
        <v/>
      </c>
      <c r="K4">
        <f>IF(D4="Black",B4,NA())</f>
        <v/>
      </c>
      <c r="L4">
        <f>IF(D4="Black",C4,NA())</f>
        <v/>
      </c>
    </row>
    <row r="5">
      <c r="A5" t="n">
        <v>4</v>
      </c>
      <c r="B5">
        <f>RAND()*4+1</f>
        <v/>
      </c>
      <c r="C5">
        <f>RAND()*4+1</f>
        <v/>
      </c>
      <c r="D5">
        <f>IF(OR(AND(B5&gt;3,C5&lt;4),AND(B5&lt;=3,C5&lt;2)),"Red","Black")</f>
        <v/>
      </c>
      <c r="E5" t="n">
        <v>3</v>
      </c>
      <c r="F5" t="n">
        <v>2</v>
      </c>
      <c r="G5" t="n">
        <v>4</v>
      </c>
      <c r="I5">
        <f>IF(D5="Red",B5,NA())</f>
        <v/>
      </c>
      <c r="J5">
        <f>IF(D5="Red",C5,NA())</f>
        <v/>
      </c>
      <c r="K5">
        <f>IF(D5="Black",B5,NA())</f>
        <v/>
      </c>
      <c r="L5">
        <f>IF(D5="Black",C5,NA())</f>
        <v/>
      </c>
      <c r="N5" t="n">
        <v>1</v>
      </c>
      <c r="O5" t="n">
        <v>2</v>
      </c>
    </row>
    <row r="6">
      <c r="A6" t="n">
        <v>5</v>
      </c>
      <c r="B6">
        <f>RAND()*4+1</f>
        <v/>
      </c>
      <c r="C6">
        <f>RAND()*4+1</f>
        <v/>
      </c>
      <c r="D6">
        <f>IF(OR(AND(B6&gt;3,C6&lt;4),AND(B6&lt;=3,C6&lt;2)),"Red","Black")</f>
        <v/>
      </c>
      <c r="E6" t="n">
        <v>3</v>
      </c>
      <c r="F6" t="n">
        <v>2</v>
      </c>
      <c r="G6" t="n">
        <v>4</v>
      </c>
      <c r="I6">
        <f>IF(D6="Red",B6,NA())</f>
        <v/>
      </c>
      <c r="J6">
        <f>IF(D6="Red",C6,NA())</f>
        <v/>
      </c>
      <c r="K6">
        <f>IF(D6="Black",B6,NA())</f>
        <v/>
      </c>
      <c r="L6">
        <f>IF(D6="Black",C6,NA())</f>
        <v/>
      </c>
      <c r="N6" t="n">
        <v>3</v>
      </c>
      <c r="O6" t="n">
        <v>2</v>
      </c>
    </row>
    <row r="7">
      <c r="A7" t="n">
        <v>6</v>
      </c>
      <c r="B7">
        <f>RAND()*4+1</f>
        <v/>
      </c>
      <c r="C7">
        <f>RAND()*4+1</f>
        <v/>
      </c>
      <c r="D7">
        <f>IF(OR(AND(B7&gt;3,C7&lt;4),AND(B7&lt;=3,C7&lt;2)),"Red","Black")</f>
        <v/>
      </c>
      <c r="E7" t="n">
        <v>3</v>
      </c>
      <c r="F7" t="n">
        <v>2</v>
      </c>
      <c r="G7" t="n">
        <v>4</v>
      </c>
      <c r="I7">
        <f>IF(D7="Red",B7,NA())</f>
        <v/>
      </c>
      <c r="J7">
        <f>IF(D7="Red",C7,NA())</f>
        <v/>
      </c>
      <c r="K7">
        <f>IF(D7="Black",B7,NA())</f>
        <v/>
      </c>
      <c r="L7">
        <f>IF(D7="Black",C7,NA())</f>
        <v/>
      </c>
    </row>
    <row r="8">
      <c r="A8" t="n">
        <v>7</v>
      </c>
      <c r="B8">
        <f>RAND()*4+1</f>
        <v/>
      </c>
      <c r="C8">
        <f>RAND()*4+1</f>
        <v/>
      </c>
      <c r="D8">
        <f>IF(OR(AND(B8&gt;3,C8&lt;4),AND(B8&lt;=3,C8&lt;2)),"Red","Black")</f>
        <v/>
      </c>
      <c r="E8" t="n">
        <v>3</v>
      </c>
      <c r="F8" t="n">
        <v>2</v>
      </c>
      <c r="G8" t="n">
        <v>4</v>
      </c>
      <c r="I8">
        <f>IF(D8="Red",B8,NA())</f>
        <v/>
      </c>
      <c r="J8">
        <f>IF(D8="Red",C8,NA())</f>
        <v/>
      </c>
      <c r="K8">
        <f>IF(D8="Black",B8,NA())</f>
        <v/>
      </c>
      <c r="L8">
        <f>IF(D8="Black",C8,NA())</f>
        <v/>
      </c>
      <c r="N8" t="n">
        <v>3</v>
      </c>
      <c r="O8" t="n">
        <v>4</v>
      </c>
    </row>
    <row r="9">
      <c r="A9" t="n">
        <v>8</v>
      </c>
      <c r="B9">
        <f>RAND()*4+1</f>
        <v/>
      </c>
      <c r="C9">
        <f>RAND()*4+1</f>
        <v/>
      </c>
      <c r="D9">
        <f>IF(OR(AND(B9&gt;3,C9&lt;4),AND(B9&lt;=3,C9&lt;2)),"Red","Black")</f>
        <v/>
      </c>
      <c r="E9" t="n">
        <v>3</v>
      </c>
      <c r="F9" t="n">
        <v>2</v>
      </c>
      <c r="G9" t="n">
        <v>4</v>
      </c>
      <c r="I9">
        <f>IF(D9="Red",B9,NA())</f>
        <v/>
      </c>
      <c r="J9">
        <f>IF(D9="Red",C9,NA())</f>
        <v/>
      </c>
      <c r="K9">
        <f>IF(D9="Black",B9,NA())</f>
        <v/>
      </c>
      <c r="L9">
        <f>IF(D9="Black",C9,NA())</f>
        <v/>
      </c>
      <c r="N9" t="n">
        <v>5</v>
      </c>
      <c r="O9" t="n">
        <v>4</v>
      </c>
    </row>
    <row r="10">
      <c r="A10" t="n">
        <v>9</v>
      </c>
      <c r="B10">
        <f>RAND()*4+1</f>
        <v/>
      </c>
      <c r="C10">
        <f>RAND()*4+1</f>
        <v/>
      </c>
      <c r="D10">
        <f>IF(OR(AND(B10&gt;3,C10&lt;4),AND(B10&lt;=3,C10&lt;2)),"Red","Black")</f>
        <v/>
      </c>
      <c r="E10" t="n">
        <v>3</v>
      </c>
      <c r="F10" t="n">
        <v>2</v>
      </c>
      <c r="G10" t="n">
        <v>4</v>
      </c>
      <c r="I10">
        <f>IF(D10="Red",B10,NA())</f>
        <v/>
      </c>
      <c r="J10">
        <f>IF(D10="Red",C10,NA())</f>
        <v/>
      </c>
      <c r="K10">
        <f>IF(D10="Black",B10,NA())</f>
        <v/>
      </c>
      <c r="L10">
        <f>IF(D10="Black",C10,NA())</f>
        <v/>
      </c>
    </row>
    <row r="11">
      <c r="A11" t="n">
        <v>10</v>
      </c>
      <c r="B11">
        <f>RAND()*4+1</f>
        <v/>
      </c>
      <c r="C11">
        <f>RAND()*4+1</f>
        <v/>
      </c>
      <c r="D11">
        <f>IF(OR(AND(B11&gt;3,C11&lt;4),AND(B11&lt;=3,C11&lt;2)),"Red","Black")</f>
        <v/>
      </c>
      <c r="E11" t="n">
        <v>3</v>
      </c>
      <c r="F11" t="n">
        <v>2</v>
      </c>
      <c r="G11" t="n">
        <v>4</v>
      </c>
      <c r="I11">
        <f>IF(D11="Red",B11,NA())</f>
        <v/>
      </c>
      <c r="J11">
        <f>IF(D11="Red",C11,NA())</f>
        <v/>
      </c>
      <c r="K11">
        <f>IF(D11="Black",B11,NA())</f>
        <v/>
      </c>
      <c r="L11">
        <f>IF(D11="Black",C11,NA())</f>
        <v/>
      </c>
    </row>
    <row r="12">
      <c r="A12" t="n">
        <v>11</v>
      </c>
      <c r="B12">
        <f>RAND()*4+1</f>
        <v/>
      </c>
      <c r="C12">
        <f>RAND()*4+1</f>
        <v/>
      </c>
      <c r="D12">
        <f>IF(OR(AND(B12&gt;3,C12&lt;4),AND(B12&lt;=3,C12&lt;2)),"Red","Black")</f>
        <v/>
      </c>
      <c r="E12" t="n">
        <v>3</v>
      </c>
      <c r="F12" t="n">
        <v>2</v>
      </c>
      <c r="G12" t="n">
        <v>4</v>
      </c>
      <c r="I12">
        <f>IF(D12="Red",B12,NA())</f>
        <v/>
      </c>
      <c r="J12">
        <f>IF(D12="Red",C12,NA())</f>
        <v/>
      </c>
      <c r="K12">
        <f>IF(D12="Black",B12,NA())</f>
        <v/>
      </c>
      <c r="L12">
        <f>IF(D12="Black",C12,NA())</f>
        <v/>
      </c>
    </row>
    <row r="13">
      <c r="A13" t="n">
        <v>12</v>
      </c>
      <c r="B13">
        <f>RAND()*4+1</f>
        <v/>
      </c>
      <c r="C13">
        <f>RAND()*4+1</f>
        <v/>
      </c>
      <c r="D13">
        <f>IF(OR(AND(B13&gt;3,C13&lt;4),AND(B13&lt;=3,C13&lt;2)),"Red","Black")</f>
        <v/>
      </c>
      <c r="E13" t="n">
        <v>3</v>
      </c>
      <c r="F13" t="n">
        <v>2</v>
      </c>
      <c r="G13" t="n">
        <v>4</v>
      </c>
      <c r="I13">
        <f>IF(D13="Red",B13,NA())</f>
        <v/>
      </c>
      <c r="J13">
        <f>IF(D13="Red",C13,NA())</f>
        <v/>
      </c>
      <c r="K13">
        <f>IF(D13="Black",B13,NA())</f>
        <v/>
      </c>
      <c r="L13">
        <f>IF(D13="Black",C13,NA())</f>
        <v/>
      </c>
    </row>
    <row r="14">
      <c r="A14" t="n">
        <v>13</v>
      </c>
      <c r="B14">
        <f>RAND()*4+1</f>
        <v/>
      </c>
      <c r="C14">
        <f>RAND()*4+1</f>
        <v/>
      </c>
      <c r="D14">
        <f>IF(OR(AND(B14&gt;3,C14&lt;4),AND(B14&lt;=3,C14&lt;2)),"Red","Black")</f>
        <v/>
      </c>
      <c r="E14" t="n">
        <v>3</v>
      </c>
      <c r="F14" t="n">
        <v>2</v>
      </c>
      <c r="G14" t="n">
        <v>4</v>
      </c>
      <c r="I14">
        <f>IF(D14="Red",B14,NA())</f>
        <v/>
      </c>
      <c r="J14">
        <f>IF(D14="Red",C14,NA())</f>
        <v/>
      </c>
      <c r="K14">
        <f>IF(D14="Black",B14,NA())</f>
        <v/>
      </c>
      <c r="L14">
        <f>IF(D14="Black",C14,NA())</f>
        <v/>
      </c>
    </row>
    <row r="15">
      <c r="A15" t="n">
        <v>14</v>
      </c>
      <c r="B15">
        <f>RAND()*4+1</f>
        <v/>
      </c>
      <c r="C15">
        <f>RAND()*4+1</f>
        <v/>
      </c>
      <c r="D15">
        <f>IF(OR(AND(B15&gt;3,C15&lt;4),AND(B15&lt;=3,C15&lt;2)),"Red","Black")</f>
        <v/>
      </c>
      <c r="E15" t="n">
        <v>3</v>
      </c>
      <c r="F15" t="n">
        <v>2</v>
      </c>
      <c r="G15" t="n">
        <v>4</v>
      </c>
      <c r="I15">
        <f>IF(D15="Red",B15,NA())</f>
        <v/>
      </c>
      <c r="J15">
        <f>IF(D15="Red",C15,NA())</f>
        <v/>
      </c>
      <c r="K15">
        <f>IF(D15="Black",B15,NA())</f>
        <v/>
      </c>
      <c r="L15">
        <f>IF(D15="Black",C15,NA())</f>
        <v/>
      </c>
    </row>
    <row r="16">
      <c r="A16" t="n">
        <v>15</v>
      </c>
      <c r="B16">
        <f>RAND()*4+1</f>
        <v/>
      </c>
      <c r="C16">
        <f>RAND()*4+1</f>
        <v/>
      </c>
      <c r="D16">
        <f>IF(OR(AND(B16&gt;3,C16&lt;4),AND(B16&lt;=3,C16&lt;2)),"Red","Black")</f>
        <v/>
      </c>
      <c r="E16" t="n">
        <v>3</v>
      </c>
      <c r="F16" t="n">
        <v>2</v>
      </c>
      <c r="G16" t="n">
        <v>4</v>
      </c>
      <c r="I16">
        <f>IF(D16="Red",B16,NA())</f>
        <v/>
      </c>
      <c r="J16">
        <f>IF(D16="Red",C16,NA())</f>
        <v/>
      </c>
      <c r="K16">
        <f>IF(D16="Black",B16,NA())</f>
        <v/>
      </c>
      <c r="L16">
        <f>IF(D16="Black",C16,NA())</f>
        <v/>
      </c>
    </row>
    <row r="17">
      <c r="A17" t="n">
        <v>16</v>
      </c>
      <c r="B17">
        <f>RAND()*4+1</f>
        <v/>
      </c>
      <c r="C17">
        <f>RAND()*4+1</f>
        <v/>
      </c>
      <c r="D17">
        <f>IF(OR(AND(B17&gt;3,C17&lt;4),AND(B17&lt;=3,C17&lt;2)),"Red","Black")</f>
        <v/>
      </c>
      <c r="E17" t="n">
        <v>3</v>
      </c>
      <c r="F17" t="n">
        <v>2</v>
      </c>
      <c r="G17" t="n">
        <v>4</v>
      </c>
      <c r="I17">
        <f>IF(D17="Red",B17,NA())</f>
        <v/>
      </c>
      <c r="J17">
        <f>IF(D17="Red",C17,NA())</f>
        <v/>
      </c>
      <c r="K17">
        <f>IF(D17="Black",B17,NA())</f>
        <v/>
      </c>
      <c r="L17">
        <f>IF(D17="Black",C17,NA())</f>
        <v/>
      </c>
    </row>
    <row r="18">
      <c r="A18" t="n">
        <v>17</v>
      </c>
      <c r="B18">
        <f>RAND()*4+1</f>
        <v/>
      </c>
      <c r="C18">
        <f>RAND()*4+1</f>
        <v/>
      </c>
      <c r="D18">
        <f>IF(OR(AND(B18&gt;3,C18&lt;4),AND(B18&lt;=3,C18&lt;2)),"Red","Black")</f>
        <v/>
      </c>
      <c r="E18" t="n">
        <v>3</v>
      </c>
      <c r="F18" t="n">
        <v>2</v>
      </c>
      <c r="G18" t="n">
        <v>4</v>
      </c>
      <c r="I18">
        <f>IF(D18="Red",B18,NA())</f>
        <v/>
      </c>
      <c r="J18">
        <f>IF(D18="Red",C18,NA())</f>
        <v/>
      </c>
      <c r="K18">
        <f>IF(D18="Black",B18,NA())</f>
        <v/>
      </c>
      <c r="L18">
        <f>IF(D18="Black",C18,NA())</f>
        <v/>
      </c>
    </row>
    <row r="19">
      <c r="A19" t="n">
        <v>18</v>
      </c>
      <c r="B19">
        <f>RAND()*4+1</f>
        <v/>
      </c>
      <c r="C19">
        <f>RAND()*4+1</f>
        <v/>
      </c>
      <c r="D19">
        <f>IF(OR(AND(B19&gt;3,C19&lt;4),AND(B19&lt;=3,C19&lt;2)),"Red","Black")</f>
        <v/>
      </c>
      <c r="E19" t="n">
        <v>3</v>
      </c>
      <c r="F19" t="n">
        <v>2</v>
      </c>
      <c r="G19" t="n">
        <v>4</v>
      </c>
      <c r="I19">
        <f>IF(D19="Red",B19,NA())</f>
        <v/>
      </c>
      <c r="J19">
        <f>IF(D19="Red",C19,NA())</f>
        <v/>
      </c>
      <c r="K19">
        <f>IF(D19="Black",B19,NA())</f>
        <v/>
      </c>
      <c r="L19">
        <f>IF(D19="Black",C19,NA())</f>
        <v/>
      </c>
    </row>
    <row r="20">
      <c r="A20" t="n">
        <v>19</v>
      </c>
      <c r="B20">
        <f>RAND()*4+1</f>
        <v/>
      </c>
      <c r="C20">
        <f>RAND()*4+1</f>
        <v/>
      </c>
      <c r="D20">
        <f>IF(OR(AND(B20&gt;3,C20&lt;4),AND(B20&lt;=3,C20&lt;2)),"Red","Black")</f>
        <v/>
      </c>
      <c r="E20" t="n">
        <v>3</v>
      </c>
      <c r="F20" t="n">
        <v>2</v>
      </c>
      <c r="G20" t="n">
        <v>4</v>
      </c>
      <c r="I20">
        <f>IF(D20="Red",B20,NA())</f>
        <v/>
      </c>
      <c r="J20">
        <f>IF(D20="Red",C20,NA())</f>
        <v/>
      </c>
      <c r="K20">
        <f>IF(D20="Black",B20,NA())</f>
        <v/>
      </c>
      <c r="L20">
        <f>IF(D20="Black",C20,NA())</f>
        <v/>
      </c>
    </row>
    <row r="21">
      <c r="A21" t="n">
        <v>20</v>
      </c>
      <c r="B21">
        <f>RAND()*4+1</f>
        <v/>
      </c>
      <c r="C21">
        <f>RAND()*4+1</f>
        <v/>
      </c>
      <c r="D21">
        <f>IF(OR(AND(B21&gt;3,C21&lt;4),AND(B21&lt;=3,C21&lt;2)),"Red","Black")</f>
        <v/>
      </c>
      <c r="E21" t="n">
        <v>3</v>
      </c>
      <c r="F21" t="n">
        <v>2</v>
      </c>
      <c r="G21" t="n">
        <v>4</v>
      </c>
      <c r="I21">
        <f>IF(D21="Red",B21,NA())</f>
        <v/>
      </c>
      <c r="J21">
        <f>IF(D21="Red",C21,NA())</f>
        <v/>
      </c>
      <c r="K21">
        <f>IF(D21="Black",B21,NA())</f>
        <v/>
      </c>
      <c r="L21">
        <f>IF(D21="Black",C21,NA())</f>
        <v/>
      </c>
    </row>
    <row r="22">
      <c r="A22" t="n">
        <v>21</v>
      </c>
      <c r="B22">
        <f>RAND()*4+1</f>
        <v/>
      </c>
      <c r="C22">
        <f>RAND()*4+1</f>
        <v/>
      </c>
      <c r="D22">
        <f>IF(OR(AND(B22&gt;3,C22&lt;4),AND(B22&lt;=3,C22&lt;2)),"Red","Black")</f>
        <v/>
      </c>
      <c r="E22" t="n">
        <v>3</v>
      </c>
      <c r="F22" t="n">
        <v>2</v>
      </c>
      <c r="G22" t="n">
        <v>4</v>
      </c>
      <c r="I22">
        <f>IF(D22="Red",B22,NA())</f>
        <v/>
      </c>
      <c r="J22">
        <f>IF(D22="Red",C22,NA())</f>
        <v/>
      </c>
      <c r="K22">
        <f>IF(D22="Black",B22,NA())</f>
        <v/>
      </c>
      <c r="L22">
        <f>IF(D22="Black",C22,NA())</f>
        <v/>
      </c>
    </row>
    <row r="23">
      <c r="A23" t="n">
        <v>22</v>
      </c>
      <c r="B23">
        <f>RAND()*4+1</f>
        <v/>
      </c>
      <c r="C23">
        <f>RAND()*4+1</f>
        <v/>
      </c>
      <c r="D23">
        <f>IF(OR(AND(B23&gt;3,C23&lt;4),AND(B23&lt;=3,C23&lt;2)),"Red","Black")</f>
        <v/>
      </c>
      <c r="E23" t="n">
        <v>3</v>
      </c>
      <c r="F23" t="n">
        <v>2</v>
      </c>
      <c r="G23" t="n">
        <v>4</v>
      </c>
      <c r="I23">
        <f>IF(D23="Red",B23,NA())</f>
        <v/>
      </c>
      <c r="J23">
        <f>IF(D23="Red",C23,NA())</f>
        <v/>
      </c>
      <c r="K23">
        <f>IF(D23="Black",B23,NA())</f>
        <v/>
      </c>
      <c r="L23">
        <f>IF(D23="Black",C23,NA())</f>
        <v/>
      </c>
    </row>
    <row r="24">
      <c r="A24" t="n">
        <v>23</v>
      </c>
      <c r="B24">
        <f>RAND()*4+1</f>
        <v/>
      </c>
      <c r="C24">
        <f>RAND()*4+1</f>
        <v/>
      </c>
      <c r="D24">
        <f>IF(OR(AND(B24&gt;3,C24&lt;4),AND(B24&lt;=3,C24&lt;2)),"Red","Black")</f>
        <v/>
      </c>
      <c r="E24" t="n">
        <v>3</v>
      </c>
      <c r="F24" t="n">
        <v>2</v>
      </c>
      <c r="G24" t="n">
        <v>4</v>
      </c>
      <c r="I24">
        <f>IF(D24="Red",B24,NA())</f>
        <v/>
      </c>
      <c r="J24">
        <f>IF(D24="Red",C24,NA())</f>
        <v/>
      </c>
      <c r="K24">
        <f>IF(D24="Black",B24,NA())</f>
        <v/>
      </c>
      <c r="L24">
        <f>IF(D24="Black",C24,NA())</f>
        <v/>
      </c>
    </row>
    <row r="25">
      <c r="A25" t="n">
        <v>24</v>
      </c>
      <c r="B25">
        <f>RAND()*4+1</f>
        <v/>
      </c>
      <c r="C25">
        <f>RAND()*4+1</f>
        <v/>
      </c>
      <c r="D25">
        <f>IF(OR(AND(B25&gt;3,C25&lt;4),AND(B25&lt;=3,C25&lt;2)),"Red","Black")</f>
        <v/>
      </c>
      <c r="E25" t="n">
        <v>3</v>
      </c>
      <c r="F25" t="n">
        <v>2</v>
      </c>
      <c r="G25" t="n">
        <v>4</v>
      </c>
      <c r="I25">
        <f>IF(D25="Red",B25,NA())</f>
        <v/>
      </c>
      <c r="J25">
        <f>IF(D25="Red",C25,NA())</f>
        <v/>
      </c>
      <c r="K25">
        <f>IF(D25="Black",B25,NA())</f>
        <v/>
      </c>
      <c r="L25">
        <f>IF(D25="Black",C25,NA())</f>
        <v/>
      </c>
    </row>
    <row r="26">
      <c r="A26" t="n">
        <v>25</v>
      </c>
      <c r="B26">
        <f>RAND()*4+1</f>
        <v/>
      </c>
      <c r="C26">
        <f>RAND()*4+1</f>
        <v/>
      </c>
      <c r="D26">
        <f>IF(OR(AND(B26&gt;3,C26&lt;4),AND(B26&lt;=3,C26&lt;2)),"Red","Black")</f>
        <v/>
      </c>
      <c r="E26" t="n">
        <v>3</v>
      </c>
      <c r="F26" t="n">
        <v>2</v>
      </c>
      <c r="G26" t="n">
        <v>4</v>
      </c>
      <c r="I26">
        <f>IF(D26="Red",B26,NA())</f>
        <v/>
      </c>
      <c r="J26">
        <f>IF(D26="Red",C26,NA())</f>
        <v/>
      </c>
      <c r="K26">
        <f>IF(D26="Black",B26,NA())</f>
        <v/>
      </c>
      <c r="L26">
        <f>IF(D26="Black",C26,NA())</f>
        <v/>
      </c>
    </row>
    <row r="27">
      <c r="A27" t="n">
        <v>26</v>
      </c>
      <c r="B27">
        <f>RAND()*4+1</f>
        <v/>
      </c>
      <c r="C27">
        <f>RAND()*4+1</f>
        <v/>
      </c>
      <c r="D27">
        <f>IF(OR(AND(B27&gt;3,C27&lt;4),AND(B27&lt;=3,C27&lt;2)),"Red","Black")</f>
        <v/>
      </c>
      <c r="E27" t="n">
        <v>3</v>
      </c>
      <c r="F27" t="n">
        <v>2</v>
      </c>
      <c r="G27" t="n">
        <v>4</v>
      </c>
      <c r="I27">
        <f>IF(D27="Red",B27,NA())</f>
        <v/>
      </c>
      <c r="J27">
        <f>IF(D27="Red",C27,NA())</f>
        <v/>
      </c>
      <c r="K27">
        <f>IF(D27="Black",B27,NA())</f>
        <v/>
      </c>
      <c r="L27">
        <f>IF(D27="Black",C27,NA())</f>
        <v/>
      </c>
    </row>
    <row r="28">
      <c r="A28" t="n">
        <v>27</v>
      </c>
      <c r="B28">
        <f>RAND()*4+1</f>
        <v/>
      </c>
      <c r="C28">
        <f>RAND()*4+1</f>
        <v/>
      </c>
      <c r="D28">
        <f>IF(OR(AND(B28&gt;3,C28&lt;4),AND(B28&lt;=3,C28&lt;2)),"Red","Black")</f>
        <v/>
      </c>
      <c r="E28" t="n">
        <v>3</v>
      </c>
      <c r="F28" t="n">
        <v>2</v>
      </c>
      <c r="G28" t="n">
        <v>4</v>
      </c>
      <c r="I28">
        <f>IF(D28="Red",B28,NA())</f>
        <v/>
      </c>
      <c r="J28">
        <f>IF(D28="Red",C28,NA())</f>
        <v/>
      </c>
      <c r="K28">
        <f>IF(D28="Black",B28,NA())</f>
        <v/>
      </c>
      <c r="L28">
        <f>IF(D28="Black",C28,NA())</f>
        <v/>
      </c>
    </row>
    <row r="29">
      <c r="A29" t="n">
        <v>28</v>
      </c>
      <c r="B29">
        <f>RAND()*4+1</f>
        <v/>
      </c>
      <c r="C29">
        <f>RAND()*4+1</f>
        <v/>
      </c>
      <c r="D29">
        <f>IF(OR(AND(B29&gt;3,C29&lt;4),AND(B29&lt;=3,C29&lt;2)),"Red","Black")</f>
        <v/>
      </c>
      <c r="E29" t="n">
        <v>3</v>
      </c>
      <c r="F29" t="n">
        <v>2</v>
      </c>
      <c r="G29" t="n">
        <v>4</v>
      </c>
      <c r="I29">
        <f>IF(D29="Red",B29,NA())</f>
        <v/>
      </c>
      <c r="J29">
        <f>IF(D29="Red",C29,NA())</f>
        <v/>
      </c>
      <c r="K29">
        <f>IF(D29="Black",B29,NA())</f>
        <v/>
      </c>
      <c r="L29">
        <f>IF(D29="Black",C29,NA())</f>
        <v/>
      </c>
    </row>
    <row r="30">
      <c r="A30" t="n">
        <v>29</v>
      </c>
      <c r="B30">
        <f>RAND()*4+1</f>
        <v/>
      </c>
      <c r="C30">
        <f>RAND()*4+1</f>
        <v/>
      </c>
      <c r="D30">
        <f>IF(OR(AND(B30&gt;3,C30&lt;4),AND(B30&lt;=3,C30&lt;2)),"Red","Black")</f>
        <v/>
      </c>
      <c r="E30" t="n">
        <v>3</v>
      </c>
      <c r="F30" t="n">
        <v>2</v>
      </c>
      <c r="G30" t="n">
        <v>4</v>
      </c>
      <c r="I30">
        <f>IF(D30="Red",B30,NA())</f>
        <v/>
      </c>
      <c r="J30">
        <f>IF(D30="Red",C30,NA())</f>
        <v/>
      </c>
      <c r="K30">
        <f>IF(D30="Black",B30,NA())</f>
        <v/>
      </c>
      <c r="L30">
        <f>IF(D30="Black",C30,NA())</f>
        <v/>
      </c>
    </row>
    <row r="31">
      <c r="A31" t="n">
        <v>30</v>
      </c>
      <c r="B31">
        <f>RAND()*4+1</f>
        <v/>
      </c>
      <c r="C31">
        <f>RAND()*4+1</f>
        <v/>
      </c>
      <c r="D31">
        <f>IF(OR(AND(B31&gt;3,C31&lt;4),AND(B31&lt;=3,C31&lt;2)),"Red","Black")</f>
        <v/>
      </c>
      <c r="E31" t="n">
        <v>3</v>
      </c>
      <c r="F31" t="n">
        <v>2</v>
      </c>
      <c r="G31" t="n">
        <v>4</v>
      </c>
      <c r="I31">
        <f>IF(D31="Red",B31,NA())</f>
        <v/>
      </c>
      <c r="J31">
        <f>IF(D31="Red",C31,NA())</f>
        <v/>
      </c>
      <c r="K31">
        <f>IF(D31="Black",B31,NA())</f>
        <v/>
      </c>
      <c r="L31">
        <f>IF(D31="Black",C31,NA())</f>
        <v/>
      </c>
    </row>
    <row r="32">
      <c r="A32" t="n">
        <v>31</v>
      </c>
      <c r="B32">
        <f>RAND()*4+1</f>
        <v/>
      </c>
      <c r="C32">
        <f>RAND()*4+1</f>
        <v/>
      </c>
      <c r="D32">
        <f>IF(OR(AND(B32&gt;3,C32&lt;4),AND(B32&lt;=3,C32&lt;2)),"Red","Black")</f>
        <v/>
      </c>
      <c r="E32" t="n">
        <v>3</v>
      </c>
      <c r="F32" t="n">
        <v>2</v>
      </c>
      <c r="G32" t="n">
        <v>4</v>
      </c>
      <c r="I32">
        <f>IF(D32="Red",B32,NA())</f>
        <v/>
      </c>
      <c r="J32">
        <f>IF(D32="Red",C32,NA())</f>
        <v/>
      </c>
      <c r="K32">
        <f>IF(D32="Black",B32,NA())</f>
        <v/>
      </c>
      <c r="L32">
        <f>IF(D32="Black",C32,NA())</f>
        <v/>
      </c>
    </row>
    <row r="33">
      <c r="A33" t="n">
        <v>32</v>
      </c>
      <c r="B33">
        <f>RAND()*4+1</f>
        <v/>
      </c>
      <c r="C33">
        <f>RAND()*4+1</f>
        <v/>
      </c>
      <c r="D33">
        <f>IF(OR(AND(B33&gt;3,C33&lt;4),AND(B33&lt;=3,C33&lt;2)),"Red","Black")</f>
        <v/>
      </c>
      <c r="E33" t="n">
        <v>3</v>
      </c>
      <c r="F33" t="n">
        <v>2</v>
      </c>
      <c r="G33" t="n">
        <v>4</v>
      </c>
      <c r="I33">
        <f>IF(D33="Red",B33,NA())</f>
        <v/>
      </c>
      <c r="J33">
        <f>IF(D33="Red",C33,NA())</f>
        <v/>
      </c>
      <c r="K33">
        <f>IF(D33="Black",B33,NA())</f>
        <v/>
      </c>
      <c r="L33">
        <f>IF(D33="Black",C33,NA())</f>
        <v/>
      </c>
    </row>
    <row r="34">
      <c r="A34" t="n">
        <v>33</v>
      </c>
      <c r="B34">
        <f>RAND()*4+1</f>
        <v/>
      </c>
      <c r="C34">
        <f>RAND()*4+1</f>
        <v/>
      </c>
      <c r="D34">
        <f>IF(OR(AND(B34&gt;3,C34&lt;4),AND(B34&lt;=3,C34&lt;2)),"Red","Black")</f>
        <v/>
      </c>
      <c r="E34" t="n">
        <v>3</v>
      </c>
      <c r="F34" t="n">
        <v>2</v>
      </c>
      <c r="G34" t="n">
        <v>4</v>
      </c>
      <c r="I34">
        <f>IF(D34="Red",B34,NA())</f>
        <v/>
      </c>
      <c r="J34">
        <f>IF(D34="Red",C34,NA())</f>
        <v/>
      </c>
      <c r="K34">
        <f>IF(D34="Black",B34,NA())</f>
        <v/>
      </c>
      <c r="L34">
        <f>IF(D34="Black",C34,NA())</f>
        <v/>
      </c>
    </row>
    <row r="35">
      <c r="A35" t="n">
        <v>34</v>
      </c>
      <c r="B35">
        <f>RAND()*4+1</f>
        <v/>
      </c>
      <c r="C35">
        <f>RAND()*4+1</f>
        <v/>
      </c>
      <c r="D35">
        <f>IF(OR(AND(B35&gt;3,C35&lt;4),AND(B35&lt;=3,C35&lt;2)),"Red","Black")</f>
        <v/>
      </c>
      <c r="E35" t="n">
        <v>3</v>
      </c>
      <c r="F35" t="n">
        <v>2</v>
      </c>
      <c r="G35" t="n">
        <v>4</v>
      </c>
      <c r="I35">
        <f>IF(D35="Red",B35,NA())</f>
        <v/>
      </c>
      <c r="J35">
        <f>IF(D35="Red",C35,NA())</f>
        <v/>
      </c>
      <c r="K35">
        <f>IF(D35="Black",B35,NA())</f>
        <v/>
      </c>
      <c r="L35">
        <f>IF(D35="Black",C35,NA())</f>
        <v/>
      </c>
    </row>
    <row r="36">
      <c r="A36" t="n">
        <v>35</v>
      </c>
      <c r="B36">
        <f>RAND()*4+1</f>
        <v/>
      </c>
      <c r="C36">
        <f>RAND()*4+1</f>
        <v/>
      </c>
      <c r="D36">
        <f>IF(OR(AND(B36&gt;3,C36&lt;4),AND(B36&lt;=3,C36&lt;2)),"Red","Black")</f>
        <v/>
      </c>
      <c r="E36" t="n">
        <v>3</v>
      </c>
      <c r="F36" t="n">
        <v>2</v>
      </c>
      <c r="G36" t="n">
        <v>4</v>
      </c>
      <c r="I36">
        <f>IF(D36="Red",B36,NA())</f>
        <v/>
      </c>
      <c r="J36">
        <f>IF(D36="Red",C36,NA())</f>
        <v/>
      </c>
      <c r="K36">
        <f>IF(D36="Black",B36,NA())</f>
        <v/>
      </c>
      <c r="L36">
        <f>IF(D36="Black",C36,NA())</f>
        <v/>
      </c>
    </row>
    <row r="37">
      <c r="A37" t="n">
        <v>36</v>
      </c>
      <c r="B37">
        <f>RAND()*4+1</f>
        <v/>
      </c>
      <c r="C37">
        <f>RAND()*4+1</f>
        <v/>
      </c>
      <c r="D37">
        <f>IF(OR(AND(B37&gt;3,C37&lt;4),AND(B37&lt;=3,C37&lt;2)),"Red","Black")</f>
        <v/>
      </c>
      <c r="E37" t="n">
        <v>3</v>
      </c>
      <c r="F37" t="n">
        <v>2</v>
      </c>
      <c r="G37" t="n">
        <v>4</v>
      </c>
      <c r="I37">
        <f>IF(D37="Red",B37,NA())</f>
        <v/>
      </c>
      <c r="J37">
        <f>IF(D37="Red",C37,NA())</f>
        <v/>
      </c>
      <c r="K37">
        <f>IF(D37="Black",B37,NA())</f>
        <v/>
      </c>
      <c r="L37">
        <f>IF(D37="Black",C37,NA())</f>
        <v/>
      </c>
    </row>
    <row r="38">
      <c r="A38" t="n">
        <v>37</v>
      </c>
      <c r="B38">
        <f>RAND()*4+1</f>
        <v/>
      </c>
      <c r="C38">
        <f>RAND()*4+1</f>
        <v/>
      </c>
      <c r="D38">
        <f>IF(OR(AND(B38&gt;3,C38&lt;4),AND(B38&lt;=3,C38&lt;2)),"Red","Black")</f>
        <v/>
      </c>
      <c r="E38" t="n">
        <v>3</v>
      </c>
      <c r="F38" t="n">
        <v>2</v>
      </c>
      <c r="G38" t="n">
        <v>4</v>
      </c>
      <c r="I38">
        <f>IF(D38="Red",B38,NA())</f>
        <v/>
      </c>
      <c r="J38">
        <f>IF(D38="Red",C38,NA())</f>
        <v/>
      </c>
      <c r="K38">
        <f>IF(D38="Black",B38,NA())</f>
        <v/>
      </c>
      <c r="L38">
        <f>IF(D38="Black",C38,NA())</f>
        <v/>
      </c>
    </row>
    <row r="39">
      <c r="A39" t="n">
        <v>38</v>
      </c>
      <c r="B39">
        <f>RAND()*4+1</f>
        <v/>
      </c>
      <c r="C39">
        <f>RAND()*4+1</f>
        <v/>
      </c>
      <c r="D39">
        <f>IF(OR(AND(B39&gt;3,C39&lt;4),AND(B39&lt;=3,C39&lt;2)),"Red","Black")</f>
        <v/>
      </c>
      <c r="E39" t="n">
        <v>3</v>
      </c>
      <c r="F39" t="n">
        <v>2</v>
      </c>
      <c r="G39" t="n">
        <v>4</v>
      </c>
      <c r="I39">
        <f>IF(D39="Red",B39,NA())</f>
        <v/>
      </c>
      <c r="J39">
        <f>IF(D39="Red",C39,NA())</f>
        <v/>
      </c>
      <c r="K39">
        <f>IF(D39="Black",B39,NA())</f>
        <v/>
      </c>
      <c r="L39">
        <f>IF(D39="Black",C39,NA())</f>
        <v/>
      </c>
    </row>
    <row r="40">
      <c r="A40" t="n">
        <v>39</v>
      </c>
      <c r="B40">
        <f>RAND()*4+1</f>
        <v/>
      </c>
      <c r="C40">
        <f>RAND()*4+1</f>
        <v/>
      </c>
      <c r="D40">
        <f>IF(OR(AND(B40&gt;3,C40&lt;4),AND(B40&lt;=3,C40&lt;2)),"Red","Black")</f>
        <v/>
      </c>
      <c r="E40" t="n">
        <v>3</v>
      </c>
      <c r="F40" t="n">
        <v>2</v>
      </c>
      <c r="G40" t="n">
        <v>4</v>
      </c>
      <c r="I40">
        <f>IF(D40="Red",B40,NA())</f>
        <v/>
      </c>
      <c r="J40">
        <f>IF(D40="Red",C40,NA())</f>
        <v/>
      </c>
      <c r="K40">
        <f>IF(D40="Black",B40,NA())</f>
        <v/>
      </c>
      <c r="L40">
        <f>IF(D40="Black",C40,NA())</f>
        <v/>
      </c>
    </row>
    <row r="41">
      <c r="A41" t="n">
        <v>40</v>
      </c>
      <c r="B41">
        <f>RAND()*4+1</f>
        <v/>
      </c>
      <c r="C41">
        <f>RAND()*4+1</f>
        <v/>
      </c>
      <c r="D41">
        <f>IF(OR(AND(B41&gt;3,C41&lt;4),AND(B41&lt;=3,C41&lt;2)),"Red","Black")</f>
        <v/>
      </c>
      <c r="E41" t="n">
        <v>3</v>
      </c>
      <c r="F41" t="n">
        <v>2</v>
      </c>
      <c r="G41" t="n">
        <v>4</v>
      </c>
      <c r="I41">
        <f>IF(D41="Red",B41,NA())</f>
        <v/>
      </c>
      <c r="J41">
        <f>IF(D41="Red",C41,NA())</f>
        <v/>
      </c>
      <c r="K41">
        <f>IF(D41="Black",B41,NA())</f>
        <v/>
      </c>
      <c r="L41">
        <f>IF(D41="Black",C41,NA())</f>
        <v/>
      </c>
    </row>
    <row r="42">
      <c r="A42" t="n">
        <v>41</v>
      </c>
      <c r="B42">
        <f>RAND()*4+1</f>
        <v/>
      </c>
      <c r="C42">
        <f>RAND()*4+1</f>
        <v/>
      </c>
      <c r="D42">
        <f>IF(OR(AND(B42&gt;3,C42&lt;4),AND(B42&lt;=3,C42&lt;2)),"Red","Black")</f>
        <v/>
      </c>
      <c r="E42" t="n">
        <v>3</v>
      </c>
      <c r="F42" t="n">
        <v>2</v>
      </c>
      <c r="G42" t="n">
        <v>4</v>
      </c>
      <c r="I42">
        <f>IF(D42="Red",B42,NA())</f>
        <v/>
      </c>
      <c r="J42">
        <f>IF(D42="Red",C42,NA())</f>
        <v/>
      </c>
      <c r="K42">
        <f>IF(D42="Black",B42,NA())</f>
        <v/>
      </c>
      <c r="L42">
        <f>IF(D42="Black",C42,NA())</f>
        <v/>
      </c>
    </row>
    <row r="43">
      <c r="A43" t="n">
        <v>42</v>
      </c>
      <c r="B43">
        <f>RAND()*4+1</f>
        <v/>
      </c>
      <c r="C43">
        <f>RAND()*4+1</f>
        <v/>
      </c>
      <c r="D43">
        <f>IF(OR(AND(B43&gt;3,C43&lt;4),AND(B43&lt;=3,C43&lt;2)),"Red","Black")</f>
        <v/>
      </c>
      <c r="E43" t="n">
        <v>3</v>
      </c>
      <c r="F43" t="n">
        <v>2</v>
      </c>
      <c r="G43" t="n">
        <v>4</v>
      </c>
      <c r="I43">
        <f>IF(D43="Red",B43,NA())</f>
        <v/>
      </c>
      <c r="J43">
        <f>IF(D43="Red",C43,NA())</f>
        <v/>
      </c>
      <c r="K43">
        <f>IF(D43="Black",B43,NA())</f>
        <v/>
      </c>
      <c r="L43">
        <f>IF(D43="Black",C43,NA())</f>
        <v/>
      </c>
    </row>
    <row r="44">
      <c r="A44" t="n">
        <v>43</v>
      </c>
      <c r="B44">
        <f>RAND()*4+1</f>
        <v/>
      </c>
      <c r="C44">
        <f>RAND()*4+1</f>
        <v/>
      </c>
      <c r="D44">
        <f>IF(OR(AND(B44&gt;3,C44&lt;4),AND(B44&lt;=3,C44&lt;2)),"Red","Black")</f>
        <v/>
      </c>
      <c r="E44" t="n">
        <v>3</v>
      </c>
      <c r="F44" t="n">
        <v>2</v>
      </c>
      <c r="G44" t="n">
        <v>4</v>
      </c>
      <c r="I44">
        <f>IF(D44="Red",B44,NA())</f>
        <v/>
      </c>
      <c r="J44">
        <f>IF(D44="Red",C44,NA())</f>
        <v/>
      </c>
      <c r="K44">
        <f>IF(D44="Black",B44,NA())</f>
        <v/>
      </c>
      <c r="L44">
        <f>IF(D44="Black",C44,NA())</f>
        <v/>
      </c>
    </row>
    <row r="45">
      <c r="A45" t="n">
        <v>44</v>
      </c>
      <c r="B45">
        <f>RAND()*4+1</f>
        <v/>
      </c>
      <c r="C45">
        <f>RAND()*4+1</f>
        <v/>
      </c>
      <c r="D45">
        <f>IF(OR(AND(B45&gt;3,C45&lt;4),AND(B45&lt;=3,C45&lt;2)),"Red","Black")</f>
        <v/>
      </c>
      <c r="E45" t="n">
        <v>3</v>
      </c>
      <c r="F45" t="n">
        <v>2</v>
      </c>
      <c r="G45" t="n">
        <v>4</v>
      </c>
      <c r="I45">
        <f>IF(D45="Red",B45,NA())</f>
        <v/>
      </c>
      <c r="J45">
        <f>IF(D45="Red",C45,NA())</f>
        <v/>
      </c>
      <c r="K45">
        <f>IF(D45="Black",B45,NA())</f>
        <v/>
      </c>
      <c r="L45">
        <f>IF(D45="Black",C45,NA())</f>
        <v/>
      </c>
    </row>
    <row r="46">
      <c r="A46" t="n">
        <v>45</v>
      </c>
      <c r="B46">
        <f>RAND()*4+1</f>
        <v/>
      </c>
      <c r="C46">
        <f>RAND()*4+1</f>
        <v/>
      </c>
      <c r="D46">
        <f>IF(OR(AND(B46&gt;3,C46&lt;4),AND(B46&lt;=3,C46&lt;2)),"Red","Black")</f>
        <v/>
      </c>
      <c r="E46" t="n">
        <v>3</v>
      </c>
      <c r="F46" t="n">
        <v>2</v>
      </c>
      <c r="G46" t="n">
        <v>4</v>
      </c>
      <c r="I46">
        <f>IF(D46="Red",B46,NA())</f>
        <v/>
      </c>
      <c r="J46">
        <f>IF(D46="Red",C46,NA())</f>
        <v/>
      </c>
      <c r="K46">
        <f>IF(D46="Black",B46,NA())</f>
        <v/>
      </c>
      <c r="L46">
        <f>IF(D46="Black",C46,NA())</f>
        <v/>
      </c>
    </row>
    <row r="47">
      <c r="A47" t="n">
        <v>46</v>
      </c>
      <c r="B47">
        <f>RAND()*4+1</f>
        <v/>
      </c>
      <c r="C47">
        <f>RAND()*4+1</f>
        <v/>
      </c>
      <c r="D47">
        <f>IF(OR(AND(B47&gt;3,C47&lt;4),AND(B47&lt;=3,C47&lt;2)),"Red","Black")</f>
        <v/>
      </c>
      <c r="E47" t="n">
        <v>3</v>
      </c>
      <c r="F47" t="n">
        <v>2</v>
      </c>
      <c r="G47" t="n">
        <v>4</v>
      </c>
      <c r="I47">
        <f>IF(D47="Red",B47,NA())</f>
        <v/>
      </c>
      <c r="J47">
        <f>IF(D47="Red",C47,NA())</f>
        <v/>
      </c>
      <c r="K47">
        <f>IF(D47="Black",B47,NA())</f>
        <v/>
      </c>
      <c r="L47">
        <f>IF(D47="Black",C47,NA())</f>
        <v/>
      </c>
    </row>
    <row r="48">
      <c r="A48" t="n">
        <v>47</v>
      </c>
      <c r="B48">
        <f>RAND()*4+1</f>
        <v/>
      </c>
      <c r="C48">
        <f>RAND()*4+1</f>
        <v/>
      </c>
      <c r="D48">
        <f>IF(OR(AND(B48&gt;3,C48&lt;4),AND(B48&lt;=3,C48&lt;2)),"Red","Black")</f>
        <v/>
      </c>
      <c r="E48" t="n">
        <v>3</v>
      </c>
      <c r="F48" t="n">
        <v>2</v>
      </c>
      <c r="G48" t="n">
        <v>4</v>
      </c>
      <c r="I48">
        <f>IF(D48="Red",B48,NA())</f>
        <v/>
      </c>
      <c r="J48">
        <f>IF(D48="Red",C48,NA())</f>
        <v/>
      </c>
      <c r="K48">
        <f>IF(D48="Black",B48,NA())</f>
        <v/>
      </c>
      <c r="L48">
        <f>IF(D48="Black",C48,NA())</f>
        <v/>
      </c>
    </row>
    <row r="49">
      <c r="A49" t="n">
        <v>48</v>
      </c>
      <c r="B49">
        <f>RAND()*4+1</f>
        <v/>
      </c>
      <c r="C49">
        <f>RAND()*4+1</f>
        <v/>
      </c>
      <c r="D49">
        <f>IF(OR(AND(B49&gt;3,C49&lt;4),AND(B49&lt;=3,C49&lt;2)),"Red","Black")</f>
        <v/>
      </c>
      <c r="E49" t="n">
        <v>3</v>
      </c>
      <c r="F49" t="n">
        <v>2</v>
      </c>
      <c r="G49" t="n">
        <v>4</v>
      </c>
      <c r="I49">
        <f>IF(D49="Red",B49,NA())</f>
        <v/>
      </c>
      <c r="J49">
        <f>IF(D49="Red",C49,NA())</f>
        <v/>
      </c>
      <c r="K49">
        <f>IF(D49="Black",B49,NA())</f>
        <v/>
      </c>
      <c r="L49">
        <f>IF(D49="Black",C49,NA())</f>
        <v/>
      </c>
    </row>
    <row r="50">
      <c r="A50" t="n">
        <v>49</v>
      </c>
      <c r="B50">
        <f>RAND()*4+1</f>
        <v/>
      </c>
      <c r="C50">
        <f>RAND()*4+1</f>
        <v/>
      </c>
      <c r="D50">
        <f>IF(OR(AND(B50&gt;3,C50&lt;4),AND(B50&lt;=3,C50&lt;2)),"Red","Black")</f>
        <v/>
      </c>
      <c r="E50" t="n">
        <v>3</v>
      </c>
      <c r="F50" t="n">
        <v>2</v>
      </c>
      <c r="G50" t="n">
        <v>4</v>
      </c>
      <c r="I50">
        <f>IF(D50="Red",B50,NA())</f>
        <v/>
      </c>
      <c r="J50">
        <f>IF(D50="Red",C50,NA())</f>
        <v/>
      </c>
      <c r="K50">
        <f>IF(D50="Black",B50,NA())</f>
        <v/>
      </c>
      <c r="L50">
        <f>IF(D50="Black",C50,NA())</f>
        <v/>
      </c>
    </row>
    <row r="51">
      <c r="A51" t="n">
        <v>50</v>
      </c>
      <c r="B51">
        <f>RAND()*4+1</f>
        <v/>
      </c>
      <c r="C51">
        <f>RAND()*4+1</f>
        <v/>
      </c>
      <c r="D51">
        <f>IF(OR(AND(B51&gt;3,C51&lt;4),AND(B51&lt;=3,C51&lt;2)),"Red","Black")</f>
        <v/>
      </c>
      <c r="E51" t="n">
        <v>3</v>
      </c>
      <c r="F51" t="n">
        <v>2</v>
      </c>
      <c r="G51" t="n">
        <v>4</v>
      </c>
      <c r="I51">
        <f>IF(D51="Red",B51,NA())</f>
        <v/>
      </c>
      <c r="J51">
        <f>IF(D51="Red",C51,NA())</f>
        <v/>
      </c>
      <c r="K51">
        <f>IF(D51="Black",B51,NA())</f>
        <v/>
      </c>
      <c r="L51">
        <f>IF(D51="Black",C51,NA())</f>
        <v/>
      </c>
    </row>
    <row r="52">
      <c r="A52" t="n">
        <v>51</v>
      </c>
      <c r="B52">
        <f>RAND()*4+1</f>
        <v/>
      </c>
      <c r="C52">
        <f>RAND()*4+1</f>
        <v/>
      </c>
      <c r="D52">
        <f>IF(OR(AND(B52&gt;3,C52&lt;4),AND(B52&lt;=3,C52&lt;2)),"Red","Black")</f>
        <v/>
      </c>
      <c r="E52" t="n">
        <v>3</v>
      </c>
      <c r="F52" t="n">
        <v>2</v>
      </c>
      <c r="G52" t="n">
        <v>4</v>
      </c>
      <c r="I52">
        <f>IF(D52="Red",B52,NA())</f>
        <v/>
      </c>
      <c r="J52">
        <f>IF(D52="Red",C52,NA())</f>
        <v/>
      </c>
      <c r="K52">
        <f>IF(D52="Black",B52,NA())</f>
        <v/>
      </c>
      <c r="L52">
        <f>IF(D52="Black",C52,NA())</f>
        <v/>
      </c>
    </row>
    <row r="53">
      <c r="A53" t="n">
        <v>52</v>
      </c>
      <c r="B53">
        <f>RAND()*4+1</f>
        <v/>
      </c>
      <c r="C53">
        <f>RAND()*4+1</f>
        <v/>
      </c>
      <c r="D53">
        <f>IF(OR(AND(B53&gt;3,C53&lt;4),AND(B53&lt;=3,C53&lt;2)),"Red","Black")</f>
        <v/>
      </c>
      <c r="E53" t="n">
        <v>3</v>
      </c>
      <c r="F53" t="n">
        <v>2</v>
      </c>
      <c r="G53" t="n">
        <v>4</v>
      </c>
      <c r="I53">
        <f>IF(D53="Red",B53,NA())</f>
        <v/>
      </c>
      <c r="J53">
        <f>IF(D53="Red",C53,NA())</f>
        <v/>
      </c>
      <c r="K53">
        <f>IF(D53="Black",B53,NA())</f>
        <v/>
      </c>
      <c r="L53">
        <f>IF(D53="Black",C53,NA())</f>
        <v/>
      </c>
    </row>
    <row r="54">
      <c r="A54" t="n">
        <v>53</v>
      </c>
      <c r="B54">
        <f>RAND()*4+1</f>
        <v/>
      </c>
      <c r="C54">
        <f>RAND()*4+1</f>
        <v/>
      </c>
      <c r="D54">
        <f>IF(OR(AND(B54&gt;3,C54&lt;4),AND(B54&lt;=3,C54&lt;2)),"Red","Black")</f>
        <v/>
      </c>
      <c r="E54" t="n">
        <v>3</v>
      </c>
      <c r="F54" t="n">
        <v>2</v>
      </c>
      <c r="G54" t="n">
        <v>4</v>
      </c>
      <c r="I54">
        <f>IF(D54="Red",B54,NA())</f>
        <v/>
      </c>
      <c r="J54">
        <f>IF(D54="Red",C54,NA())</f>
        <v/>
      </c>
      <c r="K54">
        <f>IF(D54="Black",B54,NA())</f>
        <v/>
      </c>
      <c r="L54">
        <f>IF(D54="Black",C54,NA())</f>
        <v/>
      </c>
    </row>
    <row r="55">
      <c r="A55" t="n">
        <v>54</v>
      </c>
      <c r="B55">
        <f>RAND()*4+1</f>
        <v/>
      </c>
      <c r="C55">
        <f>RAND()*4+1</f>
        <v/>
      </c>
      <c r="D55">
        <f>IF(OR(AND(B55&gt;3,C55&lt;4),AND(B55&lt;=3,C55&lt;2)),"Red","Black")</f>
        <v/>
      </c>
      <c r="E55" t="n">
        <v>3</v>
      </c>
      <c r="F55" t="n">
        <v>2</v>
      </c>
      <c r="G55" t="n">
        <v>4</v>
      </c>
      <c r="I55">
        <f>IF(D55="Red",B55,NA())</f>
        <v/>
      </c>
      <c r="J55">
        <f>IF(D55="Red",C55,NA())</f>
        <v/>
      </c>
      <c r="K55">
        <f>IF(D55="Black",B55,NA())</f>
        <v/>
      </c>
      <c r="L55">
        <f>IF(D55="Black",C55,NA())</f>
        <v/>
      </c>
    </row>
    <row r="56">
      <c r="A56" t="n">
        <v>55</v>
      </c>
      <c r="B56">
        <f>RAND()*4+1</f>
        <v/>
      </c>
      <c r="C56">
        <f>RAND()*4+1</f>
        <v/>
      </c>
      <c r="D56">
        <f>IF(OR(AND(B56&gt;3,C56&lt;4),AND(B56&lt;=3,C56&lt;2)),"Red","Black")</f>
        <v/>
      </c>
      <c r="E56" t="n">
        <v>3</v>
      </c>
      <c r="F56" t="n">
        <v>2</v>
      </c>
      <c r="G56" t="n">
        <v>4</v>
      </c>
      <c r="I56">
        <f>IF(D56="Red",B56,NA())</f>
        <v/>
      </c>
      <c r="J56">
        <f>IF(D56="Red",C56,NA())</f>
        <v/>
      </c>
      <c r="K56">
        <f>IF(D56="Black",B56,NA())</f>
        <v/>
      </c>
      <c r="L56">
        <f>IF(D56="Black",C56,NA())</f>
        <v/>
      </c>
    </row>
    <row r="57">
      <c r="A57" t="n">
        <v>56</v>
      </c>
      <c r="B57">
        <f>RAND()*4+1</f>
        <v/>
      </c>
      <c r="C57">
        <f>RAND()*4+1</f>
        <v/>
      </c>
      <c r="D57">
        <f>IF(OR(AND(B57&gt;3,C57&lt;4),AND(B57&lt;=3,C57&lt;2)),"Red","Black")</f>
        <v/>
      </c>
      <c r="E57" t="n">
        <v>3</v>
      </c>
      <c r="F57" t="n">
        <v>2</v>
      </c>
      <c r="G57" t="n">
        <v>4</v>
      </c>
      <c r="I57">
        <f>IF(D57="Red",B57,NA())</f>
        <v/>
      </c>
      <c r="J57">
        <f>IF(D57="Red",C57,NA())</f>
        <v/>
      </c>
      <c r="K57">
        <f>IF(D57="Black",B57,NA())</f>
        <v/>
      </c>
      <c r="L57">
        <f>IF(D57="Black",C57,NA())</f>
        <v/>
      </c>
    </row>
    <row r="58">
      <c r="A58" t="n">
        <v>57</v>
      </c>
      <c r="B58">
        <f>RAND()*4+1</f>
        <v/>
      </c>
      <c r="C58">
        <f>RAND()*4+1</f>
        <v/>
      </c>
      <c r="D58">
        <f>IF(OR(AND(B58&gt;3,C58&lt;4),AND(B58&lt;=3,C58&lt;2)),"Red","Black")</f>
        <v/>
      </c>
      <c r="E58" t="n">
        <v>3</v>
      </c>
      <c r="F58" t="n">
        <v>2</v>
      </c>
      <c r="G58" t="n">
        <v>4</v>
      </c>
      <c r="I58">
        <f>IF(D58="Red",B58,NA())</f>
        <v/>
      </c>
      <c r="J58">
        <f>IF(D58="Red",C58,NA())</f>
        <v/>
      </c>
      <c r="K58">
        <f>IF(D58="Black",B58,NA())</f>
        <v/>
      </c>
      <c r="L58">
        <f>IF(D58="Black",C58,NA())</f>
        <v/>
      </c>
    </row>
    <row r="59">
      <c r="A59" t="n">
        <v>58</v>
      </c>
      <c r="B59">
        <f>RAND()*4+1</f>
        <v/>
      </c>
      <c r="C59">
        <f>RAND()*4+1</f>
        <v/>
      </c>
      <c r="D59">
        <f>IF(OR(AND(B59&gt;3,C59&lt;4),AND(B59&lt;=3,C59&lt;2)),"Red","Black")</f>
        <v/>
      </c>
      <c r="E59" t="n">
        <v>3</v>
      </c>
      <c r="F59" t="n">
        <v>2</v>
      </c>
      <c r="G59" t="n">
        <v>4</v>
      </c>
      <c r="I59">
        <f>IF(D59="Red",B59,NA())</f>
        <v/>
      </c>
      <c r="J59">
        <f>IF(D59="Red",C59,NA())</f>
        <v/>
      </c>
      <c r="K59">
        <f>IF(D59="Black",B59,NA())</f>
        <v/>
      </c>
      <c r="L59">
        <f>IF(D59="Black",C59,NA())</f>
        <v/>
      </c>
    </row>
    <row r="60">
      <c r="A60" t="n">
        <v>59</v>
      </c>
      <c r="B60">
        <f>RAND()*4+1</f>
        <v/>
      </c>
      <c r="C60">
        <f>RAND()*4+1</f>
        <v/>
      </c>
      <c r="D60">
        <f>IF(OR(AND(B60&gt;3,C60&lt;4),AND(B60&lt;=3,C60&lt;2)),"Red","Black")</f>
        <v/>
      </c>
      <c r="E60" t="n">
        <v>3</v>
      </c>
      <c r="F60" t="n">
        <v>2</v>
      </c>
      <c r="G60" t="n">
        <v>4</v>
      </c>
      <c r="I60">
        <f>IF(D60="Red",B60,NA())</f>
        <v/>
      </c>
      <c r="J60">
        <f>IF(D60="Red",C60,NA())</f>
        <v/>
      </c>
      <c r="K60">
        <f>IF(D60="Black",B60,NA())</f>
        <v/>
      </c>
      <c r="L60">
        <f>IF(D60="Black",C60,NA())</f>
        <v/>
      </c>
    </row>
    <row r="61">
      <c r="A61" t="n">
        <v>60</v>
      </c>
      <c r="B61">
        <f>RAND()*4+1</f>
        <v/>
      </c>
      <c r="C61">
        <f>RAND()*4+1</f>
        <v/>
      </c>
      <c r="D61">
        <f>IF(OR(AND(B61&gt;3,C61&lt;4),AND(B61&lt;=3,C61&lt;2)),"Red","Black")</f>
        <v/>
      </c>
      <c r="E61" t="n">
        <v>3</v>
      </c>
      <c r="F61" t="n">
        <v>2</v>
      </c>
      <c r="G61" t="n">
        <v>4</v>
      </c>
      <c r="I61">
        <f>IF(D61="Red",B61,NA())</f>
        <v/>
      </c>
      <c r="J61">
        <f>IF(D61="Red",C61,NA())</f>
        <v/>
      </c>
      <c r="K61">
        <f>IF(D61="Black",B61,NA())</f>
        <v/>
      </c>
      <c r="L61">
        <f>IF(D61="Black",C61,NA())</f>
        <v/>
      </c>
    </row>
    <row r="62">
      <c r="A62" t="n">
        <v>61</v>
      </c>
      <c r="B62">
        <f>RAND()*4+1</f>
        <v/>
      </c>
      <c r="C62">
        <f>RAND()*4+1</f>
        <v/>
      </c>
      <c r="D62">
        <f>IF(OR(AND(B62&gt;3,C62&lt;4),AND(B62&lt;=3,C62&lt;2)),"Red","Black")</f>
        <v/>
      </c>
      <c r="E62" t="n">
        <v>3</v>
      </c>
      <c r="F62" t="n">
        <v>2</v>
      </c>
      <c r="G62" t="n">
        <v>4</v>
      </c>
      <c r="I62">
        <f>IF(D62="Red",B62,NA())</f>
        <v/>
      </c>
      <c r="J62">
        <f>IF(D62="Red",C62,NA())</f>
        <v/>
      </c>
      <c r="K62">
        <f>IF(D62="Black",B62,NA())</f>
        <v/>
      </c>
      <c r="L62">
        <f>IF(D62="Black",C62,NA())</f>
        <v/>
      </c>
    </row>
    <row r="63">
      <c r="A63" t="n">
        <v>62</v>
      </c>
      <c r="B63">
        <f>RAND()*4+1</f>
        <v/>
      </c>
      <c r="C63">
        <f>RAND()*4+1</f>
        <v/>
      </c>
      <c r="D63">
        <f>IF(OR(AND(B63&gt;3,C63&lt;4),AND(B63&lt;=3,C63&lt;2)),"Red","Black")</f>
        <v/>
      </c>
      <c r="E63" t="n">
        <v>3</v>
      </c>
      <c r="F63" t="n">
        <v>2</v>
      </c>
      <c r="G63" t="n">
        <v>4</v>
      </c>
      <c r="I63">
        <f>IF(D63="Red",B63,NA())</f>
        <v/>
      </c>
      <c r="J63">
        <f>IF(D63="Red",C63,NA())</f>
        <v/>
      </c>
      <c r="K63">
        <f>IF(D63="Black",B63,NA())</f>
        <v/>
      </c>
      <c r="L63">
        <f>IF(D63="Black",C63,NA())</f>
        <v/>
      </c>
    </row>
    <row r="64">
      <c r="A64" t="n">
        <v>63</v>
      </c>
      <c r="B64">
        <f>RAND()*4+1</f>
        <v/>
      </c>
      <c r="C64">
        <f>RAND()*4+1</f>
        <v/>
      </c>
      <c r="D64">
        <f>IF(OR(AND(B64&gt;3,C64&lt;4),AND(B64&lt;=3,C64&lt;2)),"Red","Black")</f>
        <v/>
      </c>
      <c r="E64" t="n">
        <v>3</v>
      </c>
      <c r="F64" t="n">
        <v>2</v>
      </c>
      <c r="G64" t="n">
        <v>4</v>
      </c>
      <c r="I64">
        <f>IF(D64="Red",B64,NA())</f>
        <v/>
      </c>
      <c r="J64">
        <f>IF(D64="Red",C64,NA())</f>
        <v/>
      </c>
      <c r="K64">
        <f>IF(D64="Black",B64,NA())</f>
        <v/>
      </c>
      <c r="L64">
        <f>IF(D64="Black",C64,NA())</f>
        <v/>
      </c>
    </row>
    <row r="65">
      <c r="A65" t="n">
        <v>64</v>
      </c>
      <c r="B65">
        <f>RAND()*4+1</f>
        <v/>
      </c>
      <c r="C65">
        <f>RAND()*4+1</f>
        <v/>
      </c>
      <c r="D65">
        <f>IF(OR(AND(B65&gt;3,C65&lt;4),AND(B65&lt;=3,C65&lt;2)),"Red","Black")</f>
        <v/>
      </c>
      <c r="E65" t="n">
        <v>3</v>
      </c>
      <c r="F65" t="n">
        <v>2</v>
      </c>
      <c r="G65" t="n">
        <v>4</v>
      </c>
      <c r="I65">
        <f>IF(D65="Red",B65,NA())</f>
        <v/>
      </c>
      <c r="J65">
        <f>IF(D65="Red",C65,NA())</f>
        <v/>
      </c>
      <c r="K65">
        <f>IF(D65="Black",B65,NA())</f>
        <v/>
      </c>
      <c r="L65">
        <f>IF(D65="Black",C65,NA())</f>
        <v/>
      </c>
    </row>
    <row r="66">
      <c r="A66" t="n">
        <v>65</v>
      </c>
      <c r="B66">
        <f>RAND()*4+1</f>
        <v/>
      </c>
      <c r="C66">
        <f>RAND()*4+1</f>
        <v/>
      </c>
      <c r="D66">
        <f>IF(OR(AND(B66&gt;3,C66&lt;4),AND(B66&lt;=3,C66&lt;2)),"Red","Black")</f>
        <v/>
      </c>
      <c r="E66" t="n">
        <v>3</v>
      </c>
      <c r="F66" t="n">
        <v>2</v>
      </c>
      <c r="G66" t="n">
        <v>4</v>
      </c>
      <c r="I66">
        <f>IF(D66="Red",B66,NA())</f>
        <v/>
      </c>
      <c r="J66">
        <f>IF(D66="Red",C66,NA())</f>
        <v/>
      </c>
      <c r="K66">
        <f>IF(D66="Black",B66,NA())</f>
        <v/>
      </c>
      <c r="L66">
        <f>IF(D66="Black",C66,NA())</f>
        <v/>
      </c>
    </row>
    <row r="67">
      <c r="A67" t="n">
        <v>66</v>
      </c>
      <c r="B67">
        <f>RAND()*4+1</f>
        <v/>
      </c>
      <c r="C67">
        <f>RAND()*4+1</f>
        <v/>
      </c>
      <c r="D67">
        <f>IF(OR(AND(B67&gt;3,C67&lt;4),AND(B67&lt;=3,C67&lt;2)),"Red","Black")</f>
        <v/>
      </c>
      <c r="E67" t="n">
        <v>3</v>
      </c>
      <c r="F67" t="n">
        <v>2</v>
      </c>
      <c r="G67" t="n">
        <v>4</v>
      </c>
      <c r="I67">
        <f>IF(D67="Red",B67,NA())</f>
        <v/>
      </c>
      <c r="J67">
        <f>IF(D67="Red",C67,NA())</f>
        <v/>
      </c>
      <c r="K67">
        <f>IF(D67="Black",B67,NA())</f>
        <v/>
      </c>
      <c r="L67">
        <f>IF(D67="Black",C67,NA())</f>
        <v/>
      </c>
    </row>
    <row r="68">
      <c r="A68" t="n">
        <v>67</v>
      </c>
      <c r="B68">
        <f>RAND()*4+1</f>
        <v/>
      </c>
      <c r="C68">
        <f>RAND()*4+1</f>
        <v/>
      </c>
      <c r="D68">
        <f>IF(OR(AND(B68&gt;3,C68&lt;4),AND(B68&lt;=3,C68&lt;2)),"Red","Black")</f>
        <v/>
      </c>
      <c r="E68" t="n">
        <v>3</v>
      </c>
      <c r="F68" t="n">
        <v>2</v>
      </c>
      <c r="G68" t="n">
        <v>4</v>
      </c>
      <c r="I68">
        <f>IF(D68="Red",B68,NA())</f>
        <v/>
      </c>
      <c r="J68">
        <f>IF(D68="Red",C68,NA())</f>
        <v/>
      </c>
      <c r="K68">
        <f>IF(D68="Black",B68,NA())</f>
        <v/>
      </c>
      <c r="L68">
        <f>IF(D68="Black",C68,NA())</f>
        <v/>
      </c>
    </row>
    <row r="69">
      <c r="A69" t="n">
        <v>68</v>
      </c>
      <c r="B69">
        <f>RAND()*4+1</f>
        <v/>
      </c>
      <c r="C69">
        <f>RAND()*4+1</f>
        <v/>
      </c>
      <c r="D69">
        <f>IF(OR(AND(B69&gt;3,C69&lt;4),AND(B69&lt;=3,C69&lt;2)),"Red","Black")</f>
        <v/>
      </c>
      <c r="E69" t="n">
        <v>3</v>
      </c>
      <c r="F69" t="n">
        <v>2</v>
      </c>
      <c r="G69" t="n">
        <v>4</v>
      </c>
      <c r="I69">
        <f>IF(D69="Red",B69,NA())</f>
        <v/>
      </c>
      <c r="J69">
        <f>IF(D69="Red",C69,NA())</f>
        <v/>
      </c>
      <c r="K69">
        <f>IF(D69="Black",B69,NA())</f>
        <v/>
      </c>
      <c r="L69">
        <f>IF(D69="Black",C69,NA())</f>
        <v/>
      </c>
    </row>
    <row r="70">
      <c r="A70" t="n">
        <v>69</v>
      </c>
      <c r="B70">
        <f>RAND()*4+1</f>
        <v/>
      </c>
      <c r="C70">
        <f>RAND()*4+1</f>
        <v/>
      </c>
      <c r="D70">
        <f>IF(OR(AND(B70&gt;3,C70&lt;4),AND(B70&lt;=3,C70&lt;2)),"Red","Black")</f>
        <v/>
      </c>
      <c r="E70" t="n">
        <v>3</v>
      </c>
      <c r="F70" t="n">
        <v>2</v>
      </c>
      <c r="G70" t="n">
        <v>4</v>
      </c>
      <c r="I70">
        <f>IF(D70="Red",B70,NA())</f>
        <v/>
      </c>
      <c r="J70">
        <f>IF(D70="Red",C70,NA())</f>
        <v/>
      </c>
      <c r="K70">
        <f>IF(D70="Black",B70,NA())</f>
        <v/>
      </c>
      <c r="L70">
        <f>IF(D70="Black",C70,NA())</f>
        <v/>
      </c>
    </row>
    <row r="71">
      <c r="A71" t="n">
        <v>70</v>
      </c>
      <c r="B71">
        <f>RAND()*4+1</f>
        <v/>
      </c>
      <c r="C71">
        <f>RAND()*4+1</f>
        <v/>
      </c>
      <c r="D71">
        <f>IF(OR(AND(B71&gt;3,C71&lt;4),AND(B71&lt;=3,C71&lt;2)),"Red","Black")</f>
        <v/>
      </c>
      <c r="E71" t="n">
        <v>3</v>
      </c>
      <c r="F71" t="n">
        <v>2</v>
      </c>
      <c r="G71" t="n">
        <v>4</v>
      </c>
      <c r="I71">
        <f>IF(D71="Red",B71,NA())</f>
        <v/>
      </c>
      <c r="J71">
        <f>IF(D71="Red",C71,NA())</f>
        <v/>
      </c>
      <c r="K71">
        <f>IF(D71="Black",B71,NA())</f>
        <v/>
      </c>
      <c r="L71">
        <f>IF(D71="Black",C71,NA())</f>
        <v/>
      </c>
    </row>
    <row r="72">
      <c r="A72" t="n">
        <v>71</v>
      </c>
      <c r="B72">
        <f>RAND()*4+1</f>
        <v/>
      </c>
      <c r="C72">
        <f>RAND()*4+1</f>
        <v/>
      </c>
      <c r="D72">
        <f>IF(OR(AND(B72&gt;3,C72&lt;4),AND(B72&lt;=3,C72&lt;2)),"Red","Black")</f>
        <v/>
      </c>
      <c r="E72" t="n">
        <v>3</v>
      </c>
      <c r="F72" t="n">
        <v>2</v>
      </c>
      <c r="G72" t="n">
        <v>4</v>
      </c>
      <c r="I72">
        <f>IF(D72="Red",B72,NA())</f>
        <v/>
      </c>
      <c r="J72">
        <f>IF(D72="Red",C72,NA())</f>
        <v/>
      </c>
      <c r="K72">
        <f>IF(D72="Black",B72,NA())</f>
        <v/>
      </c>
      <c r="L72">
        <f>IF(D72="Black",C72,NA())</f>
        <v/>
      </c>
    </row>
    <row r="73">
      <c r="A73" t="n">
        <v>72</v>
      </c>
      <c r="B73">
        <f>RAND()*4+1</f>
        <v/>
      </c>
      <c r="C73">
        <f>RAND()*4+1</f>
        <v/>
      </c>
      <c r="D73">
        <f>IF(OR(AND(B73&gt;3,C73&lt;4),AND(B73&lt;=3,C73&lt;2)),"Red","Black")</f>
        <v/>
      </c>
      <c r="E73" t="n">
        <v>3</v>
      </c>
      <c r="F73" t="n">
        <v>2</v>
      </c>
      <c r="G73" t="n">
        <v>4</v>
      </c>
      <c r="I73">
        <f>IF(D73="Red",B73,NA())</f>
        <v/>
      </c>
      <c r="J73">
        <f>IF(D73="Red",C73,NA())</f>
        <v/>
      </c>
      <c r="K73">
        <f>IF(D73="Black",B73,NA())</f>
        <v/>
      </c>
      <c r="L73">
        <f>IF(D73="Black",C73,NA())</f>
        <v/>
      </c>
    </row>
    <row r="74">
      <c r="A74" t="n">
        <v>73</v>
      </c>
      <c r="B74">
        <f>RAND()*4+1</f>
        <v/>
      </c>
      <c r="C74">
        <f>RAND()*4+1</f>
        <v/>
      </c>
      <c r="D74">
        <f>IF(OR(AND(B74&gt;3,C74&lt;4),AND(B74&lt;=3,C74&lt;2)),"Red","Black")</f>
        <v/>
      </c>
      <c r="E74" t="n">
        <v>3</v>
      </c>
      <c r="F74" t="n">
        <v>2</v>
      </c>
      <c r="G74" t="n">
        <v>4</v>
      </c>
      <c r="I74">
        <f>IF(D74="Red",B74,NA())</f>
        <v/>
      </c>
      <c r="J74">
        <f>IF(D74="Red",C74,NA())</f>
        <v/>
      </c>
      <c r="K74">
        <f>IF(D74="Black",B74,NA())</f>
        <v/>
      </c>
      <c r="L74">
        <f>IF(D74="Black",C74,NA())</f>
        <v/>
      </c>
    </row>
    <row r="75">
      <c r="A75" t="n">
        <v>74</v>
      </c>
      <c r="B75">
        <f>RAND()*4+1</f>
        <v/>
      </c>
      <c r="C75">
        <f>RAND()*4+1</f>
        <v/>
      </c>
      <c r="D75">
        <f>IF(OR(AND(B75&gt;3,C75&lt;4),AND(B75&lt;=3,C75&lt;2)),"Red","Black")</f>
        <v/>
      </c>
      <c r="E75" t="n">
        <v>3</v>
      </c>
      <c r="F75" t="n">
        <v>2</v>
      </c>
      <c r="G75" t="n">
        <v>4</v>
      </c>
      <c r="I75">
        <f>IF(D75="Red",B75,NA())</f>
        <v/>
      </c>
      <c r="J75">
        <f>IF(D75="Red",C75,NA())</f>
        <v/>
      </c>
      <c r="K75">
        <f>IF(D75="Black",B75,NA())</f>
        <v/>
      </c>
      <c r="L75">
        <f>IF(D75="Black",C75,NA())</f>
        <v/>
      </c>
    </row>
    <row r="76">
      <c r="A76" t="n">
        <v>75</v>
      </c>
      <c r="B76">
        <f>RAND()*4+1</f>
        <v/>
      </c>
      <c r="C76">
        <f>RAND()*4+1</f>
        <v/>
      </c>
      <c r="D76">
        <f>IF(OR(AND(B76&gt;3,C76&lt;4),AND(B76&lt;=3,C76&lt;2)),"Red","Black")</f>
        <v/>
      </c>
      <c r="E76" t="n">
        <v>3</v>
      </c>
      <c r="F76" t="n">
        <v>2</v>
      </c>
      <c r="G76" t="n">
        <v>4</v>
      </c>
      <c r="I76">
        <f>IF(D76="Red",B76,NA())</f>
        <v/>
      </c>
      <c r="J76">
        <f>IF(D76="Red",C76,NA())</f>
        <v/>
      </c>
      <c r="K76">
        <f>IF(D76="Black",B76,NA())</f>
        <v/>
      </c>
      <c r="L76">
        <f>IF(D76="Black",C76,NA())</f>
        <v/>
      </c>
    </row>
    <row r="77">
      <c r="A77" t="n">
        <v>76</v>
      </c>
      <c r="B77">
        <f>RAND()*4+1</f>
        <v/>
      </c>
      <c r="C77">
        <f>RAND()*4+1</f>
        <v/>
      </c>
      <c r="D77">
        <f>IF(OR(AND(B77&gt;3,C77&lt;4),AND(B77&lt;=3,C77&lt;2)),"Red","Black")</f>
        <v/>
      </c>
      <c r="E77" t="n">
        <v>3</v>
      </c>
      <c r="F77" t="n">
        <v>2</v>
      </c>
      <c r="G77" t="n">
        <v>4</v>
      </c>
      <c r="I77">
        <f>IF(D77="Red",B77,NA())</f>
        <v/>
      </c>
      <c r="J77">
        <f>IF(D77="Red",C77,NA())</f>
        <v/>
      </c>
      <c r="K77">
        <f>IF(D77="Black",B77,NA())</f>
        <v/>
      </c>
      <c r="L77">
        <f>IF(D77="Black",C77,NA())</f>
        <v/>
      </c>
    </row>
    <row r="78">
      <c r="A78" t="n">
        <v>77</v>
      </c>
      <c r="B78">
        <f>RAND()*4+1</f>
        <v/>
      </c>
      <c r="C78">
        <f>RAND()*4+1</f>
        <v/>
      </c>
      <c r="D78">
        <f>IF(OR(AND(B78&gt;3,C78&lt;4),AND(B78&lt;=3,C78&lt;2)),"Red","Black")</f>
        <v/>
      </c>
      <c r="E78" t="n">
        <v>3</v>
      </c>
      <c r="F78" t="n">
        <v>2</v>
      </c>
      <c r="G78" t="n">
        <v>4</v>
      </c>
      <c r="I78">
        <f>IF(D78="Red",B78,NA())</f>
        <v/>
      </c>
      <c r="J78">
        <f>IF(D78="Red",C78,NA())</f>
        <v/>
      </c>
      <c r="K78">
        <f>IF(D78="Black",B78,NA())</f>
        <v/>
      </c>
      <c r="L78">
        <f>IF(D78="Black",C78,NA())</f>
        <v/>
      </c>
    </row>
    <row r="79">
      <c r="A79" t="n">
        <v>78</v>
      </c>
      <c r="B79">
        <f>RAND()*4+1</f>
        <v/>
      </c>
      <c r="C79">
        <f>RAND()*4+1</f>
        <v/>
      </c>
      <c r="D79">
        <f>IF(OR(AND(B79&gt;3,C79&lt;4),AND(B79&lt;=3,C79&lt;2)),"Red","Black")</f>
        <v/>
      </c>
      <c r="E79" t="n">
        <v>3</v>
      </c>
      <c r="F79" t="n">
        <v>2</v>
      </c>
      <c r="G79" t="n">
        <v>4</v>
      </c>
      <c r="I79">
        <f>IF(D79="Red",B79,NA())</f>
        <v/>
      </c>
      <c r="J79">
        <f>IF(D79="Red",C79,NA())</f>
        <v/>
      </c>
      <c r="K79">
        <f>IF(D79="Black",B79,NA())</f>
        <v/>
      </c>
      <c r="L79">
        <f>IF(D79="Black",C79,NA())</f>
        <v/>
      </c>
    </row>
    <row r="80">
      <c r="A80" t="n">
        <v>79</v>
      </c>
      <c r="B80">
        <f>RAND()*4+1</f>
        <v/>
      </c>
      <c r="C80">
        <f>RAND()*4+1</f>
        <v/>
      </c>
      <c r="D80">
        <f>IF(OR(AND(B80&gt;3,C80&lt;4),AND(B80&lt;=3,C80&lt;2)),"Red","Black")</f>
        <v/>
      </c>
      <c r="E80" t="n">
        <v>3</v>
      </c>
      <c r="F80" t="n">
        <v>2</v>
      </c>
      <c r="G80" t="n">
        <v>4</v>
      </c>
      <c r="I80">
        <f>IF(D80="Red",B80,NA())</f>
        <v/>
      </c>
      <c r="J80">
        <f>IF(D80="Red",C80,NA())</f>
        <v/>
      </c>
      <c r="K80">
        <f>IF(D80="Black",B80,NA())</f>
        <v/>
      </c>
      <c r="L80">
        <f>IF(D80="Black",C80,NA())</f>
        <v/>
      </c>
    </row>
    <row r="81">
      <c r="A81" t="n">
        <v>80</v>
      </c>
      <c r="B81">
        <f>RAND()*4+1</f>
        <v/>
      </c>
      <c r="C81">
        <f>RAND()*4+1</f>
        <v/>
      </c>
      <c r="D81">
        <f>IF(OR(AND(B81&gt;3,C81&lt;4),AND(B81&lt;=3,C81&lt;2)),"Red","Black")</f>
        <v/>
      </c>
      <c r="E81" t="n">
        <v>3</v>
      </c>
      <c r="F81" t="n">
        <v>2</v>
      </c>
      <c r="G81" t="n">
        <v>4</v>
      </c>
      <c r="I81">
        <f>IF(D81="Red",B81,NA())</f>
        <v/>
      </c>
      <c r="J81">
        <f>IF(D81="Red",C81,NA())</f>
        <v/>
      </c>
      <c r="K81">
        <f>IF(D81="Black",B81,NA())</f>
        <v/>
      </c>
      <c r="L81">
        <f>IF(D81="Black",C81,NA())</f>
        <v/>
      </c>
    </row>
    <row r="82">
      <c r="A82" t="n">
        <v>81</v>
      </c>
      <c r="B82">
        <f>RAND()*4+1</f>
        <v/>
      </c>
      <c r="C82">
        <f>RAND()*4+1</f>
        <v/>
      </c>
      <c r="D82">
        <f>IF(OR(AND(B82&gt;3,C82&lt;4),AND(B82&lt;=3,C82&lt;2)),"Red","Black")</f>
        <v/>
      </c>
      <c r="E82" t="n">
        <v>3</v>
      </c>
      <c r="F82" t="n">
        <v>2</v>
      </c>
      <c r="G82" t="n">
        <v>4</v>
      </c>
      <c r="I82">
        <f>IF(D82="Red",B82,NA())</f>
        <v/>
      </c>
      <c r="J82">
        <f>IF(D82="Red",C82,NA())</f>
        <v/>
      </c>
      <c r="K82">
        <f>IF(D82="Black",B82,NA())</f>
        <v/>
      </c>
      <c r="L82">
        <f>IF(D82="Black",C82,NA())</f>
        <v/>
      </c>
    </row>
    <row r="83">
      <c r="A83" t="n">
        <v>82</v>
      </c>
      <c r="B83">
        <f>RAND()*4+1</f>
        <v/>
      </c>
      <c r="C83">
        <f>RAND()*4+1</f>
        <v/>
      </c>
      <c r="D83">
        <f>IF(OR(AND(B83&gt;3,C83&lt;4),AND(B83&lt;=3,C83&lt;2)),"Red","Black")</f>
        <v/>
      </c>
      <c r="E83" t="n">
        <v>3</v>
      </c>
      <c r="F83" t="n">
        <v>2</v>
      </c>
      <c r="G83" t="n">
        <v>4</v>
      </c>
      <c r="I83">
        <f>IF(D83="Red",B83,NA())</f>
        <v/>
      </c>
      <c r="J83">
        <f>IF(D83="Red",C83,NA())</f>
        <v/>
      </c>
      <c r="K83">
        <f>IF(D83="Black",B83,NA())</f>
        <v/>
      </c>
      <c r="L83">
        <f>IF(D83="Black",C83,NA())</f>
        <v/>
      </c>
    </row>
    <row r="84">
      <c r="A84" t="n">
        <v>83</v>
      </c>
      <c r="B84">
        <f>RAND()*4+1</f>
        <v/>
      </c>
      <c r="C84">
        <f>RAND()*4+1</f>
        <v/>
      </c>
      <c r="D84">
        <f>IF(OR(AND(B84&gt;3,C84&lt;4),AND(B84&lt;=3,C84&lt;2)),"Red","Black")</f>
        <v/>
      </c>
      <c r="E84" t="n">
        <v>3</v>
      </c>
      <c r="F84" t="n">
        <v>2</v>
      </c>
      <c r="G84" t="n">
        <v>4</v>
      </c>
      <c r="I84">
        <f>IF(D84="Red",B84,NA())</f>
        <v/>
      </c>
      <c r="J84">
        <f>IF(D84="Red",C84,NA())</f>
        <v/>
      </c>
      <c r="K84">
        <f>IF(D84="Black",B84,NA())</f>
        <v/>
      </c>
      <c r="L84">
        <f>IF(D84="Black",C84,NA())</f>
        <v/>
      </c>
    </row>
    <row r="85">
      <c r="A85" t="n">
        <v>84</v>
      </c>
      <c r="B85">
        <f>RAND()*4+1</f>
        <v/>
      </c>
      <c r="C85">
        <f>RAND()*4+1</f>
        <v/>
      </c>
      <c r="D85">
        <f>IF(OR(AND(B85&gt;3,C85&lt;4),AND(B85&lt;=3,C85&lt;2)),"Red","Black")</f>
        <v/>
      </c>
      <c r="E85" t="n">
        <v>3</v>
      </c>
      <c r="F85" t="n">
        <v>2</v>
      </c>
      <c r="G85" t="n">
        <v>4</v>
      </c>
      <c r="I85">
        <f>IF(D85="Red",B85,NA())</f>
        <v/>
      </c>
      <c r="J85">
        <f>IF(D85="Red",C85,NA())</f>
        <v/>
      </c>
      <c r="K85">
        <f>IF(D85="Black",B85,NA())</f>
        <v/>
      </c>
      <c r="L85">
        <f>IF(D85="Black",C85,NA())</f>
        <v/>
      </c>
    </row>
    <row r="86">
      <c r="A86" t="n">
        <v>85</v>
      </c>
      <c r="B86">
        <f>RAND()*4+1</f>
        <v/>
      </c>
      <c r="C86">
        <f>RAND()*4+1</f>
        <v/>
      </c>
      <c r="D86">
        <f>IF(OR(AND(B86&gt;3,C86&lt;4),AND(B86&lt;=3,C86&lt;2)),"Red","Black")</f>
        <v/>
      </c>
      <c r="E86" t="n">
        <v>3</v>
      </c>
      <c r="F86" t="n">
        <v>2</v>
      </c>
      <c r="G86" t="n">
        <v>4</v>
      </c>
      <c r="I86">
        <f>IF(D86="Red",B86,NA())</f>
        <v/>
      </c>
      <c r="J86">
        <f>IF(D86="Red",C86,NA())</f>
        <v/>
      </c>
      <c r="K86">
        <f>IF(D86="Black",B86,NA())</f>
        <v/>
      </c>
      <c r="L86">
        <f>IF(D86="Black",C86,NA())</f>
        <v/>
      </c>
    </row>
    <row r="87">
      <c r="A87" t="n">
        <v>86</v>
      </c>
      <c r="B87">
        <f>RAND()*4+1</f>
        <v/>
      </c>
      <c r="C87">
        <f>RAND()*4+1</f>
        <v/>
      </c>
      <c r="D87">
        <f>IF(OR(AND(B87&gt;3,C87&lt;4),AND(B87&lt;=3,C87&lt;2)),"Red","Black")</f>
        <v/>
      </c>
      <c r="E87" t="n">
        <v>3</v>
      </c>
      <c r="F87" t="n">
        <v>2</v>
      </c>
      <c r="G87" t="n">
        <v>4</v>
      </c>
      <c r="I87">
        <f>IF(D87="Red",B87,NA())</f>
        <v/>
      </c>
      <c r="J87">
        <f>IF(D87="Red",C87,NA())</f>
        <v/>
      </c>
      <c r="K87">
        <f>IF(D87="Black",B87,NA())</f>
        <v/>
      </c>
      <c r="L87">
        <f>IF(D87="Black",C87,NA())</f>
        <v/>
      </c>
    </row>
    <row r="88">
      <c r="A88" t="n">
        <v>87</v>
      </c>
      <c r="B88">
        <f>RAND()*4+1</f>
        <v/>
      </c>
      <c r="C88">
        <f>RAND()*4+1</f>
        <v/>
      </c>
      <c r="D88">
        <f>IF(OR(AND(B88&gt;3,C88&lt;4),AND(B88&lt;=3,C88&lt;2)),"Red","Black")</f>
        <v/>
      </c>
      <c r="E88" t="n">
        <v>3</v>
      </c>
      <c r="F88" t="n">
        <v>2</v>
      </c>
      <c r="G88" t="n">
        <v>4</v>
      </c>
      <c r="I88">
        <f>IF(D88="Red",B88,NA())</f>
        <v/>
      </c>
      <c r="J88">
        <f>IF(D88="Red",C88,NA())</f>
        <v/>
      </c>
      <c r="K88">
        <f>IF(D88="Black",B88,NA())</f>
        <v/>
      </c>
      <c r="L88">
        <f>IF(D88="Black",C88,NA())</f>
        <v/>
      </c>
    </row>
    <row r="89">
      <c r="A89" t="n">
        <v>88</v>
      </c>
      <c r="B89">
        <f>RAND()*4+1</f>
        <v/>
      </c>
      <c r="C89">
        <f>RAND()*4+1</f>
        <v/>
      </c>
      <c r="D89">
        <f>IF(OR(AND(B89&gt;3,C89&lt;4),AND(B89&lt;=3,C89&lt;2)),"Red","Black")</f>
        <v/>
      </c>
      <c r="E89" t="n">
        <v>3</v>
      </c>
      <c r="F89" t="n">
        <v>2</v>
      </c>
      <c r="G89" t="n">
        <v>4</v>
      </c>
      <c r="I89">
        <f>IF(D89="Red",B89,NA())</f>
        <v/>
      </c>
      <c r="J89">
        <f>IF(D89="Red",C89,NA())</f>
        <v/>
      </c>
      <c r="K89">
        <f>IF(D89="Black",B89,NA())</f>
        <v/>
      </c>
      <c r="L89">
        <f>IF(D89="Black",C89,NA())</f>
        <v/>
      </c>
    </row>
    <row r="90">
      <c r="A90" t="n">
        <v>89</v>
      </c>
      <c r="B90">
        <f>RAND()*4+1</f>
        <v/>
      </c>
      <c r="C90">
        <f>RAND()*4+1</f>
        <v/>
      </c>
      <c r="D90">
        <f>IF(OR(AND(B90&gt;3,C90&lt;4),AND(B90&lt;=3,C90&lt;2)),"Red","Black")</f>
        <v/>
      </c>
      <c r="E90" t="n">
        <v>3</v>
      </c>
      <c r="F90" t="n">
        <v>2</v>
      </c>
      <c r="G90" t="n">
        <v>4</v>
      </c>
      <c r="I90">
        <f>IF(D90="Red",B90,NA())</f>
        <v/>
      </c>
      <c r="J90">
        <f>IF(D90="Red",C90,NA())</f>
        <v/>
      </c>
      <c r="K90">
        <f>IF(D90="Black",B90,NA())</f>
        <v/>
      </c>
      <c r="L90">
        <f>IF(D90="Black",C90,NA())</f>
        <v/>
      </c>
    </row>
    <row r="91">
      <c r="A91" t="n">
        <v>90</v>
      </c>
      <c r="B91">
        <f>RAND()*4+1</f>
        <v/>
      </c>
      <c r="C91">
        <f>RAND()*4+1</f>
        <v/>
      </c>
      <c r="D91">
        <f>IF(OR(AND(B91&gt;3,C91&lt;4),AND(B91&lt;=3,C91&lt;2)),"Red","Black")</f>
        <v/>
      </c>
      <c r="E91" t="n">
        <v>3</v>
      </c>
      <c r="F91" t="n">
        <v>2</v>
      </c>
      <c r="G91" t="n">
        <v>4</v>
      </c>
      <c r="I91">
        <f>IF(D91="Red",B91,NA())</f>
        <v/>
      </c>
      <c r="J91">
        <f>IF(D91="Red",C91,NA())</f>
        <v/>
      </c>
      <c r="K91">
        <f>IF(D91="Black",B91,NA())</f>
        <v/>
      </c>
      <c r="L91">
        <f>IF(D91="Black",C91,NA())</f>
        <v/>
      </c>
    </row>
    <row r="92">
      <c r="A92" t="n">
        <v>91</v>
      </c>
      <c r="B92">
        <f>RAND()*4+1</f>
        <v/>
      </c>
      <c r="C92">
        <f>RAND()*4+1</f>
        <v/>
      </c>
      <c r="D92">
        <f>IF(OR(AND(B92&gt;3,C92&lt;4),AND(B92&lt;=3,C92&lt;2)),"Red","Black")</f>
        <v/>
      </c>
      <c r="E92" t="n">
        <v>3</v>
      </c>
      <c r="F92" t="n">
        <v>2</v>
      </c>
      <c r="G92" t="n">
        <v>4</v>
      </c>
      <c r="I92">
        <f>IF(D92="Red",B92,NA())</f>
        <v/>
      </c>
      <c r="J92">
        <f>IF(D92="Red",C92,NA())</f>
        <v/>
      </c>
      <c r="K92">
        <f>IF(D92="Black",B92,NA())</f>
        <v/>
      </c>
      <c r="L92">
        <f>IF(D92="Black",C92,NA())</f>
        <v/>
      </c>
    </row>
    <row r="93">
      <c r="A93" t="n">
        <v>92</v>
      </c>
      <c r="B93">
        <f>RAND()*4+1</f>
        <v/>
      </c>
      <c r="C93">
        <f>RAND()*4+1</f>
        <v/>
      </c>
      <c r="D93">
        <f>IF(OR(AND(B93&gt;3,C93&lt;4),AND(B93&lt;=3,C93&lt;2)),"Red","Black")</f>
        <v/>
      </c>
      <c r="E93" t="n">
        <v>3</v>
      </c>
      <c r="F93" t="n">
        <v>2</v>
      </c>
      <c r="G93" t="n">
        <v>4</v>
      </c>
      <c r="I93">
        <f>IF(D93="Red",B93,NA())</f>
        <v/>
      </c>
      <c r="J93">
        <f>IF(D93="Red",C93,NA())</f>
        <v/>
      </c>
      <c r="K93">
        <f>IF(D93="Black",B93,NA())</f>
        <v/>
      </c>
      <c r="L93">
        <f>IF(D93="Black",C93,NA())</f>
        <v/>
      </c>
    </row>
    <row r="94">
      <c r="A94" t="n">
        <v>93</v>
      </c>
      <c r="B94">
        <f>RAND()*4+1</f>
        <v/>
      </c>
      <c r="C94">
        <f>RAND()*4+1</f>
        <v/>
      </c>
      <c r="D94">
        <f>IF(OR(AND(B94&gt;3,C94&lt;4),AND(B94&lt;=3,C94&lt;2)),"Red","Black")</f>
        <v/>
      </c>
      <c r="E94" t="n">
        <v>3</v>
      </c>
      <c r="F94" t="n">
        <v>2</v>
      </c>
      <c r="G94" t="n">
        <v>4</v>
      </c>
      <c r="I94">
        <f>IF(D94="Red",B94,NA())</f>
        <v/>
      </c>
      <c r="J94">
        <f>IF(D94="Red",C94,NA())</f>
        <v/>
      </c>
      <c r="K94">
        <f>IF(D94="Black",B94,NA())</f>
        <v/>
      </c>
      <c r="L94">
        <f>IF(D94="Black",C94,NA())</f>
        <v/>
      </c>
    </row>
    <row r="95">
      <c r="A95" t="n">
        <v>94</v>
      </c>
      <c r="B95">
        <f>RAND()*4+1</f>
        <v/>
      </c>
      <c r="C95">
        <f>RAND()*4+1</f>
        <v/>
      </c>
      <c r="D95">
        <f>IF(OR(AND(B95&gt;3,C95&lt;4),AND(B95&lt;=3,C95&lt;2)),"Red","Black")</f>
        <v/>
      </c>
      <c r="E95" t="n">
        <v>3</v>
      </c>
      <c r="F95" t="n">
        <v>2</v>
      </c>
      <c r="G95" t="n">
        <v>4</v>
      </c>
      <c r="I95">
        <f>IF(D95="Red",B95,NA())</f>
        <v/>
      </c>
      <c r="J95">
        <f>IF(D95="Red",C95,NA())</f>
        <v/>
      </c>
      <c r="K95">
        <f>IF(D95="Black",B95,NA())</f>
        <v/>
      </c>
      <c r="L95">
        <f>IF(D95="Black",C95,NA())</f>
        <v/>
      </c>
    </row>
    <row r="96">
      <c r="A96" t="n">
        <v>95</v>
      </c>
      <c r="B96">
        <f>RAND()*4+1</f>
        <v/>
      </c>
      <c r="C96">
        <f>RAND()*4+1</f>
        <v/>
      </c>
      <c r="D96">
        <f>IF(OR(AND(B96&gt;3,C96&lt;4),AND(B96&lt;=3,C96&lt;2)),"Red","Black")</f>
        <v/>
      </c>
      <c r="E96" t="n">
        <v>3</v>
      </c>
      <c r="F96" t="n">
        <v>2</v>
      </c>
      <c r="G96" t="n">
        <v>4</v>
      </c>
      <c r="I96">
        <f>IF(D96="Red",B96,NA())</f>
        <v/>
      </c>
      <c r="J96">
        <f>IF(D96="Red",C96,NA())</f>
        <v/>
      </c>
      <c r="K96">
        <f>IF(D96="Black",B96,NA())</f>
        <v/>
      </c>
      <c r="L96">
        <f>IF(D96="Black",C96,NA())</f>
        <v/>
      </c>
    </row>
    <row r="97">
      <c r="A97" t="n">
        <v>96</v>
      </c>
      <c r="B97">
        <f>RAND()*4+1</f>
        <v/>
      </c>
      <c r="C97">
        <f>RAND()*4+1</f>
        <v/>
      </c>
      <c r="D97">
        <f>IF(OR(AND(B97&gt;3,C97&lt;4),AND(B97&lt;=3,C97&lt;2)),"Red","Black")</f>
        <v/>
      </c>
      <c r="E97" t="n">
        <v>3</v>
      </c>
      <c r="F97" t="n">
        <v>2</v>
      </c>
      <c r="G97" t="n">
        <v>4</v>
      </c>
      <c r="I97">
        <f>IF(D97="Red",B97,NA())</f>
        <v/>
      </c>
      <c r="J97">
        <f>IF(D97="Red",C97,NA())</f>
        <v/>
      </c>
      <c r="K97">
        <f>IF(D97="Black",B97,NA())</f>
        <v/>
      </c>
      <c r="L97">
        <f>IF(D97="Black",C97,NA())</f>
        <v/>
      </c>
    </row>
    <row r="98">
      <c r="A98" t="n">
        <v>97</v>
      </c>
      <c r="B98">
        <f>RAND()*4+1</f>
        <v/>
      </c>
      <c r="C98">
        <f>RAND()*4+1</f>
        <v/>
      </c>
      <c r="D98">
        <f>IF(OR(AND(B98&gt;3,C98&lt;4),AND(B98&lt;=3,C98&lt;2)),"Red","Black")</f>
        <v/>
      </c>
      <c r="E98" t="n">
        <v>3</v>
      </c>
      <c r="F98" t="n">
        <v>2</v>
      </c>
      <c r="G98" t="n">
        <v>4</v>
      </c>
      <c r="I98">
        <f>IF(D98="Red",B98,NA())</f>
        <v/>
      </c>
      <c r="J98">
        <f>IF(D98="Red",C98,NA())</f>
        <v/>
      </c>
      <c r="K98">
        <f>IF(D98="Black",B98,NA())</f>
        <v/>
      </c>
      <c r="L98">
        <f>IF(D98="Black",C98,NA())</f>
        <v/>
      </c>
    </row>
    <row r="99">
      <c r="A99" t="n">
        <v>98</v>
      </c>
      <c r="B99">
        <f>RAND()*4+1</f>
        <v/>
      </c>
      <c r="C99">
        <f>RAND()*4+1</f>
        <v/>
      </c>
      <c r="D99">
        <f>IF(OR(AND(B99&gt;3,C99&lt;4),AND(B99&lt;=3,C99&lt;2)),"Red","Black")</f>
        <v/>
      </c>
      <c r="E99" t="n">
        <v>3</v>
      </c>
      <c r="F99" t="n">
        <v>2</v>
      </c>
      <c r="G99" t="n">
        <v>4</v>
      </c>
      <c r="I99">
        <f>IF(D99="Red",B99,NA())</f>
        <v/>
      </c>
      <c r="J99">
        <f>IF(D99="Red",C99,NA())</f>
        <v/>
      </c>
      <c r="K99">
        <f>IF(D99="Black",B99,NA())</f>
        <v/>
      </c>
      <c r="L99">
        <f>IF(D99="Black",C99,NA())</f>
        <v/>
      </c>
    </row>
    <row r="100">
      <c r="A100" t="n">
        <v>99</v>
      </c>
      <c r="B100">
        <f>RAND()*4+1</f>
        <v/>
      </c>
      <c r="C100">
        <f>RAND()*4+1</f>
        <v/>
      </c>
      <c r="D100">
        <f>IF(OR(AND(B100&gt;3,C100&lt;4),AND(B100&lt;=3,C100&lt;2)),"Red","Black")</f>
        <v/>
      </c>
      <c r="E100" t="n">
        <v>3</v>
      </c>
      <c r="F100" t="n">
        <v>2</v>
      </c>
      <c r="G100" t="n">
        <v>4</v>
      </c>
      <c r="I100">
        <f>IF(D100="Red",B100,NA())</f>
        <v/>
      </c>
      <c r="J100">
        <f>IF(D100="Red",C100,NA())</f>
        <v/>
      </c>
      <c r="K100">
        <f>IF(D100="Black",B100,NA())</f>
        <v/>
      </c>
      <c r="L100">
        <f>IF(D100="Black",C100,NA())</f>
        <v/>
      </c>
    </row>
    <row r="101">
      <c r="A101" t="n">
        <v>100</v>
      </c>
      <c r="B101">
        <f>RAND()*4+1</f>
        <v/>
      </c>
      <c r="C101">
        <f>RAND()*4+1</f>
        <v/>
      </c>
      <c r="D101">
        <f>IF(OR(AND(B101&gt;3,C101&lt;4),AND(B101&lt;=3,C101&lt;2)),"Red","Black")</f>
        <v/>
      </c>
      <c r="E101" t="n">
        <v>3</v>
      </c>
      <c r="F101" t="n">
        <v>2</v>
      </c>
      <c r="G101" t="n">
        <v>4</v>
      </c>
      <c r="I101">
        <f>IF(D101="Red",B101,NA())</f>
        <v/>
      </c>
      <c r="J101">
        <f>IF(D101="Red",C101,NA())</f>
        <v/>
      </c>
      <c r="K101">
        <f>IF(D101="Black",B101,NA())</f>
        <v/>
      </c>
      <c r="L101">
        <f>IF(D101="Black",C101,NA())</f>
        <v/>
      </c>
    </row>
    <row r="102">
      <c r="A102" t="n">
        <v>101</v>
      </c>
      <c r="B102">
        <f>RAND()*4+1</f>
        <v/>
      </c>
      <c r="C102">
        <f>RAND()*4+1</f>
        <v/>
      </c>
      <c r="D102">
        <f>IF(OR(AND(B102&gt;3,C102&lt;4),AND(B102&lt;=3,C102&lt;2)),"Red","Black")</f>
        <v/>
      </c>
      <c r="E102" t="n">
        <v>3</v>
      </c>
      <c r="F102" t="n">
        <v>2</v>
      </c>
      <c r="G102" t="n">
        <v>4</v>
      </c>
      <c r="I102">
        <f>IF(D102="Red",B102,NA())</f>
        <v/>
      </c>
      <c r="J102">
        <f>IF(D102="Red",C102,NA())</f>
        <v/>
      </c>
      <c r="K102">
        <f>IF(D102="Black",B102,NA())</f>
        <v/>
      </c>
      <c r="L102">
        <f>IF(D102="Black",C102,NA())</f>
        <v/>
      </c>
    </row>
    <row r="103">
      <c r="A103" t="n">
        <v>102</v>
      </c>
      <c r="B103">
        <f>RAND()*4+1</f>
        <v/>
      </c>
      <c r="C103">
        <f>RAND()*4+1</f>
        <v/>
      </c>
      <c r="D103">
        <f>IF(OR(AND(B103&gt;3,C103&lt;4),AND(B103&lt;=3,C103&lt;2)),"Red","Black")</f>
        <v/>
      </c>
      <c r="E103" t="n">
        <v>3</v>
      </c>
      <c r="F103" t="n">
        <v>2</v>
      </c>
      <c r="G103" t="n">
        <v>4</v>
      </c>
      <c r="I103">
        <f>IF(D103="Red",B103,NA())</f>
        <v/>
      </c>
      <c r="J103">
        <f>IF(D103="Red",C103,NA())</f>
        <v/>
      </c>
      <c r="K103">
        <f>IF(D103="Black",B103,NA())</f>
        <v/>
      </c>
      <c r="L103">
        <f>IF(D103="Black",C103,NA())</f>
        <v/>
      </c>
    </row>
    <row r="104">
      <c r="A104" t="n">
        <v>103</v>
      </c>
      <c r="B104">
        <f>RAND()*4+1</f>
        <v/>
      </c>
      <c r="C104">
        <f>RAND()*4+1</f>
        <v/>
      </c>
      <c r="D104">
        <f>IF(OR(AND(B104&gt;3,C104&lt;4),AND(B104&lt;=3,C104&lt;2)),"Red","Black")</f>
        <v/>
      </c>
      <c r="E104" t="n">
        <v>3</v>
      </c>
      <c r="F104" t="n">
        <v>2</v>
      </c>
      <c r="G104" t="n">
        <v>4</v>
      </c>
      <c r="I104">
        <f>IF(D104="Red",B104,NA())</f>
        <v/>
      </c>
      <c r="J104">
        <f>IF(D104="Red",C104,NA())</f>
        <v/>
      </c>
      <c r="K104">
        <f>IF(D104="Black",B104,NA())</f>
        <v/>
      </c>
      <c r="L104">
        <f>IF(D104="Black",C104,NA())</f>
        <v/>
      </c>
    </row>
    <row r="105">
      <c r="A105" t="n">
        <v>104</v>
      </c>
      <c r="B105">
        <f>RAND()*4+1</f>
        <v/>
      </c>
      <c r="C105">
        <f>RAND()*4+1</f>
        <v/>
      </c>
      <c r="D105">
        <f>IF(OR(AND(B105&gt;3,C105&lt;4),AND(B105&lt;=3,C105&lt;2)),"Red","Black")</f>
        <v/>
      </c>
      <c r="E105" t="n">
        <v>3</v>
      </c>
      <c r="F105" t="n">
        <v>2</v>
      </c>
      <c r="G105" t="n">
        <v>4</v>
      </c>
      <c r="I105">
        <f>IF(D105="Red",B105,NA())</f>
        <v/>
      </c>
      <c r="J105">
        <f>IF(D105="Red",C105,NA())</f>
        <v/>
      </c>
      <c r="K105">
        <f>IF(D105="Black",B105,NA())</f>
        <v/>
      </c>
      <c r="L105">
        <f>IF(D105="Black",C105,NA())</f>
        <v/>
      </c>
    </row>
    <row r="106">
      <c r="A106" t="n">
        <v>105</v>
      </c>
      <c r="B106">
        <f>RAND()*4+1</f>
        <v/>
      </c>
      <c r="C106">
        <f>RAND()*4+1</f>
        <v/>
      </c>
      <c r="D106">
        <f>IF(OR(AND(B106&gt;3,C106&lt;4),AND(B106&lt;=3,C106&lt;2)),"Red","Black")</f>
        <v/>
      </c>
      <c r="E106" t="n">
        <v>3</v>
      </c>
      <c r="F106" t="n">
        <v>2</v>
      </c>
      <c r="G106" t="n">
        <v>4</v>
      </c>
      <c r="I106">
        <f>IF(D106="Red",B106,NA())</f>
        <v/>
      </c>
      <c r="J106">
        <f>IF(D106="Red",C106,NA())</f>
        <v/>
      </c>
      <c r="K106">
        <f>IF(D106="Black",B106,NA())</f>
        <v/>
      </c>
      <c r="L106">
        <f>IF(D106="Black",C106,NA())</f>
        <v/>
      </c>
    </row>
    <row r="107">
      <c r="A107" t="n">
        <v>106</v>
      </c>
      <c r="B107">
        <f>RAND()*4+1</f>
        <v/>
      </c>
      <c r="C107">
        <f>RAND()*4+1</f>
        <v/>
      </c>
      <c r="D107">
        <f>IF(OR(AND(B107&gt;3,C107&lt;4),AND(B107&lt;=3,C107&lt;2)),"Red","Black")</f>
        <v/>
      </c>
      <c r="E107" t="n">
        <v>3</v>
      </c>
      <c r="F107" t="n">
        <v>2</v>
      </c>
      <c r="G107" t="n">
        <v>4</v>
      </c>
      <c r="I107">
        <f>IF(D107="Red",B107,NA())</f>
        <v/>
      </c>
      <c r="J107">
        <f>IF(D107="Red",C107,NA())</f>
        <v/>
      </c>
      <c r="K107">
        <f>IF(D107="Black",B107,NA())</f>
        <v/>
      </c>
      <c r="L107">
        <f>IF(D107="Black",C107,NA())</f>
        <v/>
      </c>
    </row>
    <row r="108">
      <c r="A108" t="n">
        <v>107</v>
      </c>
      <c r="B108">
        <f>RAND()*4+1</f>
        <v/>
      </c>
      <c r="C108">
        <f>RAND()*4+1</f>
        <v/>
      </c>
      <c r="D108">
        <f>IF(OR(AND(B108&gt;3,C108&lt;4),AND(B108&lt;=3,C108&lt;2)),"Red","Black")</f>
        <v/>
      </c>
      <c r="E108" t="n">
        <v>3</v>
      </c>
      <c r="F108" t="n">
        <v>2</v>
      </c>
      <c r="G108" t="n">
        <v>4</v>
      </c>
      <c r="I108">
        <f>IF(D108="Red",B108,NA())</f>
        <v/>
      </c>
      <c r="J108">
        <f>IF(D108="Red",C108,NA())</f>
        <v/>
      </c>
      <c r="K108">
        <f>IF(D108="Black",B108,NA())</f>
        <v/>
      </c>
      <c r="L108">
        <f>IF(D108="Black",C108,NA())</f>
        <v/>
      </c>
    </row>
    <row r="109">
      <c r="A109" t="n">
        <v>108</v>
      </c>
      <c r="B109">
        <f>RAND()*4+1</f>
        <v/>
      </c>
      <c r="C109">
        <f>RAND()*4+1</f>
        <v/>
      </c>
      <c r="D109">
        <f>IF(OR(AND(B109&gt;3,C109&lt;4),AND(B109&lt;=3,C109&lt;2)),"Red","Black")</f>
        <v/>
      </c>
      <c r="E109" t="n">
        <v>3</v>
      </c>
      <c r="F109" t="n">
        <v>2</v>
      </c>
      <c r="G109" t="n">
        <v>4</v>
      </c>
      <c r="I109">
        <f>IF(D109="Red",B109,NA())</f>
        <v/>
      </c>
      <c r="J109">
        <f>IF(D109="Red",C109,NA())</f>
        <v/>
      </c>
      <c r="K109">
        <f>IF(D109="Black",B109,NA())</f>
        <v/>
      </c>
      <c r="L109">
        <f>IF(D109="Black",C109,NA())</f>
        <v/>
      </c>
    </row>
    <row r="110">
      <c r="A110" t="n">
        <v>109</v>
      </c>
      <c r="B110">
        <f>RAND()*4+1</f>
        <v/>
      </c>
      <c r="C110">
        <f>RAND()*4+1</f>
        <v/>
      </c>
      <c r="D110">
        <f>IF(OR(AND(B110&gt;3,C110&lt;4),AND(B110&lt;=3,C110&lt;2)),"Red","Black")</f>
        <v/>
      </c>
      <c r="E110" t="n">
        <v>3</v>
      </c>
      <c r="F110" t="n">
        <v>2</v>
      </c>
      <c r="G110" t="n">
        <v>4</v>
      </c>
      <c r="I110">
        <f>IF(D110="Red",B110,NA())</f>
        <v/>
      </c>
      <c r="J110">
        <f>IF(D110="Red",C110,NA())</f>
        <v/>
      </c>
      <c r="K110">
        <f>IF(D110="Black",B110,NA())</f>
        <v/>
      </c>
      <c r="L110">
        <f>IF(D110="Black",C110,NA())</f>
        <v/>
      </c>
    </row>
    <row r="111">
      <c r="A111" t="n">
        <v>110</v>
      </c>
      <c r="B111">
        <f>RAND()*4+1</f>
        <v/>
      </c>
      <c r="C111">
        <f>RAND()*4+1</f>
        <v/>
      </c>
      <c r="D111">
        <f>IF(OR(AND(B111&gt;3,C111&lt;4),AND(B111&lt;=3,C111&lt;2)),"Red","Black")</f>
        <v/>
      </c>
      <c r="E111" t="n">
        <v>3</v>
      </c>
      <c r="F111" t="n">
        <v>2</v>
      </c>
      <c r="G111" t="n">
        <v>4</v>
      </c>
      <c r="I111">
        <f>IF(D111="Red",B111,NA())</f>
        <v/>
      </c>
      <c r="J111">
        <f>IF(D111="Red",C111,NA())</f>
        <v/>
      </c>
      <c r="K111">
        <f>IF(D111="Black",B111,NA())</f>
        <v/>
      </c>
      <c r="L111">
        <f>IF(D111="Black",C111,NA())</f>
        <v/>
      </c>
    </row>
    <row r="112">
      <c r="A112" t="n">
        <v>111</v>
      </c>
      <c r="B112">
        <f>RAND()*4+1</f>
        <v/>
      </c>
      <c r="C112">
        <f>RAND()*4+1</f>
        <v/>
      </c>
      <c r="D112">
        <f>IF(OR(AND(B112&gt;3,C112&lt;4),AND(B112&lt;=3,C112&lt;2)),"Red","Black")</f>
        <v/>
      </c>
      <c r="E112" t="n">
        <v>3</v>
      </c>
      <c r="F112" t="n">
        <v>2</v>
      </c>
      <c r="G112" t="n">
        <v>4</v>
      </c>
      <c r="I112">
        <f>IF(D112="Red",B112,NA())</f>
        <v/>
      </c>
      <c r="J112">
        <f>IF(D112="Red",C112,NA())</f>
        <v/>
      </c>
      <c r="K112">
        <f>IF(D112="Black",B112,NA())</f>
        <v/>
      </c>
      <c r="L112">
        <f>IF(D112="Black",C112,NA())</f>
        <v/>
      </c>
    </row>
    <row r="113">
      <c r="A113" t="n">
        <v>112</v>
      </c>
      <c r="B113">
        <f>RAND()*4+1</f>
        <v/>
      </c>
      <c r="C113">
        <f>RAND()*4+1</f>
        <v/>
      </c>
      <c r="D113">
        <f>IF(OR(AND(B113&gt;3,C113&lt;4),AND(B113&lt;=3,C113&lt;2)),"Red","Black")</f>
        <v/>
      </c>
      <c r="E113" t="n">
        <v>3</v>
      </c>
      <c r="F113" t="n">
        <v>2</v>
      </c>
      <c r="G113" t="n">
        <v>4</v>
      </c>
      <c r="I113">
        <f>IF(D113="Red",B113,NA())</f>
        <v/>
      </c>
      <c r="J113">
        <f>IF(D113="Red",C113,NA())</f>
        <v/>
      </c>
      <c r="K113">
        <f>IF(D113="Black",B113,NA())</f>
        <v/>
      </c>
      <c r="L113">
        <f>IF(D113="Black",C113,NA())</f>
        <v/>
      </c>
    </row>
    <row r="114">
      <c r="A114" t="n">
        <v>113</v>
      </c>
      <c r="B114">
        <f>RAND()*4+1</f>
        <v/>
      </c>
      <c r="C114">
        <f>RAND()*4+1</f>
        <v/>
      </c>
      <c r="D114">
        <f>IF(OR(AND(B114&gt;3,C114&lt;4),AND(B114&lt;=3,C114&lt;2)),"Red","Black")</f>
        <v/>
      </c>
      <c r="E114" t="n">
        <v>3</v>
      </c>
      <c r="F114" t="n">
        <v>2</v>
      </c>
      <c r="G114" t="n">
        <v>4</v>
      </c>
      <c r="I114">
        <f>IF(D114="Red",B114,NA())</f>
        <v/>
      </c>
      <c r="J114">
        <f>IF(D114="Red",C114,NA())</f>
        <v/>
      </c>
      <c r="K114">
        <f>IF(D114="Black",B114,NA())</f>
        <v/>
      </c>
      <c r="L114">
        <f>IF(D114="Black",C114,NA())</f>
        <v/>
      </c>
    </row>
    <row r="115">
      <c r="A115" t="n">
        <v>114</v>
      </c>
      <c r="B115">
        <f>RAND()*4+1</f>
        <v/>
      </c>
      <c r="C115">
        <f>RAND()*4+1</f>
        <v/>
      </c>
      <c r="D115">
        <f>IF(OR(AND(B115&gt;3,C115&lt;4),AND(B115&lt;=3,C115&lt;2)),"Red","Black")</f>
        <v/>
      </c>
      <c r="E115" t="n">
        <v>3</v>
      </c>
      <c r="F115" t="n">
        <v>2</v>
      </c>
      <c r="G115" t="n">
        <v>4</v>
      </c>
      <c r="I115">
        <f>IF(D115="Red",B115,NA())</f>
        <v/>
      </c>
      <c r="J115">
        <f>IF(D115="Red",C115,NA())</f>
        <v/>
      </c>
      <c r="K115">
        <f>IF(D115="Black",B115,NA())</f>
        <v/>
      </c>
      <c r="L115">
        <f>IF(D115="Black",C115,NA())</f>
        <v/>
      </c>
    </row>
    <row r="116">
      <c r="A116" t="n">
        <v>115</v>
      </c>
      <c r="B116">
        <f>RAND()*4+1</f>
        <v/>
      </c>
      <c r="C116">
        <f>RAND()*4+1</f>
        <v/>
      </c>
      <c r="D116">
        <f>IF(OR(AND(B116&gt;3,C116&lt;4),AND(B116&lt;=3,C116&lt;2)),"Red","Black")</f>
        <v/>
      </c>
      <c r="E116" t="n">
        <v>3</v>
      </c>
      <c r="F116" t="n">
        <v>2</v>
      </c>
      <c r="G116" t="n">
        <v>4</v>
      </c>
      <c r="I116">
        <f>IF(D116="Red",B116,NA())</f>
        <v/>
      </c>
      <c r="J116">
        <f>IF(D116="Red",C116,NA())</f>
        <v/>
      </c>
      <c r="K116">
        <f>IF(D116="Black",B116,NA())</f>
        <v/>
      </c>
      <c r="L116">
        <f>IF(D116="Black",C116,NA())</f>
        <v/>
      </c>
    </row>
    <row r="117">
      <c r="A117" t="n">
        <v>116</v>
      </c>
      <c r="B117">
        <f>RAND()*4+1</f>
        <v/>
      </c>
      <c r="C117">
        <f>RAND()*4+1</f>
        <v/>
      </c>
      <c r="D117">
        <f>IF(OR(AND(B117&gt;3,C117&lt;4),AND(B117&lt;=3,C117&lt;2)),"Red","Black")</f>
        <v/>
      </c>
      <c r="E117" t="n">
        <v>3</v>
      </c>
      <c r="F117" t="n">
        <v>2</v>
      </c>
      <c r="G117" t="n">
        <v>4</v>
      </c>
      <c r="I117">
        <f>IF(D117="Red",B117,NA())</f>
        <v/>
      </c>
      <c r="J117">
        <f>IF(D117="Red",C117,NA())</f>
        <v/>
      </c>
      <c r="K117">
        <f>IF(D117="Black",B117,NA())</f>
        <v/>
      </c>
      <c r="L117">
        <f>IF(D117="Black",C117,NA())</f>
        <v/>
      </c>
    </row>
    <row r="118">
      <c r="A118" t="n">
        <v>117</v>
      </c>
      <c r="B118">
        <f>RAND()*4+1</f>
        <v/>
      </c>
      <c r="C118">
        <f>RAND()*4+1</f>
        <v/>
      </c>
      <c r="D118">
        <f>IF(OR(AND(B118&gt;3,C118&lt;4),AND(B118&lt;=3,C118&lt;2)),"Red","Black")</f>
        <v/>
      </c>
      <c r="E118" t="n">
        <v>3</v>
      </c>
      <c r="F118" t="n">
        <v>2</v>
      </c>
      <c r="G118" t="n">
        <v>4</v>
      </c>
      <c r="I118">
        <f>IF(D118="Red",B118,NA())</f>
        <v/>
      </c>
      <c r="J118">
        <f>IF(D118="Red",C118,NA())</f>
        <v/>
      </c>
      <c r="K118">
        <f>IF(D118="Black",B118,NA())</f>
        <v/>
      </c>
      <c r="L118">
        <f>IF(D118="Black",C118,NA())</f>
        <v/>
      </c>
    </row>
    <row r="119">
      <c r="A119" t="n">
        <v>118</v>
      </c>
      <c r="B119">
        <f>RAND()*4+1</f>
        <v/>
      </c>
      <c r="C119">
        <f>RAND()*4+1</f>
        <v/>
      </c>
      <c r="D119">
        <f>IF(OR(AND(B119&gt;3,C119&lt;4),AND(B119&lt;=3,C119&lt;2)),"Red","Black")</f>
        <v/>
      </c>
      <c r="E119" t="n">
        <v>3</v>
      </c>
      <c r="F119" t="n">
        <v>2</v>
      </c>
      <c r="G119" t="n">
        <v>4</v>
      </c>
      <c r="I119">
        <f>IF(D119="Red",B119,NA())</f>
        <v/>
      </c>
      <c r="J119">
        <f>IF(D119="Red",C119,NA())</f>
        <v/>
      </c>
      <c r="K119">
        <f>IF(D119="Black",B119,NA())</f>
        <v/>
      </c>
      <c r="L119">
        <f>IF(D119="Black",C119,NA())</f>
        <v/>
      </c>
    </row>
    <row r="120">
      <c r="A120" t="n">
        <v>119</v>
      </c>
      <c r="B120">
        <f>RAND()*4+1</f>
        <v/>
      </c>
      <c r="C120">
        <f>RAND()*4+1</f>
        <v/>
      </c>
      <c r="D120">
        <f>IF(OR(AND(B120&gt;3,C120&lt;4),AND(B120&lt;=3,C120&lt;2)),"Red","Black")</f>
        <v/>
      </c>
      <c r="E120" t="n">
        <v>3</v>
      </c>
      <c r="F120" t="n">
        <v>2</v>
      </c>
      <c r="G120" t="n">
        <v>4</v>
      </c>
      <c r="I120">
        <f>IF(D120="Red",B120,NA())</f>
        <v/>
      </c>
      <c r="J120">
        <f>IF(D120="Red",C120,NA())</f>
        <v/>
      </c>
      <c r="K120">
        <f>IF(D120="Black",B120,NA())</f>
        <v/>
      </c>
      <c r="L120">
        <f>IF(D120="Black",C120,NA())</f>
        <v/>
      </c>
    </row>
    <row r="121">
      <c r="A121" t="n">
        <v>120</v>
      </c>
      <c r="B121">
        <f>RAND()*4+1</f>
        <v/>
      </c>
      <c r="C121">
        <f>RAND()*4+1</f>
        <v/>
      </c>
      <c r="D121">
        <f>IF(OR(AND(B121&gt;3,C121&lt;4),AND(B121&lt;=3,C121&lt;2)),"Red","Black")</f>
        <v/>
      </c>
      <c r="E121" t="n">
        <v>3</v>
      </c>
      <c r="F121" t="n">
        <v>2</v>
      </c>
      <c r="G121" t="n">
        <v>4</v>
      </c>
      <c r="I121">
        <f>IF(D121="Red",B121,NA())</f>
        <v/>
      </c>
      <c r="J121">
        <f>IF(D121="Red",C121,NA())</f>
        <v/>
      </c>
      <c r="K121">
        <f>IF(D121="Black",B121,NA())</f>
        <v/>
      </c>
      <c r="L121">
        <f>IF(D121="Black",C121,NA())</f>
        <v/>
      </c>
    </row>
    <row r="122">
      <c r="A122" t="n">
        <v>121</v>
      </c>
      <c r="B122">
        <f>RAND()*4+1</f>
        <v/>
      </c>
      <c r="C122">
        <f>RAND()*4+1</f>
        <v/>
      </c>
      <c r="D122">
        <f>IF(OR(AND(B122&gt;3,C122&lt;4),AND(B122&lt;=3,C122&lt;2)),"Red","Black")</f>
        <v/>
      </c>
      <c r="E122" t="n">
        <v>3</v>
      </c>
      <c r="F122" t="n">
        <v>2</v>
      </c>
      <c r="G122" t="n">
        <v>4</v>
      </c>
      <c r="I122">
        <f>IF(D122="Red",B122,NA())</f>
        <v/>
      </c>
      <c r="J122">
        <f>IF(D122="Red",C122,NA())</f>
        <v/>
      </c>
      <c r="K122">
        <f>IF(D122="Black",B122,NA())</f>
        <v/>
      </c>
      <c r="L122">
        <f>IF(D122="Black",C122,NA())</f>
        <v/>
      </c>
    </row>
    <row r="123">
      <c r="A123" t="n">
        <v>122</v>
      </c>
      <c r="B123">
        <f>RAND()*4+1</f>
        <v/>
      </c>
      <c r="C123">
        <f>RAND()*4+1</f>
        <v/>
      </c>
      <c r="D123">
        <f>IF(OR(AND(B123&gt;3,C123&lt;4),AND(B123&lt;=3,C123&lt;2)),"Red","Black")</f>
        <v/>
      </c>
      <c r="E123" t="n">
        <v>3</v>
      </c>
      <c r="F123" t="n">
        <v>2</v>
      </c>
      <c r="G123" t="n">
        <v>4</v>
      </c>
      <c r="I123">
        <f>IF(D123="Red",B123,NA())</f>
        <v/>
      </c>
      <c r="J123">
        <f>IF(D123="Red",C123,NA())</f>
        <v/>
      </c>
      <c r="K123">
        <f>IF(D123="Black",B123,NA())</f>
        <v/>
      </c>
      <c r="L123">
        <f>IF(D123="Black",C123,NA())</f>
        <v/>
      </c>
    </row>
    <row r="124">
      <c r="A124" t="n">
        <v>123</v>
      </c>
      <c r="B124">
        <f>RAND()*4+1</f>
        <v/>
      </c>
      <c r="C124">
        <f>RAND()*4+1</f>
        <v/>
      </c>
      <c r="D124">
        <f>IF(OR(AND(B124&gt;3,C124&lt;4),AND(B124&lt;=3,C124&lt;2)),"Red","Black")</f>
        <v/>
      </c>
      <c r="E124" t="n">
        <v>3</v>
      </c>
      <c r="F124" t="n">
        <v>2</v>
      </c>
      <c r="G124" t="n">
        <v>4</v>
      </c>
      <c r="I124">
        <f>IF(D124="Red",B124,NA())</f>
        <v/>
      </c>
      <c r="J124">
        <f>IF(D124="Red",C124,NA())</f>
        <v/>
      </c>
      <c r="K124">
        <f>IF(D124="Black",B124,NA())</f>
        <v/>
      </c>
      <c r="L124">
        <f>IF(D124="Black",C124,NA())</f>
        <v/>
      </c>
    </row>
    <row r="125">
      <c r="A125" t="n">
        <v>124</v>
      </c>
      <c r="B125">
        <f>RAND()*4+1</f>
        <v/>
      </c>
      <c r="C125">
        <f>RAND()*4+1</f>
        <v/>
      </c>
      <c r="D125">
        <f>IF(OR(AND(B125&gt;3,C125&lt;4),AND(B125&lt;=3,C125&lt;2)),"Red","Black")</f>
        <v/>
      </c>
      <c r="E125" t="n">
        <v>3</v>
      </c>
      <c r="F125" t="n">
        <v>2</v>
      </c>
      <c r="G125" t="n">
        <v>4</v>
      </c>
      <c r="I125">
        <f>IF(D125="Red",B125,NA())</f>
        <v/>
      </c>
      <c r="J125">
        <f>IF(D125="Red",C125,NA())</f>
        <v/>
      </c>
      <c r="K125">
        <f>IF(D125="Black",B125,NA())</f>
        <v/>
      </c>
      <c r="L125">
        <f>IF(D125="Black",C125,NA())</f>
        <v/>
      </c>
    </row>
    <row r="126">
      <c r="A126" t="n">
        <v>125</v>
      </c>
      <c r="B126">
        <f>RAND()*4+1</f>
        <v/>
      </c>
      <c r="C126">
        <f>RAND()*4+1</f>
        <v/>
      </c>
      <c r="D126">
        <f>IF(OR(AND(B126&gt;3,C126&lt;4),AND(B126&lt;=3,C126&lt;2)),"Red","Black")</f>
        <v/>
      </c>
      <c r="E126" t="n">
        <v>3</v>
      </c>
      <c r="F126" t="n">
        <v>2</v>
      </c>
      <c r="G126" t="n">
        <v>4</v>
      </c>
      <c r="I126">
        <f>IF(D126="Red",B126,NA())</f>
        <v/>
      </c>
      <c r="J126">
        <f>IF(D126="Red",C126,NA())</f>
        <v/>
      </c>
      <c r="K126">
        <f>IF(D126="Black",B126,NA())</f>
        <v/>
      </c>
      <c r="L126">
        <f>IF(D126="Black",C126,NA())</f>
        <v/>
      </c>
    </row>
    <row r="127">
      <c r="A127" t="n">
        <v>126</v>
      </c>
      <c r="B127">
        <f>RAND()*4+1</f>
        <v/>
      </c>
      <c r="C127">
        <f>RAND()*4+1</f>
        <v/>
      </c>
      <c r="D127">
        <f>IF(OR(AND(B127&gt;3,C127&lt;4),AND(B127&lt;=3,C127&lt;2)),"Red","Black")</f>
        <v/>
      </c>
      <c r="E127" t="n">
        <v>3</v>
      </c>
      <c r="F127" t="n">
        <v>2</v>
      </c>
      <c r="G127" t="n">
        <v>4</v>
      </c>
      <c r="I127">
        <f>IF(D127="Red",B127,NA())</f>
        <v/>
      </c>
      <c r="J127">
        <f>IF(D127="Red",C127,NA())</f>
        <v/>
      </c>
      <c r="K127">
        <f>IF(D127="Black",B127,NA())</f>
        <v/>
      </c>
      <c r="L127">
        <f>IF(D127="Black",C127,NA())</f>
        <v/>
      </c>
    </row>
    <row r="128">
      <c r="A128" t="n">
        <v>127</v>
      </c>
      <c r="B128">
        <f>RAND()*4+1</f>
        <v/>
      </c>
      <c r="C128">
        <f>RAND()*4+1</f>
        <v/>
      </c>
      <c r="D128">
        <f>IF(OR(AND(B128&gt;3,C128&lt;4),AND(B128&lt;=3,C128&lt;2)),"Red","Black")</f>
        <v/>
      </c>
      <c r="E128" t="n">
        <v>3</v>
      </c>
      <c r="F128" t="n">
        <v>2</v>
      </c>
      <c r="G128" t="n">
        <v>4</v>
      </c>
      <c r="I128">
        <f>IF(D128="Red",B128,NA())</f>
        <v/>
      </c>
      <c r="J128">
        <f>IF(D128="Red",C128,NA())</f>
        <v/>
      </c>
      <c r="K128">
        <f>IF(D128="Black",B128,NA())</f>
        <v/>
      </c>
      <c r="L128">
        <f>IF(D128="Black",C128,NA())</f>
        <v/>
      </c>
    </row>
    <row r="129">
      <c r="A129" t="n">
        <v>128</v>
      </c>
      <c r="B129">
        <f>RAND()*4+1</f>
        <v/>
      </c>
      <c r="C129">
        <f>RAND()*4+1</f>
        <v/>
      </c>
      <c r="D129">
        <f>IF(OR(AND(B129&gt;3,C129&lt;4),AND(B129&lt;=3,C129&lt;2)),"Red","Black")</f>
        <v/>
      </c>
      <c r="E129" t="n">
        <v>3</v>
      </c>
      <c r="F129" t="n">
        <v>2</v>
      </c>
      <c r="G129" t="n">
        <v>4</v>
      </c>
      <c r="I129">
        <f>IF(D129="Red",B129,NA())</f>
        <v/>
      </c>
      <c r="J129">
        <f>IF(D129="Red",C129,NA())</f>
        <v/>
      </c>
      <c r="K129">
        <f>IF(D129="Black",B129,NA())</f>
        <v/>
      </c>
      <c r="L129">
        <f>IF(D129="Black",C129,NA())</f>
        <v/>
      </c>
    </row>
    <row r="130">
      <c r="A130" t="n">
        <v>129</v>
      </c>
      <c r="B130">
        <f>RAND()*4+1</f>
        <v/>
      </c>
      <c r="C130">
        <f>RAND()*4+1</f>
        <v/>
      </c>
      <c r="D130">
        <f>IF(OR(AND(B130&gt;3,C130&lt;4),AND(B130&lt;=3,C130&lt;2)),"Red","Black")</f>
        <v/>
      </c>
      <c r="E130" t="n">
        <v>3</v>
      </c>
      <c r="F130" t="n">
        <v>2</v>
      </c>
      <c r="G130" t="n">
        <v>4</v>
      </c>
      <c r="I130">
        <f>IF(D130="Red",B130,NA())</f>
        <v/>
      </c>
      <c r="J130">
        <f>IF(D130="Red",C130,NA())</f>
        <v/>
      </c>
      <c r="K130">
        <f>IF(D130="Black",B130,NA())</f>
        <v/>
      </c>
      <c r="L130">
        <f>IF(D130="Black",C130,NA())</f>
        <v/>
      </c>
    </row>
    <row r="131">
      <c r="A131" t="n">
        <v>130</v>
      </c>
      <c r="B131">
        <f>RAND()*4+1</f>
        <v/>
      </c>
      <c r="C131">
        <f>RAND()*4+1</f>
        <v/>
      </c>
      <c r="D131">
        <f>IF(OR(AND(B131&gt;3,C131&lt;4),AND(B131&lt;=3,C131&lt;2)),"Red","Black")</f>
        <v/>
      </c>
      <c r="E131" t="n">
        <v>3</v>
      </c>
      <c r="F131" t="n">
        <v>2</v>
      </c>
      <c r="G131" t="n">
        <v>4</v>
      </c>
      <c r="I131">
        <f>IF(D131="Red",B131,NA())</f>
        <v/>
      </c>
      <c r="J131">
        <f>IF(D131="Red",C131,NA())</f>
        <v/>
      </c>
      <c r="K131">
        <f>IF(D131="Black",B131,NA())</f>
        <v/>
      </c>
      <c r="L131">
        <f>IF(D131="Black",C131,NA())</f>
        <v/>
      </c>
    </row>
    <row r="132">
      <c r="A132" t="n">
        <v>131</v>
      </c>
      <c r="B132">
        <f>RAND()*4+1</f>
        <v/>
      </c>
      <c r="C132">
        <f>RAND()*4+1</f>
        <v/>
      </c>
      <c r="D132">
        <f>IF(OR(AND(B132&gt;3,C132&lt;4),AND(B132&lt;=3,C132&lt;2)),"Red","Black")</f>
        <v/>
      </c>
      <c r="E132" t="n">
        <v>3</v>
      </c>
      <c r="F132" t="n">
        <v>2</v>
      </c>
      <c r="G132" t="n">
        <v>4</v>
      </c>
      <c r="I132">
        <f>IF(D132="Red",B132,NA())</f>
        <v/>
      </c>
      <c r="J132">
        <f>IF(D132="Red",C132,NA())</f>
        <v/>
      </c>
      <c r="K132">
        <f>IF(D132="Black",B132,NA())</f>
        <v/>
      </c>
      <c r="L132">
        <f>IF(D132="Black",C132,NA())</f>
        <v/>
      </c>
    </row>
    <row r="133">
      <c r="A133" t="n">
        <v>132</v>
      </c>
      <c r="B133">
        <f>RAND()*4+1</f>
        <v/>
      </c>
      <c r="C133">
        <f>RAND()*4+1</f>
        <v/>
      </c>
      <c r="D133">
        <f>IF(OR(AND(B133&gt;3,C133&lt;4),AND(B133&lt;=3,C133&lt;2)),"Red","Black")</f>
        <v/>
      </c>
      <c r="E133" t="n">
        <v>3</v>
      </c>
      <c r="F133" t="n">
        <v>2</v>
      </c>
      <c r="G133" t="n">
        <v>4</v>
      </c>
      <c r="I133">
        <f>IF(D133="Red",B133,NA())</f>
        <v/>
      </c>
      <c r="J133">
        <f>IF(D133="Red",C133,NA())</f>
        <v/>
      </c>
      <c r="K133">
        <f>IF(D133="Black",B133,NA())</f>
        <v/>
      </c>
      <c r="L133">
        <f>IF(D133="Black",C133,NA())</f>
        <v/>
      </c>
    </row>
    <row r="134">
      <c r="A134" t="n">
        <v>133</v>
      </c>
      <c r="B134">
        <f>RAND()*4+1</f>
        <v/>
      </c>
      <c r="C134">
        <f>RAND()*4+1</f>
        <v/>
      </c>
      <c r="D134">
        <f>IF(OR(AND(B134&gt;3,C134&lt;4),AND(B134&lt;=3,C134&lt;2)),"Red","Black")</f>
        <v/>
      </c>
      <c r="E134" t="n">
        <v>3</v>
      </c>
      <c r="F134" t="n">
        <v>2</v>
      </c>
      <c r="G134" t="n">
        <v>4</v>
      </c>
      <c r="I134">
        <f>IF(D134="Red",B134,NA())</f>
        <v/>
      </c>
      <c r="J134">
        <f>IF(D134="Red",C134,NA())</f>
        <v/>
      </c>
      <c r="K134">
        <f>IF(D134="Black",B134,NA())</f>
        <v/>
      </c>
      <c r="L134">
        <f>IF(D134="Black",C134,NA())</f>
        <v/>
      </c>
    </row>
    <row r="135">
      <c r="A135" t="n">
        <v>134</v>
      </c>
      <c r="B135">
        <f>RAND()*4+1</f>
        <v/>
      </c>
      <c r="C135">
        <f>RAND()*4+1</f>
        <v/>
      </c>
      <c r="D135">
        <f>IF(OR(AND(B135&gt;3,C135&lt;4),AND(B135&lt;=3,C135&lt;2)),"Red","Black")</f>
        <v/>
      </c>
      <c r="E135" t="n">
        <v>3</v>
      </c>
      <c r="F135" t="n">
        <v>2</v>
      </c>
      <c r="G135" t="n">
        <v>4</v>
      </c>
      <c r="I135">
        <f>IF(D135="Red",B135,NA())</f>
        <v/>
      </c>
      <c r="J135">
        <f>IF(D135="Red",C135,NA())</f>
        <v/>
      </c>
      <c r="K135">
        <f>IF(D135="Black",B135,NA())</f>
        <v/>
      </c>
      <c r="L135">
        <f>IF(D135="Black",C135,NA())</f>
        <v/>
      </c>
    </row>
    <row r="136">
      <c r="A136" t="n">
        <v>135</v>
      </c>
      <c r="B136">
        <f>RAND()*4+1</f>
        <v/>
      </c>
      <c r="C136">
        <f>RAND()*4+1</f>
        <v/>
      </c>
      <c r="D136">
        <f>IF(OR(AND(B136&gt;3,C136&lt;4),AND(B136&lt;=3,C136&lt;2)),"Red","Black")</f>
        <v/>
      </c>
      <c r="E136" t="n">
        <v>3</v>
      </c>
      <c r="F136" t="n">
        <v>2</v>
      </c>
      <c r="G136" t="n">
        <v>4</v>
      </c>
      <c r="I136">
        <f>IF(D136="Red",B136,NA())</f>
        <v/>
      </c>
      <c r="J136">
        <f>IF(D136="Red",C136,NA())</f>
        <v/>
      </c>
      <c r="K136">
        <f>IF(D136="Black",B136,NA())</f>
        <v/>
      </c>
      <c r="L136">
        <f>IF(D136="Black",C136,NA())</f>
        <v/>
      </c>
    </row>
    <row r="137">
      <c r="A137" t="n">
        <v>136</v>
      </c>
      <c r="B137">
        <f>RAND()*4+1</f>
        <v/>
      </c>
      <c r="C137">
        <f>RAND()*4+1</f>
        <v/>
      </c>
      <c r="D137">
        <f>IF(OR(AND(B137&gt;3,C137&lt;4),AND(B137&lt;=3,C137&lt;2)),"Red","Black")</f>
        <v/>
      </c>
      <c r="E137" t="n">
        <v>3</v>
      </c>
      <c r="F137" t="n">
        <v>2</v>
      </c>
      <c r="G137" t="n">
        <v>4</v>
      </c>
      <c r="I137">
        <f>IF(D137="Red",B137,NA())</f>
        <v/>
      </c>
      <c r="J137">
        <f>IF(D137="Red",C137,NA())</f>
        <v/>
      </c>
      <c r="K137">
        <f>IF(D137="Black",B137,NA())</f>
        <v/>
      </c>
      <c r="L137">
        <f>IF(D137="Black",C137,NA())</f>
        <v/>
      </c>
    </row>
    <row r="138">
      <c r="A138" t="n">
        <v>137</v>
      </c>
      <c r="B138">
        <f>RAND()*4+1</f>
        <v/>
      </c>
      <c r="C138">
        <f>RAND()*4+1</f>
        <v/>
      </c>
      <c r="D138">
        <f>IF(OR(AND(B138&gt;3,C138&lt;4),AND(B138&lt;=3,C138&lt;2)),"Red","Black")</f>
        <v/>
      </c>
      <c r="E138" t="n">
        <v>3</v>
      </c>
      <c r="F138" t="n">
        <v>2</v>
      </c>
      <c r="G138" t="n">
        <v>4</v>
      </c>
      <c r="I138">
        <f>IF(D138="Red",B138,NA())</f>
        <v/>
      </c>
      <c r="J138">
        <f>IF(D138="Red",C138,NA())</f>
        <v/>
      </c>
      <c r="K138">
        <f>IF(D138="Black",B138,NA())</f>
        <v/>
      </c>
      <c r="L138">
        <f>IF(D138="Black",C138,NA())</f>
        <v/>
      </c>
    </row>
    <row r="139">
      <c r="A139" t="n">
        <v>138</v>
      </c>
      <c r="B139">
        <f>RAND()*4+1</f>
        <v/>
      </c>
      <c r="C139">
        <f>RAND()*4+1</f>
        <v/>
      </c>
      <c r="D139">
        <f>IF(OR(AND(B139&gt;3,C139&lt;4),AND(B139&lt;=3,C139&lt;2)),"Red","Black")</f>
        <v/>
      </c>
      <c r="E139" t="n">
        <v>3</v>
      </c>
      <c r="F139" t="n">
        <v>2</v>
      </c>
      <c r="G139" t="n">
        <v>4</v>
      </c>
      <c r="I139">
        <f>IF(D139="Red",B139,NA())</f>
        <v/>
      </c>
      <c r="J139">
        <f>IF(D139="Red",C139,NA())</f>
        <v/>
      </c>
      <c r="K139">
        <f>IF(D139="Black",B139,NA())</f>
        <v/>
      </c>
      <c r="L139">
        <f>IF(D139="Black",C139,NA())</f>
        <v/>
      </c>
    </row>
    <row r="140">
      <c r="A140" t="n">
        <v>139</v>
      </c>
      <c r="B140">
        <f>RAND()*4+1</f>
        <v/>
      </c>
      <c r="C140">
        <f>RAND()*4+1</f>
        <v/>
      </c>
      <c r="D140">
        <f>IF(OR(AND(B140&gt;3,C140&lt;4),AND(B140&lt;=3,C140&lt;2)),"Red","Black")</f>
        <v/>
      </c>
      <c r="E140" t="n">
        <v>3</v>
      </c>
      <c r="F140" t="n">
        <v>2</v>
      </c>
      <c r="G140" t="n">
        <v>4</v>
      </c>
      <c r="I140">
        <f>IF(D140="Red",B140,NA())</f>
        <v/>
      </c>
      <c r="J140">
        <f>IF(D140="Red",C140,NA())</f>
        <v/>
      </c>
      <c r="K140">
        <f>IF(D140="Black",B140,NA())</f>
        <v/>
      </c>
      <c r="L140">
        <f>IF(D140="Black",C140,NA())</f>
        <v/>
      </c>
    </row>
    <row r="141">
      <c r="A141" t="n">
        <v>140</v>
      </c>
      <c r="B141">
        <f>RAND()*4+1</f>
        <v/>
      </c>
      <c r="C141">
        <f>RAND()*4+1</f>
        <v/>
      </c>
      <c r="D141">
        <f>IF(OR(AND(B141&gt;3,C141&lt;4),AND(B141&lt;=3,C141&lt;2)),"Red","Black")</f>
        <v/>
      </c>
      <c r="E141" t="n">
        <v>3</v>
      </c>
      <c r="F141" t="n">
        <v>2</v>
      </c>
      <c r="G141" t="n">
        <v>4</v>
      </c>
      <c r="I141">
        <f>IF(D141="Red",B141,NA())</f>
        <v/>
      </c>
      <c r="J141">
        <f>IF(D141="Red",C141,NA())</f>
        <v/>
      </c>
      <c r="K141">
        <f>IF(D141="Black",B141,NA())</f>
        <v/>
      </c>
      <c r="L141">
        <f>IF(D141="Black",C141,NA())</f>
        <v/>
      </c>
    </row>
    <row r="142">
      <c r="A142" t="n">
        <v>141</v>
      </c>
      <c r="B142">
        <f>RAND()*4+1</f>
        <v/>
      </c>
      <c r="C142">
        <f>RAND()*4+1</f>
        <v/>
      </c>
      <c r="D142">
        <f>IF(OR(AND(B142&gt;3,C142&lt;4),AND(B142&lt;=3,C142&lt;2)),"Red","Black")</f>
        <v/>
      </c>
      <c r="E142" t="n">
        <v>3</v>
      </c>
      <c r="F142" t="n">
        <v>2</v>
      </c>
      <c r="G142" t="n">
        <v>4</v>
      </c>
      <c r="I142">
        <f>IF(D142="Red",B142,NA())</f>
        <v/>
      </c>
      <c r="J142">
        <f>IF(D142="Red",C142,NA())</f>
        <v/>
      </c>
      <c r="K142">
        <f>IF(D142="Black",B142,NA())</f>
        <v/>
      </c>
      <c r="L142">
        <f>IF(D142="Black",C142,NA())</f>
        <v/>
      </c>
    </row>
    <row r="143">
      <c r="A143" t="n">
        <v>142</v>
      </c>
      <c r="B143">
        <f>RAND()*4+1</f>
        <v/>
      </c>
      <c r="C143">
        <f>RAND()*4+1</f>
        <v/>
      </c>
      <c r="D143">
        <f>IF(OR(AND(B143&gt;3,C143&lt;4),AND(B143&lt;=3,C143&lt;2)),"Red","Black")</f>
        <v/>
      </c>
      <c r="E143" t="n">
        <v>3</v>
      </c>
      <c r="F143" t="n">
        <v>2</v>
      </c>
      <c r="G143" t="n">
        <v>4</v>
      </c>
      <c r="I143">
        <f>IF(D143="Red",B143,NA())</f>
        <v/>
      </c>
      <c r="J143">
        <f>IF(D143="Red",C143,NA())</f>
        <v/>
      </c>
      <c r="K143">
        <f>IF(D143="Black",B143,NA())</f>
        <v/>
      </c>
      <c r="L143">
        <f>IF(D143="Black",C143,NA())</f>
        <v/>
      </c>
    </row>
    <row r="144">
      <c r="A144" t="n">
        <v>143</v>
      </c>
      <c r="B144">
        <f>RAND()*4+1</f>
        <v/>
      </c>
      <c r="C144">
        <f>RAND()*4+1</f>
        <v/>
      </c>
      <c r="D144">
        <f>IF(OR(AND(B144&gt;3,C144&lt;4),AND(B144&lt;=3,C144&lt;2)),"Red","Black")</f>
        <v/>
      </c>
      <c r="E144" t="n">
        <v>3</v>
      </c>
      <c r="F144" t="n">
        <v>2</v>
      </c>
      <c r="G144" t="n">
        <v>4</v>
      </c>
      <c r="I144">
        <f>IF(D144="Red",B144,NA())</f>
        <v/>
      </c>
      <c r="J144">
        <f>IF(D144="Red",C144,NA())</f>
        <v/>
      </c>
      <c r="K144">
        <f>IF(D144="Black",B144,NA())</f>
        <v/>
      </c>
      <c r="L144">
        <f>IF(D144="Black",C144,NA())</f>
        <v/>
      </c>
    </row>
    <row r="145">
      <c r="A145" t="n">
        <v>144</v>
      </c>
      <c r="B145">
        <f>RAND()*4+1</f>
        <v/>
      </c>
      <c r="C145">
        <f>RAND()*4+1</f>
        <v/>
      </c>
      <c r="D145">
        <f>IF(OR(AND(B145&gt;3,C145&lt;4),AND(B145&lt;=3,C145&lt;2)),"Red","Black")</f>
        <v/>
      </c>
      <c r="E145" t="n">
        <v>3</v>
      </c>
      <c r="F145" t="n">
        <v>2</v>
      </c>
      <c r="G145" t="n">
        <v>4</v>
      </c>
      <c r="I145">
        <f>IF(D145="Red",B145,NA())</f>
        <v/>
      </c>
      <c r="J145">
        <f>IF(D145="Red",C145,NA())</f>
        <v/>
      </c>
      <c r="K145">
        <f>IF(D145="Black",B145,NA())</f>
        <v/>
      </c>
      <c r="L145">
        <f>IF(D145="Black",C145,NA())</f>
        <v/>
      </c>
    </row>
    <row r="146">
      <c r="A146" t="n">
        <v>145</v>
      </c>
      <c r="B146">
        <f>RAND()*4+1</f>
        <v/>
      </c>
      <c r="C146">
        <f>RAND()*4+1</f>
        <v/>
      </c>
      <c r="D146">
        <f>IF(OR(AND(B146&gt;3,C146&lt;4),AND(B146&lt;=3,C146&lt;2)),"Red","Black")</f>
        <v/>
      </c>
      <c r="E146" t="n">
        <v>3</v>
      </c>
      <c r="F146" t="n">
        <v>2</v>
      </c>
      <c r="G146" t="n">
        <v>4</v>
      </c>
      <c r="I146">
        <f>IF(D146="Red",B146,NA())</f>
        <v/>
      </c>
      <c r="J146">
        <f>IF(D146="Red",C146,NA())</f>
        <v/>
      </c>
      <c r="K146">
        <f>IF(D146="Black",B146,NA())</f>
        <v/>
      </c>
      <c r="L146">
        <f>IF(D146="Black",C146,NA())</f>
        <v/>
      </c>
    </row>
    <row r="147">
      <c r="A147" t="n">
        <v>146</v>
      </c>
      <c r="B147">
        <f>RAND()*4+1</f>
        <v/>
      </c>
      <c r="C147">
        <f>RAND()*4+1</f>
        <v/>
      </c>
      <c r="D147">
        <f>IF(OR(AND(B147&gt;3,C147&lt;4),AND(B147&lt;=3,C147&lt;2)),"Red","Black")</f>
        <v/>
      </c>
      <c r="E147" t="n">
        <v>3</v>
      </c>
      <c r="F147" t="n">
        <v>2</v>
      </c>
      <c r="G147" t="n">
        <v>4</v>
      </c>
      <c r="I147">
        <f>IF(D147="Red",B147,NA())</f>
        <v/>
      </c>
      <c r="J147">
        <f>IF(D147="Red",C147,NA())</f>
        <v/>
      </c>
      <c r="K147">
        <f>IF(D147="Black",B147,NA())</f>
        <v/>
      </c>
      <c r="L147">
        <f>IF(D147="Black",C147,NA())</f>
        <v/>
      </c>
    </row>
    <row r="148">
      <c r="A148" t="n">
        <v>147</v>
      </c>
      <c r="B148">
        <f>RAND()*4+1</f>
        <v/>
      </c>
      <c r="C148">
        <f>RAND()*4+1</f>
        <v/>
      </c>
      <c r="D148">
        <f>IF(OR(AND(B148&gt;3,C148&lt;4),AND(B148&lt;=3,C148&lt;2)),"Red","Black")</f>
        <v/>
      </c>
      <c r="E148" t="n">
        <v>3</v>
      </c>
      <c r="F148" t="n">
        <v>2</v>
      </c>
      <c r="G148" t="n">
        <v>4</v>
      </c>
      <c r="I148">
        <f>IF(D148="Red",B148,NA())</f>
        <v/>
      </c>
      <c r="J148">
        <f>IF(D148="Red",C148,NA())</f>
        <v/>
      </c>
      <c r="K148">
        <f>IF(D148="Black",B148,NA())</f>
        <v/>
      </c>
      <c r="L148">
        <f>IF(D148="Black",C148,NA())</f>
        <v/>
      </c>
    </row>
    <row r="149">
      <c r="A149" t="n">
        <v>148</v>
      </c>
      <c r="B149">
        <f>RAND()*4+1</f>
        <v/>
      </c>
      <c r="C149">
        <f>RAND()*4+1</f>
        <v/>
      </c>
      <c r="D149">
        <f>IF(OR(AND(B149&gt;3,C149&lt;4),AND(B149&lt;=3,C149&lt;2)),"Red","Black")</f>
        <v/>
      </c>
      <c r="E149" t="n">
        <v>3</v>
      </c>
      <c r="F149" t="n">
        <v>2</v>
      </c>
      <c r="G149" t="n">
        <v>4</v>
      </c>
      <c r="I149">
        <f>IF(D149="Red",B149,NA())</f>
        <v/>
      </c>
      <c r="J149">
        <f>IF(D149="Red",C149,NA())</f>
        <v/>
      </c>
      <c r="K149">
        <f>IF(D149="Black",B149,NA())</f>
        <v/>
      </c>
      <c r="L149">
        <f>IF(D149="Black",C149,NA())</f>
        <v/>
      </c>
    </row>
    <row r="150">
      <c r="A150" t="n">
        <v>149</v>
      </c>
      <c r="B150">
        <f>RAND()*4+1</f>
        <v/>
      </c>
      <c r="C150">
        <f>RAND()*4+1</f>
        <v/>
      </c>
      <c r="D150">
        <f>IF(OR(AND(B150&gt;3,C150&lt;4),AND(B150&lt;=3,C150&lt;2)),"Red","Black")</f>
        <v/>
      </c>
      <c r="E150" t="n">
        <v>3</v>
      </c>
      <c r="F150" t="n">
        <v>2</v>
      </c>
      <c r="G150" t="n">
        <v>4</v>
      </c>
      <c r="I150">
        <f>IF(D150="Red",B150,NA())</f>
        <v/>
      </c>
      <c r="J150">
        <f>IF(D150="Red",C150,NA())</f>
        <v/>
      </c>
      <c r="K150">
        <f>IF(D150="Black",B150,NA())</f>
        <v/>
      </c>
      <c r="L150">
        <f>IF(D150="Black",C150,NA())</f>
        <v/>
      </c>
    </row>
    <row r="151">
      <c r="A151" t="n">
        <v>150</v>
      </c>
      <c r="B151">
        <f>RAND()*4+1</f>
        <v/>
      </c>
      <c r="C151">
        <f>RAND()*4+1</f>
        <v/>
      </c>
      <c r="D151">
        <f>IF(OR(AND(B151&gt;3,C151&lt;4),AND(B151&lt;=3,C151&lt;2)),"Red","Black")</f>
        <v/>
      </c>
      <c r="E151" t="n">
        <v>3</v>
      </c>
      <c r="F151" t="n">
        <v>2</v>
      </c>
      <c r="G151" t="n">
        <v>4</v>
      </c>
      <c r="I151">
        <f>IF(D151="Red",B151,NA())</f>
        <v/>
      </c>
      <c r="J151">
        <f>IF(D151="Red",C151,NA())</f>
        <v/>
      </c>
      <c r="K151">
        <f>IF(D151="Black",B151,NA())</f>
        <v/>
      </c>
      <c r="L151">
        <f>IF(D151="Black",C151,NA())</f>
        <v/>
      </c>
    </row>
    <row r="152">
      <c r="A152" t="n">
        <v>151</v>
      </c>
      <c r="B152">
        <f>RAND()*4+1</f>
        <v/>
      </c>
      <c r="C152">
        <f>RAND()*4+1</f>
        <v/>
      </c>
      <c r="D152">
        <f>IF(OR(AND(B152&gt;3,C152&lt;4),AND(B152&lt;=3,C152&lt;2)),"Red","Black")</f>
        <v/>
      </c>
      <c r="E152" t="n">
        <v>3</v>
      </c>
      <c r="F152" t="n">
        <v>2</v>
      </c>
      <c r="G152" t="n">
        <v>4</v>
      </c>
      <c r="I152">
        <f>IF(D152="Red",B152,NA())</f>
        <v/>
      </c>
      <c r="J152">
        <f>IF(D152="Red",C152,NA())</f>
        <v/>
      </c>
      <c r="K152">
        <f>IF(D152="Black",B152,NA())</f>
        <v/>
      </c>
      <c r="L152">
        <f>IF(D152="Black",C152,NA())</f>
        <v/>
      </c>
    </row>
    <row r="153">
      <c r="A153" t="n">
        <v>152</v>
      </c>
      <c r="B153">
        <f>RAND()*4+1</f>
        <v/>
      </c>
      <c r="C153">
        <f>RAND()*4+1</f>
        <v/>
      </c>
      <c r="D153">
        <f>IF(OR(AND(B153&gt;3,C153&lt;4),AND(B153&lt;=3,C153&lt;2)),"Red","Black")</f>
        <v/>
      </c>
      <c r="E153" t="n">
        <v>3</v>
      </c>
      <c r="F153" t="n">
        <v>2</v>
      </c>
      <c r="G153" t="n">
        <v>4</v>
      </c>
      <c r="I153">
        <f>IF(D153="Red",B153,NA())</f>
        <v/>
      </c>
      <c r="J153">
        <f>IF(D153="Red",C153,NA())</f>
        <v/>
      </c>
      <c r="K153">
        <f>IF(D153="Black",B153,NA())</f>
        <v/>
      </c>
      <c r="L153">
        <f>IF(D153="Black",C153,NA())</f>
        <v/>
      </c>
    </row>
    <row r="154">
      <c r="A154" t="n">
        <v>153</v>
      </c>
      <c r="B154">
        <f>RAND()*4+1</f>
        <v/>
      </c>
      <c r="C154">
        <f>RAND()*4+1</f>
        <v/>
      </c>
      <c r="D154">
        <f>IF(OR(AND(B154&gt;3,C154&lt;4),AND(B154&lt;=3,C154&lt;2)),"Red","Black")</f>
        <v/>
      </c>
      <c r="E154" t="n">
        <v>3</v>
      </c>
      <c r="F154" t="n">
        <v>2</v>
      </c>
      <c r="G154" t="n">
        <v>4</v>
      </c>
      <c r="I154">
        <f>IF(D154="Red",B154,NA())</f>
        <v/>
      </c>
      <c r="J154">
        <f>IF(D154="Red",C154,NA())</f>
        <v/>
      </c>
      <c r="K154">
        <f>IF(D154="Black",B154,NA())</f>
        <v/>
      </c>
      <c r="L154">
        <f>IF(D154="Black",C154,NA())</f>
        <v/>
      </c>
    </row>
    <row r="155">
      <c r="A155" t="n">
        <v>154</v>
      </c>
      <c r="B155">
        <f>RAND()*4+1</f>
        <v/>
      </c>
      <c r="C155">
        <f>RAND()*4+1</f>
        <v/>
      </c>
      <c r="D155">
        <f>IF(OR(AND(B155&gt;3,C155&lt;4),AND(B155&lt;=3,C155&lt;2)),"Red","Black")</f>
        <v/>
      </c>
      <c r="E155" t="n">
        <v>3</v>
      </c>
      <c r="F155" t="n">
        <v>2</v>
      </c>
      <c r="G155" t="n">
        <v>4</v>
      </c>
      <c r="I155">
        <f>IF(D155="Red",B155,NA())</f>
        <v/>
      </c>
      <c r="J155">
        <f>IF(D155="Red",C155,NA())</f>
        <v/>
      </c>
      <c r="K155">
        <f>IF(D155="Black",B155,NA())</f>
        <v/>
      </c>
      <c r="L155">
        <f>IF(D155="Black",C155,NA())</f>
        <v/>
      </c>
    </row>
    <row r="156">
      <c r="A156" t="n">
        <v>155</v>
      </c>
      <c r="B156">
        <f>RAND()*4+1</f>
        <v/>
      </c>
      <c r="C156">
        <f>RAND()*4+1</f>
        <v/>
      </c>
      <c r="D156">
        <f>IF(OR(AND(B156&gt;3,C156&lt;4),AND(B156&lt;=3,C156&lt;2)),"Red","Black")</f>
        <v/>
      </c>
      <c r="E156" t="n">
        <v>3</v>
      </c>
      <c r="F156" t="n">
        <v>2</v>
      </c>
      <c r="G156" t="n">
        <v>4</v>
      </c>
      <c r="I156">
        <f>IF(D156="Red",B156,NA())</f>
        <v/>
      </c>
      <c r="J156">
        <f>IF(D156="Red",C156,NA())</f>
        <v/>
      </c>
      <c r="K156">
        <f>IF(D156="Black",B156,NA())</f>
        <v/>
      </c>
      <c r="L156">
        <f>IF(D156="Black",C156,NA())</f>
        <v/>
      </c>
    </row>
    <row r="157">
      <c r="A157" t="n">
        <v>156</v>
      </c>
      <c r="B157">
        <f>RAND()*4+1</f>
        <v/>
      </c>
      <c r="C157">
        <f>RAND()*4+1</f>
        <v/>
      </c>
      <c r="D157">
        <f>IF(OR(AND(B157&gt;3,C157&lt;4),AND(B157&lt;=3,C157&lt;2)),"Red","Black")</f>
        <v/>
      </c>
      <c r="E157" t="n">
        <v>3</v>
      </c>
      <c r="F157" t="n">
        <v>2</v>
      </c>
      <c r="G157" t="n">
        <v>4</v>
      </c>
      <c r="I157">
        <f>IF(D157="Red",B157,NA())</f>
        <v/>
      </c>
      <c r="J157">
        <f>IF(D157="Red",C157,NA())</f>
        <v/>
      </c>
      <c r="K157">
        <f>IF(D157="Black",B157,NA())</f>
        <v/>
      </c>
      <c r="L157">
        <f>IF(D157="Black",C157,NA())</f>
        <v/>
      </c>
    </row>
    <row r="158">
      <c r="A158" t="n">
        <v>157</v>
      </c>
      <c r="B158">
        <f>RAND()*4+1</f>
        <v/>
      </c>
      <c r="C158">
        <f>RAND()*4+1</f>
        <v/>
      </c>
      <c r="D158">
        <f>IF(OR(AND(B158&gt;3,C158&lt;4),AND(B158&lt;=3,C158&lt;2)),"Red","Black")</f>
        <v/>
      </c>
      <c r="E158" t="n">
        <v>3</v>
      </c>
      <c r="F158" t="n">
        <v>2</v>
      </c>
      <c r="G158" t="n">
        <v>4</v>
      </c>
      <c r="I158">
        <f>IF(D158="Red",B158,NA())</f>
        <v/>
      </c>
      <c r="J158">
        <f>IF(D158="Red",C158,NA())</f>
        <v/>
      </c>
      <c r="K158">
        <f>IF(D158="Black",B158,NA())</f>
        <v/>
      </c>
      <c r="L158">
        <f>IF(D158="Black",C158,NA())</f>
        <v/>
      </c>
    </row>
    <row r="159">
      <c r="A159" t="n">
        <v>158</v>
      </c>
      <c r="B159">
        <f>RAND()*4+1</f>
        <v/>
      </c>
      <c r="C159">
        <f>RAND()*4+1</f>
        <v/>
      </c>
      <c r="D159">
        <f>IF(OR(AND(B159&gt;3,C159&lt;4),AND(B159&lt;=3,C159&lt;2)),"Red","Black")</f>
        <v/>
      </c>
      <c r="E159" t="n">
        <v>3</v>
      </c>
      <c r="F159" t="n">
        <v>2</v>
      </c>
      <c r="G159" t="n">
        <v>4</v>
      </c>
      <c r="I159">
        <f>IF(D159="Red",B159,NA())</f>
        <v/>
      </c>
      <c r="J159">
        <f>IF(D159="Red",C159,NA())</f>
        <v/>
      </c>
      <c r="K159">
        <f>IF(D159="Black",B159,NA())</f>
        <v/>
      </c>
      <c r="L159">
        <f>IF(D159="Black",C159,NA())</f>
        <v/>
      </c>
    </row>
    <row r="160">
      <c r="A160" t="n">
        <v>159</v>
      </c>
      <c r="B160">
        <f>RAND()*4+1</f>
        <v/>
      </c>
      <c r="C160">
        <f>RAND()*4+1</f>
        <v/>
      </c>
      <c r="D160">
        <f>IF(OR(AND(B160&gt;3,C160&lt;4),AND(B160&lt;=3,C160&lt;2)),"Red","Black")</f>
        <v/>
      </c>
      <c r="E160" t="n">
        <v>3</v>
      </c>
      <c r="F160" t="n">
        <v>2</v>
      </c>
      <c r="G160" t="n">
        <v>4</v>
      </c>
      <c r="I160">
        <f>IF(D160="Red",B160,NA())</f>
        <v/>
      </c>
      <c r="J160">
        <f>IF(D160="Red",C160,NA())</f>
        <v/>
      </c>
      <c r="K160">
        <f>IF(D160="Black",B160,NA())</f>
        <v/>
      </c>
      <c r="L160">
        <f>IF(D160="Black",C160,NA())</f>
        <v/>
      </c>
    </row>
    <row r="161">
      <c r="A161" t="n">
        <v>160</v>
      </c>
      <c r="B161">
        <f>RAND()*4+1</f>
        <v/>
      </c>
      <c r="C161">
        <f>RAND()*4+1</f>
        <v/>
      </c>
      <c r="D161">
        <f>IF(OR(AND(B161&gt;3,C161&lt;4),AND(B161&lt;=3,C161&lt;2)),"Red","Black")</f>
        <v/>
      </c>
      <c r="E161" t="n">
        <v>3</v>
      </c>
      <c r="F161" t="n">
        <v>2</v>
      </c>
      <c r="G161" t="n">
        <v>4</v>
      </c>
      <c r="I161">
        <f>IF(D161="Red",B161,NA())</f>
        <v/>
      </c>
      <c r="J161">
        <f>IF(D161="Red",C161,NA())</f>
        <v/>
      </c>
      <c r="K161">
        <f>IF(D161="Black",B161,NA())</f>
        <v/>
      </c>
      <c r="L161">
        <f>IF(D161="Black",C161,NA())</f>
        <v/>
      </c>
    </row>
    <row r="162">
      <c r="A162" t="n">
        <v>161</v>
      </c>
      <c r="B162">
        <f>RAND()*4+1</f>
        <v/>
      </c>
      <c r="C162">
        <f>RAND()*4+1</f>
        <v/>
      </c>
      <c r="D162">
        <f>IF(OR(AND(B162&gt;3,C162&lt;4),AND(B162&lt;=3,C162&lt;2)),"Red","Black")</f>
        <v/>
      </c>
      <c r="E162" t="n">
        <v>3</v>
      </c>
      <c r="F162" t="n">
        <v>2</v>
      </c>
      <c r="G162" t="n">
        <v>4</v>
      </c>
      <c r="I162">
        <f>IF(D162="Red",B162,NA())</f>
        <v/>
      </c>
      <c r="J162">
        <f>IF(D162="Red",C162,NA())</f>
        <v/>
      </c>
      <c r="K162">
        <f>IF(D162="Black",B162,NA())</f>
        <v/>
      </c>
      <c r="L162">
        <f>IF(D162="Black",C162,NA())</f>
        <v/>
      </c>
    </row>
    <row r="163">
      <c r="A163" t="n">
        <v>162</v>
      </c>
      <c r="B163">
        <f>RAND()*4+1</f>
        <v/>
      </c>
      <c r="C163">
        <f>RAND()*4+1</f>
        <v/>
      </c>
      <c r="D163">
        <f>IF(OR(AND(B163&gt;3,C163&lt;4),AND(B163&lt;=3,C163&lt;2)),"Red","Black")</f>
        <v/>
      </c>
      <c r="E163" t="n">
        <v>3</v>
      </c>
      <c r="F163" t="n">
        <v>2</v>
      </c>
      <c r="G163" t="n">
        <v>4</v>
      </c>
      <c r="I163">
        <f>IF(D163="Red",B163,NA())</f>
        <v/>
      </c>
      <c r="J163">
        <f>IF(D163="Red",C163,NA())</f>
        <v/>
      </c>
      <c r="K163">
        <f>IF(D163="Black",B163,NA())</f>
        <v/>
      </c>
      <c r="L163">
        <f>IF(D163="Black",C163,NA())</f>
        <v/>
      </c>
    </row>
    <row r="164">
      <c r="A164" t="n">
        <v>163</v>
      </c>
      <c r="B164">
        <f>RAND()*4+1</f>
        <v/>
      </c>
      <c r="C164">
        <f>RAND()*4+1</f>
        <v/>
      </c>
      <c r="D164">
        <f>IF(OR(AND(B164&gt;3,C164&lt;4),AND(B164&lt;=3,C164&lt;2)),"Red","Black")</f>
        <v/>
      </c>
      <c r="E164" t="n">
        <v>3</v>
      </c>
      <c r="F164" t="n">
        <v>2</v>
      </c>
      <c r="G164" t="n">
        <v>4</v>
      </c>
      <c r="I164">
        <f>IF(D164="Red",B164,NA())</f>
        <v/>
      </c>
      <c r="J164">
        <f>IF(D164="Red",C164,NA())</f>
        <v/>
      </c>
      <c r="K164">
        <f>IF(D164="Black",B164,NA())</f>
        <v/>
      </c>
      <c r="L164">
        <f>IF(D164="Black",C164,NA())</f>
        <v/>
      </c>
    </row>
    <row r="165">
      <c r="A165" t="n">
        <v>164</v>
      </c>
      <c r="B165">
        <f>RAND()*4+1</f>
        <v/>
      </c>
      <c r="C165">
        <f>RAND()*4+1</f>
        <v/>
      </c>
      <c r="D165">
        <f>IF(OR(AND(B165&gt;3,C165&lt;4),AND(B165&lt;=3,C165&lt;2)),"Red","Black")</f>
        <v/>
      </c>
      <c r="E165" t="n">
        <v>3</v>
      </c>
      <c r="F165" t="n">
        <v>2</v>
      </c>
      <c r="G165" t="n">
        <v>4</v>
      </c>
      <c r="I165">
        <f>IF(D165="Red",B165,NA())</f>
        <v/>
      </c>
      <c r="J165">
        <f>IF(D165="Red",C165,NA())</f>
        <v/>
      </c>
      <c r="K165">
        <f>IF(D165="Black",B165,NA())</f>
        <v/>
      </c>
      <c r="L165">
        <f>IF(D165="Black",C165,NA())</f>
        <v/>
      </c>
    </row>
    <row r="166">
      <c r="A166" t="n">
        <v>165</v>
      </c>
      <c r="B166">
        <f>RAND()*4+1</f>
        <v/>
      </c>
      <c r="C166">
        <f>RAND()*4+1</f>
        <v/>
      </c>
      <c r="D166">
        <f>IF(OR(AND(B166&gt;3,C166&lt;4),AND(B166&lt;=3,C166&lt;2)),"Red","Black")</f>
        <v/>
      </c>
      <c r="E166" t="n">
        <v>3</v>
      </c>
      <c r="F166" t="n">
        <v>2</v>
      </c>
      <c r="G166" t="n">
        <v>4</v>
      </c>
      <c r="I166">
        <f>IF(D166="Red",B166,NA())</f>
        <v/>
      </c>
      <c r="J166">
        <f>IF(D166="Red",C166,NA())</f>
        <v/>
      </c>
      <c r="K166">
        <f>IF(D166="Black",B166,NA())</f>
        <v/>
      </c>
      <c r="L166">
        <f>IF(D166="Black",C166,NA())</f>
        <v/>
      </c>
    </row>
    <row r="167">
      <c r="A167" t="n">
        <v>166</v>
      </c>
      <c r="B167">
        <f>RAND()*4+1</f>
        <v/>
      </c>
      <c r="C167">
        <f>RAND()*4+1</f>
        <v/>
      </c>
      <c r="D167">
        <f>IF(OR(AND(B167&gt;3,C167&lt;4),AND(B167&lt;=3,C167&lt;2)),"Red","Black")</f>
        <v/>
      </c>
      <c r="E167" t="n">
        <v>3</v>
      </c>
      <c r="F167" t="n">
        <v>2</v>
      </c>
      <c r="G167" t="n">
        <v>4</v>
      </c>
      <c r="I167">
        <f>IF(D167="Red",B167,NA())</f>
        <v/>
      </c>
      <c r="J167">
        <f>IF(D167="Red",C167,NA())</f>
        <v/>
      </c>
      <c r="K167">
        <f>IF(D167="Black",B167,NA())</f>
        <v/>
      </c>
      <c r="L167">
        <f>IF(D167="Black",C167,NA())</f>
        <v/>
      </c>
    </row>
    <row r="168">
      <c r="A168" t="n">
        <v>167</v>
      </c>
      <c r="B168">
        <f>RAND()*4+1</f>
        <v/>
      </c>
      <c r="C168">
        <f>RAND()*4+1</f>
        <v/>
      </c>
      <c r="D168">
        <f>IF(OR(AND(B168&gt;3,C168&lt;4),AND(B168&lt;=3,C168&lt;2)),"Red","Black")</f>
        <v/>
      </c>
      <c r="E168" t="n">
        <v>3</v>
      </c>
      <c r="F168" t="n">
        <v>2</v>
      </c>
      <c r="G168" t="n">
        <v>4</v>
      </c>
      <c r="I168">
        <f>IF(D168="Red",B168,NA())</f>
        <v/>
      </c>
      <c r="J168">
        <f>IF(D168="Red",C168,NA())</f>
        <v/>
      </c>
      <c r="K168">
        <f>IF(D168="Black",B168,NA())</f>
        <v/>
      </c>
      <c r="L168">
        <f>IF(D168="Black",C168,NA())</f>
        <v/>
      </c>
    </row>
    <row r="169">
      <c r="A169" t="n">
        <v>168</v>
      </c>
      <c r="B169">
        <f>RAND()*4+1</f>
        <v/>
      </c>
      <c r="C169">
        <f>RAND()*4+1</f>
        <v/>
      </c>
      <c r="D169">
        <f>IF(OR(AND(B169&gt;3,C169&lt;4),AND(B169&lt;=3,C169&lt;2)),"Red","Black")</f>
        <v/>
      </c>
      <c r="E169" t="n">
        <v>3</v>
      </c>
      <c r="F169" t="n">
        <v>2</v>
      </c>
      <c r="G169" t="n">
        <v>4</v>
      </c>
      <c r="I169">
        <f>IF(D169="Red",B169,NA())</f>
        <v/>
      </c>
      <c r="J169">
        <f>IF(D169="Red",C169,NA())</f>
        <v/>
      </c>
      <c r="K169">
        <f>IF(D169="Black",B169,NA())</f>
        <v/>
      </c>
      <c r="L169">
        <f>IF(D169="Black",C169,NA())</f>
        <v/>
      </c>
    </row>
    <row r="170">
      <c r="A170" t="n">
        <v>169</v>
      </c>
      <c r="B170">
        <f>RAND()*4+1</f>
        <v/>
      </c>
      <c r="C170">
        <f>RAND()*4+1</f>
        <v/>
      </c>
      <c r="D170">
        <f>IF(OR(AND(B170&gt;3,C170&lt;4),AND(B170&lt;=3,C170&lt;2)),"Red","Black")</f>
        <v/>
      </c>
      <c r="E170" t="n">
        <v>3</v>
      </c>
      <c r="F170" t="n">
        <v>2</v>
      </c>
      <c r="G170" t="n">
        <v>4</v>
      </c>
      <c r="I170">
        <f>IF(D170="Red",B170,NA())</f>
        <v/>
      </c>
      <c r="J170">
        <f>IF(D170="Red",C170,NA())</f>
        <v/>
      </c>
      <c r="K170">
        <f>IF(D170="Black",B170,NA())</f>
        <v/>
      </c>
      <c r="L170">
        <f>IF(D170="Black",C170,NA())</f>
        <v/>
      </c>
    </row>
    <row r="171">
      <c r="A171" t="n">
        <v>170</v>
      </c>
      <c r="B171">
        <f>RAND()*4+1</f>
        <v/>
      </c>
      <c r="C171">
        <f>RAND()*4+1</f>
        <v/>
      </c>
      <c r="D171">
        <f>IF(OR(AND(B171&gt;3,C171&lt;4),AND(B171&lt;=3,C171&lt;2)),"Red","Black")</f>
        <v/>
      </c>
      <c r="E171" t="n">
        <v>3</v>
      </c>
      <c r="F171" t="n">
        <v>2</v>
      </c>
      <c r="G171" t="n">
        <v>4</v>
      </c>
      <c r="I171">
        <f>IF(D171="Red",B171,NA())</f>
        <v/>
      </c>
      <c r="J171">
        <f>IF(D171="Red",C171,NA())</f>
        <v/>
      </c>
      <c r="K171">
        <f>IF(D171="Black",B171,NA())</f>
        <v/>
      </c>
      <c r="L171">
        <f>IF(D171="Black",C171,NA())</f>
        <v/>
      </c>
    </row>
    <row r="172">
      <c r="A172" t="n">
        <v>171</v>
      </c>
      <c r="B172">
        <f>RAND()*4+1</f>
        <v/>
      </c>
      <c r="C172">
        <f>RAND()*4+1</f>
        <v/>
      </c>
      <c r="D172">
        <f>IF(OR(AND(B172&gt;3,C172&lt;4),AND(B172&lt;=3,C172&lt;2)),"Red","Black")</f>
        <v/>
      </c>
      <c r="E172" t="n">
        <v>3</v>
      </c>
      <c r="F172" t="n">
        <v>2</v>
      </c>
      <c r="G172" t="n">
        <v>4</v>
      </c>
      <c r="I172">
        <f>IF(D172="Red",B172,NA())</f>
        <v/>
      </c>
      <c r="J172">
        <f>IF(D172="Red",C172,NA())</f>
        <v/>
      </c>
      <c r="K172">
        <f>IF(D172="Black",B172,NA())</f>
        <v/>
      </c>
      <c r="L172">
        <f>IF(D172="Black",C172,NA())</f>
        <v/>
      </c>
    </row>
    <row r="173">
      <c r="A173" t="n">
        <v>172</v>
      </c>
      <c r="B173">
        <f>RAND()*4+1</f>
        <v/>
      </c>
      <c r="C173">
        <f>RAND()*4+1</f>
        <v/>
      </c>
      <c r="D173">
        <f>IF(OR(AND(B173&gt;3,C173&lt;4),AND(B173&lt;=3,C173&lt;2)),"Red","Black")</f>
        <v/>
      </c>
      <c r="E173" t="n">
        <v>3</v>
      </c>
      <c r="F173" t="n">
        <v>2</v>
      </c>
      <c r="G173" t="n">
        <v>4</v>
      </c>
      <c r="I173">
        <f>IF(D173="Red",B173,NA())</f>
        <v/>
      </c>
      <c r="J173">
        <f>IF(D173="Red",C173,NA())</f>
        <v/>
      </c>
      <c r="K173">
        <f>IF(D173="Black",B173,NA())</f>
        <v/>
      </c>
      <c r="L173">
        <f>IF(D173="Black",C173,NA())</f>
        <v/>
      </c>
    </row>
    <row r="174">
      <c r="A174" t="n">
        <v>173</v>
      </c>
      <c r="B174">
        <f>RAND()*4+1</f>
        <v/>
      </c>
      <c r="C174">
        <f>RAND()*4+1</f>
        <v/>
      </c>
      <c r="D174">
        <f>IF(OR(AND(B174&gt;3,C174&lt;4),AND(B174&lt;=3,C174&lt;2)),"Red","Black")</f>
        <v/>
      </c>
      <c r="E174" t="n">
        <v>3</v>
      </c>
      <c r="F174" t="n">
        <v>2</v>
      </c>
      <c r="G174" t="n">
        <v>4</v>
      </c>
      <c r="I174">
        <f>IF(D174="Red",B174,NA())</f>
        <v/>
      </c>
      <c r="J174">
        <f>IF(D174="Red",C174,NA())</f>
        <v/>
      </c>
      <c r="K174">
        <f>IF(D174="Black",B174,NA())</f>
        <v/>
      </c>
      <c r="L174">
        <f>IF(D174="Black",C174,NA())</f>
        <v/>
      </c>
    </row>
    <row r="175">
      <c r="A175" t="n">
        <v>174</v>
      </c>
      <c r="B175">
        <f>RAND()*4+1</f>
        <v/>
      </c>
      <c r="C175">
        <f>RAND()*4+1</f>
        <v/>
      </c>
      <c r="D175">
        <f>IF(OR(AND(B175&gt;3,C175&lt;4),AND(B175&lt;=3,C175&lt;2)),"Red","Black")</f>
        <v/>
      </c>
      <c r="E175" t="n">
        <v>3</v>
      </c>
      <c r="F175" t="n">
        <v>2</v>
      </c>
      <c r="G175" t="n">
        <v>4</v>
      </c>
      <c r="I175">
        <f>IF(D175="Red",B175,NA())</f>
        <v/>
      </c>
      <c r="J175">
        <f>IF(D175="Red",C175,NA())</f>
        <v/>
      </c>
      <c r="K175">
        <f>IF(D175="Black",B175,NA())</f>
        <v/>
      </c>
      <c r="L175">
        <f>IF(D175="Black",C175,NA())</f>
        <v/>
      </c>
    </row>
    <row r="176">
      <c r="A176" t="n">
        <v>175</v>
      </c>
      <c r="B176">
        <f>RAND()*4+1</f>
        <v/>
      </c>
      <c r="C176">
        <f>RAND()*4+1</f>
        <v/>
      </c>
      <c r="D176">
        <f>IF(OR(AND(B176&gt;3,C176&lt;4),AND(B176&lt;=3,C176&lt;2)),"Red","Black")</f>
        <v/>
      </c>
      <c r="E176" t="n">
        <v>3</v>
      </c>
      <c r="F176" t="n">
        <v>2</v>
      </c>
      <c r="G176" t="n">
        <v>4</v>
      </c>
      <c r="I176">
        <f>IF(D176="Red",B176,NA())</f>
        <v/>
      </c>
      <c r="J176">
        <f>IF(D176="Red",C176,NA())</f>
        <v/>
      </c>
      <c r="K176">
        <f>IF(D176="Black",B176,NA())</f>
        <v/>
      </c>
      <c r="L176">
        <f>IF(D176="Black",C176,NA())</f>
        <v/>
      </c>
    </row>
    <row r="177">
      <c r="A177" t="n">
        <v>176</v>
      </c>
      <c r="B177">
        <f>RAND()*4+1</f>
        <v/>
      </c>
      <c r="C177">
        <f>RAND()*4+1</f>
        <v/>
      </c>
      <c r="D177">
        <f>IF(OR(AND(B177&gt;3,C177&lt;4),AND(B177&lt;=3,C177&lt;2)),"Red","Black")</f>
        <v/>
      </c>
      <c r="E177" t="n">
        <v>3</v>
      </c>
      <c r="F177" t="n">
        <v>2</v>
      </c>
      <c r="G177" t="n">
        <v>4</v>
      </c>
      <c r="I177">
        <f>IF(D177="Red",B177,NA())</f>
        <v/>
      </c>
      <c r="J177">
        <f>IF(D177="Red",C177,NA())</f>
        <v/>
      </c>
      <c r="K177">
        <f>IF(D177="Black",B177,NA())</f>
        <v/>
      </c>
      <c r="L177">
        <f>IF(D177="Black",C177,NA())</f>
        <v/>
      </c>
    </row>
    <row r="178">
      <c r="A178" t="n">
        <v>177</v>
      </c>
      <c r="B178">
        <f>RAND()*4+1</f>
        <v/>
      </c>
      <c r="C178">
        <f>RAND()*4+1</f>
        <v/>
      </c>
      <c r="D178">
        <f>IF(OR(AND(B178&gt;3,C178&lt;4),AND(B178&lt;=3,C178&lt;2)),"Red","Black")</f>
        <v/>
      </c>
      <c r="E178" t="n">
        <v>3</v>
      </c>
      <c r="F178" t="n">
        <v>2</v>
      </c>
      <c r="G178" t="n">
        <v>4</v>
      </c>
      <c r="I178">
        <f>IF(D178="Red",B178,NA())</f>
        <v/>
      </c>
      <c r="J178">
        <f>IF(D178="Red",C178,NA())</f>
        <v/>
      </c>
      <c r="K178">
        <f>IF(D178="Black",B178,NA())</f>
        <v/>
      </c>
      <c r="L178">
        <f>IF(D178="Black",C178,NA())</f>
        <v/>
      </c>
    </row>
    <row r="179">
      <c r="A179" t="n">
        <v>178</v>
      </c>
      <c r="B179">
        <f>RAND()*4+1</f>
        <v/>
      </c>
      <c r="C179">
        <f>RAND()*4+1</f>
        <v/>
      </c>
      <c r="D179">
        <f>IF(OR(AND(B179&gt;3,C179&lt;4),AND(B179&lt;=3,C179&lt;2)),"Red","Black")</f>
        <v/>
      </c>
      <c r="E179" t="n">
        <v>3</v>
      </c>
      <c r="F179" t="n">
        <v>2</v>
      </c>
      <c r="G179" t="n">
        <v>4</v>
      </c>
      <c r="I179">
        <f>IF(D179="Red",B179,NA())</f>
        <v/>
      </c>
      <c r="J179">
        <f>IF(D179="Red",C179,NA())</f>
        <v/>
      </c>
      <c r="K179">
        <f>IF(D179="Black",B179,NA())</f>
        <v/>
      </c>
      <c r="L179">
        <f>IF(D179="Black",C179,NA())</f>
        <v/>
      </c>
    </row>
    <row r="180">
      <c r="A180" t="n">
        <v>179</v>
      </c>
      <c r="B180">
        <f>RAND()*4+1</f>
        <v/>
      </c>
      <c r="C180">
        <f>RAND()*4+1</f>
        <v/>
      </c>
      <c r="D180">
        <f>IF(OR(AND(B180&gt;3,C180&lt;4),AND(B180&lt;=3,C180&lt;2)),"Red","Black")</f>
        <v/>
      </c>
      <c r="E180" t="n">
        <v>3</v>
      </c>
      <c r="F180" t="n">
        <v>2</v>
      </c>
      <c r="G180" t="n">
        <v>4</v>
      </c>
      <c r="I180">
        <f>IF(D180="Red",B180,NA())</f>
        <v/>
      </c>
      <c r="J180">
        <f>IF(D180="Red",C180,NA())</f>
        <v/>
      </c>
      <c r="K180">
        <f>IF(D180="Black",B180,NA())</f>
        <v/>
      </c>
      <c r="L180">
        <f>IF(D180="Black",C180,NA())</f>
        <v/>
      </c>
    </row>
    <row r="181">
      <c r="A181" t="n">
        <v>180</v>
      </c>
      <c r="B181">
        <f>RAND()*4+1</f>
        <v/>
      </c>
      <c r="C181">
        <f>RAND()*4+1</f>
        <v/>
      </c>
      <c r="D181">
        <f>IF(OR(AND(B181&gt;3,C181&lt;4),AND(B181&lt;=3,C181&lt;2)),"Red","Black")</f>
        <v/>
      </c>
      <c r="E181" t="n">
        <v>3</v>
      </c>
      <c r="F181" t="n">
        <v>2</v>
      </c>
      <c r="G181" t="n">
        <v>4</v>
      </c>
      <c r="I181">
        <f>IF(D181="Red",B181,NA())</f>
        <v/>
      </c>
      <c r="J181">
        <f>IF(D181="Red",C181,NA())</f>
        <v/>
      </c>
      <c r="K181">
        <f>IF(D181="Black",B181,NA())</f>
        <v/>
      </c>
      <c r="L181">
        <f>IF(D181="Black",C181,NA())</f>
        <v/>
      </c>
    </row>
    <row r="182">
      <c r="A182" t="n">
        <v>181</v>
      </c>
      <c r="B182">
        <f>RAND()*4+1</f>
        <v/>
      </c>
      <c r="C182">
        <f>RAND()*4+1</f>
        <v/>
      </c>
      <c r="D182">
        <f>IF(OR(AND(B182&gt;3,C182&lt;4),AND(B182&lt;=3,C182&lt;2)),"Red","Black")</f>
        <v/>
      </c>
      <c r="E182" t="n">
        <v>3</v>
      </c>
      <c r="F182" t="n">
        <v>2</v>
      </c>
      <c r="G182" t="n">
        <v>4</v>
      </c>
      <c r="I182">
        <f>IF(D182="Red",B182,NA())</f>
        <v/>
      </c>
      <c r="J182">
        <f>IF(D182="Red",C182,NA())</f>
        <v/>
      </c>
      <c r="K182">
        <f>IF(D182="Black",B182,NA())</f>
        <v/>
      </c>
      <c r="L182">
        <f>IF(D182="Black",C182,NA())</f>
        <v/>
      </c>
    </row>
    <row r="183">
      <c r="A183" t="n">
        <v>182</v>
      </c>
      <c r="B183">
        <f>RAND()*4+1</f>
        <v/>
      </c>
      <c r="C183">
        <f>RAND()*4+1</f>
        <v/>
      </c>
      <c r="D183">
        <f>IF(OR(AND(B183&gt;3,C183&lt;4),AND(B183&lt;=3,C183&lt;2)),"Red","Black")</f>
        <v/>
      </c>
      <c r="E183" t="n">
        <v>3</v>
      </c>
      <c r="F183" t="n">
        <v>2</v>
      </c>
      <c r="G183" t="n">
        <v>4</v>
      </c>
      <c r="I183">
        <f>IF(D183="Red",B183,NA())</f>
        <v/>
      </c>
      <c r="J183">
        <f>IF(D183="Red",C183,NA())</f>
        <v/>
      </c>
      <c r="K183">
        <f>IF(D183="Black",B183,NA())</f>
        <v/>
      </c>
      <c r="L183">
        <f>IF(D183="Black",C183,NA())</f>
        <v/>
      </c>
    </row>
    <row r="184">
      <c r="A184" t="n">
        <v>183</v>
      </c>
      <c r="B184">
        <f>RAND()*4+1</f>
        <v/>
      </c>
      <c r="C184">
        <f>RAND()*4+1</f>
        <v/>
      </c>
      <c r="D184">
        <f>IF(OR(AND(B184&gt;3,C184&lt;4),AND(B184&lt;=3,C184&lt;2)),"Red","Black")</f>
        <v/>
      </c>
      <c r="E184" t="n">
        <v>3</v>
      </c>
      <c r="F184" t="n">
        <v>2</v>
      </c>
      <c r="G184" t="n">
        <v>4</v>
      </c>
      <c r="I184">
        <f>IF(D184="Red",B184,NA())</f>
        <v/>
      </c>
      <c r="J184">
        <f>IF(D184="Red",C184,NA())</f>
        <v/>
      </c>
      <c r="K184">
        <f>IF(D184="Black",B184,NA())</f>
        <v/>
      </c>
      <c r="L184">
        <f>IF(D184="Black",C184,NA())</f>
        <v/>
      </c>
    </row>
    <row r="185">
      <c r="A185" t="n">
        <v>184</v>
      </c>
      <c r="B185">
        <f>RAND()*4+1</f>
        <v/>
      </c>
      <c r="C185">
        <f>RAND()*4+1</f>
        <v/>
      </c>
      <c r="D185">
        <f>IF(OR(AND(B185&gt;3,C185&lt;4),AND(B185&lt;=3,C185&lt;2)),"Red","Black")</f>
        <v/>
      </c>
      <c r="E185" t="n">
        <v>3</v>
      </c>
      <c r="F185" t="n">
        <v>2</v>
      </c>
      <c r="G185" t="n">
        <v>4</v>
      </c>
      <c r="I185">
        <f>IF(D185="Red",B185,NA())</f>
        <v/>
      </c>
      <c r="J185">
        <f>IF(D185="Red",C185,NA())</f>
        <v/>
      </c>
      <c r="K185">
        <f>IF(D185="Black",B185,NA())</f>
        <v/>
      </c>
      <c r="L185">
        <f>IF(D185="Black",C185,NA())</f>
        <v/>
      </c>
    </row>
    <row r="186">
      <c r="A186" t="n">
        <v>185</v>
      </c>
      <c r="B186">
        <f>RAND()*4+1</f>
        <v/>
      </c>
      <c r="C186">
        <f>RAND()*4+1</f>
        <v/>
      </c>
      <c r="D186">
        <f>IF(OR(AND(B186&gt;3,C186&lt;4),AND(B186&lt;=3,C186&lt;2)),"Red","Black")</f>
        <v/>
      </c>
      <c r="E186" t="n">
        <v>3</v>
      </c>
      <c r="F186" t="n">
        <v>2</v>
      </c>
      <c r="G186" t="n">
        <v>4</v>
      </c>
      <c r="I186">
        <f>IF(D186="Red",B186,NA())</f>
        <v/>
      </c>
      <c r="J186">
        <f>IF(D186="Red",C186,NA())</f>
        <v/>
      </c>
      <c r="K186">
        <f>IF(D186="Black",B186,NA())</f>
        <v/>
      </c>
      <c r="L186">
        <f>IF(D186="Black",C186,NA())</f>
        <v/>
      </c>
    </row>
    <row r="187">
      <c r="A187" t="n">
        <v>186</v>
      </c>
      <c r="B187">
        <f>RAND()*4+1</f>
        <v/>
      </c>
      <c r="C187">
        <f>RAND()*4+1</f>
        <v/>
      </c>
      <c r="D187">
        <f>IF(OR(AND(B187&gt;3,C187&lt;4),AND(B187&lt;=3,C187&lt;2)),"Red","Black")</f>
        <v/>
      </c>
      <c r="E187" t="n">
        <v>3</v>
      </c>
      <c r="F187" t="n">
        <v>2</v>
      </c>
      <c r="G187" t="n">
        <v>4</v>
      </c>
      <c r="I187">
        <f>IF(D187="Red",B187,NA())</f>
        <v/>
      </c>
      <c r="J187">
        <f>IF(D187="Red",C187,NA())</f>
        <v/>
      </c>
      <c r="K187">
        <f>IF(D187="Black",B187,NA())</f>
        <v/>
      </c>
      <c r="L187">
        <f>IF(D187="Black",C187,NA())</f>
        <v/>
      </c>
    </row>
    <row r="188">
      <c r="A188" t="n">
        <v>187</v>
      </c>
      <c r="B188">
        <f>RAND()*4+1</f>
        <v/>
      </c>
      <c r="C188">
        <f>RAND()*4+1</f>
        <v/>
      </c>
      <c r="D188">
        <f>IF(OR(AND(B188&gt;3,C188&lt;4),AND(B188&lt;=3,C188&lt;2)),"Red","Black")</f>
        <v/>
      </c>
      <c r="E188" t="n">
        <v>3</v>
      </c>
      <c r="F188" t="n">
        <v>2</v>
      </c>
      <c r="G188" t="n">
        <v>4</v>
      </c>
      <c r="I188">
        <f>IF(D188="Red",B188,NA())</f>
        <v/>
      </c>
      <c r="J188">
        <f>IF(D188="Red",C188,NA())</f>
        <v/>
      </c>
      <c r="K188">
        <f>IF(D188="Black",B188,NA())</f>
        <v/>
      </c>
      <c r="L188">
        <f>IF(D188="Black",C188,NA())</f>
        <v/>
      </c>
    </row>
    <row r="189">
      <c r="A189" t="n">
        <v>188</v>
      </c>
      <c r="B189">
        <f>RAND()*4+1</f>
        <v/>
      </c>
      <c r="C189">
        <f>RAND()*4+1</f>
        <v/>
      </c>
      <c r="D189">
        <f>IF(OR(AND(B189&gt;3,C189&lt;4),AND(B189&lt;=3,C189&lt;2)),"Red","Black")</f>
        <v/>
      </c>
      <c r="E189" t="n">
        <v>3</v>
      </c>
      <c r="F189" t="n">
        <v>2</v>
      </c>
      <c r="G189" t="n">
        <v>4</v>
      </c>
      <c r="I189">
        <f>IF(D189="Red",B189,NA())</f>
        <v/>
      </c>
      <c r="J189">
        <f>IF(D189="Red",C189,NA())</f>
        <v/>
      </c>
      <c r="K189">
        <f>IF(D189="Black",B189,NA())</f>
        <v/>
      </c>
      <c r="L189">
        <f>IF(D189="Black",C189,NA())</f>
        <v/>
      </c>
    </row>
    <row r="190">
      <c r="A190" t="n">
        <v>189</v>
      </c>
      <c r="B190">
        <f>RAND()*4+1</f>
        <v/>
      </c>
      <c r="C190">
        <f>RAND()*4+1</f>
        <v/>
      </c>
      <c r="D190">
        <f>IF(OR(AND(B190&gt;3,C190&lt;4),AND(B190&lt;=3,C190&lt;2)),"Red","Black")</f>
        <v/>
      </c>
      <c r="E190" t="n">
        <v>3</v>
      </c>
      <c r="F190" t="n">
        <v>2</v>
      </c>
      <c r="G190" t="n">
        <v>4</v>
      </c>
      <c r="I190">
        <f>IF(D190="Red",B190,NA())</f>
        <v/>
      </c>
      <c r="J190">
        <f>IF(D190="Red",C190,NA())</f>
        <v/>
      </c>
      <c r="K190">
        <f>IF(D190="Black",B190,NA())</f>
        <v/>
      </c>
      <c r="L190">
        <f>IF(D190="Black",C190,NA())</f>
        <v/>
      </c>
    </row>
    <row r="191">
      <c r="A191" t="n">
        <v>190</v>
      </c>
      <c r="B191">
        <f>RAND()*4+1</f>
        <v/>
      </c>
      <c r="C191">
        <f>RAND()*4+1</f>
        <v/>
      </c>
      <c r="D191">
        <f>IF(OR(AND(B191&gt;3,C191&lt;4),AND(B191&lt;=3,C191&lt;2)),"Red","Black")</f>
        <v/>
      </c>
      <c r="E191" t="n">
        <v>3</v>
      </c>
      <c r="F191" t="n">
        <v>2</v>
      </c>
      <c r="G191" t="n">
        <v>4</v>
      </c>
      <c r="I191">
        <f>IF(D191="Red",B191,NA())</f>
        <v/>
      </c>
      <c r="J191">
        <f>IF(D191="Red",C191,NA())</f>
        <v/>
      </c>
      <c r="K191">
        <f>IF(D191="Black",B191,NA())</f>
        <v/>
      </c>
      <c r="L191">
        <f>IF(D191="Black",C191,NA())</f>
        <v/>
      </c>
    </row>
    <row r="192">
      <c r="A192" t="n">
        <v>191</v>
      </c>
      <c r="B192">
        <f>RAND()*4+1</f>
        <v/>
      </c>
      <c r="C192">
        <f>RAND()*4+1</f>
        <v/>
      </c>
      <c r="D192">
        <f>IF(OR(AND(B192&gt;3,C192&lt;4),AND(B192&lt;=3,C192&lt;2)),"Red","Black")</f>
        <v/>
      </c>
      <c r="E192" t="n">
        <v>3</v>
      </c>
      <c r="F192" t="n">
        <v>2</v>
      </c>
      <c r="G192" t="n">
        <v>4</v>
      </c>
      <c r="I192">
        <f>IF(D192="Red",B192,NA())</f>
        <v/>
      </c>
      <c r="J192">
        <f>IF(D192="Red",C192,NA())</f>
        <v/>
      </c>
      <c r="K192">
        <f>IF(D192="Black",B192,NA())</f>
        <v/>
      </c>
      <c r="L192">
        <f>IF(D192="Black",C192,NA())</f>
        <v/>
      </c>
    </row>
    <row r="193">
      <c r="A193" t="n">
        <v>192</v>
      </c>
      <c r="B193">
        <f>RAND()*4+1</f>
        <v/>
      </c>
      <c r="C193">
        <f>RAND()*4+1</f>
        <v/>
      </c>
      <c r="D193">
        <f>IF(OR(AND(B193&gt;3,C193&lt;4),AND(B193&lt;=3,C193&lt;2)),"Red","Black")</f>
        <v/>
      </c>
      <c r="E193" t="n">
        <v>3</v>
      </c>
      <c r="F193" t="n">
        <v>2</v>
      </c>
      <c r="G193" t="n">
        <v>4</v>
      </c>
      <c r="I193">
        <f>IF(D193="Red",B193,NA())</f>
        <v/>
      </c>
      <c r="J193">
        <f>IF(D193="Red",C193,NA())</f>
        <v/>
      </c>
      <c r="K193">
        <f>IF(D193="Black",B193,NA())</f>
        <v/>
      </c>
      <c r="L193">
        <f>IF(D193="Black",C193,NA())</f>
        <v/>
      </c>
    </row>
    <row r="194">
      <c r="A194" t="n">
        <v>193</v>
      </c>
      <c r="B194">
        <f>RAND()*4+1</f>
        <v/>
      </c>
      <c r="C194">
        <f>RAND()*4+1</f>
        <v/>
      </c>
      <c r="D194">
        <f>IF(OR(AND(B194&gt;3,C194&lt;4),AND(B194&lt;=3,C194&lt;2)),"Red","Black")</f>
        <v/>
      </c>
      <c r="E194" t="n">
        <v>3</v>
      </c>
      <c r="F194" t="n">
        <v>2</v>
      </c>
      <c r="G194" t="n">
        <v>4</v>
      </c>
      <c r="I194">
        <f>IF(D194="Red",B194,NA())</f>
        <v/>
      </c>
      <c r="J194">
        <f>IF(D194="Red",C194,NA())</f>
        <v/>
      </c>
      <c r="K194">
        <f>IF(D194="Black",B194,NA())</f>
        <v/>
      </c>
      <c r="L194">
        <f>IF(D194="Black",C194,NA())</f>
        <v/>
      </c>
    </row>
    <row r="195">
      <c r="A195" t="n">
        <v>194</v>
      </c>
      <c r="B195">
        <f>RAND()*4+1</f>
        <v/>
      </c>
      <c r="C195">
        <f>RAND()*4+1</f>
        <v/>
      </c>
      <c r="D195">
        <f>IF(OR(AND(B195&gt;3,C195&lt;4),AND(B195&lt;=3,C195&lt;2)),"Red","Black")</f>
        <v/>
      </c>
      <c r="E195" t="n">
        <v>3</v>
      </c>
      <c r="F195" t="n">
        <v>2</v>
      </c>
      <c r="G195" t="n">
        <v>4</v>
      </c>
      <c r="I195">
        <f>IF(D195="Red",B195,NA())</f>
        <v/>
      </c>
      <c r="J195">
        <f>IF(D195="Red",C195,NA())</f>
        <v/>
      </c>
      <c r="K195">
        <f>IF(D195="Black",B195,NA())</f>
        <v/>
      </c>
      <c r="L195">
        <f>IF(D195="Black",C195,NA())</f>
        <v/>
      </c>
    </row>
    <row r="196">
      <c r="A196" t="n">
        <v>195</v>
      </c>
      <c r="B196">
        <f>RAND()*4+1</f>
        <v/>
      </c>
      <c r="C196">
        <f>RAND()*4+1</f>
        <v/>
      </c>
      <c r="D196">
        <f>IF(OR(AND(B196&gt;3,C196&lt;4),AND(B196&lt;=3,C196&lt;2)),"Red","Black")</f>
        <v/>
      </c>
      <c r="E196" t="n">
        <v>3</v>
      </c>
      <c r="F196" t="n">
        <v>2</v>
      </c>
      <c r="G196" t="n">
        <v>4</v>
      </c>
      <c r="I196">
        <f>IF(D196="Red",B196,NA())</f>
        <v/>
      </c>
      <c r="J196">
        <f>IF(D196="Red",C196,NA())</f>
        <v/>
      </c>
      <c r="K196">
        <f>IF(D196="Black",B196,NA())</f>
        <v/>
      </c>
      <c r="L196">
        <f>IF(D196="Black",C196,NA())</f>
        <v/>
      </c>
    </row>
    <row r="197">
      <c r="A197" t="n">
        <v>196</v>
      </c>
      <c r="B197">
        <f>RAND()*4+1</f>
        <v/>
      </c>
      <c r="C197">
        <f>RAND()*4+1</f>
        <v/>
      </c>
      <c r="D197">
        <f>IF(OR(AND(B197&gt;3,C197&lt;4),AND(B197&lt;=3,C197&lt;2)),"Red","Black")</f>
        <v/>
      </c>
      <c r="E197" t="n">
        <v>3</v>
      </c>
      <c r="F197" t="n">
        <v>2</v>
      </c>
      <c r="G197" t="n">
        <v>4</v>
      </c>
      <c r="I197">
        <f>IF(D197="Red",B197,NA())</f>
        <v/>
      </c>
      <c r="J197">
        <f>IF(D197="Red",C197,NA())</f>
        <v/>
      </c>
      <c r="K197">
        <f>IF(D197="Black",B197,NA())</f>
        <v/>
      </c>
      <c r="L197">
        <f>IF(D197="Black",C197,NA())</f>
        <v/>
      </c>
    </row>
    <row r="198">
      <c r="A198" t="n">
        <v>197</v>
      </c>
      <c r="B198">
        <f>RAND()*4+1</f>
        <v/>
      </c>
      <c r="C198">
        <f>RAND()*4+1</f>
        <v/>
      </c>
      <c r="D198">
        <f>IF(OR(AND(B198&gt;3,C198&lt;4),AND(B198&lt;=3,C198&lt;2)),"Red","Black")</f>
        <v/>
      </c>
      <c r="E198" t="n">
        <v>3</v>
      </c>
      <c r="F198" t="n">
        <v>2</v>
      </c>
      <c r="G198" t="n">
        <v>4</v>
      </c>
      <c r="I198">
        <f>IF(D198="Red",B198,NA())</f>
        <v/>
      </c>
      <c r="J198">
        <f>IF(D198="Red",C198,NA())</f>
        <v/>
      </c>
      <c r="K198">
        <f>IF(D198="Black",B198,NA())</f>
        <v/>
      </c>
      <c r="L198">
        <f>IF(D198="Black",C198,NA())</f>
        <v/>
      </c>
    </row>
    <row r="199">
      <c r="A199" t="n">
        <v>198</v>
      </c>
      <c r="B199">
        <f>RAND()*4+1</f>
        <v/>
      </c>
      <c r="C199">
        <f>RAND()*4+1</f>
        <v/>
      </c>
      <c r="D199">
        <f>IF(OR(AND(B199&gt;3,C199&lt;4),AND(B199&lt;=3,C199&lt;2)),"Red","Black")</f>
        <v/>
      </c>
      <c r="E199" t="n">
        <v>3</v>
      </c>
      <c r="F199" t="n">
        <v>2</v>
      </c>
      <c r="G199" t="n">
        <v>4</v>
      </c>
      <c r="I199">
        <f>IF(D199="Red",B199,NA())</f>
        <v/>
      </c>
      <c r="J199">
        <f>IF(D199="Red",C199,NA())</f>
        <v/>
      </c>
      <c r="K199">
        <f>IF(D199="Black",B199,NA())</f>
        <v/>
      </c>
      <c r="L199">
        <f>IF(D199="Black",C199,NA())</f>
        <v/>
      </c>
    </row>
    <row r="200">
      <c r="A200" t="n">
        <v>199</v>
      </c>
      <c r="B200">
        <f>RAND()*4+1</f>
        <v/>
      </c>
      <c r="C200">
        <f>RAND()*4+1</f>
        <v/>
      </c>
      <c r="D200">
        <f>IF(OR(AND(B200&gt;3,C200&lt;4),AND(B200&lt;=3,C200&lt;2)),"Red","Black")</f>
        <v/>
      </c>
      <c r="E200" t="n">
        <v>3</v>
      </c>
      <c r="F200" t="n">
        <v>2</v>
      </c>
      <c r="G200" t="n">
        <v>4</v>
      </c>
      <c r="I200">
        <f>IF(D200="Red",B200,NA())</f>
        <v/>
      </c>
      <c r="J200">
        <f>IF(D200="Red",C200,NA())</f>
        <v/>
      </c>
      <c r="K200">
        <f>IF(D200="Black",B200,NA())</f>
        <v/>
      </c>
      <c r="L200">
        <f>IF(D200="Black",C200,NA())</f>
        <v/>
      </c>
    </row>
    <row r="201">
      <c r="A201" t="n">
        <v>200</v>
      </c>
      <c r="B201">
        <f>RAND()*4+1</f>
        <v/>
      </c>
      <c r="C201">
        <f>RAND()*4+1</f>
        <v/>
      </c>
      <c r="D201">
        <f>IF(OR(AND(B201&gt;3,C201&lt;4),AND(B201&lt;=3,C201&lt;2)),"Red","Black")</f>
        <v/>
      </c>
      <c r="E201" t="n">
        <v>3</v>
      </c>
      <c r="F201" t="n">
        <v>2</v>
      </c>
      <c r="G201" t="n">
        <v>4</v>
      </c>
      <c r="I201">
        <f>IF(D201="Red",B201,NA())</f>
        <v/>
      </c>
      <c r="J201">
        <f>IF(D201="Red",C201,NA())</f>
        <v/>
      </c>
      <c r="K201">
        <f>IF(D201="Black",B201,NA())</f>
        <v/>
      </c>
      <c r="L201">
        <f>IF(D201="Black",C201,NA())</f>
        <v/>
      </c>
    </row>
    <row r="202">
      <c r="A202" t="n">
        <v>201</v>
      </c>
      <c r="B202">
        <f>RAND()*4+1</f>
        <v/>
      </c>
      <c r="C202">
        <f>RAND()*4+1</f>
        <v/>
      </c>
      <c r="D202">
        <f>IF(OR(AND(B202&gt;3,C202&lt;4),AND(B202&lt;=3,C202&lt;2)),"Red","Black")</f>
        <v/>
      </c>
      <c r="E202" t="n">
        <v>3</v>
      </c>
      <c r="F202" t="n">
        <v>2</v>
      </c>
      <c r="G202" t="n">
        <v>4</v>
      </c>
      <c r="I202">
        <f>IF(D202="Red",B202,NA())</f>
        <v/>
      </c>
      <c r="J202">
        <f>IF(D202="Red",C202,NA())</f>
        <v/>
      </c>
      <c r="K202">
        <f>IF(D202="Black",B202,NA())</f>
        <v/>
      </c>
      <c r="L202">
        <f>IF(D202="Black",C202,NA())</f>
        <v/>
      </c>
    </row>
    <row r="203">
      <c r="A203" t="n">
        <v>202</v>
      </c>
      <c r="B203">
        <f>RAND()*4+1</f>
        <v/>
      </c>
      <c r="C203">
        <f>RAND()*4+1</f>
        <v/>
      </c>
      <c r="D203">
        <f>IF(OR(AND(B203&gt;3,C203&lt;4),AND(B203&lt;=3,C203&lt;2)),"Red","Black")</f>
        <v/>
      </c>
      <c r="E203" t="n">
        <v>3</v>
      </c>
      <c r="F203" t="n">
        <v>2</v>
      </c>
      <c r="G203" t="n">
        <v>4</v>
      </c>
      <c r="I203">
        <f>IF(D203="Red",B203,NA())</f>
        <v/>
      </c>
      <c r="J203">
        <f>IF(D203="Red",C203,NA())</f>
        <v/>
      </c>
      <c r="K203">
        <f>IF(D203="Black",B203,NA())</f>
        <v/>
      </c>
      <c r="L203">
        <f>IF(D203="Black",C203,NA())</f>
        <v/>
      </c>
    </row>
    <row r="204">
      <c r="A204" t="n">
        <v>203</v>
      </c>
      <c r="B204">
        <f>RAND()*4+1</f>
        <v/>
      </c>
      <c r="C204">
        <f>RAND()*4+1</f>
        <v/>
      </c>
      <c r="D204">
        <f>IF(OR(AND(B204&gt;3,C204&lt;4),AND(B204&lt;=3,C204&lt;2)),"Red","Black")</f>
        <v/>
      </c>
      <c r="E204" t="n">
        <v>3</v>
      </c>
      <c r="F204" t="n">
        <v>2</v>
      </c>
      <c r="G204" t="n">
        <v>4</v>
      </c>
      <c r="I204">
        <f>IF(D204="Red",B204,NA())</f>
        <v/>
      </c>
      <c r="J204">
        <f>IF(D204="Red",C204,NA())</f>
        <v/>
      </c>
      <c r="K204">
        <f>IF(D204="Black",B204,NA())</f>
        <v/>
      </c>
      <c r="L204">
        <f>IF(D204="Black",C204,NA())</f>
        <v/>
      </c>
    </row>
    <row r="205">
      <c r="A205" t="n">
        <v>204</v>
      </c>
      <c r="B205">
        <f>RAND()*4+1</f>
        <v/>
      </c>
      <c r="C205">
        <f>RAND()*4+1</f>
        <v/>
      </c>
      <c r="D205">
        <f>IF(OR(AND(B205&gt;3,C205&lt;4),AND(B205&lt;=3,C205&lt;2)),"Red","Black")</f>
        <v/>
      </c>
      <c r="E205" t="n">
        <v>3</v>
      </c>
      <c r="F205" t="n">
        <v>2</v>
      </c>
      <c r="G205" t="n">
        <v>4</v>
      </c>
      <c r="I205">
        <f>IF(D205="Red",B205,NA())</f>
        <v/>
      </c>
      <c r="J205">
        <f>IF(D205="Red",C205,NA())</f>
        <v/>
      </c>
      <c r="K205">
        <f>IF(D205="Black",B205,NA())</f>
        <v/>
      </c>
      <c r="L205">
        <f>IF(D205="Black",C205,NA())</f>
        <v/>
      </c>
    </row>
    <row r="206">
      <c r="A206" t="n">
        <v>205</v>
      </c>
      <c r="B206">
        <f>RAND()*4+1</f>
        <v/>
      </c>
      <c r="C206">
        <f>RAND()*4+1</f>
        <v/>
      </c>
      <c r="D206">
        <f>IF(OR(AND(B206&gt;3,C206&lt;4),AND(B206&lt;=3,C206&lt;2)),"Red","Black")</f>
        <v/>
      </c>
      <c r="E206" t="n">
        <v>3</v>
      </c>
      <c r="F206" t="n">
        <v>2</v>
      </c>
      <c r="G206" t="n">
        <v>4</v>
      </c>
      <c r="I206">
        <f>IF(D206="Red",B206,NA())</f>
        <v/>
      </c>
      <c r="J206">
        <f>IF(D206="Red",C206,NA())</f>
        <v/>
      </c>
      <c r="K206">
        <f>IF(D206="Black",B206,NA())</f>
        <v/>
      </c>
      <c r="L206">
        <f>IF(D206="Black",C206,NA())</f>
        <v/>
      </c>
    </row>
    <row r="207">
      <c r="A207" t="n">
        <v>206</v>
      </c>
      <c r="B207">
        <f>RAND()*4+1</f>
        <v/>
      </c>
      <c r="C207">
        <f>RAND()*4+1</f>
        <v/>
      </c>
      <c r="D207">
        <f>IF(OR(AND(B207&gt;3,C207&lt;4),AND(B207&lt;=3,C207&lt;2)),"Red","Black")</f>
        <v/>
      </c>
      <c r="E207" t="n">
        <v>3</v>
      </c>
      <c r="F207" t="n">
        <v>2</v>
      </c>
      <c r="G207" t="n">
        <v>4</v>
      </c>
      <c r="I207">
        <f>IF(D207="Red",B207,NA())</f>
        <v/>
      </c>
      <c r="J207">
        <f>IF(D207="Red",C207,NA())</f>
        <v/>
      </c>
      <c r="K207">
        <f>IF(D207="Black",B207,NA())</f>
        <v/>
      </c>
      <c r="L207">
        <f>IF(D207="Black",C207,NA())</f>
        <v/>
      </c>
    </row>
    <row r="208">
      <c r="A208" t="n">
        <v>207</v>
      </c>
      <c r="B208">
        <f>RAND()*4+1</f>
        <v/>
      </c>
      <c r="C208">
        <f>RAND()*4+1</f>
        <v/>
      </c>
      <c r="D208">
        <f>IF(OR(AND(B208&gt;3,C208&lt;4),AND(B208&lt;=3,C208&lt;2)),"Red","Black")</f>
        <v/>
      </c>
      <c r="E208" t="n">
        <v>3</v>
      </c>
      <c r="F208" t="n">
        <v>2</v>
      </c>
      <c r="G208" t="n">
        <v>4</v>
      </c>
      <c r="I208">
        <f>IF(D208="Red",B208,NA())</f>
        <v/>
      </c>
      <c r="J208">
        <f>IF(D208="Red",C208,NA())</f>
        <v/>
      </c>
      <c r="K208">
        <f>IF(D208="Black",B208,NA())</f>
        <v/>
      </c>
      <c r="L208">
        <f>IF(D208="Black",C208,NA())</f>
        <v/>
      </c>
    </row>
    <row r="209">
      <c r="A209" t="n">
        <v>208</v>
      </c>
      <c r="B209">
        <f>RAND()*4+1</f>
        <v/>
      </c>
      <c r="C209">
        <f>RAND()*4+1</f>
        <v/>
      </c>
      <c r="D209">
        <f>IF(OR(AND(B209&gt;3,C209&lt;4),AND(B209&lt;=3,C209&lt;2)),"Red","Black")</f>
        <v/>
      </c>
      <c r="E209" t="n">
        <v>3</v>
      </c>
      <c r="F209" t="n">
        <v>2</v>
      </c>
      <c r="G209" t="n">
        <v>4</v>
      </c>
      <c r="I209">
        <f>IF(D209="Red",B209,NA())</f>
        <v/>
      </c>
      <c r="J209">
        <f>IF(D209="Red",C209,NA())</f>
        <v/>
      </c>
      <c r="K209">
        <f>IF(D209="Black",B209,NA())</f>
        <v/>
      </c>
      <c r="L209">
        <f>IF(D209="Black",C209,NA())</f>
        <v/>
      </c>
    </row>
    <row r="210">
      <c r="A210" t="n">
        <v>209</v>
      </c>
      <c r="B210">
        <f>RAND()*4+1</f>
        <v/>
      </c>
      <c r="C210">
        <f>RAND()*4+1</f>
        <v/>
      </c>
      <c r="D210">
        <f>IF(OR(AND(B210&gt;3,C210&lt;4),AND(B210&lt;=3,C210&lt;2)),"Red","Black")</f>
        <v/>
      </c>
      <c r="E210" t="n">
        <v>3</v>
      </c>
      <c r="F210" t="n">
        <v>2</v>
      </c>
      <c r="G210" t="n">
        <v>4</v>
      </c>
      <c r="I210">
        <f>IF(D210="Red",B210,NA())</f>
        <v/>
      </c>
      <c r="J210">
        <f>IF(D210="Red",C210,NA())</f>
        <v/>
      </c>
      <c r="K210">
        <f>IF(D210="Black",B210,NA())</f>
        <v/>
      </c>
      <c r="L210">
        <f>IF(D210="Black",C210,NA())</f>
        <v/>
      </c>
    </row>
    <row r="211">
      <c r="A211" t="n">
        <v>210</v>
      </c>
      <c r="B211">
        <f>RAND()*4+1</f>
        <v/>
      </c>
      <c r="C211">
        <f>RAND()*4+1</f>
        <v/>
      </c>
      <c r="D211">
        <f>IF(OR(AND(B211&gt;3,C211&lt;4),AND(B211&lt;=3,C211&lt;2)),"Red","Black")</f>
        <v/>
      </c>
      <c r="E211" t="n">
        <v>3</v>
      </c>
      <c r="F211" t="n">
        <v>2</v>
      </c>
      <c r="G211" t="n">
        <v>4</v>
      </c>
      <c r="I211">
        <f>IF(D211="Red",B211,NA())</f>
        <v/>
      </c>
      <c r="J211">
        <f>IF(D211="Red",C211,NA())</f>
        <v/>
      </c>
      <c r="K211">
        <f>IF(D211="Black",B211,NA())</f>
        <v/>
      </c>
      <c r="L211">
        <f>IF(D211="Black",C211,NA())</f>
        <v/>
      </c>
    </row>
    <row r="212">
      <c r="A212" t="n">
        <v>211</v>
      </c>
      <c r="B212">
        <f>RAND()*4+1</f>
        <v/>
      </c>
      <c r="C212">
        <f>RAND()*4+1</f>
        <v/>
      </c>
      <c r="D212">
        <f>IF(OR(AND(B212&gt;3,C212&lt;4),AND(B212&lt;=3,C212&lt;2)),"Red","Black")</f>
        <v/>
      </c>
      <c r="E212" t="n">
        <v>3</v>
      </c>
      <c r="F212" t="n">
        <v>2</v>
      </c>
      <c r="G212" t="n">
        <v>4</v>
      </c>
      <c r="I212">
        <f>IF(D212="Red",B212,NA())</f>
        <v/>
      </c>
      <c r="J212">
        <f>IF(D212="Red",C212,NA())</f>
        <v/>
      </c>
      <c r="K212">
        <f>IF(D212="Black",B212,NA())</f>
        <v/>
      </c>
      <c r="L212">
        <f>IF(D212="Black",C212,NA())</f>
        <v/>
      </c>
    </row>
    <row r="213">
      <c r="A213" t="n">
        <v>212</v>
      </c>
      <c r="B213">
        <f>RAND()*4+1</f>
        <v/>
      </c>
      <c r="C213">
        <f>RAND()*4+1</f>
        <v/>
      </c>
      <c r="D213">
        <f>IF(OR(AND(B213&gt;3,C213&lt;4),AND(B213&lt;=3,C213&lt;2)),"Red","Black")</f>
        <v/>
      </c>
      <c r="E213" t="n">
        <v>3</v>
      </c>
      <c r="F213" t="n">
        <v>2</v>
      </c>
      <c r="G213" t="n">
        <v>4</v>
      </c>
      <c r="I213">
        <f>IF(D213="Red",B213,NA())</f>
        <v/>
      </c>
      <c r="J213">
        <f>IF(D213="Red",C213,NA())</f>
        <v/>
      </c>
      <c r="K213">
        <f>IF(D213="Black",B213,NA())</f>
        <v/>
      </c>
      <c r="L213">
        <f>IF(D213="Black",C213,NA())</f>
        <v/>
      </c>
    </row>
    <row r="214">
      <c r="A214" t="n">
        <v>213</v>
      </c>
      <c r="B214">
        <f>RAND()*4+1</f>
        <v/>
      </c>
      <c r="C214">
        <f>RAND()*4+1</f>
        <v/>
      </c>
      <c r="D214">
        <f>IF(OR(AND(B214&gt;3,C214&lt;4),AND(B214&lt;=3,C214&lt;2)),"Red","Black")</f>
        <v/>
      </c>
      <c r="E214" t="n">
        <v>3</v>
      </c>
      <c r="F214" t="n">
        <v>2</v>
      </c>
      <c r="G214" t="n">
        <v>4</v>
      </c>
      <c r="I214">
        <f>IF(D214="Red",B214,NA())</f>
        <v/>
      </c>
      <c r="J214">
        <f>IF(D214="Red",C214,NA())</f>
        <v/>
      </c>
      <c r="K214">
        <f>IF(D214="Black",B214,NA())</f>
        <v/>
      </c>
      <c r="L214">
        <f>IF(D214="Black",C214,NA())</f>
        <v/>
      </c>
    </row>
    <row r="215">
      <c r="A215" t="n">
        <v>214</v>
      </c>
      <c r="B215">
        <f>RAND()*4+1</f>
        <v/>
      </c>
      <c r="C215">
        <f>RAND()*4+1</f>
        <v/>
      </c>
      <c r="D215">
        <f>IF(OR(AND(B215&gt;3,C215&lt;4),AND(B215&lt;=3,C215&lt;2)),"Red","Black")</f>
        <v/>
      </c>
      <c r="E215" t="n">
        <v>3</v>
      </c>
      <c r="F215" t="n">
        <v>2</v>
      </c>
      <c r="G215" t="n">
        <v>4</v>
      </c>
      <c r="I215">
        <f>IF(D215="Red",B215,NA())</f>
        <v/>
      </c>
      <c r="J215">
        <f>IF(D215="Red",C215,NA())</f>
        <v/>
      </c>
      <c r="K215">
        <f>IF(D215="Black",B215,NA())</f>
        <v/>
      </c>
      <c r="L215">
        <f>IF(D215="Black",C215,NA())</f>
        <v/>
      </c>
    </row>
    <row r="216">
      <c r="A216" t="n">
        <v>215</v>
      </c>
      <c r="B216">
        <f>RAND()*4+1</f>
        <v/>
      </c>
      <c r="C216">
        <f>RAND()*4+1</f>
        <v/>
      </c>
      <c r="D216">
        <f>IF(OR(AND(B216&gt;3,C216&lt;4),AND(B216&lt;=3,C216&lt;2)),"Red","Black")</f>
        <v/>
      </c>
      <c r="E216" t="n">
        <v>3</v>
      </c>
      <c r="F216" t="n">
        <v>2</v>
      </c>
      <c r="G216" t="n">
        <v>4</v>
      </c>
      <c r="I216">
        <f>IF(D216="Red",B216,NA())</f>
        <v/>
      </c>
      <c r="J216">
        <f>IF(D216="Red",C216,NA())</f>
        <v/>
      </c>
      <c r="K216">
        <f>IF(D216="Black",B216,NA())</f>
        <v/>
      </c>
      <c r="L216">
        <f>IF(D216="Black",C216,NA())</f>
        <v/>
      </c>
    </row>
    <row r="217">
      <c r="A217" t="n">
        <v>216</v>
      </c>
      <c r="B217">
        <f>RAND()*4+1</f>
        <v/>
      </c>
      <c r="C217">
        <f>RAND()*4+1</f>
        <v/>
      </c>
      <c r="D217">
        <f>IF(OR(AND(B217&gt;3,C217&lt;4),AND(B217&lt;=3,C217&lt;2)),"Red","Black")</f>
        <v/>
      </c>
      <c r="E217" t="n">
        <v>3</v>
      </c>
      <c r="F217" t="n">
        <v>2</v>
      </c>
      <c r="G217" t="n">
        <v>4</v>
      </c>
      <c r="I217">
        <f>IF(D217="Red",B217,NA())</f>
        <v/>
      </c>
      <c r="J217">
        <f>IF(D217="Red",C217,NA())</f>
        <v/>
      </c>
      <c r="K217">
        <f>IF(D217="Black",B217,NA())</f>
        <v/>
      </c>
      <c r="L217">
        <f>IF(D217="Black",C217,NA())</f>
        <v/>
      </c>
    </row>
    <row r="218">
      <c r="A218" t="n">
        <v>217</v>
      </c>
      <c r="B218">
        <f>RAND()*4+1</f>
        <v/>
      </c>
      <c r="C218">
        <f>RAND()*4+1</f>
        <v/>
      </c>
      <c r="D218">
        <f>IF(OR(AND(B218&gt;3,C218&lt;4),AND(B218&lt;=3,C218&lt;2)),"Red","Black")</f>
        <v/>
      </c>
      <c r="E218" t="n">
        <v>3</v>
      </c>
      <c r="F218" t="n">
        <v>2</v>
      </c>
      <c r="G218" t="n">
        <v>4</v>
      </c>
      <c r="I218">
        <f>IF(D218="Red",B218,NA())</f>
        <v/>
      </c>
      <c r="J218">
        <f>IF(D218="Red",C218,NA())</f>
        <v/>
      </c>
      <c r="K218">
        <f>IF(D218="Black",B218,NA())</f>
        <v/>
      </c>
      <c r="L218">
        <f>IF(D218="Black",C218,NA())</f>
        <v/>
      </c>
    </row>
    <row r="219">
      <c r="A219" t="n">
        <v>218</v>
      </c>
      <c r="B219">
        <f>RAND()*4+1</f>
        <v/>
      </c>
      <c r="C219">
        <f>RAND()*4+1</f>
        <v/>
      </c>
      <c r="D219">
        <f>IF(OR(AND(B219&gt;3,C219&lt;4),AND(B219&lt;=3,C219&lt;2)),"Red","Black")</f>
        <v/>
      </c>
      <c r="E219" t="n">
        <v>3</v>
      </c>
      <c r="F219" t="n">
        <v>2</v>
      </c>
      <c r="G219" t="n">
        <v>4</v>
      </c>
      <c r="I219">
        <f>IF(D219="Red",B219,NA())</f>
        <v/>
      </c>
      <c r="J219">
        <f>IF(D219="Red",C219,NA())</f>
        <v/>
      </c>
      <c r="K219">
        <f>IF(D219="Black",B219,NA())</f>
        <v/>
      </c>
      <c r="L219">
        <f>IF(D219="Black",C219,NA())</f>
        <v/>
      </c>
    </row>
    <row r="220">
      <c r="A220" t="n">
        <v>219</v>
      </c>
      <c r="B220">
        <f>RAND()*4+1</f>
        <v/>
      </c>
      <c r="C220">
        <f>RAND()*4+1</f>
        <v/>
      </c>
      <c r="D220">
        <f>IF(OR(AND(B220&gt;3,C220&lt;4),AND(B220&lt;=3,C220&lt;2)),"Red","Black")</f>
        <v/>
      </c>
      <c r="E220" t="n">
        <v>3</v>
      </c>
      <c r="F220" t="n">
        <v>2</v>
      </c>
      <c r="G220" t="n">
        <v>4</v>
      </c>
      <c r="I220">
        <f>IF(D220="Red",B220,NA())</f>
        <v/>
      </c>
      <c r="J220">
        <f>IF(D220="Red",C220,NA())</f>
        <v/>
      </c>
      <c r="K220">
        <f>IF(D220="Black",B220,NA())</f>
        <v/>
      </c>
      <c r="L220">
        <f>IF(D220="Black",C220,NA())</f>
        <v/>
      </c>
    </row>
    <row r="221">
      <c r="A221" t="n">
        <v>220</v>
      </c>
      <c r="B221">
        <f>RAND()*4+1</f>
        <v/>
      </c>
      <c r="C221">
        <f>RAND()*4+1</f>
        <v/>
      </c>
      <c r="D221">
        <f>IF(OR(AND(B221&gt;3,C221&lt;4),AND(B221&lt;=3,C221&lt;2)),"Red","Black")</f>
        <v/>
      </c>
      <c r="E221" t="n">
        <v>3</v>
      </c>
      <c r="F221" t="n">
        <v>2</v>
      </c>
      <c r="G221" t="n">
        <v>4</v>
      </c>
      <c r="I221">
        <f>IF(D221="Red",B221,NA())</f>
        <v/>
      </c>
      <c r="J221">
        <f>IF(D221="Red",C221,NA())</f>
        <v/>
      </c>
      <c r="K221">
        <f>IF(D221="Black",B221,NA())</f>
        <v/>
      </c>
      <c r="L221">
        <f>IF(D221="Black",C221,NA())</f>
        <v/>
      </c>
    </row>
    <row r="222">
      <c r="A222" t="n">
        <v>221</v>
      </c>
      <c r="B222">
        <f>RAND()*4+1</f>
        <v/>
      </c>
      <c r="C222">
        <f>RAND()*4+1</f>
        <v/>
      </c>
      <c r="D222">
        <f>IF(OR(AND(B222&gt;3,C222&lt;4),AND(B222&lt;=3,C222&lt;2)),"Red","Black")</f>
        <v/>
      </c>
      <c r="E222" t="n">
        <v>3</v>
      </c>
      <c r="F222" t="n">
        <v>2</v>
      </c>
      <c r="G222" t="n">
        <v>4</v>
      </c>
      <c r="I222">
        <f>IF(D222="Red",B222,NA())</f>
        <v/>
      </c>
      <c r="J222">
        <f>IF(D222="Red",C222,NA())</f>
        <v/>
      </c>
      <c r="K222">
        <f>IF(D222="Black",B222,NA())</f>
        <v/>
      </c>
      <c r="L222">
        <f>IF(D222="Black",C222,NA())</f>
        <v/>
      </c>
    </row>
    <row r="223">
      <c r="A223" t="n">
        <v>222</v>
      </c>
      <c r="B223">
        <f>RAND()*4+1</f>
        <v/>
      </c>
      <c r="C223">
        <f>RAND()*4+1</f>
        <v/>
      </c>
      <c r="D223">
        <f>IF(OR(AND(B223&gt;3,C223&lt;4),AND(B223&lt;=3,C223&lt;2)),"Red","Black")</f>
        <v/>
      </c>
      <c r="E223" t="n">
        <v>3</v>
      </c>
      <c r="F223" t="n">
        <v>2</v>
      </c>
      <c r="G223" t="n">
        <v>4</v>
      </c>
      <c r="I223">
        <f>IF(D223="Red",B223,NA())</f>
        <v/>
      </c>
      <c r="J223">
        <f>IF(D223="Red",C223,NA())</f>
        <v/>
      </c>
      <c r="K223">
        <f>IF(D223="Black",B223,NA())</f>
        <v/>
      </c>
      <c r="L223">
        <f>IF(D223="Black",C223,NA())</f>
        <v/>
      </c>
    </row>
    <row r="224">
      <c r="A224" t="n">
        <v>223</v>
      </c>
      <c r="B224">
        <f>RAND()*4+1</f>
        <v/>
      </c>
      <c r="C224">
        <f>RAND()*4+1</f>
        <v/>
      </c>
      <c r="D224">
        <f>IF(OR(AND(B224&gt;3,C224&lt;4),AND(B224&lt;=3,C224&lt;2)),"Red","Black")</f>
        <v/>
      </c>
      <c r="E224" t="n">
        <v>3</v>
      </c>
      <c r="F224" t="n">
        <v>2</v>
      </c>
      <c r="G224" t="n">
        <v>4</v>
      </c>
      <c r="I224">
        <f>IF(D224="Red",B224,NA())</f>
        <v/>
      </c>
      <c r="J224">
        <f>IF(D224="Red",C224,NA())</f>
        <v/>
      </c>
      <c r="K224">
        <f>IF(D224="Black",B224,NA())</f>
        <v/>
      </c>
      <c r="L224">
        <f>IF(D224="Black",C224,NA())</f>
        <v/>
      </c>
    </row>
    <row r="225">
      <c r="A225" t="n">
        <v>224</v>
      </c>
      <c r="B225">
        <f>RAND()*4+1</f>
        <v/>
      </c>
      <c r="C225">
        <f>RAND()*4+1</f>
        <v/>
      </c>
      <c r="D225">
        <f>IF(OR(AND(B225&gt;3,C225&lt;4),AND(B225&lt;=3,C225&lt;2)),"Red","Black")</f>
        <v/>
      </c>
      <c r="E225" t="n">
        <v>3</v>
      </c>
      <c r="F225" t="n">
        <v>2</v>
      </c>
      <c r="G225" t="n">
        <v>4</v>
      </c>
      <c r="I225">
        <f>IF(D225="Red",B225,NA())</f>
        <v/>
      </c>
      <c r="J225">
        <f>IF(D225="Red",C225,NA())</f>
        <v/>
      </c>
      <c r="K225">
        <f>IF(D225="Black",B225,NA())</f>
        <v/>
      </c>
      <c r="L225">
        <f>IF(D225="Black",C225,NA())</f>
        <v/>
      </c>
    </row>
    <row r="226">
      <c r="A226" t="n">
        <v>225</v>
      </c>
      <c r="B226">
        <f>RAND()*4+1</f>
        <v/>
      </c>
      <c r="C226">
        <f>RAND()*4+1</f>
        <v/>
      </c>
      <c r="D226">
        <f>IF(OR(AND(B226&gt;3,C226&lt;4),AND(B226&lt;=3,C226&lt;2)),"Red","Black")</f>
        <v/>
      </c>
      <c r="E226" t="n">
        <v>3</v>
      </c>
      <c r="F226" t="n">
        <v>2</v>
      </c>
      <c r="G226" t="n">
        <v>4</v>
      </c>
      <c r="I226">
        <f>IF(D226="Red",B226,NA())</f>
        <v/>
      </c>
      <c r="J226">
        <f>IF(D226="Red",C226,NA())</f>
        <v/>
      </c>
      <c r="K226">
        <f>IF(D226="Black",B226,NA())</f>
        <v/>
      </c>
      <c r="L226">
        <f>IF(D226="Black",C226,NA())</f>
        <v/>
      </c>
    </row>
    <row r="227">
      <c r="A227" t="n">
        <v>226</v>
      </c>
      <c r="B227">
        <f>RAND()*4+1</f>
        <v/>
      </c>
      <c r="C227">
        <f>RAND()*4+1</f>
        <v/>
      </c>
      <c r="D227">
        <f>IF(OR(AND(B227&gt;3,C227&lt;4),AND(B227&lt;=3,C227&lt;2)),"Red","Black")</f>
        <v/>
      </c>
      <c r="E227" t="n">
        <v>3</v>
      </c>
      <c r="F227" t="n">
        <v>2</v>
      </c>
      <c r="G227" t="n">
        <v>4</v>
      </c>
      <c r="I227">
        <f>IF(D227="Red",B227,NA())</f>
        <v/>
      </c>
      <c r="J227">
        <f>IF(D227="Red",C227,NA())</f>
        <v/>
      </c>
      <c r="K227">
        <f>IF(D227="Black",B227,NA())</f>
        <v/>
      </c>
      <c r="L227">
        <f>IF(D227="Black",C227,NA())</f>
        <v/>
      </c>
    </row>
    <row r="228">
      <c r="A228" t="n">
        <v>227</v>
      </c>
      <c r="B228">
        <f>RAND()*4+1</f>
        <v/>
      </c>
      <c r="C228">
        <f>RAND()*4+1</f>
        <v/>
      </c>
      <c r="D228">
        <f>IF(OR(AND(B228&gt;3,C228&lt;4),AND(B228&lt;=3,C228&lt;2)),"Red","Black")</f>
        <v/>
      </c>
      <c r="E228" t="n">
        <v>3</v>
      </c>
      <c r="F228" t="n">
        <v>2</v>
      </c>
      <c r="G228" t="n">
        <v>4</v>
      </c>
      <c r="I228">
        <f>IF(D228="Red",B228,NA())</f>
        <v/>
      </c>
      <c r="J228">
        <f>IF(D228="Red",C228,NA())</f>
        <v/>
      </c>
      <c r="K228">
        <f>IF(D228="Black",B228,NA())</f>
        <v/>
      </c>
      <c r="L228">
        <f>IF(D228="Black",C228,NA())</f>
        <v/>
      </c>
    </row>
    <row r="229">
      <c r="A229" t="n">
        <v>228</v>
      </c>
      <c r="B229">
        <f>RAND()*4+1</f>
        <v/>
      </c>
      <c r="C229">
        <f>RAND()*4+1</f>
        <v/>
      </c>
      <c r="D229">
        <f>IF(OR(AND(B229&gt;3,C229&lt;4),AND(B229&lt;=3,C229&lt;2)),"Red","Black")</f>
        <v/>
      </c>
      <c r="E229" t="n">
        <v>3</v>
      </c>
      <c r="F229" t="n">
        <v>2</v>
      </c>
      <c r="G229" t="n">
        <v>4</v>
      </c>
      <c r="I229">
        <f>IF(D229="Red",B229,NA())</f>
        <v/>
      </c>
      <c r="J229">
        <f>IF(D229="Red",C229,NA())</f>
        <v/>
      </c>
      <c r="K229">
        <f>IF(D229="Black",B229,NA())</f>
        <v/>
      </c>
      <c r="L229">
        <f>IF(D229="Black",C229,NA())</f>
        <v/>
      </c>
    </row>
    <row r="230">
      <c r="A230" t="n">
        <v>229</v>
      </c>
      <c r="B230">
        <f>RAND()*4+1</f>
        <v/>
      </c>
      <c r="C230">
        <f>RAND()*4+1</f>
        <v/>
      </c>
      <c r="D230">
        <f>IF(OR(AND(B230&gt;3,C230&lt;4),AND(B230&lt;=3,C230&lt;2)),"Red","Black")</f>
        <v/>
      </c>
      <c r="E230" t="n">
        <v>3</v>
      </c>
      <c r="F230" t="n">
        <v>2</v>
      </c>
      <c r="G230" t="n">
        <v>4</v>
      </c>
      <c r="I230">
        <f>IF(D230="Red",B230,NA())</f>
        <v/>
      </c>
      <c r="J230">
        <f>IF(D230="Red",C230,NA())</f>
        <v/>
      </c>
      <c r="K230">
        <f>IF(D230="Black",B230,NA())</f>
        <v/>
      </c>
      <c r="L230">
        <f>IF(D230="Black",C230,NA())</f>
        <v/>
      </c>
    </row>
    <row r="231">
      <c r="A231" t="n">
        <v>230</v>
      </c>
      <c r="B231">
        <f>RAND()*4+1</f>
        <v/>
      </c>
      <c r="C231">
        <f>RAND()*4+1</f>
        <v/>
      </c>
      <c r="D231">
        <f>IF(OR(AND(B231&gt;3,C231&lt;4),AND(B231&lt;=3,C231&lt;2)),"Red","Black")</f>
        <v/>
      </c>
      <c r="E231" t="n">
        <v>3</v>
      </c>
      <c r="F231" t="n">
        <v>2</v>
      </c>
      <c r="G231" t="n">
        <v>4</v>
      </c>
      <c r="I231">
        <f>IF(D231="Red",B231,NA())</f>
        <v/>
      </c>
      <c r="J231">
        <f>IF(D231="Red",C231,NA())</f>
        <v/>
      </c>
      <c r="K231">
        <f>IF(D231="Black",B231,NA())</f>
        <v/>
      </c>
      <c r="L231">
        <f>IF(D231="Black",C231,NA())</f>
        <v/>
      </c>
    </row>
    <row r="232">
      <c r="A232" t="n">
        <v>231</v>
      </c>
      <c r="B232">
        <f>RAND()*4+1</f>
        <v/>
      </c>
      <c r="C232">
        <f>RAND()*4+1</f>
        <v/>
      </c>
      <c r="D232">
        <f>IF(OR(AND(B232&gt;3,C232&lt;4),AND(B232&lt;=3,C232&lt;2)),"Red","Black")</f>
        <v/>
      </c>
      <c r="E232" t="n">
        <v>3</v>
      </c>
      <c r="F232" t="n">
        <v>2</v>
      </c>
      <c r="G232" t="n">
        <v>4</v>
      </c>
      <c r="I232">
        <f>IF(D232="Red",B232,NA())</f>
        <v/>
      </c>
      <c r="J232">
        <f>IF(D232="Red",C232,NA())</f>
        <v/>
      </c>
      <c r="K232">
        <f>IF(D232="Black",B232,NA())</f>
        <v/>
      </c>
      <c r="L232">
        <f>IF(D232="Black",C232,NA())</f>
        <v/>
      </c>
    </row>
    <row r="233">
      <c r="A233" t="n">
        <v>232</v>
      </c>
      <c r="B233">
        <f>RAND()*4+1</f>
        <v/>
      </c>
      <c r="C233">
        <f>RAND()*4+1</f>
        <v/>
      </c>
      <c r="D233">
        <f>IF(OR(AND(B233&gt;3,C233&lt;4),AND(B233&lt;=3,C233&lt;2)),"Red","Black")</f>
        <v/>
      </c>
      <c r="E233" t="n">
        <v>3</v>
      </c>
      <c r="F233" t="n">
        <v>2</v>
      </c>
      <c r="G233" t="n">
        <v>4</v>
      </c>
      <c r="I233">
        <f>IF(D233="Red",B233,NA())</f>
        <v/>
      </c>
      <c r="J233">
        <f>IF(D233="Red",C233,NA())</f>
        <v/>
      </c>
      <c r="K233">
        <f>IF(D233="Black",B233,NA())</f>
        <v/>
      </c>
      <c r="L233">
        <f>IF(D233="Black",C233,NA())</f>
        <v/>
      </c>
    </row>
    <row r="234">
      <c r="A234" t="n">
        <v>233</v>
      </c>
      <c r="B234">
        <f>RAND()*4+1</f>
        <v/>
      </c>
      <c r="C234">
        <f>RAND()*4+1</f>
        <v/>
      </c>
      <c r="D234">
        <f>IF(OR(AND(B234&gt;3,C234&lt;4),AND(B234&lt;=3,C234&lt;2)),"Red","Black")</f>
        <v/>
      </c>
      <c r="E234" t="n">
        <v>3</v>
      </c>
      <c r="F234" t="n">
        <v>2</v>
      </c>
      <c r="G234" t="n">
        <v>4</v>
      </c>
      <c r="I234">
        <f>IF(D234="Red",B234,NA())</f>
        <v/>
      </c>
      <c r="J234">
        <f>IF(D234="Red",C234,NA())</f>
        <v/>
      </c>
      <c r="K234">
        <f>IF(D234="Black",B234,NA())</f>
        <v/>
      </c>
      <c r="L234">
        <f>IF(D234="Black",C234,NA())</f>
        <v/>
      </c>
    </row>
    <row r="235">
      <c r="A235" t="n">
        <v>234</v>
      </c>
      <c r="B235">
        <f>RAND()*4+1</f>
        <v/>
      </c>
      <c r="C235">
        <f>RAND()*4+1</f>
        <v/>
      </c>
      <c r="D235">
        <f>IF(OR(AND(B235&gt;3,C235&lt;4),AND(B235&lt;=3,C235&lt;2)),"Red","Black")</f>
        <v/>
      </c>
      <c r="E235" t="n">
        <v>3</v>
      </c>
      <c r="F235" t="n">
        <v>2</v>
      </c>
      <c r="G235" t="n">
        <v>4</v>
      </c>
      <c r="I235">
        <f>IF(D235="Red",B235,NA())</f>
        <v/>
      </c>
      <c r="J235">
        <f>IF(D235="Red",C235,NA())</f>
        <v/>
      </c>
      <c r="K235">
        <f>IF(D235="Black",B235,NA())</f>
        <v/>
      </c>
      <c r="L235">
        <f>IF(D235="Black",C235,NA())</f>
        <v/>
      </c>
    </row>
    <row r="236">
      <c r="A236" t="n">
        <v>235</v>
      </c>
      <c r="B236">
        <f>RAND()*4+1</f>
        <v/>
      </c>
      <c r="C236">
        <f>RAND()*4+1</f>
        <v/>
      </c>
      <c r="D236">
        <f>IF(OR(AND(B236&gt;3,C236&lt;4),AND(B236&lt;=3,C236&lt;2)),"Red","Black")</f>
        <v/>
      </c>
      <c r="E236" t="n">
        <v>3</v>
      </c>
      <c r="F236" t="n">
        <v>2</v>
      </c>
      <c r="G236" t="n">
        <v>4</v>
      </c>
      <c r="I236">
        <f>IF(D236="Red",B236,NA())</f>
        <v/>
      </c>
      <c r="J236">
        <f>IF(D236="Red",C236,NA())</f>
        <v/>
      </c>
      <c r="K236">
        <f>IF(D236="Black",B236,NA())</f>
        <v/>
      </c>
      <c r="L236">
        <f>IF(D236="Black",C236,NA())</f>
        <v/>
      </c>
    </row>
    <row r="237">
      <c r="A237" t="n">
        <v>236</v>
      </c>
      <c r="B237">
        <f>RAND()*4+1</f>
        <v/>
      </c>
      <c r="C237">
        <f>RAND()*4+1</f>
        <v/>
      </c>
      <c r="D237">
        <f>IF(OR(AND(B237&gt;3,C237&lt;4),AND(B237&lt;=3,C237&lt;2)),"Red","Black")</f>
        <v/>
      </c>
      <c r="E237" t="n">
        <v>3</v>
      </c>
      <c r="F237" t="n">
        <v>2</v>
      </c>
      <c r="G237" t="n">
        <v>4</v>
      </c>
      <c r="I237">
        <f>IF(D237="Red",B237,NA())</f>
        <v/>
      </c>
      <c r="J237">
        <f>IF(D237="Red",C237,NA())</f>
        <v/>
      </c>
      <c r="K237">
        <f>IF(D237="Black",B237,NA())</f>
        <v/>
      </c>
      <c r="L237">
        <f>IF(D237="Black",C237,NA())</f>
        <v/>
      </c>
    </row>
    <row r="238">
      <c r="A238" t="n">
        <v>237</v>
      </c>
      <c r="B238">
        <f>RAND()*4+1</f>
        <v/>
      </c>
      <c r="C238">
        <f>RAND()*4+1</f>
        <v/>
      </c>
      <c r="D238">
        <f>IF(OR(AND(B238&gt;3,C238&lt;4),AND(B238&lt;=3,C238&lt;2)),"Red","Black")</f>
        <v/>
      </c>
      <c r="E238" t="n">
        <v>3</v>
      </c>
      <c r="F238" t="n">
        <v>2</v>
      </c>
      <c r="G238" t="n">
        <v>4</v>
      </c>
      <c r="I238">
        <f>IF(D238="Red",B238,NA())</f>
        <v/>
      </c>
      <c r="J238">
        <f>IF(D238="Red",C238,NA())</f>
        <v/>
      </c>
      <c r="K238">
        <f>IF(D238="Black",B238,NA())</f>
        <v/>
      </c>
      <c r="L238">
        <f>IF(D238="Black",C238,NA())</f>
        <v/>
      </c>
    </row>
    <row r="239">
      <c r="A239" t="n">
        <v>238</v>
      </c>
      <c r="B239">
        <f>RAND()*4+1</f>
        <v/>
      </c>
      <c r="C239">
        <f>RAND()*4+1</f>
        <v/>
      </c>
      <c r="D239">
        <f>IF(OR(AND(B239&gt;3,C239&lt;4),AND(B239&lt;=3,C239&lt;2)),"Red","Black")</f>
        <v/>
      </c>
      <c r="E239" t="n">
        <v>3</v>
      </c>
      <c r="F239" t="n">
        <v>2</v>
      </c>
      <c r="G239" t="n">
        <v>4</v>
      </c>
      <c r="I239">
        <f>IF(D239="Red",B239,NA())</f>
        <v/>
      </c>
      <c r="J239">
        <f>IF(D239="Red",C239,NA())</f>
        <v/>
      </c>
      <c r="K239">
        <f>IF(D239="Black",B239,NA())</f>
        <v/>
      </c>
      <c r="L239">
        <f>IF(D239="Black",C239,NA())</f>
        <v/>
      </c>
    </row>
    <row r="240">
      <c r="A240" t="n">
        <v>239</v>
      </c>
      <c r="B240">
        <f>RAND()*4+1</f>
        <v/>
      </c>
      <c r="C240">
        <f>RAND()*4+1</f>
        <v/>
      </c>
      <c r="D240">
        <f>IF(OR(AND(B240&gt;3,C240&lt;4),AND(B240&lt;=3,C240&lt;2)),"Red","Black")</f>
        <v/>
      </c>
      <c r="E240" t="n">
        <v>3</v>
      </c>
      <c r="F240" t="n">
        <v>2</v>
      </c>
      <c r="G240" t="n">
        <v>4</v>
      </c>
      <c r="I240">
        <f>IF(D240="Red",B240,NA())</f>
        <v/>
      </c>
      <c r="J240">
        <f>IF(D240="Red",C240,NA())</f>
        <v/>
      </c>
      <c r="K240">
        <f>IF(D240="Black",B240,NA())</f>
        <v/>
      </c>
      <c r="L240">
        <f>IF(D240="Black",C240,NA())</f>
        <v/>
      </c>
    </row>
    <row r="241">
      <c r="A241" t="n">
        <v>240</v>
      </c>
      <c r="B241">
        <f>RAND()*4+1</f>
        <v/>
      </c>
      <c r="C241">
        <f>RAND()*4+1</f>
        <v/>
      </c>
      <c r="D241">
        <f>IF(OR(AND(B241&gt;3,C241&lt;4),AND(B241&lt;=3,C241&lt;2)),"Red","Black")</f>
        <v/>
      </c>
      <c r="E241" t="n">
        <v>3</v>
      </c>
      <c r="F241" t="n">
        <v>2</v>
      </c>
      <c r="G241" t="n">
        <v>4</v>
      </c>
      <c r="I241">
        <f>IF(D241="Red",B241,NA())</f>
        <v/>
      </c>
      <c r="J241">
        <f>IF(D241="Red",C241,NA())</f>
        <v/>
      </c>
      <c r="K241">
        <f>IF(D241="Black",B241,NA())</f>
        <v/>
      </c>
      <c r="L241">
        <f>IF(D241="Black",C241,NA())</f>
        <v/>
      </c>
    </row>
    <row r="242">
      <c r="A242" t="n">
        <v>241</v>
      </c>
      <c r="B242">
        <f>RAND()*4+1</f>
        <v/>
      </c>
      <c r="C242">
        <f>RAND()*4+1</f>
        <v/>
      </c>
      <c r="D242">
        <f>IF(OR(AND(B242&gt;3,C242&lt;4),AND(B242&lt;=3,C242&lt;2)),"Red","Black")</f>
        <v/>
      </c>
      <c r="E242" t="n">
        <v>3</v>
      </c>
      <c r="F242" t="n">
        <v>2</v>
      </c>
      <c r="G242" t="n">
        <v>4</v>
      </c>
      <c r="I242">
        <f>IF(D242="Red",B242,NA())</f>
        <v/>
      </c>
      <c r="J242">
        <f>IF(D242="Red",C242,NA())</f>
        <v/>
      </c>
      <c r="K242">
        <f>IF(D242="Black",B242,NA())</f>
        <v/>
      </c>
      <c r="L242">
        <f>IF(D242="Black",C242,NA())</f>
        <v/>
      </c>
    </row>
    <row r="243">
      <c r="A243" t="n">
        <v>242</v>
      </c>
      <c r="B243">
        <f>RAND()*4+1</f>
        <v/>
      </c>
      <c r="C243">
        <f>RAND()*4+1</f>
        <v/>
      </c>
      <c r="D243">
        <f>IF(OR(AND(B243&gt;3,C243&lt;4),AND(B243&lt;=3,C243&lt;2)),"Red","Black")</f>
        <v/>
      </c>
      <c r="E243" t="n">
        <v>3</v>
      </c>
      <c r="F243" t="n">
        <v>2</v>
      </c>
      <c r="G243" t="n">
        <v>4</v>
      </c>
      <c r="I243">
        <f>IF(D243="Red",B243,NA())</f>
        <v/>
      </c>
      <c r="J243">
        <f>IF(D243="Red",C243,NA())</f>
        <v/>
      </c>
      <c r="K243">
        <f>IF(D243="Black",B243,NA())</f>
        <v/>
      </c>
      <c r="L243">
        <f>IF(D243="Black",C243,NA())</f>
        <v/>
      </c>
    </row>
    <row r="244">
      <c r="A244" t="n">
        <v>243</v>
      </c>
      <c r="B244">
        <f>RAND()*4+1</f>
        <v/>
      </c>
      <c r="C244">
        <f>RAND()*4+1</f>
        <v/>
      </c>
      <c r="D244">
        <f>IF(OR(AND(B244&gt;3,C244&lt;4),AND(B244&lt;=3,C244&lt;2)),"Red","Black")</f>
        <v/>
      </c>
      <c r="E244" t="n">
        <v>3</v>
      </c>
      <c r="F244" t="n">
        <v>2</v>
      </c>
      <c r="G244" t="n">
        <v>4</v>
      </c>
      <c r="I244">
        <f>IF(D244="Red",B244,NA())</f>
        <v/>
      </c>
      <c r="J244">
        <f>IF(D244="Red",C244,NA())</f>
        <v/>
      </c>
      <c r="K244">
        <f>IF(D244="Black",B244,NA())</f>
        <v/>
      </c>
      <c r="L244">
        <f>IF(D244="Black",C244,NA())</f>
        <v/>
      </c>
    </row>
    <row r="245">
      <c r="A245" t="n">
        <v>244</v>
      </c>
      <c r="B245">
        <f>RAND()*4+1</f>
        <v/>
      </c>
      <c r="C245">
        <f>RAND()*4+1</f>
        <v/>
      </c>
      <c r="D245">
        <f>IF(OR(AND(B245&gt;3,C245&lt;4),AND(B245&lt;=3,C245&lt;2)),"Red","Black")</f>
        <v/>
      </c>
      <c r="E245" t="n">
        <v>3</v>
      </c>
      <c r="F245" t="n">
        <v>2</v>
      </c>
      <c r="G245" t="n">
        <v>4</v>
      </c>
      <c r="I245">
        <f>IF(D245="Red",B245,NA())</f>
        <v/>
      </c>
      <c r="J245">
        <f>IF(D245="Red",C245,NA())</f>
        <v/>
      </c>
      <c r="K245">
        <f>IF(D245="Black",B245,NA())</f>
        <v/>
      </c>
      <c r="L245">
        <f>IF(D245="Black",C245,NA())</f>
        <v/>
      </c>
    </row>
    <row r="246">
      <c r="A246" t="n">
        <v>245</v>
      </c>
      <c r="B246">
        <f>RAND()*4+1</f>
        <v/>
      </c>
      <c r="C246">
        <f>RAND()*4+1</f>
        <v/>
      </c>
      <c r="D246">
        <f>IF(OR(AND(B246&gt;3,C246&lt;4),AND(B246&lt;=3,C246&lt;2)),"Red","Black")</f>
        <v/>
      </c>
      <c r="E246" t="n">
        <v>3</v>
      </c>
      <c r="F246" t="n">
        <v>2</v>
      </c>
      <c r="G246" t="n">
        <v>4</v>
      </c>
      <c r="I246">
        <f>IF(D246="Red",B246,NA())</f>
        <v/>
      </c>
      <c r="J246">
        <f>IF(D246="Red",C246,NA())</f>
        <v/>
      </c>
      <c r="K246">
        <f>IF(D246="Black",B246,NA())</f>
        <v/>
      </c>
      <c r="L246">
        <f>IF(D246="Black",C246,NA())</f>
        <v/>
      </c>
    </row>
    <row r="247">
      <c r="A247" t="n">
        <v>246</v>
      </c>
      <c r="B247">
        <f>RAND()*4+1</f>
        <v/>
      </c>
      <c r="C247">
        <f>RAND()*4+1</f>
        <v/>
      </c>
      <c r="D247">
        <f>IF(OR(AND(B247&gt;3,C247&lt;4),AND(B247&lt;=3,C247&lt;2)),"Red","Black")</f>
        <v/>
      </c>
      <c r="E247" t="n">
        <v>3</v>
      </c>
      <c r="F247" t="n">
        <v>2</v>
      </c>
      <c r="G247" t="n">
        <v>4</v>
      </c>
      <c r="I247">
        <f>IF(D247="Red",B247,NA())</f>
        <v/>
      </c>
      <c r="J247">
        <f>IF(D247="Red",C247,NA())</f>
        <v/>
      </c>
      <c r="K247">
        <f>IF(D247="Black",B247,NA())</f>
        <v/>
      </c>
      <c r="L247">
        <f>IF(D247="Black",C247,NA())</f>
        <v/>
      </c>
    </row>
    <row r="248">
      <c r="A248" t="n">
        <v>247</v>
      </c>
      <c r="B248">
        <f>RAND()*4+1</f>
        <v/>
      </c>
      <c r="C248">
        <f>RAND()*4+1</f>
        <v/>
      </c>
      <c r="D248">
        <f>IF(OR(AND(B248&gt;3,C248&lt;4),AND(B248&lt;=3,C248&lt;2)),"Red","Black")</f>
        <v/>
      </c>
      <c r="E248" t="n">
        <v>3</v>
      </c>
      <c r="F248" t="n">
        <v>2</v>
      </c>
      <c r="G248" t="n">
        <v>4</v>
      </c>
      <c r="I248">
        <f>IF(D248="Red",B248,NA())</f>
        <v/>
      </c>
      <c r="J248">
        <f>IF(D248="Red",C248,NA())</f>
        <v/>
      </c>
      <c r="K248">
        <f>IF(D248="Black",B248,NA())</f>
        <v/>
      </c>
      <c r="L248">
        <f>IF(D248="Black",C248,NA())</f>
        <v/>
      </c>
    </row>
    <row r="249">
      <c r="A249" t="n">
        <v>248</v>
      </c>
      <c r="B249">
        <f>RAND()*4+1</f>
        <v/>
      </c>
      <c r="C249">
        <f>RAND()*4+1</f>
        <v/>
      </c>
      <c r="D249">
        <f>IF(OR(AND(B249&gt;3,C249&lt;4),AND(B249&lt;=3,C249&lt;2)),"Red","Black")</f>
        <v/>
      </c>
      <c r="E249" t="n">
        <v>3</v>
      </c>
      <c r="F249" t="n">
        <v>2</v>
      </c>
      <c r="G249" t="n">
        <v>4</v>
      </c>
      <c r="I249">
        <f>IF(D249="Red",B249,NA())</f>
        <v/>
      </c>
      <c r="J249">
        <f>IF(D249="Red",C249,NA())</f>
        <v/>
      </c>
      <c r="K249">
        <f>IF(D249="Black",B249,NA())</f>
        <v/>
      </c>
      <c r="L249">
        <f>IF(D249="Black",C249,NA())</f>
        <v/>
      </c>
    </row>
    <row r="250">
      <c r="A250" t="n">
        <v>249</v>
      </c>
      <c r="B250">
        <f>RAND()*4+1</f>
        <v/>
      </c>
      <c r="C250">
        <f>RAND()*4+1</f>
        <v/>
      </c>
      <c r="D250">
        <f>IF(OR(AND(B250&gt;3,C250&lt;4),AND(B250&lt;=3,C250&lt;2)),"Red","Black")</f>
        <v/>
      </c>
      <c r="E250" t="n">
        <v>3</v>
      </c>
      <c r="F250" t="n">
        <v>2</v>
      </c>
      <c r="G250" t="n">
        <v>4</v>
      </c>
      <c r="I250">
        <f>IF(D250="Red",B250,NA())</f>
        <v/>
      </c>
      <c r="J250">
        <f>IF(D250="Red",C250,NA())</f>
        <v/>
      </c>
      <c r="K250">
        <f>IF(D250="Black",B250,NA())</f>
        <v/>
      </c>
      <c r="L250">
        <f>IF(D250="Black",C250,NA())</f>
        <v/>
      </c>
    </row>
    <row r="251">
      <c r="A251" t="n">
        <v>250</v>
      </c>
      <c r="B251">
        <f>RAND()*4+1</f>
        <v/>
      </c>
      <c r="C251">
        <f>RAND()*4+1</f>
        <v/>
      </c>
      <c r="D251">
        <f>IF(OR(AND(B251&gt;3,C251&lt;4),AND(B251&lt;=3,C251&lt;2)),"Red","Black")</f>
        <v/>
      </c>
      <c r="E251" t="n">
        <v>3</v>
      </c>
      <c r="F251" t="n">
        <v>2</v>
      </c>
      <c r="G251" t="n">
        <v>4</v>
      </c>
      <c r="I251">
        <f>IF(D251="Red",B251,NA())</f>
        <v/>
      </c>
      <c r="J251">
        <f>IF(D251="Red",C251,NA())</f>
        <v/>
      </c>
      <c r="K251">
        <f>IF(D251="Black",B251,NA())</f>
        <v/>
      </c>
      <c r="L251">
        <f>IF(D251="Black",C251,NA())</f>
        <v/>
      </c>
    </row>
    <row r="252">
      <c r="A252" t="n">
        <v>251</v>
      </c>
      <c r="B252">
        <f>RAND()*4+1</f>
        <v/>
      </c>
      <c r="C252">
        <f>RAND()*4+1</f>
        <v/>
      </c>
      <c r="D252">
        <f>IF(OR(AND(B252&gt;3,C252&lt;4),AND(B252&lt;=3,C252&lt;2)),"Red","Black")</f>
        <v/>
      </c>
      <c r="E252" t="n">
        <v>3</v>
      </c>
      <c r="F252" t="n">
        <v>2</v>
      </c>
      <c r="G252" t="n">
        <v>4</v>
      </c>
      <c r="I252">
        <f>IF(D252="Red",B252,NA())</f>
        <v/>
      </c>
      <c r="J252">
        <f>IF(D252="Red",C252,NA())</f>
        <v/>
      </c>
      <c r="K252">
        <f>IF(D252="Black",B252,NA())</f>
        <v/>
      </c>
      <c r="L252">
        <f>IF(D252="Black",C252,NA())</f>
        <v/>
      </c>
    </row>
    <row r="253">
      <c r="A253" t="n">
        <v>252</v>
      </c>
      <c r="B253">
        <f>RAND()*4+1</f>
        <v/>
      </c>
      <c r="C253">
        <f>RAND()*4+1</f>
        <v/>
      </c>
      <c r="D253">
        <f>IF(OR(AND(B253&gt;3,C253&lt;4),AND(B253&lt;=3,C253&lt;2)),"Red","Black")</f>
        <v/>
      </c>
      <c r="E253" t="n">
        <v>3</v>
      </c>
      <c r="F253" t="n">
        <v>2</v>
      </c>
      <c r="G253" t="n">
        <v>4</v>
      </c>
      <c r="I253">
        <f>IF(D253="Red",B253,NA())</f>
        <v/>
      </c>
      <c r="J253">
        <f>IF(D253="Red",C253,NA())</f>
        <v/>
      </c>
      <c r="K253">
        <f>IF(D253="Black",B253,NA())</f>
        <v/>
      </c>
      <c r="L253">
        <f>IF(D253="Black",C253,NA())</f>
        <v/>
      </c>
    </row>
    <row r="254">
      <c r="A254" t="n">
        <v>253</v>
      </c>
      <c r="B254">
        <f>RAND()*4+1</f>
        <v/>
      </c>
      <c r="C254">
        <f>RAND()*4+1</f>
        <v/>
      </c>
      <c r="D254">
        <f>IF(OR(AND(B254&gt;3,C254&lt;4),AND(B254&lt;=3,C254&lt;2)),"Red","Black")</f>
        <v/>
      </c>
      <c r="E254" t="n">
        <v>3</v>
      </c>
      <c r="F254" t="n">
        <v>2</v>
      </c>
      <c r="G254" t="n">
        <v>4</v>
      </c>
      <c r="I254">
        <f>IF(D254="Red",B254,NA())</f>
        <v/>
      </c>
      <c r="J254">
        <f>IF(D254="Red",C254,NA())</f>
        <v/>
      </c>
      <c r="K254">
        <f>IF(D254="Black",B254,NA())</f>
        <v/>
      </c>
      <c r="L254">
        <f>IF(D254="Black",C254,NA())</f>
        <v/>
      </c>
    </row>
    <row r="255">
      <c r="A255" t="n">
        <v>254</v>
      </c>
      <c r="B255">
        <f>RAND()*4+1</f>
        <v/>
      </c>
      <c r="C255">
        <f>RAND()*4+1</f>
        <v/>
      </c>
      <c r="D255">
        <f>IF(OR(AND(B255&gt;3,C255&lt;4),AND(B255&lt;=3,C255&lt;2)),"Red","Black")</f>
        <v/>
      </c>
      <c r="E255" t="n">
        <v>3</v>
      </c>
      <c r="F255" t="n">
        <v>2</v>
      </c>
      <c r="G255" t="n">
        <v>4</v>
      </c>
      <c r="I255">
        <f>IF(D255="Red",B255,NA())</f>
        <v/>
      </c>
      <c r="J255">
        <f>IF(D255="Red",C255,NA())</f>
        <v/>
      </c>
      <c r="K255">
        <f>IF(D255="Black",B255,NA())</f>
        <v/>
      </c>
      <c r="L255">
        <f>IF(D255="Black",C255,NA())</f>
        <v/>
      </c>
    </row>
    <row r="256">
      <c r="A256" t="n">
        <v>255</v>
      </c>
      <c r="B256">
        <f>RAND()*4+1</f>
        <v/>
      </c>
      <c r="C256">
        <f>RAND()*4+1</f>
        <v/>
      </c>
      <c r="D256">
        <f>IF(OR(AND(B256&gt;3,C256&lt;4),AND(B256&lt;=3,C256&lt;2)),"Red","Black")</f>
        <v/>
      </c>
      <c r="E256" t="n">
        <v>3</v>
      </c>
      <c r="F256" t="n">
        <v>2</v>
      </c>
      <c r="G256" t="n">
        <v>4</v>
      </c>
      <c r="I256">
        <f>IF(D256="Red",B256,NA())</f>
        <v/>
      </c>
      <c r="J256">
        <f>IF(D256="Red",C256,NA())</f>
        <v/>
      </c>
      <c r="K256">
        <f>IF(D256="Black",B256,NA())</f>
        <v/>
      </c>
      <c r="L256">
        <f>IF(D256="Black",C256,NA())</f>
        <v/>
      </c>
    </row>
    <row r="257">
      <c r="A257" t="n">
        <v>256</v>
      </c>
      <c r="B257">
        <f>RAND()*4+1</f>
        <v/>
      </c>
      <c r="C257">
        <f>RAND()*4+1</f>
        <v/>
      </c>
      <c r="D257">
        <f>IF(OR(AND(B257&gt;3,C257&lt;4),AND(B257&lt;=3,C257&lt;2)),"Red","Black")</f>
        <v/>
      </c>
      <c r="E257" t="n">
        <v>3</v>
      </c>
      <c r="F257" t="n">
        <v>2</v>
      </c>
      <c r="G257" t="n">
        <v>4</v>
      </c>
      <c r="I257">
        <f>IF(D257="Red",B257,NA())</f>
        <v/>
      </c>
      <c r="J257">
        <f>IF(D257="Red",C257,NA())</f>
        <v/>
      </c>
      <c r="K257">
        <f>IF(D257="Black",B257,NA())</f>
        <v/>
      </c>
      <c r="L257">
        <f>IF(D257="Black",C257,NA())</f>
        <v/>
      </c>
    </row>
    <row r="258">
      <c r="A258" t="n">
        <v>257</v>
      </c>
      <c r="B258">
        <f>RAND()*4+1</f>
        <v/>
      </c>
      <c r="C258">
        <f>RAND()*4+1</f>
        <v/>
      </c>
      <c r="D258">
        <f>IF(OR(AND(B258&gt;3,C258&lt;4),AND(B258&lt;=3,C258&lt;2)),"Red","Black")</f>
        <v/>
      </c>
      <c r="E258" t="n">
        <v>3</v>
      </c>
      <c r="F258" t="n">
        <v>2</v>
      </c>
      <c r="G258" t="n">
        <v>4</v>
      </c>
      <c r="I258">
        <f>IF(D258="Red",B258,NA())</f>
        <v/>
      </c>
      <c r="J258">
        <f>IF(D258="Red",C258,NA())</f>
        <v/>
      </c>
      <c r="K258">
        <f>IF(D258="Black",B258,NA())</f>
        <v/>
      </c>
      <c r="L258">
        <f>IF(D258="Black",C258,NA())</f>
        <v/>
      </c>
    </row>
    <row r="259">
      <c r="A259" t="n">
        <v>258</v>
      </c>
      <c r="B259">
        <f>RAND()*4+1</f>
        <v/>
      </c>
      <c r="C259">
        <f>RAND()*4+1</f>
        <v/>
      </c>
      <c r="D259">
        <f>IF(OR(AND(B259&gt;3,C259&lt;4),AND(B259&lt;=3,C259&lt;2)),"Red","Black")</f>
        <v/>
      </c>
      <c r="E259" t="n">
        <v>3</v>
      </c>
      <c r="F259" t="n">
        <v>2</v>
      </c>
      <c r="G259" t="n">
        <v>4</v>
      </c>
      <c r="I259">
        <f>IF(D259="Red",B259,NA())</f>
        <v/>
      </c>
      <c r="J259">
        <f>IF(D259="Red",C259,NA())</f>
        <v/>
      </c>
      <c r="K259">
        <f>IF(D259="Black",B259,NA())</f>
        <v/>
      </c>
      <c r="L259">
        <f>IF(D259="Black",C259,NA())</f>
        <v/>
      </c>
    </row>
    <row r="260">
      <c r="A260" t="n">
        <v>259</v>
      </c>
      <c r="B260">
        <f>RAND()*4+1</f>
        <v/>
      </c>
      <c r="C260">
        <f>RAND()*4+1</f>
        <v/>
      </c>
      <c r="D260">
        <f>IF(OR(AND(B260&gt;3,C260&lt;4),AND(B260&lt;=3,C260&lt;2)),"Red","Black")</f>
        <v/>
      </c>
      <c r="E260" t="n">
        <v>3</v>
      </c>
      <c r="F260" t="n">
        <v>2</v>
      </c>
      <c r="G260" t="n">
        <v>4</v>
      </c>
      <c r="I260">
        <f>IF(D260="Red",B260,NA())</f>
        <v/>
      </c>
      <c r="J260">
        <f>IF(D260="Red",C260,NA())</f>
        <v/>
      </c>
      <c r="K260">
        <f>IF(D260="Black",B260,NA())</f>
        <v/>
      </c>
      <c r="L260">
        <f>IF(D260="Black",C260,NA())</f>
        <v/>
      </c>
    </row>
    <row r="261">
      <c r="A261" t="n">
        <v>260</v>
      </c>
      <c r="B261">
        <f>RAND()*4+1</f>
        <v/>
      </c>
      <c r="C261">
        <f>RAND()*4+1</f>
        <v/>
      </c>
      <c r="D261">
        <f>IF(OR(AND(B261&gt;3,C261&lt;4),AND(B261&lt;=3,C261&lt;2)),"Red","Black")</f>
        <v/>
      </c>
      <c r="E261" t="n">
        <v>3</v>
      </c>
      <c r="F261" t="n">
        <v>2</v>
      </c>
      <c r="G261" t="n">
        <v>4</v>
      </c>
      <c r="I261">
        <f>IF(D261="Red",B261,NA())</f>
        <v/>
      </c>
      <c r="J261">
        <f>IF(D261="Red",C261,NA())</f>
        <v/>
      </c>
      <c r="K261">
        <f>IF(D261="Black",B261,NA())</f>
        <v/>
      </c>
      <c r="L261">
        <f>IF(D261="Black",C261,NA())</f>
        <v/>
      </c>
    </row>
    <row r="262">
      <c r="A262" t="n">
        <v>261</v>
      </c>
      <c r="B262">
        <f>RAND()*4+1</f>
        <v/>
      </c>
      <c r="C262">
        <f>RAND()*4+1</f>
        <v/>
      </c>
      <c r="D262">
        <f>IF(OR(AND(B262&gt;3,C262&lt;4),AND(B262&lt;=3,C262&lt;2)),"Red","Black")</f>
        <v/>
      </c>
      <c r="E262" t="n">
        <v>3</v>
      </c>
      <c r="F262" t="n">
        <v>2</v>
      </c>
      <c r="G262" t="n">
        <v>4</v>
      </c>
      <c r="I262">
        <f>IF(D262="Red",B262,NA())</f>
        <v/>
      </c>
      <c r="J262">
        <f>IF(D262="Red",C262,NA())</f>
        <v/>
      </c>
      <c r="K262">
        <f>IF(D262="Black",B262,NA())</f>
        <v/>
      </c>
      <c r="L262">
        <f>IF(D262="Black",C262,NA())</f>
        <v/>
      </c>
    </row>
    <row r="263">
      <c r="A263" t="n">
        <v>262</v>
      </c>
      <c r="B263">
        <f>RAND()*4+1</f>
        <v/>
      </c>
      <c r="C263">
        <f>RAND()*4+1</f>
        <v/>
      </c>
      <c r="D263">
        <f>IF(OR(AND(B263&gt;3,C263&lt;4),AND(B263&lt;=3,C263&lt;2)),"Red","Black")</f>
        <v/>
      </c>
      <c r="E263" t="n">
        <v>3</v>
      </c>
      <c r="F263" t="n">
        <v>2</v>
      </c>
      <c r="G263" t="n">
        <v>4</v>
      </c>
      <c r="I263">
        <f>IF(D263="Red",B263,NA())</f>
        <v/>
      </c>
      <c r="J263">
        <f>IF(D263="Red",C263,NA())</f>
        <v/>
      </c>
      <c r="K263">
        <f>IF(D263="Black",B263,NA())</f>
        <v/>
      </c>
      <c r="L263">
        <f>IF(D263="Black",C263,NA())</f>
        <v/>
      </c>
    </row>
    <row r="264">
      <c r="A264" t="n">
        <v>263</v>
      </c>
      <c r="B264">
        <f>RAND()*4+1</f>
        <v/>
      </c>
      <c r="C264">
        <f>RAND()*4+1</f>
        <v/>
      </c>
      <c r="D264">
        <f>IF(OR(AND(B264&gt;3,C264&lt;4),AND(B264&lt;=3,C264&lt;2)),"Red","Black")</f>
        <v/>
      </c>
      <c r="E264" t="n">
        <v>3</v>
      </c>
      <c r="F264" t="n">
        <v>2</v>
      </c>
      <c r="G264" t="n">
        <v>4</v>
      </c>
      <c r="I264">
        <f>IF(D264="Red",B264,NA())</f>
        <v/>
      </c>
      <c r="J264">
        <f>IF(D264="Red",C264,NA())</f>
        <v/>
      </c>
      <c r="K264">
        <f>IF(D264="Black",B264,NA())</f>
        <v/>
      </c>
      <c r="L264">
        <f>IF(D264="Black",C264,NA())</f>
        <v/>
      </c>
    </row>
    <row r="265">
      <c r="A265" t="n">
        <v>264</v>
      </c>
      <c r="B265">
        <f>RAND()*4+1</f>
        <v/>
      </c>
      <c r="C265">
        <f>RAND()*4+1</f>
        <v/>
      </c>
      <c r="D265">
        <f>IF(OR(AND(B265&gt;3,C265&lt;4),AND(B265&lt;=3,C265&lt;2)),"Red","Black")</f>
        <v/>
      </c>
      <c r="E265" t="n">
        <v>3</v>
      </c>
      <c r="F265" t="n">
        <v>2</v>
      </c>
      <c r="G265" t="n">
        <v>4</v>
      </c>
      <c r="I265">
        <f>IF(D265="Red",B265,NA())</f>
        <v/>
      </c>
      <c r="J265">
        <f>IF(D265="Red",C265,NA())</f>
        <v/>
      </c>
      <c r="K265">
        <f>IF(D265="Black",B265,NA())</f>
        <v/>
      </c>
      <c r="L265">
        <f>IF(D265="Black",C265,NA())</f>
        <v/>
      </c>
    </row>
    <row r="266">
      <c r="A266" t="n">
        <v>265</v>
      </c>
      <c r="B266">
        <f>RAND()*4+1</f>
        <v/>
      </c>
      <c r="C266">
        <f>RAND()*4+1</f>
        <v/>
      </c>
      <c r="D266">
        <f>IF(OR(AND(B266&gt;3,C266&lt;4),AND(B266&lt;=3,C266&lt;2)),"Red","Black")</f>
        <v/>
      </c>
      <c r="E266" t="n">
        <v>3</v>
      </c>
      <c r="F266" t="n">
        <v>2</v>
      </c>
      <c r="G266" t="n">
        <v>4</v>
      </c>
      <c r="I266">
        <f>IF(D266="Red",B266,NA())</f>
        <v/>
      </c>
      <c r="J266">
        <f>IF(D266="Red",C266,NA())</f>
        <v/>
      </c>
      <c r="K266">
        <f>IF(D266="Black",B266,NA())</f>
        <v/>
      </c>
      <c r="L266">
        <f>IF(D266="Black",C266,NA())</f>
        <v/>
      </c>
    </row>
    <row r="267">
      <c r="A267" t="n">
        <v>266</v>
      </c>
      <c r="B267">
        <f>RAND()*4+1</f>
        <v/>
      </c>
      <c r="C267">
        <f>RAND()*4+1</f>
        <v/>
      </c>
      <c r="D267">
        <f>IF(OR(AND(B267&gt;3,C267&lt;4),AND(B267&lt;=3,C267&lt;2)),"Red","Black")</f>
        <v/>
      </c>
      <c r="E267" t="n">
        <v>3</v>
      </c>
      <c r="F267" t="n">
        <v>2</v>
      </c>
      <c r="G267" t="n">
        <v>4</v>
      </c>
      <c r="I267">
        <f>IF(D267="Red",B267,NA())</f>
        <v/>
      </c>
      <c r="J267">
        <f>IF(D267="Red",C267,NA())</f>
        <v/>
      </c>
      <c r="K267">
        <f>IF(D267="Black",B267,NA())</f>
        <v/>
      </c>
      <c r="L267">
        <f>IF(D267="Black",C267,NA())</f>
        <v/>
      </c>
    </row>
    <row r="268">
      <c r="A268" t="n">
        <v>267</v>
      </c>
      <c r="B268">
        <f>RAND()*4+1</f>
        <v/>
      </c>
      <c r="C268">
        <f>RAND()*4+1</f>
        <v/>
      </c>
      <c r="D268">
        <f>IF(OR(AND(B268&gt;3,C268&lt;4),AND(B268&lt;=3,C268&lt;2)),"Red","Black")</f>
        <v/>
      </c>
      <c r="E268" t="n">
        <v>3</v>
      </c>
      <c r="F268" t="n">
        <v>2</v>
      </c>
      <c r="G268" t="n">
        <v>4</v>
      </c>
      <c r="I268">
        <f>IF(D268="Red",B268,NA())</f>
        <v/>
      </c>
      <c r="J268">
        <f>IF(D268="Red",C268,NA())</f>
        <v/>
      </c>
      <c r="K268">
        <f>IF(D268="Black",B268,NA())</f>
        <v/>
      </c>
      <c r="L268">
        <f>IF(D268="Black",C268,NA())</f>
        <v/>
      </c>
    </row>
    <row r="269">
      <c r="A269" t="n">
        <v>268</v>
      </c>
      <c r="B269">
        <f>RAND()*4+1</f>
        <v/>
      </c>
      <c r="C269">
        <f>RAND()*4+1</f>
        <v/>
      </c>
      <c r="D269">
        <f>IF(OR(AND(B269&gt;3,C269&lt;4),AND(B269&lt;=3,C269&lt;2)),"Red","Black")</f>
        <v/>
      </c>
      <c r="E269" t="n">
        <v>3</v>
      </c>
      <c r="F269" t="n">
        <v>2</v>
      </c>
      <c r="G269" t="n">
        <v>4</v>
      </c>
      <c r="I269">
        <f>IF(D269="Red",B269,NA())</f>
        <v/>
      </c>
      <c r="J269">
        <f>IF(D269="Red",C269,NA())</f>
        <v/>
      </c>
      <c r="K269">
        <f>IF(D269="Black",B269,NA())</f>
        <v/>
      </c>
      <c r="L269">
        <f>IF(D269="Black",C269,NA())</f>
        <v/>
      </c>
    </row>
    <row r="270">
      <c r="A270" t="n">
        <v>269</v>
      </c>
      <c r="B270">
        <f>RAND()*4+1</f>
        <v/>
      </c>
      <c r="C270">
        <f>RAND()*4+1</f>
        <v/>
      </c>
      <c r="D270">
        <f>IF(OR(AND(B270&gt;3,C270&lt;4),AND(B270&lt;=3,C270&lt;2)),"Red","Black")</f>
        <v/>
      </c>
      <c r="E270" t="n">
        <v>3</v>
      </c>
      <c r="F270" t="n">
        <v>2</v>
      </c>
      <c r="G270" t="n">
        <v>4</v>
      </c>
      <c r="I270">
        <f>IF(D270="Red",B270,NA())</f>
        <v/>
      </c>
      <c r="J270">
        <f>IF(D270="Red",C270,NA())</f>
        <v/>
      </c>
      <c r="K270">
        <f>IF(D270="Black",B270,NA())</f>
        <v/>
      </c>
      <c r="L270">
        <f>IF(D270="Black",C270,NA())</f>
        <v/>
      </c>
    </row>
    <row r="271">
      <c r="A271" t="n">
        <v>270</v>
      </c>
      <c r="B271">
        <f>RAND()*4+1</f>
        <v/>
      </c>
      <c r="C271">
        <f>RAND()*4+1</f>
        <v/>
      </c>
      <c r="D271">
        <f>IF(OR(AND(B271&gt;3,C271&lt;4),AND(B271&lt;=3,C271&lt;2)),"Red","Black")</f>
        <v/>
      </c>
      <c r="E271" t="n">
        <v>3</v>
      </c>
      <c r="F271" t="n">
        <v>2</v>
      </c>
      <c r="G271" t="n">
        <v>4</v>
      </c>
      <c r="I271">
        <f>IF(D271="Red",B271,NA())</f>
        <v/>
      </c>
      <c r="J271">
        <f>IF(D271="Red",C271,NA())</f>
        <v/>
      </c>
      <c r="K271">
        <f>IF(D271="Black",B271,NA())</f>
        <v/>
      </c>
      <c r="L271">
        <f>IF(D271="Black",C271,NA())</f>
        <v/>
      </c>
    </row>
    <row r="272">
      <c r="A272" t="n">
        <v>271</v>
      </c>
      <c r="B272">
        <f>RAND()*4+1</f>
        <v/>
      </c>
      <c r="C272">
        <f>RAND()*4+1</f>
        <v/>
      </c>
      <c r="D272">
        <f>IF(OR(AND(B272&gt;3,C272&lt;4),AND(B272&lt;=3,C272&lt;2)),"Red","Black")</f>
        <v/>
      </c>
      <c r="E272" t="n">
        <v>3</v>
      </c>
      <c r="F272" t="n">
        <v>2</v>
      </c>
      <c r="G272" t="n">
        <v>4</v>
      </c>
      <c r="I272">
        <f>IF(D272="Red",B272,NA())</f>
        <v/>
      </c>
      <c r="J272">
        <f>IF(D272="Red",C272,NA())</f>
        <v/>
      </c>
      <c r="K272">
        <f>IF(D272="Black",B272,NA())</f>
        <v/>
      </c>
      <c r="L272">
        <f>IF(D272="Black",C272,NA())</f>
        <v/>
      </c>
    </row>
    <row r="273">
      <c r="A273" t="n">
        <v>272</v>
      </c>
      <c r="B273">
        <f>RAND()*4+1</f>
        <v/>
      </c>
      <c r="C273">
        <f>RAND()*4+1</f>
        <v/>
      </c>
      <c r="D273">
        <f>IF(OR(AND(B273&gt;3,C273&lt;4),AND(B273&lt;=3,C273&lt;2)),"Red","Black")</f>
        <v/>
      </c>
      <c r="E273" t="n">
        <v>3</v>
      </c>
      <c r="F273" t="n">
        <v>2</v>
      </c>
      <c r="G273" t="n">
        <v>4</v>
      </c>
      <c r="I273">
        <f>IF(D273="Red",B273,NA())</f>
        <v/>
      </c>
      <c r="J273">
        <f>IF(D273="Red",C273,NA())</f>
        <v/>
      </c>
      <c r="K273">
        <f>IF(D273="Black",B273,NA())</f>
        <v/>
      </c>
      <c r="L273">
        <f>IF(D273="Black",C273,NA())</f>
        <v/>
      </c>
    </row>
    <row r="274">
      <c r="A274" t="n">
        <v>273</v>
      </c>
      <c r="B274">
        <f>RAND()*4+1</f>
        <v/>
      </c>
      <c r="C274">
        <f>RAND()*4+1</f>
        <v/>
      </c>
      <c r="D274">
        <f>IF(OR(AND(B274&gt;3,C274&lt;4),AND(B274&lt;=3,C274&lt;2)),"Red","Black")</f>
        <v/>
      </c>
      <c r="E274" t="n">
        <v>3</v>
      </c>
      <c r="F274" t="n">
        <v>2</v>
      </c>
      <c r="G274" t="n">
        <v>4</v>
      </c>
      <c r="I274">
        <f>IF(D274="Red",B274,NA())</f>
        <v/>
      </c>
      <c r="J274">
        <f>IF(D274="Red",C274,NA())</f>
        <v/>
      </c>
      <c r="K274">
        <f>IF(D274="Black",B274,NA())</f>
        <v/>
      </c>
      <c r="L274">
        <f>IF(D274="Black",C274,NA())</f>
        <v/>
      </c>
    </row>
    <row r="275">
      <c r="A275" t="n">
        <v>274</v>
      </c>
      <c r="B275">
        <f>RAND()*4+1</f>
        <v/>
      </c>
      <c r="C275">
        <f>RAND()*4+1</f>
        <v/>
      </c>
      <c r="D275">
        <f>IF(OR(AND(B275&gt;3,C275&lt;4),AND(B275&lt;=3,C275&lt;2)),"Red","Black")</f>
        <v/>
      </c>
      <c r="E275" t="n">
        <v>3</v>
      </c>
      <c r="F275" t="n">
        <v>2</v>
      </c>
      <c r="G275" t="n">
        <v>4</v>
      </c>
      <c r="I275">
        <f>IF(D275="Red",B275,NA())</f>
        <v/>
      </c>
      <c r="J275">
        <f>IF(D275="Red",C275,NA())</f>
        <v/>
      </c>
      <c r="K275">
        <f>IF(D275="Black",B275,NA())</f>
        <v/>
      </c>
      <c r="L275">
        <f>IF(D275="Black",C275,NA())</f>
        <v/>
      </c>
    </row>
    <row r="276">
      <c r="A276" t="n">
        <v>275</v>
      </c>
      <c r="B276">
        <f>RAND()*4+1</f>
        <v/>
      </c>
      <c r="C276">
        <f>RAND()*4+1</f>
        <v/>
      </c>
      <c r="D276">
        <f>IF(OR(AND(B276&gt;3,C276&lt;4),AND(B276&lt;=3,C276&lt;2)),"Red","Black")</f>
        <v/>
      </c>
      <c r="E276" t="n">
        <v>3</v>
      </c>
      <c r="F276" t="n">
        <v>2</v>
      </c>
      <c r="G276" t="n">
        <v>4</v>
      </c>
      <c r="I276">
        <f>IF(D276="Red",B276,NA())</f>
        <v/>
      </c>
      <c r="J276">
        <f>IF(D276="Red",C276,NA())</f>
        <v/>
      </c>
      <c r="K276">
        <f>IF(D276="Black",B276,NA())</f>
        <v/>
      </c>
      <c r="L276">
        <f>IF(D276="Black",C276,NA())</f>
        <v/>
      </c>
    </row>
    <row r="277">
      <c r="A277" t="n">
        <v>276</v>
      </c>
      <c r="B277">
        <f>RAND()*4+1</f>
        <v/>
      </c>
      <c r="C277">
        <f>RAND()*4+1</f>
        <v/>
      </c>
      <c r="D277">
        <f>IF(OR(AND(B277&gt;3,C277&lt;4),AND(B277&lt;=3,C277&lt;2)),"Red","Black")</f>
        <v/>
      </c>
      <c r="E277" t="n">
        <v>3</v>
      </c>
      <c r="F277" t="n">
        <v>2</v>
      </c>
      <c r="G277" t="n">
        <v>4</v>
      </c>
      <c r="I277">
        <f>IF(D277="Red",B277,NA())</f>
        <v/>
      </c>
      <c r="J277">
        <f>IF(D277="Red",C277,NA())</f>
        <v/>
      </c>
      <c r="K277">
        <f>IF(D277="Black",B277,NA())</f>
        <v/>
      </c>
      <c r="L277">
        <f>IF(D277="Black",C277,NA())</f>
        <v/>
      </c>
    </row>
    <row r="278">
      <c r="A278" t="n">
        <v>277</v>
      </c>
      <c r="B278">
        <f>RAND()*4+1</f>
        <v/>
      </c>
      <c r="C278">
        <f>RAND()*4+1</f>
        <v/>
      </c>
      <c r="D278">
        <f>IF(OR(AND(B278&gt;3,C278&lt;4),AND(B278&lt;=3,C278&lt;2)),"Red","Black")</f>
        <v/>
      </c>
      <c r="E278" t="n">
        <v>3</v>
      </c>
      <c r="F278" t="n">
        <v>2</v>
      </c>
      <c r="G278" t="n">
        <v>4</v>
      </c>
      <c r="I278">
        <f>IF(D278="Red",B278,NA())</f>
        <v/>
      </c>
      <c r="J278">
        <f>IF(D278="Red",C278,NA())</f>
        <v/>
      </c>
      <c r="K278">
        <f>IF(D278="Black",B278,NA())</f>
        <v/>
      </c>
      <c r="L278">
        <f>IF(D278="Black",C278,NA())</f>
        <v/>
      </c>
    </row>
    <row r="279">
      <c r="A279" t="n">
        <v>278</v>
      </c>
      <c r="B279">
        <f>RAND()*4+1</f>
        <v/>
      </c>
      <c r="C279">
        <f>RAND()*4+1</f>
        <v/>
      </c>
      <c r="D279">
        <f>IF(OR(AND(B279&gt;3,C279&lt;4),AND(B279&lt;=3,C279&lt;2)),"Red","Black")</f>
        <v/>
      </c>
      <c r="E279" t="n">
        <v>3</v>
      </c>
      <c r="F279" t="n">
        <v>2</v>
      </c>
      <c r="G279" t="n">
        <v>4</v>
      </c>
      <c r="I279">
        <f>IF(D279="Red",B279,NA())</f>
        <v/>
      </c>
      <c r="J279">
        <f>IF(D279="Red",C279,NA())</f>
        <v/>
      </c>
      <c r="K279">
        <f>IF(D279="Black",B279,NA())</f>
        <v/>
      </c>
      <c r="L279">
        <f>IF(D279="Black",C279,NA())</f>
        <v/>
      </c>
    </row>
    <row r="280">
      <c r="A280" t="n">
        <v>279</v>
      </c>
      <c r="B280">
        <f>RAND()*4+1</f>
        <v/>
      </c>
      <c r="C280">
        <f>RAND()*4+1</f>
        <v/>
      </c>
      <c r="D280">
        <f>IF(OR(AND(B280&gt;3,C280&lt;4),AND(B280&lt;=3,C280&lt;2)),"Red","Black")</f>
        <v/>
      </c>
      <c r="E280" t="n">
        <v>3</v>
      </c>
      <c r="F280" t="n">
        <v>2</v>
      </c>
      <c r="G280" t="n">
        <v>4</v>
      </c>
      <c r="I280">
        <f>IF(D280="Red",B280,NA())</f>
        <v/>
      </c>
      <c r="J280">
        <f>IF(D280="Red",C280,NA())</f>
        <v/>
      </c>
      <c r="K280">
        <f>IF(D280="Black",B280,NA())</f>
        <v/>
      </c>
      <c r="L280">
        <f>IF(D280="Black",C280,NA())</f>
        <v/>
      </c>
    </row>
    <row r="281">
      <c r="A281" t="n">
        <v>280</v>
      </c>
      <c r="B281">
        <f>RAND()*4+1</f>
        <v/>
      </c>
      <c r="C281">
        <f>RAND()*4+1</f>
        <v/>
      </c>
      <c r="D281">
        <f>IF(OR(AND(B281&gt;3,C281&lt;4),AND(B281&lt;=3,C281&lt;2)),"Red","Black")</f>
        <v/>
      </c>
      <c r="E281" t="n">
        <v>3</v>
      </c>
      <c r="F281" t="n">
        <v>2</v>
      </c>
      <c r="G281" t="n">
        <v>4</v>
      </c>
      <c r="I281">
        <f>IF(D281="Red",B281,NA())</f>
        <v/>
      </c>
      <c r="J281">
        <f>IF(D281="Red",C281,NA())</f>
        <v/>
      </c>
      <c r="K281">
        <f>IF(D281="Black",B281,NA())</f>
        <v/>
      </c>
      <c r="L281">
        <f>IF(D281="Black",C281,NA())</f>
        <v/>
      </c>
    </row>
    <row r="282">
      <c r="A282" t="n">
        <v>281</v>
      </c>
      <c r="B282">
        <f>RAND()*4+1</f>
        <v/>
      </c>
      <c r="C282">
        <f>RAND()*4+1</f>
        <v/>
      </c>
      <c r="D282">
        <f>IF(OR(AND(B282&gt;3,C282&lt;4),AND(B282&lt;=3,C282&lt;2)),"Red","Black")</f>
        <v/>
      </c>
      <c r="E282" t="n">
        <v>3</v>
      </c>
      <c r="F282" t="n">
        <v>2</v>
      </c>
      <c r="G282" t="n">
        <v>4</v>
      </c>
      <c r="I282">
        <f>IF(D282="Red",B282,NA())</f>
        <v/>
      </c>
      <c r="J282">
        <f>IF(D282="Red",C282,NA())</f>
        <v/>
      </c>
      <c r="K282">
        <f>IF(D282="Black",B282,NA())</f>
        <v/>
      </c>
      <c r="L282">
        <f>IF(D282="Black",C282,NA())</f>
        <v/>
      </c>
    </row>
    <row r="283">
      <c r="A283" t="n">
        <v>282</v>
      </c>
      <c r="B283">
        <f>RAND()*4+1</f>
        <v/>
      </c>
      <c r="C283">
        <f>RAND()*4+1</f>
        <v/>
      </c>
      <c r="D283">
        <f>IF(OR(AND(B283&gt;3,C283&lt;4),AND(B283&lt;=3,C283&lt;2)),"Red","Black")</f>
        <v/>
      </c>
      <c r="E283" t="n">
        <v>3</v>
      </c>
      <c r="F283" t="n">
        <v>2</v>
      </c>
      <c r="G283" t="n">
        <v>4</v>
      </c>
      <c r="I283">
        <f>IF(D283="Red",B283,NA())</f>
        <v/>
      </c>
      <c r="J283">
        <f>IF(D283="Red",C283,NA())</f>
        <v/>
      </c>
      <c r="K283">
        <f>IF(D283="Black",B283,NA())</f>
        <v/>
      </c>
      <c r="L283">
        <f>IF(D283="Black",C283,NA())</f>
        <v/>
      </c>
    </row>
    <row r="284">
      <c r="A284" t="n">
        <v>283</v>
      </c>
      <c r="B284">
        <f>RAND()*4+1</f>
        <v/>
      </c>
      <c r="C284">
        <f>RAND()*4+1</f>
        <v/>
      </c>
      <c r="D284">
        <f>IF(OR(AND(B284&gt;3,C284&lt;4),AND(B284&lt;=3,C284&lt;2)),"Red","Black")</f>
        <v/>
      </c>
      <c r="E284" t="n">
        <v>3</v>
      </c>
      <c r="F284" t="n">
        <v>2</v>
      </c>
      <c r="G284" t="n">
        <v>4</v>
      </c>
      <c r="I284">
        <f>IF(D284="Red",B284,NA())</f>
        <v/>
      </c>
      <c r="J284">
        <f>IF(D284="Red",C284,NA())</f>
        <v/>
      </c>
      <c r="K284">
        <f>IF(D284="Black",B284,NA())</f>
        <v/>
      </c>
      <c r="L284">
        <f>IF(D284="Black",C284,NA())</f>
        <v/>
      </c>
    </row>
    <row r="285">
      <c r="A285" t="n">
        <v>284</v>
      </c>
      <c r="B285">
        <f>RAND()*4+1</f>
        <v/>
      </c>
      <c r="C285">
        <f>RAND()*4+1</f>
        <v/>
      </c>
      <c r="D285">
        <f>IF(OR(AND(B285&gt;3,C285&lt;4),AND(B285&lt;=3,C285&lt;2)),"Red","Black")</f>
        <v/>
      </c>
      <c r="E285" t="n">
        <v>3</v>
      </c>
      <c r="F285" t="n">
        <v>2</v>
      </c>
      <c r="G285" t="n">
        <v>4</v>
      </c>
      <c r="I285">
        <f>IF(D285="Red",B285,NA())</f>
        <v/>
      </c>
      <c r="J285">
        <f>IF(D285="Red",C285,NA())</f>
        <v/>
      </c>
      <c r="K285">
        <f>IF(D285="Black",B285,NA())</f>
        <v/>
      </c>
      <c r="L285">
        <f>IF(D285="Black",C285,NA())</f>
        <v/>
      </c>
    </row>
    <row r="286">
      <c r="A286" t="n">
        <v>285</v>
      </c>
      <c r="B286">
        <f>RAND()*4+1</f>
        <v/>
      </c>
      <c r="C286">
        <f>RAND()*4+1</f>
        <v/>
      </c>
      <c r="D286">
        <f>IF(OR(AND(B286&gt;3,C286&lt;4),AND(B286&lt;=3,C286&lt;2)),"Red","Black")</f>
        <v/>
      </c>
      <c r="E286" t="n">
        <v>3</v>
      </c>
      <c r="F286" t="n">
        <v>2</v>
      </c>
      <c r="G286" t="n">
        <v>4</v>
      </c>
      <c r="I286">
        <f>IF(D286="Red",B286,NA())</f>
        <v/>
      </c>
      <c r="J286">
        <f>IF(D286="Red",C286,NA())</f>
        <v/>
      </c>
      <c r="K286">
        <f>IF(D286="Black",B286,NA())</f>
        <v/>
      </c>
      <c r="L286">
        <f>IF(D286="Black",C286,NA())</f>
        <v/>
      </c>
    </row>
    <row r="287">
      <c r="A287" t="n">
        <v>286</v>
      </c>
      <c r="B287">
        <f>RAND()*4+1</f>
        <v/>
      </c>
      <c r="C287">
        <f>RAND()*4+1</f>
        <v/>
      </c>
      <c r="D287">
        <f>IF(OR(AND(B287&gt;3,C287&lt;4),AND(B287&lt;=3,C287&lt;2)),"Red","Black")</f>
        <v/>
      </c>
      <c r="E287" t="n">
        <v>3</v>
      </c>
      <c r="F287" t="n">
        <v>2</v>
      </c>
      <c r="G287" t="n">
        <v>4</v>
      </c>
      <c r="I287">
        <f>IF(D287="Red",B287,NA())</f>
        <v/>
      </c>
      <c r="J287">
        <f>IF(D287="Red",C287,NA())</f>
        <v/>
      </c>
      <c r="K287">
        <f>IF(D287="Black",B287,NA())</f>
        <v/>
      </c>
      <c r="L287">
        <f>IF(D287="Black",C287,NA())</f>
        <v/>
      </c>
    </row>
    <row r="288">
      <c r="A288" t="n">
        <v>287</v>
      </c>
      <c r="B288">
        <f>RAND()*4+1</f>
        <v/>
      </c>
      <c r="C288">
        <f>RAND()*4+1</f>
        <v/>
      </c>
      <c r="D288">
        <f>IF(OR(AND(B288&gt;3,C288&lt;4),AND(B288&lt;=3,C288&lt;2)),"Red","Black")</f>
        <v/>
      </c>
      <c r="E288" t="n">
        <v>3</v>
      </c>
      <c r="F288" t="n">
        <v>2</v>
      </c>
      <c r="G288" t="n">
        <v>4</v>
      </c>
      <c r="I288">
        <f>IF(D288="Red",B288,NA())</f>
        <v/>
      </c>
      <c r="J288">
        <f>IF(D288="Red",C288,NA())</f>
        <v/>
      </c>
      <c r="K288">
        <f>IF(D288="Black",B288,NA())</f>
        <v/>
      </c>
      <c r="L288">
        <f>IF(D288="Black",C288,NA())</f>
        <v/>
      </c>
    </row>
    <row r="289">
      <c r="A289" t="n">
        <v>288</v>
      </c>
      <c r="B289">
        <f>RAND()*4+1</f>
        <v/>
      </c>
      <c r="C289">
        <f>RAND()*4+1</f>
        <v/>
      </c>
      <c r="D289">
        <f>IF(OR(AND(B289&gt;3,C289&lt;4),AND(B289&lt;=3,C289&lt;2)),"Red","Black")</f>
        <v/>
      </c>
      <c r="E289" t="n">
        <v>3</v>
      </c>
      <c r="F289" t="n">
        <v>2</v>
      </c>
      <c r="G289" t="n">
        <v>4</v>
      </c>
      <c r="I289">
        <f>IF(D289="Red",B289,NA())</f>
        <v/>
      </c>
      <c r="J289">
        <f>IF(D289="Red",C289,NA())</f>
        <v/>
      </c>
      <c r="K289">
        <f>IF(D289="Black",B289,NA())</f>
        <v/>
      </c>
      <c r="L289">
        <f>IF(D289="Black",C289,NA())</f>
        <v/>
      </c>
    </row>
    <row r="290">
      <c r="A290" t="n">
        <v>289</v>
      </c>
      <c r="B290">
        <f>RAND()*4+1</f>
        <v/>
      </c>
      <c r="C290">
        <f>RAND()*4+1</f>
        <v/>
      </c>
      <c r="D290">
        <f>IF(OR(AND(B290&gt;3,C290&lt;4),AND(B290&lt;=3,C290&lt;2)),"Red","Black")</f>
        <v/>
      </c>
      <c r="E290" t="n">
        <v>3</v>
      </c>
      <c r="F290" t="n">
        <v>2</v>
      </c>
      <c r="G290" t="n">
        <v>4</v>
      </c>
      <c r="I290">
        <f>IF(D290="Red",B290,NA())</f>
        <v/>
      </c>
      <c r="J290">
        <f>IF(D290="Red",C290,NA())</f>
        <v/>
      </c>
      <c r="K290">
        <f>IF(D290="Black",B290,NA())</f>
        <v/>
      </c>
      <c r="L290">
        <f>IF(D290="Black",C290,NA())</f>
        <v/>
      </c>
    </row>
    <row r="291">
      <c r="A291" t="n">
        <v>290</v>
      </c>
      <c r="B291">
        <f>RAND()*4+1</f>
        <v/>
      </c>
      <c r="C291">
        <f>RAND()*4+1</f>
        <v/>
      </c>
      <c r="D291">
        <f>IF(OR(AND(B291&gt;3,C291&lt;4),AND(B291&lt;=3,C291&lt;2)),"Red","Black")</f>
        <v/>
      </c>
      <c r="E291" t="n">
        <v>3</v>
      </c>
      <c r="F291" t="n">
        <v>2</v>
      </c>
      <c r="G291" t="n">
        <v>4</v>
      </c>
      <c r="I291">
        <f>IF(D291="Red",B291,NA())</f>
        <v/>
      </c>
      <c r="J291">
        <f>IF(D291="Red",C291,NA())</f>
        <v/>
      </c>
      <c r="K291">
        <f>IF(D291="Black",B291,NA())</f>
        <v/>
      </c>
      <c r="L291">
        <f>IF(D291="Black",C291,NA())</f>
        <v/>
      </c>
    </row>
    <row r="292">
      <c r="A292" t="n">
        <v>291</v>
      </c>
      <c r="B292">
        <f>RAND()*4+1</f>
        <v/>
      </c>
      <c r="C292">
        <f>RAND()*4+1</f>
        <v/>
      </c>
      <c r="D292">
        <f>IF(OR(AND(B292&gt;3,C292&lt;4),AND(B292&lt;=3,C292&lt;2)),"Red","Black")</f>
        <v/>
      </c>
      <c r="E292" t="n">
        <v>3</v>
      </c>
      <c r="F292" t="n">
        <v>2</v>
      </c>
      <c r="G292" t="n">
        <v>4</v>
      </c>
      <c r="I292">
        <f>IF(D292="Red",B292,NA())</f>
        <v/>
      </c>
      <c r="J292">
        <f>IF(D292="Red",C292,NA())</f>
        <v/>
      </c>
      <c r="K292">
        <f>IF(D292="Black",B292,NA())</f>
        <v/>
      </c>
      <c r="L292">
        <f>IF(D292="Black",C292,NA())</f>
        <v/>
      </c>
    </row>
    <row r="293">
      <c r="A293" t="n">
        <v>292</v>
      </c>
      <c r="B293">
        <f>RAND()*4+1</f>
        <v/>
      </c>
      <c r="C293">
        <f>RAND()*4+1</f>
        <v/>
      </c>
      <c r="D293">
        <f>IF(OR(AND(B293&gt;3,C293&lt;4),AND(B293&lt;=3,C293&lt;2)),"Red","Black")</f>
        <v/>
      </c>
      <c r="E293" t="n">
        <v>3</v>
      </c>
      <c r="F293" t="n">
        <v>2</v>
      </c>
      <c r="G293" t="n">
        <v>4</v>
      </c>
      <c r="I293">
        <f>IF(D293="Red",B293,NA())</f>
        <v/>
      </c>
      <c r="J293">
        <f>IF(D293="Red",C293,NA())</f>
        <v/>
      </c>
      <c r="K293">
        <f>IF(D293="Black",B293,NA())</f>
        <v/>
      </c>
      <c r="L293">
        <f>IF(D293="Black",C293,NA())</f>
        <v/>
      </c>
    </row>
    <row r="294">
      <c r="A294" t="n">
        <v>293</v>
      </c>
      <c r="B294">
        <f>RAND()*4+1</f>
        <v/>
      </c>
      <c r="C294">
        <f>RAND()*4+1</f>
        <v/>
      </c>
      <c r="D294">
        <f>IF(OR(AND(B294&gt;3,C294&lt;4),AND(B294&lt;=3,C294&lt;2)),"Red","Black")</f>
        <v/>
      </c>
      <c r="E294" t="n">
        <v>3</v>
      </c>
      <c r="F294" t="n">
        <v>2</v>
      </c>
      <c r="G294" t="n">
        <v>4</v>
      </c>
      <c r="I294">
        <f>IF(D294="Red",B294,NA())</f>
        <v/>
      </c>
      <c r="J294">
        <f>IF(D294="Red",C294,NA())</f>
        <v/>
      </c>
      <c r="K294">
        <f>IF(D294="Black",B294,NA())</f>
        <v/>
      </c>
      <c r="L294">
        <f>IF(D294="Black",C294,NA())</f>
        <v/>
      </c>
    </row>
    <row r="295">
      <c r="A295" t="n">
        <v>294</v>
      </c>
      <c r="B295">
        <f>RAND()*4+1</f>
        <v/>
      </c>
      <c r="C295">
        <f>RAND()*4+1</f>
        <v/>
      </c>
      <c r="D295">
        <f>IF(OR(AND(B295&gt;3,C295&lt;4),AND(B295&lt;=3,C295&lt;2)),"Red","Black")</f>
        <v/>
      </c>
      <c r="E295" t="n">
        <v>3</v>
      </c>
      <c r="F295" t="n">
        <v>2</v>
      </c>
      <c r="G295" t="n">
        <v>4</v>
      </c>
      <c r="I295">
        <f>IF(D295="Red",B295,NA())</f>
        <v/>
      </c>
      <c r="J295">
        <f>IF(D295="Red",C295,NA())</f>
        <v/>
      </c>
      <c r="K295">
        <f>IF(D295="Black",B295,NA())</f>
        <v/>
      </c>
      <c r="L295">
        <f>IF(D295="Black",C295,NA())</f>
        <v/>
      </c>
    </row>
    <row r="296">
      <c r="A296" t="n">
        <v>295</v>
      </c>
      <c r="B296">
        <f>RAND()*4+1</f>
        <v/>
      </c>
      <c r="C296">
        <f>RAND()*4+1</f>
        <v/>
      </c>
      <c r="D296">
        <f>IF(OR(AND(B296&gt;3,C296&lt;4),AND(B296&lt;=3,C296&lt;2)),"Red","Black")</f>
        <v/>
      </c>
      <c r="E296" t="n">
        <v>3</v>
      </c>
      <c r="F296" t="n">
        <v>2</v>
      </c>
      <c r="G296" t="n">
        <v>4</v>
      </c>
      <c r="I296">
        <f>IF(D296="Red",B296,NA())</f>
        <v/>
      </c>
      <c r="J296">
        <f>IF(D296="Red",C296,NA())</f>
        <v/>
      </c>
      <c r="K296">
        <f>IF(D296="Black",B296,NA())</f>
        <v/>
      </c>
      <c r="L296">
        <f>IF(D296="Black",C296,NA())</f>
        <v/>
      </c>
    </row>
    <row r="297">
      <c r="A297" t="n">
        <v>296</v>
      </c>
      <c r="B297">
        <f>RAND()*4+1</f>
        <v/>
      </c>
      <c r="C297">
        <f>RAND()*4+1</f>
        <v/>
      </c>
      <c r="D297">
        <f>IF(OR(AND(B297&gt;3,C297&lt;4),AND(B297&lt;=3,C297&lt;2)),"Red","Black")</f>
        <v/>
      </c>
      <c r="E297" t="n">
        <v>3</v>
      </c>
      <c r="F297" t="n">
        <v>2</v>
      </c>
      <c r="G297" t="n">
        <v>4</v>
      </c>
      <c r="I297">
        <f>IF(D297="Red",B297,NA())</f>
        <v/>
      </c>
      <c r="J297">
        <f>IF(D297="Red",C297,NA())</f>
        <v/>
      </c>
      <c r="K297">
        <f>IF(D297="Black",B297,NA())</f>
        <v/>
      </c>
      <c r="L297">
        <f>IF(D297="Black",C297,NA())</f>
        <v/>
      </c>
    </row>
    <row r="298">
      <c r="A298" t="n">
        <v>297</v>
      </c>
      <c r="B298">
        <f>RAND()*4+1</f>
        <v/>
      </c>
      <c r="C298">
        <f>RAND()*4+1</f>
        <v/>
      </c>
      <c r="D298">
        <f>IF(OR(AND(B298&gt;3,C298&lt;4),AND(B298&lt;=3,C298&lt;2)),"Red","Black")</f>
        <v/>
      </c>
      <c r="E298" t="n">
        <v>3</v>
      </c>
      <c r="F298" t="n">
        <v>2</v>
      </c>
      <c r="G298" t="n">
        <v>4</v>
      </c>
      <c r="I298">
        <f>IF(D298="Red",B298,NA())</f>
        <v/>
      </c>
      <c r="J298">
        <f>IF(D298="Red",C298,NA())</f>
        <v/>
      </c>
      <c r="K298">
        <f>IF(D298="Black",B298,NA())</f>
        <v/>
      </c>
      <c r="L298">
        <f>IF(D298="Black",C298,NA())</f>
        <v/>
      </c>
    </row>
    <row r="299">
      <c r="A299" t="n">
        <v>298</v>
      </c>
      <c r="B299">
        <f>RAND()*4+1</f>
        <v/>
      </c>
      <c r="C299">
        <f>RAND()*4+1</f>
        <v/>
      </c>
      <c r="D299">
        <f>IF(OR(AND(B299&gt;3,C299&lt;4),AND(B299&lt;=3,C299&lt;2)),"Red","Black")</f>
        <v/>
      </c>
      <c r="E299" t="n">
        <v>3</v>
      </c>
      <c r="F299" t="n">
        <v>2</v>
      </c>
      <c r="G299" t="n">
        <v>4</v>
      </c>
      <c r="I299">
        <f>IF(D299="Red",B299,NA())</f>
        <v/>
      </c>
      <c r="J299">
        <f>IF(D299="Red",C299,NA())</f>
        <v/>
      </c>
      <c r="K299">
        <f>IF(D299="Black",B299,NA())</f>
        <v/>
      </c>
      <c r="L299">
        <f>IF(D299="Black",C299,NA())</f>
        <v/>
      </c>
    </row>
    <row r="300">
      <c r="A300" t="n">
        <v>299</v>
      </c>
      <c r="B300">
        <f>RAND()*4+1</f>
        <v/>
      </c>
      <c r="C300">
        <f>RAND()*4+1</f>
        <v/>
      </c>
      <c r="D300">
        <f>IF(OR(AND(B300&gt;3,C300&lt;4),AND(B300&lt;=3,C300&lt;2)),"Red","Black")</f>
        <v/>
      </c>
      <c r="E300" t="n">
        <v>3</v>
      </c>
      <c r="F300" t="n">
        <v>2</v>
      </c>
      <c r="G300" t="n">
        <v>4</v>
      </c>
      <c r="I300">
        <f>IF(D300="Red",B300,NA())</f>
        <v/>
      </c>
      <c r="J300">
        <f>IF(D300="Red",C300,NA())</f>
        <v/>
      </c>
      <c r="K300">
        <f>IF(D300="Black",B300,NA())</f>
        <v/>
      </c>
      <c r="L300">
        <f>IF(D300="Black",C300,NA())</f>
        <v/>
      </c>
    </row>
    <row r="301">
      <c r="A301" t="n">
        <v>300</v>
      </c>
      <c r="B301">
        <f>RAND()*4+1</f>
        <v/>
      </c>
      <c r="C301">
        <f>RAND()*4+1</f>
        <v/>
      </c>
      <c r="D301">
        <f>IF(OR(AND(B301&gt;3,C301&lt;4),AND(B301&lt;=3,C301&lt;2)),"Red","Black")</f>
        <v/>
      </c>
      <c r="E301" t="n">
        <v>3</v>
      </c>
      <c r="F301" t="n">
        <v>2</v>
      </c>
      <c r="G301" t="n">
        <v>4</v>
      </c>
      <c r="I301">
        <f>IF(D301="Red",B301,NA())</f>
        <v/>
      </c>
      <c r="J301">
        <f>IF(D301="Red",C301,NA())</f>
        <v/>
      </c>
      <c r="K301">
        <f>IF(D301="Black",B301,NA())</f>
        <v/>
      </c>
      <c r="L301">
        <f>IF(D301="Black",C301,NA())</f>
        <v/>
      </c>
    </row>
    <row r="302">
      <c r="A302" t="n">
        <v>301</v>
      </c>
      <c r="B302">
        <f>RAND()*4+1</f>
        <v/>
      </c>
      <c r="C302">
        <f>RAND()*4+1</f>
        <v/>
      </c>
      <c r="D302">
        <f>IF(OR(AND(B302&gt;3,C302&lt;4),AND(B302&lt;=3,C302&lt;2)),"Red","Black")</f>
        <v/>
      </c>
      <c r="E302" t="n">
        <v>3</v>
      </c>
      <c r="F302" t="n">
        <v>2</v>
      </c>
      <c r="G302" t="n">
        <v>4</v>
      </c>
      <c r="I302">
        <f>IF(D302="Red",B302,NA())</f>
        <v/>
      </c>
      <c r="J302">
        <f>IF(D302="Red",C302,NA())</f>
        <v/>
      </c>
      <c r="K302">
        <f>IF(D302="Black",B302,NA())</f>
        <v/>
      </c>
      <c r="L302">
        <f>IF(D302="Black",C302,NA())</f>
        <v/>
      </c>
    </row>
    <row r="303">
      <c r="A303" t="n">
        <v>302</v>
      </c>
      <c r="B303">
        <f>RAND()*4+1</f>
        <v/>
      </c>
      <c r="C303">
        <f>RAND()*4+1</f>
        <v/>
      </c>
      <c r="D303">
        <f>IF(OR(AND(B303&gt;3,C303&lt;4),AND(B303&lt;=3,C303&lt;2)),"Red","Black")</f>
        <v/>
      </c>
      <c r="E303" t="n">
        <v>3</v>
      </c>
      <c r="F303" t="n">
        <v>2</v>
      </c>
      <c r="G303" t="n">
        <v>4</v>
      </c>
      <c r="I303">
        <f>IF(D303="Red",B303,NA())</f>
        <v/>
      </c>
      <c r="J303">
        <f>IF(D303="Red",C303,NA())</f>
        <v/>
      </c>
      <c r="K303">
        <f>IF(D303="Black",B303,NA())</f>
        <v/>
      </c>
      <c r="L303">
        <f>IF(D303="Black",C303,NA())</f>
        <v/>
      </c>
    </row>
    <row r="304">
      <c r="A304" t="n">
        <v>303</v>
      </c>
      <c r="B304">
        <f>RAND()*4+1</f>
        <v/>
      </c>
      <c r="C304">
        <f>RAND()*4+1</f>
        <v/>
      </c>
      <c r="D304">
        <f>IF(OR(AND(B304&gt;3,C304&lt;4),AND(B304&lt;=3,C304&lt;2)),"Red","Black")</f>
        <v/>
      </c>
      <c r="E304" t="n">
        <v>3</v>
      </c>
      <c r="F304" t="n">
        <v>2</v>
      </c>
      <c r="G304" t="n">
        <v>4</v>
      </c>
      <c r="I304">
        <f>IF(D304="Red",B304,NA())</f>
        <v/>
      </c>
      <c r="J304">
        <f>IF(D304="Red",C304,NA())</f>
        <v/>
      </c>
      <c r="K304">
        <f>IF(D304="Black",B304,NA())</f>
        <v/>
      </c>
      <c r="L304">
        <f>IF(D304="Black",C304,NA())</f>
        <v/>
      </c>
    </row>
    <row r="305">
      <c r="A305" t="n">
        <v>304</v>
      </c>
      <c r="B305">
        <f>RAND()*4+1</f>
        <v/>
      </c>
      <c r="C305">
        <f>RAND()*4+1</f>
        <v/>
      </c>
      <c r="D305">
        <f>IF(OR(AND(B305&gt;3,C305&lt;4),AND(B305&lt;=3,C305&lt;2)),"Red","Black")</f>
        <v/>
      </c>
      <c r="E305" t="n">
        <v>3</v>
      </c>
      <c r="F305" t="n">
        <v>2</v>
      </c>
      <c r="G305" t="n">
        <v>4</v>
      </c>
      <c r="I305">
        <f>IF(D305="Red",B305,NA())</f>
        <v/>
      </c>
      <c r="J305">
        <f>IF(D305="Red",C305,NA())</f>
        <v/>
      </c>
      <c r="K305">
        <f>IF(D305="Black",B305,NA())</f>
        <v/>
      </c>
      <c r="L305">
        <f>IF(D305="Black",C305,NA())</f>
        <v/>
      </c>
    </row>
    <row r="306">
      <c r="A306" t="n">
        <v>305</v>
      </c>
      <c r="B306">
        <f>RAND()*4+1</f>
        <v/>
      </c>
      <c r="C306">
        <f>RAND()*4+1</f>
        <v/>
      </c>
      <c r="D306">
        <f>IF(OR(AND(B306&gt;3,C306&lt;4),AND(B306&lt;=3,C306&lt;2)),"Red","Black")</f>
        <v/>
      </c>
      <c r="E306" t="n">
        <v>3</v>
      </c>
      <c r="F306" t="n">
        <v>2</v>
      </c>
      <c r="G306" t="n">
        <v>4</v>
      </c>
      <c r="I306">
        <f>IF(D306="Red",B306,NA())</f>
        <v/>
      </c>
      <c r="J306">
        <f>IF(D306="Red",C306,NA())</f>
        <v/>
      </c>
      <c r="K306">
        <f>IF(D306="Black",B306,NA())</f>
        <v/>
      </c>
      <c r="L306">
        <f>IF(D306="Black",C306,NA())</f>
        <v/>
      </c>
    </row>
    <row r="307">
      <c r="A307" t="n">
        <v>306</v>
      </c>
      <c r="B307">
        <f>RAND()*4+1</f>
        <v/>
      </c>
      <c r="C307">
        <f>RAND()*4+1</f>
        <v/>
      </c>
      <c r="D307">
        <f>IF(OR(AND(B307&gt;3,C307&lt;4),AND(B307&lt;=3,C307&lt;2)),"Red","Black")</f>
        <v/>
      </c>
      <c r="E307" t="n">
        <v>3</v>
      </c>
      <c r="F307" t="n">
        <v>2</v>
      </c>
      <c r="G307" t="n">
        <v>4</v>
      </c>
      <c r="I307">
        <f>IF(D307="Red",B307,NA())</f>
        <v/>
      </c>
      <c r="J307">
        <f>IF(D307="Red",C307,NA())</f>
        <v/>
      </c>
      <c r="K307">
        <f>IF(D307="Black",B307,NA())</f>
        <v/>
      </c>
      <c r="L307">
        <f>IF(D307="Black",C307,NA())</f>
        <v/>
      </c>
    </row>
    <row r="308">
      <c r="A308" t="n">
        <v>307</v>
      </c>
      <c r="B308">
        <f>RAND()*4+1</f>
        <v/>
      </c>
      <c r="C308">
        <f>RAND()*4+1</f>
        <v/>
      </c>
      <c r="D308">
        <f>IF(OR(AND(B308&gt;3,C308&lt;4),AND(B308&lt;=3,C308&lt;2)),"Red","Black")</f>
        <v/>
      </c>
      <c r="E308" t="n">
        <v>3</v>
      </c>
      <c r="F308" t="n">
        <v>2</v>
      </c>
      <c r="G308" t="n">
        <v>4</v>
      </c>
      <c r="I308">
        <f>IF(D308="Red",B308,NA())</f>
        <v/>
      </c>
      <c r="J308">
        <f>IF(D308="Red",C308,NA())</f>
        <v/>
      </c>
      <c r="K308">
        <f>IF(D308="Black",B308,NA())</f>
        <v/>
      </c>
      <c r="L308">
        <f>IF(D308="Black",C308,NA())</f>
        <v/>
      </c>
    </row>
    <row r="309">
      <c r="A309" t="n">
        <v>308</v>
      </c>
      <c r="B309">
        <f>RAND()*4+1</f>
        <v/>
      </c>
      <c r="C309">
        <f>RAND()*4+1</f>
        <v/>
      </c>
      <c r="D309">
        <f>IF(OR(AND(B309&gt;3,C309&lt;4),AND(B309&lt;=3,C309&lt;2)),"Red","Black")</f>
        <v/>
      </c>
      <c r="E309" t="n">
        <v>3</v>
      </c>
      <c r="F309" t="n">
        <v>2</v>
      </c>
      <c r="G309" t="n">
        <v>4</v>
      </c>
      <c r="I309">
        <f>IF(D309="Red",B309,NA())</f>
        <v/>
      </c>
      <c r="J309">
        <f>IF(D309="Red",C309,NA())</f>
        <v/>
      </c>
      <c r="K309">
        <f>IF(D309="Black",B309,NA())</f>
        <v/>
      </c>
      <c r="L309">
        <f>IF(D309="Black",C309,NA())</f>
        <v/>
      </c>
    </row>
    <row r="310">
      <c r="A310" t="n">
        <v>309</v>
      </c>
      <c r="B310">
        <f>RAND()*4+1</f>
        <v/>
      </c>
      <c r="C310">
        <f>RAND()*4+1</f>
        <v/>
      </c>
      <c r="D310">
        <f>IF(OR(AND(B310&gt;3,C310&lt;4),AND(B310&lt;=3,C310&lt;2)),"Red","Black")</f>
        <v/>
      </c>
      <c r="E310" t="n">
        <v>3</v>
      </c>
      <c r="F310" t="n">
        <v>2</v>
      </c>
      <c r="G310" t="n">
        <v>4</v>
      </c>
      <c r="I310">
        <f>IF(D310="Red",B310,NA())</f>
        <v/>
      </c>
      <c r="J310">
        <f>IF(D310="Red",C310,NA())</f>
        <v/>
      </c>
      <c r="K310">
        <f>IF(D310="Black",B310,NA())</f>
        <v/>
      </c>
      <c r="L310">
        <f>IF(D310="Black",C310,NA())</f>
        <v/>
      </c>
    </row>
    <row r="311">
      <c r="A311" t="n">
        <v>310</v>
      </c>
      <c r="B311">
        <f>RAND()*4+1</f>
        <v/>
      </c>
      <c r="C311">
        <f>RAND()*4+1</f>
        <v/>
      </c>
      <c r="D311">
        <f>IF(OR(AND(B311&gt;3,C311&lt;4),AND(B311&lt;=3,C311&lt;2)),"Red","Black")</f>
        <v/>
      </c>
      <c r="E311" t="n">
        <v>3</v>
      </c>
      <c r="F311" t="n">
        <v>2</v>
      </c>
      <c r="G311" t="n">
        <v>4</v>
      </c>
      <c r="I311">
        <f>IF(D311="Red",B311,NA())</f>
        <v/>
      </c>
      <c r="J311">
        <f>IF(D311="Red",C311,NA())</f>
        <v/>
      </c>
      <c r="K311">
        <f>IF(D311="Black",B311,NA())</f>
        <v/>
      </c>
      <c r="L311">
        <f>IF(D311="Black",C311,NA())</f>
        <v/>
      </c>
    </row>
    <row r="312">
      <c r="A312" t="n">
        <v>311</v>
      </c>
      <c r="B312">
        <f>RAND()*4+1</f>
        <v/>
      </c>
      <c r="C312">
        <f>RAND()*4+1</f>
        <v/>
      </c>
      <c r="D312">
        <f>IF(OR(AND(B312&gt;3,C312&lt;4),AND(B312&lt;=3,C312&lt;2)),"Red","Black")</f>
        <v/>
      </c>
      <c r="E312" t="n">
        <v>3</v>
      </c>
      <c r="F312" t="n">
        <v>2</v>
      </c>
      <c r="G312" t="n">
        <v>4</v>
      </c>
      <c r="I312">
        <f>IF(D312="Red",B312,NA())</f>
        <v/>
      </c>
      <c r="J312">
        <f>IF(D312="Red",C312,NA())</f>
        <v/>
      </c>
      <c r="K312">
        <f>IF(D312="Black",B312,NA())</f>
        <v/>
      </c>
      <c r="L312">
        <f>IF(D312="Black",C312,NA())</f>
        <v/>
      </c>
    </row>
    <row r="313">
      <c r="A313" t="n">
        <v>312</v>
      </c>
      <c r="B313">
        <f>RAND()*4+1</f>
        <v/>
      </c>
      <c r="C313">
        <f>RAND()*4+1</f>
        <v/>
      </c>
      <c r="D313">
        <f>IF(OR(AND(B313&gt;3,C313&lt;4),AND(B313&lt;=3,C313&lt;2)),"Red","Black")</f>
        <v/>
      </c>
      <c r="E313" t="n">
        <v>3</v>
      </c>
      <c r="F313" t="n">
        <v>2</v>
      </c>
      <c r="G313" t="n">
        <v>4</v>
      </c>
      <c r="I313">
        <f>IF(D313="Red",B313,NA())</f>
        <v/>
      </c>
      <c r="J313">
        <f>IF(D313="Red",C313,NA())</f>
        <v/>
      </c>
      <c r="K313">
        <f>IF(D313="Black",B313,NA())</f>
        <v/>
      </c>
      <c r="L313">
        <f>IF(D313="Black",C313,NA())</f>
        <v/>
      </c>
    </row>
    <row r="314">
      <c r="A314" t="n">
        <v>313</v>
      </c>
      <c r="B314">
        <f>RAND()*4+1</f>
        <v/>
      </c>
      <c r="C314">
        <f>RAND()*4+1</f>
        <v/>
      </c>
      <c r="D314">
        <f>IF(OR(AND(B314&gt;3,C314&lt;4),AND(B314&lt;=3,C314&lt;2)),"Red","Black")</f>
        <v/>
      </c>
      <c r="E314" t="n">
        <v>3</v>
      </c>
      <c r="F314" t="n">
        <v>2</v>
      </c>
      <c r="G314" t="n">
        <v>4</v>
      </c>
      <c r="I314">
        <f>IF(D314="Red",B314,NA())</f>
        <v/>
      </c>
      <c r="J314">
        <f>IF(D314="Red",C314,NA())</f>
        <v/>
      </c>
      <c r="K314">
        <f>IF(D314="Black",B314,NA())</f>
        <v/>
      </c>
      <c r="L314">
        <f>IF(D314="Black",C314,NA())</f>
        <v/>
      </c>
    </row>
    <row r="315">
      <c r="A315" t="n">
        <v>314</v>
      </c>
      <c r="B315">
        <f>RAND()*4+1</f>
        <v/>
      </c>
      <c r="C315">
        <f>RAND()*4+1</f>
        <v/>
      </c>
      <c r="D315">
        <f>IF(OR(AND(B315&gt;3,C315&lt;4),AND(B315&lt;=3,C315&lt;2)),"Red","Black")</f>
        <v/>
      </c>
      <c r="E315" t="n">
        <v>3</v>
      </c>
      <c r="F315" t="n">
        <v>2</v>
      </c>
      <c r="G315" t="n">
        <v>4</v>
      </c>
      <c r="I315">
        <f>IF(D315="Red",B315,NA())</f>
        <v/>
      </c>
      <c r="J315">
        <f>IF(D315="Red",C315,NA())</f>
        <v/>
      </c>
      <c r="K315">
        <f>IF(D315="Black",B315,NA())</f>
        <v/>
      </c>
      <c r="L315">
        <f>IF(D315="Black",C315,NA())</f>
        <v/>
      </c>
    </row>
    <row r="316">
      <c r="A316" t="n">
        <v>315</v>
      </c>
      <c r="B316">
        <f>RAND()*4+1</f>
        <v/>
      </c>
      <c r="C316">
        <f>RAND()*4+1</f>
        <v/>
      </c>
      <c r="D316">
        <f>IF(OR(AND(B316&gt;3,C316&lt;4),AND(B316&lt;=3,C316&lt;2)),"Red","Black")</f>
        <v/>
      </c>
      <c r="E316" t="n">
        <v>3</v>
      </c>
      <c r="F316" t="n">
        <v>2</v>
      </c>
      <c r="G316" t="n">
        <v>4</v>
      </c>
      <c r="I316">
        <f>IF(D316="Red",B316,NA())</f>
        <v/>
      </c>
      <c r="J316">
        <f>IF(D316="Red",C316,NA())</f>
        <v/>
      </c>
      <c r="K316">
        <f>IF(D316="Black",B316,NA())</f>
        <v/>
      </c>
      <c r="L316">
        <f>IF(D316="Black",C316,NA())</f>
        <v/>
      </c>
    </row>
    <row r="317">
      <c r="A317" t="n">
        <v>316</v>
      </c>
      <c r="B317">
        <f>RAND()*4+1</f>
        <v/>
      </c>
      <c r="C317">
        <f>RAND()*4+1</f>
        <v/>
      </c>
      <c r="D317">
        <f>IF(OR(AND(B317&gt;3,C317&lt;4),AND(B317&lt;=3,C317&lt;2)),"Red","Black")</f>
        <v/>
      </c>
      <c r="E317" t="n">
        <v>3</v>
      </c>
      <c r="F317" t="n">
        <v>2</v>
      </c>
      <c r="G317" t="n">
        <v>4</v>
      </c>
      <c r="I317">
        <f>IF(D317="Red",B317,NA())</f>
        <v/>
      </c>
      <c r="J317">
        <f>IF(D317="Red",C317,NA())</f>
        <v/>
      </c>
      <c r="K317">
        <f>IF(D317="Black",B317,NA())</f>
        <v/>
      </c>
      <c r="L317">
        <f>IF(D317="Black",C317,NA())</f>
        <v/>
      </c>
    </row>
    <row r="318">
      <c r="A318" t="n">
        <v>317</v>
      </c>
      <c r="B318">
        <f>RAND()*4+1</f>
        <v/>
      </c>
      <c r="C318">
        <f>RAND()*4+1</f>
        <v/>
      </c>
      <c r="D318">
        <f>IF(OR(AND(B318&gt;3,C318&lt;4),AND(B318&lt;=3,C318&lt;2)),"Red","Black")</f>
        <v/>
      </c>
      <c r="E318" t="n">
        <v>3</v>
      </c>
      <c r="F318" t="n">
        <v>2</v>
      </c>
      <c r="G318" t="n">
        <v>4</v>
      </c>
      <c r="I318">
        <f>IF(D318="Red",B318,NA())</f>
        <v/>
      </c>
      <c r="J318">
        <f>IF(D318="Red",C318,NA())</f>
        <v/>
      </c>
      <c r="K318">
        <f>IF(D318="Black",B318,NA())</f>
        <v/>
      </c>
      <c r="L318">
        <f>IF(D318="Black",C318,NA())</f>
        <v/>
      </c>
    </row>
    <row r="319">
      <c r="A319" t="n">
        <v>318</v>
      </c>
      <c r="B319">
        <f>RAND()*4+1</f>
        <v/>
      </c>
      <c r="C319">
        <f>RAND()*4+1</f>
        <v/>
      </c>
      <c r="D319">
        <f>IF(OR(AND(B319&gt;3,C319&lt;4),AND(B319&lt;=3,C319&lt;2)),"Red","Black")</f>
        <v/>
      </c>
      <c r="E319" t="n">
        <v>3</v>
      </c>
      <c r="F319" t="n">
        <v>2</v>
      </c>
      <c r="G319" t="n">
        <v>4</v>
      </c>
      <c r="I319">
        <f>IF(D319="Red",B319,NA())</f>
        <v/>
      </c>
      <c r="J319">
        <f>IF(D319="Red",C319,NA())</f>
        <v/>
      </c>
      <c r="K319">
        <f>IF(D319="Black",B319,NA())</f>
        <v/>
      </c>
      <c r="L319">
        <f>IF(D319="Black",C319,NA())</f>
        <v/>
      </c>
    </row>
    <row r="320">
      <c r="A320" t="n">
        <v>319</v>
      </c>
      <c r="B320">
        <f>RAND()*4+1</f>
        <v/>
      </c>
      <c r="C320">
        <f>RAND()*4+1</f>
        <v/>
      </c>
      <c r="D320">
        <f>IF(OR(AND(B320&gt;3,C320&lt;4),AND(B320&lt;=3,C320&lt;2)),"Red","Black")</f>
        <v/>
      </c>
      <c r="E320" t="n">
        <v>3</v>
      </c>
      <c r="F320" t="n">
        <v>2</v>
      </c>
      <c r="G320" t="n">
        <v>4</v>
      </c>
      <c r="I320">
        <f>IF(D320="Red",B320,NA())</f>
        <v/>
      </c>
      <c r="J320">
        <f>IF(D320="Red",C320,NA())</f>
        <v/>
      </c>
      <c r="K320">
        <f>IF(D320="Black",B320,NA())</f>
        <v/>
      </c>
      <c r="L320">
        <f>IF(D320="Black",C320,NA())</f>
        <v/>
      </c>
    </row>
    <row r="321">
      <c r="A321" t="n">
        <v>320</v>
      </c>
      <c r="B321">
        <f>RAND()*4+1</f>
        <v/>
      </c>
      <c r="C321">
        <f>RAND()*4+1</f>
        <v/>
      </c>
      <c r="D321">
        <f>IF(OR(AND(B321&gt;3,C321&lt;4),AND(B321&lt;=3,C321&lt;2)),"Red","Black")</f>
        <v/>
      </c>
      <c r="E321" t="n">
        <v>3</v>
      </c>
      <c r="F321" t="n">
        <v>2</v>
      </c>
      <c r="G321" t="n">
        <v>4</v>
      </c>
      <c r="I321">
        <f>IF(D321="Red",B321,NA())</f>
        <v/>
      </c>
      <c r="J321">
        <f>IF(D321="Red",C321,NA())</f>
        <v/>
      </c>
      <c r="K321">
        <f>IF(D321="Black",B321,NA())</f>
        <v/>
      </c>
      <c r="L321">
        <f>IF(D321="Black",C321,NA())</f>
        <v/>
      </c>
    </row>
    <row r="322">
      <c r="A322" t="n">
        <v>321</v>
      </c>
      <c r="B322">
        <f>RAND()*4+1</f>
        <v/>
      </c>
      <c r="C322">
        <f>RAND()*4+1</f>
        <v/>
      </c>
      <c r="D322">
        <f>IF(OR(AND(B322&gt;3,C322&lt;4),AND(B322&lt;=3,C322&lt;2)),"Red","Black")</f>
        <v/>
      </c>
      <c r="E322" t="n">
        <v>3</v>
      </c>
      <c r="F322" t="n">
        <v>2</v>
      </c>
      <c r="G322" t="n">
        <v>4</v>
      </c>
      <c r="I322">
        <f>IF(D322="Red",B322,NA())</f>
        <v/>
      </c>
      <c r="J322">
        <f>IF(D322="Red",C322,NA())</f>
        <v/>
      </c>
      <c r="K322">
        <f>IF(D322="Black",B322,NA())</f>
        <v/>
      </c>
      <c r="L322">
        <f>IF(D322="Black",C322,NA())</f>
        <v/>
      </c>
    </row>
    <row r="323">
      <c r="A323" t="n">
        <v>322</v>
      </c>
      <c r="B323">
        <f>RAND()*4+1</f>
        <v/>
      </c>
      <c r="C323">
        <f>RAND()*4+1</f>
        <v/>
      </c>
      <c r="D323">
        <f>IF(OR(AND(B323&gt;3,C323&lt;4),AND(B323&lt;=3,C323&lt;2)),"Red","Black")</f>
        <v/>
      </c>
      <c r="E323" t="n">
        <v>3</v>
      </c>
      <c r="F323" t="n">
        <v>2</v>
      </c>
      <c r="G323" t="n">
        <v>4</v>
      </c>
      <c r="I323">
        <f>IF(D323="Red",B323,NA())</f>
        <v/>
      </c>
      <c r="J323">
        <f>IF(D323="Red",C323,NA())</f>
        <v/>
      </c>
      <c r="K323">
        <f>IF(D323="Black",B323,NA())</f>
        <v/>
      </c>
      <c r="L323">
        <f>IF(D323="Black",C323,NA())</f>
        <v/>
      </c>
    </row>
    <row r="324">
      <c r="A324" t="n">
        <v>323</v>
      </c>
      <c r="B324">
        <f>RAND()*4+1</f>
        <v/>
      </c>
      <c r="C324">
        <f>RAND()*4+1</f>
        <v/>
      </c>
      <c r="D324">
        <f>IF(OR(AND(B324&gt;3,C324&lt;4),AND(B324&lt;=3,C324&lt;2)),"Red","Black")</f>
        <v/>
      </c>
      <c r="E324" t="n">
        <v>3</v>
      </c>
      <c r="F324" t="n">
        <v>2</v>
      </c>
      <c r="G324" t="n">
        <v>4</v>
      </c>
      <c r="I324">
        <f>IF(D324="Red",B324,NA())</f>
        <v/>
      </c>
      <c r="J324">
        <f>IF(D324="Red",C324,NA())</f>
        <v/>
      </c>
      <c r="K324">
        <f>IF(D324="Black",B324,NA())</f>
        <v/>
      </c>
      <c r="L324">
        <f>IF(D324="Black",C324,NA())</f>
        <v/>
      </c>
    </row>
    <row r="325">
      <c r="A325" t="n">
        <v>324</v>
      </c>
      <c r="B325">
        <f>RAND()*4+1</f>
        <v/>
      </c>
      <c r="C325">
        <f>RAND()*4+1</f>
        <v/>
      </c>
      <c r="D325">
        <f>IF(OR(AND(B325&gt;3,C325&lt;4),AND(B325&lt;=3,C325&lt;2)),"Red","Black")</f>
        <v/>
      </c>
      <c r="E325" t="n">
        <v>3</v>
      </c>
      <c r="F325" t="n">
        <v>2</v>
      </c>
      <c r="G325" t="n">
        <v>4</v>
      </c>
      <c r="I325">
        <f>IF(D325="Red",B325,NA())</f>
        <v/>
      </c>
      <c r="J325">
        <f>IF(D325="Red",C325,NA())</f>
        <v/>
      </c>
      <c r="K325">
        <f>IF(D325="Black",B325,NA())</f>
        <v/>
      </c>
      <c r="L325">
        <f>IF(D325="Black",C325,NA())</f>
        <v/>
      </c>
    </row>
    <row r="326">
      <c r="A326" t="n">
        <v>325</v>
      </c>
      <c r="B326">
        <f>RAND()*4+1</f>
        <v/>
      </c>
      <c r="C326">
        <f>RAND()*4+1</f>
        <v/>
      </c>
      <c r="D326">
        <f>IF(OR(AND(B326&gt;3,C326&lt;4),AND(B326&lt;=3,C326&lt;2)),"Red","Black")</f>
        <v/>
      </c>
      <c r="E326" t="n">
        <v>3</v>
      </c>
      <c r="F326" t="n">
        <v>2</v>
      </c>
      <c r="G326" t="n">
        <v>4</v>
      </c>
      <c r="I326">
        <f>IF(D326="Red",B326,NA())</f>
        <v/>
      </c>
      <c r="J326">
        <f>IF(D326="Red",C326,NA())</f>
        <v/>
      </c>
      <c r="K326">
        <f>IF(D326="Black",B326,NA())</f>
        <v/>
      </c>
      <c r="L326">
        <f>IF(D326="Black",C326,NA())</f>
        <v/>
      </c>
    </row>
    <row r="327">
      <c r="A327" t="n">
        <v>326</v>
      </c>
      <c r="B327">
        <f>RAND()*4+1</f>
        <v/>
      </c>
      <c r="C327">
        <f>RAND()*4+1</f>
        <v/>
      </c>
      <c r="D327">
        <f>IF(OR(AND(B327&gt;3,C327&lt;4),AND(B327&lt;=3,C327&lt;2)),"Red","Black")</f>
        <v/>
      </c>
      <c r="E327" t="n">
        <v>3</v>
      </c>
      <c r="F327" t="n">
        <v>2</v>
      </c>
      <c r="G327" t="n">
        <v>4</v>
      </c>
      <c r="I327">
        <f>IF(D327="Red",B327,NA())</f>
        <v/>
      </c>
      <c r="J327">
        <f>IF(D327="Red",C327,NA())</f>
        <v/>
      </c>
      <c r="K327">
        <f>IF(D327="Black",B327,NA())</f>
        <v/>
      </c>
      <c r="L327">
        <f>IF(D327="Black",C327,NA())</f>
        <v/>
      </c>
    </row>
    <row r="328">
      <c r="A328" t="n">
        <v>327</v>
      </c>
      <c r="B328">
        <f>RAND()*4+1</f>
        <v/>
      </c>
      <c r="C328">
        <f>RAND()*4+1</f>
        <v/>
      </c>
      <c r="D328">
        <f>IF(OR(AND(B328&gt;3,C328&lt;4),AND(B328&lt;=3,C328&lt;2)),"Red","Black")</f>
        <v/>
      </c>
      <c r="E328" t="n">
        <v>3</v>
      </c>
      <c r="F328" t="n">
        <v>2</v>
      </c>
      <c r="G328" t="n">
        <v>4</v>
      </c>
      <c r="I328">
        <f>IF(D328="Red",B328,NA())</f>
        <v/>
      </c>
      <c r="J328">
        <f>IF(D328="Red",C328,NA())</f>
        <v/>
      </c>
      <c r="K328">
        <f>IF(D328="Black",B328,NA())</f>
        <v/>
      </c>
      <c r="L328">
        <f>IF(D328="Black",C328,NA())</f>
        <v/>
      </c>
    </row>
    <row r="329">
      <c r="A329" t="n">
        <v>328</v>
      </c>
      <c r="B329">
        <f>RAND()*4+1</f>
        <v/>
      </c>
      <c r="C329">
        <f>RAND()*4+1</f>
        <v/>
      </c>
      <c r="D329">
        <f>IF(OR(AND(B329&gt;3,C329&lt;4),AND(B329&lt;=3,C329&lt;2)),"Red","Black")</f>
        <v/>
      </c>
      <c r="E329" t="n">
        <v>3</v>
      </c>
      <c r="F329" t="n">
        <v>2</v>
      </c>
      <c r="G329" t="n">
        <v>4</v>
      </c>
      <c r="I329">
        <f>IF(D329="Red",B329,NA())</f>
        <v/>
      </c>
      <c r="J329">
        <f>IF(D329="Red",C329,NA())</f>
        <v/>
      </c>
      <c r="K329">
        <f>IF(D329="Black",B329,NA())</f>
        <v/>
      </c>
      <c r="L329">
        <f>IF(D329="Black",C329,NA())</f>
        <v/>
      </c>
    </row>
    <row r="330">
      <c r="A330" t="n">
        <v>329</v>
      </c>
      <c r="B330">
        <f>RAND()*4+1</f>
        <v/>
      </c>
      <c r="C330">
        <f>RAND()*4+1</f>
        <v/>
      </c>
      <c r="D330">
        <f>IF(OR(AND(B330&gt;3,C330&lt;4),AND(B330&lt;=3,C330&lt;2)),"Red","Black")</f>
        <v/>
      </c>
      <c r="E330" t="n">
        <v>3</v>
      </c>
      <c r="F330" t="n">
        <v>2</v>
      </c>
      <c r="G330" t="n">
        <v>4</v>
      </c>
      <c r="I330">
        <f>IF(D330="Red",B330,NA())</f>
        <v/>
      </c>
      <c r="J330">
        <f>IF(D330="Red",C330,NA())</f>
        <v/>
      </c>
      <c r="K330">
        <f>IF(D330="Black",B330,NA())</f>
        <v/>
      </c>
      <c r="L330">
        <f>IF(D330="Black",C330,NA())</f>
        <v/>
      </c>
    </row>
    <row r="331">
      <c r="A331" t="n">
        <v>330</v>
      </c>
      <c r="B331">
        <f>RAND()*4+1</f>
        <v/>
      </c>
      <c r="C331">
        <f>RAND()*4+1</f>
        <v/>
      </c>
      <c r="D331">
        <f>IF(OR(AND(B331&gt;3,C331&lt;4),AND(B331&lt;=3,C331&lt;2)),"Red","Black")</f>
        <v/>
      </c>
      <c r="E331" t="n">
        <v>3</v>
      </c>
      <c r="F331" t="n">
        <v>2</v>
      </c>
      <c r="G331" t="n">
        <v>4</v>
      </c>
      <c r="I331">
        <f>IF(D331="Red",B331,NA())</f>
        <v/>
      </c>
      <c r="J331">
        <f>IF(D331="Red",C331,NA())</f>
        <v/>
      </c>
      <c r="K331">
        <f>IF(D331="Black",B331,NA())</f>
        <v/>
      </c>
      <c r="L331">
        <f>IF(D331="Black",C331,NA())</f>
        <v/>
      </c>
    </row>
    <row r="332">
      <c r="A332" t="n">
        <v>331</v>
      </c>
      <c r="B332">
        <f>RAND()*4+1</f>
        <v/>
      </c>
      <c r="C332">
        <f>RAND()*4+1</f>
        <v/>
      </c>
      <c r="D332">
        <f>IF(OR(AND(B332&gt;3,C332&lt;4),AND(B332&lt;=3,C332&lt;2)),"Red","Black")</f>
        <v/>
      </c>
      <c r="E332" t="n">
        <v>3</v>
      </c>
      <c r="F332" t="n">
        <v>2</v>
      </c>
      <c r="G332" t="n">
        <v>4</v>
      </c>
      <c r="I332">
        <f>IF(D332="Red",B332,NA())</f>
        <v/>
      </c>
      <c r="J332">
        <f>IF(D332="Red",C332,NA())</f>
        <v/>
      </c>
      <c r="K332">
        <f>IF(D332="Black",B332,NA())</f>
        <v/>
      </c>
      <c r="L332">
        <f>IF(D332="Black",C332,NA())</f>
        <v/>
      </c>
    </row>
    <row r="333">
      <c r="A333" t="n">
        <v>332</v>
      </c>
      <c r="B333">
        <f>RAND()*4+1</f>
        <v/>
      </c>
      <c r="C333">
        <f>RAND()*4+1</f>
        <v/>
      </c>
      <c r="D333">
        <f>IF(OR(AND(B333&gt;3,C333&lt;4),AND(B333&lt;=3,C333&lt;2)),"Red","Black")</f>
        <v/>
      </c>
      <c r="E333" t="n">
        <v>3</v>
      </c>
      <c r="F333" t="n">
        <v>2</v>
      </c>
      <c r="G333" t="n">
        <v>4</v>
      </c>
      <c r="I333">
        <f>IF(D333="Red",B333,NA())</f>
        <v/>
      </c>
      <c r="J333">
        <f>IF(D333="Red",C333,NA())</f>
        <v/>
      </c>
      <c r="K333">
        <f>IF(D333="Black",B333,NA())</f>
        <v/>
      </c>
      <c r="L333">
        <f>IF(D333="Black",C333,NA())</f>
        <v/>
      </c>
    </row>
    <row r="334">
      <c r="A334" t="n">
        <v>333</v>
      </c>
      <c r="B334">
        <f>RAND()*4+1</f>
        <v/>
      </c>
      <c r="C334">
        <f>RAND()*4+1</f>
        <v/>
      </c>
      <c r="D334">
        <f>IF(OR(AND(B334&gt;3,C334&lt;4),AND(B334&lt;=3,C334&lt;2)),"Red","Black")</f>
        <v/>
      </c>
      <c r="E334" t="n">
        <v>3</v>
      </c>
      <c r="F334" t="n">
        <v>2</v>
      </c>
      <c r="G334" t="n">
        <v>4</v>
      </c>
      <c r="I334">
        <f>IF(D334="Red",B334,NA())</f>
        <v/>
      </c>
      <c r="J334">
        <f>IF(D334="Red",C334,NA())</f>
        <v/>
      </c>
      <c r="K334">
        <f>IF(D334="Black",B334,NA())</f>
        <v/>
      </c>
      <c r="L334">
        <f>IF(D334="Black",C334,NA())</f>
        <v/>
      </c>
    </row>
    <row r="335">
      <c r="A335" t="n">
        <v>334</v>
      </c>
      <c r="B335">
        <f>RAND()*4+1</f>
        <v/>
      </c>
      <c r="C335">
        <f>RAND()*4+1</f>
        <v/>
      </c>
      <c r="D335">
        <f>IF(OR(AND(B335&gt;3,C335&lt;4),AND(B335&lt;=3,C335&lt;2)),"Red","Black")</f>
        <v/>
      </c>
      <c r="E335" t="n">
        <v>3</v>
      </c>
      <c r="F335" t="n">
        <v>2</v>
      </c>
      <c r="G335" t="n">
        <v>4</v>
      </c>
      <c r="I335">
        <f>IF(D335="Red",B335,NA())</f>
        <v/>
      </c>
      <c r="J335">
        <f>IF(D335="Red",C335,NA())</f>
        <v/>
      </c>
      <c r="K335">
        <f>IF(D335="Black",B335,NA())</f>
        <v/>
      </c>
      <c r="L335">
        <f>IF(D335="Black",C335,NA())</f>
        <v/>
      </c>
    </row>
    <row r="336">
      <c r="A336" t="n">
        <v>335</v>
      </c>
      <c r="B336">
        <f>RAND()*4+1</f>
        <v/>
      </c>
      <c r="C336">
        <f>RAND()*4+1</f>
        <v/>
      </c>
      <c r="D336">
        <f>IF(OR(AND(B336&gt;3,C336&lt;4),AND(B336&lt;=3,C336&lt;2)),"Red","Black")</f>
        <v/>
      </c>
      <c r="E336" t="n">
        <v>3</v>
      </c>
      <c r="F336" t="n">
        <v>2</v>
      </c>
      <c r="G336" t="n">
        <v>4</v>
      </c>
      <c r="I336">
        <f>IF(D336="Red",B336,NA())</f>
        <v/>
      </c>
      <c r="J336">
        <f>IF(D336="Red",C336,NA())</f>
        <v/>
      </c>
      <c r="K336">
        <f>IF(D336="Black",B336,NA())</f>
        <v/>
      </c>
      <c r="L336">
        <f>IF(D336="Black",C336,NA())</f>
        <v/>
      </c>
    </row>
    <row r="337">
      <c r="A337" t="n">
        <v>336</v>
      </c>
      <c r="B337">
        <f>RAND()*4+1</f>
        <v/>
      </c>
      <c r="C337">
        <f>RAND()*4+1</f>
        <v/>
      </c>
      <c r="D337">
        <f>IF(OR(AND(B337&gt;3,C337&lt;4),AND(B337&lt;=3,C337&lt;2)),"Red","Black")</f>
        <v/>
      </c>
      <c r="E337" t="n">
        <v>3</v>
      </c>
      <c r="F337" t="n">
        <v>2</v>
      </c>
      <c r="G337" t="n">
        <v>4</v>
      </c>
      <c r="I337">
        <f>IF(D337="Red",B337,NA())</f>
        <v/>
      </c>
      <c r="J337">
        <f>IF(D337="Red",C337,NA())</f>
        <v/>
      </c>
      <c r="K337">
        <f>IF(D337="Black",B337,NA())</f>
        <v/>
      </c>
      <c r="L337">
        <f>IF(D337="Black",C337,NA())</f>
        <v/>
      </c>
    </row>
    <row r="338">
      <c r="A338" t="n">
        <v>337</v>
      </c>
      <c r="B338">
        <f>RAND()*4+1</f>
        <v/>
      </c>
      <c r="C338">
        <f>RAND()*4+1</f>
        <v/>
      </c>
      <c r="D338">
        <f>IF(OR(AND(B338&gt;3,C338&lt;4),AND(B338&lt;=3,C338&lt;2)),"Red","Black")</f>
        <v/>
      </c>
      <c r="E338" t="n">
        <v>3</v>
      </c>
      <c r="F338" t="n">
        <v>2</v>
      </c>
      <c r="G338" t="n">
        <v>4</v>
      </c>
      <c r="I338">
        <f>IF(D338="Red",B338,NA())</f>
        <v/>
      </c>
      <c r="J338">
        <f>IF(D338="Red",C338,NA())</f>
        <v/>
      </c>
      <c r="K338">
        <f>IF(D338="Black",B338,NA())</f>
        <v/>
      </c>
      <c r="L338">
        <f>IF(D338="Black",C338,NA())</f>
        <v/>
      </c>
    </row>
    <row r="339">
      <c r="A339" t="n">
        <v>338</v>
      </c>
      <c r="B339">
        <f>RAND()*4+1</f>
        <v/>
      </c>
      <c r="C339">
        <f>RAND()*4+1</f>
        <v/>
      </c>
      <c r="D339">
        <f>IF(OR(AND(B339&gt;3,C339&lt;4),AND(B339&lt;=3,C339&lt;2)),"Red","Black")</f>
        <v/>
      </c>
      <c r="E339" t="n">
        <v>3</v>
      </c>
      <c r="F339" t="n">
        <v>2</v>
      </c>
      <c r="G339" t="n">
        <v>4</v>
      </c>
      <c r="I339">
        <f>IF(D339="Red",B339,NA())</f>
        <v/>
      </c>
      <c r="J339">
        <f>IF(D339="Red",C339,NA())</f>
        <v/>
      </c>
      <c r="K339">
        <f>IF(D339="Black",B339,NA())</f>
        <v/>
      </c>
      <c r="L339">
        <f>IF(D339="Black",C339,NA())</f>
        <v/>
      </c>
    </row>
    <row r="340">
      <c r="A340" t="n">
        <v>339</v>
      </c>
      <c r="B340">
        <f>RAND()*4+1</f>
        <v/>
      </c>
      <c r="C340">
        <f>RAND()*4+1</f>
        <v/>
      </c>
      <c r="D340">
        <f>IF(OR(AND(B340&gt;3,C340&lt;4),AND(B340&lt;=3,C340&lt;2)),"Red","Black")</f>
        <v/>
      </c>
      <c r="E340" t="n">
        <v>3</v>
      </c>
      <c r="F340" t="n">
        <v>2</v>
      </c>
      <c r="G340" t="n">
        <v>4</v>
      </c>
      <c r="I340">
        <f>IF(D340="Red",B340,NA())</f>
        <v/>
      </c>
      <c r="J340">
        <f>IF(D340="Red",C340,NA())</f>
        <v/>
      </c>
      <c r="K340">
        <f>IF(D340="Black",B340,NA())</f>
        <v/>
      </c>
      <c r="L340">
        <f>IF(D340="Black",C340,NA())</f>
        <v/>
      </c>
    </row>
    <row r="341">
      <c r="A341" t="n">
        <v>340</v>
      </c>
      <c r="B341">
        <f>RAND()*4+1</f>
        <v/>
      </c>
      <c r="C341">
        <f>RAND()*4+1</f>
        <v/>
      </c>
      <c r="D341">
        <f>IF(OR(AND(B341&gt;3,C341&lt;4),AND(B341&lt;=3,C341&lt;2)),"Red","Black")</f>
        <v/>
      </c>
      <c r="E341" t="n">
        <v>3</v>
      </c>
      <c r="F341" t="n">
        <v>2</v>
      </c>
      <c r="G341" t="n">
        <v>4</v>
      </c>
      <c r="I341">
        <f>IF(D341="Red",B341,NA())</f>
        <v/>
      </c>
      <c r="J341">
        <f>IF(D341="Red",C341,NA())</f>
        <v/>
      </c>
      <c r="K341">
        <f>IF(D341="Black",B341,NA())</f>
        <v/>
      </c>
      <c r="L341">
        <f>IF(D341="Black",C341,NA())</f>
        <v/>
      </c>
    </row>
    <row r="342">
      <c r="A342" t="n">
        <v>341</v>
      </c>
      <c r="B342">
        <f>RAND()*4+1</f>
        <v/>
      </c>
      <c r="C342">
        <f>RAND()*4+1</f>
        <v/>
      </c>
      <c r="D342">
        <f>IF(OR(AND(B342&gt;3,C342&lt;4),AND(B342&lt;=3,C342&lt;2)),"Red","Black")</f>
        <v/>
      </c>
      <c r="E342" t="n">
        <v>3</v>
      </c>
      <c r="F342" t="n">
        <v>2</v>
      </c>
      <c r="G342" t="n">
        <v>4</v>
      </c>
      <c r="I342">
        <f>IF(D342="Red",B342,NA())</f>
        <v/>
      </c>
      <c r="J342">
        <f>IF(D342="Red",C342,NA())</f>
        <v/>
      </c>
      <c r="K342">
        <f>IF(D342="Black",B342,NA())</f>
        <v/>
      </c>
      <c r="L342">
        <f>IF(D342="Black",C342,NA())</f>
        <v/>
      </c>
    </row>
    <row r="343">
      <c r="A343" t="n">
        <v>342</v>
      </c>
      <c r="B343">
        <f>RAND()*4+1</f>
        <v/>
      </c>
      <c r="C343">
        <f>RAND()*4+1</f>
        <v/>
      </c>
      <c r="D343">
        <f>IF(OR(AND(B343&gt;3,C343&lt;4),AND(B343&lt;=3,C343&lt;2)),"Red","Black")</f>
        <v/>
      </c>
      <c r="E343" t="n">
        <v>3</v>
      </c>
      <c r="F343" t="n">
        <v>2</v>
      </c>
      <c r="G343" t="n">
        <v>4</v>
      </c>
      <c r="I343">
        <f>IF(D343="Red",B343,NA())</f>
        <v/>
      </c>
      <c r="J343">
        <f>IF(D343="Red",C343,NA())</f>
        <v/>
      </c>
      <c r="K343">
        <f>IF(D343="Black",B343,NA())</f>
        <v/>
      </c>
      <c r="L343">
        <f>IF(D343="Black",C343,NA())</f>
        <v/>
      </c>
    </row>
    <row r="344">
      <c r="A344" t="n">
        <v>343</v>
      </c>
      <c r="B344">
        <f>RAND()*4+1</f>
        <v/>
      </c>
      <c r="C344">
        <f>RAND()*4+1</f>
        <v/>
      </c>
      <c r="D344">
        <f>IF(OR(AND(B344&gt;3,C344&lt;4),AND(B344&lt;=3,C344&lt;2)),"Red","Black")</f>
        <v/>
      </c>
      <c r="E344" t="n">
        <v>3</v>
      </c>
      <c r="F344" t="n">
        <v>2</v>
      </c>
      <c r="G344" t="n">
        <v>4</v>
      </c>
      <c r="I344">
        <f>IF(D344="Red",B344,NA())</f>
        <v/>
      </c>
      <c r="J344">
        <f>IF(D344="Red",C344,NA())</f>
        <v/>
      </c>
      <c r="K344">
        <f>IF(D344="Black",B344,NA())</f>
        <v/>
      </c>
      <c r="L344">
        <f>IF(D344="Black",C344,NA())</f>
        <v/>
      </c>
    </row>
    <row r="345">
      <c r="A345" t="n">
        <v>344</v>
      </c>
      <c r="B345">
        <f>RAND()*4+1</f>
        <v/>
      </c>
      <c r="C345">
        <f>RAND()*4+1</f>
        <v/>
      </c>
      <c r="D345">
        <f>IF(OR(AND(B345&gt;3,C345&lt;4),AND(B345&lt;=3,C345&lt;2)),"Red","Black")</f>
        <v/>
      </c>
      <c r="E345" t="n">
        <v>3</v>
      </c>
      <c r="F345" t="n">
        <v>2</v>
      </c>
      <c r="G345" t="n">
        <v>4</v>
      </c>
      <c r="I345">
        <f>IF(D345="Red",B345,NA())</f>
        <v/>
      </c>
      <c r="J345">
        <f>IF(D345="Red",C345,NA())</f>
        <v/>
      </c>
      <c r="K345">
        <f>IF(D345="Black",B345,NA())</f>
        <v/>
      </c>
      <c r="L345">
        <f>IF(D345="Black",C345,NA())</f>
        <v/>
      </c>
    </row>
    <row r="346">
      <c r="A346" t="n">
        <v>345</v>
      </c>
      <c r="B346">
        <f>RAND()*4+1</f>
        <v/>
      </c>
      <c r="C346">
        <f>RAND()*4+1</f>
        <v/>
      </c>
      <c r="D346">
        <f>IF(OR(AND(B346&gt;3,C346&lt;4),AND(B346&lt;=3,C346&lt;2)),"Red","Black")</f>
        <v/>
      </c>
      <c r="E346" t="n">
        <v>3</v>
      </c>
      <c r="F346" t="n">
        <v>2</v>
      </c>
      <c r="G346" t="n">
        <v>4</v>
      </c>
      <c r="I346">
        <f>IF(D346="Red",B346,NA())</f>
        <v/>
      </c>
      <c r="J346">
        <f>IF(D346="Red",C346,NA())</f>
        <v/>
      </c>
      <c r="K346">
        <f>IF(D346="Black",B346,NA())</f>
        <v/>
      </c>
      <c r="L346">
        <f>IF(D346="Black",C346,NA())</f>
        <v/>
      </c>
    </row>
    <row r="347">
      <c r="A347" t="n">
        <v>346</v>
      </c>
      <c r="B347">
        <f>RAND()*4+1</f>
        <v/>
      </c>
      <c r="C347">
        <f>RAND()*4+1</f>
        <v/>
      </c>
      <c r="D347">
        <f>IF(OR(AND(B347&gt;3,C347&lt;4),AND(B347&lt;=3,C347&lt;2)),"Red","Black")</f>
        <v/>
      </c>
      <c r="E347" t="n">
        <v>3</v>
      </c>
      <c r="F347" t="n">
        <v>2</v>
      </c>
      <c r="G347" t="n">
        <v>4</v>
      </c>
      <c r="I347">
        <f>IF(D347="Red",B347,NA())</f>
        <v/>
      </c>
      <c r="J347">
        <f>IF(D347="Red",C347,NA())</f>
        <v/>
      </c>
      <c r="K347">
        <f>IF(D347="Black",B347,NA())</f>
        <v/>
      </c>
      <c r="L347">
        <f>IF(D347="Black",C347,NA())</f>
        <v/>
      </c>
    </row>
    <row r="348">
      <c r="A348" t="n">
        <v>347</v>
      </c>
      <c r="B348">
        <f>RAND()*4+1</f>
        <v/>
      </c>
      <c r="C348">
        <f>RAND()*4+1</f>
        <v/>
      </c>
      <c r="D348">
        <f>IF(OR(AND(B348&gt;3,C348&lt;4),AND(B348&lt;=3,C348&lt;2)),"Red","Black")</f>
        <v/>
      </c>
      <c r="E348" t="n">
        <v>3</v>
      </c>
      <c r="F348" t="n">
        <v>2</v>
      </c>
      <c r="G348" t="n">
        <v>4</v>
      </c>
      <c r="I348">
        <f>IF(D348="Red",B348,NA())</f>
        <v/>
      </c>
      <c r="J348">
        <f>IF(D348="Red",C348,NA())</f>
        <v/>
      </c>
      <c r="K348">
        <f>IF(D348="Black",B348,NA())</f>
        <v/>
      </c>
      <c r="L348">
        <f>IF(D348="Black",C348,NA())</f>
        <v/>
      </c>
    </row>
    <row r="349">
      <c r="A349" t="n">
        <v>348</v>
      </c>
      <c r="B349">
        <f>RAND()*4+1</f>
        <v/>
      </c>
      <c r="C349">
        <f>RAND()*4+1</f>
        <v/>
      </c>
      <c r="D349">
        <f>IF(OR(AND(B349&gt;3,C349&lt;4),AND(B349&lt;=3,C349&lt;2)),"Red","Black")</f>
        <v/>
      </c>
      <c r="E349" t="n">
        <v>3</v>
      </c>
      <c r="F349" t="n">
        <v>2</v>
      </c>
      <c r="G349" t="n">
        <v>4</v>
      </c>
      <c r="I349">
        <f>IF(D349="Red",B349,NA())</f>
        <v/>
      </c>
      <c r="J349">
        <f>IF(D349="Red",C349,NA())</f>
        <v/>
      </c>
      <c r="K349">
        <f>IF(D349="Black",B349,NA())</f>
        <v/>
      </c>
      <c r="L349">
        <f>IF(D349="Black",C349,NA())</f>
        <v/>
      </c>
    </row>
    <row r="350">
      <c r="A350" t="n">
        <v>349</v>
      </c>
      <c r="B350">
        <f>RAND()*4+1</f>
        <v/>
      </c>
      <c r="C350">
        <f>RAND()*4+1</f>
        <v/>
      </c>
      <c r="D350">
        <f>IF(OR(AND(B350&gt;3,C350&lt;4),AND(B350&lt;=3,C350&lt;2)),"Red","Black")</f>
        <v/>
      </c>
      <c r="E350" t="n">
        <v>3</v>
      </c>
      <c r="F350" t="n">
        <v>2</v>
      </c>
      <c r="G350" t="n">
        <v>4</v>
      </c>
      <c r="I350">
        <f>IF(D350="Red",B350,NA())</f>
        <v/>
      </c>
      <c r="J350">
        <f>IF(D350="Red",C350,NA())</f>
        <v/>
      </c>
      <c r="K350">
        <f>IF(D350="Black",B350,NA())</f>
        <v/>
      </c>
      <c r="L350">
        <f>IF(D350="Black",C350,NA())</f>
        <v/>
      </c>
    </row>
    <row r="351">
      <c r="A351" t="n">
        <v>350</v>
      </c>
      <c r="B351">
        <f>RAND()*4+1</f>
        <v/>
      </c>
      <c r="C351">
        <f>RAND()*4+1</f>
        <v/>
      </c>
      <c r="D351">
        <f>IF(OR(AND(B351&gt;3,C351&lt;4),AND(B351&lt;=3,C351&lt;2)),"Red","Black")</f>
        <v/>
      </c>
      <c r="E351" t="n">
        <v>3</v>
      </c>
      <c r="F351" t="n">
        <v>2</v>
      </c>
      <c r="G351" t="n">
        <v>4</v>
      </c>
      <c r="I351">
        <f>IF(D351="Red",B351,NA())</f>
        <v/>
      </c>
      <c r="J351">
        <f>IF(D351="Red",C351,NA())</f>
        <v/>
      </c>
      <c r="K351">
        <f>IF(D351="Black",B351,NA())</f>
        <v/>
      </c>
      <c r="L351">
        <f>IF(D351="Black",C351,NA())</f>
        <v/>
      </c>
    </row>
    <row r="352">
      <c r="A352" t="n">
        <v>351</v>
      </c>
      <c r="B352">
        <f>RAND()*4+1</f>
        <v/>
      </c>
      <c r="C352">
        <f>RAND()*4+1</f>
        <v/>
      </c>
      <c r="D352">
        <f>IF(OR(AND(B352&gt;3,C352&lt;4),AND(B352&lt;=3,C352&lt;2)),"Red","Black")</f>
        <v/>
      </c>
      <c r="E352" t="n">
        <v>3</v>
      </c>
      <c r="F352" t="n">
        <v>2</v>
      </c>
      <c r="G352" t="n">
        <v>4</v>
      </c>
      <c r="I352">
        <f>IF(D352="Red",B352,NA())</f>
        <v/>
      </c>
      <c r="J352">
        <f>IF(D352="Red",C352,NA())</f>
        <v/>
      </c>
      <c r="K352">
        <f>IF(D352="Black",B352,NA())</f>
        <v/>
      </c>
      <c r="L352">
        <f>IF(D352="Black",C352,NA())</f>
        <v/>
      </c>
    </row>
    <row r="353">
      <c r="A353" t="n">
        <v>352</v>
      </c>
      <c r="B353">
        <f>RAND()*4+1</f>
        <v/>
      </c>
      <c r="C353">
        <f>RAND()*4+1</f>
        <v/>
      </c>
      <c r="D353">
        <f>IF(OR(AND(B353&gt;3,C353&lt;4),AND(B353&lt;=3,C353&lt;2)),"Red","Black")</f>
        <v/>
      </c>
      <c r="E353" t="n">
        <v>3</v>
      </c>
      <c r="F353" t="n">
        <v>2</v>
      </c>
      <c r="G353" t="n">
        <v>4</v>
      </c>
      <c r="I353">
        <f>IF(D353="Red",B353,NA())</f>
        <v/>
      </c>
      <c r="J353">
        <f>IF(D353="Red",C353,NA())</f>
        <v/>
      </c>
      <c r="K353">
        <f>IF(D353="Black",B353,NA())</f>
        <v/>
      </c>
      <c r="L353">
        <f>IF(D353="Black",C353,NA())</f>
        <v/>
      </c>
    </row>
    <row r="354">
      <c r="A354" t="n">
        <v>353</v>
      </c>
      <c r="B354">
        <f>RAND()*4+1</f>
        <v/>
      </c>
      <c r="C354">
        <f>RAND()*4+1</f>
        <v/>
      </c>
      <c r="D354">
        <f>IF(OR(AND(B354&gt;3,C354&lt;4),AND(B354&lt;=3,C354&lt;2)),"Red","Black")</f>
        <v/>
      </c>
      <c r="E354" t="n">
        <v>3</v>
      </c>
      <c r="F354" t="n">
        <v>2</v>
      </c>
      <c r="G354" t="n">
        <v>4</v>
      </c>
      <c r="I354">
        <f>IF(D354="Red",B354,NA())</f>
        <v/>
      </c>
      <c r="J354">
        <f>IF(D354="Red",C354,NA())</f>
        <v/>
      </c>
      <c r="K354">
        <f>IF(D354="Black",B354,NA())</f>
        <v/>
      </c>
      <c r="L354">
        <f>IF(D354="Black",C354,NA())</f>
        <v/>
      </c>
    </row>
    <row r="355">
      <c r="A355" t="n">
        <v>354</v>
      </c>
      <c r="B355">
        <f>RAND()*4+1</f>
        <v/>
      </c>
      <c r="C355">
        <f>RAND()*4+1</f>
        <v/>
      </c>
      <c r="D355">
        <f>IF(OR(AND(B355&gt;3,C355&lt;4),AND(B355&lt;=3,C355&lt;2)),"Red","Black")</f>
        <v/>
      </c>
      <c r="E355" t="n">
        <v>3</v>
      </c>
      <c r="F355" t="n">
        <v>2</v>
      </c>
      <c r="G355" t="n">
        <v>4</v>
      </c>
      <c r="I355">
        <f>IF(D355="Red",B355,NA())</f>
        <v/>
      </c>
      <c r="J355">
        <f>IF(D355="Red",C355,NA())</f>
        <v/>
      </c>
      <c r="K355">
        <f>IF(D355="Black",B355,NA())</f>
        <v/>
      </c>
      <c r="L355">
        <f>IF(D355="Black",C355,NA())</f>
        <v/>
      </c>
    </row>
    <row r="356">
      <c r="A356" t="n">
        <v>355</v>
      </c>
      <c r="B356">
        <f>RAND()*4+1</f>
        <v/>
      </c>
      <c r="C356">
        <f>RAND()*4+1</f>
        <v/>
      </c>
      <c r="D356">
        <f>IF(OR(AND(B356&gt;3,C356&lt;4),AND(B356&lt;=3,C356&lt;2)),"Red","Black")</f>
        <v/>
      </c>
      <c r="E356" t="n">
        <v>3</v>
      </c>
      <c r="F356" t="n">
        <v>2</v>
      </c>
      <c r="G356" t="n">
        <v>4</v>
      </c>
      <c r="I356">
        <f>IF(D356="Red",B356,NA())</f>
        <v/>
      </c>
      <c r="J356">
        <f>IF(D356="Red",C356,NA())</f>
        <v/>
      </c>
      <c r="K356">
        <f>IF(D356="Black",B356,NA())</f>
        <v/>
      </c>
      <c r="L356">
        <f>IF(D356="Black",C356,NA())</f>
        <v/>
      </c>
    </row>
    <row r="357">
      <c r="A357" t="n">
        <v>356</v>
      </c>
      <c r="B357">
        <f>RAND()*4+1</f>
        <v/>
      </c>
      <c r="C357">
        <f>RAND()*4+1</f>
        <v/>
      </c>
      <c r="D357">
        <f>IF(OR(AND(B357&gt;3,C357&lt;4),AND(B357&lt;=3,C357&lt;2)),"Red","Black")</f>
        <v/>
      </c>
      <c r="E357" t="n">
        <v>3</v>
      </c>
      <c r="F357" t="n">
        <v>2</v>
      </c>
      <c r="G357" t="n">
        <v>4</v>
      </c>
      <c r="I357">
        <f>IF(D357="Red",B357,NA())</f>
        <v/>
      </c>
      <c r="J357">
        <f>IF(D357="Red",C357,NA())</f>
        <v/>
      </c>
      <c r="K357">
        <f>IF(D357="Black",B357,NA())</f>
        <v/>
      </c>
      <c r="L357">
        <f>IF(D357="Black",C357,NA())</f>
        <v/>
      </c>
    </row>
    <row r="358">
      <c r="A358" t="n">
        <v>357</v>
      </c>
      <c r="B358">
        <f>RAND()*4+1</f>
        <v/>
      </c>
      <c r="C358">
        <f>RAND()*4+1</f>
        <v/>
      </c>
      <c r="D358">
        <f>IF(OR(AND(B358&gt;3,C358&lt;4),AND(B358&lt;=3,C358&lt;2)),"Red","Black")</f>
        <v/>
      </c>
      <c r="E358" t="n">
        <v>3</v>
      </c>
      <c r="F358" t="n">
        <v>2</v>
      </c>
      <c r="G358" t="n">
        <v>4</v>
      </c>
      <c r="I358">
        <f>IF(D358="Red",B358,NA())</f>
        <v/>
      </c>
      <c r="J358">
        <f>IF(D358="Red",C358,NA())</f>
        <v/>
      </c>
      <c r="K358">
        <f>IF(D358="Black",B358,NA())</f>
        <v/>
      </c>
      <c r="L358">
        <f>IF(D358="Black",C358,NA())</f>
        <v/>
      </c>
    </row>
    <row r="359">
      <c r="A359" t="n">
        <v>358</v>
      </c>
      <c r="B359">
        <f>RAND()*4+1</f>
        <v/>
      </c>
      <c r="C359">
        <f>RAND()*4+1</f>
        <v/>
      </c>
      <c r="D359">
        <f>IF(OR(AND(B359&gt;3,C359&lt;4),AND(B359&lt;=3,C359&lt;2)),"Red","Black")</f>
        <v/>
      </c>
      <c r="E359" t="n">
        <v>3</v>
      </c>
      <c r="F359" t="n">
        <v>2</v>
      </c>
      <c r="G359" t="n">
        <v>4</v>
      </c>
      <c r="I359">
        <f>IF(D359="Red",B359,NA())</f>
        <v/>
      </c>
      <c r="J359">
        <f>IF(D359="Red",C359,NA())</f>
        <v/>
      </c>
      <c r="K359">
        <f>IF(D359="Black",B359,NA())</f>
        <v/>
      </c>
      <c r="L359">
        <f>IF(D359="Black",C359,NA())</f>
        <v/>
      </c>
    </row>
    <row r="360">
      <c r="A360" t="n">
        <v>359</v>
      </c>
      <c r="B360">
        <f>RAND()*4+1</f>
        <v/>
      </c>
      <c r="C360">
        <f>RAND()*4+1</f>
        <v/>
      </c>
      <c r="D360">
        <f>IF(OR(AND(B360&gt;3,C360&lt;4),AND(B360&lt;=3,C360&lt;2)),"Red","Black")</f>
        <v/>
      </c>
      <c r="E360" t="n">
        <v>3</v>
      </c>
      <c r="F360" t="n">
        <v>2</v>
      </c>
      <c r="G360" t="n">
        <v>4</v>
      </c>
      <c r="I360">
        <f>IF(D360="Red",B360,NA())</f>
        <v/>
      </c>
      <c r="J360">
        <f>IF(D360="Red",C360,NA())</f>
        <v/>
      </c>
      <c r="K360">
        <f>IF(D360="Black",B360,NA())</f>
        <v/>
      </c>
      <c r="L360">
        <f>IF(D360="Black",C360,NA())</f>
        <v/>
      </c>
    </row>
    <row r="361">
      <c r="A361" t="n">
        <v>360</v>
      </c>
      <c r="B361">
        <f>RAND()*4+1</f>
        <v/>
      </c>
      <c r="C361">
        <f>RAND()*4+1</f>
        <v/>
      </c>
      <c r="D361">
        <f>IF(OR(AND(B361&gt;3,C361&lt;4),AND(B361&lt;=3,C361&lt;2)),"Red","Black")</f>
        <v/>
      </c>
      <c r="E361" t="n">
        <v>3</v>
      </c>
      <c r="F361" t="n">
        <v>2</v>
      </c>
      <c r="G361" t="n">
        <v>4</v>
      </c>
      <c r="I361">
        <f>IF(D361="Red",B361,NA())</f>
        <v/>
      </c>
      <c r="J361">
        <f>IF(D361="Red",C361,NA())</f>
        <v/>
      </c>
      <c r="K361">
        <f>IF(D361="Black",B361,NA())</f>
        <v/>
      </c>
      <c r="L361">
        <f>IF(D361="Black",C361,NA())</f>
        <v/>
      </c>
    </row>
    <row r="362">
      <c r="A362" t="n">
        <v>361</v>
      </c>
      <c r="B362">
        <f>RAND()*4+1</f>
        <v/>
      </c>
      <c r="C362">
        <f>RAND()*4+1</f>
        <v/>
      </c>
      <c r="D362">
        <f>IF(OR(AND(B362&gt;3,C362&lt;4),AND(B362&lt;=3,C362&lt;2)),"Red","Black")</f>
        <v/>
      </c>
      <c r="E362" t="n">
        <v>3</v>
      </c>
      <c r="F362" t="n">
        <v>2</v>
      </c>
      <c r="G362" t="n">
        <v>4</v>
      </c>
      <c r="I362">
        <f>IF(D362="Red",B362,NA())</f>
        <v/>
      </c>
      <c r="J362">
        <f>IF(D362="Red",C362,NA())</f>
        <v/>
      </c>
      <c r="K362">
        <f>IF(D362="Black",B362,NA())</f>
        <v/>
      </c>
      <c r="L362">
        <f>IF(D362="Black",C362,NA())</f>
        <v/>
      </c>
    </row>
    <row r="363">
      <c r="A363" t="n">
        <v>362</v>
      </c>
      <c r="B363">
        <f>RAND()*4+1</f>
        <v/>
      </c>
      <c r="C363">
        <f>RAND()*4+1</f>
        <v/>
      </c>
      <c r="D363">
        <f>IF(OR(AND(B363&gt;3,C363&lt;4),AND(B363&lt;=3,C363&lt;2)),"Red","Black")</f>
        <v/>
      </c>
      <c r="E363" t="n">
        <v>3</v>
      </c>
      <c r="F363" t="n">
        <v>2</v>
      </c>
      <c r="G363" t="n">
        <v>4</v>
      </c>
      <c r="I363">
        <f>IF(D363="Red",B363,NA())</f>
        <v/>
      </c>
      <c r="J363">
        <f>IF(D363="Red",C363,NA())</f>
        <v/>
      </c>
      <c r="K363">
        <f>IF(D363="Black",B363,NA())</f>
        <v/>
      </c>
      <c r="L363">
        <f>IF(D363="Black",C363,NA())</f>
        <v/>
      </c>
    </row>
    <row r="364">
      <c r="A364" t="n">
        <v>363</v>
      </c>
      <c r="B364">
        <f>RAND()*4+1</f>
        <v/>
      </c>
      <c r="C364">
        <f>RAND()*4+1</f>
        <v/>
      </c>
      <c r="D364">
        <f>IF(OR(AND(B364&gt;3,C364&lt;4),AND(B364&lt;=3,C364&lt;2)),"Red","Black")</f>
        <v/>
      </c>
      <c r="E364" t="n">
        <v>3</v>
      </c>
      <c r="F364" t="n">
        <v>2</v>
      </c>
      <c r="G364" t="n">
        <v>4</v>
      </c>
      <c r="I364">
        <f>IF(D364="Red",B364,NA())</f>
        <v/>
      </c>
      <c r="J364">
        <f>IF(D364="Red",C364,NA())</f>
        <v/>
      </c>
      <c r="K364">
        <f>IF(D364="Black",B364,NA())</f>
        <v/>
      </c>
      <c r="L364">
        <f>IF(D364="Black",C364,NA())</f>
        <v/>
      </c>
    </row>
    <row r="365">
      <c r="A365" t="n">
        <v>364</v>
      </c>
      <c r="B365">
        <f>RAND()*4+1</f>
        <v/>
      </c>
      <c r="C365">
        <f>RAND()*4+1</f>
        <v/>
      </c>
      <c r="D365">
        <f>IF(OR(AND(B365&gt;3,C365&lt;4),AND(B365&lt;=3,C365&lt;2)),"Red","Black")</f>
        <v/>
      </c>
      <c r="E365" t="n">
        <v>3</v>
      </c>
      <c r="F365" t="n">
        <v>2</v>
      </c>
      <c r="G365" t="n">
        <v>4</v>
      </c>
      <c r="I365">
        <f>IF(D365="Red",B365,NA())</f>
        <v/>
      </c>
      <c r="J365">
        <f>IF(D365="Red",C365,NA())</f>
        <v/>
      </c>
      <c r="K365">
        <f>IF(D365="Black",B365,NA())</f>
        <v/>
      </c>
      <c r="L365">
        <f>IF(D365="Black",C365,NA())</f>
        <v/>
      </c>
    </row>
    <row r="366">
      <c r="A366" t="n">
        <v>365</v>
      </c>
      <c r="B366">
        <f>RAND()*4+1</f>
        <v/>
      </c>
      <c r="C366">
        <f>RAND()*4+1</f>
        <v/>
      </c>
      <c r="D366">
        <f>IF(OR(AND(B366&gt;3,C366&lt;4),AND(B366&lt;=3,C366&lt;2)),"Red","Black")</f>
        <v/>
      </c>
      <c r="E366" t="n">
        <v>3</v>
      </c>
      <c r="F366" t="n">
        <v>2</v>
      </c>
      <c r="G366" t="n">
        <v>4</v>
      </c>
      <c r="I366">
        <f>IF(D366="Red",B366,NA())</f>
        <v/>
      </c>
      <c r="J366">
        <f>IF(D366="Red",C366,NA())</f>
        <v/>
      </c>
      <c r="K366">
        <f>IF(D366="Black",B366,NA())</f>
        <v/>
      </c>
      <c r="L366">
        <f>IF(D366="Black",C366,NA())</f>
        <v/>
      </c>
    </row>
    <row r="367">
      <c r="A367" t="n">
        <v>366</v>
      </c>
      <c r="B367">
        <f>RAND()*4+1</f>
        <v/>
      </c>
      <c r="C367">
        <f>RAND()*4+1</f>
        <v/>
      </c>
      <c r="D367">
        <f>IF(OR(AND(B367&gt;3,C367&lt;4),AND(B367&lt;=3,C367&lt;2)),"Red","Black")</f>
        <v/>
      </c>
      <c r="E367" t="n">
        <v>3</v>
      </c>
      <c r="F367" t="n">
        <v>2</v>
      </c>
      <c r="G367" t="n">
        <v>4</v>
      </c>
      <c r="I367">
        <f>IF(D367="Red",B367,NA())</f>
        <v/>
      </c>
      <c r="J367">
        <f>IF(D367="Red",C367,NA())</f>
        <v/>
      </c>
      <c r="K367">
        <f>IF(D367="Black",B367,NA())</f>
        <v/>
      </c>
      <c r="L367">
        <f>IF(D367="Black",C367,NA())</f>
        <v/>
      </c>
    </row>
    <row r="368">
      <c r="A368" t="n">
        <v>367</v>
      </c>
      <c r="B368">
        <f>RAND()*4+1</f>
        <v/>
      </c>
      <c r="C368">
        <f>RAND()*4+1</f>
        <v/>
      </c>
      <c r="D368">
        <f>IF(OR(AND(B368&gt;3,C368&lt;4),AND(B368&lt;=3,C368&lt;2)),"Red","Black")</f>
        <v/>
      </c>
      <c r="E368" t="n">
        <v>3</v>
      </c>
      <c r="F368" t="n">
        <v>2</v>
      </c>
      <c r="G368" t="n">
        <v>4</v>
      </c>
      <c r="I368">
        <f>IF(D368="Red",B368,NA())</f>
        <v/>
      </c>
      <c r="J368">
        <f>IF(D368="Red",C368,NA())</f>
        <v/>
      </c>
      <c r="K368">
        <f>IF(D368="Black",B368,NA())</f>
        <v/>
      </c>
      <c r="L368">
        <f>IF(D368="Black",C368,NA())</f>
        <v/>
      </c>
    </row>
    <row r="369">
      <c r="A369" t="n">
        <v>368</v>
      </c>
      <c r="B369">
        <f>RAND()*4+1</f>
        <v/>
      </c>
      <c r="C369">
        <f>RAND()*4+1</f>
        <v/>
      </c>
      <c r="D369">
        <f>IF(OR(AND(B369&gt;3,C369&lt;4),AND(B369&lt;=3,C369&lt;2)),"Red","Black")</f>
        <v/>
      </c>
      <c r="E369" t="n">
        <v>3</v>
      </c>
      <c r="F369" t="n">
        <v>2</v>
      </c>
      <c r="G369" t="n">
        <v>4</v>
      </c>
      <c r="I369">
        <f>IF(D369="Red",B369,NA())</f>
        <v/>
      </c>
      <c r="J369">
        <f>IF(D369="Red",C369,NA())</f>
        <v/>
      </c>
      <c r="K369">
        <f>IF(D369="Black",B369,NA())</f>
        <v/>
      </c>
      <c r="L369">
        <f>IF(D369="Black",C369,NA())</f>
        <v/>
      </c>
    </row>
    <row r="370">
      <c r="A370" t="n">
        <v>369</v>
      </c>
      <c r="B370">
        <f>RAND()*4+1</f>
        <v/>
      </c>
      <c r="C370">
        <f>RAND()*4+1</f>
        <v/>
      </c>
      <c r="D370">
        <f>IF(OR(AND(B370&gt;3,C370&lt;4),AND(B370&lt;=3,C370&lt;2)),"Red","Black")</f>
        <v/>
      </c>
      <c r="E370" t="n">
        <v>3</v>
      </c>
      <c r="F370" t="n">
        <v>2</v>
      </c>
      <c r="G370" t="n">
        <v>4</v>
      </c>
      <c r="I370">
        <f>IF(D370="Red",B370,NA())</f>
        <v/>
      </c>
      <c r="J370">
        <f>IF(D370="Red",C370,NA())</f>
        <v/>
      </c>
      <c r="K370">
        <f>IF(D370="Black",B370,NA())</f>
        <v/>
      </c>
      <c r="L370">
        <f>IF(D370="Black",C370,NA())</f>
        <v/>
      </c>
    </row>
    <row r="371">
      <c r="A371" t="n">
        <v>370</v>
      </c>
      <c r="B371">
        <f>RAND()*4+1</f>
        <v/>
      </c>
      <c r="C371">
        <f>RAND()*4+1</f>
        <v/>
      </c>
      <c r="D371">
        <f>IF(OR(AND(B371&gt;3,C371&lt;4),AND(B371&lt;=3,C371&lt;2)),"Red","Black")</f>
        <v/>
      </c>
      <c r="E371" t="n">
        <v>3</v>
      </c>
      <c r="F371" t="n">
        <v>2</v>
      </c>
      <c r="G371" t="n">
        <v>4</v>
      </c>
      <c r="I371">
        <f>IF(D371="Red",B371,NA())</f>
        <v/>
      </c>
      <c r="J371">
        <f>IF(D371="Red",C371,NA())</f>
        <v/>
      </c>
      <c r="K371">
        <f>IF(D371="Black",B371,NA())</f>
        <v/>
      </c>
      <c r="L371">
        <f>IF(D371="Black",C371,NA())</f>
        <v/>
      </c>
    </row>
    <row r="372">
      <c r="A372" t="n">
        <v>371</v>
      </c>
      <c r="B372">
        <f>RAND()*4+1</f>
        <v/>
      </c>
      <c r="C372">
        <f>RAND()*4+1</f>
        <v/>
      </c>
      <c r="D372">
        <f>IF(OR(AND(B372&gt;3,C372&lt;4),AND(B372&lt;=3,C372&lt;2)),"Red","Black")</f>
        <v/>
      </c>
      <c r="E372" t="n">
        <v>3</v>
      </c>
      <c r="F372" t="n">
        <v>2</v>
      </c>
      <c r="G372" t="n">
        <v>4</v>
      </c>
      <c r="I372">
        <f>IF(D372="Red",B372,NA())</f>
        <v/>
      </c>
      <c r="J372">
        <f>IF(D372="Red",C372,NA())</f>
        <v/>
      </c>
      <c r="K372">
        <f>IF(D372="Black",B372,NA())</f>
        <v/>
      </c>
      <c r="L372">
        <f>IF(D372="Black",C372,NA())</f>
        <v/>
      </c>
    </row>
    <row r="373">
      <c r="A373" t="n">
        <v>372</v>
      </c>
      <c r="B373">
        <f>RAND()*4+1</f>
        <v/>
      </c>
      <c r="C373">
        <f>RAND()*4+1</f>
        <v/>
      </c>
      <c r="D373">
        <f>IF(OR(AND(B373&gt;3,C373&lt;4),AND(B373&lt;=3,C373&lt;2)),"Red","Black")</f>
        <v/>
      </c>
      <c r="E373" t="n">
        <v>3</v>
      </c>
      <c r="F373" t="n">
        <v>2</v>
      </c>
      <c r="G373" t="n">
        <v>4</v>
      </c>
      <c r="I373">
        <f>IF(D373="Red",B373,NA())</f>
        <v/>
      </c>
      <c r="J373">
        <f>IF(D373="Red",C373,NA())</f>
        <v/>
      </c>
      <c r="K373">
        <f>IF(D373="Black",B373,NA())</f>
        <v/>
      </c>
      <c r="L373">
        <f>IF(D373="Black",C373,NA())</f>
        <v/>
      </c>
    </row>
    <row r="374">
      <c r="A374" t="n">
        <v>373</v>
      </c>
      <c r="B374">
        <f>RAND()*4+1</f>
        <v/>
      </c>
      <c r="C374">
        <f>RAND()*4+1</f>
        <v/>
      </c>
      <c r="D374">
        <f>IF(OR(AND(B374&gt;3,C374&lt;4),AND(B374&lt;=3,C374&lt;2)),"Red","Black")</f>
        <v/>
      </c>
      <c r="E374" t="n">
        <v>3</v>
      </c>
      <c r="F374" t="n">
        <v>2</v>
      </c>
      <c r="G374" t="n">
        <v>4</v>
      </c>
      <c r="I374">
        <f>IF(D374="Red",B374,NA())</f>
        <v/>
      </c>
      <c r="J374">
        <f>IF(D374="Red",C374,NA())</f>
        <v/>
      </c>
      <c r="K374">
        <f>IF(D374="Black",B374,NA())</f>
        <v/>
      </c>
      <c r="L374">
        <f>IF(D374="Black",C374,NA())</f>
        <v/>
      </c>
    </row>
    <row r="375">
      <c r="A375" t="n">
        <v>374</v>
      </c>
      <c r="B375">
        <f>RAND()*4+1</f>
        <v/>
      </c>
      <c r="C375">
        <f>RAND()*4+1</f>
        <v/>
      </c>
      <c r="D375">
        <f>IF(OR(AND(B375&gt;3,C375&lt;4),AND(B375&lt;=3,C375&lt;2)),"Red","Black")</f>
        <v/>
      </c>
      <c r="E375" t="n">
        <v>3</v>
      </c>
      <c r="F375" t="n">
        <v>2</v>
      </c>
      <c r="G375" t="n">
        <v>4</v>
      </c>
      <c r="I375">
        <f>IF(D375="Red",B375,NA())</f>
        <v/>
      </c>
      <c r="J375">
        <f>IF(D375="Red",C375,NA())</f>
        <v/>
      </c>
      <c r="K375">
        <f>IF(D375="Black",B375,NA())</f>
        <v/>
      </c>
      <c r="L375">
        <f>IF(D375="Black",C375,NA())</f>
        <v/>
      </c>
    </row>
    <row r="376">
      <c r="A376" t="n">
        <v>375</v>
      </c>
      <c r="B376">
        <f>RAND()*4+1</f>
        <v/>
      </c>
      <c r="C376">
        <f>RAND()*4+1</f>
        <v/>
      </c>
      <c r="D376">
        <f>IF(OR(AND(B376&gt;3,C376&lt;4),AND(B376&lt;=3,C376&lt;2)),"Red","Black")</f>
        <v/>
      </c>
      <c r="E376" t="n">
        <v>3</v>
      </c>
      <c r="F376" t="n">
        <v>2</v>
      </c>
      <c r="G376" t="n">
        <v>4</v>
      </c>
      <c r="I376">
        <f>IF(D376="Red",B376,NA())</f>
        <v/>
      </c>
      <c r="J376">
        <f>IF(D376="Red",C376,NA())</f>
        <v/>
      </c>
      <c r="K376">
        <f>IF(D376="Black",B376,NA())</f>
        <v/>
      </c>
      <c r="L376">
        <f>IF(D376="Black",C376,NA())</f>
        <v/>
      </c>
    </row>
    <row r="377">
      <c r="A377" t="n">
        <v>376</v>
      </c>
      <c r="B377">
        <f>RAND()*4+1</f>
        <v/>
      </c>
      <c r="C377">
        <f>RAND()*4+1</f>
        <v/>
      </c>
      <c r="D377">
        <f>IF(OR(AND(B377&gt;3,C377&lt;4),AND(B377&lt;=3,C377&lt;2)),"Red","Black")</f>
        <v/>
      </c>
      <c r="E377" t="n">
        <v>3</v>
      </c>
      <c r="F377" t="n">
        <v>2</v>
      </c>
      <c r="G377" t="n">
        <v>4</v>
      </c>
      <c r="I377">
        <f>IF(D377="Red",B377,NA())</f>
        <v/>
      </c>
      <c r="J377">
        <f>IF(D377="Red",C377,NA())</f>
        <v/>
      </c>
      <c r="K377">
        <f>IF(D377="Black",B377,NA())</f>
        <v/>
      </c>
      <c r="L377">
        <f>IF(D377="Black",C377,NA())</f>
        <v/>
      </c>
    </row>
    <row r="378">
      <c r="A378" t="n">
        <v>377</v>
      </c>
      <c r="B378">
        <f>RAND()*4+1</f>
        <v/>
      </c>
      <c r="C378">
        <f>RAND()*4+1</f>
        <v/>
      </c>
      <c r="D378">
        <f>IF(OR(AND(B378&gt;3,C378&lt;4),AND(B378&lt;=3,C378&lt;2)),"Red","Black")</f>
        <v/>
      </c>
      <c r="E378" t="n">
        <v>3</v>
      </c>
      <c r="F378" t="n">
        <v>2</v>
      </c>
      <c r="G378" t="n">
        <v>4</v>
      </c>
      <c r="I378">
        <f>IF(D378="Red",B378,NA())</f>
        <v/>
      </c>
      <c r="J378">
        <f>IF(D378="Red",C378,NA())</f>
        <v/>
      </c>
      <c r="K378">
        <f>IF(D378="Black",B378,NA())</f>
        <v/>
      </c>
      <c r="L378">
        <f>IF(D378="Black",C378,NA())</f>
        <v/>
      </c>
    </row>
    <row r="379">
      <c r="A379" t="n">
        <v>378</v>
      </c>
      <c r="B379">
        <f>RAND()*4+1</f>
        <v/>
      </c>
      <c r="C379">
        <f>RAND()*4+1</f>
        <v/>
      </c>
      <c r="D379">
        <f>IF(OR(AND(B379&gt;3,C379&lt;4),AND(B379&lt;=3,C379&lt;2)),"Red","Black")</f>
        <v/>
      </c>
      <c r="E379" t="n">
        <v>3</v>
      </c>
      <c r="F379" t="n">
        <v>2</v>
      </c>
      <c r="G379" t="n">
        <v>4</v>
      </c>
      <c r="I379">
        <f>IF(D379="Red",B379,NA())</f>
        <v/>
      </c>
      <c r="J379">
        <f>IF(D379="Red",C379,NA())</f>
        <v/>
      </c>
      <c r="K379">
        <f>IF(D379="Black",B379,NA())</f>
        <v/>
      </c>
      <c r="L379">
        <f>IF(D379="Black",C379,NA())</f>
        <v/>
      </c>
    </row>
    <row r="380">
      <c r="A380" t="n">
        <v>379</v>
      </c>
      <c r="B380">
        <f>RAND()*4+1</f>
        <v/>
      </c>
      <c r="C380">
        <f>RAND()*4+1</f>
        <v/>
      </c>
      <c r="D380">
        <f>IF(OR(AND(B380&gt;3,C380&lt;4),AND(B380&lt;=3,C380&lt;2)),"Red","Black")</f>
        <v/>
      </c>
      <c r="E380" t="n">
        <v>3</v>
      </c>
      <c r="F380" t="n">
        <v>2</v>
      </c>
      <c r="G380" t="n">
        <v>4</v>
      </c>
      <c r="I380">
        <f>IF(D380="Red",B380,NA())</f>
        <v/>
      </c>
      <c r="J380">
        <f>IF(D380="Red",C380,NA())</f>
        <v/>
      </c>
      <c r="K380">
        <f>IF(D380="Black",B380,NA())</f>
        <v/>
      </c>
      <c r="L380">
        <f>IF(D380="Black",C380,NA())</f>
        <v/>
      </c>
    </row>
    <row r="381">
      <c r="A381" t="n">
        <v>380</v>
      </c>
      <c r="B381">
        <f>RAND()*4+1</f>
        <v/>
      </c>
      <c r="C381">
        <f>RAND()*4+1</f>
        <v/>
      </c>
      <c r="D381">
        <f>IF(OR(AND(B381&gt;3,C381&lt;4),AND(B381&lt;=3,C381&lt;2)),"Red","Black")</f>
        <v/>
      </c>
      <c r="E381" t="n">
        <v>3</v>
      </c>
      <c r="F381" t="n">
        <v>2</v>
      </c>
      <c r="G381" t="n">
        <v>4</v>
      </c>
      <c r="I381">
        <f>IF(D381="Red",B381,NA())</f>
        <v/>
      </c>
      <c r="J381">
        <f>IF(D381="Red",C381,NA())</f>
        <v/>
      </c>
      <c r="K381">
        <f>IF(D381="Black",B381,NA())</f>
        <v/>
      </c>
      <c r="L381">
        <f>IF(D381="Black",C381,NA())</f>
        <v/>
      </c>
    </row>
    <row r="382">
      <c r="A382" t="n">
        <v>381</v>
      </c>
      <c r="B382">
        <f>RAND()*4+1</f>
        <v/>
      </c>
      <c r="C382">
        <f>RAND()*4+1</f>
        <v/>
      </c>
      <c r="D382">
        <f>IF(OR(AND(B382&gt;3,C382&lt;4),AND(B382&lt;=3,C382&lt;2)),"Red","Black")</f>
        <v/>
      </c>
      <c r="E382" t="n">
        <v>3</v>
      </c>
      <c r="F382" t="n">
        <v>2</v>
      </c>
      <c r="G382" t="n">
        <v>4</v>
      </c>
      <c r="I382">
        <f>IF(D382="Red",B382,NA())</f>
        <v/>
      </c>
      <c r="J382">
        <f>IF(D382="Red",C382,NA())</f>
        <v/>
      </c>
      <c r="K382">
        <f>IF(D382="Black",B382,NA())</f>
        <v/>
      </c>
      <c r="L382">
        <f>IF(D382="Black",C382,NA())</f>
        <v/>
      </c>
    </row>
    <row r="383">
      <c r="A383" t="n">
        <v>382</v>
      </c>
      <c r="B383">
        <f>RAND()*4+1</f>
        <v/>
      </c>
      <c r="C383">
        <f>RAND()*4+1</f>
        <v/>
      </c>
      <c r="D383">
        <f>IF(OR(AND(B383&gt;3,C383&lt;4),AND(B383&lt;=3,C383&lt;2)),"Red","Black")</f>
        <v/>
      </c>
      <c r="E383" t="n">
        <v>3</v>
      </c>
      <c r="F383" t="n">
        <v>2</v>
      </c>
      <c r="G383" t="n">
        <v>4</v>
      </c>
      <c r="I383">
        <f>IF(D383="Red",B383,NA())</f>
        <v/>
      </c>
      <c r="J383">
        <f>IF(D383="Red",C383,NA())</f>
        <v/>
      </c>
      <c r="K383">
        <f>IF(D383="Black",B383,NA())</f>
        <v/>
      </c>
      <c r="L383">
        <f>IF(D383="Black",C383,NA())</f>
        <v/>
      </c>
    </row>
    <row r="384">
      <c r="A384" t="n">
        <v>383</v>
      </c>
      <c r="B384">
        <f>RAND()*4+1</f>
        <v/>
      </c>
      <c r="C384">
        <f>RAND()*4+1</f>
        <v/>
      </c>
      <c r="D384">
        <f>IF(OR(AND(B384&gt;3,C384&lt;4),AND(B384&lt;=3,C384&lt;2)),"Red","Black")</f>
        <v/>
      </c>
      <c r="E384" t="n">
        <v>3</v>
      </c>
      <c r="F384" t="n">
        <v>2</v>
      </c>
      <c r="G384" t="n">
        <v>4</v>
      </c>
      <c r="I384">
        <f>IF(D384="Red",B384,NA())</f>
        <v/>
      </c>
      <c r="J384">
        <f>IF(D384="Red",C384,NA())</f>
        <v/>
      </c>
      <c r="K384">
        <f>IF(D384="Black",B384,NA())</f>
        <v/>
      </c>
      <c r="L384">
        <f>IF(D384="Black",C384,NA())</f>
        <v/>
      </c>
    </row>
    <row r="385">
      <c r="A385" t="n">
        <v>384</v>
      </c>
      <c r="B385">
        <f>RAND()*4+1</f>
        <v/>
      </c>
      <c r="C385">
        <f>RAND()*4+1</f>
        <v/>
      </c>
      <c r="D385">
        <f>IF(OR(AND(B385&gt;3,C385&lt;4),AND(B385&lt;=3,C385&lt;2)),"Red","Black")</f>
        <v/>
      </c>
      <c r="E385" t="n">
        <v>3</v>
      </c>
      <c r="F385" t="n">
        <v>2</v>
      </c>
      <c r="G385" t="n">
        <v>4</v>
      </c>
      <c r="I385">
        <f>IF(D385="Red",B385,NA())</f>
        <v/>
      </c>
      <c r="J385">
        <f>IF(D385="Red",C385,NA())</f>
        <v/>
      </c>
      <c r="K385">
        <f>IF(D385="Black",B385,NA())</f>
        <v/>
      </c>
      <c r="L385">
        <f>IF(D385="Black",C385,NA())</f>
        <v/>
      </c>
    </row>
    <row r="386">
      <c r="A386" t="n">
        <v>385</v>
      </c>
      <c r="B386">
        <f>RAND()*4+1</f>
        <v/>
      </c>
      <c r="C386">
        <f>RAND()*4+1</f>
        <v/>
      </c>
      <c r="D386">
        <f>IF(OR(AND(B386&gt;3,C386&lt;4),AND(B386&lt;=3,C386&lt;2)),"Red","Black")</f>
        <v/>
      </c>
      <c r="E386" t="n">
        <v>3</v>
      </c>
      <c r="F386" t="n">
        <v>2</v>
      </c>
      <c r="G386" t="n">
        <v>4</v>
      </c>
      <c r="I386">
        <f>IF(D386="Red",B386,NA())</f>
        <v/>
      </c>
      <c r="J386">
        <f>IF(D386="Red",C386,NA())</f>
        <v/>
      </c>
      <c r="K386">
        <f>IF(D386="Black",B386,NA())</f>
        <v/>
      </c>
      <c r="L386">
        <f>IF(D386="Black",C386,NA())</f>
        <v/>
      </c>
    </row>
    <row r="387">
      <c r="A387" t="n">
        <v>386</v>
      </c>
      <c r="B387">
        <f>RAND()*4+1</f>
        <v/>
      </c>
      <c r="C387">
        <f>RAND()*4+1</f>
        <v/>
      </c>
      <c r="D387">
        <f>IF(OR(AND(B387&gt;3,C387&lt;4),AND(B387&lt;=3,C387&lt;2)),"Red","Black")</f>
        <v/>
      </c>
      <c r="E387" t="n">
        <v>3</v>
      </c>
      <c r="F387" t="n">
        <v>2</v>
      </c>
      <c r="G387" t="n">
        <v>4</v>
      </c>
      <c r="I387">
        <f>IF(D387="Red",B387,NA())</f>
        <v/>
      </c>
      <c r="J387">
        <f>IF(D387="Red",C387,NA())</f>
        <v/>
      </c>
      <c r="K387">
        <f>IF(D387="Black",B387,NA())</f>
        <v/>
      </c>
      <c r="L387">
        <f>IF(D387="Black",C387,NA())</f>
        <v/>
      </c>
    </row>
    <row r="388">
      <c r="A388" t="n">
        <v>387</v>
      </c>
      <c r="B388">
        <f>RAND()*4+1</f>
        <v/>
      </c>
      <c r="C388">
        <f>RAND()*4+1</f>
        <v/>
      </c>
      <c r="D388">
        <f>IF(OR(AND(B388&gt;3,C388&lt;4),AND(B388&lt;=3,C388&lt;2)),"Red","Black")</f>
        <v/>
      </c>
      <c r="E388" t="n">
        <v>3</v>
      </c>
      <c r="F388" t="n">
        <v>2</v>
      </c>
      <c r="G388" t="n">
        <v>4</v>
      </c>
      <c r="I388">
        <f>IF(D388="Red",B388,NA())</f>
        <v/>
      </c>
      <c r="J388">
        <f>IF(D388="Red",C388,NA())</f>
        <v/>
      </c>
      <c r="K388">
        <f>IF(D388="Black",B388,NA())</f>
        <v/>
      </c>
      <c r="L388">
        <f>IF(D388="Black",C388,NA())</f>
        <v/>
      </c>
    </row>
    <row r="389">
      <c r="A389" t="n">
        <v>388</v>
      </c>
      <c r="B389">
        <f>RAND()*4+1</f>
        <v/>
      </c>
      <c r="C389">
        <f>RAND()*4+1</f>
        <v/>
      </c>
      <c r="D389">
        <f>IF(OR(AND(B389&gt;3,C389&lt;4),AND(B389&lt;=3,C389&lt;2)),"Red","Black")</f>
        <v/>
      </c>
      <c r="E389" t="n">
        <v>3</v>
      </c>
      <c r="F389" t="n">
        <v>2</v>
      </c>
      <c r="G389" t="n">
        <v>4</v>
      </c>
      <c r="I389">
        <f>IF(D389="Red",B389,NA())</f>
        <v/>
      </c>
      <c r="J389">
        <f>IF(D389="Red",C389,NA())</f>
        <v/>
      </c>
      <c r="K389">
        <f>IF(D389="Black",B389,NA())</f>
        <v/>
      </c>
      <c r="L389">
        <f>IF(D389="Black",C389,NA())</f>
        <v/>
      </c>
    </row>
    <row r="390">
      <c r="A390" t="n">
        <v>389</v>
      </c>
      <c r="B390">
        <f>RAND()*4+1</f>
        <v/>
      </c>
      <c r="C390">
        <f>RAND()*4+1</f>
        <v/>
      </c>
      <c r="D390">
        <f>IF(OR(AND(B390&gt;3,C390&lt;4),AND(B390&lt;=3,C390&lt;2)),"Red","Black")</f>
        <v/>
      </c>
      <c r="E390" t="n">
        <v>3</v>
      </c>
      <c r="F390" t="n">
        <v>2</v>
      </c>
      <c r="G390" t="n">
        <v>4</v>
      </c>
      <c r="I390">
        <f>IF(D390="Red",B390,NA())</f>
        <v/>
      </c>
      <c r="J390">
        <f>IF(D390="Red",C390,NA())</f>
        <v/>
      </c>
      <c r="K390">
        <f>IF(D390="Black",B390,NA())</f>
        <v/>
      </c>
      <c r="L390">
        <f>IF(D390="Black",C390,NA())</f>
        <v/>
      </c>
    </row>
    <row r="391">
      <c r="A391" t="n">
        <v>390</v>
      </c>
      <c r="B391">
        <f>RAND()*4+1</f>
        <v/>
      </c>
      <c r="C391">
        <f>RAND()*4+1</f>
        <v/>
      </c>
      <c r="D391">
        <f>IF(OR(AND(B391&gt;3,C391&lt;4),AND(B391&lt;=3,C391&lt;2)),"Red","Black")</f>
        <v/>
      </c>
      <c r="E391" t="n">
        <v>3</v>
      </c>
      <c r="F391" t="n">
        <v>2</v>
      </c>
      <c r="G391" t="n">
        <v>4</v>
      </c>
      <c r="I391">
        <f>IF(D391="Red",B391,NA())</f>
        <v/>
      </c>
      <c r="J391">
        <f>IF(D391="Red",C391,NA())</f>
        <v/>
      </c>
      <c r="K391">
        <f>IF(D391="Black",B391,NA())</f>
        <v/>
      </c>
      <c r="L391">
        <f>IF(D391="Black",C391,NA())</f>
        <v/>
      </c>
    </row>
    <row r="392">
      <c r="A392" t="n">
        <v>391</v>
      </c>
      <c r="B392">
        <f>RAND()*4+1</f>
        <v/>
      </c>
      <c r="C392">
        <f>RAND()*4+1</f>
        <v/>
      </c>
      <c r="D392">
        <f>IF(OR(AND(B392&gt;3,C392&lt;4),AND(B392&lt;=3,C392&lt;2)),"Red","Black")</f>
        <v/>
      </c>
      <c r="E392" t="n">
        <v>3</v>
      </c>
      <c r="F392" t="n">
        <v>2</v>
      </c>
      <c r="G392" t="n">
        <v>4</v>
      </c>
      <c r="I392">
        <f>IF(D392="Red",B392,NA())</f>
        <v/>
      </c>
      <c r="J392">
        <f>IF(D392="Red",C392,NA())</f>
        <v/>
      </c>
      <c r="K392">
        <f>IF(D392="Black",B392,NA())</f>
        <v/>
      </c>
      <c r="L392">
        <f>IF(D392="Black",C392,NA())</f>
        <v/>
      </c>
    </row>
    <row r="393">
      <c r="A393" t="n">
        <v>392</v>
      </c>
      <c r="B393">
        <f>RAND()*4+1</f>
        <v/>
      </c>
      <c r="C393">
        <f>RAND()*4+1</f>
        <v/>
      </c>
      <c r="D393">
        <f>IF(OR(AND(B393&gt;3,C393&lt;4),AND(B393&lt;=3,C393&lt;2)),"Red","Black")</f>
        <v/>
      </c>
      <c r="E393" t="n">
        <v>3</v>
      </c>
      <c r="F393" t="n">
        <v>2</v>
      </c>
      <c r="G393" t="n">
        <v>4</v>
      </c>
      <c r="I393">
        <f>IF(D393="Red",B393,NA())</f>
        <v/>
      </c>
      <c r="J393">
        <f>IF(D393="Red",C393,NA())</f>
        <v/>
      </c>
      <c r="K393">
        <f>IF(D393="Black",B393,NA())</f>
        <v/>
      </c>
      <c r="L393">
        <f>IF(D393="Black",C393,NA())</f>
        <v/>
      </c>
    </row>
    <row r="394">
      <c r="A394" t="n">
        <v>393</v>
      </c>
      <c r="B394">
        <f>RAND()*4+1</f>
        <v/>
      </c>
      <c r="C394">
        <f>RAND()*4+1</f>
        <v/>
      </c>
      <c r="D394">
        <f>IF(OR(AND(B394&gt;3,C394&lt;4),AND(B394&lt;=3,C394&lt;2)),"Red","Black")</f>
        <v/>
      </c>
      <c r="E394" t="n">
        <v>3</v>
      </c>
      <c r="F394" t="n">
        <v>2</v>
      </c>
      <c r="G394" t="n">
        <v>4</v>
      </c>
      <c r="I394">
        <f>IF(D394="Red",B394,NA())</f>
        <v/>
      </c>
      <c r="J394">
        <f>IF(D394="Red",C394,NA())</f>
        <v/>
      </c>
      <c r="K394">
        <f>IF(D394="Black",B394,NA())</f>
        <v/>
      </c>
      <c r="L394">
        <f>IF(D394="Black",C394,NA())</f>
        <v/>
      </c>
    </row>
    <row r="395">
      <c r="A395" t="n">
        <v>394</v>
      </c>
      <c r="B395">
        <f>RAND()*4+1</f>
        <v/>
      </c>
      <c r="C395">
        <f>RAND()*4+1</f>
        <v/>
      </c>
      <c r="D395">
        <f>IF(OR(AND(B395&gt;3,C395&lt;4),AND(B395&lt;=3,C395&lt;2)),"Red","Black")</f>
        <v/>
      </c>
      <c r="E395" t="n">
        <v>3</v>
      </c>
      <c r="F395" t="n">
        <v>2</v>
      </c>
      <c r="G395" t="n">
        <v>4</v>
      </c>
      <c r="I395">
        <f>IF(D395="Red",B395,NA())</f>
        <v/>
      </c>
      <c r="J395">
        <f>IF(D395="Red",C395,NA())</f>
        <v/>
      </c>
      <c r="K395">
        <f>IF(D395="Black",B395,NA())</f>
        <v/>
      </c>
      <c r="L395">
        <f>IF(D395="Black",C395,NA())</f>
        <v/>
      </c>
    </row>
    <row r="396">
      <c r="A396" t="n">
        <v>395</v>
      </c>
      <c r="B396">
        <f>RAND()*4+1</f>
        <v/>
      </c>
      <c r="C396">
        <f>RAND()*4+1</f>
        <v/>
      </c>
      <c r="D396">
        <f>IF(OR(AND(B396&gt;3,C396&lt;4),AND(B396&lt;=3,C396&lt;2)),"Red","Black")</f>
        <v/>
      </c>
      <c r="E396" t="n">
        <v>3</v>
      </c>
      <c r="F396" t="n">
        <v>2</v>
      </c>
      <c r="G396" t="n">
        <v>4</v>
      </c>
      <c r="I396">
        <f>IF(D396="Red",B396,NA())</f>
        <v/>
      </c>
      <c r="J396">
        <f>IF(D396="Red",C396,NA())</f>
        <v/>
      </c>
      <c r="K396">
        <f>IF(D396="Black",B396,NA())</f>
        <v/>
      </c>
      <c r="L396">
        <f>IF(D396="Black",C396,NA())</f>
        <v/>
      </c>
    </row>
    <row r="397">
      <c r="A397" t="n">
        <v>396</v>
      </c>
      <c r="B397">
        <f>RAND()*4+1</f>
        <v/>
      </c>
      <c r="C397">
        <f>RAND()*4+1</f>
        <v/>
      </c>
      <c r="D397">
        <f>IF(OR(AND(B397&gt;3,C397&lt;4),AND(B397&lt;=3,C397&lt;2)),"Red","Black")</f>
        <v/>
      </c>
      <c r="E397" t="n">
        <v>3</v>
      </c>
      <c r="F397" t="n">
        <v>2</v>
      </c>
      <c r="G397" t="n">
        <v>4</v>
      </c>
      <c r="I397">
        <f>IF(D397="Red",B397,NA())</f>
        <v/>
      </c>
      <c r="J397">
        <f>IF(D397="Red",C397,NA())</f>
        <v/>
      </c>
      <c r="K397">
        <f>IF(D397="Black",B397,NA())</f>
        <v/>
      </c>
      <c r="L397">
        <f>IF(D397="Black",C397,NA())</f>
        <v/>
      </c>
    </row>
    <row r="398">
      <c r="A398" t="n">
        <v>397</v>
      </c>
      <c r="B398">
        <f>RAND()*4+1</f>
        <v/>
      </c>
      <c r="C398">
        <f>RAND()*4+1</f>
        <v/>
      </c>
      <c r="D398">
        <f>IF(OR(AND(B398&gt;3,C398&lt;4),AND(B398&lt;=3,C398&lt;2)),"Red","Black")</f>
        <v/>
      </c>
      <c r="E398" t="n">
        <v>3</v>
      </c>
      <c r="F398" t="n">
        <v>2</v>
      </c>
      <c r="G398" t="n">
        <v>4</v>
      </c>
      <c r="I398">
        <f>IF(D398="Red",B398,NA())</f>
        <v/>
      </c>
      <c r="J398">
        <f>IF(D398="Red",C398,NA())</f>
        <v/>
      </c>
      <c r="K398">
        <f>IF(D398="Black",B398,NA())</f>
        <v/>
      </c>
      <c r="L398">
        <f>IF(D398="Black",C398,NA())</f>
        <v/>
      </c>
    </row>
    <row r="399">
      <c r="A399" t="n">
        <v>398</v>
      </c>
      <c r="B399">
        <f>RAND()*4+1</f>
        <v/>
      </c>
      <c r="C399">
        <f>RAND()*4+1</f>
        <v/>
      </c>
      <c r="D399">
        <f>IF(OR(AND(B399&gt;3,C399&lt;4),AND(B399&lt;=3,C399&lt;2)),"Red","Black")</f>
        <v/>
      </c>
      <c r="E399" t="n">
        <v>3</v>
      </c>
      <c r="F399" t="n">
        <v>2</v>
      </c>
      <c r="G399" t="n">
        <v>4</v>
      </c>
      <c r="I399">
        <f>IF(D399="Red",B399,NA())</f>
        <v/>
      </c>
      <c r="J399">
        <f>IF(D399="Red",C399,NA())</f>
        <v/>
      </c>
      <c r="K399">
        <f>IF(D399="Black",B399,NA())</f>
        <v/>
      </c>
      <c r="L399">
        <f>IF(D399="Black",C399,NA())</f>
        <v/>
      </c>
    </row>
    <row r="400">
      <c r="A400" t="n">
        <v>399</v>
      </c>
      <c r="B400">
        <f>RAND()*4+1</f>
        <v/>
      </c>
      <c r="C400">
        <f>RAND()*4+1</f>
        <v/>
      </c>
      <c r="D400">
        <f>IF(OR(AND(B400&gt;3,C400&lt;4),AND(B400&lt;=3,C400&lt;2)),"Red","Black")</f>
        <v/>
      </c>
      <c r="E400" t="n">
        <v>3</v>
      </c>
      <c r="F400" t="n">
        <v>2</v>
      </c>
      <c r="G400" t="n">
        <v>4</v>
      </c>
      <c r="I400">
        <f>IF(D400="Red",B400,NA())</f>
        <v/>
      </c>
      <c r="J400">
        <f>IF(D400="Red",C400,NA())</f>
        <v/>
      </c>
      <c r="K400">
        <f>IF(D400="Black",B400,NA())</f>
        <v/>
      </c>
      <c r="L400">
        <f>IF(D400="Black",C400,NA())</f>
        <v/>
      </c>
    </row>
    <row r="401">
      <c r="A401" t="n">
        <v>400</v>
      </c>
      <c r="B401">
        <f>RAND()*4+1</f>
        <v/>
      </c>
      <c r="C401">
        <f>RAND()*4+1</f>
        <v/>
      </c>
      <c r="D401">
        <f>IF(OR(AND(B401&gt;3,C401&lt;4),AND(B401&lt;=3,C401&lt;2)),"Red","Black")</f>
        <v/>
      </c>
      <c r="E401" t="n">
        <v>3</v>
      </c>
      <c r="F401" t="n">
        <v>2</v>
      </c>
      <c r="G401" t="n">
        <v>4</v>
      </c>
      <c r="I401">
        <f>IF(D401="Red",B401,NA())</f>
        <v/>
      </c>
      <c r="J401">
        <f>IF(D401="Red",C401,NA())</f>
        <v/>
      </c>
      <c r="K401">
        <f>IF(D401="Black",B401,NA())</f>
        <v/>
      </c>
      <c r="L401">
        <f>IF(D401="Black",C401,NA())</f>
        <v/>
      </c>
    </row>
    <row r="402">
      <c r="A402" t="n">
        <v>401</v>
      </c>
      <c r="B402">
        <f>RAND()*4+1</f>
        <v/>
      </c>
      <c r="C402">
        <f>RAND()*4+1</f>
        <v/>
      </c>
      <c r="D402">
        <f>IF(OR(AND(B402&gt;3,C402&lt;4),AND(B402&lt;=3,C402&lt;2)),"Red","Black")</f>
        <v/>
      </c>
      <c r="E402" t="n">
        <v>3</v>
      </c>
      <c r="F402" t="n">
        <v>2</v>
      </c>
      <c r="G402" t="n">
        <v>4</v>
      </c>
      <c r="I402">
        <f>IF(D402="Red",B402,NA())</f>
        <v/>
      </c>
      <c r="J402">
        <f>IF(D402="Red",C402,NA())</f>
        <v/>
      </c>
      <c r="K402">
        <f>IF(D402="Black",B402,NA())</f>
        <v/>
      </c>
      <c r="L402">
        <f>IF(D402="Black",C402,NA())</f>
        <v/>
      </c>
    </row>
    <row r="403">
      <c r="A403" t="n">
        <v>402</v>
      </c>
      <c r="B403">
        <f>RAND()*4+1</f>
        <v/>
      </c>
      <c r="C403">
        <f>RAND()*4+1</f>
        <v/>
      </c>
      <c r="D403">
        <f>IF(OR(AND(B403&gt;3,C403&lt;4),AND(B403&lt;=3,C403&lt;2)),"Red","Black")</f>
        <v/>
      </c>
      <c r="E403" t="n">
        <v>3</v>
      </c>
      <c r="F403" t="n">
        <v>2</v>
      </c>
      <c r="G403" t="n">
        <v>4</v>
      </c>
      <c r="I403">
        <f>IF(D403="Red",B403,NA())</f>
        <v/>
      </c>
      <c r="J403">
        <f>IF(D403="Red",C403,NA())</f>
        <v/>
      </c>
      <c r="K403">
        <f>IF(D403="Black",B403,NA())</f>
        <v/>
      </c>
      <c r="L403">
        <f>IF(D403="Black",C403,NA())</f>
        <v/>
      </c>
    </row>
    <row r="404">
      <c r="A404" t="n">
        <v>403</v>
      </c>
      <c r="B404">
        <f>RAND()*4+1</f>
        <v/>
      </c>
      <c r="C404">
        <f>RAND()*4+1</f>
        <v/>
      </c>
      <c r="D404">
        <f>IF(OR(AND(B404&gt;3,C404&lt;4),AND(B404&lt;=3,C404&lt;2)),"Red","Black")</f>
        <v/>
      </c>
      <c r="E404" t="n">
        <v>3</v>
      </c>
      <c r="F404" t="n">
        <v>2</v>
      </c>
      <c r="G404" t="n">
        <v>4</v>
      </c>
      <c r="I404">
        <f>IF(D404="Red",B404,NA())</f>
        <v/>
      </c>
      <c r="J404">
        <f>IF(D404="Red",C404,NA())</f>
        <v/>
      </c>
      <c r="K404">
        <f>IF(D404="Black",B404,NA())</f>
        <v/>
      </c>
      <c r="L404">
        <f>IF(D404="Black",C404,NA())</f>
        <v/>
      </c>
    </row>
    <row r="405">
      <c r="A405" t="n">
        <v>404</v>
      </c>
      <c r="B405">
        <f>RAND()*4+1</f>
        <v/>
      </c>
      <c r="C405">
        <f>RAND()*4+1</f>
        <v/>
      </c>
      <c r="D405">
        <f>IF(OR(AND(B405&gt;3,C405&lt;4),AND(B405&lt;=3,C405&lt;2)),"Red","Black")</f>
        <v/>
      </c>
      <c r="E405" t="n">
        <v>3</v>
      </c>
      <c r="F405" t="n">
        <v>2</v>
      </c>
      <c r="G405" t="n">
        <v>4</v>
      </c>
      <c r="I405">
        <f>IF(D405="Red",B405,NA())</f>
        <v/>
      </c>
      <c r="J405">
        <f>IF(D405="Red",C405,NA())</f>
        <v/>
      </c>
      <c r="K405">
        <f>IF(D405="Black",B405,NA())</f>
        <v/>
      </c>
      <c r="L405">
        <f>IF(D405="Black",C405,NA())</f>
        <v/>
      </c>
    </row>
    <row r="406">
      <c r="A406" t="n">
        <v>405</v>
      </c>
      <c r="B406">
        <f>RAND()*4+1</f>
        <v/>
      </c>
      <c r="C406">
        <f>RAND()*4+1</f>
        <v/>
      </c>
      <c r="D406">
        <f>IF(OR(AND(B406&gt;3,C406&lt;4),AND(B406&lt;=3,C406&lt;2)),"Red","Black")</f>
        <v/>
      </c>
      <c r="E406" t="n">
        <v>3</v>
      </c>
      <c r="F406" t="n">
        <v>2</v>
      </c>
      <c r="G406" t="n">
        <v>4</v>
      </c>
      <c r="I406">
        <f>IF(D406="Red",B406,NA())</f>
        <v/>
      </c>
      <c r="J406">
        <f>IF(D406="Red",C406,NA())</f>
        <v/>
      </c>
      <c r="K406">
        <f>IF(D406="Black",B406,NA())</f>
        <v/>
      </c>
      <c r="L406">
        <f>IF(D406="Black",C406,NA())</f>
        <v/>
      </c>
    </row>
    <row r="407">
      <c r="A407" t="n">
        <v>406</v>
      </c>
      <c r="B407">
        <f>RAND()*4+1</f>
        <v/>
      </c>
      <c r="C407">
        <f>RAND()*4+1</f>
        <v/>
      </c>
      <c r="D407">
        <f>IF(OR(AND(B407&gt;3,C407&lt;4),AND(B407&lt;=3,C407&lt;2)),"Red","Black")</f>
        <v/>
      </c>
      <c r="E407" t="n">
        <v>3</v>
      </c>
      <c r="F407" t="n">
        <v>2</v>
      </c>
      <c r="G407" t="n">
        <v>4</v>
      </c>
      <c r="I407">
        <f>IF(D407="Red",B407,NA())</f>
        <v/>
      </c>
      <c r="J407">
        <f>IF(D407="Red",C407,NA())</f>
        <v/>
      </c>
      <c r="K407">
        <f>IF(D407="Black",B407,NA())</f>
        <v/>
      </c>
      <c r="L407">
        <f>IF(D407="Black",C407,NA())</f>
        <v/>
      </c>
    </row>
    <row r="408">
      <c r="A408" t="n">
        <v>407</v>
      </c>
      <c r="B408">
        <f>RAND()*4+1</f>
        <v/>
      </c>
      <c r="C408">
        <f>RAND()*4+1</f>
        <v/>
      </c>
      <c r="D408">
        <f>IF(OR(AND(B408&gt;3,C408&lt;4),AND(B408&lt;=3,C408&lt;2)),"Red","Black")</f>
        <v/>
      </c>
      <c r="E408" t="n">
        <v>3</v>
      </c>
      <c r="F408" t="n">
        <v>2</v>
      </c>
      <c r="G408" t="n">
        <v>4</v>
      </c>
      <c r="I408">
        <f>IF(D408="Red",B408,NA())</f>
        <v/>
      </c>
      <c r="J408">
        <f>IF(D408="Red",C408,NA())</f>
        <v/>
      </c>
      <c r="K408">
        <f>IF(D408="Black",B408,NA())</f>
        <v/>
      </c>
      <c r="L408">
        <f>IF(D408="Black",C408,NA())</f>
        <v/>
      </c>
    </row>
    <row r="409">
      <c r="A409" t="n">
        <v>408</v>
      </c>
      <c r="B409">
        <f>RAND()*4+1</f>
        <v/>
      </c>
      <c r="C409">
        <f>RAND()*4+1</f>
        <v/>
      </c>
      <c r="D409">
        <f>IF(OR(AND(B409&gt;3,C409&lt;4),AND(B409&lt;=3,C409&lt;2)),"Red","Black")</f>
        <v/>
      </c>
      <c r="E409" t="n">
        <v>3</v>
      </c>
      <c r="F409" t="n">
        <v>2</v>
      </c>
      <c r="G409" t="n">
        <v>4</v>
      </c>
      <c r="I409">
        <f>IF(D409="Red",B409,NA())</f>
        <v/>
      </c>
      <c r="J409">
        <f>IF(D409="Red",C409,NA())</f>
        <v/>
      </c>
      <c r="K409">
        <f>IF(D409="Black",B409,NA())</f>
        <v/>
      </c>
      <c r="L409">
        <f>IF(D409="Black",C409,NA())</f>
        <v/>
      </c>
    </row>
    <row r="410">
      <c r="A410" t="n">
        <v>409</v>
      </c>
      <c r="B410">
        <f>RAND()*4+1</f>
        <v/>
      </c>
      <c r="C410">
        <f>RAND()*4+1</f>
        <v/>
      </c>
      <c r="D410">
        <f>IF(OR(AND(B410&gt;3,C410&lt;4),AND(B410&lt;=3,C410&lt;2)),"Red","Black")</f>
        <v/>
      </c>
      <c r="E410" t="n">
        <v>3</v>
      </c>
      <c r="F410" t="n">
        <v>2</v>
      </c>
      <c r="G410" t="n">
        <v>4</v>
      </c>
      <c r="I410">
        <f>IF(D410="Red",B410,NA())</f>
        <v/>
      </c>
      <c r="J410">
        <f>IF(D410="Red",C410,NA())</f>
        <v/>
      </c>
      <c r="K410">
        <f>IF(D410="Black",B410,NA())</f>
        <v/>
      </c>
      <c r="L410">
        <f>IF(D410="Black",C410,NA())</f>
        <v/>
      </c>
    </row>
    <row r="411">
      <c r="A411" t="n">
        <v>410</v>
      </c>
      <c r="B411">
        <f>RAND()*4+1</f>
        <v/>
      </c>
      <c r="C411">
        <f>RAND()*4+1</f>
        <v/>
      </c>
      <c r="D411">
        <f>IF(OR(AND(B411&gt;3,C411&lt;4),AND(B411&lt;=3,C411&lt;2)),"Red","Black")</f>
        <v/>
      </c>
      <c r="E411" t="n">
        <v>3</v>
      </c>
      <c r="F411" t="n">
        <v>2</v>
      </c>
      <c r="G411" t="n">
        <v>4</v>
      </c>
      <c r="I411">
        <f>IF(D411="Red",B411,NA())</f>
        <v/>
      </c>
      <c r="J411">
        <f>IF(D411="Red",C411,NA())</f>
        <v/>
      </c>
      <c r="K411">
        <f>IF(D411="Black",B411,NA())</f>
        <v/>
      </c>
      <c r="L411">
        <f>IF(D411="Black",C411,NA())</f>
        <v/>
      </c>
    </row>
    <row r="412">
      <c r="A412" t="n">
        <v>411</v>
      </c>
      <c r="B412">
        <f>RAND()*4+1</f>
        <v/>
      </c>
      <c r="C412">
        <f>RAND()*4+1</f>
        <v/>
      </c>
      <c r="D412">
        <f>IF(OR(AND(B412&gt;3,C412&lt;4),AND(B412&lt;=3,C412&lt;2)),"Red","Black")</f>
        <v/>
      </c>
      <c r="E412" t="n">
        <v>3</v>
      </c>
      <c r="F412" t="n">
        <v>2</v>
      </c>
      <c r="G412" t="n">
        <v>4</v>
      </c>
      <c r="I412">
        <f>IF(D412="Red",B412,NA())</f>
        <v/>
      </c>
      <c r="J412">
        <f>IF(D412="Red",C412,NA())</f>
        <v/>
      </c>
      <c r="K412">
        <f>IF(D412="Black",B412,NA())</f>
        <v/>
      </c>
      <c r="L412">
        <f>IF(D412="Black",C412,NA())</f>
        <v/>
      </c>
    </row>
    <row r="413">
      <c r="A413" t="n">
        <v>412</v>
      </c>
      <c r="B413">
        <f>RAND()*4+1</f>
        <v/>
      </c>
      <c r="C413">
        <f>RAND()*4+1</f>
        <v/>
      </c>
      <c r="D413">
        <f>IF(OR(AND(B413&gt;3,C413&lt;4),AND(B413&lt;=3,C413&lt;2)),"Red","Black")</f>
        <v/>
      </c>
      <c r="E413" t="n">
        <v>3</v>
      </c>
      <c r="F413" t="n">
        <v>2</v>
      </c>
      <c r="G413" t="n">
        <v>4</v>
      </c>
      <c r="I413">
        <f>IF(D413="Red",B413,NA())</f>
        <v/>
      </c>
      <c r="J413">
        <f>IF(D413="Red",C413,NA())</f>
        <v/>
      </c>
      <c r="K413">
        <f>IF(D413="Black",B413,NA())</f>
        <v/>
      </c>
      <c r="L413">
        <f>IF(D413="Black",C413,NA())</f>
        <v/>
      </c>
    </row>
    <row r="414">
      <c r="A414" t="n">
        <v>413</v>
      </c>
      <c r="B414">
        <f>RAND()*4+1</f>
        <v/>
      </c>
      <c r="C414">
        <f>RAND()*4+1</f>
        <v/>
      </c>
      <c r="D414">
        <f>IF(OR(AND(B414&gt;3,C414&lt;4),AND(B414&lt;=3,C414&lt;2)),"Red","Black")</f>
        <v/>
      </c>
      <c r="E414" t="n">
        <v>3</v>
      </c>
      <c r="F414" t="n">
        <v>2</v>
      </c>
      <c r="G414" t="n">
        <v>4</v>
      </c>
      <c r="I414">
        <f>IF(D414="Red",B414,NA())</f>
        <v/>
      </c>
      <c r="J414">
        <f>IF(D414="Red",C414,NA())</f>
        <v/>
      </c>
      <c r="K414">
        <f>IF(D414="Black",B414,NA())</f>
        <v/>
      </c>
      <c r="L414">
        <f>IF(D414="Black",C414,NA())</f>
        <v/>
      </c>
    </row>
    <row r="415">
      <c r="A415" t="n">
        <v>414</v>
      </c>
      <c r="B415">
        <f>RAND()*4+1</f>
        <v/>
      </c>
      <c r="C415">
        <f>RAND()*4+1</f>
        <v/>
      </c>
      <c r="D415">
        <f>IF(OR(AND(B415&gt;3,C415&lt;4),AND(B415&lt;=3,C415&lt;2)),"Red","Black")</f>
        <v/>
      </c>
      <c r="E415" t="n">
        <v>3</v>
      </c>
      <c r="F415" t="n">
        <v>2</v>
      </c>
      <c r="G415" t="n">
        <v>4</v>
      </c>
      <c r="I415">
        <f>IF(D415="Red",B415,NA())</f>
        <v/>
      </c>
      <c r="J415">
        <f>IF(D415="Red",C415,NA())</f>
        <v/>
      </c>
      <c r="K415">
        <f>IF(D415="Black",B415,NA())</f>
        <v/>
      </c>
      <c r="L415">
        <f>IF(D415="Black",C415,NA())</f>
        <v/>
      </c>
    </row>
    <row r="416">
      <c r="A416" t="n">
        <v>415</v>
      </c>
      <c r="B416">
        <f>RAND()*4+1</f>
        <v/>
      </c>
      <c r="C416">
        <f>RAND()*4+1</f>
        <v/>
      </c>
      <c r="D416">
        <f>IF(OR(AND(B416&gt;3,C416&lt;4),AND(B416&lt;=3,C416&lt;2)),"Red","Black")</f>
        <v/>
      </c>
      <c r="E416" t="n">
        <v>3</v>
      </c>
      <c r="F416" t="n">
        <v>2</v>
      </c>
      <c r="G416" t="n">
        <v>4</v>
      </c>
      <c r="I416">
        <f>IF(D416="Red",B416,NA())</f>
        <v/>
      </c>
      <c r="J416">
        <f>IF(D416="Red",C416,NA())</f>
        <v/>
      </c>
      <c r="K416">
        <f>IF(D416="Black",B416,NA())</f>
        <v/>
      </c>
      <c r="L416">
        <f>IF(D416="Black",C416,NA())</f>
        <v/>
      </c>
    </row>
    <row r="417">
      <c r="A417" t="n">
        <v>416</v>
      </c>
      <c r="B417">
        <f>RAND()*4+1</f>
        <v/>
      </c>
      <c r="C417">
        <f>RAND()*4+1</f>
        <v/>
      </c>
      <c r="D417">
        <f>IF(OR(AND(B417&gt;3,C417&lt;4),AND(B417&lt;=3,C417&lt;2)),"Red","Black")</f>
        <v/>
      </c>
      <c r="E417" t="n">
        <v>3</v>
      </c>
      <c r="F417" t="n">
        <v>2</v>
      </c>
      <c r="G417" t="n">
        <v>4</v>
      </c>
      <c r="I417">
        <f>IF(D417="Red",B417,NA())</f>
        <v/>
      </c>
      <c r="J417">
        <f>IF(D417="Red",C417,NA())</f>
        <v/>
      </c>
      <c r="K417">
        <f>IF(D417="Black",B417,NA())</f>
        <v/>
      </c>
      <c r="L417">
        <f>IF(D417="Black",C417,NA())</f>
        <v/>
      </c>
    </row>
    <row r="418">
      <c r="A418" t="n">
        <v>417</v>
      </c>
      <c r="B418">
        <f>RAND()*4+1</f>
        <v/>
      </c>
      <c r="C418">
        <f>RAND()*4+1</f>
        <v/>
      </c>
      <c r="D418">
        <f>IF(OR(AND(B418&gt;3,C418&lt;4),AND(B418&lt;=3,C418&lt;2)),"Red","Black")</f>
        <v/>
      </c>
      <c r="E418" t="n">
        <v>3</v>
      </c>
      <c r="F418" t="n">
        <v>2</v>
      </c>
      <c r="G418" t="n">
        <v>4</v>
      </c>
      <c r="I418">
        <f>IF(D418="Red",B418,NA())</f>
        <v/>
      </c>
      <c r="J418">
        <f>IF(D418="Red",C418,NA())</f>
        <v/>
      </c>
      <c r="K418">
        <f>IF(D418="Black",B418,NA())</f>
        <v/>
      </c>
      <c r="L418">
        <f>IF(D418="Black",C418,NA())</f>
        <v/>
      </c>
    </row>
    <row r="419">
      <c r="A419" t="n">
        <v>418</v>
      </c>
      <c r="B419">
        <f>RAND()*4+1</f>
        <v/>
      </c>
      <c r="C419">
        <f>RAND()*4+1</f>
        <v/>
      </c>
      <c r="D419">
        <f>IF(OR(AND(B419&gt;3,C419&lt;4),AND(B419&lt;=3,C419&lt;2)),"Red","Black")</f>
        <v/>
      </c>
      <c r="E419" t="n">
        <v>3</v>
      </c>
      <c r="F419" t="n">
        <v>2</v>
      </c>
      <c r="G419" t="n">
        <v>4</v>
      </c>
      <c r="I419">
        <f>IF(D419="Red",B419,NA())</f>
        <v/>
      </c>
      <c r="J419">
        <f>IF(D419="Red",C419,NA())</f>
        <v/>
      </c>
      <c r="K419">
        <f>IF(D419="Black",B419,NA())</f>
        <v/>
      </c>
      <c r="L419">
        <f>IF(D419="Black",C419,NA())</f>
        <v/>
      </c>
    </row>
    <row r="420">
      <c r="A420" t="n">
        <v>419</v>
      </c>
      <c r="B420">
        <f>RAND()*4+1</f>
        <v/>
      </c>
      <c r="C420">
        <f>RAND()*4+1</f>
        <v/>
      </c>
      <c r="D420">
        <f>IF(OR(AND(B420&gt;3,C420&lt;4),AND(B420&lt;=3,C420&lt;2)),"Red","Black")</f>
        <v/>
      </c>
      <c r="E420" t="n">
        <v>3</v>
      </c>
      <c r="F420" t="n">
        <v>2</v>
      </c>
      <c r="G420" t="n">
        <v>4</v>
      </c>
      <c r="I420">
        <f>IF(D420="Red",B420,NA())</f>
        <v/>
      </c>
      <c r="J420">
        <f>IF(D420="Red",C420,NA())</f>
        <v/>
      </c>
      <c r="K420">
        <f>IF(D420="Black",B420,NA())</f>
        <v/>
      </c>
      <c r="L420">
        <f>IF(D420="Black",C420,NA())</f>
        <v/>
      </c>
    </row>
    <row r="421">
      <c r="A421" t="n">
        <v>420</v>
      </c>
      <c r="B421">
        <f>RAND()*4+1</f>
        <v/>
      </c>
      <c r="C421">
        <f>RAND()*4+1</f>
        <v/>
      </c>
      <c r="D421">
        <f>IF(OR(AND(B421&gt;3,C421&lt;4),AND(B421&lt;=3,C421&lt;2)),"Red","Black")</f>
        <v/>
      </c>
      <c r="E421" t="n">
        <v>3</v>
      </c>
      <c r="F421" t="n">
        <v>2</v>
      </c>
      <c r="G421" t="n">
        <v>4</v>
      </c>
      <c r="I421">
        <f>IF(D421="Red",B421,NA())</f>
        <v/>
      </c>
      <c r="J421">
        <f>IF(D421="Red",C421,NA())</f>
        <v/>
      </c>
      <c r="K421">
        <f>IF(D421="Black",B421,NA())</f>
        <v/>
      </c>
      <c r="L421">
        <f>IF(D421="Black",C421,NA())</f>
        <v/>
      </c>
    </row>
    <row r="422">
      <c r="A422" t="n">
        <v>421</v>
      </c>
      <c r="B422">
        <f>RAND()*4+1</f>
        <v/>
      </c>
      <c r="C422">
        <f>RAND()*4+1</f>
        <v/>
      </c>
      <c r="D422">
        <f>IF(OR(AND(B422&gt;3,C422&lt;4),AND(B422&lt;=3,C422&lt;2)),"Red","Black")</f>
        <v/>
      </c>
      <c r="E422" t="n">
        <v>3</v>
      </c>
      <c r="F422" t="n">
        <v>2</v>
      </c>
      <c r="G422" t="n">
        <v>4</v>
      </c>
      <c r="I422">
        <f>IF(D422="Red",B422,NA())</f>
        <v/>
      </c>
      <c r="J422">
        <f>IF(D422="Red",C422,NA())</f>
        <v/>
      </c>
      <c r="K422">
        <f>IF(D422="Black",B422,NA())</f>
        <v/>
      </c>
      <c r="L422">
        <f>IF(D422="Black",C422,NA())</f>
        <v/>
      </c>
    </row>
    <row r="423">
      <c r="A423" t="n">
        <v>422</v>
      </c>
      <c r="B423">
        <f>RAND()*4+1</f>
        <v/>
      </c>
      <c r="C423">
        <f>RAND()*4+1</f>
        <v/>
      </c>
      <c r="D423">
        <f>IF(OR(AND(B423&gt;3,C423&lt;4),AND(B423&lt;=3,C423&lt;2)),"Red","Black")</f>
        <v/>
      </c>
      <c r="E423" t="n">
        <v>3</v>
      </c>
      <c r="F423" t="n">
        <v>2</v>
      </c>
      <c r="G423" t="n">
        <v>4</v>
      </c>
      <c r="I423">
        <f>IF(D423="Red",B423,NA())</f>
        <v/>
      </c>
      <c r="J423">
        <f>IF(D423="Red",C423,NA())</f>
        <v/>
      </c>
      <c r="K423">
        <f>IF(D423="Black",B423,NA())</f>
        <v/>
      </c>
      <c r="L423">
        <f>IF(D423="Black",C423,NA())</f>
        <v/>
      </c>
    </row>
    <row r="424">
      <c r="A424" t="n">
        <v>423</v>
      </c>
      <c r="B424">
        <f>RAND()*4+1</f>
        <v/>
      </c>
      <c r="C424">
        <f>RAND()*4+1</f>
        <v/>
      </c>
      <c r="D424">
        <f>IF(OR(AND(B424&gt;3,C424&lt;4),AND(B424&lt;=3,C424&lt;2)),"Red","Black")</f>
        <v/>
      </c>
      <c r="E424" t="n">
        <v>3</v>
      </c>
      <c r="F424" t="n">
        <v>2</v>
      </c>
      <c r="G424" t="n">
        <v>4</v>
      </c>
      <c r="I424">
        <f>IF(D424="Red",B424,NA())</f>
        <v/>
      </c>
      <c r="J424">
        <f>IF(D424="Red",C424,NA())</f>
        <v/>
      </c>
      <c r="K424">
        <f>IF(D424="Black",B424,NA())</f>
        <v/>
      </c>
      <c r="L424">
        <f>IF(D424="Black",C424,NA())</f>
        <v/>
      </c>
    </row>
    <row r="425">
      <c r="A425" t="n">
        <v>424</v>
      </c>
      <c r="B425">
        <f>RAND()*4+1</f>
        <v/>
      </c>
      <c r="C425">
        <f>RAND()*4+1</f>
        <v/>
      </c>
      <c r="D425">
        <f>IF(OR(AND(B425&gt;3,C425&lt;4),AND(B425&lt;=3,C425&lt;2)),"Red","Black")</f>
        <v/>
      </c>
      <c r="E425" t="n">
        <v>3</v>
      </c>
      <c r="F425" t="n">
        <v>2</v>
      </c>
      <c r="G425" t="n">
        <v>4</v>
      </c>
      <c r="I425">
        <f>IF(D425="Red",B425,NA())</f>
        <v/>
      </c>
      <c r="J425">
        <f>IF(D425="Red",C425,NA())</f>
        <v/>
      </c>
      <c r="K425">
        <f>IF(D425="Black",B425,NA())</f>
        <v/>
      </c>
      <c r="L425">
        <f>IF(D425="Black",C425,NA())</f>
        <v/>
      </c>
    </row>
    <row r="426">
      <c r="A426" t="n">
        <v>425</v>
      </c>
      <c r="B426">
        <f>RAND()*4+1</f>
        <v/>
      </c>
      <c r="C426">
        <f>RAND()*4+1</f>
        <v/>
      </c>
      <c r="D426">
        <f>IF(OR(AND(B426&gt;3,C426&lt;4),AND(B426&lt;=3,C426&lt;2)),"Red","Black")</f>
        <v/>
      </c>
      <c r="E426" t="n">
        <v>3</v>
      </c>
      <c r="F426" t="n">
        <v>2</v>
      </c>
      <c r="G426" t="n">
        <v>4</v>
      </c>
      <c r="I426">
        <f>IF(D426="Red",B426,NA())</f>
        <v/>
      </c>
      <c r="J426">
        <f>IF(D426="Red",C426,NA())</f>
        <v/>
      </c>
      <c r="K426">
        <f>IF(D426="Black",B426,NA())</f>
        <v/>
      </c>
      <c r="L426">
        <f>IF(D426="Black",C426,NA())</f>
        <v/>
      </c>
    </row>
    <row r="427">
      <c r="A427" t="n">
        <v>426</v>
      </c>
      <c r="B427">
        <f>RAND()*4+1</f>
        <v/>
      </c>
      <c r="C427">
        <f>RAND()*4+1</f>
        <v/>
      </c>
      <c r="D427">
        <f>IF(OR(AND(B427&gt;3,C427&lt;4),AND(B427&lt;=3,C427&lt;2)),"Red","Black")</f>
        <v/>
      </c>
      <c r="E427" t="n">
        <v>3</v>
      </c>
      <c r="F427" t="n">
        <v>2</v>
      </c>
      <c r="G427" t="n">
        <v>4</v>
      </c>
      <c r="I427">
        <f>IF(D427="Red",B427,NA())</f>
        <v/>
      </c>
      <c r="J427">
        <f>IF(D427="Red",C427,NA())</f>
        <v/>
      </c>
      <c r="K427">
        <f>IF(D427="Black",B427,NA())</f>
        <v/>
      </c>
      <c r="L427">
        <f>IF(D427="Black",C427,NA())</f>
        <v/>
      </c>
    </row>
    <row r="428">
      <c r="A428" t="n">
        <v>427</v>
      </c>
      <c r="B428">
        <f>RAND()*4+1</f>
        <v/>
      </c>
      <c r="C428">
        <f>RAND()*4+1</f>
        <v/>
      </c>
      <c r="D428">
        <f>IF(OR(AND(B428&gt;3,C428&lt;4),AND(B428&lt;=3,C428&lt;2)),"Red","Black")</f>
        <v/>
      </c>
      <c r="E428" t="n">
        <v>3</v>
      </c>
      <c r="F428" t="n">
        <v>2</v>
      </c>
      <c r="G428" t="n">
        <v>4</v>
      </c>
      <c r="I428">
        <f>IF(D428="Red",B428,NA())</f>
        <v/>
      </c>
      <c r="J428">
        <f>IF(D428="Red",C428,NA())</f>
        <v/>
      </c>
      <c r="K428">
        <f>IF(D428="Black",B428,NA())</f>
        <v/>
      </c>
      <c r="L428">
        <f>IF(D428="Black",C428,NA())</f>
        <v/>
      </c>
    </row>
    <row r="429">
      <c r="A429" t="n">
        <v>428</v>
      </c>
      <c r="B429">
        <f>RAND()*4+1</f>
        <v/>
      </c>
      <c r="C429">
        <f>RAND()*4+1</f>
        <v/>
      </c>
      <c r="D429">
        <f>IF(OR(AND(B429&gt;3,C429&lt;4),AND(B429&lt;=3,C429&lt;2)),"Red","Black")</f>
        <v/>
      </c>
      <c r="E429" t="n">
        <v>3</v>
      </c>
      <c r="F429" t="n">
        <v>2</v>
      </c>
      <c r="G429" t="n">
        <v>4</v>
      </c>
      <c r="I429">
        <f>IF(D429="Red",B429,NA())</f>
        <v/>
      </c>
      <c r="J429">
        <f>IF(D429="Red",C429,NA())</f>
        <v/>
      </c>
      <c r="K429">
        <f>IF(D429="Black",B429,NA())</f>
        <v/>
      </c>
      <c r="L429">
        <f>IF(D429="Black",C429,NA())</f>
        <v/>
      </c>
    </row>
    <row r="430">
      <c r="A430" t="n">
        <v>429</v>
      </c>
      <c r="B430">
        <f>RAND()*4+1</f>
        <v/>
      </c>
      <c r="C430">
        <f>RAND()*4+1</f>
        <v/>
      </c>
      <c r="D430">
        <f>IF(OR(AND(B430&gt;3,C430&lt;4),AND(B430&lt;=3,C430&lt;2)),"Red","Black")</f>
        <v/>
      </c>
      <c r="E430" t="n">
        <v>3</v>
      </c>
      <c r="F430" t="n">
        <v>2</v>
      </c>
      <c r="G430" t="n">
        <v>4</v>
      </c>
      <c r="I430">
        <f>IF(D430="Red",B430,NA())</f>
        <v/>
      </c>
      <c r="J430">
        <f>IF(D430="Red",C430,NA())</f>
        <v/>
      </c>
      <c r="K430">
        <f>IF(D430="Black",B430,NA())</f>
        <v/>
      </c>
      <c r="L430">
        <f>IF(D430="Black",C430,NA())</f>
        <v/>
      </c>
    </row>
    <row r="431">
      <c r="A431" t="n">
        <v>430</v>
      </c>
      <c r="B431">
        <f>RAND()*4+1</f>
        <v/>
      </c>
      <c r="C431">
        <f>RAND()*4+1</f>
        <v/>
      </c>
      <c r="D431">
        <f>IF(OR(AND(B431&gt;3,C431&lt;4),AND(B431&lt;=3,C431&lt;2)),"Red","Black")</f>
        <v/>
      </c>
      <c r="E431" t="n">
        <v>3</v>
      </c>
      <c r="F431" t="n">
        <v>2</v>
      </c>
      <c r="G431" t="n">
        <v>4</v>
      </c>
      <c r="I431">
        <f>IF(D431="Red",B431,NA())</f>
        <v/>
      </c>
      <c r="J431">
        <f>IF(D431="Red",C431,NA())</f>
        <v/>
      </c>
      <c r="K431">
        <f>IF(D431="Black",B431,NA())</f>
        <v/>
      </c>
      <c r="L431">
        <f>IF(D431="Black",C431,NA())</f>
        <v/>
      </c>
    </row>
    <row r="432">
      <c r="A432" t="n">
        <v>431</v>
      </c>
      <c r="B432">
        <f>RAND()*4+1</f>
        <v/>
      </c>
      <c r="C432">
        <f>RAND()*4+1</f>
        <v/>
      </c>
      <c r="D432">
        <f>IF(OR(AND(B432&gt;3,C432&lt;4),AND(B432&lt;=3,C432&lt;2)),"Red","Black")</f>
        <v/>
      </c>
      <c r="E432" t="n">
        <v>3</v>
      </c>
      <c r="F432" t="n">
        <v>2</v>
      </c>
      <c r="G432" t="n">
        <v>4</v>
      </c>
      <c r="I432">
        <f>IF(D432="Red",B432,NA())</f>
        <v/>
      </c>
      <c r="J432">
        <f>IF(D432="Red",C432,NA())</f>
        <v/>
      </c>
      <c r="K432">
        <f>IF(D432="Black",B432,NA())</f>
        <v/>
      </c>
      <c r="L432">
        <f>IF(D432="Black",C432,NA())</f>
        <v/>
      </c>
    </row>
    <row r="433">
      <c r="A433" t="n">
        <v>432</v>
      </c>
      <c r="B433">
        <f>RAND()*4+1</f>
        <v/>
      </c>
      <c r="C433">
        <f>RAND()*4+1</f>
        <v/>
      </c>
      <c r="D433">
        <f>IF(OR(AND(B433&gt;3,C433&lt;4),AND(B433&lt;=3,C433&lt;2)),"Red","Black")</f>
        <v/>
      </c>
      <c r="E433" t="n">
        <v>3</v>
      </c>
      <c r="F433" t="n">
        <v>2</v>
      </c>
      <c r="G433" t="n">
        <v>4</v>
      </c>
      <c r="I433">
        <f>IF(D433="Red",B433,NA())</f>
        <v/>
      </c>
      <c r="J433">
        <f>IF(D433="Red",C433,NA())</f>
        <v/>
      </c>
      <c r="K433">
        <f>IF(D433="Black",B433,NA())</f>
        <v/>
      </c>
      <c r="L433">
        <f>IF(D433="Black",C433,NA())</f>
        <v/>
      </c>
    </row>
    <row r="434">
      <c r="A434" t="n">
        <v>433</v>
      </c>
      <c r="B434">
        <f>RAND()*4+1</f>
        <v/>
      </c>
      <c r="C434">
        <f>RAND()*4+1</f>
        <v/>
      </c>
      <c r="D434">
        <f>IF(OR(AND(B434&gt;3,C434&lt;4),AND(B434&lt;=3,C434&lt;2)),"Red","Black")</f>
        <v/>
      </c>
      <c r="E434" t="n">
        <v>3</v>
      </c>
      <c r="F434" t="n">
        <v>2</v>
      </c>
      <c r="G434" t="n">
        <v>4</v>
      </c>
      <c r="I434">
        <f>IF(D434="Red",B434,NA())</f>
        <v/>
      </c>
      <c r="J434">
        <f>IF(D434="Red",C434,NA())</f>
        <v/>
      </c>
      <c r="K434">
        <f>IF(D434="Black",B434,NA())</f>
        <v/>
      </c>
      <c r="L434">
        <f>IF(D434="Black",C434,NA())</f>
        <v/>
      </c>
    </row>
    <row r="435">
      <c r="A435" t="n">
        <v>434</v>
      </c>
      <c r="B435">
        <f>RAND()*4+1</f>
        <v/>
      </c>
      <c r="C435">
        <f>RAND()*4+1</f>
        <v/>
      </c>
      <c r="D435">
        <f>IF(OR(AND(B435&gt;3,C435&lt;4),AND(B435&lt;=3,C435&lt;2)),"Red","Black")</f>
        <v/>
      </c>
      <c r="E435" t="n">
        <v>3</v>
      </c>
      <c r="F435" t="n">
        <v>2</v>
      </c>
      <c r="G435" t="n">
        <v>4</v>
      </c>
      <c r="I435">
        <f>IF(D435="Red",B435,NA())</f>
        <v/>
      </c>
      <c r="J435">
        <f>IF(D435="Red",C435,NA())</f>
        <v/>
      </c>
      <c r="K435">
        <f>IF(D435="Black",B435,NA())</f>
        <v/>
      </c>
      <c r="L435">
        <f>IF(D435="Black",C435,NA())</f>
        <v/>
      </c>
    </row>
    <row r="436">
      <c r="A436" t="n">
        <v>435</v>
      </c>
      <c r="B436">
        <f>RAND()*4+1</f>
        <v/>
      </c>
      <c r="C436">
        <f>RAND()*4+1</f>
        <v/>
      </c>
      <c r="D436">
        <f>IF(OR(AND(B436&gt;3,C436&lt;4),AND(B436&lt;=3,C436&lt;2)),"Red","Black")</f>
        <v/>
      </c>
      <c r="E436" t="n">
        <v>3</v>
      </c>
      <c r="F436" t="n">
        <v>2</v>
      </c>
      <c r="G436" t="n">
        <v>4</v>
      </c>
      <c r="I436">
        <f>IF(D436="Red",B436,NA())</f>
        <v/>
      </c>
      <c r="J436">
        <f>IF(D436="Red",C436,NA())</f>
        <v/>
      </c>
      <c r="K436">
        <f>IF(D436="Black",B436,NA())</f>
        <v/>
      </c>
      <c r="L436">
        <f>IF(D436="Black",C436,NA())</f>
        <v/>
      </c>
    </row>
    <row r="437">
      <c r="A437" t="n">
        <v>436</v>
      </c>
      <c r="B437">
        <f>RAND()*4+1</f>
        <v/>
      </c>
      <c r="C437">
        <f>RAND()*4+1</f>
        <v/>
      </c>
      <c r="D437">
        <f>IF(OR(AND(B437&gt;3,C437&lt;4),AND(B437&lt;=3,C437&lt;2)),"Red","Black")</f>
        <v/>
      </c>
      <c r="E437" t="n">
        <v>3</v>
      </c>
      <c r="F437" t="n">
        <v>2</v>
      </c>
      <c r="G437" t="n">
        <v>4</v>
      </c>
      <c r="I437">
        <f>IF(D437="Red",B437,NA())</f>
        <v/>
      </c>
      <c r="J437">
        <f>IF(D437="Red",C437,NA())</f>
        <v/>
      </c>
      <c r="K437">
        <f>IF(D437="Black",B437,NA())</f>
        <v/>
      </c>
      <c r="L437">
        <f>IF(D437="Black",C437,NA())</f>
        <v/>
      </c>
    </row>
    <row r="438">
      <c r="A438" t="n">
        <v>437</v>
      </c>
      <c r="B438">
        <f>RAND()*4+1</f>
        <v/>
      </c>
      <c r="C438">
        <f>RAND()*4+1</f>
        <v/>
      </c>
      <c r="D438">
        <f>IF(OR(AND(B438&gt;3,C438&lt;4),AND(B438&lt;=3,C438&lt;2)),"Red","Black")</f>
        <v/>
      </c>
      <c r="E438" t="n">
        <v>3</v>
      </c>
      <c r="F438" t="n">
        <v>2</v>
      </c>
      <c r="G438" t="n">
        <v>4</v>
      </c>
      <c r="I438">
        <f>IF(D438="Red",B438,NA())</f>
        <v/>
      </c>
      <c r="J438">
        <f>IF(D438="Red",C438,NA())</f>
        <v/>
      </c>
      <c r="K438">
        <f>IF(D438="Black",B438,NA())</f>
        <v/>
      </c>
      <c r="L438">
        <f>IF(D438="Black",C438,NA())</f>
        <v/>
      </c>
    </row>
    <row r="439">
      <c r="A439" t="n">
        <v>438</v>
      </c>
      <c r="B439">
        <f>RAND()*4+1</f>
        <v/>
      </c>
      <c r="C439">
        <f>RAND()*4+1</f>
        <v/>
      </c>
      <c r="D439">
        <f>IF(OR(AND(B439&gt;3,C439&lt;4),AND(B439&lt;=3,C439&lt;2)),"Red","Black")</f>
        <v/>
      </c>
      <c r="E439" t="n">
        <v>3</v>
      </c>
      <c r="F439" t="n">
        <v>2</v>
      </c>
      <c r="G439" t="n">
        <v>4</v>
      </c>
      <c r="I439">
        <f>IF(D439="Red",B439,NA())</f>
        <v/>
      </c>
      <c r="J439">
        <f>IF(D439="Red",C439,NA())</f>
        <v/>
      </c>
      <c r="K439">
        <f>IF(D439="Black",B439,NA())</f>
        <v/>
      </c>
      <c r="L439">
        <f>IF(D439="Black",C439,NA())</f>
        <v/>
      </c>
    </row>
    <row r="440">
      <c r="A440" t="n">
        <v>439</v>
      </c>
      <c r="B440">
        <f>RAND()*4+1</f>
        <v/>
      </c>
      <c r="C440">
        <f>RAND()*4+1</f>
        <v/>
      </c>
      <c r="D440">
        <f>IF(OR(AND(B440&gt;3,C440&lt;4),AND(B440&lt;=3,C440&lt;2)),"Red","Black")</f>
        <v/>
      </c>
      <c r="E440" t="n">
        <v>3</v>
      </c>
      <c r="F440" t="n">
        <v>2</v>
      </c>
      <c r="G440" t="n">
        <v>4</v>
      </c>
      <c r="I440">
        <f>IF(D440="Red",B440,NA())</f>
        <v/>
      </c>
      <c r="J440">
        <f>IF(D440="Red",C440,NA())</f>
        <v/>
      </c>
      <c r="K440">
        <f>IF(D440="Black",B440,NA())</f>
        <v/>
      </c>
      <c r="L440">
        <f>IF(D440="Black",C440,NA())</f>
        <v/>
      </c>
    </row>
    <row r="441">
      <c r="A441" t="n">
        <v>440</v>
      </c>
      <c r="B441">
        <f>RAND()*4+1</f>
        <v/>
      </c>
      <c r="C441">
        <f>RAND()*4+1</f>
        <v/>
      </c>
      <c r="D441">
        <f>IF(OR(AND(B441&gt;3,C441&lt;4),AND(B441&lt;=3,C441&lt;2)),"Red","Black")</f>
        <v/>
      </c>
      <c r="E441" t="n">
        <v>3</v>
      </c>
      <c r="F441" t="n">
        <v>2</v>
      </c>
      <c r="G441" t="n">
        <v>4</v>
      </c>
      <c r="I441">
        <f>IF(D441="Red",B441,NA())</f>
        <v/>
      </c>
      <c r="J441">
        <f>IF(D441="Red",C441,NA())</f>
        <v/>
      </c>
      <c r="K441">
        <f>IF(D441="Black",B441,NA())</f>
        <v/>
      </c>
      <c r="L441">
        <f>IF(D441="Black",C441,NA())</f>
        <v/>
      </c>
    </row>
    <row r="442">
      <c r="A442" t="n">
        <v>441</v>
      </c>
      <c r="B442">
        <f>RAND()*4+1</f>
        <v/>
      </c>
      <c r="C442">
        <f>RAND()*4+1</f>
        <v/>
      </c>
      <c r="D442">
        <f>IF(OR(AND(B442&gt;3,C442&lt;4),AND(B442&lt;=3,C442&lt;2)),"Red","Black")</f>
        <v/>
      </c>
      <c r="E442" t="n">
        <v>3</v>
      </c>
      <c r="F442" t="n">
        <v>2</v>
      </c>
      <c r="G442" t="n">
        <v>4</v>
      </c>
      <c r="I442">
        <f>IF(D442="Red",B442,NA())</f>
        <v/>
      </c>
      <c r="J442">
        <f>IF(D442="Red",C442,NA())</f>
        <v/>
      </c>
      <c r="K442">
        <f>IF(D442="Black",B442,NA())</f>
        <v/>
      </c>
      <c r="L442">
        <f>IF(D442="Black",C442,NA())</f>
        <v/>
      </c>
    </row>
    <row r="443">
      <c r="A443" t="n">
        <v>442</v>
      </c>
      <c r="B443">
        <f>RAND()*4+1</f>
        <v/>
      </c>
      <c r="C443">
        <f>RAND()*4+1</f>
        <v/>
      </c>
      <c r="D443">
        <f>IF(OR(AND(B443&gt;3,C443&lt;4),AND(B443&lt;=3,C443&lt;2)),"Red","Black")</f>
        <v/>
      </c>
      <c r="E443" t="n">
        <v>3</v>
      </c>
      <c r="F443" t="n">
        <v>2</v>
      </c>
      <c r="G443" t="n">
        <v>4</v>
      </c>
      <c r="I443">
        <f>IF(D443="Red",B443,NA())</f>
        <v/>
      </c>
      <c r="J443">
        <f>IF(D443="Red",C443,NA())</f>
        <v/>
      </c>
      <c r="K443">
        <f>IF(D443="Black",B443,NA())</f>
        <v/>
      </c>
      <c r="L443">
        <f>IF(D443="Black",C443,NA())</f>
        <v/>
      </c>
    </row>
    <row r="444">
      <c r="A444" t="n">
        <v>443</v>
      </c>
      <c r="B444">
        <f>RAND()*4+1</f>
        <v/>
      </c>
      <c r="C444">
        <f>RAND()*4+1</f>
        <v/>
      </c>
      <c r="D444">
        <f>IF(OR(AND(B444&gt;3,C444&lt;4),AND(B444&lt;=3,C444&lt;2)),"Red","Black")</f>
        <v/>
      </c>
      <c r="E444" t="n">
        <v>3</v>
      </c>
      <c r="F444" t="n">
        <v>2</v>
      </c>
      <c r="G444" t="n">
        <v>4</v>
      </c>
      <c r="I444">
        <f>IF(D444="Red",B444,NA())</f>
        <v/>
      </c>
      <c r="J444">
        <f>IF(D444="Red",C444,NA())</f>
        <v/>
      </c>
      <c r="K444">
        <f>IF(D444="Black",B444,NA())</f>
        <v/>
      </c>
      <c r="L444">
        <f>IF(D444="Black",C444,NA())</f>
        <v/>
      </c>
    </row>
    <row r="445">
      <c r="A445" t="n">
        <v>444</v>
      </c>
      <c r="B445">
        <f>RAND()*4+1</f>
        <v/>
      </c>
      <c r="C445">
        <f>RAND()*4+1</f>
        <v/>
      </c>
      <c r="D445">
        <f>IF(OR(AND(B445&gt;3,C445&lt;4),AND(B445&lt;=3,C445&lt;2)),"Red","Black")</f>
        <v/>
      </c>
      <c r="E445" t="n">
        <v>3</v>
      </c>
      <c r="F445" t="n">
        <v>2</v>
      </c>
      <c r="G445" t="n">
        <v>4</v>
      </c>
      <c r="I445">
        <f>IF(D445="Red",B445,NA())</f>
        <v/>
      </c>
      <c r="J445">
        <f>IF(D445="Red",C445,NA())</f>
        <v/>
      </c>
      <c r="K445">
        <f>IF(D445="Black",B445,NA())</f>
        <v/>
      </c>
      <c r="L445">
        <f>IF(D445="Black",C445,NA())</f>
        <v/>
      </c>
    </row>
    <row r="446">
      <c r="A446" t="n">
        <v>445</v>
      </c>
      <c r="B446">
        <f>RAND()*4+1</f>
        <v/>
      </c>
      <c r="C446">
        <f>RAND()*4+1</f>
        <v/>
      </c>
      <c r="D446">
        <f>IF(OR(AND(B446&gt;3,C446&lt;4),AND(B446&lt;=3,C446&lt;2)),"Red","Black")</f>
        <v/>
      </c>
      <c r="E446" t="n">
        <v>3</v>
      </c>
      <c r="F446" t="n">
        <v>2</v>
      </c>
      <c r="G446" t="n">
        <v>4</v>
      </c>
      <c r="I446">
        <f>IF(D446="Red",B446,NA())</f>
        <v/>
      </c>
      <c r="J446">
        <f>IF(D446="Red",C446,NA())</f>
        <v/>
      </c>
      <c r="K446">
        <f>IF(D446="Black",B446,NA())</f>
        <v/>
      </c>
      <c r="L446">
        <f>IF(D446="Black",C446,NA())</f>
        <v/>
      </c>
    </row>
    <row r="447">
      <c r="A447" t="n">
        <v>446</v>
      </c>
      <c r="B447">
        <f>RAND()*4+1</f>
        <v/>
      </c>
      <c r="C447">
        <f>RAND()*4+1</f>
        <v/>
      </c>
      <c r="D447">
        <f>IF(OR(AND(B447&gt;3,C447&lt;4),AND(B447&lt;=3,C447&lt;2)),"Red","Black")</f>
        <v/>
      </c>
      <c r="E447" t="n">
        <v>3</v>
      </c>
      <c r="F447" t="n">
        <v>2</v>
      </c>
      <c r="G447" t="n">
        <v>4</v>
      </c>
      <c r="I447">
        <f>IF(D447="Red",B447,NA())</f>
        <v/>
      </c>
      <c r="J447">
        <f>IF(D447="Red",C447,NA())</f>
        <v/>
      </c>
      <c r="K447">
        <f>IF(D447="Black",B447,NA())</f>
        <v/>
      </c>
      <c r="L447">
        <f>IF(D447="Black",C447,NA())</f>
        <v/>
      </c>
    </row>
    <row r="448">
      <c r="A448" t="n">
        <v>447</v>
      </c>
      <c r="B448">
        <f>RAND()*4+1</f>
        <v/>
      </c>
      <c r="C448">
        <f>RAND()*4+1</f>
        <v/>
      </c>
      <c r="D448">
        <f>IF(OR(AND(B448&gt;3,C448&lt;4),AND(B448&lt;=3,C448&lt;2)),"Red","Black")</f>
        <v/>
      </c>
      <c r="E448" t="n">
        <v>3</v>
      </c>
      <c r="F448" t="n">
        <v>2</v>
      </c>
      <c r="G448" t="n">
        <v>4</v>
      </c>
      <c r="I448">
        <f>IF(D448="Red",B448,NA())</f>
        <v/>
      </c>
      <c r="J448">
        <f>IF(D448="Red",C448,NA())</f>
        <v/>
      </c>
      <c r="K448">
        <f>IF(D448="Black",B448,NA())</f>
        <v/>
      </c>
      <c r="L448">
        <f>IF(D448="Black",C448,NA())</f>
        <v/>
      </c>
    </row>
    <row r="449">
      <c r="A449" t="n">
        <v>448</v>
      </c>
      <c r="B449">
        <f>RAND()*4+1</f>
        <v/>
      </c>
      <c r="C449">
        <f>RAND()*4+1</f>
        <v/>
      </c>
      <c r="D449">
        <f>IF(OR(AND(B449&gt;3,C449&lt;4),AND(B449&lt;=3,C449&lt;2)),"Red","Black")</f>
        <v/>
      </c>
      <c r="E449" t="n">
        <v>3</v>
      </c>
      <c r="F449" t="n">
        <v>2</v>
      </c>
      <c r="G449" t="n">
        <v>4</v>
      </c>
      <c r="I449">
        <f>IF(D449="Red",B449,NA())</f>
        <v/>
      </c>
      <c r="J449">
        <f>IF(D449="Red",C449,NA())</f>
        <v/>
      </c>
      <c r="K449">
        <f>IF(D449="Black",B449,NA())</f>
        <v/>
      </c>
      <c r="L449">
        <f>IF(D449="Black",C449,NA())</f>
        <v/>
      </c>
    </row>
    <row r="450">
      <c r="A450" t="n">
        <v>449</v>
      </c>
      <c r="B450">
        <f>RAND()*4+1</f>
        <v/>
      </c>
      <c r="C450">
        <f>RAND()*4+1</f>
        <v/>
      </c>
      <c r="D450">
        <f>IF(OR(AND(B450&gt;3,C450&lt;4),AND(B450&lt;=3,C450&lt;2)),"Red","Black")</f>
        <v/>
      </c>
      <c r="E450" t="n">
        <v>3</v>
      </c>
      <c r="F450" t="n">
        <v>2</v>
      </c>
      <c r="G450" t="n">
        <v>4</v>
      </c>
      <c r="I450">
        <f>IF(D450="Red",B450,NA())</f>
        <v/>
      </c>
      <c r="J450">
        <f>IF(D450="Red",C450,NA())</f>
        <v/>
      </c>
      <c r="K450">
        <f>IF(D450="Black",B450,NA())</f>
        <v/>
      </c>
      <c r="L450">
        <f>IF(D450="Black",C450,NA())</f>
        <v/>
      </c>
    </row>
    <row r="451">
      <c r="A451" t="n">
        <v>450</v>
      </c>
      <c r="B451">
        <f>RAND()*4+1</f>
        <v/>
      </c>
      <c r="C451">
        <f>RAND()*4+1</f>
        <v/>
      </c>
      <c r="D451">
        <f>IF(OR(AND(B451&gt;3,C451&lt;4),AND(B451&lt;=3,C451&lt;2)),"Red","Black")</f>
        <v/>
      </c>
      <c r="E451" t="n">
        <v>3</v>
      </c>
      <c r="F451" t="n">
        <v>2</v>
      </c>
      <c r="G451" t="n">
        <v>4</v>
      </c>
      <c r="I451">
        <f>IF(D451="Red",B451,NA())</f>
        <v/>
      </c>
      <c r="J451">
        <f>IF(D451="Red",C451,NA())</f>
        <v/>
      </c>
      <c r="K451">
        <f>IF(D451="Black",B451,NA())</f>
        <v/>
      </c>
      <c r="L451">
        <f>IF(D451="Black",C451,NA())</f>
        <v/>
      </c>
    </row>
    <row r="452">
      <c r="A452" t="n">
        <v>451</v>
      </c>
      <c r="B452">
        <f>RAND()*4+1</f>
        <v/>
      </c>
      <c r="C452">
        <f>RAND()*4+1</f>
        <v/>
      </c>
      <c r="D452">
        <f>IF(OR(AND(B452&gt;3,C452&lt;4),AND(B452&lt;=3,C452&lt;2)),"Red","Black")</f>
        <v/>
      </c>
      <c r="E452" t="n">
        <v>3</v>
      </c>
      <c r="F452" t="n">
        <v>2</v>
      </c>
      <c r="G452" t="n">
        <v>4</v>
      </c>
      <c r="I452">
        <f>IF(D452="Red",B452,NA())</f>
        <v/>
      </c>
      <c r="J452">
        <f>IF(D452="Red",C452,NA())</f>
        <v/>
      </c>
      <c r="K452">
        <f>IF(D452="Black",B452,NA())</f>
        <v/>
      </c>
      <c r="L452">
        <f>IF(D452="Black",C452,NA())</f>
        <v/>
      </c>
    </row>
    <row r="453">
      <c r="A453" t="n">
        <v>452</v>
      </c>
      <c r="B453">
        <f>RAND()*4+1</f>
        <v/>
      </c>
      <c r="C453">
        <f>RAND()*4+1</f>
        <v/>
      </c>
      <c r="D453">
        <f>IF(OR(AND(B453&gt;3,C453&lt;4),AND(B453&lt;=3,C453&lt;2)),"Red","Black")</f>
        <v/>
      </c>
      <c r="E453" t="n">
        <v>3</v>
      </c>
      <c r="F453" t="n">
        <v>2</v>
      </c>
      <c r="G453" t="n">
        <v>4</v>
      </c>
      <c r="I453">
        <f>IF(D453="Red",B453,NA())</f>
        <v/>
      </c>
      <c r="J453">
        <f>IF(D453="Red",C453,NA())</f>
        <v/>
      </c>
      <c r="K453">
        <f>IF(D453="Black",B453,NA())</f>
        <v/>
      </c>
      <c r="L453">
        <f>IF(D453="Black",C453,NA())</f>
        <v/>
      </c>
    </row>
    <row r="454">
      <c r="A454" t="n">
        <v>453</v>
      </c>
      <c r="B454">
        <f>RAND()*4+1</f>
        <v/>
      </c>
      <c r="C454">
        <f>RAND()*4+1</f>
        <v/>
      </c>
      <c r="D454">
        <f>IF(OR(AND(B454&gt;3,C454&lt;4),AND(B454&lt;=3,C454&lt;2)),"Red","Black")</f>
        <v/>
      </c>
      <c r="E454" t="n">
        <v>3</v>
      </c>
      <c r="F454" t="n">
        <v>2</v>
      </c>
      <c r="G454" t="n">
        <v>4</v>
      </c>
      <c r="I454">
        <f>IF(D454="Red",B454,NA())</f>
        <v/>
      </c>
      <c r="J454">
        <f>IF(D454="Red",C454,NA())</f>
        <v/>
      </c>
      <c r="K454">
        <f>IF(D454="Black",B454,NA())</f>
        <v/>
      </c>
      <c r="L454">
        <f>IF(D454="Black",C454,NA())</f>
        <v/>
      </c>
    </row>
    <row r="455">
      <c r="A455" t="n">
        <v>454</v>
      </c>
      <c r="B455">
        <f>RAND()*4+1</f>
        <v/>
      </c>
      <c r="C455">
        <f>RAND()*4+1</f>
        <v/>
      </c>
      <c r="D455">
        <f>IF(OR(AND(B455&gt;3,C455&lt;4),AND(B455&lt;=3,C455&lt;2)),"Red","Black")</f>
        <v/>
      </c>
      <c r="E455" t="n">
        <v>3</v>
      </c>
      <c r="F455" t="n">
        <v>2</v>
      </c>
      <c r="G455" t="n">
        <v>4</v>
      </c>
      <c r="I455">
        <f>IF(D455="Red",B455,NA())</f>
        <v/>
      </c>
      <c r="J455">
        <f>IF(D455="Red",C455,NA())</f>
        <v/>
      </c>
      <c r="K455">
        <f>IF(D455="Black",B455,NA())</f>
        <v/>
      </c>
      <c r="L455">
        <f>IF(D455="Black",C455,NA())</f>
        <v/>
      </c>
    </row>
    <row r="456">
      <c r="A456" t="n">
        <v>455</v>
      </c>
      <c r="B456">
        <f>RAND()*4+1</f>
        <v/>
      </c>
      <c r="C456">
        <f>RAND()*4+1</f>
        <v/>
      </c>
      <c r="D456">
        <f>IF(OR(AND(B456&gt;3,C456&lt;4),AND(B456&lt;=3,C456&lt;2)),"Red","Black")</f>
        <v/>
      </c>
      <c r="E456" t="n">
        <v>3</v>
      </c>
      <c r="F456" t="n">
        <v>2</v>
      </c>
      <c r="G456" t="n">
        <v>4</v>
      </c>
      <c r="I456">
        <f>IF(D456="Red",B456,NA())</f>
        <v/>
      </c>
      <c r="J456">
        <f>IF(D456="Red",C456,NA())</f>
        <v/>
      </c>
      <c r="K456">
        <f>IF(D456="Black",B456,NA())</f>
        <v/>
      </c>
      <c r="L456">
        <f>IF(D456="Black",C456,NA())</f>
        <v/>
      </c>
    </row>
    <row r="457">
      <c r="A457" t="n">
        <v>456</v>
      </c>
      <c r="B457">
        <f>RAND()*4+1</f>
        <v/>
      </c>
      <c r="C457">
        <f>RAND()*4+1</f>
        <v/>
      </c>
      <c r="D457">
        <f>IF(OR(AND(B457&gt;3,C457&lt;4),AND(B457&lt;=3,C457&lt;2)),"Red","Black")</f>
        <v/>
      </c>
      <c r="E457" t="n">
        <v>3</v>
      </c>
      <c r="F457" t="n">
        <v>2</v>
      </c>
      <c r="G457" t="n">
        <v>4</v>
      </c>
      <c r="I457">
        <f>IF(D457="Red",B457,NA())</f>
        <v/>
      </c>
      <c r="J457">
        <f>IF(D457="Red",C457,NA())</f>
        <v/>
      </c>
      <c r="K457">
        <f>IF(D457="Black",B457,NA())</f>
        <v/>
      </c>
      <c r="L457">
        <f>IF(D457="Black",C457,NA())</f>
        <v/>
      </c>
    </row>
    <row r="458">
      <c r="A458" t="n">
        <v>457</v>
      </c>
      <c r="B458">
        <f>RAND()*4+1</f>
        <v/>
      </c>
      <c r="C458">
        <f>RAND()*4+1</f>
        <v/>
      </c>
      <c r="D458">
        <f>IF(OR(AND(B458&gt;3,C458&lt;4),AND(B458&lt;=3,C458&lt;2)),"Red","Black")</f>
        <v/>
      </c>
      <c r="E458" t="n">
        <v>3</v>
      </c>
      <c r="F458" t="n">
        <v>2</v>
      </c>
      <c r="G458" t="n">
        <v>4</v>
      </c>
      <c r="I458">
        <f>IF(D458="Red",B458,NA())</f>
        <v/>
      </c>
      <c r="J458">
        <f>IF(D458="Red",C458,NA())</f>
        <v/>
      </c>
      <c r="K458">
        <f>IF(D458="Black",B458,NA())</f>
        <v/>
      </c>
      <c r="L458">
        <f>IF(D458="Black",C458,NA())</f>
        <v/>
      </c>
    </row>
    <row r="459">
      <c r="A459" t="n">
        <v>458</v>
      </c>
      <c r="B459">
        <f>RAND()*4+1</f>
        <v/>
      </c>
      <c r="C459">
        <f>RAND()*4+1</f>
        <v/>
      </c>
      <c r="D459">
        <f>IF(OR(AND(B459&gt;3,C459&lt;4),AND(B459&lt;=3,C459&lt;2)),"Red","Black")</f>
        <v/>
      </c>
      <c r="E459" t="n">
        <v>3</v>
      </c>
      <c r="F459" t="n">
        <v>2</v>
      </c>
      <c r="G459" t="n">
        <v>4</v>
      </c>
      <c r="I459">
        <f>IF(D459="Red",B459,NA())</f>
        <v/>
      </c>
      <c r="J459">
        <f>IF(D459="Red",C459,NA())</f>
        <v/>
      </c>
      <c r="K459">
        <f>IF(D459="Black",B459,NA())</f>
        <v/>
      </c>
      <c r="L459">
        <f>IF(D459="Black",C459,NA())</f>
        <v/>
      </c>
    </row>
    <row r="460">
      <c r="A460" t="n">
        <v>459</v>
      </c>
      <c r="B460">
        <f>RAND()*4+1</f>
        <v/>
      </c>
      <c r="C460">
        <f>RAND()*4+1</f>
        <v/>
      </c>
      <c r="D460">
        <f>IF(OR(AND(B460&gt;3,C460&lt;4),AND(B460&lt;=3,C460&lt;2)),"Red","Black")</f>
        <v/>
      </c>
      <c r="E460" t="n">
        <v>3</v>
      </c>
      <c r="F460" t="n">
        <v>2</v>
      </c>
      <c r="G460" t="n">
        <v>4</v>
      </c>
      <c r="I460">
        <f>IF(D460="Red",B460,NA())</f>
        <v/>
      </c>
      <c r="J460">
        <f>IF(D460="Red",C460,NA())</f>
        <v/>
      </c>
      <c r="K460">
        <f>IF(D460="Black",B460,NA())</f>
        <v/>
      </c>
      <c r="L460">
        <f>IF(D460="Black",C460,NA())</f>
        <v/>
      </c>
    </row>
    <row r="461">
      <c r="A461" t="n">
        <v>460</v>
      </c>
      <c r="B461">
        <f>RAND()*4+1</f>
        <v/>
      </c>
      <c r="C461">
        <f>RAND()*4+1</f>
        <v/>
      </c>
      <c r="D461">
        <f>IF(OR(AND(B461&gt;3,C461&lt;4),AND(B461&lt;=3,C461&lt;2)),"Red","Black")</f>
        <v/>
      </c>
      <c r="E461" t="n">
        <v>3</v>
      </c>
      <c r="F461" t="n">
        <v>2</v>
      </c>
      <c r="G461" t="n">
        <v>4</v>
      </c>
      <c r="I461">
        <f>IF(D461="Red",B461,NA())</f>
        <v/>
      </c>
      <c r="J461">
        <f>IF(D461="Red",C461,NA())</f>
        <v/>
      </c>
      <c r="K461">
        <f>IF(D461="Black",B461,NA())</f>
        <v/>
      </c>
      <c r="L461">
        <f>IF(D461="Black",C461,NA())</f>
        <v/>
      </c>
    </row>
    <row r="462">
      <c r="A462" t="n">
        <v>461</v>
      </c>
      <c r="B462">
        <f>RAND()*4+1</f>
        <v/>
      </c>
      <c r="C462">
        <f>RAND()*4+1</f>
        <v/>
      </c>
      <c r="D462">
        <f>IF(OR(AND(B462&gt;3,C462&lt;4),AND(B462&lt;=3,C462&lt;2)),"Red","Black")</f>
        <v/>
      </c>
      <c r="E462" t="n">
        <v>3</v>
      </c>
      <c r="F462" t="n">
        <v>2</v>
      </c>
      <c r="G462" t="n">
        <v>4</v>
      </c>
      <c r="I462">
        <f>IF(D462="Red",B462,NA())</f>
        <v/>
      </c>
      <c r="J462">
        <f>IF(D462="Red",C462,NA())</f>
        <v/>
      </c>
      <c r="K462">
        <f>IF(D462="Black",B462,NA())</f>
        <v/>
      </c>
      <c r="L462">
        <f>IF(D462="Black",C462,NA())</f>
        <v/>
      </c>
    </row>
    <row r="463">
      <c r="A463" t="n">
        <v>462</v>
      </c>
      <c r="B463">
        <f>RAND()*4+1</f>
        <v/>
      </c>
      <c r="C463">
        <f>RAND()*4+1</f>
        <v/>
      </c>
      <c r="D463">
        <f>IF(OR(AND(B463&gt;3,C463&lt;4),AND(B463&lt;=3,C463&lt;2)),"Red","Black")</f>
        <v/>
      </c>
      <c r="E463" t="n">
        <v>3</v>
      </c>
      <c r="F463" t="n">
        <v>2</v>
      </c>
      <c r="G463" t="n">
        <v>4</v>
      </c>
      <c r="I463">
        <f>IF(D463="Red",B463,NA())</f>
        <v/>
      </c>
      <c r="J463">
        <f>IF(D463="Red",C463,NA())</f>
        <v/>
      </c>
      <c r="K463">
        <f>IF(D463="Black",B463,NA())</f>
        <v/>
      </c>
      <c r="L463">
        <f>IF(D463="Black",C463,NA())</f>
        <v/>
      </c>
    </row>
    <row r="464">
      <c r="A464" t="n">
        <v>463</v>
      </c>
      <c r="B464">
        <f>RAND()*4+1</f>
        <v/>
      </c>
      <c r="C464">
        <f>RAND()*4+1</f>
        <v/>
      </c>
      <c r="D464">
        <f>IF(OR(AND(B464&gt;3,C464&lt;4),AND(B464&lt;=3,C464&lt;2)),"Red","Black")</f>
        <v/>
      </c>
      <c r="E464" t="n">
        <v>3</v>
      </c>
      <c r="F464" t="n">
        <v>2</v>
      </c>
      <c r="G464" t="n">
        <v>4</v>
      </c>
      <c r="I464">
        <f>IF(D464="Red",B464,NA())</f>
        <v/>
      </c>
      <c r="J464">
        <f>IF(D464="Red",C464,NA())</f>
        <v/>
      </c>
      <c r="K464">
        <f>IF(D464="Black",B464,NA())</f>
        <v/>
      </c>
      <c r="L464">
        <f>IF(D464="Black",C464,NA())</f>
        <v/>
      </c>
    </row>
    <row r="465">
      <c r="A465" t="n">
        <v>464</v>
      </c>
      <c r="B465">
        <f>RAND()*4+1</f>
        <v/>
      </c>
      <c r="C465">
        <f>RAND()*4+1</f>
        <v/>
      </c>
      <c r="D465">
        <f>IF(OR(AND(B465&gt;3,C465&lt;4),AND(B465&lt;=3,C465&lt;2)),"Red","Black")</f>
        <v/>
      </c>
      <c r="E465" t="n">
        <v>3</v>
      </c>
      <c r="F465" t="n">
        <v>2</v>
      </c>
      <c r="G465" t="n">
        <v>4</v>
      </c>
      <c r="I465">
        <f>IF(D465="Red",B465,NA())</f>
        <v/>
      </c>
      <c r="J465">
        <f>IF(D465="Red",C465,NA())</f>
        <v/>
      </c>
      <c r="K465">
        <f>IF(D465="Black",B465,NA())</f>
        <v/>
      </c>
      <c r="L465">
        <f>IF(D465="Black",C465,NA())</f>
        <v/>
      </c>
    </row>
    <row r="466">
      <c r="A466" t="n">
        <v>465</v>
      </c>
      <c r="B466">
        <f>RAND()*4+1</f>
        <v/>
      </c>
      <c r="C466">
        <f>RAND()*4+1</f>
        <v/>
      </c>
      <c r="D466">
        <f>IF(OR(AND(B466&gt;3,C466&lt;4),AND(B466&lt;=3,C466&lt;2)),"Red","Black")</f>
        <v/>
      </c>
      <c r="E466" t="n">
        <v>3</v>
      </c>
      <c r="F466" t="n">
        <v>2</v>
      </c>
      <c r="G466" t="n">
        <v>4</v>
      </c>
      <c r="I466">
        <f>IF(D466="Red",B466,NA())</f>
        <v/>
      </c>
      <c r="J466">
        <f>IF(D466="Red",C466,NA())</f>
        <v/>
      </c>
      <c r="K466">
        <f>IF(D466="Black",B466,NA())</f>
        <v/>
      </c>
      <c r="L466">
        <f>IF(D466="Black",C466,NA())</f>
        <v/>
      </c>
    </row>
    <row r="467">
      <c r="A467" t="n">
        <v>466</v>
      </c>
      <c r="B467">
        <f>RAND()*4+1</f>
        <v/>
      </c>
      <c r="C467">
        <f>RAND()*4+1</f>
        <v/>
      </c>
      <c r="D467">
        <f>IF(OR(AND(B467&gt;3,C467&lt;4),AND(B467&lt;=3,C467&lt;2)),"Red","Black")</f>
        <v/>
      </c>
      <c r="E467" t="n">
        <v>3</v>
      </c>
      <c r="F467" t="n">
        <v>2</v>
      </c>
      <c r="G467" t="n">
        <v>4</v>
      </c>
      <c r="I467">
        <f>IF(D467="Red",B467,NA())</f>
        <v/>
      </c>
      <c r="J467">
        <f>IF(D467="Red",C467,NA())</f>
        <v/>
      </c>
      <c r="K467">
        <f>IF(D467="Black",B467,NA())</f>
        <v/>
      </c>
      <c r="L467">
        <f>IF(D467="Black",C467,NA())</f>
        <v/>
      </c>
    </row>
    <row r="468">
      <c r="A468" t="n">
        <v>467</v>
      </c>
      <c r="B468">
        <f>RAND()*4+1</f>
        <v/>
      </c>
      <c r="C468">
        <f>RAND()*4+1</f>
        <v/>
      </c>
      <c r="D468">
        <f>IF(OR(AND(B468&gt;3,C468&lt;4),AND(B468&lt;=3,C468&lt;2)),"Red","Black")</f>
        <v/>
      </c>
      <c r="E468" t="n">
        <v>3</v>
      </c>
      <c r="F468" t="n">
        <v>2</v>
      </c>
      <c r="G468" t="n">
        <v>4</v>
      </c>
      <c r="I468">
        <f>IF(D468="Red",B468,NA())</f>
        <v/>
      </c>
      <c r="J468">
        <f>IF(D468="Red",C468,NA())</f>
        <v/>
      </c>
      <c r="K468">
        <f>IF(D468="Black",B468,NA())</f>
        <v/>
      </c>
      <c r="L468">
        <f>IF(D468="Black",C468,NA())</f>
        <v/>
      </c>
    </row>
    <row r="469">
      <c r="A469" t="n">
        <v>468</v>
      </c>
      <c r="B469">
        <f>RAND()*4+1</f>
        <v/>
      </c>
      <c r="C469">
        <f>RAND()*4+1</f>
        <v/>
      </c>
      <c r="D469">
        <f>IF(OR(AND(B469&gt;3,C469&lt;4),AND(B469&lt;=3,C469&lt;2)),"Red","Black")</f>
        <v/>
      </c>
      <c r="E469" t="n">
        <v>3</v>
      </c>
      <c r="F469" t="n">
        <v>2</v>
      </c>
      <c r="G469" t="n">
        <v>4</v>
      </c>
      <c r="I469">
        <f>IF(D469="Red",B469,NA())</f>
        <v/>
      </c>
      <c r="J469">
        <f>IF(D469="Red",C469,NA())</f>
        <v/>
      </c>
      <c r="K469">
        <f>IF(D469="Black",B469,NA())</f>
        <v/>
      </c>
      <c r="L469">
        <f>IF(D469="Black",C469,NA())</f>
        <v/>
      </c>
    </row>
    <row r="470">
      <c r="A470" t="n">
        <v>469</v>
      </c>
      <c r="B470">
        <f>RAND()*4+1</f>
        <v/>
      </c>
      <c r="C470">
        <f>RAND()*4+1</f>
        <v/>
      </c>
      <c r="D470">
        <f>IF(OR(AND(B470&gt;3,C470&lt;4),AND(B470&lt;=3,C470&lt;2)),"Red","Black")</f>
        <v/>
      </c>
      <c r="E470" t="n">
        <v>3</v>
      </c>
      <c r="F470" t="n">
        <v>2</v>
      </c>
      <c r="G470" t="n">
        <v>4</v>
      </c>
      <c r="I470">
        <f>IF(D470="Red",B470,NA())</f>
        <v/>
      </c>
      <c r="J470">
        <f>IF(D470="Red",C470,NA())</f>
        <v/>
      </c>
      <c r="K470">
        <f>IF(D470="Black",B470,NA())</f>
        <v/>
      </c>
      <c r="L470">
        <f>IF(D470="Black",C470,NA())</f>
        <v/>
      </c>
    </row>
    <row r="471">
      <c r="A471" t="n">
        <v>470</v>
      </c>
      <c r="B471">
        <f>RAND()*4+1</f>
        <v/>
      </c>
      <c r="C471">
        <f>RAND()*4+1</f>
        <v/>
      </c>
      <c r="D471">
        <f>IF(OR(AND(B471&gt;3,C471&lt;4),AND(B471&lt;=3,C471&lt;2)),"Red","Black")</f>
        <v/>
      </c>
      <c r="E471" t="n">
        <v>3</v>
      </c>
      <c r="F471" t="n">
        <v>2</v>
      </c>
      <c r="G471" t="n">
        <v>4</v>
      </c>
      <c r="I471">
        <f>IF(D471="Red",B471,NA())</f>
        <v/>
      </c>
      <c r="J471">
        <f>IF(D471="Red",C471,NA())</f>
        <v/>
      </c>
      <c r="K471">
        <f>IF(D471="Black",B471,NA())</f>
        <v/>
      </c>
      <c r="L471">
        <f>IF(D471="Black",C471,NA())</f>
        <v/>
      </c>
    </row>
    <row r="472">
      <c r="A472" t="n">
        <v>471</v>
      </c>
      <c r="B472">
        <f>RAND()*4+1</f>
        <v/>
      </c>
      <c r="C472">
        <f>RAND()*4+1</f>
        <v/>
      </c>
      <c r="D472">
        <f>IF(OR(AND(B472&gt;3,C472&lt;4),AND(B472&lt;=3,C472&lt;2)),"Red","Black")</f>
        <v/>
      </c>
      <c r="E472" t="n">
        <v>3</v>
      </c>
      <c r="F472" t="n">
        <v>2</v>
      </c>
      <c r="G472" t="n">
        <v>4</v>
      </c>
      <c r="I472">
        <f>IF(D472="Red",B472,NA())</f>
        <v/>
      </c>
      <c r="J472">
        <f>IF(D472="Red",C472,NA())</f>
        <v/>
      </c>
      <c r="K472">
        <f>IF(D472="Black",B472,NA())</f>
        <v/>
      </c>
      <c r="L472">
        <f>IF(D472="Black",C472,NA())</f>
        <v/>
      </c>
    </row>
    <row r="473">
      <c r="A473" t="n">
        <v>472</v>
      </c>
      <c r="B473">
        <f>RAND()*4+1</f>
        <v/>
      </c>
      <c r="C473">
        <f>RAND()*4+1</f>
        <v/>
      </c>
      <c r="D473">
        <f>IF(OR(AND(B473&gt;3,C473&lt;4),AND(B473&lt;=3,C473&lt;2)),"Red","Black")</f>
        <v/>
      </c>
      <c r="E473" t="n">
        <v>3</v>
      </c>
      <c r="F473" t="n">
        <v>2</v>
      </c>
      <c r="G473" t="n">
        <v>4</v>
      </c>
      <c r="I473">
        <f>IF(D473="Red",B473,NA())</f>
        <v/>
      </c>
      <c r="J473">
        <f>IF(D473="Red",C473,NA())</f>
        <v/>
      </c>
      <c r="K473">
        <f>IF(D473="Black",B473,NA())</f>
        <v/>
      </c>
      <c r="L473">
        <f>IF(D473="Black",C473,NA())</f>
        <v/>
      </c>
    </row>
    <row r="474">
      <c r="A474" t="n">
        <v>473</v>
      </c>
      <c r="B474">
        <f>RAND()*4+1</f>
        <v/>
      </c>
      <c r="C474">
        <f>RAND()*4+1</f>
        <v/>
      </c>
      <c r="D474">
        <f>IF(OR(AND(B474&gt;3,C474&lt;4),AND(B474&lt;=3,C474&lt;2)),"Red","Black")</f>
        <v/>
      </c>
      <c r="E474" t="n">
        <v>3</v>
      </c>
      <c r="F474" t="n">
        <v>2</v>
      </c>
      <c r="G474" t="n">
        <v>4</v>
      </c>
      <c r="I474">
        <f>IF(D474="Red",B474,NA())</f>
        <v/>
      </c>
      <c r="J474">
        <f>IF(D474="Red",C474,NA())</f>
        <v/>
      </c>
      <c r="K474">
        <f>IF(D474="Black",B474,NA())</f>
        <v/>
      </c>
      <c r="L474">
        <f>IF(D474="Black",C474,NA())</f>
        <v/>
      </c>
    </row>
    <row r="475">
      <c r="A475" t="n">
        <v>474</v>
      </c>
      <c r="B475">
        <f>RAND()*4+1</f>
        <v/>
      </c>
      <c r="C475">
        <f>RAND()*4+1</f>
        <v/>
      </c>
      <c r="D475">
        <f>IF(OR(AND(B475&gt;3,C475&lt;4),AND(B475&lt;=3,C475&lt;2)),"Red","Black")</f>
        <v/>
      </c>
      <c r="E475" t="n">
        <v>3</v>
      </c>
      <c r="F475" t="n">
        <v>2</v>
      </c>
      <c r="G475" t="n">
        <v>4</v>
      </c>
      <c r="I475">
        <f>IF(D475="Red",B475,NA())</f>
        <v/>
      </c>
      <c r="J475">
        <f>IF(D475="Red",C475,NA())</f>
        <v/>
      </c>
      <c r="K475">
        <f>IF(D475="Black",B475,NA())</f>
        <v/>
      </c>
      <c r="L475">
        <f>IF(D475="Black",C475,NA())</f>
        <v/>
      </c>
    </row>
    <row r="476">
      <c r="A476" t="n">
        <v>475</v>
      </c>
      <c r="B476">
        <f>RAND()*4+1</f>
        <v/>
      </c>
      <c r="C476">
        <f>RAND()*4+1</f>
        <v/>
      </c>
      <c r="D476">
        <f>IF(OR(AND(B476&gt;3,C476&lt;4),AND(B476&lt;=3,C476&lt;2)),"Red","Black")</f>
        <v/>
      </c>
      <c r="E476" t="n">
        <v>3</v>
      </c>
      <c r="F476" t="n">
        <v>2</v>
      </c>
      <c r="G476" t="n">
        <v>4</v>
      </c>
      <c r="I476">
        <f>IF(D476="Red",B476,NA())</f>
        <v/>
      </c>
      <c r="J476">
        <f>IF(D476="Red",C476,NA())</f>
        <v/>
      </c>
      <c r="K476">
        <f>IF(D476="Black",B476,NA())</f>
        <v/>
      </c>
      <c r="L476">
        <f>IF(D476="Black",C476,NA())</f>
        <v/>
      </c>
    </row>
    <row r="477">
      <c r="A477" t="n">
        <v>476</v>
      </c>
      <c r="B477">
        <f>RAND()*4+1</f>
        <v/>
      </c>
      <c r="C477">
        <f>RAND()*4+1</f>
        <v/>
      </c>
      <c r="D477">
        <f>IF(OR(AND(B477&gt;3,C477&lt;4),AND(B477&lt;=3,C477&lt;2)),"Red","Black")</f>
        <v/>
      </c>
      <c r="E477" t="n">
        <v>3</v>
      </c>
      <c r="F477" t="n">
        <v>2</v>
      </c>
      <c r="G477" t="n">
        <v>4</v>
      </c>
      <c r="I477">
        <f>IF(D477="Red",B477,NA())</f>
        <v/>
      </c>
      <c r="J477">
        <f>IF(D477="Red",C477,NA())</f>
        <v/>
      </c>
      <c r="K477">
        <f>IF(D477="Black",B477,NA())</f>
        <v/>
      </c>
      <c r="L477">
        <f>IF(D477="Black",C477,NA())</f>
        <v/>
      </c>
    </row>
    <row r="478">
      <c r="A478" t="n">
        <v>477</v>
      </c>
      <c r="B478">
        <f>RAND()*4+1</f>
        <v/>
      </c>
      <c r="C478">
        <f>RAND()*4+1</f>
        <v/>
      </c>
      <c r="D478">
        <f>IF(OR(AND(B478&gt;3,C478&lt;4),AND(B478&lt;=3,C478&lt;2)),"Red","Black")</f>
        <v/>
      </c>
      <c r="E478" t="n">
        <v>3</v>
      </c>
      <c r="F478" t="n">
        <v>2</v>
      </c>
      <c r="G478" t="n">
        <v>4</v>
      </c>
      <c r="I478">
        <f>IF(D478="Red",B478,NA())</f>
        <v/>
      </c>
      <c r="J478">
        <f>IF(D478="Red",C478,NA())</f>
        <v/>
      </c>
      <c r="K478">
        <f>IF(D478="Black",B478,NA())</f>
        <v/>
      </c>
      <c r="L478">
        <f>IF(D478="Black",C478,NA())</f>
        <v/>
      </c>
    </row>
    <row r="479">
      <c r="A479" t="n">
        <v>478</v>
      </c>
      <c r="B479">
        <f>RAND()*4+1</f>
        <v/>
      </c>
      <c r="C479">
        <f>RAND()*4+1</f>
        <v/>
      </c>
      <c r="D479">
        <f>IF(OR(AND(B479&gt;3,C479&lt;4),AND(B479&lt;=3,C479&lt;2)),"Red","Black")</f>
        <v/>
      </c>
      <c r="E479" t="n">
        <v>3</v>
      </c>
      <c r="F479" t="n">
        <v>2</v>
      </c>
      <c r="G479" t="n">
        <v>4</v>
      </c>
      <c r="I479">
        <f>IF(D479="Red",B479,NA())</f>
        <v/>
      </c>
      <c r="J479">
        <f>IF(D479="Red",C479,NA())</f>
        <v/>
      </c>
      <c r="K479">
        <f>IF(D479="Black",B479,NA())</f>
        <v/>
      </c>
      <c r="L479">
        <f>IF(D479="Black",C479,NA())</f>
        <v/>
      </c>
    </row>
    <row r="480">
      <c r="A480" t="n">
        <v>479</v>
      </c>
      <c r="B480">
        <f>RAND()*4+1</f>
        <v/>
      </c>
      <c r="C480">
        <f>RAND()*4+1</f>
        <v/>
      </c>
      <c r="D480">
        <f>IF(OR(AND(B480&gt;3,C480&lt;4),AND(B480&lt;=3,C480&lt;2)),"Red","Black")</f>
        <v/>
      </c>
      <c r="E480" t="n">
        <v>3</v>
      </c>
      <c r="F480" t="n">
        <v>2</v>
      </c>
      <c r="G480" t="n">
        <v>4</v>
      </c>
      <c r="I480">
        <f>IF(D480="Red",B480,NA())</f>
        <v/>
      </c>
      <c r="J480">
        <f>IF(D480="Red",C480,NA())</f>
        <v/>
      </c>
      <c r="K480">
        <f>IF(D480="Black",B480,NA())</f>
        <v/>
      </c>
      <c r="L480">
        <f>IF(D480="Black",C480,NA())</f>
        <v/>
      </c>
    </row>
    <row r="481">
      <c r="A481" t="n">
        <v>480</v>
      </c>
      <c r="B481">
        <f>RAND()*4+1</f>
        <v/>
      </c>
      <c r="C481">
        <f>RAND()*4+1</f>
        <v/>
      </c>
      <c r="D481">
        <f>IF(OR(AND(B481&gt;3,C481&lt;4),AND(B481&lt;=3,C481&lt;2)),"Red","Black")</f>
        <v/>
      </c>
      <c r="E481" t="n">
        <v>3</v>
      </c>
      <c r="F481" t="n">
        <v>2</v>
      </c>
      <c r="G481" t="n">
        <v>4</v>
      </c>
      <c r="I481">
        <f>IF(D481="Red",B481,NA())</f>
        <v/>
      </c>
      <c r="J481">
        <f>IF(D481="Red",C481,NA())</f>
        <v/>
      </c>
      <c r="K481">
        <f>IF(D481="Black",B481,NA())</f>
        <v/>
      </c>
      <c r="L481">
        <f>IF(D481="Black",C481,NA())</f>
        <v/>
      </c>
    </row>
    <row r="482">
      <c r="A482" t="n">
        <v>481</v>
      </c>
      <c r="B482">
        <f>RAND()*4+1</f>
        <v/>
      </c>
      <c r="C482">
        <f>RAND()*4+1</f>
        <v/>
      </c>
      <c r="D482">
        <f>IF(OR(AND(B482&gt;3,C482&lt;4),AND(B482&lt;=3,C482&lt;2)),"Red","Black")</f>
        <v/>
      </c>
      <c r="E482" t="n">
        <v>3</v>
      </c>
      <c r="F482" t="n">
        <v>2</v>
      </c>
      <c r="G482" t="n">
        <v>4</v>
      </c>
      <c r="I482">
        <f>IF(D482="Red",B482,NA())</f>
        <v/>
      </c>
      <c r="J482">
        <f>IF(D482="Red",C482,NA())</f>
        <v/>
      </c>
      <c r="K482">
        <f>IF(D482="Black",B482,NA())</f>
        <v/>
      </c>
      <c r="L482">
        <f>IF(D482="Black",C482,NA())</f>
        <v/>
      </c>
    </row>
    <row r="483">
      <c r="A483" t="n">
        <v>482</v>
      </c>
      <c r="B483">
        <f>RAND()*4+1</f>
        <v/>
      </c>
      <c r="C483">
        <f>RAND()*4+1</f>
        <v/>
      </c>
      <c r="D483">
        <f>IF(OR(AND(B483&gt;3,C483&lt;4),AND(B483&lt;=3,C483&lt;2)),"Red","Black")</f>
        <v/>
      </c>
      <c r="E483" t="n">
        <v>3</v>
      </c>
      <c r="F483" t="n">
        <v>2</v>
      </c>
      <c r="G483" t="n">
        <v>4</v>
      </c>
      <c r="I483">
        <f>IF(D483="Red",B483,NA())</f>
        <v/>
      </c>
      <c r="J483">
        <f>IF(D483="Red",C483,NA())</f>
        <v/>
      </c>
      <c r="K483">
        <f>IF(D483="Black",B483,NA())</f>
        <v/>
      </c>
      <c r="L483">
        <f>IF(D483="Black",C483,NA())</f>
        <v/>
      </c>
    </row>
    <row r="484">
      <c r="A484" t="n">
        <v>483</v>
      </c>
      <c r="B484">
        <f>RAND()*4+1</f>
        <v/>
      </c>
      <c r="C484">
        <f>RAND()*4+1</f>
        <v/>
      </c>
      <c r="D484">
        <f>IF(OR(AND(B484&gt;3,C484&lt;4),AND(B484&lt;=3,C484&lt;2)),"Red","Black")</f>
        <v/>
      </c>
      <c r="E484" t="n">
        <v>3</v>
      </c>
      <c r="F484" t="n">
        <v>2</v>
      </c>
      <c r="G484" t="n">
        <v>4</v>
      </c>
      <c r="I484">
        <f>IF(D484="Red",B484,NA())</f>
        <v/>
      </c>
      <c r="J484">
        <f>IF(D484="Red",C484,NA())</f>
        <v/>
      </c>
      <c r="K484">
        <f>IF(D484="Black",B484,NA())</f>
        <v/>
      </c>
      <c r="L484">
        <f>IF(D484="Black",C484,NA())</f>
        <v/>
      </c>
    </row>
    <row r="485">
      <c r="A485" t="n">
        <v>484</v>
      </c>
      <c r="B485">
        <f>RAND()*4+1</f>
        <v/>
      </c>
      <c r="C485">
        <f>RAND()*4+1</f>
        <v/>
      </c>
      <c r="D485">
        <f>IF(OR(AND(B485&gt;3,C485&lt;4),AND(B485&lt;=3,C485&lt;2)),"Red","Black")</f>
        <v/>
      </c>
      <c r="E485" t="n">
        <v>3</v>
      </c>
      <c r="F485" t="n">
        <v>2</v>
      </c>
      <c r="G485" t="n">
        <v>4</v>
      </c>
      <c r="I485">
        <f>IF(D485="Red",B485,NA())</f>
        <v/>
      </c>
      <c r="J485">
        <f>IF(D485="Red",C485,NA())</f>
        <v/>
      </c>
      <c r="K485">
        <f>IF(D485="Black",B485,NA())</f>
        <v/>
      </c>
      <c r="L485">
        <f>IF(D485="Black",C485,NA())</f>
        <v/>
      </c>
    </row>
    <row r="486">
      <c r="A486" t="n">
        <v>485</v>
      </c>
      <c r="B486">
        <f>RAND()*4+1</f>
        <v/>
      </c>
      <c r="C486">
        <f>RAND()*4+1</f>
        <v/>
      </c>
      <c r="D486">
        <f>IF(OR(AND(B486&gt;3,C486&lt;4),AND(B486&lt;=3,C486&lt;2)),"Red","Black")</f>
        <v/>
      </c>
      <c r="E486" t="n">
        <v>3</v>
      </c>
      <c r="F486" t="n">
        <v>2</v>
      </c>
      <c r="G486" t="n">
        <v>4</v>
      </c>
      <c r="I486">
        <f>IF(D486="Red",B486,NA())</f>
        <v/>
      </c>
      <c r="J486">
        <f>IF(D486="Red",C486,NA())</f>
        <v/>
      </c>
      <c r="K486">
        <f>IF(D486="Black",B486,NA())</f>
        <v/>
      </c>
      <c r="L486">
        <f>IF(D486="Black",C486,NA())</f>
        <v/>
      </c>
    </row>
    <row r="487">
      <c r="A487" t="n">
        <v>486</v>
      </c>
      <c r="B487">
        <f>RAND()*4+1</f>
        <v/>
      </c>
      <c r="C487">
        <f>RAND()*4+1</f>
        <v/>
      </c>
      <c r="D487">
        <f>IF(OR(AND(B487&gt;3,C487&lt;4),AND(B487&lt;=3,C487&lt;2)),"Red","Black")</f>
        <v/>
      </c>
      <c r="E487" t="n">
        <v>3</v>
      </c>
      <c r="F487" t="n">
        <v>2</v>
      </c>
      <c r="G487" t="n">
        <v>4</v>
      </c>
      <c r="I487">
        <f>IF(D487="Red",B487,NA())</f>
        <v/>
      </c>
      <c r="J487">
        <f>IF(D487="Red",C487,NA())</f>
        <v/>
      </c>
      <c r="K487">
        <f>IF(D487="Black",B487,NA())</f>
        <v/>
      </c>
      <c r="L487">
        <f>IF(D487="Black",C487,NA())</f>
        <v/>
      </c>
    </row>
    <row r="488">
      <c r="A488" t="n">
        <v>487</v>
      </c>
      <c r="B488">
        <f>RAND()*4+1</f>
        <v/>
      </c>
      <c r="C488">
        <f>RAND()*4+1</f>
        <v/>
      </c>
      <c r="D488">
        <f>IF(OR(AND(B488&gt;3,C488&lt;4),AND(B488&lt;=3,C488&lt;2)),"Red","Black")</f>
        <v/>
      </c>
      <c r="E488" t="n">
        <v>3</v>
      </c>
      <c r="F488" t="n">
        <v>2</v>
      </c>
      <c r="G488" t="n">
        <v>4</v>
      </c>
      <c r="I488">
        <f>IF(D488="Red",B488,NA())</f>
        <v/>
      </c>
      <c r="J488">
        <f>IF(D488="Red",C488,NA())</f>
        <v/>
      </c>
      <c r="K488">
        <f>IF(D488="Black",B488,NA())</f>
        <v/>
      </c>
      <c r="L488">
        <f>IF(D488="Black",C488,NA())</f>
        <v/>
      </c>
    </row>
    <row r="489">
      <c r="A489" t="n">
        <v>488</v>
      </c>
      <c r="B489">
        <f>RAND()*4+1</f>
        <v/>
      </c>
      <c r="C489">
        <f>RAND()*4+1</f>
        <v/>
      </c>
      <c r="D489">
        <f>IF(OR(AND(B489&gt;3,C489&lt;4),AND(B489&lt;=3,C489&lt;2)),"Red","Black")</f>
        <v/>
      </c>
      <c r="E489" t="n">
        <v>3</v>
      </c>
      <c r="F489" t="n">
        <v>2</v>
      </c>
      <c r="G489" t="n">
        <v>4</v>
      </c>
      <c r="I489">
        <f>IF(D489="Red",B489,NA())</f>
        <v/>
      </c>
      <c r="J489">
        <f>IF(D489="Red",C489,NA())</f>
        <v/>
      </c>
      <c r="K489">
        <f>IF(D489="Black",B489,NA())</f>
        <v/>
      </c>
      <c r="L489">
        <f>IF(D489="Black",C489,NA())</f>
        <v/>
      </c>
    </row>
    <row r="490">
      <c r="A490" t="n">
        <v>489</v>
      </c>
      <c r="B490">
        <f>RAND()*4+1</f>
        <v/>
      </c>
      <c r="C490">
        <f>RAND()*4+1</f>
        <v/>
      </c>
      <c r="D490">
        <f>IF(OR(AND(B490&gt;3,C490&lt;4),AND(B490&lt;=3,C490&lt;2)),"Red","Black")</f>
        <v/>
      </c>
      <c r="E490" t="n">
        <v>3</v>
      </c>
      <c r="F490" t="n">
        <v>2</v>
      </c>
      <c r="G490" t="n">
        <v>4</v>
      </c>
      <c r="I490">
        <f>IF(D490="Red",B490,NA())</f>
        <v/>
      </c>
      <c r="J490">
        <f>IF(D490="Red",C490,NA())</f>
        <v/>
      </c>
      <c r="K490">
        <f>IF(D490="Black",B490,NA())</f>
        <v/>
      </c>
      <c r="L490">
        <f>IF(D490="Black",C490,NA())</f>
        <v/>
      </c>
    </row>
    <row r="491">
      <c r="A491" t="n">
        <v>490</v>
      </c>
      <c r="B491">
        <f>RAND()*4+1</f>
        <v/>
      </c>
      <c r="C491">
        <f>RAND()*4+1</f>
        <v/>
      </c>
      <c r="D491">
        <f>IF(OR(AND(B491&gt;3,C491&lt;4),AND(B491&lt;=3,C491&lt;2)),"Red","Black")</f>
        <v/>
      </c>
      <c r="E491" t="n">
        <v>3</v>
      </c>
      <c r="F491" t="n">
        <v>2</v>
      </c>
      <c r="G491" t="n">
        <v>4</v>
      </c>
      <c r="I491">
        <f>IF(D491="Red",B491,NA())</f>
        <v/>
      </c>
      <c r="J491">
        <f>IF(D491="Red",C491,NA())</f>
        <v/>
      </c>
      <c r="K491">
        <f>IF(D491="Black",B491,NA())</f>
        <v/>
      </c>
      <c r="L491">
        <f>IF(D491="Black",C491,NA())</f>
        <v/>
      </c>
    </row>
    <row r="492">
      <c r="A492" t="n">
        <v>491</v>
      </c>
      <c r="B492">
        <f>RAND()*4+1</f>
        <v/>
      </c>
      <c r="C492">
        <f>RAND()*4+1</f>
        <v/>
      </c>
      <c r="D492">
        <f>IF(OR(AND(B492&gt;3,C492&lt;4),AND(B492&lt;=3,C492&lt;2)),"Red","Black")</f>
        <v/>
      </c>
      <c r="E492" t="n">
        <v>3</v>
      </c>
      <c r="F492" t="n">
        <v>2</v>
      </c>
      <c r="G492" t="n">
        <v>4</v>
      </c>
      <c r="I492">
        <f>IF(D492="Red",B492,NA())</f>
        <v/>
      </c>
      <c r="J492">
        <f>IF(D492="Red",C492,NA())</f>
        <v/>
      </c>
      <c r="K492">
        <f>IF(D492="Black",B492,NA())</f>
        <v/>
      </c>
      <c r="L492">
        <f>IF(D492="Black",C492,NA())</f>
        <v/>
      </c>
    </row>
    <row r="493">
      <c r="A493" t="n">
        <v>492</v>
      </c>
      <c r="B493">
        <f>RAND()*4+1</f>
        <v/>
      </c>
      <c r="C493">
        <f>RAND()*4+1</f>
        <v/>
      </c>
      <c r="D493">
        <f>IF(OR(AND(B493&gt;3,C493&lt;4),AND(B493&lt;=3,C493&lt;2)),"Red","Black")</f>
        <v/>
      </c>
      <c r="E493" t="n">
        <v>3</v>
      </c>
      <c r="F493" t="n">
        <v>2</v>
      </c>
      <c r="G493" t="n">
        <v>4</v>
      </c>
      <c r="I493">
        <f>IF(D493="Red",B493,NA())</f>
        <v/>
      </c>
      <c r="J493">
        <f>IF(D493="Red",C493,NA())</f>
        <v/>
      </c>
      <c r="K493">
        <f>IF(D493="Black",B493,NA())</f>
        <v/>
      </c>
      <c r="L493">
        <f>IF(D493="Black",C493,NA())</f>
        <v/>
      </c>
    </row>
    <row r="494">
      <c r="A494" t="n">
        <v>493</v>
      </c>
      <c r="B494">
        <f>RAND()*4+1</f>
        <v/>
      </c>
      <c r="C494">
        <f>RAND()*4+1</f>
        <v/>
      </c>
      <c r="D494">
        <f>IF(OR(AND(B494&gt;3,C494&lt;4),AND(B494&lt;=3,C494&lt;2)),"Red","Black")</f>
        <v/>
      </c>
      <c r="E494" t="n">
        <v>3</v>
      </c>
      <c r="F494" t="n">
        <v>2</v>
      </c>
      <c r="G494" t="n">
        <v>4</v>
      </c>
      <c r="I494">
        <f>IF(D494="Red",B494,NA())</f>
        <v/>
      </c>
      <c r="J494">
        <f>IF(D494="Red",C494,NA())</f>
        <v/>
      </c>
      <c r="K494">
        <f>IF(D494="Black",B494,NA())</f>
        <v/>
      </c>
      <c r="L494">
        <f>IF(D494="Black",C494,NA())</f>
        <v/>
      </c>
    </row>
    <row r="495">
      <c r="A495" t="n">
        <v>494</v>
      </c>
      <c r="B495">
        <f>RAND()*4+1</f>
        <v/>
      </c>
      <c r="C495">
        <f>RAND()*4+1</f>
        <v/>
      </c>
      <c r="D495">
        <f>IF(OR(AND(B495&gt;3,C495&lt;4),AND(B495&lt;=3,C495&lt;2)),"Red","Black")</f>
        <v/>
      </c>
      <c r="E495" t="n">
        <v>3</v>
      </c>
      <c r="F495" t="n">
        <v>2</v>
      </c>
      <c r="G495" t="n">
        <v>4</v>
      </c>
      <c r="I495">
        <f>IF(D495="Red",B495,NA())</f>
        <v/>
      </c>
      <c r="J495">
        <f>IF(D495="Red",C495,NA())</f>
        <v/>
      </c>
      <c r="K495">
        <f>IF(D495="Black",B495,NA())</f>
        <v/>
      </c>
      <c r="L495">
        <f>IF(D495="Black",C495,NA())</f>
        <v/>
      </c>
    </row>
    <row r="496">
      <c r="A496" t="n">
        <v>495</v>
      </c>
      <c r="B496">
        <f>RAND()*4+1</f>
        <v/>
      </c>
      <c r="C496">
        <f>RAND()*4+1</f>
        <v/>
      </c>
      <c r="D496">
        <f>IF(OR(AND(B496&gt;3,C496&lt;4),AND(B496&lt;=3,C496&lt;2)),"Red","Black")</f>
        <v/>
      </c>
      <c r="E496" t="n">
        <v>3</v>
      </c>
      <c r="F496" t="n">
        <v>2</v>
      </c>
      <c r="G496" t="n">
        <v>4</v>
      </c>
      <c r="I496">
        <f>IF(D496="Red",B496,NA())</f>
        <v/>
      </c>
      <c r="J496">
        <f>IF(D496="Red",C496,NA())</f>
        <v/>
      </c>
      <c r="K496">
        <f>IF(D496="Black",B496,NA())</f>
        <v/>
      </c>
      <c r="L496">
        <f>IF(D496="Black",C496,NA())</f>
        <v/>
      </c>
    </row>
    <row r="497">
      <c r="A497" t="n">
        <v>496</v>
      </c>
      <c r="B497">
        <f>RAND()*4+1</f>
        <v/>
      </c>
      <c r="C497">
        <f>RAND()*4+1</f>
        <v/>
      </c>
      <c r="D497">
        <f>IF(OR(AND(B497&gt;3,C497&lt;4),AND(B497&lt;=3,C497&lt;2)),"Red","Black")</f>
        <v/>
      </c>
      <c r="E497" t="n">
        <v>3</v>
      </c>
      <c r="F497" t="n">
        <v>2</v>
      </c>
      <c r="G497" t="n">
        <v>4</v>
      </c>
      <c r="I497">
        <f>IF(D497="Red",B497,NA())</f>
        <v/>
      </c>
      <c r="J497">
        <f>IF(D497="Red",C497,NA())</f>
        <v/>
      </c>
      <c r="K497">
        <f>IF(D497="Black",B497,NA())</f>
        <v/>
      </c>
      <c r="L497">
        <f>IF(D497="Black",C497,NA())</f>
        <v/>
      </c>
    </row>
    <row r="498">
      <c r="A498" t="n">
        <v>497</v>
      </c>
      <c r="B498">
        <f>RAND()*4+1</f>
        <v/>
      </c>
      <c r="C498">
        <f>RAND()*4+1</f>
        <v/>
      </c>
      <c r="D498">
        <f>IF(OR(AND(B498&gt;3,C498&lt;4),AND(B498&lt;=3,C498&lt;2)),"Red","Black")</f>
        <v/>
      </c>
      <c r="E498" t="n">
        <v>3</v>
      </c>
      <c r="F498" t="n">
        <v>2</v>
      </c>
      <c r="G498" t="n">
        <v>4</v>
      </c>
      <c r="I498">
        <f>IF(D498="Red",B498,NA())</f>
        <v/>
      </c>
      <c r="J498">
        <f>IF(D498="Red",C498,NA())</f>
        <v/>
      </c>
      <c r="K498">
        <f>IF(D498="Black",B498,NA())</f>
        <v/>
      </c>
      <c r="L498">
        <f>IF(D498="Black",C498,NA())</f>
        <v/>
      </c>
    </row>
    <row r="499">
      <c r="A499" t="n">
        <v>498</v>
      </c>
      <c r="B499">
        <f>RAND()*4+1</f>
        <v/>
      </c>
      <c r="C499">
        <f>RAND()*4+1</f>
        <v/>
      </c>
      <c r="D499">
        <f>IF(OR(AND(B499&gt;3,C499&lt;4),AND(B499&lt;=3,C499&lt;2)),"Red","Black")</f>
        <v/>
      </c>
      <c r="E499" t="n">
        <v>3</v>
      </c>
      <c r="F499" t="n">
        <v>2</v>
      </c>
      <c r="G499" t="n">
        <v>4</v>
      </c>
      <c r="I499">
        <f>IF(D499="Red",B499,NA())</f>
        <v/>
      </c>
      <c r="J499">
        <f>IF(D499="Red",C499,NA())</f>
        <v/>
      </c>
      <c r="K499">
        <f>IF(D499="Black",B499,NA())</f>
        <v/>
      </c>
      <c r="L499">
        <f>IF(D499="Black",C499,NA())</f>
        <v/>
      </c>
    </row>
    <row r="500">
      <c r="A500" t="n">
        <v>499</v>
      </c>
      <c r="B500">
        <f>RAND()*4+1</f>
        <v/>
      </c>
      <c r="C500">
        <f>RAND()*4+1</f>
        <v/>
      </c>
      <c r="D500">
        <f>IF(OR(AND(B500&gt;3,C500&lt;4),AND(B500&lt;=3,C500&lt;2)),"Red","Black")</f>
        <v/>
      </c>
      <c r="E500" t="n">
        <v>3</v>
      </c>
      <c r="F500" t="n">
        <v>2</v>
      </c>
      <c r="G500" t="n">
        <v>4</v>
      </c>
      <c r="I500">
        <f>IF(D500="Red",B500,NA())</f>
        <v/>
      </c>
      <c r="J500">
        <f>IF(D500="Red",C500,NA())</f>
        <v/>
      </c>
      <c r="K500">
        <f>IF(D500="Black",B500,NA())</f>
        <v/>
      </c>
      <c r="L500">
        <f>IF(D500="Black",C500,NA())</f>
        <v/>
      </c>
    </row>
    <row r="501">
      <c r="A501" t="n">
        <v>500</v>
      </c>
      <c r="B501">
        <f>RAND()*4+1</f>
        <v/>
      </c>
      <c r="C501">
        <f>RAND()*4+1</f>
        <v/>
      </c>
      <c r="D501">
        <f>IF(OR(AND(B501&gt;3,C501&lt;4),AND(B501&lt;=3,C501&lt;2)),"Red","Black")</f>
        <v/>
      </c>
      <c r="E501" t="n">
        <v>3</v>
      </c>
      <c r="F501" t="n">
        <v>2</v>
      </c>
      <c r="G501" t="n">
        <v>4</v>
      </c>
      <c r="I501">
        <f>IF(D501="Red",B501,NA())</f>
        <v/>
      </c>
      <c r="J501">
        <f>IF(D501="Red",C501,NA())</f>
        <v/>
      </c>
      <c r="K501">
        <f>IF(D501="Black",B501,NA())</f>
        <v/>
      </c>
      <c r="L501">
        <f>IF(D501="Black",C501,NA())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7" customWidth="1" min="5" max="5"/>
    <col width="14" customWidth="1" min="6" max="6"/>
    <col width="14" customWidth="1" min="7" max="7"/>
    <col width="18" customWidth="1" min="8" max="8"/>
    <col width="15" customWidth="1" min="9" max="9"/>
    <col width="14" customWidth="1" min="10" max="10"/>
    <col width="25" customWidth="1" min="11" max="11"/>
    <col width="17" customWidth="1" min="12" max="12"/>
    <col width="14" customWidth="1" min="13" max="13"/>
    <col width="13" customWidth="1" min="14" max="14"/>
    <col width="13" customWidth="1" min="15" max="15"/>
  </cols>
  <sheetData>
    <row r="1">
      <c r="A1" t="inlineStr">
        <is>
          <t>row_id</t>
        </is>
      </c>
      <c r="B1" t="inlineStr">
        <is>
          <t>set</t>
        </is>
      </c>
      <c r="C1" t="inlineStr">
        <is>
          <t>actual_label</t>
        </is>
      </c>
      <c r="D1" t="inlineStr">
        <is>
          <t>actual_num</t>
        </is>
      </c>
      <c r="E1" t="inlineStr">
        <is>
          <t>perimeter_worst</t>
        </is>
      </c>
      <c r="F1" t="inlineStr">
        <is>
          <t>points_worst</t>
        </is>
      </c>
      <c r="G1" t="inlineStr">
        <is>
          <t>radius_worst</t>
        </is>
      </c>
      <c r="H1" t="inlineStr">
        <is>
          <t>smoothness_worst</t>
        </is>
      </c>
      <c r="I1" t="inlineStr">
        <is>
          <t>texture_worst</t>
        </is>
      </c>
      <c r="J1" t="inlineStr">
        <is>
          <t>texture_mean</t>
        </is>
      </c>
      <c r="K1" t="inlineStr">
        <is>
          <t>fractal_dimension_worst</t>
        </is>
      </c>
      <c r="L1" t="inlineStr">
        <is>
          <t>concavity_worst</t>
        </is>
      </c>
      <c r="M1" t="inlineStr">
        <is>
          <t>concavity_se</t>
        </is>
      </c>
      <c r="N1" t="inlineStr">
        <is>
          <t>radius_mean</t>
        </is>
      </c>
      <c r="O1" t="inlineStr">
        <is>
          <t>area_worst</t>
        </is>
      </c>
    </row>
    <row r="2">
      <c r="A2" t="n">
        <v>1</v>
      </c>
      <c r="B2" t="inlineStr">
        <is>
          <t>Train</t>
        </is>
      </c>
      <c r="C2" t="inlineStr">
        <is>
          <t>Malignant</t>
        </is>
      </c>
      <c r="D2" t="n">
        <v>1</v>
      </c>
      <c r="E2" t="n">
        <v>184.6</v>
      </c>
      <c r="F2" t="n">
        <v>0.2654</v>
      </c>
      <c r="G2" t="n">
        <v>25.38</v>
      </c>
      <c r="H2" t="n">
        <v>0.1622</v>
      </c>
      <c r="I2" t="n">
        <v>17.33</v>
      </c>
      <c r="J2" t="n">
        <v>10.38</v>
      </c>
      <c r="K2" t="n">
        <v>0.1189</v>
      </c>
      <c r="L2" t="n">
        <v>0.7119</v>
      </c>
      <c r="M2" t="n">
        <v>0.05373</v>
      </c>
      <c r="N2" t="n">
        <v>17.99</v>
      </c>
      <c r="O2" t="n">
        <v>2019</v>
      </c>
    </row>
    <row r="3">
      <c r="A3" t="n">
        <v>2</v>
      </c>
      <c r="B3" t="inlineStr">
        <is>
          <t>Train</t>
        </is>
      </c>
      <c r="C3" t="inlineStr">
        <is>
          <t>Malignant</t>
        </is>
      </c>
      <c r="D3" t="n">
        <v>1</v>
      </c>
      <c r="E3" t="n">
        <v>158.8</v>
      </c>
      <c r="F3" t="n">
        <v>0.186</v>
      </c>
      <c r="G3" t="n">
        <v>24.99</v>
      </c>
      <c r="H3" t="n">
        <v>0.1238</v>
      </c>
      <c r="I3" t="n">
        <v>23.41</v>
      </c>
      <c r="J3" t="n">
        <v>17.77</v>
      </c>
      <c r="K3" t="n">
        <v>0.08902</v>
      </c>
      <c r="L3" t="n">
        <v>0.2416</v>
      </c>
      <c r="M3" t="n">
        <v>0.0186</v>
      </c>
      <c r="N3" t="n">
        <v>20.57</v>
      </c>
      <c r="O3" t="n">
        <v>1956</v>
      </c>
    </row>
    <row r="4">
      <c r="A4" t="n">
        <v>3</v>
      </c>
      <c r="B4" t="inlineStr">
        <is>
          <t>Train</t>
        </is>
      </c>
      <c r="C4" t="inlineStr">
        <is>
          <t>Malignant</t>
        </is>
      </c>
      <c r="D4" t="n">
        <v>1</v>
      </c>
      <c r="E4" t="n">
        <v>152.5</v>
      </c>
      <c r="F4" t="n">
        <v>0.243</v>
      </c>
      <c r="G4" t="n">
        <v>23.57</v>
      </c>
      <c r="H4" t="n">
        <v>0.1444</v>
      </c>
      <c r="I4" t="n">
        <v>25.53</v>
      </c>
      <c r="J4" t="n">
        <v>21.25</v>
      </c>
      <c r="K4" t="n">
        <v>0.08758000000000001</v>
      </c>
      <c r="L4" t="n">
        <v>0.4504</v>
      </c>
      <c r="M4" t="n">
        <v>0.03832</v>
      </c>
      <c r="N4" t="n">
        <v>19.69</v>
      </c>
      <c r="O4" t="n">
        <v>1709</v>
      </c>
    </row>
    <row r="5">
      <c r="A5" t="n">
        <v>4</v>
      </c>
      <c r="B5" t="inlineStr">
        <is>
          <t>Train</t>
        </is>
      </c>
      <c r="C5" t="inlineStr">
        <is>
          <t>Malignant</t>
        </is>
      </c>
      <c r="D5" t="n">
        <v>1</v>
      </c>
      <c r="E5" t="n">
        <v>98.87</v>
      </c>
      <c r="F5" t="n">
        <v>0.2575</v>
      </c>
      <c r="G5" t="n">
        <v>14.91</v>
      </c>
      <c r="H5" t="n">
        <v>0.2098</v>
      </c>
      <c r="I5" t="n">
        <v>26.5</v>
      </c>
      <c r="J5" t="n">
        <v>20.38</v>
      </c>
      <c r="K5" t="n">
        <v>0.173</v>
      </c>
      <c r="L5" t="n">
        <v>0.6869</v>
      </c>
      <c r="M5" t="n">
        <v>0.05661</v>
      </c>
      <c r="N5" t="n">
        <v>11.42</v>
      </c>
      <c r="O5" t="n">
        <v>567.7</v>
      </c>
    </row>
    <row r="6">
      <c r="A6" t="n">
        <v>5</v>
      </c>
      <c r="B6" t="inlineStr">
        <is>
          <t>Train</t>
        </is>
      </c>
      <c r="C6" t="inlineStr">
        <is>
          <t>Malignant</t>
        </is>
      </c>
      <c r="D6" t="n">
        <v>1</v>
      </c>
      <c r="E6" t="n">
        <v>152.2</v>
      </c>
      <c r="F6" t="n">
        <v>0.1625</v>
      </c>
      <c r="G6" t="n">
        <v>22.54</v>
      </c>
      <c r="H6" t="n">
        <v>0.1374</v>
      </c>
      <c r="I6" t="n">
        <v>16.67</v>
      </c>
      <c r="J6" t="n">
        <v>14.34</v>
      </c>
      <c r="K6" t="n">
        <v>0.07678</v>
      </c>
      <c r="L6" t="n">
        <v>0.4</v>
      </c>
      <c r="M6" t="n">
        <v>0.05688</v>
      </c>
      <c r="N6" t="n">
        <v>20.29</v>
      </c>
      <c r="O6" t="n">
        <v>1575</v>
      </c>
    </row>
    <row r="7">
      <c r="A7" t="n">
        <v>6</v>
      </c>
      <c r="B7" t="inlineStr">
        <is>
          <t>Train</t>
        </is>
      </c>
      <c r="C7" t="inlineStr">
        <is>
          <t>Malignant</t>
        </is>
      </c>
      <c r="D7" t="n">
        <v>1</v>
      </c>
      <c r="E7" t="n">
        <v>103.4</v>
      </c>
      <c r="F7" t="n">
        <v>0.1741</v>
      </c>
      <c r="G7" t="n">
        <v>15.47</v>
      </c>
      <c r="H7" t="n">
        <v>0.1791</v>
      </c>
      <c r="I7" t="n">
        <v>23.75</v>
      </c>
      <c r="J7" t="n">
        <v>15.7</v>
      </c>
      <c r="K7" t="n">
        <v>0.1244</v>
      </c>
      <c r="L7" t="n">
        <v>0.5355</v>
      </c>
      <c r="M7" t="n">
        <v>0.03672</v>
      </c>
      <c r="N7" t="n">
        <v>12.45</v>
      </c>
      <c r="O7" t="n">
        <v>741.6</v>
      </c>
    </row>
    <row r="8">
      <c r="A8" t="n">
        <v>7</v>
      </c>
      <c r="B8" t="inlineStr">
        <is>
          <t>Train</t>
        </is>
      </c>
      <c r="C8" t="inlineStr">
        <is>
          <t>Malignant</t>
        </is>
      </c>
      <c r="D8" t="n">
        <v>1</v>
      </c>
      <c r="E8" t="n">
        <v>153.2</v>
      </c>
      <c r="F8" t="n">
        <v>0.1932</v>
      </c>
      <c r="G8" t="n">
        <v>22.88</v>
      </c>
      <c r="H8" t="n">
        <v>0.1442</v>
      </c>
      <c r="I8" t="n">
        <v>27.66</v>
      </c>
      <c r="J8" t="n">
        <v>19.98</v>
      </c>
      <c r="K8" t="n">
        <v>0.08368</v>
      </c>
      <c r="L8" t="n">
        <v>0.3784</v>
      </c>
      <c r="M8" t="n">
        <v>0.02254</v>
      </c>
      <c r="N8" t="n">
        <v>18.25</v>
      </c>
      <c r="O8" t="n">
        <v>1606</v>
      </c>
    </row>
    <row r="9">
      <c r="A9" t="n">
        <v>9</v>
      </c>
      <c r="B9" t="inlineStr">
        <is>
          <t>Train</t>
        </is>
      </c>
      <c r="C9" t="inlineStr">
        <is>
          <t>Malignant</t>
        </is>
      </c>
      <c r="D9" t="n">
        <v>1</v>
      </c>
      <c r="E9" t="n">
        <v>106.2</v>
      </c>
      <c r="F9" t="n">
        <v>0.206</v>
      </c>
      <c r="G9" t="n">
        <v>15.49</v>
      </c>
      <c r="H9" t="n">
        <v>0.1703</v>
      </c>
      <c r="I9" t="n">
        <v>30.73</v>
      </c>
      <c r="J9" t="n">
        <v>21.82</v>
      </c>
      <c r="K9" t="n">
        <v>0.1072</v>
      </c>
      <c r="L9" t="n">
        <v>0.539</v>
      </c>
      <c r="M9" t="n">
        <v>0.03553</v>
      </c>
      <c r="N9" t="n">
        <v>13</v>
      </c>
      <c r="O9" t="n">
        <v>739.3</v>
      </c>
    </row>
    <row r="10">
      <c r="A10" t="n">
        <v>11</v>
      </c>
      <c r="B10" t="inlineStr">
        <is>
          <t>Train</t>
        </is>
      </c>
      <c r="C10" t="inlineStr">
        <is>
          <t>Malignant</t>
        </is>
      </c>
      <c r="D10" t="n">
        <v>1</v>
      </c>
      <c r="E10" t="n">
        <v>123.8</v>
      </c>
      <c r="F10" t="n">
        <v>0.09975000000000001</v>
      </c>
      <c r="G10" t="n">
        <v>19.19</v>
      </c>
      <c r="H10" t="n">
        <v>0.1181</v>
      </c>
      <c r="I10" t="n">
        <v>33.88</v>
      </c>
      <c r="J10" t="n">
        <v>23.24</v>
      </c>
      <c r="K10" t="n">
        <v>0.08452</v>
      </c>
      <c r="L10" t="n">
        <v>0.1459</v>
      </c>
      <c r="M10" t="n">
        <v>0.01101</v>
      </c>
      <c r="N10" t="n">
        <v>16.02</v>
      </c>
      <c r="O10" t="n">
        <v>1150</v>
      </c>
    </row>
    <row r="11">
      <c r="A11" t="n">
        <v>12</v>
      </c>
      <c r="B11" t="inlineStr">
        <is>
          <t>Train</t>
        </is>
      </c>
      <c r="C11" t="inlineStr">
        <is>
          <t>Malignant</t>
        </is>
      </c>
      <c r="D11" t="n">
        <v>1</v>
      </c>
      <c r="E11" t="n">
        <v>136.5</v>
      </c>
      <c r="F11" t="n">
        <v>0.181</v>
      </c>
      <c r="G11" t="n">
        <v>20.42</v>
      </c>
      <c r="H11" t="n">
        <v>0.1396</v>
      </c>
      <c r="I11" t="n">
        <v>27.28</v>
      </c>
      <c r="J11" t="n">
        <v>17.89</v>
      </c>
      <c r="K11" t="n">
        <v>0.1048</v>
      </c>
      <c r="L11" t="n">
        <v>0.3965</v>
      </c>
      <c r="M11" t="n">
        <v>0.02791</v>
      </c>
      <c r="N11" t="n">
        <v>15.78</v>
      </c>
      <c r="O11" t="n">
        <v>1299</v>
      </c>
    </row>
    <row r="12">
      <c r="A12" t="n">
        <v>13</v>
      </c>
      <c r="B12" t="inlineStr">
        <is>
          <t>Train</t>
        </is>
      </c>
      <c r="C12" t="inlineStr">
        <is>
          <t>Malignant</t>
        </is>
      </c>
      <c r="D12" t="n">
        <v>1</v>
      </c>
      <c r="E12" t="n">
        <v>151.7</v>
      </c>
      <c r="F12" t="n">
        <v>0.1767</v>
      </c>
      <c r="G12" t="n">
        <v>20.96</v>
      </c>
      <c r="H12" t="n">
        <v>0.1037</v>
      </c>
      <c r="I12" t="n">
        <v>29.94</v>
      </c>
      <c r="J12" t="n">
        <v>24.8</v>
      </c>
      <c r="K12" t="n">
        <v>0.1023</v>
      </c>
      <c r="L12" t="n">
        <v>0.3639</v>
      </c>
      <c r="M12" t="n">
        <v>0.08890000000000001</v>
      </c>
      <c r="N12" t="n">
        <v>19.17</v>
      </c>
      <c r="O12" t="n">
        <v>1332</v>
      </c>
    </row>
    <row r="13">
      <c r="A13" t="n">
        <v>15</v>
      </c>
      <c r="B13" t="inlineStr">
        <is>
          <t>Train</t>
        </is>
      </c>
      <c r="C13" t="inlineStr">
        <is>
          <t>Malignant</t>
        </is>
      </c>
      <c r="D13" t="n">
        <v>1</v>
      </c>
      <c r="E13" t="n">
        <v>108.8</v>
      </c>
      <c r="F13" t="n">
        <v>0.2208</v>
      </c>
      <c r="G13" t="n">
        <v>15.03</v>
      </c>
      <c r="H13" t="n">
        <v>0.1651</v>
      </c>
      <c r="I13" t="n">
        <v>32.01</v>
      </c>
      <c r="J13" t="n">
        <v>22.61</v>
      </c>
      <c r="K13" t="n">
        <v>0.1431</v>
      </c>
      <c r="L13" t="n">
        <v>0.6943</v>
      </c>
      <c r="M13" t="n">
        <v>0.05501</v>
      </c>
      <c r="N13" t="n">
        <v>13.73</v>
      </c>
      <c r="O13" t="n">
        <v>697.7</v>
      </c>
    </row>
    <row r="14">
      <c r="A14" t="n">
        <v>16</v>
      </c>
      <c r="B14" t="inlineStr">
        <is>
          <t>Train</t>
        </is>
      </c>
      <c r="C14" t="inlineStr">
        <is>
          <t>Malignant</t>
        </is>
      </c>
      <c r="D14" t="n">
        <v>1</v>
      </c>
      <c r="E14" t="n">
        <v>124.1</v>
      </c>
      <c r="F14" t="n">
        <v>0.1712</v>
      </c>
      <c r="G14" t="n">
        <v>17.46</v>
      </c>
      <c r="H14" t="n">
        <v>0.1678</v>
      </c>
      <c r="I14" t="n">
        <v>37.13</v>
      </c>
      <c r="J14" t="n">
        <v>27.54</v>
      </c>
      <c r="K14" t="n">
        <v>0.1341</v>
      </c>
      <c r="L14" t="n">
        <v>0.7026</v>
      </c>
      <c r="M14" t="n">
        <v>0.04741</v>
      </c>
      <c r="N14" t="n">
        <v>14.54</v>
      </c>
      <c r="O14" t="n">
        <v>943.2</v>
      </c>
    </row>
    <row r="15">
      <c r="A15" t="n">
        <v>18</v>
      </c>
      <c r="B15" t="inlineStr">
        <is>
          <t>Train</t>
        </is>
      </c>
      <c r="C15" t="inlineStr">
        <is>
          <t>Malignant</t>
        </is>
      </c>
      <c r="D15" t="n">
        <v>1</v>
      </c>
      <c r="E15" t="n">
        <v>136.8</v>
      </c>
      <c r="F15" t="n">
        <v>0.2073</v>
      </c>
      <c r="G15" t="n">
        <v>20.96</v>
      </c>
      <c r="H15" t="n">
        <v>0.1789</v>
      </c>
      <c r="I15" t="n">
        <v>31.48</v>
      </c>
      <c r="J15" t="n">
        <v>20.68</v>
      </c>
      <c r="K15" t="n">
        <v>0.1142</v>
      </c>
      <c r="L15" t="n">
        <v>0.4784</v>
      </c>
      <c r="M15" t="n">
        <v>0.03188</v>
      </c>
      <c r="N15" t="n">
        <v>16.13</v>
      </c>
      <c r="O15" t="n">
        <v>1315</v>
      </c>
    </row>
    <row r="16">
      <c r="A16" t="n">
        <v>19</v>
      </c>
      <c r="B16" t="inlineStr">
        <is>
          <t>Train</t>
        </is>
      </c>
      <c r="C16" t="inlineStr">
        <is>
          <t>Malignant</t>
        </is>
      </c>
      <c r="D16" t="n">
        <v>1</v>
      </c>
      <c r="E16" t="n">
        <v>186.8</v>
      </c>
      <c r="F16" t="n">
        <v>0.2388</v>
      </c>
      <c r="G16" t="n">
        <v>27.32</v>
      </c>
      <c r="H16" t="n">
        <v>0.1512</v>
      </c>
      <c r="I16" t="n">
        <v>30.88</v>
      </c>
      <c r="J16" t="n">
        <v>22.15</v>
      </c>
      <c r="K16" t="n">
        <v>0.07615</v>
      </c>
      <c r="L16" t="n">
        <v>0.5372</v>
      </c>
      <c r="M16" t="n">
        <v>0.03391</v>
      </c>
      <c r="N16" t="n">
        <v>19.81</v>
      </c>
      <c r="O16" t="n">
        <v>2398</v>
      </c>
    </row>
    <row r="17">
      <c r="A17" t="n">
        <v>21</v>
      </c>
      <c r="B17" t="inlineStr">
        <is>
          <t>Train</t>
        </is>
      </c>
      <c r="C17" t="inlineStr">
        <is>
          <t>Benign</t>
        </is>
      </c>
      <c r="D17" t="n">
        <v>0</v>
      </c>
      <c r="E17" t="n">
        <v>96.09</v>
      </c>
      <c r="F17" t="n">
        <v>0.07283000000000001</v>
      </c>
      <c r="G17" t="n">
        <v>14.5</v>
      </c>
      <c r="H17" t="n">
        <v>0.1312</v>
      </c>
      <c r="I17" t="n">
        <v>20.49</v>
      </c>
      <c r="J17" t="n">
        <v>15.71</v>
      </c>
      <c r="K17" t="n">
        <v>0.08183</v>
      </c>
      <c r="L17" t="n">
        <v>0.189</v>
      </c>
      <c r="M17" t="n">
        <v>0.01698</v>
      </c>
      <c r="N17" t="n">
        <v>13.08</v>
      </c>
      <c r="O17" t="n">
        <v>630.5</v>
      </c>
    </row>
    <row r="18">
      <c r="A18" t="n">
        <v>23</v>
      </c>
      <c r="B18" t="inlineStr">
        <is>
          <t>Train</t>
        </is>
      </c>
      <c r="C18" t="inlineStr">
        <is>
          <t>Malignant</t>
        </is>
      </c>
      <c r="D18" t="n">
        <v>1</v>
      </c>
      <c r="E18" t="n">
        <v>125.1</v>
      </c>
      <c r="F18" t="n">
        <v>0.2393</v>
      </c>
      <c r="G18" t="n">
        <v>18.07</v>
      </c>
      <c r="H18" t="n">
        <v>0.139</v>
      </c>
      <c r="I18" t="n">
        <v>19.08</v>
      </c>
      <c r="J18" t="n">
        <v>14.26</v>
      </c>
      <c r="K18" t="n">
        <v>0.09946000000000001</v>
      </c>
      <c r="L18" t="n">
        <v>0.6304999999999999</v>
      </c>
      <c r="M18" t="n">
        <v>0.06446</v>
      </c>
      <c r="N18" t="n">
        <v>15.34</v>
      </c>
      <c r="O18" t="n">
        <v>980.9</v>
      </c>
    </row>
    <row r="19">
      <c r="A19" t="n">
        <v>25</v>
      </c>
      <c r="B19" t="inlineStr">
        <is>
          <t>Train</t>
        </is>
      </c>
      <c r="C19" t="inlineStr">
        <is>
          <t>Malignant</t>
        </is>
      </c>
      <c r="D19" t="n">
        <v>1</v>
      </c>
      <c r="E19" t="n">
        <v>177</v>
      </c>
      <c r="F19" t="n">
        <v>0.2095</v>
      </c>
      <c r="G19" t="n">
        <v>26.46</v>
      </c>
      <c r="H19" t="n">
        <v>0.1805</v>
      </c>
      <c r="I19" t="n">
        <v>31.56</v>
      </c>
      <c r="J19" t="n">
        <v>21.38</v>
      </c>
      <c r="K19" t="n">
        <v>0.09564</v>
      </c>
      <c r="L19" t="n">
        <v>0.4695</v>
      </c>
      <c r="M19" t="n">
        <v>0.02741</v>
      </c>
      <c r="N19" t="n">
        <v>16.65</v>
      </c>
      <c r="O19" t="n">
        <v>2215</v>
      </c>
    </row>
    <row r="20">
      <c r="A20" t="n">
        <v>26</v>
      </c>
      <c r="B20" t="inlineStr">
        <is>
          <t>Train</t>
        </is>
      </c>
      <c r="C20" t="inlineStr">
        <is>
          <t>Malignant</t>
        </is>
      </c>
      <c r="D20" t="n">
        <v>1</v>
      </c>
      <c r="E20" t="n">
        <v>152.4</v>
      </c>
      <c r="F20" t="n">
        <v>0.255</v>
      </c>
      <c r="G20" t="n">
        <v>22.25</v>
      </c>
      <c r="H20" t="n">
        <v>0.1545</v>
      </c>
      <c r="I20" t="n">
        <v>21.4</v>
      </c>
      <c r="J20" t="n">
        <v>16.4</v>
      </c>
      <c r="K20" t="n">
        <v>0.1059</v>
      </c>
      <c r="L20" t="n">
        <v>0.3853</v>
      </c>
      <c r="M20" t="n">
        <v>0.03732</v>
      </c>
      <c r="N20" t="n">
        <v>17.14</v>
      </c>
      <c r="O20" t="n">
        <v>1461</v>
      </c>
    </row>
    <row r="21">
      <c r="A21" t="n">
        <v>27</v>
      </c>
      <c r="B21" t="inlineStr">
        <is>
          <t>Train</t>
        </is>
      </c>
      <c r="C21" t="inlineStr">
        <is>
          <t>Malignant</t>
        </is>
      </c>
      <c r="D21" t="n">
        <v>1</v>
      </c>
      <c r="E21" t="n">
        <v>122.4</v>
      </c>
      <c r="F21" t="n">
        <v>0.2701</v>
      </c>
      <c r="G21" t="n">
        <v>17.62</v>
      </c>
      <c r="H21" t="n">
        <v>0.1525</v>
      </c>
      <c r="I21" t="n">
        <v>33.21</v>
      </c>
      <c r="J21" t="n">
        <v>21.53</v>
      </c>
      <c r="K21" t="n">
        <v>0.1275</v>
      </c>
      <c r="L21" t="n">
        <v>0.5538999999999999</v>
      </c>
      <c r="M21" t="n">
        <v>0.02681</v>
      </c>
      <c r="N21" t="n">
        <v>14.58</v>
      </c>
      <c r="O21" t="n">
        <v>896.9</v>
      </c>
    </row>
    <row r="22">
      <c r="A22" t="n">
        <v>28</v>
      </c>
      <c r="B22" t="inlineStr">
        <is>
          <t>Train</t>
        </is>
      </c>
      <c r="C22" t="inlineStr">
        <is>
          <t>Malignant</t>
        </is>
      </c>
      <c r="D22" t="n">
        <v>1</v>
      </c>
      <c r="E22" t="n">
        <v>139.9</v>
      </c>
      <c r="F22" t="n">
        <v>0.149</v>
      </c>
      <c r="G22" t="n">
        <v>21.31</v>
      </c>
      <c r="H22" t="n">
        <v>0.1338</v>
      </c>
      <c r="I22" t="n">
        <v>27.26</v>
      </c>
      <c r="J22" t="n">
        <v>20.25</v>
      </c>
      <c r="K22" t="n">
        <v>0.07421</v>
      </c>
      <c r="L22" t="n">
        <v>0.3446</v>
      </c>
      <c r="M22" t="n">
        <v>0.05081</v>
      </c>
      <c r="N22" t="n">
        <v>18.61</v>
      </c>
      <c r="O22" t="n">
        <v>1403</v>
      </c>
    </row>
    <row r="23">
      <c r="A23" t="n">
        <v>29</v>
      </c>
      <c r="B23" t="inlineStr">
        <is>
          <t>Train</t>
        </is>
      </c>
      <c r="C23" t="inlineStr">
        <is>
          <t>Malignant</t>
        </is>
      </c>
      <c r="D23" t="n">
        <v>1</v>
      </c>
      <c r="E23" t="n">
        <v>149.3</v>
      </c>
      <c r="F23" t="n">
        <v>0.2024</v>
      </c>
      <c r="G23" t="n">
        <v>20.27</v>
      </c>
      <c r="H23" t="n">
        <v>0.1641</v>
      </c>
      <c r="I23" t="n">
        <v>36.71</v>
      </c>
      <c r="J23" t="n">
        <v>25.27</v>
      </c>
      <c r="K23" t="n">
        <v>0.09876</v>
      </c>
      <c r="L23" t="n">
        <v>0.6335</v>
      </c>
      <c r="M23" t="n">
        <v>0.03576</v>
      </c>
      <c r="N23" t="n">
        <v>15.3</v>
      </c>
      <c r="O23" t="n">
        <v>1269</v>
      </c>
    </row>
    <row r="24">
      <c r="A24" t="n">
        <v>30</v>
      </c>
      <c r="B24" t="inlineStr">
        <is>
          <t>Train</t>
        </is>
      </c>
      <c r="C24" t="inlineStr">
        <is>
          <t>Malignant</t>
        </is>
      </c>
      <c r="D24" t="n">
        <v>1</v>
      </c>
      <c r="E24" t="n">
        <v>134.9</v>
      </c>
      <c r="F24" t="n">
        <v>0.1456</v>
      </c>
      <c r="G24" t="n">
        <v>20.01</v>
      </c>
      <c r="H24" t="n">
        <v>0.1255</v>
      </c>
      <c r="I24" t="n">
        <v>19.52</v>
      </c>
      <c r="J24" t="n">
        <v>15.05</v>
      </c>
      <c r="K24" t="n">
        <v>0.07919</v>
      </c>
      <c r="L24" t="n">
        <v>0.2489</v>
      </c>
      <c r="M24" t="n">
        <v>0.03407</v>
      </c>
      <c r="N24" t="n">
        <v>17.57</v>
      </c>
      <c r="O24" t="n">
        <v>1227</v>
      </c>
    </row>
    <row r="25">
      <c r="A25" t="n">
        <v>31</v>
      </c>
      <c r="B25" t="inlineStr">
        <is>
          <t>Train</t>
        </is>
      </c>
      <c r="C25" t="inlineStr">
        <is>
          <t>Malignant</t>
        </is>
      </c>
      <c r="D25" t="n">
        <v>1</v>
      </c>
      <c r="E25" t="n">
        <v>160.5</v>
      </c>
      <c r="F25" t="n">
        <v>0.1848</v>
      </c>
      <c r="G25" t="n">
        <v>23.15</v>
      </c>
      <c r="H25" t="n">
        <v>0.1491</v>
      </c>
      <c r="I25" t="n">
        <v>34.01</v>
      </c>
      <c r="J25" t="n">
        <v>25.11</v>
      </c>
      <c r="K25" t="n">
        <v>0.09782</v>
      </c>
      <c r="L25" t="n">
        <v>0.6133</v>
      </c>
      <c r="M25" t="n">
        <v>0.05196</v>
      </c>
      <c r="N25" t="n">
        <v>18.63</v>
      </c>
      <c r="O25" t="n">
        <v>1670</v>
      </c>
    </row>
    <row r="26">
      <c r="A26" t="n">
        <v>32</v>
      </c>
      <c r="B26" t="inlineStr">
        <is>
          <t>Train</t>
        </is>
      </c>
      <c r="C26" t="inlineStr">
        <is>
          <t>Malignant</t>
        </is>
      </c>
      <c r="D26" t="n">
        <v>1</v>
      </c>
      <c r="E26" t="n">
        <v>119.4</v>
      </c>
      <c r="F26" t="n">
        <v>0.1546</v>
      </c>
      <c r="G26" t="n">
        <v>16.82</v>
      </c>
      <c r="H26" t="n">
        <v>0.1637</v>
      </c>
      <c r="I26" t="n">
        <v>28.12</v>
      </c>
      <c r="J26" t="n">
        <v>18.7</v>
      </c>
      <c r="K26" t="n">
        <v>0.1402</v>
      </c>
      <c r="L26" t="n">
        <v>0.6956</v>
      </c>
      <c r="M26" t="n">
        <v>0.04205</v>
      </c>
      <c r="N26" t="n">
        <v>11.84</v>
      </c>
      <c r="O26" t="n">
        <v>888.7</v>
      </c>
    </row>
    <row r="27">
      <c r="A27" t="n">
        <v>33</v>
      </c>
      <c r="B27" t="inlineStr">
        <is>
          <t>Train</t>
        </is>
      </c>
      <c r="C27" t="inlineStr">
        <is>
          <t>Malignant</t>
        </is>
      </c>
      <c r="D27" t="n">
        <v>1</v>
      </c>
      <c r="E27" t="n">
        <v>136.1</v>
      </c>
      <c r="F27" t="n">
        <v>0.1847</v>
      </c>
      <c r="G27" t="n">
        <v>20.88</v>
      </c>
      <c r="H27" t="n">
        <v>0.1634</v>
      </c>
      <c r="I27" t="n">
        <v>32.09</v>
      </c>
      <c r="J27" t="n">
        <v>23.98</v>
      </c>
      <c r="K27" t="n">
        <v>0.08482000000000001</v>
      </c>
      <c r="L27" t="n">
        <v>0.5588</v>
      </c>
      <c r="M27" t="n">
        <v>0.05042</v>
      </c>
      <c r="N27" t="n">
        <v>17.02</v>
      </c>
      <c r="O27" t="n">
        <v>1344</v>
      </c>
    </row>
    <row r="28">
      <c r="A28" t="n">
        <v>34</v>
      </c>
      <c r="B28" t="inlineStr">
        <is>
          <t>Train</t>
        </is>
      </c>
      <c r="C28" t="inlineStr">
        <is>
          <t>Malignant</t>
        </is>
      </c>
      <c r="D28" t="n">
        <v>1</v>
      </c>
      <c r="E28" t="n">
        <v>161.4</v>
      </c>
      <c r="F28" t="n">
        <v>0.1785</v>
      </c>
      <c r="G28" t="n">
        <v>24.15</v>
      </c>
      <c r="H28" t="n">
        <v>0.1509</v>
      </c>
      <c r="I28" t="n">
        <v>30.9</v>
      </c>
      <c r="J28" t="n">
        <v>26.47</v>
      </c>
      <c r="K28" t="n">
        <v>0.1123</v>
      </c>
      <c r="L28" t="n">
        <v>0.6091</v>
      </c>
      <c r="M28" t="n">
        <v>0.03497</v>
      </c>
      <c r="N28" t="n">
        <v>19.27</v>
      </c>
      <c r="O28" t="n">
        <v>1813</v>
      </c>
    </row>
    <row r="29">
      <c r="A29" t="n">
        <v>35</v>
      </c>
      <c r="B29" t="inlineStr">
        <is>
          <t>Train</t>
        </is>
      </c>
      <c r="C29" t="inlineStr">
        <is>
          <t>Malignant</t>
        </is>
      </c>
      <c r="D29" t="n">
        <v>1</v>
      </c>
      <c r="E29" t="n">
        <v>132.7</v>
      </c>
      <c r="F29" t="n">
        <v>0.1864</v>
      </c>
      <c r="G29" t="n">
        <v>20.21</v>
      </c>
      <c r="H29" t="n">
        <v>0.1446</v>
      </c>
      <c r="I29" t="n">
        <v>27.26</v>
      </c>
      <c r="J29" t="n">
        <v>17.88</v>
      </c>
      <c r="K29" t="n">
        <v>0.1233</v>
      </c>
      <c r="L29" t="n">
        <v>0.5274</v>
      </c>
      <c r="M29" t="n">
        <v>0.02664</v>
      </c>
      <c r="N29" t="n">
        <v>16.13</v>
      </c>
      <c r="O29" t="n">
        <v>1261</v>
      </c>
    </row>
    <row r="30">
      <c r="A30" t="n">
        <v>37</v>
      </c>
      <c r="B30" t="inlineStr">
        <is>
          <t>Train</t>
        </is>
      </c>
      <c r="C30" t="inlineStr">
        <is>
          <t>Malignant</t>
        </is>
      </c>
      <c r="D30" t="n">
        <v>1</v>
      </c>
      <c r="E30" t="n">
        <v>116.2</v>
      </c>
      <c r="F30" t="n">
        <v>0.1447</v>
      </c>
      <c r="G30" t="n">
        <v>15.89</v>
      </c>
      <c r="H30" t="n">
        <v>0.1446</v>
      </c>
      <c r="I30" t="n">
        <v>30.36</v>
      </c>
      <c r="J30" t="n">
        <v>21.72</v>
      </c>
      <c r="K30" t="n">
        <v>0.1014</v>
      </c>
      <c r="L30" t="n">
        <v>0.5185999999999999</v>
      </c>
      <c r="M30" t="n">
        <v>0.04815</v>
      </c>
      <c r="N30" t="n">
        <v>14.25</v>
      </c>
      <c r="O30" t="n">
        <v>799.6</v>
      </c>
    </row>
    <row r="31">
      <c r="A31" t="n">
        <v>38</v>
      </c>
      <c r="B31" t="inlineStr">
        <is>
          <t>Train</t>
        </is>
      </c>
      <c r="C31" t="inlineStr">
        <is>
          <t>Benign</t>
        </is>
      </c>
      <c r="D31" t="n">
        <v>0</v>
      </c>
      <c r="E31" t="n">
        <v>84.45999999999999</v>
      </c>
      <c r="F31" t="n">
        <v>0.05013</v>
      </c>
      <c r="G31" t="n">
        <v>13.3</v>
      </c>
      <c r="H31" t="n">
        <v>0.09701</v>
      </c>
      <c r="I31" t="n">
        <v>22.81</v>
      </c>
      <c r="J31" t="n">
        <v>18.42</v>
      </c>
      <c r="K31" t="n">
        <v>0.06169</v>
      </c>
      <c r="L31" t="n">
        <v>0.04833</v>
      </c>
      <c r="M31" t="n">
        <v>0.01343</v>
      </c>
      <c r="N31" t="n">
        <v>13.03</v>
      </c>
      <c r="O31" t="n">
        <v>545.9</v>
      </c>
    </row>
    <row r="32">
      <c r="A32" t="n">
        <v>40</v>
      </c>
      <c r="B32" t="inlineStr">
        <is>
          <t>Train</t>
        </is>
      </c>
      <c r="C32" t="inlineStr">
        <is>
          <t>Malignant</t>
        </is>
      </c>
      <c r="D32" t="n">
        <v>1</v>
      </c>
      <c r="E32" t="n">
        <v>107.3</v>
      </c>
      <c r="F32" t="n">
        <v>0.2258</v>
      </c>
      <c r="G32" t="n">
        <v>15.53</v>
      </c>
      <c r="H32" t="n">
        <v>0.161</v>
      </c>
      <c r="I32" t="n">
        <v>26.02</v>
      </c>
      <c r="J32" t="n">
        <v>20.82</v>
      </c>
      <c r="K32" t="n">
        <v>0.1071</v>
      </c>
      <c r="L32" t="n">
        <v>0.503</v>
      </c>
      <c r="M32" t="n">
        <v>0.03049</v>
      </c>
      <c r="N32" t="n">
        <v>13.48</v>
      </c>
      <c r="O32" t="n">
        <v>740.4</v>
      </c>
    </row>
    <row r="33">
      <c r="A33" t="n">
        <v>41</v>
      </c>
      <c r="B33" t="inlineStr">
        <is>
          <t>Train</t>
        </is>
      </c>
      <c r="C33" t="inlineStr">
        <is>
          <t>Malignant</t>
        </is>
      </c>
      <c r="D33" t="n">
        <v>1</v>
      </c>
      <c r="E33" t="n">
        <v>102.5</v>
      </c>
      <c r="F33" t="n">
        <v>0.1112</v>
      </c>
      <c r="G33" t="n">
        <v>15.93</v>
      </c>
      <c r="H33" t="n">
        <v>0.1094</v>
      </c>
      <c r="I33" t="n">
        <v>30.25</v>
      </c>
      <c r="J33" t="n">
        <v>21.58</v>
      </c>
      <c r="K33" t="n">
        <v>0.07146</v>
      </c>
      <c r="L33" t="n">
        <v>0.2085</v>
      </c>
      <c r="M33" t="n">
        <v>0.0139</v>
      </c>
      <c r="N33" t="n">
        <v>13.44</v>
      </c>
      <c r="O33" t="n">
        <v>787.9</v>
      </c>
    </row>
    <row r="34">
      <c r="A34" t="n">
        <v>42</v>
      </c>
      <c r="B34" t="inlineStr">
        <is>
          <t>Train</t>
        </is>
      </c>
      <c r="C34" t="inlineStr">
        <is>
          <t>Malignant</t>
        </is>
      </c>
      <c r="D34" t="n">
        <v>1</v>
      </c>
      <c r="E34" t="n">
        <v>87.22</v>
      </c>
      <c r="F34" t="n">
        <v>0.1424</v>
      </c>
      <c r="G34" t="n">
        <v>12.84</v>
      </c>
      <c r="H34" t="n">
        <v>0.1909</v>
      </c>
      <c r="I34" t="n">
        <v>35.34</v>
      </c>
      <c r="J34" t="n">
        <v>21.35</v>
      </c>
      <c r="K34" t="n">
        <v>0.09606000000000001</v>
      </c>
      <c r="L34" t="n">
        <v>0.4023</v>
      </c>
      <c r="M34" t="n">
        <v>0.02595</v>
      </c>
      <c r="N34" t="n">
        <v>10.95</v>
      </c>
      <c r="O34" t="n">
        <v>514</v>
      </c>
    </row>
    <row r="35">
      <c r="A35" t="n">
        <v>43</v>
      </c>
      <c r="B35" t="inlineStr">
        <is>
          <t>Train</t>
        </is>
      </c>
      <c r="C35" t="inlineStr">
        <is>
          <t>Malignant</t>
        </is>
      </c>
      <c r="D35" t="n">
        <v>1</v>
      </c>
      <c r="E35" t="n">
        <v>177.4</v>
      </c>
      <c r="F35" t="n">
        <v>0.2493</v>
      </c>
      <c r="G35" t="n">
        <v>24.09</v>
      </c>
      <c r="H35" t="n">
        <v>0.1247</v>
      </c>
      <c r="I35" t="n">
        <v>33.17</v>
      </c>
      <c r="J35" t="n">
        <v>24.81</v>
      </c>
      <c r="K35" t="n">
        <v>0.1038</v>
      </c>
      <c r="L35" t="n">
        <v>0.7242</v>
      </c>
      <c r="M35" t="n">
        <v>0.09723</v>
      </c>
      <c r="N35" t="n">
        <v>19.07</v>
      </c>
      <c r="O35" t="n">
        <v>1651</v>
      </c>
    </row>
    <row r="36">
      <c r="A36" t="n">
        <v>44</v>
      </c>
      <c r="B36" t="inlineStr">
        <is>
          <t>Train</t>
        </is>
      </c>
      <c r="C36" t="inlineStr">
        <is>
          <t>Malignant</t>
        </is>
      </c>
      <c r="D36" t="n">
        <v>1</v>
      </c>
      <c r="E36" t="n">
        <v>113.1</v>
      </c>
      <c r="F36" t="n">
        <v>0.1492</v>
      </c>
      <c r="G36" t="n">
        <v>17.38</v>
      </c>
      <c r="H36" t="n">
        <v>0.153</v>
      </c>
      <c r="I36" t="n">
        <v>28</v>
      </c>
      <c r="J36" t="n">
        <v>20.28</v>
      </c>
      <c r="K36" t="n">
        <v>0.1027</v>
      </c>
      <c r="L36" t="n">
        <v>0.3664</v>
      </c>
      <c r="M36" t="n">
        <v>0.02185</v>
      </c>
      <c r="N36" t="n">
        <v>13.28</v>
      </c>
      <c r="O36" t="n">
        <v>907.2</v>
      </c>
    </row>
    <row r="37">
      <c r="A37" t="n">
        <v>45</v>
      </c>
      <c r="B37" t="inlineStr">
        <is>
          <t>Train</t>
        </is>
      </c>
      <c r="C37" t="inlineStr">
        <is>
          <t>Malignant</t>
        </is>
      </c>
      <c r="D37" t="n">
        <v>1</v>
      </c>
      <c r="E37" t="n">
        <v>105.5</v>
      </c>
      <c r="F37" t="n">
        <v>0.1607</v>
      </c>
      <c r="G37" t="n">
        <v>16.23</v>
      </c>
      <c r="H37" t="n">
        <v>0.1503</v>
      </c>
      <c r="I37" t="n">
        <v>29.89</v>
      </c>
      <c r="J37" t="n">
        <v>21.81</v>
      </c>
      <c r="K37" t="n">
        <v>0.09618</v>
      </c>
      <c r="L37" t="n">
        <v>0.3728</v>
      </c>
      <c r="M37" t="n">
        <v>0.01452</v>
      </c>
      <c r="N37" t="n">
        <v>13.17</v>
      </c>
      <c r="O37" t="n">
        <v>740.7</v>
      </c>
    </row>
    <row r="38">
      <c r="A38" t="n">
        <v>46</v>
      </c>
      <c r="B38" t="inlineStr">
        <is>
          <t>Train</t>
        </is>
      </c>
      <c r="C38" t="inlineStr">
        <is>
          <t>Malignant</t>
        </is>
      </c>
      <c r="D38" t="n">
        <v>1</v>
      </c>
      <c r="E38" t="n">
        <v>150.6</v>
      </c>
      <c r="F38" t="n">
        <v>0.2378</v>
      </c>
      <c r="G38" t="n">
        <v>22.82</v>
      </c>
      <c r="H38" t="n">
        <v>0.1679</v>
      </c>
      <c r="I38" t="n">
        <v>21.32</v>
      </c>
      <c r="J38" t="n">
        <v>17.6</v>
      </c>
      <c r="K38" t="n">
        <v>0.09185</v>
      </c>
      <c r="L38" t="n">
        <v>0.7345</v>
      </c>
      <c r="M38" t="n">
        <v>0.05554</v>
      </c>
      <c r="N38" t="n">
        <v>18.65</v>
      </c>
      <c r="O38" t="n">
        <v>1567</v>
      </c>
    </row>
    <row r="39">
      <c r="A39" t="n">
        <v>47</v>
      </c>
      <c r="B39" t="inlineStr">
        <is>
          <t>Train</t>
        </is>
      </c>
      <c r="C39" t="inlineStr">
        <is>
          <t>Benign</t>
        </is>
      </c>
      <c r="D39" t="n">
        <v>0</v>
      </c>
      <c r="E39" t="n">
        <v>57.26</v>
      </c>
      <c r="F39" t="n">
        <v>0.02564</v>
      </c>
      <c r="G39" t="n">
        <v>8.964</v>
      </c>
      <c r="H39" t="n">
        <v>0.1297</v>
      </c>
      <c r="I39" t="n">
        <v>21.96</v>
      </c>
      <c r="J39" t="n">
        <v>16.84</v>
      </c>
      <c r="K39" t="n">
        <v>0.07409</v>
      </c>
      <c r="L39" t="n">
        <v>0.0688</v>
      </c>
      <c r="M39" t="n">
        <v>0.01588</v>
      </c>
      <c r="N39" t="n">
        <v>8.196</v>
      </c>
      <c r="O39" t="n">
        <v>242.2</v>
      </c>
    </row>
    <row r="40">
      <c r="A40" t="n">
        <v>48</v>
      </c>
      <c r="B40" t="inlineStr">
        <is>
          <t>Train</t>
        </is>
      </c>
      <c r="C40" t="inlineStr">
        <is>
          <t>Malignant</t>
        </is>
      </c>
      <c r="D40" t="n">
        <v>1</v>
      </c>
      <c r="E40" t="n">
        <v>102.8</v>
      </c>
      <c r="F40" t="n">
        <v>0.2088</v>
      </c>
      <c r="G40" t="n">
        <v>15.67</v>
      </c>
      <c r="H40" t="n">
        <v>0.1786</v>
      </c>
      <c r="I40" t="n">
        <v>27.95</v>
      </c>
      <c r="J40" t="n">
        <v>18.66</v>
      </c>
      <c r="K40" t="n">
        <v>0.1179</v>
      </c>
      <c r="L40" t="n">
        <v>0.5006</v>
      </c>
      <c r="M40" t="n">
        <v>0.02905</v>
      </c>
      <c r="N40" t="n">
        <v>13.17</v>
      </c>
      <c r="O40" t="n">
        <v>759.4</v>
      </c>
    </row>
    <row r="41">
      <c r="A41" t="n">
        <v>50</v>
      </c>
      <c r="B41" t="inlineStr">
        <is>
          <t>Train</t>
        </is>
      </c>
      <c r="C41" t="inlineStr">
        <is>
          <t>Benign</t>
        </is>
      </c>
      <c r="D41" t="n">
        <v>0</v>
      </c>
      <c r="E41" t="n">
        <v>99</v>
      </c>
      <c r="F41" t="n">
        <v>0.1282</v>
      </c>
      <c r="G41" t="n">
        <v>15.15</v>
      </c>
      <c r="H41" t="n">
        <v>0.1162</v>
      </c>
      <c r="I41" t="n">
        <v>31.82</v>
      </c>
      <c r="J41" t="n">
        <v>22.3</v>
      </c>
      <c r="K41" t="n">
        <v>0.06917</v>
      </c>
      <c r="L41" t="n">
        <v>0.2282</v>
      </c>
      <c r="M41" t="n">
        <v>0.02095</v>
      </c>
      <c r="N41" t="n">
        <v>13.49</v>
      </c>
      <c r="O41" t="n">
        <v>698.8</v>
      </c>
    </row>
    <row r="42">
      <c r="A42" t="n">
        <v>52</v>
      </c>
      <c r="B42" t="inlineStr">
        <is>
          <t>Train</t>
        </is>
      </c>
      <c r="C42" t="inlineStr">
        <is>
          <t>Benign</t>
        </is>
      </c>
      <c r="D42" t="n">
        <v>0</v>
      </c>
      <c r="E42" t="n">
        <v>96.08</v>
      </c>
      <c r="F42" t="n">
        <v>0.08586000000000001</v>
      </c>
      <c r="G42" t="n">
        <v>14.67</v>
      </c>
      <c r="H42" t="n">
        <v>0.1089</v>
      </c>
      <c r="I42" t="n">
        <v>23.19</v>
      </c>
      <c r="J42" t="n">
        <v>16.34</v>
      </c>
      <c r="K42" t="n">
        <v>0.08025</v>
      </c>
      <c r="L42" t="n">
        <v>0.105</v>
      </c>
      <c r="M42" t="n">
        <v>0.01079</v>
      </c>
      <c r="N42" t="n">
        <v>13.64</v>
      </c>
      <c r="O42" t="n">
        <v>656.7</v>
      </c>
    </row>
    <row r="43">
      <c r="A43" t="n">
        <v>54</v>
      </c>
      <c r="B43" t="inlineStr">
        <is>
          <t>Train</t>
        </is>
      </c>
      <c r="C43" t="inlineStr">
        <is>
          <t>Malignant</t>
        </is>
      </c>
      <c r="D43" t="n">
        <v>1</v>
      </c>
      <c r="E43" t="n">
        <v>135.1</v>
      </c>
      <c r="F43" t="n">
        <v>0.1325</v>
      </c>
      <c r="G43" t="n">
        <v>20.6</v>
      </c>
      <c r="H43" t="n">
        <v>0.128</v>
      </c>
      <c r="I43" t="n">
        <v>24.13</v>
      </c>
      <c r="J43" t="n">
        <v>18.7</v>
      </c>
      <c r="K43" t="n">
        <v>0.07987</v>
      </c>
      <c r="L43" t="n">
        <v>0.2623</v>
      </c>
      <c r="M43" t="n">
        <v>0.02817</v>
      </c>
      <c r="N43" t="n">
        <v>18.22</v>
      </c>
      <c r="O43" t="n">
        <v>1321</v>
      </c>
    </row>
    <row r="44">
      <c r="A44" t="n">
        <v>55</v>
      </c>
      <c r="B44" t="inlineStr">
        <is>
          <t>Train</t>
        </is>
      </c>
      <c r="C44" t="inlineStr">
        <is>
          <t>Malignant</t>
        </is>
      </c>
      <c r="D44" t="n">
        <v>1</v>
      </c>
      <c r="E44" t="n">
        <v>117.7</v>
      </c>
      <c r="F44" t="n">
        <v>0.153</v>
      </c>
      <c r="G44" t="n">
        <v>18.1</v>
      </c>
      <c r="H44" t="n">
        <v>0.1389</v>
      </c>
      <c r="I44" t="n">
        <v>31.69</v>
      </c>
      <c r="J44" t="n">
        <v>22.02</v>
      </c>
      <c r="K44" t="n">
        <v>0.07872999999999999</v>
      </c>
      <c r="L44" t="n">
        <v>0.2712</v>
      </c>
      <c r="M44" t="n">
        <v>0.01603</v>
      </c>
      <c r="N44" t="n">
        <v>15.1</v>
      </c>
      <c r="O44" t="n">
        <v>1030</v>
      </c>
    </row>
    <row r="45">
      <c r="A45" t="n">
        <v>56</v>
      </c>
      <c r="B45" t="inlineStr">
        <is>
          <t>Train</t>
        </is>
      </c>
      <c r="C45" t="inlineStr">
        <is>
          <t>Benign</t>
        </is>
      </c>
      <c r="D45" t="n">
        <v>0</v>
      </c>
      <c r="E45" t="n">
        <v>81.81</v>
      </c>
      <c r="F45" t="n">
        <v>0.06315999999999999</v>
      </c>
      <c r="G45" t="n">
        <v>12.84</v>
      </c>
      <c r="H45" t="n">
        <v>0.1249</v>
      </c>
      <c r="I45" t="n">
        <v>22.47</v>
      </c>
      <c r="J45" t="n">
        <v>18.75</v>
      </c>
      <c r="K45" t="n">
        <v>0.07036000000000001</v>
      </c>
      <c r="L45" t="n">
        <v>0.09075999999999999</v>
      </c>
      <c r="M45" t="n">
        <v>0.01349</v>
      </c>
      <c r="N45" t="n">
        <v>11.52</v>
      </c>
      <c r="O45" t="n">
        <v>506.2</v>
      </c>
    </row>
    <row r="46">
      <c r="A46" t="n">
        <v>57</v>
      </c>
      <c r="B46" t="inlineStr">
        <is>
          <t>Train</t>
        </is>
      </c>
      <c r="C46" t="inlineStr">
        <is>
          <t>Malignant</t>
        </is>
      </c>
      <c r="D46" t="n">
        <v>1</v>
      </c>
      <c r="E46" t="n">
        <v>170.1</v>
      </c>
      <c r="F46" t="n">
        <v>0.2091</v>
      </c>
      <c r="G46" t="n">
        <v>26.14</v>
      </c>
      <c r="H46" t="n">
        <v>0.1624</v>
      </c>
      <c r="I46" t="n">
        <v>28.14</v>
      </c>
      <c r="J46" t="n">
        <v>18.57</v>
      </c>
      <c r="K46" t="n">
        <v>0.08294</v>
      </c>
      <c r="L46" t="n">
        <v>0.3879</v>
      </c>
      <c r="M46" t="n">
        <v>0.02945</v>
      </c>
      <c r="N46" t="n">
        <v>19.21</v>
      </c>
      <c r="O46" t="n">
        <v>2145</v>
      </c>
    </row>
    <row r="47">
      <c r="A47" t="n">
        <v>63</v>
      </c>
      <c r="B47" t="inlineStr">
        <is>
          <t>Train</t>
        </is>
      </c>
      <c r="C47" t="inlineStr">
        <is>
          <t>Malignant</t>
        </is>
      </c>
      <c r="D47" t="n">
        <v>1</v>
      </c>
      <c r="E47" t="n">
        <v>119.1</v>
      </c>
      <c r="F47" t="n">
        <v>0.1785</v>
      </c>
      <c r="G47" t="n">
        <v>17.67</v>
      </c>
      <c r="H47" t="n">
        <v>0.164</v>
      </c>
      <c r="I47" t="n">
        <v>29.51</v>
      </c>
      <c r="J47" t="n">
        <v>22.15</v>
      </c>
      <c r="K47" t="n">
        <v>0.1132</v>
      </c>
      <c r="L47" t="n">
        <v>0.6922</v>
      </c>
      <c r="M47" t="n">
        <v>0.06899</v>
      </c>
      <c r="N47" t="n">
        <v>14.25</v>
      </c>
      <c r="O47" t="n">
        <v>959.5</v>
      </c>
    </row>
    <row r="48">
      <c r="A48" t="n">
        <v>64</v>
      </c>
      <c r="B48" t="inlineStr">
        <is>
          <t>Train</t>
        </is>
      </c>
      <c r="C48" t="inlineStr">
        <is>
          <t>Benign</t>
        </is>
      </c>
      <c r="D48" t="n">
        <v>0</v>
      </c>
      <c r="E48" t="n">
        <v>65.59</v>
      </c>
      <c r="F48" t="n">
        <v>0.05087</v>
      </c>
      <c r="G48" t="n">
        <v>10.01</v>
      </c>
      <c r="H48" t="n">
        <v>0.09836</v>
      </c>
      <c r="I48" t="n">
        <v>19.23</v>
      </c>
      <c r="J48" t="n">
        <v>13.86</v>
      </c>
      <c r="K48" t="n">
        <v>0.0849</v>
      </c>
      <c r="L48" t="n">
        <v>0.1397</v>
      </c>
      <c r="M48" t="n">
        <v>0.04312</v>
      </c>
      <c r="N48" t="n">
        <v>9.173</v>
      </c>
      <c r="O48" t="n">
        <v>310.1</v>
      </c>
    </row>
    <row r="49">
      <c r="A49" t="n">
        <v>67</v>
      </c>
      <c r="B49" t="inlineStr">
        <is>
          <t>Train</t>
        </is>
      </c>
      <c r="C49" t="inlineStr">
        <is>
          <t>Benign</t>
        </is>
      </c>
      <c r="D49" t="n">
        <v>0</v>
      </c>
      <c r="E49" t="n">
        <v>67.03</v>
      </c>
      <c r="F49" t="n">
        <v>0.06517000000000001</v>
      </c>
      <c r="G49" t="n">
        <v>10.41</v>
      </c>
      <c r="H49" t="n">
        <v>0.1548</v>
      </c>
      <c r="I49" t="n">
        <v>31.56</v>
      </c>
      <c r="J49" t="n">
        <v>21.01</v>
      </c>
      <c r="K49" t="n">
        <v>0.09211</v>
      </c>
      <c r="L49" t="n">
        <v>0.09412</v>
      </c>
      <c r="M49" t="n">
        <v>0.01714</v>
      </c>
      <c r="N49" t="n">
        <v>9.465</v>
      </c>
      <c r="O49" t="n">
        <v>330.7</v>
      </c>
    </row>
    <row r="50">
      <c r="A50" t="n">
        <v>68</v>
      </c>
      <c r="B50" t="inlineStr">
        <is>
          <t>Train</t>
        </is>
      </c>
      <c r="C50" t="inlineStr">
        <is>
          <t>Benign</t>
        </is>
      </c>
      <c r="D50" t="n">
        <v>0</v>
      </c>
      <c r="E50" t="n">
        <v>78</v>
      </c>
      <c r="F50" t="n">
        <v>0.06961000000000001</v>
      </c>
      <c r="G50" t="n">
        <v>12.33</v>
      </c>
      <c r="H50" t="n">
        <v>0.129</v>
      </c>
      <c r="I50" t="n">
        <v>23.84</v>
      </c>
      <c r="J50" t="n">
        <v>19.04</v>
      </c>
      <c r="K50" t="n">
        <v>0.06641</v>
      </c>
      <c r="L50" t="n">
        <v>0.1444</v>
      </c>
      <c r="M50" t="n">
        <v>0.02063</v>
      </c>
      <c r="N50" t="n">
        <v>11.31</v>
      </c>
      <c r="O50" t="n">
        <v>466.7</v>
      </c>
    </row>
    <row r="51">
      <c r="A51" t="n">
        <v>69</v>
      </c>
      <c r="B51" t="inlineStr">
        <is>
          <t>Train</t>
        </is>
      </c>
      <c r="C51" t="inlineStr">
        <is>
          <t>Benign</t>
        </is>
      </c>
      <c r="D51" t="n">
        <v>0</v>
      </c>
      <c r="E51" t="n">
        <v>65.5</v>
      </c>
      <c r="F51" t="n">
        <v>0.175</v>
      </c>
      <c r="G51" t="n">
        <v>10.31</v>
      </c>
      <c r="H51" t="n">
        <v>0.1482</v>
      </c>
      <c r="I51" t="n">
        <v>22.65</v>
      </c>
      <c r="J51" t="n">
        <v>17.33</v>
      </c>
      <c r="K51" t="n">
        <v>0.1175</v>
      </c>
      <c r="L51" t="n">
        <v>1.252</v>
      </c>
      <c r="M51" t="n">
        <v>0.3038</v>
      </c>
      <c r="N51" t="n">
        <v>9.029</v>
      </c>
      <c r="O51" t="n">
        <v>324.7</v>
      </c>
    </row>
    <row r="52">
      <c r="A52" t="n">
        <v>70</v>
      </c>
      <c r="B52" t="inlineStr">
        <is>
          <t>Train</t>
        </is>
      </c>
      <c r="C52" t="inlineStr">
        <is>
          <t>Benign</t>
        </is>
      </c>
      <c r="D52" t="n">
        <v>0</v>
      </c>
      <c r="E52" t="n">
        <v>85.67</v>
      </c>
      <c r="F52" t="n">
        <v>0.05882</v>
      </c>
      <c r="G52" t="n">
        <v>13.46</v>
      </c>
      <c r="H52" t="n">
        <v>0.1296</v>
      </c>
      <c r="I52" t="n">
        <v>19.76</v>
      </c>
      <c r="J52" t="n">
        <v>16.49</v>
      </c>
      <c r="K52" t="n">
        <v>0.0641</v>
      </c>
      <c r="L52" t="n">
        <v>0.1039</v>
      </c>
      <c r="M52" t="n">
        <v>0.01585</v>
      </c>
      <c r="N52" t="n">
        <v>12.78</v>
      </c>
      <c r="O52" t="n">
        <v>554.9</v>
      </c>
    </row>
    <row r="53">
      <c r="A53" t="n">
        <v>73</v>
      </c>
      <c r="B53" t="inlineStr">
        <is>
          <t>Train</t>
        </is>
      </c>
      <c r="C53" t="inlineStr">
        <is>
          <t>Malignant</t>
        </is>
      </c>
      <c r="D53" t="n">
        <v>1</v>
      </c>
      <c r="E53" t="n">
        <v>151.6</v>
      </c>
      <c r="F53" t="n">
        <v>0.1899</v>
      </c>
      <c r="G53" t="n">
        <v>23.32</v>
      </c>
      <c r="H53" t="n">
        <v>0.1585</v>
      </c>
      <c r="I53" t="n">
        <v>33.82</v>
      </c>
      <c r="J53" t="n">
        <v>24.52</v>
      </c>
      <c r="K53" t="n">
        <v>0.1339</v>
      </c>
      <c r="L53" t="n">
        <v>0.6566</v>
      </c>
      <c r="M53" t="n">
        <v>0.04252</v>
      </c>
      <c r="N53" t="n">
        <v>17.2</v>
      </c>
      <c r="O53" t="n">
        <v>1681</v>
      </c>
    </row>
    <row r="54">
      <c r="A54" t="n">
        <v>74</v>
      </c>
      <c r="B54" t="inlineStr">
        <is>
          <t>Train</t>
        </is>
      </c>
      <c r="C54" t="inlineStr">
        <is>
          <t>Malignant</t>
        </is>
      </c>
      <c r="D54" t="n">
        <v>1</v>
      </c>
      <c r="E54" t="n">
        <v>110.3</v>
      </c>
      <c r="F54" t="n">
        <v>0.1383</v>
      </c>
      <c r="G54" t="n">
        <v>16.57</v>
      </c>
      <c r="H54" t="n">
        <v>0.1411</v>
      </c>
      <c r="I54" t="n">
        <v>20.86</v>
      </c>
      <c r="J54" t="n">
        <v>15.79</v>
      </c>
      <c r="K54" t="n">
        <v>0.103</v>
      </c>
      <c r="L54" t="n">
        <v>0.2779</v>
      </c>
      <c r="M54" t="n">
        <v>0.01759</v>
      </c>
      <c r="N54" t="n">
        <v>13.8</v>
      </c>
      <c r="O54" t="n">
        <v>812.4</v>
      </c>
    </row>
    <row r="55">
      <c r="A55" t="n">
        <v>75</v>
      </c>
      <c r="B55" t="inlineStr">
        <is>
          <t>Train</t>
        </is>
      </c>
      <c r="C55" t="inlineStr">
        <is>
          <t>Benign</t>
        </is>
      </c>
      <c r="D55" t="n">
        <v>0</v>
      </c>
      <c r="E55" t="n">
        <v>89.70999999999999</v>
      </c>
      <c r="F55" t="n">
        <v>0.0866</v>
      </c>
      <c r="G55" t="n">
        <v>14.11</v>
      </c>
      <c r="H55" t="n">
        <v>0.1176</v>
      </c>
      <c r="I55" t="n">
        <v>23.21</v>
      </c>
      <c r="J55" t="n">
        <v>16.52</v>
      </c>
      <c r="K55" t="n">
        <v>0.07609</v>
      </c>
      <c r="L55" t="n">
        <v>0.1703</v>
      </c>
      <c r="M55" t="n">
        <v>0.01826</v>
      </c>
      <c r="N55" t="n">
        <v>12.31</v>
      </c>
      <c r="O55" t="n">
        <v>611.1</v>
      </c>
    </row>
    <row r="56">
      <c r="A56" t="n">
        <v>76</v>
      </c>
      <c r="B56" t="inlineStr">
        <is>
          <t>Train</t>
        </is>
      </c>
      <c r="C56" t="inlineStr">
        <is>
          <t>Malignant</t>
        </is>
      </c>
      <c r="D56" t="n">
        <v>1</v>
      </c>
      <c r="E56" t="n">
        <v>128.8</v>
      </c>
      <c r="F56" t="n">
        <v>0.152</v>
      </c>
      <c r="G56" t="n">
        <v>19.77</v>
      </c>
      <c r="H56" t="n">
        <v>0.15</v>
      </c>
      <c r="I56" t="n">
        <v>24.56</v>
      </c>
      <c r="J56" t="n">
        <v>19.65</v>
      </c>
      <c r="K56" t="n">
        <v>0.06387</v>
      </c>
      <c r="L56" t="n">
        <v>0.2829</v>
      </c>
      <c r="M56" t="n">
        <v>0.035</v>
      </c>
      <c r="N56" t="n">
        <v>16.07</v>
      </c>
      <c r="O56" t="n">
        <v>1223</v>
      </c>
    </row>
    <row r="57">
      <c r="A57" t="n">
        <v>77</v>
      </c>
      <c r="B57" t="inlineStr">
        <is>
          <t>Train</t>
        </is>
      </c>
      <c r="C57" t="inlineStr">
        <is>
          <t>Benign</t>
        </is>
      </c>
      <c r="D57" t="n">
        <v>0</v>
      </c>
      <c r="E57" t="n">
        <v>91.36</v>
      </c>
      <c r="F57" t="n">
        <v>0.07407</v>
      </c>
      <c r="G57" t="n">
        <v>14.08</v>
      </c>
      <c r="H57" t="n">
        <v>0.1451</v>
      </c>
      <c r="I57" t="n">
        <v>12.49</v>
      </c>
      <c r="J57" t="n">
        <v>10.94</v>
      </c>
      <c r="K57" t="n">
        <v>0.07191</v>
      </c>
      <c r="L57" t="n">
        <v>0.08538999999999999</v>
      </c>
      <c r="M57" t="n">
        <v>0.01162</v>
      </c>
      <c r="N57" t="n">
        <v>13.53</v>
      </c>
      <c r="O57" t="n">
        <v>605.5</v>
      </c>
    </row>
    <row r="58">
      <c r="A58" t="n">
        <v>78</v>
      </c>
      <c r="B58" t="inlineStr">
        <is>
          <t>Train</t>
        </is>
      </c>
      <c r="C58" t="inlineStr">
        <is>
          <t>Malignant</t>
        </is>
      </c>
      <c r="D58" t="n">
        <v>1</v>
      </c>
      <c r="E58" t="n">
        <v>150.1</v>
      </c>
      <c r="F58" t="n">
        <v>0.2102</v>
      </c>
      <c r="G58" t="n">
        <v>22.39</v>
      </c>
      <c r="H58" t="n">
        <v>0.1478</v>
      </c>
      <c r="I58" t="n">
        <v>18.91</v>
      </c>
      <c r="J58" t="n">
        <v>16.15</v>
      </c>
      <c r="K58" t="n">
        <v>0.1108</v>
      </c>
      <c r="L58" t="n">
        <v>0.3786</v>
      </c>
      <c r="M58" t="n">
        <v>0.04658</v>
      </c>
      <c r="N58" t="n">
        <v>18.05</v>
      </c>
      <c r="O58" t="n">
        <v>1610</v>
      </c>
    </row>
    <row r="59">
      <c r="A59" t="n">
        <v>79</v>
      </c>
      <c r="B59" t="inlineStr">
        <is>
          <t>Train</t>
        </is>
      </c>
      <c r="C59" t="inlineStr">
        <is>
          <t>Malignant</t>
        </is>
      </c>
      <c r="D59" t="n">
        <v>1</v>
      </c>
      <c r="E59" t="n">
        <v>170.3</v>
      </c>
      <c r="F59" t="n">
        <v>0.2508</v>
      </c>
      <c r="G59" t="n">
        <v>23.37</v>
      </c>
      <c r="H59" t="n">
        <v>0.1639</v>
      </c>
      <c r="I59" t="n">
        <v>31.72</v>
      </c>
      <c r="J59" t="n">
        <v>23.97</v>
      </c>
      <c r="K59" t="n">
        <v>0.09964000000000001</v>
      </c>
      <c r="L59" t="n">
        <v>0.7681</v>
      </c>
      <c r="M59" t="n">
        <v>0.1091</v>
      </c>
      <c r="N59" t="n">
        <v>20.18</v>
      </c>
      <c r="O59" t="n">
        <v>1623</v>
      </c>
    </row>
    <row r="60">
      <c r="A60" t="n">
        <v>80</v>
      </c>
      <c r="B60" t="inlineStr">
        <is>
          <t>Train</t>
        </is>
      </c>
      <c r="C60" t="inlineStr">
        <is>
          <t>Benign</t>
        </is>
      </c>
      <c r="D60" t="n">
        <v>0</v>
      </c>
      <c r="E60" t="n">
        <v>91.88</v>
      </c>
      <c r="F60" t="n">
        <v>0.07926</v>
      </c>
      <c r="G60" t="n">
        <v>14.24</v>
      </c>
      <c r="H60" t="n">
        <v>0.1289</v>
      </c>
      <c r="I60" t="n">
        <v>24.82</v>
      </c>
      <c r="J60" t="n">
        <v>18</v>
      </c>
      <c r="K60" t="n">
        <v>0.07918</v>
      </c>
      <c r="L60" t="n">
        <v>0.1731</v>
      </c>
      <c r="M60" t="n">
        <v>0.02071</v>
      </c>
      <c r="N60" t="n">
        <v>12.86</v>
      </c>
      <c r="O60" t="n">
        <v>622.1</v>
      </c>
    </row>
    <row r="61">
      <c r="A61" t="n">
        <v>81</v>
      </c>
      <c r="B61" t="inlineStr">
        <is>
          <t>Train</t>
        </is>
      </c>
      <c r="C61" t="inlineStr">
        <is>
          <t>Benign</t>
        </is>
      </c>
      <c r="D61" t="n">
        <v>0</v>
      </c>
      <c r="E61" t="n">
        <v>84.53</v>
      </c>
      <c r="F61" t="n">
        <v>0.06127</v>
      </c>
      <c r="G61" t="n">
        <v>13.11</v>
      </c>
      <c r="H61" t="n">
        <v>0.1557</v>
      </c>
      <c r="I61" t="n">
        <v>32.16</v>
      </c>
      <c r="J61" t="n">
        <v>20.97</v>
      </c>
      <c r="K61" t="n">
        <v>0.08851000000000001</v>
      </c>
      <c r="L61" t="n">
        <v>0.1755</v>
      </c>
      <c r="M61" t="n">
        <v>0.02586</v>
      </c>
      <c r="N61" t="n">
        <v>11.45</v>
      </c>
      <c r="O61" t="n">
        <v>525.1</v>
      </c>
    </row>
    <row r="62">
      <c r="A62" t="n">
        <v>82</v>
      </c>
      <c r="B62" t="inlineStr">
        <is>
          <t>Train</t>
        </is>
      </c>
      <c r="C62" t="inlineStr">
        <is>
          <t>Benign</t>
        </is>
      </c>
      <c r="D62" t="n">
        <v>0</v>
      </c>
      <c r="E62" t="n">
        <v>96.66</v>
      </c>
      <c r="F62" t="n">
        <v>0.1708</v>
      </c>
      <c r="G62" t="n">
        <v>15.53</v>
      </c>
      <c r="H62" t="n">
        <v>0.1536</v>
      </c>
      <c r="I62" t="n">
        <v>23.19</v>
      </c>
      <c r="J62" t="n">
        <v>15.86</v>
      </c>
      <c r="K62" t="n">
        <v>0.1016</v>
      </c>
      <c r="L62" t="n">
        <v>0.4858</v>
      </c>
      <c r="M62" t="n">
        <v>0.0398</v>
      </c>
      <c r="N62" t="n">
        <v>13.34</v>
      </c>
      <c r="O62" t="n">
        <v>614.9</v>
      </c>
    </row>
    <row r="63">
      <c r="A63" t="n">
        <v>83</v>
      </c>
      <c r="B63" t="inlineStr">
        <is>
          <t>Train</t>
        </is>
      </c>
      <c r="C63" t="inlineStr">
        <is>
          <t>Malignant</t>
        </is>
      </c>
      <c r="D63" t="n">
        <v>1</v>
      </c>
      <c r="E63" t="n">
        <v>211.7</v>
      </c>
      <c r="F63" t="n">
        <v>0.2867</v>
      </c>
      <c r="G63" t="n">
        <v>30</v>
      </c>
      <c r="H63" t="n">
        <v>0.1573</v>
      </c>
      <c r="I63" t="n">
        <v>33.62</v>
      </c>
      <c r="J63" t="n">
        <v>24.91</v>
      </c>
      <c r="K63" t="n">
        <v>0.1051</v>
      </c>
      <c r="L63" t="n">
        <v>0.6476</v>
      </c>
      <c r="M63" t="n">
        <v>0.0573</v>
      </c>
      <c r="N63" t="n">
        <v>25.22</v>
      </c>
      <c r="O63" t="n">
        <v>2562</v>
      </c>
    </row>
    <row r="64">
      <c r="A64" t="n">
        <v>84</v>
      </c>
      <c r="B64" t="inlineStr">
        <is>
          <t>Train</t>
        </is>
      </c>
      <c r="C64" t="inlineStr">
        <is>
          <t>Malignant</t>
        </is>
      </c>
      <c r="D64" t="n">
        <v>1</v>
      </c>
      <c r="E64" t="n">
        <v>141.3</v>
      </c>
      <c r="F64" t="n">
        <v>0.1841</v>
      </c>
      <c r="G64" t="n">
        <v>20.33</v>
      </c>
      <c r="H64" t="n">
        <v>0.1392</v>
      </c>
      <c r="I64" t="n">
        <v>32.72</v>
      </c>
      <c r="J64" t="n">
        <v>26.29</v>
      </c>
      <c r="K64" t="n">
        <v>0.09203</v>
      </c>
      <c r="L64" t="n">
        <v>0.2432</v>
      </c>
      <c r="M64" t="n">
        <v>0.02134</v>
      </c>
      <c r="N64" t="n">
        <v>19.1</v>
      </c>
      <c r="O64" t="n">
        <v>1298</v>
      </c>
    </row>
    <row r="65">
      <c r="A65" t="n">
        <v>85</v>
      </c>
      <c r="B65" t="inlineStr">
        <is>
          <t>Train</t>
        </is>
      </c>
      <c r="C65" t="inlineStr">
        <is>
          <t>Benign</t>
        </is>
      </c>
      <c r="D65" t="n">
        <v>0</v>
      </c>
      <c r="E65" t="n">
        <v>87.78</v>
      </c>
      <c r="F65" t="n">
        <v>0.07632</v>
      </c>
      <c r="G65" t="n">
        <v>13.67</v>
      </c>
      <c r="H65" t="n">
        <v>0.1377</v>
      </c>
      <c r="I65" t="n">
        <v>24.9</v>
      </c>
      <c r="J65" t="n">
        <v>15.65</v>
      </c>
      <c r="K65" t="n">
        <v>0.07924</v>
      </c>
      <c r="L65" t="n">
        <v>0.2267</v>
      </c>
      <c r="M65" t="n">
        <v>0.02007</v>
      </c>
      <c r="N65" t="n">
        <v>12</v>
      </c>
      <c r="O65" t="n">
        <v>567.9</v>
      </c>
    </row>
    <row r="66">
      <c r="A66" t="n">
        <v>86</v>
      </c>
      <c r="B66" t="inlineStr">
        <is>
          <t>Train</t>
        </is>
      </c>
      <c r="C66" t="inlineStr">
        <is>
          <t>Malignant</t>
        </is>
      </c>
      <c r="D66" t="n">
        <v>1</v>
      </c>
      <c r="E66" t="n">
        <v>152.2</v>
      </c>
      <c r="F66" t="n">
        <v>0.1642</v>
      </c>
      <c r="G66" t="n">
        <v>22.93</v>
      </c>
      <c r="H66" t="n">
        <v>0.1398</v>
      </c>
      <c r="I66" t="n">
        <v>27.68</v>
      </c>
      <c r="J66" t="n">
        <v>18.52</v>
      </c>
      <c r="K66" t="n">
        <v>0.08579000000000001</v>
      </c>
      <c r="L66" t="n">
        <v>0.3157</v>
      </c>
      <c r="M66" t="n">
        <v>0.02806</v>
      </c>
      <c r="N66" t="n">
        <v>18.46</v>
      </c>
      <c r="O66" t="n">
        <v>1603</v>
      </c>
    </row>
    <row r="67">
      <c r="A67" t="n">
        <v>87</v>
      </c>
      <c r="B67" t="inlineStr">
        <is>
          <t>Train</t>
        </is>
      </c>
      <c r="C67" t="inlineStr">
        <is>
          <t>Malignant</t>
        </is>
      </c>
      <c r="D67" t="n">
        <v>1</v>
      </c>
      <c r="E67" t="n">
        <v>108.4</v>
      </c>
      <c r="F67" t="n">
        <v>0.1225</v>
      </c>
      <c r="G67" t="n">
        <v>16.21</v>
      </c>
      <c r="H67" t="n">
        <v>0.1306</v>
      </c>
      <c r="I67" t="n">
        <v>29.25</v>
      </c>
      <c r="J67" t="n">
        <v>21.46</v>
      </c>
      <c r="K67" t="n">
        <v>0.06845999999999999</v>
      </c>
      <c r="L67" t="n">
        <v>0.3349</v>
      </c>
      <c r="M67" t="n">
        <v>0.05371</v>
      </c>
      <c r="N67" t="n">
        <v>14.48</v>
      </c>
      <c r="O67" t="n">
        <v>808.9</v>
      </c>
    </row>
    <row r="68">
      <c r="A68" t="n">
        <v>88</v>
      </c>
      <c r="B68" t="inlineStr">
        <is>
          <t>Train</t>
        </is>
      </c>
      <c r="C68" t="inlineStr">
        <is>
          <t>Malignant</t>
        </is>
      </c>
      <c r="D68" t="n">
        <v>1</v>
      </c>
      <c r="E68" t="n">
        <v>152.9</v>
      </c>
      <c r="F68" t="n">
        <v>0.1956</v>
      </c>
      <c r="G68" t="n">
        <v>24.56</v>
      </c>
      <c r="H68" t="n">
        <v>0.1249</v>
      </c>
      <c r="I68" t="n">
        <v>30.41</v>
      </c>
      <c r="J68" t="n">
        <v>24.59</v>
      </c>
      <c r="K68" t="n">
        <v>0.09288</v>
      </c>
      <c r="L68" t="n">
        <v>0.5755</v>
      </c>
      <c r="M68" t="n">
        <v>0.0371</v>
      </c>
      <c r="N68" t="n">
        <v>19.02</v>
      </c>
      <c r="O68" t="n">
        <v>1623</v>
      </c>
    </row>
    <row r="69">
      <c r="A69" t="n">
        <v>90</v>
      </c>
      <c r="B69" t="inlineStr">
        <is>
          <t>Train</t>
        </is>
      </c>
      <c r="C69" t="inlineStr">
        <is>
          <t>Benign</t>
        </is>
      </c>
      <c r="D69" t="n">
        <v>0</v>
      </c>
      <c r="E69" t="n">
        <v>109.4</v>
      </c>
      <c r="F69" t="n">
        <v>0.1397</v>
      </c>
      <c r="G69" t="n">
        <v>16.34</v>
      </c>
      <c r="H69" t="n">
        <v>0.1277</v>
      </c>
      <c r="I69" t="n">
        <v>18.24</v>
      </c>
      <c r="J69" t="n">
        <v>15.24</v>
      </c>
      <c r="K69" t="n">
        <v>0.08473</v>
      </c>
      <c r="L69" t="n">
        <v>0.2604</v>
      </c>
      <c r="M69" t="n">
        <v>0.04436</v>
      </c>
      <c r="N69" t="n">
        <v>14.64</v>
      </c>
      <c r="O69" t="n">
        <v>803.6</v>
      </c>
    </row>
    <row r="70">
      <c r="A70" t="n">
        <v>92</v>
      </c>
      <c r="B70" t="inlineStr">
        <is>
          <t>Train</t>
        </is>
      </c>
      <c r="C70" t="inlineStr">
        <is>
          <t>Malignant</t>
        </is>
      </c>
      <c r="D70" t="n">
        <v>1</v>
      </c>
      <c r="E70" t="n">
        <v>107.5</v>
      </c>
      <c r="F70" t="n">
        <v>0.1476</v>
      </c>
      <c r="G70" t="n">
        <v>16.43</v>
      </c>
      <c r="H70" t="n">
        <v>0.1257</v>
      </c>
      <c r="I70" t="n">
        <v>25.84</v>
      </c>
      <c r="J70" t="n">
        <v>22.76</v>
      </c>
      <c r="K70" t="n">
        <v>0.06827999999999999</v>
      </c>
      <c r="L70" t="n">
        <v>0.2846</v>
      </c>
      <c r="M70" t="n">
        <v>0.04531</v>
      </c>
      <c r="N70" t="n">
        <v>15.37</v>
      </c>
      <c r="O70" t="n">
        <v>830.9</v>
      </c>
    </row>
    <row r="71">
      <c r="A71" t="n">
        <v>94</v>
      </c>
      <c r="B71" t="inlineStr">
        <is>
          <t>Train</t>
        </is>
      </c>
      <c r="C71" t="inlineStr">
        <is>
          <t>Benign</t>
        </is>
      </c>
      <c r="D71" t="n">
        <v>0</v>
      </c>
      <c r="E71" t="n">
        <v>97.59</v>
      </c>
      <c r="F71" t="n">
        <v>0.07911</v>
      </c>
      <c r="G71" t="n">
        <v>15.1</v>
      </c>
      <c r="H71" t="n">
        <v>0.1339</v>
      </c>
      <c r="I71" t="n">
        <v>25.94</v>
      </c>
      <c r="J71" t="n">
        <v>18.3</v>
      </c>
      <c r="K71" t="n">
        <v>0.06603000000000001</v>
      </c>
      <c r="L71" t="n">
        <v>0.1381</v>
      </c>
      <c r="M71" t="n">
        <v>0.01872</v>
      </c>
      <c r="N71" t="n">
        <v>13.45</v>
      </c>
      <c r="O71" t="n">
        <v>699.4</v>
      </c>
    </row>
    <row r="72">
      <c r="A72" t="n">
        <v>95</v>
      </c>
      <c r="B72" t="inlineStr">
        <is>
          <t>Train</t>
        </is>
      </c>
      <c r="C72" t="inlineStr">
        <is>
          <t>Malignant</t>
        </is>
      </c>
      <c r="D72" t="n">
        <v>1</v>
      </c>
      <c r="E72" t="n">
        <v>123.5</v>
      </c>
      <c r="F72" t="n">
        <v>0.2115</v>
      </c>
      <c r="G72" t="n">
        <v>18.23</v>
      </c>
      <c r="H72" t="n">
        <v>0.1551</v>
      </c>
      <c r="I72" t="n">
        <v>24.23</v>
      </c>
      <c r="J72" t="n">
        <v>19.83</v>
      </c>
      <c r="K72" t="n">
        <v>0.08234</v>
      </c>
      <c r="L72" t="n">
        <v>0.5203</v>
      </c>
      <c r="M72" t="n">
        <v>0.04867</v>
      </c>
      <c r="N72" t="n">
        <v>15.06</v>
      </c>
      <c r="O72" t="n">
        <v>1025</v>
      </c>
    </row>
    <row r="73">
      <c r="A73" t="n">
        <v>96</v>
      </c>
      <c r="B73" t="inlineStr">
        <is>
          <t>Train</t>
        </is>
      </c>
      <c r="C73" t="inlineStr">
        <is>
          <t>Malignant</t>
        </is>
      </c>
      <c r="D73" t="n">
        <v>1</v>
      </c>
      <c r="E73" t="n">
        <v>156.1</v>
      </c>
      <c r="F73" t="n">
        <v>0.1573</v>
      </c>
      <c r="G73" t="n">
        <v>24.22</v>
      </c>
      <c r="H73" t="n">
        <v>0.119</v>
      </c>
      <c r="I73" t="n">
        <v>31.59</v>
      </c>
      <c r="J73" t="n">
        <v>23.03</v>
      </c>
      <c r="K73" t="n">
        <v>0.08368</v>
      </c>
      <c r="L73" t="n">
        <v>0.4098</v>
      </c>
      <c r="M73" t="n">
        <v>0.04232</v>
      </c>
      <c r="N73" t="n">
        <v>20.26</v>
      </c>
      <c r="O73" t="n">
        <v>1750</v>
      </c>
    </row>
    <row r="74">
      <c r="A74" t="n">
        <v>97</v>
      </c>
      <c r="B74" t="inlineStr">
        <is>
          <t>Train</t>
        </is>
      </c>
      <c r="C74" t="inlineStr">
        <is>
          <t>Benign</t>
        </is>
      </c>
      <c r="D74" t="n">
        <v>0</v>
      </c>
      <c r="E74" t="n">
        <v>82.14</v>
      </c>
      <c r="F74" t="n">
        <v>0.05882</v>
      </c>
      <c r="G74" t="n">
        <v>12.83</v>
      </c>
      <c r="H74" t="n">
        <v>0.114</v>
      </c>
      <c r="I74" t="n">
        <v>20.92</v>
      </c>
      <c r="J74" t="n">
        <v>17.84</v>
      </c>
      <c r="K74" t="n">
        <v>0.07376000000000001</v>
      </c>
      <c r="L74" t="n">
        <v>0.0498</v>
      </c>
      <c r="M74" t="n">
        <v>0.01131</v>
      </c>
      <c r="N74" t="n">
        <v>12.18</v>
      </c>
      <c r="O74" t="n">
        <v>495.2</v>
      </c>
    </row>
    <row r="75">
      <c r="A75" t="n">
        <v>98</v>
      </c>
      <c r="B75" t="inlineStr">
        <is>
          <t>Train</t>
        </is>
      </c>
      <c r="C75" t="inlineStr">
        <is>
          <t>Benign</t>
        </is>
      </c>
      <c r="D75" t="n">
        <v>0</v>
      </c>
      <c r="E75" t="n">
        <v>68.81</v>
      </c>
      <c r="F75" t="n">
        <v>0.02381</v>
      </c>
      <c r="G75" t="n">
        <v>10.92</v>
      </c>
      <c r="H75" t="n">
        <v>0.1316</v>
      </c>
      <c r="I75" t="n">
        <v>26.29</v>
      </c>
      <c r="J75" t="n">
        <v>19.94</v>
      </c>
      <c r="K75" t="n">
        <v>0.08988</v>
      </c>
      <c r="L75" t="n">
        <v>0.02049</v>
      </c>
      <c r="M75" t="n">
        <v>0.005308</v>
      </c>
      <c r="N75" t="n">
        <v>9.787000000000001</v>
      </c>
      <c r="O75" t="n">
        <v>366.1</v>
      </c>
    </row>
    <row r="76">
      <c r="A76" t="n">
        <v>99</v>
      </c>
      <c r="B76" t="inlineStr">
        <is>
          <t>Train</t>
        </is>
      </c>
      <c r="C76" t="inlineStr">
        <is>
          <t>Benign</t>
        </is>
      </c>
      <c r="D76" t="n">
        <v>0</v>
      </c>
      <c r="E76" t="n">
        <v>82.95999999999999</v>
      </c>
      <c r="F76" t="n">
        <v>0.08449</v>
      </c>
      <c r="G76" t="n">
        <v>13.06</v>
      </c>
      <c r="H76" t="n">
        <v>0.1431</v>
      </c>
      <c r="I76" t="n">
        <v>17.16</v>
      </c>
      <c r="J76" t="n">
        <v>12.84</v>
      </c>
      <c r="K76" t="n">
        <v>0.08756</v>
      </c>
      <c r="L76" t="n">
        <v>0.1922</v>
      </c>
      <c r="M76" t="n">
        <v>0.01693</v>
      </c>
      <c r="N76" t="n">
        <v>11.6</v>
      </c>
      <c r="O76" t="n">
        <v>512.5</v>
      </c>
    </row>
    <row r="77">
      <c r="A77" t="n">
        <v>100</v>
      </c>
      <c r="B77" t="inlineStr">
        <is>
          <t>Train</t>
        </is>
      </c>
      <c r="C77" t="inlineStr">
        <is>
          <t>Malignant</t>
        </is>
      </c>
      <c r="D77" t="n">
        <v>1</v>
      </c>
      <c r="E77" t="n">
        <v>109.5</v>
      </c>
      <c r="F77" t="n">
        <v>0.1565</v>
      </c>
      <c r="G77" t="n">
        <v>16.33</v>
      </c>
      <c r="H77" t="n">
        <v>0.1431</v>
      </c>
      <c r="I77" t="n">
        <v>30.86</v>
      </c>
      <c r="J77" t="n">
        <v>19.77</v>
      </c>
      <c r="K77" t="n">
        <v>0.09353</v>
      </c>
      <c r="L77" t="n">
        <v>0.3194</v>
      </c>
      <c r="M77" t="n">
        <v>0.03321</v>
      </c>
      <c r="N77" t="n">
        <v>14.42</v>
      </c>
      <c r="O77" t="n">
        <v>826.4</v>
      </c>
    </row>
    <row r="78">
      <c r="A78" t="n">
        <v>101</v>
      </c>
      <c r="B78" t="inlineStr">
        <is>
          <t>Train</t>
        </is>
      </c>
      <c r="C78" t="inlineStr">
        <is>
          <t>Malignant</t>
        </is>
      </c>
      <c r="D78" t="n">
        <v>1</v>
      </c>
      <c r="E78" t="n">
        <v>108.6</v>
      </c>
      <c r="F78" t="n">
        <v>0.1184</v>
      </c>
      <c r="G78" t="n">
        <v>16.99</v>
      </c>
      <c r="H78" t="n">
        <v>0.1265</v>
      </c>
      <c r="I78" t="n">
        <v>35.27</v>
      </c>
      <c r="J78" t="n">
        <v>24.98</v>
      </c>
      <c r="K78" t="n">
        <v>0.07396999999999999</v>
      </c>
      <c r="L78" t="n">
        <v>0.3169</v>
      </c>
      <c r="M78" t="n">
        <v>0.02647</v>
      </c>
      <c r="N78" t="n">
        <v>13.61</v>
      </c>
      <c r="O78" t="n">
        <v>906.5</v>
      </c>
    </row>
    <row r="79">
      <c r="A79" t="n">
        <v>102</v>
      </c>
      <c r="B79" t="inlineStr">
        <is>
          <t>Train</t>
        </is>
      </c>
      <c r="C79" t="inlineStr">
        <is>
          <t>Benign</t>
        </is>
      </c>
      <c r="D79" t="n">
        <v>0</v>
      </c>
      <c r="E79" t="n">
        <v>50.41</v>
      </c>
      <c r="F79" t="n">
        <v>0</v>
      </c>
      <c r="G79" t="n">
        <v>7.93</v>
      </c>
      <c r="H79" t="n">
        <v>0.1584</v>
      </c>
      <c r="I79" t="n">
        <v>19.54</v>
      </c>
      <c r="J79" t="n">
        <v>13.43</v>
      </c>
      <c r="K79" t="n">
        <v>0.09382</v>
      </c>
      <c r="L79" t="n">
        <v>0</v>
      </c>
      <c r="M79" t="n">
        <v>0</v>
      </c>
      <c r="N79" t="n">
        <v>6.981</v>
      </c>
      <c r="O79" t="n">
        <v>185.2</v>
      </c>
    </row>
    <row r="80">
      <c r="A80" t="n">
        <v>103</v>
      </c>
      <c r="B80" t="inlineStr">
        <is>
          <t>Train</t>
        </is>
      </c>
      <c r="C80" t="inlineStr">
        <is>
          <t>Benign</t>
        </is>
      </c>
      <c r="D80" t="n">
        <v>0</v>
      </c>
      <c r="E80" t="n">
        <v>84.58</v>
      </c>
      <c r="F80" t="n">
        <v>0.07431</v>
      </c>
      <c r="G80" t="n">
        <v>13.34</v>
      </c>
      <c r="H80" t="n">
        <v>0.1123</v>
      </c>
      <c r="I80" t="n">
        <v>32.84</v>
      </c>
      <c r="J80" t="n">
        <v>20.52</v>
      </c>
      <c r="K80" t="n">
        <v>0.06877999999999999</v>
      </c>
      <c r="L80" t="n">
        <v>0.1145</v>
      </c>
      <c r="M80" t="n">
        <v>0.01069</v>
      </c>
      <c r="N80" t="n">
        <v>12.18</v>
      </c>
      <c r="O80" t="n">
        <v>547.8</v>
      </c>
    </row>
    <row r="81">
      <c r="A81" t="n">
        <v>104</v>
      </c>
      <c r="B81" t="inlineStr">
        <is>
          <t>Train</t>
        </is>
      </c>
      <c r="C81" t="inlineStr">
        <is>
          <t>Benign</t>
        </is>
      </c>
      <c r="D81" t="n">
        <v>0</v>
      </c>
      <c r="E81" t="n">
        <v>72.22</v>
      </c>
      <c r="F81" t="n">
        <v>0.09748999999999999</v>
      </c>
      <c r="G81" t="n">
        <v>10.76</v>
      </c>
      <c r="H81" t="n">
        <v>0.1559</v>
      </c>
      <c r="I81" t="n">
        <v>26.83</v>
      </c>
      <c r="J81" t="n">
        <v>19.4</v>
      </c>
      <c r="K81" t="n">
        <v>0.0849</v>
      </c>
      <c r="L81" t="n">
        <v>0.2644</v>
      </c>
      <c r="M81" t="n">
        <v>0.03029</v>
      </c>
      <c r="N81" t="n">
        <v>9.875999999999999</v>
      </c>
      <c r="O81" t="n">
        <v>361.2</v>
      </c>
    </row>
    <row r="82">
      <c r="A82" t="n">
        <v>105</v>
      </c>
      <c r="B82" t="inlineStr">
        <is>
          <t>Train</t>
        </is>
      </c>
      <c r="C82" t="inlineStr">
        <is>
          <t>Benign</t>
        </is>
      </c>
      <c r="D82" t="n">
        <v>0</v>
      </c>
      <c r="E82" t="n">
        <v>74.22</v>
      </c>
      <c r="F82" t="n">
        <v>0.03203</v>
      </c>
      <c r="G82" t="n">
        <v>11.54</v>
      </c>
      <c r="H82" t="n">
        <v>0.1219</v>
      </c>
      <c r="I82" t="n">
        <v>23.31</v>
      </c>
      <c r="J82" t="n">
        <v>19.29</v>
      </c>
      <c r="K82" t="n">
        <v>0.07552</v>
      </c>
      <c r="L82" t="n">
        <v>0.07987</v>
      </c>
      <c r="M82" t="n">
        <v>0.0288</v>
      </c>
      <c r="N82" t="n">
        <v>10.49</v>
      </c>
      <c r="O82" t="n">
        <v>402.8</v>
      </c>
    </row>
    <row r="83">
      <c r="A83" t="n">
        <v>107</v>
      </c>
      <c r="B83" t="inlineStr">
        <is>
          <t>Train</t>
        </is>
      </c>
      <c r="C83" t="inlineStr">
        <is>
          <t>Benign</t>
        </is>
      </c>
      <c r="D83" t="n">
        <v>0</v>
      </c>
      <c r="E83" t="n">
        <v>85.51000000000001</v>
      </c>
      <c r="F83" t="n">
        <v>0.1218</v>
      </c>
      <c r="G83" t="n">
        <v>13.14</v>
      </c>
      <c r="H83" t="n">
        <v>0.1688</v>
      </c>
      <c r="I83" t="n">
        <v>29.26</v>
      </c>
      <c r="J83" t="n">
        <v>18.33</v>
      </c>
      <c r="K83" t="n">
        <v>0.09097</v>
      </c>
      <c r="L83" t="n">
        <v>0.2873</v>
      </c>
      <c r="M83" t="n">
        <v>0.02945</v>
      </c>
      <c r="N83" t="n">
        <v>11.64</v>
      </c>
      <c r="O83" t="n">
        <v>521.7</v>
      </c>
    </row>
    <row r="84">
      <c r="A84" t="n">
        <v>109</v>
      </c>
      <c r="B84" t="inlineStr">
        <is>
          <t>Train</t>
        </is>
      </c>
      <c r="C84" t="inlineStr">
        <is>
          <t>Malignant</t>
        </is>
      </c>
      <c r="D84" t="n">
        <v>1</v>
      </c>
      <c r="E84" t="n">
        <v>206.8</v>
      </c>
      <c r="F84" t="n">
        <v>0.291</v>
      </c>
      <c r="G84" t="n">
        <v>28.4</v>
      </c>
      <c r="H84" t="n">
        <v>0.1701</v>
      </c>
      <c r="I84" t="n">
        <v>28.01</v>
      </c>
      <c r="J84" t="n">
        <v>19.67</v>
      </c>
      <c r="K84" t="n">
        <v>0.09789</v>
      </c>
      <c r="L84" t="n">
        <v>0.9608</v>
      </c>
      <c r="M84" t="n">
        <v>0.104</v>
      </c>
      <c r="N84" t="n">
        <v>22.27</v>
      </c>
      <c r="O84" t="n">
        <v>2360</v>
      </c>
    </row>
    <row r="85">
      <c r="A85" t="n">
        <v>111</v>
      </c>
      <c r="B85" t="inlineStr">
        <is>
          <t>Train</t>
        </is>
      </c>
      <c r="C85" t="inlineStr">
        <is>
          <t>Benign</t>
        </is>
      </c>
      <c r="D85" t="n">
        <v>0</v>
      </c>
      <c r="E85" t="n">
        <v>71.68000000000001</v>
      </c>
      <c r="F85" t="n">
        <v>0.05334</v>
      </c>
      <c r="G85" t="n">
        <v>11.05</v>
      </c>
      <c r="H85" t="n">
        <v>0.1467</v>
      </c>
      <c r="I85" t="n">
        <v>21.47</v>
      </c>
      <c r="J85" t="n">
        <v>16.99</v>
      </c>
      <c r="K85" t="n">
        <v>0.08468000000000001</v>
      </c>
      <c r="L85" t="n">
        <v>0.13</v>
      </c>
      <c r="M85" t="n">
        <v>0.02722</v>
      </c>
      <c r="N85" t="n">
        <v>9.776999999999999</v>
      </c>
      <c r="O85" t="n">
        <v>367</v>
      </c>
    </row>
    <row r="86">
      <c r="A86" t="n">
        <v>112</v>
      </c>
      <c r="B86" t="inlineStr">
        <is>
          <t>Train</t>
        </is>
      </c>
      <c r="C86" t="inlineStr">
        <is>
          <t>Benign</t>
        </is>
      </c>
      <c r="D86" t="n">
        <v>0</v>
      </c>
      <c r="E86" t="n">
        <v>89</v>
      </c>
      <c r="F86" t="n">
        <v>0.1105</v>
      </c>
      <c r="G86" t="n">
        <v>13.33</v>
      </c>
      <c r="H86" t="n">
        <v>0.1287</v>
      </c>
      <c r="I86" t="n">
        <v>25.47</v>
      </c>
      <c r="J86" t="n">
        <v>20.76</v>
      </c>
      <c r="K86" t="n">
        <v>0.08486</v>
      </c>
      <c r="L86" t="n">
        <v>0.2216</v>
      </c>
      <c r="M86" t="n">
        <v>0.05101</v>
      </c>
      <c r="N86" t="n">
        <v>12.63</v>
      </c>
      <c r="O86" t="n">
        <v>527.4</v>
      </c>
    </row>
    <row r="87">
      <c r="A87" t="n">
        <v>113</v>
      </c>
      <c r="B87" t="inlineStr">
        <is>
          <t>Train</t>
        </is>
      </c>
      <c r="C87" t="inlineStr">
        <is>
          <t>Benign</t>
        </is>
      </c>
      <c r="D87" t="n">
        <v>0</v>
      </c>
      <c r="E87" t="n">
        <v>107</v>
      </c>
      <c r="F87" t="n">
        <v>0.1505</v>
      </c>
      <c r="G87" t="n">
        <v>15.3</v>
      </c>
      <c r="H87" t="n">
        <v>0.08949</v>
      </c>
      <c r="I87" t="n">
        <v>23.73</v>
      </c>
      <c r="J87" t="n">
        <v>19.65</v>
      </c>
      <c r="K87" t="n">
        <v>0.1082</v>
      </c>
      <c r="L87" t="n">
        <v>0.6783</v>
      </c>
      <c r="M87" t="n">
        <v>0.1435</v>
      </c>
      <c r="N87" t="n">
        <v>14.26</v>
      </c>
      <c r="O87" t="n">
        <v>709</v>
      </c>
    </row>
    <row r="88">
      <c r="A88" t="n">
        <v>115</v>
      </c>
      <c r="B88" t="inlineStr">
        <is>
          <t>Train</t>
        </is>
      </c>
      <c r="C88" t="inlineStr">
        <is>
          <t>Benign</t>
        </is>
      </c>
      <c r="D88" t="n">
        <v>0</v>
      </c>
      <c r="E88" t="n">
        <v>64.48</v>
      </c>
      <c r="F88" t="n">
        <v>0.105</v>
      </c>
      <c r="G88" t="n">
        <v>9.628</v>
      </c>
      <c r="H88" t="n">
        <v>0.1724</v>
      </c>
      <c r="I88" t="n">
        <v>19.62</v>
      </c>
      <c r="J88" t="n">
        <v>15.83</v>
      </c>
      <c r="K88" t="n">
        <v>0.1017</v>
      </c>
      <c r="L88" t="n">
        <v>0.2456</v>
      </c>
      <c r="M88" t="n">
        <v>0.03259</v>
      </c>
      <c r="N88" t="n">
        <v>8.726000000000001</v>
      </c>
      <c r="O88" t="n">
        <v>284.4</v>
      </c>
    </row>
    <row r="89">
      <c r="A89" t="n">
        <v>117</v>
      </c>
      <c r="B89" t="inlineStr">
        <is>
          <t>Train</t>
        </is>
      </c>
      <c r="C89" t="inlineStr">
        <is>
          <t>Benign</t>
        </is>
      </c>
      <c r="D89" t="n">
        <v>0</v>
      </c>
      <c r="E89" t="n">
        <v>63.34</v>
      </c>
      <c r="F89" t="n">
        <v>0.03846</v>
      </c>
      <c r="G89" t="n">
        <v>9.414</v>
      </c>
      <c r="H89" t="n">
        <v>0.1179</v>
      </c>
      <c r="I89" t="n">
        <v>17.07</v>
      </c>
      <c r="J89" t="n">
        <v>15.76</v>
      </c>
      <c r="K89" t="n">
        <v>0.07722</v>
      </c>
      <c r="L89" t="n">
        <v>0.1544</v>
      </c>
      <c r="M89" t="n">
        <v>0.09263</v>
      </c>
      <c r="N89" t="n">
        <v>8.949999999999999</v>
      </c>
      <c r="O89" t="n">
        <v>270</v>
      </c>
    </row>
    <row r="90">
      <c r="A90" t="n">
        <v>118</v>
      </c>
      <c r="B90" t="inlineStr">
        <is>
          <t>Train</t>
        </is>
      </c>
      <c r="C90" t="inlineStr">
        <is>
          <t>Malignant</t>
        </is>
      </c>
      <c r="D90" t="n">
        <v>1</v>
      </c>
      <c r="E90" t="n">
        <v>127.1</v>
      </c>
      <c r="F90" t="n">
        <v>0.2027</v>
      </c>
      <c r="G90" t="n">
        <v>18.81</v>
      </c>
      <c r="H90" t="n">
        <v>0.1878</v>
      </c>
      <c r="I90" t="n">
        <v>27.37</v>
      </c>
      <c r="J90" t="n">
        <v>16.67</v>
      </c>
      <c r="K90" t="n">
        <v>0.1065</v>
      </c>
      <c r="L90" t="n">
        <v>0.4704</v>
      </c>
      <c r="M90" t="n">
        <v>0.03011</v>
      </c>
      <c r="N90" t="n">
        <v>14.87</v>
      </c>
      <c r="O90" t="n">
        <v>1095</v>
      </c>
    </row>
    <row r="91">
      <c r="A91" t="n">
        <v>120</v>
      </c>
      <c r="B91" t="inlineStr">
        <is>
          <t>Train</t>
        </is>
      </c>
      <c r="C91" t="inlineStr">
        <is>
          <t>Malignant</t>
        </is>
      </c>
      <c r="D91" t="n">
        <v>1</v>
      </c>
      <c r="E91" t="n">
        <v>129.2</v>
      </c>
      <c r="F91" t="n">
        <v>0.1185</v>
      </c>
      <c r="G91" t="n">
        <v>20.58</v>
      </c>
      <c r="H91" t="n">
        <v>0.1072</v>
      </c>
      <c r="I91" t="n">
        <v>27.83</v>
      </c>
      <c r="J91" t="n">
        <v>20.01</v>
      </c>
      <c r="K91" t="n">
        <v>0.06111</v>
      </c>
      <c r="L91" t="n">
        <v>0.2249</v>
      </c>
      <c r="M91" t="n">
        <v>0.02291</v>
      </c>
      <c r="N91" t="n">
        <v>17.95</v>
      </c>
      <c r="O91" t="n">
        <v>1261</v>
      </c>
    </row>
    <row r="92">
      <c r="A92" t="n">
        <v>121</v>
      </c>
      <c r="B92" t="inlineStr">
        <is>
          <t>Train</t>
        </is>
      </c>
      <c r="C92" t="inlineStr">
        <is>
          <t>Benign</t>
        </is>
      </c>
      <c r="D92" t="n">
        <v>0</v>
      </c>
      <c r="E92" t="n">
        <v>83.73999999999999</v>
      </c>
      <c r="F92" t="n">
        <v>0.08958000000000001</v>
      </c>
      <c r="G92" t="n">
        <v>12.82</v>
      </c>
      <c r="H92" t="n">
        <v>0.1548</v>
      </c>
      <c r="I92" t="n">
        <v>15.97</v>
      </c>
      <c r="J92" t="n">
        <v>10.82</v>
      </c>
      <c r="K92" t="n">
        <v>0.08523</v>
      </c>
      <c r="L92" t="n">
        <v>0.2102</v>
      </c>
      <c r="M92" t="n">
        <v>0.01514</v>
      </c>
      <c r="N92" t="n">
        <v>11.41</v>
      </c>
      <c r="O92" t="n">
        <v>510.5</v>
      </c>
    </row>
    <row r="93">
      <c r="A93" t="n">
        <v>122</v>
      </c>
      <c r="B93" t="inlineStr">
        <is>
          <t>Train</t>
        </is>
      </c>
      <c r="C93" t="inlineStr">
        <is>
          <t>Malignant</t>
        </is>
      </c>
      <c r="D93" t="n">
        <v>1</v>
      </c>
      <c r="E93" t="n">
        <v>145.4</v>
      </c>
      <c r="F93" t="n">
        <v>0.1674</v>
      </c>
      <c r="G93" t="n">
        <v>22.25</v>
      </c>
      <c r="H93" t="n">
        <v>0.1503</v>
      </c>
      <c r="I93" t="n">
        <v>24.9</v>
      </c>
      <c r="J93" t="n">
        <v>17.12</v>
      </c>
      <c r="K93" t="n">
        <v>0.08456</v>
      </c>
      <c r="L93" t="n">
        <v>0.3272</v>
      </c>
      <c r="M93" t="n">
        <v>0.03342</v>
      </c>
      <c r="N93" t="n">
        <v>18.66</v>
      </c>
      <c r="O93" t="n">
        <v>1549</v>
      </c>
    </row>
    <row r="94">
      <c r="A94" t="n">
        <v>123</v>
      </c>
      <c r="B94" t="inlineStr">
        <is>
          <t>Train</t>
        </is>
      </c>
      <c r="C94" t="inlineStr">
        <is>
          <t>Malignant</t>
        </is>
      </c>
      <c r="D94" t="n">
        <v>1</v>
      </c>
      <c r="E94" t="n">
        <v>180.9</v>
      </c>
      <c r="F94" t="n">
        <v>0.2248</v>
      </c>
      <c r="G94" t="n">
        <v>26.02</v>
      </c>
      <c r="H94" t="n">
        <v>0.1696</v>
      </c>
      <c r="I94" t="n">
        <v>23.99</v>
      </c>
      <c r="J94" t="n">
        <v>20.2</v>
      </c>
      <c r="K94" t="n">
        <v>0.08008999999999999</v>
      </c>
      <c r="L94" t="n">
        <v>0.5803</v>
      </c>
      <c r="M94" t="n">
        <v>0.1278</v>
      </c>
      <c r="N94" t="n">
        <v>24.25</v>
      </c>
      <c r="O94" t="n">
        <v>2073</v>
      </c>
    </row>
    <row r="95">
      <c r="A95" t="n">
        <v>124</v>
      </c>
      <c r="B95" t="inlineStr">
        <is>
          <t>Train</t>
        </is>
      </c>
      <c r="C95" t="inlineStr">
        <is>
          <t>Benign</t>
        </is>
      </c>
      <c r="D95" t="n">
        <v>0</v>
      </c>
      <c r="E95" t="n">
        <v>102.8</v>
      </c>
      <c r="F95" t="n">
        <v>0.1221</v>
      </c>
      <c r="G95" t="n">
        <v>15.7</v>
      </c>
      <c r="H95" t="n">
        <v>0.1313</v>
      </c>
      <c r="I95" t="n">
        <v>15.98</v>
      </c>
      <c r="J95" t="n">
        <v>10.89</v>
      </c>
      <c r="K95" t="n">
        <v>0.08006000000000001</v>
      </c>
      <c r="L95" t="n">
        <v>0.256</v>
      </c>
      <c r="M95" t="n">
        <v>0.02882</v>
      </c>
      <c r="N95" t="n">
        <v>14.5</v>
      </c>
      <c r="O95" t="n">
        <v>745.5</v>
      </c>
    </row>
    <row r="96">
      <c r="A96" t="n">
        <v>125</v>
      </c>
      <c r="B96" t="inlineStr">
        <is>
          <t>Train</t>
        </is>
      </c>
      <c r="C96" t="inlineStr">
        <is>
          <t>Benign</t>
        </is>
      </c>
      <c r="D96" t="n">
        <v>0</v>
      </c>
      <c r="E96" t="n">
        <v>91.98999999999999</v>
      </c>
      <c r="F96" t="n">
        <v>0.08978</v>
      </c>
      <c r="G96" t="n">
        <v>14.26</v>
      </c>
      <c r="H96" t="n">
        <v>0.1025</v>
      </c>
      <c r="I96" t="n">
        <v>22.75</v>
      </c>
      <c r="J96" t="n">
        <v>16.39</v>
      </c>
      <c r="K96" t="n">
        <v>0.07628</v>
      </c>
      <c r="L96" t="n">
        <v>0.3308</v>
      </c>
      <c r="M96" t="n">
        <v>0.04957</v>
      </c>
      <c r="N96" t="n">
        <v>13.37</v>
      </c>
      <c r="O96" t="n">
        <v>632.1</v>
      </c>
    </row>
    <row r="97">
      <c r="A97" t="n">
        <v>126</v>
      </c>
      <c r="B97" t="inlineStr">
        <is>
          <t>Train</t>
        </is>
      </c>
      <c r="C97" t="inlineStr">
        <is>
          <t>Benign</t>
        </is>
      </c>
      <c r="D97" t="n">
        <v>0</v>
      </c>
      <c r="E97" t="n">
        <v>100.3</v>
      </c>
      <c r="F97" t="n">
        <v>0.05104</v>
      </c>
      <c r="G97" t="n">
        <v>15.49</v>
      </c>
      <c r="H97" t="n">
        <v>0.1157</v>
      </c>
      <c r="I97" t="n">
        <v>23.58</v>
      </c>
      <c r="J97" t="n">
        <v>17.21</v>
      </c>
      <c r="K97" t="n">
        <v>0.07181999999999999</v>
      </c>
      <c r="L97" t="n">
        <v>0.08115</v>
      </c>
      <c r="M97" t="n">
        <v>0.009127</v>
      </c>
      <c r="N97" t="n">
        <v>13.85</v>
      </c>
      <c r="O97" t="n">
        <v>725.9</v>
      </c>
    </row>
    <row r="98">
      <c r="A98" t="n">
        <v>127</v>
      </c>
      <c r="B98" t="inlineStr">
        <is>
          <t>Train</t>
        </is>
      </c>
      <c r="C98" t="inlineStr">
        <is>
          <t>Malignant</t>
        </is>
      </c>
      <c r="D98" t="n">
        <v>1</v>
      </c>
      <c r="E98" t="n">
        <v>113.2</v>
      </c>
      <c r="F98" t="n">
        <v>0.1329</v>
      </c>
      <c r="G98" t="n">
        <v>16.89</v>
      </c>
      <c r="H98" t="n">
        <v>0.1471</v>
      </c>
      <c r="I98" t="n">
        <v>35.64</v>
      </c>
      <c r="J98" t="n">
        <v>24.69</v>
      </c>
      <c r="K98" t="n">
        <v>0.079</v>
      </c>
      <c r="L98" t="n">
        <v>0.3796</v>
      </c>
      <c r="M98" t="n">
        <v>0.01796</v>
      </c>
      <c r="N98" t="n">
        <v>13.61</v>
      </c>
      <c r="O98" t="n">
        <v>848.7</v>
      </c>
    </row>
    <row r="99">
      <c r="A99" t="n">
        <v>129</v>
      </c>
      <c r="B99" t="inlineStr">
        <is>
          <t>Train</t>
        </is>
      </c>
      <c r="C99" t="inlineStr">
        <is>
          <t>Benign</t>
        </is>
      </c>
      <c r="D99" t="n">
        <v>0</v>
      </c>
      <c r="E99" t="n">
        <v>105.9</v>
      </c>
      <c r="F99" t="n">
        <v>0.1423</v>
      </c>
      <c r="G99" t="n">
        <v>16.11</v>
      </c>
      <c r="H99" t="n">
        <v>0.1386</v>
      </c>
      <c r="I99" t="n">
        <v>18.33</v>
      </c>
      <c r="J99" t="n">
        <v>16.39</v>
      </c>
      <c r="K99" t="n">
        <v>0.07779</v>
      </c>
      <c r="L99" t="n">
        <v>0.196</v>
      </c>
      <c r="M99" t="n">
        <v>0.03204</v>
      </c>
      <c r="N99" t="n">
        <v>15.1</v>
      </c>
      <c r="O99" t="n">
        <v>762.6</v>
      </c>
    </row>
    <row r="100">
      <c r="A100" t="n">
        <v>132</v>
      </c>
      <c r="B100" t="inlineStr">
        <is>
          <t>Train</t>
        </is>
      </c>
      <c r="C100" t="inlineStr">
        <is>
          <t>Malignant</t>
        </is>
      </c>
      <c r="D100" t="n">
        <v>1</v>
      </c>
      <c r="E100" t="n">
        <v>124.9</v>
      </c>
      <c r="F100" t="n">
        <v>0.1514</v>
      </c>
      <c r="G100" t="n">
        <v>19.26</v>
      </c>
      <c r="H100" t="n">
        <v>0.1546</v>
      </c>
      <c r="I100" t="n">
        <v>26</v>
      </c>
      <c r="J100" t="n">
        <v>19.48</v>
      </c>
      <c r="K100" t="n">
        <v>0.08019</v>
      </c>
      <c r="L100" t="n">
        <v>0.3791</v>
      </c>
      <c r="M100" t="n">
        <v>0.02813</v>
      </c>
      <c r="N100" t="n">
        <v>15.46</v>
      </c>
      <c r="O100" t="n">
        <v>1156</v>
      </c>
    </row>
    <row r="101">
      <c r="A101" t="n">
        <v>133</v>
      </c>
      <c r="B101" t="inlineStr">
        <is>
          <t>Train</t>
        </is>
      </c>
      <c r="C101" t="inlineStr">
        <is>
          <t>Malignant</t>
        </is>
      </c>
      <c r="D101" t="n">
        <v>1</v>
      </c>
      <c r="E101" t="n">
        <v>129.7</v>
      </c>
      <c r="F101" t="n">
        <v>0.1312</v>
      </c>
      <c r="G101" t="n">
        <v>19.47</v>
      </c>
      <c r="H101" t="n">
        <v>0.1395</v>
      </c>
      <c r="I101" t="n">
        <v>31.68</v>
      </c>
      <c r="J101" t="n">
        <v>21.54</v>
      </c>
      <c r="K101" t="n">
        <v>0.07618999999999999</v>
      </c>
      <c r="L101" t="n">
        <v>0.2992</v>
      </c>
      <c r="M101" t="n">
        <v>0.02219</v>
      </c>
      <c r="N101" t="n">
        <v>16.16</v>
      </c>
      <c r="O101" t="n">
        <v>1175</v>
      </c>
    </row>
    <row r="102">
      <c r="A102" t="n">
        <v>134</v>
      </c>
      <c r="B102" t="inlineStr">
        <is>
          <t>Train</t>
        </is>
      </c>
      <c r="C102" t="inlineStr">
        <is>
          <t>Benign</t>
        </is>
      </c>
      <c r="D102" t="n">
        <v>0</v>
      </c>
      <c r="E102" t="n">
        <v>114.3</v>
      </c>
      <c r="F102" t="n">
        <v>0.1374</v>
      </c>
      <c r="G102" t="n">
        <v>17.5</v>
      </c>
      <c r="H102" t="n">
        <v>0.1223</v>
      </c>
      <c r="I102" t="n">
        <v>19.25</v>
      </c>
      <c r="J102" t="n">
        <v>13.93</v>
      </c>
      <c r="K102" t="n">
        <v>0.07071</v>
      </c>
      <c r="L102" t="n">
        <v>0.1709</v>
      </c>
      <c r="M102" t="n">
        <v>0.01678</v>
      </c>
      <c r="N102" t="n">
        <v>15.71</v>
      </c>
      <c r="O102" t="n">
        <v>922.8</v>
      </c>
    </row>
    <row r="103">
      <c r="A103" t="n">
        <v>135</v>
      </c>
      <c r="B103" t="inlineStr">
        <is>
          <t>Train</t>
        </is>
      </c>
      <c r="C103" t="inlineStr">
        <is>
          <t>Malignant</t>
        </is>
      </c>
      <c r="D103" t="n">
        <v>1</v>
      </c>
      <c r="E103" t="n">
        <v>145.6</v>
      </c>
      <c r="F103" t="n">
        <v>0.1379</v>
      </c>
      <c r="G103" t="n">
        <v>22.52</v>
      </c>
      <c r="H103" t="n">
        <v>0.1465</v>
      </c>
      <c r="I103" t="n">
        <v>31.39</v>
      </c>
      <c r="J103" t="n">
        <v>21.91</v>
      </c>
      <c r="K103" t="n">
        <v>0.0761</v>
      </c>
      <c r="L103" t="n">
        <v>0.3965</v>
      </c>
      <c r="M103" t="n">
        <v>0.02855</v>
      </c>
      <c r="N103" t="n">
        <v>18.45</v>
      </c>
      <c r="O103" t="n">
        <v>1590</v>
      </c>
    </row>
    <row r="104">
      <c r="A104" t="n">
        <v>136</v>
      </c>
      <c r="B104" t="inlineStr">
        <is>
          <t>Train</t>
        </is>
      </c>
      <c r="C104" t="inlineStr">
        <is>
          <t>Malignant</t>
        </is>
      </c>
      <c r="D104" t="n">
        <v>1</v>
      </c>
      <c r="E104" t="n">
        <v>92.04000000000001</v>
      </c>
      <c r="F104" t="n">
        <v>0.09331</v>
      </c>
      <c r="G104" t="n">
        <v>14.49</v>
      </c>
      <c r="H104" t="n">
        <v>0.1419</v>
      </c>
      <c r="I104" t="n">
        <v>33.37</v>
      </c>
      <c r="J104" t="n">
        <v>22.47</v>
      </c>
      <c r="K104" t="n">
        <v>0.08067000000000001</v>
      </c>
      <c r="L104" t="n">
        <v>0.2177</v>
      </c>
      <c r="M104" t="n">
        <v>0.02332</v>
      </c>
      <c r="N104" t="n">
        <v>12.77</v>
      </c>
      <c r="O104" t="n">
        <v>653.6</v>
      </c>
    </row>
    <row r="105">
      <c r="A105" t="n">
        <v>138</v>
      </c>
      <c r="B105" t="inlineStr">
        <is>
          <t>Train</t>
        </is>
      </c>
      <c r="C105" t="inlineStr">
        <is>
          <t>Benign</t>
        </is>
      </c>
      <c r="D105" t="n">
        <v>0</v>
      </c>
      <c r="E105" t="n">
        <v>79.93000000000001</v>
      </c>
      <c r="F105" t="n">
        <v>0.08476</v>
      </c>
      <c r="G105" t="n">
        <v>12.32</v>
      </c>
      <c r="H105" t="n">
        <v>0.119</v>
      </c>
      <c r="I105" t="n">
        <v>22.02</v>
      </c>
      <c r="J105" t="n">
        <v>15.39</v>
      </c>
      <c r="K105" t="n">
        <v>0.06765</v>
      </c>
      <c r="L105" t="n">
        <v>0.1399</v>
      </c>
      <c r="M105" t="n">
        <v>0.01434</v>
      </c>
      <c r="N105" t="n">
        <v>11.43</v>
      </c>
      <c r="O105" t="n">
        <v>462</v>
      </c>
    </row>
    <row r="106">
      <c r="A106" t="n">
        <v>139</v>
      </c>
      <c r="B106" t="inlineStr">
        <is>
          <t>Train</t>
        </is>
      </c>
      <c r="C106" t="inlineStr">
        <is>
          <t>Malignant</t>
        </is>
      </c>
      <c r="D106" t="n">
        <v>1</v>
      </c>
      <c r="E106" t="n">
        <v>121.4</v>
      </c>
      <c r="F106" t="n">
        <v>0.1667</v>
      </c>
      <c r="G106" t="n">
        <v>18.55</v>
      </c>
      <c r="H106" t="n">
        <v>0.1411</v>
      </c>
      <c r="I106" t="n">
        <v>21.43</v>
      </c>
      <c r="J106" t="n">
        <v>17.57</v>
      </c>
      <c r="K106" t="n">
        <v>0.07147000000000001</v>
      </c>
      <c r="L106" t="n">
        <v>0.3355</v>
      </c>
      <c r="M106" t="n">
        <v>0.06577</v>
      </c>
      <c r="N106" t="n">
        <v>14.95</v>
      </c>
      <c r="O106" t="n">
        <v>971.4</v>
      </c>
    </row>
    <row r="107">
      <c r="A107" t="n">
        <v>141</v>
      </c>
      <c r="B107" t="inlineStr">
        <is>
          <t>Train</t>
        </is>
      </c>
      <c r="C107" t="inlineStr">
        <is>
          <t>Benign</t>
        </is>
      </c>
      <c r="D107" t="n">
        <v>0</v>
      </c>
      <c r="E107" t="n">
        <v>66.53</v>
      </c>
      <c r="F107" t="n">
        <v>0</v>
      </c>
      <c r="G107" t="n">
        <v>10.62</v>
      </c>
      <c r="H107" t="n">
        <v>0.1234</v>
      </c>
      <c r="I107" t="n">
        <v>14.1</v>
      </c>
      <c r="J107" t="n">
        <v>11.97</v>
      </c>
      <c r="K107" t="n">
        <v>0.08151</v>
      </c>
      <c r="L107" t="n">
        <v>0</v>
      </c>
      <c r="M107" t="n">
        <v>0</v>
      </c>
      <c r="N107" t="n">
        <v>9.738</v>
      </c>
      <c r="O107" t="n">
        <v>342.9</v>
      </c>
    </row>
    <row r="108">
      <c r="A108" t="n">
        <v>142</v>
      </c>
      <c r="B108" t="inlineStr">
        <is>
          <t>Train</t>
        </is>
      </c>
      <c r="C108" t="inlineStr">
        <is>
          <t>Malignant</t>
        </is>
      </c>
      <c r="D108" t="n">
        <v>1</v>
      </c>
      <c r="E108" t="n">
        <v>129</v>
      </c>
      <c r="F108" t="n">
        <v>0.1216</v>
      </c>
      <c r="G108" t="n">
        <v>19.92</v>
      </c>
      <c r="H108" t="n">
        <v>0.1314</v>
      </c>
      <c r="I108" t="n">
        <v>25.27</v>
      </c>
      <c r="J108" t="n">
        <v>18.05</v>
      </c>
      <c r="K108" t="n">
        <v>0.08158</v>
      </c>
      <c r="L108" t="n">
        <v>0.2802</v>
      </c>
      <c r="M108" t="n">
        <v>0.03067</v>
      </c>
      <c r="N108" t="n">
        <v>16.11</v>
      </c>
      <c r="O108" t="n">
        <v>1233</v>
      </c>
    </row>
    <row r="109">
      <c r="A109" t="n">
        <v>143</v>
      </c>
      <c r="B109" t="inlineStr">
        <is>
          <t>Train</t>
        </is>
      </c>
      <c r="C109" t="inlineStr">
        <is>
          <t>Benign</t>
        </is>
      </c>
      <c r="D109" t="n">
        <v>0</v>
      </c>
      <c r="E109" t="n">
        <v>82.66</v>
      </c>
      <c r="F109" t="n">
        <v>0.06401999999999999</v>
      </c>
      <c r="G109" t="n">
        <v>12.78</v>
      </c>
      <c r="H109" t="n">
        <v>0.1413</v>
      </c>
      <c r="I109" t="n">
        <v>26.76</v>
      </c>
      <c r="J109" t="n">
        <v>17.31</v>
      </c>
      <c r="K109" t="n">
        <v>0.08096</v>
      </c>
      <c r="L109" t="n">
        <v>0.07708</v>
      </c>
      <c r="M109" t="n">
        <v>0.01158</v>
      </c>
      <c r="N109" t="n">
        <v>11.43</v>
      </c>
      <c r="O109" t="n">
        <v>503</v>
      </c>
    </row>
    <row r="110">
      <c r="A110" t="n">
        <v>144</v>
      </c>
      <c r="B110" t="inlineStr">
        <is>
          <t>Train</t>
        </is>
      </c>
      <c r="C110" t="inlineStr">
        <is>
          <t>Benign</t>
        </is>
      </c>
      <c r="D110" t="n">
        <v>0</v>
      </c>
      <c r="E110" t="n">
        <v>97.17</v>
      </c>
      <c r="F110" t="n">
        <v>0.1012</v>
      </c>
      <c r="G110" t="n">
        <v>14.48</v>
      </c>
      <c r="H110" t="n">
        <v>0.1312</v>
      </c>
      <c r="I110" t="n">
        <v>21.82</v>
      </c>
      <c r="J110" t="n">
        <v>15.92</v>
      </c>
      <c r="K110" t="n">
        <v>0.08118</v>
      </c>
      <c r="L110" t="n">
        <v>0.209</v>
      </c>
      <c r="M110" t="n">
        <v>0.0151</v>
      </c>
      <c r="N110" t="n">
        <v>12.9</v>
      </c>
      <c r="O110" t="n">
        <v>643.8</v>
      </c>
    </row>
    <row r="111">
      <c r="A111" t="n">
        <v>145</v>
      </c>
      <c r="B111" t="inlineStr">
        <is>
          <t>Train</t>
        </is>
      </c>
      <c r="C111" t="inlineStr">
        <is>
          <t>Benign</t>
        </is>
      </c>
      <c r="D111" t="n">
        <v>0</v>
      </c>
      <c r="E111" t="n">
        <v>77.79000000000001</v>
      </c>
      <c r="F111" t="n">
        <v>0.03413</v>
      </c>
      <c r="G111" t="n">
        <v>11.95</v>
      </c>
      <c r="H111" t="n">
        <v>0.1076</v>
      </c>
      <c r="I111" t="n">
        <v>20.72</v>
      </c>
      <c r="J111" t="n">
        <v>14.97</v>
      </c>
      <c r="K111" t="n">
        <v>0.06769</v>
      </c>
      <c r="L111" t="n">
        <v>0.09755</v>
      </c>
      <c r="M111" t="n">
        <v>0.02018</v>
      </c>
      <c r="N111" t="n">
        <v>10.75</v>
      </c>
      <c r="O111" t="n">
        <v>441.2</v>
      </c>
    </row>
    <row r="112">
      <c r="A112" t="n">
        <v>146</v>
      </c>
      <c r="B112" t="inlineStr">
        <is>
          <t>Train</t>
        </is>
      </c>
      <c r="C112" t="inlineStr">
        <is>
          <t>Benign</t>
        </is>
      </c>
      <c r="D112" t="n">
        <v>0</v>
      </c>
      <c r="E112" t="n">
        <v>86.26000000000001</v>
      </c>
      <c r="F112" t="n">
        <v>0.06042</v>
      </c>
      <c r="G112" t="n">
        <v>13.15</v>
      </c>
      <c r="H112" t="n">
        <v>0.1424</v>
      </c>
      <c r="I112" t="n">
        <v>16.51</v>
      </c>
      <c r="J112" t="n">
        <v>14.65</v>
      </c>
      <c r="K112" t="n">
        <v>0.1036</v>
      </c>
      <c r="L112" t="n">
        <v>0.09420000000000001</v>
      </c>
      <c r="M112" t="n">
        <v>0.02789</v>
      </c>
      <c r="N112" t="n">
        <v>11.9</v>
      </c>
      <c r="O112" t="n">
        <v>509.6</v>
      </c>
    </row>
    <row r="113">
      <c r="A113" t="n">
        <v>148</v>
      </c>
      <c r="B113" t="inlineStr">
        <is>
          <t>Train</t>
        </is>
      </c>
      <c r="C113" t="inlineStr">
        <is>
          <t>Benign</t>
        </is>
      </c>
      <c r="D113" t="n">
        <v>0</v>
      </c>
      <c r="E113" t="n">
        <v>107.1</v>
      </c>
      <c r="F113" t="n">
        <v>0.08405</v>
      </c>
      <c r="G113" t="n">
        <v>16.25</v>
      </c>
      <c r="H113" t="n">
        <v>0.0997</v>
      </c>
      <c r="I113" t="n">
        <v>25.47</v>
      </c>
      <c r="J113" t="n">
        <v>18.77</v>
      </c>
      <c r="K113" t="n">
        <v>0.09218</v>
      </c>
      <c r="L113" t="n">
        <v>0.25</v>
      </c>
      <c r="M113" t="n">
        <v>0.05303</v>
      </c>
      <c r="N113" t="n">
        <v>14.95</v>
      </c>
      <c r="O113" t="n">
        <v>809.7</v>
      </c>
    </row>
    <row r="114">
      <c r="A114" t="n">
        <v>149</v>
      </c>
      <c r="B114" t="inlineStr">
        <is>
          <t>Train</t>
        </is>
      </c>
      <c r="C114" t="inlineStr">
        <is>
          <t>Benign</t>
        </is>
      </c>
      <c r="D114" t="n">
        <v>0</v>
      </c>
      <c r="E114" t="n">
        <v>108.6</v>
      </c>
      <c r="F114" t="n">
        <v>0.1599</v>
      </c>
      <c r="G114" t="n">
        <v>15.85</v>
      </c>
      <c r="H114" t="n">
        <v>0.1316</v>
      </c>
      <c r="I114" t="n">
        <v>19.85</v>
      </c>
      <c r="J114" t="n">
        <v>15.18</v>
      </c>
      <c r="K114" t="n">
        <v>0.07683</v>
      </c>
      <c r="L114" t="n">
        <v>0.3103</v>
      </c>
      <c r="M114" t="n">
        <v>0.03114</v>
      </c>
      <c r="N114" t="n">
        <v>14.44</v>
      </c>
      <c r="O114" t="n">
        <v>766.9</v>
      </c>
    </row>
    <row r="115">
      <c r="A115" t="n">
        <v>150</v>
      </c>
      <c r="B115" t="inlineStr">
        <is>
          <t>Train</t>
        </is>
      </c>
      <c r="C115" t="inlineStr">
        <is>
          <t>Benign</t>
        </is>
      </c>
      <c r="D115" t="n">
        <v>0</v>
      </c>
      <c r="E115" t="n">
        <v>97.19</v>
      </c>
      <c r="F115" t="n">
        <v>0.06019</v>
      </c>
      <c r="G115" t="n">
        <v>15.34</v>
      </c>
      <c r="H115" t="n">
        <v>0.09711</v>
      </c>
      <c r="I115" t="n">
        <v>22.46</v>
      </c>
      <c r="J115" t="n">
        <v>17.91</v>
      </c>
      <c r="K115" t="n">
        <v>0.07013999999999999</v>
      </c>
      <c r="L115" t="n">
        <v>0.1564</v>
      </c>
      <c r="M115" t="n">
        <v>0.0178</v>
      </c>
      <c r="N115" t="n">
        <v>13.74</v>
      </c>
      <c r="O115" t="n">
        <v>725.9</v>
      </c>
    </row>
    <row r="116">
      <c r="A116" t="n">
        <v>151</v>
      </c>
      <c r="B116" t="inlineStr">
        <is>
          <t>Train</t>
        </is>
      </c>
      <c r="C116" t="inlineStr">
        <is>
          <t>Benign</t>
        </is>
      </c>
      <c r="D116" t="n">
        <v>0</v>
      </c>
      <c r="E116" t="n">
        <v>90.81999999999999</v>
      </c>
      <c r="F116" t="n">
        <v>0.06296</v>
      </c>
      <c r="G116" t="n">
        <v>14.16</v>
      </c>
      <c r="H116" t="n">
        <v>0.1297</v>
      </c>
      <c r="I116" t="n">
        <v>24.11</v>
      </c>
      <c r="J116" t="n">
        <v>20.78</v>
      </c>
      <c r="K116" t="n">
        <v>0.06435</v>
      </c>
      <c r="L116" t="n">
        <v>0.08112</v>
      </c>
      <c r="M116" t="n">
        <v>0.01949</v>
      </c>
      <c r="N116" t="n">
        <v>13</v>
      </c>
      <c r="O116" t="n">
        <v>616.7</v>
      </c>
    </row>
    <row r="117">
      <c r="A117" t="n">
        <v>152</v>
      </c>
      <c r="B117" t="inlineStr">
        <is>
          <t>Train</t>
        </is>
      </c>
      <c r="C117" t="inlineStr">
        <is>
          <t>Benign</t>
        </is>
      </c>
      <c r="D117" t="n">
        <v>0</v>
      </c>
      <c r="E117" t="n">
        <v>58.08</v>
      </c>
      <c r="F117" t="n">
        <v>0.07879</v>
      </c>
      <c r="G117" t="n">
        <v>9.092000000000001</v>
      </c>
      <c r="H117" t="n">
        <v>0.163</v>
      </c>
      <c r="I117" t="n">
        <v>29.72</v>
      </c>
      <c r="J117" t="n">
        <v>20.7</v>
      </c>
      <c r="K117" t="n">
        <v>0.1486</v>
      </c>
      <c r="L117" t="n">
        <v>0.5381</v>
      </c>
      <c r="M117" t="n">
        <v>0.07753</v>
      </c>
      <c r="N117" t="n">
        <v>8.218999999999999</v>
      </c>
      <c r="O117" t="n">
        <v>249.8</v>
      </c>
    </row>
    <row r="118">
      <c r="A118" t="n">
        <v>154</v>
      </c>
      <c r="B118" t="inlineStr">
        <is>
          <t>Train</t>
        </is>
      </c>
      <c r="C118" t="inlineStr">
        <is>
          <t>Benign</t>
        </is>
      </c>
      <c r="D118" t="n">
        <v>0</v>
      </c>
      <c r="E118" t="n">
        <v>76.25</v>
      </c>
      <c r="F118" t="n">
        <v>0.05506</v>
      </c>
      <c r="G118" t="n">
        <v>11.99</v>
      </c>
      <c r="H118" t="n">
        <v>0.1341</v>
      </c>
      <c r="I118" t="n">
        <v>16.3</v>
      </c>
      <c r="J118" t="n">
        <v>13.08</v>
      </c>
      <c r="K118" t="n">
        <v>0.06772</v>
      </c>
      <c r="L118" t="n">
        <v>0.07116</v>
      </c>
      <c r="M118" t="n">
        <v>0.01196</v>
      </c>
      <c r="N118" t="n">
        <v>11.15</v>
      </c>
      <c r="O118" t="n">
        <v>440.8</v>
      </c>
    </row>
    <row r="119">
      <c r="A119" t="n">
        <v>157</v>
      </c>
      <c r="B119" t="inlineStr">
        <is>
          <t>Train</t>
        </is>
      </c>
      <c r="C119" t="inlineStr">
        <is>
          <t>Malignant</t>
        </is>
      </c>
      <c r="D119" t="n">
        <v>1</v>
      </c>
      <c r="E119" t="n">
        <v>132.9</v>
      </c>
      <c r="F119" t="n">
        <v>0.1515</v>
      </c>
      <c r="G119" t="n">
        <v>20.47</v>
      </c>
      <c r="H119" t="n">
        <v>0.1418</v>
      </c>
      <c r="I119" t="n">
        <v>25.11</v>
      </c>
      <c r="J119" t="n">
        <v>20.74</v>
      </c>
      <c r="K119" t="n">
        <v>0.07738</v>
      </c>
      <c r="L119" t="n">
        <v>0.3583</v>
      </c>
      <c r="M119" t="n">
        <v>0.05206</v>
      </c>
      <c r="N119" t="n">
        <v>17.68</v>
      </c>
      <c r="O119" t="n">
        <v>1302</v>
      </c>
    </row>
    <row r="120">
      <c r="A120" t="n">
        <v>158</v>
      </c>
      <c r="B120" t="inlineStr">
        <is>
          <t>Train</t>
        </is>
      </c>
      <c r="C120" t="inlineStr">
        <is>
          <t>Benign</t>
        </is>
      </c>
      <c r="D120" t="n">
        <v>0</v>
      </c>
      <c r="E120" t="n">
        <v>120.3</v>
      </c>
      <c r="F120" t="n">
        <v>0.08436</v>
      </c>
      <c r="G120" t="n">
        <v>18.22</v>
      </c>
      <c r="H120" t="n">
        <v>0.08774</v>
      </c>
      <c r="I120" t="n">
        <v>28.07</v>
      </c>
      <c r="J120" t="n">
        <v>19.46</v>
      </c>
      <c r="K120" t="n">
        <v>0.05972</v>
      </c>
      <c r="L120" t="n">
        <v>0.1882</v>
      </c>
      <c r="M120" t="n">
        <v>0.03056</v>
      </c>
      <c r="N120" t="n">
        <v>16.84</v>
      </c>
      <c r="O120" t="n">
        <v>1032</v>
      </c>
    </row>
    <row r="121">
      <c r="A121" t="n">
        <v>159</v>
      </c>
      <c r="B121" t="inlineStr">
        <is>
          <t>Train</t>
        </is>
      </c>
      <c r="C121" t="inlineStr">
        <is>
          <t>Benign</t>
        </is>
      </c>
      <c r="D121" t="n">
        <v>0</v>
      </c>
      <c r="E121" t="n">
        <v>84.08</v>
      </c>
      <c r="F121" t="n">
        <v>0.07025000000000001</v>
      </c>
      <c r="G121" t="n">
        <v>13.14</v>
      </c>
      <c r="H121" t="n">
        <v>0.1275</v>
      </c>
      <c r="I121" t="n">
        <v>18.41</v>
      </c>
      <c r="J121" t="n">
        <v>12.74</v>
      </c>
      <c r="K121" t="n">
        <v>0.07897999999999999</v>
      </c>
      <c r="L121" t="n">
        <v>0.08636000000000001</v>
      </c>
      <c r="M121" t="n">
        <v>0.008342</v>
      </c>
      <c r="N121" t="n">
        <v>12.06</v>
      </c>
      <c r="O121" t="n">
        <v>532.8</v>
      </c>
    </row>
    <row r="122">
      <c r="A122" t="n">
        <v>160</v>
      </c>
      <c r="B122" t="inlineStr">
        <is>
          <t>Train</t>
        </is>
      </c>
      <c r="C122" t="inlineStr">
        <is>
          <t>Benign</t>
        </is>
      </c>
      <c r="D122" t="n">
        <v>0</v>
      </c>
      <c r="E122" t="n">
        <v>78.06999999999999</v>
      </c>
      <c r="F122" t="n">
        <v>0.03953</v>
      </c>
      <c r="G122" t="n">
        <v>12.36</v>
      </c>
      <c r="H122" t="n">
        <v>0.1171</v>
      </c>
      <c r="I122" t="n">
        <v>18.2</v>
      </c>
      <c r="J122" t="n">
        <v>12.96</v>
      </c>
      <c r="K122" t="n">
        <v>0.07685</v>
      </c>
      <c r="L122" t="n">
        <v>0.01854</v>
      </c>
      <c r="M122" t="n">
        <v>0.001835</v>
      </c>
      <c r="N122" t="n">
        <v>10.9</v>
      </c>
      <c r="O122" t="n">
        <v>470</v>
      </c>
    </row>
    <row r="123">
      <c r="A123" t="n">
        <v>165</v>
      </c>
      <c r="B123" t="inlineStr">
        <is>
          <t>Train</t>
        </is>
      </c>
      <c r="C123" t="inlineStr">
        <is>
          <t>Malignant</t>
        </is>
      </c>
      <c r="D123" t="n">
        <v>1</v>
      </c>
      <c r="E123" t="n">
        <v>184.2</v>
      </c>
      <c r="F123" t="n">
        <v>0.2346</v>
      </c>
      <c r="G123" t="n">
        <v>28.01</v>
      </c>
      <c r="H123" t="n">
        <v>0.1228</v>
      </c>
      <c r="I123" t="n">
        <v>28.22</v>
      </c>
      <c r="J123" t="n">
        <v>22.04</v>
      </c>
      <c r="K123" t="n">
        <v>0.09186999999999999</v>
      </c>
      <c r="L123" t="n">
        <v>0.3948</v>
      </c>
      <c r="M123" t="n">
        <v>0.02822</v>
      </c>
      <c r="N123" t="n">
        <v>23.27</v>
      </c>
      <c r="O123" t="n">
        <v>2403</v>
      </c>
    </row>
    <row r="124">
      <c r="A124" t="n">
        <v>166</v>
      </c>
      <c r="B124" t="inlineStr">
        <is>
          <t>Train</t>
        </is>
      </c>
      <c r="C124" t="inlineStr">
        <is>
          <t>Benign</t>
        </is>
      </c>
      <c r="D124" t="n">
        <v>0</v>
      </c>
      <c r="E124" t="n">
        <v>102.3</v>
      </c>
      <c r="F124" t="n">
        <v>0.05754</v>
      </c>
      <c r="G124" t="n">
        <v>15.98</v>
      </c>
      <c r="H124" t="n">
        <v>0.1045</v>
      </c>
      <c r="I124" t="n">
        <v>25.82</v>
      </c>
      <c r="J124" t="n">
        <v>19.76</v>
      </c>
      <c r="K124" t="n">
        <v>0.06085</v>
      </c>
      <c r="L124" t="n">
        <v>0.0775</v>
      </c>
      <c r="M124" t="n">
        <v>0.008267999999999999</v>
      </c>
      <c r="N124" t="n">
        <v>14.97</v>
      </c>
      <c r="O124" t="n">
        <v>782.1</v>
      </c>
    </row>
    <row r="125">
      <c r="A125" t="n">
        <v>167</v>
      </c>
      <c r="B125" t="inlineStr">
        <is>
          <t>Train</t>
        </is>
      </c>
      <c r="C125" t="inlineStr">
        <is>
          <t>Benign</t>
        </is>
      </c>
      <c r="D125" t="n">
        <v>0</v>
      </c>
      <c r="E125" t="n">
        <v>73.66</v>
      </c>
      <c r="F125" t="n">
        <v>0.04603</v>
      </c>
      <c r="G125" t="n">
        <v>11.6</v>
      </c>
      <c r="H125" t="n">
        <v>0.1436</v>
      </c>
      <c r="I125" t="n">
        <v>12.02</v>
      </c>
      <c r="J125" t="n">
        <v>9.710000000000001</v>
      </c>
      <c r="K125" t="n">
        <v>0.07699</v>
      </c>
      <c r="L125" t="n">
        <v>0.1047</v>
      </c>
      <c r="M125" t="n">
        <v>0.01099</v>
      </c>
      <c r="N125" t="n">
        <v>10.8</v>
      </c>
      <c r="O125" t="n">
        <v>414</v>
      </c>
    </row>
    <row r="126">
      <c r="A126" t="n">
        <v>170</v>
      </c>
      <c r="B126" t="inlineStr">
        <is>
          <t>Train</t>
        </is>
      </c>
      <c r="C126" t="inlineStr">
        <is>
          <t>Benign</t>
        </is>
      </c>
      <c r="D126" t="n">
        <v>0</v>
      </c>
      <c r="E126" t="n">
        <v>104.6</v>
      </c>
      <c r="F126" t="n">
        <v>0.08484999999999999</v>
      </c>
      <c r="G126" t="n">
        <v>16.11</v>
      </c>
      <c r="H126" t="n">
        <v>0.1216</v>
      </c>
      <c r="I126" t="n">
        <v>23</v>
      </c>
      <c r="J126" t="n">
        <v>16.95</v>
      </c>
      <c r="K126" t="n">
        <v>0.06428</v>
      </c>
      <c r="L126" t="n">
        <v>0.06648</v>
      </c>
      <c r="M126" t="n">
        <v>0.007276</v>
      </c>
      <c r="N126" t="n">
        <v>14.97</v>
      </c>
      <c r="O126" t="n">
        <v>793.7</v>
      </c>
    </row>
    <row r="127">
      <c r="A127" t="n">
        <v>171</v>
      </c>
      <c r="B127" t="inlineStr">
        <is>
          <t>Train</t>
        </is>
      </c>
      <c r="C127" t="inlineStr">
        <is>
          <t>Benign</t>
        </is>
      </c>
      <c r="D127" t="n">
        <v>0</v>
      </c>
      <c r="E127" t="n">
        <v>86.97</v>
      </c>
      <c r="F127" t="n">
        <v>0.09390999999999999</v>
      </c>
      <c r="G127" t="n">
        <v>13.5</v>
      </c>
      <c r="H127" t="n">
        <v>0.1385</v>
      </c>
      <c r="I127" t="n">
        <v>15.64</v>
      </c>
      <c r="J127" t="n">
        <v>12.39</v>
      </c>
      <c r="K127" t="n">
        <v>0.06771000000000001</v>
      </c>
      <c r="L127" t="n">
        <v>0.1242</v>
      </c>
      <c r="M127" t="n">
        <v>0.01683</v>
      </c>
      <c r="N127" t="n">
        <v>12.32</v>
      </c>
      <c r="O127" t="n">
        <v>549.1</v>
      </c>
    </row>
    <row r="128">
      <c r="A128" t="n">
        <v>172</v>
      </c>
      <c r="B128" t="inlineStr">
        <is>
          <t>Train</t>
        </is>
      </c>
      <c r="C128" t="inlineStr">
        <is>
          <t>Malignant</t>
        </is>
      </c>
      <c r="D128" t="n">
        <v>1</v>
      </c>
      <c r="E128" t="n">
        <v>116.6</v>
      </c>
      <c r="F128" t="n">
        <v>0.116</v>
      </c>
      <c r="G128" t="n">
        <v>17.98</v>
      </c>
      <c r="H128" t="n">
        <v>0.1401</v>
      </c>
      <c r="I128" t="n">
        <v>29.87</v>
      </c>
      <c r="J128" t="n">
        <v>19.63</v>
      </c>
      <c r="K128" t="n">
        <v>0.07371</v>
      </c>
      <c r="L128" t="n">
        <v>0.2644</v>
      </c>
      <c r="M128" t="n">
        <v>0.02151</v>
      </c>
      <c r="N128" t="n">
        <v>13.43</v>
      </c>
      <c r="O128" t="n">
        <v>993.6</v>
      </c>
    </row>
    <row r="129">
      <c r="A129" t="n">
        <v>174</v>
      </c>
      <c r="B129" t="inlineStr">
        <is>
          <t>Train</t>
        </is>
      </c>
      <c r="C129" t="inlineStr">
        <is>
          <t>Benign</t>
        </is>
      </c>
      <c r="D129" t="n">
        <v>0</v>
      </c>
      <c r="E129" t="n">
        <v>72.01000000000001</v>
      </c>
      <c r="F129" t="n">
        <v>0.04306</v>
      </c>
      <c r="G129" t="n">
        <v>11.35</v>
      </c>
      <c r="H129" t="n">
        <v>0.1216</v>
      </c>
      <c r="I129" t="n">
        <v>16.82</v>
      </c>
      <c r="J129" t="n">
        <v>14.71</v>
      </c>
      <c r="K129" t="n">
        <v>0.07313</v>
      </c>
      <c r="L129" t="n">
        <v>0.03938</v>
      </c>
      <c r="M129" t="n">
        <v>0.01453</v>
      </c>
      <c r="N129" t="n">
        <v>11.08</v>
      </c>
      <c r="O129" t="n">
        <v>396.5</v>
      </c>
    </row>
    <row r="130">
      <c r="A130" t="n">
        <v>175</v>
      </c>
      <c r="B130" t="inlineStr">
        <is>
          <t>Train</t>
        </is>
      </c>
      <c r="C130" t="inlineStr">
        <is>
          <t>Benign</t>
        </is>
      </c>
      <c r="D130" t="n">
        <v>0</v>
      </c>
      <c r="E130" t="n">
        <v>73.2</v>
      </c>
      <c r="F130" t="n">
        <v>0</v>
      </c>
      <c r="G130" t="n">
        <v>11.54</v>
      </c>
      <c r="H130" t="n">
        <v>0.1076</v>
      </c>
      <c r="I130" t="n">
        <v>19.2</v>
      </c>
      <c r="J130" t="n">
        <v>15.15</v>
      </c>
      <c r="K130" t="n">
        <v>0.06164</v>
      </c>
      <c r="L130" t="n">
        <v>0</v>
      </c>
      <c r="M130" t="n">
        <v>0</v>
      </c>
      <c r="N130" t="n">
        <v>10.66</v>
      </c>
      <c r="O130" t="n">
        <v>408.3</v>
      </c>
    </row>
    <row r="131">
      <c r="A131" t="n">
        <v>179</v>
      </c>
      <c r="B131" t="inlineStr">
        <is>
          <t>Train</t>
        </is>
      </c>
      <c r="C131" t="inlineStr">
        <is>
          <t>Benign</t>
        </is>
      </c>
      <c r="D131" t="n">
        <v>0</v>
      </c>
      <c r="E131" t="n">
        <v>88.18000000000001</v>
      </c>
      <c r="F131" t="n">
        <v>0.009259</v>
      </c>
      <c r="G131" t="n">
        <v>14</v>
      </c>
      <c r="H131" t="n">
        <v>0.08125</v>
      </c>
      <c r="I131" t="n">
        <v>29.02</v>
      </c>
      <c r="J131" t="n">
        <v>22.22</v>
      </c>
      <c r="K131" t="n">
        <v>0.05843</v>
      </c>
      <c r="L131" t="n">
        <v>0.007977</v>
      </c>
      <c r="M131" t="n">
        <v>0.001595</v>
      </c>
      <c r="N131" t="n">
        <v>13.01</v>
      </c>
      <c r="O131" t="n">
        <v>608.8</v>
      </c>
    </row>
    <row r="132">
      <c r="A132" t="n">
        <v>182</v>
      </c>
      <c r="B132" t="inlineStr">
        <is>
          <t>Train</t>
        </is>
      </c>
      <c r="C132" t="inlineStr">
        <is>
          <t>Malignant</t>
        </is>
      </c>
      <c r="D132" t="n">
        <v>1</v>
      </c>
      <c r="E132" t="n">
        <v>176.5</v>
      </c>
      <c r="F132" t="n">
        <v>0.2903</v>
      </c>
      <c r="G132" t="n">
        <v>26.68</v>
      </c>
      <c r="H132" t="n">
        <v>0.1491</v>
      </c>
      <c r="I132" t="n">
        <v>33.48</v>
      </c>
      <c r="J132" t="n">
        <v>26.57</v>
      </c>
      <c r="K132" t="n">
        <v>0.1284</v>
      </c>
      <c r="L132" t="n">
        <v>0.678</v>
      </c>
      <c r="M132" t="n">
        <v>0.03872</v>
      </c>
      <c r="N132" t="n">
        <v>21.09</v>
      </c>
      <c r="O132" t="n">
        <v>2089</v>
      </c>
    </row>
    <row r="133">
      <c r="A133" t="n">
        <v>183</v>
      </c>
      <c r="B133" t="inlineStr">
        <is>
          <t>Train</t>
        </is>
      </c>
      <c r="C133" t="inlineStr">
        <is>
          <t>Malignant</t>
        </is>
      </c>
      <c r="D133" t="n">
        <v>1</v>
      </c>
      <c r="E133" t="n">
        <v>129.3</v>
      </c>
      <c r="F133" t="n">
        <v>0.1541</v>
      </c>
      <c r="G133" t="n">
        <v>20.11</v>
      </c>
      <c r="H133" t="n">
        <v>0.1414</v>
      </c>
      <c r="I133" t="n">
        <v>32.82</v>
      </c>
      <c r="J133" t="n">
        <v>20.31</v>
      </c>
      <c r="K133" t="n">
        <v>0.08631</v>
      </c>
      <c r="L133" t="n">
        <v>0.2902</v>
      </c>
      <c r="M133" t="n">
        <v>0.01954</v>
      </c>
      <c r="N133" t="n">
        <v>15.7</v>
      </c>
      <c r="O133" t="n">
        <v>1269</v>
      </c>
    </row>
    <row r="134">
      <c r="A134" t="n">
        <v>185</v>
      </c>
      <c r="B134" t="inlineStr">
        <is>
          <t>Train</t>
        </is>
      </c>
      <c r="C134" t="inlineStr">
        <is>
          <t>Malignant</t>
        </is>
      </c>
      <c r="D134" t="n">
        <v>1</v>
      </c>
      <c r="E134" t="n">
        <v>113.8</v>
      </c>
      <c r="F134" t="n">
        <v>0.1226</v>
      </c>
      <c r="G134" t="n">
        <v>17.8</v>
      </c>
      <c r="H134" t="n">
        <v>0.1301</v>
      </c>
      <c r="I134" t="n">
        <v>28.03</v>
      </c>
      <c r="J134" t="n">
        <v>22.41</v>
      </c>
      <c r="K134" t="n">
        <v>0.09772</v>
      </c>
      <c r="L134" t="n">
        <v>0.363</v>
      </c>
      <c r="M134" t="n">
        <v>0.01774</v>
      </c>
      <c r="N134" t="n">
        <v>15.28</v>
      </c>
      <c r="O134" t="n">
        <v>973.1</v>
      </c>
    </row>
    <row r="135">
      <c r="A135" t="n">
        <v>186</v>
      </c>
      <c r="B135" t="inlineStr">
        <is>
          <t>Train</t>
        </is>
      </c>
      <c r="C135" t="inlineStr">
        <is>
          <t>Benign</t>
        </is>
      </c>
      <c r="D135" t="n">
        <v>0</v>
      </c>
      <c r="E135" t="n">
        <v>75.39</v>
      </c>
      <c r="F135" t="n">
        <v>0.01042</v>
      </c>
      <c r="G135" t="n">
        <v>11.87</v>
      </c>
      <c r="H135" t="n">
        <v>0.1521</v>
      </c>
      <c r="I135" t="n">
        <v>21.18</v>
      </c>
      <c r="J135" t="n">
        <v>15.11</v>
      </c>
      <c r="K135" t="n">
        <v>0.07697</v>
      </c>
      <c r="L135" t="n">
        <v>0.00692</v>
      </c>
      <c r="M135" t="n">
        <v>0.001597</v>
      </c>
      <c r="N135" t="n">
        <v>10.08</v>
      </c>
      <c r="O135" t="n">
        <v>437</v>
      </c>
    </row>
    <row r="136">
      <c r="A136" t="n">
        <v>188</v>
      </c>
      <c r="B136" t="inlineStr">
        <is>
          <t>Train</t>
        </is>
      </c>
      <c r="C136" t="inlineStr">
        <is>
          <t>Benign</t>
        </is>
      </c>
      <c r="D136" t="n">
        <v>0</v>
      </c>
      <c r="E136" t="n">
        <v>84.42</v>
      </c>
      <c r="F136" t="n">
        <v>0.1099</v>
      </c>
      <c r="G136" t="n">
        <v>13.01</v>
      </c>
      <c r="H136" t="n">
        <v>0.1323</v>
      </c>
      <c r="I136" t="n">
        <v>21.39</v>
      </c>
      <c r="J136" t="n">
        <v>17.19</v>
      </c>
      <c r="K136" t="n">
        <v>0.07097000000000001</v>
      </c>
      <c r="L136" t="n">
        <v>0.1521</v>
      </c>
      <c r="M136" t="n">
        <v>0.01978</v>
      </c>
      <c r="N136" t="n">
        <v>11.71</v>
      </c>
      <c r="O136" t="n">
        <v>521.5</v>
      </c>
    </row>
    <row r="137">
      <c r="A137" t="n">
        <v>190</v>
      </c>
      <c r="B137" t="inlineStr">
        <is>
          <t>Train</t>
        </is>
      </c>
      <c r="C137" t="inlineStr">
        <is>
          <t>Benign</t>
        </is>
      </c>
      <c r="D137" t="n">
        <v>0</v>
      </c>
      <c r="E137" t="n">
        <v>86.65000000000001</v>
      </c>
      <c r="F137" t="n">
        <v>0.04815</v>
      </c>
      <c r="G137" t="n">
        <v>13.35</v>
      </c>
      <c r="H137" t="n">
        <v>0.1096</v>
      </c>
      <c r="I137" t="n">
        <v>19.59</v>
      </c>
      <c r="J137" t="n">
        <v>15.9</v>
      </c>
      <c r="K137" t="n">
        <v>0.06306</v>
      </c>
      <c r="L137" t="n">
        <v>0.1423</v>
      </c>
      <c r="M137" t="n">
        <v>0.02117</v>
      </c>
      <c r="N137" t="n">
        <v>12.3</v>
      </c>
      <c r="O137" t="n">
        <v>546.7</v>
      </c>
    </row>
    <row r="138">
      <c r="A138" t="n">
        <v>192</v>
      </c>
      <c r="B138" t="inlineStr">
        <is>
          <t>Train</t>
        </is>
      </c>
      <c r="C138" t="inlineStr">
        <is>
          <t>Benign</t>
        </is>
      </c>
      <c r="D138" t="n">
        <v>0</v>
      </c>
      <c r="E138" t="n">
        <v>89.04000000000001</v>
      </c>
      <c r="F138" t="n">
        <v>0.04773</v>
      </c>
      <c r="G138" t="n">
        <v>13.75</v>
      </c>
      <c r="H138" t="n">
        <v>0.09388000000000001</v>
      </c>
      <c r="I138" t="n">
        <v>23.5</v>
      </c>
      <c r="J138" t="n">
        <v>21.41</v>
      </c>
      <c r="K138" t="n">
        <v>0.06870999999999999</v>
      </c>
      <c r="L138" t="n">
        <v>0.05186</v>
      </c>
      <c r="M138" t="n">
        <v>0.02176</v>
      </c>
      <c r="N138" t="n">
        <v>12.77</v>
      </c>
      <c r="O138" t="n">
        <v>579.5</v>
      </c>
    </row>
    <row r="139">
      <c r="A139" t="n">
        <v>193</v>
      </c>
      <c r="B139" t="inlineStr">
        <is>
          <t>Train</t>
        </is>
      </c>
      <c r="C139" t="inlineStr">
        <is>
          <t>Benign</t>
        </is>
      </c>
      <c r="D139" t="n">
        <v>0</v>
      </c>
      <c r="E139" t="n">
        <v>62.25</v>
      </c>
      <c r="F139" t="n">
        <v>0</v>
      </c>
      <c r="G139" t="n">
        <v>9.968</v>
      </c>
      <c r="H139" t="n">
        <v>0.07117</v>
      </c>
      <c r="I139" t="n">
        <v>20.83</v>
      </c>
      <c r="J139" t="n">
        <v>18.22</v>
      </c>
      <c r="K139" t="n">
        <v>0.06559</v>
      </c>
      <c r="L139" t="n">
        <v>0</v>
      </c>
      <c r="M139" t="n">
        <v>0</v>
      </c>
      <c r="N139" t="n">
        <v>9.720000000000001</v>
      </c>
      <c r="O139" t="n">
        <v>303.8</v>
      </c>
    </row>
    <row r="140">
      <c r="A140" t="n">
        <v>194</v>
      </c>
      <c r="B140" t="inlineStr">
        <is>
          <t>Train</t>
        </is>
      </c>
      <c r="C140" t="inlineStr">
        <is>
          <t>Malignant</t>
        </is>
      </c>
      <c r="D140" t="n">
        <v>1</v>
      </c>
      <c r="E140" t="n">
        <v>101.7</v>
      </c>
      <c r="F140" t="n">
        <v>0.1459</v>
      </c>
      <c r="G140" t="n">
        <v>15.65</v>
      </c>
      <c r="H140" t="n">
        <v>0.1785</v>
      </c>
      <c r="I140" t="n">
        <v>39.34</v>
      </c>
      <c r="J140" t="n">
        <v>26.86</v>
      </c>
      <c r="K140" t="n">
        <v>0.1205</v>
      </c>
      <c r="L140" t="n">
        <v>0.4425</v>
      </c>
      <c r="M140" t="n">
        <v>0.03763</v>
      </c>
      <c r="N140" t="n">
        <v>12.34</v>
      </c>
      <c r="O140" t="n">
        <v>768.9</v>
      </c>
    </row>
    <row r="141">
      <c r="A141" t="n">
        <v>195</v>
      </c>
      <c r="B141" t="inlineStr">
        <is>
          <t>Train</t>
        </is>
      </c>
      <c r="C141" t="inlineStr">
        <is>
          <t>Malignant</t>
        </is>
      </c>
      <c r="D141" t="n">
        <v>1</v>
      </c>
      <c r="E141" t="n">
        <v>118.6</v>
      </c>
      <c r="F141" t="n">
        <v>0.1727</v>
      </c>
      <c r="G141" t="n">
        <v>16.08</v>
      </c>
      <c r="H141" t="n">
        <v>0.1316</v>
      </c>
      <c r="I141" t="n">
        <v>27.78</v>
      </c>
      <c r="J141" t="n">
        <v>23.21</v>
      </c>
      <c r="K141" t="n">
        <v>0.08701</v>
      </c>
      <c r="L141" t="n">
        <v>0.4589</v>
      </c>
      <c r="M141" t="n">
        <v>0.05551</v>
      </c>
      <c r="N141" t="n">
        <v>14.86</v>
      </c>
      <c r="O141" t="n">
        <v>784.7</v>
      </c>
    </row>
    <row r="142">
      <c r="A142" t="n">
        <v>196</v>
      </c>
      <c r="B142" t="inlineStr">
        <is>
          <t>Train</t>
        </is>
      </c>
      <c r="C142" t="inlineStr">
        <is>
          <t>Benign</t>
        </is>
      </c>
      <c r="D142" t="n">
        <v>0</v>
      </c>
      <c r="E142" t="n">
        <v>90.81</v>
      </c>
      <c r="F142" t="n">
        <v>0.08235000000000001</v>
      </c>
      <c r="G142" t="n">
        <v>13.88</v>
      </c>
      <c r="H142" t="n">
        <v>0.1097</v>
      </c>
      <c r="I142" t="n">
        <v>22</v>
      </c>
      <c r="J142" t="n">
        <v>16.33</v>
      </c>
      <c r="K142" t="n">
        <v>0.06949</v>
      </c>
      <c r="L142" t="n">
        <v>0.1764</v>
      </c>
      <c r="M142" t="n">
        <v>0.02321</v>
      </c>
      <c r="N142" t="n">
        <v>12.91</v>
      </c>
      <c r="O142" t="n">
        <v>600.6</v>
      </c>
    </row>
    <row r="143">
      <c r="A143" t="n">
        <v>200</v>
      </c>
      <c r="B143" t="inlineStr">
        <is>
          <t>Train</t>
        </is>
      </c>
      <c r="C143" t="inlineStr">
        <is>
          <t>Malignant</t>
        </is>
      </c>
      <c r="D143" t="n">
        <v>1</v>
      </c>
      <c r="E143" t="n">
        <v>117.9</v>
      </c>
      <c r="F143" t="n">
        <v>0.1838</v>
      </c>
      <c r="G143" t="n">
        <v>18.33</v>
      </c>
      <c r="H143" t="n">
        <v>0.1552</v>
      </c>
      <c r="I143" t="n">
        <v>30.12</v>
      </c>
      <c r="J143" t="n">
        <v>20.22</v>
      </c>
      <c r="K143" t="n">
        <v>0.1013</v>
      </c>
      <c r="L143" t="n">
        <v>0.4967</v>
      </c>
      <c r="M143" t="n">
        <v>0.02</v>
      </c>
      <c r="N143" t="n">
        <v>14.45</v>
      </c>
      <c r="O143" t="n">
        <v>1044</v>
      </c>
    </row>
    <row r="144">
      <c r="A144" t="n">
        <v>201</v>
      </c>
      <c r="B144" t="inlineStr">
        <is>
          <t>Train</t>
        </is>
      </c>
      <c r="C144" t="inlineStr">
        <is>
          <t>Benign</t>
        </is>
      </c>
      <c r="D144" t="n">
        <v>0</v>
      </c>
      <c r="E144" t="n">
        <v>92.15000000000001</v>
      </c>
      <c r="F144" t="n">
        <v>0.108</v>
      </c>
      <c r="G144" t="n">
        <v>14.44</v>
      </c>
      <c r="H144" t="n">
        <v>0.1429</v>
      </c>
      <c r="I144" t="n">
        <v>28.36</v>
      </c>
      <c r="J144" t="n">
        <v>19.56</v>
      </c>
      <c r="K144" t="n">
        <v>0.08173999999999999</v>
      </c>
      <c r="L144" t="n">
        <v>0.1377</v>
      </c>
      <c r="M144" t="n">
        <v>0.01401</v>
      </c>
      <c r="N144" t="n">
        <v>12.23</v>
      </c>
      <c r="O144" t="n">
        <v>638.4</v>
      </c>
    </row>
    <row r="145">
      <c r="A145" t="n">
        <v>202</v>
      </c>
      <c r="B145" t="inlineStr">
        <is>
          <t>Train</t>
        </is>
      </c>
      <c r="C145" t="inlineStr">
        <is>
          <t>Malignant</t>
        </is>
      </c>
      <c r="D145" t="n">
        <v>1</v>
      </c>
      <c r="E145" t="n">
        <v>139.5</v>
      </c>
      <c r="F145" t="n">
        <v>0.1939</v>
      </c>
      <c r="G145" t="n">
        <v>20.42</v>
      </c>
      <c r="H145" t="n">
        <v>0.1381</v>
      </c>
      <c r="I145" t="n">
        <v>25.84</v>
      </c>
      <c r="J145" t="n">
        <v>19.32</v>
      </c>
      <c r="K145" t="n">
        <v>0.07867</v>
      </c>
      <c r="L145" t="n">
        <v>0.3508</v>
      </c>
      <c r="M145" t="n">
        <v>0.02713</v>
      </c>
      <c r="N145" t="n">
        <v>17.54</v>
      </c>
      <c r="O145" t="n">
        <v>1239</v>
      </c>
    </row>
    <row r="146">
      <c r="A146" t="n">
        <v>203</v>
      </c>
      <c r="B146" t="inlineStr">
        <is>
          <t>Train</t>
        </is>
      </c>
      <c r="C146" t="inlineStr">
        <is>
          <t>Malignant</t>
        </is>
      </c>
      <c r="D146" t="n">
        <v>1</v>
      </c>
      <c r="E146" t="n">
        <v>177</v>
      </c>
      <c r="F146" t="n">
        <v>0.2733</v>
      </c>
      <c r="G146" t="n">
        <v>25.12</v>
      </c>
      <c r="H146" t="n">
        <v>0.1536</v>
      </c>
      <c r="I146" t="n">
        <v>32.68</v>
      </c>
      <c r="J146" t="n">
        <v>26.67</v>
      </c>
      <c r="K146" t="n">
        <v>0.08762</v>
      </c>
      <c r="L146" t="n">
        <v>0.7892</v>
      </c>
      <c r="M146" t="n">
        <v>0.08958000000000001</v>
      </c>
      <c r="N146" t="n">
        <v>23.29</v>
      </c>
      <c r="O146" t="n">
        <v>1986</v>
      </c>
    </row>
    <row r="147">
      <c r="A147" t="n">
        <v>204</v>
      </c>
      <c r="B147" t="inlineStr">
        <is>
          <t>Train</t>
        </is>
      </c>
      <c r="C147" t="inlineStr">
        <is>
          <t>Malignant</t>
        </is>
      </c>
      <c r="D147" t="n">
        <v>1</v>
      </c>
      <c r="E147" t="n">
        <v>128.5</v>
      </c>
      <c r="F147" t="n">
        <v>0.2013</v>
      </c>
      <c r="G147" t="n">
        <v>19.2</v>
      </c>
      <c r="H147" t="n">
        <v>0.2226</v>
      </c>
      <c r="I147" t="n">
        <v>41.85</v>
      </c>
      <c r="J147" t="n">
        <v>23.75</v>
      </c>
      <c r="K147" t="n">
        <v>0.1086</v>
      </c>
      <c r="L147" t="n">
        <v>0.4646</v>
      </c>
      <c r="M147" t="n">
        <v>0.03112</v>
      </c>
      <c r="N147" t="n">
        <v>13.81</v>
      </c>
      <c r="O147" t="n">
        <v>1153</v>
      </c>
    </row>
    <row r="148">
      <c r="A148" t="n">
        <v>205</v>
      </c>
      <c r="B148" t="inlineStr">
        <is>
          <t>Train</t>
        </is>
      </c>
      <c r="C148" t="inlineStr">
        <is>
          <t>Benign</t>
        </is>
      </c>
      <c r="D148" t="n">
        <v>0</v>
      </c>
      <c r="E148" t="n">
        <v>96.05</v>
      </c>
      <c r="F148" t="n">
        <v>0.1015</v>
      </c>
      <c r="G148" t="n">
        <v>14.97</v>
      </c>
      <c r="H148" t="n">
        <v>0.1426</v>
      </c>
      <c r="I148" t="n">
        <v>24.64</v>
      </c>
      <c r="J148" t="n">
        <v>18.6</v>
      </c>
      <c r="K148" t="n">
        <v>0.08749999999999999</v>
      </c>
      <c r="L148" t="n">
        <v>0.2671</v>
      </c>
      <c r="M148" t="n">
        <v>0.02701</v>
      </c>
      <c r="N148" t="n">
        <v>12.47</v>
      </c>
      <c r="O148" t="n">
        <v>677.9</v>
      </c>
    </row>
    <row r="149">
      <c r="A149" t="n">
        <v>207</v>
      </c>
      <c r="B149" t="inlineStr">
        <is>
          <t>Train</t>
        </is>
      </c>
      <c r="C149" t="inlineStr">
        <is>
          <t>Benign</t>
        </is>
      </c>
      <c r="D149" t="n">
        <v>0</v>
      </c>
      <c r="E149" t="n">
        <v>67.08</v>
      </c>
      <c r="F149" t="n">
        <v>0.05588</v>
      </c>
      <c r="G149" t="n">
        <v>10.42</v>
      </c>
      <c r="H149" t="n">
        <v>0.1415</v>
      </c>
      <c r="I149" t="n">
        <v>23.22</v>
      </c>
      <c r="J149" t="n">
        <v>17.27</v>
      </c>
      <c r="K149" t="n">
        <v>0.0738</v>
      </c>
      <c r="L149" t="n">
        <v>0.06213</v>
      </c>
      <c r="M149" t="n">
        <v>0.007974999999999999</v>
      </c>
      <c r="N149" t="n">
        <v>9.875999999999999</v>
      </c>
      <c r="O149" t="n">
        <v>331.6</v>
      </c>
    </row>
    <row r="150">
      <c r="A150" t="n">
        <v>209</v>
      </c>
      <c r="B150" t="inlineStr">
        <is>
          <t>Train</t>
        </is>
      </c>
      <c r="C150" t="inlineStr">
        <is>
          <t>Benign</t>
        </is>
      </c>
      <c r="D150" t="n">
        <v>0</v>
      </c>
      <c r="E150" t="n">
        <v>99.48</v>
      </c>
      <c r="F150" t="n">
        <v>0.1126</v>
      </c>
      <c r="G150" t="n">
        <v>14.55</v>
      </c>
      <c r="H150" t="n">
        <v>0.1349</v>
      </c>
      <c r="I150" t="n">
        <v>29.16</v>
      </c>
      <c r="J150" t="n">
        <v>22.54</v>
      </c>
      <c r="K150" t="n">
        <v>0.1076</v>
      </c>
      <c r="L150" t="n">
        <v>0.3162</v>
      </c>
      <c r="M150" t="n">
        <v>0.02526</v>
      </c>
      <c r="N150" t="n">
        <v>13.11</v>
      </c>
      <c r="O150" t="n">
        <v>639.3</v>
      </c>
    </row>
    <row r="151">
      <c r="A151" t="n">
        <v>212</v>
      </c>
      <c r="B151" t="inlineStr">
        <is>
          <t>Train</t>
        </is>
      </c>
      <c r="C151" t="inlineStr">
        <is>
          <t>Benign</t>
        </is>
      </c>
      <c r="D151" t="n">
        <v>0</v>
      </c>
      <c r="E151" t="n">
        <v>85.22</v>
      </c>
      <c r="F151" t="n">
        <v>0.06913</v>
      </c>
      <c r="G151" t="n">
        <v>13.3</v>
      </c>
      <c r="H151" t="n">
        <v>0.128</v>
      </c>
      <c r="I151" t="n">
        <v>24.99</v>
      </c>
      <c r="J151" t="n">
        <v>18.94</v>
      </c>
      <c r="K151" t="n">
        <v>0.07993</v>
      </c>
      <c r="L151" t="n">
        <v>0.1471</v>
      </c>
      <c r="M151" t="n">
        <v>0.02045</v>
      </c>
      <c r="N151" t="n">
        <v>11.84</v>
      </c>
      <c r="O151" t="n">
        <v>546.3</v>
      </c>
    </row>
    <row r="152">
      <c r="A152" t="n">
        <v>213</v>
      </c>
      <c r="B152" t="inlineStr">
        <is>
          <t>Train</t>
        </is>
      </c>
      <c r="C152" t="inlineStr">
        <is>
          <t>Malignant</t>
        </is>
      </c>
      <c r="D152" t="n">
        <v>1</v>
      </c>
      <c r="E152" t="n">
        <v>188.5</v>
      </c>
      <c r="F152" t="n">
        <v>0.1595</v>
      </c>
      <c r="G152" t="n">
        <v>28.11</v>
      </c>
      <c r="H152" t="n">
        <v>0.1142</v>
      </c>
      <c r="I152" t="n">
        <v>18.47</v>
      </c>
      <c r="J152" t="n">
        <v>18.47</v>
      </c>
      <c r="K152" t="n">
        <v>0.05525</v>
      </c>
      <c r="L152" t="n">
        <v>0.3201</v>
      </c>
      <c r="M152" t="n">
        <v>0.06389</v>
      </c>
      <c r="N152" t="n">
        <v>28.11</v>
      </c>
      <c r="O152" t="n">
        <v>2499</v>
      </c>
    </row>
    <row r="153">
      <c r="A153" t="n">
        <v>215</v>
      </c>
      <c r="B153" t="inlineStr">
        <is>
          <t>Train</t>
        </is>
      </c>
      <c r="C153" t="inlineStr">
        <is>
          <t>Malignant</t>
        </is>
      </c>
      <c r="D153" t="n">
        <v>1</v>
      </c>
      <c r="E153" t="n">
        <v>115</v>
      </c>
      <c r="F153" t="n">
        <v>0.1772</v>
      </c>
      <c r="G153" t="n">
        <v>16.86</v>
      </c>
      <c r="H153" t="n">
        <v>0.1559</v>
      </c>
      <c r="I153" t="n">
        <v>34.85</v>
      </c>
      <c r="J153" t="n">
        <v>23.81</v>
      </c>
      <c r="K153" t="n">
        <v>0.1026</v>
      </c>
      <c r="L153" t="n">
        <v>0.3744</v>
      </c>
      <c r="M153" t="n">
        <v>0.03688</v>
      </c>
      <c r="N153" t="n">
        <v>14.19</v>
      </c>
      <c r="O153" t="n">
        <v>811.3</v>
      </c>
    </row>
    <row r="154">
      <c r="A154" t="n">
        <v>216</v>
      </c>
      <c r="B154" t="inlineStr">
        <is>
          <t>Train</t>
        </is>
      </c>
      <c r="C154" t="inlineStr">
        <is>
          <t>Malignant</t>
        </is>
      </c>
      <c r="D154" t="n">
        <v>1</v>
      </c>
      <c r="E154" t="n">
        <v>104.4</v>
      </c>
      <c r="F154" t="n">
        <v>0.1654</v>
      </c>
      <c r="G154" t="n">
        <v>15.75</v>
      </c>
      <c r="H154" t="n">
        <v>0.146</v>
      </c>
      <c r="I154" t="n">
        <v>26.93</v>
      </c>
      <c r="J154" t="n">
        <v>16.93</v>
      </c>
      <c r="K154" t="n">
        <v>0.1059</v>
      </c>
      <c r="L154" t="n">
        <v>0.4636</v>
      </c>
      <c r="M154" t="n">
        <v>0.03909</v>
      </c>
      <c r="N154" t="n">
        <v>13.86</v>
      </c>
      <c r="O154" t="n">
        <v>750.1</v>
      </c>
    </row>
    <row r="155">
      <c r="A155" t="n">
        <v>217</v>
      </c>
      <c r="B155" t="inlineStr">
        <is>
          <t>Train</t>
        </is>
      </c>
      <c r="C155" t="inlineStr">
        <is>
          <t>Benign</t>
        </is>
      </c>
      <c r="D155" t="n">
        <v>0</v>
      </c>
      <c r="E155" t="n">
        <v>86.2</v>
      </c>
      <c r="F155" t="n">
        <v>0.1138</v>
      </c>
      <c r="G155" t="n">
        <v>13.25</v>
      </c>
      <c r="H155" t="n">
        <v>0.1405</v>
      </c>
      <c r="I155" t="n">
        <v>27.1</v>
      </c>
      <c r="J155" t="n">
        <v>18.35</v>
      </c>
      <c r="K155" t="n">
        <v>0.08365</v>
      </c>
      <c r="L155" t="n">
        <v>0.2806</v>
      </c>
      <c r="M155" t="n">
        <v>0.05946</v>
      </c>
      <c r="N155" t="n">
        <v>11.89</v>
      </c>
      <c r="O155" t="n">
        <v>531.2</v>
      </c>
    </row>
    <row r="156">
      <c r="A156" t="n">
        <v>218</v>
      </c>
      <c r="B156" t="inlineStr">
        <is>
          <t>Train</t>
        </is>
      </c>
      <c r="C156" t="inlineStr">
        <is>
          <t>Benign</t>
        </is>
      </c>
      <c r="D156" t="n">
        <v>0</v>
      </c>
      <c r="E156" t="n">
        <v>75.40000000000001</v>
      </c>
      <c r="F156" t="n">
        <v>0.03571</v>
      </c>
      <c r="G156" t="n">
        <v>11.48</v>
      </c>
      <c r="H156" t="n">
        <v>0.09526999999999999</v>
      </c>
      <c r="I156" t="n">
        <v>24.47</v>
      </c>
      <c r="J156" t="n">
        <v>17.48</v>
      </c>
      <c r="K156" t="n">
        <v>0.07809000000000001</v>
      </c>
      <c r="L156" t="n">
        <v>0.1925</v>
      </c>
      <c r="M156" t="n">
        <v>0.05774</v>
      </c>
      <c r="N156" t="n">
        <v>10.2</v>
      </c>
      <c r="O156" t="n">
        <v>403.7</v>
      </c>
    </row>
    <row r="157">
      <c r="A157" t="n">
        <v>219</v>
      </c>
      <c r="B157" t="inlineStr">
        <is>
          <t>Train</t>
        </is>
      </c>
      <c r="C157" t="inlineStr">
        <is>
          <t>Malignant</t>
        </is>
      </c>
      <c r="D157" t="n">
        <v>1</v>
      </c>
      <c r="E157" t="n">
        <v>170.3</v>
      </c>
      <c r="F157" t="n">
        <v>0.182</v>
      </c>
      <c r="G157" t="n">
        <v>25.73</v>
      </c>
      <c r="H157" t="n">
        <v>0.1353</v>
      </c>
      <c r="I157" t="n">
        <v>28.64</v>
      </c>
      <c r="J157" t="n">
        <v>21.56</v>
      </c>
      <c r="K157" t="n">
        <v>0.08255</v>
      </c>
      <c r="L157" t="n">
        <v>0.3617</v>
      </c>
      <c r="M157" t="n">
        <v>0.03446</v>
      </c>
      <c r="N157" t="n">
        <v>19.8</v>
      </c>
      <c r="O157" t="n">
        <v>2009</v>
      </c>
    </row>
    <row r="158">
      <c r="A158" t="n">
        <v>220</v>
      </c>
      <c r="B158" t="inlineStr">
        <is>
          <t>Train</t>
        </is>
      </c>
      <c r="C158" t="inlineStr">
        <is>
          <t>Malignant</t>
        </is>
      </c>
      <c r="D158" t="n">
        <v>1</v>
      </c>
      <c r="E158" t="n">
        <v>180.2</v>
      </c>
      <c r="F158" t="n">
        <v>0.1625</v>
      </c>
      <c r="G158" t="n">
        <v>27.9</v>
      </c>
      <c r="H158" t="n">
        <v>0.1408</v>
      </c>
      <c r="I158" t="n">
        <v>45.41</v>
      </c>
      <c r="J158" t="n">
        <v>32.47</v>
      </c>
      <c r="K158" t="n">
        <v>0.07568</v>
      </c>
      <c r="L158" t="n">
        <v>0.3995</v>
      </c>
      <c r="M158" t="n">
        <v>0.02664</v>
      </c>
      <c r="N158" t="n">
        <v>19.53</v>
      </c>
      <c r="O158" t="n">
        <v>2477</v>
      </c>
    </row>
    <row r="159">
      <c r="A159" t="n">
        <v>223</v>
      </c>
      <c r="B159" t="inlineStr">
        <is>
          <t>Train</t>
        </is>
      </c>
      <c r="C159" t="inlineStr">
        <is>
          <t>Benign</t>
        </is>
      </c>
      <c r="D159" t="n">
        <v>0</v>
      </c>
      <c r="E159" t="n">
        <v>71.94</v>
      </c>
      <c r="F159" t="n">
        <v>0.05575</v>
      </c>
      <c r="G159" t="n">
        <v>11.17</v>
      </c>
      <c r="H159" t="n">
        <v>0.1406</v>
      </c>
      <c r="I159" t="n">
        <v>22.84</v>
      </c>
      <c r="J159" t="n">
        <v>17.53</v>
      </c>
      <c r="K159" t="n">
        <v>0.08797000000000001</v>
      </c>
      <c r="L159" t="n">
        <v>0.06572</v>
      </c>
      <c r="M159" t="n">
        <v>0.008534</v>
      </c>
      <c r="N159" t="n">
        <v>10.18</v>
      </c>
      <c r="O159" t="n">
        <v>375.6</v>
      </c>
    </row>
    <row r="160">
      <c r="A160" t="n">
        <v>224</v>
      </c>
      <c r="B160" t="inlineStr">
        <is>
          <t>Train</t>
        </is>
      </c>
      <c r="C160" t="inlineStr">
        <is>
          <t>Malignant</t>
        </is>
      </c>
      <c r="D160" t="n">
        <v>1</v>
      </c>
      <c r="E160" t="n">
        <v>125.9</v>
      </c>
      <c r="F160" t="n">
        <v>0.1479</v>
      </c>
      <c r="G160" t="n">
        <v>19.56</v>
      </c>
      <c r="H160" t="n">
        <v>0.1552</v>
      </c>
      <c r="I160" t="n">
        <v>30.29</v>
      </c>
      <c r="J160" t="n">
        <v>20.25</v>
      </c>
      <c r="K160" t="n">
        <v>0.1064</v>
      </c>
      <c r="L160" t="n">
        <v>0.3976</v>
      </c>
      <c r="M160" t="n">
        <v>0.02384</v>
      </c>
      <c r="N160" t="n">
        <v>15.75</v>
      </c>
      <c r="O160" t="n">
        <v>1088</v>
      </c>
    </row>
    <row r="161">
      <c r="A161" t="n">
        <v>225</v>
      </c>
      <c r="B161" t="inlineStr">
        <is>
          <t>Train</t>
        </is>
      </c>
      <c r="C161" t="inlineStr">
        <is>
          <t>Benign</t>
        </is>
      </c>
      <c r="D161" t="n">
        <v>0</v>
      </c>
      <c r="E161" t="n">
        <v>98.84</v>
      </c>
      <c r="F161" t="n">
        <v>0.09678</v>
      </c>
      <c r="G161" t="n">
        <v>15.14</v>
      </c>
      <c r="H161" t="n">
        <v>0.1276</v>
      </c>
      <c r="I161" t="n">
        <v>23.6</v>
      </c>
      <c r="J161" t="n">
        <v>17.02</v>
      </c>
      <c r="K161" t="n">
        <v>0.07623000000000001</v>
      </c>
      <c r="L161" t="n">
        <v>0.1786</v>
      </c>
      <c r="M161" t="n">
        <v>0.02259</v>
      </c>
      <c r="N161" t="n">
        <v>13.27</v>
      </c>
      <c r="O161" t="n">
        <v>708.8</v>
      </c>
    </row>
    <row r="162">
      <c r="A162" t="n">
        <v>226</v>
      </c>
      <c r="B162" t="inlineStr">
        <is>
          <t>Train</t>
        </is>
      </c>
      <c r="C162" t="inlineStr">
        <is>
          <t>Benign</t>
        </is>
      </c>
      <c r="D162" t="n">
        <v>0</v>
      </c>
      <c r="E162" t="n">
        <v>110.4</v>
      </c>
      <c r="F162" t="n">
        <v>0.1087</v>
      </c>
      <c r="G162" t="n">
        <v>16.77</v>
      </c>
      <c r="H162" t="n">
        <v>0.1297</v>
      </c>
      <c r="I162" t="n">
        <v>16.9</v>
      </c>
      <c r="J162" t="n">
        <v>13.47</v>
      </c>
      <c r="K162" t="n">
        <v>0.06072</v>
      </c>
      <c r="L162" t="n">
        <v>0.1632</v>
      </c>
      <c r="M162" t="n">
        <v>0.0236</v>
      </c>
      <c r="N162" t="n">
        <v>14.34</v>
      </c>
      <c r="O162" t="n">
        <v>873.2</v>
      </c>
    </row>
    <row r="163">
      <c r="A163" t="n">
        <v>228</v>
      </c>
      <c r="B163" t="inlineStr">
        <is>
          <t>Train</t>
        </is>
      </c>
      <c r="C163" t="inlineStr">
        <is>
          <t>Benign</t>
        </is>
      </c>
      <c r="D163" t="n">
        <v>0</v>
      </c>
      <c r="E163" t="n">
        <v>114.2</v>
      </c>
      <c r="F163" t="n">
        <v>0.1379</v>
      </c>
      <c r="G163" t="n">
        <v>16.41</v>
      </c>
      <c r="H163" t="n">
        <v>0.1136</v>
      </c>
      <c r="I163" t="n">
        <v>19.31</v>
      </c>
      <c r="J163" t="n">
        <v>15.51</v>
      </c>
      <c r="K163" t="n">
        <v>0.08362</v>
      </c>
      <c r="L163" t="n">
        <v>0.3402</v>
      </c>
      <c r="M163" t="n">
        <v>0.03644</v>
      </c>
      <c r="N163" t="n">
        <v>15</v>
      </c>
      <c r="O163" t="n">
        <v>808.2</v>
      </c>
    </row>
    <row r="164">
      <c r="A164" t="n">
        <v>229</v>
      </c>
      <c r="B164" t="inlineStr">
        <is>
          <t>Train</t>
        </is>
      </c>
      <c r="C164" t="inlineStr">
        <is>
          <t>Benign</t>
        </is>
      </c>
      <c r="D164" t="n">
        <v>0</v>
      </c>
      <c r="E164" t="n">
        <v>90.67</v>
      </c>
      <c r="F164" t="n">
        <v>0.118</v>
      </c>
      <c r="G164" t="n">
        <v>14.2</v>
      </c>
      <c r="H164" t="n">
        <v>0.1227</v>
      </c>
      <c r="I164" t="n">
        <v>31.31</v>
      </c>
      <c r="J164" t="n">
        <v>23.97</v>
      </c>
      <c r="K164" t="n">
        <v>0.09585</v>
      </c>
      <c r="L164" t="n">
        <v>0.3911</v>
      </c>
      <c r="M164" t="n">
        <v>0.03016</v>
      </c>
      <c r="N164" t="n">
        <v>12.62</v>
      </c>
      <c r="O164" t="n">
        <v>624</v>
      </c>
    </row>
    <row r="165">
      <c r="A165" t="n">
        <v>231</v>
      </c>
      <c r="B165" t="inlineStr">
        <is>
          <t>Train</t>
        </is>
      </c>
      <c r="C165" t="inlineStr">
        <is>
          <t>Malignant</t>
        </is>
      </c>
      <c r="D165" t="n">
        <v>1</v>
      </c>
      <c r="E165" t="n">
        <v>133.5</v>
      </c>
      <c r="F165" t="n">
        <v>0.2543</v>
      </c>
      <c r="G165" t="n">
        <v>19.59</v>
      </c>
      <c r="H165" t="n">
        <v>0.1703</v>
      </c>
      <c r="I165" t="n">
        <v>24.89</v>
      </c>
      <c r="J165" t="n">
        <v>19.08</v>
      </c>
      <c r="K165" t="n">
        <v>0.09061</v>
      </c>
      <c r="L165" t="n">
        <v>0.5018</v>
      </c>
      <c r="M165" t="n">
        <v>0.03055</v>
      </c>
      <c r="N165" t="n">
        <v>17.05</v>
      </c>
      <c r="O165" t="n">
        <v>1189</v>
      </c>
    </row>
    <row r="166">
      <c r="A166" t="n">
        <v>232</v>
      </c>
      <c r="B166" t="inlineStr">
        <is>
          <t>Train</t>
        </is>
      </c>
      <c r="C166" t="inlineStr">
        <is>
          <t>Benign</t>
        </is>
      </c>
      <c r="D166" t="n">
        <v>0</v>
      </c>
      <c r="E166" t="n">
        <v>79.81999999999999</v>
      </c>
      <c r="F166" t="n">
        <v>0.02083</v>
      </c>
      <c r="G166" t="n">
        <v>12.08</v>
      </c>
      <c r="H166" t="n">
        <v>0.09203</v>
      </c>
      <c r="I166" t="n">
        <v>33.75</v>
      </c>
      <c r="J166" t="n">
        <v>27.08</v>
      </c>
      <c r="K166" t="n">
        <v>0.07087</v>
      </c>
      <c r="L166" t="n">
        <v>0.1089</v>
      </c>
      <c r="M166" t="n">
        <v>0.01633</v>
      </c>
      <c r="N166" t="n">
        <v>11.32</v>
      </c>
      <c r="O166" t="n">
        <v>452.3</v>
      </c>
    </row>
    <row r="167">
      <c r="A167" t="n">
        <v>233</v>
      </c>
      <c r="B167" t="inlineStr">
        <is>
          <t>Train</t>
        </is>
      </c>
      <c r="C167" t="inlineStr">
        <is>
          <t>Benign</t>
        </is>
      </c>
      <c r="D167" t="n">
        <v>0</v>
      </c>
      <c r="E167" t="n">
        <v>78.44</v>
      </c>
      <c r="F167" t="n">
        <v>0.03002</v>
      </c>
      <c r="G167" t="n">
        <v>12.36</v>
      </c>
      <c r="H167" t="n">
        <v>0.09994</v>
      </c>
      <c r="I167" t="n">
        <v>41.78</v>
      </c>
      <c r="J167" t="n">
        <v>33.81</v>
      </c>
      <c r="K167" t="n">
        <v>0.07307</v>
      </c>
      <c r="L167" t="n">
        <v>0.02318</v>
      </c>
      <c r="M167" t="n">
        <v>0.003223</v>
      </c>
      <c r="N167" t="n">
        <v>11.22</v>
      </c>
      <c r="O167" t="n">
        <v>470.9</v>
      </c>
    </row>
    <row r="168">
      <c r="A168" t="n">
        <v>234</v>
      </c>
      <c r="B168" t="inlineStr">
        <is>
          <t>Train</t>
        </is>
      </c>
      <c r="C168" t="inlineStr">
        <is>
          <t>Malignant</t>
        </is>
      </c>
      <c r="D168" t="n">
        <v>1</v>
      </c>
      <c r="E168" t="n">
        <v>162.7</v>
      </c>
      <c r="F168" t="n">
        <v>0.1563</v>
      </c>
      <c r="G168" t="n">
        <v>24.47</v>
      </c>
      <c r="H168" t="n">
        <v>0.1223</v>
      </c>
      <c r="I168" t="n">
        <v>37.38</v>
      </c>
      <c r="J168" t="n">
        <v>27.81</v>
      </c>
      <c r="K168" t="n">
        <v>0.08328000000000001</v>
      </c>
      <c r="L168" t="n">
        <v>0.4146</v>
      </c>
      <c r="M168" t="n">
        <v>0.03457</v>
      </c>
      <c r="N168" t="n">
        <v>20.51</v>
      </c>
      <c r="O168" t="n">
        <v>1872</v>
      </c>
    </row>
    <row r="169">
      <c r="A169" t="n">
        <v>235</v>
      </c>
      <c r="B169" t="inlineStr">
        <is>
          <t>Train</t>
        </is>
      </c>
      <c r="C169" t="inlineStr">
        <is>
          <t>Benign</t>
        </is>
      </c>
      <c r="D169" t="n">
        <v>0</v>
      </c>
      <c r="E169" t="n">
        <v>65.73999999999999</v>
      </c>
      <c r="F169" t="n">
        <v>0.07222000000000001</v>
      </c>
      <c r="G169" t="n">
        <v>10.51</v>
      </c>
      <c r="H169" t="n">
        <v>0.1504</v>
      </c>
      <c r="I169" t="n">
        <v>19.16</v>
      </c>
      <c r="J169" t="n">
        <v>15.91</v>
      </c>
      <c r="K169" t="n">
        <v>0.08178000000000001</v>
      </c>
      <c r="L169" t="n">
        <v>0.07160999999999999</v>
      </c>
      <c r="M169" t="n">
        <v>0.01186</v>
      </c>
      <c r="N169" t="n">
        <v>9.567</v>
      </c>
      <c r="O169" t="n">
        <v>335.9</v>
      </c>
    </row>
    <row r="170">
      <c r="A170" t="n">
        <v>236</v>
      </c>
      <c r="B170" t="inlineStr">
        <is>
          <t>Train</t>
        </is>
      </c>
      <c r="C170" t="inlineStr">
        <is>
          <t>Benign</t>
        </is>
      </c>
      <c r="D170" t="n">
        <v>0</v>
      </c>
      <c r="E170" t="n">
        <v>98.27</v>
      </c>
      <c r="F170" t="n">
        <v>0.07963000000000001</v>
      </c>
      <c r="G170" t="n">
        <v>15.33</v>
      </c>
      <c r="H170" t="n">
        <v>0.1287</v>
      </c>
      <c r="I170" t="n">
        <v>30.28</v>
      </c>
      <c r="J170" t="n">
        <v>21.25</v>
      </c>
      <c r="K170" t="n">
        <v>0.07617</v>
      </c>
      <c r="L170" t="n">
        <v>0.06231</v>
      </c>
      <c r="M170" t="n">
        <v>0.007302</v>
      </c>
      <c r="N170" t="n">
        <v>14.03</v>
      </c>
      <c r="O170" t="n">
        <v>715.5</v>
      </c>
    </row>
    <row r="171">
      <c r="A171" t="n">
        <v>237</v>
      </c>
      <c r="B171" t="inlineStr">
        <is>
          <t>Train</t>
        </is>
      </c>
      <c r="C171" t="inlineStr">
        <is>
          <t>Malignant</t>
        </is>
      </c>
      <c r="D171" t="n">
        <v>1</v>
      </c>
      <c r="E171" t="n">
        <v>206</v>
      </c>
      <c r="F171" t="n">
        <v>0.2593</v>
      </c>
      <c r="G171" t="n">
        <v>31.01</v>
      </c>
      <c r="H171" t="n">
        <v>0.1481</v>
      </c>
      <c r="I171" t="n">
        <v>34.51</v>
      </c>
      <c r="J171" t="n">
        <v>26.97</v>
      </c>
      <c r="K171" t="n">
        <v>0.08677</v>
      </c>
      <c r="L171" t="n">
        <v>0.582</v>
      </c>
      <c r="M171" t="n">
        <v>0.04497</v>
      </c>
      <c r="N171" t="n">
        <v>23.21</v>
      </c>
      <c r="O171" t="n">
        <v>2944</v>
      </c>
    </row>
    <row r="172">
      <c r="A172" t="n">
        <v>239</v>
      </c>
      <c r="B172" t="inlineStr">
        <is>
          <t>Train</t>
        </is>
      </c>
      <c r="C172" t="inlineStr">
        <is>
          <t>Benign</t>
        </is>
      </c>
      <c r="D172" t="n">
        <v>0</v>
      </c>
      <c r="E172" t="n">
        <v>102.5</v>
      </c>
      <c r="F172" t="n">
        <v>0.08219</v>
      </c>
      <c r="G172" t="n">
        <v>15.75</v>
      </c>
      <c r="H172" t="n">
        <v>0.1081</v>
      </c>
      <c r="I172" t="n">
        <v>40.54</v>
      </c>
      <c r="J172" t="n">
        <v>27.85</v>
      </c>
      <c r="K172" t="n">
        <v>0.07796</v>
      </c>
      <c r="L172" t="n">
        <v>0.3064</v>
      </c>
      <c r="M172" t="n">
        <v>0.0385</v>
      </c>
      <c r="N172" t="n">
        <v>14.22</v>
      </c>
      <c r="O172" t="n">
        <v>764</v>
      </c>
    </row>
    <row r="173">
      <c r="A173" t="n">
        <v>241</v>
      </c>
      <c r="B173" t="inlineStr">
        <is>
          <t>Train</t>
        </is>
      </c>
      <c r="C173" t="inlineStr">
        <is>
          <t>Benign</t>
        </is>
      </c>
      <c r="D173" t="n">
        <v>0</v>
      </c>
      <c r="E173" t="n">
        <v>94.11</v>
      </c>
      <c r="F173" t="n">
        <v>0.09222</v>
      </c>
      <c r="G173" t="n">
        <v>14.85</v>
      </c>
      <c r="H173" t="n">
        <v>0.1278</v>
      </c>
      <c r="I173" t="n">
        <v>19.05</v>
      </c>
      <c r="J173" t="n">
        <v>15.6</v>
      </c>
      <c r="K173" t="n">
        <v>0.06510000000000001</v>
      </c>
      <c r="L173" t="n">
        <v>0.1533</v>
      </c>
      <c r="M173" t="n">
        <v>0.0181</v>
      </c>
      <c r="N173" t="n">
        <v>13.64</v>
      </c>
      <c r="O173" t="n">
        <v>683.4</v>
      </c>
    </row>
    <row r="174">
      <c r="A174" t="n">
        <v>242</v>
      </c>
      <c r="B174" t="inlineStr">
        <is>
          <t>Train</t>
        </is>
      </c>
      <c r="C174" t="inlineStr">
        <is>
          <t>Benign</t>
        </is>
      </c>
      <c r="D174" t="n">
        <v>0</v>
      </c>
      <c r="E174" t="n">
        <v>83.84999999999999</v>
      </c>
      <c r="F174" t="n">
        <v>0.04052</v>
      </c>
      <c r="G174" t="n">
        <v>13.2</v>
      </c>
      <c r="H174" t="n">
        <v>0.1037</v>
      </c>
      <c r="I174" t="n">
        <v>20.37</v>
      </c>
      <c r="J174" t="n">
        <v>15.04</v>
      </c>
      <c r="K174" t="n">
        <v>0.06783</v>
      </c>
      <c r="L174" t="n">
        <v>0.06243</v>
      </c>
      <c r="M174" t="n">
        <v>0.006493</v>
      </c>
      <c r="N174" t="n">
        <v>12.42</v>
      </c>
      <c r="O174" t="n">
        <v>543.4</v>
      </c>
    </row>
    <row r="175">
      <c r="A175" t="n">
        <v>243</v>
      </c>
      <c r="B175" t="inlineStr">
        <is>
          <t>Train</t>
        </is>
      </c>
      <c r="C175" t="inlineStr">
        <is>
          <t>Benign</t>
        </is>
      </c>
      <c r="D175" t="n">
        <v>0</v>
      </c>
      <c r="E175" t="n">
        <v>87.16</v>
      </c>
      <c r="F175" t="n">
        <v>0.1218</v>
      </c>
      <c r="G175" t="n">
        <v>12.58</v>
      </c>
      <c r="H175" t="n">
        <v>0.1347</v>
      </c>
      <c r="I175" t="n">
        <v>27.96</v>
      </c>
      <c r="J175" t="n">
        <v>18.19</v>
      </c>
      <c r="K175" t="n">
        <v>0.1297</v>
      </c>
      <c r="L175" t="n">
        <v>0.7436</v>
      </c>
      <c r="M175" t="n">
        <v>0.0888</v>
      </c>
      <c r="N175" t="n">
        <v>11.3</v>
      </c>
      <c r="O175" t="n">
        <v>472.9</v>
      </c>
    </row>
    <row r="176">
      <c r="A176" t="n">
        <v>244</v>
      </c>
      <c r="B176" t="inlineStr">
        <is>
          <t>Train</t>
        </is>
      </c>
      <c r="C176" t="inlineStr">
        <is>
          <t>Benign</t>
        </is>
      </c>
      <c r="D176" t="n">
        <v>0</v>
      </c>
      <c r="E176" t="n">
        <v>98</v>
      </c>
      <c r="F176" t="n">
        <v>0.06106</v>
      </c>
      <c r="G176" t="n">
        <v>15.01</v>
      </c>
      <c r="H176" t="n">
        <v>0.09368</v>
      </c>
      <c r="I176" t="n">
        <v>26.34</v>
      </c>
      <c r="J176" t="n">
        <v>23.77</v>
      </c>
      <c r="K176" t="n">
        <v>0.06321</v>
      </c>
      <c r="L176" t="n">
        <v>0.1359</v>
      </c>
      <c r="M176" t="n">
        <v>0.03371</v>
      </c>
      <c r="N176" t="n">
        <v>13.75</v>
      </c>
      <c r="O176" t="n">
        <v>706</v>
      </c>
    </row>
    <row r="177">
      <c r="A177" t="n">
        <v>245</v>
      </c>
      <c r="B177" t="inlineStr">
        <is>
          <t>Train</t>
        </is>
      </c>
      <c r="C177" t="inlineStr">
        <is>
          <t>Malignant</t>
        </is>
      </c>
      <c r="D177" t="n">
        <v>1</v>
      </c>
      <c r="E177" t="n">
        <v>144.9</v>
      </c>
      <c r="F177" t="n">
        <v>0.1564</v>
      </c>
      <c r="G177" t="n">
        <v>21.65</v>
      </c>
      <c r="H177" t="n">
        <v>0.1463</v>
      </c>
      <c r="I177" t="n">
        <v>30.53</v>
      </c>
      <c r="J177" t="n">
        <v>23.5</v>
      </c>
      <c r="K177" t="n">
        <v>0.07614</v>
      </c>
      <c r="L177" t="n">
        <v>0.3458</v>
      </c>
      <c r="M177" t="n">
        <v>0.03915</v>
      </c>
      <c r="N177" t="n">
        <v>19.4</v>
      </c>
      <c r="O177" t="n">
        <v>1417</v>
      </c>
    </row>
    <row r="178">
      <c r="A178" t="n">
        <v>246</v>
      </c>
      <c r="B178" t="inlineStr">
        <is>
          <t>Train</t>
        </is>
      </c>
      <c r="C178" t="inlineStr">
        <is>
          <t>Benign</t>
        </is>
      </c>
      <c r="D178" t="n">
        <v>0</v>
      </c>
      <c r="E178" t="n">
        <v>73.68000000000001</v>
      </c>
      <c r="F178" t="n">
        <v>0.06736</v>
      </c>
      <c r="G178" t="n">
        <v>11.48</v>
      </c>
      <c r="H178" t="n">
        <v>0.1515</v>
      </c>
      <c r="I178" t="n">
        <v>29.46</v>
      </c>
      <c r="J178" t="n">
        <v>19.86</v>
      </c>
      <c r="K178" t="n">
        <v>0.07747999999999999</v>
      </c>
      <c r="L178" t="n">
        <v>0.1181</v>
      </c>
      <c r="M178" t="n">
        <v>0.01865</v>
      </c>
      <c r="N178" t="n">
        <v>10.48</v>
      </c>
      <c r="O178" t="n">
        <v>402.8</v>
      </c>
    </row>
    <row r="179">
      <c r="A179" t="n">
        <v>247</v>
      </c>
      <c r="B179" t="inlineStr">
        <is>
          <t>Train</t>
        </is>
      </c>
      <c r="C179" t="inlineStr">
        <is>
          <t>Benign</t>
        </is>
      </c>
      <c r="D179" t="n">
        <v>0</v>
      </c>
      <c r="E179" t="n">
        <v>88.28</v>
      </c>
      <c r="F179" t="n">
        <v>0.0497</v>
      </c>
      <c r="G179" t="n">
        <v>13.94</v>
      </c>
      <c r="H179" t="n">
        <v>0.1101</v>
      </c>
      <c r="I179" t="n">
        <v>27.82</v>
      </c>
      <c r="J179" t="n">
        <v>17.43</v>
      </c>
      <c r="K179" t="n">
        <v>0.07198</v>
      </c>
      <c r="L179" t="n">
        <v>0.2298</v>
      </c>
      <c r="M179" t="n">
        <v>0.03079</v>
      </c>
      <c r="N179" t="n">
        <v>13.2</v>
      </c>
      <c r="O179" t="n">
        <v>602</v>
      </c>
    </row>
    <row r="180">
      <c r="A180" t="n">
        <v>249</v>
      </c>
      <c r="B180" t="inlineStr">
        <is>
          <t>Train</t>
        </is>
      </c>
      <c r="C180" t="inlineStr">
        <is>
          <t>Benign</t>
        </is>
      </c>
      <c r="D180" t="n">
        <v>0</v>
      </c>
      <c r="E180" t="n">
        <v>77.98</v>
      </c>
      <c r="F180" t="n">
        <v>0.06136</v>
      </c>
      <c r="G180" t="n">
        <v>12.25</v>
      </c>
      <c r="H180" t="n">
        <v>0.1499</v>
      </c>
      <c r="I180" t="n">
        <v>35.19</v>
      </c>
      <c r="J180" t="n">
        <v>25.22</v>
      </c>
      <c r="K180" t="n">
        <v>0.08147</v>
      </c>
      <c r="L180" t="n">
        <v>0.1125</v>
      </c>
      <c r="M180" t="n">
        <v>0.01081</v>
      </c>
      <c r="N180" t="n">
        <v>10.65</v>
      </c>
      <c r="O180" t="n">
        <v>455.7</v>
      </c>
    </row>
    <row r="181">
      <c r="A181" t="n">
        <v>250</v>
      </c>
      <c r="B181" t="inlineStr">
        <is>
          <t>Train</t>
        </is>
      </c>
      <c r="C181" t="inlineStr">
        <is>
          <t>Benign</t>
        </is>
      </c>
      <c r="D181" t="n">
        <v>0</v>
      </c>
      <c r="E181" t="n">
        <v>80.88</v>
      </c>
      <c r="F181" t="n">
        <v>0.09608</v>
      </c>
      <c r="G181" t="n">
        <v>12.65</v>
      </c>
      <c r="H181" t="n">
        <v>0.1389</v>
      </c>
      <c r="I181" t="n">
        <v>21.19</v>
      </c>
      <c r="J181" t="n">
        <v>14.93</v>
      </c>
      <c r="K181" t="n">
        <v>0.07809000000000001</v>
      </c>
      <c r="L181" t="n">
        <v>0.1804</v>
      </c>
      <c r="M181" t="n">
        <v>0.02105</v>
      </c>
      <c r="N181" t="n">
        <v>11.52</v>
      </c>
      <c r="O181" t="n">
        <v>491.8</v>
      </c>
    </row>
    <row r="182">
      <c r="A182" t="n">
        <v>252</v>
      </c>
      <c r="B182" t="inlineStr">
        <is>
          <t>Train</t>
        </is>
      </c>
      <c r="C182" t="inlineStr">
        <is>
          <t>Benign</t>
        </is>
      </c>
      <c r="D182" t="n">
        <v>0</v>
      </c>
      <c r="E182" t="n">
        <v>83.12</v>
      </c>
      <c r="F182" t="n">
        <v>0.06544</v>
      </c>
      <c r="G182" t="n">
        <v>12.97</v>
      </c>
      <c r="H182" t="n">
        <v>0.1183</v>
      </c>
      <c r="I182" t="n">
        <v>22.46</v>
      </c>
      <c r="J182" t="n">
        <v>18.45</v>
      </c>
      <c r="K182" t="n">
        <v>0.06487</v>
      </c>
      <c r="L182" t="n">
        <v>0.08105</v>
      </c>
      <c r="M182" t="n">
        <v>0.01245</v>
      </c>
      <c r="N182" t="n">
        <v>11.5</v>
      </c>
      <c r="O182" t="n">
        <v>508.9</v>
      </c>
    </row>
    <row r="183">
      <c r="A183" t="n">
        <v>253</v>
      </c>
      <c r="B183" t="inlineStr">
        <is>
          <t>Train</t>
        </is>
      </c>
      <c r="C183" t="inlineStr">
        <is>
          <t>Malignant</t>
        </is>
      </c>
      <c r="D183" t="n">
        <v>1</v>
      </c>
      <c r="E183" t="n">
        <v>159.8</v>
      </c>
      <c r="F183" t="n">
        <v>0.2507</v>
      </c>
      <c r="G183" t="n">
        <v>25.28</v>
      </c>
      <c r="H183" t="n">
        <v>0.171</v>
      </c>
      <c r="I183" t="n">
        <v>25.59</v>
      </c>
      <c r="J183" t="n">
        <v>19.82</v>
      </c>
      <c r="K183" t="n">
        <v>0.1297</v>
      </c>
      <c r="L183" t="n">
        <v>0.8489</v>
      </c>
      <c r="M183" t="n">
        <v>0.068</v>
      </c>
      <c r="N183" t="n">
        <v>19.73</v>
      </c>
      <c r="O183" t="n">
        <v>1933</v>
      </c>
    </row>
    <row r="184">
      <c r="A184" t="n">
        <v>254</v>
      </c>
      <c r="B184" t="inlineStr">
        <is>
          <t>Train</t>
        </is>
      </c>
      <c r="C184" t="inlineStr">
        <is>
          <t>Malignant</t>
        </is>
      </c>
      <c r="D184" t="n">
        <v>1</v>
      </c>
      <c r="E184" t="n">
        <v>130.9</v>
      </c>
      <c r="F184" t="n">
        <v>0.1857</v>
      </c>
      <c r="G184" t="n">
        <v>19.85</v>
      </c>
      <c r="H184" t="n">
        <v>0.1416</v>
      </c>
      <c r="I184" t="n">
        <v>25.09</v>
      </c>
      <c r="J184" t="n">
        <v>17.08</v>
      </c>
      <c r="K184" t="n">
        <v>0.08112999999999999</v>
      </c>
      <c r="L184" t="n">
        <v>0.3378</v>
      </c>
      <c r="M184" t="n">
        <v>0.02332</v>
      </c>
      <c r="N184" t="n">
        <v>17.3</v>
      </c>
      <c r="O184" t="n">
        <v>1222</v>
      </c>
    </row>
    <row r="185">
      <c r="A185" t="n">
        <v>255</v>
      </c>
      <c r="B185" t="inlineStr">
        <is>
          <t>Train</t>
        </is>
      </c>
      <c r="C185" t="inlineStr">
        <is>
          <t>Malignant</t>
        </is>
      </c>
      <c r="D185" t="n">
        <v>1</v>
      </c>
      <c r="E185" t="n">
        <v>163.1</v>
      </c>
      <c r="F185" t="n">
        <v>0.1999</v>
      </c>
      <c r="G185" t="n">
        <v>25.7</v>
      </c>
      <c r="H185" t="n">
        <v>0.1497</v>
      </c>
      <c r="I185" t="n">
        <v>24.57</v>
      </c>
      <c r="J185" t="n">
        <v>19.33</v>
      </c>
      <c r="K185" t="n">
        <v>0.0895</v>
      </c>
      <c r="L185" t="n">
        <v>0.4317</v>
      </c>
      <c r="M185" t="n">
        <v>0.02749</v>
      </c>
      <c r="N185" t="n">
        <v>19.45</v>
      </c>
      <c r="O185" t="n">
        <v>1972</v>
      </c>
    </row>
    <row r="186">
      <c r="A186" t="n">
        <v>256</v>
      </c>
      <c r="B186" t="inlineStr">
        <is>
          <t>Train</t>
        </is>
      </c>
      <c r="C186" t="inlineStr">
        <is>
          <t>Malignant</t>
        </is>
      </c>
      <c r="D186" t="n">
        <v>1</v>
      </c>
      <c r="E186" t="n">
        <v>108.1</v>
      </c>
      <c r="F186" t="n">
        <v>0.1374</v>
      </c>
      <c r="G186" t="n">
        <v>16.39</v>
      </c>
      <c r="H186" t="n">
        <v>0.1512</v>
      </c>
      <c r="I186" t="n">
        <v>22.07</v>
      </c>
      <c r="J186" t="n">
        <v>17.05</v>
      </c>
      <c r="K186" t="n">
        <v>0.07957</v>
      </c>
      <c r="L186" t="n">
        <v>0.3209</v>
      </c>
      <c r="M186" t="n">
        <v>0.03119</v>
      </c>
      <c r="N186" t="n">
        <v>13.96</v>
      </c>
      <c r="O186" t="n">
        <v>826</v>
      </c>
    </row>
    <row r="187">
      <c r="A187" t="n">
        <v>257</v>
      </c>
      <c r="B187" t="inlineStr">
        <is>
          <t>Train</t>
        </is>
      </c>
      <c r="C187" t="inlineStr">
        <is>
          <t>Malignant</t>
        </is>
      </c>
      <c r="D187" t="n">
        <v>1</v>
      </c>
      <c r="E187" t="n">
        <v>178.6</v>
      </c>
      <c r="F187" t="n">
        <v>0.1941</v>
      </c>
      <c r="G187" t="n">
        <v>25.05</v>
      </c>
      <c r="H187" t="n">
        <v>0.1281</v>
      </c>
      <c r="I187" t="n">
        <v>36.27</v>
      </c>
      <c r="J187" t="n">
        <v>28.77</v>
      </c>
      <c r="K187" t="n">
        <v>0.1005</v>
      </c>
      <c r="L187" t="n">
        <v>0.4251</v>
      </c>
      <c r="M187" t="n">
        <v>0.03863</v>
      </c>
      <c r="N187" t="n">
        <v>19.55</v>
      </c>
      <c r="O187" t="n">
        <v>1926</v>
      </c>
    </row>
    <row r="188">
      <c r="A188" t="n">
        <v>258</v>
      </c>
      <c r="B188" t="inlineStr">
        <is>
          <t>Train</t>
        </is>
      </c>
      <c r="C188" t="inlineStr">
        <is>
          <t>Malignant</t>
        </is>
      </c>
      <c r="D188" t="n">
        <v>1</v>
      </c>
      <c r="E188" t="n">
        <v>119.8</v>
      </c>
      <c r="F188" t="n">
        <v>0.2229</v>
      </c>
      <c r="G188" t="n">
        <v>17.73</v>
      </c>
      <c r="H188" t="n">
        <v>0.1765</v>
      </c>
      <c r="I188" t="n">
        <v>22.66</v>
      </c>
      <c r="J188" t="n">
        <v>17.27</v>
      </c>
      <c r="K188" t="n">
        <v>0.1191</v>
      </c>
      <c r="L188" t="n">
        <v>0.4429</v>
      </c>
      <c r="M188" t="n">
        <v>0.04983</v>
      </c>
      <c r="N188" t="n">
        <v>15.32</v>
      </c>
      <c r="O188" t="n">
        <v>928.8</v>
      </c>
    </row>
    <row r="189">
      <c r="A189" t="n">
        <v>260</v>
      </c>
      <c r="B189" t="inlineStr">
        <is>
          <t>Train</t>
        </is>
      </c>
      <c r="C189" t="inlineStr">
        <is>
          <t>Malignant</t>
        </is>
      </c>
      <c r="D189" t="n">
        <v>1</v>
      </c>
      <c r="E189" t="n">
        <v>126.3</v>
      </c>
      <c r="F189" t="n">
        <v>0.2014</v>
      </c>
      <c r="G189" t="n">
        <v>18.49</v>
      </c>
      <c r="H189" t="n">
        <v>0.1883</v>
      </c>
      <c r="I189" t="n">
        <v>49.54</v>
      </c>
      <c r="J189" t="n">
        <v>33.56</v>
      </c>
      <c r="K189" t="n">
        <v>0.1204</v>
      </c>
      <c r="L189" t="n">
        <v>0.5703</v>
      </c>
      <c r="M189" t="n">
        <v>0.02889</v>
      </c>
      <c r="N189" t="n">
        <v>15.53</v>
      </c>
      <c r="O189" t="n">
        <v>1035</v>
      </c>
    </row>
    <row r="190">
      <c r="A190" t="n">
        <v>261</v>
      </c>
      <c r="B190" t="inlineStr">
        <is>
          <t>Train</t>
        </is>
      </c>
      <c r="C190" t="inlineStr">
        <is>
          <t>Malignant</t>
        </is>
      </c>
      <c r="D190" t="n">
        <v>1</v>
      </c>
      <c r="E190" t="n">
        <v>162.3</v>
      </c>
      <c r="F190" t="n">
        <v>0.1697</v>
      </c>
      <c r="G190" t="n">
        <v>24.33</v>
      </c>
      <c r="H190" t="n">
        <v>0.1522</v>
      </c>
      <c r="I190" t="n">
        <v>39.16</v>
      </c>
      <c r="J190" t="n">
        <v>27.06</v>
      </c>
      <c r="K190" t="n">
        <v>0.07999000000000001</v>
      </c>
      <c r="L190" t="n">
        <v>0.3788</v>
      </c>
      <c r="M190" t="n">
        <v>0.02117</v>
      </c>
      <c r="N190" t="n">
        <v>20.31</v>
      </c>
      <c r="O190" t="n">
        <v>1844</v>
      </c>
    </row>
    <row r="191">
      <c r="A191" t="n">
        <v>264</v>
      </c>
      <c r="B191" t="inlineStr">
        <is>
          <t>Train</t>
        </is>
      </c>
      <c r="C191" t="inlineStr">
        <is>
          <t>Malignant</t>
        </is>
      </c>
      <c r="D191" t="n">
        <v>1</v>
      </c>
      <c r="E191" t="n">
        <v>115.9</v>
      </c>
      <c r="F191" t="n">
        <v>0.08568000000000001</v>
      </c>
      <c r="G191" t="n">
        <v>17.91</v>
      </c>
      <c r="H191" t="n">
        <v>0.1084</v>
      </c>
      <c r="I191" t="n">
        <v>31.67</v>
      </c>
      <c r="J191" t="n">
        <v>19.38</v>
      </c>
      <c r="K191" t="n">
        <v>0.06829</v>
      </c>
      <c r="L191" t="n">
        <v>0.226</v>
      </c>
      <c r="M191" t="n">
        <v>0.01311</v>
      </c>
      <c r="N191" t="n">
        <v>15.61</v>
      </c>
      <c r="O191" t="n">
        <v>988.6</v>
      </c>
    </row>
    <row r="192">
      <c r="A192" t="n">
        <v>265</v>
      </c>
      <c r="B192" t="inlineStr">
        <is>
          <t>Train</t>
        </is>
      </c>
      <c r="C192" t="inlineStr">
        <is>
          <t>Malignant</t>
        </is>
      </c>
      <c r="D192" t="n">
        <v>1</v>
      </c>
      <c r="E192" t="n">
        <v>140.5</v>
      </c>
      <c r="F192" t="n">
        <v>0.1984</v>
      </c>
      <c r="G192" t="n">
        <v>21.58</v>
      </c>
      <c r="H192" t="n">
        <v>0.1558</v>
      </c>
      <c r="I192" t="n">
        <v>29.33</v>
      </c>
      <c r="J192" t="n">
        <v>22.07</v>
      </c>
      <c r="K192" t="n">
        <v>0.0757</v>
      </c>
      <c r="L192" t="n">
        <v>0.3889</v>
      </c>
      <c r="M192" t="n">
        <v>0.02048</v>
      </c>
      <c r="N192" t="n">
        <v>17.19</v>
      </c>
      <c r="O192" t="n">
        <v>1436</v>
      </c>
    </row>
    <row r="193">
      <c r="A193" t="n">
        <v>266</v>
      </c>
      <c r="B193" t="inlineStr">
        <is>
          <t>Train</t>
        </is>
      </c>
      <c r="C193" t="inlineStr">
        <is>
          <t>Malignant</t>
        </is>
      </c>
      <c r="D193" t="n">
        <v>1</v>
      </c>
      <c r="E193" t="n">
        <v>214</v>
      </c>
      <c r="F193" t="n">
        <v>0.1659</v>
      </c>
      <c r="G193" t="n">
        <v>32.49</v>
      </c>
      <c r="H193" t="n">
        <v>0.1401</v>
      </c>
      <c r="I193" t="n">
        <v>47.16</v>
      </c>
      <c r="J193" t="n">
        <v>31.12</v>
      </c>
      <c r="K193" t="n">
        <v>0.08218</v>
      </c>
      <c r="L193" t="n">
        <v>0.3442</v>
      </c>
      <c r="M193" t="n">
        <v>0.02143</v>
      </c>
      <c r="N193" t="n">
        <v>20.73</v>
      </c>
      <c r="O193" t="n">
        <v>3432</v>
      </c>
    </row>
    <row r="194">
      <c r="A194" t="n">
        <v>267</v>
      </c>
      <c r="B194" t="inlineStr">
        <is>
          <t>Train</t>
        </is>
      </c>
      <c r="C194" t="inlineStr">
        <is>
          <t>Benign</t>
        </is>
      </c>
      <c r="D194" t="n">
        <v>0</v>
      </c>
      <c r="E194" t="n">
        <v>78.28</v>
      </c>
      <c r="F194" t="n">
        <v>0.07926</v>
      </c>
      <c r="G194" t="n">
        <v>11.88</v>
      </c>
      <c r="H194" t="n">
        <v>0.1213</v>
      </c>
      <c r="I194" t="n">
        <v>22.94</v>
      </c>
      <c r="J194" t="n">
        <v>18.95</v>
      </c>
      <c r="K194" t="n">
        <v>0.07587000000000001</v>
      </c>
      <c r="L194" t="n">
        <v>0.1916</v>
      </c>
      <c r="M194" t="n">
        <v>0.03354</v>
      </c>
      <c r="N194" t="n">
        <v>10.6</v>
      </c>
      <c r="O194" t="n">
        <v>424.8</v>
      </c>
    </row>
    <row r="195">
      <c r="A195" t="n">
        <v>270</v>
      </c>
      <c r="B195" t="inlineStr">
        <is>
          <t>Train</t>
        </is>
      </c>
      <c r="C195" t="inlineStr">
        <is>
          <t>Benign</t>
        </is>
      </c>
      <c r="D195" t="n">
        <v>0</v>
      </c>
      <c r="E195" t="n">
        <v>76.51000000000001</v>
      </c>
      <c r="F195" t="n">
        <v>0.08599999999999999</v>
      </c>
      <c r="G195" t="n">
        <v>11.69</v>
      </c>
      <c r="H195" t="n">
        <v>0.1335</v>
      </c>
      <c r="I195" t="n">
        <v>25.21</v>
      </c>
      <c r="J195" t="n">
        <v>20.39</v>
      </c>
      <c r="K195" t="n">
        <v>0.08701</v>
      </c>
      <c r="L195" t="n">
        <v>0.2534</v>
      </c>
      <c r="M195" t="n">
        <v>0.07339</v>
      </c>
      <c r="N195" t="n">
        <v>10.71</v>
      </c>
      <c r="O195" t="n">
        <v>410.4</v>
      </c>
    </row>
    <row r="196">
      <c r="A196" t="n">
        <v>271</v>
      </c>
      <c r="B196" t="inlineStr">
        <is>
          <t>Train</t>
        </is>
      </c>
      <c r="C196" t="inlineStr">
        <is>
          <t>Benign</t>
        </is>
      </c>
      <c r="D196" t="n">
        <v>0</v>
      </c>
      <c r="E196" t="n">
        <v>94.44</v>
      </c>
      <c r="F196" t="n">
        <v>0.03333</v>
      </c>
      <c r="G196" t="n">
        <v>14.91</v>
      </c>
      <c r="H196" t="n">
        <v>0.08567</v>
      </c>
      <c r="I196" t="n">
        <v>20.65</v>
      </c>
      <c r="J196" t="n">
        <v>16.82</v>
      </c>
      <c r="K196" t="n">
        <v>0.0612</v>
      </c>
      <c r="L196" t="n">
        <v>0.03866</v>
      </c>
      <c r="M196" t="n">
        <v>0.004826</v>
      </c>
      <c r="N196" t="n">
        <v>14.29</v>
      </c>
      <c r="O196" t="n">
        <v>684.6</v>
      </c>
    </row>
    <row r="197">
      <c r="A197" t="n">
        <v>272</v>
      </c>
      <c r="B197" t="inlineStr">
        <is>
          <t>Train</t>
        </is>
      </c>
      <c r="C197" t="inlineStr">
        <is>
          <t>Benign</t>
        </is>
      </c>
      <c r="D197" t="n">
        <v>0</v>
      </c>
      <c r="E197" t="n">
        <v>78.27</v>
      </c>
      <c r="F197" t="n">
        <v>0.08749999999999999</v>
      </c>
      <c r="G197" t="n">
        <v>12.32</v>
      </c>
      <c r="H197" t="n">
        <v>0.1358</v>
      </c>
      <c r="I197" t="n">
        <v>16.18</v>
      </c>
      <c r="J197" t="n">
        <v>13.04</v>
      </c>
      <c r="K197" t="n">
        <v>0.08022</v>
      </c>
      <c r="L197" t="n">
        <v>0.1275</v>
      </c>
      <c r="M197" t="n">
        <v>0.01282</v>
      </c>
      <c r="N197" t="n">
        <v>11.29</v>
      </c>
      <c r="O197" t="n">
        <v>457.5</v>
      </c>
    </row>
    <row r="198">
      <c r="A198" t="n">
        <v>273</v>
      </c>
      <c r="B198" t="inlineStr">
        <is>
          <t>Train</t>
        </is>
      </c>
      <c r="C198" t="inlineStr">
        <is>
          <t>Malignant</t>
        </is>
      </c>
      <c r="D198" t="n">
        <v>1</v>
      </c>
      <c r="E198" t="n">
        <v>195.9</v>
      </c>
      <c r="F198" t="n">
        <v>0.1841</v>
      </c>
      <c r="G198" t="n">
        <v>28.19</v>
      </c>
      <c r="H198" t="n">
        <v>0.1272</v>
      </c>
      <c r="I198" t="n">
        <v>28.18</v>
      </c>
      <c r="J198" t="n">
        <v>20.99</v>
      </c>
      <c r="K198" t="n">
        <v>0.08858000000000001</v>
      </c>
      <c r="L198" t="n">
        <v>0.5807</v>
      </c>
      <c r="M198" t="n">
        <v>0.06329</v>
      </c>
      <c r="N198" t="n">
        <v>21.75</v>
      </c>
      <c r="O198" t="n">
        <v>2384</v>
      </c>
    </row>
    <row r="199">
      <c r="A199" t="n">
        <v>274</v>
      </c>
      <c r="B199" t="inlineStr">
        <is>
          <t>Train</t>
        </is>
      </c>
      <c r="C199" t="inlineStr">
        <is>
          <t>Benign</t>
        </is>
      </c>
      <c r="D199" t="n">
        <v>0</v>
      </c>
      <c r="E199" t="n">
        <v>68.09</v>
      </c>
      <c r="F199" t="n">
        <v>0.05159</v>
      </c>
      <c r="G199" t="n">
        <v>10.75</v>
      </c>
      <c r="H199" t="n">
        <v>0.1467</v>
      </c>
      <c r="I199" t="n">
        <v>20.88</v>
      </c>
      <c r="J199" t="n">
        <v>15.67</v>
      </c>
      <c r="K199" t="n">
        <v>0.08175</v>
      </c>
      <c r="L199" t="n">
        <v>0.04043</v>
      </c>
      <c r="M199" t="n">
        <v>0.008347</v>
      </c>
      <c r="N199" t="n">
        <v>9.742000000000001</v>
      </c>
      <c r="O199" t="n">
        <v>355.2</v>
      </c>
    </row>
    <row r="200">
      <c r="A200" t="n">
        <v>275</v>
      </c>
      <c r="B200" t="inlineStr">
        <is>
          <t>Train</t>
        </is>
      </c>
      <c r="C200" t="inlineStr">
        <is>
          <t>Malignant</t>
        </is>
      </c>
      <c r="D200" t="n">
        <v>1</v>
      </c>
      <c r="E200" t="n">
        <v>135.1</v>
      </c>
      <c r="F200" t="n">
        <v>0.1136</v>
      </c>
      <c r="G200" t="n">
        <v>20.92</v>
      </c>
      <c r="H200" t="n">
        <v>0.1315</v>
      </c>
      <c r="I200" t="n">
        <v>34.69</v>
      </c>
      <c r="J200" t="n">
        <v>24.48</v>
      </c>
      <c r="K200" t="n">
        <v>0.07948</v>
      </c>
      <c r="L200" t="n">
        <v>0.208</v>
      </c>
      <c r="M200" t="n">
        <v>0.01622</v>
      </c>
      <c r="N200" t="n">
        <v>17.93</v>
      </c>
      <c r="O200" t="n">
        <v>1320</v>
      </c>
    </row>
    <row r="201">
      <c r="A201" t="n">
        <v>277</v>
      </c>
      <c r="B201" t="inlineStr">
        <is>
          <t>Train</t>
        </is>
      </c>
      <c r="C201" t="inlineStr">
        <is>
          <t>Benign</t>
        </is>
      </c>
      <c r="D201" t="n">
        <v>0</v>
      </c>
      <c r="E201" t="n">
        <v>77.37</v>
      </c>
      <c r="F201" t="n">
        <v>0.01111</v>
      </c>
      <c r="G201" t="n">
        <v>12.2</v>
      </c>
      <c r="H201" t="n">
        <v>0.1259</v>
      </c>
      <c r="I201" t="n">
        <v>18.99</v>
      </c>
      <c r="J201" t="n">
        <v>14.16</v>
      </c>
      <c r="K201" t="n">
        <v>0.06386</v>
      </c>
      <c r="L201" t="n">
        <v>0.004955</v>
      </c>
      <c r="M201" t="n">
        <v>0.001487</v>
      </c>
      <c r="N201" t="n">
        <v>11.33</v>
      </c>
      <c r="O201" t="n">
        <v>458</v>
      </c>
    </row>
    <row r="202">
      <c r="A202" t="n">
        <v>278</v>
      </c>
      <c r="B202" t="inlineStr">
        <is>
          <t>Train</t>
        </is>
      </c>
      <c r="C202" t="inlineStr">
        <is>
          <t>Malignant</t>
        </is>
      </c>
      <c r="D202" t="n">
        <v>1</v>
      </c>
      <c r="E202" t="n">
        <v>129</v>
      </c>
      <c r="F202" t="n">
        <v>0.1294</v>
      </c>
      <c r="G202" t="n">
        <v>19.96</v>
      </c>
      <c r="H202" t="n">
        <v>0.1243</v>
      </c>
      <c r="I202" t="n">
        <v>24.3</v>
      </c>
      <c r="J202" t="n">
        <v>19.98</v>
      </c>
      <c r="K202" t="n">
        <v>0.05737</v>
      </c>
      <c r="L202" t="n">
        <v>0.221</v>
      </c>
      <c r="M202" t="n">
        <v>0.02623</v>
      </c>
      <c r="N202" t="n">
        <v>18.81</v>
      </c>
      <c r="O202" t="n">
        <v>1236</v>
      </c>
    </row>
    <row r="203">
      <c r="A203" t="n">
        <v>279</v>
      </c>
      <c r="B203" t="inlineStr">
        <is>
          <t>Train</t>
        </is>
      </c>
      <c r="C203" t="inlineStr">
        <is>
          <t>Benign</t>
        </is>
      </c>
      <c r="D203" t="n">
        <v>0</v>
      </c>
      <c r="E203" t="n">
        <v>98.91</v>
      </c>
      <c r="F203" t="n">
        <v>0.05185</v>
      </c>
      <c r="G203" t="n">
        <v>15.5</v>
      </c>
      <c r="H203" t="n">
        <v>0.105</v>
      </c>
      <c r="I203" t="n">
        <v>26.1</v>
      </c>
      <c r="J203" t="n">
        <v>17.84</v>
      </c>
      <c r="K203" t="n">
        <v>0.06263000000000001</v>
      </c>
      <c r="L203" t="n">
        <v>0.106</v>
      </c>
      <c r="M203" t="n">
        <v>0.01065</v>
      </c>
      <c r="N203" t="n">
        <v>13.59</v>
      </c>
      <c r="O203" t="n">
        <v>739.1</v>
      </c>
    </row>
    <row r="204">
      <c r="A204" t="n">
        <v>280</v>
      </c>
      <c r="B204" t="inlineStr">
        <is>
          <t>Train</t>
        </is>
      </c>
      <c r="C204" t="inlineStr">
        <is>
          <t>Benign</t>
        </is>
      </c>
      <c r="D204" t="n">
        <v>0</v>
      </c>
      <c r="E204" t="n">
        <v>98.37</v>
      </c>
      <c r="F204" t="n">
        <v>0.09993</v>
      </c>
      <c r="G204" t="n">
        <v>14.98</v>
      </c>
      <c r="H204" t="n">
        <v>0.1185</v>
      </c>
      <c r="I204" t="n">
        <v>21.74</v>
      </c>
      <c r="J204" t="n">
        <v>15.18</v>
      </c>
      <c r="K204" t="n">
        <v>0.06912</v>
      </c>
      <c r="L204" t="n">
        <v>0.1456</v>
      </c>
      <c r="M204" t="n">
        <v>0.01457</v>
      </c>
      <c r="N204" t="n">
        <v>13.85</v>
      </c>
      <c r="O204" t="n">
        <v>670</v>
      </c>
    </row>
    <row r="205">
      <c r="A205" t="n">
        <v>285</v>
      </c>
      <c r="B205" t="inlineStr">
        <is>
          <t>Train</t>
        </is>
      </c>
      <c r="C205" t="inlineStr">
        <is>
          <t>Benign</t>
        </is>
      </c>
      <c r="D205" t="n">
        <v>0</v>
      </c>
      <c r="E205" t="n">
        <v>92.12</v>
      </c>
      <c r="F205" t="n">
        <v>0.1017</v>
      </c>
      <c r="G205" t="n">
        <v>13.9</v>
      </c>
      <c r="H205" t="n">
        <v>0.09926</v>
      </c>
      <c r="I205" t="n">
        <v>19.69</v>
      </c>
      <c r="J205" t="n">
        <v>15.7</v>
      </c>
      <c r="K205" t="n">
        <v>0.07127</v>
      </c>
      <c r="L205" t="n">
        <v>0.3344</v>
      </c>
      <c r="M205" t="n">
        <v>0.07926999999999999</v>
      </c>
      <c r="N205" t="n">
        <v>12.89</v>
      </c>
      <c r="O205" t="n">
        <v>595.6</v>
      </c>
    </row>
    <row r="206">
      <c r="A206" t="n">
        <v>286</v>
      </c>
      <c r="B206" t="inlineStr">
        <is>
          <t>Train</t>
        </is>
      </c>
      <c r="C206" t="inlineStr">
        <is>
          <t>Benign</t>
        </is>
      </c>
      <c r="D206" t="n">
        <v>0</v>
      </c>
      <c r="E206" t="n">
        <v>85.56</v>
      </c>
      <c r="F206" t="n">
        <v>0.008772</v>
      </c>
      <c r="G206" t="n">
        <v>13.5</v>
      </c>
      <c r="H206" t="n">
        <v>0.1038</v>
      </c>
      <c r="I206" t="n">
        <v>23.08</v>
      </c>
      <c r="J206" t="n">
        <v>18.4</v>
      </c>
      <c r="K206" t="n">
        <v>0.06431000000000001</v>
      </c>
      <c r="L206" t="n">
        <v>0.005579</v>
      </c>
      <c r="M206" t="n">
        <v>0.00186</v>
      </c>
      <c r="N206" t="n">
        <v>12.58</v>
      </c>
      <c r="O206" t="n">
        <v>564.1</v>
      </c>
    </row>
    <row r="207">
      <c r="A207" t="n">
        <v>287</v>
      </c>
      <c r="B207" t="inlineStr">
        <is>
          <t>Train</t>
        </is>
      </c>
      <c r="C207" t="inlineStr">
        <is>
          <t>Benign</t>
        </is>
      </c>
      <c r="D207" t="n">
        <v>0</v>
      </c>
      <c r="E207" t="n">
        <v>92.2</v>
      </c>
      <c r="F207" t="n">
        <v>0.1155</v>
      </c>
      <c r="G207" t="n">
        <v>13.24</v>
      </c>
      <c r="H207" t="n">
        <v>0.1116</v>
      </c>
      <c r="I207" t="n">
        <v>27.29</v>
      </c>
      <c r="J207" t="n">
        <v>20.76</v>
      </c>
      <c r="K207" t="n">
        <v>0.09981</v>
      </c>
      <c r="L207" t="n">
        <v>0.2365</v>
      </c>
      <c r="M207" t="n">
        <v>0.04387</v>
      </c>
      <c r="N207" t="n">
        <v>11.94</v>
      </c>
      <c r="O207" t="n">
        <v>546.1</v>
      </c>
    </row>
    <row r="208">
      <c r="A208" t="n">
        <v>288</v>
      </c>
      <c r="B208" t="inlineStr">
        <is>
          <t>Train</t>
        </is>
      </c>
      <c r="C208" t="inlineStr">
        <is>
          <t>Benign</t>
        </is>
      </c>
      <c r="D208" t="n">
        <v>0</v>
      </c>
      <c r="E208" t="n">
        <v>87.40000000000001</v>
      </c>
      <c r="F208" t="n">
        <v>0.05366</v>
      </c>
      <c r="G208" t="n">
        <v>13.62</v>
      </c>
      <c r="H208" t="n">
        <v>0.09616</v>
      </c>
      <c r="I208" t="n">
        <v>15.54</v>
      </c>
      <c r="J208" t="n">
        <v>13.12</v>
      </c>
      <c r="K208" t="n">
        <v>0.06915</v>
      </c>
      <c r="L208" t="n">
        <v>0.1186</v>
      </c>
      <c r="M208" t="n">
        <v>0.01652</v>
      </c>
      <c r="N208" t="n">
        <v>12.89</v>
      </c>
      <c r="O208" t="n">
        <v>577</v>
      </c>
    </row>
    <row r="209">
      <c r="A209" t="n">
        <v>289</v>
      </c>
      <c r="B209" t="inlineStr">
        <is>
          <t>Train</t>
        </is>
      </c>
      <c r="C209" t="inlineStr">
        <is>
          <t>Benign</t>
        </is>
      </c>
      <c r="D209" t="n">
        <v>0</v>
      </c>
      <c r="E209" t="n">
        <v>78.27</v>
      </c>
      <c r="F209" t="n">
        <v>0.09314</v>
      </c>
      <c r="G209" t="n">
        <v>11.86</v>
      </c>
      <c r="H209" t="n">
        <v>0.1028</v>
      </c>
      <c r="I209" t="n">
        <v>22.33</v>
      </c>
      <c r="J209" t="n">
        <v>19.96</v>
      </c>
      <c r="K209" t="n">
        <v>0.07009</v>
      </c>
      <c r="L209" t="n">
        <v>0.1546</v>
      </c>
      <c r="M209" t="n">
        <v>0.08099000000000001</v>
      </c>
      <c r="N209" t="n">
        <v>11.26</v>
      </c>
      <c r="O209" t="n">
        <v>437.6</v>
      </c>
    </row>
    <row r="210">
      <c r="A210" t="n">
        <v>296</v>
      </c>
      <c r="B210" t="inlineStr">
        <is>
          <t>Train</t>
        </is>
      </c>
      <c r="C210" t="inlineStr">
        <is>
          <t>Benign</t>
        </is>
      </c>
      <c r="D210" t="n">
        <v>0</v>
      </c>
      <c r="E210" t="n">
        <v>94.17</v>
      </c>
      <c r="F210" t="n">
        <v>0.05802</v>
      </c>
      <c r="G210" t="n">
        <v>14.67</v>
      </c>
      <c r="H210" t="n">
        <v>0.117</v>
      </c>
      <c r="I210" t="n">
        <v>16.93</v>
      </c>
      <c r="J210" t="n">
        <v>13.27</v>
      </c>
      <c r="K210" t="n">
        <v>0.06794</v>
      </c>
      <c r="L210" t="n">
        <v>0.03732</v>
      </c>
      <c r="M210" t="n">
        <v>0.004272</v>
      </c>
      <c r="N210" t="n">
        <v>13.77</v>
      </c>
      <c r="O210" t="n">
        <v>661.1</v>
      </c>
    </row>
    <row r="211">
      <c r="A211" t="n">
        <v>297</v>
      </c>
      <c r="B211" t="inlineStr">
        <is>
          <t>Train</t>
        </is>
      </c>
      <c r="C211" t="inlineStr">
        <is>
          <t>Benign</t>
        </is>
      </c>
      <c r="D211" t="n">
        <v>0</v>
      </c>
      <c r="E211" t="n">
        <v>72.42</v>
      </c>
      <c r="F211" t="n">
        <v>0.03194</v>
      </c>
      <c r="G211" t="n">
        <v>11.37</v>
      </c>
      <c r="H211" t="n">
        <v>0.09311999999999999</v>
      </c>
      <c r="I211" t="n">
        <v>14.82</v>
      </c>
      <c r="J211" t="n">
        <v>12.35</v>
      </c>
      <c r="K211" t="n">
        <v>0.06643</v>
      </c>
      <c r="L211" t="n">
        <v>0.02884</v>
      </c>
      <c r="M211" t="n">
        <v>0.01072</v>
      </c>
      <c r="N211" t="n">
        <v>10.91</v>
      </c>
      <c r="O211" t="n">
        <v>392.2</v>
      </c>
    </row>
    <row r="212">
      <c r="A212" t="n">
        <v>299</v>
      </c>
      <c r="B212" t="inlineStr">
        <is>
          <t>Train</t>
        </is>
      </c>
      <c r="C212" t="inlineStr">
        <is>
          <t>Benign</t>
        </is>
      </c>
      <c r="D212" t="n">
        <v>0</v>
      </c>
      <c r="E212" t="n">
        <v>105.8</v>
      </c>
      <c r="F212" t="n">
        <v>0.07530000000000001</v>
      </c>
      <c r="G212" t="n">
        <v>16.22</v>
      </c>
      <c r="H212" t="n">
        <v>0.09445000000000001</v>
      </c>
      <c r="I212" t="n">
        <v>25.26</v>
      </c>
      <c r="J212" t="n">
        <v>18.17</v>
      </c>
      <c r="K212" t="n">
        <v>0.07675999999999999</v>
      </c>
      <c r="L212" t="n">
        <v>0.1565</v>
      </c>
      <c r="M212" t="n">
        <v>0.01079</v>
      </c>
      <c r="N212" t="n">
        <v>14.26</v>
      </c>
      <c r="O212" t="n">
        <v>819.7</v>
      </c>
    </row>
    <row r="213">
      <c r="A213" t="n">
        <v>300</v>
      </c>
      <c r="B213" t="inlineStr">
        <is>
          <t>Train</t>
        </is>
      </c>
      <c r="C213" t="inlineStr">
        <is>
          <t>Benign</t>
        </is>
      </c>
      <c r="D213" t="n">
        <v>0</v>
      </c>
      <c r="E213" t="n">
        <v>70.09999999999999</v>
      </c>
      <c r="F213" t="n">
        <v>0.03125</v>
      </c>
      <c r="G213" t="n">
        <v>10.93</v>
      </c>
      <c r="H213" t="n">
        <v>0.1143</v>
      </c>
      <c r="I213" t="n">
        <v>24.22</v>
      </c>
      <c r="J213" t="n">
        <v>23.09</v>
      </c>
      <c r="K213" t="n">
        <v>0.06777</v>
      </c>
      <c r="L213" t="n">
        <v>0.04158</v>
      </c>
      <c r="M213" t="n">
        <v>0.01861</v>
      </c>
      <c r="N213" t="n">
        <v>10.51</v>
      </c>
      <c r="O213" t="n">
        <v>362.7</v>
      </c>
    </row>
    <row r="214">
      <c r="A214" t="n">
        <v>301</v>
      </c>
      <c r="B214" t="inlineStr">
        <is>
          <t>Train</t>
        </is>
      </c>
      <c r="C214" t="inlineStr">
        <is>
          <t>Malignant</t>
        </is>
      </c>
      <c r="D214" t="n">
        <v>1</v>
      </c>
      <c r="E214" t="n">
        <v>171.1</v>
      </c>
      <c r="F214" t="n">
        <v>0.198</v>
      </c>
      <c r="G214" t="n">
        <v>25.93</v>
      </c>
      <c r="H214" t="n">
        <v>0.1495</v>
      </c>
      <c r="I214" t="n">
        <v>26.24</v>
      </c>
      <c r="J214" t="n">
        <v>18.9</v>
      </c>
      <c r="K214" t="n">
        <v>0.09929</v>
      </c>
      <c r="L214" t="n">
        <v>0.6121</v>
      </c>
      <c r="M214" t="n">
        <v>0.05638</v>
      </c>
      <c r="N214" t="n">
        <v>19.53</v>
      </c>
      <c r="O214" t="n">
        <v>2053</v>
      </c>
    </row>
    <row r="215">
      <c r="A215" t="n">
        <v>302</v>
      </c>
      <c r="B215" t="inlineStr">
        <is>
          <t>Train</t>
        </is>
      </c>
      <c r="C215" t="inlineStr">
        <is>
          <t>Benign</t>
        </is>
      </c>
      <c r="D215" t="n">
        <v>0</v>
      </c>
      <c r="E215" t="n">
        <v>88.13</v>
      </c>
      <c r="F215" t="n">
        <v>0.07625</v>
      </c>
      <c r="G215" t="n">
        <v>13.46</v>
      </c>
      <c r="H215" t="n">
        <v>0.105</v>
      </c>
      <c r="I215" t="n">
        <v>23.07</v>
      </c>
      <c r="J215" t="n">
        <v>19.89</v>
      </c>
      <c r="K215" t="n">
        <v>0.07764</v>
      </c>
      <c r="L215" t="n">
        <v>0.1904</v>
      </c>
      <c r="M215" t="n">
        <v>0.04712</v>
      </c>
      <c r="N215" t="n">
        <v>12.46</v>
      </c>
      <c r="O215" t="n">
        <v>551.3</v>
      </c>
    </row>
    <row r="216">
      <c r="A216" t="n">
        <v>306</v>
      </c>
      <c r="B216" t="inlineStr">
        <is>
          <t>Train</t>
        </is>
      </c>
      <c r="C216" t="inlineStr">
        <is>
          <t>Benign</t>
        </is>
      </c>
      <c r="D216" t="n">
        <v>0</v>
      </c>
      <c r="E216" t="n">
        <v>81.39</v>
      </c>
      <c r="F216" t="n">
        <v>0.04815</v>
      </c>
      <c r="G216" t="n">
        <v>12.44</v>
      </c>
      <c r="H216" t="n">
        <v>0.09544999999999999</v>
      </c>
      <c r="I216" t="n">
        <v>31.62</v>
      </c>
      <c r="J216" t="n">
        <v>24.49</v>
      </c>
      <c r="K216" t="n">
        <v>0.06745</v>
      </c>
      <c r="L216" t="n">
        <v>0.07239</v>
      </c>
      <c r="M216" t="n">
        <v>0.01596</v>
      </c>
      <c r="N216" t="n">
        <v>11.6</v>
      </c>
      <c r="O216" t="n">
        <v>476.5</v>
      </c>
    </row>
    <row r="217">
      <c r="A217" t="n">
        <v>308</v>
      </c>
      <c r="B217" t="inlineStr">
        <is>
          <t>Train</t>
        </is>
      </c>
      <c r="C217" t="inlineStr">
        <is>
          <t>Benign</t>
        </is>
      </c>
      <c r="D217" t="n">
        <v>0</v>
      </c>
      <c r="E217" t="n">
        <v>60.9</v>
      </c>
      <c r="F217" t="n">
        <v>0.01389</v>
      </c>
      <c r="G217" t="n">
        <v>9.699</v>
      </c>
      <c r="H217" t="n">
        <v>0.09861</v>
      </c>
      <c r="I217" t="n">
        <v>20.07</v>
      </c>
      <c r="J217" t="n">
        <v>14.4</v>
      </c>
      <c r="K217" t="n">
        <v>0.07804</v>
      </c>
      <c r="L217" t="n">
        <v>0.01472</v>
      </c>
      <c r="M217" t="n">
        <v>0.003681</v>
      </c>
      <c r="N217" t="n">
        <v>9</v>
      </c>
      <c r="O217" t="n">
        <v>285.5</v>
      </c>
    </row>
    <row r="218">
      <c r="A218" t="n">
        <v>309</v>
      </c>
      <c r="B218" t="inlineStr">
        <is>
          <t>Train</t>
        </is>
      </c>
      <c r="C218" t="inlineStr">
        <is>
          <t>Benign</t>
        </is>
      </c>
      <c r="D218" t="n">
        <v>0</v>
      </c>
      <c r="E218" t="n">
        <v>95.48</v>
      </c>
      <c r="F218" t="n">
        <v>0.0221</v>
      </c>
      <c r="G218" t="n">
        <v>14.97</v>
      </c>
      <c r="H218" t="n">
        <v>0.09023</v>
      </c>
      <c r="I218" t="n">
        <v>16.94</v>
      </c>
      <c r="J218" t="n">
        <v>12.71</v>
      </c>
      <c r="K218" t="n">
        <v>0.06192</v>
      </c>
      <c r="L218" t="n">
        <v>0.01379</v>
      </c>
      <c r="M218" t="n">
        <v>0.00203</v>
      </c>
      <c r="N218" t="n">
        <v>13.5</v>
      </c>
      <c r="O218" t="n">
        <v>698.7</v>
      </c>
    </row>
    <row r="219">
      <c r="A219" t="n">
        <v>310</v>
      </c>
      <c r="B219" t="inlineStr">
        <is>
          <t>Train</t>
        </is>
      </c>
      <c r="C219" t="inlineStr">
        <is>
          <t>Benign</t>
        </is>
      </c>
      <c r="D219" t="n">
        <v>0</v>
      </c>
      <c r="E219" t="n">
        <v>93.95999999999999</v>
      </c>
      <c r="F219" t="n">
        <v>0.03532</v>
      </c>
      <c r="G219" t="n">
        <v>14.73</v>
      </c>
      <c r="H219" t="n">
        <v>0.1016</v>
      </c>
      <c r="I219" t="n">
        <v>17.4</v>
      </c>
      <c r="J219" t="n">
        <v>13.84</v>
      </c>
      <c r="K219" t="n">
        <v>0.0658</v>
      </c>
      <c r="L219" t="n">
        <v>0.01824</v>
      </c>
      <c r="M219" t="n">
        <v>0.002831</v>
      </c>
      <c r="N219" t="n">
        <v>13.05</v>
      </c>
      <c r="O219" t="n">
        <v>672.4</v>
      </c>
    </row>
    <row r="220">
      <c r="A220" t="n">
        <v>311</v>
      </c>
      <c r="B220" t="inlineStr">
        <is>
          <t>Train</t>
        </is>
      </c>
      <c r="C220" t="inlineStr">
        <is>
          <t>Benign</t>
        </is>
      </c>
      <c r="D220" t="n">
        <v>0</v>
      </c>
      <c r="E220" t="n">
        <v>80.92</v>
      </c>
      <c r="F220" t="n">
        <v>0.05741</v>
      </c>
      <c r="G220" t="n">
        <v>12.61</v>
      </c>
      <c r="H220" t="n">
        <v>0.1223</v>
      </c>
      <c r="I220" t="n">
        <v>26.55</v>
      </c>
      <c r="J220" t="n">
        <v>19.11</v>
      </c>
      <c r="K220" t="n">
        <v>0.06958</v>
      </c>
      <c r="L220" t="n">
        <v>0.07915</v>
      </c>
      <c r="M220" t="n">
        <v>0.01042</v>
      </c>
      <c r="N220" t="n">
        <v>11.7</v>
      </c>
      <c r="O220" t="n">
        <v>483.1</v>
      </c>
    </row>
    <row r="221">
      <c r="A221" t="n">
        <v>314</v>
      </c>
      <c r="B221" t="inlineStr">
        <is>
          <t>Train</t>
        </is>
      </c>
      <c r="C221" t="inlineStr">
        <is>
          <t>Benign</t>
        </is>
      </c>
      <c r="D221" t="n">
        <v>0</v>
      </c>
      <c r="E221" t="n">
        <v>81.23</v>
      </c>
      <c r="F221" t="n">
        <v>0.04715</v>
      </c>
      <c r="G221" t="n">
        <v>12.34</v>
      </c>
      <c r="H221" t="n">
        <v>0.1092</v>
      </c>
      <c r="I221" t="n">
        <v>12.87</v>
      </c>
      <c r="J221" t="n">
        <v>10.72</v>
      </c>
      <c r="K221" t="n">
        <v>0.07434</v>
      </c>
      <c r="L221" t="n">
        <v>0.08323999999999999</v>
      </c>
      <c r="M221" t="n">
        <v>0.01003</v>
      </c>
      <c r="N221" t="n">
        <v>11.54</v>
      </c>
      <c r="O221" t="n">
        <v>467.8</v>
      </c>
    </row>
    <row r="222">
      <c r="A222" t="n">
        <v>315</v>
      </c>
      <c r="B222" t="inlineStr">
        <is>
          <t>Train</t>
        </is>
      </c>
      <c r="C222" t="inlineStr">
        <is>
          <t>Benign</t>
        </is>
      </c>
      <c r="D222" t="n">
        <v>0</v>
      </c>
      <c r="E222" t="n">
        <v>56.65</v>
      </c>
      <c r="F222" t="n">
        <v>0</v>
      </c>
      <c r="G222" t="n">
        <v>8.952</v>
      </c>
      <c r="H222" t="n">
        <v>0.1347</v>
      </c>
      <c r="I222" t="n">
        <v>22.44</v>
      </c>
      <c r="J222" t="n">
        <v>18.6</v>
      </c>
      <c r="K222" t="n">
        <v>0.08116</v>
      </c>
      <c r="L222" t="n">
        <v>0</v>
      </c>
      <c r="M222" t="n">
        <v>0</v>
      </c>
      <c r="N222" t="n">
        <v>8.597</v>
      </c>
      <c r="O222" t="n">
        <v>240.1</v>
      </c>
    </row>
    <row r="223">
      <c r="A223" t="n">
        <v>316</v>
      </c>
      <c r="B223" t="inlineStr">
        <is>
          <t>Train</t>
        </is>
      </c>
      <c r="C223" t="inlineStr">
        <is>
          <t>Benign</t>
        </is>
      </c>
      <c r="D223" t="n">
        <v>0</v>
      </c>
      <c r="E223" t="n">
        <v>84.48</v>
      </c>
      <c r="F223" t="n">
        <v>0.02784</v>
      </c>
      <c r="G223" t="n">
        <v>13.34</v>
      </c>
      <c r="H223" t="n">
        <v>0.1104</v>
      </c>
      <c r="I223" t="n">
        <v>19.71</v>
      </c>
      <c r="J223" t="n">
        <v>16.85</v>
      </c>
      <c r="K223" t="n">
        <v>0.06174</v>
      </c>
      <c r="L223" t="n">
        <v>0.01938</v>
      </c>
      <c r="M223" t="n">
        <v>0.00262</v>
      </c>
      <c r="N223" t="n">
        <v>12.49</v>
      </c>
      <c r="O223" t="n">
        <v>544.2</v>
      </c>
    </row>
    <row r="224">
      <c r="A224" t="n">
        <v>317</v>
      </c>
      <c r="B224" t="inlineStr">
        <is>
          <t>Train</t>
        </is>
      </c>
      <c r="C224" t="inlineStr">
        <is>
          <t>Benign</t>
        </is>
      </c>
      <c r="D224" t="n">
        <v>0</v>
      </c>
      <c r="E224" t="n">
        <v>81.59999999999999</v>
      </c>
      <c r="F224" t="n">
        <v>0.01852</v>
      </c>
      <c r="G224" t="n">
        <v>12.85</v>
      </c>
      <c r="H224" t="n">
        <v>0.1001</v>
      </c>
      <c r="I224" t="n">
        <v>16.47</v>
      </c>
      <c r="J224" t="n">
        <v>14.08</v>
      </c>
      <c r="K224" t="n">
        <v>0.06037</v>
      </c>
      <c r="L224" t="n">
        <v>0.04116</v>
      </c>
      <c r="M224" t="n">
        <v>0.01123</v>
      </c>
      <c r="N224" t="n">
        <v>12.18</v>
      </c>
      <c r="O224" t="n">
        <v>513.1</v>
      </c>
    </row>
    <row r="225">
      <c r="A225" t="n">
        <v>318</v>
      </c>
      <c r="B225" t="inlineStr">
        <is>
          <t>Train</t>
        </is>
      </c>
      <c r="C225" t="inlineStr">
        <is>
          <t>Malignant</t>
        </is>
      </c>
      <c r="D225" t="n">
        <v>1</v>
      </c>
      <c r="E225" t="n">
        <v>140.9</v>
      </c>
      <c r="F225" t="n">
        <v>0.1776</v>
      </c>
      <c r="G225" t="n">
        <v>21.84</v>
      </c>
      <c r="H225" t="n">
        <v>0.1434</v>
      </c>
      <c r="I225" t="n">
        <v>25</v>
      </c>
      <c r="J225" t="n">
        <v>18.87</v>
      </c>
      <c r="K225" t="n">
        <v>0.08198</v>
      </c>
      <c r="L225" t="n">
        <v>0.3853</v>
      </c>
      <c r="M225" t="n">
        <v>0.02408</v>
      </c>
      <c r="N225" t="n">
        <v>18.22</v>
      </c>
      <c r="O225" t="n">
        <v>1485</v>
      </c>
    </row>
    <row r="226">
      <c r="A226" t="n">
        <v>319</v>
      </c>
      <c r="B226" t="inlineStr">
        <is>
          <t>Train</t>
        </is>
      </c>
      <c r="C226" t="inlineStr">
        <is>
          <t>Benign</t>
        </is>
      </c>
      <c r="D226" t="n">
        <v>0</v>
      </c>
      <c r="E226" t="n">
        <v>68.62</v>
      </c>
      <c r="F226" t="n">
        <v>0.1145</v>
      </c>
      <c r="G226" t="n">
        <v>10.06</v>
      </c>
      <c r="H226" t="n">
        <v>0.1221</v>
      </c>
      <c r="I226" t="n">
        <v>23.4</v>
      </c>
      <c r="J226" t="n">
        <v>18.9</v>
      </c>
      <c r="K226" t="n">
        <v>0.1055</v>
      </c>
      <c r="L226" t="n">
        <v>0.4609</v>
      </c>
      <c r="M226" t="n">
        <v>0.1027</v>
      </c>
      <c r="N226" t="n">
        <v>9.042</v>
      </c>
      <c r="O226" t="n">
        <v>297.1</v>
      </c>
    </row>
    <row r="227">
      <c r="A227" t="n">
        <v>320</v>
      </c>
      <c r="B227" t="inlineStr">
        <is>
          <t>Train</t>
        </is>
      </c>
      <c r="C227" t="inlineStr">
        <is>
          <t>Benign</t>
        </is>
      </c>
      <c r="D227" t="n">
        <v>0</v>
      </c>
      <c r="E227" t="n">
        <v>81.76000000000001</v>
      </c>
      <c r="F227" t="n">
        <v>0.02832</v>
      </c>
      <c r="G227" t="n">
        <v>12.9</v>
      </c>
      <c r="H227" t="n">
        <v>0.08409</v>
      </c>
      <c r="I227" t="n">
        <v>20.21</v>
      </c>
      <c r="J227" t="n">
        <v>17</v>
      </c>
      <c r="K227" t="n">
        <v>0.05932</v>
      </c>
      <c r="L227" t="n">
        <v>0.02237</v>
      </c>
      <c r="M227" t="n">
        <v>0.009959000000000001</v>
      </c>
      <c r="N227" t="n">
        <v>12.43</v>
      </c>
      <c r="O227" t="n">
        <v>515.9</v>
      </c>
    </row>
    <row r="228">
      <c r="A228" t="n">
        <v>322</v>
      </c>
      <c r="B228" t="inlineStr">
        <is>
          <t>Train</t>
        </is>
      </c>
      <c r="C228" t="inlineStr">
        <is>
          <t>Malignant</t>
        </is>
      </c>
      <c r="D228" t="n">
        <v>1</v>
      </c>
      <c r="E228" t="n">
        <v>150.2</v>
      </c>
      <c r="F228" t="n">
        <v>0.1425</v>
      </c>
      <c r="G228" t="n">
        <v>23.06</v>
      </c>
      <c r="H228" t="n">
        <v>0.1054</v>
      </c>
      <c r="I228" t="n">
        <v>23.03</v>
      </c>
      <c r="J228" t="n">
        <v>19.66</v>
      </c>
      <c r="K228" t="n">
        <v>0.05933</v>
      </c>
      <c r="L228" t="n">
        <v>0.2606</v>
      </c>
      <c r="M228" t="n">
        <v>0.02645</v>
      </c>
      <c r="N228" t="n">
        <v>20.16</v>
      </c>
      <c r="O228" t="n">
        <v>1657</v>
      </c>
    </row>
    <row r="229">
      <c r="A229" t="n">
        <v>323</v>
      </c>
      <c r="B229" t="inlineStr">
        <is>
          <t>Train</t>
        </is>
      </c>
      <c r="C229" t="inlineStr">
        <is>
          <t>Benign</t>
        </is>
      </c>
      <c r="D229" t="n">
        <v>0</v>
      </c>
      <c r="E229" t="n">
        <v>92.8</v>
      </c>
      <c r="F229" t="n">
        <v>0.1155</v>
      </c>
      <c r="G229" t="n">
        <v>14.04</v>
      </c>
      <c r="H229" t="n">
        <v>0.1547</v>
      </c>
      <c r="I229" t="n">
        <v>21.08</v>
      </c>
      <c r="J229" t="n">
        <v>13.32</v>
      </c>
      <c r="K229" t="n">
        <v>0.08552999999999999</v>
      </c>
      <c r="L229" t="n">
        <v>0.1791</v>
      </c>
      <c r="M229" t="n">
        <v>0.01902</v>
      </c>
      <c r="N229" t="n">
        <v>12.86</v>
      </c>
      <c r="O229" t="n">
        <v>599.5</v>
      </c>
    </row>
    <row r="230">
      <c r="A230" t="n">
        <v>324</v>
      </c>
      <c r="B230" t="inlineStr">
        <is>
          <t>Train</t>
        </is>
      </c>
      <c r="C230" t="inlineStr">
        <is>
          <t>Malignant</t>
        </is>
      </c>
      <c r="D230" t="n">
        <v>1</v>
      </c>
      <c r="E230" t="n">
        <v>171.1</v>
      </c>
      <c r="F230" t="n">
        <v>0.2685</v>
      </c>
      <c r="G230" t="n">
        <v>25.3</v>
      </c>
      <c r="H230" t="n">
        <v>0.1592</v>
      </c>
      <c r="I230" t="n">
        <v>31.86</v>
      </c>
      <c r="J230" t="n">
        <v>21.51</v>
      </c>
      <c r="K230" t="n">
        <v>0.1024</v>
      </c>
      <c r="L230" t="n">
        <v>0.5344</v>
      </c>
      <c r="M230" t="n">
        <v>0.0319</v>
      </c>
      <c r="N230" t="n">
        <v>20.34</v>
      </c>
      <c r="O230" t="n">
        <v>1938</v>
      </c>
    </row>
    <row r="231">
      <c r="A231" t="n">
        <v>325</v>
      </c>
      <c r="B231" t="inlineStr">
        <is>
          <t>Train</t>
        </is>
      </c>
      <c r="C231" t="inlineStr">
        <is>
          <t>Benign</t>
        </is>
      </c>
      <c r="D231" t="n">
        <v>0</v>
      </c>
      <c r="E231" t="n">
        <v>91.11</v>
      </c>
      <c r="F231" t="n">
        <v>0.05556</v>
      </c>
      <c r="G231" t="n">
        <v>13.75</v>
      </c>
      <c r="H231" t="n">
        <v>0.1256</v>
      </c>
      <c r="I231" t="n">
        <v>21.38</v>
      </c>
      <c r="J231" t="n">
        <v>15.21</v>
      </c>
      <c r="K231" t="n">
        <v>0.07961</v>
      </c>
      <c r="L231" t="n">
        <v>0.1167</v>
      </c>
      <c r="M231" t="n">
        <v>0.01051</v>
      </c>
      <c r="N231" t="n">
        <v>12.2</v>
      </c>
      <c r="O231" t="n">
        <v>583.1</v>
      </c>
    </row>
    <row r="232">
      <c r="A232" t="n">
        <v>327</v>
      </c>
      <c r="B232" t="inlineStr">
        <is>
          <t>Train</t>
        </is>
      </c>
      <c r="C232" t="inlineStr">
        <is>
          <t>Benign</t>
        </is>
      </c>
      <c r="D232" t="n">
        <v>0</v>
      </c>
      <c r="E232" t="n">
        <v>98.40000000000001</v>
      </c>
      <c r="F232" t="n">
        <v>0.0589</v>
      </c>
      <c r="G232" t="n">
        <v>15.53</v>
      </c>
      <c r="H232" t="n">
        <v>0.1281</v>
      </c>
      <c r="I232" t="n">
        <v>18</v>
      </c>
      <c r="J232" t="n">
        <v>12.88</v>
      </c>
      <c r="K232" t="n">
        <v>0.07083</v>
      </c>
      <c r="L232" t="n">
        <v>0.05307</v>
      </c>
      <c r="M232" t="n">
        <v>0.005717</v>
      </c>
      <c r="N232" t="n">
        <v>14.11</v>
      </c>
      <c r="O232" t="n">
        <v>749.9</v>
      </c>
    </row>
    <row r="233">
      <c r="A233" t="n">
        <v>329</v>
      </c>
      <c r="B233" t="inlineStr">
        <is>
          <t>Train</t>
        </is>
      </c>
      <c r="C233" t="inlineStr">
        <is>
          <t>Malignant</t>
        </is>
      </c>
      <c r="D233" t="n">
        <v>1</v>
      </c>
      <c r="E233" t="n">
        <v>129.8</v>
      </c>
      <c r="F233" t="n">
        <v>0.1583</v>
      </c>
      <c r="G233" t="n">
        <v>19.28</v>
      </c>
      <c r="H233" t="n">
        <v>0.159</v>
      </c>
      <c r="I233" t="n">
        <v>30.38</v>
      </c>
      <c r="J233" t="n">
        <v>20.71</v>
      </c>
      <c r="K233" t="n">
        <v>0.082</v>
      </c>
      <c r="L233" t="n">
        <v>0.3597</v>
      </c>
      <c r="M233" t="n">
        <v>0.03248</v>
      </c>
      <c r="N233" t="n">
        <v>16.27</v>
      </c>
      <c r="O233" t="n">
        <v>1121</v>
      </c>
    </row>
    <row r="234">
      <c r="A234" t="n">
        <v>330</v>
      </c>
      <c r="B234" t="inlineStr">
        <is>
          <t>Train</t>
        </is>
      </c>
      <c r="C234" t="inlineStr">
        <is>
          <t>Malignant</t>
        </is>
      </c>
      <c r="D234" t="n">
        <v>1</v>
      </c>
      <c r="E234" t="n">
        <v>113.7</v>
      </c>
      <c r="F234" t="n">
        <v>0.1047</v>
      </c>
      <c r="G234" t="n">
        <v>17.73</v>
      </c>
      <c r="H234" t="n">
        <v>0.1426</v>
      </c>
      <c r="I234" t="n">
        <v>25.21</v>
      </c>
      <c r="J234" t="n">
        <v>21.88</v>
      </c>
      <c r="K234" t="n">
        <v>0.07953</v>
      </c>
      <c r="L234" t="n">
        <v>0.3344</v>
      </c>
      <c r="M234" t="n">
        <v>0.05839</v>
      </c>
      <c r="N234" t="n">
        <v>16.26</v>
      </c>
      <c r="O234" t="n">
        <v>975.2</v>
      </c>
    </row>
    <row r="235">
      <c r="A235" t="n">
        <v>331</v>
      </c>
      <c r="B235" t="inlineStr">
        <is>
          <t>Train</t>
        </is>
      </c>
      <c r="C235" t="inlineStr">
        <is>
          <t>Malignant</t>
        </is>
      </c>
      <c r="D235" t="n">
        <v>1</v>
      </c>
      <c r="E235" t="n">
        <v>124.3</v>
      </c>
      <c r="F235" t="n">
        <v>0.1981</v>
      </c>
      <c r="G235" t="n">
        <v>18.76</v>
      </c>
      <c r="H235" t="n">
        <v>0.1435</v>
      </c>
      <c r="I235" t="n">
        <v>21.98</v>
      </c>
      <c r="J235" t="n">
        <v>15.51</v>
      </c>
      <c r="K235" t="n">
        <v>0.09124</v>
      </c>
      <c r="L235" t="n">
        <v>0.4956</v>
      </c>
      <c r="M235" t="n">
        <v>0.03715</v>
      </c>
      <c r="N235" t="n">
        <v>16.03</v>
      </c>
      <c r="O235" t="n">
        <v>1070</v>
      </c>
    </row>
    <row r="236">
      <c r="A236" t="n">
        <v>332</v>
      </c>
      <c r="B236" t="inlineStr">
        <is>
          <t>Train</t>
        </is>
      </c>
      <c r="C236" t="inlineStr">
        <is>
          <t>Benign</t>
        </is>
      </c>
      <c r="D236" t="n">
        <v>0</v>
      </c>
      <c r="E236" t="n">
        <v>99.20999999999999</v>
      </c>
      <c r="F236" t="n">
        <v>0.09858</v>
      </c>
      <c r="G236" t="n">
        <v>14.42</v>
      </c>
      <c r="H236" t="n">
        <v>0.1288</v>
      </c>
      <c r="I236" t="n">
        <v>21.95</v>
      </c>
      <c r="J236" t="n">
        <v>19.35</v>
      </c>
      <c r="K236" t="n">
        <v>0.09166000000000001</v>
      </c>
      <c r="L236" t="n">
        <v>0.3439</v>
      </c>
      <c r="M236" t="n">
        <v>0.04393</v>
      </c>
      <c r="N236" t="n">
        <v>12.98</v>
      </c>
      <c r="O236" t="n">
        <v>634.3</v>
      </c>
    </row>
    <row r="237">
      <c r="A237" t="n">
        <v>333</v>
      </c>
      <c r="B237" t="inlineStr">
        <is>
          <t>Train</t>
        </is>
      </c>
      <c r="C237" t="inlineStr">
        <is>
          <t>Benign</t>
        </is>
      </c>
      <c r="D237" t="n">
        <v>0</v>
      </c>
      <c r="E237" t="n">
        <v>76.91</v>
      </c>
      <c r="F237" t="n">
        <v>0.02022</v>
      </c>
      <c r="G237" t="n">
        <v>11.98</v>
      </c>
      <c r="H237" t="n">
        <v>0.1424</v>
      </c>
      <c r="I237" t="n">
        <v>25.78</v>
      </c>
      <c r="J237" t="n">
        <v>19.86</v>
      </c>
      <c r="K237" t="n">
        <v>0.06522</v>
      </c>
      <c r="L237" t="n">
        <v>0.01335</v>
      </c>
      <c r="M237" t="n">
        <v>0.003297</v>
      </c>
      <c r="N237" t="n">
        <v>11.22</v>
      </c>
      <c r="O237" t="n">
        <v>436.1</v>
      </c>
    </row>
    <row r="238">
      <c r="A238" t="n">
        <v>334</v>
      </c>
      <c r="B238" t="inlineStr">
        <is>
          <t>Train</t>
        </is>
      </c>
      <c r="C238" t="inlineStr">
        <is>
          <t>Benign</t>
        </is>
      </c>
      <c r="D238" t="n">
        <v>0</v>
      </c>
      <c r="E238" t="n">
        <v>82.08</v>
      </c>
      <c r="F238" t="n">
        <v>0.01667</v>
      </c>
      <c r="G238" t="n">
        <v>12.76</v>
      </c>
      <c r="H238" t="n">
        <v>0.1166</v>
      </c>
      <c r="I238" t="n">
        <v>22.06</v>
      </c>
      <c r="J238" t="n">
        <v>14.78</v>
      </c>
      <c r="K238" t="n">
        <v>0.07418</v>
      </c>
      <c r="L238" t="n">
        <v>0.005518</v>
      </c>
      <c r="M238" t="n">
        <v>0.0009737</v>
      </c>
      <c r="N238" t="n">
        <v>11.25</v>
      </c>
      <c r="O238" t="n">
        <v>492.7</v>
      </c>
    </row>
    <row r="239">
      <c r="A239" t="n">
        <v>335</v>
      </c>
      <c r="B239" t="inlineStr">
        <is>
          <t>Train</t>
        </is>
      </c>
      <c r="C239" t="inlineStr">
        <is>
          <t>Benign</t>
        </is>
      </c>
      <c r="D239" t="n">
        <v>0</v>
      </c>
      <c r="E239" t="n">
        <v>84.53</v>
      </c>
      <c r="F239" t="n">
        <v>0.03983</v>
      </c>
      <c r="G239" t="n">
        <v>13.35</v>
      </c>
      <c r="H239" t="n">
        <v>0.1222</v>
      </c>
      <c r="I239" t="n">
        <v>28.46</v>
      </c>
      <c r="J239" t="n">
        <v>19.02</v>
      </c>
      <c r="K239" t="n">
        <v>0.07207</v>
      </c>
      <c r="L239" t="n">
        <v>0.03619</v>
      </c>
      <c r="M239" t="n">
        <v>0.007004</v>
      </c>
      <c r="N239" t="n">
        <v>12.3</v>
      </c>
      <c r="O239" t="n">
        <v>544.3</v>
      </c>
    </row>
    <row r="240">
      <c r="A240" t="n">
        <v>336</v>
      </c>
      <c r="B240" t="inlineStr">
        <is>
          <t>Train</t>
        </is>
      </c>
      <c r="C240" t="inlineStr">
        <is>
          <t>Malignant</t>
        </is>
      </c>
      <c r="D240" t="n">
        <v>1</v>
      </c>
      <c r="E240" t="n">
        <v>143.2</v>
      </c>
      <c r="F240" t="n">
        <v>0.1827</v>
      </c>
      <c r="G240" t="n">
        <v>20.99</v>
      </c>
      <c r="H240" t="n">
        <v>0.1449</v>
      </c>
      <c r="I240" t="n">
        <v>33.15</v>
      </c>
      <c r="J240" t="n">
        <v>21</v>
      </c>
      <c r="K240" t="n">
        <v>0.07599</v>
      </c>
      <c r="L240" t="n">
        <v>0.392</v>
      </c>
      <c r="M240" t="n">
        <v>0.04502</v>
      </c>
      <c r="N240" t="n">
        <v>17.06</v>
      </c>
      <c r="O240" t="n">
        <v>1362</v>
      </c>
    </row>
    <row r="241">
      <c r="A241" t="n">
        <v>337</v>
      </c>
      <c r="B241" t="inlineStr">
        <is>
          <t>Train</t>
        </is>
      </c>
      <c r="C241" t="inlineStr">
        <is>
          <t>Benign</t>
        </is>
      </c>
      <c r="D241" t="n">
        <v>0</v>
      </c>
      <c r="E241" t="n">
        <v>87.38</v>
      </c>
      <c r="F241" t="n">
        <v>0.0585</v>
      </c>
      <c r="G241" t="n">
        <v>13.72</v>
      </c>
      <c r="H241" t="n">
        <v>0.1142</v>
      </c>
      <c r="I241" t="n">
        <v>16.91</v>
      </c>
      <c r="J241" t="n">
        <v>14.23</v>
      </c>
      <c r="K241" t="n">
        <v>0.1009</v>
      </c>
      <c r="L241" t="n">
        <v>0.145</v>
      </c>
      <c r="M241" t="n">
        <v>0.03113</v>
      </c>
      <c r="N241" t="n">
        <v>12.99</v>
      </c>
      <c r="O241" t="n">
        <v>576</v>
      </c>
    </row>
    <row r="242">
      <c r="A242" t="n">
        <v>340</v>
      </c>
      <c r="B242" t="inlineStr">
        <is>
          <t>Train</t>
        </is>
      </c>
      <c r="C242" t="inlineStr">
        <is>
          <t>Malignant</t>
        </is>
      </c>
      <c r="D242" t="n">
        <v>1</v>
      </c>
      <c r="E242" t="n">
        <v>202.4</v>
      </c>
      <c r="F242" t="n">
        <v>0.2089</v>
      </c>
      <c r="G242" t="n">
        <v>30.67</v>
      </c>
      <c r="H242" t="n">
        <v>0.1515</v>
      </c>
      <c r="I242" t="n">
        <v>30.73</v>
      </c>
      <c r="J242" t="n">
        <v>24.27</v>
      </c>
      <c r="K242" t="n">
        <v>0.07738</v>
      </c>
      <c r="L242" t="n">
        <v>0.4819</v>
      </c>
      <c r="M242" t="n">
        <v>0.03582</v>
      </c>
      <c r="N242" t="n">
        <v>23.51</v>
      </c>
      <c r="O242" t="n">
        <v>2906</v>
      </c>
    </row>
    <row r="243">
      <c r="A243" t="n">
        <v>341</v>
      </c>
      <c r="B243" t="inlineStr">
        <is>
          <t>Train</t>
        </is>
      </c>
      <c r="C243" t="inlineStr">
        <is>
          <t>Benign</t>
        </is>
      </c>
      <c r="D243" t="n">
        <v>0</v>
      </c>
      <c r="E243" t="n">
        <v>111.4</v>
      </c>
      <c r="F243" t="n">
        <v>0.1414</v>
      </c>
      <c r="G243" t="n">
        <v>16.67</v>
      </c>
      <c r="H243" t="n">
        <v>0.1294</v>
      </c>
      <c r="I243" t="n">
        <v>21.51</v>
      </c>
      <c r="J243" t="n">
        <v>16.54</v>
      </c>
      <c r="K243" t="n">
        <v>0.08764</v>
      </c>
      <c r="L243" t="n">
        <v>0.3755</v>
      </c>
      <c r="M243" t="n">
        <v>0.0384</v>
      </c>
      <c r="N243" t="n">
        <v>14.42</v>
      </c>
      <c r="O243" t="n">
        <v>862.1</v>
      </c>
    </row>
    <row r="244">
      <c r="A244" t="n">
        <v>343</v>
      </c>
      <c r="B244" t="inlineStr">
        <is>
          <t>Train</t>
        </is>
      </c>
      <c r="C244" t="inlineStr">
        <is>
          <t>Benign</t>
        </is>
      </c>
      <c r="D244" t="n">
        <v>0</v>
      </c>
      <c r="E244" t="n">
        <v>79.76000000000001</v>
      </c>
      <c r="F244" t="n">
        <v>0.1075</v>
      </c>
      <c r="G244" t="n">
        <v>11.92</v>
      </c>
      <c r="H244" t="n">
        <v>0.1418</v>
      </c>
      <c r="I244" t="n">
        <v>19.9</v>
      </c>
      <c r="J244" t="n">
        <v>14.96</v>
      </c>
      <c r="K244" t="n">
        <v>0.09080000000000001</v>
      </c>
      <c r="L244" t="n">
        <v>0.2299</v>
      </c>
      <c r="M244" t="n">
        <v>0.02758</v>
      </c>
      <c r="N244" t="n">
        <v>11.06</v>
      </c>
      <c r="O244" t="n">
        <v>440</v>
      </c>
    </row>
    <row r="245">
      <c r="A245" t="n">
        <v>344</v>
      </c>
      <c r="B245" t="inlineStr">
        <is>
          <t>Train</t>
        </is>
      </c>
      <c r="C245" t="inlineStr">
        <is>
          <t>Malignant</t>
        </is>
      </c>
      <c r="D245" t="n">
        <v>1</v>
      </c>
      <c r="E245" t="n">
        <v>157.6</v>
      </c>
      <c r="F245" t="n">
        <v>0.2255</v>
      </c>
      <c r="G245" t="n">
        <v>22.75</v>
      </c>
      <c r="H245" t="n">
        <v>0.1218</v>
      </c>
      <c r="I245" t="n">
        <v>34.66</v>
      </c>
      <c r="J245" t="n">
        <v>21.68</v>
      </c>
      <c r="K245" t="n">
        <v>0.07918</v>
      </c>
      <c r="L245" t="n">
        <v>0.4734</v>
      </c>
      <c r="M245" t="n">
        <v>0.04345</v>
      </c>
      <c r="N245" t="n">
        <v>19.68</v>
      </c>
      <c r="O245" t="n">
        <v>1540</v>
      </c>
    </row>
    <row r="246">
      <c r="A246" t="n">
        <v>345</v>
      </c>
      <c r="B246" t="inlineStr">
        <is>
          <t>Train</t>
        </is>
      </c>
      <c r="C246" t="inlineStr">
        <is>
          <t>Benign</t>
        </is>
      </c>
      <c r="D246" t="n">
        <v>0</v>
      </c>
      <c r="E246" t="n">
        <v>84.16</v>
      </c>
      <c r="F246" t="n">
        <v>0.07864</v>
      </c>
      <c r="G246" t="n">
        <v>13.06</v>
      </c>
      <c r="H246" t="n">
        <v>0.146</v>
      </c>
      <c r="I246" t="n">
        <v>18.16</v>
      </c>
      <c r="J246" t="n">
        <v>15.45</v>
      </c>
      <c r="K246" t="n">
        <v>0.07806</v>
      </c>
      <c r="L246" t="n">
        <v>0.1087</v>
      </c>
      <c r="M246" t="n">
        <v>0.01651</v>
      </c>
      <c r="N246" t="n">
        <v>11.71</v>
      </c>
      <c r="O246" t="n">
        <v>516.4</v>
      </c>
    </row>
    <row r="247">
      <c r="A247" t="n">
        <v>348</v>
      </c>
      <c r="B247" t="inlineStr">
        <is>
          <t>Train</t>
        </is>
      </c>
      <c r="C247" t="inlineStr">
        <is>
          <t>Benign</t>
        </is>
      </c>
      <c r="D247" t="n">
        <v>0</v>
      </c>
      <c r="E247" t="n">
        <v>114.2</v>
      </c>
      <c r="F247" t="n">
        <v>0.1251</v>
      </c>
      <c r="G247" t="n">
        <v>17.27</v>
      </c>
      <c r="H247" t="n">
        <v>0.122</v>
      </c>
      <c r="I247" t="n">
        <v>17.93</v>
      </c>
      <c r="J247" t="n">
        <v>14.74</v>
      </c>
      <c r="K247" t="n">
        <v>0.08187</v>
      </c>
      <c r="L247" t="n">
        <v>0.2151</v>
      </c>
      <c r="M247" t="n">
        <v>0.01855</v>
      </c>
      <c r="N247" t="n">
        <v>14.76</v>
      </c>
      <c r="O247" t="n">
        <v>880.8</v>
      </c>
    </row>
    <row r="248">
      <c r="A248" t="n">
        <v>349</v>
      </c>
      <c r="B248" t="inlineStr">
        <is>
          <t>Train</t>
        </is>
      </c>
      <c r="C248" t="inlineStr">
        <is>
          <t>Benign</t>
        </is>
      </c>
      <c r="D248" t="n">
        <v>0</v>
      </c>
      <c r="E248" t="n">
        <v>79.67</v>
      </c>
      <c r="F248" t="n">
        <v>0.06548</v>
      </c>
      <c r="G248" t="n">
        <v>12.51</v>
      </c>
      <c r="H248" t="n">
        <v>0.1531</v>
      </c>
      <c r="I248" t="n">
        <v>20.79</v>
      </c>
      <c r="J248" t="n">
        <v>16.03</v>
      </c>
      <c r="K248" t="n">
        <v>0.08763</v>
      </c>
      <c r="L248" t="n">
        <v>0.09823</v>
      </c>
      <c r="M248" t="n">
        <v>0.0094</v>
      </c>
      <c r="N248" t="n">
        <v>11.47</v>
      </c>
      <c r="O248" t="n">
        <v>475.8</v>
      </c>
    </row>
    <row r="249">
      <c r="A249" t="n">
        <v>352</v>
      </c>
      <c r="B249" t="inlineStr">
        <is>
          <t>Train</t>
        </is>
      </c>
      <c r="C249" t="inlineStr">
        <is>
          <t>Malignant</t>
        </is>
      </c>
      <c r="D249" t="n">
        <v>1</v>
      </c>
      <c r="E249" t="n">
        <v>119.4</v>
      </c>
      <c r="F249" t="n">
        <v>0.2135</v>
      </c>
      <c r="G249" t="n">
        <v>17.36</v>
      </c>
      <c r="H249" t="n">
        <v>0.155</v>
      </c>
      <c r="I249" t="n">
        <v>24.17</v>
      </c>
      <c r="J249" t="n">
        <v>19.22</v>
      </c>
      <c r="K249" t="n">
        <v>0.105</v>
      </c>
      <c r="L249" t="n">
        <v>0.6872</v>
      </c>
      <c r="M249" t="n">
        <v>0.09952999999999999</v>
      </c>
      <c r="N249" t="n">
        <v>15.75</v>
      </c>
      <c r="O249" t="n">
        <v>915.3</v>
      </c>
    </row>
    <row r="250">
      <c r="A250" t="n">
        <v>353</v>
      </c>
      <c r="B250" t="inlineStr">
        <is>
          <t>Train</t>
        </is>
      </c>
      <c r="C250" t="inlineStr">
        <is>
          <t>Malignant</t>
        </is>
      </c>
      <c r="D250" t="n">
        <v>1</v>
      </c>
      <c r="E250" t="n">
        <v>229.3</v>
      </c>
      <c r="F250" t="n">
        <v>0.2756</v>
      </c>
      <c r="G250" t="n">
        <v>33.13</v>
      </c>
      <c r="H250" t="n">
        <v>0.153</v>
      </c>
      <c r="I250" t="n">
        <v>23.58</v>
      </c>
      <c r="J250" t="n">
        <v>17.46</v>
      </c>
      <c r="K250" t="n">
        <v>0.08815000000000001</v>
      </c>
      <c r="L250" t="n">
        <v>0.6451</v>
      </c>
      <c r="M250" t="n">
        <v>0.04266</v>
      </c>
      <c r="N250" t="n">
        <v>25.73</v>
      </c>
      <c r="O250" t="n">
        <v>3234</v>
      </c>
    </row>
    <row r="251">
      <c r="A251" t="n">
        <v>354</v>
      </c>
      <c r="B251" t="inlineStr">
        <is>
          <t>Train</t>
        </is>
      </c>
      <c r="C251" t="inlineStr">
        <is>
          <t>Malignant</t>
        </is>
      </c>
      <c r="D251" t="n">
        <v>1</v>
      </c>
      <c r="E251" t="n">
        <v>121.2</v>
      </c>
      <c r="F251" t="n">
        <v>0.1526</v>
      </c>
      <c r="G251" t="n">
        <v>18.51</v>
      </c>
      <c r="H251" t="n">
        <v>0.166</v>
      </c>
      <c r="I251" t="n">
        <v>33.22</v>
      </c>
      <c r="J251" t="n">
        <v>25.74</v>
      </c>
      <c r="K251" t="n">
        <v>0.09438000000000001</v>
      </c>
      <c r="L251" t="n">
        <v>0.4029</v>
      </c>
      <c r="M251" t="n">
        <v>0.04912</v>
      </c>
      <c r="N251" t="n">
        <v>15.08</v>
      </c>
      <c r="O251" t="n">
        <v>1050</v>
      </c>
    </row>
    <row r="252">
      <c r="A252" t="n">
        <v>356</v>
      </c>
      <c r="B252" t="inlineStr">
        <is>
          <t>Train</t>
        </is>
      </c>
      <c r="C252" t="inlineStr">
        <is>
          <t>Benign</t>
        </is>
      </c>
      <c r="D252" t="n">
        <v>0</v>
      </c>
      <c r="E252" t="n">
        <v>89.02</v>
      </c>
      <c r="F252" t="n">
        <v>0.09265</v>
      </c>
      <c r="G252" t="n">
        <v>13.37</v>
      </c>
      <c r="H252" t="n">
        <v>0.1096</v>
      </c>
      <c r="I252" t="n">
        <v>22.43</v>
      </c>
      <c r="J252" t="n">
        <v>19.07</v>
      </c>
      <c r="K252" t="n">
        <v>0.07188</v>
      </c>
      <c r="L252" t="n">
        <v>0.2388</v>
      </c>
      <c r="M252" t="n">
        <v>0.06271</v>
      </c>
      <c r="N252" t="n">
        <v>12.56</v>
      </c>
      <c r="O252" t="n">
        <v>547.4</v>
      </c>
    </row>
    <row r="253">
      <c r="A253" t="n">
        <v>357</v>
      </c>
      <c r="B253" t="inlineStr">
        <is>
          <t>Train</t>
        </is>
      </c>
      <c r="C253" t="inlineStr">
        <is>
          <t>Benign</t>
        </is>
      </c>
      <c r="D253" t="n">
        <v>0</v>
      </c>
      <c r="E253" t="n">
        <v>94.22</v>
      </c>
      <c r="F253" t="n">
        <v>0.1258</v>
      </c>
      <c r="G253" t="n">
        <v>14.19</v>
      </c>
      <c r="H253" t="n">
        <v>0.1343</v>
      </c>
      <c r="I253" t="n">
        <v>24.85</v>
      </c>
      <c r="J253" t="n">
        <v>18.59</v>
      </c>
      <c r="K253" t="n">
        <v>0.08316999999999999</v>
      </c>
      <c r="L253" t="n">
        <v>0.2573</v>
      </c>
      <c r="M253" t="n">
        <v>0.05112</v>
      </c>
      <c r="N253" t="n">
        <v>13.05</v>
      </c>
      <c r="O253" t="n">
        <v>591.2</v>
      </c>
    </row>
    <row r="254">
      <c r="A254" t="n">
        <v>358</v>
      </c>
      <c r="B254" t="inlineStr">
        <is>
          <t>Train</t>
        </is>
      </c>
      <c r="C254" t="inlineStr">
        <is>
          <t>Benign</t>
        </is>
      </c>
      <c r="D254" t="n">
        <v>0</v>
      </c>
      <c r="E254" t="n">
        <v>96.73999999999999</v>
      </c>
      <c r="F254" t="n">
        <v>0.05556</v>
      </c>
      <c r="G254" t="n">
        <v>15.11</v>
      </c>
      <c r="H254" t="n">
        <v>0.1153</v>
      </c>
      <c r="I254" t="n">
        <v>25.58</v>
      </c>
      <c r="J254" t="n">
        <v>16.21</v>
      </c>
      <c r="K254" t="n">
        <v>0.07113</v>
      </c>
      <c r="L254" t="n">
        <v>0.05285</v>
      </c>
      <c r="M254" t="n">
        <v>0.005254</v>
      </c>
      <c r="N254" t="n">
        <v>13.87</v>
      </c>
      <c r="O254" t="n">
        <v>694.4</v>
      </c>
    </row>
    <row r="255">
      <c r="A255" t="n">
        <v>359</v>
      </c>
      <c r="B255" t="inlineStr">
        <is>
          <t>Train</t>
        </is>
      </c>
      <c r="C255" t="inlineStr">
        <is>
          <t>Benign</t>
        </is>
      </c>
      <c r="D255" t="n">
        <v>0</v>
      </c>
      <c r="E255" t="n">
        <v>65.27</v>
      </c>
      <c r="F255" t="n">
        <v>0.04762</v>
      </c>
      <c r="G255" t="n">
        <v>9.981</v>
      </c>
      <c r="H255" t="n">
        <v>0.1015</v>
      </c>
      <c r="I255" t="n">
        <v>17.7</v>
      </c>
      <c r="J255" t="n">
        <v>15.49</v>
      </c>
      <c r="K255" t="n">
        <v>0.07431</v>
      </c>
      <c r="L255" t="n">
        <v>0.09440999999999999</v>
      </c>
      <c r="M255" t="n">
        <v>0.03214</v>
      </c>
      <c r="N255" t="n">
        <v>8.878</v>
      </c>
      <c r="O255" t="n">
        <v>302</v>
      </c>
    </row>
    <row r="256">
      <c r="A256" t="n">
        <v>360</v>
      </c>
      <c r="B256" t="inlineStr">
        <is>
          <t>Train</t>
        </is>
      </c>
      <c r="C256" t="inlineStr">
        <is>
          <t>Benign</t>
        </is>
      </c>
      <c r="D256" t="n">
        <v>0</v>
      </c>
      <c r="E256" t="n">
        <v>75.79000000000001</v>
      </c>
      <c r="F256" t="n">
        <v>0.05052</v>
      </c>
      <c r="G256" t="n">
        <v>12.02</v>
      </c>
      <c r="H256" t="n">
        <v>0.1333</v>
      </c>
      <c r="I256" t="n">
        <v>25.02</v>
      </c>
      <c r="J256" t="n">
        <v>18.32</v>
      </c>
      <c r="K256" t="n">
        <v>0.08136</v>
      </c>
      <c r="L256" t="n">
        <v>0.1144</v>
      </c>
      <c r="M256" t="n">
        <v>0.02348</v>
      </c>
      <c r="N256" t="n">
        <v>9.436</v>
      </c>
      <c r="O256" t="n">
        <v>439.6</v>
      </c>
    </row>
    <row r="257">
      <c r="A257" t="n">
        <v>364</v>
      </c>
      <c r="B257" t="inlineStr">
        <is>
          <t>Train</t>
        </is>
      </c>
      <c r="C257" t="inlineStr">
        <is>
          <t>Benign</t>
        </is>
      </c>
      <c r="D257" t="n">
        <v>0</v>
      </c>
      <c r="E257" t="n">
        <v>117.2</v>
      </c>
      <c r="F257" t="n">
        <v>0.09123000000000001</v>
      </c>
      <c r="G257" t="n">
        <v>18.13</v>
      </c>
      <c r="H257" t="n">
        <v>0.1338</v>
      </c>
      <c r="I257" t="n">
        <v>25.45</v>
      </c>
      <c r="J257" t="n">
        <v>18.29</v>
      </c>
      <c r="K257" t="n">
        <v>0.06469</v>
      </c>
      <c r="L257" t="n">
        <v>0.1663</v>
      </c>
      <c r="M257" t="n">
        <v>0.01832</v>
      </c>
      <c r="N257" t="n">
        <v>16.5</v>
      </c>
      <c r="O257" t="n">
        <v>1009</v>
      </c>
    </row>
    <row r="258">
      <c r="A258" t="n">
        <v>365</v>
      </c>
      <c r="B258" t="inlineStr">
        <is>
          <t>Train</t>
        </is>
      </c>
      <c r="C258" t="inlineStr">
        <is>
          <t>Benign</t>
        </is>
      </c>
      <c r="D258" t="n">
        <v>0</v>
      </c>
      <c r="E258" t="n">
        <v>93.76000000000001</v>
      </c>
      <c r="F258" t="n">
        <v>0.06987</v>
      </c>
      <c r="G258" t="n">
        <v>14.73</v>
      </c>
      <c r="H258" t="n">
        <v>0.1213</v>
      </c>
      <c r="I258" t="n">
        <v>21.7</v>
      </c>
      <c r="J258" t="n">
        <v>16.95</v>
      </c>
      <c r="K258" t="n">
        <v>0.07582</v>
      </c>
      <c r="L258" t="n">
        <v>0.1364</v>
      </c>
      <c r="M258" t="n">
        <v>0.01451</v>
      </c>
      <c r="N258" t="n">
        <v>13.4</v>
      </c>
      <c r="O258" t="n">
        <v>663.5</v>
      </c>
    </row>
    <row r="259">
      <c r="A259" t="n">
        <v>367</v>
      </c>
      <c r="B259" t="inlineStr">
        <is>
          <t>Train</t>
        </is>
      </c>
      <c r="C259" t="inlineStr">
        <is>
          <t>Malignant</t>
        </is>
      </c>
      <c r="D259" t="n">
        <v>1</v>
      </c>
      <c r="E259" t="n">
        <v>160</v>
      </c>
      <c r="F259" t="n">
        <v>0.2152</v>
      </c>
      <c r="G259" t="n">
        <v>24.19</v>
      </c>
      <c r="H259" t="n">
        <v>0.1278</v>
      </c>
      <c r="I259" t="n">
        <v>33.81</v>
      </c>
      <c r="J259" t="n">
        <v>26.83</v>
      </c>
      <c r="K259" t="n">
        <v>0.07632</v>
      </c>
      <c r="L259" t="n">
        <v>0.3703</v>
      </c>
      <c r="M259" t="n">
        <v>0.05904</v>
      </c>
      <c r="N259" t="n">
        <v>20.2</v>
      </c>
      <c r="O259" t="n">
        <v>1671</v>
      </c>
    </row>
    <row r="260">
      <c r="A260" t="n">
        <v>369</v>
      </c>
      <c r="B260" t="inlineStr">
        <is>
          <t>Train</t>
        </is>
      </c>
      <c r="C260" t="inlineStr">
        <is>
          <t>Malignant</t>
        </is>
      </c>
      <c r="D260" t="n">
        <v>1</v>
      </c>
      <c r="E260" t="n">
        <v>199.5</v>
      </c>
      <c r="F260" t="n">
        <v>0.182</v>
      </c>
      <c r="G260" t="n">
        <v>30.75</v>
      </c>
      <c r="H260" t="n">
        <v>0.1363</v>
      </c>
      <c r="I260" t="n">
        <v>26.44</v>
      </c>
      <c r="J260" t="n">
        <v>17.25</v>
      </c>
      <c r="K260" t="n">
        <v>0.06494</v>
      </c>
      <c r="L260" t="n">
        <v>0.2861</v>
      </c>
      <c r="M260" t="n">
        <v>0.02096</v>
      </c>
      <c r="N260" t="n">
        <v>21.71</v>
      </c>
      <c r="O260" t="n">
        <v>3143</v>
      </c>
    </row>
    <row r="261">
      <c r="A261" t="n">
        <v>371</v>
      </c>
      <c r="B261" t="inlineStr">
        <is>
          <t>Train</t>
        </is>
      </c>
      <c r="C261" t="inlineStr">
        <is>
          <t>Malignant</t>
        </is>
      </c>
      <c r="D261" t="n">
        <v>1</v>
      </c>
      <c r="E261" t="n">
        <v>129.3</v>
      </c>
      <c r="F261" t="n">
        <v>0.2248</v>
      </c>
      <c r="G261" t="n">
        <v>19.38</v>
      </c>
      <c r="H261" t="n">
        <v>0.1415</v>
      </c>
      <c r="I261" t="n">
        <v>31.03</v>
      </c>
      <c r="J261" t="n">
        <v>23.29</v>
      </c>
      <c r="K261" t="n">
        <v>0.09614</v>
      </c>
      <c r="L261" t="n">
        <v>0.7087</v>
      </c>
      <c r="M261" t="n">
        <v>0.06072</v>
      </c>
      <c r="N261" t="n">
        <v>16.35</v>
      </c>
      <c r="O261" t="n">
        <v>1165</v>
      </c>
    </row>
    <row r="262">
      <c r="A262" t="n">
        <v>373</v>
      </c>
      <c r="B262" t="inlineStr">
        <is>
          <t>Train</t>
        </is>
      </c>
      <c r="C262" t="inlineStr">
        <is>
          <t>Malignant</t>
        </is>
      </c>
      <c r="D262" t="n">
        <v>1</v>
      </c>
      <c r="E262" t="n">
        <v>152.1</v>
      </c>
      <c r="F262" t="n">
        <v>0.1966</v>
      </c>
      <c r="G262" t="n">
        <v>22.69</v>
      </c>
      <c r="H262" t="n">
        <v>0.1192</v>
      </c>
      <c r="I262" t="n">
        <v>21.84</v>
      </c>
      <c r="J262" t="n">
        <v>15.1</v>
      </c>
      <c r="K262" t="n">
        <v>0.08666</v>
      </c>
      <c r="L262" t="n">
        <v>0.4024</v>
      </c>
      <c r="M262" t="n">
        <v>0.03437</v>
      </c>
      <c r="N262" t="n">
        <v>21.37</v>
      </c>
      <c r="O262" t="n">
        <v>1535</v>
      </c>
    </row>
    <row r="263">
      <c r="A263" t="n">
        <v>375</v>
      </c>
      <c r="B263" t="inlineStr">
        <is>
          <t>Train</t>
        </is>
      </c>
      <c r="C263" t="inlineStr">
        <is>
          <t>Benign</t>
        </is>
      </c>
      <c r="D263" t="n">
        <v>0</v>
      </c>
      <c r="E263" t="n">
        <v>99.16</v>
      </c>
      <c r="F263" t="n">
        <v>0.06987</v>
      </c>
      <c r="G263" t="n">
        <v>14.84</v>
      </c>
      <c r="H263" t="n">
        <v>0.1105</v>
      </c>
      <c r="I263" t="n">
        <v>20.21</v>
      </c>
      <c r="J263" t="n">
        <v>16.07</v>
      </c>
      <c r="K263" t="n">
        <v>0.07701</v>
      </c>
      <c r="L263" t="n">
        <v>0.1346</v>
      </c>
      <c r="M263" t="n">
        <v>0.01169</v>
      </c>
      <c r="N263" t="n">
        <v>13.69</v>
      </c>
      <c r="O263" t="n">
        <v>670.6</v>
      </c>
    </row>
    <row r="264">
      <c r="A264" t="n">
        <v>376</v>
      </c>
      <c r="B264" t="inlineStr">
        <is>
          <t>Train</t>
        </is>
      </c>
      <c r="C264" t="inlineStr">
        <is>
          <t>Benign</t>
        </is>
      </c>
      <c r="D264" t="n">
        <v>0</v>
      </c>
      <c r="E264" t="n">
        <v>113.1</v>
      </c>
      <c r="F264" t="n">
        <v>0.1251</v>
      </c>
      <c r="G264" t="n">
        <v>16.97</v>
      </c>
      <c r="H264" t="n">
        <v>0.1235</v>
      </c>
      <c r="I264" t="n">
        <v>19.14</v>
      </c>
      <c r="J264" t="n">
        <v>16.07</v>
      </c>
      <c r="K264" t="n">
        <v>0.0896</v>
      </c>
      <c r="L264" t="n">
        <v>0.2114</v>
      </c>
      <c r="M264" t="n">
        <v>0.01951</v>
      </c>
      <c r="N264" t="n">
        <v>16.17</v>
      </c>
      <c r="O264" t="n">
        <v>861.5</v>
      </c>
    </row>
    <row r="265">
      <c r="A265" t="n">
        <v>377</v>
      </c>
      <c r="B265" t="inlineStr">
        <is>
          <t>Train</t>
        </is>
      </c>
      <c r="C265" t="inlineStr">
        <is>
          <t>Benign</t>
        </is>
      </c>
      <c r="D265" t="n">
        <v>0</v>
      </c>
      <c r="E265" t="n">
        <v>76.51000000000001</v>
      </c>
      <c r="F265" t="n">
        <v>0.1465</v>
      </c>
      <c r="G265" t="n">
        <v>10.85</v>
      </c>
      <c r="H265" t="n">
        <v>0.1143</v>
      </c>
      <c r="I265" t="n">
        <v>22.82</v>
      </c>
      <c r="J265" t="n">
        <v>20.22</v>
      </c>
      <c r="K265" t="n">
        <v>0.12</v>
      </c>
      <c r="L265" t="n">
        <v>0.603</v>
      </c>
      <c r="M265" t="n">
        <v>0.1535</v>
      </c>
      <c r="N265" t="n">
        <v>10.57</v>
      </c>
      <c r="O265" t="n">
        <v>351.9</v>
      </c>
    </row>
    <row r="266">
      <c r="A266" t="n">
        <v>380</v>
      </c>
      <c r="B266" t="inlineStr">
        <is>
          <t>Train</t>
        </is>
      </c>
      <c r="C266" t="inlineStr">
        <is>
          <t>Malignant</t>
        </is>
      </c>
      <c r="D266" t="n">
        <v>1</v>
      </c>
      <c r="E266" t="n">
        <v>91.76000000000001</v>
      </c>
      <c r="F266" t="n">
        <v>0.2524</v>
      </c>
      <c r="G266" t="n">
        <v>13.24</v>
      </c>
      <c r="H266" t="n">
        <v>0.2184</v>
      </c>
      <c r="I266" t="n">
        <v>32.82</v>
      </c>
      <c r="J266" t="n">
        <v>18.83</v>
      </c>
      <c r="K266" t="n">
        <v>0.1403</v>
      </c>
      <c r="L266" t="n">
        <v>0.8401999999999999</v>
      </c>
      <c r="M266" t="n">
        <v>0.04588</v>
      </c>
      <c r="N266" t="n">
        <v>11.08</v>
      </c>
      <c r="O266" t="n">
        <v>508.1</v>
      </c>
    </row>
    <row r="267">
      <c r="A267" t="n">
        <v>381</v>
      </c>
      <c r="B267" t="inlineStr">
        <is>
          <t>Train</t>
        </is>
      </c>
      <c r="C267" t="inlineStr">
        <is>
          <t>Benign</t>
        </is>
      </c>
      <c r="D267" t="n">
        <v>0</v>
      </c>
      <c r="E267" t="n">
        <v>84.93000000000001</v>
      </c>
      <c r="F267" t="n">
        <v>0.1318</v>
      </c>
      <c r="G267" t="n">
        <v>12.84</v>
      </c>
      <c r="H267" t="n">
        <v>0.161</v>
      </c>
      <c r="I267" t="n">
        <v>20.53</v>
      </c>
      <c r="J267" t="n">
        <v>12.96</v>
      </c>
      <c r="K267" t="n">
        <v>0.09215</v>
      </c>
      <c r="L267" t="n">
        <v>0.2247</v>
      </c>
      <c r="M267" t="n">
        <v>0.02101</v>
      </c>
      <c r="N267" t="n">
        <v>11.27</v>
      </c>
      <c r="O267" t="n">
        <v>476.1</v>
      </c>
    </row>
    <row r="268">
      <c r="A268" t="n">
        <v>382</v>
      </c>
      <c r="B268" t="inlineStr">
        <is>
          <t>Train</t>
        </is>
      </c>
      <c r="C268" t="inlineStr">
        <is>
          <t>Benign</t>
        </is>
      </c>
      <c r="D268" t="n">
        <v>0</v>
      </c>
      <c r="E268" t="n">
        <v>79.73</v>
      </c>
      <c r="F268" t="n">
        <v>0.06754</v>
      </c>
      <c r="G268" t="n">
        <v>12.09</v>
      </c>
      <c r="H268" t="n">
        <v>0.1095</v>
      </c>
      <c r="I268" t="n">
        <v>20.83</v>
      </c>
      <c r="J268" t="n">
        <v>14.93</v>
      </c>
      <c r="K268" t="n">
        <v>0.07287</v>
      </c>
      <c r="L268" t="n">
        <v>0.1553</v>
      </c>
      <c r="M268" t="n">
        <v>0.01723</v>
      </c>
      <c r="N268" t="n">
        <v>11.04</v>
      </c>
      <c r="O268" t="n">
        <v>447.1</v>
      </c>
    </row>
    <row r="269">
      <c r="A269" t="n">
        <v>385</v>
      </c>
      <c r="B269" t="inlineStr">
        <is>
          <t>Train</t>
        </is>
      </c>
      <c r="C269" t="inlineStr">
        <is>
          <t>Benign</t>
        </is>
      </c>
      <c r="D269" t="n">
        <v>0</v>
      </c>
      <c r="E269" t="n">
        <v>96.59</v>
      </c>
      <c r="F269" t="n">
        <v>0.09173000000000001</v>
      </c>
      <c r="G269" t="n">
        <v>14.24</v>
      </c>
      <c r="H269" t="n">
        <v>0.1166</v>
      </c>
      <c r="I269" t="n">
        <v>17.37</v>
      </c>
      <c r="J269" t="n">
        <v>13.72</v>
      </c>
      <c r="K269" t="n">
        <v>0.0732</v>
      </c>
      <c r="L269" t="n">
        <v>0.2866</v>
      </c>
      <c r="M269" t="n">
        <v>0.02828</v>
      </c>
      <c r="N269" t="n">
        <v>13.28</v>
      </c>
      <c r="O269" t="n">
        <v>623.7</v>
      </c>
    </row>
    <row r="270">
      <c r="A270" t="n">
        <v>386</v>
      </c>
      <c r="B270" t="inlineStr">
        <is>
          <t>Train</t>
        </is>
      </c>
      <c r="C270" t="inlineStr">
        <is>
          <t>Malignant</t>
        </is>
      </c>
      <c r="D270" t="n">
        <v>1</v>
      </c>
      <c r="E270" t="n">
        <v>102.2</v>
      </c>
      <c r="F270" t="n">
        <v>0.1359</v>
      </c>
      <c r="G270" t="n">
        <v>15.79</v>
      </c>
      <c r="H270" t="n">
        <v>0.1312</v>
      </c>
      <c r="I270" t="n">
        <v>31.71</v>
      </c>
      <c r="J270" t="n">
        <v>23.29</v>
      </c>
      <c r="K270" t="n">
        <v>0.06836</v>
      </c>
      <c r="L270" t="n">
        <v>0.2675</v>
      </c>
      <c r="M270" t="n">
        <v>0.03389</v>
      </c>
      <c r="N270" t="n">
        <v>14.6</v>
      </c>
      <c r="O270" t="n">
        <v>758.2</v>
      </c>
    </row>
    <row r="271">
      <c r="A271" t="n">
        <v>387</v>
      </c>
      <c r="B271" t="inlineStr">
        <is>
          <t>Train</t>
        </is>
      </c>
      <c r="C271" t="inlineStr">
        <is>
          <t>Benign</t>
        </is>
      </c>
      <c r="D271" t="n">
        <v>0</v>
      </c>
      <c r="E271" t="n">
        <v>87.65000000000001</v>
      </c>
      <c r="F271" t="n">
        <v>0.0914</v>
      </c>
      <c r="G271" t="n">
        <v>13.13</v>
      </c>
      <c r="H271" t="n">
        <v>0.1026</v>
      </c>
      <c r="I271" t="n">
        <v>19.29</v>
      </c>
      <c r="J271" t="n">
        <v>14.09</v>
      </c>
      <c r="K271" t="n">
        <v>0.08824</v>
      </c>
      <c r="L271" t="n">
        <v>0.3076</v>
      </c>
      <c r="M271" t="n">
        <v>0.04344</v>
      </c>
      <c r="N271" t="n">
        <v>12.21</v>
      </c>
      <c r="O271" t="n">
        <v>529.9</v>
      </c>
    </row>
    <row r="272">
      <c r="A272" t="n">
        <v>388</v>
      </c>
      <c r="B272" t="inlineStr">
        <is>
          <t>Train</t>
        </is>
      </c>
      <c r="C272" t="inlineStr">
        <is>
          <t>Benign</t>
        </is>
      </c>
      <c r="D272" t="n">
        <v>0</v>
      </c>
      <c r="E272" t="n">
        <v>99.66</v>
      </c>
      <c r="F272" t="n">
        <v>0.04537</v>
      </c>
      <c r="G272" t="n">
        <v>15.51</v>
      </c>
      <c r="H272" t="n">
        <v>0.08484</v>
      </c>
      <c r="I272" t="n">
        <v>19.97</v>
      </c>
      <c r="J272" t="n">
        <v>16.16</v>
      </c>
      <c r="K272" t="n">
        <v>0.06623</v>
      </c>
      <c r="L272" t="n">
        <v>0.1091</v>
      </c>
      <c r="M272" t="n">
        <v>0.01988</v>
      </c>
      <c r="N272" t="n">
        <v>13.88</v>
      </c>
      <c r="O272" t="n">
        <v>745.3</v>
      </c>
    </row>
    <row r="273">
      <c r="A273" t="n">
        <v>389</v>
      </c>
      <c r="B273" t="inlineStr">
        <is>
          <t>Train</t>
        </is>
      </c>
      <c r="C273" t="inlineStr">
        <is>
          <t>Benign</t>
        </is>
      </c>
      <c r="D273" t="n">
        <v>0</v>
      </c>
      <c r="E273" t="n">
        <v>79.73</v>
      </c>
      <c r="F273" t="n">
        <v>0.08272</v>
      </c>
      <c r="G273" t="n">
        <v>12.04</v>
      </c>
      <c r="H273" t="n">
        <v>0.1102</v>
      </c>
      <c r="I273" t="n">
        <v>18.93</v>
      </c>
      <c r="J273" t="n">
        <v>15.5</v>
      </c>
      <c r="K273" t="n">
        <v>0.1043</v>
      </c>
      <c r="L273" t="n">
        <v>0.3021</v>
      </c>
      <c r="M273" t="n">
        <v>0.09472</v>
      </c>
      <c r="N273" t="n">
        <v>11.27</v>
      </c>
      <c r="O273" t="n">
        <v>450</v>
      </c>
    </row>
    <row r="274">
      <c r="A274" t="n">
        <v>390</v>
      </c>
      <c r="B274" t="inlineStr">
        <is>
          <t>Train</t>
        </is>
      </c>
      <c r="C274" t="inlineStr">
        <is>
          <t>Malignant</t>
        </is>
      </c>
      <c r="D274" t="n">
        <v>1</v>
      </c>
      <c r="E274" t="n">
        <v>142</v>
      </c>
      <c r="F274" t="n">
        <v>0.1825</v>
      </c>
      <c r="G274" t="n">
        <v>20.82</v>
      </c>
      <c r="H274" t="n">
        <v>0.1251</v>
      </c>
      <c r="I274" t="n">
        <v>30.44</v>
      </c>
      <c r="J274" t="n">
        <v>23.21</v>
      </c>
      <c r="K274" t="n">
        <v>0.07602</v>
      </c>
      <c r="L274" t="n">
        <v>0.3829</v>
      </c>
      <c r="M274" t="n">
        <v>0.07469000000000001</v>
      </c>
      <c r="N274" t="n">
        <v>19.55</v>
      </c>
      <c r="O274" t="n">
        <v>1313</v>
      </c>
    </row>
    <row r="275">
      <c r="A275" t="n">
        <v>392</v>
      </c>
      <c r="B275" t="inlineStr">
        <is>
          <t>Train</t>
        </is>
      </c>
      <c r="C275" t="inlineStr">
        <is>
          <t>Benign</t>
        </is>
      </c>
      <c r="D275" t="n">
        <v>0</v>
      </c>
      <c r="E275" t="n">
        <v>64.01000000000001</v>
      </c>
      <c r="F275" t="n">
        <v>0</v>
      </c>
      <c r="G275" t="n">
        <v>10.17</v>
      </c>
      <c r="H275" t="n">
        <v>0.146</v>
      </c>
      <c r="I275" t="n">
        <v>22.8</v>
      </c>
      <c r="J275" t="n">
        <v>16.84</v>
      </c>
      <c r="K275" t="n">
        <v>0.08865000000000001</v>
      </c>
      <c r="L275" t="n">
        <v>0</v>
      </c>
      <c r="M275" t="n">
        <v>0</v>
      </c>
      <c r="N275" t="n">
        <v>8.734</v>
      </c>
      <c r="O275" t="n">
        <v>317</v>
      </c>
    </row>
    <row r="276">
      <c r="A276" t="n">
        <v>393</v>
      </c>
      <c r="B276" t="inlineStr">
        <is>
          <t>Train</t>
        </is>
      </c>
      <c r="C276" t="inlineStr">
        <is>
          <t>Malignant</t>
        </is>
      </c>
      <c r="D276" t="n">
        <v>1</v>
      </c>
      <c r="E276" t="n">
        <v>142.1</v>
      </c>
      <c r="F276" t="n">
        <v>0.2121</v>
      </c>
      <c r="G276" t="n">
        <v>21.2</v>
      </c>
      <c r="H276" t="n">
        <v>0.1681</v>
      </c>
      <c r="I276" t="n">
        <v>29.41</v>
      </c>
      <c r="J276" t="n">
        <v>19.97</v>
      </c>
      <c r="K276" t="n">
        <v>0.1019</v>
      </c>
      <c r="L276" t="n">
        <v>0.5553</v>
      </c>
      <c r="M276" t="n">
        <v>0.04972</v>
      </c>
      <c r="N276" t="n">
        <v>15.49</v>
      </c>
      <c r="O276" t="n">
        <v>1359</v>
      </c>
    </row>
    <row r="277">
      <c r="A277" t="n">
        <v>394</v>
      </c>
      <c r="B277" t="inlineStr">
        <is>
          <t>Train</t>
        </is>
      </c>
      <c r="C277" t="inlineStr">
        <is>
          <t>Malignant</t>
        </is>
      </c>
      <c r="D277" t="n">
        <v>1</v>
      </c>
      <c r="E277" t="n">
        <v>172</v>
      </c>
      <c r="F277" t="n">
        <v>0.2422</v>
      </c>
      <c r="G277" t="n">
        <v>26.23</v>
      </c>
      <c r="H277" t="n">
        <v>0.1502</v>
      </c>
      <c r="I277" t="n">
        <v>28.74</v>
      </c>
      <c r="J277" t="n">
        <v>22.28</v>
      </c>
      <c r="K277" t="n">
        <v>0.1007</v>
      </c>
      <c r="L277" t="n">
        <v>0.7053</v>
      </c>
      <c r="M277" t="n">
        <v>0.04718</v>
      </c>
      <c r="N277" t="n">
        <v>21.61</v>
      </c>
      <c r="O277" t="n">
        <v>2081</v>
      </c>
    </row>
    <row r="278">
      <c r="A278" t="n">
        <v>396</v>
      </c>
      <c r="B278" t="inlineStr">
        <is>
          <t>Train</t>
        </is>
      </c>
      <c r="C278" t="inlineStr">
        <is>
          <t>Benign</t>
        </is>
      </c>
      <c r="D278" t="n">
        <v>0</v>
      </c>
      <c r="E278" t="n">
        <v>96.42</v>
      </c>
      <c r="F278" t="n">
        <v>0.07911</v>
      </c>
      <c r="G278" t="n">
        <v>14.92</v>
      </c>
      <c r="H278" t="n">
        <v>0.1066</v>
      </c>
      <c r="I278" t="n">
        <v>25.34</v>
      </c>
      <c r="J278" t="n">
        <v>17.18</v>
      </c>
      <c r="K278" t="n">
        <v>0.06609</v>
      </c>
      <c r="L278" t="n">
        <v>0.08459999999999999</v>
      </c>
      <c r="M278" t="n">
        <v>0.01132</v>
      </c>
      <c r="N278" t="n">
        <v>14.06</v>
      </c>
      <c r="O278" t="n">
        <v>684.5</v>
      </c>
    </row>
    <row r="279">
      <c r="A279" t="n">
        <v>397</v>
      </c>
      <c r="B279" t="inlineStr">
        <is>
          <t>Train</t>
        </is>
      </c>
      <c r="C279" t="inlineStr">
        <is>
          <t>Benign</t>
        </is>
      </c>
      <c r="D279" t="n">
        <v>0</v>
      </c>
      <c r="E279" t="n">
        <v>97.33</v>
      </c>
      <c r="F279" t="n">
        <v>0.1453</v>
      </c>
      <c r="G279" t="n">
        <v>14.8</v>
      </c>
      <c r="H279" t="n">
        <v>0.1428</v>
      </c>
      <c r="I279" t="n">
        <v>27.2</v>
      </c>
      <c r="J279" t="n">
        <v>18.89</v>
      </c>
      <c r="K279" t="n">
        <v>0.07686</v>
      </c>
      <c r="L279" t="n">
        <v>0.3438</v>
      </c>
      <c r="M279" t="n">
        <v>0.03304</v>
      </c>
      <c r="N279" t="n">
        <v>13.51</v>
      </c>
      <c r="O279" t="n">
        <v>675.2</v>
      </c>
    </row>
    <row r="280">
      <c r="A280" t="n">
        <v>398</v>
      </c>
      <c r="B280" t="inlineStr">
        <is>
          <t>Train</t>
        </is>
      </c>
      <c r="C280" t="inlineStr">
        <is>
          <t>Benign</t>
        </is>
      </c>
      <c r="D280" t="n">
        <v>0</v>
      </c>
      <c r="E280" t="n">
        <v>90.72</v>
      </c>
      <c r="F280" t="n">
        <v>0.08296000000000001</v>
      </c>
      <c r="G280" t="n">
        <v>13.74</v>
      </c>
      <c r="H280" t="n">
        <v>0.09533999999999999</v>
      </c>
      <c r="I280" t="n">
        <v>21.06</v>
      </c>
      <c r="J280" t="n">
        <v>17.46</v>
      </c>
      <c r="K280" t="n">
        <v>0.07053</v>
      </c>
      <c r="L280" t="n">
        <v>0.1901</v>
      </c>
      <c r="M280" t="n">
        <v>0.04545</v>
      </c>
      <c r="N280" t="n">
        <v>12.8</v>
      </c>
      <c r="O280" t="n">
        <v>591</v>
      </c>
    </row>
    <row r="281">
      <c r="A281" t="n">
        <v>399</v>
      </c>
      <c r="B281" t="inlineStr">
        <is>
          <t>Train</t>
        </is>
      </c>
      <c r="C281" t="inlineStr">
        <is>
          <t>Benign</t>
        </is>
      </c>
      <c r="D281" t="n">
        <v>0</v>
      </c>
      <c r="E281" t="n">
        <v>80.79000000000001</v>
      </c>
      <c r="F281" t="n">
        <v>0.05556</v>
      </c>
      <c r="G281" t="n">
        <v>12.68</v>
      </c>
      <c r="H281" t="n">
        <v>0.112</v>
      </c>
      <c r="I281" t="n">
        <v>20.35</v>
      </c>
      <c r="J281" t="n">
        <v>14.83</v>
      </c>
      <c r="K281" t="n">
        <v>0.09157999999999999</v>
      </c>
      <c r="L281" t="n">
        <v>0.2079</v>
      </c>
      <c r="M281" t="n">
        <v>0.0194</v>
      </c>
      <c r="N281" t="n">
        <v>11.06</v>
      </c>
      <c r="O281" t="n">
        <v>496.7</v>
      </c>
    </row>
    <row r="282">
      <c r="A282" t="n">
        <v>400</v>
      </c>
      <c r="B282" t="inlineStr">
        <is>
          <t>Train</t>
        </is>
      </c>
      <c r="C282" t="inlineStr">
        <is>
          <t>Benign</t>
        </is>
      </c>
      <c r="D282" t="n">
        <v>0</v>
      </c>
      <c r="E282" t="n">
        <v>86</v>
      </c>
      <c r="F282" t="n">
        <v>0.05356</v>
      </c>
      <c r="G282" t="n">
        <v>13.45</v>
      </c>
      <c r="H282" t="n">
        <v>0.1244</v>
      </c>
      <c r="I282" t="n">
        <v>24.49</v>
      </c>
      <c r="J282" t="n">
        <v>17.26</v>
      </c>
      <c r="K282" t="n">
        <v>0.08121</v>
      </c>
      <c r="L282" t="n">
        <v>0.1449</v>
      </c>
      <c r="M282" t="n">
        <v>0.02079</v>
      </c>
      <c r="N282" t="n">
        <v>11.8</v>
      </c>
      <c r="O282" t="n">
        <v>562</v>
      </c>
    </row>
    <row r="283">
      <c r="A283" t="n">
        <v>401</v>
      </c>
      <c r="B283" t="inlineStr">
        <is>
          <t>Train</t>
        </is>
      </c>
      <c r="C283" t="inlineStr">
        <is>
          <t>Malignant</t>
        </is>
      </c>
      <c r="D283" t="n">
        <v>1</v>
      </c>
      <c r="E283" t="n">
        <v>149.6</v>
      </c>
      <c r="F283" t="n">
        <v>0.1964</v>
      </c>
      <c r="G283" t="n">
        <v>20.8</v>
      </c>
      <c r="H283" t="n">
        <v>0.1873</v>
      </c>
      <c r="I283" t="n">
        <v>27.78</v>
      </c>
      <c r="J283" t="n">
        <v>21.02</v>
      </c>
      <c r="K283" t="n">
        <v>0.1198</v>
      </c>
      <c r="L283" t="n">
        <v>0.9034</v>
      </c>
      <c r="M283" t="n">
        <v>0.06165</v>
      </c>
      <c r="N283" t="n">
        <v>17.91</v>
      </c>
      <c r="O283" t="n">
        <v>1304</v>
      </c>
    </row>
    <row r="284">
      <c r="A284" t="n">
        <v>402</v>
      </c>
      <c r="B284" t="inlineStr">
        <is>
          <t>Train</t>
        </is>
      </c>
      <c r="C284" t="inlineStr">
        <is>
          <t>Benign</t>
        </is>
      </c>
      <c r="D284" t="n">
        <v>0</v>
      </c>
      <c r="E284" t="n">
        <v>87.64</v>
      </c>
      <c r="F284" t="n">
        <v>0.06876</v>
      </c>
      <c r="G284" t="n">
        <v>13.8</v>
      </c>
      <c r="H284" t="n">
        <v>0.1374</v>
      </c>
      <c r="I284" t="n">
        <v>20.14</v>
      </c>
      <c r="J284" t="n">
        <v>10.91</v>
      </c>
      <c r="K284" t="n">
        <v>0.07262</v>
      </c>
      <c r="L284" t="n">
        <v>0.1514</v>
      </c>
      <c r="M284" t="n">
        <v>0.01376</v>
      </c>
      <c r="N284" t="n">
        <v>11.93</v>
      </c>
      <c r="O284" t="n">
        <v>589.5</v>
      </c>
    </row>
    <row r="285">
      <c r="A285" t="n">
        <v>404</v>
      </c>
      <c r="B285" t="inlineStr">
        <is>
          <t>Train</t>
        </is>
      </c>
      <c r="C285" t="inlineStr">
        <is>
          <t>Benign</t>
        </is>
      </c>
      <c r="D285" t="n">
        <v>0</v>
      </c>
      <c r="E285" t="n">
        <v>89.69</v>
      </c>
      <c r="F285" t="n">
        <v>0.08388</v>
      </c>
      <c r="G285" t="n">
        <v>13.86</v>
      </c>
      <c r="H285" t="n">
        <v>0.1172</v>
      </c>
      <c r="I285" t="n">
        <v>23.02</v>
      </c>
      <c r="J285" t="n">
        <v>16.17</v>
      </c>
      <c r="K285" t="n">
        <v>0.07834000000000001</v>
      </c>
      <c r="L285" t="n">
        <v>0.181</v>
      </c>
      <c r="M285" t="n">
        <v>0.01613</v>
      </c>
      <c r="N285" t="n">
        <v>12.94</v>
      </c>
      <c r="O285" t="n">
        <v>580.9</v>
      </c>
    </row>
    <row r="286">
      <c r="A286" t="n">
        <v>405</v>
      </c>
      <c r="B286" t="inlineStr">
        <is>
          <t>Train</t>
        </is>
      </c>
      <c r="C286" t="inlineStr">
        <is>
          <t>Benign</t>
        </is>
      </c>
      <c r="D286" t="n">
        <v>0</v>
      </c>
      <c r="E286" t="n">
        <v>84.11</v>
      </c>
      <c r="F286" t="n">
        <v>0.04793</v>
      </c>
      <c r="G286" t="n">
        <v>13.18</v>
      </c>
      <c r="H286" t="n">
        <v>0.1048</v>
      </c>
      <c r="I286" t="n">
        <v>16.85</v>
      </c>
      <c r="J286" t="n">
        <v>14.95</v>
      </c>
      <c r="K286" t="n">
        <v>0.05974</v>
      </c>
      <c r="L286" t="n">
        <v>0.04921</v>
      </c>
      <c r="M286" t="n">
        <v>0.01307</v>
      </c>
      <c r="N286" t="n">
        <v>12.34</v>
      </c>
      <c r="O286" t="n">
        <v>533.1</v>
      </c>
    </row>
    <row r="287">
      <c r="A287" t="n">
        <v>407</v>
      </c>
      <c r="B287" t="inlineStr">
        <is>
          <t>Train</t>
        </is>
      </c>
      <c r="C287" t="inlineStr">
        <is>
          <t>Benign</t>
        </is>
      </c>
      <c r="D287" t="n">
        <v>0</v>
      </c>
      <c r="E287" t="n">
        <v>115.9</v>
      </c>
      <c r="F287" t="n">
        <v>0.1129</v>
      </c>
      <c r="G287" t="n">
        <v>17.71</v>
      </c>
      <c r="H287" t="n">
        <v>0.1206</v>
      </c>
      <c r="I287" t="n">
        <v>19.58</v>
      </c>
      <c r="J287" t="n">
        <v>14.86</v>
      </c>
      <c r="K287" t="n">
        <v>0.07012</v>
      </c>
      <c r="L287" t="n">
        <v>0.231</v>
      </c>
      <c r="M287" t="n">
        <v>0.01831</v>
      </c>
      <c r="N287" t="n">
        <v>16.14</v>
      </c>
      <c r="O287" t="n">
        <v>947.9</v>
      </c>
    </row>
    <row r="288">
      <c r="A288" t="n">
        <v>409</v>
      </c>
      <c r="B288" t="inlineStr">
        <is>
          <t>Train</t>
        </is>
      </c>
      <c r="C288" t="inlineStr">
        <is>
          <t>Malignant</t>
        </is>
      </c>
      <c r="D288" t="n">
        <v>1</v>
      </c>
      <c r="E288" t="n">
        <v>138.1</v>
      </c>
      <c r="F288" t="n">
        <v>0.1974</v>
      </c>
      <c r="G288" t="n">
        <v>21.08</v>
      </c>
      <c r="H288" t="n">
        <v>0.1482</v>
      </c>
      <c r="I288" t="n">
        <v>25.41</v>
      </c>
      <c r="J288" t="n">
        <v>20.66</v>
      </c>
      <c r="K288" t="n">
        <v>0.08502999999999999</v>
      </c>
      <c r="L288" t="n">
        <v>0.3301</v>
      </c>
      <c r="M288" t="n">
        <v>0.02509</v>
      </c>
      <c r="N288" t="n">
        <v>17.99</v>
      </c>
      <c r="O288" t="n">
        <v>1349</v>
      </c>
    </row>
    <row r="289">
      <c r="A289" t="n">
        <v>411</v>
      </c>
      <c r="B289" t="inlineStr">
        <is>
          <t>Train</t>
        </is>
      </c>
      <c r="C289" t="inlineStr">
        <is>
          <t>Benign</t>
        </is>
      </c>
      <c r="D289" t="n">
        <v>0</v>
      </c>
      <c r="E289" t="n">
        <v>85.06999999999999</v>
      </c>
      <c r="F289" t="n">
        <v>0.08698</v>
      </c>
      <c r="G289" t="n">
        <v>13.05</v>
      </c>
      <c r="H289" t="n">
        <v>0.1453</v>
      </c>
      <c r="I289" t="n">
        <v>36.32</v>
      </c>
      <c r="J289" t="n">
        <v>17.57</v>
      </c>
      <c r="K289" t="n">
        <v>0.07745</v>
      </c>
      <c r="L289" t="n">
        <v>0.1811</v>
      </c>
      <c r="M289" t="n">
        <v>0.01163</v>
      </c>
      <c r="N289" t="n">
        <v>11.36</v>
      </c>
      <c r="O289" t="n">
        <v>521.3</v>
      </c>
    </row>
    <row r="290">
      <c r="A290" t="n">
        <v>412</v>
      </c>
      <c r="B290" t="inlineStr">
        <is>
          <t>Train</t>
        </is>
      </c>
      <c r="C290" t="inlineStr">
        <is>
          <t>Benign</t>
        </is>
      </c>
      <c r="D290" t="n">
        <v>0</v>
      </c>
      <c r="E290" t="n">
        <v>79.93000000000001</v>
      </c>
      <c r="F290" t="n">
        <v>0.07431</v>
      </c>
      <c r="G290" t="n">
        <v>12.41</v>
      </c>
      <c r="H290" t="n">
        <v>0.1369</v>
      </c>
      <c r="I290" t="n">
        <v>26.44</v>
      </c>
      <c r="J290" t="n">
        <v>16.83</v>
      </c>
      <c r="K290" t="n">
        <v>0.07881000000000001</v>
      </c>
      <c r="L290" t="n">
        <v>0.1067</v>
      </c>
      <c r="M290" t="n">
        <v>0.01056</v>
      </c>
      <c r="N290" t="n">
        <v>11.04</v>
      </c>
      <c r="O290" t="n">
        <v>471.4</v>
      </c>
    </row>
    <row r="291">
      <c r="A291" t="n">
        <v>413</v>
      </c>
      <c r="B291" t="inlineStr">
        <is>
          <t>Train</t>
        </is>
      </c>
      <c r="C291" t="inlineStr">
        <is>
          <t>Benign</t>
        </is>
      </c>
      <c r="D291" t="n">
        <v>0</v>
      </c>
      <c r="E291" t="n">
        <v>66.61</v>
      </c>
      <c r="F291" t="n">
        <v>0.02564</v>
      </c>
      <c r="G291" t="n">
        <v>9.965</v>
      </c>
      <c r="H291" t="n">
        <v>0.1086</v>
      </c>
      <c r="I291" t="n">
        <v>27.99</v>
      </c>
      <c r="J291" t="n">
        <v>21.68</v>
      </c>
      <c r="K291" t="n">
        <v>0.09206</v>
      </c>
      <c r="L291" t="n">
        <v>0.1868</v>
      </c>
      <c r="M291" t="n">
        <v>0.03735</v>
      </c>
      <c r="N291" t="n">
        <v>9.397</v>
      </c>
      <c r="O291" t="n">
        <v>301</v>
      </c>
    </row>
    <row r="292">
      <c r="A292" t="n">
        <v>414</v>
      </c>
      <c r="B292" t="inlineStr">
        <is>
          <t>Train</t>
        </is>
      </c>
      <c r="C292" t="inlineStr">
        <is>
          <t>Benign</t>
        </is>
      </c>
      <c r="D292" t="n">
        <v>0</v>
      </c>
      <c r="E292" t="n">
        <v>110.2</v>
      </c>
      <c r="F292" t="n">
        <v>0.1308</v>
      </c>
      <c r="G292" t="n">
        <v>16.76</v>
      </c>
      <c r="H292" t="n">
        <v>0.1077</v>
      </c>
      <c r="I292" t="n">
        <v>31.55</v>
      </c>
      <c r="J292" t="n">
        <v>22.11</v>
      </c>
      <c r="K292" t="n">
        <v>0.09251</v>
      </c>
      <c r="L292" t="n">
        <v>0.3114</v>
      </c>
      <c r="M292" t="n">
        <v>0.03312</v>
      </c>
      <c r="N292" t="n">
        <v>14.99</v>
      </c>
      <c r="O292" t="n">
        <v>867.1</v>
      </c>
    </row>
    <row r="293">
      <c r="A293" t="n">
        <v>415</v>
      </c>
      <c r="B293" t="inlineStr">
        <is>
          <t>Train</t>
        </is>
      </c>
      <c r="C293" t="inlineStr">
        <is>
          <t>Malignant</t>
        </is>
      </c>
      <c r="D293" t="n">
        <v>1</v>
      </c>
      <c r="E293" t="n">
        <v>110.1</v>
      </c>
      <c r="F293" t="n">
        <v>0.06575</v>
      </c>
      <c r="G293" t="n">
        <v>17.26</v>
      </c>
      <c r="H293" t="n">
        <v>0.1148</v>
      </c>
      <c r="I293" t="n">
        <v>36.91</v>
      </c>
      <c r="J293" t="n">
        <v>29.81</v>
      </c>
      <c r="K293" t="n">
        <v>0.06165</v>
      </c>
      <c r="L293" t="n">
        <v>0.1547</v>
      </c>
      <c r="M293" t="n">
        <v>0.02489</v>
      </c>
      <c r="N293" t="n">
        <v>15.13</v>
      </c>
      <c r="O293" t="n">
        <v>931.4</v>
      </c>
    </row>
    <row r="294">
      <c r="A294" t="n">
        <v>417</v>
      </c>
      <c r="B294" t="inlineStr">
        <is>
          <t>Train</t>
        </is>
      </c>
      <c r="C294" t="inlineStr">
        <is>
          <t>Benign</t>
        </is>
      </c>
      <c r="D294" t="n">
        <v>0</v>
      </c>
      <c r="E294" t="n">
        <v>68.73</v>
      </c>
      <c r="F294" t="n">
        <v>0.0377</v>
      </c>
      <c r="G294" t="n">
        <v>10.85</v>
      </c>
      <c r="H294" t="n">
        <v>0.1526</v>
      </c>
      <c r="I294" t="n">
        <v>31.24</v>
      </c>
      <c r="J294" t="n">
        <v>21.7</v>
      </c>
      <c r="K294" t="n">
        <v>0.08304</v>
      </c>
      <c r="L294" t="n">
        <v>0.06141</v>
      </c>
      <c r="M294" t="n">
        <v>0.01367</v>
      </c>
      <c r="N294" t="n">
        <v>9.404999999999999</v>
      </c>
      <c r="O294" t="n">
        <v>359.4</v>
      </c>
    </row>
    <row r="295">
      <c r="A295" t="n">
        <v>418</v>
      </c>
      <c r="B295" t="inlineStr">
        <is>
          <t>Train</t>
        </is>
      </c>
      <c r="C295" t="inlineStr">
        <is>
          <t>Malignant</t>
        </is>
      </c>
      <c r="D295" t="n">
        <v>1</v>
      </c>
      <c r="E295" t="n">
        <v>157.1</v>
      </c>
      <c r="F295" t="n">
        <v>0.2134</v>
      </c>
      <c r="G295" t="n">
        <v>23.17</v>
      </c>
      <c r="H295" t="n">
        <v>0.1517</v>
      </c>
      <c r="I295" t="n">
        <v>27.65</v>
      </c>
      <c r="J295" t="n">
        <v>21.08</v>
      </c>
      <c r="K295" t="n">
        <v>0.1048</v>
      </c>
      <c r="L295" t="n">
        <v>0.4211</v>
      </c>
      <c r="M295" t="n">
        <v>0.04493</v>
      </c>
      <c r="N295" t="n">
        <v>15.5</v>
      </c>
      <c r="O295" t="n">
        <v>1748</v>
      </c>
    </row>
    <row r="296">
      <c r="A296" t="n">
        <v>420</v>
      </c>
      <c r="B296" t="inlineStr">
        <is>
          <t>Train</t>
        </is>
      </c>
      <c r="C296" t="inlineStr">
        <is>
          <t>Benign</t>
        </is>
      </c>
      <c r="D296" t="n">
        <v>0</v>
      </c>
      <c r="E296" t="n">
        <v>79.26000000000001</v>
      </c>
      <c r="F296" t="n">
        <v>0.04306</v>
      </c>
      <c r="G296" t="n">
        <v>12.36</v>
      </c>
      <c r="H296" t="n">
        <v>0.1282</v>
      </c>
      <c r="I296" t="n">
        <v>28.92</v>
      </c>
      <c r="J296" t="n">
        <v>21.41</v>
      </c>
      <c r="K296" t="n">
        <v>0.07123</v>
      </c>
      <c r="L296" t="n">
        <v>0.03582</v>
      </c>
      <c r="M296" t="n">
        <v>0.006972</v>
      </c>
      <c r="N296" t="n">
        <v>11.16</v>
      </c>
      <c r="O296" t="n">
        <v>458</v>
      </c>
    </row>
    <row r="297">
      <c r="A297" t="n">
        <v>421</v>
      </c>
      <c r="B297" t="inlineStr">
        <is>
          <t>Train</t>
        </is>
      </c>
      <c r="C297" t="inlineStr">
        <is>
          <t>Benign</t>
        </is>
      </c>
      <c r="D297" t="n">
        <v>0</v>
      </c>
      <c r="E297" t="n">
        <v>86.43000000000001</v>
      </c>
      <c r="F297" t="n">
        <v>0.06664</v>
      </c>
      <c r="G297" t="n">
        <v>13.07</v>
      </c>
      <c r="H297" t="n">
        <v>0.1249</v>
      </c>
      <c r="I297" t="n">
        <v>26.98</v>
      </c>
      <c r="J297" t="n">
        <v>19.04</v>
      </c>
      <c r="K297" t="n">
        <v>0.08284</v>
      </c>
      <c r="L297" t="n">
        <v>0.256</v>
      </c>
      <c r="M297" t="n">
        <v>0.04447</v>
      </c>
      <c r="N297" t="n">
        <v>11.57</v>
      </c>
      <c r="O297" t="n">
        <v>520.5</v>
      </c>
    </row>
    <row r="298">
      <c r="A298" t="n">
        <v>423</v>
      </c>
      <c r="B298" t="inlineStr">
        <is>
          <t>Train</t>
        </is>
      </c>
      <c r="C298" t="inlineStr">
        <is>
          <t>Benign</t>
        </is>
      </c>
      <c r="D298" t="n">
        <v>0</v>
      </c>
      <c r="E298" t="n">
        <v>81.93000000000001</v>
      </c>
      <c r="F298" t="n">
        <v>0.1105</v>
      </c>
      <c r="G298" t="n">
        <v>12.64</v>
      </c>
      <c r="H298" t="n">
        <v>0.1415</v>
      </c>
      <c r="I298" t="n">
        <v>19.67</v>
      </c>
      <c r="J298" t="n">
        <v>16.02</v>
      </c>
      <c r="K298" t="n">
        <v>0.07427</v>
      </c>
      <c r="L298" t="n">
        <v>0.2302</v>
      </c>
      <c r="M298" t="n">
        <v>0.02631</v>
      </c>
      <c r="N298" t="n">
        <v>11.61</v>
      </c>
      <c r="O298" t="n">
        <v>475.7</v>
      </c>
    </row>
    <row r="299">
      <c r="A299" t="n">
        <v>424</v>
      </c>
      <c r="B299" t="inlineStr">
        <is>
          <t>Train</t>
        </is>
      </c>
      <c r="C299" t="inlineStr">
        <is>
          <t>Benign</t>
        </is>
      </c>
      <c r="D299" t="n">
        <v>0</v>
      </c>
      <c r="E299" t="n">
        <v>101.4</v>
      </c>
      <c r="F299" t="n">
        <v>0.1407</v>
      </c>
      <c r="G299" t="n">
        <v>15.14</v>
      </c>
      <c r="H299" t="n">
        <v>0.1147</v>
      </c>
      <c r="I299" t="n">
        <v>25.5</v>
      </c>
      <c r="J299" t="n">
        <v>19.13</v>
      </c>
      <c r="K299" t="n">
        <v>0.08839</v>
      </c>
      <c r="L299" t="n">
        <v>0.366</v>
      </c>
      <c r="M299" t="n">
        <v>0.03669</v>
      </c>
      <c r="N299" t="n">
        <v>13.66</v>
      </c>
      <c r="O299" t="n">
        <v>708.8</v>
      </c>
    </row>
    <row r="300">
      <c r="A300" t="n">
        <v>425</v>
      </c>
      <c r="B300" t="inlineStr">
        <is>
          <t>Train</t>
        </is>
      </c>
      <c r="C300" t="inlineStr">
        <is>
          <t>Benign</t>
        </is>
      </c>
      <c r="D300" t="n">
        <v>0</v>
      </c>
      <c r="E300" t="n">
        <v>71.79000000000001</v>
      </c>
      <c r="F300" t="n">
        <v>0.04589</v>
      </c>
      <c r="G300" t="n">
        <v>11.21</v>
      </c>
      <c r="H300" t="n">
        <v>0.1398</v>
      </c>
      <c r="I300" t="n">
        <v>23.17</v>
      </c>
      <c r="J300" t="n">
        <v>19.12</v>
      </c>
      <c r="K300" t="n">
        <v>0.08008999999999999</v>
      </c>
      <c r="L300" t="n">
        <v>0.02085</v>
      </c>
      <c r="M300" t="n">
        <v>0.006021</v>
      </c>
      <c r="N300" t="n">
        <v>9.742000000000001</v>
      </c>
      <c r="O300" t="n">
        <v>380.9</v>
      </c>
    </row>
    <row r="301">
      <c r="A301" t="n">
        <v>426</v>
      </c>
      <c r="B301" t="inlineStr">
        <is>
          <t>Train</t>
        </is>
      </c>
      <c r="C301" t="inlineStr">
        <is>
          <t>Benign</t>
        </is>
      </c>
      <c r="D301" t="n">
        <v>0</v>
      </c>
      <c r="E301" t="n">
        <v>69.92</v>
      </c>
      <c r="F301" t="n">
        <v>0.02579</v>
      </c>
      <c r="G301" t="n">
        <v>11.11</v>
      </c>
      <c r="H301" t="n">
        <v>0.1126</v>
      </c>
      <c r="I301" t="n">
        <v>28.94</v>
      </c>
      <c r="J301" t="n">
        <v>21.28</v>
      </c>
      <c r="K301" t="n">
        <v>0.08061</v>
      </c>
      <c r="L301" t="n">
        <v>0.01235</v>
      </c>
      <c r="M301" t="n">
        <v>0.002074</v>
      </c>
      <c r="N301" t="n">
        <v>10.03</v>
      </c>
      <c r="O301" t="n">
        <v>376.3</v>
      </c>
    </row>
    <row r="302">
      <c r="A302" t="n">
        <v>427</v>
      </c>
      <c r="B302" t="inlineStr">
        <is>
          <t>Train</t>
        </is>
      </c>
      <c r="C302" t="inlineStr">
        <is>
          <t>Benign</t>
        </is>
      </c>
      <c r="D302" t="n">
        <v>0</v>
      </c>
      <c r="E302" t="n">
        <v>81.41</v>
      </c>
      <c r="F302" t="n">
        <v>0.0931</v>
      </c>
      <c r="G302" t="n">
        <v>12.13</v>
      </c>
      <c r="H302" t="n">
        <v>0.1327</v>
      </c>
      <c r="I302" t="n">
        <v>21.57</v>
      </c>
      <c r="J302" t="n">
        <v>14.98</v>
      </c>
      <c r="K302" t="n">
        <v>0.09646</v>
      </c>
      <c r="L302" t="n">
        <v>0.2939</v>
      </c>
      <c r="M302" t="n">
        <v>0.05263</v>
      </c>
      <c r="N302" t="n">
        <v>10.48</v>
      </c>
      <c r="O302" t="n">
        <v>440.4</v>
      </c>
    </row>
    <row r="303">
      <c r="A303" t="n">
        <v>428</v>
      </c>
      <c r="B303" t="inlineStr">
        <is>
          <t>Train</t>
        </is>
      </c>
      <c r="C303" t="inlineStr">
        <is>
          <t>Benign</t>
        </is>
      </c>
      <c r="D303" t="n">
        <v>0</v>
      </c>
      <c r="E303" t="n">
        <v>83.69</v>
      </c>
      <c r="F303" t="n">
        <v>0.07485</v>
      </c>
      <c r="G303" t="n">
        <v>12.76</v>
      </c>
      <c r="H303" t="n">
        <v>0.1303</v>
      </c>
      <c r="I303" t="n">
        <v>32.04</v>
      </c>
      <c r="J303" t="n">
        <v>21.98</v>
      </c>
      <c r="K303" t="n">
        <v>0.07661999999999999</v>
      </c>
      <c r="L303" t="n">
        <v>0.1927</v>
      </c>
      <c r="M303" t="n">
        <v>0.02991</v>
      </c>
      <c r="N303" t="n">
        <v>10.8</v>
      </c>
      <c r="O303" t="n">
        <v>489.5</v>
      </c>
    </row>
    <row r="304">
      <c r="A304" t="n">
        <v>430</v>
      </c>
      <c r="B304" t="inlineStr">
        <is>
          <t>Train</t>
        </is>
      </c>
      <c r="C304" t="inlineStr">
        <is>
          <t>Benign</t>
        </is>
      </c>
      <c r="D304" t="n">
        <v>0</v>
      </c>
      <c r="E304" t="n">
        <v>88.87</v>
      </c>
      <c r="F304" t="n">
        <v>0.03612</v>
      </c>
      <c r="G304" t="n">
        <v>13.82</v>
      </c>
      <c r="H304" t="n">
        <v>0.1068</v>
      </c>
      <c r="I304" t="n">
        <v>20.96</v>
      </c>
      <c r="J304" t="n">
        <v>17.67</v>
      </c>
      <c r="K304" t="n">
        <v>0.06025</v>
      </c>
      <c r="L304" t="n">
        <v>0.03469</v>
      </c>
      <c r="M304" t="n">
        <v>0.005383</v>
      </c>
      <c r="N304" t="n">
        <v>12.72</v>
      </c>
      <c r="O304" t="n">
        <v>586.8</v>
      </c>
    </row>
    <row r="305">
      <c r="A305" t="n">
        <v>431</v>
      </c>
      <c r="B305" t="inlineStr">
        <is>
          <t>Train</t>
        </is>
      </c>
      <c r="C305" t="inlineStr">
        <is>
          <t>Malignant</t>
        </is>
      </c>
      <c r="D305" t="n">
        <v>1</v>
      </c>
      <c r="E305" t="n">
        <v>125.4</v>
      </c>
      <c r="F305" t="n">
        <v>0.2475</v>
      </c>
      <c r="G305" t="n">
        <v>16.35</v>
      </c>
      <c r="H305" t="n">
        <v>0.1419</v>
      </c>
      <c r="I305" t="n">
        <v>27.57</v>
      </c>
      <c r="J305" t="n">
        <v>22.53</v>
      </c>
      <c r="K305" t="n">
        <v>0.1155</v>
      </c>
      <c r="L305" t="n">
        <v>0.9019</v>
      </c>
      <c r="M305" t="n">
        <v>0.07926</v>
      </c>
      <c r="N305" t="n">
        <v>14.9</v>
      </c>
      <c r="O305" t="n">
        <v>832.7</v>
      </c>
    </row>
    <row r="306">
      <c r="A306" t="n">
        <v>432</v>
      </c>
      <c r="B306" t="inlineStr">
        <is>
          <t>Train</t>
        </is>
      </c>
      <c r="C306" t="inlineStr">
        <is>
          <t>Benign</t>
        </is>
      </c>
      <c r="D306" t="n">
        <v>0</v>
      </c>
      <c r="E306" t="n">
        <v>89.61</v>
      </c>
      <c r="F306" t="n">
        <v>0.0737</v>
      </c>
      <c r="G306" t="n">
        <v>12.88</v>
      </c>
      <c r="H306" t="n">
        <v>0.145</v>
      </c>
      <c r="I306" t="n">
        <v>22.91</v>
      </c>
      <c r="J306" t="n">
        <v>17.68</v>
      </c>
      <c r="K306" t="n">
        <v>0.09359000000000001</v>
      </c>
      <c r="L306" t="n">
        <v>0.2403</v>
      </c>
      <c r="M306" t="n">
        <v>0.04861</v>
      </c>
      <c r="N306" t="n">
        <v>12.4</v>
      </c>
      <c r="O306" t="n">
        <v>515.8</v>
      </c>
    </row>
    <row r="307">
      <c r="A307" t="n">
        <v>434</v>
      </c>
      <c r="B307" t="inlineStr">
        <is>
          <t>Train</t>
        </is>
      </c>
      <c r="C307" t="inlineStr">
        <is>
          <t>Malignant</t>
        </is>
      </c>
      <c r="D307" t="n">
        <v>1</v>
      </c>
      <c r="E307" t="n">
        <v>145.3</v>
      </c>
      <c r="F307" t="n">
        <v>0.1708</v>
      </c>
      <c r="G307" t="n">
        <v>22.66</v>
      </c>
      <c r="H307" t="n">
        <v>0.139</v>
      </c>
      <c r="I307" t="n">
        <v>30.93</v>
      </c>
      <c r="J307" t="n">
        <v>21.97</v>
      </c>
      <c r="K307" t="n">
        <v>0.08314000000000001</v>
      </c>
      <c r="L307" t="n">
        <v>0.3912</v>
      </c>
      <c r="M307" t="n">
        <v>0.05321</v>
      </c>
      <c r="N307" t="n">
        <v>18.82</v>
      </c>
      <c r="O307" t="n">
        <v>1603</v>
      </c>
    </row>
    <row r="308">
      <c r="A308" t="n">
        <v>435</v>
      </c>
      <c r="B308" t="inlineStr">
        <is>
          <t>Train</t>
        </is>
      </c>
      <c r="C308" t="inlineStr">
        <is>
          <t>Benign</t>
        </is>
      </c>
      <c r="D308" t="n">
        <v>0</v>
      </c>
      <c r="E308" t="n">
        <v>102.3</v>
      </c>
      <c r="F308" t="n">
        <v>0.07971</v>
      </c>
      <c r="G308" t="n">
        <v>16.31</v>
      </c>
      <c r="H308" t="n">
        <v>0.1218</v>
      </c>
      <c r="I308" t="n">
        <v>20.54</v>
      </c>
      <c r="J308" t="n">
        <v>16.94</v>
      </c>
      <c r="K308" t="n">
        <v>0.06827</v>
      </c>
      <c r="L308" t="n">
        <v>0.122</v>
      </c>
      <c r="M308" t="n">
        <v>0.01461</v>
      </c>
      <c r="N308" t="n">
        <v>14.86</v>
      </c>
      <c r="O308" t="n">
        <v>777.5</v>
      </c>
    </row>
    <row r="309">
      <c r="A309" t="n">
        <v>436</v>
      </c>
      <c r="B309" t="inlineStr">
        <is>
          <t>Train</t>
        </is>
      </c>
      <c r="C309" t="inlineStr">
        <is>
          <t>Malignant</t>
        </is>
      </c>
      <c r="D309" t="n">
        <v>1</v>
      </c>
      <c r="E309" t="n">
        <v>113.9</v>
      </c>
      <c r="F309" t="n">
        <v>0.1827</v>
      </c>
      <c r="G309" t="n">
        <v>17.04</v>
      </c>
      <c r="H309" t="n">
        <v>0.1613</v>
      </c>
      <c r="I309" t="n">
        <v>30.8</v>
      </c>
      <c r="J309" t="n">
        <v>19.62</v>
      </c>
      <c r="K309" t="n">
        <v>0.1055</v>
      </c>
      <c r="L309" t="n">
        <v>0.4069</v>
      </c>
      <c r="M309" t="n">
        <v>0.02185</v>
      </c>
      <c r="N309" t="n">
        <v>13.98</v>
      </c>
      <c r="O309" t="n">
        <v>869.3</v>
      </c>
    </row>
    <row r="310">
      <c r="A310" t="n">
        <v>437</v>
      </c>
      <c r="B310" t="inlineStr">
        <is>
          <t>Train</t>
        </is>
      </c>
      <c r="C310" t="inlineStr">
        <is>
          <t>Benign</t>
        </is>
      </c>
      <c r="D310" t="n">
        <v>0</v>
      </c>
      <c r="E310" t="n">
        <v>95.14</v>
      </c>
      <c r="F310" t="n">
        <v>0.06383999999999999</v>
      </c>
      <c r="G310" t="n">
        <v>14.45</v>
      </c>
      <c r="H310" t="n">
        <v>0.1214</v>
      </c>
      <c r="I310" t="n">
        <v>24.38</v>
      </c>
      <c r="J310" t="n">
        <v>19.54</v>
      </c>
      <c r="K310" t="n">
        <v>0.07735</v>
      </c>
      <c r="L310" t="n">
        <v>0.07127</v>
      </c>
      <c r="M310" t="n">
        <v>0.007066</v>
      </c>
      <c r="N310" t="n">
        <v>12.87</v>
      </c>
      <c r="O310" t="n">
        <v>626.9</v>
      </c>
    </row>
    <row r="311">
      <c r="A311" t="n">
        <v>440</v>
      </c>
      <c r="B311" t="inlineStr">
        <is>
          <t>Train</t>
        </is>
      </c>
      <c r="C311" t="inlineStr">
        <is>
          <t>Benign</t>
        </is>
      </c>
      <c r="D311" t="n">
        <v>0</v>
      </c>
      <c r="E311" t="n">
        <v>96.53</v>
      </c>
      <c r="F311" t="n">
        <v>0.08216</v>
      </c>
      <c r="G311" t="n">
        <v>14.91</v>
      </c>
      <c r="H311" t="n">
        <v>0.1034</v>
      </c>
      <c r="I311" t="n">
        <v>19.31</v>
      </c>
      <c r="J311" t="n">
        <v>15.66</v>
      </c>
      <c r="K311" t="n">
        <v>0.06710000000000001</v>
      </c>
      <c r="L311" t="n">
        <v>0.0626</v>
      </c>
      <c r="M311" t="n">
        <v>0.009213000000000001</v>
      </c>
      <c r="N311" t="n">
        <v>14.02</v>
      </c>
      <c r="O311" t="n">
        <v>688.9</v>
      </c>
    </row>
    <row r="312">
      <c r="A312" t="n">
        <v>441</v>
      </c>
      <c r="B312" t="inlineStr">
        <is>
          <t>Train</t>
        </is>
      </c>
      <c r="C312" t="inlineStr">
        <is>
          <t>Benign</t>
        </is>
      </c>
      <c r="D312" t="n">
        <v>0</v>
      </c>
      <c r="E312" t="n">
        <v>90.14</v>
      </c>
      <c r="F312" t="n">
        <v>0.1555</v>
      </c>
      <c r="G312" t="n">
        <v>12.36</v>
      </c>
      <c r="H312" t="n">
        <v>0.1391</v>
      </c>
      <c r="I312" t="n">
        <v>26.87</v>
      </c>
      <c r="J312" t="n">
        <v>17.2</v>
      </c>
      <c r="K312" t="n">
        <v>0.09532</v>
      </c>
      <c r="L312" t="n">
        <v>0.4779</v>
      </c>
      <c r="M312" t="n">
        <v>0.0643</v>
      </c>
      <c r="N312" t="n">
        <v>10.97</v>
      </c>
      <c r="O312" t="n">
        <v>476.4</v>
      </c>
    </row>
    <row r="313">
      <c r="A313" t="n">
        <v>443</v>
      </c>
      <c r="B313" t="inlineStr">
        <is>
          <t>Train</t>
        </is>
      </c>
      <c r="C313" t="inlineStr">
        <is>
          <t>Benign</t>
        </is>
      </c>
      <c r="D313" t="n">
        <v>0</v>
      </c>
      <c r="E313" t="n">
        <v>97.90000000000001</v>
      </c>
      <c r="F313" t="n">
        <v>0.03312</v>
      </c>
      <c r="G313" t="n">
        <v>15.27</v>
      </c>
      <c r="H313" t="n">
        <v>0.1072</v>
      </c>
      <c r="I313" t="n">
        <v>17.5</v>
      </c>
      <c r="J313" t="n">
        <v>15.79</v>
      </c>
      <c r="K313" t="n">
        <v>0.06809999999999999</v>
      </c>
      <c r="L313" t="n">
        <v>0.03517</v>
      </c>
      <c r="M313" t="n">
        <v>0.007741</v>
      </c>
      <c r="N313" t="n">
        <v>13.78</v>
      </c>
      <c r="O313" t="n">
        <v>706.6</v>
      </c>
    </row>
    <row r="314">
      <c r="A314" t="n">
        <v>444</v>
      </c>
      <c r="B314" t="inlineStr">
        <is>
          <t>Train</t>
        </is>
      </c>
      <c r="C314" t="inlineStr">
        <is>
          <t>Benign</t>
        </is>
      </c>
      <c r="D314" t="n">
        <v>0</v>
      </c>
      <c r="E314" t="n">
        <v>69.34999999999999</v>
      </c>
      <c r="F314" t="n">
        <v>0.02222</v>
      </c>
      <c r="G314" t="n">
        <v>10.94</v>
      </c>
      <c r="H314" t="n">
        <v>0.09794</v>
      </c>
      <c r="I314" t="n">
        <v>23.31</v>
      </c>
      <c r="J314" t="n">
        <v>18.32</v>
      </c>
      <c r="K314" t="n">
        <v>0.06736</v>
      </c>
      <c r="L314" t="n">
        <v>0.03986</v>
      </c>
      <c r="M314" t="n">
        <v>0.01993</v>
      </c>
      <c r="N314" t="n">
        <v>10.57</v>
      </c>
      <c r="O314" t="n">
        <v>366.3</v>
      </c>
    </row>
    <row r="315">
      <c r="A315" t="n">
        <v>445</v>
      </c>
      <c r="B315" t="inlineStr">
        <is>
          <t>Train</t>
        </is>
      </c>
      <c r="C315" t="inlineStr">
        <is>
          <t>Malignant</t>
        </is>
      </c>
      <c r="D315" t="n">
        <v>1</v>
      </c>
      <c r="E315" t="n">
        <v>133.3</v>
      </c>
      <c r="F315" t="n">
        <v>0.1535</v>
      </c>
      <c r="G315" t="n">
        <v>20.38</v>
      </c>
      <c r="H315" t="n">
        <v>0.1263</v>
      </c>
      <c r="I315" t="n">
        <v>22.02</v>
      </c>
      <c r="J315" t="n">
        <v>16.85</v>
      </c>
      <c r="K315" t="n">
        <v>0.08225</v>
      </c>
      <c r="L315" t="n">
        <v>0.429</v>
      </c>
      <c r="M315" t="n">
        <v>0.02975</v>
      </c>
      <c r="N315" t="n">
        <v>18.03</v>
      </c>
      <c r="O315" t="n">
        <v>1292</v>
      </c>
    </row>
    <row r="316">
      <c r="A316" t="n">
        <v>448</v>
      </c>
      <c r="B316" t="inlineStr">
        <is>
          <t>Train</t>
        </is>
      </c>
      <c r="C316" t="inlineStr">
        <is>
          <t>Benign</t>
        </is>
      </c>
      <c r="D316" t="n">
        <v>0</v>
      </c>
      <c r="E316" t="n">
        <v>105.9</v>
      </c>
      <c r="F316" t="n">
        <v>0.08308</v>
      </c>
      <c r="G316" t="n">
        <v>16.43</v>
      </c>
      <c r="H316" t="n">
        <v>0.1226</v>
      </c>
      <c r="I316" t="n">
        <v>22.74</v>
      </c>
      <c r="J316" t="n">
        <v>17.66</v>
      </c>
      <c r="K316" t="n">
        <v>0.07285</v>
      </c>
      <c r="L316" t="n">
        <v>0.206</v>
      </c>
      <c r="M316" t="n">
        <v>0.01758</v>
      </c>
      <c r="N316" t="n">
        <v>14.8</v>
      </c>
      <c r="O316" t="n">
        <v>829.5</v>
      </c>
    </row>
    <row r="317">
      <c r="A317" t="n">
        <v>449</v>
      </c>
      <c r="B317" t="inlineStr">
        <is>
          <t>Train</t>
        </is>
      </c>
      <c r="C317" t="inlineStr">
        <is>
          <t>Benign</t>
        </is>
      </c>
      <c r="D317" t="n">
        <v>0</v>
      </c>
      <c r="E317" t="n">
        <v>108.1</v>
      </c>
      <c r="F317" t="n">
        <v>0.09594</v>
      </c>
      <c r="G317" t="n">
        <v>16.3</v>
      </c>
      <c r="H317" t="n">
        <v>0.1089</v>
      </c>
      <c r="I317" t="n">
        <v>28.39</v>
      </c>
      <c r="J317" t="n">
        <v>19.34</v>
      </c>
      <c r="K317" t="n">
        <v>0.07463</v>
      </c>
      <c r="L317" t="n">
        <v>0.3779</v>
      </c>
      <c r="M317" t="n">
        <v>0.03379</v>
      </c>
      <c r="N317" t="n">
        <v>14.53</v>
      </c>
      <c r="O317" t="n">
        <v>830.5</v>
      </c>
    </row>
    <row r="318">
      <c r="A318" t="n">
        <v>450</v>
      </c>
      <c r="B318" t="inlineStr">
        <is>
          <t>Train</t>
        </is>
      </c>
      <c r="C318" t="inlineStr">
        <is>
          <t>Malignant</t>
        </is>
      </c>
      <c r="D318" t="n">
        <v>1</v>
      </c>
      <c r="E318" t="n">
        <v>168.2</v>
      </c>
      <c r="F318" t="n">
        <v>0.228</v>
      </c>
      <c r="G318" t="n">
        <v>25.68</v>
      </c>
      <c r="H318" t="n">
        <v>0.1368</v>
      </c>
      <c r="I318" t="n">
        <v>32.07</v>
      </c>
      <c r="J318" t="n">
        <v>20.52</v>
      </c>
      <c r="K318" t="n">
        <v>0.07425</v>
      </c>
      <c r="L318" t="n">
        <v>0.4399</v>
      </c>
      <c r="M318" t="n">
        <v>0.03185</v>
      </c>
      <c r="N318" t="n">
        <v>21.1</v>
      </c>
      <c r="O318" t="n">
        <v>2022</v>
      </c>
    </row>
    <row r="319">
      <c r="A319" t="n">
        <v>451</v>
      </c>
      <c r="B319" t="inlineStr">
        <is>
          <t>Train</t>
        </is>
      </c>
      <c r="C319" t="inlineStr">
        <is>
          <t>Benign</t>
        </is>
      </c>
      <c r="D319" t="n">
        <v>0</v>
      </c>
      <c r="E319" t="n">
        <v>83.51000000000001</v>
      </c>
      <c r="F319" t="n">
        <v>0.08749999999999999</v>
      </c>
      <c r="G319" t="n">
        <v>12.79</v>
      </c>
      <c r="H319" t="n">
        <v>0.09457</v>
      </c>
      <c r="I319" t="n">
        <v>28.18</v>
      </c>
      <c r="J319" t="n">
        <v>21.54</v>
      </c>
      <c r="K319" t="n">
        <v>0.09952</v>
      </c>
      <c r="L319" t="n">
        <v>0.3218</v>
      </c>
      <c r="M319" t="n">
        <v>0.06662999999999999</v>
      </c>
      <c r="N319" t="n">
        <v>11.87</v>
      </c>
      <c r="O319" t="n">
        <v>507.2</v>
      </c>
    </row>
    <row r="320">
      <c r="A320" t="n">
        <v>452</v>
      </c>
      <c r="B320" t="inlineStr">
        <is>
          <t>Train</t>
        </is>
      </c>
      <c r="C320" t="inlineStr">
        <is>
          <t>Malignant</t>
        </is>
      </c>
      <c r="D320" t="n">
        <v>1</v>
      </c>
      <c r="E320" t="n">
        <v>139.8</v>
      </c>
      <c r="F320" t="n">
        <v>0.1466</v>
      </c>
      <c r="G320" t="n">
        <v>21.44</v>
      </c>
      <c r="H320" t="n">
        <v>0.1528</v>
      </c>
      <c r="I320" t="n">
        <v>30.96</v>
      </c>
      <c r="J320" t="n">
        <v>25</v>
      </c>
      <c r="K320" t="n">
        <v>0.06091</v>
      </c>
      <c r="L320" t="n">
        <v>0.3977</v>
      </c>
      <c r="M320" t="n">
        <v>0.04907</v>
      </c>
      <c r="N320" t="n">
        <v>19.59</v>
      </c>
      <c r="O320" t="n">
        <v>1421</v>
      </c>
    </row>
    <row r="321">
      <c r="A321" t="n">
        <v>453</v>
      </c>
      <c r="B321" t="inlineStr">
        <is>
          <t>Train</t>
        </is>
      </c>
      <c r="C321" t="inlineStr">
        <is>
          <t>Benign</t>
        </is>
      </c>
      <c r="D321" t="n">
        <v>0</v>
      </c>
      <c r="E321" t="n">
        <v>85.06999999999999</v>
      </c>
      <c r="F321" t="n">
        <v>0.07116</v>
      </c>
      <c r="G321" t="n">
        <v>13.09</v>
      </c>
      <c r="H321" t="n">
        <v>0.1208</v>
      </c>
      <c r="I321" t="n">
        <v>37.88</v>
      </c>
      <c r="J321" t="n">
        <v>28.23</v>
      </c>
      <c r="K321" t="n">
        <v>0.08194</v>
      </c>
      <c r="L321" t="n">
        <v>0.1811</v>
      </c>
      <c r="M321" t="n">
        <v>0.02941</v>
      </c>
      <c r="N321" t="n">
        <v>12</v>
      </c>
      <c r="O321" t="n">
        <v>523.7</v>
      </c>
    </row>
    <row r="322">
      <c r="A322" t="n">
        <v>455</v>
      </c>
      <c r="B322" t="inlineStr">
        <is>
          <t>Train</t>
        </is>
      </c>
      <c r="C322" t="inlineStr">
        <is>
          <t>Benign</t>
        </is>
      </c>
      <c r="D322" t="n">
        <v>0</v>
      </c>
      <c r="E322" t="n">
        <v>91.62</v>
      </c>
      <c r="F322" t="n">
        <v>0.09851</v>
      </c>
      <c r="G322" t="n">
        <v>14.34</v>
      </c>
      <c r="H322" t="n">
        <v>0.1225</v>
      </c>
      <c r="I322" t="n">
        <v>22.15</v>
      </c>
      <c r="J322" t="n">
        <v>17.15</v>
      </c>
      <c r="K322" t="n">
        <v>0.0733</v>
      </c>
      <c r="L322" t="n">
        <v>0.1887</v>
      </c>
      <c r="M322" t="n">
        <v>0.01256</v>
      </c>
      <c r="N322" t="n">
        <v>12.62</v>
      </c>
      <c r="O322" t="n">
        <v>633.5</v>
      </c>
    </row>
    <row r="323">
      <c r="A323" t="n">
        <v>456</v>
      </c>
      <c r="B323" t="inlineStr">
        <is>
          <t>Train</t>
        </is>
      </c>
      <c r="C323" t="inlineStr">
        <is>
          <t>Benign</t>
        </is>
      </c>
      <c r="D323" t="n">
        <v>0</v>
      </c>
      <c r="E323" t="n">
        <v>96.69</v>
      </c>
      <c r="F323" t="n">
        <v>0.07763</v>
      </c>
      <c r="G323" t="n">
        <v>15.05</v>
      </c>
      <c r="H323" t="n">
        <v>0.1172</v>
      </c>
      <c r="I323" t="n">
        <v>41.61</v>
      </c>
      <c r="J323" t="n">
        <v>30.72</v>
      </c>
      <c r="K323" t="n">
        <v>0.07675</v>
      </c>
      <c r="L323" t="n">
        <v>0.07003</v>
      </c>
      <c r="M323" t="n">
        <v>0.007936</v>
      </c>
      <c r="N323" t="n">
        <v>13.38</v>
      </c>
      <c r="O323" t="n">
        <v>705.6</v>
      </c>
    </row>
    <row r="324">
      <c r="A324" t="n">
        <v>457</v>
      </c>
      <c r="B324" t="inlineStr">
        <is>
          <t>Train</t>
        </is>
      </c>
      <c r="C324" t="inlineStr">
        <is>
          <t>Benign</t>
        </is>
      </c>
      <c r="D324" t="n">
        <v>0</v>
      </c>
      <c r="E324" t="n">
        <v>86.04000000000001</v>
      </c>
      <c r="F324" t="n">
        <v>0.06834999999999999</v>
      </c>
      <c r="G324" t="n">
        <v>13.12</v>
      </c>
      <c r="H324" t="n">
        <v>0.1406</v>
      </c>
      <c r="I324" t="n">
        <v>38.81</v>
      </c>
      <c r="J324" t="n">
        <v>29.29</v>
      </c>
      <c r="K324" t="n">
        <v>0.0722</v>
      </c>
      <c r="L324" t="n">
        <v>0.2923</v>
      </c>
      <c r="M324" t="n">
        <v>0.04275</v>
      </c>
      <c r="N324" t="n">
        <v>11.63</v>
      </c>
      <c r="O324" t="n">
        <v>527.8</v>
      </c>
    </row>
    <row r="325">
      <c r="A325" t="n">
        <v>459</v>
      </c>
      <c r="B325" t="inlineStr">
        <is>
          <t>Train</t>
        </is>
      </c>
      <c r="C325" t="inlineStr">
        <is>
          <t>Benign</t>
        </is>
      </c>
      <c r="D325" t="n">
        <v>0</v>
      </c>
      <c r="E325" t="n">
        <v>91.06</v>
      </c>
      <c r="F325" t="n">
        <v>0.05921</v>
      </c>
      <c r="G325" t="n">
        <v>14.34</v>
      </c>
      <c r="H325" t="n">
        <v>0.1218</v>
      </c>
      <c r="I325" t="n">
        <v>31.88</v>
      </c>
      <c r="J325" t="n">
        <v>25.13</v>
      </c>
      <c r="K325" t="n">
        <v>0.06290999999999999</v>
      </c>
      <c r="L325" t="n">
        <v>0.04462</v>
      </c>
      <c r="M325" t="n">
        <v>0.005681</v>
      </c>
      <c r="N325" t="n">
        <v>13</v>
      </c>
      <c r="O325" t="n">
        <v>628.5</v>
      </c>
    </row>
    <row r="326">
      <c r="A326" t="n">
        <v>460</v>
      </c>
      <c r="B326" t="inlineStr">
        <is>
          <t>Train</t>
        </is>
      </c>
      <c r="C326" t="inlineStr">
        <is>
          <t>Benign</t>
        </is>
      </c>
      <c r="D326" t="n">
        <v>0</v>
      </c>
      <c r="E326" t="n">
        <v>68.03</v>
      </c>
      <c r="F326" t="n">
        <v>0.04866</v>
      </c>
      <c r="G326" t="n">
        <v>10.67</v>
      </c>
      <c r="H326" t="n">
        <v>0.111</v>
      </c>
      <c r="I326" t="n">
        <v>36.92</v>
      </c>
      <c r="J326" t="n">
        <v>28.2</v>
      </c>
      <c r="K326" t="n">
        <v>0.07210999999999999</v>
      </c>
      <c r="L326" t="n">
        <v>0.07190000000000001</v>
      </c>
      <c r="M326" t="n">
        <v>0.0145</v>
      </c>
      <c r="N326" t="n">
        <v>9.755000000000001</v>
      </c>
      <c r="O326" t="n">
        <v>349.9</v>
      </c>
    </row>
    <row r="327">
      <c r="A327" t="n">
        <v>462</v>
      </c>
      <c r="B327" t="inlineStr">
        <is>
          <t>Train</t>
        </is>
      </c>
      <c r="C327" t="inlineStr">
        <is>
          <t>Malignant</t>
        </is>
      </c>
      <c r="D327" t="n">
        <v>1</v>
      </c>
      <c r="E327" t="n">
        <v>251.2</v>
      </c>
      <c r="F327" t="n">
        <v>0.2625</v>
      </c>
      <c r="G327" t="n">
        <v>36.04</v>
      </c>
      <c r="H327" t="n">
        <v>0.1357</v>
      </c>
      <c r="I327" t="n">
        <v>31.37</v>
      </c>
      <c r="J327" t="n">
        <v>26.27</v>
      </c>
      <c r="K327" t="n">
        <v>0.07427</v>
      </c>
      <c r="L327" t="n">
        <v>0.6833</v>
      </c>
      <c r="M327" t="n">
        <v>0.08055</v>
      </c>
      <c r="N327" t="n">
        <v>27.42</v>
      </c>
      <c r="O327" t="n">
        <v>4254</v>
      </c>
    </row>
    <row r="328">
      <c r="A328" t="n">
        <v>463</v>
      </c>
      <c r="B328" t="inlineStr">
        <is>
          <t>Train</t>
        </is>
      </c>
      <c r="C328" t="inlineStr">
        <is>
          <t>Benign</t>
        </is>
      </c>
      <c r="D328" t="n">
        <v>0</v>
      </c>
      <c r="E328" t="n">
        <v>100.4</v>
      </c>
      <c r="F328" t="n">
        <v>0.05563</v>
      </c>
      <c r="G328" t="n">
        <v>15.4</v>
      </c>
      <c r="H328" t="n">
        <v>0.1017</v>
      </c>
      <c r="I328" t="n">
        <v>31.98</v>
      </c>
      <c r="J328" t="n">
        <v>26.99</v>
      </c>
      <c r="K328" t="n">
        <v>0.06464</v>
      </c>
      <c r="L328" t="n">
        <v>0.1472</v>
      </c>
      <c r="M328" t="n">
        <v>0.01971</v>
      </c>
      <c r="N328" t="n">
        <v>14.4</v>
      </c>
      <c r="O328" t="n">
        <v>734.6</v>
      </c>
    </row>
    <row r="329">
      <c r="A329" t="n">
        <v>464</v>
      </c>
      <c r="B329" t="inlineStr">
        <is>
          <t>Train</t>
        </is>
      </c>
      <c r="C329" t="inlineStr">
        <is>
          <t>Benign</t>
        </is>
      </c>
      <c r="D329" t="n">
        <v>0</v>
      </c>
      <c r="E329" t="n">
        <v>82.68000000000001</v>
      </c>
      <c r="F329" t="n">
        <v>0.08288</v>
      </c>
      <c r="G329" t="n">
        <v>12.77</v>
      </c>
      <c r="H329" t="n">
        <v>0.1342</v>
      </c>
      <c r="I329" t="n">
        <v>24.02</v>
      </c>
      <c r="J329" t="n">
        <v>18.36</v>
      </c>
      <c r="K329" t="n">
        <v>0.07863000000000001</v>
      </c>
      <c r="L329" t="n">
        <v>0.186</v>
      </c>
      <c r="M329" t="n">
        <v>0.0208</v>
      </c>
      <c r="N329" t="n">
        <v>11.6</v>
      </c>
      <c r="O329" t="n">
        <v>495.1</v>
      </c>
    </row>
    <row r="330">
      <c r="A330" t="n">
        <v>465</v>
      </c>
      <c r="B330" t="inlineStr">
        <is>
          <t>Train</t>
        </is>
      </c>
      <c r="C330" t="inlineStr">
        <is>
          <t>Benign</t>
        </is>
      </c>
      <c r="D330" t="n">
        <v>0</v>
      </c>
      <c r="E330" t="n">
        <v>95.09999999999999</v>
      </c>
      <c r="F330" t="n">
        <v>0.1045</v>
      </c>
      <c r="G330" t="n">
        <v>14.9</v>
      </c>
      <c r="H330" t="n">
        <v>0.1282</v>
      </c>
      <c r="I330" t="n">
        <v>23.89</v>
      </c>
      <c r="J330" t="n">
        <v>18.22</v>
      </c>
      <c r="K330" t="n">
        <v>0.06925000000000001</v>
      </c>
      <c r="L330" t="n">
        <v>0.1876</v>
      </c>
      <c r="M330" t="n">
        <v>0.01564</v>
      </c>
      <c r="N330" t="n">
        <v>13.17</v>
      </c>
      <c r="O330" t="n">
        <v>687.6</v>
      </c>
    </row>
    <row r="331">
      <c r="A331" t="n">
        <v>467</v>
      </c>
      <c r="B331" t="inlineStr">
        <is>
          <t>Train</t>
        </is>
      </c>
      <c r="C331" t="inlineStr">
        <is>
          <t>Benign</t>
        </is>
      </c>
      <c r="D331" t="n">
        <v>0</v>
      </c>
      <c r="E331" t="n">
        <v>100.9</v>
      </c>
      <c r="F331" t="n">
        <v>0.1181</v>
      </c>
      <c r="G331" t="n">
        <v>14.8</v>
      </c>
      <c r="H331" t="n">
        <v>0.1351</v>
      </c>
      <c r="I331" t="n">
        <v>25.46</v>
      </c>
      <c r="J331" t="n">
        <v>20.74</v>
      </c>
      <c r="K331" t="n">
        <v>0.08173999999999999</v>
      </c>
      <c r="L331" t="n">
        <v>0.4504</v>
      </c>
      <c r="M331" t="n">
        <v>0.04615</v>
      </c>
      <c r="N331" t="n">
        <v>13.14</v>
      </c>
      <c r="O331" t="n">
        <v>689.1</v>
      </c>
    </row>
    <row r="332">
      <c r="A332" t="n">
        <v>468</v>
      </c>
      <c r="B332" t="inlineStr">
        <is>
          <t>Train</t>
        </is>
      </c>
      <c r="C332" t="inlineStr">
        <is>
          <t>Benign</t>
        </is>
      </c>
      <c r="D332" t="n">
        <v>0</v>
      </c>
      <c r="E332" t="n">
        <v>71.11</v>
      </c>
      <c r="F332" t="n">
        <v>0.025</v>
      </c>
      <c r="G332" t="n">
        <v>11.15</v>
      </c>
      <c r="H332" t="n">
        <v>0.1388</v>
      </c>
      <c r="I332" t="n">
        <v>24.62</v>
      </c>
      <c r="J332" t="n">
        <v>18.1</v>
      </c>
      <c r="K332" t="n">
        <v>0.07875</v>
      </c>
      <c r="L332" t="n">
        <v>0.06408999999999999</v>
      </c>
      <c r="M332" t="n">
        <v>0.01031</v>
      </c>
      <c r="N332" t="n">
        <v>9.667999999999999</v>
      </c>
      <c r="O332" t="n">
        <v>380.2</v>
      </c>
    </row>
    <row r="333">
      <c r="A333" t="n">
        <v>469</v>
      </c>
      <c r="B333" t="inlineStr">
        <is>
          <t>Train</t>
        </is>
      </c>
      <c r="C333" t="inlineStr">
        <is>
          <t>Malignant</t>
        </is>
      </c>
      <c r="D333" t="n">
        <v>1</v>
      </c>
      <c r="E333" t="n">
        <v>143.6</v>
      </c>
      <c r="F333" t="n">
        <v>0.1996</v>
      </c>
      <c r="G333" t="n">
        <v>21.57</v>
      </c>
      <c r="H333" t="n">
        <v>0.1207</v>
      </c>
      <c r="I333" t="n">
        <v>28.87</v>
      </c>
      <c r="J333" t="n">
        <v>23.33</v>
      </c>
      <c r="K333" t="n">
        <v>0.1224</v>
      </c>
      <c r="L333" t="n">
        <v>0.5165</v>
      </c>
      <c r="M333" t="n">
        <v>0.06591</v>
      </c>
      <c r="N333" t="n">
        <v>17.6</v>
      </c>
      <c r="O333" t="n">
        <v>1437</v>
      </c>
    </row>
    <row r="334">
      <c r="A334" t="n">
        <v>470</v>
      </c>
      <c r="B334" t="inlineStr">
        <is>
          <t>Train</t>
        </is>
      </c>
      <c r="C334" t="inlineStr">
        <is>
          <t>Benign</t>
        </is>
      </c>
      <c r="D334" t="n">
        <v>0</v>
      </c>
      <c r="E334" t="n">
        <v>88.14</v>
      </c>
      <c r="F334" t="n">
        <v>0.1416</v>
      </c>
      <c r="G334" t="n">
        <v>13.36</v>
      </c>
      <c r="H334" t="n">
        <v>0.178</v>
      </c>
      <c r="I334" t="n">
        <v>25.4</v>
      </c>
      <c r="J334" t="n">
        <v>18.18</v>
      </c>
      <c r="K334" t="n">
        <v>0.0927</v>
      </c>
      <c r="L334" t="n">
        <v>0.3186</v>
      </c>
      <c r="M334" t="n">
        <v>0.04961</v>
      </c>
      <c r="N334" t="n">
        <v>11.62</v>
      </c>
      <c r="O334" t="n">
        <v>528.1</v>
      </c>
    </row>
    <row r="335">
      <c r="A335" t="n">
        <v>471</v>
      </c>
      <c r="B335" t="inlineStr">
        <is>
          <t>Train</t>
        </is>
      </c>
      <c r="C335" t="inlineStr">
        <is>
          <t>Benign</t>
        </is>
      </c>
      <c r="D335" t="n">
        <v>0</v>
      </c>
      <c r="E335" t="n">
        <v>70.88</v>
      </c>
      <c r="F335" t="n">
        <v>0.06560000000000001</v>
      </c>
      <c r="G335" t="n">
        <v>11.14</v>
      </c>
      <c r="H335" t="n">
        <v>0.1234</v>
      </c>
      <c r="I335" t="n">
        <v>25.62</v>
      </c>
      <c r="J335" t="n">
        <v>18.49</v>
      </c>
      <c r="K335" t="n">
        <v>0.08524</v>
      </c>
      <c r="L335" t="n">
        <v>0.1277</v>
      </c>
      <c r="M335" t="n">
        <v>0.02714</v>
      </c>
      <c r="N335" t="n">
        <v>9.667</v>
      </c>
      <c r="O335" t="n">
        <v>385.2</v>
      </c>
    </row>
    <row r="336">
      <c r="A336" t="n">
        <v>473</v>
      </c>
      <c r="B336" t="inlineStr">
        <is>
          <t>Train</t>
        </is>
      </c>
      <c r="C336" t="inlineStr">
        <is>
          <t>Benign</t>
        </is>
      </c>
      <c r="D336" t="n">
        <v>0</v>
      </c>
      <c r="E336" t="n">
        <v>112</v>
      </c>
      <c r="F336" t="n">
        <v>0.1147</v>
      </c>
      <c r="G336" t="n">
        <v>17.18</v>
      </c>
      <c r="H336" t="n">
        <v>0.1065</v>
      </c>
      <c r="I336" t="n">
        <v>18.22</v>
      </c>
      <c r="J336" t="n">
        <v>14.93</v>
      </c>
      <c r="K336" t="n">
        <v>0.08273</v>
      </c>
      <c r="L336" t="n">
        <v>0.3151</v>
      </c>
      <c r="M336" t="n">
        <v>0.0231</v>
      </c>
      <c r="N336" t="n">
        <v>14.92</v>
      </c>
      <c r="O336" t="n">
        <v>906.6</v>
      </c>
    </row>
    <row r="337">
      <c r="A337" t="n">
        <v>474</v>
      </c>
      <c r="B337" t="inlineStr">
        <is>
          <t>Train</t>
        </is>
      </c>
      <c r="C337" t="inlineStr">
        <is>
          <t>Benign</t>
        </is>
      </c>
      <c r="D337" t="n">
        <v>0</v>
      </c>
      <c r="E337" t="n">
        <v>85.08</v>
      </c>
      <c r="F337" t="n">
        <v>0</v>
      </c>
      <c r="G337" t="n">
        <v>13.45</v>
      </c>
      <c r="H337" t="n">
        <v>0.09422</v>
      </c>
      <c r="I337" t="n">
        <v>38.05</v>
      </c>
      <c r="J337" t="n">
        <v>29.97</v>
      </c>
      <c r="K337" t="n">
        <v>0.06743</v>
      </c>
      <c r="L337" t="n">
        <v>0</v>
      </c>
      <c r="M337" t="n">
        <v>0</v>
      </c>
      <c r="N337" t="n">
        <v>12.27</v>
      </c>
      <c r="O337" t="n">
        <v>558.9</v>
      </c>
    </row>
    <row r="338">
      <c r="A338" t="n">
        <v>475</v>
      </c>
      <c r="B338" t="inlineStr">
        <is>
          <t>Train</t>
        </is>
      </c>
      <c r="C338" t="inlineStr">
        <is>
          <t>Benign</t>
        </is>
      </c>
      <c r="D338" t="n">
        <v>0</v>
      </c>
      <c r="E338" t="n">
        <v>80.78</v>
      </c>
      <c r="F338" t="n">
        <v>0.07965999999999999</v>
      </c>
      <c r="G338" t="n">
        <v>11.94</v>
      </c>
      <c r="H338" t="n">
        <v>0.1332</v>
      </c>
      <c r="I338" t="n">
        <v>19.35</v>
      </c>
      <c r="J338" t="n">
        <v>15.62</v>
      </c>
      <c r="K338" t="n">
        <v>0.108</v>
      </c>
      <c r="L338" t="n">
        <v>0.3365</v>
      </c>
      <c r="M338" t="n">
        <v>0.02757</v>
      </c>
      <c r="N338" t="n">
        <v>10.88</v>
      </c>
      <c r="O338" t="n">
        <v>433.1</v>
      </c>
    </row>
    <row r="339">
      <c r="A339" t="n">
        <v>478</v>
      </c>
      <c r="B339" t="inlineStr">
        <is>
          <t>Train</t>
        </is>
      </c>
      <c r="C339" t="inlineStr">
        <is>
          <t>Benign</t>
        </is>
      </c>
      <c r="D339" t="n">
        <v>0</v>
      </c>
      <c r="E339" t="n">
        <v>101.2</v>
      </c>
      <c r="F339" t="n">
        <v>0.06222</v>
      </c>
      <c r="G339" t="n">
        <v>15.14</v>
      </c>
      <c r="H339" t="n">
        <v>0.09384000000000001</v>
      </c>
      <c r="I339" t="n">
        <v>21.8</v>
      </c>
      <c r="J339" t="n">
        <v>16.62</v>
      </c>
      <c r="K339" t="n">
        <v>0.07698000000000001</v>
      </c>
      <c r="L339" t="n">
        <v>0.1384</v>
      </c>
      <c r="M339" t="n">
        <v>0.009904</v>
      </c>
      <c r="N339" t="n">
        <v>13.9</v>
      </c>
      <c r="O339" t="n">
        <v>718.9</v>
      </c>
    </row>
    <row r="340">
      <c r="A340" t="n">
        <v>479</v>
      </c>
      <c r="B340" t="inlineStr">
        <is>
          <t>Train</t>
        </is>
      </c>
      <c r="C340" t="inlineStr">
        <is>
          <t>Benign</t>
        </is>
      </c>
      <c r="D340" t="n">
        <v>0</v>
      </c>
      <c r="E340" t="n">
        <v>82.04000000000001</v>
      </c>
      <c r="F340" t="n">
        <v>0.07431</v>
      </c>
      <c r="G340" t="n">
        <v>12.4</v>
      </c>
      <c r="H340" t="n">
        <v>0.1352</v>
      </c>
      <c r="I340" t="n">
        <v>21.9</v>
      </c>
      <c r="J340" t="n">
        <v>14.59</v>
      </c>
      <c r="K340" t="n">
        <v>0.09180000000000001</v>
      </c>
      <c r="L340" t="n">
        <v>0.2596</v>
      </c>
      <c r="M340" t="n">
        <v>0.04156</v>
      </c>
      <c r="N340" t="n">
        <v>11.49</v>
      </c>
      <c r="O340" t="n">
        <v>467.6</v>
      </c>
    </row>
    <row r="341">
      <c r="A341" t="n">
        <v>480</v>
      </c>
      <c r="B341" t="inlineStr">
        <is>
          <t>Train</t>
        </is>
      </c>
      <c r="C341" t="inlineStr">
        <is>
          <t>Malignant</t>
        </is>
      </c>
      <c r="D341" t="n">
        <v>1</v>
      </c>
      <c r="E341" t="n">
        <v>122.1</v>
      </c>
      <c r="F341" t="n">
        <v>0.1775</v>
      </c>
      <c r="G341" t="n">
        <v>17.39</v>
      </c>
      <c r="H341" t="n">
        <v>0.1377</v>
      </c>
      <c r="I341" t="n">
        <v>23.05</v>
      </c>
      <c r="J341" t="n">
        <v>19.51</v>
      </c>
      <c r="K341" t="n">
        <v>0.09136</v>
      </c>
      <c r="L341" t="n">
        <v>0.5897</v>
      </c>
      <c r="M341" t="n">
        <v>0.08079</v>
      </c>
      <c r="N341" t="n">
        <v>16.25</v>
      </c>
      <c r="O341" t="n">
        <v>939.7</v>
      </c>
    </row>
    <row r="342">
      <c r="A342" t="n">
        <v>482</v>
      </c>
      <c r="B342" t="inlineStr">
        <is>
          <t>Train</t>
        </is>
      </c>
      <c r="C342" t="inlineStr">
        <is>
          <t>Benign</t>
        </is>
      </c>
      <c r="D342" t="n">
        <v>0</v>
      </c>
      <c r="E342" t="n">
        <v>104.4</v>
      </c>
      <c r="F342" t="n">
        <v>0.0815</v>
      </c>
      <c r="G342" t="n">
        <v>16.41</v>
      </c>
      <c r="H342" t="n">
        <v>0.1064</v>
      </c>
      <c r="I342" t="n">
        <v>26.42</v>
      </c>
      <c r="J342" t="n">
        <v>19.24</v>
      </c>
      <c r="K342" t="n">
        <v>0.07603</v>
      </c>
      <c r="L342" t="n">
        <v>0.1673</v>
      </c>
      <c r="M342" t="n">
        <v>0.0153</v>
      </c>
      <c r="N342" t="n">
        <v>13.9</v>
      </c>
      <c r="O342" t="n">
        <v>830.5</v>
      </c>
    </row>
    <row r="343">
      <c r="A343" t="n">
        <v>484</v>
      </c>
      <c r="B343" t="inlineStr">
        <is>
          <t>Train</t>
        </is>
      </c>
      <c r="C343" t="inlineStr">
        <is>
          <t>Benign</t>
        </is>
      </c>
      <c r="D343" t="n">
        <v>0</v>
      </c>
      <c r="E343" t="n">
        <v>95.78</v>
      </c>
      <c r="F343" t="n">
        <v>0.09077</v>
      </c>
      <c r="G343" t="n">
        <v>14.96</v>
      </c>
      <c r="H343" t="n">
        <v>0.1199</v>
      </c>
      <c r="I343" t="n">
        <v>23.53</v>
      </c>
      <c r="J343" t="n">
        <v>17.64</v>
      </c>
      <c r="K343" t="n">
        <v>0.0696</v>
      </c>
      <c r="L343" t="n">
        <v>0.1742</v>
      </c>
      <c r="M343" t="n">
        <v>0.01698</v>
      </c>
      <c r="N343" t="n">
        <v>13.7</v>
      </c>
      <c r="O343" t="n">
        <v>686.5</v>
      </c>
    </row>
    <row r="344">
      <c r="A344" t="n">
        <v>485</v>
      </c>
      <c r="B344" t="inlineStr">
        <is>
          <t>Train</t>
        </is>
      </c>
      <c r="C344" t="inlineStr">
        <is>
          <t>Benign</t>
        </is>
      </c>
      <c r="D344" t="n">
        <v>0</v>
      </c>
      <c r="E344" t="n">
        <v>112.5</v>
      </c>
      <c r="F344" t="n">
        <v>0.1452</v>
      </c>
      <c r="G344" t="n">
        <v>17.01</v>
      </c>
      <c r="H344" t="n">
        <v>0.1541</v>
      </c>
      <c r="I344" t="n">
        <v>14.2</v>
      </c>
      <c r="J344" t="n">
        <v>11.28</v>
      </c>
      <c r="K344" t="n">
        <v>0.08180999999999999</v>
      </c>
      <c r="L344" t="n">
        <v>0.4004</v>
      </c>
      <c r="M344" t="n">
        <v>0.03336</v>
      </c>
      <c r="N344" t="n">
        <v>15.73</v>
      </c>
      <c r="O344" t="n">
        <v>854.3</v>
      </c>
    </row>
    <row r="345">
      <c r="A345" t="n">
        <v>486</v>
      </c>
      <c r="B345" t="inlineStr">
        <is>
          <t>Train</t>
        </is>
      </c>
      <c r="C345" t="inlineStr">
        <is>
          <t>Benign</t>
        </is>
      </c>
      <c r="D345" t="n">
        <v>0</v>
      </c>
      <c r="E345" t="n">
        <v>97.81999999999999</v>
      </c>
      <c r="F345" t="n">
        <v>0.1342</v>
      </c>
      <c r="G345" t="n">
        <v>13.78</v>
      </c>
      <c r="H345" t="n">
        <v>0.1175</v>
      </c>
      <c r="I345" t="n">
        <v>21.03</v>
      </c>
      <c r="J345" t="n">
        <v>16.41</v>
      </c>
      <c r="K345" t="n">
        <v>0.1034</v>
      </c>
      <c r="L345" t="n">
        <v>0.4896</v>
      </c>
      <c r="M345" t="n">
        <v>0.1114</v>
      </c>
      <c r="N345" t="n">
        <v>12.45</v>
      </c>
      <c r="O345" t="n">
        <v>580.6</v>
      </c>
    </row>
    <row r="346">
      <c r="A346" t="n">
        <v>487</v>
      </c>
      <c r="B346" t="inlineStr">
        <is>
          <t>Train</t>
        </is>
      </c>
      <c r="C346" t="inlineStr">
        <is>
          <t>Benign</t>
        </is>
      </c>
      <c r="D346" t="n">
        <v>0</v>
      </c>
      <c r="E346" t="n">
        <v>106</v>
      </c>
      <c r="F346" t="n">
        <v>0.07828</v>
      </c>
      <c r="G346" t="n">
        <v>16.46</v>
      </c>
      <c r="H346" t="n">
        <v>0.1142</v>
      </c>
      <c r="I346" t="n">
        <v>25.44</v>
      </c>
      <c r="J346" t="n">
        <v>16.85</v>
      </c>
      <c r="K346" t="n">
        <v>0.06596</v>
      </c>
      <c r="L346" t="n">
        <v>0.2437</v>
      </c>
      <c r="M346" t="n">
        <v>0.018</v>
      </c>
      <c r="N346" t="n">
        <v>14.64</v>
      </c>
      <c r="O346" t="n">
        <v>831</v>
      </c>
    </row>
    <row r="347">
      <c r="A347" t="n">
        <v>488</v>
      </c>
      <c r="B347" t="inlineStr">
        <is>
          <t>Train</t>
        </is>
      </c>
      <c r="C347" t="inlineStr">
        <is>
          <t>Malignant</t>
        </is>
      </c>
      <c r="D347" t="n">
        <v>1</v>
      </c>
      <c r="E347" t="n">
        <v>153.9</v>
      </c>
      <c r="F347" t="n">
        <v>0.206</v>
      </c>
      <c r="G347" t="n">
        <v>23.96</v>
      </c>
      <c r="H347" t="n">
        <v>0.1514</v>
      </c>
      <c r="I347" t="n">
        <v>30.39</v>
      </c>
      <c r="J347" t="n">
        <v>18.82</v>
      </c>
      <c r="K347" t="n">
        <v>0.09009</v>
      </c>
      <c r="L347" t="n">
        <v>0.5936</v>
      </c>
      <c r="M347" t="n">
        <v>0.04256</v>
      </c>
      <c r="N347" t="n">
        <v>19.44</v>
      </c>
      <c r="O347" t="n">
        <v>1740</v>
      </c>
    </row>
    <row r="348">
      <c r="A348" t="n">
        <v>489</v>
      </c>
      <c r="B348" t="inlineStr">
        <is>
          <t>Train</t>
        </is>
      </c>
      <c r="C348" t="inlineStr">
        <is>
          <t>Benign</t>
        </is>
      </c>
      <c r="D348" t="n">
        <v>0</v>
      </c>
      <c r="E348" t="n">
        <v>86.56999999999999</v>
      </c>
      <c r="F348" t="n">
        <v>0.09815</v>
      </c>
      <c r="G348" t="n">
        <v>13.32</v>
      </c>
      <c r="H348" t="n">
        <v>0.1526</v>
      </c>
      <c r="I348" t="n">
        <v>21.59</v>
      </c>
      <c r="J348" t="n">
        <v>16.17</v>
      </c>
      <c r="K348" t="n">
        <v>0.08024000000000001</v>
      </c>
      <c r="L348" t="n">
        <v>0.149</v>
      </c>
      <c r="M348" t="n">
        <v>0.01851</v>
      </c>
      <c r="N348" t="n">
        <v>11.68</v>
      </c>
      <c r="O348" t="n">
        <v>549.8</v>
      </c>
    </row>
    <row r="349">
      <c r="A349" t="n">
        <v>490</v>
      </c>
      <c r="B349" t="inlineStr">
        <is>
          <t>Train</t>
        </is>
      </c>
      <c r="C349" t="inlineStr">
        <is>
          <t>Malignant</t>
        </is>
      </c>
      <c r="D349" t="n">
        <v>1</v>
      </c>
      <c r="E349" t="n">
        <v>127.3</v>
      </c>
      <c r="F349" t="n">
        <v>0.08737</v>
      </c>
      <c r="G349" t="n">
        <v>19.18</v>
      </c>
      <c r="H349" t="n">
        <v>0.1009</v>
      </c>
      <c r="I349" t="n">
        <v>26.56</v>
      </c>
      <c r="J349" t="n">
        <v>20.2</v>
      </c>
      <c r="K349" t="n">
        <v>0.07623000000000001</v>
      </c>
      <c r="L349" t="n">
        <v>0.2477</v>
      </c>
      <c r="M349" t="n">
        <v>0.01423</v>
      </c>
      <c r="N349" t="n">
        <v>16.69</v>
      </c>
      <c r="O349" t="n">
        <v>1084</v>
      </c>
    </row>
    <row r="350">
      <c r="A350" t="n">
        <v>492</v>
      </c>
      <c r="B350" t="inlineStr">
        <is>
          <t>Train</t>
        </is>
      </c>
      <c r="C350" t="inlineStr">
        <is>
          <t>Benign</t>
        </is>
      </c>
      <c r="D350" t="n">
        <v>0</v>
      </c>
      <c r="E350" t="n">
        <v>127.1</v>
      </c>
      <c r="F350" t="n">
        <v>0.08341</v>
      </c>
      <c r="G350" t="n">
        <v>19.82</v>
      </c>
      <c r="H350" t="n">
        <v>0.09862</v>
      </c>
      <c r="I350" t="n">
        <v>18.42</v>
      </c>
      <c r="J350" t="n">
        <v>13.23</v>
      </c>
      <c r="K350" t="n">
        <v>0.05871</v>
      </c>
      <c r="L350" t="n">
        <v>0.1048</v>
      </c>
      <c r="M350" t="n">
        <v>0.01153</v>
      </c>
      <c r="N350" t="n">
        <v>17.85</v>
      </c>
      <c r="O350" t="n">
        <v>1210</v>
      </c>
    </row>
    <row r="351">
      <c r="A351" t="n">
        <v>494</v>
      </c>
      <c r="B351" t="inlineStr">
        <is>
          <t>Train</t>
        </is>
      </c>
      <c r="C351" t="inlineStr">
        <is>
          <t>Benign</t>
        </is>
      </c>
      <c r="D351" t="n">
        <v>0</v>
      </c>
      <c r="E351" t="n">
        <v>83.23999999999999</v>
      </c>
      <c r="F351" t="n">
        <v>0.0268</v>
      </c>
      <c r="G351" t="n">
        <v>13.19</v>
      </c>
      <c r="H351" t="n">
        <v>0.09439</v>
      </c>
      <c r="I351" t="n">
        <v>16.36</v>
      </c>
      <c r="J351" t="n">
        <v>12.83</v>
      </c>
      <c r="K351" t="n">
        <v>0.07028</v>
      </c>
      <c r="L351" t="n">
        <v>0.01674</v>
      </c>
      <c r="M351" t="n">
        <v>0.006416</v>
      </c>
      <c r="N351" t="n">
        <v>12.46</v>
      </c>
      <c r="O351" t="n">
        <v>534</v>
      </c>
    </row>
    <row r="352">
      <c r="A352" t="n">
        <v>495</v>
      </c>
      <c r="B352" t="inlineStr">
        <is>
          <t>Train</t>
        </is>
      </c>
      <c r="C352" t="inlineStr">
        <is>
          <t>Benign</t>
        </is>
      </c>
      <c r="D352" t="n">
        <v>0</v>
      </c>
      <c r="E352" t="n">
        <v>95.29000000000001</v>
      </c>
      <c r="F352" t="n">
        <v>0.04195</v>
      </c>
      <c r="G352" t="n">
        <v>14.5</v>
      </c>
      <c r="H352" t="n">
        <v>0.1118</v>
      </c>
      <c r="I352" t="n">
        <v>28.46</v>
      </c>
      <c r="J352" t="n">
        <v>20.54</v>
      </c>
      <c r="K352" t="n">
        <v>0.07428999999999999</v>
      </c>
      <c r="L352" t="n">
        <v>0.07698000000000001</v>
      </c>
      <c r="M352" t="n">
        <v>0.01341</v>
      </c>
      <c r="N352" t="n">
        <v>13.16</v>
      </c>
      <c r="O352" t="n">
        <v>648.3</v>
      </c>
    </row>
    <row r="353">
      <c r="A353" t="n">
        <v>496</v>
      </c>
      <c r="B353" t="inlineStr">
        <is>
          <t>Train</t>
        </is>
      </c>
      <c r="C353" t="inlineStr">
        <is>
          <t>Benign</t>
        </is>
      </c>
      <c r="D353" t="n">
        <v>0</v>
      </c>
      <c r="E353" t="n">
        <v>103.9</v>
      </c>
      <c r="F353" t="n">
        <v>0.1017</v>
      </c>
      <c r="G353" t="n">
        <v>16.01</v>
      </c>
      <c r="H353" t="n">
        <v>0.1216</v>
      </c>
      <c r="I353" t="n">
        <v>28.48</v>
      </c>
      <c r="J353" t="n">
        <v>20.21</v>
      </c>
      <c r="K353" t="n">
        <v>0.06598999999999999</v>
      </c>
      <c r="L353" t="n">
        <v>0.17</v>
      </c>
      <c r="M353" t="n">
        <v>0.02153</v>
      </c>
      <c r="N353" t="n">
        <v>14.87</v>
      </c>
      <c r="O353" t="n">
        <v>783.6</v>
      </c>
    </row>
    <row r="354">
      <c r="A354" t="n">
        <v>497</v>
      </c>
      <c r="B354" t="inlineStr">
        <is>
          <t>Train</t>
        </is>
      </c>
      <c r="C354" t="inlineStr">
        <is>
          <t>Benign</t>
        </is>
      </c>
      <c r="D354" t="n">
        <v>0</v>
      </c>
      <c r="E354" t="n">
        <v>95.29000000000001</v>
      </c>
      <c r="F354" t="n">
        <v>0.1407</v>
      </c>
      <c r="G354" t="n">
        <v>14.38</v>
      </c>
      <c r="H354" t="n">
        <v>0.1533</v>
      </c>
      <c r="I354" t="n">
        <v>22.15</v>
      </c>
      <c r="J354" t="n">
        <v>18.17</v>
      </c>
      <c r="K354" t="n">
        <v>0.1033</v>
      </c>
      <c r="L354" t="n">
        <v>0.3582</v>
      </c>
      <c r="M354" t="n">
        <v>0.02636</v>
      </c>
      <c r="N354" t="n">
        <v>12.65</v>
      </c>
      <c r="O354" t="n">
        <v>633.7</v>
      </c>
    </row>
    <row r="355">
      <c r="A355" t="n">
        <v>501</v>
      </c>
      <c r="B355" t="inlineStr">
        <is>
          <t>Train</t>
        </is>
      </c>
      <c r="C355" t="inlineStr">
        <is>
          <t>Benign</t>
        </is>
      </c>
      <c r="D355" t="n">
        <v>0</v>
      </c>
      <c r="E355" t="n">
        <v>109.7</v>
      </c>
      <c r="F355" t="n">
        <v>0.1018</v>
      </c>
      <c r="G355" t="n">
        <v>16.76</v>
      </c>
      <c r="H355" t="n">
        <v>0.1135</v>
      </c>
      <c r="I355" t="n">
        <v>20.43</v>
      </c>
      <c r="J355" t="n">
        <v>16.74</v>
      </c>
      <c r="K355" t="n">
        <v>0.08549</v>
      </c>
      <c r="L355" t="n">
        <v>0.1856</v>
      </c>
      <c r="M355" t="n">
        <v>0.01996</v>
      </c>
      <c r="N355" t="n">
        <v>15.04</v>
      </c>
      <c r="O355" t="n">
        <v>856.9</v>
      </c>
    </row>
    <row r="356">
      <c r="A356" t="n">
        <v>504</v>
      </c>
      <c r="B356" t="inlineStr">
        <is>
          <t>Train</t>
        </is>
      </c>
      <c r="C356" t="inlineStr">
        <is>
          <t>Malignant</t>
        </is>
      </c>
      <c r="D356" t="n">
        <v>1</v>
      </c>
      <c r="E356" t="n">
        <v>211.5</v>
      </c>
      <c r="F356" t="n">
        <v>0.2264</v>
      </c>
      <c r="G356" t="n">
        <v>30.79</v>
      </c>
      <c r="H356" t="n">
        <v>0.1199</v>
      </c>
      <c r="I356" t="n">
        <v>23.87</v>
      </c>
      <c r="J356" t="n">
        <v>19.83</v>
      </c>
      <c r="K356" t="n">
        <v>0.07277</v>
      </c>
      <c r="L356" t="n">
        <v>0.3794</v>
      </c>
      <c r="M356" t="n">
        <v>0.03976</v>
      </c>
      <c r="N356" t="n">
        <v>23.09</v>
      </c>
      <c r="O356" t="n">
        <v>2782</v>
      </c>
    </row>
    <row r="357">
      <c r="A357" t="n">
        <v>505</v>
      </c>
      <c r="B357" t="inlineStr">
        <is>
          <t>Train</t>
        </is>
      </c>
      <c r="C357" t="inlineStr">
        <is>
          <t>Benign</t>
        </is>
      </c>
      <c r="D357" t="n">
        <v>0</v>
      </c>
      <c r="E357" t="n">
        <v>69.05</v>
      </c>
      <c r="F357" t="n">
        <v>0.1025</v>
      </c>
      <c r="G357" t="n">
        <v>10.28</v>
      </c>
      <c r="H357" t="n">
        <v>0.1902</v>
      </c>
      <c r="I357" t="n">
        <v>16.38</v>
      </c>
      <c r="J357" t="n">
        <v>12.87</v>
      </c>
      <c r="K357" t="n">
        <v>0.1252</v>
      </c>
      <c r="L357" t="n">
        <v>0.2099</v>
      </c>
      <c r="M357" t="n">
        <v>0.03483</v>
      </c>
      <c r="N357" t="n">
        <v>9.268000000000001</v>
      </c>
      <c r="O357" t="n">
        <v>300.2</v>
      </c>
    </row>
    <row r="358">
      <c r="A358" t="n">
        <v>507</v>
      </c>
      <c r="B358" t="inlineStr">
        <is>
          <t>Train</t>
        </is>
      </c>
      <c r="C358" t="inlineStr">
        <is>
          <t>Benign</t>
        </is>
      </c>
      <c r="D358" t="n">
        <v>0</v>
      </c>
      <c r="E358" t="n">
        <v>85.13</v>
      </c>
      <c r="F358" t="n">
        <v>0.08087999999999999</v>
      </c>
      <c r="G358" t="n">
        <v>13.16</v>
      </c>
      <c r="H358" t="n">
        <v>0.1402</v>
      </c>
      <c r="I358" t="n">
        <v>24.17</v>
      </c>
      <c r="J358" t="n">
        <v>20.04</v>
      </c>
      <c r="K358" t="n">
        <v>0.08839</v>
      </c>
      <c r="L358" t="n">
        <v>0.3535</v>
      </c>
      <c r="M358" t="n">
        <v>0.03966</v>
      </c>
      <c r="N358" t="n">
        <v>12.22</v>
      </c>
      <c r="O358" t="n">
        <v>515.3</v>
      </c>
    </row>
    <row r="359">
      <c r="A359" t="n">
        <v>508</v>
      </c>
      <c r="B359" t="inlineStr">
        <is>
          <t>Train</t>
        </is>
      </c>
      <c r="C359" t="inlineStr">
        <is>
          <t>Benign</t>
        </is>
      </c>
      <c r="D359" t="n">
        <v>0</v>
      </c>
      <c r="E359" t="n">
        <v>76.08</v>
      </c>
      <c r="F359" t="n">
        <v>0.09514</v>
      </c>
      <c r="G359" t="n">
        <v>11.69</v>
      </c>
      <c r="H359" t="n">
        <v>0.1662</v>
      </c>
      <c r="I359" t="n">
        <v>20.74</v>
      </c>
      <c r="J359" t="n">
        <v>17.12</v>
      </c>
      <c r="K359" t="n">
        <v>0.1168</v>
      </c>
      <c r="L359" t="n">
        <v>0.1256</v>
      </c>
      <c r="M359" t="n">
        <v>0.018</v>
      </c>
      <c r="N359" t="n">
        <v>11.06</v>
      </c>
      <c r="O359" t="n">
        <v>411.1</v>
      </c>
    </row>
    <row r="360">
      <c r="A360" t="n">
        <v>509</v>
      </c>
      <c r="B360" t="inlineStr">
        <is>
          <t>Train</t>
        </is>
      </c>
      <c r="C360" t="inlineStr">
        <is>
          <t>Benign</t>
        </is>
      </c>
      <c r="D360" t="n">
        <v>0</v>
      </c>
      <c r="E360" t="n">
        <v>109.8</v>
      </c>
      <c r="F360" t="n">
        <v>0.1357</v>
      </c>
      <c r="G360" t="n">
        <v>17.32</v>
      </c>
      <c r="H360" t="n">
        <v>0.1354</v>
      </c>
      <c r="I360" t="n">
        <v>17.76</v>
      </c>
      <c r="J360" t="n">
        <v>15.7</v>
      </c>
      <c r="K360" t="n">
        <v>0.0723</v>
      </c>
      <c r="L360" t="n">
        <v>0.1947</v>
      </c>
      <c r="M360" t="n">
        <v>0.0247</v>
      </c>
      <c r="N360" t="n">
        <v>16.3</v>
      </c>
      <c r="O360" t="n">
        <v>928.2</v>
      </c>
    </row>
    <row r="361">
      <c r="A361" t="n">
        <v>511</v>
      </c>
      <c r="B361" t="inlineStr">
        <is>
          <t>Train</t>
        </is>
      </c>
      <c r="C361" t="inlineStr">
        <is>
          <t>Benign</t>
        </is>
      </c>
      <c r="D361" t="n">
        <v>0</v>
      </c>
      <c r="E361" t="n">
        <v>81.25</v>
      </c>
      <c r="F361" t="n">
        <v>0.1056</v>
      </c>
      <c r="G361" t="n">
        <v>12.45</v>
      </c>
      <c r="H361" t="n">
        <v>0.1073</v>
      </c>
      <c r="I361" t="n">
        <v>17.6</v>
      </c>
      <c r="J361" t="n">
        <v>14.69</v>
      </c>
      <c r="K361" t="n">
        <v>0.09879</v>
      </c>
      <c r="L361" t="n">
        <v>0.269</v>
      </c>
      <c r="M361" t="n">
        <v>0.04017</v>
      </c>
      <c r="N361" t="n">
        <v>11.74</v>
      </c>
      <c r="O361" t="n">
        <v>473.8</v>
      </c>
    </row>
    <row r="362">
      <c r="A362" t="n">
        <v>512</v>
      </c>
      <c r="B362" t="inlineStr">
        <is>
          <t>Train</t>
        </is>
      </c>
      <c r="C362" t="inlineStr">
        <is>
          <t>Benign</t>
        </is>
      </c>
      <c r="D362" t="n">
        <v>0</v>
      </c>
      <c r="E362" t="n">
        <v>101.7</v>
      </c>
      <c r="F362" t="n">
        <v>0.07955</v>
      </c>
      <c r="G362" t="n">
        <v>15.61</v>
      </c>
      <c r="H362" t="n">
        <v>0.1139</v>
      </c>
      <c r="I362" t="n">
        <v>17.58</v>
      </c>
      <c r="J362" t="n">
        <v>14.7</v>
      </c>
      <c r="K362" t="n">
        <v>0.06142</v>
      </c>
      <c r="L362" t="n">
        <v>0.1101</v>
      </c>
      <c r="M362" t="n">
        <v>0.01482</v>
      </c>
      <c r="N362" t="n">
        <v>14.81</v>
      </c>
      <c r="O362" t="n">
        <v>760.2</v>
      </c>
    </row>
    <row r="363">
      <c r="A363" t="n">
        <v>513</v>
      </c>
      <c r="B363" t="inlineStr">
        <is>
          <t>Train</t>
        </is>
      </c>
      <c r="C363" t="inlineStr">
        <is>
          <t>Malignant</t>
        </is>
      </c>
      <c r="D363" t="n">
        <v>1</v>
      </c>
      <c r="E363" t="n">
        <v>113.3</v>
      </c>
      <c r="F363" t="n">
        <v>0.2051</v>
      </c>
      <c r="G363" t="n">
        <v>16.41</v>
      </c>
      <c r="H363" t="n">
        <v>0.1574</v>
      </c>
      <c r="I363" t="n">
        <v>29.66</v>
      </c>
      <c r="J363" t="n">
        <v>20.52</v>
      </c>
      <c r="K363" t="n">
        <v>0.1109</v>
      </c>
      <c r="L363" t="n">
        <v>0.5106000000000001</v>
      </c>
      <c r="M363" t="n">
        <v>0.03452</v>
      </c>
      <c r="N363" t="n">
        <v>13.4</v>
      </c>
      <c r="O363" t="n">
        <v>844.4</v>
      </c>
    </row>
    <row r="364">
      <c r="A364" t="n">
        <v>516</v>
      </c>
      <c r="B364" t="inlineStr">
        <is>
          <t>Train</t>
        </is>
      </c>
      <c r="C364" t="inlineStr">
        <is>
          <t>Benign</t>
        </is>
      </c>
      <c r="D364" t="n">
        <v>0</v>
      </c>
      <c r="E364" t="n">
        <v>79.15000000000001</v>
      </c>
      <c r="F364" t="n">
        <v>0.08542</v>
      </c>
      <c r="G364" t="n">
        <v>12.47</v>
      </c>
      <c r="H364" t="n">
        <v>0.1483</v>
      </c>
      <c r="I364" t="n">
        <v>23.03</v>
      </c>
      <c r="J364" t="n">
        <v>18.61</v>
      </c>
      <c r="K364" t="n">
        <v>0.06783</v>
      </c>
      <c r="L364" t="n">
        <v>0.1624</v>
      </c>
      <c r="M364" t="n">
        <v>0.02099</v>
      </c>
      <c r="N364" t="n">
        <v>11.34</v>
      </c>
      <c r="O364" t="n">
        <v>478.6</v>
      </c>
    </row>
    <row r="365">
      <c r="A365" t="n">
        <v>517</v>
      </c>
      <c r="B365" t="inlineStr">
        <is>
          <t>Train</t>
        </is>
      </c>
      <c r="C365" t="inlineStr">
        <is>
          <t>Malignant</t>
        </is>
      </c>
      <c r="D365" t="n">
        <v>1</v>
      </c>
      <c r="E365" t="n">
        <v>142.2</v>
      </c>
      <c r="F365" t="n">
        <v>0.151</v>
      </c>
      <c r="G365" t="n">
        <v>21.86</v>
      </c>
      <c r="H365" t="n">
        <v>0.1492</v>
      </c>
      <c r="I365" t="n">
        <v>26.2</v>
      </c>
      <c r="J365" t="n">
        <v>20.58</v>
      </c>
      <c r="K365" t="n">
        <v>0.07863000000000001</v>
      </c>
      <c r="L365" t="n">
        <v>0.3759</v>
      </c>
      <c r="M365" t="n">
        <v>0.02913</v>
      </c>
      <c r="N365" t="n">
        <v>18.31</v>
      </c>
      <c r="O365" t="n">
        <v>1493</v>
      </c>
    </row>
    <row r="366">
      <c r="A366" t="n">
        <v>518</v>
      </c>
      <c r="B366" t="inlineStr">
        <is>
          <t>Train</t>
        </is>
      </c>
      <c r="C366" t="inlineStr">
        <is>
          <t>Malignant</t>
        </is>
      </c>
      <c r="D366" t="n">
        <v>1</v>
      </c>
      <c r="E366" t="n">
        <v>160.5</v>
      </c>
      <c r="F366" t="n">
        <v>0.1613</v>
      </c>
      <c r="G366" t="n">
        <v>23.73</v>
      </c>
      <c r="H366" t="n">
        <v>0.1417</v>
      </c>
      <c r="I366" t="n">
        <v>25.23</v>
      </c>
      <c r="J366" t="n">
        <v>20.26</v>
      </c>
      <c r="K366" t="n">
        <v>0.09136</v>
      </c>
      <c r="L366" t="n">
        <v>0.4185</v>
      </c>
      <c r="M366" t="n">
        <v>0.03052</v>
      </c>
      <c r="N366" t="n">
        <v>19.89</v>
      </c>
      <c r="O366" t="n">
        <v>1646</v>
      </c>
    </row>
    <row r="367">
      <c r="A367" t="n">
        <v>521</v>
      </c>
      <c r="B367" t="inlineStr">
        <is>
          <t>Train</t>
        </is>
      </c>
      <c r="C367" t="inlineStr">
        <is>
          <t>Benign</t>
        </is>
      </c>
      <c r="D367" t="n">
        <v>0</v>
      </c>
      <c r="E367" t="n">
        <v>67.84</v>
      </c>
      <c r="F367" t="n">
        <v>0.07262</v>
      </c>
      <c r="G367" t="n">
        <v>10.57</v>
      </c>
      <c r="H367" t="n">
        <v>0.185</v>
      </c>
      <c r="I367" t="n">
        <v>17.84</v>
      </c>
      <c r="J367" t="n">
        <v>13.9</v>
      </c>
      <c r="K367" t="n">
        <v>0.08982</v>
      </c>
      <c r="L367" t="n">
        <v>0.09995999999999999</v>
      </c>
      <c r="M367" t="n">
        <v>0.02197</v>
      </c>
      <c r="N367" t="n">
        <v>9.295</v>
      </c>
      <c r="O367" t="n">
        <v>326.6</v>
      </c>
    </row>
    <row r="368">
      <c r="A368" t="n">
        <v>523</v>
      </c>
      <c r="B368" t="inlineStr">
        <is>
          <t>Train</t>
        </is>
      </c>
      <c r="C368" t="inlineStr">
        <is>
          <t>Benign</t>
        </is>
      </c>
      <c r="D368" t="n">
        <v>0</v>
      </c>
      <c r="E368" t="n">
        <v>76.38</v>
      </c>
      <c r="F368" t="n">
        <v>0.02832</v>
      </c>
      <c r="G368" t="n">
        <v>11.93</v>
      </c>
      <c r="H368" t="n">
        <v>0.1108</v>
      </c>
      <c r="I368" t="n">
        <v>26.43</v>
      </c>
      <c r="J368" t="n">
        <v>19.83</v>
      </c>
      <c r="K368" t="n">
        <v>0.07613</v>
      </c>
      <c r="L368" t="n">
        <v>0.02533</v>
      </c>
      <c r="M368" t="n">
        <v>0.003846</v>
      </c>
      <c r="N368" t="n">
        <v>11.26</v>
      </c>
      <c r="O368" t="n">
        <v>435.9</v>
      </c>
    </row>
    <row r="369">
      <c r="A369" t="n">
        <v>524</v>
      </c>
      <c r="B369" t="inlineStr">
        <is>
          <t>Train</t>
        </is>
      </c>
      <c r="C369" t="inlineStr">
        <is>
          <t>Benign</t>
        </is>
      </c>
      <c r="D369" t="n">
        <v>0</v>
      </c>
      <c r="E369" t="n">
        <v>99.43000000000001</v>
      </c>
      <c r="F369" t="n">
        <v>0.1284</v>
      </c>
      <c r="G369" t="n">
        <v>15.11</v>
      </c>
      <c r="H369" t="n">
        <v>0.1425</v>
      </c>
      <c r="I369" t="n">
        <v>25.63</v>
      </c>
      <c r="J369" t="n">
        <v>18.68</v>
      </c>
      <c r="K369" t="n">
        <v>0.09031</v>
      </c>
      <c r="L369" t="n">
        <v>0.1935</v>
      </c>
      <c r="M369" t="n">
        <v>0.02086</v>
      </c>
      <c r="N369" t="n">
        <v>13.71</v>
      </c>
      <c r="O369" t="n">
        <v>701.9</v>
      </c>
    </row>
    <row r="370">
      <c r="A370" t="n">
        <v>525</v>
      </c>
      <c r="B370" t="inlineStr">
        <is>
          <t>Train</t>
        </is>
      </c>
      <c r="C370" t="inlineStr">
        <is>
          <t>Benign</t>
        </is>
      </c>
      <c r="D370" t="n">
        <v>0</v>
      </c>
      <c r="E370" t="n">
        <v>74.31999999999999</v>
      </c>
      <c r="F370" t="n">
        <v>0.06528</v>
      </c>
      <c r="G370" t="n">
        <v>11.24</v>
      </c>
      <c r="H370" t="n">
        <v>0.1419</v>
      </c>
      <c r="I370" t="n">
        <v>22.99</v>
      </c>
      <c r="J370" t="n">
        <v>15.68</v>
      </c>
      <c r="K370" t="n">
        <v>0.09209000000000001</v>
      </c>
      <c r="L370" t="n">
        <v>0.08434</v>
      </c>
      <c r="M370" t="n">
        <v>0.01062</v>
      </c>
      <c r="N370" t="n">
        <v>9.847</v>
      </c>
      <c r="O370" t="n">
        <v>376.5</v>
      </c>
    </row>
    <row r="371">
      <c r="A371" t="n">
        <v>526</v>
      </c>
      <c r="B371" t="inlineStr">
        <is>
          <t>Train</t>
        </is>
      </c>
      <c r="C371" t="inlineStr">
        <is>
          <t>Benign</t>
        </is>
      </c>
      <c r="D371" t="n">
        <v>0</v>
      </c>
      <c r="E371" t="n">
        <v>63.3</v>
      </c>
      <c r="F371" t="n">
        <v>0.08512</v>
      </c>
      <c r="G371" t="n">
        <v>9.473000000000001</v>
      </c>
      <c r="H371" t="n">
        <v>0.1641</v>
      </c>
      <c r="I371" t="n">
        <v>18.45</v>
      </c>
      <c r="J371" t="n">
        <v>13.1</v>
      </c>
      <c r="K371" t="n">
        <v>0.1049</v>
      </c>
      <c r="L371" t="n">
        <v>0.1754</v>
      </c>
      <c r="M371" t="n">
        <v>0.01801</v>
      </c>
      <c r="N371" t="n">
        <v>8.571</v>
      </c>
      <c r="O371" t="n">
        <v>275.6</v>
      </c>
    </row>
    <row r="372">
      <c r="A372" t="n">
        <v>527</v>
      </c>
      <c r="B372" t="inlineStr">
        <is>
          <t>Train</t>
        </is>
      </c>
      <c r="C372" t="inlineStr">
        <is>
          <t>Benign</t>
        </is>
      </c>
      <c r="D372" t="n">
        <v>0</v>
      </c>
      <c r="E372" t="n">
        <v>101.9</v>
      </c>
      <c r="F372" t="n">
        <v>0.1427</v>
      </c>
      <c r="G372" t="n">
        <v>15.35</v>
      </c>
      <c r="H372" t="n">
        <v>0.1624</v>
      </c>
      <c r="I372" t="n">
        <v>25.16</v>
      </c>
      <c r="J372" t="n">
        <v>18.75</v>
      </c>
      <c r="K372" t="n">
        <v>0.08665</v>
      </c>
      <c r="L372" t="n">
        <v>0.2654</v>
      </c>
      <c r="M372" t="n">
        <v>0.01509</v>
      </c>
      <c r="N372" t="n">
        <v>13.46</v>
      </c>
      <c r="O372" t="n">
        <v>719.8</v>
      </c>
    </row>
    <row r="373">
      <c r="A373" t="n">
        <v>528</v>
      </c>
      <c r="B373" t="inlineStr">
        <is>
          <t>Train</t>
        </is>
      </c>
      <c r="C373" t="inlineStr">
        <is>
          <t>Benign</t>
        </is>
      </c>
      <c r="D373" t="n">
        <v>0</v>
      </c>
      <c r="E373" t="n">
        <v>87.22</v>
      </c>
      <c r="F373" t="n">
        <v>0.107</v>
      </c>
      <c r="G373" t="n">
        <v>13.61</v>
      </c>
      <c r="H373" t="n">
        <v>0.1292</v>
      </c>
      <c r="I373" t="n">
        <v>19.27</v>
      </c>
      <c r="J373" t="n">
        <v>12.27</v>
      </c>
      <c r="K373" t="n">
        <v>0.07592</v>
      </c>
      <c r="L373" t="n">
        <v>0.1791</v>
      </c>
      <c r="M373" t="n">
        <v>0.008732</v>
      </c>
      <c r="N373" t="n">
        <v>12.34</v>
      </c>
      <c r="O373" t="n">
        <v>564.9</v>
      </c>
    </row>
    <row r="374">
      <c r="A374" t="n">
        <v>530</v>
      </c>
      <c r="B374" t="inlineStr">
        <is>
          <t>Train</t>
        </is>
      </c>
      <c r="C374" t="inlineStr">
        <is>
          <t>Benign</t>
        </is>
      </c>
      <c r="D374" t="n">
        <v>0</v>
      </c>
      <c r="E374" t="n">
        <v>86.92</v>
      </c>
      <c r="F374" t="n">
        <v>0.07393</v>
      </c>
      <c r="G374" t="n">
        <v>13.45</v>
      </c>
      <c r="H374" t="n">
        <v>0.1521</v>
      </c>
      <c r="I374" t="n">
        <v>15.77</v>
      </c>
      <c r="J374" t="n">
        <v>13.44</v>
      </c>
      <c r="K374" t="n">
        <v>0.08051999999999999</v>
      </c>
      <c r="L374" t="n">
        <v>0.1622</v>
      </c>
      <c r="M374" t="n">
        <v>0.01798</v>
      </c>
      <c r="N374" t="n">
        <v>12.07</v>
      </c>
      <c r="O374" t="n">
        <v>549.9</v>
      </c>
    </row>
    <row r="375">
      <c r="A375" t="n">
        <v>531</v>
      </c>
      <c r="B375" t="inlineStr">
        <is>
          <t>Train</t>
        </is>
      </c>
      <c r="C375" t="inlineStr">
        <is>
          <t>Benign</t>
        </is>
      </c>
      <c r="D375" t="n">
        <v>0</v>
      </c>
      <c r="E375" t="n">
        <v>88.52</v>
      </c>
      <c r="F375" t="n">
        <v>0.101</v>
      </c>
      <c r="G375" t="n">
        <v>13.5</v>
      </c>
      <c r="H375" t="n">
        <v>0.1349</v>
      </c>
      <c r="I375" t="n">
        <v>27.98</v>
      </c>
      <c r="J375" t="n">
        <v>17.56</v>
      </c>
      <c r="K375" t="n">
        <v>0.07757</v>
      </c>
      <c r="L375" t="n">
        <v>0.1366</v>
      </c>
      <c r="M375" t="n">
        <v>0.01737</v>
      </c>
      <c r="N375" t="n">
        <v>11.75</v>
      </c>
      <c r="O375" t="n">
        <v>552.3</v>
      </c>
    </row>
    <row r="376">
      <c r="A376" t="n">
        <v>532</v>
      </c>
      <c r="B376" t="inlineStr">
        <is>
          <t>Train</t>
        </is>
      </c>
      <c r="C376" t="inlineStr">
        <is>
          <t>Benign</t>
        </is>
      </c>
      <c r="D376" t="n">
        <v>0</v>
      </c>
      <c r="E376" t="n">
        <v>87</v>
      </c>
      <c r="F376" t="n">
        <v>0.08119999999999999</v>
      </c>
      <c r="G376" t="n">
        <v>13.35</v>
      </c>
      <c r="H376" t="n">
        <v>0.155</v>
      </c>
      <c r="I376" t="n">
        <v>28.81</v>
      </c>
      <c r="J376" t="n">
        <v>20.02</v>
      </c>
      <c r="K376" t="n">
        <v>0.0895</v>
      </c>
      <c r="L376" t="n">
        <v>0.2758</v>
      </c>
      <c r="M376" t="n">
        <v>0.0184</v>
      </c>
      <c r="N376" t="n">
        <v>11.67</v>
      </c>
      <c r="O376" t="n">
        <v>550.6</v>
      </c>
    </row>
    <row r="377">
      <c r="A377" t="n">
        <v>533</v>
      </c>
      <c r="B377" t="inlineStr">
        <is>
          <t>Train</t>
        </is>
      </c>
      <c r="C377" t="inlineStr">
        <is>
          <t>Benign</t>
        </is>
      </c>
      <c r="D377" t="n">
        <v>0</v>
      </c>
      <c r="E377" t="n">
        <v>101.6</v>
      </c>
      <c r="F377" t="n">
        <v>0.08704000000000001</v>
      </c>
      <c r="G377" t="n">
        <v>15.85</v>
      </c>
      <c r="H377" t="n">
        <v>0.1264</v>
      </c>
      <c r="I377" t="n">
        <v>20.2</v>
      </c>
      <c r="J377" t="n">
        <v>16.33</v>
      </c>
      <c r="K377" t="n">
        <v>0.07782</v>
      </c>
      <c r="L377" t="n">
        <v>0.1206</v>
      </c>
      <c r="M377" t="n">
        <v>0.007078</v>
      </c>
      <c r="N377" t="n">
        <v>13.68</v>
      </c>
      <c r="O377" t="n">
        <v>773.4</v>
      </c>
    </row>
    <row r="378">
      <c r="A378" t="n">
        <v>536</v>
      </c>
      <c r="B378" t="inlineStr">
        <is>
          <t>Train</t>
        </is>
      </c>
      <c r="C378" t="inlineStr">
        <is>
          <t>Malignant</t>
        </is>
      </c>
      <c r="D378" t="n">
        <v>1</v>
      </c>
      <c r="E378" t="n">
        <v>160.2</v>
      </c>
      <c r="F378" t="n">
        <v>0.2148</v>
      </c>
      <c r="G378" t="n">
        <v>24.3</v>
      </c>
      <c r="H378" t="n">
        <v>0.1268</v>
      </c>
      <c r="I378" t="n">
        <v>25.48</v>
      </c>
      <c r="J378" t="n">
        <v>20.86</v>
      </c>
      <c r="K378" t="n">
        <v>0.07568999999999999</v>
      </c>
      <c r="L378" t="n">
        <v>0.4433</v>
      </c>
      <c r="M378" t="n">
        <v>0.04005</v>
      </c>
      <c r="N378" t="n">
        <v>20.55</v>
      </c>
      <c r="O378" t="n">
        <v>1809</v>
      </c>
    </row>
    <row r="379">
      <c r="A379" t="n">
        <v>538</v>
      </c>
      <c r="B379" t="inlineStr">
        <is>
          <t>Train</t>
        </is>
      </c>
      <c r="C379" t="inlineStr">
        <is>
          <t>Benign</t>
        </is>
      </c>
      <c r="D379" t="n">
        <v>0</v>
      </c>
      <c r="E379" t="n">
        <v>86.12</v>
      </c>
      <c r="F379" t="n">
        <v>0.1308</v>
      </c>
      <c r="G379" t="n">
        <v>12.98</v>
      </c>
      <c r="H379" t="n">
        <v>0.1768</v>
      </c>
      <c r="I379" t="n">
        <v>32.19</v>
      </c>
      <c r="J379" t="n">
        <v>24.44</v>
      </c>
      <c r="K379" t="n">
        <v>0.0997</v>
      </c>
      <c r="L379" t="n">
        <v>0.1395</v>
      </c>
      <c r="M379" t="n">
        <v>0.01865</v>
      </c>
      <c r="N379" t="n">
        <v>11.69</v>
      </c>
      <c r="O379" t="n">
        <v>487.7</v>
      </c>
    </row>
    <row r="380">
      <c r="A380" t="n">
        <v>539</v>
      </c>
      <c r="B380" t="inlineStr">
        <is>
          <t>Train</t>
        </is>
      </c>
      <c r="C380" t="inlineStr">
        <is>
          <t>Benign</t>
        </is>
      </c>
      <c r="D380" t="n">
        <v>0</v>
      </c>
      <c r="E380" t="n">
        <v>57.17</v>
      </c>
      <c r="F380" t="n">
        <v>0</v>
      </c>
      <c r="G380" t="n">
        <v>9.077</v>
      </c>
      <c r="H380" t="n">
        <v>0.1256</v>
      </c>
      <c r="I380" t="n">
        <v>30.92</v>
      </c>
      <c r="J380" t="n">
        <v>25.49</v>
      </c>
      <c r="K380" t="n">
        <v>0.09938</v>
      </c>
      <c r="L380" t="n">
        <v>0</v>
      </c>
      <c r="M380" t="n">
        <v>0</v>
      </c>
      <c r="N380" t="n">
        <v>7.729</v>
      </c>
      <c r="O380" t="n">
        <v>248</v>
      </c>
    </row>
    <row r="381">
      <c r="A381" t="n">
        <v>540</v>
      </c>
      <c r="B381" t="inlineStr">
        <is>
          <t>Train</t>
        </is>
      </c>
      <c r="C381" t="inlineStr">
        <is>
          <t>Benign</t>
        </is>
      </c>
      <c r="D381" t="n">
        <v>0</v>
      </c>
      <c r="E381" t="n">
        <v>54.49</v>
      </c>
      <c r="F381" t="n">
        <v>0.05</v>
      </c>
      <c r="G381" t="n">
        <v>8.678000000000001</v>
      </c>
      <c r="H381" t="n">
        <v>0.1596</v>
      </c>
      <c r="I381" t="n">
        <v>31.89</v>
      </c>
      <c r="J381" t="n">
        <v>25.44</v>
      </c>
      <c r="K381" t="n">
        <v>0.1066</v>
      </c>
      <c r="L381" t="n">
        <v>0.3393</v>
      </c>
      <c r="M381" t="n">
        <v>0.09252000000000001</v>
      </c>
      <c r="N381" t="n">
        <v>7.691</v>
      </c>
      <c r="O381" t="n">
        <v>223.6</v>
      </c>
    </row>
    <row r="382">
      <c r="A382" t="n">
        <v>541</v>
      </c>
      <c r="B382" t="inlineStr">
        <is>
          <t>Train</t>
        </is>
      </c>
      <c r="C382" t="inlineStr">
        <is>
          <t>Benign</t>
        </is>
      </c>
      <c r="D382" t="n">
        <v>0</v>
      </c>
      <c r="E382" t="n">
        <v>78.78</v>
      </c>
      <c r="F382" t="n">
        <v>0.06918000000000001</v>
      </c>
      <c r="G382" t="n">
        <v>12.26</v>
      </c>
      <c r="H382" t="n">
        <v>0.1345</v>
      </c>
      <c r="I382" t="n">
        <v>19.68</v>
      </c>
      <c r="J382" t="n">
        <v>14.44</v>
      </c>
      <c r="K382" t="n">
        <v>0.08134</v>
      </c>
      <c r="L382" t="n">
        <v>0.1797</v>
      </c>
      <c r="M382" t="n">
        <v>0.05553</v>
      </c>
      <c r="N382" t="n">
        <v>11.54</v>
      </c>
      <c r="O382" t="n">
        <v>457.8</v>
      </c>
    </row>
    <row r="383">
      <c r="A383" t="n">
        <v>542</v>
      </c>
      <c r="B383" t="inlineStr">
        <is>
          <t>Train</t>
        </is>
      </c>
      <c r="C383" t="inlineStr">
        <is>
          <t>Benign</t>
        </is>
      </c>
      <c r="D383" t="n">
        <v>0</v>
      </c>
      <c r="E383" t="n">
        <v>113.5</v>
      </c>
      <c r="F383" t="n">
        <v>0.1205</v>
      </c>
      <c r="G383" t="n">
        <v>16.22</v>
      </c>
      <c r="H383" t="n">
        <v>0.134</v>
      </c>
      <c r="I383" t="n">
        <v>31.73</v>
      </c>
      <c r="J383" t="n">
        <v>24.99</v>
      </c>
      <c r="K383" t="n">
        <v>0.1023</v>
      </c>
      <c r="L383" t="n">
        <v>0.404</v>
      </c>
      <c r="M383" t="n">
        <v>0.03829</v>
      </c>
      <c r="N383" t="n">
        <v>14.47</v>
      </c>
      <c r="O383" t="n">
        <v>808.9</v>
      </c>
    </row>
    <row r="384">
      <c r="A384" t="n">
        <v>544</v>
      </c>
      <c r="B384" t="inlineStr">
        <is>
          <t>Train</t>
        </is>
      </c>
      <c r="C384" t="inlineStr">
        <is>
          <t>Benign</t>
        </is>
      </c>
      <c r="D384" t="n">
        <v>0</v>
      </c>
      <c r="E384" t="n">
        <v>92.48</v>
      </c>
      <c r="F384" t="n">
        <v>0.07958</v>
      </c>
      <c r="G384" t="n">
        <v>14.37</v>
      </c>
      <c r="H384" t="n">
        <v>0.1072</v>
      </c>
      <c r="I384" t="n">
        <v>37.17</v>
      </c>
      <c r="J384" t="n">
        <v>28.06</v>
      </c>
      <c r="K384" t="n">
        <v>0.06443</v>
      </c>
      <c r="L384" t="n">
        <v>0.1062</v>
      </c>
      <c r="M384" t="n">
        <v>0.01498</v>
      </c>
      <c r="N384" t="n">
        <v>13.21</v>
      </c>
      <c r="O384" t="n">
        <v>629.6</v>
      </c>
    </row>
    <row r="385">
      <c r="A385" t="n">
        <v>545</v>
      </c>
      <c r="B385" t="inlineStr">
        <is>
          <t>Train</t>
        </is>
      </c>
      <c r="C385" t="inlineStr">
        <is>
          <t>Benign</t>
        </is>
      </c>
      <c r="D385" t="n">
        <v>0</v>
      </c>
      <c r="E385" t="n">
        <v>99.17</v>
      </c>
      <c r="F385" t="n">
        <v>0.06845</v>
      </c>
      <c r="G385" t="n">
        <v>15.05</v>
      </c>
      <c r="H385" t="n">
        <v>0.1264</v>
      </c>
      <c r="I385" t="n">
        <v>24.75</v>
      </c>
      <c r="J385" t="n">
        <v>20.7</v>
      </c>
      <c r="K385" t="n">
        <v>0.08492</v>
      </c>
      <c r="L385" t="n">
        <v>0.1377</v>
      </c>
      <c r="M385" t="n">
        <v>0.02615</v>
      </c>
      <c r="N385" t="n">
        <v>13.87</v>
      </c>
      <c r="O385" t="n">
        <v>688.6</v>
      </c>
    </row>
    <row r="386">
      <c r="A386" t="n">
        <v>546</v>
      </c>
      <c r="B386" t="inlineStr">
        <is>
          <t>Train</t>
        </is>
      </c>
      <c r="C386" t="inlineStr">
        <is>
          <t>Benign</t>
        </is>
      </c>
      <c r="D386" t="n">
        <v>0</v>
      </c>
      <c r="E386" t="n">
        <v>97.58</v>
      </c>
      <c r="F386" t="n">
        <v>0.07174</v>
      </c>
      <c r="G386" t="n">
        <v>15.35</v>
      </c>
      <c r="H386" t="n">
        <v>0.1216</v>
      </c>
      <c r="I386" t="n">
        <v>29.09</v>
      </c>
      <c r="J386" t="n">
        <v>23.23</v>
      </c>
      <c r="K386" t="n">
        <v>0.06952999999999999</v>
      </c>
      <c r="L386" t="n">
        <v>0.1049</v>
      </c>
      <c r="M386" t="n">
        <v>0.02021</v>
      </c>
      <c r="N386" t="n">
        <v>13.62</v>
      </c>
      <c r="O386" t="n">
        <v>729.8</v>
      </c>
    </row>
    <row r="387">
      <c r="A387" t="n">
        <v>548</v>
      </c>
      <c r="B387" t="inlineStr">
        <is>
          <t>Train</t>
        </is>
      </c>
      <c r="C387" t="inlineStr">
        <is>
          <t>Benign</t>
        </is>
      </c>
      <c r="D387" t="n">
        <v>0</v>
      </c>
      <c r="E387" t="n">
        <v>71.08</v>
      </c>
      <c r="F387" t="n">
        <v>0.08333</v>
      </c>
      <c r="G387" t="n">
        <v>10.83</v>
      </c>
      <c r="H387" t="n">
        <v>0.1461</v>
      </c>
      <c r="I387" t="n">
        <v>22.04</v>
      </c>
      <c r="J387" t="n">
        <v>16.58</v>
      </c>
      <c r="K387" t="n">
        <v>0.09479</v>
      </c>
      <c r="L387" t="n">
        <v>0.1783</v>
      </c>
      <c r="M387" t="n">
        <v>0.02613</v>
      </c>
      <c r="N387" t="n">
        <v>10.26</v>
      </c>
      <c r="O387" t="n">
        <v>357.4</v>
      </c>
    </row>
    <row r="388">
      <c r="A388" t="n">
        <v>549</v>
      </c>
      <c r="B388" t="inlineStr">
        <is>
          <t>Train</t>
        </is>
      </c>
      <c r="C388" t="inlineStr">
        <is>
          <t>Benign</t>
        </is>
      </c>
      <c r="D388" t="n">
        <v>0</v>
      </c>
      <c r="E388" t="n">
        <v>69.09999999999999</v>
      </c>
      <c r="F388" t="n">
        <v>0.03846</v>
      </c>
      <c r="G388" t="n">
        <v>10.93</v>
      </c>
      <c r="H388" t="n">
        <v>0.1199</v>
      </c>
      <c r="I388" t="n">
        <v>25.59</v>
      </c>
      <c r="J388" t="n">
        <v>19.34</v>
      </c>
      <c r="K388" t="n">
        <v>0.07920000000000001</v>
      </c>
      <c r="L388" t="n">
        <v>0.0935</v>
      </c>
      <c r="M388" t="n">
        <v>0.02337</v>
      </c>
      <c r="N388" t="n">
        <v>9.683</v>
      </c>
      <c r="O388" t="n">
        <v>364.2</v>
      </c>
    </row>
    <row r="389">
      <c r="A389" t="n">
        <v>550</v>
      </c>
      <c r="B389" t="inlineStr">
        <is>
          <t>Train</t>
        </is>
      </c>
      <c r="C389" t="inlineStr">
        <is>
          <t>Benign</t>
        </is>
      </c>
      <c r="D389" t="n">
        <v>0</v>
      </c>
      <c r="E389" t="n">
        <v>83.90000000000001</v>
      </c>
      <c r="F389" t="n">
        <v>0.03264</v>
      </c>
      <c r="G389" t="n">
        <v>13.03</v>
      </c>
      <c r="H389" t="n">
        <v>0.1204</v>
      </c>
      <c r="I389" t="n">
        <v>31.45</v>
      </c>
      <c r="J389" t="n">
        <v>24.21</v>
      </c>
      <c r="K389" t="n">
        <v>0.07625999999999999</v>
      </c>
      <c r="L389" t="n">
        <v>0.06194</v>
      </c>
      <c r="M389" t="n">
        <v>0.01277</v>
      </c>
      <c r="N389" t="n">
        <v>10.82</v>
      </c>
      <c r="O389" t="n">
        <v>505.6</v>
      </c>
    </row>
    <row r="390">
      <c r="A390" t="n">
        <v>551</v>
      </c>
      <c r="B390" t="inlineStr">
        <is>
          <t>Train</t>
        </is>
      </c>
      <c r="C390" t="inlineStr">
        <is>
          <t>Benign</t>
        </is>
      </c>
      <c r="D390" t="n">
        <v>0</v>
      </c>
      <c r="E390" t="n">
        <v>74.08</v>
      </c>
      <c r="F390" t="n">
        <v>0</v>
      </c>
      <c r="G390" t="n">
        <v>11.66</v>
      </c>
      <c r="H390" t="n">
        <v>0.1001</v>
      </c>
      <c r="I390" t="n">
        <v>24.77</v>
      </c>
      <c r="J390" t="n">
        <v>21.48</v>
      </c>
      <c r="K390" t="n">
        <v>0.06592000000000001</v>
      </c>
      <c r="L390" t="n">
        <v>0</v>
      </c>
      <c r="M390" t="n">
        <v>0</v>
      </c>
      <c r="N390" t="n">
        <v>10.86</v>
      </c>
      <c r="O390" t="n">
        <v>412.3</v>
      </c>
    </row>
    <row r="391">
      <c r="A391" t="n">
        <v>553</v>
      </c>
      <c r="B391" t="inlineStr">
        <is>
          <t>Train</t>
        </is>
      </c>
      <c r="C391" t="inlineStr">
        <is>
          <t>Benign</t>
        </is>
      </c>
      <c r="D391" t="n">
        <v>0</v>
      </c>
      <c r="E391" t="n">
        <v>88.09999999999999</v>
      </c>
      <c r="F391" t="n">
        <v>0.06498</v>
      </c>
      <c r="G391" t="n">
        <v>13.87</v>
      </c>
      <c r="H391" t="n">
        <v>0.1234</v>
      </c>
      <c r="I391" t="n">
        <v>36</v>
      </c>
      <c r="J391" t="n">
        <v>29.43</v>
      </c>
      <c r="K391" t="n">
        <v>0.06483999999999999</v>
      </c>
      <c r="L391" t="n">
        <v>0.08653</v>
      </c>
      <c r="M391" t="n">
        <v>0.01328</v>
      </c>
      <c r="N391" t="n">
        <v>12.77</v>
      </c>
      <c r="O391" t="n">
        <v>594.7</v>
      </c>
    </row>
    <row r="392">
      <c r="A392" t="n">
        <v>556</v>
      </c>
      <c r="B392" t="inlineStr">
        <is>
          <t>Train</t>
        </is>
      </c>
      <c r="C392" t="inlineStr">
        <is>
          <t>Benign</t>
        </is>
      </c>
      <c r="D392" t="n">
        <v>0</v>
      </c>
      <c r="E392" t="n">
        <v>69.56999999999999</v>
      </c>
      <c r="F392" t="n">
        <v>0.09127</v>
      </c>
      <c r="G392" t="n">
        <v>10.84</v>
      </c>
      <c r="H392" t="n">
        <v>0.1384</v>
      </c>
      <c r="I392" t="n">
        <v>34.91</v>
      </c>
      <c r="J392" t="n">
        <v>27.61</v>
      </c>
      <c r="K392" t="n">
        <v>0.08283</v>
      </c>
      <c r="L392" t="n">
        <v>0.2</v>
      </c>
      <c r="M392" t="n">
        <v>0.04804</v>
      </c>
      <c r="N392" t="n">
        <v>10.29</v>
      </c>
      <c r="O392" t="n">
        <v>357.6</v>
      </c>
    </row>
    <row r="393">
      <c r="A393" t="n">
        <v>560</v>
      </c>
      <c r="B393" t="inlineStr">
        <is>
          <t>Train</t>
        </is>
      </c>
      <c r="C393" t="inlineStr">
        <is>
          <t>Benign</t>
        </is>
      </c>
      <c r="D393" t="n">
        <v>0</v>
      </c>
      <c r="E393" t="n">
        <v>82.28</v>
      </c>
      <c r="F393" t="n">
        <v>0.09653</v>
      </c>
      <c r="G393" t="n">
        <v>12.48</v>
      </c>
      <c r="H393" t="n">
        <v>0.1298</v>
      </c>
      <c r="I393" t="n">
        <v>37.16</v>
      </c>
      <c r="J393" t="n">
        <v>23.93</v>
      </c>
      <c r="K393" t="n">
        <v>0.08731999999999999</v>
      </c>
      <c r="L393" t="n">
        <v>0.363</v>
      </c>
      <c r="M393" t="n">
        <v>0.05738</v>
      </c>
      <c r="N393" t="n">
        <v>11.51</v>
      </c>
      <c r="O393" t="n">
        <v>474.2</v>
      </c>
    </row>
    <row r="394">
      <c r="A394" t="n">
        <v>561</v>
      </c>
      <c r="B394" t="inlineStr">
        <is>
          <t>Train</t>
        </is>
      </c>
      <c r="C394" t="inlineStr">
        <is>
          <t>Benign</t>
        </is>
      </c>
      <c r="D394" t="n">
        <v>0</v>
      </c>
      <c r="E394" t="n">
        <v>100.2</v>
      </c>
      <c r="F394" t="n">
        <v>0.1048</v>
      </c>
      <c r="G394" t="n">
        <v>15.3</v>
      </c>
      <c r="H394" t="n">
        <v>0.1241</v>
      </c>
      <c r="I394" t="n">
        <v>33.17</v>
      </c>
      <c r="J394" t="n">
        <v>27.15</v>
      </c>
      <c r="K394" t="n">
        <v>0.08321000000000001</v>
      </c>
      <c r="L394" t="n">
        <v>0.1326</v>
      </c>
      <c r="M394" t="n">
        <v>0.02071</v>
      </c>
      <c r="N394" t="n">
        <v>14.05</v>
      </c>
      <c r="O394" t="n">
        <v>706.7</v>
      </c>
    </row>
    <row r="395">
      <c r="A395" t="n">
        <v>562</v>
      </c>
      <c r="B395" t="inlineStr">
        <is>
          <t>Train</t>
        </is>
      </c>
      <c r="C395" t="inlineStr">
        <is>
          <t>Benign</t>
        </is>
      </c>
      <c r="D395" t="n">
        <v>0</v>
      </c>
      <c r="E395" t="n">
        <v>75.19</v>
      </c>
      <c r="F395" t="n">
        <v>0</v>
      </c>
      <c r="G395" t="n">
        <v>11.92</v>
      </c>
      <c r="H395" t="n">
        <v>0.09267</v>
      </c>
      <c r="I395" t="n">
        <v>38.3</v>
      </c>
      <c r="J395" t="n">
        <v>29.37</v>
      </c>
      <c r="K395" t="n">
        <v>0.05905</v>
      </c>
      <c r="L395" t="n">
        <v>0</v>
      </c>
      <c r="M395" t="n">
        <v>0</v>
      </c>
      <c r="N395" t="n">
        <v>11.2</v>
      </c>
      <c r="O395" t="n">
        <v>439.6</v>
      </c>
    </row>
    <row r="396">
      <c r="A396" t="n">
        <v>566</v>
      </c>
      <c r="B396" t="inlineStr">
        <is>
          <t>Train</t>
        </is>
      </c>
      <c r="C396" t="inlineStr">
        <is>
          <t>Malignant</t>
        </is>
      </c>
      <c r="D396" t="n">
        <v>1</v>
      </c>
      <c r="E396" t="n">
        <v>155</v>
      </c>
      <c r="F396" t="n">
        <v>0.1628</v>
      </c>
      <c r="G396" t="n">
        <v>23.69</v>
      </c>
      <c r="H396" t="n">
        <v>0.1166</v>
      </c>
      <c r="I396" t="n">
        <v>38.25</v>
      </c>
      <c r="J396" t="n">
        <v>28.25</v>
      </c>
      <c r="K396" t="n">
        <v>0.06637</v>
      </c>
      <c r="L396" t="n">
        <v>0.3215</v>
      </c>
      <c r="M396" t="n">
        <v>0.0395</v>
      </c>
      <c r="N396" t="n">
        <v>20.13</v>
      </c>
      <c r="O396" t="n">
        <v>1731</v>
      </c>
    </row>
    <row r="397">
      <c r="A397" t="n">
        <v>567</v>
      </c>
      <c r="B397" t="inlineStr">
        <is>
          <t>Train</t>
        </is>
      </c>
      <c r="C397" t="inlineStr">
        <is>
          <t>Malignant</t>
        </is>
      </c>
      <c r="D397" t="n">
        <v>1</v>
      </c>
      <c r="E397" t="n">
        <v>126.7</v>
      </c>
      <c r="F397" t="n">
        <v>0.1418</v>
      </c>
      <c r="G397" t="n">
        <v>18.98</v>
      </c>
      <c r="H397" t="n">
        <v>0.1139</v>
      </c>
      <c r="I397" t="n">
        <v>34.12</v>
      </c>
      <c r="J397" t="n">
        <v>28.08</v>
      </c>
      <c r="K397" t="n">
        <v>0.07820000000000001</v>
      </c>
      <c r="L397" t="n">
        <v>0.3403</v>
      </c>
      <c r="M397" t="n">
        <v>0.0473</v>
      </c>
      <c r="N397" t="n">
        <v>16.6</v>
      </c>
      <c r="O397" t="n">
        <v>1124</v>
      </c>
    </row>
    <row r="398">
      <c r="A398" t="n">
        <v>568</v>
      </c>
      <c r="B398" t="inlineStr">
        <is>
          <t>Train</t>
        </is>
      </c>
      <c r="C398" t="inlineStr">
        <is>
          <t>Malignant</t>
        </is>
      </c>
      <c r="D398" t="n">
        <v>1</v>
      </c>
      <c r="E398" t="n">
        <v>184.6</v>
      </c>
      <c r="F398" t="n">
        <v>0.265</v>
      </c>
      <c r="G398" t="n">
        <v>25.74</v>
      </c>
      <c r="H398" t="n">
        <v>0.165</v>
      </c>
      <c r="I398" t="n">
        <v>39.42</v>
      </c>
      <c r="J398" t="n">
        <v>29.33</v>
      </c>
      <c r="K398" t="n">
        <v>0.124</v>
      </c>
      <c r="L398" t="n">
        <v>0.9387</v>
      </c>
      <c r="M398" t="n">
        <v>0.07117</v>
      </c>
      <c r="N398" t="n">
        <v>20.6</v>
      </c>
      <c r="O398" t="n">
        <v>1821</v>
      </c>
    </row>
    <row r="399">
      <c r="A399" t="n">
        <v>569</v>
      </c>
      <c r="B399" t="inlineStr">
        <is>
          <t>Train</t>
        </is>
      </c>
      <c r="C399" t="inlineStr">
        <is>
          <t>Benign</t>
        </is>
      </c>
      <c r="D399" t="n">
        <v>0</v>
      </c>
      <c r="E399" t="n">
        <v>59.16</v>
      </c>
      <c r="F399" t="n">
        <v>0</v>
      </c>
      <c r="G399" t="n">
        <v>9.456</v>
      </c>
      <c r="H399" t="n">
        <v>0.08996</v>
      </c>
      <c r="I399" t="n">
        <v>30.37</v>
      </c>
      <c r="J399" t="n">
        <v>24.54</v>
      </c>
      <c r="K399" t="n">
        <v>0.07038999999999999</v>
      </c>
      <c r="L399" t="n">
        <v>0</v>
      </c>
      <c r="M399" t="n">
        <v>0</v>
      </c>
      <c r="N399" t="n">
        <v>7.76</v>
      </c>
      <c r="O399" t="n">
        <v>268.6</v>
      </c>
    </row>
    <row r="400">
      <c r="A400" t="n">
        <v>8</v>
      </c>
      <c r="B400" t="inlineStr">
        <is>
          <t>Validation</t>
        </is>
      </c>
      <c r="C400" t="inlineStr">
        <is>
          <t>Malignant</t>
        </is>
      </c>
      <c r="D400" t="n">
        <v>1</v>
      </c>
      <c r="E400" t="n">
        <v>110.6</v>
      </c>
      <c r="F400" t="n">
        <v>0.1556</v>
      </c>
      <c r="G400" t="n">
        <v>17.06</v>
      </c>
      <c r="H400" t="n">
        <v>0.1654</v>
      </c>
      <c r="I400" t="n">
        <v>28.14</v>
      </c>
      <c r="J400" t="n">
        <v>20.83</v>
      </c>
      <c r="K400" t="n">
        <v>0.1151</v>
      </c>
      <c r="L400" t="n">
        <v>0.2678</v>
      </c>
      <c r="M400" t="n">
        <v>0.02488</v>
      </c>
      <c r="N400" t="n">
        <v>13.71</v>
      </c>
      <c r="O400" t="n">
        <v>897</v>
      </c>
    </row>
    <row r="401">
      <c r="A401" t="n">
        <v>10</v>
      </c>
      <c r="B401" t="inlineStr">
        <is>
          <t>Validation</t>
        </is>
      </c>
      <c r="C401" t="inlineStr">
        <is>
          <t>Malignant</t>
        </is>
      </c>
      <c r="D401" t="n">
        <v>1</v>
      </c>
      <c r="E401" t="n">
        <v>97.65000000000001</v>
      </c>
      <c r="F401" t="n">
        <v>0.221</v>
      </c>
      <c r="G401" t="n">
        <v>15.09</v>
      </c>
      <c r="H401" t="n">
        <v>0.1853</v>
      </c>
      <c r="I401" t="n">
        <v>40.68</v>
      </c>
      <c r="J401" t="n">
        <v>24.04</v>
      </c>
      <c r="K401" t="n">
        <v>0.2075</v>
      </c>
      <c r="L401" t="n">
        <v>1.105</v>
      </c>
      <c r="M401" t="n">
        <v>0.07743</v>
      </c>
      <c r="N401" t="n">
        <v>12.46</v>
      </c>
      <c r="O401" t="n">
        <v>711.4</v>
      </c>
    </row>
    <row r="402">
      <c r="A402" t="n">
        <v>14</v>
      </c>
      <c r="B402" t="inlineStr">
        <is>
          <t>Validation</t>
        </is>
      </c>
      <c r="C402" t="inlineStr">
        <is>
          <t>Malignant</t>
        </is>
      </c>
      <c r="D402" t="n">
        <v>1</v>
      </c>
      <c r="E402" t="n">
        <v>112</v>
      </c>
      <c r="F402" t="n">
        <v>0.1119</v>
      </c>
      <c r="G402" t="n">
        <v>16.84</v>
      </c>
      <c r="H402" t="n">
        <v>0.1131</v>
      </c>
      <c r="I402" t="n">
        <v>27.66</v>
      </c>
      <c r="J402" t="n">
        <v>23.95</v>
      </c>
      <c r="K402" t="n">
        <v>0.06287</v>
      </c>
      <c r="L402" t="n">
        <v>0.2322</v>
      </c>
      <c r="M402" t="n">
        <v>0.05051</v>
      </c>
      <c r="N402" t="n">
        <v>15.85</v>
      </c>
      <c r="O402" t="n">
        <v>876.5</v>
      </c>
    </row>
    <row r="403">
      <c r="A403" t="n">
        <v>17</v>
      </c>
      <c r="B403" t="inlineStr">
        <is>
          <t>Validation</t>
        </is>
      </c>
      <c r="C403" t="inlineStr">
        <is>
          <t>Malignant</t>
        </is>
      </c>
      <c r="D403" t="n">
        <v>1</v>
      </c>
      <c r="E403" t="n">
        <v>123.4</v>
      </c>
      <c r="F403" t="n">
        <v>0.1609</v>
      </c>
      <c r="G403" t="n">
        <v>19.07</v>
      </c>
      <c r="H403" t="n">
        <v>0.1464</v>
      </c>
      <c r="I403" t="n">
        <v>30.88</v>
      </c>
      <c r="J403" t="n">
        <v>20.13</v>
      </c>
      <c r="K403" t="n">
        <v>0.08216</v>
      </c>
      <c r="L403" t="n">
        <v>0.2914</v>
      </c>
      <c r="M403" t="n">
        <v>0.01998</v>
      </c>
      <c r="N403" t="n">
        <v>14.68</v>
      </c>
      <c r="O403" t="n">
        <v>1138</v>
      </c>
    </row>
    <row r="404">
      <c r="A404" t="n">
        <v>20</v>
      </c>
      <c r="B404" t="inlineStr">
        <is>
          <t>Validation</t>
        </is>
      </c>
      <c r="C404" t="inlineStr">
        <is>
          <t>Benign</t>
        </is>
      </c>
      <c r="D404" t="n">
        <v>0</v>
      </c>
      <c r="E404" t="n">
        <v>99.7</v>
      </c>
      <c r="F404" t="n">
        <v>0.1288</v>
      </c>
      <c r="G404" t="n">
        <v>15.11</v>
      </c>
      <c r="H404" t="n">
        <v>0.144</v>
      </c>
      <c r="I404" t="n">
        <v>19.26</v>
      </c>
      <c r="J404" t="n">
        <v>14.36</v>
      </c>
      <c r="K404" t="n">
        <v>0.07259</v>
      </c>
      <c r="L404" t="n">
        <v>0.239</v>
      </c>
      <c r="M404" t="n">
        <v>0.02387</v>
      </c>
      <c r="N404" t="n">
        <v>13.54</v>
      </c>
      <c r="O404" t="n">
        <v>711.2</v>
      </c>
    </row>
    <row r="405">
      <c r="A405" t="n">
        <v>22</v>
      </c>
      <c r="B405" t="inlineStr">
        <is>
          <t>Validation</t>
        </is>
      </c>
      <c r="C405" t="inlineStr">
        <is>
          <t>Benign</t>
        </is>
      </c>
      <c r="D405" t="n">
        <v>0</v>
      </c>
      <c r="E405" t="n">
        <v>65.13</v>
      </c>
      <c r="F405" t="n">
        <v>0.06227</v>
      </c>
      <c r="G405" t="n">
        <v>10.23</v>
      </c>
      <c r="H405" t="n">
        <v>0.1324</v>
      </c>
      <c r="I405" t="n">
        <v>15.66</v>
      </c>
      <c r="J405" t="n">
        <v>12.44</v>
      </c>
      <c r="K405" t="n">
        <v>0.07772999999999999</v>
      </c>
      <c r="L405" t="n">
        <v>0.08867</v>
      </c>
      <c r="M405" t="n">
        <v>0.01985</v>
      </c>
      <c r="N405" t="n">
        <v>9.504</v>
      </c>
      <c r="O405" t="n">
        <v>314.9</v>
      </c>
    </row>
    <row r="406">
      <c r="A406" t="n">
        <v>24</v>
      </c>
      <c r="B406" t="inlineStr">
        <is>
          <t>Validation</t>
        </is>
      </c>
      <c r="C406" t="inlineStr">
        <is>
          <t>Malignant</t>
        </is>
      </c>
      <c r="D406" t="n">
        <v>1</v>
      </c>
      <c r="E406" t="n">
        <v>188</v>
      </c>
      <c r="F406" t="n">
        <v>0.2009</v>
      </c>
      <c r="G406" t="n">
        <v>29.17</v>
      </c>
      <c r="H406" t="n">
        <v>0.1401</v>
      </c>
      <c r="I406" t="n">
        <v>35.59</v>
      </c>
      <c r="J406" t="n">
        <v>23.04</v>
      </c>
      <c r="K406" t="n">
        <v>0.07525999999999999</v>
      </c>
      <c r="L406" t="n">
        <v>0.3155</v>
      </c>
      <c r="M406" t="n">
        <v>0.01715</v>
      </c>
      <c r="N406" t="n">
        <v>21.16</v>
      </c>
      <c r="O406" t="n">
        <v>2615</v>
      </c>
    </row>
    <row r="407">
      <c r="A407" t="n">
        <v>36</v>
      </c>
      <c r="B407" t="inlineStr">
        <is>
          <t>Validation</t>
        </is>
      </c>
      <c r="C407" t="inlineStr">
        <is>
          <t>Malignant</t>
        </is>
      </c>
      <c r="D407" t="n">
        <v>1</v>
      </c>
      <c r="E407" t="n">
        <v>133.5</v>
      </c>
      <c r="F407" t="n">
        <v>0.1813</v>
      </c>
      <c r="G407" t="n">
        <v>20.01</v>
      </c>
      <c r="H407" t="n">
        <v>0.1563</v>
      </c>
      <c r="I407" t="n">
        <v>29.02</v>
      </c>
      <c r="J407" t="n">
        <v>21.59</v>
      </c>
      <c r="K407" t="n">
        <v>0.08633</v>
      </c>
      <c r="L407" t="n">
        <v>0.5409</v>
      </c>
      <c r="M407" t="n">
        <v>0.03695</v>
      </c>
      <c r="N407" t="n">
        <v>16.74</v>
      </c>
      <c r="O407" t="n">
        <v>1229</v>
      </c>
    </row>
    <row r="408">
      <c r="A408" t="n">
        <v>39</v>
      </c>
      <c r="B408" t="inlineStr">
        <is>
          <t>Validation</t>
        </is>
      </c>
      <c r="C408" t="inlineStr">
        <is>
          <t>Malignant</t>
        </is>
      </c>
      <c r="D408" t="n">
        <v>1</v>
      </c>
      <c r="E408" t="n">
        <v>95.54000000000001</v>
      </c>
      <c r="F408" t="n">
        <v>0.02899</v>
      </c>
      <c r="G408" t="n">
        <v>14.99</v>
      </c>
      <c r="H408" t="n">
        <v>0.09387</v>
      </c>
      <c r="I408" t="n">
        <v>25.2</v>
      </c>
      <c r="J408" t="n">
        <v>25.2</v>
      </c>
      <c r="K408" t="n">
        <v>0.05504</v>
      </c>
      <c r="L408" t="n">
        <v>0.02398</v>
      </c>
      <c r="M408" t="n">
        <v>0.01818</v>
      </c>
      <c r="N408" t="n">
        <v>14.99</v>
      </c>
      <c r="O408" t="n">
        <v>698.8</v>
      </c>
    </row>
    <row r="409">
      <c r="A409" t="n">
        <v>49</v>
      </c>
      <c r="B409" t="inlineStr">
        <is>
          <t>Validation</t>
        </is>
      </c>
      <c r="C409" t="inlineStr">
        <is>
          <t>Benign</t>
        </is>
      </c>
      <c r="D409" t="n">
        <v>0</v>
      </c>
      <c r="E409" t="n">
        <v>89.88</v>
      </c>
      <c r="F409" t="n">
        <v>0.06548</v>
      </c>
      <c r="G409" t="n">
        <v>13.76</v>
      </c>
      <c r="H409" t="n">
        <v>0.1494</v>
      </c>
      <c r="I409" t="n">
        <v>20.7</v>
      </c>
      <c r="J409" t="n">
        <v>14.63</v>
      </c>
      <c r="K409" t="n">
        <v>0.08301</v>
      </c>
      <c r="L409" t="n">
        <v>0.305</v>
      </c>
      <c r="M409" t="n">
        <v>0.02322</v>
      </c>
      <c r="N409" t="n">
        <v>12.05</v>
      </c>
      <c r="O409" t="n">
        <v>582.6</v>
      </c>
    </row>
    <row r="410">
      <c r="A410" t="n">
        <v>51</v>
      </c>
      <c r="B410" t="inlineStr">
        <is>
          <t>Validation</t>
        </is>
      </c>
      <c r="C410" t="inlineStr">
        <is>
          <t>Benign</t>
        </is>
      </c>
      <c r="D410" t="n">
        <v>0</v>
      </c>
      <c r="E410" t="n">
        <v>82.98</v>
      </c>
      <c r="F410" t="n">
        <v>0.03715</v>
      </c>
      <c r="G410" t="n">
        <v>12.98</v>
      </c>
      <c r="H410" t="n">
        <v>0.1085</v>
      </c>
      <c r="I410" t="n">
        <v>25.72</v>
      </c>
      <c r="J410" t="n">
        <v>21.6</v>
      </c>
      <c r="K410" t="n">
        <v>0.06562999999999999</v>
      </c>
      <c r="L410" t="n">
        <v>0.05523</v>
      </c>
      <c r="M410" t="n">
        <v>0.01168</v>
      </c>
      <c r="N410" t="n">
        <v>11.76</v>
      </c>
      <c r="O410" t="n">
        <v>516.5</v>
      </c>
    </row>
    <row r="411">
      <c r="A411" t="n">
        <v>53</v>
      </c>
      <c r="B411" t="inlineStr">
        <is>
          <t>Validation</t>
        </is>
      </c>
      <c r="C411" t="inlineStr">
        <is>
          <t>Benign</t>
        </is>
      </c>
      <c r="D411" t="n">
        <v>0</v>
      </c>
      <c r="E411" t="n">
        <v>83.67</v>
      </c>
      <c r="F411" t="n">
        <v>0.06296</v>
      </c>
      <c r="G411" t="n">
        <v>13.1</v>
      </c>
      <c r="H411" t="n">
        <v>0.1144</v>
      </c>
      <c r="I411" t="n">
        <v>21.33</v>
      </c>
      <c r="J411" t="n">
        <v>18.24</v>
      </c>
      <c r="K411" t="n">
        <v>0.07407999999999999</v>
      </c>
      <c r="L411" t="n">
        <v>0.09203</v>
      </c>
      <c r="M411" t="n">
        <v>0.01311</v>
      </c>
      <c r="N411" t="n">
        <v>11.94</v>
      </c>
      <c r="O411" t="n">
        <v>527.2</v>
      </c>
    </row>
    <row r="412">
      <c r="A412" t="n">
        <v>58</v>
      </c>
      <c r="B412" t="inlineStr">
        <is>
          <t>Validation</t>
        </is>
      </c>
      <c r="C412" t="inlineStr">
        <is>
          <t>Malignant</t>
        </is>
      </c>
      <c r="D412" t="n">
        <v>1</v>
      </c>
      <c r="E412" t="n">
        <v>115.7</v>
      </c>
      <c r="F412" t="n">
        <v>0.1834</v>
      </c>
      <c r="G412" t="n">
        <v>17.87</v>
      </c>
      <c r="H412" t="n">
        <v>0.1368</v>
      </c>
      <c r="I412" t="n">
        <v>30.7</v>
      </c>
      <c r="J412" t="n">
        <v>21.59</v>
      </c>
      <c r="K412" t="n">
        <v>0.1094</v>
      </c>
      <c r="L412" t="n">
        <v>0.3587</v>
      </c>
      <c r="M412" t="n">
        <v>0.02572</v>
      </c>
      <c r="N412" t="n">
        <v>14.71</v>
      </c>
      <c r="O412" t="n">
        <v>985.5</v>
      </c>
    </row>
    <row r="413">
      <c r="A413" t="n">
        <v>59</v>
      </c>
      <c r="B413" t="inlineStr">
        <is>
          <t>Validation</t>
        </is>
      </c>
      <c r="C413" t="inlineStr">
        <is>
          <t>Benign</t>
        </is>
      </c>
      <c r="D413" t="n">
        <v>0</v>
      </c>
      <c r="E413" t="n">
        <v>90.23999999999999</v>
      </c>
      <c r="F413" t="n">
        <v>0.01111</v>
      </c>
      <c r="G413" t="n">
        <v>14.23</v>
      </c>
      <c r="H413" t="n">
        <v>0.1021</v>
      </c>
      <c r="I413" t="n">
        <v>22.25</v>
      </c>
      <c r="J413" t="n">
        <v>19.31</v>
      </c>
      <c r="K413" t="n">
        <v>0.06289</v>
      </c>
      <c r="L413" t="n">
        <v>0.001845</v>
      </c>
      <c r="M413" t="n">
        <v>0.000692</v>
      </c>
      <c r="N413" t="n">
        <v>13.05</v>
      </c>
      <c r="O413" t="n">
        <v>624.1</v>
      </c>
    </row>
    <row r="414">
      <c r="A414" t="n">
        <v>60</v>
      </c>
      <c r="B414" t="inlineStr">
        <is>
          <t>Validation</t>
        </is>
      </c>
      <c r="C414" t="inlineStr">
        <is>
          <t>Benign</t>
        </is>
      </c>
      <c r="D414" t="n">
        <v>0</v>
      </c>
      <c r="E414" t="n">
        <v>59.9</v>
      </c>
      <c r="F414" t="n">
        <v>0.04419</v>
      </c>
      <c r="G414" t="n">
        <v>9.507</v>
      </c>
      <c r="H414" t="n">
        <v>0.1733</v>
      </c>
      <c r="I414" t="n">
        <v>15.4</v>
      </c>
      <c r="J414" t="n">
        <v>11.79</v>
      </c>
      <c r="K414" t="n">
        <v>0.09026000000000001</v>
      </c>
      <c r="L414" t="n">
        <v>0.1168</v>
      </c>
      <c r="M414" t="n">
        <v>0.01981</v>
      </c>
      <c r="N414" t="n">
        <v>8.618</v>
      </c>
      <c r="O414" t="n">
        <v>274.9</v>
      </c>
    </row>
    <row r="415">
      <c r="A415" t="n">
        <v>61</v>
      </c>
      <c r="B415" t="inlineStr">
        <is>
          <t>Validation</t>
        </is>
      </c>
      <c r="C415" t="inlineStr">
        <is>
          <t>Benign</t>
        </is>
      </c>
      <c r="D415" t="n">
        <v>0</v>
      </c>
      <c r="E415" t="n">
        <v>69.86</v>
      </c>
      <c r="F415" t="n">
        <v>0.02579</v>
      </c>
      <c r="G415" t="n">
        <v>11.02</v>
      </c>
      <c r="H415" t="n">
        <v>0.1275</v>
      </c>
      <c r="I415" t="n">
        <v>17.45</v>
      </c>
      <c r="J415" t="n">
        <v>14.88</v>
      </c>
      <c r="K415" t="n">
        <v>0.08019999999999999</v>
      </c>
      <c r="L415" t="n">
        <v>0.02168</v>
      </c>
      <c r="M415" t="n">
        <v>0.007665</v>
      </c>
      <c r="N415" t="n">
        <v>10.17</v>
      </c>
      <c r="O415" t="n">
        <v>368.6</v>
      </c>
    </row>
    <row r="416">
      <c r="A416" t="n">
        <v>62</v>
      </c>
      <c r="B416" t="inlineStr">
        <is>
          <t>Validation</t>
        </is>
      </c>
      <c r="C416" t="inlineStr">
        <is>
          <t>Benign</t>
        </is>
      </c>
      <c r="D416" t="n">
        <v>0</v>
      </c>
      <c r="E416" t="n">
        <v>62.06</v>
      </c>
      <c r="F416" t="n">
        <v>0.02778</v>
      </c>
      <c r="G416" t="n">
        <v>9.565</v>
      </c>
      <c r="H416" t="n">
        <v>0.1639</v>
      </c>
      <c r="I416" t="n">
        <v>27.04</v>
      </c>
      <c r="J416" t="n">
        <v>20.98</v>
      </c>
      <c r="K416" t="n">
        <v>0.07711999999999999</v>
      </c>
      <c r="L416" t="n">
        <v>0.09001000000000001</v>
      </c>
      <c r="M416" t="n">
        <v>0.03</v>
      </c>
      <c r="N416" t="n">
        <v>8.598000000000001</v>
      </c>
      <c r="O416" t="n">
        <v>273.9</v>
      </c>
    </row>
    <row r="417">
      <c r="A417" t="n">
        <v>65</v>
      </c>
      <c r="B417" t="inlineStr">
        <is>
          <t>Validation</t>
        </is>
      </c>
      <c r="C417" t="inlineStr">
        <is>
          <t>Malignant</t>
        </is>
      </c>
      <c r="D417" t="n">
        <v>1</v>
      </c>
      <c r="E417" t="n">
        <v>111.8</v>
      </c>
      <c r="F417" t="n">
        <v>0.1716</v>
      </c>
      <c r="G417" t="n">
        <v>17.09</v>
      </c>
      <c r="H417" t="n">
        <v>0.1851</v>
      </c>
      <c r="I417" t="n">
        <v>33.47</v>
      </c>
      <c r="J417" t="n">
        <v>23.84</v>
      </c>
      <c r="K417" t="n">
        <v>0.1031</v>
      </c>
      <c r="L417" t="n">
        <v>0.4024</v>
      </c>
      <c r="M417" t="n">
        <v>0.02973</v>
      </c>
      <c r="N417" t="n">
        <v>12.68</v>
      </c>
      <c r="O417" t="n">
        <v>888.3</v>
      </c>
    </row>
    <row r="418">
      <c r="A418" t="n">
        <v>66</v>
      </c>
      <c r="B418" t="inlineStr">
        <is>
          <t>Validation</t>
        </is>
      </c>
      <c r="C418" t="inlineStr">
        <is>
          <t>Malignant</t>
        </is>
      </c>
      <c r="D418" t="n">
        <v>1</v>
      </c>
      <c r="E418" t="n">
        <v>114.6</v>
      </c>
      <c r="F418" t="n">
        <v>0.1614</v>
      </c>
      <c r="G418" t="n">
        <v>17.31</v>
      </c>
      <c r="H418" t="n">
        <v>0.1648</v>
      </c>
      <c r="I418" t="n">
        <v>33.39</v>
      </c>
      <c r="J418" t="n">
        <v>23.94</v>
      </c>
      <c r="K418" t="n">
        <v>0.08910999999999999</v>
      </c>
      <c r="L418" t="n">
        <v>0.3024</v>
      </c>
      <c r="M418" t="n">
        <v>0.02315</v>
      </c>
      <c r="N418" t="n">
        <v>14.78</v>
      </c>
      <c r="O418" t="n">
        <v>925.1</v>
      </c>
    </row>
    <row r="419">
      <c r="A419" t="n">
        <v>71</v>
      </c>
      <c r="B419" t="inlineStr">
        <is>
          <t>Validation</t>
        </is>
      </c>
      <c r="C419" t="inlineStr">
        <is>
          <t>Malignant</t>
        </is>
      </c>
      <c r="D419" t="n">
        <v>1</v>
      </c>
      <c r="E419" t="n">
        <v>165.9</v>
      </c>
      <c r="F419" t="n">
        <v>0.1789</v>
      </c>
      <c r="G419" t="n">
        <v>24.86</v>
      </c>
      <c r="H419" t="n">
        <v>0.1193</v>
      </c>
      <c r="I419" t="n">
        <v>26.58</v>
      </c>
      <c r="J419" t="n">
        <v>21.31</v>
      </c>
      <c r="K419" t="n">
        <v>0.06589</v>
      </c>
      <c r="L419" t="n">
        <v>0.2687</v>
      </c>
      <c r="M419" t="n">
        <v>0.02269</v>
      </c>
      <c r="N419" t="n">
        <v>18.94</v>
      </c>
      <c r="O419" t="n">
        <v>1866</v>
      </c>
    </row>
    <row r="420">
      <c r="A420" t="n">
        <v>72</v>
      </c>
      <c r="B420" t="inlineStr">
        <is>
          <t>Validation</t>
        </is>
      </c>
      <c r="C420" t="inlineStr">
        <is>
          <t>Benign</t>
        </is>
      </c>
      <c r="D420" t="n">
        <v>0</v>
      </c>
      <c r="E420" t="n">
        <v>62.56</v>
      </c>
      <c r="F420" t="n">
        <v>0.04786</v>
      </c>
      <c r="G420" t="n">
        <v>9.733000000000001</v>
      </c>
      <c r="H420" t="n">
        <v>0.1207</v>
      </c>
      <c r="I420" t="n">
        <v>15.67</v>
      </c>
      <c r="J420" t="n">
        <v>14.64</v>
      </c>
      <c r="K420" t="n">
        <v>0.1084</v>
      </c>
      <c r="L420" t="n">
        <v>0.1434</v>
      </c>
      <c r="M420" t="n">
        <v>0.05671</v>
      </c>
      <c r="N420" t="n">
        <v>8.888</v>
      </c>
      <c r="O420" t="n">
        <v>284.4</v>
      </c>
    </row>
    <row r="421">
      <c r="A421" t="n">
        <v>89</v>
      </c>
      <c r="B421" t="inlineStr">
        <is>
          <t>Validation</t>
        </is>
      </c>
      <c r="C421" t="inlineStr">
        <is>
          <t>Benign</t>
        </is>
      </c>
      <c r="D421" t="n">
        <v>0</v>
      </c>
      <c r="E421" t="n">
        <v>91.45999999999999</v>
      </c>
      <c r="F421" t="n">
        <v>0.1205</v>
      </c>
      <c r="G421" t="n">
        <v>13.83</v>
      </c>
      <c r="H421" t="n">
        <v>0.1304</v>
      </c>
      <c r="I421" t="n">
        <v>30.5</v>
      </c>
      <c r="J421" t="n">
        <v>21.8</v>
      </c>
      <c r="K421" t="n">
        <v>0.09261</v>
      </c>
      <c r="L421" t="n">
        <v>0.2434</v>
      </c>
      <c r="M421" t="n">
        <v>0.02703</v>
      </c>
      <c r="N421" t="n">
        <v>12.36</v>
      </c>
      <c r="O421" t="n">
        <v>574.7</v>
      </c>
    </row>
    <row r="422">
      <c r="A422" t="n">
        <v>91</v>
      </c>
      <c r="B422" t="inlineStr">
        <is>
          <t>Validation</t>
        </is>
      </c>
      <c r="C422" t="inlineStr">
        <is>
          <t>Benign</t>
        </is>
      </c>
      <c r="D422" t="n">
        <v>0</v>
      </c>
      <c r="E422" t="n">
        <v>102.9</v>
      </c>
      <c r="F422" t="n">
        <v>0.06945999999999999</v>
      </c>
      <c r="G422" t="n">
        <v>16.11</v>
      </c>
      <c r="H422" t="n">
        <v>0.1115</v>
      </c>
      <c r="I422" t="n">
        <v>29.11</v>
      </c>
      <c r="J422" t="n">
        <v>24.02</v>
      </c>
      <c r="K422" t="n">
        <v>0.07246</v>
      </c>
      <c r="L422" t="n">
        <v>0.09189</v>
      </c>
      <c r="M422" t="n">
        <v>0.01121</v>
      </c>
      <c r="N422" t="n">
        <v>14.62</v>
      </c>
      <c r="O422" t="n">
        <v>803.7</v>
      </c>
    </row>
    <row r="423">
      <c r="A423" t="n">
        <v>93</v>
      </c>
      <c r="B423" t="inlineStr">
        <is>
          <t>Validation</t>
        </is>
      </c>
      <c r="C423" t="inlineStr">
        <is>
          <t>Benign</t>
        </is>
      </c>
      <c r="D423" t="n">
        <v>0</v>
      </c>
      <c r="E423" t="n">
        <v>104.5</v>
      </c>
      <c r="F423" t="n">
        <v>0.1001</v>
      </c>
      <c r="G423" t="n">
        <v>16.36</v>
      </c>
      <c r="H423" t="n">
        <v>0.1006</v>
      </c>
      <c r="I423" t="n">
        <v>22.35</v>
      </c>
      <c r="J423" t="n">
        <v>14.76</v>
      </c>
      <c r="K423" t="n">
        <v>0.06206</v>
      </c>
      <c r="L423" t="n">
        <v>0.135</v>
      </c>
      <c r="M423" t="n">
        <v>0.01358</v>
      </c>
      <c r="N423" t="n">
        <v>13.27</v>
      </c>
      <c r="O423" t="n">
        <v>830.6</v>
      </c>
    </row>
    <row r="424">
      <c r="A424" t="n">
        <v>106</v>
      </c>
      <c r="B424" t="inlineStr">
        <is>
          <t>Validation</t>
        </is>
      </c>
      <c r="C424" t="inlineStr">
        <is>
          <t>Malignant</t>
        </is>
      </c>
      <c r="D424" t="n">
        <v>1</v>
      </c>
      <c r="E424" t="n">
        <v>106.4</v>
      </c>
      <c r="F424" t="n">
        <v>0.1986</v>
      </c>
      <c r="G424" t="n">
        <v>16.31</v>
      </c>
      <c r="H424" t="n">
        <v>0.1862</v>
      </c>
      <c r="I424" t="n">
        <v>22.4</v>
      </c>
      <c r="J424" t="n">
        <v>15.56</v>
      </c>
      <c r="K424" t="n">
        <v>0.1405</v>
      </c>
      <c r="L424" t="n">
        <v>0.6375999999999999</v>
      </c>
      <c r="M424" t="n">
        <v>0.05473</v>
      </c>
      <c r="N424" t="n">
        <v>13.11</v>
      </c>
      <c r="O424" t="n">
        <v>827.2</v>
      </c>
    </row>
    <row r="425">
      <c r="A425" t="n">
        <v>108</v>
      </c>
      <c r="B425" t="inlineStr">
        <is>
          <t>Validation</t>
        </is>
      </c>
      <c r="C425" t="inlineStr">
        <is>
          <t>Benign</t>
        </is>
      </c>
      <c r="D425" t="n">
        <v>0</v>
      </c>
      <c r="E425" t="n">
        <v>85.56</v>
      </c>
      <c r="F425" t="n">
        <v>0.08442</v>
      </c>
      <c r="G425" t="n">
        <v>13.29</v>
      </c>
      <c r="H425" t="n">
        <v>0.1184</v>
      </c>
      <c r="I425" t="n">
        <v>27.49</v>
      </c>
      <c r="J425" t="n">
        <v>18.54</v>
      </c>
      <c r="K425" t="n">
        <v>0.07185</v>
      </c>
      <c r="L425" t="n">
        <v>0.1937</v>
      </c>
      <c r="M425" t="n">
        <v>0.01167</v>
      </c>
      <c r="N425" t="n">
        <v>12.36</v>
      </c>
      <c r="O425" t="n">
        <v>544.1</v>
      </c>
    </row>
    <row r="426">
      <c r="A426" t="n">
        <v>110</v>
      </c>
      <c r="B426" t="inlineStr">
        <is>
          <t>Validation</t>
        </is>
      </c>
      <c r="C426" t="inlineStr">
        <is>
          <t>Benign</t>
        </is>
      </c>
      <c r="D426" t="n">
        <v>0</v>
      </c>
      <c r="E426" t="n">
        <v>83.98999999999999</v>
      </c>
      <c r="F426" t="n">
        <v>0.08278000000000001</v>
      </c>
      <c r="G426" t="n">
        <v>13.01</v>
      </c>
      <c r="H426" t="n">
        <v>0.1699</v>
      </c>
      <c r="I426" t="n">
        <v>29.15</v>
      </c>
      <c r="J426" t="n">
        <v>21.26</v>
      </c>
      <c r="K426" t="n">
        <v>0.08832</v>
      </c>
      <c r="L426" t="n">
        <v>0.312</v>
      </c>
      <c r="M426" t="n">
        <v>0.02443</v>
      </c>
      <c r="N426" t="n">
        <v>11.34</v>
      </c>
      <c r="O426" t="n">
        <v>518.1</v>
      </c>
    </row>
    <row r="427">
      <c r="A427" t="n">
        <v>114</v>
      </c>
      <c r="B427" t="inlineStr">
        <is>
          <t>Validation</t>
        </is>
      </c>
      <c r="C427" t="inlineStr">
        <is>
          <t>Benign</t>
        </is>
      </c>
      <c r="D427" t="n">
        <v>0</v>
      </c>
      <c r="E427" t="n">
        <v>72.62</v>
      </c>
      <c r="F427" t="n">
        <v>0.06136</v>
      </c>
      <c r="G427" t="n">
        <v>11.16</v>
      </c>
      <c r="H427" t="n">
        <v>0.13</v>
      </c>
      <c r="I427" t="n">
        <v>22.75</v>
      </c>
      <c r="J427" t="n">
        <v>20.19</v>
      </c>
      <c r="K427" t="n">
        <v>0.09026000000000001</v>
      </c>
      <c r="L427" t="n">
        <v>0.1295</v>
      </c>
      <c r="M427" t="n">
        <v>0.04591</v>
      </c>
      <c r="N427" t="n">
        <v>10.51</v>
      </c>
      <c r="O427" t="n">
        <v>374.4</v>
      </c>
    </row>
    <row r="428">
      <c r="A428" t="n">
        <v>116</v>
      </c>
      <c r="B428" t="inlineStr">
        <is>
          <t>Validation</t>
        </is>
      </c>
      <c r="C428" t="inlineStr">
        <is>
          <t>Benign</t>
        </is>
      </c>
      <c r="D428" t="n">
        <v>0</v>
      </c>
      <c r="E428" t="n">
        <v>87.54000000000001</v>
      </c>
      <c r="F428" t="n">
        <v>0.07247000000000001</v>
      </c>
      <c r="G428" t="n">
        <v>13.67</v>
      </c>
      <c r="H428" t="n">
        <v>0.15</v>
      </c>
      <c r="I428" t="n">
        <v>26.15</v>
      </c>
      <c r="J428" t="n">
        <v>21.53</v>
      </c>
      <c r="K428" t="n">
        <v>0.08541</v>
      </c>
      <c r="L428" t="n">
        <v>0.1503</v>
      </c>
      <c r="M428" t="n">
        <v>0.01835</v>
      </c>
      <c r="N428" t="n">
        <v>11.93</v>
      </c>
      <c r="O428" t="n">
        <v>583</v>
      </c>
    </row>
    <row r="429">
      <c r="A429" t="n">
        <v>119</v>
      </c>
      <c r="B429" t="inlineStr">
        <is>
          <t>Validation</t>
        </is>
      </c>
      <c r="C429" t="inlineStr">
        <is>
          <t>Malignant</t>
        </is>
      </c>
      <c r="D429" t="n">
        <v>1</v>
      </c>
      <c r="E429" t="n">
        <v>130.3</v>
      </c>
      <c r="F429" t="n">
        <v>0.2034</v>
      </c>
      <c r="G429" t="n">
        <v>20.19</v>
      </c>
      <c r="H429" t="n">
        <v>0.1855</v>
      </c>
      <c r="I429" t="n">
        <v>30.5</v>
      </c>
      <c r="J429" t="n">
        <v>22.91</v>
      </c>
      <c r="K429" t="n">
        <v>0.1252</v>
      </c>
      <c r="L429" t="n">
        <v>0.7356</v>
      </c>
      <c r="M429" t="n">
        <v>0.0595</v>
      </c>
      <c r="N429" t="n">
        <v>15.78</v>
      </c>
      <c r="O429" t="n">
        <v>1272</v>
      </c>
    </row>
    <row r="430">
      <c r="A430" t="n">
        <v>128</v>
      </c>
      <c r="B430" t="inlineStr">
        <is>
          <t>Validation</t>
        </is>
      </c>
      <c r="C430" t="inlineStr">
        <is>
          <t>Malignant</t>
        </is>
      </c>
      <c r="D430" t="n">
        <v>1</v>
      </c>
      <c r="E430" t="n">
        <v>148.2</v>
      </c>
      <c r="F430" t="n">
        <v>0.1218</v>
      </c>
      <c r="G430" t="n">
        <v>22.32</v>
      </c>
      <c r="H430" t="n">
        <v>0.1021</v>
      </c>
      <c r="I430" t="n">
        <v>25.73</v>
      </c>
      <c r="J430" t="n">
        <v>18.91</v>
      </c>
      <c r="K430" t="n">
        <v>0.06541</v>
      </c>
      <c r="L430" t="n">
        <v>0.3207</v>
      </c>
      <c r="M430" t="n">
        <v>0.0404</v>
      </c>
      <c r="N430" t="n">
        <v>19</v>
      </c>
      <c r="O430" t="n">
        <v>1538</v>
      </c>
    </row>
    <row r="431">
      <c r="A431" t="n">
        <v>130</v>
      </c>
      <c r="B431" t="inlineStr">
        <is>
          <t>Validation</t>
        </is>
      </c>
      <c r="C431" t="inlineStr">
        <is>
          <t>Malignant</t>
        </is>
      </c>
      <c r="D431" t="n">
        <v>1</v>
      </c>
      <c r="E431" t="n">
        <v>148.7</v>
      </c>
      <c r="F431" t="n">
        <v>0.1732</v>
      </c>
      <c r="G431" t="n">
        <v>22.63</v>
      </c>
      <c r="H431" t="n">
        <v>0.1275</v>
      </c>
      <c r="I431" t="n">
        <v>33.58</v>
      </c>
      <c r="J431" t="n">
        <v>25.12</v>
      </c>
      <c r="K431" t="n">
        <v>0.08465</v>
      </c>
      <c r="L431" t="n">
        <v>0.5673</v>
      </c>
      <c r="M431" t="n">
        <v>0.04755</v>
      </c>
      <c r="N431" t="n">
        <v>19.79</v>
      </c>
      <c r="O431" t="n">
        <v>1589</v>
      </c>
    </row>
    <row r="432">
      <c r="A432" t="n">
        <v>131</v>
      </c>
      <c r="B432" t="inlineStr">
        <is>
          <t>Validation</t>
        </is>
      </c>
      <c r="C432" t="inlineStr">
        <is>
          <t>Benign</t>
        </is>
      </c>
      <c r="D432" t="n">
        <v>0</v>
      </c>
      <c r="E432" t="n">
        <v>91.38</v>
      </c>
      <c r="F432" t="n">
        <v>0.08187</v>
      </c>
      <c r="G432" t="n">
        <v>13.34</v>
      </c>
      <c r="H432" t="n">
        <v>0.1427</v>
      </c>
      <c r="I432" t="n">
        <v>17.81</v>
      </c>
      <c r="J432" t="n">
        <v>13.29</v>
      </c>
      <c r="K432" t="n">
        <v>0.09241000000000001</v>
      </c>
      <c r="L432" t="n">
        <v>0.09915</v>
      </c>
      <c r="M432" t="n">
        <v>0.01018</v>
      </c>
      <c r="N432" t="n">
        <v>12.19</v>
      </c>
      <c r="O432" t="n">
        <v>545.2</v>
      </c>
    </row>
    <row r="433">
      <c r="A433" t="n">
        <v>137</v>
      </c>
      <c r="B433" t="inlineStr">
        <is>
          <t>Validation</t>
        </is>
      </c>
      <c r="C433" t="inlineStr">
        <is>
          <t>Benign</t>
        </is>
      </c>
      <c r="D433" t="n">
        <v>0</v>
      </c>
      <c r="E433" t="n">
        <v>86.16</v>
      </c>
      <c r="F433" t="n">
        <v>0.06968000000000001</v>
      </c>
      <c r="G433" t="n">
        <v>13.33</v>
      </c>
      <c r="H433" t="n">
        <v>0.1271</v>
      </c>
      <c r="I433" t="n">
        <v>25.48</v>
      </c>
      <c r="J433" t="n">
        <v>16.67</v>
      </c>
      <c r="K433" t="n">
        <v>0.07343</v>
      </c>
      <c r="L433" t="n">
        <v>0.1046</v>
      </c>
      <c r="M433" t="n">
        <v>0.02662</v>
      </c>
      <c r="N433" t="n">
        <v>11.71</v>
      </c>
      <c r="O433" t="n">
        <v>546.7</v>
      </c>
    </row>
    <row r="434">
      <c r="A434" t="n">
        <v>140</v>
      </c>
      <c r="B434" t="inlineStr">
        <is>
          <t>Validation</t>
        </is>
      </c>
      <c r="C434" t="inlineStr">
        <is>
          <t>Benign</t>
        </is>
      </c>
      <c r="D434" t="n">
        <v>0</v>
      </c>
      <c r="E434" t="n">
        <v>76.53</v>
      </c>
      <c r="F434" t="n">
        <v>0.08611000000000001</v>
      </c>
      <c r="G434" t="n">
        <v>11.92</v>
      </c>
      <c r="H434" t="n">
        <v>0.1367</v>
      </c>
      <c r="I434" t="n">
        <v>15.77</v>
      </c>
      <c r="J434" t="n">
        <v>13.39</v>
      </c>
      <c r="K434" t="n">
        <v>0.06784</v>
      </c>
      <c r="L434" t="n">
        <v>0.08669</v>
      </c>
      <c r="M434" t="n">
        <v>0.02187</v>
      </c>
      <c r="N434" t="n">
        <v>11.28</v>
      </c>
      <c r="O434" t="n">
        <v>434</v>
      </c>
    </row>
    <row r="435">
      <c r="A435" t="n">
        <v>147</v>
      </c>
      <c r="B435" t="inlineStr">
        <is>
          <t>Validation</t>
        </is>
      </c>
      <c r="C435" t="inlineStr">
        <is>
          <t>Malignant</t>
        </is>
      </c>
      <c r="D435" t="n">
        <v>1</v>
      </c>
      <c r="E435" t="n">
        <v>91.93000000000001</v>
      </c>
      <c r="F435" t="n">
        <v>0.1865</v>
      </c>
      <c r="G435" t="n">
        <v>13.74</v>
      </c>
      <c r="H435" t="n">
        <v>0.1385</v>
      </c>
      <c r="I435" t="n">
        <v>26.38</v>
      </c>
      <c r="J435" t="n">
        <v>16.58</v>
      </c>
      <c r="K435" t="n">
        <v>0.103</v>
      </c>
      <c r="L435" t="n">
        <v>0.4504</v>
      </c>
      <c r="M435" t="n">
        <v>0.04649</v>
      </c>
      <c r="N435" t="n">
        <v>11.8</v>
      </c>
      <c r="O435" t="n">
        <v>591.7</v>
      </c>
    </row>
    <row r="436">
      <c r="A436" t="n">
        <v>153</v>
      </c>
      <c r="B436" t="inlineStr">
        <is>
          <t>Validation</t>
        </is>
      </c>
      <c r="C436" t="inlineStr">
        <is>
          <t>Benign</t>
        </is>
      </c>
      <c r="D436" t="n">
        <v>0</v>
      </c>
      <c r="E436" t="n">
        <v>71.04000000000001</v>
      </c>
      <c r="F436" t="n">
        <v>0.1571</v>
      </c>
      <c r="G436" t="n">
        <v>11.02</v>
      </c>
      <c r="H436" t="n">
        <v>0.1292</v>
      </c>
      <c r="I436" t="n">
        <v>19.49</v>
      </c>
      <c r="J436" t="n">
        <v>15.34</v>
      </c>
      <c r="K436" t="n">
        <v>0.1259</v>
      </c>
      <c r="L436" t="n">
        <v>0.8216</v>
      </c>
      <c r="M436" t="n">
        <v>0.396</v>
      </c>
      <c r="N436" t="n">
        <v>9.731</v>
      </c>
      <c r="O436" t="n">
        <v>380.5</v>
      </c>
    </row>
    <row r="437">
      <c r="A437" t="n">
        <v>155</v>
      </c>
      <c r="B437" t="inlineStr">
        <is>
          <t>Validation</t>
        </is>
      </c>
      <c r="C437" t="inlineStr">
        <is>
          <t>Benign</t>
        </is>
      </c>
      <c r="D437" t="n">
        <v>0</v>
      </c>
      <c r="E437" t="n">
        <v>97.67</v>
      </c>
      <c r="F437" t="n">
        <v>0.09722</v>
      </c>
      <c r="G437" t="n">
        <v>14.77</v>
      </c>
      <c r="H437" t="n">
        <v>0.1478</v>
      </c>
      <c r="I437" t="n">
        <v>20.5</v>
      </c>
      <c r="J437" t="n">
        <v>15.34</v>
      </c>
      <c r="K437" t="n">
        <v>0.08633</v>
      </c>
      <c r="L437" t="n">
        <v>0.3009</v>
      </c>
      <c r="M437" t="n">
        <v>0.03047</v>
      </c>
      <c r="N437" t="n">
        <v>13.15</v>
      </c>
      <c r="O437" t="n">
        <v>677.3</v>
      </c>
    </row>
    <row r="438">
      <c r="A438" t="n">
        <v>156</v>
      </c>
      <c r="B438" t="inlineStr">
        <is>
          <t>Validation</t>
        </is>
      </c>
      <c r="C438" t="inlineStr">
        <is>
          <t>Benign</t>
        </is>
      </c>
      <c r="D438" t="n">
        <v>0</v>
      </c>
      <c r="E438" t="n">
        <v>86.59999999999999</v>
      </c>
      <c r="F438" t="n">
        <v>0.08211</v>
      </c>
      <c r="G438" t="n">
        <v>13.59</v>
      </c>
      <c r="H438" t="n">
        <v>0.1217</v>
      </c>
      <c r="I438" t="n">
        <v>25.22</v>
      </c>
      <c r="J438" t="n">
        <v>17.94</v>
      </c>
      <c r="K438" t="n">
        <v>0.08132</v>
      </c>
      <c r="L438" t="n">
        <v>0.1943</v>
      </c>
      <c r="M438" t="n">
        <v>0.01994</v>
      </c>
      <c r="N438" t="n">
        <v>12.25</v>
      </c>
      <c r="O438" t="n">
        <v>564.2</v>
      </c>
    </row>
    <row r="439">
      <c r="A439" t="n">
        <v>161</v>
      </c>
      <c r="B439" t="inlineStr">
        <is>
          <t>Validation</t>
        </is>
      </c>
      <c r="C439" t="inlineStr">
        <is>
          <t>Benign</t>
        </is>
      </c>
      <c r="D439" t="n">
        <v>0</v>
      </c>
      <c r="E439" t="n">
        <v>88.91</v>
      </c>
      <c r="F439" t="n">
        <v>0.07908999999999999</v>
      </c>
      <c r="G439" t="n">
        <v>13.32</v>
      </c>
      <c r="H439" t="n">
        <v>0.1358</v>
      </c>
      <c r="I439" t="n">
        <v>26.21</v>
      </c>
      <c r="J439" t="n">
        <v>20.18</v>
      </c>
      <c r="K439" t="n">
        <v>0.07987</v>
      </c>
      <c r="L439" t="n">
        <v>0.1956</v>
      </c>
      <c r="M439" t="n">
        <v>0.04167</v>
      </c>
      <c r="N439" t="n">
        <v>11.75</v>
      </c>
      <c r="O439" t="n">
        <v>543.9</v>
      </c>
    </row>
    <row r="440">
      <c r="A440" t="n">
        <v>162</v>
      </c>
      <c r="B440" t="inlineStr">
        <is>
          <t>Validation</t>
        </is>
      </c>
      <c r="C440" t="inlineStr">
        <is>
          <t>Malignant</t>
        </is>
      </c>
      <c r="D440" t="n">
        <v>1</v>
      </c>
      <c r="E440" t="n">
        <v>146.6</v>
      </c>
      <c r="F440" t="n">
        <v>0.1777</v>
      </c>
      <c r="G440" t="n">
        <v>22.03</v>
      </c>
      <c r="H440" t="n">
        <v>0.1124</v>
      </c>
      <c r="I440" t="n">
        <v>17.81</v>
      </c>
      <c r="J440" t="n">
        <v>15.94</v>
      </c>
      <c r="K440" t="n">
        <v>0.06251</v>
      </c>
      <c r="L440" t="n">
        <v>0.2264</v>
      </c>
      <c r="M440" t="n">
        <v>0.04344</v>
      </c>
      <c r="N440" t="n">
        <v>19.19</v>
      </c>
      <c r="O440" t="n">
        <v>1495</v>
      </c>
    </row>
    <row r="441">
      <c r="A441" t="n">
        <v>163</v>
      </c>
      <c r="B441" t="inlineStr">
        <is>
          <t>Validation</t>
        </is>
      </c>
      <c r="C441" t="inlineStr">
        <is>
          <t>Malignant</t>
        </is>
      </c>
      <c r="D441" t="n">
        <v>1</v>
      </c>
      <c r="E441" t="n">
        <v>174.9</v>
      </c>
      <c r="F441" t="n">
        <v>0.2247</v>
      </c>
      <c r="G441" t="n">
        <v>26.73</v>
      </c>
      <c r="H441" t="n">
        <v>0.1438</v>
      </c>
      <c r="I441" t="n">
        <v>26.39</v>
      </c>
      <c r="J441" t="n">
        <v>18.15</v>
      </c>
      <c r="K441" t="n">
        <v>0.09223000000000001</v>
      </c>
      <c r="L441" t="n">
        <v>0.681</v>
      </c>
      <c r="M441" t="n">
        <v>0.04029</v>
      </c>
      <c r="N441" t="n">
        <v>19.59</v>
      </c>
      <c r="O441" t="n">
        <v>2232</v>
      </c>
    </row>
    <row r="442">
      <c r="A442" t="n">
        <v>164</v>
      </c>
      <c r="B442" t="inlineStr">
        <is>
          <t>Validation</t>
        </is>
      </c>
      <c r="C442" t="inlineStr">
        <is>
          <t>Benign</t>
        </is>
      </c>
      <c r="D442" t="n">
        <v>0</v>
      </c>
      <c r="E442" t="n">
        <v>87.36</v>
      </c>
      <c r="F442" t="n">
        <v>0.08194</v>
      </c>
      <c r="G442" t="n">
        <v>13.58</v>
      </c>
      <c r="H442" t="n">
        <v>0.1452</v>
      </c>
      <c r="I442" t="n">
        <v>28.68</v>
      </c>
      <c r="J442" t="n">
        <v>22.22</v>
      </c>
      <c r="K442" t="n">
        <v>0.09082</v>
      </c>
      <c r="L442" t="n">
        <v>0.1688</v>
      </c>
      <c r="M442" t="n">
        <v>0.03125</v>
      </c>
      <c r="N442" t="n">
        <v>12.34</v>
      </c>
      <c r="O442" t="n">
        <v>553</v>
      </c>
    </row>
    <row r="443">
      <c r="A443" t="n">
        <v>168</v>
      </c>
      <c r="B443" t="inlineStr">
        <is>
          <t>Validation</t>
        </is>
      </c>
      <c r="C443" t="inlineStr">
        <is>
          <t>Malignant</t>
        </is>
      </c>
      <c r="D443" t="n">
        <v>1</v>
      </c>
      <c r="E443" t="n">
        <v>130.7</v>
      </c>
      <c r="F443" t="n">
        <v>0.1474</v>
      </c>
      <c r="G443" t="n">
        <v>20.05</v>
      </c>
      <c r="H443" t="n">
        <v>0.1168</v>
      </c>
      <c r="I443" t="n">
        <v>26.3</v>
      </c>
      <c r="J443" t="n">
        <v>18.8</v>
      </c>
      <c r="K443" t="n">
        <v>0.07228</v>
      </c>
      <c r="L443" t="n">
        <v>0.2318</v>
      </c>
      <c r="M443" t="n">
        <v>0.02626</v>
      </c>
      <c r="N443" t="n">
        <v>16.78</v>
      </c>
      <c r="O443" t="n">
        <v>1260</v>
      </c>
    </row>
    <row r="444">
      <c r="A444" t="n">
        <v>169</v>
      </c>
      <c r="B444" t="inlineStr">
        <is>
          <t>Validation</t>
        </is>
      </c>
      <c r="C444" t="inlineStr">
        <is>
          <t>Malignant</t>
        </is>
      </c>
      <c r="D444" t="n">
        <v>1</v>
      </c>
      <c r="E444" t="n">
        <v>155.3</v>
      </c>
      <c r="F444" t="n">
        <v>0.1721</v>
      </c>
      <c r="G444" t="n">
        <v>23.14</v>
      </c>
      <c r="H444" t="n">
        <v>0.1376</v>
      </c>
      <c r="I444" t="n">
        <v>32.33</v>
      </c>
      <c r="J444" t="n">
        <v>24.68</v>
      </c>
      <c r="K444" t="n">
        <v>0.093</v>
      </c>
      <c r="L444" t="n">
        <v>0.489</v>
      </c>
      <c r="M444" t="n">
        <v>0.04644</v>
      </c>
      <c r="N444" t="n">
        <v>17.47</v>
      </c>
      <c r="O444" t="n">
        <v>1660</v>
      </c>
    </row>
    <row r="445">
      <c r="A445" t="n">
        <v>173</v>
      </c>
      <c r="B445" t="inlineStr">
        <is>
          <t>Validation</t>
        </is>
      </c>
      <c r="C445" t="inlineStr">
        <is>
          <t>Malignant</t>
        </is>
      </c>
      <c r="D445" t="n">
        <v>1</v>
      </c>
      <c r="E445" t="n">
        <v>125</v>
      </c>
      <c r="F445" t="n">
        <v>0.1827</v>
      </c>
      <c r="G445" t="n">
        <v>18.79</v>
      </c>
      <c r="H445" t="n">
        <v>0.1531</v>
      </c>
      <c r="I445" t="n">
        <v>17.04</v>
      </c>
      <c r="J445" t="n">
        <v>11.89</v>
      </c>
      <c r="K445" t="n">
        <v>0.101</v>
      </c>
      <c r="L445" t="n">
        <v>0.583</v>
      </c>
      <c r="M445" t="n">
        <v>0.04303</v>
      </c>
      <c r="N445" t="n">
        <v>15.46</v>
      </c>
      <c r="O445" t="n">
        <v>1102</v>
      </c>
    </row>
    <row r="446">
      <c r="A446" t="n">
        <v>176</v>
      </c>
      <c r="B446" t="inlineStr">
        <is>
          <t>Validation</t>
        </is>
      </c>
      <c r="C446" t="inlineStr">
        <is>
          <t>Benign</t>
        </is>
      </c>
      <c r="D446" t="n">
        <v>0</v>
      </c>
      <c r="E446" t="n">
        <v>58.36</v>
      </c>
      <c r="F446" t="n">
        <v>0</v>
      </c>
      <c r="G446" t="n">
        <v>9.262</v>
      </c>
      <c r="H446" t="n">
        <v>0.1162</v>
      </c>
      <c r="I446" t="n">
        <v>17.04</v>
      </c>
      <c r="J446" t="n">
        <v>14.45</v>
      </c>
      <c r="K446" t="n">
        <v>0.07847999999999999</v>
      </c>
      <c r="L446" t="n">
        <v>0</v>
      </c>
      <c r="M446" t="n">
        <v>0</v>
      </c>
      <c r="N446" t="n">
        <v>8.670999999999999</v>
      </c>
      <c r="O446" t="n">
        <v>259.2</v>
      </c>
    </row>
    <row r="447">
      <c r="A447" t="n">
        <v>177</v>
      </c>
      <c r="B447" t="inlineStr">
        <is>
          <t>Validation</t>
        </is>
      </c>
      <c r="C447" t="inlineStr">
        <is>
          <t>Benign</t>
        </is>
      </c>
      <c r="D447" t="n">
        <v>0</v>
      </c>
      <c r="E447" t="n">
        <v>73.06999999999999</v>
      </c>
      <c r="F447" t="n">
        <v>0.09909999999999999</v>
      </c>
      <c r="G447" t="n">
        <v>11.26</v>
      </c>
      <c r="H447" t="n">
        <v>0.1301</v>
      </c>
      <c r="I447" t="n">
        <v>24.39</v>
      </c>
      <c r="J447" t="n">
        <v>18.06</v>
      </c>
      <c r="K447" t="n">
        <v>0.1162</v>
      </c>
      <c r="L447" t="n">
        <v>0.3486</v>
      </c>
      <c r="M447" t="n">
        <v>0.1197</v>
      </c>
      <c r="N447" t="n">
        <v>9.904</v>
      </c>
      <c r="O447" t="n">
        <v>390.2</v>
      </c>
    </row>
    <row r="448">
      <c r="A448" t="n">
        <v>178</v>
      </c>
      <c r="B448" t="inlineStr">
        <is>
          <t>Validation</t>
        </is>
      </c>
      <c r="C448" t="inlineStr">
        <is>
          <t>Malignant</t>
        </is>
      </c>
      <c r="D448" t="n">
        <v>1</v>
      </c>
      <c r="E448" t="n">
        <v>123.5</v>
      </c>
      <c r="F448" t="n">
        <v>0.2035</v>
      </c>
      <c r="G448" t="n">
        <v>17.79</v>
      </c>
      <c r="H448" t="n">
        <v>0.1415</v>
      </c>
      <c r="I448" t="n">
        <v>28.45</v>
      </c>
      <c r="J448" t="n">
        <v>20.11</v>
      </c>
      <c r="K448" t="n">
        <v>0.09519</v>
      </c>
      <c r="L448" t="n">
        <v>0.5862000000000001</v>
      </c>
      <c r="M448" t="n">
        <v>0.05371</v>
      </c>
      <c r="N448" t="n">
        <v>16.46</v>
      </c>
      <c r="O448" t="n">
        <v>981.2</v>
      </c>
    </row>
    <row r="449">
      <c r="A449" t="n">
        <v>180</v>
      </c>
      <c r="B449" t="inlineStr">
        <is>
          <t>Validation</t>
        </is>
      </c>
      <c r="C449" t="inlineStr">
        <is>
          <t>Benign</t>
        </is>
      </c>
      <c r="D449" t="n">
        <v>0</v>
      </c>
      <c r="E449" t="n">
        <v>86.7</v>
      </c>
      <c r="F449" t="n">
        <v>0.0399</v>
      </c>
      <c r="G449" t="n">
        <v>13.63</v>
      </c>
      <c r="H449" t="n">
        <v>0.1162</v>
      </c>
      <c r="I449" t="n">
        <v>16.15</v>
      </c>
      <c r="J449" t="n">
        <v>13.06</v>
      </c>
      <c r="K449" t="n">
        <v>0.07319000000000001</v>
      </c>
      <c r="L449" t="n">
        <v>0.02758</v>
      </c>
      <c r="M449" t="n">
        <v>0.00618</v>
      </c>
      <c r="N449" t="n">
        <v>12.81</v>
      </c>
      <c r="O449" t="n">
        <v>570.7</v>
      </c>
    </row>
    <row r="450">
      <c r="A450" t="n">
        <v>181</v>
      </c>
      <c r="B450" t="inlineStr">
        <is>
          <t>Validation</t>
        </is>
      </c>
      <c r="C450" t="inlineStr">
        <is>
          <t>Malignant</t>
        </is>
      </c>
      <c r="D450" t="n">
        <v>1</v>
      </c>
      <c r="E450" t="n">
        <v>220.8</v>
      </c>
      <c r="F450" t="n">
        <v>0.2688</v>
      </c>
      <c r="G450" t="n">
        <v>33.12</v>
      </c>
      <c r="H450" t="n">
        <v>0.1472</v>
      </c>
      <c r="I450" t="n">
        <v>32.85</v>
      </c>
      <c r="J450" t="n">
        <v>21.87</v>
      </c>
      <c r="K450" t="n">
        <v>0.08082</v>
      </c>
      <c r="L450" t="n">
        <v>0.534</v>
      </c>
      <c r="M450" t="n">
        <v>0.03109</v>
      </c>
      <c r="N450" t="n">
        <v>27.22</v>
      </c>
      <c r="O450" t="n">
        <v>3216</v>
      </c>
    </row>
    <row r="451">
      <c r="A451" t="n">
        <v>184</v>
      </c>
      <c r="B451" t="inlineStr">
        <is>
          <t>Validation</t>
        </is>
      </c>
      <c r="C451" t="inlineStr">
        <is>
          <t>Benign</t>
        </is>
      </c>
      <c r="D451" t="n">
        <v>0</v>
      </c>
      <c r="E451" t="n">
        <v>79.12</v>
      </c>
      <c r="F451" t="n">
        <v>0.06296</v>
      </c>
      <c r="G451" t="n">
        <v>12.37</v>
      </c>
      <c r="H451" t="n">
        <v>0.1121</v>
      </c>
      <c r="I451" t="n">
        <v>17.7</v>
      </c>
      <c r="J451" t="n">
        <v>14.92</v>
      </c>
      <c r="K451" t="n">
        <v>0.07427</v>
      </c>
      <c r="L451" t="n">
        <v>0.1648</v>
      </c>
      <c r="M451" t="n">
        <v>0.05915</v>
      </c>
      <c r="N451" t="n">
        <v>11.41</v>
      </c>
      <c r="O451" t="n">
        <v>467.2</v>
      </c>
    </row>
    <row r="452">
      <c r="A452" t="n">
        <v>187</v>
      </c>
      <c r="B452" t="inlineStr">
        <is>
          <t>Validation</t>
        </is>
      </c>
      <c r="C452" t="inlineStr">
        <is>
          <t>Malignant</t>
        </is>
      </c>
      <c r="D452" t="n">
        <v>1</v>
      </c>
      <c r="E452" t="n">
        <v>139.2</v>
      </c>
      <c r="F452" t="n">
        <v>0.1571</v>
      </c>
      <c r="G452" t="n">
        <v>21.31</v>
      </c>
      <c r="H452" t="n">
        <v>0.1234</v>
      </c>
      <c r="I452" t="n">
        <v>26.36</v>
      </c>
      <c r="J452" t="n">
        <v>18.58</v>
      </c>
      <c r="K452" t="n">
        <v>0.06938</v>
      </c>
      <c r="L452" t="n">
        <v>0.3538</v>
      </c>
      <c r="M452" t="n">
        <v>0.01412</v>
      </c>
      <c r="N452" t="n">
        <v>18.31</v>
      </c>
      <c r="O452" t="n">
        <v>1410</v>
      </c>
    </row>
    <row r="453">
      <c r="A453" t="n">
        <v>189</v>
      </c>
      <c r="B453" t="inlineStr">
        <is>
          <t>Validation</t>
        </is>
      </c>
      <c r="C453" t="inlineStr">
        <is>
          <t>Benign</t>
        </is>
      </c>
      <c r="D453" t="n">
        <v>0</v>
      </c>
      <c r="E453" t="n">
        <v>79.56999999999999</v>
      </c>
      <c r="F453" t="n">
        <v>0.04306</v>
      </c>
      <c r="G453" t="n">
        <v>12.57</v>
      </c>
      <c r="H453" t="n">
        <v>0.1356</v>
      </c>
      <c r="I453" t="n">
        <v>26.48</v>
      </c>
      <c r="J453" t="n">
        <v>17.39</v>
      </c>
      <c r="K453" t="n">
        <v>0.06576</v>
      </c>
      <c r="L453" t="n">
        <v>0.08803</v>
      </c>
      <c r="M453" t="n">
        <v>0.01556</v>
      </c>
      <c r="N453" t="n">
        <v>11.81</v>
      </c>
      <c r="O453" t="n">
        <v>489.5</v>
      </c>
    </row>
    <row r="454">
      <c r="A454" t="n">
        <v>191</v>
      </c>
      <c r="B454" t="inlineStr">
        <is>
          <t>Validation</t>
        </is>
      </c>
      <c r="C454" t="inlineStr">
        <is>
          <t>Malignant</t>
        </is>
      </c>
      <c r="D454" t="n">
        <v>1</v>
      </c>
      <c r="E454" t="n">
        <v>106.4</v>
      </c>
      <c r="F454" t="n">
        <v>0.1772</v>
      </c>
      <c r="G454" t="n">
        <v>15.74</v>
      </c>
      <c r="H454" t="n">
        <v>0.1533</v>
      </c>
      <c r="I454" t="n">
        <v>37.18</v>
      </c>
      <c r="J454" t="n">
        <v>23.12</v>
      </c>
      <c r="K454" t="n">
        <v>0.1446</v>
      </c>
      <c r="L454" t="n">
        <v>0.8488</v>
      </c>
      <c r="M454" t="n">
        <v>0.1166</v>
      </c>
      <c r="N454" t="n">
        <v>14.22</v>
      </c>
      <c r="O454" t="n">
        <v>762.4</v>
      </c>
    </row>
    <row r="455">
      <c r="A455" t="n">
        <v>197</v>
      </c>
      <c r="B455" t="inlineStr">
        <is>
          <t>Validation</t>
        </is>
      </c>
      <c r="C455" t="inlineStr">
        <is>
          <t>Malignant</t>
        </is>
      </c>
      <c r="D455" t="n">
        <v>1</v>
      </c>
      <c r="E455" t="n">
        <v>111.6</v>
      </c>
      <c r="F455" t="n">
        <v>0.1673</v>
      </c>
      <c r="G455" t="n">
        <v>16.39</v>
      </c>
      <c r="H455" t="n">
        <v>0.1737</v>
      </c>
      <c r="I455" t="n">
        <v>34.01</v>
      </c>
      <c r="J455" t="n">
        <v>22.29</v>
      </c>
      <c r="K455" t="n">
        <v>0.09333</v>
      </c>
      <c r="L455" t="n">
        <v>0.3809</v>
      </c>
      <c r="M455" t="n">
        <v>0.04665</v>
      </c>
      <c r="N455" t="n">
        <v>13.77</v>
      </c>
      <c r="O455" t="n">
        <v>806.9</v>
      </c>
    </row>
    <row r="456">
      <c r="A456" t="n">
        <v>198</v>
      </c>
      <c r="B456" t="inlineStr">
        <is>
          <t>Validation</t>
        </is>
      </c>
      <c r="C456" t="inlineStr">
        <is>
          <t>Malignant</t>
        </is>
      </c>
      <c r="D456" t="n">
        <v>1</v>
      </c>
      <c r="E456" t="n">
        <v>129.1</v>
      </c>
      <c r="F456" t="n">
        <v>0.09181</v>
      </c>
      <c r="G456" t="n">
        <v>19.76</v>
      </c>
      <c r="H456" t="n">
        <v>0.08822000000000001</v>
      </c>
      <c r="I456" t="n">
        <v>24.7</v>
      </c>
      <c r="J456" t="n">
        <v>21.84</v>
      </c>
      <c r="K456" t="n">
        <v>0.06558</v>
      </c>
      <c r="L456" t="n">
        <v>0.2535</v>
      </c>
      <c r="M456" t="n">
        <v>0.0611</v>
      </c>
      <c r="N456" t="n">
        <v>18.08</v>
      </c>
      <c r="O456" t="n">
        <v>1228</v>
      </c>
    </row>
    <row r="457">
      <c r="A457" t="n">
        <v>199</v>
      </c>
      <c r="B457" t="inlineStr">
        <is>
          <t>Validation</t>
        </is>
      </c>
      <c r="C457" t="inlineStr">
        <is>
          <t>Malignant</t>
        </is>
      </c>
      <c r="D457" t="n">
        <v>1</v>
      </c>
      <c r="E457" t="n">
        <v>166.4</v>
      </c>
      <c r="F457" t="n">
        <v>0.1708</v>
      </c>
      <c r="G457" t="n">
        <v>23.36</v>
      </c>
      <c r="H457" t="n">
        <v>0.1322</v>
      </c>
      <c r="I457" t="n">
        <v>32.06</v>
      </c>
      <c r="J457" t="n">
        <v>22.49</v>
      </c>
      <c r="K457" t="n">
        <v>0.09221</v>
      </c>
      <c r="L457" t="n">
        <v>0.3865</v>
      </c>
      <c r="M457" t="n">
        <v>0.02706</v>
      </c>
      <c r="N457" t="n">
        <v>19.18</v>
      </c>
      <c r="O457" t="n">
        <v>1688</v>
      </c>
    </row>
    <row r="458">
      <c r="A458" t="n">
        <v>206</v>
      </c>
      <c r="B458" t="inlineStr">
        <is>
          <t>Validation</t>
        </is>
      </c>
      <c r="C458" t="inlineStr">
        <is>
          <t>Malignant</t>
        </is>
      </c>
      <c r="D458" t="n">
        <v>1</v>
      </c>
      <c r="E458" t="n">
        <v>117.7</v>
      </c>
      <c r="F458" t="n">
        <v>0.1252</v>
      </c>
      <c r="G458" t="n">
        <v>17.77</v>
      </c>
      <c r="H458" t="n">
        <v>0.1491</v>
      </c>
      <c r="I458" t="n">
        <v>20.24</v>
      </c>
      <c r="J458" t="n">
        <v>16.68</v>
      </c>
      <c r="K458" t="n">
        <v>0.0974</v>
      </c>
      <c r="L458" t="n">
        <v>0.3327</v>
      </c>
      <c r="M458" t="n">
        <v>0.02039</v>
      </c>
      <c r="N458" t="n">
        <v>15.12</v>
      </c>
      <c r="O458" t="n">
        <v>989.5</v>
      </c>
    </row>
    <row r="459">
      <c r="A459" t="n">
        <v>208</v>
      </c>
      <c r="B459" t="inlineStr">
        <is>
          <t>Validation</t>
        </is>
      </c>
      <c r="C459" t="inlineStr">
        <is>
          <t>Malignant</t>
        </is>
      </c>
      <c r="D459" t="n">
        <v>1</v>
      </c>
      <c r="E459" t="n">
        <v>130</v>
      </c>
      <c r="F459" t="n">
        <v>0.1096</v>
      </c>
      <c r="G459" t="n">
        <v>19.8</v>
      </c>
      <c r="H459" t="n">
        <v>0.1111</v>
      </c>
      <c r="I459" t="n">
        <v>25.05</v>
      </c>
      <c r="J459" t="n">
        <v>20.26</v>
      </c>
      <c r="K459" t="n">
        <v>0.06469</v>
      </c>
      <c r="L459" t="n">
        <v>0.1932</v>
      </c>
      <c r="M459" t="n">
        <v>0.01946</v>
      </c>
      <c r="N459" t="n">
        <v>17.01</v>
      </c>
      <c r="O459" t="n">
        <v>1210</v>
      </c>
    </row>
    <row r="460">
      <c r="A460" t="n">
        <v>210</v>
      </c>
      <c r="B460" t="inlineStr">
        <is>
          <t>Validation</t>
        </is>
      </c>
      <c r="C460" t="inlineStr">
        <is>
          <t>Benign</t>
        </is>
      </c>
      <c r="D460" t="n">
        <v>0</v>
      </c>
      <c r="E460" t="n">
        <v>113.7</v>
      </c>
      <c r="F460" t="n">
        <v>0.1035</v>
      </c>
      <c r="G460" t="n">
        <v>17.38</v>
      </c>
      <c r="H460" t="n">
        <v>0.1222</v>
      </c>
      <c r="I460" t="n">
        <v>15.92</v>
      </c>
      <c r="J460" t="n">
        <v>12.91</v>
      </c>
      <c r="K460" t="n">
        <v>0.07474</v>
      </c>
      <c r="L460" t="n">
        <v>0.2962</v>
      </c>
      <c r="M460" t="n">
        <v>0.01841</v>
      </c>
      <c r="N460" t="n">
        <v>15.27</v>
      </c>
      <c r="O460" t="n">
        <v>932.7</v>
      </c>
    </row>
    <row r="461">
      <c r="A461" t="n">
        <v>211</v>
      </c>
      <c r="B461" t="inlineStr">
        <is>
          <t>Validation</t>
        </is>
      </c>
      <c r="C461" t="inlineStr">
        <is>
          <t>Malignant</t>
        </is>
      </c>
      <c r="D461" t="n">
        <v>1</v>
      </c>
      <c r="E461" t="n">
        <v>158.3</v>
      </c>
      <c r="F461" t="n">
        <v>0.192</v>
      </c>
      <c r="G461" t="n">
        <v>23.24</v>
      </c>
      <c r="H461" t="n">
        <v>0.1178</v>
      </c>
      <c r="I461" t="n">
        <v>27.84</v>
      </c>
      <c r="J461" t="n">
        <v>22.14</v>
      </c>
      <c r="K461" t="n">
        <v>0.05865</v>
      </c>
      <c r="L461" t="n">
        <v>0.3861</v>
      </c>
      <c r="M461" t="n">
        <v>0.05489</v>
      </c>
      <c r="N461" t="n">
        <v>20.58</v>
      </c>
      <c r="O461" t="n">
        <v>1656</v>
      </c>
    </row>
    <row r="462">
      <c r="A462" t="n">
        <v>214</v>
      </c>
      <c r="B462" t="inlineStr">
        <is>
          <t>Validation</t>
        </is>
      </c>
      <c r="C462" t="inlineStr">
        <is>
          <t>Malignant</t>
        </is>
      </c>
      <c r="D462" t="n">
        <v>1</v>
      </c>
      <c r="E462" t="n">
        <v>120.4</v>
      </c>
      <c r="F462" t="n">
        <v>0.1099</v>
      </c>
      <c r="G462" t="n">
        <v>18.07</v>
      </c>
      <c r="H462" t="n">
        <v>0.1243</v>
      </c>
      <c r="I462" t="n">
        <v>28.07</v>
      </c>
      <c r="J462" t="n">
        <v>25.56</v>
      </c>
      <c r="K462" t="n">
        <v>0.06818</v>
      </c>
      <c r="L462" t="n">
        <v>0.2803</v>
      </c>
      <c r="M462" t="n">
        <v>0.1438</v>
      </c>
      <c r="N462" t="n">
        <v>17.42</v>
      </c>
      <c r="O462" t="n">
        <v>1021</v>
      </c>
    </row>
    <row r="463">
      <c r="A463" t="n">
        <v>221</v>
      </c>
      <c r="B463" t="inlineStr">
        <is>
          <t>Validation</t>
        </is>
      </c>
      <c r="C463" t="inlineStr">
        <is>
          <t>Benign</t>
        </is>
      </c>
      <c r="D463" t="n">
        <v>0</v>
      </c>
      <c r="E463" t="n">
        <v>99.70999999999999</v>
      </c>
      <c r="F463" t="n">
        <v>0.08056000000000001</v>
      </c>
      <c r="G463" t="n">
        <v>15.34</v>
      </c>
      <c r="H463" t="n">
        <v>0.1311</v>
      </c>
      <c r="I463" t="n">
        <v>16.35</v>
      </c>
      <c r="J463" t="n">
        <v>13.16</v>
      </c>
      <c r="K463" t="n">
        <v>0.08717999999999999</v>
      </c>
      <c r="L463" t="n">
        <v>0.1759</v>
      </c>
      <c r="M463" t="n">
        <v>0.01652</v>
      </c>
      <c r="N463" t="n">
        <v>13.65</v>
      </c>
      <c r="O463" t="n">
        <v>706.2</v>
      </c>
    </row>
    <row r="464">
      <c r="A464" t="n">
        <v>222</v>
      </c>
      <c r="B464" t="inlineStr">
        <is>
          <t>Validation</t>
        </is>
      </c>
      <c r="C464" t="inlineStr">
        <is>
          <t>Benign</t>
        </is>
      </c>
      <c r="D464" t="n">
        <v>0</v>
      </c>
      <c r="E464" t="n">
        <v>101.1</v>
      </c>
      <c r="F464" t="n">
        <v>0.09089999999999999</v>
      </c>
      <c r="G464" t="n">
        <v>14.98</v>
      </c>
      <c r="H464" t="n">
        <v>0.1376</v>
      </c>
      <c r="I464" t="n">
        <v>17.13</v>
      </c>
      <c r="J464" t="n">
        <v>13.9</v>
      </c>
      <c r="K464" t="n">
        <v>0.08177</v>
      </c>
      <c r="L464" t="n">
        <v>0.2577</v>
      </c>
      <c r="M464" t="n">
        <v>0.02544</v>
      </c>
      <c r="N464" t="n">
        <v>13.56</v>
      </c>
      <c r="O464" t="n">
        <v>686.6</v>
      </c>
    </row>
    <row r="465">
      <c r="A465" t="n">
        <v>227</v>
      </c>
      <c r="B465" t="inlineStr">
        <is>
          <t>Validation</t>
        </is>
      </c>
      <c r="C465" t="inlineStr">
        <is>
          <t>Benign</t>
        </is>
      </c>
      <c r="D465" t="n">
        <v>0</v>
      </c>
      <c r="E465" t="n">
        <v>73.47</v>
      </c>
      <c r="F465" t="n">
        <v>0.04464</v>
      </c>
      <c r="G465" t="n">
        <v>11.52</v>
      </c>
      <c r="H465" t="n">
        <v>0.1341</v>
      </c>
      <c r="I465" t="n">
        <v>19.8</v>
      </c>
      <c r="J465" t="n">
        <v>15.46</v>
      </c>
      <c r="K465" t="n">
        <v>0.08269</v>
      </c>
      <c r="L465" t="n">
        <v>0.02639</v>
      </c>
      <c r="M465" t="n">
        <v>0.002817</v>
      </c>
      <c r="N465" t="n">
        <v>10.44</v>
      </c>
      <c r="O465" t="n">
        <v>395.4</v>
      </c>
    </row>
    <row r="466">
      <c r="A466" t="n">
        <v>230</v>
      </c>
      <c r="B466" t="inlineStr">
        <is>
          <t>Validation</t>
        </is>
      </c>
      <c r="C466" t="inlineStr">
        <is>
          <t>Malignant</t>
        </is>
      </c>
      <c r="D466" t="n">
        <v>1</v>
      </c>
      <c r="E466" t="n">
        <v>105.3</v>
      </c>
      <c r="F466" t="n">
        <v>0.1977</v>
      </c>
      <c r="G466" t="n">
        <v>15.2</v>
      </c>
      <c r="H466" t="n">
        <v>0.1777</v>
      </c>
      <c r="I466" t="n">
        <v>30.15</v>
      </c>
      <c r="J466" t="n">
        <v>22.33</v>
      </c>
      <c r="K466" t="n">
        <v>0.1243</v>
      </c>
      <c r="L466" t="n">
        <v>0.6282</v>
      </c>
      <c r="M466" t="n">
        <v>0.04683</v>
      </c>
      <c r="N466" t="n">
        <v>12.83</v>
      </c>
      <c r="O466" t="n">
        <v>706</v>
      </c>
    </row>
    <row r="467">
      <c r="A467" t="n">
        <v>238</v>
      </c>
      <c r="B467" t="inlineStr">
        <is>
          <t>Validation</t>
        </is>
      </c>
      <c r="C467" t="inlineStr">
        <is>
          <t>Malignant</t>
        </is>
      </c>
      <c r="D467" t="n">
        <v>1</v>
      </c>
      <c r="E467" t="n">
        <v>161.7</v>
      </c>
      <c r="F467" t="n">
        <v>0.1445</v>
      </c>
      <c r="G467" t="n">
        <v>24.22</v>
      </c>
      <c r="H467" t="n">
        <v>0.1228</v>
      </c>
      <c r="I467" t="n">
        <v>26.17</v>
      </c>
      <c r="J467" t="n">
        <v>21.46</v>
      </c>
      <c r="K467" t="n">
        <v>0.07127</v>
      </c>
      <c r="L467" t="n">
        <v>0.3158</v>
      </c>
      <c r="M467" t="n">
        <v>0.04257</v>
      </c>
      <c r="N467" t="n">
        <v>20.48</v>
      </c>
      <c r="O467" t="n">
        <v>1750</v>
      </c>
    </row>
    <row r="468">
      <c r="A468" t="n">
        <v>240</v>
      </c>
      <c r="B468" t="inlineStr">
        <is>
          <t>Validation</t>
        </is>
      </c>
      <c r="C468" t="inlineStr">
        <is>
          <t>Malignant</t>
        </is>
      </c>
      <c r="D468" t="n">
        <v>1</v>
      </c>
      <c r="E468" t="n">
        <v>141.2</v>
      </c>
      <c r="F468" t="n">
        <v>0.2066</v>
      </c>
      <c r="G468" t="n">
        <v>22.51</v>
      </c>
      <c r="H468" t="n">
        <v>0.1365</v>
      </c>
      <c r="I468" t="n">
        <v>44.87</v>
      </c>
      <c r="J468" t="n">
        <v>39.28</v>
      </c>
      <c r="K468" t="n">
        <v>0.08495999999999999</v>
      </c>
      <c r="L468" t="n">
        <v>0.3241</v>
      </c>
      <c r="M468" t="n">
        <v>0.02602</v>
      </c>
      <c r="N468" t="n">
        <v>17.46</v>
      </c>
      <c r="O468" t="n">
        <v>1408</v>
      </c>
    </row>
    <row r="469">
      <c r="A469" t="n">
        <v>248</v>
      </c>
      <c r="B469" t="inlineStr">
        <is>
          <t>Validation</t>
        </is>
      </c>
      <c r="C469" t="inlineStr">
        <is>
          <t>Benign</t>
        </is>
      </c>
      <c r="D469" t="n">
        <v>0</v>
      </c>
      <c r="E469" t="n">
        <v>105</v>
      </c>
      <c r="F469" t="n">
        <v>0.1561</v>
      </c>
      <c r="G469" t="n">
        <v>14.39</v>
      </c>
      <c r="H469" t="n">
        <v>0.1254</v>
      </c>
      <c r="I469" t="n">
        <v>17.7</v>
      </c>
      <c r="J469" t="n">
        <v>14.11</v>
      </c>
      <c r="K469" t="n">
        <v>0.1178</v>
      </c>
      <c r="L469" t="n">
        <v>0.7727000000000001</v>
      </c>
      <c r="M469" t="n">
        <v>0.08158</v>
      </c>
      <c r="N469" t="n">
        <v>12.89</v>
      </c>
      <c r="O469" t="n">
        <v>639.1</v>
      </c>
    </row>
    <row r="470">
      <c r="A470" t="n">
        <v>251</v>
      </c>
      <c r="B470" t="inlineStr">
        <is>
          <t>Validation</t>
        </is>
      </c>
      <c r="C470" t="inlineStr">
        <is>
          <t>Malignant</t>
        </is>
      </c>
      <c r="D470" t="n">
        <v>1</v>
      </c>
      <c r="E470" t="n">
        <v>165.3</v>
      </c>
      <c r="F470" t="n">
        <v>0.2105</v>
      </c>
      <c r="G470" t="n">
        <v>25.58</v>
      </c>
      <c r="H470" t="n">
        <v>0.1211</v>
      </c>
      <c r="I470" t="n">
        <v>27</v>
      </c>
      <c r="J470" t="n">
        <v>23.56</v>
      </c>
      <c r="K470" t="n">
        <v>0.07849</v>
      </c>
      <c r="L470" t="n">
        <v>0.6991000000000001</v>
      </c>
      <c r="M470" t="n">
        <v>0.09518</v>
      </c>
      <c r="N470" t="n">
        <v>20.94</v>
      </c>
      <c r="O470" t="n">
        <v>2010</v>
      </c>
    </row>
    <row r="471">
      <c r="A471" t="n">
        <v>259</v>
      </c>
      <c r="B471" t="inlineStr">
        <is>
          <t>Validation</t>
        </is>
      </c>
      <c r="C471" t="inlineStr">
        <is>
          <t>Malignant</t>
        </is>
      </c>
      <c r="D471" t="n">
        <v>1</v>
      </c>
      <c r="E471" t="n">
        <v>143.7</v>
      </c>
      <c r="F471" t="n">
        <v>0.2462</v>
      </c>
      <c r="G471" t="n">
        <v>19.85</v>
      </c>
      <c r="H471" t="n">
        <v>0.1504</v>
      </c>
      <c r="I471" t="n">
        <v>31.64</v>
      </c>
      <c r="J471" t="n">
        <v>23.2</v>
      </c>
      <c r="K471" t="n">
        <v>0.1019</v>
      </c>
      <c r="L471" t="n">
        <v>0.6181</v>
      </c>
      <c r="M471" t="n">
        <v>0.08232</v>
      </c>
      <c r="N471" t="n">
        <v>15.66</v>
      </c>
      <c r="O471" t="n">
        <v>1226</v>
      </c>
    </row>
    <row r="472">
      <c r="A472" t="n">
        <v>262</v>
      </c>
      <c r="B472" t="inlineStr">
        <is>
          <t>Validation</t>
        </is>
      </c>
      <c r="C472" t="inlineStr">
        <is>
          <t>Malignant</t>
        </is>
      </c>
      <c r="D472" t="n">
        <v>1</v>
      </c>
      <c r="E472" t="n">
        <v>128.2</v>
      </c>
      <c r="F472" t="n">
        <v>0.08235000000000001</v>
      </c>
      <c r="G472" t="n">
        <v>19.85</v>
      </c>
      <c r="H472" t="n">
        <v>0.124</v>
      </c>
      <c r="I472" t="n">
        <v>31.47</v>
      </c>
      <c r="J472" t="n">
        <v>23.06</v>
      </c>
      <c r="K472" t="n">
        <v>0.06515</v>
      </c>
      <c r="L472" t="n">
        <v>0.1211</v>
      </c>
      <c r="M472" t="n">
        <v>0.01246</v>
      </c>
      <c r="N472" t="n">
        <v>17.35</v>
      </c>
      <c r="O472" t="n">
        <v>1218</v>
      </c>
    </row>
    <row r="473">
      <c r="A473" t="n">
        <v>263</v>
      </c>
      <c r="B473" t="inlineStr">
        <is>
          <t>Validation</t>
        </is>
      </c>
      <c r="C473" t="inlineStr">
        <is>
          <t>Malignant</t>
        </is>
      </c>
      <c r="D473" t="n">
        <v>1</v>
      </c>
      <c r="E473" t="n">
        <v>137.9</v>
      </c>
      <c r="F473" t="n">
        <v>0.1528</v>
      </c>
      <c r="G473" t="n">
        <v>20.39</v>
      </c>
      <c r="H473" t="n">
        <v>0.1134</v>
      </c>
      <c r="I473" t="n">
        <v>27.24</v>
      </c>
      <c r="J473" t="n">
        <v>22.13</v>
      </c>
      <c r="K473" t="n">
        <v>0.07484</v>
      </c>
      <c r="L473" t="n">
        <v>0.2298</v>
      </c>
      <c r="M473" t="n">
        <v>0.04638</v>
      </c>
      <c r="N473" t="n">
        <v>17.29</v>
      </c>
      <c r="O473" t="n">
        <v>1295</v>
      </c>
    </row>
    <row r="474">
      <c r="A474" t="n">
        <v>268</v>
      </c>
      <c r="B474" t="inlineStr">
        <is>
          <t>Validation</t>
        </is>
      </c>
      <c r="C474" t="inlineStr">
        <is>
          <t>Benign</t>
        </is>
      </c>
      <c r="D474" t="n">
        <v>0</v>
      </c>
      <c r="E474" t="n">
        <v>97.66</v>
      </c>
      <c r="F474" t="n">
        <v>0.06189</v>
      </c>
      <c r="G474" t="n">
        <v>14.8</v>
      </c>
      <c r="H474" t="n">
        <v>0.1005</v>
      </c>
      <c r="I474" t="n">
        <v>30.04</v>
      </c>
      <c r="J474" t="n">
        <v>21.84</v>
      </c>
      <c r="K474" t="n">
        <v>0.07024</v>
      </c>
      <c r="L474" t="n">
        <v>0.1453</v>
      </c>
      <c r="M474" t="n">
        <v>0.03099</v>
      </c>
      <c r="N474" t="n">
        <v>13.59</v>
      </c>
      <c r="O474" t="n">
        <v>661.5</v>
      </c>
    </row>
    <row r="475">
      <c r="A475" t="n">
        <v>269</v>
      </c>
      <c r="B475" t="inlineStr">
        <is>
          <t>Validation</t>
        </is>
      </c>
      <c r="C475" t="inlineStr">
        <is>
          <t>Benign</t>
        </is>
      </c>
      <c r="D475" t="n">
        <v>0</v>
      </c>
      <c r="E475" t="n">
        <v>89.27</v>
      </c>
      <c r="F475" t="n">
        <v>0.0578</v>
      </c>
      <c r="G475" t="n">
        <v>13.9</v>
      </c>
      <c r="H475" t="n">
        <v>0.1256</v>
      </c>
      <c r="I475" t="n">
        <v>23.64</v>
      </c>
      <c r="J475" t="n">
        <v>16.21</v>
      </c>
      <c r="K475" t="n">
        <v>0.07062</v>
      </c>
      <c r="L475" t="n">
        <v>0.1992</v>
      </c>
      <c r="M475" t="n">
        <v>0.02589</v>
      </c>
      <c r="N475" t="n">
        <v>12.87</v>
      </c>
      <c r="O475" t="n">
        <v>597.5</v>
      </c>
    </row>
    <row r="476">
      <c r="A476" t="n">
        <v>276</v>
      </c>
      <c r="B476" t="inlineStr">
        <is>
          <t>Validation</t>
        </is>
      </c>
      <c r="C476" t="inlineStr">
        <is>
          <t>Benign</t>
        </is>
      </c>
      <c r="D476" t="n">
        <v>0</v>
      </c>
      <c r="E476" t="n">
        <v>79.45999999999999</v>
      </c>
      <c r="F476" t="n">
        <v>0.08946</v>
      </c>
      <c r="G476" t="n">
        <v>12.4</v>
      </c>
      <c r="H476" t="n">
        <v>0.1359</v>
      </c>
      <c r="I476" t="n">
        <v>18.99</v>
      </c>
      <c r="J476" t="n">
        <v>17.36</v>
      </c>
      <c r="K476" t="n">
        <v>0.06033</v>
      </c>
      <c r="L476" t="n">
        <v>0.07153</v>
      </c>
      <c r="M476" t="n">
        <v>0.01267</v>
      </c>
      <c r="N476" t="n">
        <v>11.89</v>
      </c>
      <c r="O476" t="n">
        <v>472.4</v>
      </c>
    </row>
    <row r="477">
      <c r="A477" t="n">
        <v>281</v>
      </c>
      <c r="B477" t="inlineStr">
        <is>
          <t>Validation</t>
        </is>
      </c>
      <c r="C477" t="inlineStr">
        <is>
          <t>Malignant</t>
        </is>
      </c>
      <c r="D477" t="n">
        <v>1</v>
      </c>
      <c r="E477" t="n">
        <v>159.8</v>
      </c>
      <c r="F477" t="n">
        <v>0.1872</v>
      </c>
      <c r="G477" t="n">
        <v>23.72</v>
      </c>
      <c r="H477" t="n">
        <v>0.1782</v>
      </c>
      <c r="I477" t="n">
        <v>35.9</v>
      </c>
      <c r="J477" t="n">
        <v>26.6</v>
      </c>
      <c r="K477" t="n">
        <v>0.09719999999999999</v>
      </c>
      <c r="L477" t="n">
        <v>0.5754</v>
      </c>
      <c r="M477" t="n">
        <v>0.03988</v>
      </c>
      <c r="N477" t="n">
        <v>19.16</v>
      </c>
      <c r="O477" t="n">
        <v>1724</v>
      </c>
    </row>
    <row r="478">
      <c r="A478" t="n">
        <v>282</v>
      </c>
      <c r="B478" t="inlineStr">
        <is>
          <t>Validation</t>
        </is>
      </c>
      <c r="C478" t="inlineStr">
        <is>
          <t>Benign</t>
        </is>
      </c>
      <c r="D478" t="n">
        <v>0</v>
      </c>
      <c r="E478" t="n">
        <v>84.7</v>
      </c>
      <c r="F478" t="n">
        <v>0.0829</v>
      </c>
      <c r="G478" t="n">
        <v>13.31</v>
      </c>
      <c r="H478" t="n">
        <v>0.1036</v>
      </c>
      <c r="I478" t="n">
        <v>18.26</v>
      </c>
      <c r="J478" t="n">
        <v>14.02</v>
      </c>
      <c r="K478" t="n">
        <v>0.06688</v>
      </c>
      <c r="L478" t="n">
        <v>0.06734999999999999</v>
      </c>
      <c r="M478" t="n">
        <v>0.01514</v>
      </c>
      <c r="N478" t="n">
        <v>11.74</v>
      </c>
      <c r="O478" t="n">
        <v>533.7</v>
      </c>
    </row>
    <row r="479">
      <c r="A479" t="n">
        <v>283</v>
      </c>
      <c r="B479" t="inlineStr">
        <is>
          <t>Validation</t>
        </is>
      </c>
      <c r="C479" t="inlineStr">
        <is>
          <t>Malignant</t>
        </is>
      </c>
      <c r="D479" t="n">
        <v>1</v>
      </c>
      <c r="E479" t="n">
        <v>152.4</v>
      </c>
      <c r="F479" t="n">
        <v>0.2252</v>
      </c>
      <c r="G479" t="n">
        <v>23.79</v>
      </c>
      <c r="H479" t="n">
        <v>0.1518</v>
      </c>
      <c r="I479" t="n">
        <v>28.65</v>
      </c>
      <c r="J479" t="n">
        <v>18.18</v>
      </c>
      <c r="K479" t="n">
        <v>0.07786999999999999</v>
      </c>
      <c r="L479" t="n">
        <v>0.4316</v>
      </c>
      <c r="M479" t="n">
        <v>0.03059</v>
      </c>
      <c r="N479" t="n">
        <v>19.4</v>
      </c>
      <c r="O479" t="n">
        <v>1628</v>
      </c>
    </row>
    <row r="480">
      <c r="A480" t="n">
        <v>284</v>
      </c>
      <c r="B480" t="inlineStr">
        <is>
          <t>Validation</t>
        </is>
      </c>
      <c r="C480" t="inlineStr">
        <is>
          <t>Malignant</t>
        </is>
      </c>
      <c r="D480" t="n">
        <v>1</v>
      </c>
      <c r="E480" t="n">
        <v>126.9</v>
      </c>
      <c r="F480" t="n">
        <v>0.1732</v>
      </c>
      <c r="G480" t="n">
        <v>18.55</v>
      </c>
      <c r="H480" t="n">
        <v>0.1365</v>
      </c>
      <c r="I480" t="n">
        <v>25.09</v>
      </c>
      <c r="J480" t="n">
        <v>18.77</v>
      </c>
      <c r="K480" t="n">
        <v>0.1063</v>
      </c>
      <c r="L480" t="n">
        <v>0.5026</v>
      </c>
      <c r="M480" t="n">
        <v>0.03872</v>
      </c>
      <c r="N480" t="n">
        <v>16.24</v>
      </c>
      <c r="O480" t="n">
        <v>1031</v>
      </c>
    </row>
    <row r="481">
      <c r="A481" t="n">
        <v>290</v>
      </c>
      <c r="B481" t="inlineStr">
        <is>
          <t>Validation</t>
        </is>
      </c>
      <c r="C481" t="inlineStr">
        <is>
          <t>Benign</t>
        </is>
      </c>
      <c r="D481" t="n">
        <v>0</v>
      </c>
      <c r="E481" t="n">
        <v>79.29000000000001</v>
      </c>
      <c r="F481" t="n">
        <v>0.06203</v>
      </c>
      <c r="G481" t="n">
        <v>12.36</v>
      </c>
      <c r="H481" t="n">
        <v>0.1118</v>
      </c>
      <c r="I481" t="n">
        <v>26.14</v>
      </c>
      <c r="J481" t="n">
        <v>18.89</v>
      </c>
      <c r="K481" t="n">
        <v>0.06994</v>
      </c>
      <c r="L481" t="n">
        <v>0.07529</v>
      </c>
      <c r="M481" t="n">
        <v>0.01376</v>
      </c>
      <c r="N481" t="n">
        <v>11.37</v>
      </c>
      <c r="O481" t="n">
        <v>459.3</v>
      </c>
    </row>
    <row r="482">
      <c r="A482" t="n">
        <v>291</v>
      </c>
      <c r="B482" t="inlineStr">
        <is>
          <t>Validation</t>
        </is>
      </c>
      <c r="C482" t="inlineStr">
        <is>
          <t>Benign</t>
        </is>
      </c>
      <c r="D482" t="n">
        <v>0</v>
      </c>
      <c r="E482" t="n">
        <v>101.7</v>
      </c>
      <c r="F482" t="n">
        <v>0.1021</v>
      </c>
      <c r="G482" t="n">
        <v>15.77</v>
      </c>
      <c r="H482" t="n">
        <v>0.09983</v>
      </c>
      <c r="I482" t="n">
        <v>22.13</v>
      </c>
      <c r="J482" t="n">
        <v>19.73</v>
      </c>
      <c r="K482" t="n">
        <v>0.08799</v>
      </c>
      <c r="L482" t="n">
        <v>0.222</v>
      </c>
      <c r="M482" t="n">
        <v>0.09959999999999999</v>
      </c>
      <c r="N482" t="n">
        <v>14.41</v>
      </c>
      <c r="O482" t="n">
        <v>767.3</v>
      </c>
    </row>
    <row r="483">
      <c r="A483" t="n">
        <v>292</v>
      </c>
      <c r="B483" t="inlineStr">
        <is>
          <t>Validation</t>
        </is>
      </c>
      <c r="C483" t="inlineStr">
        <is>
          <t>Benign</t>
        </is>
      </c>
      <c r="D483" t="n">
        <v>0</v>
      </c>
      <c r="E483" t="n">
        <v>109.1</v>
      </c>
      <c r="F483" t="n">
        <v>0.1489</v>
      </c>
      <c r="G483" t="n">
        <v>16.25</v>
      </c>
      <c r="H483" t="n">
        <v>0.1313</v>
      </c>
      <c r="I483" t="n">
        <v>26.19</v>
      </c>
      <c r="J483" t="n">
        <v>19.1</v>
      </c>
      <c r="K483" t="n">
        <v>0.08472</v>
      </c>
      <c r="L483" t="n">
        <v>0.1804</v>
      </c>
      <c r="M483" t="n">
        <v>0.01536</v>
      </c>
      <c r="N483" t="n">
        <v>14.96</v>
      </c>
      <c r="O483" t="n">
        <v>809.8</v>
      </c>
    </row>
    <row r="484">
      <c r="A484" t="n">
        <v>293</v>
      </c>
      <c r="B484" t="inlineStr">
        <is>
          <t>Validation</t>
        </is>
      </c>
      <c r="C484" t="inlineStr">
        <is>
          <t>Benign</t>
        </is>
      </c>
      <c r="D484" t="n">
        <v>0</v>
      </c>
      <c r="E484" t="n">
        <v>88.81</v>
      </c>
      <c r="F484" t="n">
        <v>0.1056</v>
      </c>
      <c r="G484" t="n">
        <v>13.74</v>
      </c>
      <c r="H484" t="n">
        <v>0.1483</v>
      </c>
      <c r="I484" t="n">
        <v>19.93</v>
      </c>
      <c r="J484" t="n">
        <v>16.02</v>
      </c>
      <c r="K484" t="n">
        <v>0.09583999999999999</v>
      </c>
      <c r="L484" t="n">
        <v>0.2241</v>
      </c>
      <c r="M484" t="n">
        <v>0.02335</v>
      </c>
      <c r="N484" t="n">
        <v>12.95</v>
      </c>
      <c r="O484" t="n">
        <v>585.4</v>
      </c>
    </row>
    <row r="485">
      <c r="A485" t="n">
        <v>294</v>
      </c>
      <c r="B485" t="inlineStr">
        <is>
          <t>Validation</t>
        </is>
      </c>
      <c r="C485" t="inlineStr">
        <is>
          <t>Benign</t>
        </is>
      </c>
      <c r="D485" t="n">
        <v>0</v>
      </c>
      <c r="E485" t="n">
        <v>84.34999999999999</v>
      </c>
      <c r="F485" t="n">
        <v>0.0914</v>
      </c>
      <c r="G485" t="n">
        <v>13.06</v>
      </c>
      <c r="H485" t="n">
        <v>0.1369</v>
      </c>
      <c r="I485" t="n">
        <v>25.75</v>
      </c>
      <c r="J485" t="n">
        <v>17.46</v>
      </c>
      <c r="K485" t="n">
        <v>0.07006999999999999</v>
      </c>
      <c r="L485" t="n">
        <v>0.1316</v>
      </c>
      <c r="M485" t="n">
        <v>0.01412</v>
      </c>
      <c r="N485" t="n">
        <v>11.85</v>
      </c>
      <c r="O485" t="n">
        <v>517.8</v>
      </c>
    </row>
    <row r="486">
      <c r="A486" t="n">
        <v>295</v>
      </c>
      <c r="B486" t="inlineStr">
        <is>
          <t>Validation</t>
        </is>
      </c>
      <c r="C486" t="inlineStr">
        <is>
          <t>Benign</t>
        </is>
      </c>
      <c r="D486" t="n">
        <v>0</v>
      </c>
      <c r="E486" t="n">
        <v>88.54000000000001</v>
      </c>
      <c r="F486" t="n">
        <v>0.06343</v>
      </c>
      <c r="G486" t="n">
        <v>13.5</v>
      </c>
      <c r="H486" t="n">
        <v>0.1298</v>
      </c>
      <c r="I486" t="n">
        <v>17.48</v>
      </c>
      <c r="J486" t="n">
        <v>13.78</v>
      </c>
      <c r="K486" t="n">
        <v>0.06922</v>
      </c>
      <c r="L486" t="n">
        <v>0.05233</v>
      </c>
      <c r="M486" t="n">
        <v>0.006564</v>
      </c>
      <c r="N486" t="n">
        <v>12.72</v>
      </c>
      <c r="O486" t="n">
        <v>553.7</v>
      </c>
    </row>
    <row r="487">
      <c r="A487" t="n">
        <v>298</v>
      </c>
      <c r="B487" t="inlineStr">
        <is>
          <t>Validation</t>
        </is>
      </c>
      <c r="C487" t="inlineStr">
        <is>
          <t>Malignant</t>
        </is>
      </c>
      <c r="D487" t="n">
        <v>1</v>
      </c>
      <c r="E487" t="n">
        <v>85.09999999999999</v>
      </c>
      <c r="F487" t="n">
        <v>0.0716</v>
      </c>
      <c r="G487" t="n">
        <v>13.36</v>
      </c>
      <c r="H487" t="n">
        <v>0.1137</v>
      </c>
      <c r="I487" t="n">
        <v>23.39</v>
      </c>
      <c r="J487" t="n">
        <v>18.14</v>
      </c>
      <c r="K487" t="n">
        <v>0.06915</v>
      </c>
      <c r="L487" t="n">
        <v>0.0612</v>
      </c>
      <c r="M487" t="n">
        <v>0.01272</v>
      </c>
      <c r="N487" t="n">
        <v>11.76</v>
      </c>
      <c r="O487" t="n">
        <v>553.6</v>
      </c>
    </row>
    <row r="488">
      <c r="A488" t="n">
        <v>303</v>
      </c>
      <c r="B488" t="inlineStr">
        <is>
          <t>Validation</t>
        </is>
      </c>
      <c r="C488" t="inlineStr">
        <is>
          <t>Malignant</t>
        </is>
      </c>
      <c r="D488" t="n">
        <v>1</v>
      </c>
      <c r="E488" t="n">
        <v>158.8</v>
      </c>
      <c r="F488" t="n">
        <v>0.1923</v>
      </c>
      <c r="G488" t="n">
        <v>23.68</v>
      </c>
      <c r="H488" t="n">
        <v>0.1347</v>
      </c>
      <c r="I488" t="n">
        <v>29.43</v>
      </c>
      <c r="J488" t="n">
        <v>23.86</v>
      </c>
      <c r="K488" t="n">
        <v>0.09469</v>
      </c>
      <c r="L488" t="n">
        <v>0.4932</v>
      </c>
      <c r="M488" t="n">
        <v>0.07649</v>
      </c>
      <c r="N488" t="n">
        <v>20.09</v>
      </c>
      <c r="O488" t="n">
        <v>1696</v>
      </c>
    </row>
    <row r="489">
      <c r="A489" t="n">
        <v>304</v>
      </c>
      <c r="B489" t="inlineStr">
        <is>
          <t>Validation</t>
        </is>
      </c>
      <c r="C489" t="inlineStr">
        <is>
          <t>Benign</t>
        </is>
      </c>
      <c r="D489" t="n">
        <v>0</v>
      </c>
      <c r="E489" t="n">
        <v>70.76000000000001</v>
      </c>
      <c r="F489" t="n">
        <v>0.06528</v>
      </c>
      <c r="G489" t="n">
        <v>11.06</v>
      </c>
      <c r="H489" t="n">
        <v>0.1413</v>
      </c>
      <c r="I489" t="n">
        <v>24.54</v>
      </c>
      <c r="J489" t="n">
        <v>18.61</v>
      </c>
      <c r="K489" t="n">
        <v>0.07842</v>
      </c>
      <c r="L489" t="n">
        <v>0.08423</v>
      </c>
      <c r="M489" t="n">
        <v>0.01808</v>
      </c>
      <c r="N489" t="n">
        <v>10.49</v>
      </c>
      <c r="O489" t="n">
        <v>375.4</v>
      </c>
    </row>
    <row r="490">
      <c r="A490" t="n">
        <v>305</v>
      </c>
      <c r="B490" t="inlineStr">
        <is>
          <t>Validation</t>
        </is>
      </c>
      <c r="C490" t="inlineStr">
        <is>
          <t>Benign</t>
        </is>
      </c>
      <c r="D490" t="n">
        <v>0</v>
      </c>
      <c r="E490" t="n">
        <v>82.69</v>
      </c>
      <c r="F490" t="n">
        <v>0.05509</v>
      </c>
      <c r="G490" t="n">
        <v>12.68</v>
      </c>
      <c r="H490" t="n">
        <v>0.1144</v>
      </c>
      <c r="I490" t="n">
        <v>21.61</v>
      </c>
      <c r="J490" t="n">
        <v>18.16</v>
      </c>
      <c r="K490" t="n">
        <v>0.07638</v>
      </c>
      <c r="L490" t="n">
        <v>0.1226</v>
      </c>
      <c r="M490" t="n">
        <v>0.02221</v>
      </c>
      <c r="N490" t="n">
        <v>11.46</v>
      </c>
      <c r="O490" t="n">
        <v>489.8</v>
      </c>
    </row>
    <row r="491">
      <c r="A491" t="n">
        <v>307</v>
      </c>
      <c r="B491" t="inlineStr">
        <is>
          <t>Validation</t>
        </is>
      </c>
      <c r="C491" t="inlineStr">
        <is>
          <t>Benign</t>
        </is>
      </c>
      <c r="D491" t="n">
        <v>0</v>
      </c>
      <c r="E491" t="n">
        <v>92</v>
      </c>
      <c r="F491" t="n">
        <v>0.025</v>
      </c>
      <c r="G491" t="n">
        <v>14.41</v>
      </c>
      <c r="H491" t="n">
        <v>0.1128</v>
      </c>
      <c r="I491" t="n">
        <v>20.45</v>
      </c>
      <c r="J491" t="n">
        <v>15.82</v>
      </c>
      <c r="K491" t="n">
        <v>0.08384999999999999</v>
      </c>
      <c r="L491" t="n">
        <v>0.0112</v>
      </c>
      <c r="M491" t="n">
        <v>0.001128</v>
      </c>
      <c r="N491" t="n">
        <v>13.2</v>
      </c>
      <c r="O491" t="n">
        <v>636.9</v>
      </c>
    </row>
    <row r="492">
      <c r="A492" t="n">
        <v>312</v>
      </c>
      <c r="B492" t="inlineStr">
        <is>
          <t>Validation</t>
        </is>
      </c>
      <c r="C492" t="inlineStr">
        <is>
          <t>Benign</t>
        </is>
      </c>
      <c r="D492" t="n">
        <v>0</v>
      </c>
      <c r="E492" t="n">
        <v>103.7</v>
      </c>
      <c r="F492" t="n">
        <v>0.05813</v>
      </c>
      <c r="G492" t="n">
        <v>16.46</v>
      </c>
      <c r="H492" t="n">
        <v>0.1011</v>
      </c>
      <c r="I492" t="n">
        <v>21.75</v>
      </c>
      <c r="J492" t="n">
        <v>15.69</v>
      </c>
      <c r="K492" t="n">
        <v>0.05695</v>
      </c>
      <c r="L492" t="n">
        <v>0.04746</v>
      </c>
      <c r="M492" t="n">
        <v>0.005325</v>
      </c>
      <c r="N492" t="n">
        <v>14.61</v>
      </c>
      <c r="O492" t="n">
        <v>840.8</v>
      </c>
    </row>
    <row r="493">
      <c r="A493" t="n">
        <v>313</v>
      </c>
      <c r="B493" t="inlineStr">
        <is>
          <t>Validation</t>
        </is>
      </c>
      <c r="C493" t="inlineStr">
        <is>
          <t>Benign</t>
        </is>
      </c>
      <c r="D493" t="n">
        <v>0</v>
      </c>
      <c r="E493" t="n">
        <v>92.04000000000001</v>
      </c>
      <c r="F493" t="n">
        <v>0.08411</v>
      </c>
      <c r="G493" t="n">
        <v>14.19</v>
      </c>
      <c r="H493" t="n">
        <v>0.1194</v>
      </c>
      <c r="I493" t="n">
        <v>16.4</v>
      </c>
      <c r="J493" t="n">
        <v>13.37</v>
      </c>
      <c r="K493" t="n">
        <v>0.08253000000000001</v>
      </c>
      <c r="L493" t="n">
        <v>0.1769</v>
      </c>
      <c r="M493" t="n">
        <v>0.03137</v>
      </c>
      <c r="N493" t="n">
        <v>12.76</v>
      </c>
      <c r="O493" t="n">
        <v>618.8</v>
      </c>
    </row>
    <row r="494">
      <c r="A494" t="n">
        <v>321</v>
      </c>
      <c r="B494" t="inlineStr">
        <is>
          <t>Validation</t>
        </is>
      </c>
      <c r="C494" t="inlineStr">
        <is>
          <t>Benign</t>
        </is>
      </c>
      <c r="D494" t="n">
        <v>0</v>
      </c>
      <c r="E494" t="n">
        <v>71.53</v>
      </c>
      <c r="F494" t="n">
        <v>0.09744</v>
      </c>
      <c r="G494" t="n">
        <v>11.28</v>
      </c>
      <c r="H494" t="n">
        <v>0.1402</v>
      </c>
      <c r="I494" t="n">
        <v>20.61</v>
      </c>
      <c r="J494" t="n">
        <v>16.18</v>
      </c>
      <c r="K494" t="n">
        <v>0.09702</v>
      </c>
      <c r="L494" t="n">
        <v>0.1898</v>
      </c>
      <c r="M494" t="n">
        <v>0.04004</v>
      </c>
      <c r="N494" t="n">
        <v>10.25</v>
      </c>
      <c r="O494" t="n">
        <v>390.4</v>
      </c>
    </row>
    <row r="495">
      <c r="A495" t="n">
        <v>326</v>
      </c>
      <c r="B495" t="inlineStr">
        <is>
          <t>Validation</t>
        </is>
      </c>
      <c r="C495" t="inlineStr">
        <is>
          <t>Benign</t>
        </is>
      </c>
      <c r="D495" t="n">
        <v>0</v>
      </c>
      <c r="E495" t="n">
        <v>88.7</v>
      </c>
      <c r="F495" t="n">
        <v>0.05602</v>
      </c>
      <c r="G495" t="n">
        <v>13.71</v>
      </c>
      <c r="H495" t="n">
        <v>0.1384</v>
      </c>
      <c r="I495" t="n">
        <v>21.1</v>
      </c>
      <c r="J495" t="n">
        <v>17.3</v>
      </c>
      <c r="K495" t="n">
        <v>0.06888</v>
      </c>
      <c r="L495" t="n">
        <v>0.102</v>
      </c>
      <c r="M495" t="n">
        <v>0.01329</v>
      </c>
      <c r="N495" t="n">
        <v>12.67</v>
      </c>
      <c r="O495" t="n">
        <v>574.4</v>
      </c>
    </row>
    <row r="496">
      <c r="A496" t="n">
        <v>328</v>
      </c>
      <c r="B496" t="inlineStr">
        <is>
          <t>Validation</t>
        </is>
      </c>
      <c r="C496" t="inlineStr">
        <is>
          <t>Benign</t>
        </is>
      </c>
      <c r="D496" t="n">
        <v>0</v>
      </c>
      <c r="E496" t="n">
        <v>82.73999999999999</v>
      </c>
      <c r="F496" t="n">
        <v>0.02796</v>
      </c>
      <c r="G496" t="n">
        <v>13.07</v>
      </c>
      <c r="H496" t="n">
        <v>0.1013</v>
      </c>
      <c r="I496" t="n">
        <v>22.25</v>
      </c>
      <c r="J496" t="n">
        <v>17.93</v>
      </c>
      <c r="K496" t="n">
        <v>0.07037</v>
      </c>
      <c r="L496" t="n">
        <v>0.007732</v>
      </c>
      <c r="M496" t="n">
        <v>0.001184</v>
      </c>
      <c r="N496" t="n">
        <v>12.03</v>
      </c>
      <c r="O496" t="n">
        <v>523.4</v>
      </c>
    </row>
    <row r="497">
      <c r="A497" t="n">
        <v>338</v>
      </c>
      <c r="B497" t="inlineStr">
        <is>
          <t>Validation</t>
        </is>
      </c>
      <c r="C497" t="inlineStr">
        <is>
          <t>Malignant</t>
        </is>
      </c>
      <c r="D497" t="n">
        <v>1</v>
      </c>
      <c r="E497" t="n">
        <v>161.1</v>
      </c>
      <c r="F497" t="n">
        <v>0.2048</v>
      </c>
      <c r="G497" t="n">
        <v>24.54</v>
      </c>
      <c r="H497" t="n">
        <v>0.1498</v>
      </c>
      <c r="I497" t="n">
        <v>34.37</v>
      </c>
      <c r="J497" t="n">
        <v>21.43</v>
      </c>
      <c r="K497" t="n">
        <v>0.0987</v>
      </c>
      <c r="L497" t="n">
        <v>0.4634</v>
      </c>
      <c r="M497" t="n">
        <v>0.03914</v>
      </c>
      <c r="N497" t="n">
        <v>18.77</v>
      </c>
      <c r="O497" t="n">
        <v>1873</v>
      </c>
    </row>
    <row r="498">
      <c r="A498" t="n">
        <v>339</v>
      </c>
      <c r="B498" t="inlineStr">
        <is>
          <t>Validation</t>
        </is>
      </c>
      <c r="C498" t="inlineStr">
        <is>
          <t>Benign</t>
        </is>
      </c>
      <c r="D498" t="n">
        <v>0</v>
      </c>
      <c r="E498" t="n">
        <v>71.98</v>
      </c>
      <c r="F498" t="n">
        <v>0.06499000000000001</v>
      </c>
      <c r="G498" t="n">
        <v>11.16</v>
      </c>
      <c r="H498" t="n">
        <v>0.1402</v>
      </c>
      <c r="I498" t="n">
        <v>26.84</v>
      </c>
      <c r="J498" t="n">
        <v>17.53</v>
      </c>
      <c r="K498" t="n">
        <v>0.07664</v>
      </c>
      <c r="L498" t="n">
        <v>0.1055</v>
      </c>
      <c r="M498" t="n">
        <v>0.0169</v>
      </c>
      <c r="N498" t="n">
        <v>10.05</v>
      </c>
      <c r="O498" t="n">
        <v>384</v>
      </c>
    </row>
    <row r="499">
      <c r="A499" t="n">
        <v>342</v>
      </c>
      <c r="B499" t="inlineStr">
        <is>
          <t>Validation</t>
        </is>
      </c>
      <c r="C499" t="inlineStr">
        <is>
          <t>Benign</t>
        </is>
      </c>
      <c r="D499" t="n">
        <v>0</v>
      </c>
      <c r="E499" t="n">
        <v>71.25</v>
      </c>
      <c r="F499" t="n">
        <v>0.08119999999999999</v>
      </c>
      <c r="G499" t="n">
        <v>10.75</v>
      </c>
      <c r="H499" t="n">
        <v>0.1233</v>
      </c>
      <c r="I499" t="n">
        <v>23.07</v>
      </c>
      <c r="J499" t="n">
        <v>16.84</v>
      </c>
      <c r="K499" t="n">
        <v>0.09825</v>
      </c>
      <c r="L499" t="n">
        <v>0.4341</v>
      </c>
      <c r="M499" t="n">
        <v>0.05028</v>
      </c>
      <c r="N499" t="n">
        <v>9.606</v>
      </c>
      <c r="O499" t="n">
        <v>353.6</v>
      </c>
    </row>
    <row r="500">
      <c r="A500" t="n">
        <v>346</v>
      </c>
      <c r="B500" t="inlineStr">
        <is>
          <t>Validation</t>
        </is>
      </c>
      <c r="C500" t="inlineStr">
        <is>
          <t>Benign</t>
        </is>
      </c>
      <c r="D500" t="n">
        <v>0</v>
      </c>
      <c r="E500" t="n">
        <v>70.89</v>
      </c>
      <c r="F500" t="n">
        <v>0.04074</v>
      </c>
      <c r="G500" t="n">
        <v>10.88</v>
      </c>
      <c r="H500" t="n">
        <v>0.136</v>
      </c>
      <c r="I500" t="n">
        <v>19.48</v>
      </c>
      <c r="J500" t="n">
        <v>14.71</v>
      </c>
      <c r="K500" t="n">
        <v>0.08488</v>
      </c>
      <c r="L500" t="n">
        <v>0.07162</v>
      </c>
      <c r="M500" t="n">
        <v>0.02611</v>
      </c>
      <c r="N500" t="n">
        <v>10.26</v>
      </c>
      <c r="O500" t="n">
        <v>357.1</v>
      </c>
    </row>
    <row r="501">
      <c r="A501" t="n">
        <v>347</v>
      </c>
      <c r="B501" t="inlineStr">
        <is>
          <t>Validation</t>
        </is>
      </c>
      <c r="C501" t="inlineStr">
        <is>
          <t>Benign</t>
        </is>
      </c>
      <c r="D501" t="n">
        <v>0</v>
      </c>
      <c r="E501" t="n">
        <v>86.54000000000001</v>
      </c>
      <c r="F501" t="n">
        <v>0.05093</v>
      </c>
      <c r="G501" t="n">
        <v>13.64</v>
      </c>
      <c r="H501" t="n">
        <v>0.1289</v>
      </c>
      <c r="I501" t="n">
        <v>27.06</v>
      </c>
      <c r="J501" t="n">
        <v>18.9</v>
      </c>
      <c r="K501" t="n">
        <v>0.08083</v>
      </c>
      <c r="L501" t="n">
        <v>0.04506</v>
      </c>
      <c r="M501" t="n">
        <v>0.005832</v>
      </c>
      <c r="N501" t="n">
        <v>12.06</v>
      </c>
      <c r="O501" t="n">
        <v>562.6</v>
      </c>
    </row>
    <row r="502">
      <c r="A502" t="n">
        <v>350</v>
      </c>
      <c r="B502" t="inlineStr">
        <is>
          <t>Validation</t>
        </is>
      </c>
      <c r="C502" t="inlineStr">
        <is>
          <t>Benign</t>
        </is>
      </c>
      <c r="D502" t="n">
        <v>0</v>
      </c>
      <c r="E502" t="n">
        <v>83.09</v>
      </c>
      <c r="F502" t="n">
        <v>0.04766</v>
      </c>
      <c r="G502" t="n">
        <v>12.81</v>
      </c>
      <c r="H502" t="n">
        <v>0.1293</v>
      </c>
      <c r="I502" t="n">
        <v>17.72</v>
      </c>
      <c r="J502" t="n">
        <v>14.96</v>
      </c>
      <c r="K502" t="n">
        <v>0.0759</v>
      </c>
      <c r="L502" t="n">
        <v>0.03122</v>
      </c>
      <c r="M502" t="n">
        <v>0.007816</v>
      </c>
      <c r="N502" t="n">
        <v>11.95</v>
      </c>
      <c r="O502" t="n">
        <v>496.2</v>
      </c>
    </row>
    <row r="503">
      <c r="A503" t="n">
        <v>351</v>
      </c>
      <c r="B503" t="inlineStr">
        <is>
          <t>Validation</t>
        </is>
      </c>
      <c r="C503" t="inlineStr">
        <is>
          <t>Benign</t>
        </is>
      </c>
      <c r="D503" t="n">
        <v>0</v>
      </c>
      <c r="E503" t="n">
        <v>83.61</v>
      </c>
      <c r="F503" t="n">
        <v>0.04262</v>
      </c>
      <c r="G503" t="n">
        <v>13.28</v>
      </c>
      <c r="H503" t="n">
        <v>0.09958</v>
      </c>
      <c r="I503" t="n">
        <v>19.74</v>
      </c>
      <c r="J503" t="n">
        <v>17.07</v>
      </c>
      <c r="K503" t="n">
        <v>0.06825000000000001</v>
      </c>
      <c r="L503" t="n">
        <v>0.03046</v>
      </c>
      <c r="M503" t="n">
        <v>0.005949</v>
      </c>
      <c r="N503" t="n">
        <v>11.66</v>
      </c>
      <c r="O503" t="n">
        <v>542.5</v>
      </c>
    </row>
    <row r="504">
      <c r="A504" t="n">
        <v>355</v>
      </c>
      <c r="B504" t="inlineStr">
        <is>
          <t>Validation</t>
        </is>
      </c>
      <c r="C504" t="inlineStr">
        <is>
          <t>Benign</t>
        </is>
      </c>
      <c r="D504" t="n">
        <v>0</v>
      </c>
      <c r="E504" t="n">
        <v>79.62</v>
      </c>
      <c r="F504" t="n">
        <v>0.03922</v>
      </c>
      <c r="G504" t="n">
        <v>12.12</v>
      </c>
      <c r="H504" t="n">
        <v>0.08864</v>
      </c>
      <c r="I504" t="n">
        <v>15.82</v>
      </c>
      <c r="J504" t="n">
        <v>14.07</v>
      </c>
      <c r="K504" t="n">
        <v>0.07018000000000001</v>
      </c>
      <c r="L504" t="n">
        <v>0.1201</v>
      </c>
      <c r="M504" t="n">
        <v>0.04505</v>
      </c>
      <c r="N504" t="n">
        <v>11.14</v>
      </c>
      <c r="O504" t="n">
        <v>453.5</v>
      </c>
    </row>
    <row r="505">
      <c r="A505" t="n">
        <v>361</v>
      </c>
      <c r="B505" t="inlineStr">
        <is>
          <t>Validation</t>
        </is>
      </c>
      <c r="C505" t="inlineStr">
        <is>
          <t>Benign</t>
        </is>
      </c>
      <c r="D505" t="n">
        <v>0</v>
      </c>
      <c r="E505" t="n">
        <v>86.81999999999999</v>
      </c>
      <c r="F505" t="n">
        <v>0.01635</v>
      </c>
      <c r="G505" t="n">
        <v>13.72</v>
      </c>
      <c r="H505" t="n">
        <v>0.09293</v>
      </c>
      <c r="I505" t="n">
        <v>20.98</v>
      </c>
      <c r="J505" t="n">
        <v>18.07</v>
      </c>
      <c r="K505" t="n">
        <v>0.05521</v>
      </c>
      <c r="L505" t="n">
        <v>0.003581</v>
      </c>
      <c r="M505" t="n">
        <v>0.0007929</v>
      </c>
      <c r="N505" t="n">
        <v>12.54</v>
      </c>
      <c r="O505" t="n">
        <v>585.7</v>
      </c>
    </row>
    <row r="506">
      <c r="A506" t="n">
        <v>362</v>
      </c>
      <c r="B506" t="inlineStr">
        <is>
          <t>Validation</t>
        </is>
      </c>
      <c r="C506" t="inlineStr">
        <is>
          <t>Benign</t>
        </is>
      </c>
      <c r="D506" t="n">
        <v>0</v>
      </c>
      <c r="E506" t="n">
        <v>92.94</v>
      </c>
      <c r="F506" t="n">
        <v>0.05614</v>
      </c>
      <c r="G506" t="n">
        <v>14.2</v>
      </c>
      <c r="H506" t="n">
        <v>0.114</v>
      </c>
      <c r="I506" t="n">
        <v>29.2</v>
      </c>
      <c r="J506" t="n">
        <v>21.57</v>
      </c>
      <c r="K506" t="n">
        <v>0.06658</v>
      </c>
      <c r="L506" t="n">
        <v>0.1212</v>
      </c>
      <c r="M506" t="n">
        <v>0.01795</v>
      </c>
      <c r="N506" t="n">
        <v>13.3</v>
      </c>
      <c r="O506" t="n">
        <v>621.2</v>
      </c>
    </row>
    <row r="507">
      <c r="A507" t="n">
        <v>363</v>
      </c>
      <c r="B507" t="inlineStr">
        <is>
          <t>Validation</t>
        </is>
      </c>
      <c r="C507" t="inlineStr">
        <is>
          <t>Benign</t>
        </is>
      </c>
      <c r="D507" t="n">
        <v>0</v>
      </c>
      <c r="E507" t="n">
        <v>87.81999999999999</v>
      </c>
      <c r="F507" t="n">
        <v>0.08312</v>
      </c>
      <c r="G507" t="n">
        <v>13.75</v>
      </c>
      <c r="H507" t="n">
        <v>0.1298</v>
      </c>
      <c r="I507" t="n">
        <v>25.99</v>
      </c>
      <c r="J507" t="n">
        <v>18.84</v>
      </c>
      <c r="K507" t="n">
        <v>0.07238</v>
      </c>
      <c r="L507" t="n">
        <v>0.1255</v>
      </c>
      <c r="M507" t="n">
        <v>0.01529</v>
      </c>
      <c r="N507" t="n">
        <v>12.76</v>
      </c>
      <c r="O507" t="n">
        <v>579.7</v>
      </c>
    </row>
    <row r="508">
      <c r="A508" t="n">
        <v>366</v>
      </c>
      <c r="B508" t="inlineStr">
        <is>
          <t>Validation</t>
        </is>
      </c>
      <c r="C508" t="inlineStr">
        <is>
          <t>Malignant</t>
        </is>
      </c>
      <c r="D508" t="n">
        <v>1</v>
      </c>
      <c r="E508" t="n">
        <v>161.2</v>
      </c>
      <c r="F508" t="n">
        <v>0.1765</v>
      </c>
      <c r="G508" t="n">
        <v>24.31</v>
      </c>
      <c r="H508" t="n">
        <v>0.1327</v>
      </c>
      <c r="I508" t="n">
        <v>26.37</v>
      </c>
      <c r="J508" t="n">
        <v>21.78</v>
      </c>
      <c r="K508" t="n">
        <v>0.06734999999999999</v>
      </c>
      <c r="L508" t="n">
        <v>0.2702</v>
      </c>
      <c r="M508" t="n">
        <v>0.02375</v>
      </c>
      <c r="N508" t="n">
        <v>20.44</v>
      </c>
      <c r="O508" t="n">
        <v>1780</v>
      </c>
    </row>
    <row r="509">
      <c r="A509" t="n">
        <v>368</v>
      </c>
      <c r="B509" t="inlineStr">
        <is>
          <t>Validation</t>
        </is>
      </c>
      <c r="C509" t="inlineStr">
        <is>
          <t>Benign</t>
        </is>
      </c>
      <c r="D509" t="n">
        <v>0</v>
      </c>
      <c r="E509" t="n">
        <v>93.84999999999999</v>
      </c>
      <c r="F509" t="n">
        <v>0.08828999999999999</v>
      </c>
      <c r="G509" t="n">
        <v>14.29</v>
      </c>
      <c r="H509" t="n">
        <v>0.1368</v>
      </c>
      <c r="I509" t="n">
        <v>24.04</v>
      </c>
      <c r="J509" t="n">
        <v>18.02</v>
      </c>
      <c r="K509" t="n">
        <v>0.0747</v>
      </c>
      <c r="L509" t="n">
        <v>0.2413</v>
      </c>
      <c r="M509" t="n">
        <v>0.02</v>
      </c>
      <c r="N509" t="n">
        <v>12.21</v>
      </c>
      <c r="O509" t="n">
        <v>624.6</v>
      </c>
    </row>
    <row r="510">
      <c r="A510" t="n">
        <v>370</v>
      </c>
      <c r="B510" t="inlineStr">
        <is>
          <t>Validation</t>
        </is>
      </c>
      <c r="C510" t="inlineStr">
        <is>
          <t>Malignant</t>
        </is>
      </c>
      <c r="D510" t="n">
        <v>1</v>
      </c>
      <c r="E510" t="n">
        <v>195</v>
      </c>
      <c r="F510" t="n">
        <v>0.2432</v>
      </c>
      <c r="G510" t="n">
        <v>27.66</v>
      </c>
      <c r="H510" t="n">
        <v>0.1294</v>
      </c>
      <c r="I510" t="n">
        <v>25.8</v>
      </c>
      <c r="J510" t="n">
        <v>21.9</v>
      </c>
      <c r="K510" t="n">
        <v>0.08574</v>
      </c>
      <c r="L510" t="n">
        <v>0.4756</v>
      </c>
      <c r="M510" t="n">
        <v>0.03576</v>
      </c>
      <c r="N510" t="n">
        <v>22.01</v>
      </c>
      <c r="O510" t="n">
        <v>2227</v>
      </c>
    </row>
    <row r="511">
      <c r="A511" t="n">
        <v>372</v>
      </c>
      <c r="B511" t="inlineStr">
        <is>
          <t>Validation</t>
        </is>
      </c>
      <c r="C511" t="inlineStr">
        <is>
          <t>Benign</t>
        </is>
      </c>
      <c r="D511" t="n">
        <v>0</v>
      </c>
      <c r="E511" t="n">
        <v>104.5</v>
      </c>
      <c r="F511" t="n">
        <v>0.08178000000000001</v>
      </c>
      <c r="G511" t="n">
        <v>16.2</v>
      </c>
      <c r="H511" t="n">
        <v>0.1126</v>
      </c>
      <c r="I511" t="n">
        <v>15.73</v>
      </c>
      <c r="J511" t="n">
        <v>13.21</v>
      </c>
      <c r="K511" t="n">
        <v>0.06766</v>
      </c>
      <c r="L511" t="n">
        <v>0.1362</v>
      </c>
      <c r="M511" t="n">
        <v>0.01551</v>
      </c>
      <c r="N511" t="n">
        <v>15.19</v>
      </c>
      <c r="O511" t="n">
        <v>819.1</v>
      </c>
    </row>
    <row r="512">
      <c r="A512" t="n">
        <v>374</v>
      </c>
      <c r="B512" t="inlineStr">
        <is>
          <t>Validation</t>
        </is>
      </c>
      <c r="C512" t="inlineStr">
        <is>
          <t>Malignant</t>
        </is>
      </c>
      <c r="D512" t="n">
        <v>1</v>
      </c>
      <c r="E512" t="n">
        <v>166.8</v>
      </c>
      <c r="F512" t="n">
        <v>0.2112</v>
      </c>
      <c r="G512" t="n">
        <v>25.37</v>
      </c>
      <c r="H512" t="n">
        <v>0.1562</v>
      </c>
      <c r="I512" t="n">
        <v>23.17</v>
      </c>
      <c r="J512" t="n">
        <v>17.35</v>
      </c>
      <c r="K512" t="n">
        <v>0.07055</v>
      </c>
      <c r="L512" t="n">
        <v>0.4159</v>
      </c>
      <c r="M512" t="n">
        <v>0.02681</v>
      </c>
      <c r="N512" t="n">
        <v>20.64</v>
      </c>
      <c r="O512" t="n">
        <v>1946</v>
      </c>
    </row>
    <row r="513">
      <c r="A513" t="n">
        <v>378</v>
      </c>
      <c r="B513" t="inlineStr">
        <is>
          <t>Validation</t>
        </is>
      </c>
      <c r="C513" t="inlineStr">
        <is>
          <t>Benign</t>
        </is>
      </c>
      <c r="D513" t="n">
        <v>0</v>
      </c>
      <c r="E513" t="n">
        <v>97.11</v>
      </c>
      <c r="F513" t="n">
        <v>0.05781</v>
      </c>
      <c r="G513" t="n">
        <v>14.69</v>
      </c>
      <c r="H513" t="n">
        <v>0.1108</v>
      </c>
      <c r="I513" t="n">
        <v>35.63</v>
      </c>
      <c r="J513" t="n">
        <v>28.21</v>
      </c>
      <c r="K513" t="n">
        <v>0.07061000000000001</v>
      </c>
      <c r="L513" t="n">
        <v>0.07933999999999999</v>
      </c>
      <c r="M513" t="n">
        <v>0.007508</v>
      </c>
      <c r="N513" t="n">
        <v>13.46</v>
      </c>
      <c r="O513" t="n">
        <v>680.6</v>
      </c>
    </row>
    <row r="514">
      <c r="A514" t="n">
        <v>379</v>
      </c>
      <c r="B514" t="inlineStr">
        <is>
          <t>Validation</t>
        </is>
      </c>
      <c r="C514" t="inlineStr">
        <is>
          <t>Benign</t>
        </is>
      </c>
      <c r="D514" t="n">
        <v>0</v>
      </c>
      <c r="E514" t="n">
        <v>97.95999999999999</v>
      </c>
      <c r="F514" t="n">
        <v>0.1054</v>
      </c>
      <c r="G514" t="n">
        <v>14.54</v>
      </c>
      <c r="H514" t="n">
        <v>0.1275</v>
      </c>
      <c r="I514" t="n">
        <v>19.64</v>
      </c>
      <c r="J514" t="n">
        <v>15.15</v>
      </c>
      <c r="K514" t="n">
        <v>0.09637999999999999</v>
      </c>
      <c r="L514" t="n">
        <v>0.2569</v>
      </c>
      <c r="M514" t="n">
        <v>0.02443</v>
      </c>
      <c r="N514" t="n">
        <v>13.66</v>
      </c>
      <c r="O514" t="n">
        <v>657</v>
      </c>
    </row>
    <row r="515">
      <c r="A515" t="n">
        <v>383</v>
      </c>
      <c r="B515" t="inlineStr">
        <is>
          <t>Validation</t>
        </is>
      </c>
      <c r="C515" t="inlineStr">
        <is>
          <t>Benign</t>
        </is>
      </c>
      <c r="D515" t="n">
        <v>0</v>
      </c>
      <c r="E515" t="n">
        <v>87.36</v>
      </c>
      <c r="F515" t="n">
        <v>0.1092</v>
      </c>
      <c r="G515" t="n">
        <v>12.57</v>
      </c>
      <c r="H515" t="n">
        <v>0.08799</v>
      </c>
      <c r="I515" t="n">
        <v>28.71</v>
      </c>
      <c r="J515" t="n">
        <v>22.72</v>
      </c>
      <c r="K515" t="n">
        <v>0.09349</v>
      </c>
      <c r="L515" t="n">
        <v>0.2912</v>
      </c>
      <c r="M515" t="n">
        <v>0.04305</v>
      </c>
      <c r="N515" t="n">
        <v>12.05</v>
      </c>
      <c r="O515" t="n">
        <v>488.4</v>
      </c>
    </row>
    <row r="516">
      <c r="A516" t="n">
        <v>384</v>
      </c>
      <c r="B516" t="inlineStr">
        <is>
          <t>Validation</t>
        </is>
      </c>
      <c r="C516" t="inlineStr">
        <is>
          <t>Benign</t>
        </is>
      </c>
      <c r="D516" t="n">
        <v>0</v>
      </c>
      <c r="E516" t="n">
        <v>95.23</v>
      </c>
      <c r="F516" t="n">
        <v>0.09804</v>
      </c>
      <c r="G516" t="n">
        <v>14.18</v>
      </c>
      <c r="H516" t="n">
        <v>0.1427</v>
      </c>
      <c r="I516" t="n">
        <v>23.13</v>
      </c>
      <c r="J516" t="n">
        <v>17.48</v>
      </c>
      <c r="K516" t="n">
        <v>0.1118</v>
      </c>
      <c r="L516" t="n">
        <v>0.3206</v>
      </c>
      <c r="M516" t="n">
        <v>0.04757</v>
      </c>
      <c r="N516" t="n">
        <v>12.39</v>
      </c>
      <c r="O516" t="n">
        <v>600.5</v>
      </c>
    </row>
    <row r="517">
      <c r="A517" t="n">
        <v>391</v>
      </c>
      <c r="B517" t="inlineStr">
        <is>
          <t>Validation</t>
        </is>
      </c>
      <c r="C517" t="inlineStr">
        <is>
          <t>Benign</t>
        </is>
      </c>
      <c r="D517" t="n">
        <v>0</v>
      </c>
      <c r="E517" t="n">
        <v>73.23</v>
      </c>
      <c r="F517" t="n">
        <v>0.06696000000000001</v>
      </c>
      <c r="G517" t="n">
        <v>11.38</v>
      </c>
      <c r="H517" t="n">
        <v>0.1343</v>
      </c>
      <c r="I517" t="n">
        <v>15.65</v>
      </c>
      <c r="J517" t="n">
        <v>12.22</v>
      </c>
      <c r="K517" t="n">
        <v>0.07722</v>
      </c>
      <c r="L517" t="n">
        <v>0.08615</v>
      </c>
      <c r="M517" t="n">
        <v>0.008496</v>
      </c>
      <c r="N517" t="n">
        <v>10.26</v>
      </c>
      <c r="O517" t="n">
        <v>394.5</v>
      </c>
    </row>
    <row r="518">
      <c r="A518" t="n">
        <v>395</v>
      </c>
      <c r="B518" t="inlineStr">
        <is>
          <t>Validation</t>
        </is>
      </c>
      <c r="C518" t="inlineStr">
        <is>
          <t>Benign</t>
        </is>
      </c>
      <c r="D518" t="n">
        <v>0</v>
      </c>
      <c r="E518" t="n">
        <v>88.33</v>
      </c>
      <c r="F518" t="n">
        <v>0.06265999999999999</v>
      </c>
      <c r="G518" t="n">
        <v>13.56</v>
      </c>
      <c r="H518" t="n">
        <v>0.1432</v>
      </c>
      <c r="I518" t="n">
        <v>25.8</v>
      </c>
      <c r="J518" t="n">
        <v>17.72</v>
      </c>
      <c r="K518" t="n">
        <v>0.07081</v>
      </c>
      <c r="L518" t="n">
        <v>0.1603</v>
      </c>
      <c r="M518" t="n">
        <v>0.01843</v>
      </c>
      <c r="N518" t="n">
        <v>12.1</v>
      </c>
      <c r="O518" t="n">
        <v>559.5</v>
      </c>
    </row>
    <row r="519">
      <c r="A519" t="n">
        <v>403</v>
      </c>
      <c r="B519" t="inlineStr">
        <is>
          <t>Validation</t>
        </is>
      </c>
      <c r="C519" t="inlineStr">
        <is>
          <t>Benign</t>
        </is>
      </c>
      <c r="D519" t="n">
        <v>0</v>
      </c>
      <c r="E519" t="n">
        <v>96.31</v>
      </c>
      <c r="F519" t="n">
        <v>0.06608</v>
      </c>
      <c r="G519" t="n">
        <v>14.13</v>
      </c>
      <c r="H519" t="n">
        <v>0.09329</v>
      </c>
      <c r="I519" t="n">
        <v>24.61</v>
      </c>
      <c r="J519" t="n">
        <v>18.29</v>
      </c>
      <c r="K519" t="n">
        <v>0.07247000000000001</v>
      </c>
      <c r="L519" t="n">
        <v>0.1604</v>
      </c>
      <c r="M519" t="n">
        <v>0.03452</v>
      </c>
      <c r="N519" t="n">
        <v>12.96</v>
      </c>
      <c r="O519" t="n">
        <v>621.9</v>
      </c>
    </row>
    <row r="520">
      <c r="A520" t="n">
        <v>406</v>
      </c>
      <c r="B520" t="inlineStr">
        <is>
          <t>Validation</t>
        </is>
      </c>
      <c r="C520" t="inlineStr">
        <is>
          <t>Benign</t>
        </is>
      </c>
      <c r="D520" t="n">
        <v>0</v>
      </c>
      <c r="E520" t="n">
        <v>82.76000000000001</v>
      </c>
      <c r="F520" t="n">
        <v>0.07887</v>
      </c>
      <c r="G520" t="n">
        <v>12.4</v>
      </c>
      <c r="H520" t="n">
        <v>0.1363</v>
      </c>
      <c r="I520" t="n">
        <v>25.58</v>
      </c>
      <c r="J520" t="n">
        <v>18.59</v>
      </c>
      <c r="K520" t="n">
        <v>0.07732</v>
      </c>
      <c r="L520" t="n">
        <v>0.1412</v>
      </c>
      <c r="M520" t="n">
        <v>0.0199</v>
      </c>
      <c r="N520" t="n">
        <v>10.94</v>
      </c>
      <c r="O520" t="n">
        <v>472.4</v>
      </c>
    </row>
    <row r="521">
      <c r="A521" t="n">
        <v>408</v>
      </c>
      <c r="B521" t="inlineStr">
        <is>
          <t>Validation</t>
        </is>
      </c>
      <c r="C521" t="inlineStr">
        <is>
          <t>Benign</t>
        </is>
      </c>
      <c r="D521" t="n">
        <v>0</v>
      </c>
      <c r="E521" t="n">
        <v>91.63</v>
      </c>
      <c r="F521" t="n">
        <v>0.05601</v>
      </c>
      <c r="G521" t="n">
        <v>14.4</v>
      </c>
      <c r="H521" t="n">
        <v>0.09402000000000001</v>
      </c>
      <c r="I521" t="n">
        <v>27.01</v>
      </c>
      <c r="J521" t="n">
        <v>21.37</v>
      </c>
      <c r="K521" t="n">
        <v>0.08151</v>
      </c>
      <c r="L521" t="n">
        <v>0.1838</v>
      </c>
      <c r="M521" t="n">
        <v>0.05175</v>
      </c>
      <c r="N521" t="n">
        <v>12.85</v>
      </c>
      <c r="O521" t="n">
        <v>645.8</v>
      </c>
    </row>
    <row r="522">
      <c r="A522" t="n">
        <v>410</v>
      </c>
      <c r="B522" t="inlineStr">
        <is>
          <t>Validation</t>
        </is>
      </c>
      <c r="C522" t="inlineStr">
        <is>
          <t>Benign</t>
        </is>
      </c>
      <c r="D522" t="n">
        <v>0</v>
      </c>
      <c r="E522" t="n">
        <v>89</v>
      </c>
      <c r="F522" t="n">
        <v>0.09532</v>
      </c>
      <c r="G522" t="n">
        <v>14.1</v>
      </c>
      <c r="H522" t="n">
        <v>0.124</v>
      </c>
      <c r="I522" t="n">
        <v>28.88</v>
      </c>
      <c r="J522" t="n">
        <v>17.92</v>
      </c>
      <c r="K522" t="n">
        <v>0.06895999999999999</v>
      </c>
      <c r="L522" t="n">
        <v>0.1377</v>
      </c>
      <c r="M522" t="n">
        <v>0.02059</v>
      </c>
      <c r="N522" t="n">
        <v>12.27</v>
      </c>
      <c r="O522" t="n">
        <v>610.2</v>
      </c>
    </row>
    <row r="523">
      <c r="A523" t="n">
        <v>416</v>
      </c>
      <c r="B523" t="inlineStr">
        <is>
          <t>Validation</t>
        </is>
      </c>
      <c r="C523" t="inlineStr">
        <is>
          <t>Benign</t>
        </is>
      </c>
      <c r="D523" t="n">
        <v>0</v>
      </c>
      <c r="E523" t="n">
        <v>85.09</v>
      </c>
      <c r="F523" t="n">
        <v>0.08263</v>
      </c>
      <c r="G523" t="n">
        <v>13.05</v>
      </c>
      <c r="H523" t="n">
        <v>0.1426</v>
      </c>
      <c r="I523" t="n">
        <v>27.21</v>
      </c>
      <c r="J523" t="n">
        <v>21.17</v>
      </c>
      <c r="K523" t="n">
        <v>0.07351000000000001</v>
      </c>
      <c r="L523" t="n">
        <v>0.1164</v>
      </c>
      <c r="M523" t="n">
        <v>0.0163</v>
      </c>
      <c r="N523" t="n">
        <v>11.89</v>
      </c>
      <c r="O523" t="n">
        <v>522.9</v>
      </c>
    </row>
    <row r="524">
      <c r="A524" t="n">
        <v>419</v>
      </c>
      <c r="B524" t="inlineStr">
        <is>
          <t>Validation</t>
        </is>
      </c>
      <c r="C524" t="inlineStr">
        <is>
          <t>Benign</t>
        </is>
      </c>
      <c r="D524" t="n">
        <v>0</v>
      </c>
      <c r="E524" t="n">
        <v>88.12</v>
      </c>
      <c r="F524" t="n">
        <v>0.08223999999999999</v>
      </c>
      <c r="G524" t="n">
        <v>13.65</v>
      </c>
      <c r="H524" t="n">
        <v>0.1314</v>
      </c>
      <c r="I524" t="n">
        <v>16.92</v>
      </c>
      <c r="J524" t="n">
        <v>12.17</v>
      </c>
      <c r="K524" t="n">
        <v>0.09464</v>
      </c>
      <c r="L524" t="n">
        <v>0.09385</v>
      </c>
      <c r="M524" t="n">
        <v>0.009075</v>
      </c>
      <c r="N524" t="n">
        <v>12.7</v>
      </c>
      <c r="O524" t="n">
        <v>566.9</v>
      </c>
    </row>
    <row r="525">
      <c r="A525" t="n">
        <v>422</v>
      </c>
      <c r="B525" t="inlineStr">
        <is>
          <t>Validation</t>
        </is>
      </c>
      <c r="C525" t="inlineStr">
        <is>
          <t>Benign</t>
        </is>
      </c>
      <c r="D525" t="n">
        <v>0</v>
      </c>
      <c r="E525" t="n">
        <v>114.1</v>
      </c>
      <c r="F525" t="n">
        <v>0.1108</v>
      </c>
      <c r="G525" t="n">
        <v>16.46</v>
      </c>
      <c r="H525" t="n">
        <v>0.1312</v>
      </c>
      <c r="I525" t="n">
        <v>18.34</v>
      </c>
      <c r="J525" t="n">
        <v>13.98</v>
      </c>
      <c r="K525" t="n">
        <v>0.09208</v>
      </c>
      <c r="L525" t="n">
        <v>0.3219</v>
      </c>
      <c r="M525" t="n">
        <v>0.05278</v>
      </c>
      <c r="N525" t="n">
        <v>14.69</v>
      </c>
      <c r="O525" t="n">
        <v>809.2</v>
      </c>
    </row>
    <row r="526">
      <c r="A526" t="n">
        <v>429</v>
      </c>
      <c r="B526" t="inlineStr">
        <is>
          <t>Validation</t>
        </is>
      </c>
      <c r="C526" t="inlineStr">
        <is>
          <t>Benign</t>
        </is>
      </c>
      <c r="D526" t="n">
        <v>0</v>
      </c>
      <c r="E526" t="n">
        <v>74.34999999999999</v>
      </c>
      <c r="F526" t="n">
        <v>0.04044</v>
      </c>
      <c r="G526" t="n">
        <v>11.68</v>
      </c>
      <c r="H526" t="n">
        <v>0.103</v>
      </c>
      <c r="I526" t="n">
        <v>20.29</v>
      </c>
      <c r="J526" t="n">
        <v>16.62</v>
      </c>
      <c r="K526" t="n">
        <v>0.07083</v>
      </c>
      <c r="L526" t="n">
        <v>0.0458</v>
      </c>
      <c r="M526" t="n">
        <v>0.009398</v>
      </c>
      <c r="N526" t="n">
        <v>11.13</v>
      </c>
      <c r="O526" t="n">
        <v>421.1</v>
      </c>
    </row>
    <row r="527">
      <c r="A527" t="n">
        <v>433</v>
      </c>
      <c r="B527" t="inlineStr">
        <is>
          <t>Validation</t>
        </is>
      </c>
      <c r="C527" t="inlineStr">
        <is>
          <t>Malignant</t>
        </is>
      </c>
      <c r="D527" t="n">
        <v>1</v>
      </c>
      <c r="E527" t="n">
        <v>146</v>
      </c>
      <c r="F527" t="n">
        <v>0.2173</v>
      </c>
      <c r="G527" t="n">
        <v>22.03</v>
      </c>
      <c r="H527" t="n">
        <v>0.1665</v>
      </c>
      <c r="I527" t="n">
        <v>25.07</v>
      </c>
      <c r="J527" t="n">
        <v>19.54</v>
      </c>
      <c r="K527" t="n">
        <v>0.08075</v>
      </c>
      <c r="L527" t="n">
        <v>0.5308</v>
      </c>
      <c r="M527" t="n">
        <v>0.05546</v>
      </c>
      <c r="N527" t="n">
        <v>20.18</v>
      </c>
      <c r="O527" t="n">
        <v>1479</v>
      </c>
    </row>
    <row r="528">
      <c r="A528" t="n">
        <v>438</v>
      </c>
      <c r="B528" t="inlineStr">
        <is>
          <t>Validation</t>
        </is>
      </c>
      <c r="C528" t="inlineStr">
        <is>
          <t>Benign</t>
        </is>
      </c>
      <c r="D528" t="n">
        <v>0</v>
      </c>
      <c r="E528" t="n">
        <v>101.2</v>
      </c>
      <c r="F528" t="n">
        <v>0.07453</v>
      </c>
      <c r="G528" t="n">
        <v>15.66</v>
      </c>
      <c r="H528" t="n">
        <v>0.1195</v>
      </c>
      <c r="I528" t="n">
        <v>21.58</v>
      </c>
      <c r="J528" t="n">
        <v>15.98</v>
      </c>
      <c r="K528" t="n">
        <v>0.07234</v>
      </c>
      <c r="L528" t="n">
        <v>0.1117</v>
      </c>
      <c r="M528" t="n">
        <v>0.01608</v>
      </c>
      <c r="N528" t="n">
        <v>14.04</v>
      </c>
      <c r="O528" t="n">
        <v>750</v>
      </c>
    </row>
    <row r="529">
      <c r="A529" t="n">
        <v>439</v>
      </c>
      <c r="B529" t="inlineStr">
        <is>
          <t>Validation</t>
        </is>
      </c>
      <c r="C529" t="inlineStr">
        <is>
          <t>Benign</t>
        </is>
      </c>
      <c r="D529" t="n">
        <v>0</v>
      </c>
      <c r="E529" t="n">
        <v>100.9</v>
      </c>
      <c r="F529" t="n">
        <v>0.0589</v>
      </c>
      <c r="G529" t="n">
        <v>15.63</v>
      </c>
      <c r="H529" t="n">
        <v>0.1118</v>
      </c>
      <c r="I529" t="n">
        <v>28.01</v>
      </c>
      <c r="J529" t="n">
        <v>19.6</v>
      </c>
      <c r="K529" t="n">
        <v>0.06911</v>
      </c>
      <c r="L529" t="n">
        <v>0.04753</v>
      </c>
      <c r="M529" t="n">
        <v>0.005812</v>
      </c>
      <c r="N529" t="n">
        <v>13.85</v>
      </c>
      <c r="O529" t="n">
        <v>749.1</v>
      </c>
    </row>
    <row r="530">
      <c r="A530" t="n">
        <v>442</v>
      </c>
      <c r="B530" t="inlineStr">
        <is>
          <t>Validation</t>
        </is>
      </c>
      <c r="C530" t="inlineStr">
        <is>
          <t>Malignant</t>
        </is>
      </c>
      <c r="D530" t="n">
        <v>1</v>
      </c>
      <c r="E530" t="n">
        <v>132.8</v>
      </c>
      <c r="F530" t="n">
        <v>0.1739</v>
      </c>
      <c r="G530" t="n">
        <v>20.38</v>
      </c>
      <c r="H530" t="n">
        <v>0.1436</v>
      </c>
      <c r="I530" t="n">
        <v>35.46</v>
      </c>
      <c r="J530" t="n">
        <v>25.42</v>
      </c>
      <c r="K530" t="n">
        <v>0.07944</v>
      </c>
      <c r="L530" t="n">
        <v>0.5036</v>
      </c>
      <c r="M530" t="n">
        <v>0.04942</v>
      </c>
      <c r="N530" t="n">
        <v>17.27</v>
      </c>
      <c r="O530" t="n">
        <v>1284</v>
      </c>
    </row>
    <row r="531">
      <c r="A531" t="n">
        <v>446</v>
      </c>
      <c r="B531" t="inlineStr">
        <is>
          <t>Validation</t>
        </is>
      </c>
      <c r="C531" t="inlineStr">
        <is>
          <t>Benign</t>
        </is>
      </c>
      <c r="D531" t="n">
        <v>0</v>
      </c>
      <c r="E531" t="n">
        <v>84.48</v>
      </c>
      <c r="F531" t="n">
        <v>0.1202</v>
      </c>
      <c r="G531" t="n">
        <v>12.98</v>
      </c>
      <c r="H531" t="n">
        <v>0.1311</v>
      </c>
      <c r="I531" t="n">
        <v>30.36</v>
      </c>
      <c r="J531" t="n">
        <v>24.89</v>
      </c>
      <c r="K531" t="n">
        <v>0.08251</v>
      </c>
      <c r="L531" t="n">
        <v>0.1609</v>
      </c>
      <c r="M531" t="n">
        <v>0.02334</v>
      </c>
      <c r="N531" t="n">
        <v>11.99</v>
      </c>
      <c r="O531" t="n">
        <v>513.9</v>
      </c>
    </row>
    <row r="532">
      <c r="A532" t="n">
        <v>447</v>
      </c>
      <c r="B532" t="inlineStr">
        <is>
          <t>Validation</t>
        </is>
      </c>
      <c r="C532" t="inlineStr">
        <is>
          <t>Malignant</t>
        </is>
      </c>
      <c r="D532" t="n">
        <v>1</v>
      </c>
      <c r="E532" t="n">
        <v>145.4</v>
      </c>
      <c r="F532" t="n">
        <v>0.197</v>
      </c>
      <c r="G532" t="n">
        <v>21.53</v>
      </c>
      <c r="H532" t="n">
        <v>0.1401</v>
      </c>
      <c r="I532" t="n">
        <v>38.54</v>
      </c>
      <c r="J532" t="n">
        <v>28.03</v>
      </c>
      <c r="K532" t="n">
        <v>0.09075</v>
      </c>
      <c r="L532" t="n">
        <v>0.6399</v>
      </c>
      <c r="M532" t="n">
        <v>0.03697</v>
      </c>
      <c r="N532" t="n">
        <v>17.75</v>
      </c>
      <c r="O532" t="n">
        <v>1437</v>
      </c>
    </row>
    <row r="533">
      <c r="A533" t="n">
        <v>454</v>
      </c>
      <c r="B533" t="inlineStr">
        <is>
          <t>Validation</t>
        </is>
      </c>
      <c r="C533" t="inlineStr">
        <is>
          <t>Benign</t>
        </is>
      </c>
      <c r="D533" t="n">
        <v>0</v>
      </c>
      <c r="E533" t="n">
        <v>103.1</v>
      </c>
      <c r="F533" t="n">
        <v>0.1069</v>
      </c>
      <c r="G533" t="n">
        <v>15.8</v>
      </c>
      <c r="H533" t="n">
        <v>0.1347</v>
      </c>
      <c r="I533" t="n">
        <v>16.93</v>
      </c>
      <c r="J533" t="n">
        <v>13.98</v>
      </c>
      <c r="K533" t="n">
        <v>0.0781</v>
      </c>
      <c r="L533" t="n">
        <v>0.1373</v>
      </c>
      <c r="M533" t="n">
        <v>0.01615</v>
      </c>
      <c r="N533" t="n">
        <v>14.53</v>
      </c>
      <c r="O533" t="n">
        <v>749.9</v>
      </c>
    </row>
    <row r="534">
      <c r="A534" t="n">
        <v>458</v>
      </c>
      <c r="B534" t="inlineStr">
        <is>
          <t>Validation</t>
        </is>
      </c>
      <c r="C534" t="inlineStr">
        <is>
          <t>Benign</t>
        </is>
      </c>
      <c r="D534" t="n">
        <v>0</v>
      </c>
      <c r="E534" t="n">
        <v>91.29000000000001</v>
      </c>
      <c r="F534" t="n">
        <v>0.06005</v>
      </c>
      <c r="G534" t="n">
        <v>14.35</v>
      </c>
      <c r="H534" t="n">
        <v>0.1289</v>
      </c>
      <c r="I534" t="n">
        <v>34.23</v>
      </c>
      <c r="J534" t="n">
        <v>25.25</v>
      </c>
      <c r="K534" t="n">
        <v>0.06788</v>
      </c>
      <c r="L534" t="n">
        <v>0.139</v>
      </c>
      <c r="M534" t="n">
        <v>0.0151</v>
      </c>
      <c r="N534" t="n">
        <v>13.21</v>
      </c>
      <c r="O534" t="n">
        <v>632.9</v>
      </c>
    </row>
    <row r="535">
      <c r="A535" t="n">
        <v>461</v>
      </c>
      <c r="B535" t="inlineStr">
        <is>
          <t>Validation</t>
        </is>
      </c>
      <c r="C535" t="inlineStr">
        <is>
          <t>Malignant</t>
        </is>
      </c>
      <c r="D535" t="n">
        <v>1</v>
      </c>
      <c r="E535" t="n">
        <v>152.1</v>
      </c>
      <c r="F535" t="n">
        <v>0.1555</v>
      </c>
      <c r="G535" t="n">
        <v>22.96</v>
      </c>
      <c r="H535" t="n">
        <v>0.16</v>
      </c>
      <c r="I535" t="n">
        <v>34.49</v>
      </c>
      <c r="J535" t="n">
        <v>27.15</v>
      </c>
      <c r="K535" t="n">
        <v>0.0906</v>
      </c>
      <c r="L535" t="n">
        <v>0.2639</v>
      </c>
      <c r="M535" t="n">
        <v>0.02721</v>
      </c>
      <c r="N535" t="n">
        <v>17.08</v>
      </c>
      <c r="O535" t="n">
        <v>1648</v>
      </c>
    </row>
    <row r="536">
      <c r="A536" t="n">
        <v>466</v>
      </c>
      <c r="B536" t="inlineStr">
        <is>
          <t>Validation</t>
        </is>
      </c>
      <c r="C536" t="inlineStr">
        <is>
          <t>Benign</t>
        </is>
      </c>
      <c r="D536" t="n">
        <v>0</v>
      </c>
      <c r="E536" t="n">
        <v>115</v>
      </c>
      <c r="F536" t="n">
        <v>0.1357</v>
      </c>
      <c r="G536" t="n">
        <v>15.44</v>
      </c>
      <c r="H536" t="n">
        <v>0.1201</v>
      </c>
      <c r="I536" t="n">
        <v>25.5</v>
      </c>
      <c r="J536" t="n">
        <v>20.13</v>
      </c>
      <c r="K536" t="n">
        <v>0.1249</v>
      </c>
      <c r="L536" t="n">
        <v>0.6556</v>
      </c>
      <c r="M536" t="n">
        <v>0.07683</v>
      </c>
      <c r="N536" t="n">
        <v>13.24</v>
      </c>
      <c r="O536" t="n">
        <v>733.5</v>
      </c>
    </row>
    <row r="537">
      <c r="A537" t="n">
        <v>472</v>
      </c>
      <c r="B537" t="inlineStr">
        <is>
          <t>Validation</t>
        </is>
      </c>
      <c r="C537" t="inlineStr">
        <is>
          <t>Benign</t>
        </is>
      </c>
      <c r="D537" t="n">
        <v>0</v>
      </c>
      <c r="E537" t="n">
        <v>87.23999999999999</v>
      </c>
      <c r="F537" t="n">
        <v>0.05547</v>
      </c>
      <c r="G537" t="n">
        <v>13.6</v>
      </c>
      <c r="H537" t="n">
        <v>0.1041</v>
      </c>
      <c r="I537" t="n">
        <v>33.33</v>
      </c>
      <c r="J537" t="n">
        <v>28.14</v>
      </c>
      <c r="K537" t="n">
        <v>0.06639</v>
      </c>
      <c r="L537" t="n">
        <v>0.05524</v>
      </c>
      <c r="M537" t="n">
        <v>0.01465</v>
      </c>
      <c r="N537" t="n">
        <v>12.04</v>
      </c>
      <c r="O537" t="n">
        <v>567.6</v>
      </c>
    </row>
    <row r="538">
      <c r="A538" t="n">
        <v>476</v>
      </c>
      <c r="B538" t="inlineStr">
        <is>
          <t>Validation</t>
        </is>
      </c>
      <c r="C538" t="inlineStr">
        <is>
          <t>Benign</t>
        </is>
      </c>
      <c r="D538" t="n">
        <v>0</v>
      </c>
      <c r="E538" t="n">
        <v>93.22</v>
      </c>
      <c r="F538" t="n">
        <v>0.09783</v>
      </c>
      <c r="G538" t="n">
        <v>14.09</v>
      </c>
      <c r="H538" t="n">
        <v>0.1326</v>
      </c>
      <c r="I538" t="n">
        <v>19.35</v>
      </c>
      <c r="J538" t="n">
        <v>15.73</v>
      </c>
      <c r="K538" t="n">
        <v>0.07802000000000001</v>
      </c>
      <c r="L538" t="n">
        <v>0.3476</v>
      </c>
      <c r="M538" t="n">
        <v>0.03318</v>
      </c>
      <c r="N538" t="n">
        <v>12.83</v>
      </c>
      <c r="O538" t="n">
        <v>605.8</v>
      </c>
    </row>
    <row r="539">
      <c r="A539" t="n">
        <v>477</v>
      </c>
      <c r="B539" t="inlineStr">
        <is>
          <t>Validation</t>
        </is>
      </c>
      <c r="C539" t="inlineStr">
        <is>
          <t>Benign</t>
        </is>
      </c>
      <c r="D539" t="n">
        <v>0</v>
      </c>
      <c r="E539" t="n">
        <v>112.1</v>
      </c>
      <c r="F539" t="n">
        <v>0.1339</v>
      </c>
      <c r="G539" t="n">
        <v>16.45</v>
      </c>
      <c r="H539" t="n">
        <v>0.1153</v>
      </c>
      <c r="I539" t="n">
        <v>27.26</v>
      </c>
      <c r="J539" t="n">
        <v>20.53</v>
      </c>
      <c r="K539" t="n">
        <v>0.07858</v>
      </c>
      <c r="L539" t="n">
        <v>0.2512</v>
      </c>
      <c r="M539" t="n">
        <v>0.02821</v>
      </c>
      <c r="N539" t="n">
        <v>14.2</v>
      </c>
      <c r="O539" t="n">
        <v>828.5</v>
      </c>
    </row>
    <row r="540">
      <c r="A540" t="n">
        <v>481</v>
      </c>
      <c r="B540" t="inlineStr">
        <is>
          <t>Validation</t>
        </is>
      </c>
      <c r="C540" t="inlineStr">
        <is>
          <t>Benign</t>
        </is>
      </c>
      <c r="D540" t="n">
        <v>0</v>
      </c>
      <c r="E540" t="n">
        <v>88.83</v>
      </c>
      <c r="F540" t="n">
        <v>0.0569</v>
      </c>
      <c r="G540" t="n">
        <v>13.34</v>
      </c>
      <c r="H540" t="n">
        <v>0.1208</v>
      </c>
      <c r="I540" t="n">
        <v>27.87</v>
      </c>
      <c r="J540" t="n">
        <v>18.03</v>
      </c>
      <c r="K540" t="n">
        <v>0.07729</v>
      </c>
      <c r="L540" t="n">
        <v>0.162</v>
      </c>
      <c r="M540" t="n">
        <v>0.01397</v>
      </c>
      <c r="N540" t="n">
        <v>12.16</v>
      </c>
      <c r="O540" t="n">
        <v>547.4</v>
      </c>
    </row>
    <row r="541">
      <c r="A541" t="n">
        <v>483</v>
      </c>
      <c r="B541" t="inlineStr">
        <is>
          <t>Validation</t>
        </is>
      </c>
      <c r="C541" t="inlineStr">
        <is>
          <t>Benign</t>
        </is>
      </c>
      <c r="D541" t="n">
        <v>0</v>
      </c>
      <c r="E541" t="n">
        <v>94.94</v>
      </c>
      <c r="F541" t="n">
        <v>0.1335</v>
      </c>
      <c r="G541" t="n">
        <v>14.83</v>
      </c>
      <c r="H541" t="n">
        <v>0.1393</v>
      </c>
      <c r="I541" t="n">
        <v>18.32</v>
      </c>
      <c r="J541" t="n">
        <v>14.06</v>
      </c>
      <c r="K541" t="n">
        <v>0.09326</v>
      </c>
      <c r="L541" t="n">
        <v>0.1848</v>
      </c>
      <c r="M541" t="n">
        <v>0.01334</v>
      </c>
      <c r="N541" t="n">
        <v>13.47</v>
      </c>
      <c r="O541" t="n">
        <v>660.2</v>
      </c>
    </row>
    <row r="542">
      <c r="A542" t="n">
        <v>491</v>
      </c>
      <c r="B542" t="inlineStr">
        <is>
          <t>Validation</t>
        </is>
      </c>
      <c r="C542" t="inlineStr">
        <is>
          <t>Benign</t>
        </is>
      </c>
      <c r="D542" t="n">
        <v>0</v>
      </c>
      <c r="E542" t="n">
        <v>92.73999999999999</v>
      </c>
      <c r="F542" t="n">
        <v>0.06335</v>
      </c>
      <c r="G542" t="n">
        <v>14.17</v>
      </c>
      <c r="H542" t="n">
        <v>0.1256</v>
      </c>
      <c r="I542" t="n">
        <v>31.99</v>
      </c>
      <c r="J542" t="n">
        <v>22.44</v>
      </c>
      <c r="K542" t="n">
        <v>0.08203000000000001</v>
      </c>
      <c r="L542" t="n">
        <v>0.123</v>
      </c>
      <c r="M542" t="n">
        <v>0.00941</v>
      </c>
      <c r="N542" t="n">
        <v>12.25</v>
      </c>
      <c r="O542" t="n">
        <v>622.9</v>
      </c>
    </row>
    <row r="543">
      <c r="A543" t="n">
        <v>493</v>
      </c>
      <c r="B543" t="inlineStr">
        <is>
          <t>Validation</t>
        </is>
      </c>
      <c r="C543" t="inlineStr">
        <is>
          <t>Malignant</t>
        </is>
      </c>
      <c r="D543" t="n">
        <v>1</v>
      </c>
      <c r="E543" t="n">
        <v>143.4</v>
      </c>
      <c r="F543" t="n">
        <v>0.1489</v>
      </c>
      <c r="G543" t="n">
        <v>21.53</v>
      </c>
      <c r="H543" t="n">
        <v>0.1309</v>
      </c>
      <c r="I543" t="n">
        <v>26.06</v>
      </c>
      <c r="J543" t="n">
        <v>20.56</v>
      </c>
      <c r="K543" t="n">
        <v>0.07625</v>
      </c>
      <c r="L543" t="n">
        <v>0.2544</v>
      </c>
      <c r="M543" t="n">
        <v>0.03737</v>
      </c>
      <c r="N543" t="n">
        <v>18.01</v>
      </c>
      <c r="O543" t="n">
        <v>1426</v>
      </c>
    </row>
    <row r="544">
      <c r="A544" t="n">
        <v>498</v>
      </c>
      <c r="B544" t="inlineStr">
        <is>
          <t>Validation</t>
        </is>
      </c>
      <c r="C544" t="inlineStr">
        <is>
          <t>Benign</t>
        </is>
      </c>
      <c r="D544" t="n">
        <v>0</v>
      </c>
      <c r="E544" t="n">
        <v>92.81999999999999</v>
      </c>
      <c r="F544" t="n">
        <v>0.1053</v>
      </c>
      <c r="G544" t="n">
        <v>14.06</v>
      </c>
      <c r="H544" t="n">
        <v>0.1276</v>
      </c>
      <c r="I544" t="n">
        <v>24.34</v>
      </c>
      <c r="J544" t="n">
        <v>17.31</v>
      </c>
      <c r="K544" t="n">
        <v>0.07661</v>
      </c>
      <c r="L544" t="n">
        <v>0.2028</v>
      </c>
      <c r="M544" t="n">
        <v>0.01346</v>
      </c>
      <c r="N544" t="n">
        <v>12.47</v>
      </c>
      <c r="O544" t="n">
        <v>607.3</v>
      </c>
    </row>
    <row r="545">
      <c r="A545" t="n">
        <v>499</v>
      </c>
      <c r="B545" t="inlineStr">
        <is>
          <t>Validation</t>
        </is>
      </c>
      <c r="C545" t="inlineStr">
        <is>
          <t>Malignant</t>
        </is>
      </c>
      <c r="D545" t="n">
        <v>1</v>
      </c>
      <c r="E545" t="n">
        <v>146.4</v>
      </c>
      <c r="F545" t="n">
        <v>0.1663</v>
      </c>
      <c r="G545" t="n">
        <v>22.75</v>
      </c>
      <c r="H545" t="n">
        <v>0.1412</v>
      </c>
      <c r="I545" t="n">
        <v>22.88</v>
      </c>
      <c r="J545" t="n">
        <v>17.52</v>
      </c>
      <c r="K545" t="n">
        <v>0.09445000000000001</v>
      </c>
      <c r="L545" t="n">
        <v>0.3533</v>
      </c>
      <c r="M545" t="n">
        <v>0.04435</v>
      </c>
      <c r="N545" t="n">
        <v>18.49</v>
      </c>
      <c r="O545" t="n">
        <v>1600</v>
      </c>
    </row>
    <row r="546">
      <c r="A546" t="n">
        <v>500</v>
      </c>
      <c r="B546" t="inlineStr">
        <is>
          <t>Validation</t>
        </is>
      </c>
      <c r="C546" t="inlineStr">
        <is>
          <t>Malignant</t>
        </is>
      </c>
      <c r="D546" t="n">
        <v>1</v>
      </c>
      <c r="E546" t="n">
        <v>163.2</v>
      </c>
      <c r="F546" t="n">
        <v>0.2113</v>
      </c>
      <c r="G546" t="n">
        <v>23.86</v>
      </c>
      <c r="H546" t="n">
        <v>0.1464</v>
      </c>
      <c r="I546" t="n">
        <v>30.76</v>
      </c>
      <c r="J546" t="n">
        <v>21.24</v>
      </c>
      <c r="K546" t="n">
        <v>0.08999</v>
      </c>
      <c r="L546" t="n">
        <v>0.5179</v>
      </c>
      <c r="M546" t="n">
        <v>0.04062</v>
      </c>
      <c r="N546" t="n">
        <v>20.59</v>
      </c>
      <c r="O546" t="n">
        <v>1760</v>
      </c>
    </row>
    <row r="547">
      <c r="A547" t="n">
        <v>502</v>
      </c>
      <c r="B547" t="inlineStr">
        <is>
          <t>Validation</t>
        </is>
      </c>
      <c r="C547" t="inlineStr">
        <is>
          <t>Malignant</t>
        </is>
      </c>
      <c r="D547" t="n">
        <v>1</v>
      </c>
      <c r="E547" t="n">
        <v>106</v>
      </c>
      <c r="F547" t="n">
        <v>0.1521</v>
      </c>
      <c r="G547" t="n">
        <v>16.01</v>
      </c>
      <c r="H547" t="n">
        <v>0.1794</v>
      </c>
      <c r="I547" t="n">
        <v>32.94</v>
      </c>
      <c r="J547" t="n">
        <v>24.49</v>
      </c>
      <c r="K547" t="n">
        <v>0.1183</v>
      </c>
      <c r="L547" t="n">
        <v>0.3381</v>
      </c>
      <c r="M547" t="n">
        <v>0.03476</v>
      </c>
      <c r="N547" t="n">
        <v>13.82</v>
      </c>
      <c r="O547" t="n">
        <v>788</v>
      </c>
    </row>
    <row r="548">
      <c r="A548" t="n">
        <v>503</v>
      </c>
      <c r="B548" t="inlineStr">
        <is>
          <t>Validation</t>
        </is>
      </c>
      <c r="C548" t="inlineStr">
        <is>
          <t>Benign</t>
        </is>
      </c>
      <c r="D548" t="n">
        <v>0</v>
      </c>
      <c r="E548" t="n">
        <v>86.67</v>
      </c>
      <c r="F548" t="n">
        <v>0.08411</v>
      </c>
      <c r="G548" t="n">
        <v>13.57</v>
      </c>
      <c r="H548" t="n">
        <v>0.158</v>
      </c>
      <c r="I548" t="n">
        <v>21.4</v>
      </c>
      <c r="J548" t="n">
        <v>16.32</v>
      </c>
      <c r="K548" t="n">
        <v>0.07538</v>
      </c>
      <c r="L548" t="n">
        <v>0.1889</v>
      </c>
      <c r="M548" t="n">
        <v>0.02575</v>
      </c>
      <c r="N548" t="n">
        <v>12.54</v>
      </c>
      <c r="O548" t="n">
        <v>552</v>
      </c>
    </row>
    <row r="549">
      <c r="A549" t="n">
        <v>506</v>
      </c>
      <c r="B549" t="inlineStr">
        <is>
          <t>Validation</t>
        </is>
      </c>
      <c r="C549" t="inlineStr">
        <is>
          <t>Benign</t>
        </is>
      </c>
      <c r="D549" t="n">
        <v>0</v>
      </c>
      <c r="E549" t="n">
        <v>69.47</v>
      </c>
      <c r="F549" t="n">
        <v>0.1075</v>
      </c>
      <c r="G549" t="n">
        <v>10.6</v>
      </c>
      <c r="H549" t="n">
        <v>0.2006</v>
      </c>
      <c r="I549" t="n">
        <v>18.04</v>
      </c>
      <c r="J549" t="n">
        <v>13.14</v>
      </c>
      <c r="K549" t="n">
        <v>0.1364</v>
      </c>
      <c r="L549" t="n">
        <v>0.2913</v>
      </c>
      <c r="M549" t="n">
        <v>0.05189</v>
      </c>
      <c r="N549" t="n">
        <v>9.676</v>
      </c>
      <c r="O549" t="n">
        <v>328.1</v>
      </c>
    </row>
    <row r="550">
      <c r="A550" t="n">
        <v>510</v>
      </c>
      <c r="B550" t="inlineStr">
        <is>
          <t>Validation</t>
        </is>
      </c>
      <c r="C550" t="inlineStr">
        <is>
          <t>Malignant</t>
        </is>
      </c>
      <c r="D550" t="n">
        <v>1</v>
      </c>
      <c r="E550" t="n">
        <v>117.7</v>
      </c>
      <c r="F550" t="n">
        <v>0.2163</v>
      </c>
      <c r="G550" t="n">
        <v>17.11</v>
      </c>
      <c r="H550" t="n">
        <v>0.1732</v>
      </c>
      <c r="I550" t="n">
        <v>36.33</v>
      </c>
      <c r="J550" t="n">
        <v>23.95</v>
      </c>
      <c r="K550" t="n">
        <v>0.1067</v>
      </c>
      <c r="L550" t="n">
        <v>0.5911</v>
      </c>
      <c r="M550" t="n">
        <v>0.06019</v>
      </c>
      <c r="N550" t="n">
        <v>15.46</v>
      </c>
      <c r="O550" t="n">
        <v>909.4</v>
      </c>
    </row>
    <row r="551">
      <c r="A551" t="n">
        <v>514</v>
      </c>
      <c r="B551" t="inlineStr">
        <is>
          <t>Validation</t>
        </is>
      </c>
      <c r="C551" t="inlineStr">
        <is>
          <t>Benign</t>
        </is>
      </c>
      <c r="D551" t="n">
        <v>0</v>
      </c>
      <c r="E551" t="n">
        <v>108.5</v>
      </c>
      <c r="F551" t="n">
        <v>0.09186</v>
      </c>
      <c r="G551" t="n">
        <v>16.76</v>
      </c>
      <c r="H551" t="n">
        <v>0.1223</v>
      </c>
      <c r="I551" t="n">
        <v>17.24</v>
      </c>
      <c r="J551" t="n">
        <v>13.66</v>
      </c>
      <c r="K551" t="n">
        <v>0.07048</v>
      </c>
      <c r="L551" t="n">
        <v>0.2492</v>
      </c>
      <c r="M551" t="n">
        <v>0.03035</v>
      </c>
      <c r="N551" t="n">
        <v>14.58</v>
      </c>
      <c r="O551" t="n">
        <v>862</v>
      </c>
    </row>
    <row r="552">
      <c r="A552" t="n">
        <v>515</v>
      </c>
      <c r="B552" t="inlineStr">
        <is>
          <t>Validation</t>
        </is>
      </c>
      <c r="C552" t="inlineStr">
        <is>
          <t>Malignant</t>
        </is>
      </c>
      <c r="D552" t="n">
        <v>1</v>
      </c>
      <c r="E552" t="n">
        <v>113.8</v>
      </c>
      <c r="F552" t="n">
        <v>0.112</v>
      </c>
      <c r="G552" t="n">
        <v>17.58</v>
      </c>
      <c r="H552" t="n">
        <v>0.1246</v>
      </c>
      <c r="I552" t="n">
        <v>28.06</v>
      </c>
      <c r="J552" t="n">
        <v>19.07</v>
      </c>
      <c r="K552" t="n">
        <v>0.06954</v>
      </c>
      <c r="L552" t="n">
        <v>0.2866</v>
      </c>
      <c r="M552" t="n">
        <v>0.02967</v>
      </c>
      <c r="N552" t="n">
        <v>15.05</v>
      </c>
      <c r="O552" t="n">
        <v>967</v>
      </c>
    </row>
    <row r="553">
      <c r="A553" t="n">
        <v>519</v>
      </c>
      <c r="B553" t="inlineStr">
        <is>
          <t>Validation</t>
        </is>
      </c>
      <c r="C553" t="inlineStr">
        <is>
          <t>Benign</t>
        </is>
      </c>
      <c r="D553" t="n">
        <v>0</v>
      </c>
      <c r="E553" t="n">
        <v>99.31</v>
      </c>
      <c r="F553" t="n">
        <v>0.1096</v>
      </c>
      <c r="G553" t="n">
        <v>15.05</v>
      </c>
      <c r="H553" t="n">
        <v>0.1456</v>
      </c>
      <c r="I553" t="n">
        <v>24.37</v>
      </c>
      <c r="J553" t="n">
        <v>18.22</v>
      </c>
      <c r="K553" t="n">
        <v>0.08893</v>
      </c>
      <c r="L553" t="n">
        <v>0.1246</v>
      </c>
      <c r="M553" t="n">
        <v>0.01405</v>
      </c>
      <c r="N553" t="n">
        <v>12.88</v>
      </c>
      <c r="O553" t="n">
        <v>674.7</v>
      </c>
    </row>
    <row r="554">
      <c r="A554" t="n">
        <v>520</v>
      </c>
      <c r="B554" t="inlineStr">
        <is>
          <t>Validation</t>
        </is>
      </c>
      <c r="C554" t="inlineStr">
        <is>
          <t>Benign</t>
        </is>
      </c>
      <c r="D554" t="n">
        <v>0</v>
      </c>
      <c r="E554" t="n">
        <v>93.63</v>
      </c>
      <c r="F554" t="n">
        <v>0.08044999999999999</v>
      </c>
      <c r="G554" t="n">
        <v>14.45</v>
      </c>
      <c r="H554" t="n">
        <v>0.1475</v>
      </c>
      <c r="I554" t="n">
        <v>21.74</v>
      </c>
      <c r="J554" t="n">
        <v>16.7</v>
      </c>
      <c r="K554" t="n">
        <v>0.08556999999999999</v>
      </c>
      <c r="L554" t="n">
        <v>0.1423</v>
      </c>
      <c r="M554" t="n">
        <v>0.01977</v>
      </c>
      <c r="N554" t="n">
        <v>12.75</v>
      </c>
      <c r="O554" t="n">
        <v>624.1</v>
      </c>
    </row>
    <row r="555">
      <c r="A555" t="n">
        <v>522</v>
      </c>
      <c r="B555" t="inlineStr">
        <is>
          <t>Validation</t>
        </is>
      </c>
      <c r="C555" t="inlineStr">
        <is>
          <t>Malignant</t>
        </is>
      </c>
      <c r="D555" t="n">
        <v>1</v>
      </c>
      <c r="E555" t="n">
        <v>205.7</v>
      </c>
      <c r="F555" t="n">
        <v>0.2475</v>
      </c>
      <c r="G555" t="n">
        <v>29.92</v>
      </c>
      <c r="H555" t="n">
        <v>0.1342</v>
      </c>
      <c r="I555" t="n">
        <v>26.93</v>
      </c>
      <c r="J555" t="n">
        <v>21.6</v>
      </c>
      <c r="K555" t="n">
        <v>0.09671</v>
      </c>
      <c r="L555" t="n">
        <v>0.4658</v>
      </c>
      <c r="M555" t="n">
        <v>0.03571</v>
      </c>
      <c r="N555" t="n">
        <v>24.63</v>
      </c>
      <c r="O555" t="n">
        <v>2642</v>
      </c>
    </row>
    <row r="556">
      <c r="A556" t="n">
        <v>529</v>
      </c>
      <c r="B556" t="inlineStr">
        <is>
          <t>Validation</t>
        </is>
      </c>
      <c r="C556" t="inlineStr">
        <is>
          <t>Benign</t>
        </is>
      </c>
      <c r="D556" t="n">
        <v>0</v>
      </c>
      <c r="E556" t="n">
        <v>94.52</v>
      </c>
      <c r="F556" t="n">
        <v>0.1015</v>
      </c>
      <c r="G556" t="n">
        <v>14.62</v>
      </c>
      <c r="H556" t="n">
        <v>0.1394</v>
      </c>
      <c r="I556" t="n">
        <v>15.38</v>
      </c>
      <c r="J556" t="n">
        <v>13.17</v>
      </c>
      <c r="K556" t="n">
        <v>0.07253</v>
      </c>
      <c r="L556" t="n">
        <v>0.1559</v>
      </c>
      <c r="M556" t="n">
        <v>0.04763</v>
      </c>
      <c r="N556" t="n">
        <v>13.94</v>
      </c>
      <c r="O556" t="n">
        <v>653.3</v>
      </c>
    </row>
    <row r="557">
      <c r="A557" t="n">
        <v>534</v>
      </c>
      <c r="B557" t="inlineStr">
        <is>
          <t>Validation</t>
        </is>
      </c>
      <c r="C557" t="inlineStr">
        <is>
          <t>Malignant</t>
        </is>
      </c>
      <c r="D557" t="n">
        <v>1</v>
      </c>
      <c r="E557" t="n">
        <v>152</v>
      </c>
      <c r="F557" t="n">
        <v>0.1613</v>
      </c>
      <c r="G557" t="n">
        <v>23.23</v>
      </c>
      <c r="H557" t="n">
        <v>0.1097</v>
      </c>
      <c r="I557" t="n">
        <v>27.15</v>
      </c>
      <c r="J557" t="n">
        <v>20.67</v>
      </c>
      <c r="K557" t="n">
        <v>0.06386</v>
      </c>
      <c r="L557" t="n">
        <v>0.3092</v>
      </c>
      <c r="M557" t="n">
        <v>0.04093</v>
      </c>
      <c r="N557" t="n">
        <v>20.47</v>
      </c>
      <c r="O557" t="n">
        <v>1645</v>
      </c>
    </row>
    <row r="558">
      <c r="A558" t="n">
        <v>535</v>
      </c>
      <c r="B558" t="inlineStr">
        <is>
          <t>Validation</t>
        </is>
      </c>
      <c r="C558" t="inlineStr">
        <is>
          <t>Benign</t>
        </is>
      </c>
      <c r="D558" t="n">
        <v>0</v>
      </c>
      <c r="E558" t="n">
        <v>76.43000000000001</v>
      </c>
      <c r="F558" t="n">
        <v>0.09861</v>
      </c>
      <c r="G558" t="n">
        <v>11.62</v>
      </c>
      <c r="H558" t="n">
        <v>0.1428</v>
      </c>
      <c r="I558" t="n">
        <v>26.51</v>
      </c>
      <c r="J558" t="n">
        <v>17.62</v>
      </c>
      <c r="K558" t="n">
        <v>0.08278000000000001</v>
      </c>
      <c r="L558" t="n">
        <v>0.2123</v>
      </c>
      <c r="M558" t="n">
        <v>0.04401</v>
      </c>
      <c r="N558" t="n">
        <v>10.96</v>
      </c>
      <c r="O558" t="n">
        <v>407.5</v>
      </c>
    </row>
    <row r="559">
      <c r="A559" t="n">
        <v>537</v>
      </c>
      <c r="B559" t="inlineStr">
        <is>
          <t>Validation</t>
        </is>
      </c>
      <c r="C559" t="inlineStr">
        <is>
          <t>Malignant</t>
        </is>
      </c>
      <c r="D559" t="n">
        <v>1</v>
      </c>
      <c r="E559" t="n">
        <v>104.3</v>
      </c>
      <c r="F559" t="n">
        <v>0.1362</v>
      </c>
      <c r="G559" t="n">
        <v>15.29</v>
      </c>
      <c r="H559" t="n">
        <v>0.138</v>
      </c>
      <c r="I559" t="n">
        <v>34.27</v>
      </c>
      <c r="J559" t="n">
        <v>22.55</v>
      </c>
      <c r="K559" t="n">
        <v>0.08351</v>
      </c>
      <c r="L559" t="n">
        <v>0.4234</v>
      </c>
      <c r="M559" t="n">
        <v>0.04645</v>
      </c>
      <c r="N559" t="n">
        <v>14.27</v>
      </c>
      <c r="O559" t="n">
        <v>728.3</v>
      </c>
    </row>
    <row r="560">
      <c r="A560" t="n">
        <v>543</v>
      </c>
      <c r="B560" t="inlineStr">
        <is>
          <t>Validation</t>
        </is>
      </c>
      <c r="C560" t="inlineStr">
        <is>
          <t>Benign</t>
        </is>
      </c>
      <c r="D560" t="n">
        <v>0</v>
      </c>
      <c r="E560" t="n">
        <v>107.4</v>
      </c>
      <c r="F560" t="n">
        <v>0.1095</v>
      </c>
      <c r="G560" t="n">
        <v>16.51</v>
      </c>
      <c r="H560" t="n">
        <v>0.106</v>
      </c>
      <c r="I560" t="n">
        <v>32.29</v>
      </c>
      <c r="J560" t="n">
        <v>25.42</v>
      </c>
      <c r="K560" t="n">
        <v>0.06956</v>
      </c>
      <c r="L560" t="n">
        <v>0.1611</v>
      </c>
      <c r="M560" t="n">
        <v>0.01947</v>
      </c>
      <c r="N560" t="n">
        <v>14.74</v>
      </c>
      <c r="O560" t="n">
        <v>826.4</v>
      </c>
    </row>
    <row r="561">
      <c r="A561" t="n">
        <v>547</v>
      </c>
      <c r="B561" t="inlineStr">
        <is>
          <t>Validation</t>
        </is>
      </c>
      <c r="C561" t="inlineStr">
        <is>
          <t>Benign</t>
        </is>
      </c>
      <c r="D561" t="n">
        <v>0</v>
      </c>
      <c r="E561" t="n">
        <v>71.12</v>
      </c>
      <c r="F561" t="n">
        <v>0.02381</v>
      </c>
      <c r="G561" t="n">
        <v>11.25</v>
      </c>
      <c r="H561" t="n">
        <v>0.1285</v>
      </c>
      <c r="I561" t="n">
        <v>21.77</v>
      </c>
      <c r="J561" t="n">
        <v>16.35</v>
      </c>
      <c r="K561" t="n">
        <v>0.07399</v>
      </c>
      <c r="L561" t="n">
        <v>0.04384</v>
      </c>
      <c r="M561" t="n">
        <v>0.01012</v>
      </c>
      <c r="N561" t="n">
        <v>10.32</v>
      </c>
      <c r="O561" t="n">
        <v>384.9</v>
      </c>
    </row>
    <row r="562">
      <c r="A562" t="n">
        <v>552</v>
      </c>
      <c r="B562" t="inlineStr">
        <is>
          <t>Validation</t>
        </is>
      </c>
      <c r="C562" t="inlineStr">
        <is>
          <t>Benign</t>
        </is>
      </c>
      <c r="D562" t="n">
        <v>0</v>
      </c>
      <c r="E562" t="n">
        <v>77.8</v>
      </c>
      <c r="F562" t="n">
        <v>0.06413000000000001</v>
      </c>
      <c r="G562" t="n">
        <v>12.02</v>
      </c>
      <c r="H562" t="n">
        <v>0.1087</v>
      </c>
      <c r="I562" t="n">
        <v>28.26</v>
      </c>
      <c r="J562" t="n">
        <v>22.44</v>
      </c>
      <c r="K562" t="n">
        <v>0.08032</v>
      </c>
      <c r="L562" t="n">
        <v>0.1564</v>
      </c>
      <c r="M562" t="n">
        <v>0.03445</v>
      </c>
      <c r="N562" t="n">
        <v>11.13</v>
      </c>
      <c r="O562" t="n">
        <v>436.6</v>
      </c>
    </row>
    <row r="563">
      <c r="A563" t="n">
        <v>554</v>
      </c>
      <c r="B563" t="inlineStr">
        <is>
          <t>Validation</t>
        </is>
      </c>
      <c r="C563" t="inlineStr">
        <is>
          <t>Benign</t>
        </is>
      </c>
      <c r="D563" t="n">
        <v>0</v>
      </c>
      <c r="E563" t="n">
        <v>62.86</v>
      </c>
      <c r="F563" t="n">
        <v>0.02564</v>
      </c>
      <c r="G563" t="n">
        <v>9.845000000000001</v>
      </c>
      <c r="H563" t="n">
        <v>0.1103</v>
      </c>
      <c r="I563" t="n">
        <v>25.05</v>
      </c>
      <c r="J563" t="n">
        <v>21.94</v>
      </c>
      <c r="K563" t="n">
        <v>0.07393</v>
      </c>
      <c r="L563" t="n">
        <v>0.07993</v>
      </c>
      <c r="M563" t="n">
        <v>0.03996</v>
      </c>
      <c r="N563" t="n">
        <v>9.333</v>
      </c>
      <c r="O563" t="n">
        <v>295.8</v>
      </c>
    </row>
    <row r="564">
      <c r="A564" t="n">
        <v>555</v>
      </c>
      <c r="B564" t="inlineStr">
        <is>
          <t>Validation</t>
        </is>
      </c>
      <c r="C564" t="inlineStr">
        <is>
          <t>Benign</t>
        </is>
      </c>
      <c r="D564" t="n">
        <v>0</v>
      </c>
      <c r="E564" t="n">
        <v>88.84</v>
      </c>
      <c r="F564" t="n">
        <v>0.06493</v>
      </c>
      <c r="G564" t="n">
        <v>13.89</v>
      </c>
      <c r="H564" t="n">
        <v>0.1227</v>
      </c>
      <c r="I564" t="n">
        <v>35.74</v>
      </c>
      <c r="J564" t="n">
        <v>28.92</v>
      </c>
      <c r="K564" t="n">
        <v>0.07242</v>
      </c>
      <c r="L564" t="n">
        <v>0.2439</v>
      </c>
      <c r="M564" t="n">
        <v>0.03898</v>
      </c>
      <c r="N564" t="n">
        <v>12.88</v>
      </c>
      <c r="O564" t="n">
        <v>595.7</v>
      </c>
    </row>
    <row r="565">
      <c r="A565" t="n">
        <v>557</v>
      </c>
      <c r="B565" t="inlineStr">
        <is>
          <t>Validation</t>
        </is>
      </c>
      <c r="C565" t="inlineStr">
        <is>
          <t>Benign</t>
        </is>
      </c>
      <c r="D565" t="n">
        <v>0</v>
      </c>
      <c r="E565" t="n">
        <v>67.88</v>
      </c>
      <c r="F565" t="n">
        <v>0.02232</v>
      </c>
      <c r="G565" t="n">
        <v>10.65</v>
      </c>
      <c r="H565" t="n">
        <v>0.1265</v>
      </c>
      <c r="I565" t="n">
        <v>22.88</v>
      </c>
      <c r="J565" t="n">
        <v>19.59</v>
      </c>
      <c r="K565" t="n">
        <v>0.06741999999999999</v>
      </c>
      <c r="L565" t="n">
        <v>0.01005</v>
      </c>
      <c r="M565" t="n">
        <v>0.004174</v>
      </c>
      <c r="N565" t="n">
        <v>10.16</v>
      </c>
      <c r="O565" t="n">
        <v>347.3</v>
      </c>
    </row>
    <row r="566">
      <c r="A566" t="n">
        <v>558</v>
      </c>
      <c r="B566" t="inlineStr">
        <is>
          <t>Validation</t>
        </is>
      </c>
      <c r="C566" t="inlineStr">
        <is>
          <t>Benign</t>
        </is>
      </c>
      <c r="D566" t="n">
        <v>0</v>
      </c>
      <c r="E566" t="n">
        <v>66.5</v>
      </c>
      <c r="F566" t="n">
        <v>0</v>
      </c>
      <c r="G566" t="n">
        <v>10.49</v>
      </c>
      <c r="H566" t="n">
        <v>0.1073</v>
      </c>
      <c r="I566" t="n">
        <v>34.24</v>
      </c>
      <c r="J566" t="n">
        <v>27.88</v>
      </c>
      <c r="K566" t="n">
        <v>0.06969</v>
      </c>
      <c r="L566" t="n">
        <v>0</v>
      </c>
      <c r="M566" t="n">
        <v>0</v>
      </c>
      <c r="N566" t="n">
        <v>9.423</v>
      </c>
      <c r="O566" t="n">
        <v>330.6</v>
      </c>
    </row>
    <row r="567">
      <c r="A567" t="n">
        <v>559</v>
      </c>
      <c r="B567" t="inlineStr">
        <is>
          <t>Validation</t>
        </is>
      </c>
      <c r="C567" t="inlineStr">
        <is>
          <t>Benign</t>
        </is>
      </c>
      <c r="D567" t="n">
        <v>0</v>
      </c>
      <c r="E567" t="n">
        <v>105.9</v>
      </c>
      <c r="F567" t="n">
        <v>0.1105</v>
      </c>
      <c r="G567" t="n">
        <v>15.48</v>
      </c>
      <c r="H567" t="n">
        <v>0.1026</v>
      </c>
      <c r="I567" t="n">
        <v>27.27</v>
      </c>
      <c r="J567" t="n">
        <v>22.68</v>
      </c>
      <c r="K567" t="n">
        <v>0.08004</v>
      </c>
      <c r="L567" t="n">
        <v>0.3662</v>
      </c>
      <c r="M567" t="n">
        <v>0.06578000000000001</v>
      </c>
      <c r="N567" t="n">
        <v>14.59</v>
      </c>
      <c r="O567" t="n">
        <v>733.5</v>
      </c>
    </row>
    <row r="568">
      <c r="A568" t="n">
        <v>563</v>
      </c>
      <c r="B568" t="inlineStr">
        <is>
          <t>Validation</t>
        </is>
      </c>
      <c r="C568" t="inlineStr">
        <is>
          <t>Malignant</t>
        </is>
      </c>
      <c r="D568" t="n">
        <v>1</v>
      </c>
      <c r="E568" t="n">
        <v>128.7</v>
      </c>
      <c r="F568" t="n">
        <v>0.2356</v>
      </c>
      <c r="G568" t="n">
        <v>17.52</v>
      </c>
      <c r="H568" t="n">
        <v>0.1417</v>
      </c>
      <c r="I568" t="n">
        <v>42.79</v>
      </c>
      <c r="J568" t="n">
        <v>30.62</v>
      </c>
      <c r="K568" t="n">
        <v>0.1409</v>
      </c>
      <c r="L568" t="n">
        <v>1.17</v>
      </c>
      <c r="M568" t="n">
        <v>0.07359</v>
      </c>
      <c r="N568" t="n">
        <v>15.22</v>
      </c>
      <c r="O568" t="n">
        <v>915</v>
      </c>
    </row>
    <row r="569">
      <c r="A569" t="n">
        <v>564</v>
      </c>
      <c r="B569" t="inlineStr">
        <is>
          <t>Validation</t>
        </is>
      </c>
      <c r="C569" t="inlineStr">
        <is>
          <t>Malignant</t>
        </is>
      </c>
      <c r="D569" t="n">
        <v>1</v>
      </c>
      <c r="E569" t="n">
        <v>179.1</v>
      </c>
      <c r="F569" t="n">
        <v>0.2542</v>
      </c>
      <c r="G569" t="n">
        <v>24.29</v>
      </c>
      <c r="H569" t="n">
        <v>0.1407</v>
      </c>
      <c r="I569" t="n">
        <v>29.41</v>
      </c>
      <c r="J569" t="n">
        <v>25.09</v>
      </c>
      <c r="K569" t="n">
        <v>0.09873</v>
      </c>
      <c r="L569" t="n">
        <v>0.6599</v>
      </c>
      <c r="M569" t="n">
        <v>0.07845000000000001</v>
      </c>
      <c r="N569" t="n">
        <v>20.92</v>
      </c>
      <c r="O569" t="n">
        <v>1819</v>
      </c>
    </row>
    <row r="570">
      <c r="A570" t="n">
        <v>565</v>
      </c>
      <c r="B570" t="inlineStr">
        <is>
          <t>Validation</t>
        </is>
      </c>
      <c r="C570" t="inlineStr">
        <is>
          <t>Malignant</t>
        </is>
      </c>
      <c r="D570" t="n">
        <v>1</v>
      </c>
      <c r="E570" t="n">
        <v>166.1</v>
      </c>
      <c r="F570" t="n">
        <v>0.2216</v>
      </c>
      <c r="G570" t="n">
        <v>25.45</v>
      </c>
      <c r="H570" t="n">
        <v>0.141</v>
      </c>
      <c r="I570" t="n">
        <v>26.4</v>
      </c>
      <c r="J570" t="n">
        <v>22.39</v>
      </c>
      <c r="K570" t="n">
        <v>0.07115</v>
      </c>
      <c r="L570" t="n">
        <v>0.4107</v>
      </c>
      <c r="M570" t="n">
        <v>0.05198</v>
      </c>
      <c r="N570" t="n">
        <v>21.56</v>
      </c>
      <c r="O570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6" customWidth="1" min="4" max="4"/>
    <col width="23" customWidth="1" min="5" max="5"/>
  </cols>
  <sheetData>
    <row r="1">
      <c r="A1" t="inlineStr">
        <is>
          <t>texture_worst</t>
        </is>
      </c>
      <c r="B1" t="n">
        <v>1</v>
      </c>
      <c r="D1" t="inlineStr">
        <is>
          <t>Average result</t>
        </is>
      </c>
      <c r="E1">
        <f>AVERAGE(DTTable!A:A)</f>
        <v/>
      </c>
    </row>
    <row r="2">
      <c r="A2" t="inlineStr">
        <is>
          <t>fractal_dimension_worst</t>
        </is>
      </c>
      <c r="B2" t="n">
        <v>1</v>
      </c>
    </row>
    <row r="3">
      <c r="A3" t="inlineStr">
        <is>
          <t>radius_worst</t>
        </is>
      </c>
      <c r="B3" t="n">
        <v>1</v>
      </c>
    </row>
    <row r="4">
      <c r="A4" t="inlineStr">
        <is>
          <t>radius_mean</t>
        </is>
      </c>
      <c r="B4" t="n">
        <v>1</v>
      </c>
    </row>
    <row r="5">
      <c r="A5" t="inlineStr">
        <is>
          <t>concavity_se</t>
        </is>
      </c>
      <c r="B5" t="n">
        <v>1</v>
      </c>
    </row>
    <row r="6">
      <c r="A6" t="inlineStr">
        <is>
          <t>perimeter_worst</t>
        </is>
      </c>
      <c r="B6" t="n">
        <v>1</v>
      </c>
    </row>
    <row r="7">
      <c r="A7" t="inlineStr">
        <is>
          <t>texture_mean</t>
        </is>
      </c>
      <c r="B7" t="n">
        <v>1</v>
      </c>
    </row>
    <row r="8">
      <c r="A8" t="inlineStr">
        <is>
          <t>concavity_worst</t>
        </is>
      </c>
      <c r="B8" t="n">
        <v>1</v>
      </c>
    </row>
    <row r="9">
      <c r="A9" t="inlineStr">
        <is>
          <t>points_worst</t>
        </is>
      </c>
      <c r="B9" t="n">
        <v>1</v>
      </c>
    </row>
    <row r="10">
      <c r="A10" t="inlineStr">
        <is>
          <t>smoothness_worst</t>
        </is>
      </c>
      <c r="B10" t="n">
        <v>1</v>
      </c>
    </row>
    <row r="11">
      <c r="A11" t="inlineStr">
        <is>
          <t>area_worst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7" customWidth="1" min="3" max="3"/>
    <col width="25" customWidth="1" min="4" max="4"/>
    <col width="26" customWidth="1" min="5" max="5"/>
    <col width="26" customWidth="1" min="6" max="6"/>
    <col width="26" customWidth="1" min="7" max="7"/>
  </cols>
  <sheetData>
    <row r="1">
      <c r="A1">
        <f>IF(B1,0,"")</f>
        <v/>
      </c>
      <c r="B1">
        <f>AND(C1:G1)</f>
        <v/>
      </c>
      <c r="C1">
        <f>Front_Input!$B$6&lt;=113.15</f>
        <v/>
      </c>
      <c r="D1">
        <f>Front_Input!$B$9&lt;=0.15</f>
        <v/>
      </c>
      <c r="E1">
        <f>Front_Input!$B$3&lt;=15.77</f>
        <v/>
      </c>
      <c r="F1">
        <f>Front_Input!$B$10&lt;=0.18</f>
        <v/>
      </c>
      <c r="G1">
        <f>Front_Input!$B$1&lt;=33.27</f>
        <v/>
      </c>
    </row>
    <row r="2">
      <c r="A2">
        <f>IF(B2,0,"")</f>
        <v/>
      </c>
      <c r="B2">
        <f>AND(C2:G2)</f>
        <v/>
      </c>
      <c r="C2">
        <f>Front_Input!$B$6&lt;=113.15</f>
        <v/>
      </c>
      <c r="D2">
        <f>Front_Input!$B$9&lt;=0.15</f>
        <v/>
      </c>
      <c r="E2">
        <f>Front_Input!$B$3&lt;=15.77</f>
        <v/>
      </c>
      <c r="F2">
        <f>Front_Input!$B$10&lt;=0.18</f>
        <v/>
      </c>
      <c r="G2">
        <f>Front_Input!$B$1&gt;33.27</f>
        <v/>
      </c>
    </row>
    <row r="3">
      <c r="A3">
        <f>IF(B3,0,"")</f>
        <v/>
      </c>
      <c r="B3">
        <f>AND(C3:G3)</f>
        <v/>
      </c>
      <c r="C3">
        <f>Front_Input!$B$6&lt;=113.15</f>
        <v/>
      </c>
      <c r="D3">
        <f>Front_Input!$B$9&lt;=0.15</f>
        <v/>
      </c>
      <c r="E3">
        <f>Front_Input!$B$3&lt;=15.77</f>
        <v/>
      </c>
      <c r="F3">
        <f>Front_Input!$B$10&gt;0.18</f>
        <v/>
      </c>
      <c r="G3">
        <f>Front_Input!1=1</f>
        <v/>
      </c>
    </row>
    <row r="4">
      <c r="A4">
        <f>IF(B4,0,"")</f>
        <v/>
      </c>
      <c r="B4">
        <f>AND(C4:G4)</f>
        <v/>
      </c>
      <c r="C4">
        <f>Front_Input!$B$6&lt;=113.15</f>
        <v/>
      </c>
      <c r="D4">
        <f>Front_Input!$B$9&lt;=0.15</f>
        <v/>
      </c>
      <c r="E4">
        <f>Front_Input!$B$3&gt;15.77</f>
        <v/>
      </c>
      <c r="F4">
        <f>Front_Input!$B$1&lt;=28.86</f>
        <v/>
      </c>
      <c r="G4">
        <f>Front_Input!$B$10&lt;=0.14</f>
        <v/>
      </c>
    </row>
    <row r="5">
      <c r="A5">
        <f>IF(B5,1,"")</f>
        <v/>
      </c>
      <c r="B5">
        <f>AND(C5:G5)</f>
        <v/>
      </c>
      <c r="C5">
        <f>Front_Input!$B$6&lt;=113.15</f>
        <v/>
      </c>
      <c r="D5">
        <f>Front_Input!$B$9&lt;=0.15</f>
        <v/>
      </c>
      <c r="E5">
        <f>Front_Input!$B$3&gt;15.77</f>
        <v/>
      </c>
      <c r="F5">
        <f>Front_Input!$B$1&lt;=28.86</f>
        <v/>
      </c>
      <c r="G5">
        <f>Front_Input!$B$10&gt;0.14</f>
        <v/>
      </c>
    </row>
    <row r="6">
      <c r="A6">
        <f>IF(B6,1,"")</f>
        <v/>
      </c>
      <c r="B6">
        <f>AND(C6:G6)</f>
        <v/>
      </c>
      <c r="C6">
        <f>Front_Input!$B$6&lt;=113.15</f>
        <v/>
      </c>
      <c r="D6">
        <f>Front_Input!$B$9&lt;=0.15</f>
        <v/>
      </c>
      <c r="E6">
        <f>Front_Input!$B$3&gt;15.77</f>
        <v/>
      </c>
      <c r="F6">
        <f>Front_Input!$B$1&gt;28.86</f>
        <v/>
      </c>
      <c r="G6">
        <f>Front_Input!$B$4&lt;=14.54</f>
        <v/>
      </c>
    </row>
    <row r="7">
      <c r="A7">
        <f>IF(B7,1,"")</f>
        <v/>
      </c>
      <c r="B7">
        <f>AND(C7:G7)</f>
        <v/>
      </c>
      <c r="C7">
        <f>Front_Input!$B$6&lt;=113.15</f>
        <v/>
      </c>
      <c r="D7">
        <f>Front_Input!$B$9&lt;=0.15</f>
        <v/>
      </c>
      <c r="E7">
        <f>Front_Input!$B$3&gt;15.77</f>
        <v/>
      </c>
      <c r="F7">
        <f>Front_Input!$B$1&gt;28.86</f>
        <v/>
      </c>
      <c r="G7">
        <f>Front_Input!$B$4&gt;14.54</f>
        <v/>
      </c>
    </row>
    <row r="8">
      <c r="A8">
        <f>IF(B8,0,"")</f>
        <v/>
      </c>
      <c r="B8">
        <f>AND(C8:G8)</f>
        <v/>
      </c>
      <c r="C8">
        <f>Front_Input!$B$6&lt;=113.15</f>
        <v/>
      </c>
      <c r="D8">
        <f>Front_Input!$B$9&gt;0.15</f>
        <v/>
      </c>
      <c r="E8">
        <f>Front_Input!$B$1&lt;=23.74</f>
        <v/>
      </c>
      <c r="F8">
        <f>Front_Input!1=1</f>
        <v/>
      </c>
      <c r="G8">
        <f>Front_Input!1=1</f>
        <v/>
      </c>
    </row>
    <row r="9">
      <c r="A9">
        <f>IF(B9,1,"")</f>
        <v/>
      </c>
      <c r="B9">
        <f>AND(C9:G9)</f>
        <v/>
      </c>
      <c r="C9">
        <f>Front_Input!$B$6&lt;=113.15</f>
        <v/>
      </c>
      <c r="D9">
        <f>Front_Input!$B$9&gt;0.15</f>
        <v/>
      </c>
      <c r="E9">
        <f>Front_Input!$B$1&gt;23.74</f>
        <v/>
      </c>
      <c r="F9">
        <f>Front_Input!$B$2&lt;=0.1</f>
        <v/>
      </c>
      <c r="G9">
        <f>Front_Input!1=1</f>
        <v/>
      </c>
    </row>
    <row r="10">
      <c r="A10">
        <f>IF(B10,1,"")</f>
        <v/>
      </c>
      <c r="B10">
        <f>AND(C10:G10)</f>
        <v/>
      </c>
      <c r="C10">
        <f>Front_Input!$B$6&lt;=113.15</f>
        <v/>
      </c>
      <c r="D10">
        <f>Front_Input!$B$9&gt;0.15</f>
        <v/>
      </c>
      <c r="E10">
        <f>Front_Input!$B$1&gt;23.74</f>
        <v/>
      </c>
      <c r="F10">
        <f>Front_Input!$B$2&gt;0.1</f>
        <v/>
      </c>
      <c r="G10">
        <f>Front_Input!1=1</f>
        <v/>
      </c>
    </row>
    <row r="11">
      <c r="A11">
        <f>IF(B11,1,"")</f>
        <v/>
      </c>
      <c r="B11">
        <f>AND(C11:G11)</f>
        <v/>
      </c>
      <c r="C11">
        <f>Front_Input!$B$6&gt;113.15</f>
        <v/>
      </c>
      <c r="D11">
        <f>Front_Input!$B$8&lt;=0.22</f>
        <v/>
      </c>
      <c r="E11">
        <f>Front_Input!$B$5&lt;=0.02</f>
        <v/>
      </c>
      <c r="F11">
        <f>Front_Input!1=1</f>
        <v/>
      </c>
      <c r="G11">
        <f>Front_Input!1=1</f>
        <v/>
      </c>
    </row>
    <row r="12">
      <c r="A12">
        <f>IF(B12,0,"")</f>
        <v/>
      </c>
      <c r="B12">
        <f>AND(C12:G12)</f>
        <v/>
      </c>
      <c r="C12">
        <f>Front_Input!$B$6&gt;113.15</f>
        <v/>
      </c>
      <c r="D12">
        <f>Front_Input!$B$8&lt;=0.22</f>
        <v/>
      </c>
      <c r="E12">
        <f>Front_Input!$B$5&gt;0.02</f>
        <v/>
      </c>
      <c r="F12">
        <f>Front_Input!1=1</f>
        <v/>
      </c>
      <c r="G12">
        <f>Front_Input!1=1</f>
        <v/>
      </c>
    </row>
    <row r="13">
      <c r="A13">
        <f>IF(B13,0,"")</f>
        <v/>
      </c>
      <c r="B13">
        <f>AND(C13:G13)</f>
        <v/>
      </c>
      <c r="C13">
        <f>Front_Input!$B$6&gt;113.15</f>
        <v/>
      </c>
      <c r="D13">
        <f>Front_Input!$B$8&gt;0.22</f>
        <v/>
      </c>
      <c r="E13">
        <f>Front_Input!$B$11&lt;=810.1</f>
        <v/>
      </c>
      <c r="F13">
        <f>Front_Input!1=1</f>
        <v/>
      </c>
      <c r="G13">
        <f>Front_Input!1=1</f>
        <v/>
      </c>
    </row>
    <row r="14">
      <c r="A14">
        <f>IF(B14,1,"")</f>
        <v/>
      </c>
      <c r="B14">
        <f>AND(C14:G14)</f>
        <v/>
      </c>
      <c r="C14">
        <f>Front_Input!$B$6&gt;113.15</f>
        <v/>
      </c>
      <c r="D14">
        <f>Front_Input!$B$8&gt;0.22</f>
        <v/>
      </c>
      <c r="E14">
        <f>Front_Input!$B$11&gt;810.1</f>
        <v/>
      </c>
      <c r="F14">
        <f>Front_Input!$B$7&lt;=14.95</f>
        <v/>
      </c>
      <c r="G14">
        <f>Front_Input!1=1</f>
        <v/>
      </c>
    </row>
    <row r="15">
      <c r="A15">
        <f>IF(B15,1,"")</f>
        <v/>
      </c>
      <c r="B15">
        <f>AND(C15:G15)</f>
        <v/>
      </c>
      <c r="C15">
        <f>Front_Input!$B$6&gt;113.15</f>
        <v/>
      </c>
      <c r="D15">
        <f>Front_Input!$B$8&gt;0.22</f>
        <v/>
      </c>
      <c r="E15">
        <f>Front_Input!$B$11&gt;810.1</f>
        <v/>
      </c>
      <c r="F15">
        <f>Front_Input!$B$7&gt;14.95</f>
        <v/>
      </c>
      <c r="G15">
        <f>Front_Input!1=1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4" customWidth="1" min="5" max="5"/>
    <col width="14" customWidth="1" min="6" max="6"/>
    <col width="18" customWidth="1" min="7" max="7"/>
    <col width="15" customWidth="1" min="8" max="8"/>
    <col width="14" customWidth="1" min="9" max="9"/>
    <col width="25" customWidth="1" min="10" max="10"/>
    <col width="17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t="inlineStr">
        <is>
          <t>row_id</t>
        </is>
      </c>
      <c r="B1" t="inlineStr">
        <is>
          <t>set</t>
        </is>
      </c>
      <c r="C1" t="inlineStr">
        <is>
          <t>actual_num</t>
        </is>
      </c>
      <c r="D1" t="inlineStr">
        <is>
          <t>perimeter_worst</t>
        </is>
      </c>
      <c r="E1" t="inlineStr">
        <is>
          <t>points_worst</t>
        </is>
      </c>
      <c r="F1" t="inlineStr">
        <is>
          <t>radius_worst</t>
        </is>
      </c>
      <c r="G1" t="inlineStr">
        <is>
          <t>smoothness_worst</t>
        </is>
      </c>
      <c r="H1" t="inlineStr">
        <is>
          <t>texture_worst</t>
        </is>
      </c>
      <c r="I1" t="inlineStr">
        <is>
          <t>texture_mean</t>
        </is>
      </c>
      <c r="J1" t="inlineStr">
        <is>
          <t>fractal_dimension_worst</t>
        </is>
      </c>
      <c r="K1" t="inlineStr">
        <is>
          <t>concavity_worst</t>
        </is>
      </c>
      <c r="L1" t="inlineStr">
        <is>
          <t>concavity_se</t>
        </is>
      </c>
      <c r="M1" t="inlineStr">
        <is>
          <t>radius_mean</t>
        </is>
      </c>
      <c r="N1" t="inlineStr">
        <is>
          <t>area_worst</t>
        </is>
      </c>
      <c r="O1" t="inlineStr">
        <is>
          <t>leaf_01</t>
        </is>
      </c>
      <c r="P1" t="inlineStr">
        <is>
          <t>leaf_02</t>
        </is>
      </c>
      <c r="Q1" t="inlineStr">
        <is>
          <t>leaf_03</t>
        </is>
      </c>
      <c r="R1" t="inlineStr">
        <is>
          <t>leaf_04</t>
        </is>
      </c>
      <c r="S1" t="inlineStr">
        <is>
          <t>leaf_05</t>
        </is>
      </c>
      <c r="T1" t="inlineStr">
        <is>
          <t>leaf_06</t>
        </is>
      </c>
      <c r="U1" t="inlineStr">
        <is>
          <t>leaf_07</t>
        </is>
      </c>
      <c r="V1" t="inlineStr">
        <is>
          <t>leaf_08</t>
        </is>
      </c>
      <c r="W1" t="inlineStr">
        <is>
          <t>leaf_09</t>
        </is>
      </c>
      <c r="X1" t="inlineStr">
        <is>
          <t>leaf_10</t>
        </is>
      </c>
      <c r="Y1" t="inlineStr">
        <is>
          <t>leaf_11</t>
        </is>
      </c>
      <c r="Z1" t="inlineStr">
        <is>
          <t>leaf_12</t>
        </is>
      </c>
      <c r="AA1" t="inlineStr">
        <is>
          <t>leaf_13</t>
        </is>
      </c>
      <c r="AB1" t="inlineStr">
        <is>
          <t>leaf_14</t>
        </is>
      </c>
      <c r="AC1" t="inlineStr">
        <is>
          <t>leaf_15</t>
        </is>
      </c>
      <c r="AD1" t="inlineStr">
        <is>
          <t>pred_num</t>
        </is>
      </c>
      <c r="AE1" t="inlineStr">
        <is>
          <t>pred_label</t>
        </is>
      </c>
      <c r="AF1" t="inlineStr">
        <is>
          <t>correct</t>
        </is>
      </c>
    </row>
    <row r="2">
      <c r="A2">
        <f>BreastCancer_Data!A2</f>
        <v/>
      </c>
      <c r="B2">
        <f>BreastCancer_Data!B2</f>
        <v/>
      </c>
      <c r="C2">
        <f>BreastCancer_Data!D2</f>
        <v/>
      </c>
      <c r="D2">
        <f>BreastCancer_Data!E2</f>
        <v/>
      </c>
      <c r="E2">
        <f>BreastCancer_Data!F2</f>
        <v/>
      </c>
      <c r="F2">
        <f>BreastCancer_Data!G2</f>
        <v/>
      </c>
      <c r="G2">
        <f>BreastCancer_Data!H2</f>
        <v/>
      </c>
      <c r="H2">
        <f>BreastCancer_Data!I2</f>
        <v/>
      </c>
      <c r="I2">
        <f>BreastCancer_Data!J2</f>
        <v/>
      </c>
      <c r="J2">
        <f>BreastCancer_Data!K2</f>
        <v/>
      </c>
      <c r="K2">
        <f>BreastCancer_Data!L2</f>
        <v/>
      </c>
      <c r="L2">
        <f>BreastCancer_Data!M2</f>
        <v/>
      </c>
      <c r="M2">
        <f>BreastCancer_Data!N2</f>
        <v/>
      </c>
      <c r="N2">
        <f>BreastCancer_Data!O2</f>
        <v/>
      </c>
      <c r="O2">
        <f>0</f>
        <v/>
      </c>
      <c r="P2">
        <f>--(AND(D2&lt;=113.15,E2&lt;=0.15,F2&lt;=15.77,G2&lt;=0.18,H2&lt;=33.27))*0</f>
        <v/>
      </c>
      <c r="Q2">
        <f>--(AND(D2&lt;=113.15,E2&lt;=0.15,F2&lt;=15.77,G2&lt;=0.18,H2&gt;33.27))*0</f>
        <v/>
      </c>
      <c r="R2">
        <f>--(AND(D2&lt;=113.15,E2&lt;=0.15,F2&lt;=15.77,G2&gt;0.18))*0</f>
        <v/>
      </c>
      <c r="S2">
        <f>--(AND(D2&lt;=113.15,E2&lt;=0.15,F2&gt;15.77,H2&lt;=28.86,G2&lt;=0.14))*0</f>
        <v/>
      </c>
      <c r="T2">
        <f>--(AND(D2&lt;=113.15,E2&lt;=0.15,F2&gt;15.77,H2&lt;=28.86,G2&gt;0.14))*1</f>
        <v/>
      </c>
      <c r="U2">
        <f>--(AND(D2&lt;=113.15,E2&lt;=0.15,F2&gt;15.77,H2&gt;28.86,M2&lt;=14.54))*1</f>
        <v/>
      </c>
      <c r="V2">
        <f>--(AND(D2&lt;=113.15,E2&lt;=0.15,F2&gt;15.77,H2&gt;28.86,M2&gt;14.54))*1</f>
        <v/>
      </c>
      <c r="W2">
        <f>--(AND(D2&lt;=113.15,E2&gt;0.15,H2&lt;=23.74))*0</f>
        <v/>
      </c>
      <c r="X2">
        <f>--(AND(D2&lt;=113.15,E2&gt;0.15,H2&gt;23.74,J2&lt;=0.1))*1</f>
        <v/>
      </c>
      <c r="Y2">
        <f>--(AND(D2&lt;=113.15,E2&gt;0.15,H2&gt;23.74,J2&gt;0.1))*1</f>
        <v/>
      </c>
      <c r="Z2">
        <f>--(AND(D2&gt;113.15,K2&lt;=0.22,L2&lt;=0.02))*1</f>
        <v/>
      </c>
      <c r="AA2">
        <f>--(AND(D2&gt;113.15,K2&lt;=0.22,L2&gt;0.02))*0</f>
        <v/>
      </c>
      <c r="AB2">
        <f>--(AND(D2&gt;113.15,K2&gt;0.22,N2&lt;=810.1))*0</f>
        <v/>
      </c>
      <c r="AC2">
        <f>--(AND(D2&gt;113.15,K2&gt;0.22,N2&gt;810.1,I2&lt;=14.95))*1</f>
        <v/>
      </c>
      <c r="AD2">
        <f>--(AND(D2&gt;113.15,K2&gt;0.22,N2&gt;810.1,I2&gt;14.95))*1</f>
        <v/>
      </c>
      <c r="AE2">
        <f>SUM(P2:AD2)</f>
        <v/>
      </c>
      <c r="AF2">
        <f>IF(AE2=1,"Malignant","Benign")</f>
        <v/>
      </c>
      <c r="AG2">
        <f>--(AE2=C2)</f>
        <v/>
      </c>
    </row>
    <row r="3">
      <c r="A3">
        <f>BreastCancer_Data!A3</f>
        <v/>
      </c>
      <c r="B3">
        <f>BreastCancer_Data!B3</f>
        <v/>
      </c>
      <c r="C3">
        <f>BreastCancer_Data!D3</f>
        <v/>
      </c>
      <c r="D3">
        <f>BreastCancer_Data!E3</f>
        <v/>
      </c>
      <c r="E3">
        <f>BreastCancer_Data!F3</f>
        <v/>
      </c>
      <c r="F3">
        <f>BreastCancer_Data!G3</f>
        <v/>
      </c>
      <c r="G3">
        <f>BreastCancer_Data!H3</f>
        <v/>
      </c>
      <c r="H3">
        <f>BreastCancer_Data!I3</f>
        <v/>
      </c>
      <c r="I3">
        <f>BreastCancer_Data!J3</f>
        <v/>
      </c>
      <c r="J3">
        <f>BreastCancer_Data!K3</f>
        <v/>
      </c>
      <c r="K3">
        <f>BreastCancer_Data!L3</f>
        <v/>
      </c>
      <c r="L3">
        <f>BreastCancer_Data!M3</f>
        <v/>
      </c>
      <c r="M3">
        <f>BreastCancer_Data!N3</f>
        <v/>
      </c>
      <c r="N3">
        <f>BreastCancer_Data!O3</f>
        <v/>
      </c>
      <c r="O3">
        <f>0</f>
        <v/>
      </c>
      <c r="P3">
        <f>--(AND(D3&lt;=113.15,E3&lt;=0.15,F3&lt;=15.77,G3&lt;=0.18,H3&lt;=33.27))*0</f>
        <v/>
      </c>
      <c r="Q3">
        <f>--(AND(D3&lt;=113.15,E3&lt;=0.15,F3&lt;=15.77,G3&lt;=0.18,H3&gt;33.27))*0</f>
        <v/>
      </c>
      <c r="R3">
        <f>--(AND(D3&lt;=113.15,E3&lt;=0.15,F3&lt;=15.77,G3&gt;0.18))*0</f>
        <v/>
      </c>
      <c r="S3">
        <f>--(AND(D3&lt;=113.15,E3&lt;=0.15,F3&gt;15.77,H3&lt;=28.86,G3&lt;=0.14))*0</f>
        <v/>
      </c>
      <c r="T3">
        <f>--(AND(D3&lt;=113.15,E3&lt;=0.15,F3&gt;15.77,H3&lt;=28.86,G3&gt;0.14))*1</f>
        <v/>
      </c>
      <c r="U3">
        <f>--(AND(D3&lt;=113.15,E3&lt;=0.15,F3&gt;15.77,H3&gt;28.86,M3&lt;=14.54))*1</f>
        <v/>
      </c>
      <c r="V3">
        <f>--(AND(D3&lt;=113.15,E3&lt;=0.15,F3&gt;15.77,H3&gt;28.86,M3&gt;14.54))*1</f>
        <v/>
      </c>
      <c r="W3">
        <f>--(AND(D3&lt;=113.15,E3&gt;0.15,H3&lt;=23.74))*0</f>
        <v/>
      </c>
      <c r="X3">
        <f>--(AND(D3&lt;=113.15,E3&gt;0.15,H3&gt;23.74,J3&lt;=0.1))*1</f>
        <v/>
      </c>
      <c r="Y3">
        <f>--(AND(D3&lt;=113.15,E3&gt;0.15,H3&gt;23.74,J3&gt;0.1))*1</f>
        <v/>
      </c>
      <c r="Z3">
        <f>--(AND(D3&gt;113.15,K3&lt;=0.22,L3&lt;=0.02))*1</f>
        <v/>
      </c>
      <c r="AA3">
        <f>--(AND(D3&gt;113.15,K3&lt;=0.22,L3&gt;0.02))*0</f>
        <v/>
      </c>
      <c r="AB3">
        <f>--(AND(D3&gt;113.15,K3&gt;0.22,N3&lt;=810.1))*0</f>
        <v/>
      </c>
      <c r="AC3">
        <f>--(AND(D3&gt;113.15,K3&gt;0.22,N3&gt;810.1,I3&lt;=14.95))*1</f>
        <v/>
      </c>
      <c r="AD3">
        <f>--(AND(D3&gt;113.15,K3&gt;0.22,N3&gt;810.1,I3&gt;14.95))*1</f>
        <v/>
      </c>
      <c r="AE3">
        <f>SUM(P3:AD3)</f>
        <v/>
      </c>
      <c r="AF3">
        <f>IF(AE3=1,"Malignant","Benign")</f>
        <v/>
      </c>
      <c r="AG3">
        <f>--(AE3=C3)</f>
        <v/>
      </c>
    </row>
    <row r="4">
      <c r="A4">
        <f>BreastCancer_Data!A4</f>
        <v/>
      </c>
      <c r="B4">
        <f>BreastCancer_Data!B4</f>
        <v/>
      </c>
      <c r="C4">
        <f>BreastCancer_Data!D4</f>
        <v/>
      </c>
      <c r="D4">
        <f>BreastCancer_Data!E4</f>
        <v/>
      </c>
      <c r="E4">
        <f>BreastCancer_Data!F4</f>
        <v/>
      </c>
      <c r="F4">
        <f>BreastCancer_Data!G4</f>
        <v/>
      </c>
      <c r="G4">
        <f>BreastCancer_Data!H4</f>
        <v/>
      </c>
      <c r="H4">
        <f>BreastCancer_Data!I4</f>
        <v/>
      </c>
      <c r="I4">
        <f>BreastCancer_Data!J4</f>
        <v/>
      </c>
      <c r="J4">
        <f>BreastCancer_Data!K4</f>
        <v/>
      </c>
      <c r="K4">
        <f>BreastCancer_Data!L4</f>
        <v/>
      </c>
      <c r="L4">
        <f>BreastCancer_Data!M4</f>
        <v/>
      </c>
      <c r="M4">
        <f>BreastCancer_Data!N4</f>
        <v/>
      </c>
      <c r="N4">
        <f>BreastCancer_Data!O4</f>
        <v/>
      </c>
      <c r="O4">
        <f>0</f>
        <v/>
      </c>
      <c r="P4">
        <f>--(AND(D4&lt;=113.15,E4&lt;=0.15,F4&lt;=15.77,G4&lt;=0.18,H4&lt;=33.27))*0</f>
        <v/>
      </c>
      <c r="Q4">
        <f>--(AND(D4&lt;=113.15,E4&lt;=0.15,F4&lt;=15.77,G4&lt;=0.18,H4&gt;33.27))*0</f>
        <v/>
      </c>
      <c r="R4">
        <f>--(AND(D4&lt;=113.15,E4&lt;=0.15,F4&lt;=15.77,G4&gt;0.18))*0</f>
        <v/>
      </c>
      <c r="S4">
        <f>--(AND(D4&lt;=113.15,E4&lt;=0.15,F4&gt;15.77,H4&lt;=28.86,G4&lt;=0.14))*0</f>
        <v/>
      </c>
      <c r="T4">
        <f>--(AND(D4&lt;=113.15,E4&lt;=0.15,F4&gt;15.77,H4&lt;=28.86,G4&gt;0.14))*1</f>
        <v/>
      </c>
      <c r="U4">
        <f>--(AND(D4&lt;=113.15,E4&lt;=0.15,F4&gt;15.77,H4&gt;28.86,M4&lt;=14.54))*1</f>
        <v/>
      </c>
      <c r="V4">
        <f>--(AND(D4&lt;=113.15,E4&lt;=0.15,F4&gt;15.77,H4&gt;28.86,M4&gt;14.54))*1</f>
        <v/>
      </c>
      <c r="W4">
        <f>--(AND(D4&lt;=113.15,E4&gt;0.15,H4&lt;=23.74))*0</f>
        <v/>
      </c>
      <c r="X4">
        <f>--(AND(D4&lt;=113.15,E4&gt;0.15,H4&gt;23.74,J4&lt;=0.1))*1</f>
        <v/>
      </c>
      <c r="Y4">
        <f>--(AND(D4&lt;=113.15,E4&gt;0.15,H4&gt;23.74,J4&gt;0.1))*1</f>
        <v/>
      </c>
      <c r="Z4">
        <f>--(AND(D4&gt;113.15,K4&lt;=0.22,L4&lt;=0.02))*1</f>
        <v/>
      </c>
      <c r="AA4">
        <f>--(AND(D4&gt;113.15,K4&lt;=0.22,L4&gt;0.02))*0</f>
        <v/>
      </c>
      <c r="AB4">
        <f>--(AND(D4&gt;113.15,K4&gt;0.22,N4&lt;=810.1))*0</f>
        <v/>
      </c>
      <c r="AC4">
        <f>--(AND(D4&gt;113.15,K4&gt;0.22,N4&gt;810.1,I4&lt;=14.95))*1</f>
        <v/>
      </c>
      <c r="AD4">
        <f>--(AND(D4&gt;113.15,K4&gt;0.22,N4&gt;810.1,I4&gt;14.95))*1</f>
        <v/>
      </c>
      <c r="AE4">
        <f>SUM(P4:AD4)</f>
        <v/>
      </c>
      <c r="AF4">
        <f>IF(AE4=1,"Malignant","Benign")</f>
        <v/>
      </c>
      <c r="AG4">
        <f>--(AE4=C4)</f>
        <v/>
      </c>
    </row>
    <row r="5">
      <c r="A5">
        <f>BreastCancer_Data!A5</f>
        <v/>
      </c>
      <c r="B5">
        <f>BreastCancer_Data!B5</f>
        <v/>
      </c>
      <c r="C5">
        <f>BreastCancer_Data!D5</f>
        <v/>
      </c>
      <c r="D5">
        <f>BreastCancer_Data!E5</f>
        <v/>
      </c>
      <c r="E5">
        <f>BreastCancer_Data!F5</f>
        <v/>
      </c>
      <c r="F5">
        <f>BreastCancer_Data!G5</f>
        <v/>
      </c>
      <c r="G5">
        <f>BreastCancer_Data!H5</f>
        <v/>
      </c>
      <c r="H5">
        <f>BreastCancer_Data!I5</f>
        <v/>
      </c>
      <c r="I5">
        <f>BreastCancer_Data!J5</f>
        <v/>
      </c>
      <c r="J5">
        <f>BreastCancer_Data!K5</f>
        <v/>
      </c>
      <c r="K5">
        <f>BreastCancer_Data!L5</f>
        <v/>
      </c>
      <c r="L5">
        <f>BreastCancer_Data!M5</f>
        <v/>
      </c>
      <c r="M5">
        <f>BreastCancer_Data!N5</f>
        <v/>
      </c>
      <c r="N5">
        <f>BreastCancer_Data!O5</f>
        <v/>
      </c>
      <c r="O5">
        <f>0</f>
        <v/>
      </c>
      <c r="P5">
        <f>--(AND(D5&lt;=113.15,E5&lt;=0.15,F5&lt;=15.77,G5&lt;=0.18,H5&lt;=33.27))*0</f>
        <v/>
      </c>
      <c r="Q5">
        <f>--(AND(D5&lt;=113.15,E5&lt;=0.15,F5&lt;=15.77,G5&lt;=0.18,H5&gt;33.27))*0</f>
        <v/>
      </c>
      <c r="R5">
        <f>--(AND(D5&lt;=113.15,E5&lt;=0.15,F5&lt;=15.77,G5&gt;0.18))*0</f>
        <v/>
      </c>
      <c r="S5">
        <f>--(AND(D5&lt;=113.15,E5&lt;=0.15,F5&gt;15.77,H5&lt;=28.86,G5&lt;=0.14))*0</f>
        <v/>
      </c>
      <c r="T5">
        <f>--(AND(D5&lt;=113.15,E5&lt;=0.15,F5&gt;15.77,H5&lt;=28.86,G5&gt;0.14))*1</f>
        <v/>
      </c>
      <c r="U5">
        <f>--(AND(D5&lt;=113.15,E5&lt;=0.15,F5&gt;15.77,H5&gt;28.86,M5&lt;=14.54))*1</f>
        <v/>
      </c>
      <c r="V5">
        <f>--(AND(D5&lt;=113.15,E5&lt;=0.15,F5&gt;15.77,H5&gt;28.86,M5&gt;14.54))*1</f>
        <v/>
      </c>
      <c r="W5">
        <f>--(AND(D5&lt;=113.15,E5&gt;0.15,H5&lt;=23.74))*0</f>
        <v/>
      </c>
      <c r="X5">
        <f>--(AND(D5&lt;=113.15,E5&gt;0.15,H5&gt;23.74,J5&lt;=0.1))*1</f>
        <v/>
      </c>
      <c r="Y5">
        <f>--(AND(D5&lt;=113.15,E5&gt;0.15,H5&gt;23.74,J5&gt;0.1))*1</f>
        <v/>
      </c>
      <c r="Z5">
        <f>--(AND(D5&gt;113.15,K5&lt;=0.22,L5&lt;=0.02))*1</f>
        <v/>
      </c>
      <c r="AA5">
        <f>--(AND(D5&gt;113.15,K5&lt;=0.22,L5&gt;0.02))*0</f>
        <v/>
      </c>
      <c r="AB5">
        <f>--(AND(D5&gt;113.15,K5&gt;0.22,N5&lt;=810.1))*0</f>
        <v/>
      </c>
      <c r="AC5">
        <f>--(AND(D5&gt;113.15,K5&gt;0.22,N5&gt;810.1,I5&lt;=14.95))*1</f>
        <v/>
      </c>
      <c r="AD5">
        <f>--(AND(D5&gt;113.15,K5&gt;0.22,N5&gt;810.1,I5&gt;14.95))*1</f>
        <v/>
      </c>
      <c r="AE5">
        <f>SUM(P5:AD5)</f>
        <v/>
      </c>
      <c r="AF5">
        <f>IF(AE5=1,"Malignant","Benign")</f>
        <v/>
      </c>
      <c r="AG5">
        <f>--(AE5=C5)</f>
        <v/>
      </c>
    </row>
    <row r="6">
      <c r="A6">
        <f>BreastCancer_Data!A6</f>
        <v/>
      </c>
      <c r="B6">
        <f>BreastCancer_Data!B6</f>
        <v/>
      </c>
      <c r="C6">
        <f>BreastCancer_Data!D6</f>
        <v/>
      </c>
      <c r="D6">
        <f>BreastCancer_Data!E6</f>
        <v/>
      </c>
      <c r="E6">
        <f>BreastCancer_Data!F6</f>
        <v/>
      </c>
      <c r="F6">
        <f>BreastCancer_Data!G6</f>
        <v/>
      </c>
      <c r="G6">
        <f>BreastCancer_Data!H6</f>
        <v/>
      </c>
      <c r="H6">
        <f>BreastCancer_Data!I6</f>
        <v/>
      </c>
      <c r="I6">
        <f>BreastCancer_Data!J6</f>
        <v/>
      </c>
      <c r="J6">
        <f>BreastCancer_Data!K6</f>
        <v/>
      </c>
      <c r="K6">
        <f>BreastCancer_Data!L6</f>
        <v/>
      </c>
      <c r="L6">
        <f>BreastCancer_Data!M6</f>
        <v/>
      </c>
      <c r="M6">
        <f>BreastCancer_Data!N6</f>
        <v/>
      </c>
      <c r="N6">
        <f>BreastCancer_Data!O6</f>
        <v/>
      </c>
      <c r="O6">
        <f>0</f>
        <v/>
      </c>
      <c r="P6">
        <f>--(AND(D6&lt;=113.15,E6&lt;=0.15,F6&lt;=15.77,G6&lt;=0.18,H6&lt;=33.27))*0</f>
        <v/>
      </c>
      <c r="Q6">
        <f>--(AND(D6&lt;=113.15,E6&lt;=0.15,F6&lt;=15.77,G6&lt;=0.18,H6&gt;33.27))*0</f>
        <v/>
      </c>
      <c r="R6">
        <f>--(AND(D6&lt;=113.15,E6&lt;=0.15,F6&lt;=15.77,G6&gt;0.18))*0</f>
        <v/>
      </c>
      <c r="S6">
        <f>--(AND(D6&lt;=113.15,E6&lt;=0.15,F6&gt;15.77,H6&lt;=28.86,G6&lt;=0.14))*0</f>
        <v/>
      </c>
      <c r="T6">
        <f>--(AND(D6&lt;=113.15,E6&lt;=0.15,F6&gt;15.77,H6&lt;=28.86,G6&gt;0.14))*1</f>
        <v/>
      </c>
      <c r="U6">
        <f>--(AND(D6&lt;=113.15,E6&lt;=0.15,F6&gt;15.77,H6&gt;28.86,M6&lt;=14.54))*1</f>
        <v/>
      </c>
      <c r="V6">
        <f>--(AND(D6&lt;=113.15,E6&lt;=0.15,F6&gt;15.77,H6&gt;28.86,M6&gt;14.54))*1</f>
        <v/>
      </c>
      <c r="W6">
        <f>--(AND(D6&lt;=113.15,E6&gt;0.15,H6&lt;=23.74))*0</f>
        <v/>
      </c>
      <c r="X6">
        <f>--(AND(D6&lt;=113.15,E6&gt;0.15,H6&gt;23.74,J6&lt;=0.1))*1</f>
        <v/>
      </c>
      <c r="Y6">
        <f>--(AND(D6&lt;=113.15,E6&gt;0.15,H6&gt;23.74,J6&gt;0.1))*1</f>
        <v/>
      </c>
      <c r="Z6">
        <f>--(AND(D6&gt;113.15,K6&lt;=0.22,L6&lt;=0.02))*1</f>
        <v/>
      </c>
      <c r="AA6">
        <f>--(AND(D6&gt;113.15,K6&lt;=0.22,L6&gt;0.02))*0</f>
        <v/>
      </c>
      <c r="AB6">
        <f>--(AND(D6&gt;113.15,K6&gt;0.22,N6&lt;=810.1))*0</f>
        <v/>
      </c>
      <c r="AC6">
        <f>--(AND(D6&gt;113.15,K6&gt;0.22,N6&gt;810.1,I6&lt;=14.95))*1</f>
        <v/>
      </c>
      <c r="AD6">
        <f>--(AND(D6&gt;113.15,K6&gt;0.22,N6&gt;810.1,I6&gt;14.95))*1</f>
        <v/>
      </c>
      <c r="AE6">
        <f>SUM(P6:AD6)</f>
        <v/>
      </c>
      <c r="AF6">
        <f>IF(AE6=1,"Malignant","Benign")</f>
        <v/>
      </c>
      <c r="AG6">
        <f>--(AE6=C6)</f>
        <v/>
      </c>
    </row>
    <row r="7">
      <c r="A7">
        <f>BreastCancer_Data!A7</f>
        <v/>
      </c>
      <c r="B7">
        <f>BreastCancer_Data!B7</f>
        <v/>
      </c>
      <c r="C7">
        <f>BreastCancer_Data!D7</f>
        <v/>
      </c>
      <c r="D7">
        <f>BreastCancer_Data!E7</f>
        <v/>
      </c>
      <c r="E7">
        <f>BreastCancer_Data!F7</f>
        <v/>
      </c>
      <c r="F7">
        <f>BreastCancer_Data!G7</f>
        <v/>
      </c>
      <c r="G7">
        <f>BreastCancer_Data!H7</f>
        <v/>
      </c>
      <c r="H7">
        <f>BreastCancer_Data!I7</f>
        <v/>
      </c>
      <c r="I7">
        <f>BreastCancer_Data!J7</f>
        <v/>
      </c>
      <c r="J7">
        <f>BreastCancer_Data!K7</f>
        <v/>
      </c>
      <c r="K7">
        <f>BreastCancer_Data!L7</f>
        <v/>
      </c>
      <c r="L7">
        <f>BreastCancer_Data!M7</f>
        <v/>
      </c>
      <c r="M7">
        <f>BreastCancer_Data!N7</f>
        <v/>
      </c>
      <c r="N7">
        <f>BreastCancer_Data!O7</f>
        <v/>
      </c>
      <c r="O7">
        <f>0</f>
        <v/>
      </c>
      <c r="P7">
        <f>--(AND(D7&lt;=113.15,E7&lt;=0.15,F7&lt;=15.77,G7&lt;=0.18,H7&lt;=33.27))*0</f>
        <v/>
      </c>
      <c r="Q7">
        <f>--(AND(D7&lt;=113.15,E7&lt;=0.15,F7&lt;=15.77,G7&lt;=0.18,H7&gt;33.27))*0</f>
        <v/>
      </c>
      <c r="R7">
        <f>--(AND(D7&lt;=113.15,E7&lt;=0.15,F7&lt;=15.77,G7&gt;0.18))*0</f>
        <v/>
      </c>
      <c r="S7">
        <f>--(AND(D7&lt;=113.15,E7&lt;=0.15,F7&gt;15.77,H7&lt;=28.86,G7&lt;=0.14))*0</f>
        <v/>
      </c>
      <c r="T7">
        <f>--(AND(D7&lt;=113.15,E7&lt;=0.15,F7&gt;15.77,H7&lt;=28.86,G7&gt;0.14))*1</f>
        <v/>
      </c>
      <c r="U7">
        <f>--(AND(D7&lt;=113.15,E7&lt;=0.15,F7&gt;15.77,H7&gt;28.86,M7&lt;=14.54))*1</f>
        <v/>
      </c>
      <c r="V7">
        <f>--(AND(D7&lt;=113.15,E7&lt;=0.15,F7&gt;15.77,H7&gt;28.86,M7&gt;14.54))*1</f>
        <v/>
      </c>
      <c r="W7">
        <f>--(AND(D7&lt;=113.15,E7&gt;0.15,H7&lt;=23.74))*0</f>
        <v/>
      </c>
      <c r="X7">
        <f>--(AND(D7&lt;=113.15,E7&gt;0.15,H7&gt;23.74,J7&lt;=0.1))*1</f>
        <v/>
      </c>
      <c r="Y7">
        <f>--(AND(D7&lt;=113.15,E7&gt;0.15,H7&gt;23.74,J7&gt;0.1))*1</f>
        <v/>
      </c>
      <c r="Z7">
        <f>--(AND(D7&gt;113.15,K7&lt;=0.22,L7&lt;=0.02))*1</f>
        <v/>
      </c>
      <c r="AA7">
        <f>--(AND(D7&gt;113.15,K7&lt;=0.22,L7&gt;0.02))*0</f>
        <v/>
      </c>
      <c r="AB7">
        <f>--(AND(D7&gt;113.15,K7&gt;0.22,N7&lt;=810.1))*0</f>
        <v/>
      </c>
      <c r="AC7">
        <f>--(AND(D7&gt;113.15,K7&gt;0.22,N7&gt;810.1,I7&lt;=14.95))*1</f>
        <v/>
      </c>
      <c r="AD7">
        <f>--(AND(D7&gt;113.15,K7&gt;0.22,N7&gt;810.1,I7&gt;14.95))*1</f>
        <v/>
      </c>
      <c r="AE7">
        <f>SUM(P7:AD7)</f>
        <v/>
      </c>
      <c r="AF7">
        <f>IF(AE7=1,"Malignant","Benign")</f>
        <v/>
      </c>
      <c r="AG7">
        <f>--(AE7=C7)</f>
        <v/>
      </c>
    </row>
    <row r="8">
      <c r="A8">
        <f>BreastCancer_Data!A8</f>
        <v/>
      </c>
      <c r="B8">
        <f>BreastCancer_Data!B8</f>
        <v/>
      </c>
      <c r="C8">
        <f>BreastCancer_Data!D8</f>
        <v/>
      </c>
      <c r="D8">
        <f>BreastCancer_Data!E8</f>
        <v/>
      </c>
      <c r="E8">
        <f>BreastCancer_Data!F8</f>
        <v/>
      </c>
      <c r="F8">
        <f>BreastCancer_Data!G8</f>
        <v/>
      </c>
      <c r="G8">
        <f>BreastCancer_Data!H8</f>
        <v/>
      </c>
      <c r="H8">
        <f>BreastCancer_Data!I8</f>
        <v/>
      </c>
      <c r="I8">
        <f>BreastCancer_Data!J8</f>
        <v/>
      </c>
      <c r="J8">
        <f>BreastCancer_Data!K8</f>
        <v/>
      </c>
      <c r="K8">
        <f>BreastCancer_Data!L8</f>
        <v/>
      </c>
      <c r="L8">
        <f>BreastCancer_Data!M8</f>
        <v/>
      </c>
      <c r="M8">
        <f>BreastCancer_Data!N8</f>
        <v/>
      </c>
      <c r="N8">
        <f>BreastCancer_Data!O8</f>
        <v/>
      </c>
      <c r="O8">
        <f>0</f>
        <v/>
      </c>
      <c r="P8">
        <f>--(AND(D8&lt;=113.15,E8&lt;=0.15,F8&lt;=15.77,G8&lt;=0.18,H8&lt;=33.27))*0</f>
        <v/>
      </c>
      <c r="Q8">
        <f>--(AND(D8&lt;=113.15,E8&lt;=0.15,F8&lt;=15.77,G8&lt;=0.18,H8&gt;33.27))*0</f>
        <v/>
      </c>
      <c r="R8">
        <f>--(AND(D8&lt;=113.15,E8&lt;=0.15,F8&lt;=15.77,G8&gt;0.18))*0</f>
        <v/>
      </c>
      <c r="S8">
        <f>--(AND(D8&lt;=113.15,E8&lt;=0.15,F8&gt;15.77,H8&lt;=28.86,G8&lt;=0.14))*0</f>
        <v/>
      </c>
      <c r="T8">
        <f>--(AND(D8&lt;=113.15,E8&lt;=0.15,F8&gt;15.77,H8&lt;=28.86,G8&gt;0.14))*1</f>
        <v/>
      </c>
      <c r="U8">
        <f>--(AND(D8&lt;=113.15,E8&lt;=0.15,F8&gt;15.77,H8&gt;28.86,M8&lt;=14.54))*1</f>
        <v/>
      </c>
      <c r="V8">
        <f>--(AND(D8&lt;=113.15,E8&lt;=0.15,F8&gt;15.77,H8&gt;28.86,M8&gt;14.54))*1</f>
        <v/>
      </c>
      <c r="W8">
        <f>--(AND(D8&lt;=113.15,E8&gt;0.15,H8&lt;=23.74))*0</f>
        <v/>
      </c>
      <c r="X8">
        <f>--(AND(D8&lt;=113.15,E8&gt;0.15,H8&gt;23.74,J8&lt;=0.1))*1</f>
        <v/>
      </c>
      <c r="Y8">
        <f>--(AND(D8&lt;=113.15,E8&gt;0.15,H8&gt;23.74,J8&gt;0.1))*1</f>
        <v/>
      </c>
      <c r="Z8">
        <f>--(AND(D8&gt;113.15,K8&lt;=0.22,L8&lt;=0.02))*1</f>
        <v/>
      </c>
      <c r="AA8">
        <f>--(AND(D8&gt;113.15,K8&lt;=0.22,L8&gt;0.02))*0</f>
        <v/>
      </c>
      <c r="AB8">
        <f>--(AND(D8&gt;113.15,K8&gt;0.22,N8&lt;=810.1))*0</f>
        <v/>
      </c>
      <c r="AC8">
        <f>--(AND(D8&gt;113.15,K8&gt;0.22,N8&gt;810.1,I8&lt;=14.95))*1</f>
        <v/>
      </c>
      <c r="AD8">
        <f>--(AND(D8&gt;113.15,K8&gt;0.22,N8&gt;810.1,I8&gt;14.95))*1</f>
        <v/>
      </c>
      <c r="AE8">
        <f>SUM(P8:AD8)</f>
        <v/>
      </c>
      <c r="AF8">
        <f>IF(AE8=1,"Malignant","Benign")</f>
        <v/>
      </c>
      <c r="AG8">
        <f>--(AE8=C8)</f>
        <v/>
      </c>
    </row>
    <row r="9">
      <c r="A9">
        <f>BreastCancer_Data!A9</f>
        <v/>
      </c>
      <c r="B9">
        <f>BreastCancer_Data!B9</f>
        <v/>
      </c>
      <c r="C9">
        <f>BreastCancer_Data!D9</f>
        <v/>
      </c>
      <c r="D9">
        <f>BreastCancer_Data!E9</f>
        <v/>
      </c>
      <c r="E9">
        <f>BreastCancer_Data!F9</f>
        <v/>
      </c>
      <c r="F9">
        <f>BreastCancer_Data!G9</f>
        <v/>
      </c>
      <c r="G9">
        <f>BreastCancer_Data!H9</f>
        <v/>
      </c>
      <c r="H9">
        <f>BreastCancer_Data!I9</f>
        <v/>
      </c>
      <c r="I9">
        <f>BreastCancer_Data!J9</f>
        <v/>
      </c>
      <c r="J9">
        <f>BreastCancer_Data!K9</f>
        <v/>
      </c>
      <c r="K9">
        <f>BreastCancer_Data!L9</f>
        <v/>
      </c>
      <c r="L9">
        <f>BreastCancer_Data!M9</f>
        <v/>
      </c>
      <c r="M9">
        <f>BreastCancer_Data!N9</f>
        <v/>
      </c>
      <c r="N9">
        <f>BreastCancer_Data!O9</f>
        <v/>
      </c>
      <c r="O9">
        <f>0</f>
        <v/>
      </c>
      <c r="P9">
        <f>--(AND(D9&lt;=113.15,E9&lt;=0.15,F9&lt;=15.77,G9&lt;=0.18,H9&lt;=33.27))*0</f>
        <v/>
      </c>
      <c r="Q9">
        <f>--(AND(D9&lt;=113.15,E9&lt;=0.15,F9&lt;=15.77,G9&lt;=0.18,H9&gt;33.27))*0</f>
        <v/>
      </c>
      <c r="R9">
        <f>--(AND(D9&lt;=113.15,E9&lt;=0.15,F9&lt;=15.77,G9&gt;0.18))*0</f>
        <v/>
      </c>
      <c r="S9">
        <f>--(AND(D9&lt;=113.15,E9&lt;=0.15,F9&gt;15.77,H9&lt;=28.86,G9&lt;=0.14))*0</f>
        <v/>
      </c>
      <c r="T9">
        <f>--(AND(D9&lt;=113.15,E9&lt;=0.15,F9&gt;15.77,H9&lt;=28.86,G9&gt;0.14))*1</f>
        <v/>
      </c>
      <c r="U9">
        <f>--(AND(D9&lt;=113.15,E9&lt;=0.15,F9&gt;15.77,H9&gt;28.86,M9&lt;=14.54))*1</f>
        <v/>
      </c>
      <c r="V9">
        <f>--(AND(D9&lt;=113.15,E9&lt;=0.15,F9&gt;15.77,H9&gt;28.86,M9&gt;14.54))*1</f>
        <v/>
      </c>
      <c r="W9">
        <f>--(AND(D9&lt;=113.15,E9&gt;0.15,H9&lt;=23.74))*0</f>
        <v/>
      </c>
      <c r="X9">
        <f>--(AND(D9&lt;=113.15,E9&gt;0.15,H9&gt;23.74,J9&lt;=0.1))*1</f>
        <v/>
      </c>
      <c r="Y9">
        <f>--(AND(D9&lt;=113.15,E9&gt;0.15,H9&gt;23.74,J9&gt;0.1))*1</f>
        <v/>
      </c>
      <c r="Z9">
        <f>--(AND(D9&gt;113.15,K9&lt;=0.22,L9&lt;=0.02))*1</f>
        <v/>
      </c>
      <c r="AA9">
        <f>--(AND(D9&gt;113.15,K9&lt;=0.22,L9&gt;0.02))*0</f>
        <v/>
      </c>
      <c r="AB9">
        <f>--(AND(D9&gt;113.15,K9&gt;0.22,N9&lt;=810.1))*0</f>
        <v/>
      </c>
      <c r="AC9">
        <f>--(AND(D9&gt;113.15,K9&gt;0.22,N9&gt;810.1,I9&lt;=14.95))*1</f>
        <v/>
      </c>
      <c r="AD9">
        <f>--(AND(D9&gt;113.15,K9&gt;0.22,N9&gt;810.1,I9&gt;14.95))*1</f>
        <v/>
      </c>
      <c r="AE9">
        <f>SUM(P9:AD9)</f>
        <v/>
      </c>
      <c r="AF9">
        <f>IF(AE9=1,"Malignant","Benign")</f>
        <v/>
      </c>
      <c r="AG9">
        <f>--(AE9=C9)</f>
        <v/>
      </c>
    </row>
    <row r="10">
      <c r="A10">
        <f>BreastCancer_Data!A10</f>
        <v/>
      </c>
      <c r="B10">
        <f>BreastCancer_Data!B10</f>
        <v/>
      </c>
      <c r="C10">
        <f>BreastCancer_Data!D10</f>
        <v/>
      </c>
      <c r="D10">
        <f>BreastCancer_Data!E10</f>
        <v/>
      </c>
      <c r="E10">
        <f>BreastCancer_Data!F10</f>
        <v/>
      </c>
      <c r="F10">
        <f>BreastCancer_Data!G10</f>
        <v/>
      </c>
      <c r="G10">
        <f>BreastCancer_Data!H10</f>
        <v/>
      </c>
      <c r="H10">
        <f>BreastCancer_Data!I10</f>
        <v/>
      </c>
      <c r="I10">
        <f>BreastCancer_Data!J10</f>
        <v/>
      </c>
      <c r="J10">
        <f>BreastCancer_Data!K10</f>
        <v/>
      </c>
      <c r="K10">
        <f>BreastCancer_Data!L10</f>
        <v/>
      </c>
      <c r="L10">
        <f>BreastCancer_Data!M10</f>
        <v/>
      </c>
      <c r="M10">
        <f>BreastCancer_Data!N10</f>
        <v/>
      </c>
      <c r="N10">
        <f>BreastCancer_Data!O10</f>
        <v/>
      </c>
      <c r="O10">
        <f>0</f>
        <v/>
      </c>
      <c r="P10">
        <f>--(AND(D10&lt;=113.15,E10&lt;=0.15,F10&lt;=15.77,G10&lt;=0.18,H10&lt;=33.27))*0</f>
        <v/>
      </c>
      <c r="Q10">
        <f>--(AND(D10&lt;=113.15,E10&lt;=0.15,F10&lt;=15.77,G10&lt;=0.18,H10&gt;33.27))*0</f>
        <v/>
      </c>
      <c r="R10">
        <f>--(AND(D10&lt;=113.15,E10&lt;=0.15,F10&lt;=15.77,G10&gt;0.18))*0</f>
        <v/>
      </c>
      <c r="S10">
        <f>--(AND(D10&lt;=113.15,E10&lt;=0.15,F10&gt;15.77,H10&lt;=28.86,G10&lt;=0.14))*0</f>
        <v/>
      </c>
      <c r="T10">
        <f>--(AND(D10&lt;=113.15,E10&lt;=0.15,F10&gt;15.77,H10&lt;=28.86,G10&gt;0.14))*1</f>
        <v/>
      </c>
      <c r="U10">
        <f>--(AND(D10&lt;=113.15,E10&lt;=0.15,F10&gt;15.77,H10&gt;28.86,M10&lt;=14.54))*1</f>
        <v/>
      </c>
      <c r="V10">
        <f>--(AND(D10&lt;=113.15,E10&lt;=0.15,F10&gt;15.77,H10&gt;28.86,M10&gt;14.54))*1</f>
        <v/>
      </c>
      <c r="W10">
        <f>--(AND(D10&lt;=113.15,E10&gt;0.15,H10&lt;=23.74))*0</f>
        <v/>
      </c>
      <c r="X10">
        <f>--(AND(D10&lt;=113.15,E10&gt;0.15,H10&gt;23.74,J10&lt;=0.1))*1</f>
        <v/>
      </c>
      <c r="Y10">
        <f>--(AND(D10&lt;=113.15,E10&gt;0.15,H10&gt;23.74,J10&gt;0.1))*1</f>
        <v/>
      </c>
      <c r="Z10">
        <f>--(AND(D10&gt;113.15,K10&lt;=0.22,L10&lt;=0.02))*1</f>
        <v/>
      </c>
      <c r="AA10">
        <f>--(AND(D10&gt;113.15,K10&lt;=0.22,L10&gt;0.02))*0</f>
        <v/>
      </c>
      <c r="AB10">
        <f>--(AND(D10&gt;113.15,K10&gt;0.22,N10&lt;=810.1))*0</f>
        <v/>
      </c>
      <c r="AC10">
        <f>--(AND(D10&gt;113.15,K10&gt;0.22,N10&gt;810.1,I10&lt;=14.95))*1</f>
        <v/>
      </c>
      <c r="AD10">
        <f>--(AND(D10&gt;113.15,K10&gt;0.22,N10&gt;810.1,I10&gt;14.95))*1</f>
        <v/>
      </c>
      <c r="AE10">
        <f>SUM(P10:AD10)</f>
        <v/>
      </c>
      <c r="AF10">
        <f>IF(AE10=1,"Malignant","Benign")</f>
        <v/>
      </c>
      <c r="AG10">
        <f>--(AE10=C10)</f>
        <v/>
      </c>
    </row>
    <row r="11">
      <c r="A11">
        <f>BreastCancer_Data!A11</f>
        <v/>
      </c>
      <c r="B11">
        <f>BreastCancer_Data!B11</f>
        <v/>
      </c>
      <c r="C11">
        <f>BreastCancer_Data!D11</f>
        <v/>
      </c>
      <c r="D11">
        <f>BreastCancer_Data!E11</f>
        <v/>
      </c>
      <c r="E11">
        <f>BreastCancer_Data!F11</f>
        <v/>
      </c>
      <c r="F11">
        <f>BreastCancer_Data!G11</f>
        <v/>
      </c>
      <c r="G11">
        <f>BreastCancer_Data!H11</f>
        <v/>
      </c>
      <c r="H11">
        <f>BreastCancer_Data!I11</f>
        <v/>
      </c>
      <c r="I11">
        <f>BreastCancer_Data!J11</f>
        <v/>
      </c>
      <c r="J11">
        <f>BreastCancer_Data!K11</f>
        <v/>
      </c>
      <c r="K11">
        <f>BreastCancer_Data!L11</f>
        <v/>
      </c>
      <c r="L11">
        <f>BreastCancer_Data!M11</f>
        <v/>
      </c>
      <c r="M11">
        <f>BreastCancer_Data!N11</f>
        <v/>
      </c>
      <c r="N11">
        <f>BreastCancer_Data!O11</f>
        <v/>
      </c>
      <c r="O11">
        <f>0</f>
        <v/>
      </c>
      <c r="P11">
        <f>--(AND(D11&lt;=113.15,E11&lt;=0.15,F11&lt;=15.77,G11&lt;=0.18,H11&lt;=33.27))*0</f>
        <v/>
      </c>
      <c r="Q11">
        <f>--(AND(D11&lt;=113.15,E11&lt;=0.15,F11&lt;=15.77,G11&lt;=0.18,H11&gt;33.27))*0</f>
        <v/>
      </c>
      <c r="R11">
        <f>--(AND(D11&lt;=113.15,E11&lt;=0.15,F11&lt;=15.77,G11&gt;0.18))*0</f>
        <v/>
      </c>
      <c r="S11">
        <f>--(AND(D11&lt;=113.15,E11&lt;=0.15,F11&gt;15.77,H11&lt;=28.86,G11&lt;=0.14))*0</f>
        <v/>
      </c>
      <c r="T11">
        <f>--(AND(D11&lt;=113.15,E11&lt;=0.15,F11&gt;15.77,H11&lt;=28.86,G11&gt;0.14))*1</f>
        <v/>
      </c>
      <c r="U11">
        <f>--(AND(D11&lt;=113.15,E11&lt;=0.15,F11&gt;15.77,H11&gt;28.86,M11&lt;=14.54))*1</f>
        <v/>
      </c>
      <c r="V11">
        <f>--(AND(D11&lt;=113.15,E11&lt;=0.15,F11&gt;15.77,H11&gt;28.86,M11&gt;14.54))*1</f>
        <v/>
      </c>
      <c r="W11">
        <f>--(AND(D11&lt;=113.15,E11&gt;0.15,H11&lt;=23.74))*0</f>
        <v/>
      </c>
      <c r="X11">
        <f>--(AND(D11&lt;=113.15,E11&gt;0.15,H11&gt;23.74,J11&lt;=0.1))*1</f>
        <v/>
      </c>
      <c r="Y11">
        <f>--(AND(D11&lt;=113.15,E11&gt;0.15,H11&gt;23.74,J11&gt;0.1))*1</f>
        <v/>
      </c>
      <c r="Z11">
        <f>--(AND(D11&gt;113.15,K11&lt;=0.22,L11&lt;=0.02))*1</f>
        <v/>
      </c>
      <c r="AA11">
        <f>--(AND(D11&gt;113.15,K11&lt;=0.22,L11&gt;0.02))*0</f>
        <v/>
      </c>
      <c r="AB11">
        <f>--(AND(D11&gt;113.15,K11&gt;0.22,N11&lt;=810.1))*0</f>
        <v/>
      </c>
      <c r="AC11">
        <f>--(AND(D11&gt;113.15,K11&gt;0.22,N11&gt;810.1,I11&lt;=14.95))*1</f>
        <v/>
      </c>
      <c r="AD11">
        <f>--(AND(D11&gt;113.15,K11&gt;0.22,N11&gt;810.1,I11&gt;14.95))*1</f>
        <v/>
      </c>
      <c r="AE11">
        <f>SUM(P11:AD11)</f>
        <v/>
      </c>
      <c r="AF11">
        <f>IF(AE11=1,"Malignant","Benign")</f>
        <v/>
      </c>
      <c r="AG11">
        <f>--(AE11=C11)</f>
        <v/>
      </c>
    </row>
    <row r="12">
      <c r="A12">
        <f>BreastCancer_Data!A12</f>
        <v/>
      </c>
      <c r="B12">
        <f>BreastCancer_Data!B12</f>
        <v/>
      </c>
      <c r="C12">
        <f>BreastCancer_Data!D12</f>
        <v/>
      </c>
      <c r="D12">
        <f>BreastCancer_Data!E12</f>
        <v/>
      </c>
      <c r="E12">
        <f>BreastCancer_Data!F12</f>
        <v/>
      </c>
      <c r="F12">
        <f>BreastCancer_Data!G12</f>
        <v/>
      </c>
      <c r="G12">
        <f>BreastCancer_Data!H12</f>
        <v/>
      </c>
      <c r="H12">
        <f>BreastCancer_Data!I12</f>
        <v/>
      </c>
      <c r="I12">
        <f>BreastCancer_Data!J12</f>
        <v/>
      </c>
      <c r="J12">
        <f>BreastCancer_Data!K12</f>
        <v/>
      </c>
      <c r="K12">
        <f>BreastCancer_Data!L12</f>
        <v/>
      </c>
      <c r="L12">
        <f>BreastCancer_Data!M12</f>
        <v/>
      </c>
      <c r="M12">
        <f>BreastCancer_Data!N12</f>
        <v/>
      </c>
      <c r="N12">
        <f>BreastCancer_Data!O12</f>
        <v/>
      </c>
      <c r="O12">
        <f>0</f>
        <v/>
      </c>
      <c r="P12">
        <f>--(AND(D12&lt;=113.15,E12&lt;=0.15,F12&lt;=15.77,G12&lt;=0.18,H12&lt;=33.27))*0</f>
        <v/>
      </c>
      <c r="Q12">
        <f>--(AND(D12&lt;=113.15,E12&lt;=0.15,F12&lt;=15.77,G12&lt;=0.18,H12&gt;33.27))*0</f>
        <v/>
      </c>
      <c r="R12">
        <f>--(AND(D12&lt;=113.15,E12&lt;=0.15,F12&lt;=15.77,G12&gt;0.18))*0</f>
        <v/>
      </c>
      <c r="S12">
        <f>--(AND(D12&lt;=113.15,E12&lt;=0.15,F12&gt;15.77,H12&lt;=28.86,G12&lt;=0.14))*0</f>
        <v/>
      </c>
      <c r="T12">
        <f>--(AND(D12&lt;=113.15,E12&lt;=0.15,F12&gt;15.77,H12&lt;=28.86,G12&gt;0.14))*1</f>
        <v/>
      </c>
      <c r="U12">
        <f>--(AND(D12&lt;=113.15,E12&lt;=0.15,F12&gt;15.77,H12&gt;28.86,M12&lt;=14.54))*1</f>
        <v/>
      </c>
      <c r="V12">
        <f>--(AND(D12&lt;=113.15,E12&lt;=0.15,F12&gt;15.77,H12&gt;28.86,M12&gt;14.54))*1</f>
        <v/>
      </c>
      <c r="W12">
        <f>--(AND(D12&lt;=113.15,E12&gt;0.15,H12&lt;=23.74))*0</f>
        <v/>
      </c>
      <c r="X12">
        <f>--(AND(D12&lt;=113.15,E12&gt;0.15,H12&gt;23.74,J12&lt;=0.1))*1</f>
        <v/>
      </c>
      <c r="Y12">
        <f>--(AND(D12&lt;=113.15,E12&gt;0.15,H12&gt;23.74,J12&gt;0.1))*1</f>
        <v/>
      </c>
      <c r="Z12">
        <f>--(AND(D12&gt;113.15,K12&lt;=0.22,L12&lt;=0.02))*1</f>
        <v/>
      </c>
      <c r="AA12">
        <f>--(AND(D12&gt;113.15,K12&lt;=0.22,L12&gt;0.02))*0</f>
        <v/>
      </c>
      <c r="AB12">
        <f>--(AND(D12&gt;113.15,K12&gt;0.22,N12&lt;=810.1))*0</f>
        <v/>
      </c>
      <c r="AC12">
        <f>--(AND(D12&gt;113.15,K12&gt;0.22,N12&gt;810.1,I12&lt;=14.95))*1</f>
        <v/>
      </c>
      <c r="AD12">
        <f>--(AND(D12&gt;113.15,K12&gt;0.22,N12&gt;810.1,I12&gt;14.95))*1</f>
        <v/>
      </c>
      <c r="AE12">
        <f>SUM(P12:AD12)</f>
        <v/>
      </c>
      <c r="AF12">
        <f>IF(AE12=1,"Malignant","Benign")</f>
        <v/>
      </c>
      <c r="AG12">
        <f>--(AE12=C12)</f>
        <v/>
      </c>
    </row>
    <row r="13">
      <c r="A13">
        <f>BreastCancer_Data!A13</f>
        <v/>
      </c>
      <c r="B13">
        <f>BreastCancer_Data!B13</f>
        <v/>
      </c>
      <c r="C13">
        <f>BreastCancer_Data!D13</f>
        <v/>
      </c>
      <c r="D13">
        <f>BreastCancer_Data!E13</f>
        <v/>
      </c>
      <c r="E13">
        <f>BreastCancer_Data!F13</f>
        <v/>
      </c>
      <c r="F13">
        <f>BreastCancer_Data!G13</f>
        <v/>
      </c>
      <c r="G13">
        <f>BreastCancer_Data!H13</f>
        <v/>
      </c>
      <c r="H13">
        <f>BreastCancer_Data!I13</f>
        <v/>
      </c>
      <c r="I13">
        <f>BreastCancer_Data!J13</f>
        <v/>
      </c>
      <c r="J13">
        <f>BreastCancer_Data!K13</f>
        <v/>
      </c>
      <c r="K13">
        <f>BreastCancer_Data!L13</f>
        <v/>
      </c>
      <c r="L13">
        <f>BreastCancer_Data!M13</f>
        <v/>
      </c>
      <c r="M13">
        <f>BreastCancer_Data!N13</f>
        <v/>
      </c>
      <c r="N13">
        <f>BreastCancer_Data!O13</f>
        <v/>
      </c>
      <c r="O13">
        <f>0</f>
        <v/>
      </c>
      <c r="P13">
        <f>--(AND(D13&lt;=113.15,E13&lt;=0.15,F13&lt;=15.77,G13&lt;=0.18,H13&lt;=33.27))*0</f>
        <v/>
      </c>
      <c r="Q13">
        <f>--(AND(D13&lt;=113.15,E13&lt;=0.15,F13&lt;=15.77,G13&lt;=0.18,H13&gt;33.27))*0</f>
        <v/>
      </c>
      <c r="R13">
        <f>--(AND(D13&lt;=113.15,E13&lt;=0.15,F13&lt;=15.77,G13&gt;0.18))*0</f>
        <v/>
      </c>
      <c r="S13">
        <f>--(AND(D13&lt;=113.15,E13&lt;=0.15,F13&gt;15.77,H13&lt;=28.86,G13&lt;=0.14))*0</f>
        <v/>
      </c>
      <c r="T13">
        <f>--(AND(D13&lt;=113.15,E13&lt;=0.15,F13&gt;15.77,H13&lt;=28.86,G13&gt;0.14))*1</f>
        <v/>
      </c>
      <c r="U13">
        <f>--(AND(D13&lt;=113.15,E13&lt;=0.15,F13&gt;15.77,H13&gt;28.86,M13&lt;=14.54))*1</f>
        <v/>
      </c>
      <c r="V13">
        <f>--(AND(D13&lt;=113.15,E13&lt;=0.15,F13&gt;15.77,H13&gt;28.86,M13&gt;14.54))*1</f>
        <v/>
      </c>
      <c r="W13">
        <f>--(AND(D13&lt;=113.15,E13&gt;0.15,H13&lt;=23.74))*0</f>
        <v/>
      </c>
      <c r="X13">
        <f>--(AND(D13&lt;=113.15,E13&gt;0.15,H13&gt;23.74,J13&lt;=0.1))*1</f>
        <v/>
      </c>
      <c r="Y13">
        <f>--(AND(D13&lt;=113.15,E13&gt;0.15,H13&gt;23.74,J13&gt;0.1))*1</f>
        <v/>
      </c>
      <c r="Z13">
        <f>--(AND(D13&gt;113.15,K13&lt;=0.22,L13&lt;=0.02))*1</f>
        <v/>
      </c>
      <c r="AA13">
        <f>--(AND(D13&gt;113.15,K13&lt;=0.22,L13&gt;0.02))*0</f>
        <v/>
      </c>
      <c r="AB13">
        <f>--(AND(D13&gt;113.15,K13&gt;0.22,N13&lt;=810.1))*0</f>
        <v/>
      </c>
      <c r="AC13">
        <f>--(AND(D13&gt;113.15,K13&gt;0.22,N13&gt;810.1,I13&lt;=14.95))*1</f>
        <v/>
      </c>
      <c r="AD13">
        <f>--(AND(D13&gt;113.15,K13&gt;0.22,N13&gt;810.1,I13&gt;14.95))*1</f>
        <v/>
      </c>
      <c r="AE13">
        <f>SUM(P13:AD13)</f>
        <v/>
      </c>
      <c r="AF13">
        <f>IF(AE13=1,"Malignant","Benign")</f>
        <v/>
      </c>
      <c r="AG13">
        <f>--(AE13=C13)</f>
        <v/>
      </c>
    </row>
    <row r="14">
      <c r="A14">
        <f>BreastCancer_Data!A14</f>
        <v/>
      </c>
      <c r="B14">
        <f>BreastCancer_Data!B14</f>
        <v/>
      </c>
      <c r="C14">
        <f>BreastCancer_Data!D14</f>
        <v/>
      </c>
      <c r="D14">
        <f>BreastCancer_Data!E14</f>
        <v/>
      </c>
      <c r="E14">
        <f>BreastCancer_Data!F14</f>
        <v/>
      </c>
      <c r="F14">
        <f>BreastCancer_Data!G14</f>
        <v/>
      </c>
      <c r="G14">
        <f>BreastCancer_Data!H14</f>
        <v/>
      </c>
      <c r="H14">
        <f>BreastCancer_Data!I14</f>
        <v/>
      </c>
      <c r="I14">
        <f>BreastCancer_Data!J14</f>
        <v/>
      </c>
      <c r="J14">
        <f>BreastCancer_Data!K14</f>
        <v/>
      </c>
      <c r="K14">
        <f>BreastCancer_Data!L14</f>
        <v/>
      </c>
      <c r="L14">
        <f>BreastCancer_Data!M14</f>
        <v/>
      </c>
      <c r="M14">
        <f>BreastCancer_Data!N14</f>
        <v/>
      </c>
      <c r="N14">
        <f>BreastCancer_Data!O14</f>
        <v/>
      </c>
      <c r="O14">
        <f>0</f>
        <v/>
      </c>
      <c r="P14">
        <f>--(AND(D14&lt;=113.15,E14&lt;=0.15,F14&lt;=15.77,G14&lt;=0.18,H14&lt;=33.27))*0</f>
        <v/>
      </c>
      <c r="Q14">
        <f>--(AND(D14&lt;=113.15,E14&lt;=0.15,F14&lt;=15.77,G14&lt;=0.18,H14&gt;33.27))*0</f>
        <v/>
      </c>
      <c r="R14">
        <f>--(AND(D14&lt;=113.15,E14&lt;=0.15,F14&lt;=15.77,G14&gt;0.18))*0</f>
        <v/>
      </c>
      <c r="S14">
        <f>--(AND(D14&lt;=113.15,E14&lt;=0.15,F14&gt;15.77,H14&lt;=28.86,G14&lt;=0.14))*0</f>
        <v/>
      </c>
      <c r="T14">
        <f>--(AND(D14&lt;=113.15,E14&lt;=0.15,F14&gt;15.77,H14&lt;=28.86,G14&gt;0.14))*1</f>
        <v/>
      </c>
      <c r="U14">
        <f>--(AND(D14&lt;=113.15,E14&lt;=0.15,F14&gt;15.77,H14&gt;28.86,M14&lt;=14.54))*1</f>
        <v/>
      </c>
      <c r="V14">
        <f>--(AND(D14&lt;=113.15,E14&lt;=0.15,F14&gt;15.77,H14&gt;28.86,M14&gt;14.54))*1</f>
        <v/>
      </c>
      <c r="W14">
        <f>--(AND(D14&lt;=113.15,E14&gt;0.15,H14&lt;=23.74))*0</f>
        <v/>
      </c>
      <c r="X14">
        <f>--(AND(D14&lt;=113.15,E14&gt;0.15,H14&gt;23.74,J14&lt;=0.1))*1</f>
        <v/>
      </c>
      <c r="Y14">
        <f>--(AND(D14&lt;=113.15,E14&gt;0.15,H14&gt;23.74,J14&gt;0.1))*1</f>
        <v/>
      </c>
      <c r="Z14">
        <f>--(AND(D14&gt;113.15,K14&lt;=0.22,L14&lt;=0.02))*1</f>
        <v/>
      </c>
      <c r="AA14">
        <f>--(AND(D14&gt;113.15,K14&lt;=0.22,L14&gt;0.02))*0</f>
        <v/>
      </c>
      <c r="AB14">
        <f>--(AND(D14&gt;113.15,K14&gt;0.22,N14&lt;=810.1))*0</f>
        <v/>
      </c>
      <c r="AC14">
        <f>--(AND(D14&gt;113.15,K14&gt;0.22,N14&gt;810.1,I14&lt;=14.95))*1</f>
        <v/>
      </c>
      <c r="AD14">
        <f>--(AND(D14&gt;113.15,K14&gt;0.22,N14&gt;810.1,I14&gt;14.95))*1</f>
        <v/>
      </c>
      <c r="AE14">
        <f>SUM(P14:AD14)</f>
        <v/>
      </c>
      <c r="AF14">
        <f>IF(AE14=1,"Malignant","Benign")</f>
        <v/>
      </c>
      <c r="AG14">
        <f>--(AE14=C14)</f>
        <v/>
      </c>
    </row>
    <row r="15">
      <c r="A15">
        <f>BreastCancer_Data!A15</f>
        <v/>
      </c>
      <c r="B15">
        <f>BreastCancer_Data!B15</f>
        <v/>
      </c>
      <c r="C15">
        <f>BreastCancer_Data!D15</f>
        <v/>
      </c>
      <c r="D15">
        <f>BreastCancer_Data!E15</f>
        <v/>
      </c>
      <c r="E15">
        <f>BreastCancer_Data!F15</f>
        <v/>
      </c>
      <c r="F15">
        <f>BreastCancer_Data!G15</f>
        <v/>
      </c>
      <c r="G15">
        <f>BreastCancer_Data!H15</f>
        <v/>
      </c>
      <c r="H15">
        <f>BreastCancer_Data!I15</f>
        <v/>
      </c>
      <c r="I15">
        <f>BreastCancer_Data!J15</f>
        <v/>
      </c>
      <c r="J15">
        <f>BreastCancer_Data!K15</f>
        <v/>
      </c>
      <c r="K15">
        <f>BreastCancer_Data!L15</f>
        <v/>
      </c>
      <c r="L15">
        <f>BreastCancer_Data!M15</f>
        <v/>
      </c>
      <c r="M15">
        <f>BreastCancer_Data!N15</f>
        <v/>
      </c>
      <c r="N15">
        <f>BreastCancer_Data!O15</f>
        <v/>
      </c>
      <c r="O15">
        <f>0</f>
        <v/>
      </c>
      <c r="P15">
        <f>--(AND(D15&lt;=113.15,E15&lt;=0.15,F15&lt;=15.77,G15&lt;=0.18,H15&lt;=33.27))*0</f>
        <v/>
      </c>
      <c r="Q15">
        <f>--(AND(D15&lt;=113.15,E15&lt;=0.15,F15&lt;=15.77,G15&lt;=0.18,H15&gt;33.27))*0</f>
        <v/>
      </c>
      <c r="R15">
        <f>--(AND(D15&lt;=113.15,E15&lt;=0.15,F15&lt;=15.77,G15&gt;0.18))*0</f>
        <v/>
      </c>
      <c r="S15">
        <f>--(AND(D15&lt;=113.15,E15&lt;=0.15,F15&gt;15.77,H15&lt;=28.86,G15&lt;=0.14))*0</f>
        <v/>
      </c>
      <c r="T15">
        <f>--(AND(D15&lt;=113.15,E15&lt;=0.15,F15&gt;15.77,H15&lt;=28.86,G15&gt;0.14))*1</f>
        <v/>
      </c>
      <c r="U15">
        <f>--(AND(D15&lt;=113.15,E15&lt;=0.15,F15&gt;15.77,H15&gt;28.86,M15&lt;=14.54))*1</f>
        <v/>
      </c>
      <c r="V15">
        <f>--(AND(D15&lt;=113.15,E15&lt;=0.15,F15&gt;15.77,H15&gt;28.86,M15&gt;14.54))*1</f>
        <v/>
      </c>
      <c r="W15">
        <f>--(AND(D15&lt;=113.15,E15&gt;0.15,H15&lt;=23.74))*0</f>
        <v/>
      </c>
      <c r="X15">
        <f>--(AND(D15&lt;=113.15,E15&gt;0.15,H15&gt;23.74,J15&lt;=0.1))*1</f>
        <v/>
      </c>
      <c r="Y15">
        <f>--(AND(D15&lt;=113.15,E15&gt;0.15,H15&gt;23.74,J15&gt;0.1))*1</f>
        <v/>
      </c>
      <c r="Z15">
        <f>--(AND(D15&gt;113.15,K15&lt;=0.22,L15&lt;=0.02))*1</f>
        <v/>
      </c>
      <c r="AA15">
        <f>--(AND(D15&gt;113.15,K15&lt;=0.22,L15&gt;0.02))*0</f>
        <v/>
      </c>
      <c r="AB15">
        <f>--(AND(D15&gt;113.15,K15&gt;0.22,N15&lt;=810.1))*0</f>
        <v/>
      </c>
      <c r="AC15">
        <f>--(AND(D15&gt;113.15,K15&gt;0.22,N15&gt;810.1,I15&lt;=14.95))*1</f>
        <v/>
      </c>
      <c r="AD15">
        <f>--(AND(D15&gt;113.15,K15&gt;0.22,N15&gt;810.1,I15&gt;14.95))*1</f>
        <v/>
      </c>
      <c r="AE15">
        <f>SUM(P15:AD15)</f>
        <v/>
      </c>
      <c r="AF15">
        <f>IF(AE15=1,"Malignant","Benign")</f>
        <v/>
      </c>
      <c r="AG15">
        <f>--(AE15=C15)</f>
        <v/>
      </c>
    </row>
    <row r="16">
      <c r="A16">
        <f>BreastCancer_Data!A16</f>
        <v/>
      </c>
      <c r="B16">
        <f>BreastCancer_Data!B16</f>
        <v/>
      </c>
      <c r="C16">
        <f>BreastCancer_Data!D16</f>
        <v/>
      </c>
      <c r="D16">
        <f>BreastCancer_Data!E16</f>
        <v/>
      </c>
      <c r="E16">
        <f>BreastCancer_Data!F16</f>
        <v/>
      </c>
      <c r="F16">
        <f>BreastCancer_Data!G16</f>
        <v/>
      </c>
      <c r="G16">
        <f>BreastCancer_Data!H16</f>
        <v/>
      </c>
      <c r="H16">
        <f>BreastCancer_Data!I16</f>
        <v/>
      </c>
      <c r="I16">
        <f>BreastCancer_Data!J16</f>
        <v/>
      </c>
      <c r="J16">
        <f>BreastCancer_Data!K16</f>
        <v/>
      </c>
      <c r="K16">
        <f>BreastCancer_Data!L16</f>
        <v/>
      </c>
      <c r="L16">
        <f>BreastCancer_Data!M16</f>
        <v/>
      </c>
      <c r="M16">
        <f>BreastCancer_Data!N16</f>
        <v/>
      </c>
      <c r="N16">
        <f>BreastCancer_Data!O16</f>
        <v/>
      </c>
      <c r="O16">
        <f>0</f>
        <v/>
      </c>
      <c r="P16">
        <f>--(AND(D16&lt;=113.15,E16&lt;=0.15,F16&lt;=15.77,G16&lt;=0.18,H16&lt;=33.27))*0</f>
        <v/>
      </c>
      <c r="Q16">
        <f>--(AND(D16&lt;=113.15,E16&lt;=0.15,F16&lt;=15.77,G16&lt;=0.18,H16&gt;33.27))*0</f>
        <v/>
      </c>
      <c r="R16">
        <f>--(AND(D16&lt;=113.15,E16&lt;=0.15,F16&lt;=15.77,G16&gt;0.18))*0</f>
        <v/>
      </c>
      <c r="S16">
        <f>--(AND(D16&lt;=113.15,E16&lt;=0.15,F16&gt;15.77,H16&lt;=28.86,G16&lt;=0.14))*0</f>
        <v/>
      </c>
      <c r="T16">
        <f>--(AND(D16&lt;=113.15,E16&lt;=0.15,F16&gt;15.77,H16&lt;=28.86,G16&gt;0.14))*1</f>
        <v/>
      </c>
      <c r="U16">
        <f>--(AND(D16&lt;=113.15,E16&lt;=0.15,F16&gt;15.77,H16&gt;28.86,M16&lt;=14.54))*1</f>
        <v/>
      </c>
      <c r="V16">
        <f>--(AND(D16&lt;=113.15,E16&lt;=0.15,F16&gt;15.77,H16&gt;28.86,M16&gt;14.54))*1</f>
        <v/>
      </c>
      <c r="W16">
        <f>--(AND(D16&lt;=113.15,E16&gt;0.15,H16&lt;=23.74))*0</f>
        <v/>
      </c>
      <c r="X16">
        <f>--(AND(D16&lt;=113.15,E16&gt;0.15,H16&gt;23.74,J16&lt;=0.1))*1</f>
        <v/>
      </c>
      <c r="Y16">
        <f>--(AND(D16&lt;=113.15,E16&gt;0.15,H16&gt;23.74,J16&gt;0.1))*1</f>
        <v/>
      </c>
      <c r="Z16">
        <f>--(AND(D16&gt;113.15,K16&lt;=0.22,L16&lt;=0.02))*1</f>
        <v/>
      </c>
      <c r="AA16">
        <f>--(AND(D16&gt;113.15,K16&lt;=0.22,L16&gt;0.02))*0</f>
        <v/>
      </c>
      <c r="AB16">
        <f>--(AND(D16&gt;113.15,K16&gt;0.22,N16&lt;=810.1))*0</f>
        <v/>
      </c>
      <c r="AC16">
        <f>--(AND(D16&gt;113.15,K16&gt;0.22,N16&gt;810.1,I16&lt;=14.95))*1</f>
        <v/>
      </c>
      <c r="AD16">
        <f>--(AND(D16&gt;113.15,K16&gt;0.22,N16&gt;810.1,I16&gt;14.95))*1</f>
        <v/>
      </c>
      <c r="AE16">
        <f>SUM(P16:AD16)</f>
        <v/>
      </c>
      <c r="AF16">
        <f>IF(AE16=1,"Malignant","Benign")</f>
        <v/>
      </c>
      <c r="AG16">
        <f>--(AE16=C16)</f>
        <v/>
      </c>
    </row>
    <row r="17">
      <c r="A17">
        <f>BreastCancer_Data!A17</f>
        <v/>
      </c>
      <c r="B17">
        <f>BreastCancer_Data!B17</f>
        <v/>
      </c>
      <c r="C17">
        <f>BreastCancer_Data!D17</f>
        <v/>
      </c>
      <c r="D17">
        <f>BreastCancer_Data!E17</f>
        <v/>
      </c>
      <c r="E17">
        <f>BreastCancer_Data!F17</f>
        <v/>
      </c>
      <c r="F17">
        <f>BreastCancer_Data!G17</f>
        <v/>
      </c>
      <c r="G17">
        <f>BreastCancer_Data!H17</f>
        <v/>
      </c>
      <c r="H17">
        <f>BreastCancer_Data!I17</f>
        <v/>
      </c>
      <c r="I17">
        <f>BreastCancer_Data!J17</f>
        <v/>
      </c>
      <c r="J17">
        <f>BreastCancer_Data!K17</f>
        <v/>
      </c>
      <c r="K17">
        <f>BreastCancer_Data!L17</f>
        <v/>
      </c>
      <c r="L17">
        <f>BreastCancer_Data!M17</f>
        <v/>
      </c>
      <c r="M17">
        <f>BreastCancer_Data!N17</f>
        <v/>
      </c>
      <c r="N17">
        <f>BreastCancer_Data!O17</f>
        <v/>
      </c>
      <c r="O17">
        <f>0</f>
        <v/>
      </c>
      <c r="P17">
        <f>--(AND(D17&lt;=113.15,E17&lt;=0.15,F17&lt;=15.77,G17&lt;=0.18,H17&lt;=33.27))*0</f>
        <v/>
      </c>
      <c r="Q17">
        <f>--(AND(D17&lt;=113.15,E17&lt;=0.15,F17&lt;=15.77,G17&lt;=0.18,H17&gt;33.27))*0</f>
        <v/>
      </c>
      <c r="R17">
        <f>--(AND(D17&lt;=113.15,E17&lt;=0.15,F17&lt;=15.77,G17&gt;0.18))*0</f>
        <v/>
      </c>
      <c r="S17">
        <f>--(AND(D17&lt;=113.15,E17&lt;=0.15,F17&gt;15.77,H17&lt;=28.86,G17&lt;=0.14))*0</f>
        <v/>
      </c>
      <c r="T17">
        <f>--(AND(D17&lt;=113.15,E17&lt;=0.15,F17&gt;15.77,H17&lt;=28.86,G17&gt;0.14))*1</f>
        <v/>
      </c>
      <c r="U17">
        <f>--(AND(D17&lt;=113.15,E17&lt;=0.15,F17&gt;15.77,H17&gt;28.86,M17&lt;=14.54))*1</f>
        <v/>
      </c>
      <c r="V17">
        <f>--(AND(D17&lt;=113.15,E17&lt;=0.15,F17&gt;15.77,H17&gt;28.86,M17&gt;14.54))*1</f>
        <v/>
      </c>
      <c r="W17">
        <f>--(AND(D17&lt;=113.15,E17&gt;0.15,H17&lt;=23.74))*0</f>
        <v/>
      </c>
      <c r="X17">
        <f>--(AND(D17&lt;=113.15,E17&gt;0.15,H17&gt;23.74,J17&lt;=0.1))*1</f>
        <v/>
      </c>
      <c r="Y17">
        <f>--(AND(D17&lt;=113.15,E17&gt;0.15,H17&gt;23.74,J17&gt;0.1))*1</f>
        <v/>
      </c>
      <c r="Z17">
        <f>--(AND(D17&gt;113.15,K17&lt;=0.22,L17&lt;=0.02))*1</f>
        <v/>
      </c>
      <c r="AA17">
        <f>--(AND(D17&gt;113.15,K17&lt;=0.22,L17&gt;0.02))*0</f>
        <v/>
      </c>
      <c r="AB17">
        <f>--(AND(D17&gt;113.15,K17&gt;0.22,N17&lt;=810.1))*0</f>
        <v/>
      </c>
      <c r="AC17">
        <f>--(AND(D17&gt;113.15,K17&gt;0.22,N17&gt;810.1,I17&lt;=14.95))*1</f>
        <v/>
      </c>
      <c r="AD17">
        <f>--(AND(D17&gt;113.15,K17&gt;0.22,N17&gt;810.1,I17&gt;14.95))*1</f>
        <v/>
      </c>
      <c r="AE17">
        <f>SUM(P17:AD17)</f>
        <v/>
      </c>
      <c r="AF17">
        <f>IF(AE17=1,"Malignant","Benign")</f>
        <v/>
      </c>
      <c r="AG17">
        <f>--(AE17=C17)</f>
        <v/>
      </c>
    </row>
    <row r="18">
      <c r="A18">
        <f>BreastCancer_Data!A18</f>
        <v/>
      </c>
      <c r="B18">
        <f>BreastCancer_Data!B18</f>
        <v/>
      </c>
      <c r="C18">
        <f>BreastCancer_Data!D18</f>
        <v/>
      </c>
      <c r="D18">
        <f>BreastCancer_Data!E18</f>
        <v/>
      </c>
      <c r="E18">
        <f>BreastCancer_Data!F18</f>
        <v/>
      </c>
      <c r="F18">
        <f>BreastCancer_Data!G18</f>
        <v/>
      </c>
      <c r="G18">
        <f>BreastCancer_Data!H18</f>
        <v/>
      </c>
      <c r="H18">
        <f>BreastCancer_Data!I18</f>
        <v/>
      </c>
      <c r="I18">
        <f>BreastCancer_Data!J18</f>
        <v/>
      </c>
      <c r="J18">
        <f>BreastCancer_Data!K18</f>
        <v/>
      </c>
      <c r="K18">
        <f>BreastCancer_Data!L18</f>
        <v/>
      </c>
      <c r="L18">
        <f>BreastCancer_Data!M18</f>
        <v/>
      </c>
      <c r="M18">
        <f>BreastCancer_Data!N18</f>
        <v/>
      </c>
      <c r="N18">
        <f>BreastCancer_Data!O18</f>
        <v/>
      </c>
      <c r="O18">
        <f>0</f>
        <v/>
      </c>
      <c r="P18">
        <f>--(AND(D18&lt;=113.15,E18&lt;=0.15,F18&lt;=15.77,G18&lt;=0.18,H18&lt;=33.27))*0</f>
        <v/>
      </c>
      <c r="Q18">
        <f>--(AND(D18&lt;=113.15,E18&lt;=0.15,F18&lt;=15.77,G18&lt;=0.18,H18&gt;33.27))*0</f>
        <v/>
      </c>
      <c r="R18">
        <f>--(AND(D18&lt;=113.15,E18&lt;=0.15,F18&lt;=15.77,G18&gt;0.18))*0</f>
        <v/>
      </c>
      <c r="S18">
        <f>--(AND(D18&lt;=113.15,E18&lt;=0.15,F18&gt;15.77,H18&lt;=28.86,G18&lt;=0.14))*0</f>
        <v/>
      </c>
      <c r="T18">
        <f>--(AND(D18&lt;=113.15,E18&lt;=0.15,F18&gt;15.77,H18&lt;=28.86,G18&gt;0.14))*1</f>
        <v/>
      </c>
      <c r="U18">
        <f>--(AND(D18&lt;=113.15,E18&lt;=0.15,F18&gt;15.77,H18&gt;28.86,M18&lt;=14.54))*1</f>
        <v/>
      </c>
      <c r="V18">
        <f>--(AND(D18&lt;=113.15,E18&lt;=0.15,F18&gt;15.77,H18&gt;28.86,M18&gt;14.54))*1</f>
        <v/>
      </c>
      <c r="W18">
        <f>--(AND(D18&lt;=113.15,E18&gt;0.15,H18&lt;=23.74))*0</f>
        <v/>
      </c>
      <c r="X18">
        <f>--(AND(D18&lt;=113.15,E18&gt;0.15,H18&gt;23.74,J18&lt;=0.1))*1</f>
        <v/>
      </c>
      <c r="Y18">
        <f>--(AND(D18&lt;=113.15,E18&gt;0.15,H18&gt;23.74,J18&gt;0.1))*1</f>
        <v/>
      </c>
      <c r="Z18">
        <f>--(AND(D18&gt;113.15,K18&lt;=0.22,L18&lt;=0.02))*1</f>
        <v/>
      </c>
      <c r="AA18">
        <f>--(AND(D18&gt;113.15,K18&lt;=0.22,L18&gt;0.02))*0</f>
        <v/>
      </c>
      <c r="AB18">
        <f>--(AND(D18&gt;113.15,K18&gt;0.22,N18&lt;=810.1))*0</f>
        <v/>
      </c>
      <c r="AC18">
        <f>--(AND(D18&gt;113.15,K18&gt;0.22,N18&gt;810.1,I18&lt;=14.95))*1</f>
        <v/>
      </c>
      <c r="AD18">
        <f>--(AND(D18&gt;113.15,K18&gt;0.22,N18&gt;810.1,I18&gt;14.95))*1</f>
        <v/>
      </c>
      <c r="AE18">
        <f>SUM(P18:AD18)</f>
        <v/>
      </c>
      <c r="AF18">
        <f>IF(AE18=1,"Malignant","Benign")</f>
        <v/>
      </c>
      <c r="AG18">
        <f>--(AE18=C18)</f>
        <v/>
      </c>
    </row>
    <row r="19">
      <c r="A19">
        <f>BreastCancer_Data!A19</f>
        <v/>
      </c>
      <c r="B19">
        <f>BreastCancer_Data!B19</f>
        <v/>
      </c>
      <c r="C19">
        <f>BreastCancer_Data!D19</f>
        <v/>
      </c>
      <c r="D19">
        <f>BreastCancer_Data!E19</f>
        <v/>
      </c>
      <c r="E19">
        <f>BreastCancer_Data!F19</f>
        <v/>
      </c>
      <c r="F19">
        <f>BreastCancer_Data!G19</f>
        <v/>
      </c>
      <c r="G19">
        <f>BreastCancer_Data!H19</f>
        <v/>
      </c>
      <c r="H19">
        <f>BreastCancer_Data!I19</f>
        <v/>
      </c>
      <c r="I19">
        <f>BreastCancer_Data!J19</f>
        <v/>
      </c>
      <c r="J19">
        <f>BreastCancer_Data!K19</f>
        <v/>
      </c>
      <c r="K19">
        <f>BreastCancer_Data!L19</f>
        <v/>
      </c>
      <c r="L19">
        <f>BreastCancer_Data!M19</f>
        <v/>
      </c>
      <c r="M19">
        <f>BreastCancer_Data!N19</f>
        <v/>
      </c>
      <c r="N19">
        <f>BreastCancer_Data!O19</f>
        <v/>
      </c>
      <c r="O19">
        <f>0</f>
        <v/>
      </c>
      <c r="P19">
        <f>--(AND(D19&lt;=113.15,E19&lt;=0.15,F19&lt;=15.77,G19&lt;=0.18,H19&lt;=33.27))*0</f>
        <v/>
      </c>
      <c r="Q19">
        <f>--(AND(D19&lt;=113.15,E19&lt;=0.15,F19&lt;=15.77,G19&lt;=0.18,H19&gt;33.27))*0</f>
        <v/>
      </c>
      <c r="R19">
        <f>--(AND(D19&lt;=113.15,E19&lt;=0.15,F19&lt;=15.77,G19&gt;0.18))*0</f>
        <v/>
      </c>
      <c r="S19">
        <f>--(AND(D19&lt;=113.15,E19&lt;=0.15,F19&gt;15.77,H19&lt;=28.86,G19&lt;=0.14))*0</f>
        <v/>
      </c>
      <c r="T19">
        <f>--(AND(D19&lt;=113.15,E19&lt;=0.15,F19&gt;15.77,H19&lt;=28.86,G19&gt;0.14))*1</f>
        <v/>
      </c>
      <c r="U19">
        <f>--(AND(D19&lt;=113.15,E19&lt;=0.15,F19&gt;15.77,H19&gt;28.86,M19&lt;=14.54))*1</f>
        <v/>
      </c>
      <c r="V19">
        <f>--(AND(D19&lt;=113.15,E19&lt;=0.15,F19&gt;15.77,H19&gt;28.86,M19&gt;14.54))*1</f>
        <v/>
      </c>
      <c r="W19">
        <f>--(AND(D19&lt;=113.15,E19&gt;0.15,H19&lt;=23.74))*0</f>
        <v/>
      </c>
      <c r="X19">
        <f>--(AND(D19&lt;=113.15,E19&gt;0.15,H19&gt;23.74,J19&lt;=0.1))*1</f>
        <v/>
      </c>
      <c r="Y19">
        <f>--(AND(D19&lt;=113.15,E19&gt;0.15,H19&gt;23.74,J19&gt;0.1))*1</f>
        <v/>
      </c>
      <c r="Z19">
        <f>--(AND(D19&gt;113.15,K19&lt;=0.22,L19&lt;=0.02))*1</f>
        <v/>
      </c>
      <c r="AA19">
        <f>--(AND(D19&gt;113.15,K19&lt;=0.22,L19&gt;0.02))*0</f>
        <v/>
      </c>
      <c r="AB19">
        <f>--(AND(D19&gt;113.15,K19&gt;0.22,N19&lt;=810.1))*0</f>
        <v/>
      </c>
      <c r="AC19">
        <f>--(AND(D19&gt;113.15,K19&gt;0.22,N19&gt;810.1,I19&lt;=14.95))*1</f>
        <v/>
      </c>
      <c r="AD19">
        <f>--(AND(D19&gt;113.15,K19&gt;0.22,N19&gt;810.1,I19&gt;14.95))*1</f>
        <v/>
      </c>
      <c r="AE19">
        <f>SUM(P19:AD19)</f>
        <v/>
      </c>
      <c r="AF19">
        <f>IF(AE19=1,"Malignant","Benign")</f>
        <v/>
      </c>
      <c r="AG19">
        <f>--(AE19=C19)</f>
        <v/>
      </c>
    </row>
    <row r="20">
      <c r="A20">
        <f>BreastCancer_Data!A20</f>
        <v/>
      </c>
      <c r="B20">
        <f>BreastCancer_Data!B20</f>
        <v/>
      </c>
      <c r="C20">
        <f>BreastCancer_Data!D20</f>
        <v/>
      </c>
      <c r="D20">
        <f>BreastCancer_Data!E20</f>
        <v/>
      </c>
      <c r="E20">
        <f>BreastCancer_Data!F20</f>
        <v/>
      </c>
      <c r="F20">
        <f>BreastCancer_Data!G20</f>
        <v/>
      </c>
      <c r="G20">
        <f>BreastCancer_Data!H20</f>
        <v/>
      </c>
      <c r="H20">
        <f>BreastCancer_Data!I20</f>
        <v/>
      </c>
      <c r="I20">
        <f>BreastCancer_Data!J20</f>
        <v/>
      </c>
      <c r="J20">
        <f>BreastCancer_Data!K20</f>
        <v/>
      </c>
      <c r="K20">
        <f>BreastCancer_Data!L20</f>
        <v/>
      </c>
      <c r="L20">
        <f>BreastCancer_Data!M20</f>
        <v/>
      </c>
      <c r="M20">
        <f>BreastCancer_Data!N20</f>
        <v/>
      </c>
      <c r="N20">
        <f>BreastCancer_Data!O20</f>
        <v/>
      </c>
      <c r="O20">
        <f>0</f>
        <v/>
      </c>
      <c r="P20">
        <f>--(AND(D20&lt;=113.15,E20&lt;=0.15,F20&lt;=15.77,G20&lt;=0.18,H20&lt;=33.27))*0</f>
        <v/>
      </c>
      <c r="Q20">
        <f>--(AND(D20&lt;=113.15,E20&lt;=0.15,F20&lt;=15.77,G20&lt;=0.18,H20&gt;33.27))*0</f>
        <v/>
      </c>
      <c r="R20">
        <f>--(AND(D20&lt;=113.15,E20&lt;=0.15,F20&lt;=15.77,G20&gt;0.18))*0</f>
        <v/>
      </c>
      <c r="S20">
        <f>--(AND(D20&lt;=113.15,E20&lt;=0.15,F20&gt;15.77,H20&lt;=28.86,G20&lt;=0.14))*0</f>
        <v/>
      </c>
      <c r="T20">
        <f>--(AND(D20&lt;=113.15,E20&lt;=0.15,F20&gt;15.77,H20&lt;=28.86,G20&gt;0.14))*1</f>
        <v/>
      </c>
      <c r="U20">
        <f>--(AND(D20&lt;=113.15,E20&lt;=0.15,F20&gt;15.77,H20&gt;28.86,M20&lt;=14.54))*1</f>
        <v/>
      </c>
      <c r="V20">
        <f>--(AND(D20&lt;=113.15,E20&lt;=0.15,F20&gt;15.77,H20&gt;28.86,M20&gt;14.54))*1</f>
        <v/>
      </c>
      <c r="W20">
        <f>--(AND(D20&lt;=113.15,E20&gt;0.15,H20&lt;=23.74))*0</f>
        <v/>
      </c>
      <c r="X20">
        <f>--(AND(D20&lt;=113.15,E20&gt;0.15,H20&gt;23.74,J20&lt;=0.1))*1</f>
        <v/>
      </c>
      <c r="Y20">
        <f>--(AND(D20&lt;=113.15,E20&gt;0.15,H20&gt;23.74,J20&gt;0.1))*1</f>
        <v/>
      </c>
      <c r="Z20">
        <f>--(AND(D20&gt;113.15,K20&lt;=0.22,L20&lt;=0.02))*1</f>
        <v/>
      </c>
      <c r="AA20">
        <f>--(AND(D20&gt;113.15,K20&lt;=0.22,L20&gt;0.02))*0</f>
        <v/>
      </c>
      <c r="AB20">
        <f>--(AND(D20&gt;113.15,K20&gt;0.22,N20&lt;=810.1))*0</f>
        <v/>
      </c>
      <c r="AC20">
        <f>--(AND(D20&gt;113.15,K20&gt;0.22,N20&gt;810.1,I20&lt;=14.95))*1</f>
        <v/>
      </c>
      <c r="AD20">
        <f>--(AND(D20&gt;113.15,K20&gt;0.22,N20&gt;810.1,I20&gt;14.95))*1</f>
        <v/>
      </c>
      <c r="AE20">
        <f>SUM(P20:AD20)</f>
        <v/>
      </c>
      <c r="AF20">
        <f>IF(AE20=1,"Malignant","Benign")</f>
        <v/>
      </c>
      <c r="AG20">
        <f>--(AE20=C20)</f>
        <v/>
      </c>
    </row>
    <row r="21">
      <c r="A21">
        <f>BreastCancer_Data!A21</f>
        <v/>
      </c>
      <c r="B21">
        <f>BreastCancer_Data!B21</f>
        <v/>
      </c>
      <c r="C21">
        <f>BreastCancer_Data!D21</f>
        <v/>
      </c>
      <c r="D21">
        <f>BreastCancer_Data!E21</f>
        <v/>
      </c>
      <c r="E21">
        <f>BreastCancer_Data!F21</f>
        <v/>
      </c>
      <c r="F21">
        <f>BreastCancer_Data!G21</f>
        <v/>
      </c>
      <c r="G21">
        <f>BreastCancer_Data!H21</f>
        <v/>
      </c>
      <c r="H21">
        <f>BreastCancer_Data!I21</f>
        <v/>
      </c>
      <c r="I21">
        <f>BreastCancer_Data!J21</f>
        <v/>
      </c>
      <c r="J21">
        <f>BreastCancer_Data!K21</f>
        <v/>
      </c>
      <c r="K21">
        <f>BreastCancer_Data!L21</f>
        <v/>
      </c>
      <c r="L21">
        <f>BreastCancer_Data!M21</f>
        <v/>
      </c>
      <c r="M21">
        <f>BreastCancer_Data!N21</f>
        <v/>
      </c>
      <c r="N21">
        <f>BreastCancer_Data!O21</f>
        <v/>
      </c>
      <c r="O21">
        <f>0</f>
        <v/>
      </c>
      <c r="P21">
        <f>--(AND(D21&lt;=113.15,E21&lt;=0.15,F21&lt;=15.77,G21&lt;=0.18,H21&lt;=33.27))*0</f>
        <v/>
      </c>
      <c r="Q21">
        <f>--(AND(D21&lt;=113.15,E21&lt;=0.15,F21&lt;=15.77,G21&lt;=0.18,H21&gt;33.27))*0</f>
        <v/>
      </c>
      <c r="R21">
        <f>--(AND(D21&lt;=113.15,E21&lt;=0.15,F21&lt;=15.77,G21&gt;0.18))*0</f>
        <v/>
      </c>
      <c r="S21">
        <f>--(AND(D21&lt;=113.15,E21&lt;=0.15,F21&gt;15.77,H21&lt;=28.86,G21&lt;=0.14))*0</f>
        <v/>
      </c>
      <c r="T21">
        <f>--(AND(D21&lt;=113.15,E21&lt;=0.15,F21&gt;15.77,H21&lt;=28.86,G21&gt;0.14))*1</f>
        <v/>
      </c>
      <c r="U21">
        <f>--(AND(D21&lt;=113.15,E21&lt;=0.15,F21&gt;15.77,H21&gt;28.86,M21&lt;=14.54))*1</f>
        <v/>
      </c>
      <c r="V21">
        <f>--(AND(D21&lt;=113.15,E21&lt;=0.15,F21&gt;15.77,H21&gt;28.86,M21&gt;14.54))*1</f>
        <v/>
      </c>
      <c r="W21">
        <f>--(AND(D21&lt;=113.15,E21&gt;0.15,H21&lt;=23.74))*0</f>
        <v/>
      </c>
      <c r="X21">
        <f>--(AND(D21&lt;=113.15,E21&gt;0.15,H21&gt;23.74,J21&lt;=0.1))*1</f>
        <v/>
      </c>
      <c r="Y21">
        <f>--(AND(D21&lt;=113.15,E21&gt;0.15,H21&gt;23.74,J21&gt;0.1))*1</f>
        <v/>
      </c>
      <c r="Z21">
        <f>--(AND(D21&gt;113.15,K21&lt;=0.22,L21&lt;=0.02))*1</f>
        <v/>
      </c>
      <c r="AA21">
        <f>--(AND(D21&gt;113.15,K21&lt;=0.22,L21&gt;0.02))*0</f>
        <v/>
      </c>
      <c r="AB21">
        <f>--(AND(D21&gt;113.15,K21&gt;0.22,N21&lt;=810.1))*0</f>
        <v/>
      </c>
      <c r="AC21">
        <f>--(AND(D21&gt;113.15,K21&gt;0.22,N21&gt;810.1,I21&lt;=14.95))*1</f>
        <v/>
      </c>
      <c r="AD21">
        <f>--(AND(D21&gt;113.15,K21&gt;0.22,N21&gt;810.1,I21&gt;14.95))*1</f>
        <v/>
      </c>
      <c r="AE21">
        <f>SUM(P21:AD21)</f>
        <v/>
      </c>
      <c r="AF21">
        <f>IF(AE21=1,"Malignant","Benign")</f>
        <v/>
      </c>
      <c r="AG21">
        <f>--(AE21=C21)</f>
        <v/>
      </c>
    </row>
    <row r="22">
      <c r="A22">
        <f>BreastCancer_Data!A22</f>
        <v/>
      </c>
      <c r="B22">
        <f>BreastCancer_Data!B22</f>
        <v/>
      </c>
      <c r="C22">
        <f>BreastCancer_Data!D22</f>
        <v/>
      </c>
      <c r="D22">
        <f>BreastCancer_Data!E22</f>
        <v/>
      </c>
      <c r="E22">
        <f>BreastCancer_Data!F22</f>
        <v/>
      </c>
      <c r="F22">
        <f>BreastCancer_Data!G22</f>
        <v/>
      </c>
      <c r="G22">
        <f>BreastCancer_Data!H22</f>
        <v/>
      </c>
      <c r="H22">
        <f>BreastCancer_Data!I22</f>
        <v/>
      </c>
      <c r="I22">
        <f>BreastCancer_Data!J22</f>
        <v/>
      </c>
      <c r="J22">
        <f>BreastCancer_Data!K22</f>
        <v/>
      </c>
      <c r="K22">
        <f>BreastCancer_Data!L22</f>
        <v/>
      </c>
      <c r="L22">
        <f>BreastCancer_Data!M22</f>
        <v/>
      </c>
      <c r="M22">
        <f>BreastCancer_Data!N22</f>
        <v/>
      </c>
      <c r="N22">
        <f>BreastCancer_Data!O22</f>
        <v/>
      </c>
      <c r="O22">
        <f>0</f>
        <v/>
      </c>
      <c r="P22">
        <f>--(AND(D22&lt;=113.15,E22&lt;=0.15,F22&lt;=15.77,G22&lt;=0.18,H22&lt;=33.27))*0</f>
        <v/>
      </c>
      <c r="Q22">
        <f>--(AND(D22&lt;=113.15,E22&lt;=0.15,F22&lt;=15.77,G22&lt;=0.18,H22&gt;33.27))*0</f>
        <v/>
      </c>
      <c r="R22">
        <f>--(AND(D22&lt;=113.15,E22&lt;=0.15,F22&lt;=15.77,G22&gt;0.18))*0</f>
        <v/>
      </c>
      <c r="S22">
        <f>--(AND(D22&lt;=113.15,E22&lt;=0.15,F22&gt;15.77,H22&lt;=28.86,G22&lt;=0.14))*0</f>
        <v/>
      </c>
      <c r="T22">
        <f>--(AND(D22&lt;=113.15,E22&lt;=0.15,F22&gt;15.77,H22&lt;=28.86,G22&gt;0.14))*1</f>
        <v/>
      </c>
      <c r="U22">
        <f>--(AND(D22&lt;=113.15,E22&lt;=0.15,F22&gt;15.77,H22&gt;28.86,M22&lt;=14.54))*1</f>
        <v/>
      </c>
      <c r="V22">
        <f>--(AND(D22&lt;=113.15,E22&lt;=0.15,F22&gt;15.77,H22&gt;28.86,M22&gt;14.54))*1</f>
        <v/>
      </c>
      <c r="W22">
        <f>--(AND(D22&lt;=113.15,E22&gt;0.15,H22&lt;=23.74))*0</f>
        <v/>
      </c>
      <c r="X22">
        <f>--(AND(D22&lt;=113.15,E22&gt;0.15,H22&gt;23.74,J22&lt;=0.1))*1</f>
        <v/>
      </c>
      <c r="Y22">
        <f>--(AND(D22&lt;=113.15,E22&gt;0.15,H22&gt;23.74,J22&gt;0.1))*1</f>
        <v/>
      </c>
      <c r="Z22">
        <f>--(AND(D22&gt;113.15,K22&lt;=0.22,L22&lt;=0.02))*1</f>
        <v/>
      </c>
      <c r="AA22">
        <f>--(AND(D22&gt;113.15,K22&lt;=0.22,L22&gt;0.02))*0</f>
        <v/>
      </c>
      <c r="AB22">
        <f>--(AND(D22&gt;113.15,K22&gt;0.22,N22&lt;=810.1))*0</f>
        <v/>
      </c>
      <c r="AC22">
        <f>--(AND(D22&gt;113.15,K22&gt;0.22,N22&gt;810.1,I22&lt;=14.95))*1</f>
        <v/>
      </c>
      <c r="AD22">
        <f>--(AND(D22&gt;113.15,K22&gt;0.22,N22&gt;810.1,I22&gt;14.95))*1</f>
        <v/>
      </c>
      <c r="AE22">
        <f>SUM(P22:AD22)</f>
        <v/>
      </c>
      <c r="AF22">
        <f>IF(AE22=1,"Malignant","Benign")</f>
        <v/>
      </c>
      <c r="AG22">
        <f>--(AE22=C22)</f>
        <v/>
      </c>
    </row>
    <row r="23">
      <c r="A23">
        <f>BreastCancer_Data!A23</f>
        <v/>
      </c>
      <c r="B23">
        <f>BreastCancer_Data!B23</f>
        <v/>
      </c>
      <c r="C23">
        <f>BreastCancer_Data!D23</f>
        <v/>
      </c>
      <c r="D23">
        <f>BreastCancer_Data!E23</f>
        <v/>
      </c>
      <c r="E23">
        <f>BreastCancer_Data!F23</f>
        <v/>
      </c>
      <c r="F23">
        <f>BreastCancer_Data!G23</f>
        <v/>
      </c>
      <c r="G23">
        <f>BreastCancer_Data!H23</f>
        <v/>
      </c>
      <c r="H23">
        <f>BreastCancer_Data!I23</f>
        <v/>
      </c>
      <c r="I23">
        <f>BreastCancer_Data!J23</f>
        <v/>
      </c>
      <c r="J23">
        <f>BreastCancer_Data!K23</f>
        <v/>
      </c>
      <c r="K23">
        <f>BreastCancer_Data!L23</f>
        <v/>
      </c>
      <c r="L23">
        <f>BreastCancer_Data!M23</f>
        <v/>
      </c>
      <c r="M23">
        <f>BreastCancer_Data!N23</f>
        <v/>
      </c>
      <c r="N23">
        <f>BreastCancer_Data!O23</f>
        <v/>
      </c>
      <c r="O23">
        <f>0</f>
        <v/>
      </c>
      <c r="P23">
        <f>--(AND(D23&lt;=113.15,E23&lt;=0.15,F23&lt;=15.77,G23&lt;=0.18,H23&lt;=33.27))*0</f>
        <v/>
      </c>
      <c r="Q23">
        <f>--(AND(D23&lt;=113.15,E23&lt;=0.15,F23&lt;=15.77,G23&lt;=0.18,H23&gt;33.27))*0</f>
        <v/>
      </c>
      <c r="R23">
        <f>--(AND(D23&lt;=113.15,E23&lt;=0.15,F23&lt;=15.77,G23&gt;0.18))*0</f>
        <v/>
      </c>
      <c r="S23">
        <f>--(AND(D23&lt;=113.15,E23&lt;=0.15,F23&gt;15.77,H23&lt;=28.86,G23&lt;=0.14))*0</f>
        <v/>
      </c>
      <c r="T23">
        <f>--(AND(D23&lt;=113.15,E23&lt;=0.15,F23&gt;15.77,H23&lt;=28.86,G23&gt;0.14))*1</f>
        <v/>
      </c>
      <c r="U23">
        <f>--(AND(D23&lt;=113.15,E23&lt;=0.15,F23&gt;15.77,H23&gt;28.86,M23&lt;=14.54))*1</f>
        <v/>
      </c>
      <c r="V23">
        <f>--(AND(D23&lt;=113.15,E23&lt;=0.15,F23&gt;15.77,H23&gt;28.86,M23&gt;14.54))*1</f>
        <v/>
      </c>
      <c r="W23">
        <f>--(AND(D23&lt;=113.15,E23&gt;0.15,H23&lt;=23.74))*0</f>
        <v/>
      </c>
      <c r="X23">
        <f>--(AND(D23&lt;=113.15,E23&gt;0.15,H23&gt;23.74,J23&lt;=0.1))*1</f>
        <v/>
      </c>
      <c r="Y23">
        <f>--(AND(D23&lt;=113.15,E23&gt;0.15,H23&gt;23.74,J23&gt;0.1))*1</f>
        <v/>
      </c>
      <c r="Z23">
        <f>--(AND(D23&gt;113.15,K23&lt;=0.22,L23&lt;=0.02))*1</f>
        <v/>
      </c>
      <c r="AA23">
        <f>--(AND(D23&gt;113.15,K23&lt;=0.22,L23&gt;0.02))*0</f>
        <v/>
      </c>
      <c r="AB23">
        <f>--(AND(D23&gt;113.15,K23&gt;0.22,N23&lt;=810.1))*0</f>
        <v/>
      </c>
      <c r="AC23">
        <f>--(AND(D23&gt;113.15,K23&gt;0.22,N23&gt;810.1,I23&lt;=14.95))*1</f>
        <v/>
      </c>
      <c r="AD23">
        <f>--(AND(D23&gt;113.15,K23&gt;0.22,N23&gt;810.1,I23&gt;14.95))*1</f>
        <v/>
      </c>
      <c r="AE23">
        <f>SUM(P23:AD23)</f>
        <v/>
      </c>
      <c r="AF23">
        <f>IF(AE23=1,"Malignant","Benign")</f>
        <v/>
      </c>
      <c r="AG23">
        <f>--(AE23=C23)</f>
        <v/>
      </c>
    </row>
    <row r="24">
      <c r="A24">
        <f>BreastCancer_Data!A24</f>
        <v/>
      </c>
      <c r="B24">
        <f>BreastCancer_Data!B24</f>
        <v/>
      </c>
      <c r="C24">
        <f>BreastCancer_Data!D24</f>
        <v/>
      </c>
      <c r="D24">
        <f>BreastCancer_Data!E24</f>
        <v/>
      </c>
      <c r="E24">
        <f>BreastCancer_Data!F24</f>
        <v/>
      </c>
      <c r="F24">
        <f>BreastCancer_Data!G24</f>
        <v/>
      </c>
      <c r="G24">
        <f>BreastCancer_Data!H24</f>
        <v/>
      </c>
      <c r="H24">
        <f>BreastCancer_Data!I24</f>
        <v/>
      </c>
      <c r="I24">
        <f>BreastCancer_Data!J24</f>
        <v/>
      </c>
      <c r="J24">
        <f>BreastCancer_Data!K24</f>
        <v/>
      </c>
      <c r="K24">
        <f>BreastCancer_Data!L24</f>
        <v/>
      </c>
      <c r="L24">
        <f>BreastCancer_Data!M24</f>
        <v/>
      </c>
      <c r="M24">
        <f>BreastCancer_Data!N24</f>
        <v/>
      </c>
      <c r="N24">
        <f>BreastCancer_Data!O24</f>
        <v/>
      </c>
      <c r="O24">
        <f>0</f>
        <v/>
      </c>
      <c r="P24">
        <f>--(AND(D24&lt;=113.15,E24&lt;=0.15,F24&lt;=15.77,G24&lt;=0.18,H24&lt;=33.27))*0</f>
        <v/>
      </c>
      <c r="Q24">
        <f>--(AND(D24&lt;=113.15,E24&lt;=0.15,F24&lt;=15.77,G24&lt;=0.18,H24&gt;33.27))*0</f>
        <v/>
      </c>
      <c r="R24">
        <f>--(AND(D24&lt;=113.15,E24&lt;=0.15,F24&lt;=15.77,G24&gt;0.18))*0</f>
        <v/>
      </c>
      <c r="S24">
        <f>--(AND(D24&lt;=113.15,E24&lt;=0.15,F24&gt;15.77,H24&lt;=28.86,G24&lt;=0.14))*0</f>
        <v/>
      </c>
      <c r="T24">
        <f>--(AND(D24&lt;=113.15,E24&lt;=0.15,F24&gt;15.77,H24&lt;=28.86,G24&gt;0.14))*1</f>
        <v/>
      </c>
      <c r="U24">
        <f>--(AND(D24&lt;=113.15,E24&lt;=0.15,F24&gt;15.77,H24&gt;28.86,M24&lt;=14.54))*1</f>
        <v/>
      </c>
      <c r="V24">
        <f>--(AND(D24&lt;=113.15,E24&lt;=0.15,F24&gt;15.77,H24&gt;28.86,M24&gt;14.54))*1</f>
        <v/>
      </c>
      <c r="W24">
        <f>--(AND(D24&lt;=113.15,E24&gt;0.15,H24&lt;=23.74))*0</f>
        <v/>
      </c>
      <c r="X24">
        <f>--(AND(D24&lt;=113.15,E24&gt;0.15,H24&gt;23.74,J24&lt;=0.1))*1</f>
        <v/>
      </c>
      <c r="Y24">
        <f>--(AND(D24&lt;=113.15,E24&gt;0.15,H24&gt;23.74,J24&gt;0.1))*1</f>
        <v/>
      </c>
      <c r="Z24">
        <f>--(AND(D24&gt;113.15,K24&lt;=0.22,L24&lt;=0.02))*1</f>
        <v/>
      </c>
      <c r="AA24">
        <f>--(AND(D24&gt;113.15,K24&lt;=0.22,L24&gt;0.02))*0</f>
        <v/>
      </c>
      <c r="AB24">
        <f>--(AND(D24&gt;113.15,K24&gt;0.22,N24&lt;=810.1))*0</f>
        <v/>
      </c>
      <c r="AC24">
        <f>--(AND(D24&gt;113.15,K24&gt;0.22,N24&gt;810.1,I24&lt;=14.95))*1</f>
        <v/>
      </c>
      <c r="AD24">
        <f>--(AND(D24&gt;113.15,K24&gt;0.22,N24&gt;810.1,I24&gt;14.95))*1</f>
        <v/>
      </c>
      <c r="AE24">
        <f>SUM(P24:AD24)</f>
        <v/>
      </c>
      <c r="AF24">
        <f>IF(AE24=1,"Malignant","Benign")</f>
        <v/>
      </c>
      <c r="AG24">
        <f>--(AE24=C24)</f>
        <v/>
      </c>
    </row>
    <row r="25">
      <c r="A25">
        <f>BreastCancer_Data!A25</f>
        <v/>
      </c>
      <c r="B25">
        <f>BreastCancer_Data!B25</f>
        <v/>
      </c>
      <c r="C25">
        <f>BreastCancer_Data!D25</f>
        <v/>
      </c>
      <c r="D25">
        <f>BreastCancer_Data!E25</f>
        <v/>
      </c>
      <c r="E25">
        <f>BreastCancer_Data!F25</f>
        <v/>
      </c>
      <c r="F25">
        <f>BreastCancer_Data!G25</f>
        <v/>
      </c>
      <c r="G25">
        <f>BreastCancer_Data!H25</f>
        <v/>
      </c>
      <c r="H25">
        <f>BreastCancer_Data!I25</f>
        <v/>
      </c>
      <c r="I25">
        <f>BreastCancer_Data!J25</f>
        <v/>
      </c>
      <c r="J25">
        <f>BreastCancer_Data!K25</f>
        <v/>
      </c>
      <c r="K25">
        <f>BreastCancer_Data!L25</f>
        <v/>
      </c>
      <c r="L25">
        <f>BreastCancer_Data!M25</f>
        <v/>
      </c>
      <c r="M25">
        <f>BreastCancer_Data!N25</f>
        <v/>
      </c>
      <c r="N25">
        <f>BreastCancer_Data!O25</f>
        <v/>
      </c>
      <c r="O25">
        <f>0</f>
        <v/>
      </c>
      <c r="P25">
        <f>--(AND(D25&lt;=113.15,E25&lt;=0.15,F25&lt;=15.77,G25&lt;=0.18,H25&lt;=33.27))*0</f>
        <v/>
      </c>
      <c r="Q25">
        <f>--(AND(D25&lt;=113.15,E25&lt;=0.15,F25&lt;=15.77,G25&lt;=0.18,H25&gt;33.27))*0</f>
        <v/>
      </c>
      <c r="R25">
        <f>--(AND(D25&lt;=113.15,E25&lt;=0.15,F25&lt;=15.77,G25&gt;0.18))*0</f>
        <v/>
      </c>
      <c r="S25">
        <f>--(AND(D25&lt;=113.15,E25&lt;=0.15,F25&gt;15.77,H25&lt;=28.86,G25&lt;=0.14))*0</f>
        <v/>
      </c>
      <c r="T25">
        <f>--(AND(D25&lt;=113.15,E25&lt;=0.15,F25&gt;15.77,H25&lt;=28.86,G25&gt;0.14))*1</f>
        <v/>
      </c>
      <c r="U25">
        <f>--(AND(D25&lt;=113.15,E25&lt;=0.15,F25&gt;15.77,H25&gt;28.86,M25&lt;=14.54))*1</f>
        <v/>
      </c>
      <c r="V25">
        <f>--(AND(D25&lt;=113.15,E25&lt;=0.15,F25&gt;15.77,H25&gt;28.86,M25&gt;14.54))*1</f>
        <v/>
      </c>
      <c r="W25">
        <f>--(AND(D25&lt;=113.15,E25&gt;0.15,H25&lt;=23.74))*0</f>
        <v/>
      </c>
      <c r="X25">
        <f>--(AND(D25&lt;=113.15,E25&gt;0.15,H25&gt;23.74,J25&lt;=0.1))*1</f>
        <v/>
      </c>
      <c r="Y25">
        <f>--(AND(D25&lt;=113.15,E25&gt;0.15,H25&gt;23.74,J25&gt;0.1))*1</f>
        <v/>
      </c>
      <c r="Z25">
        <f>--(AND(D25&gt;113.15,K25&lt;=0.22,L25&lt;=0.02))*1</f>
        <v/>
      </c>
      <c r="AA25">
        <f>--(AND(D25&gt;113.15,K25&lt;=0.22,L25&gt;0.02))*0</f>
        <v/>
      </c>
      <c r="AB25">
        <f>--(AND(D25&gt;113.15,K25&gt;0.22,N25&lt;=810.1))*0</f>
        <v/>
      </c>
      <c r="AC25">
        <f>--(AND(D25&gt;113.15,K25&gt;0.22,N25&gt;810.1,I25&lt;=14.95))*1</f>
        <v/>
      </c>
      <c r="AD25">
        <f>--(AND(D25&gt;113.15,K25&gt;0.22,N25&gt;810.1,I25&gt;14.95))*1</f>
        <v/>
      </c>
      <c r="AE25">
        <f>SUM(P25:AD25)</f>
        <v/>
      </c>
      <c r="AF25">
        <f>IF(AE25=1,"Malignant","Benign")</f>
        <v/>
      </c>
      <c r="AG25">
        <f>--(AE25=C25)</f>
        <v/>
      </c>
    </row>
    <row r="26">
      <c r="A26">
        <f>BreastCancer_Data!A26</f>
        <v/>
      </c>
      <c r="B26">
        <f>BreastCancer_Data!B26</f>
        <v/>
      </c>
      <c r="C26">
        <f>BreastCancer_Data!D26</f>
        <v/>
      </c>
      <c r="D26">
        <f>BreastCancer_Data!E26</f>
        <v/>
      </c>
      <c r="E26">
        <f>BreastCancer_Data!F26</f>
        <v/>
      </c>
      <c r="F26">
        <f>BreastCancer_Data!G26</f>
        <v/>
      </c>
      <c r="G26">
        <f>BreastCancer_Data!H26</f>
        <v/>
      </c>
      <c r="H26">
        <f>BreastCancer_Data!I26</f>
        <v/>
      </c>
      <c r="I26">
        <f>BreastCancer_Data!J26</f>
        <v/>
      </c>
      <c r="J26">
        <f>BreastCancer_Data!K26</f>
        <v/>
      </c>
      <c r="K26">
        <f>BreastCancer_Data!L26</f>
        <v/>
      </c>
      <c r="L26">
        <f>BreastCancer_Data!M26</f>
        <v/>
      </c>
      <c r="M26">
        <f>BreastCancer_Data!N26</f>
        <v/>
      </c>
      <c r="N26">
        <f>BreastCancer_Data!O26</f>
        <v/>
      </c>
      <c r="O26">
        <f>0</f>
        <v/>
      </c>
      <c r="P26">
        <f>--(AND(D26&lt;=113.15,E26&lt;=0.15,F26&lt;=15.77,G26&lt;=0.18,H26&lt;=33.27))*0</f>
        <v/>
      </c>
      <c r="Q26">
        <f>--(AND(D26&lt;=113.15,E26&lt;=0.15,F26&lt;=15.77,G26&lt;=0.18,H26&gt;33.27))*0</f>
        <v/>
      </c>
      <c r="R26">
        <f>--(AND(D26&lt;=113.15,E26&lt;=0.15,F26&lt;=15.77,G26&gt;0.18))*0</f>
        <v/>
      </c>
      <c r="S26">
        <f>--(AND(D26&lt;=113.15,E26&lt;=0.15,F26&gt;15.77,H26&lt;=28.86,G26&lt;=0.14))*0</f>
        <v/>
      </c>
      <c r="T26">
        <f>--(AND(D26&lt;=113.15,E26&lt;=0.15,F26&gt;15.77,H26&lt;=28.86,G26&gt;0.14))*1</f>
        <v/>
      </c>
      <c r="U26">
        <f>--(AND(D26&lt;=113.15,E26&lt;=0.15,F26&gt;15.77,H26&gt;28.86,M26&lt;=14.54))*1</f>
        <v/>
      </c>
      <c r="V26">
        <f>--(AND(D26&lt;=113.15,E26&lt;=0.15,F26&gt;15.77,H26&gt;28.86,M26&gt;14.54))*1</f>
        <v/>
      </c>
      <c r="W26">
        <f>--(AND(D26&lt;=113.15,E26&gt;0.15,H26&lt;=23.74))*0</f>
        <v/>
      </c>
      <c r="X26">
        <f>--(AND(D26&lt;=113.15,E26&gt;0.15,H26&gt;23.74,J26&lt;=0.1))*1</f>
        <v/>
      </c>
      <c r="Y26">
        <f>--(AND(D26&lt;=113.15,E26&gt;0.15,H26&gt;23.74,J26&gt;0.1))*1</f>
        <v/>
      </c>
      <c r="Z26">
        <f>--(AND(D26&gt;113.15,K26&lt;=0.22,L26&lt;=0.02))*1</f>
        <v/>
      </c>
      <c r="AA26">
        <f>--(AND(D26&gt;113.15,K26&lt;=0.22,L26&gt;0.02))*0</f>
        <v/>
      </c>
      <c r="AB26">
        <f>--(AND(D26&gt;113.15,K26&gt;0.22,N26&lt;=810.1))*0</f>
        <v/>
      </c>
      <c r="AC26">
        <f>--(AND(D26&gt;113.15,K26&gt;0.22,N26&gt;810.1,I26&lt;=14.95))*1</f>
        <v/>
      </c>
      <c r="AD26">
        <f>--(AND(D26&gt;113.15,K26&gt;0.22,N26&gt;810.1,I26&gt;14.95))*1</f>
        <v/>
      </c>
      <c r="AE26">
        <f>SUM(P26:AD26)</f>
        <v/>
      </c>
      <c r="AF26">
        <f>IF(AE26=1,"Malignant","Benign")</f>
        <v/>
      </c>
      <c r="AG26">
        <f>--(AE26=C26)</f>
        <v/>
      </c>
    </row>
    <row r="27">
      <c r="A27">
        <f>BreastCancer_Data!A27</f>
        <v/>
      </c>
      <c r="B27">
        <f>BreastCancer_Data!B27</f>
        <v/>
      </c>
      <c r="C27">
        <f>BreastCancer_Data!D27</f>
        <v/>
      </c>
      <c r="D27">
        <f>BreastCancer_Data!E27</f>
        <v/>
      </c>
      <c r="E27">
        <f>BreastCancer_Data!F27</f>
        <v/>
      </c>
      <c r="F27">
        <f>BreastCancer_Data!G27</f>
        <v/>
      </c>
      <c r="G27">
        <f>BreastCancer_Data!H27</f>
        <v/>
      </c>
      <c r="H27">
        <f>BreastCancer_Data!I27</f>
        <v/>
      </c>
      <c r="I27">
        <f>BreastCancer_Data!J27</f>
        <v/>
      </c>
      <c r="J27">
        <f>BreastCancer_Data!K27</f>
        <v/>
      </c>
      <c r="K27">
        <f>BreastCancer_Data!L27</f>
        <v/>
      </c>
      <c r="L27">
        <f>BreastCancer_Data!M27</f>
        <v/>
      </c>
      <c r="M27">
        <f>BreastCancer_Data!N27</f>
        <v/>
      </c>
      <c r="N27">
        <f>BreastCancer_Data!O27</f>
        <v/>
      </c>
      <c r="O27">
        <f>0</f>
        <v/>
      </c>
      <c r="P27">
        <f>--(AND(D27&lt;=113.15,E27&lt;=0.15,F27&lt;=15.77,G27&lt;=0.18,H27&lt;=33.27))*0</f>
        <v/>
      </c>
      <c r="Q27">
        <f>--(AND(D27&lt;=113.15,E27&lt;=0.15,F27&lt;=15.77,G27&lt;=0.18,H27&gt;33.27))*0</f>
        <v/>
      </c>
      <c r="R27">
        <f>--(AND(D27&lt;=113.15,E27&lt;=0.15,F27&lt;=15.77,G27&gt;0.18))*0</f>
        <v/>
      </c>
      <c r="S27">
        <f>--(AND(D27&lt;=113.15,E27&lt;=0.15,F27&gt;15.77,H27&lt;=28.86,G27&lt;=0.14))*0</f>
        <v/>
      </c>
      <c r="T27">
        <f>--(AND(D27&lt;=113.15,E27&lt;=0.15,F27&gt;15.77,H27&lt;=28.86,G27&gt;0.14))*1</f>
        <v/>
      </c>
      <c r="U27">
        <f>--(AND(D27&lt;=113.15,E27&lt;=0.15,F27&gt;15.77,H27&gt;28.86,M27&lt;=14.54))*1</f>
        <v/>
      </c>
      <c r="V27">
        <f>--(AND(D27&lt;=113.15,E27&lt;=0.15,F27&gt;15.77,H27&gt;28.86,M27&gt;14.54))*1</f>
        <v/>
      </c>
      <c r="W27">
        <f>--(AND(D27&lt;=113.15,E27&gt;0.15,H27&lt;=23.74))*0</f>
        <v/>
      </c>
      <c r="X27">
        <f>--(AND(D27&lt;=113.15,E27&gt;0.15,H27&gt;23.74,J27&lt;=0.1))*1</f>
        <v/>
      </c>
      <c r="Y27">
        <f>--(AND(D27&lt;=113.15,E27&gt;0.15,H27&gt;23.74,J27&gt;0.1))*1</f>
        <v/>
      </c>
      <c r="Z27">
        <f>--(AND(D27&gt;113.15,K27&lt;=0.22,L27&lt;=0.02))*1</f>
        <v/>
      </c>
      <c r="AA27">
        <f>--(AND(D27&gt;113.15,K27&lt;=0.22,L27&gt;0.02))*0</f>
        <v/>
      </c>
      <c r="AB27">
        <f>--(AND(D27&gt;113.15,K27&gt;0.22,N27&lt;=810.1))*0</f>
        <v/>
      </c>
      <c r="AC27">
        <f>--(AND(D27&gt;113.15,K27&gt;0.22,N27&gt;810.1,I27&lt;=14.95))*1</f>
        <v/>
      </c>
      <c r="AD27">
        <f>--(AND(D27&gt;113.15,K27&gt;0.22,N27&gt;810.1,I27&gt;14.95))*1</f>
        <v/>
      </c>
      <c r="AE27">
        <f>SUM(P27:AD27)</f>
        <v/>
      </c>
      <c r="AF27">
        <f>IF(AE27=1,"Malignant","Benign")</f>
        <v/>
      </c>
      <c r="AG27">
        <f>--(AE27=C27)</f>
        <v/>
      </c>
    </row>
    <row r="28">
      <c r="A28">
        <f>BreastCancer_Data!A28</f>
        <v/>
      </c>
      <c r="B28">
        <f>BreastCancer_Data!B28</f>
        <v/>
      </c>
      <c r="C28">
        <f>BreastCancer_Data!D28</f>
        <v/>
      </c>
      <c r="D28">
        <f>BreastCancer_Data!E28</f>
        <v/>
      </c>
      <c r="E28">
        <f>BreastCancer_Data!F28</f>
        <v/>
      </c>
      <c r="F28">
        <f>BreastCancer_Data!G28</f>
        <v/>
      </c>
      <c r="G28">
        <f>BreastCancer_Data!H28</f>
        <v/>
      </c>
      <c r="H28">
        <f>BreastCancer_Data!I28</f>
        <v/>
      </c>
      <c r="I28">
        <f>BreastCancer_Data!J28</f>
        <v/>
      </c>
      <c r="J28">
        <f>BreastCancer_Data!K28</f>
        <v/>
      </c>
      <c r="K28">
        <f>BreastCancer_Data!L28</f>
        <v/>
      </c>
      <c r="L28">
        <f>BreastCancer_Data!M28</f>
        <v/>
      </c>
      <c r="M28">
        <f>BreastCancer_Data!N28</f>
        <v/>
      </c>
      <c r="N28">
        <f>BreastCancer_Data!O28</f>
        <v/>
      </c>
      <c r="O28">
        <f>0</f>
        <v/>
      </c>
      <c r="P28">
        <f>--(AND(D28&lt;=113.15,E28&lt;=0.15,F28&lt;=15.77,G28&lt;=0.18,H28&lt;=33.27))*0</f>
        <v/>
      </c>
      <c r="Q28">
        <f>--(AND(D28&lt;=113.15,E28&lt;=0.15,F28&lt;=15.77,G28&lt;=0.18,H28&gt;33.27))*0</f>
        <v/>
      </c>
      <c r="R28">
        <f>--(AND(D28&lt;=113.15,E28&lt;=0.15,F28&lt;=15.77,G28&gt;0.18))*0</f>
        <v/>
      </c>
      <c r="S28">
        <f>--(AND(D28&lt;=113.15,E28&lt;=0.15,F28&gt;15.77,H28&lt;=28.86,G28&lt;=0.14))*0</f>
        <v/>
      </c>
      <c r="T28">
        <f>--(AND(D28&lt;=113.15,E28&lt;=0.15,F28&gt;15.77,H28&lt;=28.86,G28&gt;0.14))*1</f>
        <v/>
      </c>
      <c r="U28">
        <f>--(AND(D28&lt;=113.15,E28&lt;=0.15,F28&gt;15.77,H28&gt;28.86,M28&lt;=14.54))*1</f>
        <v/>
      </c>
      <c r="V28">
        <f>--(AND(D28&lt;=113.15,E28&lt;=0.15,F28&gt;15.77,H28&gt;28.86,M28&gt;14.54))*1</f>
        <v/>
      </c>
      <c r="W28">
        <f>--(AND(D28&lt;=113.15,E28&gt;0.15,H28&lt;=23.74))*0</f>
        <v/>
      </c>
      <c r="X28">
        <f>--(AND(D28&lt;=113.15,E28&gt;0.15,H28&gt;23.74,J28&lt;=0.1))*1</f>
        <v/>
      </c>
      <c r="Y28">
        <f>--(AND(D28&lt;=113.15,E28&gt;0.15,H28&gt;23.74,J28&gt;0.1))*1</f>
        <v/>
      </c>
      <c r="Z28">
        <f>--(AND(D28&gt;113.15,K28&lt;=0.22,L28&lt;=0.02))*1</f>
        <v/>
      </c>
      <c r="AA28">
        <f>--(AND(D28&gt;113.15,K28&lt;=0.22,L28&gt;0.02))*0</f>
        <v/>
      </c>
      <c r="AB28">
        <f>--(AND(D28&gt;113.15,K28&gt;0.22,N28&lt;=810.1))*0</f>
        <v/>
      </c>
      <c r="AC28">
        <f>--(AND(D28&gt;113.15,K28&gt;0.22,N28&gt;810.1,I28&lt;=14.95))*1</f>
        <v/>
      </c>
      <c r="AD28">
        <f>--(AND(D28&gt;113.15,K28&gt;0.22,N28&gt;810.1,I28&gt;14.95))*1</f>
        <v/>
      </c>
      <c r="AE28">
        <f>SUM(P28:AD28)</f>
        <v/>
      </c>
      <c r="AF28">
        <f>IF(AE28=1,"Malignant","Benign")</f>
        <v/>
      </c>
      <c r="AG28">
        <f>--(AE28=C28)</f>
        <v/>
      </c>
    </row>
    <row r="29">
      <c r="A29">
        <f>BreastCancer_Data!A29</f>
        <v/>
      </c>
      <c r="B29">
        <f>BreastCancer_Data!B29</f>
        <v/>
      </c>
      <c r="C29">
        <f>BreastCancer_Data!D29</f>
        <v/>
      </c>
      <c r="D29">
        <f>BreastCancer_Data!E29</f>
        <v/>
      </c>
      <c r="E29">
        <f>BreastCancer_Data!F29</f>
        <v/>
      </c>
      <c r="F29">
        <f>BreastCancer_Data!G29</f>
        <v/>
      </c>
      <c r="G29">
        <f>BreastCancer_Data!H29</f>
        <v/>
      </c>
      <c r="H29">
        <f>BreastCancer_Data!I29</f>
        <v/>
      </c>
      <c r="I29">
        <f>BreastCancer_Data!J29</f>
        <v/>
      </c>
      <c r="J29">
        <f>BreastCancer_Data!K29</f>
        <v/>
      </c>
      <c r="K29">
        <f>BreastCancer_Data!L29</f>
        <v/>
      </c>
      <c r="L29">
        <f>BreastCancer_Data!M29</f>
        <v/>
      </c>
      <c r="M29">
        <f>BreastCancer_Data!N29</f>
        <v/>
      </c>
      <c r="N29">
        <f>BreastCancer_Data!O29</f>
        <v/>
      </c>
      <c r="O29">
        <f>0</f>
        <v/>
      </c>
      <c r="P29">
        <f>--(AND(D29&lt;=113.15,E29&lt;=0.15,F29&lt;=15.77,G29&lt;=0.18,H29&lt;=33.27))*0</f>
        <v/>
      </c>
      <c r="Q29">
        <f>--(AND(D29&lt;=113.15,E29&lt;=0.15,F29&lt;=15.77,G29&lt;=0.18,H29&gt;33.27))*0</f>
        <v/>
      </c>
      <c r="R29">
        <f>--(AND(D29&lt;=113.15,E29&lt;=0.15,F29&lt;=15.77,G29&gt;0.18))*0</f>
        <v/>
      </c>
      <c r="S29">
        <f>--(AND(D29&lt;=113.15,E29&lt;=0.15,F29&gt;15.77,H29&lt;=28.86,G29&lt;=0.14))*0</f>
        <v/>
      </c>
      <c r="T29">
        <f>--(AND(D29&lt;=113.15,E29&lt;=0.15,F29&gt;15.77,H29&lt;=28.86,G29&gt;0.14))*1</f>
        <v/>
      </c>
      <c r="U29">
        <f>--(AND(D29&lt;=113.15,E29&lt;=0.15,F29&gt;15.77,H29&gt;28.86,M29&lt;=14.54))*1</f>
        <v/>
      </c>
      <c r="V29">
        <f>--(AND(D29&lt;=113.15,E29&lt;=0.15,F29&gt;15.77,H29&gt;28.86,M29&gt;14.54))*1</f>
        <v/>
      </c>
      <c r="W29">
        <f>--(AND(D29&lt;=113.15,E29&gt;0.15,H29&lt;=23.74))*0</f>
        <v/>
      </c>
      <c r="X29">
        <f>--(AND(D29&lt;=113.15,E29&gt;0.15,H29&gt;23.74,J29&lt;=0.1))*1</f>
        <v/>
      </c>
      <c r="Y29">
        <f>--(AND(D29&lt;=113.15,E29&gt;0.15,H29&gt;23.74,J29&gt;0.1))*1</f>
        <v/>
      </c>
      <c r="Z29">
        <f>--(AND(D29&gt;113.15,K29&lt;=0.22,L29&lt;=0.02))*1</f>
        <v/>
      </c>
      <c r="AA29">
        <f>--(AND(D29&gt;113.15,K29&lt;=0.22,L29&gt;0.02))*0</f>
        <v/>
      </c>
      <c r="AB29">
        <f>--(AND(D29&gt;113.15,K29&gt;0.22,N29&lt;=810.1))*0</f>
        <v/>
      </c>
      <c r="AC29">
        <f>--(AND(D29&gt;113.15,K29&gt;0.22,N29&gt;810.1,I29&lt;=14.95))*1</f>
        <v/>
      </c>
      <c r="AD29">
        <f>--(AND(D29&gt;113.15,K29&gt;0.22,N29&gt;810.1,I29&gt;14.95))*1</f>
        <v/>
      </c>
      <c r="AE29">
        <f>SUM(P29:AD29)</f>
        <v/>
      </c>
      <c r="AF29">
        <f>IF(AE29=1,"Malignant","Benign")</f>
        <v/>
      </c>
      <c r="AG29">
        <f>--(AE29=C29)</f>
        <v/>
      </c>
    </row>
    <row r="30">
      <c r="A30">
        <f>BreastCancer_Data!A30</f>
        <v/>
      </c>
      <c r="B30">
        <f>BreastCancer_Data!B30</f>
        <v/>
      </c>
      <c r="C30">
        <f>BreastCancer_Data!D30</f>
        <v/>
      </c>
      <c r="D30">
        <f>BreastCancer_Data!E30</f>
        <v/>
      </c>
      <c r="E30">
        <f>BreastCancer_Data!F30</f>
        <v/>
      </c>
      <c r="F30">
        <f>BreastCancer_Data!G30</f>
        <v/>
      </c>
      <c r="G30">
        <f>BreastCancer_Data!H30</f>
        <v/>
      </c>
      <c r="H30">
        <f>BreastCancer_Data!I30</f>
        <v/>
      </c>
      <c r="I30">
        <f>BreastCancer_Data!J30</f>
        <v/>
      </c>
      <c r="J30">
        <f>BreastCancer_Data!K30</f>
        <v/>
      </c>
      <c r="K30">
        <f>BreastCancer_Data!L30</f>
        <v/>
      </c>
      <c r="L30">
        <f>BreastCancer_Data!M30</f>
        <v/>
      </c>
      <c r="M30">
        <f>BreastCancer_Data!N30</f>
        <v/>
      </c>
      <c r="N30">
        <f>BreastCancer_Data!O30</f>
        <v/>
      </c>
      <c r="O30">
        <f>0</f>
        <v/>
      </c>
      <c r="P30">
        <f>--(AND(D30&lt;=113.15,E30&lt;=0.15,F30&lt;=15.77,G30&lt;=0.18,H30&lt;=33.27))*0</f>
        <v/>
      </c>
      <c r="Q30">
        <f>--(AND(D30&lt;=113.15,E30&lt;=0.15,F30&lt;=15.77,G30&lt;=0.18,H30&gt;33.27))*0</f>
        <v/>
      </c>
      <c r="R30">
        <f>--(AND(D30&lt;=113.15,E30&lt;=0.15,F30&lt;=15.77,G30&gt;0.18))*0</f>
        <v/>
      </c>
      <c r="S30">
        <f>--(AND(D30&lt;=113.15,E30&lt;=0.15,F30&gt;15.77,H30&lt;=28.86,G30&lt;=0.14))*0</f>
        <v/>
      </c>
      <c r="T30">
        <f>--(AND(D30&lt;=113.15,E30&lt;=0.15,F30&gt;15.77,H30&lt;=28.86,G30&gt;0.14))*1</f>
        <v/>
      </c>
      <c r="U30">
        <f>--(AND(D30&lt;=113.15,E30&lt;=0.15,F30&gt;15.77,H30&gt;28.86,M30&lt;=14.54))*1</f>
        <v/>
      </c>
      <c r="V30">
        <f>--(AND(D30&lt;=113.15,E30&lt;=0.15,F30&gt;15.77,H30&gt;28.86,M30&gt;14.54))*1</f>
        <v/>
      </c>
      <c r="W30">
        <f>--(AND(D30&lt;=113.15,E30&gt;0.15,H30&lt;=23.74))*0</f>
        <v/>
      </c>
      <c r="X30">
        <f>--(AND(D30&lt;=113.15,E30&gt;0.15,H30&gt;23.74,J30&lt;=0.1))*1</f>
        <v/>
      </c>
      <c r="Y30">
        <f>--(AND(D30&lt;=113.15,E30&gt;0.15,H30&gt;23.74,J30&gt;0.1))*1</f>
        <v/>
      </c>
      <c r="Z30">
        <f>--(AND(D30&gt;113.15,K30&lt;=0.22,L30&lt;=0.02))*1</f>
        <v/>
      </c>
      <c r="AA30">
        <f>--(AND(D30&gt;113.15,K30&lt;=0.22,L30&gt;0.02))*0</f>
        <v/>
      </c>
      <c r="AB30">
        <f>--(AND(D30&gt;113.15,K30&gt;0.22,N30&lt;=810.1))*0</f>
        <v/>
      </c>
      <c r="AC30">
        <f>--(AND(D30&gt;113.15,K30&gt;0.22,N30&gt;810.1,I30&lt;=14.95))*1</f>
        <v/>
      </c>
      <c r="AD30">
        <f>--(AND(D30&gt;113.15,K30&gt;0.22,N30&gt;810.1,I30&gt;14.95))*1</f>
        <v/>
      </c>
      <c r="AE30">
        <f>SUM(P30:AD30)</f>
        <v/>
      </c>
      <c r="AF30">
        <f>IF(AE30=1,"Malignant","Benign")</f>
        <v/>
      </c>
      <c r="AG30">
        <f>--(AE30=C30)</f>
        <v/>
      </c>
    </row>
    <row r="31">
      <c r="A31">
        <f>BreastCancer_Data!A31</f>
        <v/>
      </c>
      <c r="B31">
        <f>BreastCancer_Data!B31</f>
        <v/>
      </c>
      <c r="C31">
        <f>BreastCancer_Data!D31</f>
        <v/>
      </c>
      <c r="D31">
        <f>BreastCancer_Data!E31</f>
        <v/>
      </c>
      <c r="E31">
        <f>BreastCancer_Data!F31</f>
        <v/>
      </c>
      <c r="F31">
        <f>BreastCancer_Data!G31</f>
        <v/>
      </c>
      <c r="G31">
        <f>BreastCancer_Data!H31</f>
        <v/>
      </c>
      <c r="H31">
        <f>BreastCancer_Data!I31</f>
        <v/>
      </c>
      <c r="I31">
        <f>BreastCancer_Data!J31</f>
        <v/>
      </c>
      <c r="J31">
        <f>BreastCancer_Data!K31</f>
        <v/>
      </c>
      <c r="K31">
        <f>BreastCancer_Data!L31</f>
        <v/>
      </c>
      <c r="L31">
        <f>BreastCancer_Data!M31</f>
        <v/>
      </c>
      <c r="M31">
        <f>BreastCancer_Data!N31</f>
        <v/>
      </c>
      <c r="N31">
        <f>BreastCancer_Data!O31</f>
        <v/>
      </c>
      <c r="O31">
        <f>0</f>
        <v/>
      </c>
      <c r="P31">
        <f>--(AND(D31&lt;=113.15,E31&lt;=0.15,F31&lt;=15.77,G31&lt;=0.18,H31&lt;=33.27))*0</f>
        <v/>
      </c>
      <c r="Q31">
        <f>--(AND(D31&lt;=113.15,E31&lt;=0.15,F31&lt;=15.77,G31&lt;=0.18,H31&gt;33.27))*0</f>
        <v/>
      </c>
      <c r="R31">
        <f>--(AND(D31&lt;=113.15,E31&lt;=0.15,F31&lt;=15.77,G31&gt;0.18))*0</f>
        <v/>
      </c>
      <c r="S31">
        <f>--(AND(D31&lt;=113.15,E31&lt;=0.15,F31&gt;15.77,H31&lt;=28.86,G31&lt;=0.14))*0</f>
        <v/>
      </c>
      <c r="T31">
        <f>--(AND(D31&lt;=113.15,E31&lt;=0.15,F31&gt;15.77,H31&lt;=28.86,G31&gt;0.14))*1</f>
        <v/>
      </c>
      <c r="U31">
        <f>--(AND(D31&lt;=113.15,E31&lt;=0.15,F31&gt;15.77,H31&gt;28.86,M31&lt;=14.54))*1</f>
        <v/>
      </c>
      <c r="V31">
        <f>--(AND(D31&lt;=113.15,E31&lt;=0.15,F31&gt;15.77,H31&gt;28.86,M31&gt;14.54))*1</f>
        <v/>
      </c>
      <c r="W31">
        <f>--(AND(D31&lt;=113.15,E31&gt;0.15,H31&lt;=23.74))*0</f>
        <v/>
      </c>
      <c r="X31">
        <f>--(AND(D31&lt;=113.15,E31&gt;0.15,H31&gt;23.74,J31&lt;=0.1))*1</f>
        <v/>
      </c>
      <c r="Y31">
        <f>--(AND(D31&lt;=113.15,E31&gt;0.15,H31&gt;23.74,J31&gt;0.1))*1</f>
        <v/>
      </c>
      <c r="Z31">
        <f>--(AND(D31&gt;113.15,K31&lt;=0.22,L31&lt;=0.02))*1</f>
        <v/>
      </c>
      <c r="AA31">
        <f>--(AND(D31&gt;113.15,K31&lt;=0.22,L31&gt;0.02))*0</f>
        <v/>
      </c>
      <c r="AB31">
        <f>--(AND(D31&gt;113.15,K31&gt;0.22,N31&lt;=810.1))*0</f>
        <v/>
      </c>
      <c r="AC31">
        <f>--(AND(D31&gt;113.15,K31&gt;0.22,N31&gt;810.1,I31&lt;=14.95))*1</f>
        <v/>
      </c>
      <c r="AD31">
        <f>--(AND(D31&gt;113.15,K31&gt;0.22,N31&gt;810.1,I31&gt;14.95))*1</f>
        <v/>
      </c>
      <c r="AE31">
        <f>SUM(P31:AD31)</f>
        <v/>
      </c>
      <c r="AF31">
        <f>IF(AE31=1,"Malignant","Benign")</f>
        <v/>
      </c>
      <c r="AG31">
        <f>--(AE31=C31)</f>
        <v/>
      </c>
    </row>
    <row r="32">
      <c r="A32">
        <f>BreastCancer_Data!A32</f>
        <v/>
      </c>
      <c r="B32">
        <f>BreastCancer_Data!B32</f>
        <v/>
      </c>
      <c r="C32">
        <f>BreastCancer_Data!D32</f>
        <v/>
      </c>
      <c r="D32">
        <f>BreastCancer_Data!E32</f>
        <v/>
      </c>
      <c r="E32">
        <f>BreastCancer_Data!F32</f>
        <v/>
      </c>
      <c r="F32">
        <f>BreastCancer_Data!G32</f>
        <v/>
      </c>
      <c r="G32">
        <f>BreastCancer_Data!H32</f>
        <v/>
      </c>
      <c r="H32">
        <f>BreastCancer_Data!I32</f>
        <v/>
      </c>
      <c r="I32">
        <f>BreastCancer_Data!J32</f>
        <v/>
      </c>
      <c r="J32">
        <f>BreastCancer_Data!K32</f>
        <v/>
      </c>
      <c r="K32">
        <f>BreastCancer_Data!L32</f>
        <v/>
      </c>
      <c r="L32">
        <f>BreastCancer_Data!M32</f>
        <v/>
      </c>
      <c r="M32">
        <f>BreastCancer_Data!N32</f>
        <v/>
      </c>
      <c r="N32">
        <f>BreastCancer_Data!O32</f>
        <v/>
      </c>
      <c r="O32">
        <f>0</f>
        <v/>
      </c>
      <c r="P32">
        <f>--(AND(D32&lt;=113.15,E32&lt;=0.15,F32&lt;=15.77,G32&lt;=0.18,H32&lt;=33.27))*0</f>
        <v/>
      </c>
      <c r="Q32">
        <f>--(AND(D32&lt;=113.15,E32&lt;=0.15,F32&lt;=15.77,G32&lt;=0.18,H32&gt;33.27))*0</f>
        <v/>
      </c>
      <c r="R32">
        <f>--(AND(D32&lt;=113.15,E32&lt;=0.15,F32&lt;=15.77,G32&gt;0.18))*0</f>
        <v/>
      </c>
      <c r="S32">
        <f>--(AND(D32&lt;=113.15,E32&lt;=0.15,F32&gt;15.77,H32&lt;=28.86,G32&lt;=0.14))*0</f>
        <v/>
      </c>
      <c r="T32">
        <f>--(AND(D32&lt;=113.15,E32&lt;=0.15,F32&gt;15.77,H32&lt;=28.86,G32&gt;0.14))*1</f>
        <v/>
      </c>
      <c r="U32">
        <f>--(AND(D32&lt;=113.15,E32&lt;=0.15,F32&gt;15.77,H32&gt;28.86,M32&lt;=14.54))*1</f>
        <v/>
      </c>
      <c r="V32">
        <f>--(AND(D32&lt;=113.15,E32&lt;=0.15,F32&gt;15.77,H32&gt;28.86,M32&gt;14.54))*1</f>
        <v/>
      </c>
      <c r="W32">
        <f>--(AND(D32&lt;=113.15,E32&gt;0.15,H32&lt;=23.74))*0</f>
        <v/>
      </c>
      <c r="X32">
        <f>--(AND(D32&lt;=113.15,E32&gt;0.15,H32&gt;23.74,J32&lt;=0.1))*1</f>
        <v/>
      </c>
      <c r="Y32">
        <f>--(AND(D32&lt;=113.15,E32&gt;0.15,H32&gt;23.74,J32&gt;0.1))*1</f>
        <v/>
      </c>
      <c r="Z32">
        <f>--(AND(D32&gt;113.15,K32&lt;=0.22,L32&lt;=0.02))*1</f>
        <v/>
      </c>
      <c r="AA32">
        <f>--(AND(D32&gt;113.15,K32&lt;=0.22,L32&gt;0.02))*0</f>
        <v/>
      </c>
      <c r="AB32">
        <f>--(AND(D32&gt;113.15,K32&gt;0.22,N32&lt;=810.1))*0</f>
        <v/>
      </c>
      <c r="AC32">
        <f>--(AND(D32&gt;113.15,K32&gt;0.22,N32&gt;810.1,I32&lt;=14.95))*1</f>
        <v/>
      </c>
      <c r="AD32">
        <f>--(AND(D32&gt;113.15,K32&gt;0.22,N32&gt;810.1,I32&gt;14.95))*1</f>
        <v/>
      </c>
      <c r="AE32">
        <f>SUM(P32:AD32)</f>
        <v/>
      </c>
      <c r="AF32">
        <f>IF(AE32=1,"Malignant","Benign")</f>
        <v/>
      </c>
      <c r="AG32">
        <f>--(AE32=C32)</f>
        <v/>
      </c>
    </row>
    <row r="33">
      <c r="A33">
        <f>BreastCancer_Data!A33</f>
        <v/>
      </c>
      <c r="B33">
        <f>BreastCancer_Data!B33</f>
        <v/>
      </c>
      <c r="C33">
        <f>BreastCancer_Data!D33</f>
        <v/>
      </c>
      <c r="D33">
        <f>BreastCancer_Data!E33</f>
        <v/>
      </c>
      <c r="E33">
        <f>BreastCancer_Data!F33</f>
        <v/>
      </c>
      <c r="F33">
        <f>BreastCancer_Data!G33</f>
        <v/>
      </c>
      <c r="G33">
        <f>BreastCancer_Data!H33</f>
        <v/>
      </c>
      <c r="H33">
        <f>BreastCancer_Data!I33</f>
        <v/>
      </c>
      <c r="I33">
        <f>BreastCancer_Data!J33</f>
        <v/>
      </c>
      <c r="J33">
        <f>BreastCancer_Data!K33</f>
        <v/>
      </c>
      <c r="K33">
        <f>BreastCancer_Data!L33</f>
        <v/>
      </c>
      <c r="L33">
        <f>BreastCancer_Data!M33</f>
        <v/>
      </c>
      <c r="M33">
        <f>BreastCancer_Data!N33</f>
        <v/>
      </c>
      <c r="N33">
        <f>BreastCancer_Data!O33</f>
        <v/>
      </c>
      <c r="O33">
        <f>0</f>
        <v/>
      </c>
      <c r="P33">
        <f>--(AND(D33&lt;=113.15,E33&lt;=0.15,F33&lt;=15.77,G33&lt;=0.18,H33&lt;=33.27))*0</f>
        <v/>
      </c>
      <c r="Q33">
        <f>--(AND(D33&lt;=113.15,E33&lt;=0.15,F33&lt;=15.77,G33&lt;=0.18,H33&gt;33.27))*0</f>
        <v/>
      </c>
      <c r="R33">
        <f>--(AND(D33&lt;=113.15,E33&lt;=0.15,F33&lt;=15.77,G33&gt;0.18))*0</f>
        <v/>
      </c>
      <c r="S33">
        <f>--(AND(D33&lt;=113.15,E33&lt;=0.15,F33&gt;15.77,H33&lt;=28.86,G33&lt;=0.14))*0</f>
        <v/>
      </c>
      <c r="T33">
        <f>--(AND(D33&lt;=113.15,E33&lt;=0.15,F33&gt;15.77,H33&lt;=28.86,G33&gt;0.14))*1</f>
        <v/>
      </c>
      <c r="U33">
        <f>--(AND(D33&lt;=113.15,E33&lt;=0.15,F33&gt;15.77,H33&gt;28.86,M33&lt;=14.54))*1</f>
        <v/>
      </c>
      <c r="V33">
        <f>--(AND(D33&lt;=113.15,E33&lt;=0.15,F33&gt;15.77,H33&gt;28.86,M33&gt;14.54))*1</f>
        <v/>
      </c>
      <c r="W33">
        <f>--(AND(D33&lt;=113.15,E33&gt;0.15,H33&lt;=23.74))*0</f>
        <v/>
      </c>
      <c r="X33">
        <f>--(AND(D33&lt;=113.15,E33&gt;0.15,H33&gt;23.74,J33&lt;=0.1))*1</f>
        <v/>
      </c>
      <c r="Y33">
        <f>--(AND(D33&lt;=113.15,E33&gt;0.15,H33&gt;23.74,J33&gt;0.1))*1</f>
        <v/>
      </c>
      <c r="Z33">
        <f>--(AND(D33&gt;113.15,K33&lt;=0.22,L33&lt;=0.02))*1</f>
        <v/>
      </c>
      <c r="AA33">
        <f>--(AND(D33&gt;113.15,K33&lt;=0.22,L33&gt;0.02))*0</f>
        <v/>
      </c>
      <c r="AB33">
        <f>--(AND(D33&gt;113.15,K33&gt;0.22,N33&lt;=810.1))*0</f>
        <v/>
      </c>
      <c r="AC33">
        <f>--(AND(D33&gt;113.15,K33&gt;0.22,N33&gt;810.1,I33&lt;=14.95))*1</f>
        <v/>
      </c>
      <c r="AD33">
        <f>--(AND(D33&gt;113.15,K33&gt;0.22,N33&gt;810.1,I33&gt;14.95))*1</f>
        <v/>
      </c>
      <c r="AE33">
        <f>SUM(P33:AD33)</f>
        <v/>
      </c>
      <c r="AF33">
        <f>IF(AE33=1,"Malignant","Benign")</f>
        <v/>
      </c>
      <c r="AG33">
        <f>--(AE33=C33)</f>
        <v/>
      </c>
    </row>
    <row r="34">
      <c r="A34">
        <f>BreastCancer_Data!A34</f>
        <v/>
      </c>
      <c r="B34">
        <f>BreastCancer_Data!B34</f>
        <v/>
      </c>
      <c r="C34">
        <f>BreastCancer_Data!D34</f>
        <v/>
      </c>
      <c r="D34">
        <f>BreastCancer_Data!E34</f>
        <v/>
      </c>
      <c r="E34">
        <f>BreastCancer_Data!F34</f>
        <v/>
      </c>
      <c r="F34">
        <f>BreastCancer_Data!G34</f>
        <v/>
      </c>
      <c r="G34">
        <f>BreastCancer_Data!H34</f>
        <v/>
      </c>
      <c r="H34">
        <f>BreastCancer_Data!I34</f>
        <v/>
      </c>
      <c r="I34">
        <f>BreastCancer_Data!J34</f>
        <v/>
      </c>
      <c r="J34">
        <f>BreastCancer_Data!K34</f>
        <v/>
      </c>
      <c r="K34">
        <f>BreastCancer_Data!L34</f>
        <v/>
      </c>
      <c r="L34">
        <f>BreastCancer_Data!M34</f>
        <v/>
      </c>
      <c r="M34">
        <f>BreastCancer_Data!N34</f>
        <v/>
      </c>
      <c r="N34">
        <f>BreastCancer_Data!O34</f>
        <v/>
      </c>
      <c r="O34">
        <f>0</f>
        <v/>
      </c>
      <c r="P34">
        <f>--(AND(D34&lt;=113.15,E34&lt;=0.15,F34&lt;=15.77,G34&lt;=0.18,H34&lt;=33.27))*0</f>
        <v/>
      </c>
      <c r="Q34">
        <f>--(AND(D34&lt;=113.15,E34&lt;=0.15,F34&lt;=15.77,G34&lt;=0.18,H34&gt;33.27))*0</f>
        <v/>
      </c>
      <c r="R34">
        <f>--(AND(D34&lt;=113.15,E34&lt;=0.15,F34&lt;=15.77,G34&gt;0.18))*0</f>
        <v/>
      </c>
      <c r="S34">
        <f>--(AND(D34&lt;=113.15,E34&lt;=0.15,F34&gt;15.77,H34&lt;=28.86,G34&lt;=0.14))*0</f>
        <v/>
      </c>
      <c r="T34">
        <f>--(AND(D34&lt;=113.15,E34&lt;=0.15,F34&gt;15.77,H34&lt;=28.86,G34&gt;0.14))*1</f>
        <v/>
      </c>
      <c r="U34">
        <f>--(AND(D34&lt;=113.15,E34&lt;=0.15,F34&gt;15.77,H34&gt;28.86,M34&lt;=14.54))*1</f>
        <v/>
      </c>
      <c r="V34">
        <f>--(AND(D34&lt;=113.15,E34&lt;=0.15,F34&gt;15.77,H34&gt;28.86,M34&gt;14.54))*1</f>
        <v/>
      </c>
      <c r="W34">
        <f>--(AND(D34&lt;=113.15,E34&gt;0.15,H34&lt;=23.74))*0</f>
        <v/>
      </c>
      <c r="X34">
        <f>--(AND(D34&lt;=113.15,E34&gt;0.15,H34&gt;23.74,J34&lt;=0.1))*1</f>
        <v/>
      </c>
      <c r="Y34">
        <f>--(AND(D34&lt;=113.15,E34&gt;0.15,H34&gt;23.74,J34&gt;0.1))*1</f>
        <v/>
      </c>
      <c r="Z34">
        <f>--(AND(D34&gt;113.15,K34&lt;=0.22,L34&lt;=0.02))*1</f>
        <v/>
      </c>
      <c r="AA34">
        <f>--(AND(D34&gt;113.15,K34&lt;=0.22,L34&gt;0.02))*0</f>
        <v/>
      </c>
      <c r="AB34">
        <f>--(AND(D34&gt;113.15,K34&gt;0.22,N34&lt;=810.1))*0</f>
        <v/>
      </c>
      <c r="AC34">
        <f>--(AND(D34&gt;113.15,K34&gt;0.22,N34&gt;810.1,I34&lt;=14.95))*1</f>
        <v/>
      </c>
      <c r="AD34">
        <f>--(AND(D34&gt;113.15,K34&gt;0.22,N34&gt;810.1,I34&gt;14.95))*1</f>
        <v/>
      </c>
      <c r="AE34">
        <f>SUM(P34:AD34)</f>
        <v/>
      </c>
      <c r="AF34">
        <f>IF(AE34=1,"Malignant","Benign")</f>
        <v/>
      </c>
      <c r="AG34">
        <f>--(AE34=C34)</f>
        <v/>
      </c>
    </row>
    <row r="35">
      <c r="A35">
        <f>BreastCancer_Data!A35</f>
        <v/>
      </c>
      <c r="B35">
        <f>BreastCancer_Data!B35</f>
        <v/>
      </c>
      <c r="C35">
        <f>BreastCancer_Data!D35</f>
        <v/>
      </c>
      <c r="D35">
        <f>BreastCancer_Data!E35</f>
        <v/>
      </c>
      <c r="E35">
        <f>BreastCancer_Data!F35</f>
        <v/>
      </c>
      <c r="F35">
        <f>BreastCancer_Data!G35</f>
        <v/>
      </c>
      <c r="G35">
        <f>BreastCancer_Data!H35</f>
        <v/>
      </c>
      <c r="H35">
        <f>BreastCancer_Data!I35</f>
        <v/>
      </c>
      <c r="I35">
        <f>BreastCancer_Data!J35</f>
        <v/>
      </c>
      <c r="J35">
        <f>BreastCancer_Data!K35</f>
        <v/>
      </c>
      <c r="K35">
        <f>BreastCancer_Data!L35</f>
        <v/>
      </c>
      <c r="L35">
        <f>BreastCancer_Data!M35</f>
        <v/>
      </c>
      <c r="M35">
        <f>BreastCancer_Data!N35</f>
        <v/>
      </c>
      <c r="N35">
        <f>BreastCancer_Data!O35</f>
        <v/>
      </c>
      <c r="O35">
        <f>0</f>
        <v/>
      </c>
      <c r="P35">
        <f>--(AND(D35&lt;=113.15,E35&lt;=0.15,F35&lt;=15.77,G35&lt;=0.18,H35&lt;=33.27))*0</f>
        <v/>
      </c>
      <c r="Q35">
        <f>--(AND(D35&lt;=113.15,E35&lt;=0.15,F35&lt;=15.77,G35&lt;=0.18,H35&gt;33.27))*0</f>
        <v/>
      </c>
      <c r="R35">
        <f>--(AND(D35&lt;=113.15,E35&lt;=0.15,F35&lt;=15.77,G35&gt;0.18))*0</f>
        <v/>
      </c>
      <c r="S35">
        <f>--(AND(D35&lt;=113.15,E35&lt;=0.15,F35&gt;15.77,H35&lt;=28.86,G35&lt;=0.14))*0</f>
        <v/>
      </c>
      <c r="T35">
        <f>--(AND(D35&lt;=113.15,E35&lt;=0.15,F35&gt;15.77,H35&lt;=28.86,G35&gt;0.14))*1</f>
        <v/>
      </c>
      <c r="U35">
        <f>--(AND(D35&lt;=113.15,E35&lt;=0.15,F35&gt;15.77,H35&gt;28.86,M35&lt;=14.54))*1</f>
        <v/>
      </c>
      <c r="V35">
        <f>--(AND(D35&lt;=113.15,E35&lt;=0.15,F35&gt;15.77,H35&gt;28.86,M35&gt;14.54))*1</f>
        <v/>
      </c>
      <c r="W35">
        <f>--(AND(D35&lt;=113.15,E35&gt;0.15,H35&lt;=23.74))*0</f>
        <v/>
      </c>
      <c r="X35">
        <f>--(AND(D35&lt;=113.15,E35&gt;0.15,H35&gt;23.74,J35&lt;=0.1))*1</f>
        <v/>
      </c>
      <c r="Y35">
        <f>--(AND(D35&lt;=113.15,E35&gt;0.15,H35&gt;23.74,J35&gt;0.1))*1</f>
        <v/>
      </c>
      <c r="Z35">
        <f>--(AND(D35&gt;113.15,K35&lt;=0.22,L35&lt;=0.02))*1</f>
        <v/>
      </c>
      <c r="AA35">
        <f>--(AND(D35&gt;113.15,K35&lt;=0.22,L35&gt;0.02))*0</f>
        <v/>
      </c>
      <c r="AB35">
        <f>--(AND(D35&gt;113.15,K35&gt;0.22,N35&lt;=810.1))*0</f>
        <v/>
      </c>
      <c r="AC35">
        <f>--(AND(D35&gt;113.15,K35&gt;0.22,N35&gt;810.1,I35&lt;=14.95))*1</f>
        <v/>
      </c>
      <c r="AD35">
        <f>--(AND(D35&gt;113.15,K35&gt;0.22,N35&gt;810.1,I35&gt;14.95))*1</f>
        <v/>
      </c>
      <c r="AE35">
        <f>SUM(P35:AD35)</f>
        <v/>
      </c>
      <c r="AF35">
        <f>IF(AE35=1,"Malignant","Benign")</f>
        <v/>
      </c>
      <c r="AG35">
        <f>--(AE35=C35)</f>
        <v/>
      </c>
    </row>
    <row r="36">
      <c r="A36">
        <f>BreastCancer_Data!A36</f>
        <v/>
      </c>
      <c r="B36">
        <f>BreastCancer_Data!B36</f>
        <v/>
      </c>
      <c r="C36">
        <f>BreastCancer_Data!D36</f>
        <v/>
      </c>
      <c r="D36">
        <f>BreastCancer_Data!E36</f>
        <v/>
      </c>
      <c r="E36">
        <f>BreastCancer_Data!F36</f>
        <v/>
      </c>
      <c r="F36">
        <f>BreastCancer_Data!G36</f>
        <v/>
      </c>
      <c r="G36">
        <f>BreastCancer_Data!H36</f>
        <v/>
      </c>
      <c r="H36">
        <f>BreastCancer_Data!I36</f>
        <v/>
      </c>
      <c r="I36">
        <f>BreastCancer_Data!J36</f>
        <v/>
      </c>
      <c r="J36">
        <f>BreastCancer_Data!K36</f>
        <v/>
      </c>
      <c r="K36">
        <f>BreastCancer_Data!L36</f>
        <v/>
      </c>
      <c r="L36">
        <f>BreastCancer_Data!M36</f>
        <v/>
      </c>
      <c r="M36">
        <f>BreastCancer_Data!N36</f>
        <v/>
      </c>
      <c r="N36">
        <f>BreastCancer_Data!O36</f>
        <v/>
      </c>
      <c r="O36">
        <f>0</f>
        <v/>
      </c>
      <c r="P36">
        <f>--(AND(D36&lt;=113.15,E36&lt;=0.15,F36&lt;=15.77,G36&lt;=0.18,H36&lt;=33.27))*0</f>
        <v/>
      </c>
      <c r="Q36">
        <f>--(AND(D36&lt;=113.15,E36&lt;=0.15,F36&lt;=15.77,G36&lt;=0.18,H36&gt;33.27))*0</f>
        <v/>
      </c>
      <c r="R36">
        <f>--(AND(D36&lt;=113.15,E36&lt;=0.15,F36&lt;=15.77,G36&gt;0.18))*0</f>
        <v/>
      </c>
      <c r="S36">
        <f>--(AND(D36&lt;=113.15,E36&lt;=0.15,F36&gt;15.77,H36&lt;=28.86,G36&lt;=0.14))*0</f>
        <v/>
      </c>
      <c r="T36">
        <f>--(AND(D36&lt;=113.15,E36&lt;=0.15,F36&gt;15.77,H36&lt;=28.86,G36&gt;0.14))*1</f>
        <v/>
      </c>
      <c r="U36">
        <f>--(AND(D36&lt;=113.15,E36&lt;=0.15,F36&gt;15.77,H36&gt;28.86,M36&lt;=14.54))*1</f>
        <v/>
      </c>
      <c r="V36">
        <f>--(AND(D36&lt;=113.15,E36&lt;=0.15,F36&gt;15.77,H36&gt;28.86,M36&gt;14.54))*1</f>
        <v/>
      </c>
      <c r="W36">
        <f>--(AND(D36&lt;=113.15,E36&gt;0.15,H36&lt;=23.74))*0</f>
        <v/>
      </c>
      <c r="X36">
        <f>--(AND(D36&lt;=113.15,E36&gt;0.15,H36&gt;23.74,J36&lt;=0.1))*1</f>
        <v/>
      </c>
      <c r="Y36">
        <f>--(AND(D36&lt;=113.15,E36&gt;0.15,H36&gt;23.74,J36&gt;0.1))*1</f>
        <v/>
      </c>
      <c r="Z36">
        <f>--(AND(D36&gt;113.15,K36&lt;=0.22,L36&lt;=0.02))*1</f>
        <v/>
      </c>
      <c r="AA36">
        <f>--(AND(D36&gt;113.15,K36&lt;=0.22,L36&gt;0.02))*0</f>
        <v/>
      </c>
      <c r="AB36">
        <f>--(AND(D36&gt;113.15,K36&gt;0.22,N36&lt;=810.1))*0</f>
        <v/>
      </c>
      <c r="AC36">
        <f>--(AND(D36&gt;113.15,K36&gt;0.22,N36&gt;810.1,I36&lt;=14.95))*1</f>
        <v/>
      </c>
      <c r="AD36">
        <f>--(AND(D36&gt;113.15,K36&gt;0.22,N36&gt;810.1,I36&gt;14.95))*1</f>
        <v/>
      </c>
      <c r="AE36">
        <f>SUM(P36:AD36)</f>
        <v/>
      </c>
      <c r="AF36">
        <f>IF(AE36=1,"Malignant","Benign")</f>
        <v/>
      </c>
      <c r="AG36">
        <f>--(AE36=C36)</f>
        <v/>
      </c>
    </row>
    <row r="37">
      <c r="A37">
        <f>BreastCancer_Data!A37</f>
        <v/>
      </c>
      <c r="B37">
        <f>BreastCancer_Data!B37</f>
        <v/>
      </c>
      <c r="C37">
        <f>BreastCancer_Data!D37</f>
        <v/>
      </c>
      <c r="D37">
        <f>BreastCancer_Data!E37</f>
        <v/>
      </c>
      <c r="E37">
        <f>BreastCancer_Data!F37</f>
        <v/>
      </c>
      <c r="F37">
        <f>BreastCancer_Data!G37</f>
        <v/>
      </c>
      <c r="G37">
        <f>BreastCancer_Data!H37</f>
        <v/>
      </c>
      <c r="H37">
        <f>BreastCancer_Data!I37</f>
        <v/>
      </c>
      <c r="I37">
        <f>BreastCancer_Data!J37</f>
        <v/>
      </c>
      <c r="J37">
        <f>BreastCancer_Data!K37</f>
        <v/>
      </c>
      <c r="K37">
        <f>BreastCancer_Data!L37</f>
        <v/>
      </c>
      <c r="L37">
        <f>BreastCancer_Data!M37</f>
        <v/>
      </c>
      <c r="M37">
        <f>BreastCancer_Data!N37</f>
        <v/>
      </c>
      <c r="N37">
        <f>BreastCancer_Data!O37</f>
        <v/>
      </c>
      <c r="O37">
        <f>0</f>
        <v/>
      </c>
      <c r="P37">
        <f>--(AND(D37&lt;=113.15,E37&lt;=0.15,F37&lt;=15.77,G37&lt;=0.18,H37&lt;=33.27))*0</f>
        <v/>
      </c>
      <c r="Q37">
        <f>--(AND(D37&lt;=113.15,E37&lt;=0.15,F37&lt;=15.77,G37&lt;=0.18,H37&gt;33.27))*0</f>
        <v/>
      </c>
      <c r="R37">
        <f>--(AND(D37&lt;=113.15,E37&lt;=0.15,F37&lt;=15.77,G37&gt;0.18))*0</f>
        <v/>
      </c>
      <c r="S37">
        <f>--(AND(D37&lt;=113.15,E37&lt;=0.15,F37&gt;15.77,H37&lt;=28.86,G37&lt;=0.14))*0</f>
        <v/>
      </c>
      <c r="T37">
        <f>--(AND(D37&lt;=113.15,E37&lt;=0.15,F37&gt;15.77,H37&lt;=28.86,G37&gt;0.14))*1</f>
        <v/>
      </c>
      <c r="U37">
        <f>--(AND(D37&lt;=113.15,E37&lt;=0.15,F37&gt;15.77,H37&gt;28.86,M37&lt;=14.54))*1</f>
        <v/>
      </c>
      <c r="V37">
        <f>--(AND(D37&lt;=113.15,E37&lt;=0.15,F37&gt;15.77,H37&gt;28.86,M37&gt;14.54))*1</f>
        <v/>
      </c>
      <c r="W37">
        <f>--(AND(D37&lt;=113.15,E37&gt;0.15,H37&lt;=23.74))*0</f>
        <v/>
      </c>
      <c r="X37">
        <f>--(AND(D37&lt;=113.15,E37&gt;0.15,H37&gt;23.74,J37&lt;=0.1))*1</f>
        <v/>
      </c>
      <c r="Y37">
        <f>--(AND(D37&lt;=113.15,E37&gt;0.15,H37&gt;23.74,J37&gt;0.1))*1</f>
        <v/>
      </c>
      <c r="Z37">
        <f>--(AND(D37&gt;113.15,K37&lt;=0.22,L37&lt;=0.02))*1</f>
        <v/>
      </c>
      <c r="AA37">
        <f>--(AND(D37&gt;113.15,K37&lt;=0.22,L37&gt;0.02))*0</f>
        <v/>
      </c>
      <c r="AB37">
        <f>--(AND(D37&gt;113.15,K37&gt;0.22,N37&lt;=810.1))*0</f>
        <v/>
      </c>
      <c r="AC37">
        <f>--(AND(D37&gt;113.15,K37&gt;0.22,N37&gt;810.1,I37&lt;=14.95))*1</f>
        <v/>
      </c>
      <c r="AD37">
        <f>--(AND(D37&gt;113.15,K37&gt;0.22,N37&gt;810.1,I37&gt;14.95))*1</f>
        <v/>
      </c>
      <c r="AE37">
        <f>SUM(P37:AD37)</f>
        <v/>
      </c>
      <c r="AF37">
        <f>IF(AE37=1,"Malignant","Benign")</f>
        <v/>
      </c>
      <c r="AG37">
        <f>--(AE37=C37)</f>
        <v/>
      </c>
    </row>
    <row r="38">
      <c r="A38">
        <f>BreastCancer_Data!A38</f>
        <v/>
      </c>
      <c r="B38">
        <f>BreastCancer_Data!B38</f>
        <v/>
      </c>
      <c r="C38">
        <f>BreastCancer_Data!D38</f>
        <v/>
      </c>
      <c r="D38">
        <f>BreastCancer_Data!E38</f>
        <v/>
      </c>
      <c r="E38">
        <f>BreastCancer_Data!F38</f>
        <v/>
      </c>
      <c r="F38">
        <f>BreastCancer_Data!G38</f>
        <v/>
      </c>
      <c r="G38">
        <f>BreastCancer_Data!H38</f>
        <v/>
      </c>
      <c r="H38">
        <f>BreastCancer_Data!I38</f>
        <v/>
      </c>
      <c r="I38">
        <f>BreastCancer_Data!J38</f>
        <v/>
      </c>
      <c r="J38">
        <f>BreastCancer_Data!K38</f>
        <v/>
      </c>
      <c r="K38">
        <f>BreastCancer_Data!L38</f>
        <v/>
      </c>
      <c r="L38">
        <f>BreastCancer_Data!M38</f>
        <v/>
      </c>
      <c r="M38">
        <f>BreastCancer_Data!N38</f>
        <v/>
      </c>
      <c r="N38">
        <f>BreastCancer_Data!O38</f>
        <v/>
      </c>
      <c r="O38">
        <f>0</f>
        <v/>
      </c>
      <c r="P38">
        <f>--(AND(D38&lt;=113.15,E38&lt;=0.15,F38&lt;=15.77,G38&lt;=0.18,H38&lt;=33.27))*0</f>
        <v/>
      </c>
      <c r="Q38">
        <f>--(AND(D38&lt;=113.15,E38&lt;=0.15,F38&lt;=15.77,G38&lt;=0.18,H38&gt;33.27))*0</f>
        <v/>
      </c>
      <c r="R38">
        <f>--(AND(D38&lt;=113.15,E38&lt;=0.15,F38&lt;=15.77,G38&gt;0.18))*0</f>
        <v/>
      </c>
      <c r="S38">
        <f>--(AND(D38&lt;=113.15,E38&lt;=0.15,F38&gt;15.77,H38&lt;=28.86,G38&lt;=0.14))*0</f>
        <v/>
      </c>
      <c r="T38">
        <f>--(AND(D38&lt;=113.15,E38&lt;=0.15,F38&gt;15.77,H38&lt;=28.86,G38&gt;0.14))*1</f>
        <v/>
      </c>
      <c r="U38">
        <f>--(AND(D38&lt;=113.15,E38&lt;=0.15,F38&gt;15.77,H38&gt;28.86,M38&lt;=14.54))*1</f>
        <v/>
      </c>
      <c r="V38">
        <f>--(AND(D38&lt;=113.15,E38&lt;=0.15,F38&gt;15.77,H38&gt;28.86,M38&gt;14.54))*1</f>
        <v/>
      </c>
      <c r="W38">
        <f>--(AND(D38&lt;=113.15,E38&gt;0.15,H38&lt;=23.74))*0</f>
        <v/>
      </c>
      <c r="X38">
        <f>--(AND(D38&lt;=113.15,E38&gt;0.15,H38&gt;23.74,J38&lt;=0.1))*1</f>
        <v/>
      </c>
      <c r="Y38">
        <f>--(AND(D38&lt;=113.15,E38&gt;0.15,H38&gt;23.74,J38&gt;0.1))*1</f>
        <v/>
      </c>
      <c r="Z38">
        <f>--(AND(D38&gt;113.15,K38&lt;=0.22,L38&lt;=0.02))*1</f>
        <v/>
      </c>
      <c r="AA38">
        <f>--(AND(D38&gt;113.15,K38&lt;=0.22,L38&gt;0.02))*0</f>
        <v/>
      </c>
      <c r="AB38">
        <f>--(AND(D38&gt;113.15,K38&gt;0.22,N38&lt;=810.1))*0</f>
        <v/>
      </c>
      <c r="AC38">
        <f>--(AND(D38&gt;113.15,K38&gt;0.22,N38&gt;810.1,I38&lt;=14.95))*1</f>
        <v/>
      </c>
      <c r="AD38">
        <f>--(AND(D38&gt;113.15,K38&gt;0.22,N38&gt;810.1,I38&gt;14.95))*1</f>
        <v/>
      </c>
      <c r="AE38">
        <f>SUM(P38:AD38)</f>
        <v/>
      </c>
      <c r="AF38">
        <f>IF(AE38=1,"Malignant","Benign")</f>
        <v/>
      </c>
      <c r="AG38">
        <f>--(AE38=C38)</f>
        <v/>
      </c>
    </row>
    <row r="39">
      <c r="A39">
        <f>BreastCancer_Data!A39</f>
        <v/>
      </c>
      <c r="B39">
        <f>BreastCancer_Data!B39</f>
        <v/>
      </c>
      <c r="C39">
        <f>BreastCancer_Data!D39</f>
        <v/>
      </c>
      <c r="D39">
        <f>BreastCancer_Data!E39</f>
        <v/>
      </c>
      <c r="E39">
        <f>BreastCancer_Data!F39</f>
        <v/>
      </c>
      <c r="F39">
        <f>BreastCancer_Data!G39</f>
        <v/>
      </c>
      <c r="G39">
        <f>BreastCancer_Data!H39</f>
        <v/>
      </c>
      <c r="H39">
        <f>BreastCancer_Data!I39</f>
        <v/>
      </c>
      <c r="I39">
        <f>BreastCancer_Data!J39</f>
        <v/>
      </c>
      <c r="J39">
        <f>BreastCancer_Data!K39</f>
        <v/>
      </c>
      <c r="K39">
        <f>BreastCancer_Data!L39</f>
        <v/>
      </c>
      <c r="L39">
        <f>BreastCancer_Data!M39</f>
        <v/>
      </c>
      <c r="M39">
        <f>BreastCancer_Data!N39</f>
        <v/>
      </c>
      <c r="N39">
        <f>BreastCancer_Data!O39</f>
        <v/>
      </c>
      <c r="O39">
        <f>0</f>
        <v/>
      </c>
      <c r="P39">
        <f>--(AND(D39&lt;=113.15,E39&lt;=0.15,F39&lt;=15.77,G39&lt;=0.18,H39&lt;=33.27))*0</f>
        <v/>
      </c>
      <c r="Q39">
        <f>--(AND(D39&lt;=113.15,E39&lt;=0.15,F39&lt;=15.77,G39&lt;=0.18,H39&gt;33.27))*0</f>
        <v/>
      </c>
      <c r="R39">
        <f>--(AND(D39&lt;=113.15,E39&lt;=0.15,F39&lt;=15.77,G39&gt;0.18))*0</f>
        <v/>
      </c>
      <c r="S39">
        <f>--(AND(D39&lt;=113.15,E39&lt;=0.15,F39&gt;15.77,H39&lt;=28.86,G39&lt;=0.14))*0</f>
        <v/>
      </c>
      <c r="T39">
        <f>--(AND(D39&lt;=113.15,E39&lt;=0.15,F39&gt;15.77,H39&lt;=28.86,G39&gt;0.14))*1</f>
        <v/>
      </c>
      <c r="U39">
        <f>--(AND(D39&lt;=113.15,E39&lt;=0.15,F39&gt;15.77,H39&gt;28.86,M39&lt;=14.54))*1</f>
        <v/>
      </c>
      <c r="V39">
        <f>--(AND(D39&lt;=113.15,E39&lt;=0.15,F39&gt;15.77,H39&gt;28.86,M39&gt;14.54))*1</f>
        <v/>
      </c>
      <c r="W39">
        <f>--(AND(D39&lt;=113.15,E39&gt;0.15,H39&lt;=23.74))*0</f>
        <v/>
      </c>
      <c r="X39">
        <f>--(AND(D39&lt;=113.15,E39&gt;0.15,H39&gt;23.74,J39&lt;=0.1))*1</f>
        <v/>
      </c>
      <c r="Y39">
        <f>--(AND(D39&lt;=113.15,E39&gt;0.15,H39&gt;23.74,J39&gt;0.1))*1</f>
        <v/>
      </c>
      <c r="Z39">
        <f>--(AND(D39&gt;113.15,K39&lt;=0.22,L39&lt;=0.02))*1</f>
        <v/>
      </c>
      <c r="AA39">
        <f>--(AND(D39&gt;113.15,K39&lt;=0.22,L39&gt;0.02))*0</f>
        <v/>
      </c>
      <c r="AB39">
        <f>--(AND(D39&gt;113.15,K39&gt;0.22,N39&lt;=810.1))*0</f>
        <v/>
      </c>
      <c r="AC39">
        <f>--(AND(D39&gt;113.15,K39&gt;0.22,N39&gt;810.1,I39&lt;=14.95))*1</f>
        <v/>
      </c>
      <c r="AD39">
        <f>--(AND(D39&gt;113.15,K39&gt;0.22,N39&gt;810.1,I39&gt;14.95))*1</f>
        <v/>
      </c>
      <c r="AE39">
        <f>SUM(P39:AD39)</f>
        <v/>
      </c>
      <c r="AF39">
        <f>IF(AE39=1,"Malignant","Benign")</f>
        <v/>
      </c>
      <c r="AG39">
        <f>--(AE39=C39)</f>
        <v/>
      </c>
    </row>
    <row r="40">
      <c r="A40">
        <f>BreastCancer_Data!A40</f>
        <v/>
      </c>
      <c r="B40">
        <f>BreastCancer_Data!B40</f>
        <v/>
      </c>
      <c r="C40">
        <f>BreastCancer_Data!D40</f>
        <v/>
      </c>
      <c r="D40">
        <f>BreastCancer_Data!E40</f>
        <v/>
      </c>
      <c r="E40">
        <f>BreastCancer_Data!F40</f>
        <v/>
      </c>
      <c r="F40">
        <f>BreastCancer_Data!G40</f>
        <v/>
      </c>
      <c r="G40">
        <f>BreastCancer_Data!H40</f>
        <v/>
      </c>
      <c r="H40">
        <f>BreastCancer_Data!I40</f>
        <v/>
      </c>
      <c r="I40">
        <f>BreastCancer_Data!J40</f>
        <v/>
      </c>
      <c r="J40">
        <f>BreastCancer_Data!K40</f>
        <v/>
      </c>
      <c r="K40">
        <f>BreastCancer_Data!L40</f>
        <v/>
      </c>
      <c r="L40">
        <f>BreastCancer_Data!M40</f>
        <v/>
      </c>
      <c r="M40">
        <f>BreastCancer_Data!N40</f>
        <v/>
      </c>
      <c r="N40">
        <f>BreastCancer_Data!O40</f>
        <v/>
      </c>
      <c r="O40">
        <f>0</f>
        <v/>
      </c>
      <c r="P40">
        <f>--(AND(D40&lt;=113.15,E40&lt;=0.15,F40&lt;=15.77,G40&lt;=0.18,H40&lt;=33.27))*0</f>
        <v/>
      </c>
      <c r="Q40">
        <f>--(AND(D40&lt;=113.15,E40&lt;=0.15,F40&lt;=15.77,G40&lt;=0.18,H40&gt;33.27))*0</f>
        <v/>
      </c>
      <c r="R40">
        <f>--(AND(D40&lt;=113.15,E40&lt;=0.15,F40&lt;=15.77,G40&gt;0.18))*0</f>
        <v/>
      </c>
      <c r="S40">
        <f>--(AND(D40&lt;=113.15,E40&lt;=0.15,F40&gt;15.77,H40&lt;=28.86,G40&lt;=0.14))*0</f>
        <v/>
      </c>
      <c r="T40">
        <f>--(AND(D40&lt;=113.15,E40&lt;=0.15,F40&gt;15.77,H40&lt;=28.86,G40&gt;0.14))*1</f>
        <v/>
      </c>
      <c r="U40">
        <f>--(AND(D40&lt;=113.15,E40&lt;=0.15,F40&gt;15.77,H40&gt;28.86,M40&lt;=14.54))*1</f>
        <v/>
      </c>
      <c r="V40">
        <f>--(AND(D40&lt;=113.15,E40&lt;=0.15,F40&gt;15.77,H40&gt;28.86,M40&gt;14.54))*1</f>
        <v/>
      </c>
      <c r="W40">
        <f>--(AND(D40&lt;=113.15,E40&gt;0.15,H40&lt;=23.74))*0</f>
        <v/>
      </c>
      <c r="X40">
        <f>--(AND(D40&lt;=113.15,E40&gt;0.15,H40&gt;23.74,J40&lt;=0.1))*1</f>
        <v/>
      </c>
      <c r="Y40">
        <f>--(AND(D40&lt;=113.15,E40&gt;0.15,H40&gt;23.74,J40&gt;0.1))*1</f>
        <v/>
      </c>
      <c r="Z40">
        <f>--(AND(D40&gt;113.15,K40&lt;=0.22,L40&lt;=0.02))*1</f>
        <v/>
      </c>
      <c r="AA40">
        <f>--(AND(D40&gt;113.15,K40&lt;=0.22,L40&gt;0.02))*0</f>
        <v/>
      </c>
      <c r="AB40">
        <f>--(AND(D40&gt;113.15,K40&gt;0.22,N40&lt;=810.1))*0</f>
        <v/>
      </c>
      <c r="AC40">
        <f>--(AND(D40&gt;113.15,K40&gt;0.22,N40&gt;810.1,I40&lt;=14.95))*1</f>
        <v/>
      </c>
      <c r="AD40">
        <f>--(AND(D40&gt;113.15,K40&gt;0.22,N40&gt;810.1,I40&gt;14.95))*1</f>
        <v/>
      </c>
      <c r="AE40">
        <f>SUM(P40:AD40)</f>
        <v/>
      </c>
      <c r="AF40">
        <f>IF(AE40=1,"Malignant","Benign")</f>
        <v/>
      </c>
      <c r="AG40">
        <f>--(AE40=C40)</f>
        <v/>
      </c>
    </row>
    <row r="41">
      <c r="A41">
        <f>BreastCancer_Data!A41</f>
        <v/>
      </c>
      <c r="B41">
        <f>BreastCancer_Data!B41</f>
        <v/>
      </c>
      <c r="C41">
        <f>BreastCancer_Data!D41</f>
        <v/>
      </c>
      <c r="D41">
        <f>BreastCancer_Data!E41</f>
        <v/>
      </c>
      <c r="E41">
        <f>BreastCancer_Data!F41</f>
        <v/>
      </c>
      <c r="F41">
        <f>BreastCancer_Data!G41</f>
        <v/>
      </c>
      <c r="G41">
        <f>BreastCancer_Data!H41</f>
        <v/>
      </c>
      <c r="H41">
        <f>BreastCancer_Data!I41</f>
        <v/>
      </c>
      <c r="I41">
        <f>BreastCancer_Data!J41</f>
        <v/>
      </c>
      <c r="J41">
        <f>BreastCancer_Data!K41</f>
        <v/>
      </c>
      <c r="K41">
        <f>BreastCancer_Data!L41</f>
        <v/>
      </c>
      <c r="L41">
        <f>BreastCancer_Data!M41</f>
        <v/>
      </c>
      <c r="M41">
        <f>BreastCancer_Data!N41</f>
        <v/>
      </c>
      <c r="N41">
        <f>BreastCancer_Data!O41</f>
        <v/>
      </c>
      <c r="O41">
        <f>0</f>
        <v/>
      </c>
      <c r="P41">
        <f>--(AND(D41&lt;=113.15,E41&lt;=0.15,F41&lt;=15.77,G41&lt;=0.18,H41&lt;=33.27))*0</f>
        <v/>
      </c>
      <c r="Q41">
        <f>--(AND(D41&lt;=113.15,E41&lt;=0.15,F41&lt;=15.77,G41&lt;=0.18,H41&gt;33.27))*0</f>
        <v/>
      </c>
      <c r="R41">
        <f>--(AND(D41&lt;=113.15,E41&lt;=0.15,F41&lt;=15.77,G41&gt;0.18))*0</f>
        <v/>
      </c>
      <c r="S41">
        <f>--(AND(D41&lt;=113.15,E41&lt;=0.15,F41&gt;15.77,H41&lt;=28.86,G41&lt;=0.14))*0</f>
        <v/>
      </c>
      <c r="T41">
        <f>--(AND(D41&lt;=113.15,E41&lt;=0.15,F41&gt;15.77,H41&lt;=28.86,G41&gt;0.14))*1</f>
        <v/>
      </c>
      <c r="U41">
        <f>--(AND(D41&lt;=113.15,E41&lt;=0.15,F41&gt;15.77,H41&gt;28.86,M41&lt;=14.54))*1</f>
        <v/>
      </c>
      <c r="V41">
        <f>--(AND(D41&lt;=113.15,E41&lt;=0.15,F41&gt;15.77,H41&gt;28.86,M41&gt;14.54))*1</f>
        <v/>
      </c>
      <c r="W41">
        <f>--(AND(D41&lt;=113.15,E41&gt;0.15,H41&lt;=23.74))*0</f>
        <v/>
      </c>
      <c r="X41">
        <f>--(AND(D41&lt;=113.15,E41&gt;0.15,H41&gt;23.74,J41&lt;=0.1))*1</f>
        <v/>
      </c>
      <c r="Y41">
        <f>--(AND(D41&lt;=113.15,E41&gt;0.15,H41&gt;23.74,J41&gt;0.1))*1</f>
        <v/>
      </c>
      <c r="Z41">
        <f>--(AND(D41&gt;113.15,K41&lt;=0.22,L41&lt;=0.02))*1</f>
        <v/>
      </c>
      <c r="AA41">
        <f>--(AND(D41&gt;113.15,K41&lt;=0.22,L41&gt;0.02))*0</f>
        <v/>
      </c>
      <c r="AB41">
        <f>--(AND(D41&gt;113.15,K41&gt;0.22,N41&lt;=810.1))*0</f>
        <v/>
      </c>
      <c r="AC41">
        <f>--(AND(D41&gt;113.15,K41&gt;0.22,N41&gt;810.1,I41&lt;=14.95))*1</f>
        <v/>
      </c>
      <c r="AD41">
        <f>--(AND(D41&gt;113.15,K41&gt;0.22,N41&gt;810.1,I41&gt;14.95))*1</f>
        <v/>
      </c>
      <c r="AE41">
        <f>SUM(P41:AD41)</f>
        <v/>
      </c>
      <c r="AF41">
        <f>IF(AE41=1,"Malignant","Benign")</f>
        <v/>
      </c>
      <c r="AG41">
        <f>--(AE41=C41)</f>
        <v/>
      </c>
    </row>
    <row r="42">
      <c r="A42">
        <f>BreastCancer_Data!A42</f>
        <v/>
      </c>
      <c r="B42">
        <f>BreastCancer_Data!B42</f>
        <v/>
      </c>
      <c r="C42">
        <f>BreastCancer_Data!D42</f>
        <v/>
      </c>
      <c r="D42">
        <f>BreastCancer_Data!E42</f>
        <v/>
      </c>
      <c r="E42">
        <f>BreastCancer_Data!F42</f>
        <v/>
      </c>
      <c r="F42">
        <f>BreastCancer_Data!G42</f>
        <v/>
      </c>
      <c r="G42">
        <f>BreastCancer_Data!H42</f>
        <v/>
      </c>
      <c r="H42">
        <f>BreastCancer_Data!I42</f>
        <v/>
      </c>
      <c r="I42">
        <f>BreastCancer_Data!J42</f>
        <v/>
      </c>
      <c r="J42">
        <f>BreastCancer_Data!K42</f>
        <v/>
      </c>
      <c r="K42">
        <f>BreastCancer_Data!L42</f>
        <v/>
      </c>
      <c r="L42">
        <f>BreastCancer_Data!M42</f>
        <v/>
      </c>
      <c r="M42">
        <f>BreastCancer_Data!N42</f>
        <v/>
      </c>
      <c r="N42">
        <f>BreastCancer_Data!O42</f>
        <v/>
      </c>
      <c r="O42">
        <f>0</f>
        <v/>
      </c>
      <c r="P42">
        <f>--(AND(D42&lt;=113.15,E42&lt;=0.15,F42&lt;=15.77,G42&lt;=0.18,H42&lt;=33.27))*0</f>
        <v/>
      </c>
      <c r="Q42">
        <f>--(AND(D42&lt;=113.15,E42&lt;=0.15,F42&lt;=15.77,G42&lt;=0.18,H42&gt;33.27))*0</f>
        <v/>
      </c>
      <c r="R42">
        <f>--(AND(D42&lt;=113.15,E42&lt;=0.15,F42&lt;=15.77,G42&gt;0.18))*0</f>
        <v/>
      </c>
      <c r="S42">
        <f>--(AND(D42&lt;=113.15,E42&lt;=0.15,F42&gt;15.77,H42&lt;=28.86,G42&lt;=0.14))*0</f>
        <v/>
      </c>
      <c r="T42">
        <f>--(AND(D42&lt;=113.15,E42&lt;=0.15,F42&gt;15.77,H42&lt;=28.86,G42&gt;0.14))*1</f>
        <v/>
      </c>
      <c r="U42">
        <f>--(AND(D42&lt;=113.15,E42&lt;=0.15,F42&gt;15.77,H42&gt;28.86,M42&lt;=14.54))*1</f>
        <v/>
      </c>
      <c r="V42">
        <f>--(AND(D42&lt;=113.15,E42&lt;=0.15,F42&gt;15.77,H42&gt;28.86,M42&gt;14.54))*1</f>
        <v/>
      </c>
      <c r="W42">
        <f>--(AND(D42&lt;=113.15,E42&gt;0.15,H42&lt;=23.74))*0</f>
        <v/>
      </c>
      <c r="X42">
        <f>--(AND(D42&lt;=113.15,E42&gt;0.15,H42&gt;23.74,J42&lt;=0.1))*1</f>
        <v/>
      </c>
      <c r="Y42">
        <f>--(AND(D42&lt;=113.15,E42&gt;0.15,H42&gt;23.74,J42&gt;0.1))*1</f>
        <v/>
      </c>
      <c r="Z42">
        <f>--(AND(D42&gt;113.15,K42&lt;=0.22,L42&lt;=0.02))*1</f>
        <v/>
      </c>
      <c r="AA42">
        <f>--(AND(D42&gt;113.15,K42&lt;=0.22,L42&gt;0.02))*0</f>
        <v/>
      </c>
      <c r="AB42">
        <f>--(AND(D42&gt;113.15,K42&gt;0.22,N42&lt;=810.1))*0</f>
        <v/>
      </c>
      <c r="AC42">
        <f>--(AND(D42&gt;113.15,K42&gt;0.22,N42&gt;810.1,I42&lt;=14.95))*1</f>
        <v/>
      </c>
      <c r="AD42">
        <f>--(AND(D42&gt;113.15,K42&gt;0.22,N42&gt;810.1,I42&gt;14.95))*1</f>
        <v/>
      </c>
      <c r="AE42">
        <f>SUM(P42:AD42)</f>
        <v/>
      </c>
      <c r="AF42">
        <f>IF(AE42=1,"Malignant","Benign")</f>
        <v/>
      </c>
      <c r="AG42">
        <f>--(AE42=C42)</f>
        <v/>
      </c>
    </row>
    <row r="43">
      <c r="A43">
        <f>BreastCancer_Data!A43</f>
        <v/>
      </c>
      <c r="B43">
        <f>BreastCancer_Data!B43</f>
        <v/>
      </c>
      <c r="C43">
        <f>BreastCancer_Data!D43</f>
        <v/>
      </c>
      <c r="D43">
        <f>BreastCancer_Data!E43</f>
        <v/>
      </c>
      <c r="E43">
        <f>BreastCancer_Data!F43</f>
        <v/>
      </c>
      <c r="F43">
        <f>BreastCancer_Data!G43</f>
        <v/>
      </c>
      <c r="G43">
        <f>BreastCancer_Data!H43</f>
        <v/>
      </c>
      <c r="H43">
        <f>BreastCancer_Data!I43</f>
        <v/>
      </c>
      <c r="I43">
        <f>BreastCancer_Data!J43</f>
        <v/>
      </c>
      <c r="J43">
        <f>BreastCancer_Data!K43</f>
        <v/>
      </c>
      <c r="K43">
        <f>BreastCancer_Data!L43</f>
        <v/>
      </c>
      <c r="L43">
        <f>BreastCancer_Data!M43</f>
        <v/>
      </c>
      <c r="M43">
        <f>BreastCancer_Data!N43</f>
        <v/>
      </c>
      <c r="N43">
        <f>BreastCancer_Data!O43</f>
        <v/>
      </c>
      <c r="O43">
        <f>0</f>
        <v/>
      </c>
      <c r="P43">
        <f>--(AND(D43&lt;=113.15,E43&lt;=0.15,F43&lt;=15.77,G43&lt;=0.18,H43&lt;=33.27))*0</f>
        <v/>
      </c>
      <c r="Q43">
        <f>--(AND(D43&lt;=113.15,E43&lt;=0.15,F43&lt;=15.77,G43&lt;=0.18,H43&gt;33.27))*0</f>
        <v/>
      </c>
      <c r="R43">
        <f>--(AND(D43&lt;=113.15,E43&lt;=0.15,F43&lt;=15.77,G43&gt;0.18))*0</f>
        <v/>
      </c>
      <c r="S43">
        <f>--(AND(D43&lt;=113.15,E43&lt;=0.15,F43&gt;15.77,H43&lt;=28.86,G43&lt;=0.14))*0</f>
        <v/>
      </c>
      <c r="T43">
        <f>--(AND(D43&lt;=113.15,E43&lt;=0.15,F43&gt;15.77,H43&lt;=28.86,G43&gt;0.14))*1</f>
        <v/>
      </c>
      <c r="U43">
        <f>--(AND(D43&lt;=113.15,E43&lt;=0.15,F43&gt;15.77,H43&gt;28.86,M43&lt;=14.54))*1</f>
        <v/>
      </c>
      <c r="V43">
        <f>--(AND(D43&lt;=113.15,E43&lt;=0.15,F43&gt;15.77,H43&gt;28.86,M43&gt;14.54))*1</f>
        <v/>
      </c>
      <c r="W43">
        <f>--(AND(D43&lt;=113.15,E43&gt;0.15,H43&lt;=23.74))*0</f>
        <v/>
      </c>
      <c r="X43">
        <f>--(AND(D43&lt;=113.15,E43&gt;0.15,H43&gt;23.74,J43&lt;=0.1))*1</f>
        <v/>
      </c>
      <c r="Y43">
        <f>--(AND(D43&lt;=113.15,E43&gt;0.15,H43&gt;23.74,J43&gt;0.1))*1</f>
        <v/>
      </c>
      <c r="Z43">
        <f>--(AND(D43&gt;113.15,K43&lt;=0.22,L43&lt;=0.02))*1</f>
        <v/>
      </c>
      <c r="AA43">
        <f>--(AND(D43&gt;113.15,K43&lt;=0.22,L43&gt;0.02))*0</f>
        <v/>
      </c>
      <c r="AB43">
        <f>--(AND(D43&gt;113.15,K43&gt;0.22,N43&lt;=810.1))*0</f>
        <v/>
      </c>
      <c r="AC43">
        <f>--(AND(D43&gt;113.15,K43&gt;0.22,N43&gt;810.1,I43&lt;=14.95))*1</f>
        <v/>
      </c>
      <c r="AD43">
        <f>--(AND(D43&gt;113.15,K43&gt;0.22,N43&gt;810.1,I43&gt;14.95))*1</f>
        <v/>
      </c>
      <c r="AE43">
        <f>SUM(P43:AD43)</f>
        <v/>
      </c>
      <c r="AF43">
        <f>IF(AE43=1,"Malignant","Benign")</f>
        <v/>
      </c>
      <c r="AG43">
        <f>--(AE43=C43)</f>
        <v/>
      </c>
    </row>
    <row r="44">
      <c r="A44">
        <f>BreastCancer_Data!A44</f>
        <v/>
      </c>
      <c r="B44">
        <f>BreastCancer_Data!B44</f>
        <v/>
      </c>
      <c r="C44">
        <f>BreastCancer_Data!D44</f>
        <v/>
      </c>
      <c r="D44">
        <f>BreastCancer_Data!E44</f>
        <v/>
      </c>
      <c r="E44">
        <f>BreastCancer_Data!F44</f>
        <v/>
      </c>
      <c r="F44">
        <f>BreastCancer_Data!G44</f>
        <v/>
      </c>
      <c r="G44">
        <f>BreastCancer_Data!H44</f>
        <v/>
      </c>
      <c r="H44">
        <f>BreastCancer_Data!I44</f>
        <v/>
      </c>
      <c r="I44">
        <f>BreastCancer_Data!J44</f>
        <v/>
      </c>
      <c r="J44">
        <f>BreastCancer_Data!K44</f>
        <v/>
      </c>
      <c r="K44">
        <f>BreastCancer_Data!L44</f>
        <v/>
      </c>
      <c r="L44">
        <f>BreastCancer_Data!M44</f>
        <v/>
      </c>
      <c r="M44">
        <f>BreastCancer_Data!N44</f>
        <v/>
      </c>
      <c r="N44">
        <f>BreastCancer_Data!O44</f>
        <v/>
      </c>
      <c r="O44">
        <f>0</f>
        <v/>
      </c>
      <c r="P44">
        <f>--(AND(D44&lt;=113.15,E44&lt;=0.15,F44&lt;=15.77,G44&lt;=0.18,H44&lt;=33.27))*0</f>
        <v/>
      </c>
      <c r="Q44">
        <f>--(AND(D44&lt;=113.15,E44&lt;=0.15,F44&lt;=15.77,G44&lt;=0.18,H44&gt;33.27))*0</f>
        <v/>
      </c>
      <c r="R44">
        <f>--(AND(D44&lt;=113.15,E44&lt;=0.15,F44&lt;=15.77,G44&gt;0.18))*0</f>
        <v/>
      </c>
      <c r="S44">
        <f>--(AND(D44&lt;=113.15,E44&lt;=0.15,F44&gt;15.77,H44&lt;=28.86,G44&lt;=0.14))*0</f>
        <v/>
      </c>
      <c r="T44">
        <f>--(AND(D44&lt;=113.15,E44&lt;=0.15,F44&gt;15.77,H44&lt;=28.86,G44&gt;0.14))*1</f>
        <v/>
      </c>
      <c r="U44">
        <f>--(AND(D44&lt;=113.15,E44&lt;=0.15,F44&gt;15.77,H44&gt;28.86,M44&lt;=14.54))*1</f>
        <v/>
      </c>
      <c r="V44">
        <f>--(AND(D44&lt;=113.15,E44&lt;=0.15,F44&gt;15.77,H44&gt;28.86,M44&gt;14.54))*1</f>
        <v/>
      </c>
      <c r="W44">
        <f>--(AND(D44&lt;=113.15,E44&gt;0.15,H44&lt;=23.74))*0</f>
        <v/>
      </c>
      <c r="X44">
        <f>--(AND(D44&lt;=113.15,E44&gt;0.15,H44&gt;23.74,J44&lt;=0.1))*1</f>
        <v/>
      </c>
      <c r="Y44">
        <f>--(AND(D44&lt;=113.15,E44&gt;0.15,H44&gt;23.74,J44&gt;0.1))*1</f>
        <v/>
      </c>
      <c r="Z44">
        <f>--(AND(D44&gt;113.15,K44&lt;=0.22,L44&lt;=0.02))*1</f>
        <v/>
      </c>
      <c r="AA44">
        <f>--(AND(D44&gt;113.15,K44&lt;=0.22,L44&gt;0.02))*0</f>
        <v/>
      </c>
      <c r="AB44">
        <f>--(AND(D44&gt;113.15,K44&gt;0.22,N44&lt;=810.1))*0</f>
        <v/>
      </c>
      <c r="AC44">
        <f>--(AND(D44&gt;113.15,K44&gt;0.22,N44&gt;810.1,I44&lt;=14.95))*1</f>
        <v/>
      </c>
      <c r="AD44">
        <f>--(AND(D44&gt;113.15,K44&gt;0.22,N44&gt;810.1,I44&gt;14.95))*1</f>
        <v/>
      </c>
      <c r="AE44">
        <f>SUM(P44:AD44)</f>
        <v/>
      </c>
      <c r="AF44">
        <f>IF(AE44=1,"Malignant","Benign")</f>
        <v/>
      </c>
      <c r="AG44">
        <f>--(AE44=C44)</f>
        <v/>
      </c>
    </row>
    <row r="45">
      <c r="A45">
        <f>BreastCancer_Data!A45</f>
        <v/>
      </c>
      <c r="B45">
        <f>BreastCancer_Data!B45</f>
        <v/>
      </c>
      <c r="C45">
        <f>BreastCancer_Data!D45</f>
        <v/>
      </c>
      <c r="D45">
        <f>BreastCancer_Data!E45</f>
        <v/>
      </c>
      <c r="E45">
        <f>BreastCancer_Data!F45</f>
        <v/>
      </c>
      <c r="F45">
        <f>BreastCancer_Data!G45</f>
        <v/>
      </c>
      <c r="G45">
        <f>BreastCancer_Data!H45</f>
        <v/>
      </c>
      <c r="H45">
        <f>BreastCancer_Data!I45</f>
        <v/>
      </c>
      <c r="I45">
        <f>BreastCancer_Data!J45</f>
        <v/>
      </c>
      <c r="J45">
        <f>BreastCancer_Data!K45</f>
        <v/>
      </c>
      <c r="K45">
        <f>BreastCancer_Data!L45</f>
        <v/>
      </c>
      <c r="L45">
        <f>BreastCancer_Data!M45</f>
        <v/>
      </c>
      <c r="M45">
        <f>BreastCancer_Data!N45</f>
        <v/>
      </c>
      <c r="N45">
        <f>BreastCancer_Data!O45</f>
        <v/>
      </c>
      <c r="O45">
        <f>0</f>
        <v/>
      </c>
      <c r="P45">
        <f>--(AND(D45&lt;=113.15,E45&lt;=0.15,F45&lt;=15.77,G45&lt;=0.18,H45&lt;=33.27))*0</f>
        <v/>
      </c>
      <c r="Q45">
        <f>--(AND(D45&lt;=113.15,E45&lt;=0.15,F45&lt;=15.77,G45&lt;=0.18,H45&gt;33.27))*0</f>
        <v/>
      </c>
      <c r="R45">
        <f>--(AND(D45&lt;=113.15,E45&lt;=0.15,F45&lt;=15.77,G45&gt;0.18))*0</f>
        <v/>
      </c>
      <c r="S45">
        <f>--(AND(D45&lt;=113.15,E45&lt;=0.15,F45&gt;15.77,H45&lt;=28.86,G45&lt;=0.14))*0</f>
        <v/>
      </c>
      <c r="T45">
        <f>--(AND(D45&lt;=113.15,E45&lt;=0.15,F45&gt;15.77,H45&lt;=28.86,G45&gt;0.14))*1</f>
        <v/>
      </c>
      <c r="U45">
        <f>--(AND(D45&lt;=113.15,E45&lt;=0.15,F45&gt;15.77,H45&gt;28.86,M45&lt;=14.54))*1</f>
        <v/>
      </c>
      <c r="V45">
        <f>--(AND(D45&lt;=113.15,E45&lt;=0.15,F45&gt;15.77,H45&gt;28.86,M45&gt;14.54))*1</f>
        <v/>
      </c>
      <c r="W45">
        <f>--(AND(D45&lt;=113.15,E45&gt;0.15,H45&lt;=23.74))*0</f>
        <v/>
      </c>
      <c r="X45">
        <f>--(AND(D45&lt;=113.15,E45&gt;0.15,H45&gt;23.74,J45&lt;=0.1))*1</f>
        <v/>
      </c>
      <c r="Y45">
        <f>--(AND(D45&lt;=113.15,E45&gt;0.15,H45&gt;23.74,J45&gt;0.1))*1</f>
        <v/>
      </c>
      <c r="Z45">
        <f>--(AND(D45&gt;113.15,K45&lt;=0.22,L45&lt;=0.02))*1</f>
        <v/>
      </c>
      <c r="AA45">
        <f>--(AND(D45&gt;113.15,K45&lt;=0.22,L45&gt;0.02))*0</f>
        <v/>
      </c>
      <c r="AB45">
        <f>--(AND(D45&gt;113.15,K45&gt;0.22,N45&lt;=810.1))*0</f>
        <v/>
      </c>
      <c r="AC45">
        <f>--(AND(D45&gt;113.15,K45&gt;0.22,N45&gt;810.1,I45&lt;=14.95))*1</f>
        <v/>
      </c>
      <c r="AD45">
        <f>--(AND(D45&gt;113.15,K45&gt;0.22,N45&gt;810.1,I45&gt;14.95))*1</f>
        <v/>
      </c>
      <c r="AE45">
        <f>SUM(P45:AD45)</f>
        <v/>
      </c>
      <c r="AF45">
        <f>IF(AE45=1,"Malignant","Benign")</f>
        <v/>
      </c>
      <c r="AG45">
        <f>--(AE45=C45)</f>
        <v/>
      </c>
    </row>
    <row r="46">
      <c r="A46">
        <f>BreastCancer_Data!A46</f>
        <v/>
      </c>
      <c r="B46">
        <f>BreastCancer_Data!B46</f>
        <v/>
      </c>
      <c r="C46">
        <f>BreastCancer_Data!D46</f>
        <v/>
      </c>
      <c r="D46">
        <f>BreastCancer_Data!E46</f>
        <v/>
      </c>
      <c r="E46">
        <f>BreastCancer_Data!F46</f>
        <v/>
      </c>
      <c r="F46">
        <f>BreastCancer_Data!G46</f>
        <v/>
      </c>
      <c r="G46">
        <f>BreastCancer_Data!H46</f>
        <v/>
      </c>
      <c r="H46">
        <f>BreastCancer_Data!I46</f>
        <v/>
      </c>
      <c r="I46">
        <f>BreastCancer_Data!J46</f>
        <v/>
      </c>
      <c r="J46">
        <f>BreastCancer_Data!K46</f>
        <v/>
      </c>
      <c r="K46">
        <f>BreastCancer_Data!L46</f>
        <v/>
      </c>
      <c r="L46">
        <f>BreastCancer_Data!M46</f>
        <v/>
      </c>
      <c r="M46">
        <f>BreastCancer_Data!N46</f>
        <v/>
      </c>
      <c r="N46">
        <f>BreastCancer_Data!O46</f>
        <v/>
      </c>
      <c r="O46">
        <f>0</f>
        <v/>
      </c>
      <c r="P46">
        <f>--(AND(D46&lt;=113.15,E46&lt;=0.15,F46&lt;=15.77,G46&lt;=0.18,H46&lt;=33.27))*0</f>
        <v/>
      </c>
      <c r="Q46">
        <f>--(AND(D46&lt;=113.15,E46&lt;=0.15,F46&lt;=15.77,G46&lt;=0.18,H46&gt;33.27))*0</f>
        <v/>
      </c>
      <c r="R46">
        <f>--(AND(D46&lt;=113.15,E46&lt;=0.15,F46&lt;=15.77,G46&gt;0.18))*0</f>
        <v/>
      </c>
      <c r="S46">
        <f>--(AND(D46&lt;=113.15,E46&lt;=0.15,F46&gt;15.77,H46&lt;=28.86,G46&lt;=0.14))*0</f>
        <v/>
      </c>
      <c r="T46">
        <f>--(AND(D46&lt;=113.15,E46&lt;=0.15,F46&gt;15.77,H46&lt;=28.86,G46&gt;0.14))*1</f>
        <v/>
      </c>
      <c r="U46">
        <f>--(AND(D46&lt;=113.15,E46&lt;=0.15,F46&gt;15.77,H46&gt;28.86,M46&lt;=14.54))*1</f>
        <v/>
      </c>
      <c r="V46">
        <f>--(AND(D46&lt;=113.15,E46&lt;=0.15,F46&gt;15.77,H46&gt;28.86,M46&gt;14.54))*1</f>
        <v/>
      </c>
      <c r="W46">
        <f>--(AND(D46&lt;=113.15,E46&gt;0.15,H46&lt;=23.74))*0</f>
        <v/>
      </c>
      <c r="X46">
        <f>--(AND(D46&lt;=113.15,E46&gt;0.15,H46&gt;23.74,J46&lt;=0.1))*1</f>
        <v/>
      </c>
      <c r="Y46">
        <f>--(AND(D46&lt;=113.15,E46&gt;0.15,H46&gt;23.74,J46&gt;0.1))*1</f>
        <v/>
      </c>
      <c r="Z46">
        <f>--(AND(D46&gt;113.15,K46&lt;=0.22,L46&lt;=0.02))*1</f>
        <v/>
      </c>
      <c r="AA46">
        <f>--(AND(D46&gt;113.15,K46&lt;=0.22,L46&gt;0.02))*0</f>
        <v/>
      </c>
      <c r="AB46">
        <f>--(AND(D46&gt;113.15,K46&gt;0.22,N46&lt;=810.1))*0</f>
        <v/>
      </c>
      <c r="AC46">
        <f>--(AND(D46&gt;113.15,K46&gt;0.22,N46&gt;810.1,I46&lt;=14.95))*1</f>
        <v/>
      </c>
      <c r="AD46">
        <f>--(AND(D46&gt;113.15,K46&gt;0.22,N46&gt;810.1,I46&gt;14.95))*1</f>
        <v/>
      </c>
      <c r="AE46">
        <f>SUM(P46:AD46)</f>
        <v/>
      </c>
      <c r="AF46">
        <f>IF(AE46=1,"Malignant","Benign")</f>
        <v/>
      </c>
      <c r="AG46">
        <f>--(AE46=C46)</f>
        <v/>
      </c>
    </row>
    <row r="47">
      <c r="A47">
        <f>BreastCancer_Data!A47</f>
        <v/>
      </c>
      <c r="B47">
        <f>BreastCancer_Data!B47</f>
        <v/>
      </c>
      <c r="C47">
        <f>BreastCancer_Data!D47</f>
        <v/>
      </c>
      <c r="D47">
        <f>BreastCancer_Data!E47</f>
        <v/>
      </c>
      <c r="E47">
        <f>BreastCancer_Data!F47</f>
        <v/>
      </c>
      <c r="F47">
        <f>BreastCancer_Data!G47</f>
        <v/>
      </c>
      <c r="G47">
        <f>BreastCancer_Data!H47</f>
        <v/>
      </c>
      <c r="H47">
        <f>BreastCancer_Data!I47</f>
        <v/>
      </c>
      <c r="I47">
        <f>BreastCancer_Data!J47</f>
        <v/>
      </c>
      <c r="J47">
        <f>BreastCancer_Data!K47</f>
        <v/>
      </c>
      <c r="K47">
        <f>BreastCancer_Data!L47</f>
        <v/>
      </c>
      <c r="L47">
        <f>BreastCancer_Data!M47</f>
        <v/>
      </c>
      <c r="M47">
        <f>BreastCancer_Data!N47</f>
        <v/>
      </c>
      <c r="N47">
        <f>BreastCancer_Data!O47</f>
        <v/>
      </c>
      <c r="O47">
        <f>0</f>
        <v/>
      </c>
      <c r="P47">
        <f>--(AND(D47&lt;=113.15,E47&lt;=0.15,F47&lt;=15.77,G47&lt;=0.18,H47&lt;=33.27))*0</f>
        <v/>
      </c>
      <c r="Q47">
        <f>--(AND(D47&lt;=113.15,E47&lt;=0.15,F47&lt;=15.77,G47&lt;=0.18,H47&gt;33.27))*0</f>
        <v/>
      </c>
      <c r="R47">
        <f>--(AND(D47&lt;=113.15,E47&lt;=0.15,F47&lt;=15.77,G47&gt;0.18))*0</f>
        <v/>
      </c>
      <c r="S47">
        <f>--(AND(D47&lt;=113.15,E47&lt;=0.15,F47&gt;15.77,H47&lt;=28.86,G47&lt;=0.14))*0</f>
        <v/>
      </c>
      <c r="T47">
        <f>--(AND(D47&lt;=113.15,E47&lt;=0.15,F47&gt;15.77,H47&lt;=28.86,G47&gt;0.14))*1</f>
        <v/>
      </c>
      <c r="U47">
        <f>--(AND(D47&lt;=113.15,E47&lt;=0.15,F47&gt;15.77,H47&gt;28.86,M47&lt;=14.54))*1</f>
        <v/>
      </c>
      <c r="V47">
        <f>--(AND(D47&lt;=113.15,E47&lt;=0.15,F47&gt;15.77,H47&gt;28.86,M47&gt;14.54))*1</f>
        <v/>
      </c>
      <c r="W47">
        <f>--(AND(D47&lt;=113.15,E47&gt;0.15,H47&lt;=23.74))*0</f>
        <v/>
      </c>
      <c r="X47">
        <f>--(AND(D47&lt;=113.15,E47&gt;0.15,H47&gt;23.74,J47&lt;=0.1))*1</f>
        <v/>
      </c>
      <c r="Y47">
        <f>--(AND(D47&lt;=113.15,E47&gt;0.15,H47&gt;23.74,J47&gt;0.1))*1</f>
        <v/>
      </c>
      <c r="Z47">
        <f>--(AND(D47&gt;113.15,K47&lt;=0.22,L47&lt;=0.02))*1</f>
        <v/>
      </c>
      <c r="AA47">
        <f>--(AND(D47&gt;113.15,K47&lt;=0.22,L47&gt;0.02))*0</f>
        <v/>
      </c>
      <c r="AB47">
        <f>--(AND(D47&gt;113.15,K47&gt;0.22,N47&lt;=810.1))*0</f>
        <v/>
      </c>
      <c r="AC47">
        <f>--(AND(D47&gt;113.15,K47&gt;0.22,N47&gt;810.1,I47&lt;=14.95))*1</f>
        <v/>
      </c>
      <c r="AD47">
        <f>--(AND(D47&gt;113.15,K47&gt;0.22,N47&gt;810.1,I47&gt;14.95))*1</f>
        <v/>
      </c>
      <c r="AE47">
        <f>SUM(P47:AD47)</f>
        <v/>
      </c>
      <c r="AF47">
        <f>IF(AE47=1,"Malignant","Benign")</f>
        <v/>
      </c>
      <c r="AG47">
        <f>--(AE47=C47)</f>
        <v/>
      </c>
    </row>
    <row r="48">
      <c r="A48">
        <f>BreastCancer_Data!A48</f>
        <v/>
      </c>
      <c r="B48">
        <f>BreastCancer_Data!B48</f>
        <v/>
      </c>
      <c r="C48">
        <f>BreastCancer_Data!D48</f>
        <v/>
      </c>
      <c r="D48">
        <f>BreastCancer_Data!E48</f>
        <v/>
      </c>
      <c r="E48">
        <f>BreastCancer_Data!F48</f>
        <v/>
      </c>
      <c r="F48">
        <f>BreastCancer_Data!G48</f>
        <v/>
      </c>
      <c r="G48">
        <f>BreastCancer_Data!H48</f>
        <v/>
      </c>
      <c r="H48">
        <f>BreastCancer_Data!I48</f>
        <v/>
      </c>
      <c r="I48">
        <f>BreastCancer_Data!J48</f>
        <v/>
      </c>
      <c r="J48">
        <f>BreastCancer_Data!K48</f>
        <v/>
      </c>
      <c r="K48">
        <f>BreastCancer_Data!L48</f>
        <v/>
      </c>
      <c r="L48">
        <f>BreastCancer_Data!M48</f>
        <v/>
      </c>
      <c r="M48">
        <f>BreastCancer_Data!N48</f>
        <v/>
      </c>
      <c r="N48">
        <f>BreastCancer_Data!O48</f>
        <v/>
      </c>
      <c r="O48">
        <f>0</f>
        <v/>
      </c>
      <c r="P48">
        <f>--(AND(D48&lt;=113.15,E48&lt;=0.15,F48&lt;=15.77,G48&lt;=0.18,H48&lt;=33.27))*0</f>
        <v/>
      </c>
      <c r="Q48">
        <f>--(AND(D48&lt;=113.15,E48&lt;=0.15,F48&lt;=15.77,G48&lt;=0.18,H48&gt;33.27))*0</f>
        <v/>
      </c>
      <c r="R48">
        <f>--(AND(D48&lt;=113.15,E48&lt;=0.15,F48&lt;=15.77,G48&gt;0.18))*0</f>
        <v/>
      </c>
      <c r="S48">
        <f>--(AND(D48&lt;=113.15,E48&lt;=0.15,F48&gt;15.77,H48&lt;=28.86,G48&lt;=0.14))*0</f>
        <v/>
      </c>
      <c r="T48">
        <f>--(AND(D48&lt;=113.15,E48&lt;=0.15,F48&gt;15.77,H48&lt;=28.86,G48&gt;0.14))*1</f>
        <v/>
      </c>
      <c r="U48">
        <f>--(AND(D48&lt;=113.15,E48&lt;=0.15,F48&gt;15.77,H48&gt;28.86,M48&lt;=14.54))*1</f>
        <v/>
      </c>
      <c r="V48">
        <f>--(AND(D48&lt;=113.15,E48&lt;=0.15,F48&gt;15.77,H48&gt;28.86,M48&gt;14.54))*1</f>
        <v/>
      </c>
      <c r="W48">
        <f>--(AND(D48&lt;=113.15,E48&gt;0.15,H48&lt;=23.74))*0</f>
        <v/>
      </c>
      <c r="X48">
        <f>--(AND(D48&lt;=113.15,E48&gt;0.15,H48&gt;23.74,J48&lt;=0.1))*1</f>
        <v/>
      </c>
      <c r="Y48">
        <f>--(AND(D48&lt;=113.15,E48&gt;0.15,H48&gt;23.74,J48&gt;0.1))*1</f>
        <v/>
      </c>
      <c r="Z48">
        <f>--(AND(D48&gt;113.15,K48&lt;=0.22,L48&lt;=0.02))*1</f>
        <v/>
      </c>
      <c r="AA48">
        <f>--(AND(D48&gt;113.15,K48&lt;=0.22,L48&gt;0.02))*0</f>
        <v/>
      </c>
      <c r="AB48">
        <f>--(AND(D48&gt;113.15,K48&gt;0.22,N48&lt;=810.1))*0</f>
        <v/>
      </c>
      <c r="AC48">
        <f>--(AND(D48&gt;113.15,K48&gt;0.22,N48&gt;810.1,I48&lt;=14.95))*1</f>
        <v/>
      </c>
      <c r="AD48">
        <f>--(AND(D48&gt;113.15,K48&gt;0.22,N48&gt;810.1,I48&gt;14.95))*1</f>
        <v/>
      </c>
      <c r="AE48">
        <f>SUM(P48:AD48)</f>
        <v/>
      </c>
      <c r="AF48">
        <f>IF(AE48=1,"Malignant","Benign")</f>
        <v/>
      </c>
      <c r="AG48">
        <f>--(AE48=C48)</f>
        <v/>
      </c>
    </row>
    <row r="49">
      <c r="A49">
        <f>BreastCancer_Data!A49</f>
        <v/>
      </c>
      <c r="B49">
        <f>BreastCancer_Data!B49</f>
        <v/>
      </c>
      <c r="C49">
        <f>BreastCancer_Data!D49</f>
        <v/>
      </c>
      <c r="D49">
        <f>BreastCancer_Data!E49</f>
        <v/>
      </c>
      <c r="E49">
        <f>BreastCancer_Data!F49</f>
        <v/>
      </c>
      <c r="F49">
        <f>BreastCancer_Data!G49</f>
        <v/>
      </c>
      <c r="G49">
        <f>BreastCancer_Data!H49</f>
        <v/>
      </c>
      <c r="H49">
        <f>BreastCancer_Data!I49</f>
        <v/>
      </c>
      <c r="I49">
        <f>BreastCancer_Data!J49</f>
        <v/>
      </c>
      <c r="J49">
        <f>BreastCancer_Data!K49</f>
        <v/>
      </c>
      <c r="K49">
        <f>BreastCancer_Data!L49</f>
        <v/>
      </c>
      <c r="L49">
        <f>BreastCancer_Data!M49</f>
        <v/>
      </c>
      <c r="M49">
        <f>BreastCancer_Data!N49</f>
        <v/>
      </c>
      <c r="N49">
        <f>BreastCancer_Data!O49</f>
        <v/>
      </c>
      <c r="O49">
        <f>0</f>
        <v/>
      </c>
      <c r="P49">
        <f>--(AND(D49&lt;=113.15,E49&lt;=0.15,F49&lt;=15.77,G49&lt;=0.18,H49&lt;=33.27))*0</f>
        <v/>
      </c>
      <c r="Q49">
        <f>--(AND(D49&lt;=113.15,E49&lt;=0.15,F49&lt;=15.77,G49&lt;=0.18,H49&gt;33.27))*0</f>
        <v/>
      </c>
      <c r="R49">
        <f>--(AND(D49&lt;=113.15,E49&lt;=0.15,F49&lt;=15.77,G49&gt;0.18))*0</f>
        <v/>
      </c>
      <c r="S49">
        <f>--(AND(D49&lt;=113.15,E49&lt;=0.15,F49&gt;15.77,H49&lt;=28.86,G49&lt;=0.14))*0</f>
        <v/>
      </c>
      <c r="T49">
        <f>--(AND(D49&lt;=113.15,E49&lt;=0.15,F49&gt;15.77,H49&lt;=28.86,G49&gt;0.14))*1</f>
        <v/>
      </c>
      <c r="U49">
        <f>--(AND(D49&lt;=113.15,E49&lt;=0.15,F49&gt;15.77,H49&gt;28.86,M49&lt;=14.54))*1</f>
        <v/>
      </c>
      <c r="V49">
        <f>--(AND(D49&lt;=113.15,E49&lt;=0.15,F49&gt;15.77,H49&gt;28.86,M49&gt;14.54))*1</f>
        <v/>
      </c>
      <c r="W49">
        <f>--(AND(D49&lt;=113.15,E49&gt;0.15,H49&lt;=23.74))*0</f>
        <v/>
      </c>
      <c r="X49">
        <f>--(AND(D49&lt;=113.15,E49&gt;0.15,H49&gt;23.74,J49&lt;=0.1))*1</f>
        <v/>
      </c>
      <c r="Y49">
        <f>--(AND(D49&lt;=113.15,E49&gt;0.15,H49&gt;23.74,J49&gt;0.1))*1</f>
        <v/>
      </c>
      <c r="Z49">
        <f>--(AND(D49&gt;113.15,K49&lt;=0.22,L49&lt;=0.02))*1</f>
        <v/>
      </c>
      <c r="AA49">
        <f>--(AND(D49&gt;113.15,K49&lt;=0.22,L49&gt;0.02))*0</f>
        <v/>
      </c>
      <c r="AB49">
        <f>--(AND(D49&gt;113.15,K49&gt;0.22,N49&lt;=810.1))*0</f>
        <v/>
      </c>
      <c r="AC49">
        <f>--(AND(D49&gt;113.15,K49&gt;0.22,N49&gt;810.1,I49&lt;=14.95))*1</f>
        <v/>
      </c>
      <c r="AD49">
        <f>--(AND(D49&gt;113.15,K49&gt;0.22,N49&gt;810.1,I49&gt;14.95))*1</f>
        <v/>
      </c>
      <c r="AE49">
        <f>SUM(P49:AD49)</f>
        <v/>
      </c>
      <c r="AF49">
        <f>IF(AE49=1,"Malignant","Benign")</f>
        <v/>
      </c>
      <c r="AG49">
        <f>--(AE49=C49)</f>
        <v/>
      </c>
    </row>
    <row r="50">
      <c r="A50">
        <f>BreastCancer_Data!A50</f>
        <v/>
      </c>
      <c r="B50">
        <f>BreastCancer_Data!B50</f>
        <v/>
      </c>
      <c r="C50">
        <f>BreastCancer_Data!D50</f>
        <v/>
      </c>
      <c r="D50">
        <f>BreastCancer_Data!E50</f>
        <v/>
      </c>
      <c r="E50">
        <f>BreastCancer_Data!F50</f>
        <v/>
      </c>
      <c r="F50">
        <f>BreastCancer_Data!G50</f>
        <v/>
      </c>
      <c r="G50">
        <f>BreastCancer_Data!H50</f>
        <v/>
      </c>
      <c r="H50">
        <f>BreastCancer_Data!I50</f>
        <v/>
      </c>
      <c r="I50">
        <f>BreastCancer_Data!J50</f>
        <v/>
      </c>
      <c r="J50">
        <f>BreastCancer_Data!K50</f>
        <v/>
      </c>
      <c r="K50">
        <f>BreastCancer_Data!L50</f>
        <v/>
      </c>
      <c r="L50">
        <f>BreastCancer_Data!M50</f>
        <v/>
      </c>
      <c r="M50">
        <f>BreastCancer_Data!N50</f>
        <v/>
      </c>
      <c r="N50">
        <f>BreastCancer_Data!O50</f>
        <v/>
      </c>
      <c r="O50">
        <f>0</f>
        <v/>
      </c>
      <c r="P50">
        <f>--(AND(D50&lt;=113.15,E50&lt;=0.15,F50&lt;=15.77,G50&lt;=0.18,H50&lt;=33.27))*0</f>
        <v/>
      </c>
      <c r="Q50">
        <f>--(AND(D50&lt;=113.15,E50&lt;=0.15,F50&lt;=15.77,G50&lt;=0.18,H50&gt;33.27))*0</f>
        <v/>
      </c>
      <c r="R50">
        <f>--(AND(D50&lt;=113.15,E50&lt;=0.15,F50&lt;=15.77,G50&gt;0.18))*0</f>
        <v/>
      </c>
      <c r="S50">
        <f>--(AND(D50&lt;=113.15,E50&lt;=0.15,F50&gt;15.77,H50&lt;=28.86,G50&lt;=0.14))*0</f>
        <v/>
      </c>
      <c r="T50">
        <f>--(AND(D50&lt;=113.15,E50&lt;=0.15,F50&gt;15.77,H50&lt;=28.86,G50&gt;0.14))*1</f>
        <v/>
      </c>
      <c r="U50">
        <f>--(AND(D50&lt;=113.15,E50&lt;=0.15,F50&gt;15.77,H50&gt;28.86,M50&lt;=14.54))*1</f>
        <v/>
      </c>
      <c r="V50">
        <f>--(AND(D50&lt;=113.15,E50&lt;=0.15,F50&gt;15.77,H50&gt;28.86,M50&gt;14.54))*1</f>
        <v/>
      </c>
      <c r="W50">
        <f>--(AND(D50&lt;=113.15,E50&gt;0.15,H50&lt;=23.74))*0</f>
        <v/>
      </c>
      <c r="X50">
        <f>--(AND(D50&lt;=113.15,E50&gt;0.15,H50&gt;23.74,J50&lt;=0.1))*1</f>
        <v/>
      </c>
      <c r="Y50">
        <f>--(AND(D50&lt;=113.15,E50&gt;0.15,H50&gt;23.74,J50&gt;0.1))*1</f>
        <v/>
      </c>
      <c r="Z50">
        <f>--(AND(D50&gt;113.15,K50&lt;=0.22,L50&lt;=0.02))*1</f>
        <v/>
      </c>
      <c r="AA50">
        <f>--(AND(D50&gt;113.15,K50&lt;=0.22,L50&gt;0.02))*0</f>
        <v/>
      </c>
      <c r="AB50">
        <f>--(AND(D50&gt;113.15,K50&gt;0.22,N50&lt;=810.1))*0</f>
        <v/>
      </c>
      <c r="AC50">
        <f>--(AND(D50&gt;113.15,K50&gt;0.22,N50&gt;810.1,I50&lt;=14.95))*1</f>
        <v/>
      </c>
      <c r="AD50">
        <f>--(AND(D50&gt;113.15,K50&gt;0.22,N50&gt;810.1,I50&gt;14.95))*1</f>
        <v/>
      </c>
      <c r="AE50">
        <f>SUM(P50:AD50)</f>
        <v/>
      </c>
      <c r="AF50">
        <f>IF(AE50=1,"Malignant","Benign")</f>
        <v/>
      </c>
      <c r="AG50">
        <f>--(AE50=C50)</f>
        <v/>
      </c>
    </row>
    <row r="51">
      <c r="A51">
        <f>BreastCancer_Data!A51</f>
        <v/>
      </c>
      <c r="B51">
        <f>BreastCancer_Data!B51</f>
        <v/>
      </c>
      <c r="C51">
        <f>BreastCancer_Data!D51</f>
        <v/>
      </c>
      <c r="D51">
        <f>BreastCancer_Data!E51</f>
        <v/>
      </c>
      <c r="E51">
        <f>BreastCancer_Data!F51</f>
        <v/>
      </c>
      <c r="F51">
        <f>BreastCancer_Data!G51</f>
        <v/>
      </c>
      <c r="G51">
        <f>BreastCancer_Data!H51</f>
        <v/>
      </c>
      <c r="H51">
        <f>BreastCancer_Data!I51</f>
        <v/>
      </c>
      <c r="I51">
        <f>BreastCancer_Data!J51</f>
        <v/>
      </c>
      <c r="J51">
        <f>BreastCancer_Data!K51</f>
        <v/>
      </c>
      <c r="K51">
        <f>BreastCancer_Data!L51</f>
        <v/>
      </c>
      <c r="L51">
        <f>BreastCancer_Data!M51</f>
        <v/>
      </c>
      <c r="M51">
        <f>BreastCancer_Data!N51</f>
        <v/>
      </c>
      <c r="N51">
        <f>BreastCancer_Data!O51</f>
        <v/>
      </c>
      <c r="O51">
        <f>0</f>
        <v/>
      </c>
      <c r="P51">
        <f>--(AND(D51&lt;=113.15,E51&lt;=0.15,F51&lt;=15.77,G51&lt;=0.18,H51&lt;=33.27))*0</f>
        <v/>
      </c>
      <c r="Q51">
        <f>--(AND(D51&lt;=113.15,E51&lt;=0.15,F51&lt;=15.77,G51&lt;=0.18,H51&gt;33.27))*0</f>
        <v/>
      </c>
      <c r="R51">
        <f>--(AND(D51&lt;=113.15,E51&lt;=0.15,F51&lt;=15.77,G51&gt;0.18))*0</f>
        <v/>
      </c>
      <c r="S51">
        <f>--(AND(D51&lt;=113.15,E51&lt;=0.15,F51&gt;15.77,H51&lt;=28.86,G51&lt;=0.14))*0</f>
        <v/>
      </c>
      <c r="T51">
        <f>--(AND(D51&lt;=113.15,E51&lt;=0.15,F51&gt;15.77,H51&lt;=28.86,G51&gt;0.14))*1</f>
        <v/>
      </c>
      <c r="U51">
        <f>--(AND(D51&lt;=113.15,E51&lt;=0.15,F51&gt;15.77,H51&gt;28.86,M51&lt;=14.54))*1</f>
        <v/>
      </c>
      <c r="V51">
        <f>--(AND(D51&lt;=113.15,E51&lt;=0.15,F51&gt;15.77,H51&gt;28.86,M51&gt;14.54))*1</f>
        <v/>
      </c>
      <c r="W51">
        <f>--(AND(D51&lt;=113.15,E51&gt;0.15,H51&lt;=23.74))*0</f>
        <v/>
      </c>
      <c r="X51">
        <f>--(AND(D51&lt;=113.15,E51&gt;0.15,H51&gt;23.74,J51&lt;=0.1))*1</f>
        <v/>
      </c>
      <c r="Y51">
        <f>--(AND(D51&lt;=113.15,E51&gt;0.15,H51&gt;23.74,J51&gt;0.1))*1</f>
        <v/>
      </c>
      <c r="Z51">
        <f>--(AND(D51&gt;113.15,K51&lt;=0.22,L51&lt;=0.02))*1</f>
        <v/>
      </c>
      <c r="AA51">
        <f>--(AND(D51&gt;113.15,K51&lt;=0.22,L51&gt;0.02))*0</f>
        <v/>
      </c>
      <c r="AB51">
        <f>--(AND(D51&gt;113.15,K51&gt;0.22,N51&lt;=810.1))*0</f>
        <v/>
      </c>
      <c r="AC51">
        <f>--(AND(D51&gt;113.15,K51&gt;0.22,N51&gt;810.1,I51&lt;=14.95))*1</f>
        <v/>
      </c>
      <c r="AD51">
        <f>--(AND(D51&gt;113.15,K51&gt;0.22,N51&gt;810.1,I51&gt;14.95))*1</f>
        <v/>
      </c>
      <c r="AE51">
        <f>SUM(P51:AD51)</f>
        <v/>
      </c>
      <c r="AF51">
        <f>IF(AE51=1,"Malignant","Benign")</f>
        <v/>
      </c>
      <c r="AG51">
        <f>--(AE51=C51)</f>
        <v/>
      </c>
    </row>
    <row r="52">
      <c r="A52">
        <f>BreastCancer_Data!A52</f>
        <v/>
      </c>
      <c r="B52">
        <f>BreastCancer_Data!B52</f>
        <v/>
      </c>
      <c r="C52">
        <f>BreastCancer_Data!D52</f>
        <v/>
      </c>
      <c r="D52">
        <f>BreastCancer_Data!E52</f>
        <v/>
      </c>
      <c r="E52">
        <f>BreastCancer_Data!F52</f>
        <v/>
      </c>
      <c r="F52">
        <f>BreastCancer_Data!G52</f>
        <v/>
      </c>
      <c r="G52">
        <f>BreastCancer_Data!H52</f>
        <v/>
      </c>
      <c r="H52">
        <f>BreastCancer_Data!I52</f>
        <v/>
      </c>
      <c r="I52">
        <f>BreastCancer_Data!J52</f>
        <v/>
      </c>
      <c r="J52">
        <f>BreastCancer_Data!K52</f>
        <v/>
      </c>
      <c r="K52">
        <f>BreastCancer_Data!L52</f>
        <v/>
      </c>
      <c r="L52">
        <f>BreastCancer_Data!M52</f>
        <v/>
      </c>
      <c r="M52">
        <f>BreastCancer_Data!N52</f>
        <v/>
      </c>
      <c r="N52">
        <f>BreastCancer_Data!O52</f>
        <v/>
      </c>
      <c r="O52">
        <f>0</f>
        <v/>
      </c>
      <c r="P52">
        <f>--(AND(D52&lt;=113.15,E52&lt;=0.15,F52&lt;=15.77,G52&lt;=0.18,H52&lt;=33.27))*0</f>
        <v/>
      </c>
      <c r="Q52">
        <f>--(AND(D52&lt;=113.15,E52&lt;=0.15,F52&lt;=15.77,G52&lt;=0.18,H52&gt;33.27))*0</f>
        <v/>
      </c>
      <c r="R52">
        <f>--(AND(D52&lt;=113.15,E52&lt;=0.15,F52&lt;=15.77,G52&gt;0.18))*0</f>
        <v/>
      </c>
      <c r="S52">
        <f>--(AND(D52&lt;=113.15,E52&lt;=0.15,F52&gt;15.77,H52&lt;=28.86,G52&lt;=0.14))*0</f>
        <v/>
      </c>
      <c r="T52">
        <f>--(AND(D52&lt;=113.15,E52&lt;=0.15,F52&gt;15.77,H52&lt;=28.86,G52&gt;0.14))*1</f>
        <v/>
      </c>
      <c r="U52">
        <f>--(AND(D52&lt;=113.15,E52&lt;=0.15,F52&gt;15.77,H52&gt;28.86,M52&lt;=14.54))*1</f>
        <v/>
      </c>
      <c r="V52">
        <f>--(AND(D52&lt;=113.15,E52&lt;=0.15,F52&gt;15.77,H52&gt;28.86,M52&gt;14.54))*1</f>
        <v/>
      </c>
      <c r="W52">
        <f>--(AND(D52&lt;=113.15,E52&gt;0.15,H52&lt;=23.74))*0</f>
        <v/>
      </c>
      <c r="X52">
        <f>--(AND(D52&lt;=113.15,E52&gt;0.15,H52&gt;23.74,J52&lt;=0.1))*1</f>
        <v/>
      </c>
      <c r="Y52">
        <f>--(AND(D52&lt;=113.15,E52&gt;0.15,H52&gt;23.74,J52&gt;0.1))*1</f>
        <v/>
      </c>
      <c r="Z52">
        <f>--(AND(D52&gt;113.15,K52&lt;=0.22,L52&lt;=0.02))*1</f>
        <v/>
      </c>
      <c r="AA52">
        <f>--(AND(D52&gt;113.15,K52&lt;=0.22,L52&gt;0.02))*0</f>
        <v/>
      </c>
      <c r="AB52">
        <f>--(AND(D52&gt;113.15,K52&gt;0.22,N52&lt;=810.1))*0</f>
        <v/>
      </c>
      <c r="AC52">
        <f>--(AND(D52&gt;113.15,K52&gt;0.22,N52&gt;810.1,I52&lt;=14.95))*1</f>
        <v/>
      </c>
      <c r="AD52">
        <f>--(AND(D52&gt;113.15,K52&gt;0.22,N52&gt;810.1,I52&gt;14.95))*1</f>
        <v/>
      </c>
      <c r="AE52">
        <f>SUM(P52:AD52)</f>
        <v/>
      </c>
      <c r="AF52">
        <f>IF(AE52=1,"Malignant","Benign")</f>
        <v/>
      </c>
      <c r="AG52">
        <f>--(AE52=C52)</f>
        <v/>
      </c>
    </row>
    <row r="53">
      <c r="A53">
        <f>BreastCancer_Data!A53</f>
        <v/>
      </c>
      <c r="B53">
        <f>BreastCancer_Data!B53</f>
        <v/>
      </c>
      <c r="C53">
        <f>BreastCancer_Data!D53</f>
        <v/>
      </c>
      <c r="D53">
        <f>BreastCancer_Data!E53</f>
        <v/>
      </c>
      <c r="E53">
        <f>BreastCancer_Data!F53</f>
        <v/>
      </c>
      <c r="F53">
        <f>BreastCancer_Data!G53</f>
        <v/>
      </c>
      <c r="G53">
        <f>BreastCancer_Data!H53</f>
        <v/>
      </c>
      <c r="H53">
        <f>BreastCancer_Data!I53</f>
        <v/>
      </c>
      <c r="I53">
        <f>BreastCancer_Data!J53</f>
        <v/>
      </c>
      <c r="J53">
        <f>BreastCancer_Data!K53</f>
        <v/>
      </c>
      <c r="K53">
        <f>BreastCancer_Data!L53</f>
        <v/>
      </c>
      <c r="L53">
        <f>BreastCancer_Data!M53</f>
        <v/>
      </c>
      <c r="M53">
        <f>BreastCancer_Data!N53</f>
        <v/>
      </c>
      <c r="N53">
        <f>BreastCancer_Data!O53</f>
        <v/>
      </c>
      <c r="O53">
        <f>0</f>
        <v/>
      </c>
      <c r="P53">
        <f>--(AND(D53&lt;=113.15,E53&lt;=0.15,F53&lt;=15.77,G53&lt;=0.18,H53&lt;=33.27))*0</f>
        <v/>
      </c>
      <c r="Q53">
        <f>--(AND(D53&lt;=113.15,E53&lt;=0.15,F53&lt;=15.77,G53&lt;=0.18,H53&gt;33.27))*0</f>
        <v/>
      </c>
      <c r="R53">
        <f>--(AND(D53&lt;=113.15,E53&lt;=0.15,F53&lt;=15.77,G53&gt;0.18))*0</f>
        <v/>
      </c>
      <c r="S53">
        <f>--(AND(D53&lt;=113.15,E53&lt;=0.15,F53&gt;15.77,H53&lt;=28.86,G53&lt;=0.14))*0</f>
        <v/>
      </c>
      <c r="T53">
        <f>--(AND(D53&lt;=113.15,E53&lt;=0.15,F53&gt;15.77,H53&lt;=28.86,G53&gt;0.14))*1</f>
        <v/>
      </c>
      <c r="U53">
        <f>--(AND(D53&lt;=113.15,E53&lt;=0.15,F53&gt;15.77,H53&gt;28.86,M53&lt;=14.54))*1</f>
        <v/>
      </c>
      <c r="V53">
        <f>--(AND(D53&lt;=113.15,E53&lt;=0.15,F53&gt;15.77,H53&gt;28.86,M53&gt;14.54))*1</f>
        <v/>
      </c>
      <c r="W53">
        <f>--(AND(D53&lt;=113.15,E53&gt;0.15,H53&lt;=23.74))*0</f>
        <v/>
      </c>
      <c r="X53">
        <f>--(AND(D53&lt;=113.15,E53&gt;0.15,H53&gt;23.74,J53&lt;=0.1))*1</f>
        <v/>
      </c>
      <c r="Y53">
        <f>--(AND(D53&lt;=113.15,E53&gt;0.15,H53&gt;23.74,J53&gt;0.1))*1</f>
        <v/>
      </c>
      <c r="Z53">
        <f>--(AND(D53&gt;113.15,K53&lt;=0.22,L53&lt;=0.02))*1</f>
        <v/>
      </c>
      <c r="AA53">
        <f>--(AND(D53&gt;113.15,K53&lt;=0.22,L53&gt;0.02))*0</f>
        <v/>
      </c>
      <c r="AB53">
        <f>--(AND(D53&gt;113.15,K53&gt;0.22,N53&lt;=810.1))*0</f>
        <v/>
      </c>
      <c r="AC53">
        <f>--(AND(D53&gt;113.15,K53&gt;0.22,N53&gt;810.1,I53&lt;=14.95))*1</f>
        <v/>
      </c>
      <c r="AD53">
        <f>--(AND(D53&gt;113.15,K53&gt;0.22,N53&gt;810.1,I53&gt;14.95))*1</f>
        <v/>
      </c>
      <c r="AE53">
        <f>SUM(P53:AD53)</f>
        <v/>
      </c>
      <c r="AF53">
        <f>IF(AE53=1,"Malignant","Benign")</f>
        <v/>
      </c>
      <c r="AG53">
        <f>--(AE53=C53)</f>
        <v/>
      </c>
    </row>
    <row r="54">
      <c r="A54">
        <f>BreastCancer_Data!A54</f>
        <v/>
      </c>
      <c r="B54">
        <f>BreastCancer_Data!B54</f>
        <v/>
      </c>
      <c r="C54">
        <f>BreastCancer_Data!D54</f>
        <v/>
      </c>
      <c r="D54">
        <f>BreastCancer_Data!E54</f>
        <v/>
      </c>
      <c r="E54">
        <f>BreastCancer_Data!F54</f>
        <v/>
      </c>
      <c r="F54">
        <f>BreastCancer_Data!G54</f>
        <v/>
      </c>
      <c r="G54">
        <f>BreastCancer_Data!H54</f>
        <v/>
      </c>
      <c r="H54">
        <f>BreastCancer_Data!I54</f>
        <v/>
      </c>
      <c r="I54">
        <f>BreastCancer_Data!J54</f>
        <v/>
      </c>
      <c r="J54">
        <f>BreastCancer_Data!K54</f>
        <v/>
      </c>
      <c r="K54">
        <f>BreastCancer_Data!L54</f>
        <v/>
      </c>
      <c r="L54">
        <f>BreastCancer_Data!M54</f>
        <v/>
      </c>
      <c r="M54">
        <f>BreastCancer_Data!N54</f>
        <v/>
      </c>
      <c r="N54">
        <f>BreastCancer_Data!O54</f>
        <v/>
      </c>
      <c r="O54">
        <f>0</f>
        <v/>
      </c>
      <c r="P54">
        <f>--(AND(D54&lt;=113.15,E54&lt;=0.15,F54&lt;=15.77,G54&lt;=0.18,H54&lt;=33.27))*0</f>
        <v/>
      </c>
      <c r="Q54">
        <f>--(AND(D54&lt;=113.15,E54&lt;=0.15,F54&lt;=15.77,G54&lt;=0.18,H54&gt;33.27))*0</f>
        <v/>
      </c>
      <c r="R54">
        <f>--(AND(D54&lt;=113.15,E54&lt;=0.15,F54&lt;=15.77,G54&gt;0.18))*0</f>
        <v/>
      </c>
      <c r="S54">
        <f>--(AND(D54&lt;=113.15,E54&lt;=0.15,F54&gt;15.77,H54&lt;=28.86,G54&lt;=0.14))*0</f>
        <v/>
      </c>
      <c r="T54">
        <f>--(AND(D54&lt;=113.15,E54&lt;=0.15,F54&gt;15.77,H54&lt;=28.86,G54&gt;0.14))*1</f>
        <v/>
      </c>
      <c r="U54">
        <f>--(AND(D54&lt;=113.15,E54&lt;=0.15,F54&gt;15.77,H54&gt;28.86,M54&lt;=14.54))*1</f>
        <v/>
      </c>
      <c r="V54">
        <f>--(AND(D54&lt;=113.15,E54&lt;=0.15,F54&gt;15.77,H54&gt;28.86,M54&gt;14.54))*1</f>
        <v/>
      </c>
      <c r="W54">
        <f>--(AND(D54&lt;=113.15,E54&gt;0.15,H54&lt;=23.74))*0</f>
        <v/>
      </c>
      <c r="X54">
        <f>--(AND(D54&lt;=113.15,E54&gt;0.15,H54&gt;23.74,J54&lt;=0.1))*1</f>
        <v/>
      </c>
      <c r="Y54">
        <f>--(AND(D54&lt;=113.15,E54&gt;0.15,H54&gt;23.74,J54&gt;0.1))*1</f>
        <v/>
      </c>
      <c r="Z54">
        <f>--(AND(D54&gt;113.15,K54&lt;=0.22,L54&lt;=0.02))*1</f>
        <v/>
      </c>
      <c r="AA54">
        <f>--(AND(D54&gt;113.15,K54&lt;=0.22,L54&gt;0.02))*0</f>
        <v/>
      </c>
      <c r="AB54">
        <f>--(AND(D54&gt;113.15,K54&gt;0.22,N54&lt;=810.1))*0</f>
        <v/>
      </c>
      <c r="AC54">
        <f>--(AND(D54&gt;113.15,K54&gt;0.22,N54&gt;810.1,I54&lt;=14.95))*1</f>
        <v/>
      </c>
      <c r="AD54">
        <f>--(AND(D54&gt;113.15,K54&gt;0.22,N54&gt;810.1,I54&gt;14.95))*1</f>
        <v/>
      </c>
      <c r="AE54">
        <f>SUM(P54:AD54)</f>
        <v/>
      </c>
      <c r="AF54">
        <f>IF(AE54=1,"Malignant","Benign")</f>
        <v/>
      </c>
      <c r="AG54">
        <f>--(AE54=C54)</f>
        <v/>
      </c>
    </row>
    <row r="55">
      <c r="A55">
        <f>BreastCancer_Data!A55</f>
        <v/>
      </c>
      <c r="B55">
        <f>BreastCancer_Data!B55</f>
        <v/>
      </c>
      <c r="C55">
        <f>BreastCancer_Data!D55</f>
        <v/>
      </c>
      <c r="D55">
        <f>BreastCancer_Data!E55</f>
        <v/>
      </c>
      <c r="E55">
        <f>BreastCancer_Data!F55</f>
        <v/>
      </c>
      <c r="F55">
        <f>BreastCancer_Data!G55</f>
        <v/>
      </c>
      <c r="G55">
        <f>BreastCancer_Data!H55</f>
        <v/>
      </c>
      <c r="H55">
        <f>BreastCancer_Data!I55</f>
        <v/>
      </c>
      <c r="I55">
        <f>BreastCancer_Data!J55</f>
        <v/>
      </c>
      <c r="J55">
        <f>BreastCancer_Data!K55</f>
        <v/>
      </c>
      <c r="K55">
        <f>BreastCancer_Data!L55</f>
        <v/>
      </c>
      <c r="L55">
        <f>BreastCancer_Data!M55</f>
        <v/>
      </c>
      <c r="M55">
        <f>BreastCancer_Data!N55</f>
        <v/>
      </c>
      <c r="N55">
        <f>BreastCancer_Data!O55</f>
        <v/>
      </c>
      <c r="O55">
        <f>0</f>
        <v/>
      </c>
      <c r="P55">
        <f>--(AND(D55&lt;=113.15,E55&lt;=0.15,F55&lt;=15.77,G55&lt;=0.18,H55&lt;=33.27))*0</f>
        <v/>
      </c>
      <c r="Q55">
        <f>--(AND(D55&lt;=113.15,E55&lt;=0.15,F55&lt;=15.77,G55&lt;=0.18,H55&gt;33.27))*0</f>
        <v/>
      </c>
      <c r="R55">
        <f>--(AND(D55&lt;=113.15,E55&lt;=0.15,F55&lt;=15.77,G55&gt;0.18))*0</f>
        <v/>
      </c>
      <c r="S55">
        <f>--(AND(D55&lt;=113.15,E55&lt;=0.15,F55&gt;15.77,H55&lt;=28.86,G55&lt;=0.14))*0</f>
        <v/>
      </c>
      <c r="T55">
        <f>--(AND(D55&lt;=113.15,E55&lt;=0.15,F55&gt;15.77,H55&lt;=28.86,G55&gt;0.14))*1</f>
        <v/>
      </c>
      <c r="U55">
        <f>--(AND(D55&lt;=113.15,E55&lt;=0.15,F55&gt;15.77,H55&gt;28.86,M55&lt;=14.54))*1</f>
        <v/>
      </c>
      <c r="V55">
        <f>--(AND(D55&lt;=113.15,E55&lt;=0.15,F55&gt;15.77,H55&gt;28.86,M55&gt;14.54))*1</f>
        <v/>
      </c>
      <c r="W55">
        <f>--(AND(D55&lt;=113.15,E55&gt;0.15,H55&lt;=23.74))*0</f>
        <v/>
      </c>
      <c r="X55">
        <f>--(AND(D55&lt;=113.15,E55&gt;0.15,H55&gt;23.74,J55&lt;=0.1))*1</f>
        <v/>
      </c>
      <c r="Y55">
        <f>--(AND(D55&lt;=113.15,E55&gt;0.15,H55&gt;23.74,J55&gt;0.1))*1</f>
        <v/>
      </c>
      <c r="Z55">
        <f>--(AND(D55&gt;113.15,K55&lt;=0.22,L55&lt;=0.02))*1</f>
        <v/>
      </c>
      <c r="AA55">
        <f>--(AND(D55&gt;113.15,K55&lt;=0.22,L55&gt;0.02))*0</f>
        <v/>
      </c>
      <c r="AB55">
        <f>--(AND(D55&gt;113.15,K55&gt;0.22,N55&lt;=810.1))*0</f>
        <v/>
      </c>
      <c r="AC55">
        <f>--(AND(D55&gt;113.15,K55&gt;0.22,N55&gt;810.1,I55&lt;=14.95))*1</f>
        <v/>
      </c>
      <c r="AD55">
        <f>--(AND(D55&gt;113.15,K55&gt;0.22,N55&gt;810.1,I55&gt;14.95))*1</f>
        <v/>
      </c>
      <c r="AE55">
        <f>SUM(P55:AD55)</f>
        <v/>
      </c>
      <c r="AF55">
        <f>IF(AE55=1,"Malignant","Benign")</f>
        <v/>
      </c>
      <c r="AG55">
        <f>--(AE55=C55)</f>
        <v/>
      </c>
    </row>
    <row r="56">
      <c r="A56">
        <f>BreastCancer_Data!A56</f>
        <v/>
      </c>
      <c r="B56">
        <f>BreastCancer_Data!B56</f>
        <v/>
      </c>
      <c r="C56">
        <f>BreastCancer_Data!D56</f>
        <v/>
      </c>
      <c r="D56">
        <f>BreastCancer_Data!E56</f>
        <v/>
      </c>
      <c r="E56">
        <f>BreastCancer_Data!F56</f>
        <v/>
      </c>
      <c r="F56">
        <f>BreastCancer_Data!G56</f>
        <v/>
      </c>
      <c r="G56">
        <f>BreastCancer_Data!H56</f>
        <v/>
      </c>
      <c r="H56">
        <f>BreastCancer_Data!I56</f>
        <v/>
      </c>
      <c r="I56">
        <f>BreastCancer_Data!J56</f>
        <v/>
      </c>
      <c r="J56">
        <f>BreastCancer_Data!K56</f>
        <v/>
      </c>
      <c r="K56">
        <f>BreastCancer_Data!L56</f>
        <v/>
      </c>
      <c r="L56">
        <f>BreastCancer_Data!M56</f>
        <v/>
      </c>
      <c r="M56">
        <f>BreastCancer_Data!N56</f>
        <v/>
      </c>
      <c r="N56">
        <f>BreastCancer_Data!O56</f>
        <v/>
      </c>
      <c r="O56">
        <f>0</f>
        <v/>
      </c>
      <c r="P56">
        <f>--(AND(D56&lt;=113.15,E56&lt;=0.15,F56&lt;=15.77,G56&lt;=0.18,H56&lt;=33.27))*0</f>
        <v/>
      </c>
      <c r="Q56">
        <f>--(AND(D56&lt;=113.15,E56&lt;=0.15,F56&lt;=15.77,G56&lt;=0.18,H56&gt;33.27))*0</f>
        <v/>
      </c>
      <c r="R56">
        <f>--(AND(D56&lt;=113.15,E56&lt;=0.15,F56&lt;=15.77,G56&gt;0.18))*0</f>
        <v/>
      </c>
      <c r="S56">
        <f>--(AND(D56&lt;=113.15,E56&lt;=0.15,F56&gt;15.77,H56&lt;=28.86,G56&lt;=0.14))*0</f>
        <v/>
      </c>
      <c r="T56">
        <f>--(AND(D56&lt;=113.15,E56&lt;=0.15,F56&gt;15.77,H56&lt;=28.86,G56&gt;0.14))*1</f>
        <v/>
      </c>
      <c r="U56">
        <f>--(AND(D56&lt;=113.15,E56&lt;=0.15,F56&gt;15.77,H56&gt;28.86,M56&lt;=14.54))*1</f>
        <v/>
      </c>
      <c r="V56">
        <f>--(AND(D56&lt;=113.15,E56&lt;=0.15,F56&gt;15.77,H56&gt;28.86,M56&gt;14.54))*1</f>
        <v/>
      </c>
      <c r="W56">
        <f>--(AND(D56&lt;=113.15,E56&gt;0.15,H56&lt;=23.74))*0</f>
        <v/>
      </c>
      <c r="X56">
        <f>--(AND(D56&lt;=113.15,E56&gt;0.15,H56&gt;23.74,J56&lt;=0.1))*1</f>
        <v/>
      </c>
      <c r="Y56">
        <f>--(AND(D56&lt;=113.15,E56&gt;0.15,H56&gt;23.74,J56&gt;0.1))*1</f>
        <v/>
      </c>
      <c r="Z56">
        <f>--(AND(D56&gt;113.15,K56&lt;=0.22,L56&lt;=0.02))*1</f>
        <v/>
      </c>
      <c r="AA56">
        <f>--(AND(D56&gt;113.15,K56&lt;=0.22,L56&gt;0.02))*0</f>
        <v/>
      </c>
      <c r="AB56">
        <f>--(AND(D56&gt;113.15,K56&gt;0.22,N56&lt;=810.1))*0</f>
        <v/>
      </c>
      <c r="AC56">
        <f>--(AND(D56&gt;113.15,K56&gt;0.22,N56&gt;810.1,I56&lt;=14.95))*1</f>
        <v/>
      </c>
      <c r="AD56">
        <f>--(AND(D56&gt;113.15,K56&gt;0.22,N56&gt;810.1,I56&gt;14.95))*1</f>
        <v/>
      </c>
      <c r="AE56">
        <f>SUM(P56:AD56)</f>
        <v/>
      </c>
      <c r="AF56">
        <f>IF(AE56=1,"Malignant","Benign")</f>
        <v/>
      </c>
      <c r="AG56">
        <f>--(AE56=C56)</f>
        <v/>
      </c>
    </row>
    <row r="57">
      <c r="A57">
        <f>BreastCancer_Data!A57</f>
        <v/>
      </c>
      <c r="B57">
        <f>BreastCancer_Data!B57</f>
        <v/>
      </c>
      <c r="C57">
        <f>BreastCancer_Data!D57</f>
        <v/>
      </c>
      <c r="D57">
        <f>BreastCancer_Data!E57</f>
        <v/>
      </c>
      <c r="E57">
        <f>BreastCancer_Data!F57</f>
        <v/>
      </c>
      <c r="F57">
        <f>BreastCancer_Data!G57</f>
        <v/>
      </c>
      <c r="G57">
        <f>BreastCancer_Data!H57</f>
        <v/>
      </c>
      <c r="H57">
        <f>BreastCancer_Data!I57</f>
        <v/>
      </c>
      <c r="I57">
        <f>BreastCancer_Data!J57</f>
        <v/>
      </c>
      <c r="J57">
        <f>BreastCancer_Data!K57</f>
        <v/>
      </c>
      <c r="K57">
        <f>BreastCancer_Data!L57</f>
        <v/>
      </c>
      <c r="L57">
        <f>BreastCancer_Data!M57</f>
        <v/>
      </c>
      <c r="M57">
        <f>BreastCancer_Data!N57</f>
        <v/>
      </c>
      <c r="N57">
        <f>BreastCancer_Data!O57</f>
        <v/>
      </c>
      <c r="O57">
        <f>0</f>
        <v/>
      </c>
      <c r="P57">
        <f>--(AND(D57&lt;=113.15,E57&lt;=0.15,F57&lt;=15.77,G57&lt;=0.18,H57&lt;=33.27))*0</f>
        <v/>
      </c>
      <c r="Q57">
        <f>--(AND(D57&lt;=113.15,E57&lt;=0.15,F57&lt;=15.77,G57&lt;=0.18,H57&gt;33.27))*0</f>
        <v/>
      </c>
      <c r="R57">
        <f>--(AND(D57&lt;=113.15,E57&lt;=0.15,F57&lt;=15.77,G57&gt;0.18))*0</f>
        <v/>
      </c>
      <c r="S57">
        <f>--(AND(D57&lt;=113.15,E57&lt;=0.15,F57&gt;15.77,H57&lt;=28.86,G57&lt;=0.14))*0</f>
        <v/>
      </c>
      <c r="T57">
        <f>--(AND(D57&lt;=113.15,E57&lt;=0.15,F57&gt;15.77,H57&lt;=28.86,G57&gt;0.14))*1</f>
        <v/>
      </c>
      <c r="U57">
        <f>--(AND(D57&lt;=113.15,E57&lt;=0.15,F57&gt;15.77,H57&gt;28.86,M57&lt;=14.54))*1</f>
        <v/>
      </c>
      <c r="V57">
        <f>--(AND(D57&lt;=113.15,E57&lt;=0.15,F57&gt;15.77,H57&gt;28.86,M57&gt;14.54))*1</f>
        <v/>
      </c>
      <c r="W57">
        <f>--(AND(D57&lt;=113.15,E57&gt;0.15,H57&lt;=23.74))*0</f>
        <v/>
      </c>
      <c r="X57">
        <f>--(AND(D57&lt;=113.15,E57&gt;0.15,H57&gt;23.74,J57&lt;=0.1))*1</f>
        <v/>
      </c>
      <c r="Y57">
        <f>--(AND(D57&lt;=113.15,E57&gt;0.15,H57&gt;23.74,J57&gt;0.1))*1</f>
        <v/>
      </c>
      <c r="Z57">
        <f>--(AND(D57&gt;113.15,K57&lt;=0.22,L57&lt;=0.02))*1</f>
        <v/>
      </c>
      <c r="AA57">
        <f>--(AND(D57&gt;113.15,K57&lt;=0.22,L57&gt;0.02))*0</f>
        <v/>
      </c>
      <c r="AB57">
        <f>--(AND(D57&gt;113.15,K57&gt;0.22,N57&lt;=810.1))*0</f>
        <v/>
      </c>
      <c r="AC57">
        <f>--(AND(D57&gt;113.15,K57&gt;0.22,N57&gt;810.1,I57&lt;=14.95))*1</f>
        <v/>
      </c>
      <c r="AD57">
        <f>--(AND(D57&gt;113.15,K57&gt;0.22,N57&gt;810.1,I57&gt;14.95))*1</f>
        <v/>
      </c>
      <c r="AE57">
        <f>SUM(P57:AD57)</f>
        <v/>
      </c>
      <c r="AF57">
        <f>IF(AE57=1,"Malignant","Benign")</f>
        <v/>
      </c>
      <c r="AG57">
        <f>--(AE57=C57)</f>
        <v/>
      </c>
    </row>
    <row r="58">
      <c r="A58">
        <f>BreastCancer_Data!A58</f>
        <v/>
      </c>
      <c r="B58">
        <f>BreastCancer_Data!B58</f>
        <v/>
      </c>
      <c r="C58">
        <f>BreastCancer_Data!D58</f>
        <v/>
      </c>
      <c r="D58">
        <f>BreastCancer_Data!E58</f>
        <v/>
      </c>
      <c r="E58">
        <f>BreastCancer_Data!F58</f>
        <v/>
      </c>
      <c r="F58">
        <f>BreastCancer_Data!G58</f>
        <v/>
      </c>
      <c r="G58">
        <f>BreastCancer_Data!H58</f>
        <v/>
      </c>
      <c r="H58">
        <f>BreastCancer_Data!I58</f>
        <v/>
      </c>
      <c r="I58">
        <f>BreastCancer_Data!J58</f>
        <v/>
      </c>
      <c r="J58">
        <f>BreastCancer_Data!K58</f>
        <v/>
      </c>
      <c r="K58">
        <f>BreastCancer_Data!L58</f>
        <v/>
      </c>
      <c r="L58">
        <f>BreastCancer_Data!M58</f>
        <v/>
      </c>
      <c r="M58">
        <f>BreastCancer_Data!N58</f>
        <v/>
      </c>
      <c r="N58">
        <f>BreastCancer_Data!O58</f>
        <v/>
      </c>
      <c r="O58">
        <f>0</f>
        <v/>
      </c>
      <c r="P58">
        <f>--(AND(D58&lt;=113.15,E58&lt;=0.15,F58&lt;=15.77,G58&lt;=0.18,H58&lt;=33.27))*0</f>
        <v/>
      </c>
      <c r="Q58">
        <f>--(AND(D58&lt;=113.15,E58&lt;=0.15,F58&lt;=15.77,G58&lt;=0.18,H58&gt;33.27))*0</f>
        <v/>
      </c>
      <c r="R58">
        <f>--(AND(D58&lt;=113.15,E58&lt;=0.15,F58&lt;=15.77,G58&gt;0.18))*0</f>
        <v/>
      </c>
      <c r="S58">
        <f>--(AND(D58&lt;=113.15,E58&lt;=0.15,F58&gt;15.77,H58&lt;=28.86,G58&lt;=0.14))*0</f>
        <v/>
      </c>
      <c r="T58">
        <f>--(AND(D58&lt;=113.15,E58&lt;=0.15,F58&gt;15.77,H58&lt;=28.86,G58&gt;0.14))*1</f>
        <v/>
      </c>
      <c r="U58">
        <f>--(AND(D58&lt;=113.15,E58&lt;=0.15,F58&gt;15.77,H58&gt;28.86,M58&lt;=14.54))*1</f>
        <v/>
      </c>
      <c r="V58">
        <f>--(AND(D58&lt;=113.15,E58&lt;=0.15,F58&gt;15.77,H58&gt;28.86,M58&gt;14.54))*1</f>
        <v/>
      </c>
      <c r="W58">
        <f>--(AND(D58&lt;=113.15,E58&gt;0.15,H58&lt;=23.74))*0</f>
        <v/>
      </c>
      <c r="X58">
        <f>--(AND(D58&lt;=113.15,E58&gt;0.15,H58&gt;23.74,J58&lt;=0.1))*1</f>
        <v/>
      </c>
      <c r="Y58">
        <f>--(AND(D58&lt;=113.15,E58&gt;0.15,H58&gt;23.74,J58&gt;0.1))*1</f>
        <v/>
      </c>
      <c r="Z58">
        <f>--(AND(D58&gt;113.15,K58&lt;=0.22,L58&lt;=0.02))*1</f>
        <v/>
      </c>
      <c r="AA58">
        <f>--(AND(D58&gt;113.15,K58&lt;=0.22,L58&gt;0.02))*0</f>
        <v/>
      </c>
      <c r="AB58">
        <f>--(AND(D58&gt;113.15,K58&gt;0.22,N58&lt;=810.1))*0</f>
        <v/>
      </c>
      <c r="AC58">
        <f>--(AND(D58&gt;113.15,K58&gt;0.22,N58&gt;810.1,I58&lt;=14.95))*1</f>
        <v/>
      </c>
      <c r="AD58">
        <f>--(AND(D58&gt;113.15,K58&gt;0.22,N58&gt;810.1,I58&gt;14.95))*1</f>
        <v/>
      </c>
      <c r="AE58">
        <f>SUM(P58:AD58)</f>
        <v/>
      </c>
      <c r="AF58">
        <f>IF(AE58=1,"Malignant","Benign")</f>
        <v/>
      </c>
      <c r="AG58">
        <f>--(AE58=C58)</f>
        <v/>
      </c>
    </row>
    <row r="59">
      <c r="A59">
        <f>BreastCancer_Data!A59</f>
        <v/>
      </c>
      <c r="B59">
        <f>BreastCancer_Data!B59</f>
        <v/>
      </c>
      <c r="C59">
        <f>BreastCancer_Data!D59</f>
        <v/>
      </c>
      <c r="D59">
        <f>BreastCancer_Data!E59</f>
        <v/>
      </c>
      <c r="E59">
        <f>BreastCancer_Data!F59</f>
        <v/>
      </c>
      <c r="F59">
        <f>BreastCancer_Data!G59</f>
        <v/>
      </c>
      <c r="G59">
        <f>BreastCancer_Data!H59</f>
        <v/>
      </c>
      <c r="H59">
        <f>BreastCancer_Data!I59</f>
        <v/>
      </c>
      <c r="I59">
        <f>BreastCancer_Data!J59</f>
        <v/>
      </c>
      <c r="J59">
        <f>BreastCancer_Data!K59</f>
        <v/>
      </c>
      <c r="K59">
        <f>BreastCancer_Data!L59</f>
        <v/>
      </c>
      <c r="L59">
        <f>BreastCancer_Data!M59</f>
        <v/>
      </c>
      <c r="M59">
        <f>BreastCancer_Data!N59</f>
        <v/>
      </c>
      <c r="N59">
        <f>BreastCancer_Data!O59</f>
        <v/>
      </c>
      <c r="O59">
        <f>0</f>
        <v/>
      </c>
      <c r="P59">
        <f>--(AND(D59&lt;=113.15,E59&lt;=0.15,F59&lt;=15.77,G59&lt;=0.18,H59&lt;=33.27))*0</f>
        <v/>
      </c>
      <c r="Q59">
        <f>--(AND(D59&lt;=113.15,E59&lt;=0.15,F59&lt;=15.77,G59&lt;=0.18,H59&gt;33.27))*0</f>
        <v/>
      </c>
      <c r="R59">
        <f>--(AND(D59&lt;=113.15,E59&lt;=0.15,F59&lt;=15.77,G59&gt;0.18))*0</f>
        <v/>
      </c>
      <c r="S59">
        <f>--(AND(D59&lt;=113.15,E59&lt;=0.15,F59&gt;15.77,H59&lt;=28.86,G59&lt;=0.14))*0</f>
        <v/>
      </c>
      <c r="T59">
        <f>--(AND(D59&lt;=113.15,E59&lt;=0.15,F59&gt;15.77,H59&lt;=28.86,G59&gt;0.14))*1</f>
        <v/>
      </c>
      <c r="U59">
        <f>--(AND(D59&lt;=113.15,E59&lt;=0.15,F59&gt;15.77,H59&gt;28.86,M59&lt;=14.54))*1</f>
        <v/>
      </c>
      <c r="V59">
        <f>--(AND(D59&lt;=113.15,E59&lt;=0.15,F59&gt;15.77,H59&gt;28.86,M59&gt;14.54))*1</f>
        <v/>
      </c>
      <c r="W59">
        <f>--(AND(D59&lt;=113.15,E59&gt;0.15,H59&lt;=23.74))*0</f>
        <v/>
      </c>
      <c r="X59">
        <f>--(AND(D59&lt;=113.15,E59&gt;0.15,H59&gt;23.74,J59&lt;=0.1))*1</f>
        <v/>
      </c>
      <c r="Y59">
        <f>--(AND(D59&lt;=113.15,E59&gt;0.15,H59&gt;23.74,J59&gt;0.1))*1</f>
        <v/>
      </c>
      <c r="Z59">
        <f>--(AND(D59&gt;113.15,K59&lt;=0.22,L59&lt;=0.02))*1</f>
        <v/>
      </c>
      <c r="AA59">
        <f>--(AND(D59&gt;113.15,K59&lt;=0.22,L59&gt;0.02))*0</f>
        <v/>
      </c>
      <c r="AB59">
        <f>--(AND(D59&gt;113.15,K59&gt;0.22,N59&lt;=810.1))*0</f>
        <v/>
      </c>
      <c r="AC59">
        <f>--(AND(D59&gt;113.15,K59&gt;0.22,N59&gt;810.1,I59&lt;=14.95))*1</f>
        <v/>
      </c>
      <c r="AD59">
        <f>--(AND(D59&gt;113.15,K59&gt;0.22,N59&gt;810.1,I59&gt;14.95))*1</f>
        <v/>
      </c>
      <c r="AE59">
        <f>SUM(P59:AD59)</f>
        <v/>
      </c>
      <c r="AF59">
        <f>IF(AE59=1,"Malignant","Benign")</f>
        <v/>
      </c>
      <c r="AG59">
        <f>--(AE59=C59)</f>
        <v/>
      </c>
    </row>
    <row r="60">
      <c r="A60">
        <f>BreastCancer_Data!A60</f>
        <v/>
      </c>
      <c r="B60">
        <f>BreastCancer_Data!B60</f>
        <v/>
      </c>
      <c r="C60">
        <f>BreastCancer_Data!D60</f>
        <v/>
      </c>
      <c r="D60">
        <f>BreastCancer_Data!E60</f>
        <v/>
      </c>
      <c r="E60">
        <f>BreastCancer_Data!F60</f>
        <v/>
      </c>
      <c r="F60">
        <f>BreastCancer_Data!G60</f>
        <v/>
      </c>
      <c r="G60">
        <f>BreastCancer_Data!H60</f>
        <v/>
      </c>
      <c r="H60">
        <f>BreastCancer_Data!I60</f>
        <v/>
      </c>
      <c r="I60">
        <f>BreastCancer_Data!J60</f>
        <v/>
      </c>
      <c r="J60">
        <f>BreastCancer_Data!K60</f>
        <v/>
      </c>
      <c r="K60">
        <f>BreastCancer_Data!L60</f>
        <v/>
      </c>
      <c r="L60">
        <f>BreastCancer_Data!M60</f>
        <v/>
      </c>
      <c r="M60">
        <f>BreastCancer_Data!N60</f>
        <v/>
      </c>
      <c r="N60">
        <f>BreastCancer_Data!O60</f>
        <v/>
      </c>
      <c r="O60">
        <f>0</f>
        <v/>
      </c>
      <c r="P60">
        <f>--(AND(D60&lt;=113.15,E60&lt;=0.15,F60&lt;=15.77,G60&lt;=0.18,H60&lt;=33.27))*0</f>
        <v/>
      </c>
      <c r="Q60">
        <f>--(AND(D60&lt;=113.15,E60&lt;=0.15,F60&lt;=15.77,G60&lt;=0.18,H60&gt;33.27))*0</f>
        <v/>
      </c>
      <c r="R60">
        <f>--(AND(D60&lt;=113.15,E60&lt;=0.15,F60&lt;=15.77,G60&gt;0.18))*0</f>
        <v/>
      </c>
      <c r="S60">
        <f>--(AND(D60&lt;=113.15,E60&lt;=0.15,F60&gt;15.77,H60&lt;=28.86,G60&lt;=0.14))*0</f>
        <v/>
      </c>
      <c r="T60">
        <f>--(AND(D60&lt;=113.15,E60&lt;=0.15,F60&gt;15.77,H60&lt;=28.86,G60&gt;0.14))*1</f>
        <v/>
      </c>
      <c r="U60">
        <f>--(AND(D60&lt;=113.15,E60&lt;=0.15,F60&gt;15.77,H60&gt;28.86,M60&lt;=14.54))*1</f>
        <v/>
      </c>
      <c r="V60">
        <f>--(AND(D60&lt;=113.15,E60&lt;=0.15,F60&gt;15.77,H60&gt;28.86,M60&gt;14.54))*1</f>
        <v/>
      </c>
      <c r="W60">
        <f>--(AND(D60&lt;=113.15,E60&gt;0.15,H60&lt;=23.74))*0</f>
        <v/>
      </c>
      <c r="X60">
        <f>--(AND(D60&lt;=113.15,E60&gt;0.15,H60&gt;23.74,J60&lt;=0.1))*1</f>
        <v/>
      </c>
      <c r="Y60">
        <f>--(AND(D60&lt;=113.15,E60&gt;0.15,H60&gt;23.74,J60&gt;0.1))*1</f>
        <v/>
      </c>
      <c r="Z60">
        <f>--(AND(D60&gt;113.15,K60&lt;=0.22,L60&lt;=0.02))*1</f>
        <v/>
      </c>
      <c r="AA60">
        <f>--(AND(D60&gt;113.15,K60&lt;=0.22,L60&gt;0.02))*0</f>
        <v/>
      </c>
      <c r="AB60">
        <f>--(AND(D60&gt;113.15,K60&gt;0.22,N60&lt;=810.1))*0</f>
        <v/>
      </c>
      <c r="AC60">
        <f>--(AND(D60&gt;113.15,K60&gt;0.22,N60&gt;810.1,I60&lt;=14.95))*1</f>
        <v/>
      </c>
      <c r="AD60">
        <f>--(AND(D60&gt;113.15,K60&gt;0.22,N60&gt;810.1,I60&gt;14.95))*1</f>
        <v/>
      </c>
      <c r="AE60">
        <f>SUM(P60:AD60)</f>
        <v/>
      </c>
      <c r="AF60">
        <f>IF(AE60=1,"Malignant","Benign")</f>
        <v/>
      </c>
      <c r="AG60">
        <f>--(AE60=C60)</f>
        <v/>
      </c>
    </row>
    <row r="61">
      <c r="A61">
        <f>BreastCancer_Data!A61</f>
        <v/>
      </c>
      <c r="B61">
        <f>BreastCancer_Data!B61</f>
        <v/>
      </c>
      <c r="C61">
        <f>BreastCancer_Data!D61</f>
        <v/>
      </c>
      <c r="D61">
        <f>BreastCancer_Data!E61</f>
        <v/>
      </c>
      <c r="E61">
        <f>BreastCancer_Data!F61</f>
        <v/>
      </c>
      <c r="F61">
        <f>BreastCancer_Data!G61</f>
        <v/>
      </c>
      <c r="G61">
        <f>BreastCancer_Data!H61</f>
        <v/>
      </c>
      <c r="H61">
        <f>BreastCancer_Data!I61</f>
        <v/>
      </c>
      <c r="I61">
        <f>BreastCancer_Data!J61</f>
        <v/>
      </c>
      <c r="J61">
        <f>BreastCancer_Data!K61</f>
        <v/>
      </c>
      <c r="K61">
        <f>BreastCancer_Data!L61</f>
        <v/>
      </c>
      <c r="L61">
        <f>BreastCancer_Data!M61</f>
        <v/>
      </c>
      <c r="M61">
        <f>BreastCancer_Data!N61</f>
        <v/>
      </c>
      <c r="N61">
        <f>BreastCancer_Data!O61</f>
        <v/>
      </c>
      <c r="O61">
        <f>0</f>
        <v/>
      </c>
      <c r="P61">
        <f>--(AND(D61&lt;=113.15,E61&lt;=0.15,F61&lt;=15.77,G61&lt;=0.18,H61&lt;=33.27))*0</f>
        <v/>
      </c>
      <c r="Q61">
        <f>--(AND(D61&lt;=113.15,E61&lt;=0.15,F61&lt;=15.77,G61&lt;=0.18,H61&gt;33.27))*0</f>
        <v/>
      </c>
      <c r="R61">
        <f>--(AND(D61&lt;=113.15,E61&lt;=0.15,F61&lt;=15.77,G61&gt;0.18))*0</f>
        <v/>
      </c>
      <c r="S61">
        <f>--(AND(D61&lt;=113.15,E61&lt;=0.15,F61&gt;15.77,H61&lt;=28.86,G61&lt;=0.14))*0</f>
        <v/>
      </c>
      <c r="T61">
        <f>--(AND(D61&lt;=113.15,E61&lt;=0.15,F61&gt;15.77,H61&lt;=28.86,G61&gt;0.14))*1</f>
        <v/>
      </c>
      <c r="U61">
        <f>--(AND(D61&lt;=113.15,E61&lt;=0.15,F61&gt;15.77,H61&gt;28.86,M61&lt;=14.54))*1</f>
        <v/>
      </c>
      <c r="V61">
        <f>--(AND(D61&lt;=113.15,E61&lt;=0.15,F61&gt;15.77,H61&gt;28.86,M61&gt;14.54))*1</f>
        <v/>
      </c>
      <c r="W61">
        <f>--(AND(D61&lt;=113.15,E61&gt;0.15,H61&lt;=23.74))*0</f>
        <v/>
      </c>
      <c r="X61">
        <f>--(AND(D61&lt;=113.15,E61&gt;0.15,H61&gt;23.74,J61&lt;=0.1))*1</f>
        <v/>
      </c>
      <c r="Y61">
        <f>--(AND(D61&lt;=113.15,E61&gt;0.15,H61&gt;23.74,J61&gt;0.1))*1</f>
        <v/>
      </c>
      <c r="Z61">
        <f>--(AND(D61&gt;113.15,K61&lt;=0.22,L61&lt;=0.02))*1</f>
        <v/>
      </c>
      <c r="AA61">
        <f>--(AND(D61&gt;113.15,K61&lt;=0.22,L61&gt;0.02))*0</f>
        <v/>
      </c>
      <c r="AB61">
        <f>--(AND(D61&gt;113.15,K61&gt;0.22,N61&lt;=810.1))*0</f>
        <v/>
      </c>
      <c r="AC61">
        <f>--(AND(D61&gt;113.15,K61&gt;0.22,N61&gt;810.1,I61&lt;=14.95))*1</f>
        <v/>
      </c>
      <c r="AD61">
        <f>--(AND(D61&gt;113.15,K61&gt;0.22,N61&gt;810.1,I61&gt;14.95))*1</f>
        <v/>
      </c>
      <c r="AE61">
        <f>SUM(P61:AD61)</f>
        <v/>
      </c>
      <c r="AF61">
        <f>IF(AE61=1,"Malignant","Benign")</f>
        <v/>
      </c>
      <c r="AG61">
        <f>--(AE61=C61)</f>
        <v/>
      </c>
    </row>
    <row r="62">
      <c r="A62">
        <f>BreastCancer_Data!A62</f>
        <v/>
      </c>
      <c r="B62">
        <f>BreastCancer_Data!B62</f>
        <v/>
      </c>
      <c r="C62">
        <f>BreastCancer_Data!D62</f>
        <v/>
      </c>
      <c r="D62">
        <f>BreastCancer_Data!E62</f>
        <v/>
      </c>
      <c r="E62">
        <f>BreastCancer_Data!F62</f>
        <v/>
      </c>
      <c r="F62">
        <f>BreastCancer_Data!G62</f>
        <v/>
      </c>
      <c r="G62">
        <f>BreastCancer_Data!H62</f>
        <v/>
      </c>
      <c r="H62">
        <f>BreastCancer_Data!I62</f>
        <v/>
      </c>
      <c r="I62">
        <f>BreastCancer_Data!J62</f>
        <v/>
      </c>
      <c r="J62">
        <f>BreastCancer_Data!K62</f>
        <v/>
      </c>
      <c r="K62">
        <f>BreastCancer_Data!L62</f>
        <v/>
      </c>
      <c r="L62">
        <f>BreastCancer_Data!M62</f>
        <v/>
      </c>
      <c r="M62">
        <f>BreastCancer_Data!N62</f>
        <v/>
      </c>
      <c r="N62">
        <f>BreastCancer_Data!O62</f>
        <v/>
      </c>
      <c r="O62">
        <f>0</f>
        <v/>
      </c>
      <c r="P62">
        <f>--(AND(D62&lt;=113.15,E62&lt;=0.15,F62&lt;=15.77,G62&lt;=0.18,H62&lt;=33.27))*0</f>
        <v/>
      </c>
      <c r="Q62">
        <f>--(AND(D62&lt;=113.15,E62&lt;=0.15,F62&lt;=15.77,G62&lt;=0.18,H62&gt;33.27))*0</f>
        <v/>
      </c>
      <c r="R62">
        <f>--(AND(D62&lt;=113.15,E62&lt;=0.15,F62&lt;=15.77,G62&gt;0.18))*0</f>
        <v/>
      </c>
      <c r="S62">
        <f>--(AND(D62&lt;=113.15,E62&lt;=0.15,F62&gt;15.77,H62&lt;=28.86,G62&lt;=0.14))*0</f>
        <v/>
      </c>
      <c r="T62">
        <f>--(AND(D62&lt;=113.15,E62&lt;=0.15,F62&gt;15.77,H62&lt;=28.86,G62&gt;0.14))*1</f>
        <v/>
      </c>
      <c r="U62">
        <f>--(AND(D62&lt;=113.15,E62&lt;=0.15,F62&gt;15.77,H62&gt;28.86,M62&lt;=14.54))*1</f>
        <v/>
      </c>
      <c r="V62">
        <f>--(AND(D62&lt;=113.15,E62&lt;=0.15,F62&gt;15.77,H62&gt;28.86,M62&gt;14.54))*1</f>
        <v/>
      </c>
      <c r="W62">
        <f>--(AND(D62&lt;=113.15,E62&gt;0.15,H62&lt;=23.74))*0</f>
        <v/>
      </c>
      <c r="X62">
        <f>--(AND(D62&lt;=113.15,E62&gt;0.15,H62&gt;23.74,J62&lt;=0.1))*1</f>
        <v/>
      </c>
      <c r="Y62">
        <f>--(AND(D62&lt;=113.15,E62&gt;0.15,H62&gt;23.74,J62&gt;0.1))*1</f>
        <v/>
      </c>
      <c r="Z62">
        <f>--(AND(D62&gt;113.15,K62&lt;=0.22,L62&lt;=0.02))*1</f>
        <v/>
      </c>
      <c r="AA62">
        <f>--(AND(D62&gt;113.15,K62&lt;=0.22,L62&gt;0.02))*0</f>
        <v/>
      </c>
      <c r="AB62">
        <f>--(AND(D62&gt;113.15,K62&gt;0.22,N62&lt;=810.1))*0</f>
        <v/>
      </c>
      <c r="AC62">
        <f>--(AND(D62&gt;113.15,K62&gt;0.22,N62&gt;810.1,I62&lt;=14.95))*1</f>
        <v/>
      </c>
      <c r="AD62">
        <f>--(AND(D62&gt;113.15,K62&gt;0.22,N62&gt;810.1,I62&gt;14.95))*1</f>
        <v/>
      </c>
      <c r="AE62">
        <f>SUM(P62:AD62)</f>
        <v/>
      </c>
      <c r="AF62">
        <f>IF(AE62=1,"Malignant","Benign")</f>
        <v/>
      </c>
      <c r="AG62">
        <f>--(AE62=C62)</f>
        <v/>
      </c>
    </row>
    <row r="63">
      <c r="A63">
        <f>BreastCancer_Data!A63</f>
        <v/>
      </c>
      <c r="B63">
        <f>BreastCancer_Data!B63</f>
        <v/>
      </c>
      <c r="C63">
        <f>BreastCancer_Data!D63</f>
        <v/>
      </c>
      <c r="D63">
        <f>BreastCancer_Data!E63</f>
        <v/>
      </c>
      <c r="E63">
        <f>BreastCancer_Data!F63</f>
        <v/>
      </c>
      <c r="F63">
        <f>BreastCancer_Data!G63</f>
        <v/>
      </c>
      <c r="G63">
        <f>BreastCancer_Data!H63</f>
        <v/>
      </c>
      <c r="H63">
        <f>BreastCancer_Data!I63</f>
        <v/>
      </c>
      <c r="I63">
        <f>BreastCancer_Data!J63</f>
        <v/>
      </c>
      <c r="J63">
        <f>BreastCancer_Data!K63</f>
        <v/>
      </c>
      <c r="K63">
        <f>BreastCancer_Data!L63</f>
        <v/>
      </c>
      <c r="L63">
        <f>BreastCancer_Data!M63</f>
        <v/>
      </c>
      <c r="M63">
        <f>BreastCancer_Data!N63</f>
        <v/>
      </c>
      <c r="N63">
        <f>BreastCancer_Data!O63</f>
        <v/>
      </c>
      <c r="O63">
        <f>0</f>
        <v/>
      </c>
      <c r="P63">
        <f>--(AND(D63&lt;=113.15,E63&lt;=0.15,F63&lt;=15.77,G63&lt;=0.18,H63&lt;=33.27))*0</f>
        <v/>
      </c>
      <c r="Q63">
        <f>--(AND(D63&lt;=113.15,E63&lt;=0.15,F63&lt;=15.77,G63&lt;=0.18,H63&gt;33.27))*0</f>
        <v/>
      </c>
      <c r="R63">
        <f>--(AND(D63&lt;=113.15,E63&lt;=0.15,F63&lt;=15.77,G63&gt;0.18))*0</f>
        <v/>
      </c>
      <c r="S63">
        <f>--(AND(D63&lt;=113.15,E63&lt;=0.15,F63&gt;15.77,H63&lt;=28.86,G63&lt;=0.14))*0</f>
        <v/>
      </c>
      <c r="T63">
        <f>--(AND(D63&lt;=113.15,E63&lt;=0.15,F63&gt;15.77,H63&lt;=28.86,G63&gt;0.14))*1</f>
        <v/>
      </c>
      <c r="U63">
        <f>--(AND(D63&lt;=113.15,E63&lt;=0.15,F63&gt;15.77,H63&gt;28.86,M63&lt;=14.54))*1</f>
        <v/>
      </c>
      <c r="V63">
        <f>--(AND(D63&lt;=113.15,E63&lt;=0.15,F63&gt;15.77,H63&gt;28.86,M63&gt;14.54))*1</f>
        <v/>
      </c>
      <c r="W63">
        <f>--(AND(D63&lt;=113.15,E63&gt;0.15,H63&lt;=23.74))*0</f>
        <v/>
      </c>
      <c r="X63">
        <f>--(AND(D63&lt;=113.15,E63&gt;0.15,H63&gt;23.74,J63&lt;=0.1))*1</f>
        <v/>
      </c>
      <c r="Y63">
        <f>--(AND(D63&lt;=113.15,E63&gt;0.15,H63&gt;23.74,J63&gt;0.1))*1</f>
        <v/>
      </c>
      <c r="Z63">
        <f>--(AND(D63&gt;113.15,K63&lt;=0.22,L63&lt;=0.02))*1</f>
        <v/>
      </c>
      <c r="AA63">
        <f>--(AND(D63&gt;113.15,K63&lt;=0.22,L63&gt;0.02))*0</f>
        <v/>
      </c>
      <c r="AB63">
        <f>--(AND(D63&gt;113.15,K63&gt;0.22,N63&lt;=810.1))*0</f>
        <v/>
      </c>
      <c r="AC63">
        <f>--(AND(D63&gt;113.15,K63&gt;0.22,N63&gt;810.1,I63&lt;=14.95))*1</f>
        <v/>
      </c>
      <c r="AD63">
        <f>--(AND(D63&gt;113.15,K63&gt;0.22,N63&gt;810.1,I63&gt;14.95))*1</f>
        <v/>
      </c>
      <c r="AE63">
        <f>SUM(P63:AD63)</f>
        <v/>
      </c>
      <c r="AF63">
        <f>IF(AE63=1,"Malignant","Benign")</f>
        <v/>
      </c>
      <c r="AG63">
        <f>--(AE63=C63)</f>
        <v/>
      </c>
    </row>
    <row r="64">
      <c r="A64">
        <f>BreastCancer_Data!A64</f>
        <v/>
      </c>
      <c r="B64">
        <f>BreastCancer_Data!B64</f>
        <v/>
      </c>
      <c r="C64">
        <f>BreastCancer_Data!D64</f>
        <v/>
      </c>
      <c r="D64">
        <f>BreastCancer_Data!E64</f>
        <v/>
      </c>
      <c r="E64">
        <f>BreastCancer_Data!F64</f>
        <v/>
      </c>
      <c r="F64">
        <f>BreastCancer_Data!G64</f>
        <v/>
      </c>
      <c r="G64">
        <f>BreastCancer_Data!H64</f>
        <v/>
      </c>
      <c r="H64">
        <f>BreastCancer_Data!I64</f>
        <v/>
      </c>
      <c r="I64">
        <f>BreastCancer_Data!J64</f>
        <v/>
      </c>
      <c r="J64">
        <f>BreastCancer_Data!K64</f>
        <v/>
      </c>
      <c r="K64">
        <f>BreastCancer_Data!L64</f>
        <v/>
      </c>
      <c r="L64">
        <f>BreastCancer_Data!M64</f>
        <v/>
      </c>
      <c r="M64">
        <f>BreastCancer_Data!N64</f>
        <v/>
      </c>
      <c r="N64">
        <f>BreastCancer_Data!O64</f>
        <v/>
      </c>
      <c r="O64">
        <f>0</f>
        <v/>
      </c>
      <c r="P64">
        <f>--(AND(D64&lt;=113.15,E64&lt;=0.15,F64&lt;=15.77,G64&lt;=0.18,H64&lt;=33.27))*0</f>
        <v/>
      </c>
      <c r="Q64">
        <f>--(AND(D64&lt;=113.15,E64&lt;=0.15,F64&lt;=15.77,G64&lt;=0.18,H64&gt;33.27))*0</f>
        <v/>
      </c>
      <c r="R64">
        <f>--(AND(D64&lt;=113.15,E64&lt;=0.15,F64&lt;=15.77,G64&gt;0.18))*0</f>
        <v/>
      </c>
      <c r="S64">
        <f>--(AND(D64&lt;=113.15,E64&lt;=0.15,F64&gt;15.77,H64&lt;=28.86,G64&lt;=0.14))*0</f>
        <v/>
      </c>
      <c r="T64">
        <f>--(AND(D64&lt;=113.15,E64&lt;=0.15,F64&gt;15.77,H64&lt;=28.86,G64&gt;0.14))*1</f>
        <v/>
      </c>
      <c r="U64">
        <f>--(AND(D64&lt;=113.15,E64&lt;=0.15,F64&gt;15.77,H64&gt;28.86,M64&lt;=14.54))*1</f>
        <v/>
      </c>
      <c r="V64">
        <f>--(AND(D64&lt;=113.15,E64&lt;=0.15,F64&gt;15.77,H64&gt;28.86,M64&gt;14.54))*1</f>
        <v/>
      </c>
      <c r="W64">
        <f>--(AND(D64&lt;=113.15,E64&gt;0.15,H64&lt;=23.74))*0</f>
        <v/>
      </c>
      <c r="X64">
        <f>--(AND(D64&lt;=113.15,E64&gt;0.15,H64&gt;23.74,J64&lt;=0.1))*1</f>
        <v/>
      </c>
      <c r="Y64">
        <f>--(AND(D64&lt;=113.15,E64&gt;0.15,H64&gt;23.74,J64&gt;0.1))*1</f>
        <v/>
      </c>
      <c r="Z64">
        <f>--(AND(D64&gt;113.15,K64&lt;=0.22,L64&lt;=0.02))*1</f>
        <v/>
      </c>
      <c r="AA64">
        <f>--(AND(D64&gt;113.15,K64&lt;=0.22,L64&gt;0.02))*0</f>
        <v/>
      </c>
      <c r="AB64">
        <f>--(AND(D64&gt;113.15,K64&gt;0.22,N64&lt;=810.1))*0</f>
        <v/>
      </c>
      <c r="AC64">
        <f>--(AND(D64&gt;113.15,K64&gt;0.22,N64&gt;810.1,I64&lt;=14.95))*1</f>
        <v/>
      </c>
      <c r="AD64">
        <f>--(AND(D64&gt;113.15,K64&gt;0.22,N64&gt;810.1,I64&gt;14.95))*1</f>
        <v/>
      </c>
      <c r="AE64">
        <f>SUM(P64:AD64)</f>
        <v/>
      </c>
      <c r="AF64">
        <f>IF(AE64=1,"Malignant","Benign")</f>
        <v/>
      </c>
      <c r="AG64">
        <f>--(AE64=C64)</f>
        <v/>
      </c>
    </row>
    <row r="65">
      <c r="A65">
        <f>BreastCancer_Data!A65</f>
        <v/>
      </c>
      <c r="B65">
        <f>BreastCancer_Data!B65</f>
        <v/>
      </c>
      <c r="C65">
        <f>BreastCancer_Data!D65</f>
        <v/>
      </c>
      <c r="D65">
        <f>BreastCancer_Data!E65</f>
        <v/>
      </c>
      <c r="E65">
        <f>BreastCancer_Data!F65</f>
        <v/>
      </c>
      <c r="F65">
        <f>BreastCancer_Data!G65</f>
        <v/>
      </c>
      <c r="G65">
        <f>BreastCancer_Data!H65</f>
        <v/>
      </c>
      <c r="H65">
        <f>BreastCancer_Data!I65</f>
        <v/>
      </c>
      <c r="I65">
        <f>BreastCancer_Data!J65</f>
        <v/>
      </c>
      <c r="J65">
        <f>BreastCancer_Data!K65</f>
        <v/>
      </c>
      <c r="K65">
        <f>BreastCancer_Data!L65</f>
        <v/>
      </c>
      <c r="L65">
        <f>BreastCancer_Data!M65</f>
        <v/>
      </c>
      <c r="M65">
        <f>BreastCancer_Data!N65</f>
        <v/>
      </c>
      <c r="N65">
        <f>BreastCancer_Data!O65</f>
        <v/>
      </c>
      <c r="O65">
        <f>0</f>
        <v/>
      </c>
      <c r="P65">
        <f>--(AND(D65&lt;=113.15,E65&lt;=0.15,F65&lt;=15.77,G65&lt;=0.18,H65&lt;=33.27))*0</f>
        <v/>
      </c>
      <c r="Q65">
        <f>--(AND(D65&lt;=113.15,E65&lt;=0.15,F65&lt;=15.77,G65&lt;=0.18,H65&gt;33.27))*0</f>
        <v/>
      </c>
      <c r="R65">
        <f>--(AND(D65&lt;=113.15,E65&lt;=0.15,F65&lt;=15.77,G65&gt;0.18))*0</f>
        <v/>
      </c>
      <c r="S65">
        <f>--(AND(D65&lt;=113.15,E65&lt;=0.15,F65&gt;15.77,H65&lt;=28.86,G65&lt;=0.14))*0</f>
        <v/>
      </c>
      <c r="T65">
        <f>--(AND(D65&lt;=113.15,E65&lt;=0.15,F65&gt;15.77,H65&lt;=28.86,G65&gt;0.14))*1</f>
        <v/>
      </c>
      <c r="U65">
        <f>--(AND(D65&lt;=113.15,E65&lt;=0.15,F65&gt;15.77,H65&gt;28.86,M65&lt;=14.54))*1</f>
        <v/>
      </c>
      <c r="V65">
        <f>--(AND(D65&lt;=113.15,E65&lt;=0.15,F65&gt;15.77,H65&gt;28.86,M65&gt;14.54))*1</f>
        <v/>
      </c>
      <c r="W65">
        <f>--(AND(D65&lt;=113.15,E65&gt;0.15,H65&lt;=23.74))*0</f>
        <v/>
      </c>
      <c r="X65">
        <f>--(AND(D65&lt;=113.15,E65&gt;0.15,H65&gt;23.74,J65&lt;=0.1))*1</f>
        <v/>
      </c>
      <c r="Y65">
        <f>--(AND(D65&lt;=113.15,E65&gt;0.15,H65&gt;23.74,J65&gt;0.1))*1</f>
        <v/>
      </c>
      <c r="Z65">
        <f>--(AND(D65&gt;113.15,K65&lt;=0.22,L65&lt;=0.02))*1</f>
        <v/>
      </c>
      <c r="AA65">
        <f>--(AND(D65&gt;113.15,K65&lt;=0.22,L65&gt;0.02))*0</f>
        <v/>
      </c>
      <c r="AB65">
        <f>--(AND(D65&gt;113.15,K65&gt;0.22,N65&lt;=810.1))*0</f>
        <v/>
      </c>
      <c r="AC65">
        <f>--(AND(D65&gt;113.15,K65&gt;0.22,N65&gt;810.1,I65&lt;=14.95))*1</f>
        <v/>
      </c>
      <c r="AD65">
        <f>--(AND(D65&gt;113.15,K65&gt;0.22,N65&gt;810.1,I65&gt;14.95))*1</f>
        <v/>
      </c>
      <c r="AE65">
        <f>SUM(P65:AD65)</f>
        <v/>
      </c>
      <c r="AF65">
        <f>IF(AE65=1,"Malignant","Benign")</f>
        <v/>
      </c>
      <c r="AG65">
        <f>--(AE65=C65)</f>
        <v/>
      </c>
    </row>
    <row r="66">
      <c r="A66">
        <f>BreastCancer_Data!A66</f>
        <v/>
      </c>
      <c r="B66">
        <f>BreastCancer_Data!B66</f>
        <v/>
      </c>
      <c r="C66">
        <f>BreastCancer_Data!D66</f>
        <v/>
      </c>
      <c r="D66">
        <f>BreastCancer_Data!E66</f>
        <v/>
      </c>
      <c r="E66">
        <f>BreastCancer_Data!F66</f>
        <v/>
      </c>
      <c r="F66">
        <f>BreastCancer_Data!G66</f>
        <v/>
      </c>
      <c r="G66">
        <f>BreastCancer_Data!H66</f>
        <v/>
      </c>
      <c r="H66">
        <f>BreastCancer_Data!I66</f>
        <v/>
      </c>
      <c r="I66">
        <f>BreastCancer_Data!J66</f>
        <v/>
      </c>
      <c r="J66">
        <f>BreastCancer_Data!K66</f>
        <v/>
      </c>
      <c r="K66">
        <f>BreastCancer_Data!L66</f>
        <v/>
      </c>
      <c r="L66">
        <f>BreastCancer_Data!M66</f>
        <v/>
      </c>
      <c r="M66">
        <f>BreastCancer_Data!N66</f>
        <v/>
      </c>
      <c r="N66">
        <f>BreastCancer_Data!O66</f>
        <v/>
      </c>
      <c r="O66">
        <f>0</f>
        <v/>
      </c>
      <c r="P66">
        <f>--(AND(D66&lt;=113.15,E66&lt;=0.15,F66&lt;=15.77,G66&lt;=0.18,H66&lt;=33.27))*0</f>
        <v/>
      </c>
      <c r="Q66">
        <f>--(AND(D66&lt;=113.15,E66&lt;=0.15,F66&lt;=15.77,G66&lt;=0.18,H66&gt;33.27))*0</f>
        <v/>
      </c>
      <c r="R66">
        <f>--(AND(D66&lt;=113.15,E66&lt;=0.15,F66&lt;=15.77,G66&gt;0.18))*0</f>
        <v/>
      </c>
      <c r="S66">
        <f>--(AND(D66&lt;=113.15,E66&lt;=0.15,F66&gt;15.77,H66&lt;=28.86,G66&lt;=0.14))*0</f>
        <v/>
      </c>
      <c r="T66">
        <f>--(AND(D66&lt;=113.15,E66&lt;=0.15,F66&gt;15.77,H66&lt;=28.86,G66&gt;0.14))*1</f>
        <v/>
      </c>
      <c r="U66">
        <f>--(AND(D66&lt;=113.15,E66&lt;=0.15,F66&gt;15.77,H66&gt;28.86,M66&lt;=14.54))*1</f>
        <v/>
      </c>
      <c r="V66">
        <f>--(AND(D66&lt;=113.15,E66&lt;=0.15,F66&gt;15.77,H66&gt;28.86,M66&gt;14.54))*1</f>
        <v/>
      </c>
      <c r="W66">
        <f>--(AND(D66&lt;=113.15,E66&gt;0.15,H66&lt;=23.74))*0</f>
        <v/>
      </c>
      <c r="X66">
        <f>--(AND(D66&lt;=113.15,E66&gt;0.15,H66&gt;23.74,J66&lt;=0.1))*1</f>
        <v/>
      </c>
      <c r="Y66">
        <f>--(AND(D66&lt;=113.15,E66&gt;0.15,H66&gt;23.74,J66&gt;0.1))*1</f>
        <v/>
      </c>
      <c r="Z66">
        <f>--(AND(D66&gt;113.15,K66&lt;=0.22,L66&lt;=0.02))*1</f>
        <v/>
      </c>
      <c r="AA66">
        <f>--(AND(D66&gt;113.15,K66&lt;=0.22,L66&gt;0.02))*0</f>
        <v/>
      </c>
      <c r="AB66">
        <f>--(AND(D66&gt;113.15,K66&gt;0.22,N66&lt;=810.1))*0</f>
        <v/>
      </c>
      <c r="AC66">
        <f>--(AND(D66&gt;113.15,K66&gt;0.22,N66&gt;810.1,I66&lt;=14.95))*1</f>
        <v/>
      </c>
      <c r="AD66">
        <f>--(AND(D66&gt;113.15,K66&gt;0.22,N66&gt;810.1,I66&gt;14.95))*1</f>
        <v/>
      </c>
      <c r="AE66">
        <f>SUM(P66:AD66)</f>
        <v/>
      </c>
      <c r="AF66">
        <f>IF(AE66=1,"Malignant","Benign")</f>
        <v/>
      </c>
      <c r="AG66">
        <f>--(AE66=C66)</f>
        <v/>
      </c>
    </row>
    <row r="67">
      <c r="A67">
        <f>BreastCancer_Data!A67</f>
        <v/>
      </c>
      <c r="B67">
        <f>BreastCancer_Data!B67</f>
        <v/>
      </c>
      <c r="C67">
        <f>BreastCancer_Data!D67</f>
        <v/>
      </c>
      <c r="D67">
        <f>BreastCancer_Data!E67</f>
        <v/>
      </c>
      <c r="E67">
        <f>BreastCancer_Data!F67</f>
        <v/>
      </c>
      <c r="F67">
        <f>BreastCancer_Data!G67</f>
        <v/>
      </c>
      <c r="G67">
        <f>BreastCancer_Data!H67</f>
        <v/>
      </c>
      <c r="H67">
        <f>BreastCancer_Data!I67</f>
        <v/>
      </c>
      <c r="I67">
        <f>BreastCancer_Data!J67</f>
        <v/>
      </c>
      <c r="J67">
        <f>BreastCancer_Data!K67</f>
        <v/>
      </c>
      <c r="K67">
        <f>BreastCancer_Data!L67</f>
        <v/>
      </c>
      <c r="L67">
        <f>BreastCancer_Data!M67</f>
        <v/>
      </c>
      <c r="M67">
        <f>BreastCancer_Data!N67</f>
        <v/>
      </c>
      <c r="N67">
        <f>BreastCancer_Data!O67</f>
        <v/>
      </c>
      <c r="O67">
        <f>0</f>
        <v/>
      </c>
      <c r="P67">
        <f>--(AND(D67&lt;=113.15,E67&lt;=0.15,F67&lt;=15.77,G67&lt;=0.18,H67&lt;=33.27))*0</f>
        <v/>
      </c>
      <c r="Q67">
        <f>--(AND(D67&lt;=113.15,E67&lt;=0.15,F67&lt;=15.77,G67&lt;=0.18,H67&gt;33.27))*0</f>
        <v/>
      </c>
      <c r="R67">
        <f>--(AND(D67&lt;=113.15,E67&lt;=0.15,F67&lt;=15.77,G67&gt;0.18))*0</f>
        <v/>
      </c>
      <c r="S67">
        <f>--(AND(D67&lt;=113.15,E67&lt;=0.15,F67&gt;15.77,H67&lt;=28.86,G67&lt;=0.14))*0</f>
        <v/>
      </c>
      <c r="T67">
        <f>--(AND(D67&lt;=113.15,E67&lt;=0.15,F67&gt;15.77,H67&lt;=28.86,G67&gt;0.14))*1</f>
        <v/>
      </c>
      <c r="U67">
        <f>--(AND(D67&lt;=113.15,E67&lt;=0.15,F67&gt;15.77,H67&gt;28.86,M67&lt;=14.54))*1</f>
        <v/>
      </c>
      <c r="V67">
        <f>--(AND(D67&lt;=113.15,E67&lt;=0.15,F67&gt;15.77,H67&gt;28.86,M67&gt;14.54))*1</f>
        <v/>
      </c>
      <c r="W67">
        <f>--(AND(D67&lt;=113.15,E67&gt;0.15,H67&lt;=23.74))*0</f>
        <v/>
      </c>
      <c r="X67">
        <f>--(AND(D67&lt;=113.15,E67&gt;0.15,H67&gt;23.74,J67&lt;=0.1))*1</f>
        <v/>
      </c>
      <c r="Y67">
        <f>--(AND(D67&lt;=113.15,E67&gt;0.15,H67&gt;23.74,J67&gt;0.1))*1</f>
        <v/>
      </c>
      <c r="Z67">
        <f>--(AND(D67&gt;113.15,K67&lt;=0.22,L67&lt;=0.02))*1</f>
        <v/>
      </c>
      <c r="AA67">
        <f>--(AND(D67&gt;113.15,K67&lt;=0.22,L67&gt;0.02))*0</f>
        <v/>
      </c>
      <c r="AB67">
        <f>--(AND(D67&gt;113.15,K67&gt;0.22,N67&lt;=810.1))*0</f>
        <v/>
      </c>
      <c r="AC67">
        <f>--(AND(D67&gt;113.15,K67&gt;0.22,N67&gt;810.1,I67&lt;=14.95))*1</f>
        <v/>
      </c>
      <c r="AD67">
        <f>--(AND(D67&gt;113.15,K67&gt;0.22,N67&gt;810.1,I67&gt;14.95))*1</f>
        <v/>
      </c>
      <c r="AE67">
        <f>SUM(P67:AD67)</f>
        <v/>
      </c>
      <c r="AF67">
        <f>IF(AE67=1,"Malignant","Benign")</f>
        <v/>
      </c>
      <c r="AG67">
        <f>--(AE67=C67)</f>
        <v/>
      </c>
    </row>
    <row r="68">
      <c r="A68">
        <f>BreastCancer_Data!A68</f>
        <v/>
      </c>
      <c r="B68">
        <f>BreastCancer_Data!B68</f>
        <v/>
      </c>
      <c r="C68">
        <f>BreastCancer_Data!D68</f>
        <v/>
      </c>
      <c r="D68">
        <f>BreastCancer_Data!E68</f>
        <v/>
      </c>
      <c r="E68">
        <f>BreastCancer_Data!F68</f>
        <v/>
      </c>
      <c r="F68">
        <f>BreastCancer_Data!G68</f>
        <v/>
      </c>
      <c r="G68">
        <f>BreastCancer_Data!H68</f>
        <v/>
      </c>
      <c r="H68">
        <f>BreastCancer_Data!I68</f>
        <v/>
      </c>
      <c r="I68">
        <f>BreastCancer_Data!J68</f>
        <v/>
      </c>
      <c r="J68">
        <f>BreastCancer_Data!K68</f>
        <v/>
      </c>
      <c r="K68">
        <f>BreastCancer_Data!L68</f>
        <v/>
      </c>
      <c r="L68">
        <f>BreastCancer_Data!M68</f>
        <v/>
      </c>
      <c r="M68">
        <f>BreastCancer_Data!N68</f>
        <v/>
      </c>
      <c r="N68">
        <f>BreastCancer_Data!O68</f>
        <v/>
      </c>
      <c r="O68">
        <f>0</f>
        <v/>
      </c>
      <c r="P68">
        <f>--(AND(D68&lt;=113.15,E68&lt;=0.15,F68&lt;=15.77,G68&lt;=0.18,H68&lt;=33.27))*0</f>
        <v/>
      </c>
      <c r="Q68">
        <f>--(AND(D68&lt;=113.15,E68&lt;=0.15,F68&lt;=15.77,G68&lt;=0.18,H68&gt;33.27))*0</f>
        <v/>
      </c>
      <c r="R68">
        <f>--(AND(D68&lt;=113.15,E68&lt;=0.15,F68&lt;=15.77,G68&gt;0.18))*0</f>
        <v/>
      </c>
      <c r="S68">
        <f>--(AND(D68&lt;=113.15,E68&lt;=0.15,F68&gt;15.77,H68&lt;=28.86,G68&lt;=0.14))*0</f>
        <v/>
      </c>
      <c r="T68">
        <f>--(AND(D68&lt;=113.15,E68&lt;=0.15,F68&gt;15.77,H68&lt;=28.86,G68&gt;0.14))*1</f>
        <v/>
      </c>
      <c r="U68">
        <f>--(AND(D68&lt;=113.15,E68&lt;=0.15,F68&gt;15.77,H68&gt;28.86,M68&lt;=14.54))*1</f>
        <v/>
      </c>
      <c r="V68">
        <f>--(AND(D68&lt;=113.15,E68&lt;=0.15,F68&gt;15.77,H68&gt;28.86,M68&gt;14.54))*1</f>
        <v/>
      </c>
      <c r="W68">
        <f>--(AND(D68&lt;=113.15,E68&gt;0.15,H68&lt;=23.74))*0</f>
        <v/>
      </c>
      <c r="X68">
        <f>--(AND(D68&lt;=113.15,E68&gt;0.15,H68&gt;23.74,J68&lt;=0.1))*1</f>
        <v/>
      </c>
      <c r="Y68">
        <f>--(AND(D68&lt;=113.15,E68&gt;0.15,H68&gt;23.74,J68&gt;0.1))*1</f>
        <v/>
      </c>
      <c r="Z68">
        <f>--(AND(D68&gt;113.15,K68&lt;=0.22,L68&lt;=0.02))*1</f>
        <v/>
      </c>
      <c r="AA68">
        <f>--(AND(D68&gt;113.15,K68&lt;=0.22,L68&gt;0.02))*0</f>
        <v/>
      </c>
      <c r="AB68">
        <f>--(AND(D68&gt;113.15,K68&gt;0.22,N68&lt;=810.1))*0</f>
        <v/>
      </c>
      <c r="AC68">
        <f>--(AND(D68&gt;113.15,K68&gt;0.22,N68&gt;810.1,I68&lt;=14.95))*1</f>
        <v/>
      </c>
      <c r="AD68">
        <f>--(AND(D68&gt;113.15,K68&gt;0.22,N68&gt;810.1,I68&gt;14.95))*1</f>
        <v/>
      </c>
      <c r="AE68">
        <f>SUM(P68:AD68)</f>
        <v/>
      </c>
      <c r="AF68">
        <f>IF(AE68=1,"Malignant","Benign")</f>
        <v/>
      </c>
      <c r="AG68">
        <f>--(AE68=C68)</f>
        <v/>
      </c>
    </row>
    <row r="69">
      <c r="A69">
        <f>BreastCancer_Data!A69</f>
        <v/>
      </c>
      <c r="B69">
        <f>BreastCancer_Data!B69</f>
        <v/>
      </c>
      <c r="C69">
        <f>BreastCancer_Data!D69</f>
        <v/>
      </c>
      <c r="D69">
        <f>BreastCancer_Data!E69</f>
        <v/>
      </c>
      <c r="E69">
        <f>BreastCancer_Data!F69</f>
        <v/>
      </c>
      <c r="F69">
        <f>BreastCancer_Data!G69</f>
        <v/>
      </c>
      <c r="G69">
        <f>BreastCancer_Data!H69</f>
        <v/>
      </c>
      <c r="H69">
        <f>BreastCancer_Data!I69</f>
        <v/>
      </c>
      <c r="I69">
        <f>BreastCancer_Data!J69</f>
        <v/>
      </c>
      <c r="J69">
        <f>BreastCancer_Data!K69</f>
        <v/>
      </c>
      <c r="K69">
        <f>BreastCancer_Data!L69</f>
        <v/>
      </c>
      <c r="L69">
        <f>BreastCancer_Data!M69</f>
        <v/>
      </c>
      <c r="M69">
        <f>BreastCancer_Data!N69</f>
        <v/>
      </c>
      <c r="N69">
        <f>BreastCancer_Data!O69</f>
        <v/>
      </c>
      <c r="O69">
        <f>0</f>
        <v/>
      </c>
      <c r="P69">
        <f>--(AND(D69&lt;=113.15,E69&lt;=0.15,F69&lt;=15.77,G69&lt;=0.18,H69&lt;=33.27))*0</f>
        <v/>
      </c>
      <c r="Q69">
        <f>--(AND(D69&lt;=113.15,E69&lt;=0.15,F69&lt;=15.77,G69&lt;=0.18,H69&gt;33.27))*0</f>
        <v/>
      </c>
      <c r="R69">
        <f>--(AND(D69&lt;=113.15,E69&lt;=0.15,F69&lt;=15.77,G69&gt;0.18))*0</f>
        <v/>
      </c>
      <c r="S69">
        <f>--(AND(D69&lt;=113.15,E69&lt;=0.15,F69&gt;15.77,H69&lt;=28.86,G69&lt;=0.14))*0</f>
        <v/>
      </c>
      <c r="T69">
        <f>--(AND(D69&lt;=113.15,E69&lt;=0.15,F69&gt;15.77,H69&lt;=28.86,G69&gt;0.14))*1</f>
        <v/>
      </c>
      <c r="U69">
        <f>--(AND(D69&lt;=113.15,E69&lt;=0.15,F69&gt;15.77,H69&gt;28.86,M69&lt;=14.54))*1</f>
        <v/>
      </c>
      <c r="V69">
        <f>--(AND(D69&lt;=113.15,E69&lt;=0.15,F69&gt;15.77,H69&gt;28.86,M69&gt;14.54))*1</f>
        <v/>
      </c>
      <c r="W69">
        <f>--(AND(D69&lt;=113.15,E69&gt;0.15,H69&lt;=23.74))*0</f>
        <v/>
      </c>
      <c r="X69">
        <f>--(AND(D69&lt;=113.15,E69&gt;0.15,H69&gt;23.74,J69&lt;=0.1))*1</f>
        <v/>
      </c>
      <c r="Y69">
        <f>--(AND(D69&lt;=113.15,E69&gt;0.15,H69&gt;23.74,J69&gt;0.1))*1</f>
        <v/>
      </c>
      <c r="Z69">
        <f>--(AND(D69&gt;113.15,K69&lt;=0.22,L69&lt;=0.02))*1</f>
        <v/>
      </c>
      <c r="AA69">
        <f>--(AND(D69&gt;113.15,K69&lt;=0.22,L69&gt;0.02))*0</f>
        <v/>
      </c>
      <c r="AB69">
        <f>--(AND(D69&gt;113.15,K69&gt;0.22,N69&lt;=810.1))*0</f>
        <v/>
      </c>
      <c r="AC69">
        <f>--(AND(D69&gt;113.15,K69&gt;0.22,N69&gt;810.1,I69&lt;=14.95))*1</f>
        <v/>
      </c>
      <c r="AD69">
        <f>--(AND(D69&gt;113.15,K69&gt;0.22,N69&gt;810.1,I69&gt;14.95))*1</f>
        <v/>
      </c>
      <c r="AE69">
        <f>SUM(P69:AD69)</f>
        <v/>
      </c>
      <c r="AF69">
        <f>IF(AE69=1,"Malignant","Benign")</f>
        <v/>
      </c>
      <c r="AG69">
        <f>--(AE69=C69)</f>
        <v/>
      </c>
    </row>
    <row r="70">
      <c r="A70">
        <f>BreastCancer_Data!A70</f>
        <v/>
      </c>
      <c r="B70">
        <f>BreastCancer_Data!B70</f>
        <v/>
      </c>
      <c r="C70">
        <f>BreastCancer_Data!D70</f>
        <v/>
      </c>
      <c r="D70">
        <f>BreastCancer_Data!E70</f>
        <v/>
      </c>
      <c r="E70">
        <f>BreastCancer_Data!F70</f>
        <v/>
      </c>
      <c r="F70">
        <f>BreastCancer_Data!G70</f>
        <v/>
      </c>
      <c r="G70">
        <f>BreastCancer_Data!H70</f>
        <v/>
      </c>
      <c r="H70">
        <f>BreastCancer_Data!I70</f>
        <v/>
      </c>
      <c r="I70">
        <f>BreastCancer_Data!J70</f>
        <v/>
      </c>
      <c r="J70">
        <f>BreastCancer_Data!K70</f>
        <v/>
      </c>
      <c r="K70">
        <f>BreastCancer_Data!L70</f>
        <v/>
      </c>
      <c r="L70">
        <f>BreastCancer_Data!M70</f>
        <v/>
      </c>
      <c r="M70">
        <f>BreastCancer_Data!N70</f>
        <v/>
      </c>
      <c r="N70">
        <f>BreastCancer_Data!O70</f>
        <v/>
      </c>
      <c r="O70">
        <f>0</f>
        <v/>
      </c>
      <c r="P70">
        <f>--(AND(D70&lt;=113.15,E70&lt;=0.15,F70&lt;=15.77,G70&lt;=0.18,H70&lt;=33.27))*0</f>
        <v/>
      </c>
      <c r="Q70">
        <f>--(AND(D70&lt;=113.15,E70&lt;=0.15,F70&lt;=15.77,G70&lt;=0.18,H70&gt;33.27))*0</f>
        <v/>
      </c>
      <c r="R70">
        <f>--(AND(D70&lt;=113.15,E70&lt;=0.15,F70&lt;=15.77,G70&gt;0.18))*0</f>
        <v/>
      </c>
      <c r="S70">
        <f>--(AND(D70&lt;=113.15,E70&lt;=0.15,F70&gt;15.77,H70&lt;=28.86,G70&lt;=0.14))*0</f>
        <v/>
      </c>
      <c r="T70">
        <f>--(AND(D70&lt;=113.15,E70&lt;=0.15,F70&gt;15.77,H70&lt;=28.86,G70&gt;0.14))*1</f>
        <v/>
      </c>
      <c r="U70">
        <f>--(AND(D70&lt;=113.15,E70&lt;=0.15,F70&gt;15.77,H70&gt;28.86,M70&lt;=14.54))*1</f>
        <v/>
      </c>
      <c r="V70">
        <f>--(AND(D70&lt;=113.15,E70&lt;=0.15,F70&gt;15.77,H70&gt;28.86,M70&gt;14.54))*1</f>
        <v/>
      </c>
      <c r="W70">
        <f>--(AND(D70&lt;=113.15,E70&gt;0.15,H70&lt;=23.74))*0</f>
        <v/>
      </c>
      <c r="X70">
        <f>--(AND(D70&lt;=113.15,E70&gt;0.15,H70&gt;23.74,J70&lt;=0.1))*1</f>
        <v/>
      </c>
      <c r="Y70">
        <f>--(AND(D70&lt;=113.15,E70&gt;0.15,H70&gt;23.74,J70&gt;0.1))*1</f>
        <v/>
      </c>
      <c r="Z70">
        <f>--(AND(D70&gt;113.15,K70&lt;=0.22,L70&lt;=0.02))*1</f>
        <v/>
      </c>
      <c r="AA70">
        <f>--(AND(D70&gt;113.15,K70&lt;=0.22,L70&gt;0.02))*0</f>
        <v/>
      </c>
      <c r="AB70">
        <f>--(AND(D70&gt;113.15,K70&gt;0.22,N70&lt;=810.1))*0</f>
        <v/>
      </c>
      <c r="AC70">
        <f>--(AND(D70&gt;113.15,K70&gt;0.22,N70&gt;810.1,I70&lt;=14.95))*1</f>
        <v/>
      </c>
      <c r="AD70">
        <f>--(AND(D70&gt;113.15,K70&gt;0.22,N70&gt;810.1,I70&gt;14.95))*1</f>
        <v/>
      </c>
      <c r="AE70">
        <f>SUM(P70:AD70)</f>
        <v/>
      </c>
      <c r="AF70">
        <f>IF(AE70=1,"Malignant","Benign")</f>
        <v/>
      </c>
      <c r="AG70">
        <f>--(AE70=C70)</f>
        <v/>
      </c>
    </row>
    <row r="71">
      <c r="A71">
        <f>BreastCancer_Data!A71</f>
        <v/>
      </c>
      <c r="B71">
        <f>BreastCancer_Data!B71</f>
        <v/>
      </c>
      <c r="C71">
        <f>BreastCancer_Data!D71</f>
        <v/>
      </c>
      <c r="D71">
        <f>BreastCancer_Data!E71</f>
        <v/>
      </c>
      <c r="E71">
        <f>BreastCancer_Data!F71</f>
        <v/>
      </c>
      <c r="F71">
        <f>BreastCancer_Data!G71</f>
        <v/>
      </c>
      <c r="G71">
        <f>BreastCancer_Data!H71</f>
        <v/>
      </c>
      <c r="H71">
        <f>BreastCancer_Data!I71</f>
        <v/>
      </c>
      <c r="I71">
        <f>BreastCancer_Data!J71</f>
        <v/>
      </c>
      <c r="J71">
        <f>BreastCancer_Data!K71</f>
        <v/>
      </c>
      <c r="K71">
        <f>BreastCancer_Data!L71</f>
        <v/>
      </c>
      <c r="L71">
        <f>BreastCancer_Data!M71</f>
        <v/>
      </c>
      <c r="M71">
        <f>BreastCancer_Data!N71</f>
        <v/>
      </c>
      <c r="N71">
        <f>BreastCancer_Data!O71</f>
        <v/>
      </c>
      <c r="O71">
        <f>0</f>
        <v/>
      </c>
      <c r="P71">
        <f>--(AND(D71&lt;=113.15,E71&lt;=0.15,F71&lt;=15.77,G71&lt;=0.18,H71&lt;=33.27))*0</f>
        <v/>
      </c>
      <c r="Q71">
        <f>--(AND(D71&lt;=113.15,E71&lt;=0.15,F71&lt;=15.77,G71&lt;=0.18,H71&gt;33.27))*0</f>
        <v/>
      </c>
      <c r="R71">
        <f>--(AND(D71&lt;=113.15,E71&lt;=0.15,F71&lt;=15.77,G71&gt;0.18))*0</f>
        <v/>
      </c>
      <c r="S71">
        <f>--(AND(D71&lt;=113.15,E71&lt;=0.15,F71&gt;15.77,H71&lt;=28.86,G71&lt;=0.14))*0</f>
        <v/>
      </c>
      <c r="T71">
        <f>--(AND(D71&lt;=113.15,E71&lt;=0.15,F71&gt;15.77,H71&lt;=28.86,G71&gt;0.14))*1</f>
        <v/>
      </c>
      <c r="U71">
        <f>--(AND(D71&lt;=113.15,E71&lt;=0.15,F71&gt;15.77,H71&gt;28.86,M71&lt;=14.54))*1</f>
        <v/>
      </c>
      <c r="V71">
        <f>--(AND(D71&lt;=113.15,E71&lt;=0.15,F71&gt;15.77,H71&gt;28.86,M71&gt;14.54))*1</f>
        <v/>
      </c>
      <c r="W71">
        <f>--(AND(D71&lt;=113.15,E71&gt;0.15,H71&lt;=23.74))*0</f>
        <v/>
      </c>
      <c r="X71">
        <f>--(AND(D71&lt;=113.15,E71&gt;0.15,H71&gt;23.74,J71&lt;=0.1))*1</f>
        <v/>
      </c>
      <c r="Y71">
        <f>--(AND(D71&lt;=113.15,E71&gt;0.15,H71&gt;23.74,J71&gt;0.1))*1</f>
        <v/>
      </c>
      <c r="Z71">
        <f>--(AND(D71&gt;113.15,K71&lt;=0.22,L71&lt;=0.02))*1</f>
        <v/>
      </c>
      <c r="AA71">
        <f>--(AND(D71&gt;113.15,K71&lt;=0.22,L71&gt;0.02))*0</f>
        <v/>
      </c>
      <c r="AB71">
        <f>--(AND(D71&gt;113.15,K71&gt;0.22,N71&lt;=810.1))*0</f>
        <v/>
      </c>
      <c r="AC71">
        <f>--(AND(D71&gt;113.15,K71&gt;0.22,N71&gt;810.1,I71&lt;=14.95))*1</f>
        <v/>
      </c>
      <c r="AD71">
        <f>--(AND(D71&gt;113.15,K71&gt;0.22,N71&gt;810.1,I71&gt;14.95))*1</f>
        <v/>
      </c>
      <c r="AE71">
        <f>SUM(P71:AD71)</f>
        <v/>
      </c>
      <c r="AF71">
        <f>IF(AE71=1,"Malignant","Benign")</f>
        <v/>
      </c>
      <c r="AG71">
        <f>--(AE71=C71)</f>
        <v/>
      </c>
    </row>
    <row r="72">
      <c r="A72">
        <f>BreastCancer_Data!A72</f>
        <v/>
      </c>
      <c r="B72">
        <f>BreastCancer_Data!B72</f>
        <v/>
      </c>
      <c r="C72">
        <f>BreastCancer_Data!D72</f>
        <v/>
      </c>
      <c r="D72">
        <f>BreastCancer_Data!E72</f>
        <v/>
      </c>
      <c r="E72">
        <f>BreastCancer_Data!F72</f>
        <v/>
      </c>
      <c r="F72">
        <f>BreastCancer_Data!G72</f>
        <v/>
      </c>
      <c r="G72">
        <f>BreastCancer_Data!H72</f>
        <v/>
      </c>
      <c r="H72">
        <f>BreastCancer_Data!I72</f>
        <v/>
      </c>
      <c r="I72">
        <f>BreastCancer_Data!J72</f>
        <v/>
      </c>
      <c r="J72">
        <f>BreastCancer_Data!K72</f>
        <v/>
      </c>
      <c r="K72">
        <f>BreastCancer_Data!L72</f>
        <v/>
      </c>
      <c r="L72">
        <f>BreastCancer_Data!M72</f>
        <v/>
      </c>
      <c r="M72">
        <f>BreastCancer_Data!N72</f>
        <v/>
      </c>
      <c r="N72">
        <f>BreastCancer_Data!O72</f>
        <v/>
      </c>
      <c r="O72">
        <f>0</f>
        <v/>
      </c>
      <c r="P72">
        <f>--(AND(D72&lt;=113.15,E72&lt;=0.15,F72&lt;=15.77,G72&lt;=0.18,H72&lt;=33.27))*0</f>
        <v/>
      </c>
      <c r="Q72">
        <f>--(AND(D72&lt;=113.15,E72&lt;=0.15,F72&lt;=15.77,G72&lt;=0.18,H72&gt;33.27))*0</f>
        <v/>
      </c>
      <c r="R72">
        <f>--(AND(D72&lt;=113.15,E72&lt;=0.15,F72&lt;=15.77,G72&gt;0.18))*0</f>
        <v/>
      </c>
      <c r="S72">
        <f>--(AND(D72&lt;=113.15,E72&lt;=0.15,F72&gt;15.77,H72&lt;=28.86,G72&lt;=0.14))*0</f>
        <v/>
      </c>
      <c r="T72">
        <f>--(AND(D72&lt;=113.15,E72&lt;=0.15,F72&gt;15.77,H72&lt;=28.86,G72&gt;0.14))*1</f>
        <v/>
      </c>
      <c r="U72">
        <f>--(AND(D72&lt;=113.15,E72&lt;=0.15,F72&gt;15.77,H72&gt;28.86,M72&lt;=14.54))*1</f>
        <v/>
      </c>
      <c r="V72">
        <f>--(AND(D72&lt;=113.15,E72&lt;=0.15,F72&gt;15.77,H72&gt;28.86,M72&gt;14.54))*1</f>
        <v/>
      </c>
      <c r="W72">
        <f>--(AND(D72&lt;=113.15,E72&gt;0.15,H72&lt;=23.74))*0</f>
        <v/>
      </c>
      <c r="X72">
        <f>--(AND(D72&lt;=113.15,E72&gt;0.15,H72&gt;23.74,J72&lt;=0.1))*1</f>
        <v/>
      </c>
      <c r="Y72">
        <f>--(AND(D72&lt;=113.15,E72&gt;0.15,H72&gt;23.74,J72&gt;0.1))*1</f>
        <v/>
      </c>
      <c r="Z72">
        <f>--(AND(D72&gt;113.15,K72&lt;=0.22,L72&lt;=0.02))*1</f>
        <v/>
      </c>
      <c r="AA72">
        <f>--(AND(D72&gt;113.15,K72&lt;=0.22,L72&gt;0.02))*0</f>
        <v/>
      </c>
      <c r="AB72">
        <f>--(AND(D72&gt;113.15,K72&gt;0.22,N72&lt;=810.1))*0</f>
        <v/>
      </c>
      <c r="AC72">
        <f>--(AND(D72&gt;113.15,K72&gt;0.22,N72&gt;810.1,I72&lt;=14.95))*1</f>
        <v/>
      </c>
      <c r="AD72">
        <f>--(AND(D72&gt;113.15,K72&gt;0.22,N72&gt;810.1,I72&gt;14.95))*1</f>
        <v/>
      </c>
      <c r="AE72">
        <f>SUM(P72:AD72)</f>
        <v/>
      </c>
      <c r="AF72">
        <f>IF(AE72=1,"Malignant","Benign")</f>
        <v/>
      </c>
      <c r="AG72">
        <f>--(AE72=C72)</f>
        <v/>
      </c>
    </row>
    <row r="73">
      <c r="A73">
        <f>BreastCancer_Data!A73</f>
        <v/>
      </c>
      <c r="B73">
        <f>BreastCancer_Data!B73</f>
        <v/>
      </c>
      <c r="C73">
        <f>BreastCancer_Data!D73</f>
        <v/>
      </c>
      <c r="D73">
        <f>BreastCancer_Data!E73</f>
        <v/>
      </c>
      <c r="E73">
        <f>BreastCancer_Data!F73</f>
        <v/>
      </c>
      <c r="F73">
        <f>BreastCancer_Data!G73</f>
        <v/>
      </c>
      <c r="G73">
        <f>BreastCancer_Data!H73</f>
        <v/>
      </c>
      <c r="H73">
        <f>BreastCancer_Data!I73</f>
        <v/>
      </c>
      <c r="I73">
        <f>BreastCancer_Data!J73</f>
        <v/>
      </c>
      <c r="J73">
        <f>BreastCancer_Data!K73</f>
        <v/>
      </c>
      <c r="K73">
        <f>BreastCancer_Data!L73</f>
        <v/>
      </c>
      <c r="L73">
        <f>BreastCancer_Data!M73</f>
        <v/>
      </c>
      <c r="M73">
        <f>BreastCancer_Data!N73</f>
        <v/>
      </c>
      <c r="N73">
        <f>BreastCancer_Data!O73</f>
        <v/>
      </c>
      <c r="O73">
        <f>0</f>
        <v/>
      </c>
      <c r="P73">
        <f>--(AND(D73&lt;=113.15,E73&lt;=0.15,F73&lt;=15.77,G73&lt;=0.18,H73&lt;=33.27))*0</f>
        <v/>
      </c>
      <c r="Q73">
        <f>--(AND(D73&lt;=113.15,E73&lt;=0.15,F73&lt;=15.77,G73&lt;=0.18,H73&gt;33.27))*0</f>
        <v/>
      </c>
      <c r="R73">
        <f>--(AND(D73&lt;=113.15,E73&lt;=0.15,F73&lt;=15.77,G73&gt;0.18))*0</f>
        <v/>
      </c>
      <c r="S73">
        <f>--(AND(D73&lt;=113.15,E73&lt;=0.15,F73&gt;15.77,H73&lt;=28.86,G73&lt;=0.14))*0</f>
        <v/>
      </c>
      <c r="T73">
        <f>--(AND(D73&lt;=113.15,E73&lt;=0.15,F73&gt;15.77,H73&lt;=28.86,G73&gt;0.14))*1</f>
        <v/>
      </c>
      <c r="U73">
        <f>--(AND(D73&lt;=113.15,E73&lt;=0.15,F73&gt;15.77,H73&gt;28.86,M73&lt;=14.54))*1</f>
        <v/>
      </c>
      <c r="V73">
        <f>--(AND(D73&lt;=113.15,E73&lt;=0.15,F73&gt;15.77,H73&gt;28.86,M73&gt;14.54))*1</f>
        <v/>
      </c>
      <c r="W73">
        <f>--(AND(D73&lt;=113.15,E73&gt;0.15,H73&lt;=23.74))*0</f>
        <v/>
      </c>
      <c r="X73">
        <f>--(AND(D73&lt;=113.15,E73&gt;0.15,H73&gt;23.74,J73&lt;=0.1))*1</f>
        <v/>
      </c>
      <c r="Y73">
        <f>--(AND(D73&lt;=113.15,E73&gt;0.15,H73&gt;23.74,J73&gt;0.1))*1</f>
        <v/>
      </c>
      <c r="Z73">
        <f>--(AND(D73&gt;113.15,K73&lt;=0.22,L73&lt;=0.02))*1</f>
        <v/>
      </c>
      <c r="AA73">
        <f>--(AND(D73&gt;113.15,K73&lt;=0.22,L73&gt;0.02))*0</f>
        <v/>
      </c>
      <c r="AB73">
        <f>--(AND(D73&gt;113.15,K73&gt;0.22,N73&lt;=810.1))*0</f>
        <v/>
      </c>
      <c r="AC73">
        <f>--(AND(D73&gt;113.15,K73&gt;0.22,N73&gt;810.1,I73&lt;=14.95))*1</f>
        <v/>
      </c>
      <c r="AD73">
        <f>--(AND(D73&gt;113.15,K73&gt;0.22,N73&gt;810.1,I73&gt;14.95))*1</f>
        <v/>
      </c>
      <c r="AE73">
        <f>SUM(P73:AD73)</f>
        <v/>
      </c>
      <c r="AF73">
        <f>IF(AE73=1,"Malignant","Benign")</f>
        <v/>
      </c>
      <c r="AG73">
        <f>--(AE73=C73)</f>
        <v/>
      </c>
    </row>
    <row r="74">
      <c r="A74">
        <f>BreastCancer_Data!A74</f>
        <v/>
      </c>
      <c r="B74">
        <f>BreastCancer_Data!B74</f>
        <v/>
      </c>
      <c r="C74">
        <f>BreastCancer_Data!D74</f>
        <v/>
      </c>
      <c r="D74">
        <f>BreastCancer_Data!E74</f>
        <v/>
      </c>
      <c r="E74">
        <f>BreastCancer_Data!F74</f>
        <v/>
      </c>
      <c r="F74">
        <f>BreastCancer_Data!G74</f>
        <v/>
      </c>
      <c r="G74">
        <f>BreastCancer_Data!H74</f>
        <v/>
      </c>
      <c r="H74">
        <f>BreastCancer_Data!I74</f>
        <v/>
      </c>
      <c r="I74">
        <f>BreastCancer_Data!J74</f>
        <v/>
      </c>
      <c r="J74">
        <f>BreastCancer_Data!K74</f>
        <v/>
      </c>
      <c r="K74">
        <f>BreastCancer_Data!L74</f>
        <v/>
      </c>
      <c r="L74">
        <f>BreastCancer_Data!M74</f>
        <v/>
      </c>
      <c r="M74">
        <f>BreastCancer_Data!N74</f>
        <v/>
      </c>
      <c r="N74">
        <f>BreastCancer_Data!O74</f>
        <v/>
      </c>
      <c r="O74">
        <f>0</f>
        <v/>
      </c>
      <c r="P74">
        <f>--(AND(D74&lt;=113.15,E74&lt;=0.15,F74&lt;=15.77,G74&lt;=0.18,H74&lt;=33.27))*0</f>
        <v/>
      </c>
      <c r="Q74">
        <f>--(AND(D74&lt;=113.15,E74&lt;=0.15,F74&lt;=15.77,G74&lt;=0.18,H74&gt;33.27))*0</f>
        <v/>
      </c>
      <c r="R74">
        <f>--(AND(D74&lt;=113.15,E74&lt;=0.15,F74&lt;=15.77,G74&gt;0.18))*0</f>
        <v/>
      </c>
      <c r="S74">
        <f>--(AND(D74&lt;=113.15,E74&lt;=0.15,F74&gt;15.77,H74&lt;=28.86,G74&lt;=0.14))*0</f>
        <v/>
      </c>
      <c r="T74">
        <f>--(AND(D74&lt;=113.15,E74&lt;=0.15,F74&gt;15.77,H74&lt;=28.86,G74&gt;0.14))*1</f>
        <v/>
      </c>
      <c r="U74">
        <f>--(AND(D74&lt;=113.15,E74&lt;=0.15,F74&gt;15.77,H74&gt;28.86,M74&lt;=14.54))*1</f>
        <v/>
      </c>
      <c r="V74">
        <f>--(AND(D74&lt;=113.15,E74&lt;=0.15,F74&gt;15.77,H74&gt;28.86,M74&gt;14.54))*1</f>
        <v/>
      </c>
      <c r="W74">
        <f>--(AND(D74&lt;=113.15,E74&gt;0.15,H74&lt;=23.74))*0</f>
        <v/>
      </c>
      <c r="X74">
        <f>--(AND(D74&lt;=113.15,E74&gt;0.15,H74&gt;23.74,J74&lt;=0.1))*1</f>
        <v/>
      </c>
      <c r="Y74">
        <f>--(AND(D74&lt;=113.15,E74&gt;0.15,H74&gt;23.74,J74&gt;0.1))*1</f>
        <v/>
      </c>
      <c r="Z74">
        <f>--(AND(D74&gt;113.15,K74&lt;=0.22,L74&lt;=0.02))*1</f>
        <v/>
      </c>
      <c r="AA74">
        <f>--(AND(D74&gt;113.15,K74&lt;=0.22,L74&gt;0.02))*0</f>
        <v/>
      </c>
      <c r="AB74">
        <f>--(AND(D74&gt;113.15,K74&gt;0.22,N74&lt;=810.1))*0</f>
        <v/>
      </c>
      <c r="AC74">
        <f>--(AND(D74&gt;113.15,K74&gt;0.22,N74&gt;810.1,I74&lt;=14.95))*1</f>
        <v/>
      </c>
      <c r="AD74">
        <f>--(AND(D74&gt;113.15,K74&gt;0.22,N74&gt;810.1,I74&gt;14.95))*1</f>
        <v/>
      </c>
      <c r="AE74">
        <f>SUM(P74:AD74)</f>
        <v/>
      </c>
      <c r="AF74">
        <f>IF(AE74=1,"Malignant","Benign")</f>
        <v/>
      </c>
      <c r="AG74">
        <f>--(AE74=C74)</f>
        <v/>
      </c>
    </row>
    <row r="75">
      <c r="A75">
        <f>BreastCancer_Data!A75</f>
        <v/>
      </c>
      <c r="B75">
        <f>BreastCancer_Data!B75</f>
        <v/>
      </c>
      <c r="C75">
        <f>BreastCancer_Data!D75</f>
        <v/>
      </c>
      <c r="D75">
        <f>BreastCancer_Data!E75</f>
        <v/>
      </c>
      <c r="E75">
        <f>BreastCancer_Data!F75</f>
        <v/>
      </c>
      <c r="F75">
        <f>BreastCancer_Data!G75</f>
        <v/>
      </c>
      <c r="G75">
        <f>BreastCancer_Data!H75</f>
        <v/>
      </c>
      <c r="H75">
        <f>BreastCancer_Data!I75</f>
        <v/>
      </c>
      <c r="I75">
        <f>BreastCancer_Data!J75</f>
        <v/>
      </c>
      <c r="J75">
        <f>BreastCancer_Data!K75</f>
        <v/>
      </c>
      <c r="K75">
        <f>BreastCancer_Data!L75</f>
        <v/>
      </c>
      <c r="L75">
        <f>BreastCancer_Data!M75</f>
        <v/>
      </c>
      <c r="M75">
        <f>BreastCancer_Data!N75</f>
        <v/>
      </c>
      <c r="N75">
        <f>BreastCancer_Data!O75</f>
        <v/>
      </c>
      <c r="O75">
        <f>0</f>
        <v/>
      </c>
      <c r="P75">
        <f>--(AND(D75&lt;=113.15,E75&lt;=0.15,F75&lt;=15.77,G75&lt;=0.18,H75&lt;=33.27))*0</f>
        <v/>
      </c>
      <c r="Q75">
        <f>--(AND(D75&lt;=113.15,E75&lt;=0.15,F75&lt;=15.77,G75&lt;=0.18,H75&gt;33.27))*0</f>
        <v/>
      </c>
      <c r="R75">
        <f>--(AND(D75&lt;=113.15,E75&lt;=0.15,F75&lt;=15.77,G75&gt;0.18))*0</f>
        <v/>
      </c>
      <c r="S75">
        <f>--(AND(D75&lt;=113.15,E75&lt;=0.15,F75&gt;15.77,H75&lt;=28.86,G75&lt;=0.14))*0</f>
        <v/>
      </c>
      <c r="T75">
        <f>--(AND(D75&lt;=113.15,E75&lt;=0.15,F75&gt;15.77,H75&lt;=28.86,G75&gt;0.14))*1</f>
        <v/>
      </c>
      <c r="U75">
        <f>--(AND(D75&lt;=113.15,E75&lt;=0.15,F75&gt;15.77,H75&gt;28.86,M75&lt;=14.54))*1</f>
        <v/>
      </c>
      <c r="V75">
        <f>--(AND(D75&lt;=113.15,E75&lt;=0.15,F75&gt;15.77,H75&gt;28.86,M75&gt;14.54))*1</f>
        <v/>
      </c>
      <c r="W75">
        <f>--(AND(D75&lt;=113.15,E75&gt;0.15,H75&lt;=23.74))*0</f>
        <v/>
      </c>
      <c r="X75">
        <f>--(AND(D75&lt;=113.15,E75&gt;0.15,H75&gt;23.74,J75&lt;=0.1))*1</f>
        <v/>
      </c>
      <c r="Y75">
        <f>--(AND(D75&lt;=113.15,E75&gt;0.15,H75&gt;23.74,J75&gt;0.1))*1</f>
        <v/>
      </c>
      <c r="Z75">
        <f>--(AND(D75&gt;113.15,K75&lt;=0.22,L75&lt;=0.02))*1</f>
        <v/>
      </c>
      <c r="AA75">
        <f>--(AND(D75&gt;113.15,K75&lt;=0.22,L75&gt;0.02))*0</f>
        <v/>
      </c>
      <c r="AB75">
        <f>--(AND(D75&gt;113.15,K75&gt;0.22,N75&lt;=810.1))*0</f>
        <v/>
      </c>
      <c r="AC75">
        <f>--(AND(D75&gt;113.15,K75&gt;0.22,N75&gt;810.1,I75&lt;=14.95))*1</f>
        <v/>
      </c>
      <c r="AD75">
        <f>--(AND(D75&gt;113.15,K75&gt;0.22,N75&gt;810.1,I75&gt;14.95))*1</f>
        <v/>
      </c>
      <c r="AE75">
        <f>SUM(P75:AD75)</f>
        <v/>
      </c>
      <c r="AF75">
        <f>IF(AE75=1,"Malignant","Benign")</f>
        <v/>
      </c>
      <c r="AG75">
        <f>--(AE75=C75)</f>
        <v/>
      </c>
    </row>
    <row r="76">
      <c r="A76">
        <f>BreastCancer_Data!A76</f>
        <v/>
      </c>
      <c r="B76">
        <f>BreastCancer_Data!B76</f>
        <v/>
      </c>
      <c r="C76">
        <f>BreastCancer_Data!D76</f>
        <v/>
      </c>
      <c r="D76">
        <f>BreastCancer_Data!E76</f>
        <v/>
      </c>
      <c r="E76">
        <f>BreastCancer_Data!F76</f>
        <v/>
      </c>
      <c r="F76">
        <f>BreastCancer_Data!G76</f>
        <v/>
      </c>
      <c r="G76">
        <f>BreastCancer_Data!H76</f>
        <v/>
      </c>
      <c r="H76">
        <f>BreastCancer_Data!I76</f>
        <v/>
      </c>
      <c r="I76">
        <f>BreastCancer_Data!J76</f>
        <v/>
      </c>
      <c r="J76">
        <f>BreastCancer_Data!K76</f>
        <v/>
      </c>
      <c r="K76">
        <f>BreastCancer_Data!L76</f>
        <v/>
      </c>
      <c r="L76">
        <f>BreastCancer_Data!M76</f>
        <v/>
      </c>
      <c r="M76">
        <f>BreastCancer_Data!N76</f>
        <v/>
      </c>
      <c r="N76">
        <f>BreastCancer_Data!O76</f>
        <v/>
      </c>
      <c r="O76">
        <f>0</f>
        <v/>
      </c>
      <c r="P76">
        <f>--(AND(D76&lt;=113.15,E76&lt;=0.15,F76&lt;=15.77,G76&lt;=0.18,H76&lt;=33.27))*0</f>
        <v/>
      </c>
      <c r="Q76">
        <f>--(AND(D76&lt;=113.15,E76&lt;=0.15,F76&lt;=15.77,G76&lt;=0.18,H76&gt;33.27))*0</f>
        <v/>
      </c>
      <c r="R76">
        <f>--(AND(D76&lt;=113.15,E76&lt;=0.15,F76&lt;=15.77,G76&gt;0.18))*0</f>
        <v/>
      </c>
      <c r="S76">
        <f>--(AND(D76&lt;=113.15,E76&lt;=0.15,F76&gt;15.77,H76&lt;=28.86,G76&lt;=0.14))*0</f>
        <v/>
      </c>
      <c r="T76">
        <f>--(AND(D76&lt;=113.15,E76&lt;=0.15,F76&gt;15.77,H76&lt;=28.86,G76&gt;0.14))*1</f>
        <v/>
      </c>
      <c r="U76">
        <f>--(AND(D76&lt;=113.15,E76&lt;=0.15,F76&gt;15.77,H76&gt;28.86,M76&lt;=14.54))*1</f>
        <v/>
      </c>
      <c r="V76">
        <f>--(AND(D76&lt;=113.15,E76&lt;=0.15,F76&gt;15.77,H76&gt;28.86,M76&gt;14.54))*1</f>
        <v/>
      </c>
      <c r="W76">
        <f>--(AND(D76&lt;=113.15,E76&gt;0.15,H76&lt;=23.74))*0</f>
        <v/>
      </c>
      <c r="X76">
        <f>--(AND(D76&lt;=113.15,E76&gt;0.15,H76&gt;23.74,J76&lt;=0.1))*1</f>
        <v/>
      </c>
      <c r="Y76">
        <f>--(AND(D76&lt;=113.15,E76&gt;0.15,H76&gt;23.74,J76&gt;0.1))*1</f>
        <v/>
      </c>
      <c r="Z76">
        <f>--(AND(D76&gt;113.15,K76&lt;=0.22,L76&lt;=0.02))*1</f>
        <v/>
      </c>
      <c r="AA76">
        <f>--(AND(D76&gt;113.15,K76&lt;=0.22,L76&gt;0.02))*0</f>
        <v/>
      </c>
      <c r="AB76">
        <f>--(AND(D76&gt;113.15,K76&gt;0.22,N76&lt;=810.1))*0</f>
        <v/>
      </c>
      <c r="AC76">
        <f>--(AND(D76&gt;113.15,K76&gt;0.22,N76&gt;810.1,I76&lt;=14.95))*1</f>
        <v/>
      </c>
      <c r="AD76">
        <f>--(AND(D76&gt;113.15,K76&gt;0.22,N76&gt;810.1,I76&gt;14.95))*1</f>
        <v/>
      </c>
      <c r="AE76">
        <f>SUM(P76:AD76)</f>
        <v/>
      </c>
      <c r="AF76">
        <f>IF(AE76=1,"Malignant","Benign")</f>
        <v/>
      </c>
      <c r="AG76">
        <f>--(AE76=C76)</f>
        <v/>
      </c>
    </row>
    <row r="77">
      <c r="A77">
        <f>BreastCancer_Data!A77</f>
        <v/>
      </c>
      <c r="B77">
        <f>BreastCancer_Data!B77</f>
        <v/>
      </c>
      <c r="C77">
        <f>BreastCancer_Data!D77</f>
        <v/>
      </c>
      <c r="D77">
        <f>BreastCancer_Data!E77</f>
        <v/>
      </c>
      <c r="E77">
        <f>BreastCancer_Data!F77</f>
        <v/>
      </c>
      <c r="F77">
        <f>BreastCancer_Data!G77</f>
        <v/>
      </c>
      <c r="G77">
        <f>BreastCancer_Data!H77</f>
        <v/>
      </c>
      <c r="H77">
        <f>BreastCancer_Data!I77</f>
        <v/>
      </c>
      <c r="I77">
        <f>BreastCancer_Data!J77</f>
        <v/>
      </c>
      <c r="J77">
        <f>BreastCancer_Data!K77</f>
        <v/>
      </c>
      <c r="K77">
        <f>BreastCancer_Data!L77</f>
        <v/>
      </c>
      <c r="L77">
        <f>BreastCancer_Data!M77</f>
        <v/>
      </c>
      <c r="M77">
        <f>BreastCancer_Data!N77</f>
        <v/>
      </c>
      <c r="N77">
        <f>BreastCancer_Data!O77</f>
        <v/>
      </c>
      <c r="O77">
        <f>0</f>
        <v/>
      </c>
      <c r="P77">
        <f>--(AND(D77&lt;=113.15,E77&lt;=0.15,F77&lt;=15.77,G77&lt;=0.18,H77&lt;=33.27))*0</f>
        <v/>
      </c>
      <c r="Q77">
        <f>--(AND(D77&lt;=113.15,E77&lt;=0.15,F77&lt;=15.77,G77&lt;=0.18,H77&gt;33.27))*0</f>
        <v/>
      </c>
      <c r="R77">
        <f>--(AND(D77&lt;=113.15,E77&lt;=0.15,F77&lt;=15.77,G77&gt;0.18))*0</f>
        <v/>
      </c>
      <c r="S77">
        <f>--(AND(D77&lt;=113.15,E77&lt;=0.15,F77&gt;15.77,H77&lt;=28.86,G77&lt;=0.14))*0</f>
        <v/>
      </c>
      <c r="T77">
        <f>--(AND(D77&lt;=113.15,E77&lt;=0.15,F77&gt;15.77,H77&lt;=28.86,G77&gt;0.14))*1</f>
        <v/>
      </c>
      <c r="U77">
        <f>--(AND(D77&lt;=113.15,E77&lt;=0.15,F77&gt;15.77,H77&gt;28.86,M77&lt;=14.54))*1</f>
        <v/>
      </c>
      <c r="V77">
        <f>--(AND(D77&lt;=113.15,E77&lt;=0.15,F77&gt;15.77,H77&gt;28.86,M77&gt;14.54))*1</f>
        <v/>
      </c>
      <c r="W77">
        <f>--(AND(D77&lt;=113.15,E77&gt;0.15,H77&lt;=23.74))*0</f>
        <v/>
      </c>
      <c r="X77">
        <f>--(AND(D77&lt;=113.15,E77&gt;0.15,H77&gt;23.74,J77&lt;=0.1))*1</f>
        <v/>
      </c>
      <c r="Y77">
        <f>--(AND(D77&lt;=113.15,E77&gt;0.15,H77&gt;23.74,J77&gt;0.1))*1</f>
        <v/>
      </c>
      <c r="Z77">
        <f>--(AND(D77&gt;113.15,K77&lt;=0.22,L77&lt;=0.02))*1</f>
        <v/>
      </c>
      <c r="AA77">
        <f>--(AND(D77&gt;113.15,K77&lt;=0.22,L77&gt;0.02))*0</f>
        <v/>
      </c>
      <c r="AB77">
        <f>--(AND(D77&gt;113.15,K77&gt;0.22,N77&lt;=810.1))*0</f>
        <v/>
      </c>
      <c r="AC77">
        <f>--(AND(D77&gt;113.15,K77&gt;0.22,N77&gt;810.1,I77&lt;=14.95))*1</f>
        <v/>
      </c>
      <c r="AD77">
        <f>--(AND(D77&gt;113.15,K77&gt;0.22,N77&gt;810.1,I77&gt;14.95))*1</f>
        <v/>
      </c>
      <c r="AE77">
        <f>SUM(P77:AD77)</f>
        <v/>
      </c>
      <c r="AF77">
        <f>IF(AE77=1,"Malignant","Benign")</f>
        <v/>
      </c>
      <c r="AG77">
        <f>--(AE77=C77)</f>
        <v/>
      </c>
    </row>
    <row r="78">
      <c r="A78">
        <f>BreastCancer_Data!A78</f>
        <v/>
      </c>
      <c r="B78">
        <f>BreastCancer_Data!B78</f>
        <v/>
      </c>
      <c r="C78">
        <f>BreastCancer_Data!D78</f>
        <v/>
      </c>
      <c r="D78">
        <f>BreastCancer_Data!E78</f>
        <v/>
      </c>
      <c r="E78">
        <f>BreastCancer_Data!F78</f>
        <v/>
      </c>
      <c r="F78">
        <f>BreastCancer_Data!G78</f>
        <v/>
      </c>
      <c r="G78">
        <f>BreastCancer_Data!H78</f>
        <v/>
      </c>
      <c r="H78">
        <f>BreastCancer_Data!I78</f>
        <v/>
      </c>
      <c r="I78">
        <f>BreastCancer_Data!J78</f>
        <v/>
      </c>
      <c r="J78">
        <f>BreastCancer_Data!K78</f>
        <v/>
      </c>
      <c r="K78">
        <f>BreastCancer_Data!L78</f>
        <v/>
      </c>
      <c r="L78">
        <f>BreastCancer_Data!M78</f>
        <v/>
      </c>
      <c r="M78">
        <f>BreastCancer_Data!N78</f>
        <v/>
      </c>
      <c r="N78">
        <f>BreastCancer_Data!O78</f>
        <v/>
      </c>
      <c r="O78">
        <f>0</f>
        <v/>
      </c>
      <c r="P78">
        <f>--(AND(D78&lt;=113.15,E78&lt;=0.15,F78&lt;=15.77,G78&lt;=0.18,H78&lt;=33.27))*0</f>
        <v/>
      </c>
      <c r="Q78">
        <f>--(AND(D78&lt;=113.15,E78&lt;=0.15,F78&lt;=15.77,G78&lt;=0.18,H78&gt;33.27))*0</f>
        <v/>
      </c>
      <c r="R78">
        <f>--(AND(D78&lt;=113.15,E78&lt;=0.15,F78&lt;=15.77,G78&gt;0.18))*0</f>
        <v/>
      </c>
      <c r="S78">
        <f>--(AND(D78&lt;=113.15,E78&lt;=0.15,F78&gt;15.77,H78&lt;=28.86,G78&lt;=0.14))*0</f>
        <v/>
      </c>
      <c r="T78">
        <f>--(AND(D78&lt;=113.15,E78&lt;=0.15,F78&gt;15.77,H78&lt;=28.86,G78&gt;0.14))*1</f>
        <v/>
      </c>
      <c r="U78">
        <f>--(AND(D78&lt;=113.15,E78&lt;=0.15,F78&gt;15.77,H78&gt;28.86,M78&lt;=14.54))*1</f>
        <v/>
      </c>
      <c r="V78">
        <f>--(AND(D78&lt;=113.15,E78&lt;=0.15,F78&gt;15.77,H78&gt;28.86,M78&gt;14.54))*1</f>
        <v/>
      </c>
      <c r="W78">
        <f>--(AND(D78&lt;=113.15,E78&gt;0.15,H78&lt;=23.74))*0</f>
        <v/>
      </c>
      <c r="X78">
        <f>--(AND(D78&lt;=113.15,E78&gt;0.15,H78&gt;23.74,J78&lt;=0.1))*1</f>
        <v/>
      </c>
      <c r="Y78">
        <f>--(AND(D78&lt;=113.15,E78&gt;0.15,H78&gt;23.74,J78&gt;0.1))*1</f>
        <v/>
      </c>
      <c r="Z78">
        <f>--(AND(D78&gt;113.15,K78&lt;=0.22,L78&lt;=0.02))*1</f>
        <v/>
      </c>
      <c r="AA78">
        <f>--(AND(D78&gt;113.15,K78&lt;=0.22,L78&gt;0.02))*0</f>
        <v/>
      </c>
      <c r="AB78">
        <f>--(AND(D78&gt;113.15,K78&gt;0.22,N78&lt;=810.1))*0</f>
        <v/>
      </c>
      <c r="AC78">
        <f>--(AND(D78&gt;113.15,K78&gt;0.22,N78&gt;810.1,I78&lt;=14.95))*1</f>
        <v/>
      </c>
      <c r="AD78">
        <f>--(AND(D78&gt;113.15,K78&gt;0.22,N78&gt;810.1,I78&gt;14.95))*1</f>
        <v/>
      </c>
      <c r="AE78">
        <f>SUM(P78:AD78)</f>
        <v/>
      </c>
      <c r="AF78">
        <f>IF(AE78=1,"Malignant","Benign")</f>
        <v/>
      </c>
      <c r="AG78">
        <f>--(AE78=C78)</f>
        <v/>
      </c>
    </row>
    <row r="79">
      <c r="A79">
        <f>BreastCancer_Data!A79</f>
        <v/>
      </c>
      <c r="B79">
        <f>BreastCancer_Data!B79</f>
        <v/>
      </c>
      <c r="C79">
        <f>BreastCancer_Data!D79</f>
        <v/>
      </c>
      <c r="D79">
        <f>BreastCancer_Data!E79</f>
        <v/>
      </c>
      <c r="E79">
        <f>BreastCancer_Data!F79</f>
        <v/>
      </c>
      <c r="F79">
        <f>BreastCancer_Data!G79</f>
        <v/>
      </c>
      <c r="G79">
        <f>BreastCancer_Data!H79</f>
        <v/>
      </c>
      <c r="H79">
        <f>BreastCancer_Data!I79</f>
        <v/>
      </c>
      <c r="I79">
        <f>BreastCancer_Data!J79</f>
        <v/>
      </c>
      <c r="J79">
        <f>BreastCancer_Data!K79</f>
        <v/>
      </c>
      <c r="K79">
        <f>BreastCancer_Data!L79</f>
        <v/>
      </c>
      <c r="L79">
        <f>BreastCancer_Data!M79</f>
        <v/>
      </c>
      <c r="M79">
        <f>BreastCancer_Data!N79</f>
        <v/>
      </c>
      <c r="N79">
        <f>BreastCancer_Data!O79</f>
        <v/>
      </c>
      <c r="O79">
        <f>0</f>
        <v/>
      </c>
      <c r="P79">
        <f>--(AND(D79&lt;=113.15,E79&lt;=0.15,F79&lt;=15.77,G79&lt;=0.18,H79&lt;=33.27))*0</f>
        <v/>
      </c>
      <c r="Q79">
        <f>--(AND(D79&lt;=113.15,E79&lt;=0.15,F79&lt;=15.77,G79&lt;=0.18,H79&gt;33.27))*0</f>
        <v/>
      </c>
      <c r="R79">
        <f>--(AND(D79&lt;=113.15,E79&lt;=0.15,F79&lt;=15.77,G79&gt;0.18))*0</f>
        <v/>
      </c>
      <c r="S79">
        <f>--(AND(D79&lt;=113.15,E79&lt;=0.15,F79&gt;15.77,H79&lt;=28.86,G79&lt;=0.14))*0</f>
        <v/>
      </c>
      <c r="T79">
        <f>--(AND(D79&lt;=113.15,E79&lt;=0.15,F79&gt;15.77,H79&lt;=28.86,G79&gt;0.14))*1</f>
        <v/>
      </c>
      <c r="U79">
        <f>--(AND(D79&lt;=113.15,E79&lt;=0.15,F79&gt;15.77,H79&gt;28.86,M79&lt;=14.54))*1</f>
        <v/>
      </c>
      <c r="V79">
        <f>--(AND(D79&lt;=113.15,E79&lt;=0.15,F79&gt;15.77,H79&gt;28.86,M79&gt;14.54))*1</f>
        <v/>
      </c>
      <c r="W79">
        <f>--(AND(D79&lt;=113.15,E79&gt;0.15,H79&lt;=23.74))*0</f>
        <v/>
      </c>
      <c r="X79">
        <f>--(AND(D79&lt;=113.15,E79&gt;0.15,H79&gt;23.74,J79&lt;=0.1))*1</f>
        <v/>
      </c>
      <c r="Y79">
        <f>--(AND(D79&lt;=113.15,E79&gt;0.15,H79&gt;23.74,J79&gt;0.1))*1</f>
        <v/>
      </c>
      <c r="Z79">
        <f>--(AND(D79&gt;113.15,K79&lt;=0.22,L79&lt;=0.02))*1</f>
        <v/>
      </c>
      <c r="AA79">
        <f>--(AND(D79&gt;113.15,K79&lt;=0.22,L79&gt;0.02))*0</f>
        <v/>
      </c>
      <c r="AB79">
        <f>--(AND(D79&gt;113.15,K79&gt;0.22,N79&lt;=810.1))*0</f>
        <v/>
      </c>
      <c r="AC79">
        <f>--(AND(D79&gt;113.15,K79&gt;0.22,N79&gt;810.1,I79&lt;=14.95))*1</f>
        <v/>
      </c>
      <c r="AD79">
        <f>--(AND(D79&gt;113.15,K79&gt;0.22,N79&gt;810.1,I79&gt;14.95))*1</f>
        <v/>
      </c>
      <c r="AE79">
        <f>SUM(P79:AD79)</f>
        <v/>
      </c>
      <c r="AF79">
        <f>IF(AE79=1,"Malignant","Benign")</f>
        <v/>
      </c>
      <c r="AG79">
        <f>--(AE79=C79)</f>
        <v/>
      </c>
    </row>
    <row r="80">
      <c r="A80">
        <f>BreastCancer_Data!A80</f>
        <v/>
      </c>
      <c r="B80">
        <f>BreastCancer_Data!B80</f>
        <v/>
      </c>
      <c r="C80">
        <f>BreastCancer_Data!D80</f>
        <v/>
      </c>
      <c r="D80">
        <f>BreastCancer_Data!E80</f>
        <v/>
      </c>
      <c r="E80">
        <f>BreastCancer_Data!F80</f>
        <v/>
      </c>
      <c r="F80">
        <f>BreastCancer_Data!G80</f>
        <v/>
      </c>
      <c r="G80">
        <f>BreastCancer_Data!H80</f>
        <v/>
      </c>
      <c r="H80">
        <f>BreastCancer_Data!I80</f>
        <v/>
      </c>
      <c r="I80">
        <f>BreastCancer_Data!J80</f>
        <v/>
      </c>
      <c r="J80">
        <f>BreastCancer_Data!K80</f>
        <v/>
      </c>
      <c r="K80">
        <f>BreastCancer_Data!L80</f>
        <v/>
      </c>
      <c r="L80">
        <f>BreastCancer_Data!M80</f>
        <v/>
      </c>
      <c r="M80">
        <f>BreastCancer_Data!N80</f>
        <v/>
      </c>
      <c r="N80">
        <f>BreastCancer_Data!O80</f>
        <v/>
      </c>
      <c r="O80">
        <f>0</f>
        <v/>
      </c>
      <c r="P80">
        <f>--(AND(D80&lt;=113.15,E80&lt;=0.15,F80&lt;=15.77,G80&lt;=0.18,H80&lt;=33.27))*0</f>
        <v/>
      </c>
      <c r="Q80">
        <f>--(AND(D80&lt;=113.15,E80&lt;=0.15,F80&lt;=15.77,G80&lt;=0.18,H80&gt;33.27))*0</f>
        <v/>
      </c>
      <c r="R80">
        <f>--(AND(D80&lt;=113.15,E80&lt;=0.15,F80&lt;=15.77,G80&gt;0.18))*0</f>
        <v/>
      </c>
      <c r="S80">
        <f>--(AND(D80&lt;=113.15,E80&lt;=0.15,F80&gt;15.77,H80&lt;=28.86,G80&lt;=0.14))*0</f>
        <v/>
      </c>
      <c r="T80">
        <f>--(AND(D80&lt;=113.15,E80&lt;=0.15,F80&gt;15.77,H80&lt;=28.86,G80&gt;0.14))*1</f>
        <v/>
      </c>
      <c r="U80">
        <f>--(AND(D80&lt;=113.15,E80&lt;=0.15,F80&gt;15.77,H80&gt;28.86,M80&lt;=14.54))*1</f>
        <v/>
      </c>
      <c r="V80">
        <f>--(AND(D80&lt;=113.15,E80&lt;=0.15,F80&gt;15.77,H80&gt;28.86,M80&gt;14.54))*1</f>
        <v/>
      </c>
      <c r="W80">
        <f>--(AND(D80&lt;=113.15,E80&gt;0.15,H80&lt;=23.74))*0</f>
        <v/>
      </c>
      <c r="X80">
        <f>--(AND(D80&lt;=113.15,E80&gt;0.15,H80&gt;23.74,J80&lt;=0.1))*1</f>
        <v/>
      </c>
      <c r="Y80">
        <f>--(AND(D80&lt;=113.15,E80&gt;0.15,H80&gt;23.74,J80&gt;0.1))*1</f>
        <v/>
      </c>
      <c r="Z80">
        <f>--(AND(D80&gt;113.15,K80&lt;=0.22,L80&lt;=0.02))*1</f>
        <v/>
      </c>
      <c r="AA80">
        <f>--(AND(D80&gt;113.15,K80&lt;=0.22,L80&gt;0.02))*0</f>
        <v/>
      </c>
      <c r="AB80">
        <f>--(AND(D80&gt;113.15,K80&gt;0.22,N80&lt;=810.1))*0</f>
        <v/>
      </c>
      <c r="AC80">
        <f>--(AND(D80&gt;113.15,K80&gt;0.22,N80&gt;810.1,I80&lt;=14.95))*1</f>
        <v/>
      </c>
      <c r="AD80">
        <f>--(AND(D80&gt;113.15,K80&gt;0.22,N80&gt;810.1,I80&gt;14.95))*1</f>
        <v/>
      </c>
      <c r="AE80">
        <f>SUM(P80:AD80)</f>
        <v/>
      </c>
      <c r="AF80">
        <f>IF(AE80=1,"Malignant","Benign")</f>
        <v/>
      </c>
      <c r="AG80">
        <f>--(AE80=C80)</f>
        <v/>
      </c>
    </row>
    <row r="81">
      <c r="A81">
        <f>BreastCancer_Data!A81</f>
        <v/>
      </c>
      <c r="B81">
        <f>BreastCancer_Data!B81</f>
        <v/>
      </c>
      <c r="C81">
        <f>BreastCancer_Data!D81</f>
        <v/>
      </c>
      <c r="D81">
        <f>BreastCancer_Data!E81</f>
        <v/>
      </c>
      <c r="E81">
        <f>BreastCancer_Data!F81</f>
        <v/>
      </c>
      <c r="F81">
        <f>BreastCancer_Data!G81</f>
        <v/>
      </c>
      <c r="G81">
        <f>BreastCancer_Data!H81</f>
        <v/>
      </c>
      <c r="H81">
        <f>BreastCancer_Data!I81</f>
        <v/>
      </c>
      <c r="I81">
        <f>BreastCancer_Data!J81</f>
        <v/>
      </c>
      <c r="J81">
        <f>BreastCancer_Data!K81</f>
        <v/>
      </c>
      <c r="K81">
        <f>BreastCancer_Data!L81</f>
        <v/>
      </c>
      <c r="L81">
        <f>BreastCancer_Data!M81</f>
        <v/>
      </c>
      <c r="M81">
        <f>BreastCancer_Data!N81</f>
        <v/>
      </c>
      <c r="N81">
        <f>BreastCancer_Data!O81</f>
        <v/>
      </c>
      <c r="O81">
        <f>0</f>
        <v/>
      </c>
      <c r="P81">
        <f>--(AND(D81&lt;=113.15,E81&lt;=0.15,F81&lt;=15.77,G81&lt;=0.18,H81&lt;=33.27))*0</f>
        <v/>
      </c>
      <c r="Q81">
        <f>--(AND(D81&lt;=113.15,E81&lt;=0.15,F81&lt;=15.77,G81&lt;=0.18,H81&gt;33.27))*0</f>
        <v/>
      </c>
      <c r="R81">
        <f>--(AND(D81&lt;=113.15,E81&lt;=0.15,F81&lt;=15.77,G81&gt;0.18))*0</f>
        <v/>
      </c>
      <c r="S81">
        <f>--(AND(D81&lt;=113.15,E81&lt;=0.15,F81&gt;15.77,H81&lt;=28.86,G81&lt;=0.14))*0</f>
        <v/>
      </c>
      <c r="T81">
        <f>--(AND(D81&lt;=113.15,E81&lt;=0.15,F81&gt;15.77,H81&lt;=28.86,G81&gt;0.14))*1</f>
        <v/>
      </c>
      <c r="U81">
        <f>--(AND(D81&lt;=113.15,E81&lt;=0.15,F81&gt;15.77,H81&gt;28.86,M81&lt;=14.54))*1</f>
        <v/>
      </c>
      <c r="V81">
        <f>--(AND(D81&lt;=113.15,E81&lt;=0.15,F81&gt;15.77,H81&gt;28.86,M81&gt;14.54))*1</f>
        <v/>
      </c>
      <c r="W81">
        <f>--(AND(D81&lt;=113.15,E81&gt;0.15,H81&lt;=23.74))*0</f>
        <v/>
      </c>
      <c r="X81">
        <f>--(AND(D81&lt;=113.15,E81&gt;0.15,H81&gt;23.74,J81&lt;=0.1))*1</f>
        <v/>
      </c>
      <c r="Y81">
        <f>--(AND(D81&lt;=113.15,E81&gt;0.15,H81&gt;23.74,J81&gt;0.1))*1</f>
        <v/>
      </c>
      <c r="Z81">
        <f>--(AND(D81&gt;113.15,K81&lt;=0.22,L81&lt;=0.02))*1</f>
        <v/>
      </c>
      <c r="AA81">
        <f>--(AND(D81&gt;113.15,K81&lt;=0.22,L81&gt;0.02))*0</f>
        <v/>
      </c>
      <c r="AB81">
        <f>--(AND(D81&gt;113.15,K81&gt;0.22,N81&lt;=810.1))*0</f>
        <v/>
      </c>
      <c r="AC81">
        <f>--(AND(D81&gt;113.15,K81&gt;0.22,N81&gt;810.1,I81&lt;=14.95))*1</f>
        <v/>
      </c>
      <c r="AD81">
        <f>--(AND(D81&gt;113.15,K81&gt;0.22,N81&gt;810.1,I81&gt;14.95))*1</f>
        <v/>
      </c>
      <c r="AE81">
        <f>SUM(P81:AD81)</f>
        <v/>
      </c>
      <c r="AF81">
        <f>IF(AE81=1,"Malignant","Benign")</f>
        <v/>
      </c>
      <c r="AG81">
        <f>--(AE81=C81)</f>
        <v/>
      </c>
    </row>
    <row r="82">
      <c r="A82">
        <f>BreastCancer_Data!A82</f>
        <v/>
      </c>
      <c r="B82">
        <f>BreastCancer_Data!B82</f>
        <v/>
      </c>
      <c r="C82">
        <f>BreastCancer_Data!D82</f>
        <v/>
      </c>
      <c r="D82">
        <f>BreastCancer_Data!E82</f>
        <v/>
      </c>
      <c r="E82">
        <f>BreastCancer_Data!F82</f>
        <v/>
      </c>
      <c r="F82">
        <f>BreastCancer_Data!G82</f>
        <v/>
      </c>
      <c r="G82">
        <f>BreastCancer_Data!H82</f>
        <v/>
      </c>
      <c r="H82">
        <f>BreastCancer_Data!I82</f>
        <v/>
      </c>
      <c r="I82">
        <f>BreastCancer_Data!J82</f>
        <v/>
      </c>
      <c r="J82">
        <f>BreastCancer_Data!K82</f>
        <v/>
      </c>
      <c r="K82">
        <f>BreastCancer_Data!L82</f>
        <v/>
      </c>
      <c r="L82">
        <f>BreastCancer_Data!M82</f>
        <v/>
      </c>
      <c r="M82">
        <f>BreastCancer_Data!N82</f>
        <v/>
      </c>
      <c r="N82">
        <f>BreastCancer_Data!O82</f>
        <v/>
      </c>
      <c r="O82">
        <f>0</f>
        <v/>
      </c>
      <c r="P82">
        <f>--(AND(D82&lt;=113.15,E82&lt;=0.15,F82&lt;=15.77,G82&lt;=0.18,H82&lt;=33.27))*0</f>
        <v/>
      </c>
      <c r="Q82">
        <f>--(AND(D82&lt;=113.15,E82&lt;=0.15,F82&lt;=15.77,G82&lt;=0.18,H82&gt;33.27))*0</f>
        <v/>
      </c>
      <c r="R82">
        <f>--(AND(D82&lt;=113.15,E82&lt;=0.15,F82&lt;=15.77,G82&gt;0.18))*0</f>
        <v/>
      </c>
      <c r="S82">
        <f>--(AND(D82&lt;=113.15,E82&lt;=0.15,F82&gt;15.77,H82&lt;=28.86,G82&lt;=0.14))*0</f>
        <v/>
      </c>
      <c r="T82">
        <f>--(AND(D82&lt;=113.15,E82&lt;=0.15,F82&gt;15.77,H82&lt;=28.86,G82&gt;0.14))*1</f>
        <v/>
      </c>
      <c r="U82">
        <f>--(AND(D82&lt;=113.15,E82&lt;=0.15,F82&gt;15.77,H82&gt;28.86,M82&lt;=14.54))*1</f>
        <v/>
      </c>
      <c r="V82">
        <f>--(AND(D82&lt;=113.15,E82&lt;=0.15,F82&gt;15.77,H82&gt;28.86,M82&gt;14.54))*1</f>
        <v/>
      </c>
      <c r="W82">
        <f>--(AND(D82&lt;=113.15,E82&gt;0.15,H82&lt;=23.74))*0</f>
        <v/>
      </c>
      <c r="X82">
        <f>--(AND(D82&lt;=113.15,E82&gt;0.15,H82&gt;23.74,J82&lt;=0.1))*1</f>
        <v/>
      </c>
      <c r="Y82">
        <f>--(AND(D82&lt;=113.15,E82&gt;0.15,H82&gt;23.74,J82&gt;0.1))*1</f>
        <v/>
      </c>
      <c r="Z82">
        <f>--(AND(D82&gt;113.15,K82&lt;=0.22,L82&lt;=0.02))*1</f>
        <v/>
      </c>
      <c r="AA82">
        <f>--(AND(D82&gt;113.15,K82&lt;=0.22,L82&gt;0.02))*0</f>
        <v/>
      </c>
      <c r="AB82">
        <f>--(AND(D82&gt;113.15,K82&gt;0.22,N82&lt;=810.1))*0</f>
        <v/>
      </c>
      <c r="AC82">
        <f>--(AND(D82&gt;113.15,K82&gt;0.22,N82&gt;810.1,I82&lt;=14.95))*1</f>
        <v/>
      </c>
      <c r="AD82">
        <f>--(AND(D82&gt;113.15,K82&gt;0.22,N82&gt;810.1,I82&gt;14.95))*1</f>
        <v/>
      </c>
      <c r="AE82">
        <f>SUM(P82:AD82)</f>
        <v/>
      </c>
      <c r="AF82">
        <f>IF(AE82=1,"Malignant","Benign")</f>
        <v/>
      </c>
      <c r="AG82">
        <f>--(AE82=C82)</f>
        <v/>
      </c>
    </row>
    <row r="83">
      <c r="A83">
        <f>BreastCancer_Data!A83</f>
        <v/>
      </c>
      <c r="B83">
        <f>BreastCancer_Data!B83</f>
        <v/>
      </c>
      <c r="C83">
        <f>BreastCancer_Data!D83</f>
        <v/>
      </c>
      <c r="D83">
        <f>BreastCancer_Data!E83</f>
        <v/>
      </c>
      <c r="E83">
        <f>BreastCancer_Data!F83</f>
        <v/>
      </c>
      <c r="F83">
        <f>BreastCancer_Data!G83</f>
        <v/>
      </c>
      <c r="G83">
        <f>BreastCancer_Data!H83</f>
        <v/>
      </c>
      <c r="H83">
        <f>BreastCancer_Data!I83</f>
        <v/>
      </c>
      <c r="I83">
        <f>BreastCancer_Data!J83</f>
        <v/>
      </c>
      <c r="J83">
        <f>BreastCancer_Data!K83</f>
        <v/>
      </c>
      <c r="K83">
        <f>BreastCancer_Data!L83</f>
        <v/>
      </c>
      <c r="L83">
        <f>BreastCancer_Data!M83</f>
        <v/>
      </c>
      <c r="M83">
        <f>BreastCancer_Data!N83</f>
        <v/>
      </c>
      <c r="N83">
        <f>BreastCancer_Data!O83</f>
        <v/>
      </c>
      <c r="O83">
        <f>0</f>
        <v/>
      </c>
      <c r="P83">
        <f>--(AND(D83&lt;=113.15,E83&lt;=0.15,F83&lt;=15.77,G83&lt;=0.18,H83&lt;=33.27))*0</f>
        <v/>
      </c>
      <c r="Q83">
        <f>--(AND(D83&lt;=113.15,E83&lt;=0.15,F83&lt;=15.77,G83&lt;=0.18,H83&gt;33.27))*0</f>
        <v/>
      </c>
      <c r="R83">
        <f>--(AND(D83&lt;=113.15,E83&lt;=0.15,F83&lt;=15.77,G83&gt;0.18))*0</f>
        <v/>
      </c>
      <c r="S83">
        <f>--(AND(D83&lt;=113.15,E83&lt;=0.15,F83&gt;15.77,H83&lt;=28.86,G83&lt;=0.14))*0</f>
        <v/>
      </c>
      <c r="T83">
        <f>--(AND(D83&lt;=113.15,E83&lt;=0.15,F83&gt;15.77,H83&lt;=28.86,G83&gt;0.14))*1</f>
        <v/>
      </c>
      <c r="U83">
        <f>--(AND(D83&lt;=113.15,E83&lt;=0.15,F83&gt;15.77,H83&gt;28.86,M83&lt;=14.54))*1</f>
        <v/>
      </c>
      <c r="V83">
        <f>--(AND(D83&lt;=113.15,E83&lt;=0.15,F83&gt;15.77,H83&gt;28.86,M83&gt;14.54))*1</f>
        <v/>
      </c>
      <c r="W83">
        <f>--(AND(D83&lt;=113.15,E83&gt;0.15,H83&lt;=23.74))*0</f>
        <v/>
      </c>
      <c r="X83">
        <f>--(AND(D83&lt;=113.15,E83&gt;0.15,H83&gt;23.74,J83&lt;=0.1))*1</f>
        <v/>
      </c>
      <c r="Y83">
        <f>--(AND(D83&lt;=113.15,E83&gt;0.15,H83&gt;23.74,J83&gt;0.1))*1</f>
        <v/>
      </c>
      <c r="Z83">
        <f>--(AND(D83&gt;113.15,K83&lt;=0.22,L83&lt;=0.02))*1</f>
        <v/>
      </c>
      <c r="AA83">
        <f>--(AND(D83&gt;113.15,K83&lt;=0.22,L83&gt;0.02))*0</f>
        <v/>
      </c>
      <c r="AB83">
        <f>--(AND(D83&gt;113.15,K83&gt;0.22,N83&lt;=810.1))*0</f>
        <v/>
      </c>
      <c r="AC83">
        <f>--(AND(D83&gt;113.15,K83&gt;0.22,N83&gt;810.1,I83&lt;=14.95))*1</f>
        <v/>
      </c>
      <c r="AD83">
        <f>--(AND(D83&gt;113.15,K83&gt;0.22,N83&gt;810.1,I83&gt;14.95))*1</f>
        <v/>
      </c>
      <c r="AE83">
        <f>SUM(P83:AD83)</f>
        <v/>
      </c>
      <c r="AF83">
        <f>IF(AE83=1,"Malignant","Benign")</f>
        <v/>
      </c>
      <c r="AG83">
        <f>--(AE83=C83)</f>
        <v/>
      </c>
    </row>
    <row r="84">
      <c r="A84">
        <f>BreastCancer_Data!A84</f>
        <v/>
      </c>
      <c r="B84">
        <f>BreastCancer_Data!B84</f>
        <v/>
      </c>
      <c r="C84">
        <f>BreastCancer_Data!D84</f>
        <v/>
      </c>
      <c r="D84">
        <f>BreastCancer_Data!E84</f>
        <v/>
      </c>
      <c r="E84">
        <f>BreastCancer_Data!F84</f>
        <v/>
      </c>
      <c r="F84">
        <f>BreastCancer_Data!G84</f>
        <v/>
      </c>
      <c r="G84">
        <f>BreastCancer_Data!H84</f>
        <v/>
      </c>
      <c r="H84">
        <f>BreastCancer_Data!I84</f>
        <v/>
      </c>
      <c r="I84">
        <f>BreastCancer_Data!J84</f>
        <v/>
      </c>
      <c r="J84">
        <f>BreastCancer_Data!K84</f>
        <v/>
      </c>
      <c r="K84">
        <f>BreastCancer_Data!L84</f>
        <v/>
      </c>
      <c r="L84">
        <f>BreastCancer_Data!M84</f>
        <v/>
      </c>
      <c r="M84">
        <f>BreastCancer_Data!N84</f>
        <v/>
      </c>
      <c r="N84">
        <f>BreastCancer_Data!O84</f>
        <v/>
      </c>
      <c r="O84">
        <f>0</f>
        <v/>
      </c>
      <c r="P84">
        <f>--(AND(D84&lt;=113.15,E84&lt;=0.15,F84&lt;=15.77,G84&lt;=0.18,H84&lt;=33.27))*0</f>
        <v/>
      </c>
      <c r="Q84">
        <f>--(AND(D84&lt;=113.15,E84&lt;=0.15,F84&lt;=15.77,G84&lt;=0.18,H84&gt;33.27))*0</f>
        <v/>
      </c>
      <c r="R84">
        <f>--(AND(D84&lt;=113.15,E84&lt;=0.15,F84&lt;=15.77,G84&gt;0.18))*0</f>
        <v/>
      </c>
      <c r="S84">
        <f>--(AND(D84&lt;=113.15,E84&lt;=0.15,F84&gt;15.77,H84&lt;=28.86,G84&lt;=0.14))*0</f>
        <v/>
      </c>
      <c r="T84">
        <f>--(AND(D84&lt;=113.15,E84&lt;=0.15,F84&gt;15.77,H84&lt;=28.86,G84&gt;0.14))*1</f>
        <v/>
      </c>
      <c r="U84">
        <f>--(AND(D84&lt;=113.15,E84&lt;=0.15,F84&gt;15.77,H84&gt;28.86,M84&lt;=14.54))*1</f>
        <v/>
      </c>
      <c r="V84">
        <f>--(AND(D84&lt;=113.15,E84&lt;=0.15,F84&gt;15.77,H84&gt;28.86,M84&gt;14.54))*1</f>
        <v/>
      </c>
      <c r="W84">
        <f>--(AND(D84&lt;=113.15,E84&gt;0.15,H84&lt;=23.74))*0</f>
        <v/>
      </c>
      <c r="X84">
        <f>--(AND(D84&lt;=113.15,E84&gt;0.15,H84&gt;23.74,J84&lt;=0.1))*1</f>
        <v/>
      </c>
      <c r="Y84">
        <f>--(AND(D84&lt;=113.15,E84&gt;0.15,H84&gt;23.74,J84&gt;0.1))*1</f>
        <v/>
      </c>
      <c r="Z84">
        <f>--(AND(D84&gt;113.15,K84&lt;=0.22,L84&lt;=0.02))*1</f>
        <v/>
      </c>
      <c r="AA84">
        <f>--(AND(D84&gt;113.15,K84&lt;=0.22,L84&gt;0.02))*0</f>
        <v/>
      </c>
      <c r="AB84">
        <f>--(AND(D84&gt;113.15,K84&gt;0.22,N84&lt;=810.1))*0</f>
        <v/>
      </c>
      <c r="AC84">
        <f>--(AND(D84&gt;113.15,K84&gt;0.22,N84&gt;810.1,I84&lt;=14.95))*1</f>
        <v/>
      </c>
      <c r="AD84">
        <f>--(AND(D84&gt;113.15,K84&gt;0.22,N84&gt;810.1,I84&gt;14.95))*1</f>
        <v/>
      </c>
      <c r="AE84">
        <f>SUM(P84:AD84)</f>
        <v/>
      </c>
      <c r="AF84">
        <f>IF(AE84=1,"Malignant","Benign")</f>
        <v/>
      </c>
      <c r="AG84">
        <f>--(AE84=C84)</f>
        <v/>
      </c>
    </row>
    <row r="85">
      <c r="A85">
        <f>BreastCancer_Data!A85</f>
        <v/>
      </c>
      <c r="B85">
        <f>BreastCancer_Data!B85</f>
        <v/>
      </c>
      <c r="C85">
        <f>BreastCancer_Data!D85</f>
        <v/>
      </c>
      <c r="D85">
        <f>BreastCancer_Data!E85</f>
        <v/>
      </c>
      <c r="E85">
        <f>BreastCancer_Data!F85</f>
        <v/>
      </c>
      <c r="F85">
        <f>BreastCancer_Data!G85</f>
        <v/>
      </c>
      <c r="G85">
        <f>BreastCancer_Data!H85</f>
        <v/>
      </c>
      <c r="H85">
        <f>BreastCancer_Data!I85</f>
        <v/>
      </c>
      <c r="I85">
        <f>BreastCancer_Data!J85</f>
        <v/>
      </c>
      <c r="J85">
        <f>BreastCancer_Data!K85</f>
        <v/>
      </c>
      <c r="K85">
        <f>BreastCancer_Data!L85</f>
        <v/>
      </c>
      <c r="L85">
        <f>BreastCancer_Data!M85</f>
        <v/>
      </c>
      <c r="M85">
        <f>BreastCancer_Data!N85</f>
        <v/>
      </c>
      <c r="N85">
        <f>BreastCancer_Data!O85</f>
        <v/>
      </c>
      <c r="O85">
        <f>0</f>
        <v/>
      </c>
      <c r="P85">
        <f>--(AND(D85&lt;=113.15,E85&lt;=0.15,F85&lt;=15.77,G85&lt;=0.18,H85&lt;=33.27))*0</f>
        <v/>
      </c>
      <c r="Q85">
        <f>--(AND(D85&lt;=113.15,E85&lt;=0.15,F85&lt;=15.77,G85&lt;=0.18,H85&gt;33.27))*0</f>
        <v/>
      </c>
      <c r="R85">
        <f>--(AND(D85&lt;=113.15,E85&lt;=0.15,F85&lt;=15.77,G85&gt;0.18))*0</f>
        <v/>
      </c>
      <c r="S85">
        <f>--(AND(D85&lt;=113.15,E85&lt;=0.15,F85&gt;15.77,H85&lt;=28.86,G85&lt;=0.14))*0</f>
        <v/>
      </c>
      <c r="T85">
        <f>--(AND(D85&lt;=113.15,E85&lt;=0.15,F85&gt;15.77,H85&lt;=28.86,G85&gt;0.14))*1</f>
        <v/>
      </c>
      <c r="U85">
        <f>--(AND(D85&lt;=113.15,E85&lt;=0.15,F85&gt;15.77,H85&gt;28.86,M85&lt;=14.54))*1</f>
        <v/>
      </c>
      <c r="V85">
        <f>--(AND(D85&lt;=113.15,E85&lt;=0.15,F85&gt;15.77,H85&gt;28.86,M85&gt;14.54))*1</f>
        <v/>
      </c>
      <c r="W85">
        <f>--(AND(D85&lt;=113.15,E85&gt;0.15,H85&lt;=23.74))*0</f>
        <v/>
      </c>
      <c r="X85">
        <f>--(AND(D85&lt;=113.15,E85&gt;0.15,H85&gt;23.74,J85&lt;=0.1))*1</f>
        <v/>
      </c>
      <c r="Y85">
        <f>--(AND(D85&lt;=113.15,E85&gt;0.15,H85&gt;23.74,J85&gt;0.1))*1</f>
        <v/>
      </c>
      <c r="Z85">
        <f>--(AND(D85&gt;113.15,K85&lt;=0.22,L85&lt;=0.02))*1</f>
        <v/>
      </c>
      <c r="AA85">
        <f>--(AND(D85&gt;113.15,K85&lt;=0.22,L85&gt;0.02))*0</f>
        <v/>
      </c>
      <c r="AB85">
        <f>--(AND(D85&gt;113.15,K85&gt;0.22,N85&lt;=810.1))*0</f>
        <v/>
      </c>
      <c r="AC85">
        <f>--(AND(D85&gt;113.15,K85&gt;0.22,N85&gt;810.1,I85&lt;=14.95))*1</f>
        <v/>
      </c>
      <c r="AD85">
        <f>--(AND(D85&gt;113.15,K85&gt;0.22,N85&gt;810.1,I85&gt;14.95))*1</f>
        <v/>
      </c>
      <c r="AE85">
        <f>SUM(P85:AD85)</f>
        <v/>
      </c>
      <c r="AF85">
        <f>IF(AE85=1,"Malignant","Benign")</f>
        <v/>
      </c>
      <c r="AG85">
        <f>--(AE85=C85)</f>
        <v/>
      </c>
    </row>
    <row r="86">
      <c r="A86">
        <f>BreastCancer_Data!A86</f>
        <v/>
      </c>
      <c r="B86">
        <f>BreastCancer_Data!B86</f>
        <v/>
      </c>
      <c r="C86">
        <f>BreastCancer_Data!D86</f>
        <v/>
      </c>
      <c r="D86">
        <f>BreastCancer_Data!E86</f>
        <v/>
      </c>
      <c r="E86">
        <f>BreastCancer_Data!F86</f>
        <v/>
      </c>
      <c r="F86">
        <f>BreastCancer_Data!G86</f>
        <v/>
      </c>
      <c r="G86">
        <f>BreastCancer_Data!H86</f>
        <v/>
      </c>
      <c r="H86">
        <f>BreastCancer_Data!I86</f>
        <v/>
      </c>
      <c r="I86">
        <f>BreastCancer_Data!J86</f>
        <v/>
      </c>
      <c r="J86">
        <f>BreastCancer_Data!K86</f>
        <v/>
      </c>
      <c r="K86">
        <f>BreastCancer_Data!L86</f>
        <v/>
      </c>
      <c r="L86">
        <f>BreastCancer_Data!M86</f>
        <v/>
      </c>
      <c r="M86">
        <f>BreastCancer_Data!N86</f>
        <v/>
      </c>
      <c r="N86">
        <f>BreastCancer_Data!O86</f>
        <v/>
      </c>
      <c r="O86">
        <f>0</f>
        <v/>
      </c>
      <c r="P86">
        <f>--(AND(D86&lt;=113.15,E86&lt;=0.15,F86&lt;=15.77,G86&lt;=0.18,H86&lt;=33.27))*0</f>
        <v/>
      </c>
      <c r="Q86">
        <f>--(AND(D86&lt;=113.15,E86&lt;=0.15,F86&lt;=15.77,G86&lt;=0.18,H86&gt;33.27))*0</f>
        <v/>
      </c>
      <c r="R86">
        <f>--(AND(D86&lt;=113.15,E86&lt;=0.15,F86&lt;=15.77,G86&gt;0.18))*0</f>
        <v/>
      </c>
      <c r="S86">
        <f>--(AND(D86&lt;=113.15,E86&lt;=0.15,F86&gt;15.77,H86&lt;=28.86,G86&lt;=0.14))*0</f>
        <v/>
      </c>
      <c r="T86">
        <f>--(AND(D86&lt;=113.15,E86&lt;=0.15,F86&gt;15.77,H86&lt;=28.86,G86&gt;0.14))*1</f>
        <v/>
      </c>
      <c r="U86">
        <f>--(AND(D86&lt;=113.15,E86&lt;=0.15,F86&gt;15.77,H86&gt;28.86,M86&lt;=14.54))*1</f>
        <v/>
      </c>
      <c r="V86">
        <f>--(AND(D86&lt;=113.15,E86&lt;=0.15,F86&gt;15.77,H86&gt;28.86,M86&gt;14.54))*1</f>
        <v/>
      </c>
      <c r="W86">
        <f>--(AND(D86&lt;=113.15,E86&gt;0.15,H86&lt;=23.74))*0</f>
        <v/>
      </c>
      <c r="X86">
        <f>--(AND(D86&lt;=113.15,E86&gt;0.15,H86&gt;23.74,J86&lt;=0.1))*1</f>
        <v/>
      </c>
      <c r="Y86">
        <f>--(AND(D86&lt;=113.15,E86&gt;0.15,H86&gt;23.74,J86&gt;0.1))*1</f>
        <v/>
      </c>
      <c r="Z86">
        <f>--(AND(D86&gt;113.15,K86&lt;=0.22,L86&lt;=0.02))*1</f>
        <v/>
      </c>
      <c r="AA86">
        <f>--(AND(D86&gt;113.15,K86&lt;=0.22,L86&gt;0.02))*0</f>
        <v/>
      </c>
      <c r="AB86">
        <f>--(AND(D86&gt;113.15,K86&gt;0.22,N86&lt;=810.1))*0</f>
        <v/>
      </c>
      <c r="AC86">
        <f>--(AND(D86&gt;113.15,K86&gt;0.22,N86&gt;810.1,I86&lt;=14.95))*1</f>
        <v/>
      </c>
      <c r="AD86">
        <f>--(AND(D86&gt;113.15,K86&gt;0.22,N86&gt;810.1,I86&gt;14.95))*1</f>
        <v/>
      </c>
      <c r="AE86">
        <f>SUM(P86:AD86)</f>
        <v/>
      </c>
      <c r="AF86">
        <f>IF(AE86=1,"Malignant","Benign")</f>
        <v/>
      </c>
      <c r="AG86">
        <f>--(AE86=C86)</f>
        <v/>
      </c>
    </row>
    <row r="87">
      <c r="A87">
        <f>BreastCancer_Data!A87</f>
        <v/>
      </c>
      <c r="B87">
        <f>BreastCancer_Data!B87</f>
        <v/>
      </c>
      <c r="C87">
        <f>BreastCancer_Data!D87</f>
        <v/>
      </c>
      <c r="D87">
        <f>BreastCancer_Data!E87</f>
        <v/>
      </c>
      <c r="E87">
        <f>BreastCancer_Data!F87</f>
        <v/>
      </c>
      <c r="F87">
        <f>BreastCancer_Data!G87</f>
        <v/>
      </c>
      <c r="G87">
        <f>BreastCancer_Data!H87</f>
        <v/>
      </c>
      <c r="H87">
        <f>BreastCancer_Data!I87</f>
        <v/>
      </c>
      <c r="I87">
        <f>BreastCancer_Data!J87</f>
        <v/>
      </c>
      <c r="J87">
        <f>BreastCancer_Data!K87</f>
        <v/>
      </c>
      <c r="K87">
        <f>BreastCancer_Data!L87</f>
        <v/>
      </c>
      <c r="L87">
        <f>BreastCancer_Data!M87</f>
        <v/>
      </c>
      <c r="M87">
        <f>BreastCancer_Data!N87</f>
        <v/>
      </c>
      <c r="N87">
        <f>BreastCancer_Data!O87</f>
        <v/>
      </c>
      <c r="O87">
        <f>0</f>
        <v/>
      </c>
      <c r="P87">
        <f>--(AND(D87&lt;=113.15,E87&lt;=0.15,F87&lt;=15.77,G87&lt;=0.18,H87&lt;=33.27))*0</f>
        <v/>
      </c>
      <c r="Q87">
        <f>--(AND(D87&lt;=113.15,E87&lt;=0.15,F87&lt;=15.77,G87&lt;=0.18,H87&gt;33.27))*0</f>
        <v/>
      </c>
      <c r="R87">
        <f>--(AND(D87&lt;=113.15,E87&lt;=0.15,F87&lt;=15.77,G87&gt;0.18))*0</f>
        <v/>
      </c>
      <c r="S87">
        <f>--(AND(D87&lt;=113.15,E87&lt;=0.15,F87&gt;15.77,H87&lt;=28.86,G87&lt;=0.14))*0</f>
        <v/>
      </c>
      <c r="T87">
        <f>--(AND(D87&lt;=113.15,E87&lt;=0.15,F87&gt;15.77,H87&lt;=28.86,G87&gt;0.14))*1</f>
        <v/>
      </c>
      <c r="U87">
        <f>--(AND(D87&lt;=113.15,E87&lt;=0.15,F87&gt;15.77,H87&gt;28.86,M87&lt;=14.54))*1</f>
        <v/>
      </c>
      <c r="V87">
        <f>--(AND(D87&lt;=113.15,E87&lt;=0.15,F87&gt;15.77,H87&gt;28.86,M87&gt;14.54))*1</f>
        <v/>
      </c>
      <c r="W87">
        <f>--(AND(D87&lt;=113.15,E87&gt;0.15,H87&lt;=23.74))*0</f>
        <v/>
      </c>
      <c r="X87">
        <f>--(AND(D87&lt;=113.15,E87&gt;0.15,H87&gt;23.74,J87&lt;=0.1))*1</f>
        <v/>
      </c>
      <c r="Y87">
        <f>--(AND(D87&lt;=113.15,E87&gt;0.15,H87&gt;23.74,J87&gt;0.1))*1</f>
        <v/>
      </c>
      <c r="Z87">
        <f>--(AND(D87&gt;113.15,K87&lt;=0.22,L87&lt;=0.02))*1</f>
        <v/>
      </c>
      <c r="AA87">
        <f>--(AND(D87&gt;113.15,K87&lt;=0.22,L87&gt;0.02))*0</f>
        <v/>
      </c>
      <c r="AB87">
        <f>--(AND(D87&gt;113.15,K87&gt;0.22,N87&lt;=810.1))*0</f>
        <v/>
      </c>
      <c r="AC87">
        <f>--(AND(D87&gt;113.15,K87&gt;0.22,N87&gt;810.1,I87&lt;=14.95))*1</f>
        <v/>
      </c>
      <c r="AD87">
        <f>--(AND(D87&gt;113.15,K87&gt;0.22,N87&gt;810.1,I87&gt;14.95))*1</f>
        <v/>
      </c>
      <c r="AE87">
        <f>SUM(P87:AD87)</f>
        <v/>
      </c>
      <c r="AF87">
        <f>IF(AE87=1,"Malignant","Benign")</f>
        <v/>
      </c>
      <c r="AG87">
        <f>--(AE87=C87)</f>
        <v/>
      </c>
    </row>
    <row r="88">
      <c r="A88">
        <f>BreastCancer_Data!A88</f>
        <v/>
      </c>
      <c r="B88">
        <f>BreastCancer_Data!B88</f>
        <v/>
      </c>
      <c r="C88">
        <f>BreastCancer_Data!D88</f>
        <v/>
      </c>
      <c r="D88">
        <f>BreastCancer_Data!E88</f>
        <v/>
      </c>
      <c r="E88">
        <f>BreastCancer_Data!F88</f>
        <v/>
      </c>
      <c r="F88">
        <f>BreastCancer_Data!G88</f>
        <v/>
      </c>
      <c r="G88">
        <f>BreastCancer_Data!H88</f>
        <v/>
      </c>
      <c r="H88">
        <f>BreastCancer_Data!I88</f>
        <v/>
      </c>
      <c r="I88">
        <f>BreastCancer_Data!J88</f>
        <v/>
      </c>
      <c r="J88">
        <f>BreastCancer_Data!K88</f>
        <v/>
      </c>
      <c r="K88">
        <f>BreastCancer_Data!L88</f>
        <v/>
      </c>
      <c r="L88">
        <f>BreastCancer_Data!M88</f>
        <v/>
      </c>
      <c r="M88">
        <f>BreastCancer_Data!N88</f>
        <v/>
      </c>
      <c r="N88">
        <f>BreastCancer_Data!O88</f>
        <v/>
      </c>
      <c r="O88">
        <f>0</f>
        <v/>
      </c>
      <c r="P88">
        <f>--(AND(D88&lt;=113.15,E88&lt;=0.15,F88&lt;=15.77,G88&lt;=0.18,H88&lt;=33.27))*0</f>
        <v/>
      </c>
      <c r="Q88">
        <f>--(AND(D88&lt;=113.15,E88&lt;=0.15,F88&lt;=15.77,G88&lt;=0.18,H88&gt;33.27))*0</f>
        <v/>
      </c>
      <c r="R88">
        <f>--(AND(D88&lt;=113.15,E88&lt;=0.15,F88&lt;=15.77,G88&gt;0.18))*0</f>
        <v/>
      </c>
      <c r="S88">
        <f>--(AND(D88&lt;=113.15,E88&lt;=0.15,F88&gt;15.77,H88&lt;=28.86,G88&lt;=0.14))*0</f>
        <v/>
      </c>
      <c r="T88">
        <f>--(AND(D88&lt;=113.15,E88&lt;=0.15,F88&gt;15.77,H88&lt;=28.86,G88&gt;0.14))*1</f>
        <v/>
      </c>
      <c r="U88">
        <f>--(AND(D88&lt;=113.15,E88&lt;=0.15,F88&gt;15.77,H88&gt;28.86,M88&lt;=14.54))*1</f>
        <v/>
      </c>
      <c r="V88">
        <f>--(AND(D88&lt;=113.15,E88&lt;=0.15,F88&gt;15.77,H88&gt;28.86,M88&gt;14.54))*1</f>
        <v/>
      </c>
      <c r="W88">
        <f>--(AND(D88&lt;=113.15,E88&gt;0.15,H88&lt;=23.74))*0</f>
        <v/>
      </c>
      <c r="X88">
        <f>--(AND(D88&lt;=113.15,E88&gt;0.15,H88&gt;23.74,J88&lt;=0.1))*1</f>
        <v/>
      </c>
      <c r="Y88">
        <f>--(AND(D88&lt;=113.15,E88&gt;0.15,H88&gt;23.74,J88&gt;0.1))*1</f>
        <v/>
      </c>
      <c r="Z88">
        <f>--(AND(D88&gt;113.15,K88&lt;=0.22,L88&lt;=0.02))*1</f>
        <v/>
      </c>
      <c r="AA88">
        <f>--(AND(D88&gt;113.15,K88&lt;=0.22,L88&gt;0.02))*0</f>
        <v/>
      </c>
      <c r="AB88">
        <f>--(AND(D88&gt;113.15,K88&gt;0.22,N88&lt;=810.1))*0</f>
        <v/>
      </c>
      <c r="AC88">
        <f>--(AND(D88&gt;113.15,K88&gt;0.22,N88&gt;810.1,I88&lt;=14.95))*1</f>
        <v/>
      </c>
      <c r="AD88">
        <f>--(AND(D88&gt;113.15,K88&gt;0.22,N88&gt;810.1,I88&gt;14.95))*1</f>
        <v/>
      </c>
      <c r="AE88">
        <f>SUM(P88:AD88)</f>
        <v/>
      </c>
      <c r="AF88">
        <f>IF(AE88=1,"Malignant","Benign")</f>
        <v/>
      </c>
      <c r="AG88">
        <f>--(AE88=C88)</f>
        <v/>
      </c>
    </row>
    <row r="89">
      <c r="A89">
        <f>BreastCancer_Data!A89</f>
        <v/>
      </c>
      <c r="B89">
        <f>BreastCancer_Data!B89</f>
        <v/>
      </c>
      <c r="C89">
        <f>BreastCancer_Data!D89</f>
        <v/>
      </c>
      <c r="D89">
        <f>BreastCancer_Data!E89</f>
        <v/>
      </c>
      <c r="E89">
        <f>BreastCancer_Data!F89</f>
        <v/>
      </c>
      <c r="F89">
        <f>BreastCancer_Data!G89</f>
        <v/>
      </c>
      <c r="G89">
        <f>BreastCancer_Data!H89</f>
        <v/>
      </c>
      <c r="H89">
        <f>BreastCancer_Data!I89</f>
        <v/>
      </c>
      <c r="I89">
        <f>BreastCancer_Data!J89</f>
        <v/>
      </c>
      <c r="J89">
        <f>BreastCancer_Data!K89</f>
        <v/>
      </c>
      <c r="K89">
        <f>BreastCancer_Data!L89</f>
        <v/>
      </c>
      <c r="L89">
        <f>BreastCancer_Data!M89</f>
        <v/>
      </c>
      <c r="M89">
        <f>BreastCancer_Data!N89</f>
        <v/>
      </c>
      <c r="N89">
        <f>BreastCancer_Data!O89</f>
        <v/>
      </c>
      <c r="O89">
        <f>0</f>
        <v/>
      </c>
      <c r="P89">
        <f>--(AND(D89&lt;=113.15,E89&lt;=0.15,F89&lt;=15.77,G89&lt;=0.18,H89&lt;=33.27))*0</f>
        <v/>
      </c>
      <c r="Q89">
        <f>--(AND(D89&lt;=113.15,E89&lt;=0.15,F89&lt;=15.77,G89&lt;=0.18,H89&gt;33.27))*0</f>
        <v/>
      </c>
      <c r="R89">
        <f>--(AND(D89&lt;=113.15,E89&lt;=0.15,F89&lt;=15.77,G89&gt;0.18))*0</f>
        <v/>
      </c>
      <c r="S89">
        <f>--(AND(D89&lt;=113.15,E89&lt;=0.15,F89&gt;15.77,H89&lt;=28.86,G89&lt;=0.14))*0</f>
        <v/>
      </c>
      <c r="T89">
        <f>--(AND(D89&lt;=113.15,E89&lt;=0.15,F89&gt;15.77,H89&lt;=28.86,G89&gt;0.14))*1</f>
        <v/>
      </c>
      <c r="U89">
        <f>--(AND(D89&lt;=113.15,E89&lt;=0.15,F89&gt;15.77,H89&gt;28.86,M89&lt;=14.54))*1</f>
        <v/>
      </c>
      <c r="V89">
        <f>--(AND(D89&lt;=113.15,E89&lt;=0.15,F89&gt;15.77,H89&gt;28.86,M89&gt;14.54))*1</f>
        <v/>
      </c>
      <c r="W89">
        <f>--(AND(D89&lt;=113.15,E89&gt;0.15,H89&lt;=23.74))*0</f>
        <v/>
      </c>
      <c r="X89">
        <f>--(AND(D89&lt;=113.15,E89&gt;0.15,H89&gt;23.74,J89&lt;=0.1))*1</f>
        <v/>
      </c>
      <c r="Y89">
        <f>--(AND(D89&lt;=113.15,E89&gt;0.15,H89&gt;23.74,J89&gt;0.1))*1</f>
        <v/>
      </c>
      <c r="Z89">
        <f>--(AND(D89&gt;113.15,K89&lt;=0.22,L89&lt;=0.02))*1</f>
        <v/>
      </c>
      <c r="AA89">
        <f>--(AND(D89&gt;113.15,K89&lt;=0.22,L89&gt;0.02))*0</f>
        <v/>
      </c>
      <c r="AB89">
        <f>--(AND(D89&gt;113.15,K89&gt;0.22,N89&lt;=810.1))*0</f>
        <v/>
      </c>
      <c r="AC89">
        <f>--(AND(D89&gt;113.15,K89&gt;0.22,N89&gt;810.1,I89&lt;=14.95))*1</f>
        <v/>
      </c>
      <c r="AD89">
        <f>--(AND(D89&gt;113.15,K89&gt;0.22,N89&gt;810.1,I89&gt;14.95))*1</f>
        <v/>
      </c>
      <c r="AE89">
        <f>SUM(P89:AD89)</f>
        <v/>
      </c>
      <c r="AF89">
        <f>IF(AE89=1,"Malignant","Benign")</f>
        <v/>
      </c>
      <c r="AG89">
        <f>--(AE89=C89)</f>
        <v/>
      </c>
    </row>
    <row r="90">
      <c r="A90">
        <f>BreastCancer_Data!A90</f>
        <v/>
      </c>
      <c r="B90">
        <f>BreastCancer_Data!B90</f>
        <v/>
      </c>
      <c r="C90">
        <f>BreastCancer_Data!D90</f>
        <v/>
      </c>
      <c r="D90">
        <f>BreastCancer_Data!E90</f>
        <v/>
      </c>
      <c r="E90">
        <f>BreastCancer_Data!F90</f>
        <v/>
      </c>
      <c r="F90">
        <f>BreastCancer_Data!G90</f>
        <v/>
      </c>
      <c r="G90">
        <f>BreastCancer_Data!H90</f>
        <v/>
      </c>
      <c r="H90">
        <f>BreastCancer_Data!I90</f>
        <v/>
      </c>
      <c r="I90">
        <f>BreastCancer_Data!J90</f>
        <v/>
      </c>
      <c r="J90">
        <f>BreastCancer_Data!K90</f>
        <v/>
      </c>
      <c r="K90">
        <f>BreastCancer_Data!L90</f>
        <v/>
      </c>
      <c r="L90">
        <f>BreastCancer_Data!M90</f>
        <v/>
      </c>
      <c r="M90">
        <f>BreastCancer_Data!N90</f>
        <v/>
      </c>
      <c r="N90">
        <f>BreastCancer_Data!O90</f>
        <v/>
      </c>
      <c r="O90">
        <f>0</f>
        <v/>
      </c>
      <c r="P90">
        <f>--(AND(D90&lt;=113.15,E90&lt;=0.15,F90&lt;=15.77,G90&lt;=0.18,H90&lt;=33.27))*0</f>
        <v/>
      </c>
      <c r="Q90">
        <f>--(AND(D90&lt;=113.15,E90&lt;=0.15,F90&lt;=15.77,G90&lt;=0.18,H90&gt;33.27))*0</f>
        <v/>
      </c>
      <c r="R90">
        <f>--(AND(D90&lt;=113.15,E90&lt;=0.15,F90&lt;=15.77,G90&gt;0.18))*0</f>
        <v/>
      </c>
      <c r="S90">
        <f>--(AND(D90&lt;=113.15,E90&lt;=0.15,F90&gt;15.77,H90&lt;=28.86,G90&lt;=0.14))*0</f>
        <v/>
      </c>
      <c r="T90">
        <f>--(AND(D90&lt;=113.15,E90&lt;=0.15,F90&gt;15.77,H90&lt;=28.86,G90&gt;0.14))*1</f>
        <v/>
      </c>
      <c r="U90">
        <f>--(AND(D90&lt;=113.15,E90&lt;=0.15,F90&gt;15.77,H90&gt;28.86,M90&lt;=14.54))*1</f>
        <v/>
      </c>
      <c r="V90">
        <f>--(AND(D90&lt;=113.15,E90&lt;=0.15,F90&gt;15.77,H90&gt;28.86,M90&gt;14.54))*1</f>
        <v/>
      </c>
      <c r="W90">
        <f>--(AND(D90&lt;=113.15,E90&gt;0.15,H90&lt;=23.74))*0</f>
        <v/>
      </c>
      <c r="X90">
        <f>--(AND(D90&lt;=113.15,E90&gt;0.15,H90&gt;23.74,J90&lt;=0.1))*1</f>
        <v/>
      </c>
      <c r="Y90">
        <f>--(AND(D90&lt;=113.15,E90&gt;0.15,H90&gt;23.74,J90&gt;0.1))*1</f>
        <v/>
      </c>
      <c r="Z90">
        <f>--(AND(D90&gt;113.15,K90&lt;=0.22,L90&lt;=0.02))*1</f>
        <v/>
      </c>
      <c r="AA90">
        <f>--(AND(D90&gt;113.15,K90&lt;=0.22,L90&gt;0.02))*0</f>
        <v/>
      </c>
      <c r="AB90">
        <f>--(AND(D90&gt;113.15,K90&gt;0.22,N90&lt;=810.1))*0</f>
        <v/>
      </c>
      <c r="AC90">
        <f>--(AND(D90&gt;113.15,K90&gt;0.22,N90&gt;810.1,I90&lt;=14.95))*1</f>
        <v/>
      </c>
      <c r="AD90">
        <f>--(AND(D90&gt;113.15,K90&gt;0.22,N90&gt;810.1,I90&gt;14.95))*1</f>
        <v/>
      </c>
      <c r="AE90">
        <f>SUM(P90:AD90)</f>
        <v/>
      </c>
      <c r="AF90">
        <f>IF(AE90=1,"Malignant","Benign")</f>
        <v/>
      </c>
      <c r="AG90">
        <f>--(AE90=C90)</f>
        <v/>
      </c>
    </row>
    <row r="91">
      <c r="A91">
        <f>BreastCancer_Data!A91</f>
        <v/>
      </c>
      <c r="B91">
        <f>BreastCancer_Data!B91</f>
        <v/>
      </c>
      <c r="C91">
        <f>BreastCancer_Data!D91</f>
        <v/>
      </c>
      <c r="D91">
        <f>BreastCancer_Data!E91</f>
        <v/>
      </c>
      <c r="E91">
        <f>BreastCancer_Data!F91</f>
        <v/>
      </c>
      <c r="F91">
        <f>BreastCancer_Data!G91</f>
        <v/>
      </c>
      <c r="G91">
        <f>BreastCancer_Data!H91</f>
        <v/>
      </c>
      <c r="H91">
        <f>BreastCancer_Data!I91</f>
        <v/>
      </c>
      <c r="I91">
        <f>BreastCancer_Data!J91</f>
        <v/>
      </c>
      <c r="J91">
        <f>BreastCancer_Data!K91</f>
        <v/>
      </c>
      <c r="K91">
        <f>BreastCancer_Data!L91</f>
        <v/>
      </c>
      <c r="L91">
        <f>BreastCancer_Data!M91</f>
        <v/>
      </c>
      <c r="M91">
        <f>BreastCancer_Data!N91</f>
        <v/>
      </c>
      <c r="N91">
        <f>BreastCancer_Data!O91</f>
        <v/>
      </c>
      <c r="O91">
        <f>0</f>
        <v/>
      </c>
      <c r="P91">
        <f>--(AND(D91&lt;=113.15,E91&lt;=0.15,F91&lt;=15.77,G91&lt;=0.18,H91&lt;=33.27))*0</f>
        <v/>
      </c>
      <c r="Q91">
        <f>--(AND(D91&lt;=113.15,E91&lt;=0.15,F91&lt;=15.77,G91&lt;=0.18,H91&gt;33.27))*0</f>
        <v/>
      </c>
      <c r="R91">
        <f>--(AND(D91&lt;=113.15,E91&lt;=0.15,F91&lt;=15.77,G91&gt;0.18))*0</f>
        <v/>
      </c>
      <c r="S91">
        <f>--(AND(D91&lt;=113.15,E91&lt;=0.15,F91&gt;15.77,H91&lt;=28.86,G91&lt;=0.14))*0</f>
        <v/>
      </c>
      <c r="T91">
        <f>--(AND(D91&lt;=113.15,E91&lt;=0.15,F91&gt;15.77,H91&lt;=28.86,G91&gt;0.14))*1</f>
        <v/>
      </c>
      <c r="U91">
        <f>--(AND(D91&lt;=113.15,E91&lt;=0.15,F91&gt;15.77,H91&gt;28.86,M91&lt;=14.54))*1</f>
        <v/>
      </c>
      <c r="V91">
        <f>--(AND(D91&lt;=113.15,E91&lt;=0.15,F91&gt;15.77,H91&gt;28.86,M91&gt;14.54))*1</f>
        <v/>
      </c>
      <c r="W91">
        <f>--(AND(D91&lt;=113.15,E91&gt;0.15,H91&lt;=23.74))*0</f>
        <v/>
      </c>
      <c r="X91">
        <f>--(AND(D91&lt;=113.15,E91&gt;0.15,H91&gt;23.74,J91&lt;=0.1))*1</f>
        <v/>
      </c>
      <c r="Y91">
        <f>--(AND(D91&lt;=113.15,E91&gt;0.15,H91&gt;23.74,J91&gt;0.1))*1</f>
        <v/>
      </c>
      <c r="Z91">
        <f>--(AND(D91&gt;113.15,K91&lt;=0.22,L91&lt;=0.02))*1</f>
        <v/>
      </c>
      <c r="AA91">
        <f>--(AND(D91&gt;113.15,K91&lt;=0.22,L91&gt;0.02))*0</f>
        <v/>
      </c>
      <c r="AB91">
        <f>--(AND(D91&gt;113.15,K91&gt;0.22,N91&lt;=810.1))*0</f>
        <v/>
      </c>
      <c r="AC91">
        <f>--(AND(D91&gt;113.15,K91&gt;0.22,N91&gt;810.1,I91&lt;=14.95))*1</f>
        <v/>
      </c>
      <c r="AD91">
        <f>--(AND(D91&gt;113.15,K91&gt;0.22,N91&gt;810.1,I91&gt;14.95))*1</f>
        <v/>
      </c>
      <c r="AE91">
        <f>SUM(P91:AD91)</f>
        <v/>
      </c>
      <c r="AF91">
        <f>IF(AE91=1,"Malignant","Benign")</f>
        <v/>
      </c>
      <c r="AG91">
        <f>--(AE91=C91)</f>
        <v/>
      </c>
    </row>
    <row r="92">
      <c r="A92">
        <f>BreastCancer_Data!A92</f>
        <v/>
      </c>
      <c r="B92">
        <f>BreastCancer_Data!B92</f>
        <v/>
      </c>
      <c r="C92">
        <f>BreastCancer_Data!D92</f>
        <v/>
      </c>
      <c r="D92">
        <f>BreastCancer_Data!E92</f>
        <v/>
      </c>
      <c r="E92">
        <f>BreastCancer_Data!F92</f>
        <v/>
      </c>
      <c r="F92">
        <f>BreastCancer_Data!G92</f>
        <v/>
      </c>
      <c r="G92">
        <f>BreastCancer_Data!H92</f>
        <v/>
      </c>
      <c r="H92">
        <f>BreastCancer_Data!I92</f>
        <v/>
      </c>
      <c r="I92">
        <f>BreastCancer_Data!J92</f>
        <v/>
      </c>
      <c r="J92">
        <f>BreastCancer_Data!K92</f>
        <v/>
      </c>
      <c r="K92">
        <f>BreastCancer_Data!L92</f>
        <v/>
      </c>
      <c r="L92">
        <f>BreastCancer_Data!M92</f>
        <v/>
      </c>
      <c r="M92">
        <f>BreastCancer_Data!N92</f>
        <v/>
      </c>
      <c r="N92">
        <f>BreastCancer_Data!O92</f>
        <v/>
      </c>
      <c r="O92">
        <f>0</f>
        <v/>
      </c>
      <c r="P92">
        <f>--(AND(D92&lt;=113.15,E92&lt;=0.15,F92&lt;=15.77,G92&lt;=0.18,H92&lt;=33.27))*0</f>
        <v/>
      </c>
      <c r="Q92">
        <f>--(AND(D92&lt;=113.15,E92&lt;=0.15,F92&lt;=15.77,G92&lt;=0.18,H92&gt;33.27))*0</f>
        <v/>
      </c>
      <c r="R92">
        <f>--(AND(D92&lt;=113.15,E92&lt;=0.15,F92&lt;=15.77,G92&gt;0.18))*0</f>
        <v/>
      </c>
      <c r="S92">
        <f>--(AND(D92&lt;=113.15,E92&lt;=0.15,F92&gt;15.77,H92&lt;=28.86,G92&lt;=0.14))*0</f>
        <v/>
      </c>
      <c r="T92">
        <f>--(AND(D92&lt;=113.15,E92&lt;=0.15,F92&gt;15.77,H92&lt;=28.86,G92&gt;0.14))*1</f>
        <v/>
      </c>
      <c r="U92">
        <f>--(AND(D92&lt;=113.15,E92&lt;=0.15,F92&gt;15.77,H92&gt;28.86,M92&lt;=14.54))*1</f>
        <v/>
      </c>
      <c r="V92">
        <f>--(AND(D92&lt;=113.15,E92&lt;=0.15,F92&gt;15.77,H92&gt;28.86,M92&gt;14.54))*1</f>
        <v/>
      </c>
      <c r="W92">
        <f>--(AND(D92&lt;=113.15,E92&gt;0.15,H92&lt;=23.74))*0</f>
        <v/>
      </c>
      <c r="X92">
        <f>--(AND(D92&lt;=113.15,E92&gt;0.15,H92&gt;23.74,J92&lt;=0.1))*1</f>
        <v/>
      </c>
      <c r="Y92">
        <f>--(AND(D92&lt;=113.15,E92&gt;0.15,H92&gt;23.74,J92&gt;0.1))*1</f>
        <v/>
      </c>
      <c r="Z92">
        <f>--(AND(D92&gt;113.15,K92&lt;=0.22,L92&lt;=0.02))*1</f>
        <v/>
      </c>
      <c r="AA92">
        <f>--(AND(D92&gt;113.15,K92&lt;=0.22,L92&gt;0.02))*0</f>
        <v/>
      </c>
      <c r="AB92">
        <f>--(AND(D92&gt;113.15,K92&gt;0.22,N92&lt;=810.1))*0</f>
        <v/>
      </c>
      <c r="AC92">
        <f>--(AND(D92&gt;113.15,K92&gt;0.22,N92&gt;810.1,I92&lt;=14.95))*1</f>
        <v/>
      </c>
      <c r="AD92">
        <f>--(AND(D92&gt;113.15,K92&gt;0.22,N92&gt;810.1,I92&gt;14.95))*1</f>
        <v/>
      </c>
      <c r="AE92">
        <f>SUM(P92:AD92)</f>
        <v/>
      </c>
      <c r="AF92">
        <f>IF(AE92=1,"Malignant","Benign")</f>
        <v/>
      </c>
      <c r="AG92">
        <f>--(AE92=C92)</f>
        <v/>
      </c>
    </row>
    <row r="93">
      <c r="A93">
        <f>BreastCancer_Data!A93</f>
        <v/>
      </c>
      <c r="B93">
        <f>BreastCancer_Data!B93</f>
        <v/>
      </c>
      <c r="C93">
        <f>BreastCancer_Data!D93</f>
        <v/>
      </c>
      <c r="D93">
        <f>BreastCancer_Data!E93</f>
        <v/>
      </c>
      <c r="E93">
        <f>BreastCancer_Data!F93</f>
        <v/>
      </c>
      <c r="F93">
        <f>BreastCancer_Data!G93</f>
        <v/>
      </c>
      <c r="G93">
        <f>BreastCancer_Data!H93</f>
        <v/>
      </c>
      <c r="H93">
        <f>BreastCancer_Data!I93</f>
        <v/>
      </c>
      <c r="I93">
        <f>BreastCancer_Data!J93</f>
        <v/>
      </c>
      <c r="J93">
        <f>BreastCancer_Data!K93</f>
        <v/>
      </c>
      <c r="K93">
        <f>BreastCancer_Data!L93</f>
        <v/>
      </c>
      <c r="L93">
        <f>BreastCancer_Data!M93</f>
        <v/>
      </c>
      <c r="M93">
        <f>BreastCancer_Data!N93</f>
        <v/>
      </c>
      <c r="N93">
        <f>BreastCancer_Data!O93</f>
        <v/>
      </c>
      <c r="O93">
        <f>0</f>
        <v/>
      </c>
      <c r="P93">
        <f>--(AND(D93&lt;=113.15,E93&lt;=0.15,F93&lt;=15.77,G93&lt;=0.18,H93&lt;=33.27))*0</f>
        <v/>
      </c>
      <c r="Q93">
        <f>--(AND(D93&lt;=113.15,E93&lt;=0.15,F93&lt;=15.77,G93&lt;=0.18,H93&gt;33.27))*0</f>
        <v/>
      </c>
      <c r="R93">
        <f>--(AND(D93&lt;=113.15,E93&lt;=0.15,F93&lt;=15.77,G93&gt;0.18))*0</f>
        <v/>
      </c>
      <c r="S93">
        <f>--(AND(D93&lt;=113.15,E93&lt;=0.15,F93&gt;15.77,H93&lt;=28.86,G93&lt;=0.14))*0</f>
        <v/>
      </c>
      <c r="T93">
        <f>--(AND(D93&lt;=113.15,E93&lt;=0.15,F93&gt;15.77,H93&lt;=28.86,G93&gt;0.14))*1</f>
        <v/>
      </c>
      <c r="U93">
        <f>--(AND(D93&lt;=113.15,E93&lt;=0.15,F93&gt;15.77,H93&gt;28.86,M93&lt;=14.54))*1</f>
        <v/>
      </c>
      <c r="V93">
        <f>--(AND(D93&lt;=113.15,E93&lt;=0.15,F93&gt;15.77,H93&gt;28.86,M93&gt;14.54))*1</f>
        <v/>
      </c>
      <c r="W93">
        <f>--(AND(D93&lt;=113.15,E93&gt;0.15,H93&lt;=23.74))*0</f>
        <v/>
      </c>
      <c r="X93">
        <f>--(AND(D93&lt;=113.15,E93&gt;0.15,H93&gt;23.74,J93&lt;=0.1))*1</f>
        <v/>
      </c>
      <c r="Y93">
        <f>--(AND(D93&lt;=113.15,E93&gt;0.15,H93&gt;23.74,J93&gt;0.1))*1</f>
        <v/>
      </c>
      <c r="Z93">
        <f>--(AND(D93&gt;113.15,K93&lt;=0.22,L93&lt;=0.02))*1</f>
        <v/>
      </c>
      <c r="AA93">
        <f>--(AND(D93&gt;113.15,K93&lt;=0.22,L93&gt;0.02))*0</f>
        <v/>
      </c>
      <c r="AB93">
        <f>--(AND(D93&gt;113.15,K93&gt;0.22,N93&lt;=810.1))*0</f>
        <v/>
      </c>
      <c r="AC93">
        <f>--(AND(D93&gt;113.15,K93&gt;0.22,N93&gt;810.1,I93&lt;=14.95))*1</f>
        <v/>
      </c>
      <c r="AD93">
        <f>--(AND(D93&gt;113.15,K93&gt;0.22,N93&gt;810.1,I93&gt;14.95))*1</f>
        <v/>
      </c>
      <c r="AE93">
        <f>SUM(P93:AD93)</f>
        <v/>
      </c>
      <c r="AF93">
        <f>IF(AE93=1,"Malignant","Benign")</f>
        <v/>
      </c>
      <c r="AG93">
        <f>--(AE93=C93)</f>
        <v/>
      </c>
    </row>
    <row r="94">
      <c r="A94">
        <f>BreastCancer_Data!A94</f>
        <v/>
      </c>
      <c r="B94">
        <f>BreastCancer_Data!B94</f>
        <v/>
      </c>
      <c r="C94">
        <f>BreastCancer_Data!D94</f>
        <v/>
      </c>
      <c r="D94">
        <f>BreastCancer_Data!E94</f>
        <v/>
      </c>
      <c r="E94">
        <f>BreastCancer_Data!F94</f>
        <v/>
      </c>
      <c r="F94">
        <f>BreastCancer_Data!G94</f>
        <v/>
      </c>
      <c r="G94">
        <f>BreastCancer_Data!H94</f>
        <v/>
      </c>
      <c r="H94">
        <f>BreastCancer_Data!I94</f>
        <v/>
      </c>
      <c r="I94">
        <f>BreastCancer_Data!J94</f>
        <v/>
      </c>
      <c r="J94">
        <f>BreastCancer_Data!K94</f>
        <v/>
      </c>
      <c r="K94">
        <f>BreastCancer_Data!L94</f>
        <v/>
      </c>
      <c r="L94">
        <f>BreastCancer_Data!M94</f>
        <v/>
      </c>
      <c r="M94">
        <f>BreastCancer_Data!N94</f>
        <v/>
      </c>
      <c r="N94">
        <f>BreastCancer_Data!O94</f>
        <v/>
      </c>
      <c r="O94">
        <f>0</f>
        <v/>
      </c>
      <c r="P94">
        <f>--(AND(D94&lt;=113.15,E94&lt;=0.15,F94&lt;=15.77,G94&lt;=0.18,H94&lt;=33.27))*0</f>
        <v/>
      </c>
      <c r="Q94">
        <f>--(AND(D94&lt;=113.15,E94&lt;=0.15,F94&lt;=15.77,G94&lt;=0.18,H94&gt;33.27))*0</f>
        <v/>
      </c>
      <c r="R94">
        <f>--(AND(D94&lt;=113.15,E94&lt;=0.15,F94&lt;=15.77,G94&gt;0.18))*0</f>
        <v/>
      </c>
      <c r="S94">
        <f>--(AND(D94&lt;=113.15,E94&lt;=0.15,F94&gt;15.77,H94&lt;=28.86,G94&lt;=0.14))*0</f>
        <v/>
      </c>
      <c r="T94">
        <f>--(AND(D94&lt;=113.15,E94&lt;=0.15,F94&gt;15.77,H94&lt;=28.86,G94&gt;0.14))*1</f>
        <v/>
      </c>
      <c r="U94">
        <f>--(AND(D94&lt;=113.15,E94&lt;=0.15,F94&gt;15.77,H94&gt;28.86,M94&lt;=14.54))*1</f>
        <v/>
      </c>
      <c r="V94">
        <f>--(AND(D94&lt;=113.15,E94&lt;=0.15,F94&gt;15.77,H94&gt;28.86,M94&gt;14.54))*1</f>
        <v/>
      </c>
      <c r="W94">
        <f>--(AND(D94&lt;=113.15,E94&gt;0.15,H94&lt;=23.74))*0</f>
        <v/>
      </c>
      <c r="X94">
        <f>--(AND(D94&lt;=113.15,E94&gt;0.15,H94&gt;23.74,J94&lt;=0.1))*1</f>
        <v/>
      </c>
      <c r="Y94">
        <f>--(AND(D94&lt;=113.15,E94&gt;0.15,H94&gt;23.74,J94&gt;0.1))*1</f>
        <v/>
      </c>
      <c r="Z94">
        <f>--(AND(D94&gt;113.15,K94&lt;=0.22,L94&lt;=0.02))*1</f>
        <v/>
      </c>
      <c r="AA94">
        <f>--(AND(D94&gt;113.15,K94&lt;=0.22,L94&gt;0.02))*0</f>
        <v/>
      </c>
      <c r="AB94">
        <f>--(AND(D94&gt;113.15,K94&gt;0.22,N94&lt;=810.1))*0</f>
        <v/>
      </c>
      <c r="AC94">
        <f>--(AND(D94&gt;113.15,K94&gt;0.22,N94&gt;810.1,I94&lt;=14.95))*1</f>
        <v/>
      </c>
      <c r="AD94">
        <f>--(AND(D94&gt;113.15,K94&gt;0.22,N94&gt;810.1,I94&gt;14.95))*1</f>
        <v/>
      </c>
      <c r="AE94">
        <f>SUM(P94:AD94)</f>
        <v/>
      </c>
      <c r="AF94">
        <f>IF(AE94=1,"Malignant","Benign")</f>
        <v/>
      </c>
      <c r="AG94">
        <f>--(AE94=C94)</f>
        <v/>
      </c>
    </row>
    <row r="95">
      <c r="A95">
        <f>BreastCancer_Data!A95</f>
        <v/>
      </c>
      <c r="B95">
        <f>BreastCancer_Data!B95</f>
        <v/>
      </c>
      <c r="C95">
        <f>BreastCancer_Data!D95</f>
        <v/>
      </c>
      <c r="D95">
        <f>BreastCancer_Data!E95</f>
        <v/>
      </c>
      <c r="E95">
        <f>BreastCancer_Data!F95</f>
        <v/>
      </c>
      <c r="F95">
        <f>BreastCancer_Data!G95</f>
        <v/>
      </c>
      <c r="G95">
        <f>BreastCancer_Data!H95</f>
        <v/>
      </c>
      <c r="H95">
        <f>BreastCancer_Data!I95</f>
        <v/>
      </c>
      <c r="I95">
        <f>BreastCancer_Data!J95</f>
        <v/>
      </c>
      <c r="J95">
        <f>BreastCancer_Data!K95</f>
        <v/>
      </c>
      <c r="K95">
        <f>BreastCancer_Data!L95</f>
        <v/>
      </c>
      <c r="L95">
        <f>BreastCancer_Data!M95</f>
        <v/>
      </c>
      <c r="M95">
        <f>BreastCancer_Data!N95</f>
        <v/>
      </c>
      <c r="N95">
        <f>BreastCancer_Data!O95</f>
        <v/>
      </c>
      <c r="O95">
        <f>0</f>
        <v/>
      </c>
      <c r="P95">
        <f>--(AND(D95&lt;=113.15,E95&lt;=0.15,F95&lt;=15.77,G95&lt;=0.18,H95&lt;=33.27))*0</f>
        <v/>
      </c>
      <c r="Q95">
        <f>--(AND(D95&lt;=113.15,E95&lt;=0.15,F95&lt;=15.77,G95&lt;=0.18,H95&gt;33.27))*0</f>
        <v/>
      </c>
      <c r="R95">
        <f>--(AND(D95&lt;=113.15,E95&lt;=0.15,F95&lt;=15.77,G95&gt;0.18))*0</f>
        <v/>
      </c>
      <c r="S95">
        <f>--(AND(D95&lt;=113.15,E95&lt;=0.15,F95&gt;15.77,H95&lt;=28.86,G95&lt;=0.14))*0</f>
        <v/>
      </c>
      <c r="T95">
        <f>--(AND(D95&lt;=113.15,E95&lt;=0.15,F95&gt;15.77,H95&lt;=28.86,G95&gt;0.14))*1</f>
        <v/>
      </c>
      <c r="U95">
        <f>--(AND(D95&lt;=113.15,E95&lt;=0.15,F95&gt;15.77,H95&gt;28.86,M95&lt;=14.54))*1</f>
        <v/>
      </c>
      <c r="V95">
        <f>--(AND(D95&lt;=113.15,E95&lt;=0.15,F95&gt;15.77,H95&gt;28.86,M95&gt;14.54))*1</f>
        <v/>
      </c>
      <c r="W95">
        <f>--(AND(D95&lt;=113.15,E95&gt;0.15,H95&lt;=23.74))*0</f>
        <v/>
      </c>
      <c r="X95">
        <f>--(AND(D95&lt;=113.15,E95&gt;0.15,H95&gt;23.74,J95&lt;=0.1))*1</f>
        <v/>
      </c>
      <c r="Y95">
        <f>--(AND(D95&lt;=113.15,E95&gt;0.15,H95&gt;23.74,J95&gt;0.1))*1</f>
        <v/>
      </c>
      <c r="Z95">
        <f>--(AND(D95&gt;113.15,K95&lt;=0.22,L95&lt;=0.02))*1</f>
        <v/>
      </c>
      <c r="AA95">
        <f>--(AND(D95&gt;113.15,K95&lt;=0.22,L95&gt;0.02))*0</f>
        <v/>
      </c>
      <c r="AB95">
        <f>--(AND(D95&gt;113.15,K95&gt;0.22,N95&lt;=810.1))*0</f>
        <v/>
      </c>
      <c r="AC95">
        <f>--(AND(D95&gt;113.15,K95&gt;0.22,N95&gt;810.1,I95&lt;=14.95))*1</f>
        <v/>
      </c>
      <c r="AD95">
        <f>--(AND(D95&gt;113.15,K95&gt;0.22,N95&gt;810.1,I95&gt;14.95))*1</f>
        <v/>
      </c>
      <c r="AE95">
        <f>SUM(P95:AD95)</f>
        <v/>
      </c>
      <c r="AF95">
        <f>IF(AE95=1,"Malignant","Benign")</f>
        <v/>
      </c>
      <c r="AG95">
        <f>--(AE95=C95)</f>
        <v/>
      </c>
    </row>
    <row r="96">
      <c r="A96">
        <f>BreastCancer_Data!A96</f>
        <v/>
      </c>
      <c r="B96">
        <f>BreastCancer_Data!B96</f>
        <v/>
      </c>
      <c r="C96">
        <f>BreastCancer_Data!D96</f>
        <v/>
      </c>
      <c r="D96">
        <f>BreastCancer_Data!E96</f>
        <v/>
      </c>
      <c r="E96">
        <f>BreastCancer_Data!F96</f>
        <v/>
      </c>
      <c r="F96">
        <f>BreastCancer_Data!G96</f>
        <v/>
      </c>
      <c r="G96">
        <f>BreastCancer_Data!H96</f>
        <v/>
      </c>
      <c r="H96">
        <f>BreastCancer_Data!I96</f>
        <v/>
      </c>
      <c r="I96">
        <f>BreastCancer_Data!J96</f>
        <v/>
      </c>
      <c r="J96">
        <f>BreastCancer_Data!K96</f>
        <v/>
      </c>
      <c r="K96">
        <f>BreastCancer_Data!L96</f>
        <v/>
      </c>
      <c r="L96">
        <f>BreastCancer_Data!M96</f>
        <v/>
      </c>
      <c r="M96">
        <f>BreastCancer_Data!N96</f>
        <v/>
      </c>
      <c r="N96">
        <f>BreastCancer_Data!O96</f>
        <v/>
      </c>
      <c r="O96">
        <f>0</f>
        <v/>
      </c>
      <c r="P96">
        <f>--(AND(D96&lt;=113.15,E96&lt;=0.15,F96&lt;=15.77,G96&lt;=0.18,H96&lt;=33.27))*0</f>
        <v/>
      </c>
      <c r="Q96">
        <f>--(AND(D96&lt;=113.15,E96&lt;=0.15,F96&lt;=15.77,G96&lt;=0.18,H96&gt;33.27))*0</f>
        <v/>
      </c>
      <c r="R96">
        <f>--(AND(D96&lt;=113.15,E96&lt;=0.15,F96&lt;=15.77,G96&gt;0.18))*0</f>
        <v/>
      </c>
      <c r="S96">
        <f>--(AND(D96&lt;=113.15,E96&lt;=0.15,F96&gt;15.77,H96&lt;=28.86,G96&lt;=0.14))*0</f>
        <v/>
      </c>
      <c r="T96">
        <f>--(AND(D96&lt;=113.15,E96&lt;=0.15,F96&gt;15.77,H96&lt;=28.86,G96&gt;0.14))*1</f>
        <v/>
      </c>
      <c r="U96">
        <f>--(AND(D96&lt;=113.15,E96&lt;=0.15,F96&gt;15.77,H96&gt;28.86,M96&lt;=14.54))*1</f>
        <v/>
      </c>
      <c r="V96">
        <f>--(AND(D96&lt;=113.15,E96&lt;=0.15,F96&gt;15.77,H96&gt;28.86,M96&gt;14.54))*1</f>
        <v/>
      </c>
      <c r="W96">
        <f>--(AND(D96&lt;=113.15,E96&gt;0.15,H96&lt;=23.74))*0</f>
        <v/>
      </c>
      <c r="X96">
        <f>--(AND(D96&lt;=113.15,E96&gt;0.15,H96&gt;23.74,J96&lt;=0.1))*1</f>
        <v/>
      </c>
      <c r="Y96">
        <f>--(AND(D96&lt;=113.15,E96&gt;0.15,H96&gt;23.74,J96&gt;0.1))*1</f>
        <v/>
      </c>
      <c r="Z96">
        <f>--(AND(D96&gt;113.15,K96&lt;=0.22,L96&lt;=0.02))*1</f>
        <v/>
      </c>
      <c r="AA96">
        <f>--(AND(D96&gt;113.15,K96&lt;=0.22,L96&gt;0.02))*0</f>
        <v/>
      </c>
      <c r="AB96">
        <f>--(AND(D96&gt;113.15,K96&gt;0.22,N96&lt;=810.1))*0</f>
        <v/>
      </c>
      <c r="AC96">
        <f>--(AND(D96&gt;113.15,K96&gt;0.22,N96&gt;810.1,I96&lt;=14.95))*1</f>
        <v/>
      </c>
      <c r="AD96">
        <f>--(AND(D96&gt;113.15,K96&gt;0.22,N96&gt;810.1,I96&gt;14.95))*1</f>
        <v/>
      </c>
      <c r="AE96">
        <f>SUM(P96:AD96)</f>
        <v/>
      </c>
      <c r="AF96">
        <f>IF(AE96=1,"Malignant","Benign")</f>
        <v/>
      </c>
      <c r="AG96">
        <f>--(AE96=C96)</f>
        <v/>
      </c>
    </row>
    <row r="97">
      <c r="A97">
        <f>BreastCancer_Data!A97</f>
        <v/>
      </c>
      <c r="B97">
        <f>BreastCancer_Data!B97</f>
        <v/>
      </c>
      <c r="C97">
        <f>BreastCancer_Data!D97</f>
        <v/>
      </c>
      <c r="D97">
        <f>BreastCancer_Data!E97</f>
        <v/>
      </c>
      <c r="E97">
        <f>BreastCancer_Data!F97</f>
        <v/>
      </c>
      <c r="F97">
        <f>BreastCancer_Data!G97</f>
        <v/>
      </c>
      <c r="G97">
        <f>BreastCancer_Data!H97</f>
        <v/>
      </c>
      <c r="H97">
        <f>BreastCancer_Data!I97</f>
        <v/>
      </c>
      <c r="I97">
        <f>BreastCancer_Data!J97</f>
        <v/>
      </c>
      <c r="J97">
        <f>BreastCancer_Data!K97</f>
        <v/>
      </c>
      <c r="K97">
        <f>BreastCancer_Data!L97</f>
        <v/>
      </c>
      <c r="L97">
        <f>BreastCancer_Data!M97</f>
        <v/>
      </c>
      <c r="M97">
        <f>BreastCancer_Data!N97</f>
        <v/>
      </c>
      <c r="N97">
        <f>BreastCancer_Data!O97</f>
        <v/>
      </c>
      <c r="O97">
        <f>0</f>
        <v/>
      </c>
      <c r="P97">
        <f>--(AND(D97&lt;=113.15,E97&lt;=0.15,F97&lt;=15.77,G97&lt;=0.18,H97&lt;=33.27))*0</f>
        <v/>
      </c>
      <c r="Q97">
        <f>--(AND(D97&lt;=113.15,E97&lt;=0.15,F97&lt;=15.77,G97&lt;=0.18,H97&gt;33.27))*0</f>
        <v/>
      </c>
      <c r="R97">
        <f>--(AND(D97&lt;=113.15,E97&lt;=0.15,F97&lt;=15.77,G97&gt;0.18))*0</f>
        <v/>
      </c>
      <c r="S97">
        <f>--(AND(D97&lt;=113.15,E97&lt;=0.15,F97&gt;15.77,H97&lt;=28.86,G97&lt;=0.14))*0</f>
        <v/>
      </c>
      <c r="T97">
        <f>--(AND(D97&lt;=113.15,E97&lt;=0.15,F97&gt;15.77,H97&lt;=28.86,G97&gt;0.14))*1</f>
        <v/>
      </c>
      <c r="U97">
        <f>--(AND(D97&lt;=113.15,E97&lt;=0.15,F97&gt;15.77,H97&gt;28.86,M97&lt;=14.54))*1</f>
        <v/>
      </c>
      <c r="V97">
        <f>--(AND(D97&lt;=113.15,E97&lt;=0.15,F97&gt;15.77,H97&gt;28.86,M97&gt;14.54))*1</f>
        <v/>
      </c>
      <c r="W97">
        <f>--(AND(D97&lt;=113.15,E97&gt;0.15,H97&lt;=23.74))*0</f>
        <v/>
      </c>
      <c r="X97">
        <f>--(AND(D97&lt;=113.15,E97&gt;0.15,H97&gt;23.74,J97&lt;=0.1))*1</f>
        <v/>
      </c>
      <c r="Y97">
        <f>--(AND(D97&lt;=113.15,E97&gt;0.15,H97&gt;23.74,J97&gt;0.1))*1</f>
        <v/>
      </c>
      <c r="Z97">
        <f>--(AND(D97&gt;113.15,K97&lt;=0.22,L97&lt;=0.02))*1</f>
        <v/>
      </c>
      <c r="AA97">
        <f>--(AND(D97&gt;113.15,K97&lt;=0.22,L97&gt;0.02))*0</f>
        <v/>
      </c>
      <c r="AB97">
        <f>--(AND(D97&gt;113.15,K97&gt;0.22,N97&lt;=810.1))*0</f>
        <v/>
      </c>
      <c r="AC97">
        <f>--(AND(D97&gt;113.15,K97&gt;0.22,N97&gt;810.1,I97&lt;=14.95))*1</f>
        <v/>
      </c>
      <c r="AD97">
        <f>--(AND(D97&gt;113.15,K97&gt;0.22,N97&gt;810.1,I97&gt;14.95))*1</f>
        <v/>
      </c>
      <c r="AE97">
        <f>SUM(P97:AD97)</f>
        <v/>
      </c>
      <c r="AF97">
        <f>IF(AE97=1,"Malignant","Benign")</f>
        <v/>
      </c>
      <c r="AG97">
        <f>--(AE97=C97)</f>
        <v/>
      </c>
    </row>
    <row r="98">
      <c r="A98">
        <f>BreastCancer_Data!A98</f>
        <v/>
      </c>
      <c r="B98">
        <f>BreastCancer_Data!B98</f>
        <v/>
      </c>
      <c r="C98">
        <f>BreastCancer_Data!D98</f>
        <v/>
      </c>
      <c r="D98">
        <f>BreastCancer_Data!E98</f>
        <v/>
      </c>
      <c r="E98">
        <f>BreastCancer_Data!F98</f>
        <v/>
      </c>
      <c r="F98">
        <f>BreastCancer_Data!G98</f>
        <v/>
      </c>
      <c r="G98">
        <f>BreastCancer_Data!H98</f>
        <v/>
      </c>
      <c r="H98">
        <f>BreastCancer_Data!I98</f>
        <v/>
      </c>
      <c r="I98">
        <f>BreastCancer_Data!J98</f>
        <v/>
      </c>
      <c r="J98">
        <f>BreastCancer_Data!K98</f>
        <v/>
      </c>
      <c r="K98">
        <f>BreastCancer_Data!L98</f>
        <v/>
      </c>
      <c r="L98">
        <f>BreastCancer_Data!M98</f>
        <v/>
      </c>
      <c r="M98">
        <f>BreastCancer_Data!N98</f>
        <v/>
      </c>
      <c r="N98">
        <f>BreastCancer_Data!O98</f>
        <v/>
      </c>
      <c r="O98">
        <f>0</f>
        <v/>
      </c>
      <c r="P98">
        <f>--(AND(D98&lt;=113.15,E98&lt;=0.15,F98&lt;=15.77,G98&lt;=0.18,H98&lt;=33.27))*0</f>
        <v/>
      </c>
      <c r="Q98">
        <f>--(AND(D98&lt;=113.15,E98&lt;=0.15,F98&lt;=15.77,G98&lt;=0.18,H98&gt;33.27))*0</f>
        <v/>
      </c>
      <c r="R98">
        <f>--(AND(D98&lt;=113.15,E98&lt;=0.15,F98&lt;=15.77,G98&gt;0.18))*0</f>
        <v/>
      </c>
      <c r="S98">
        <f>--(AND(D98&lt;=113.15,E98&lt;=0.15,F98&gt;15.77,H98&lt;=28.86,G98&lt;=0.14))*0</f>
        <v/>
      </c>
      <c r="T98">
        <f>--(AND(D98&lt;=113.15,E98&lt;=0.15,F98&gt;15.77,H98&lt;=28.86,G98&gt;0.14))*1</f>
        <v/>
      </c>
      <c r="U98">
        <f>--(AND(D98&lt;=113.15,E98&lt;=0.15,F98&gt;15.77,H98&gt;28.86,M98&lt;=14.54))*1</f>
        <v/>
      </c>
      <c r="V98">
        <f>--(AND(D98&lt;=113.15,E98&lt;=0.15,F98&gt;15.77,H98&gt;28.86,M98&gt;14.54))*1</f>
        <v/>
      </c>
      <c r="W98">
        <f>--(AND(D98&lt;=113.15,E98&gt;0.15,H98&lt;=23.74))*0</f>
        <v/>
      </c>
      <c r="X98">
        <f>--(AND(D98&lt;=113.15,E98&gt;0.15,H98&gt;23.74,J98&lt;=0.1))*1</f>
        <v/>
      </c>
      <c r="Y98">
        <f>--(AND(D98&lt;=113.15,E98&gt;0.15,H98&gt;23.74,J98&gt;0.1))*1</f>
        <v/>
      </c>
      <c r="Z98">
        <f>--(AND(D98&gt;113.15,K98&lt;=0.22,L98&lt;=0.02))*1</f>
        <v/>
      </c>
      <c r="AA98">
        <f>--(AND(D98&gt;113.15,K98&lt;=0.22,L98&gt;0.02))*0</f>
        <v/>
      </c>
      <c r="AB98">
        <f>--(AND(D98&gt;113.15,K98&gt;0.22,N98&lt;=810.1))*0</f>
        <v/>
      </c>
      <c r="AC98">
        <f>--(AND(D98&gt;113.15,K98&gt;0.22,N98&gt;810.1,I98&lt;=14.95))*1</f>
        <v/>
      </c>
      <c r="AD98">
        <f>--(AND(D98&gt;113.15,K98&gt;0.22,N98&gt;810.1,I98&gt;14.95))*1</f>
        <v/>
      </c>
      <c r="AE98">
        <f>SUM(P98:AD98)</f>
        <v/>
      </c>
      <c r="AF98">
        <f>IF(AE98=1,"Malignant","Benign")</f>
        <v/>
      </c>
      <c r="AG98">
        <f>--(AE98=C98)</f>
        <v/>
      </c>
    </row>
    <row r="99">
      <c r="A99">
        <f>BreastCancer_Data!A99</f>
        <v/>
      </c>
      <c r="B99">
        <f>BreastCancer_Data!B99</f>
        <v/>
      </c>
      <c r="C99">
        <f>BreastCancer_Data!D99</f>
        <v/>
      </c>
      <c r="D99">
        <f>BreastCancer_Data!E99</f>
        <v/>
      </c>
      <c r="E99">
        <f>BreastCancer_Data!F99</f>
        <v/>
      </c>
      <c r="F99">
        <f>BreastCancer_Data!G99</f>
        <v/>
      </c>
      <c r="G99">
        <f>BreastCancer_Data!H99</f>
        <v/>
      </c>
      <c r="H99">
        <f>BreastCancer_Data!I99</f>
        <v/>
      </c>
      <c r="I99">
        <f>BreastCancer_Data!J99</f>
        <v/>
      </c>
      <c r="J99">
        <f>BreastCancer_Data!K99</f>
        <v/>
      </c>
      <c r="K99">
        <f>BreastCancer_Data!L99</f>
        <v/>
      </c>
      <c r="L99">
        <f>BreastCancer_Data!M99</f>
        <v/>
      </c>
      <c r="M99">
        <f>BreastCancer_Data!N99</f>
        <v/>
      </c>
      <c r="N99">
        <f>BreastCancer_Data!O99</f>
        <v/>
      </c>
      <c r="O99">
        <f>0</f>
        <v/>
      </c>
      <c r="P99">
        <f>--(AND(D99&lt;=113.15,E99&lt;=0.15,F99&lt;=15.77,G99&lt;=0.18,H99&lt;=33.27))*0</f>
        <v/>
      </c>
      <c r="Q99">
        <f>--(AND(D99&lt;=113.15,E99&lt;=0.15,F99&lt;=15.77,G99&lt;=0.18,H99&gt;33.27))*0</f>
        <v/>
      </c>
      <c r="R99">
        <f>--(AND(D99&lt;=113.15,E99&lt;=0.15,F99&lt;=15.77,G99&gt;0.18))*0</f>
        <v/>
      </c>
      <c r="S99">
        <f>--(AND(D99&lt;=113.15,E99&lt;=0.15,F99&gt;15.77,H99&lt;=28.86,G99&lt;=0.14))*0</f>
        <v/>
      </c>
      <c r="T99">
        <f>--(AND(D99&lt;=113.15,E99&lt;=0.15,F99&gt;15.77,H99&lt;=28.86,G99&gt;0.14))*1</f>
        <v/>
      </c>
      <c r="U99">
        <f>--(AND(D99&lt;=113.15,E99&lt;=0.15,F99&gt;15.77,H99&gt;28.86,M99&lt;=14.54))*1</f>
        <v/>
      </c>
      <c r="V99">
        <f>--(AND(D99&lt;=113.15,E99&lt;=0.15,F99&gt;15.77,H99&gt;28.86,M99&gt;14.54))*1</f>
        <v/>
      </c>
      <c r="W99">
        <f>--(AND(D99&lt;=113.15,E99&gt;0.15,H99&lt;=23.74))*0</f>
        <v/>
      </c>
      <c r="X99">
        <f>--(AND(D99&lt;=113.15,E99&gt;0.15,H99&gt;23.74,J99&lt;=0.1))*1</f>
        <v/>
      </c>
      <c r="Y99">
        <f>--(AND(D99&lt;=113.15,E99&gt;0.15,H99&gt;23.74,J99&gt;0.1))*1</f>
        <v/>
      </c>
      <c r="Z99">
        <f>--(AND(D99&gt;113.15,K99&lt;=0.22,L99&lt;=0.02))*1</f>
        <v/>
      </c>
      <c r="AA99">
        <f>--(AND(D99&gt;113.15,K99&lt;=0.22,L99&gt;0.02))*0</f>
        <v/>
      </c>
      <c r="AB99">
        <f>--(AND(D99&gt;113.15,K99&gt;0.22,N99&lt;=810.1))*0</f>
        <v/>
      </c>
      <c r="AC99">
        <f>--(AND(D99&gt;113.15,K99&gt;0.22,N99&gt;810.1,I99&lt;=14.95))*1</f>
        <v/>
      </c>
      <c r="AD99">
        <f>--(AND(D99&gt;113.15,K99&gt;0.22,N99&gt;810.1,I99&gt;14.95))*1</f>
        <v/>
      </c>
      <c r="AE99">
        <f>SUM(P99:AD99)</f>
        <v/>
      </c>
      <c r="AF99">
        <f>IF(AE99=1,"Malignant","Benign")</f>
        <v/>
      </c>
      <c r="AG99">
        <f>--(AE99=C99)</f>
        <v/>
      </c>
    </row>
    <row r="100">
      <c r="A100">
        <f>BreastCancer_Data!A100</f>
        <v/>
      </c>
      <c r="B100">
        <f>BreastCancer_Data!B100</f>
        <v/>
      </c>
      <c r="C100">
        <f>BreastCancer_Data!D100</f>
        <v/>
      </c>
      <c r="D100">
        <f>BreastCancer_Data!E100</f>
        <v/>
      </c>
      <c r="E100">
        <f>BreastCancer_Data!F100</f>
        <v/>
      </c>
      <c r="F100">
        <f>BreastCancer_Data!G100</f>
        <v/>
      </c>
      <c r="G100">
        <f>BreastCancer_Data!H100</f>
        <v/>
      </c>
      <c r="H100">
        <f>BreastCancer_Data!I100</f>
        <v/>
      </c>
      <c r="I100">
        <f>BreastCancer_Data!J100</f>
        <v/>
      </c>
      <c r="J100">
        <f>BreastCancer_Data!K100</f>
        <v/>
      </c>
      <c r="K100">
        <f>BreastCancer_Data!L100</f>
        <v/>
      </c>
      <c r="L100">
        <f>BreastCancer_Data!M100</f>
        <v/>
      </c>
      <c r="M100">
        <f>BreastCancer_Data!N100</f>
        <v/>
      </c>
      <c r="N100">
        <f>BreastCancer_Data!O100</f>
        <v/>
      </c>
      <c r="O100">
        <f>0</f>
        <v/>
      </c>
      <c r="P100">
        <f>--(AND(D100&lt;=113.15,E100&lt;=0.15,F100&lt;=15.77,G100&lt;=0.18,H100&lt;=33.27))*0</f>
        <v/>
      </c>
      <c r="Q100">
        <f>--(AND(D100&lt;=113.15,E100&lt;=0.15,F100&lt;=15.77,G100&lt;=0.18,H100&gt;33.27))*0</f>
        <v/>
      </c>
      <c r="R100">
        <f>--(AND(D100&lt;=113.15,E100&lt;=0.15,F100&lt;=15.77,G100&gt;0.18))*0</f>
        <v/>
      </c>
      <c r="S100">
        <f>--(AND(D100&lt;=113.15,E100&lt;=0.15,F100&gt;15.77,H100&lt;=28.86,G100&lt;=0.14))*0</f>
        <v/>
      </c>
      <c r="T100">
        <f>--(AND(D100&lt;=113.15,E100&lt;=0.15,F100&gt;15.77,H100&lt;=28.86,G100&gt;0.14))*1</f>
        <v/>
      </c>
      <c r="U100">
        <f>--(AND(D100&lt;=113.15,E100&lt;=0.15,F100&gt;15.77,H100&gt;28.86,M100&lt;=14.54))*1</f>
        <v/>
      </c>
      <c r="V100">
        <f>--(AND(D100&lt;=113.15,E100&lt;=0.15,F100&gt;15.77,H100&gt;28.86,M100&gt;14.54))*1</f>
        <v/>
      </c>
      <c r="W100">
        <f>--(AND(D100&lt;=113.15,E100&gt;0.15,H100&lt;=23.74))*0</f>
        <v/>
      </c>
      <c r="X100">
        <f>--(AND(D100&lt;=113.15,E100&gt;0.15,H100&gt;23.74,J100&lt;=0.1))*1</f>
        <v/>
      </c>
      <c r="Y100">
        <f>--(AND(D100&lt;=113.15,E100&gt;0.15,H100&gt;23.74,J100&gt;0.1))*1</f>
        <v/>
      </c>
      <c r="Z100">
        <f>--(AND(D100&gt;113.15,K100&lt;=0.22,L100&lt;=0.02))*1</f>
        <v/>
      </c>
      <c r="AA100">
        <f>--(AND(D100&gt;113.15,K100&lt;=0.22,L100&gt;0.02))*0</f>
        <v/>
      </c>
      <c r="AB100">
        <f>--(AND(D100&gt;113.15,K100&gt;0.22,N100&lt;=810.1))*0</f>
        <v/>
      </c>
      <c r="AC100">
        <f>--(AND(D100&gt;113.15,K100&gt;0.22,N100&gt;810.1,I100&lt;=14.95))*1</f>
        <v/>
      </c>
      <c r="AD100">
        <f>--(AND(D100&gt;113.15,K100&gt;0.22,N100&gt;810.1,I100&gt;14.95))*1</f>
        <v/>
      </c>
      <c r="AE100">
        <f>SUM(P100:AD100)</f>
        <v/>
      </c>
      <c r="AF100">
        <f>IF(AE100=1,"Malignant","Benign")</f>
        <v/>
      </c>
      <c r="AG100">
        <f>--(AE100=C100)</f>
        <v/>
      </c>
    </row>
    <row r="101">
      <c r="A101">
        <f>BreastCancer_Data!A101</f>
        <v/>
      </c>
      <c r="B101">
        <f>BreastCancer_Data!B101</f>
        <v/>
      </c>
      <c r="C101">
        <f>BreastCancer_Data!D101</f>
        <v/>
      </c>
      <c r="D101">
        <f>BreastCancer_Data!E101</f>
        <v/>
      </c>
      <c r="E101">
        <f>BreastCancer_Data!F101</f>
        <v/>
      </c>
      <c r="F101">
        <f>BreastCancer_Data!G101</f>
        <v/>
      </c>
      <c r="G101">
        <f>BreastCancer_Data!H101</f>
        <v/>
      </c>
      <c r="H101">
        <f>BreastCancer_Data!I101</f>
        <v/>
      </c>
      <c r="I101">
        <f>BreastCancer_Data!J101</f>
        <v/>
      </c>
      <c r="J101">
        <f>BreastCancer_Data!K101</f>
        <v/>
      </c>
      <c r="K101">
        <f>BreastCancer_Data!L101</f>
        <v/>
      </c>
      <c r="L101">
        <f>BreastCancer_Data!M101</f>
        <v/>
      </c>
      <c r="M101">
        <f>BreastCancer_Data!N101</f>
        <v/>
      </c>
      <c r="N101">
        <f>BreastCancer_Data!O101</f>
        <v/>
      </c>
      <c r="O101">
        <f>0</f>
        <v/>
      </c>
      <c r="P101">
        <f>--(AND(D101&lt;=113.15,E101&lt;=0.15,F101&lt;=15.77,G101&lt;=0.18,H101&lt;=33.27))*0</f>
        <v/>
      </c>
      <c r="Q101">
        <f>--(AND(D101&lt;=113.15,E101&lt;=0.15,F101&lt;=15.77,G101&lt;=0.18,H101&gt;33.27))*0</f>
        <v/>
      </c>
      <c r="R101">
        <f>--(AND(D101&lt;=113.15,E101&lt;=0.15,F101&lt;=15.77,G101&gt;0.18))*0</f>
        <v/>
      </c>
      <c r="S101">
        <f>--(AND(D101&lt;=113.15,E101&lt;=0.15,F101&gt;15.77,H101&lt;=28.86,G101&lt;=0.14))*0</f>
        <v/>
      </c>
      <c r="T101">
        <f>--(AND(D101&lt;=113.15,E101&lt;=0.15,F101&gt;15.77,H101&lt;=28.86,G101&gt;0.14))*1</f>
        <v/>
      </c>
      <c r="U101">
        <f>--(AND(D101&lt;=113.15,E101&lt;=0.15,F101&gt;15.77,H101&gt;28.86,M101&lt;=14.54))*1</f>
        <v/>
      </c>
      <c r="V101">
        <f>--(AND(D101&lt;=113.15,E101&lt;=0.15,F101&gt;15.77,H101&gt;28.86,M101&gt;14.54))*1</f>
        <v/>
      </c>
      <c r="W101">
        <f>--(AND(D101&lt;=113.15,E101&gt;0.15,H101&lt;=23.74))*0</f>
        <v/>
      </c>
      <c r="X101">
        <f>--(AND(D101&lt;=113.15,E101&gt;0.15,H101&gt;23.74,J101&lt;=0.1))*1</f>
        <v/>
      </c>
      <c r="Y101">
        <f>--(AND(D101&lt;=113.15,E101&gt;0.15,H101&gt;23.74,J101&gt;0.1))*1</f>
        <v/>
      </c>
      <c r="Z101">
        <f>--(AND(D101&gt;113.15,K101&lt;=0.22,L101&lt;=0.02))*1</f>
        <v/>
      </c>
      <c r="AA101">
        <f>--(AND(D101&gt;113.15,K101&lt;=0.22,L101&gt;0.02))*0</f>
        <v/>
      </c>
      <c r="AB101">
        <f>--(AND(D101&gt;113.15,K101&gt;0.22,N101&lt;=810.1))*0</f>
        <v/>
      </c>
      <c r="AC101">
        <f>--(AND(D101&gt;113.15,K101&gt;0.22,N101&gt;810.1,I101&lt;=14.95))*1</f>
        <v/>
      </c>
      <c r="AD101">
        <f>--(AND(D101&gt;113.15,K101&gt;0.22,N101&gt;810.1,I101&gt;14.95))*1</f>
        <v/>
      </c>
      <c r="AE101">
        <f>SUM(P101:AD101)</f>
        <v/>
      </c>
      <c r="AF101">
        <f>IF(AE101=1,"Malignant","Benign")</f>
        <v/>
      </c>
      <c r="AG101">
        <f>--(AE101=C101)</f>
        <v/>
      </c>
    </row>
    <row r="102">
      <c r="A102">
        <f>BreastCancer_Data!A102</f>
        <v/>
      </c>
      <c r="B102">
        <f>BreastCancer_Data!B102</f>
        <v/>
      </c>
      <c r="C102">
        <f>BreastCancer_Data!D102</f>
        <v/>
      </c>
      <c r="D102">
        <f>BreastCancer_Data!E102</f>
        <v/>
      </c>
      <c r="E102">
        <f>BreastCancer_Data!F102</f>
        <v/>
      </c>
      <c r="F102">
        <f>BreastCancer_Data!G102</f>
        <v/>
      </c>
      <c r="G102">
        <f>BreastCancer_Data!H102</f>
        <v/>
      </c>
      <c r="H102">
        <f>BreastCancer_Data!I102</f>
        <v/>
      </c>
      <c r="I102">
        <f>BreastCancer_Data!J102</f>
        <v/>
      </c>
      <c r="J102">
        <f>BreastCancer_Data!K102</f>
        <v/>
      </c>
      <c r="K102">
        <f>BreastCancer_Data!L102</f>
        <v/>
      </c>
      <c r="L102">
        <f>BreastCancer_Data!M102</f>
        <v/>
      </c>
      <c r="M102">
        <f>BreastCancer_Data!N102</f>
        <v/>
      </c>
      <c r="N102">
        <f>BreastCancer_Data!O102</f>
        <v/>
      </c>
      <c r="O102">
        <f>0</f>
        <v/>
      </c>
      <c r="P102">
        <f>--(AND(D102&lt;=113.15,E102&lt;=0.15,F102&lt;=15.77,G102&lt;=0.18,H102&lt;=33.27))*0</f>
        <v/>
      </c>
      <c r="Q102">
        <f>--(AND(D102&lt;=113.15,E102&lt;=0.15,F102&lt;=15.77,G102&lt;=0.18,H102&gt;33.27))*0</f>
        <v/>
      </c>
      <c r="R102">
        <f>--(AND(D102&lt;=113.15,E102&lt;=0.15,F102&lt;=15.77,G102&gt;0.18))*0</f>
        <v/>
      </c>
      <c r="S102">
        <f>--(AND(D102&lt;=113.15,E102&lt;=0.15,F102&gt;15.77,H102&lt;=28.86,G102&lt;=0.14))*0</f>
        <v/>
      </c>
      <c r="T102">
        <f>--(AND(D102&lt;=113.15,E102&lt;=0.15,F102&gt;15.77,H102&lt;=28.86,G102&gt;0.14))*1</f>
        <v/>
      </c>
      <c r="U102">
        <f>--(AND(D102&lt;=113.15,E102&lt;=0.15,F102&gt;15.77,H102&gt;28.86,M102&lt;=14.54))*1</f>
        <v/>
      </c>
      <c r="V102">
        <f>--(AND(D102&lt;=113.15,E102&lt;=0.15,F102&gt;15.77,H102&gt;28.86,M102&gt;14.54))*1</f>
        <v/>
      </c>
      <c r="W102">
        <f>--(AND(D102&lt;=113.15,E102&gt;0.15,H102&lt;=23.74))*0</f>
        <v/>
      </c>
      <c r="X102">
        <f>--(AND(D102&lt;=113.15,E102&gt;0.15,H102&gt;23.74,J102&lt;=0.1))*1</f>
        <v/>
      </c>
      <c r="Y102">
        <f>--(AND(D102&lt;=113.15,E102&gt;0.15,H102&gt;23.74,J102&gt;0.1))*1</f>
        <v/>
      </c>
      <c r="Z102">
        <f>--(AND(D102&gt;113.15,K102&lt;=0.22,L102&lt;=0.02))*1</f>
        <v/>
      </c>
      <c r="AA102">
        <f>--(AND(D102&gt;113.15,K102&lt;=0.22,L102&gt;0.02))*0</f>
        <v/>
      </c>
      <c r="AB102">
        <f>--(AND(D102&gt;113.15,K102&gt;0.22,N102&lt;=810.1))*0</f>
        <v/>
      </c>
      <c r="AC102">
        <f>--(AND(D102&gt;113.15,K102&gt;0.22,N102&gt;810.1,I102&lt;=14.95))*1</f>
        <v/>
      </c>
      <c r="AD102">
        <f>--(AND(D102&gt;113.15,K102&gt;0.22,N102&gt;810.1,I102&gt;14.95))*1</f>
        <v/>
      </c>
      <c r="AE102">
        <f>SUM(P102:AD102)</f>
        <v/>
      </c>
      <c r="AF102">
        <f>IF(AE102=1,"Malignant","Benign")</f>
        <v/>
      </c>
      <c r="AG102">
        <f>--(AE102=C102)</f>
        <v/>
      </c>
    </row>
    <row r="103">
      <c r="A103">
        <f>BreastCancer_Data!A103</f>
        <v/>
      </c>
      <c r="B103">
        <f>BreastCancer_Data!B103</f>
        <v/>
      </c>
      <c r="C103">
        <f>BreastCancer_Data!D103</f>
        <v/>
      </c>
      <c r="D103">
        <f>BreastCancer_Data!E103</f>
        <v/>
      </c>
      <c r="E103">
        <f>BreastCancer_Data!F103</f>
        <v/>
      </c>
      <c r="F103">
        <f>BreastCancer_Data!G103</f>
        <v/>
      </c>
      <c r="G103">
        <f>BreastCancer_Data!H103</f>
        <v/>
      </c>
      <c r="H103">
        <f>BreastCancer_Data!I103</f>
        <v/>
      </c>
      <c r="I103">
        <f>BreastCancer_Data!J103</f>
        <v/>
      </c>
      <c r="J103">
        <f>BreastCancer_Data!K103</f>
        <v/>
      </c>
      <c r="K103">
        <f>BreastCancer_Data!L103</f>
        <v/>
      </c>
      <c r="L103">
        <f>BreastCancer_Data!M103</f>
        <v/>
      </c>
      <c r="M103">
        <f>BreastCancer_Data!N103</f>
        <v/>
      </c>
      <c r="N103">
        <f>BreastCancer_Data!O103</f>
        <v/>
      </c>
      <c r="O103">
        <f>0</f>
        <v/>
      </c>
      <c r="P103">
        <f>--(AND(D103&lt;=113.15,E103&lt;=0.15,F103&lt;=15.77,G103&lt;=0.18,H103&lt;=33.27))*0</f>
        <v/>
      </c>
      <c r="Q103">
        <f>--(AND(D103&lt;=113.15,E103&lt;=0.15,F103&lt;=15.77,G103&lt;=0.18,H103&gt;33.27))*0</f>
        <v/>
      </c>
      <c r="R103">
        <f>--(AND(D103&lt;=113.15,E103&lt;=0.15,F103&lt;=15.77,G103&gt;0.18))*0</f>
        <v/>
      </c>
      <c r="S103">
        <f>--(AND(D103&lt;=113.15,E103&lt;=0.15,F103&gt;15.77,H103&lt;=28.86,G103&lt;=0.14))*0</f>
        <v/>
      </c>
      <c r="T103">
        <f>--(AND(D103&lt;=113.15,E103&lt;=0.15,F103&gt;15.77,H103&lt;=28.86,G103&gt;0.14))*1</f>
        <v/>
      </c>
      <c r="U103">
        <f>--(AND(D103&lt;=113.15,E103&lt;=0.15,F103&gt;15.77,H103&gt;28.86,M103&lt;=14.54))*1</f>
        <v/>
      </c>
      <c r="V103">
        <f>--(AND(D103&lt;=113.15,E103&lt;=0.15,F103&gt;15.77,H103&gt;28.86,M103&gt;14.54))*1</f>
        <v/>
      </c>
      <c r="W103">
        <f>--(AND(D103&lt;=113.15,E103&gt;0.15,H103&lt;=23.74))*0</f>
        <v/>
      </c>
      <c r="X103">
        <f>--(AND(D103&lt;=113.15,E103&gt;0.15,H103&gt;23.74,J103&lt;=0.1))*1</f>
        <v/>
      </c>
      <c r="Y103">
        <f>--(AND(D103&lt;=113.15,E103&gt;0.15,H103&gt;23.74,J103&gt;0.1))*1</f>
        <v/>
      </c>
      <c r="Z103">
        <f>--(AND(D103&gt;113.15,K103&lt;=0.22,L103&lt;=0.02))*1</f>
        <v/>
      </c>
      <c r="AA103">
        <f>--(AND(D103&gt;113.15,K103&lt;=0.22,L103&gt;0.02))*0</f>
        <v/>
      </c>
      <c r="AB103">
        <f>--(AND(D103&gt;113.15,K103&gt;0.22,N103&lt;=810.1))*0</f>
        <v/>
      </c>
      <c r="AC103">
        <f>--(AND(D103&gt;113.15,K103&gt;0.22,N103&gt;810.1,I103&lt;=14.95))*1</f>
        <v/>
      </c>
      <c r="AD103">
        <f>--(AND(D103&gt;113.15,K103&gt;0.22,N103&gt;810.1,I103&gt;14.95))*1</f>
        <v/>
      </c>
      <c r="AE103">
        <f>SUM(P103:AD103)</f>
        <v/>
      </c>
      <c r="AF103">
        <f>IF(AE103=1,"Malignant","Benign")</f>
        <v/>
      </c>
      <c r="AG103">
        <f>--(AE103=C103)</f>
        <v/>
      </c>
    </row>
    <row r="104">
      <c r="A104">
        <f>BreastCancer_Data!A104</f>
        <v/>
      </c>
      <c r="B104">
        <f>BreastCancer_Data!B104</f>
        <v/>
      </c>
      <c r="C104">
        <f>BreastCancer_Data!D104</f>
        <v/>
      </c>
      <c r="D104">
        <f>BreastCancer_Data!E104</f>
        <v/>
      </c>
      <c r="E104">
        <f>BreastCancer_Data!F104</f>
        <v/>
      </c>
      <c r="F104">
        <f>BreastCancer_Data!G104</f>
        <v/>
      </c>
      <c r="G104">
        <f>BreastCancer_Data!H104</f>
        <v/>
      </c>
      <c r="H104">
        <f>BreastCancer_Data!I104</f>
        <v/>
      </c>
      <c r="I104">
        <f>BreastCancer_Data!J104</f>
        <v/>
      </c>
      <c r="J104">
        <f>BreastCancer_Data!K104</f>
        <v/>
      </c>
      <c r="K104">
        <f>BreastCancer_Data!L104</f>
        <v/>
      </c>
      <c r="L104">
        <f>BreastCancer_Data!M104</f>
        <v/>
      </c>
      <c r="M104">
        <f>BreastCancer_Data!N104</f>
        <v/>
      </c>
      <c r="N104">
        <f>BreastCancer_Data!O104</f>
        <v/>
      </c>
      <c r="O104">
        <f>0</f>
        <v/>
      </c>
      <c r="P104">
        <f>--(AND(D104&lt;=113.15,E104&lt;=0.15,F104&lt;=15.77,G104&lt;=0.18,H104&lt;=33.27))*0</f>
        <v/>
      </c>
      <c r="Q104">
        <f>--(AND(D104&lt;=113.15,E104&lt;=0.15,F104&lt;=15.77,G104&lt;=0.18,H104&gt;33.27))*0</f>
        <v/>
      </c>
      <c r="R104">
        <f>--(AND(D104&lt;=113.15,E104&lt;=0.15,F104&lt;=15.77,G104&gt;0.18))*0</f>
        <v/>
      </c>
      <c r="S104">
        <f>--(AND(D104&lt;=113.15,E104&lt;=0.15,F104&gt;15.77,H104&lt;=28.86,G104&lt;=0.14))*0</f>
        <v/>
      </c>
      <c r="T104">
        <f>--(AND(D104&lt;=113.15,E104&lt;=0.15,F104&gt;15.77,H104&lt;=28.86,G104&gt;0.14))*1</f>
        <v/>
      </c>
      <c r="U104">
        <f>--(AND(D104&lt;=113.15,E104&lt;=0.15,F104&gt;15.77,H104&gt;28.86,M104&lt;=14.54))*1</f>
        <v/>
      </c>
      <c r="V104">
        <f>--(AND(D104&lt;=113.15,E104&lt;=0.15,F104&gt;15.77,H104&gt;28.86,M104&gt;14.54))*1</f>
        <v/>
      </c>
      <c r="W104">
        <f>--(AND(D104&lt;=113.15,E104&gt;0.15,H104&lt;=23.74))*0</f>
        <v/>
      </c>
      <c r="X104">
        <f>--(AND(D104&lt;=113.15,E104&gt;0.15,H104&gt;23.74,J104&lt;=0.1))*1</f>
        <v/>
      </c>
      <c r="Y104">
        <f>--(AND(D104&lt;=113.15,E104&gt;0.15,H104&gt;23.74,J104&gt;0.1))*1</f>
        <v/>
      </c>
      <c r="Z104">
        <f>--(AND(D104&gt;113.15,K104&lt;=0.22,L104&lt;=0.02))*1</f>
        <v/>
      </c>
      <c r="AA104">
        <f>--(AND(D104&gt;113.15,K104&lt;=0.22,L104&gt;0.02))*0</f>
        <v/>
      </c>
      <c r="AB104">
        <f>--(AND(D104&gt;113.15,K104&gt;0.22,N104&lt;=810.1))*0</f>
        <v/>
      </c>
      <c r="AC104">
        <f>--(AND(D104&gt;113.15,K104&gt;0.22,N104&gt;810.1,I104&lt;=14.95))*1</f>
        <v/>
      </c>
      <c r="AD104">
        <f>--(AND(D104&gt;113.15,K104&gt;0.22,N104&gt;810.1,I104&gt;14.95))*1</f>
        <v/>
      </c>
      <c r="AE104">
        <f>SUM(P104:AD104)</f>
        <v/>
      </c>
      <c r="AF104">
        <f>IF(AE104=1,"Malignant","Benign")</f>
        <v/>
      </c>
      <c r="AG104">
        <f>--(AE104=C104)</f>
        <v/>
      </c>
    </row>
    <row r="105">
      <c r="A105">
        <f>BreastCancer_Data!A105</f>
        <v/>
      </c>
      <c r="B105">
        <f>BreastCancer_Data!B105</f>
        <v/>
      </c>
      <c r="C105">
        <f>BreastCancer_Data!D105</f>
        <v/>
      </c>
      <c r="D105">
        <f>BreastCancer_Data!E105</f>
        <v/>
      </c>
      <c r="E105">
        <f>BreastCancer_Data!F105</f>
        <v/>
      </c>
      <c r="F105">
        <f>BreastCancer_Data!G105</f>
        <v/>
      </c>
      <c r="G105">
        <f>BreastCancer_Data!H105</f>
        <v/>
      </c>
      <c r="H105">
        <f>BreastCancer_Data!I105</f>
        <v/>
      </c>
      <c r="I105">
        <f>BreastCancer_Data!J105</f>
        <v/>
      </c>
      <c r="J105">
        <f>BreastCancer_Data!K105</f>
        <v/>
      </c>
      <c r="K105">
        <f>BreastCancer_Data!L105</f>
        <v/>
      </c>
      <c r="L105">
        <f>BreastCancer_Data!M105</f>
        <v/>
      </c>
      <c r="M105">
        <f>BreastCancer_Data!N105</f>
        <v/>
      </c>
      <c r="N105">
        <f>BreastCancer_Data!O105</f>
        <v/>
      </c>
      <c r="O105">
        <f>0</f>
        <v/>
      </c>
      <c r="P105">
        <f>--(AND(D105&lt;=113.15,E105&lt;=0.15,F105&lt;=15.77,G105&lt;=0.18,H105&lt;=33.27))*0</f>
        <v/>
      </c>
      <c r="Q105">
        <f>--(AND(D105&lt;=113.15,E105&lt;=0.15,F105&lt;=15.77,G105&lt;=0.18,H105&gt;33.27))*0</f>
        <v/>
      </c>
      <c r="R105">
        <f>--(AND(D105&lt;=113.15,E105&lt;=0.15,F105&lt;=15.77,G105&gt;0.18))*0</f>
        <v/>
      </c>
      <c r="S105">
        <f>--(AND(D105&lt;=113.15,E105&lt;=0.15,F105&gt;15.77,H105&lt;=28.86,G105&lt;=0.14))*0</f>
        <v/>
      </c>
      <c r="T105">
        <f>--(AND(D105&lt;=113.15,E105&lt;=0.15,F105&gt;15.77,H105&lt;=28.86,G105&gt;0.14))*1</f>
        <v/>
      </c>
      <c r="U105">
        <f>--(AND(D105&lt;=113.15,E105&lt;=0.15,F105&gt;15.77,H105&gt;28.86,M105&lt;=14.54))*1</f>
        <v/>
      </c>
      <c r="V105">
        <f>--(AND(D105&lt;=113.15,E105&lt;=0.15,F105&gt;15.77,H105&gt;28.86,M105&gt;14.54))*1</f>
        <v/>
      </c>
      <c r="W105">
        <f>--(AND(D105&lt;=113.15,E105&gt;0.15,H105&lt;=23.74))*0</f>
        <v/>
      </c>
      <c r="X105">
        <f>--(AND(D105&lt;=113.15,E105&gt;0.15,H105&gt;23.74,J105&lt;=0.1))*1</f>
        <v/>
      </c>
      <c r="Y105">
        <f>--(AND(D105&lt;=113.15,E105&gt;0.15,H105&gt;23.74,J105&gt;0.1))*1</f>
        <v/>
      </c>
      <c r="Z105">
        <f>--(AND(D105&gt;113.15,K105&lt;=0.22,L105&lt;=0.02))*1</f>
        <v/>
      </c>
      <c r="AA105">
        <f>--(AND(D105&gt;113.15,K105&lt;=0.22,L105&gt;0.02))*0</f>
        <v/>
      </c>
      <c r="AB105">
        <f>--(AND(D105&gt;113.15,K105&gt;0.22,N105&lt;=810.1))*0</f>
        <v/>
      </c>
      <c r="AC105">
        <f>--(AND(D105&gt;113.15,K105&gt;0.22,N105&gt;810.1,I105&lt;=14.95))*1</f>
        <v/>
      </c>
      <c r="AD105">
        <f>--(AND(D105&gt;113.15,K105&gt;0.22,N105&gt;810.1,I105&gt;14.95))*1</f>
        <v/>
      </c>
      <c r="AE105">
        <f>SUM(P105:AD105)</f>
        <v/>
      </c>
      <c r="AF105">
        <f>IF(AE105=1,"Malignant","Benign")</f>
        <v/>
      </c>
      <c r="AG105">
        <f>--(AE105=C105)</f>
        <v/>
      </c>
    </row>
    <row r="106">
      <c r="A106">
        <f>BreastCancer_Data!A106</f>
        <v/>
      </c>
      <c r="B106">
        <f>BreastCancer_Data!B106</f>
        <v/>
      </c>
      <c r="C106">
        <f>BreastCancer_Data!D106</f>
        <v/>
      </c>
      <c r="D106">
        <f>BreastCancer_Data!E106</f>
        <v/>
      </c>
      <c r="E106">
        <f>BreastCancer_Data!F106</f>
        <v/>
      </c>
      <c r="F106">
        <f>BreastCancer_Data!G106</f>
        <v/>
      </c>
      <c r="G106">
        <f>BreastCancer_Data!H106</f>
        <v/>
      </c>
      <c r="H106">
        <f>BreastCancer_Data!I106</f>
        <v/>
      </c>
      <c r="I106">
        <f>BreastCancer_Data!J106</f>
        <v/>
      </c>
      <c r="J106">
        <f>BreastCancer_Data!K106</f>
        <v/>
      </c>
      <c r="K106">
        <f>BreastCancer_Data!L106</f>
        <v/>
      </c>
      <c r="L106">
        <f>BreastCancer_Data!M106</f>
        <v/>
      </c>
      <c r="M106">
        <f>BreastCancer_Data!N106</f>
        <v/>
      </c>
      <c r="N106">
        <f>BreastCancer_Data!O106</f>
        <v/>
      </c>
      <c r="O106">
        <f>0</f>
        <v/>
      </c>
      <c r="P106">
        <f>--(AND(D106&lt;=113.15,E106&lt;=0.15,F106&lt;=15.77,G106&lt;=0.18,H106&lt;=33.27))*0</f>
        <v/>
      </c>
      <c r="Q106">
        <f>--(AND(D106&lt;=113.15,E106&lt;=0.15,F106&lt;=15.77,G106&lt;=0.18,H106&gt;33.27))*0</f>
        <v/>
      </c>
      <c r="R106">
        <f>--(AND(D106&lt;=113.15,E106&lt;=0.15,F106&lt;=15.77,G106&gt;0.18))*0</f>
        <v/>
      </c>
      <c r="S106">
        <f>--(AND(D106&lt;=113.15,E106&lt;=0.15,F106&gt;15.77,H106&lt;=28.86,G106&lt;=0.14))*0</f>
        <v/>
      </c>
      <c r="T106">
        <f>--(AND(D106&lt;=113.15,E106&lt;=0.15,F106&gt;15.77,H106&lt;=28.86,G106&gt;0.14))*1</f>
        <v/>
      </c>
      <c r="U106">
        <f>--(AND(D106&lt;=113.15,E106&lt;=0.15,F106&gt;15.77,H106&gt;28.86,M106&lt;=14.54))*1</f>
        <v/>
      </c>
      <c r="V106">
        <f>--(AND(D106&lt;=113.15,E106&lt;=0.15,F106&gt;15.77,H106&gt;28.86,M106&gt;14.54))*1</f>
        <v/>
      </c>
      <c r="W106">
        <f>--(AND(D106&lt;=113.15,E106&gt;0.15,H106&lt;=23.74))*0</f>
        <v/>
      </c>
      <c r="X106">
        <f>--(AND(D106&lt;=113.15,E106&gt;0.15,H106&gt;23.74,J106&lt;=0.1))*1</f>
        <v/>
      </c>
      <c r="Y106">
        <f>--(AND(D106&lt;=113.15,E106&gt;0.15,H106&gt;23.74,J106&gt;0.1))*1</f>
        <v/>
      </c>
      <c r="Z106">
        <f>--(AND(D106&gt;113.15,K106&lt;=0.22,L106&lt;=0.02))*1</f>
        <v/>
      </c>
      <c r="AA106">
        <f>--(AND(D106&gt;113.15,K106&lt;=0.22,L106&gt;0.02))*0</f>
        <v/>
      </c>
      <c r="AB106">
        <f>--(AND(D106&gt;113.15,K106&gt;0.22,N106&lt;=810.1))*0</f>
        <v/>
      </c>
      <c r="AC106">
        <f>--(AND(D106&gt;113.15,K106&gt;0.22,N106&gt;810.1,I106&lt;=14.95))*1</f>
        <v/>
      </c>
      <c r="AD106">
        <f>--(AND(D106&gt;113.15,K106&gt;0.22,N106&gt;810.1,I106&gt;14.95))*1</f>
        <v/>
      </c>
      <c r="AE106">
        <f>SUM(P106:AD106)</f>
        <v/>
      </c>
      <c r="AF106">
        <f>IF(AE106=1,"Malignant","Benign")</f>
        <v/>
      </c>
      <c r="AG106">
        <f>--(AE106=C106)</f>
        <v/>
      </c>
    </row>
    <row r="107">
      <c r="A107">
        <f>BreastCancer_Data!A107</f>
        <v/>
      </c>
      <c r="B107">
        <f>BreastCancer_Data!B107</f>
        <v/>
      </c>
      <c r="C107">
        <f>BreastCancer_Data!D107</f>
        <v/>
      </c>
      <c r="D107">
        <f>BreastCancer_Data!E107</f>
        <v/>
      </c>
      <c r="E107">
        <f>BreastCancer_Data!F107</f>
        <v/>
      </c>
      <c r="F107">
        <f>BreastCancer_Data!G107</f>
        <v/>
      </c>
      <c r="G107">
        <f>BreastCancer_Data!H107</f>
        <v/>
      </c>
      <c r="H107">
        <f>BreastCancer_Data!I107</f>
        <v/>
      </c>
      <c r="I107">
        <f>BreastCancer_Data!J107</f>
        <v/>
      </c>
      <c r="J107">
        <f>BreastCancer_Data!K107</f>
        <v/>
      </c>
      <c r="K107">
        <f>BreastCancer_Data!L107</f>
        <v/>
      </c>
      <c r="L107">
        <f>BreastCancer_Data!M107</f>
        <v/>
      </c>
      <c r="M107">
        <f>BreastCancer_Data!N107</f>
        <v/>
      </c>
      <c r="N107">
        <f>BreastCancer_Data!O107</f>
        <v/>
      </c>
      <c r="O107">
        <f>0</f>
        <v/>
      </c>
      <c r="P107">
        <f>--(AND(D107&lt;=113.15,E107&lt;=0.15,F107&lt;=15.77,G107&lt;=0.18,H107&lt;=33.27))*0</f>
        <v/>
      </c>
      <c r="Q107">
        <f>--(AND(D107&lt;=113.15,E107&lt;=0.15,F107&lt;=15.77,G107&lt;=0.18,H107&gt;33.27))*0</f>
        <v/>
      </c>
      <c r="R107">
        <f>--(AND(D107&lt;=113.15,E107&lt;=0.15,F107&lt;=15.77,G107&gt;0.18))*0</f>
        <v/>
      </c>
      <c r="S107">
        <f>--(AND(D107&lt;=113.15,E107&lt;=0.15,F107&gt;15.77,H107&lt;=28.86,G107&lt;=0.14))*0</f>
        <v/>
      </c>
      <c r="T107">
        <f>--(AND(D107&lt;=113.15,E107&lt;=0.15,F107&gt;15.77,H107&lt;=28.86,G107&gt;0.14))*1</f>
        <v/>
      </c>
      <c r="U107">
        <f>--(AND(D107&lt;=113.15,E107&lt;=0.15,F107&gt;15.77,H107&gt;28.86,M107&lt;=14.54))*1</f>
        <v/>
      </c>
      <c r="V107">
        <f>--(AND(D107&lt;=113.15,E107&lt;=0.15,F107&gt;15.77,H107&gt;28.86,M107&gt;14.54))*1</f>
        <v/>
      </c>
      <c r="W107">
        <f>--(AND(D107&lt;=113.15,E107&gt;0.15,H107&lt;=23.74))*0</f>
        <v/>
      </c>
      <c r="X107">
        <f>--(AND(D107&lt;=113.15,E107&gt;0.15,H107&gt;23.74,J107&lt;=0.1))*1</f>
        <v/>
      </c>
      <c r="Y107">
        <f>--(AND(D107&lt;=113.15,E107&gt;0.15,H107&gt;23.74,J107&gt;0.1))*1</f>
        <v/>
      </c>
      <c r="Z107">
        <f>--(AND(D107&gt;113.15,K107&lt;=0.22,L107&lt;=0.02))*1</f>
        <v/>
      </c>
      <c r="AA107">
        <f>--(AND(D107&gt;113.15,K107&lt;=0.22,L107&gt;0.02))*0</f>
        <v/>
      </c>
      <c r="AB107">
        <f>--(AND(D107&gt;113.15,K107&gt;0.22,N107&lt;=810.1))*0</f>
        <v/>
      </c>
      <c r="AC107">
        <f>--(AND(D107&gt;113.15,K107&gt;0.22,N107&gt;810.1,I107&lt;=14.95))*1</f>
        <v/>
      </c>
      <c r="AD107">
        <f>--(AND(D107&gt;113.15,K107&gt;0.22,N107&gt;810.1,I107&gt;14.95))*1</f>
        <v/>
      </c>
      <c r="AE107">
        <f>SUM(P107:AD107)</f>
        <v/>
      </c>
      <c r="AF107">
        <f>IF(AE107=1,"Malignant","Benign")</f>
        <v/>
      </c>
      <c r="AG107">
        <f>--(AE107=C107)</f>
        <v/>
      </c>
    </row>
    <row r="108">
      <c r="A108">
        <f>BreastCancer_Data!A108</f>
        <v/>
      </c>
      <c r="B108">
        <f>BreastCancer_Data!B108</f>
        <v/>
      </c>
      <c r="C108">
        <f>BreastCancer_Data!D108</f>
        <v/>
      </c>
      <c r="D108">
        <f>BreastCancer_Data!E108</f>
        <v/>
      </c>
      <c r="E108">
        <f>BreastCancer_Data!F108</f>
        <v/>
      </c>
      <c r="F108">
        <f>BreastCancer_Data!G108</f>
        <v/>
      </c>
      <c r="G108">
        <f>BreastCancer_Data!H108</f>
        <v/>
      </c>
      <c r="H108">
        <f>BreastCancer_Data!I108</f>
        <v/>
      </c>
      <c r="I108">
        <f>BreastCancer_Data!J108</f>
        <v/>
      </c>
      <c r="J108">
        <f>BreastCancer_Data!K108</f>
        <v/>
      </c>
      <c r="K108">
        <f>BreastCancer_Data!L108</f>
        <v/>
      </c>
      <c r="L108">
        <f>BreastCancer_Data!M108</f>
        <v/>
      </c>
      <c r="M108">
        <f>BreastCancer_Data!N108</f>
        <v/>
      </c>
      <c r="N108">
        <f>BreastCancer_Data!O108</f>
        <v/>
      </c>
      <c r="O108">
        <f>0</f>
        <v/>
      </c>
      <c r="P108">
        <f>--(AND(D108&lt;=113.15,E108&lt;=0.15,F108&lt;=15.77,G108&lt;=0.18,H108&lt;=33.27))*0</f>
        <v/>
      </c>
      <c r="Q108">
        <f>--(AND(D108&lt;=113.15,E108&lt;=0.15,F108&lt;=15.77,G108&lt;=0.18,H108&gt;33.27))*0</f>
        <v/>
      </c>
      <c r="R108">
        <f>--(AND(D108&lt;=113.15,E108&lt;=0.15,F108&lt;=15.77,G108&gt;0.18))*0</f>
        <v/>
      </c>
      <c r="S108">
        <f>--(AND(D108&lt;=113.15,E108&lt;=0.15,F108&gt;15.77,H108&lt;=28.86,G108&lt;=0.14))*0</f>
        <v/>
      </c>
      <c r="T108">
        <f>--(AND(D108&lt;=113.15,E108&lt;=0.15,F108&gt;15.77,H108&lt;=28.86,G108&gt;0.14))*1</f>
        <v/>
      </c>
      <c r="U108">
        <f>--(AND(D108&lt;=113.15,E108&lt;=0.15,F108&gt;15.77,H108&gt;28.86,M108&lt;=14.54))*1</f>
        <v/>
      </c>
      <c r="V108">
        <f>--(AND(D108&lt;=113.15,E108&lt;=0.15,F108&gt;15.77,H108&gt;28.86,M108&gt;14.54))*1</f>
        <v/>
      </c>
      <c r="W108">
        <f>--(AND(D108&lt;=113.15,E108&gt;0.15,H108&lt;=23.74))*0</f>
        <v/>
      </c>
      <c r="X108">
        <f>--(AND(D108&lt;=113.15,E108&gt;0.15,H108&gt;23.74,J108&lt;=0.1))*1</f>
        <v/>
      </c>
      <c r="Y108">
        <f>--(AND(D108&lt;=113.15,E108&gt;0.15,H108&gt;23.74,J108&gt;0.1))*1</f>
        <v/>
      </c>
      <c r="Z108">
        <f>--(AND(D108&gt;113.15,K108&lt;=0.22,L108&lt;=0.02))*1</f>
        <v/>
      </c>
      <c r="AA108">
        <f>--(AND(D108&gt;113.15,K108&lt;=0.22,L108&gt;0.02))*0</f>
        <v/>
      </c>
      <c r="AB108">
        <f>--(AND(D108&gt;113.15,K108&gt;0.22,N108&lt;=810.1))*0</f>
        <v/>
      </c>
      <c r="AC108">
        <f>--(AND(D108&gt;113.15,K108&gt;0.22,N108&gt;810.1,I108&lt;=14.95))*1</f>
        <v/>
      </c>
      <c r="AD108">
        <f>--(AND(D108&gt;113.15,K108&gt;0.22,N108&gt;810.1,I108&gt;14.95))*1</f>
        <v/>
      </c>
      <c r="AE108">
        <f>SUM(P108:AD108)</f>
        <v/>
      </c>
      <c r="AF108">
        <f>IF(AE108=1,"Malignant","Benign")</f>
        <v/>
      </c>
      <c r="AG108">
        <f>--(AE108=C108)</f>
        <v/>
      </c>
    </row>
    <row r="109">
      <c r="A109">
        <f>BreastCancer_Data!A109</f>
        <v/>
      </c>
      <c r="B109">
        <f>BreastCancer_Data!B109</f>
        <v/>
      </c>
      <c r="C109">
        <f>BreastCancer_Data!D109</f>
        <v/>
      </c>
      <c r="D109">
        <f>BreastCancer_Data!E109</f>
        <v/>
      </c>
      <c r="E109">
        <f>BreastCancer_Data!F109</f>
        <v/>
      </c>
      <c r="F109">
        <f>BreastCancer_Data!G109</f>
        <v/>
      </c>
      <c r="G109">
        <f>BreastCancer_Data!H109</f>
        <v/>
      </c>
      <c r="H109">
        <f>BreastCancer_Data!I109</f>
        <v/>
      </c>
      <c r="I109">
        <f>BreastCancer_Data!J109</f>
        <v/>
      </c>
      <c r="J109">
        <f>BreastCancer_Data!K109</f>
        <v/>
      </c>
      <c r="K109">
        <f>BreastCancer_Data!L109</f>
        <v/>
      </c>
      <c r="L109">
        <f>BreastCancer_Data!M109</f>
        <v/>
      </c>
      <c r="M109">
        <f>BreastCancer_Data!N109</f>
        <v/>
      </c>
      <c r="N109">
        <f>BreastCancer_Data!O109</f>
        <v/>
      </c>
      <c r="O109">
        <f>0</f>
        <v/>
      </c>
      <c r="P109">
        <f>--(AND(D109&lt;=113.15,E109&lt;=0.15,F109&lt;=15.77,G109&lt;=0.18,H109&lt;=33.27))*0</f>
        <v/>
      </c>
      <c r="Q109">
        <f>--(AND(D109&lt;=113.15,E109&lt;=0.15,F109&lt;=15.77,G109&lt;=0.18,H109&gt;33.27))*0</f>
        <v/>
      </c>
      <c r="R109">
        <f>--(AND(D109&lt;=113.15,E109&lt;=0.15,F109&lt;=15.77,G109&gt;0.18))*0</f>
        <v/>
      </c>
      <c r="S109">
        <f>--(AND(D109&lt;=113.15,E109&lt;=0.15,F109&gt;15.77,H109&lt;=28.86,G109&lt;=0.14))*0</f>
        <v/>
      </c>
      <c r="T109">
        <f>--(AND(D109&lt;=113.15,E109&lt;=0.15,F109&gt;15.77,H109&lt;=28.86,G109&gt;0.14))*1</f>
        <v/>
      </c>
      <c r="U109">
        <f>--(AND(D109&lt;=113.15,E109&lt;=0.15,F109&gt;15.77,H109&gt;28.86,M109&lt;=14.54))*1</f>
        <v/>
      </c>
      <c r="V109">
        <f>--(AND(D109&lt;=113.15,E109&lt;=0.15,F109&gt;15.77,H109&gt;28.86,M109&gt;14.54))*1</f>
        <v/>
      </c>
      <c r="W109">
        <f>--(AND(D109&lt;=113.15,E109&gt;0.15,H109&lt;=23.74))*0</f>
        <v/>
      </c>
      <c r="X109">
        <f>--(AND(D109&lt;=113.15,E109&gt;0.15,H109&gt;23.74,J109&lt;=0.1))*1</f>
        <v/>
      </c>
      <c r="Y109">
        <f>--(AND(D109&lt;=113.15,E109&gt;0.15,H109&gt;23.74,J109&gt;0.1))*1</f>
        <v/>
      </c>
      <c r="Z109">
        <f>--(AND(D109&gt;113.15,K109&lt;=0.22,L109&lt;=0.02))*1</f>
        <v/>
      </c>
      <c r="AA109">
        <f>--(AND(D109&gt;113.15,K109&lt;=0.22,L109&gt;0.02))*0</f>
        <v/>
      </c>
      <c r="AB109">
        <f>--(AND(D109&gt;113.15,K109&gt;0.22,N109&lt;=810.1))*0</f>
        <v/>
      </c>
      <c r="AC109">
        <f>--(AND(D109&gt;113.15,K109&gt;0.22,N109&gt;810.1,I109&lt;=14.95))*1</f>
        <v/>
      </c>
      <c r="AD109">
        <f>--(AND(D109&gt;113.15,K109&gt;0.22,N109&gt;810.1,I109&gt;14.95))*1</f>
        <v/>
      </c>
      <c r="AE109">
        <f>SUM(P109:AD109)</f>
        <v/>
      </c>
      <c r="AF109">
        <f>IF(AE109=1,"Malignant","Benign")</f>
        <v/>
      </c>
      <c r="AG109">
        <f>--(AE109=C109)</f>
        <v/>
      </c>
    </row>
    <row r="110">
      <c r="A110">
        <f>BreastCancer_Data!A110</f>
        <v/>
      </c>
      <c r="B110">
        <f>BreastCancer_Data!B110</f>
        <v/>
      </c>
      <c r="C110">
        <f>BreastCancer_Data!D110</f>
        <v/>
      </c>
      <c r="D110">
        <f>BreastCancer_Data!E110</f>
        <v/>
      </c>
      <c r="E110">
        <f>BreastCancer_Data!F110</f>
        <v/>
      </c>
      <c r="F110">
        <f>BreastCancer_Data!G110</f>
        <v/>
      </c>
      <c r="G110">
        <f>BreastCancer_Data!H110</f>
        <v/>
      </c>
      <c r="H110">
        <f>BreastCancer_Data!I110</f>
        <v/>
      </c>
      <c r="I110">
        <f>BreastCancer_Data!J110</f>
        <v/>
      </c>
      <c r="J110">
        <f>BreastCancer_Data!K110</f>
        <v/>
      </c>
      <c r="K110">
        <f>BreastCancer_Data!L110</f>
        <v/>
      </c>
      <c r="L110">
        <f>BreastCancer_Data!M110</f>
        <v/>
      </c>
      <c r="M110">
        <f>BreastCancer_Data!N110</f>
        <v/>
      </c>
      <c r="N110">
        <f>BreastCancer_Data!O110</f>
        <v/>
      </c>
      <c r="O110">
        <f>0</f>
        <v/>
      </c>
      <c r="P110">
        <f>--(AND(D110&lt;=113.15,E110&lt;=0.15,F110&lt;=15.77,G110&lt;=0.18,H110&lt;=33.27))*0</f>
        <v/>
      </c>
      <c r="Q110">
        <f>--(AND(D110&lt;=113.15,E110&lt;=0.15,F110&lt;=15.77,G110&lt;=0.18,H110&gt;33.27))*0</f>
        <v/>
      </c>
      <c r="R110">
        <f>--(AND(D110&lt;=113.15,E110&lt;=0.15,F110&lt;=15.77,G110&gt;0.18))*0</f>
        <v/>
      </c>
      <c r="S110">
        <f>--(AND(D110&lt;=113.15,E110&lt;=0.15,F110&gt;15.77,H110&lt;=28.86,G110&lt;=0.14))*0</f>
        <v/>
      </c>
      <c r="T110">
        <f>--(AND(D110&lt;=113.15,E110&lt;=0.15,F110&gt;15.77,H110&lt;=28.86,G110&gt;0.14))*1</f>
        <v/>
      </c>
      <c r="U110">
        <f>--(AND(D110&lt;=113.15,E110&lt;=0.15,F110&gt;15.77,H110&gt;28.86,M110&lt;=14.54))*1</f>
        <v/>
      </c>
      <c r="V110">
        <f>--(AND(D110&lt;=113.15,E110&lt;=0.15,F110&gt;15.77,H110&gt;28.86,M110&gt;14.54))*1</f>
        <v/>
      </c>
      <c r="W110">
        <f>--(AND(D110&lt;=113.15,E110&gt;0.15,H110&lt;=23.74))*0</f>
        <v/>
      </c>
      <c r="X110">
        <f>--(AND(D110&lt;=113.15,E110&gt;0.15,H110&gt;23.74,J110&lt;=0.1))*1</f>
        <v/>
      </c>
      <c r="Y110">
        <f>--(AND(D110&lt;=113.15,E110&gt;0.15,H110&gt;23.74,J110&gt;0.1))*1</f>
        <v/>
      </c>
      <c r="Z110">
        <f>--(AND(D110&gt;113.15,K110&lt;=0.22,L110&lt;=0.02))*1</f>
        <v/>
      </c>
      <c r="AA110">
        <f>--(AND(D110&gt;113.15,K110&lt;=0.22,L110&gt;0.02))*0</f>
        <v/>
      </c>
      <c r="AB110">
        <f>--(AND(D110&gt;113.15,K110&gt;0.22,N110&lt;=810.1))*0</f>
        <v/>
      </c>
      <c r="AC110">
        <f>--(AND(D110&gt;113.15,K110&gt;0.22,N110&gt;810.1,I110&lt;=14.95))*1</f>
        <v/>
      </c>
      <c r="AD110">
        <f>--(AND(D110&gt;113.15,K110&gt;0.22,N110&gt;810.1,I110&gt;14.95))*1</f>
        <v/>
      </c>
      <c r="AE110">
        <f>SUM(P110:AD110)</f>
        <v/>
      </c>
      <c r="AF110">
        <f>IF(AE110=1,"Malignant","Benign")</f>
        <v/>
      </c>
      <c r="AG110">
        <f>--(AE110=C110)</f>
        <v/>
      </c>
    </row>
    <row r="111">
      <c r="A111">
        <f>BreastCancer_Data!A111</f>
        <v/>
      </c>
      <c r="B111">
        <f>BreastCancer_Data!B111</f>
        <v/>
      </c>
      <c r="C111">
        <f>BreastCancer_Data!D111</f>
        <v/>
      </c>
      <c r="D111">
        <f>BreastCancer_Data!E111</f>
        <v/>
      </c>
      <c r="E111">
        <f>BreastCancer_Data!F111</f>
        <v/>
      </c>
      <c r="F111">
        <f>BreastCancer_Data!G111</f>
        <v/>
      </c>
      <c r="G111">
        <f>BreastCancer_Data!H111</f>
        <v/>
      </c>
      <c r="H111">
        <f>BreastCancer_Data!I111</f>
        <v/>
      </c>
      <c r="I111">
        <f>BreastCancer_Data!J111</f>
        <v/>
      </c>
      <c r="J111">
        <f>BreastCancer_Data!K111</f>
        <v/>
      </c>
      <c r="K111">
        <f>BreastCancer_Data!L111</f>
        <v/>
      </c>
      <c r="L111">
        <f>BreastCancer_Data!M111</f>
        <v/>
      </c>
      <c r="M111">
        <f>BreastCancer_Data!N111</f>
        <v/>
      </c>
      <c r="N111">
        <f>BreastCancer_Data!O111</f>
        <v/>
      </c>
      <c r="O111">
        <f>0</f>
        <v/>
      </c>
      <c r="P111">
        <f>--(AND(D111&lt;=113.15,E111&lt;=0.15,F111&lt;=15.77,G111&lt;=0.18,H111&lt;=33.27))*0</f>
        <v/>
      </c>
      <c r="Q111">
        <f>--(AND(D111&lt;=113.15,E111&lt;=0.15,F111&lt;=15.77,G111&lt;=0.18,H111&gt;33.27))*0</f>
        <v/>
      </c>
      <c r="R111">
        <f>--(AND(D111&lt;=113.15,E111&lt;=0.15,F111&lt;=15.77,G111&gt;0.18))*0</f>
        <v/>
      </c>
      <c r="S111">
        <f>--(AND(D111&lt;=113.15,E111&lt;=0.15,F111&gt;15.77,H111&lt;=28.86,G111&lt;=0.14))*0</f>
        <v/>
      </c>
      <c r="T111">
        <f>--(AND(D111&lt;=113.15,E111&lt;=0.15,F111&gt;15.77,H111&lt;=28.86,G111&gt;0.14))*1</f>
        <v/>
      </c>
      <c r="U111">
        <f>--(AND(D111&lt;=113.15,E111&lt;=0.15,F111&gt;15.77,H111&gt;28.86,M111&lt;=14.54))*1</f>
        <v/>
      </c>
      <c r="V111">
        <f>--(AND(D111&lt;=113.15,E111&lt;=0.15,F111&gt;15.77,H111&gt;28.86,M111&gt;14.54))*1</f>
        <v/>
      </c>
      <c r="W111">
        <f>--(AND(D111&lt;=113.15,E111&gt;0.15,H111&lt;=23.74))*0</f>
        <v/>
      </c>
      <c r="X111">
        <f>--(AND(D111&lt;=113.15,E111&gt;0.15,H111&gt;23.74,J111&lt;=0.1))*1</f>
        <v/>
      </c>
      <c r="Y111">
        <f>--(AND(D111&lt;=113.15,E111&gt;0.15,H111&gt;23.74,J111&gt;0.1))*1</f>
        <v/>
      </c>
      <c r="Z111">
        <f>--(AND(D111&gt;113.15,K111&lt;=0.22,L111&lt;=0.02))*1</f>
        <v/>
      </c>
      <c r="AA111">
        <f>--(AND(D111&gt;113.15,K111&lt;=0.22,L111&gt;0.02))*0</f>
        <v/>
      </c>
      <c r="AB111">
        <f>--(AND(D111&gt;113.15,K111&gt;0.22,N111&lt;=810.1))*0</f>
        <v/>
      </c>
      <c r="AC111">
        <f>--(AND(D111&gt;113.15,K111&gt;0.22,N111&gt;810.1,I111&lt;=14.95))*1</f>
        <v/>
      </c>
      <c r="AD111">
        <f>--(AND(D111&gt;113.15,K111&gt;0.22,N111&gt;810.1,I111&gt;14.95))*1</f>
        <v/>
      </c>
      <c r="AE111">
        <f>SUM(P111:AD111)</f>
        <v/>
      </c>
      <c r="AF111">
        <f>IF(AE111=1,"Malignant","Benign")</f>
        <v/>
      </c>
      <c r="AG111">
        <f>--(AE111=C111)</f>
        <v/>
      </c>
    </row>
    <row r="112">
      <c r="A112">
        <f>BreastCancer_Data!A112</f>
        <v/>
      </c>
      <c r="B112">
        <f>BreastCancer_Data!B112</f>
        <v/>
      </c>
      <c r="C112">
        <f>BreastCancer_Data!D112</f>
        <v/>
      </c>
      <c r="D112">
        <f>BreastCancer_Data!E112</f>
        <v/>
      </c>
      <c r="E112">
        <f>BreastCancer_Data!F112</f>
        <v/>
      </c>
      <c r="F112">
        <f>BreastCancer_Data!G112</f>
        <v/>
      </c>
      <c r="G112">
        <f>BreastCancer_Data!H112</f>
        <v/>
      </c>
      <c r="H112">
        <f>BreastCancer_Data!I112</f>
        <v/>
      </c>
      <c r="I112">
        <f>BreastCancer_Data!J112</f>
        <v/>
      </c>
      <c r="J112">
        <f>BreastCancer_Data!K112</f>
        <v/>
      </c>
      <c r="K112">
        <f>BreastCancer_Data!L112</f>
        <v/>
      </c>
      <c r="L112">
        <f>BreastCancer_Data!M112</f>
        <v/>
      </c>
      <c r="M112">
        <f>BreastCancer_Data!N112</f>
        <v/>
      </c>
      <c r="N112">
        <f>BreastCancer_Data!O112</f>
        <v/>
      </c>
      <c r="O112">
        <f>0</f>
        <v/>
      </c>
      <c r="P112">
        <f>--(AND(D112&lt;=113.15,E112&lt;=0.15,F112&lt;=15.77,G112&lt;=0.18,H112&lt;=33.27))*0</f>
        <v/>
      </c>
      <c r="Q112">
        <f>--(AND(D112&lt;=113.15,E112&lt;=0.15,F112&lt;=15.77,G112&lt;=0.18,H112&gt;33.27))*0</f>
        <v/>
      </c>
      <c r="R112">
        <f>--(AND(D112&lt;=113.15,E112&lt;=0.15,F112&lt;=15.77,G112&gt;0.18))*0</f>
        <v/>
      </c>
      <c r="S112">
        <f>--(AND(D112&lt;=113.15,E112&lt;=0.15,F112&gt;15.77,H112&lt;=28.86,G112&lt;=0.14))*0</f>
        <v/>
      </c>
      <c r="T112">
        <f>--(AND(D112&lt;=113.15,E112&lt;=0.15,F112&gt;15.77,H112&lt;=28.86,G112&gt;0.14))*1</f>
        <v/>
      </c>
      <c r="U112">
        <f>--(AND(D112&lt;=113.15,E112&lt;=0.15,F112&gt;15.77,H112&gt;28.86,M112&lt;=14.54))*1</f>
        <v/>
      </c>
      <c r="V112">
        <f>--(AND(D112&lt;=113.15,E112&lt;=0.15,F112&gt;15.77,H112&gt;28.86,M112&gt;14.54))*1</f>
        <v/>
      </c>
      <c r="W112">
        <f>--(AND(D112&lt;=113.15,E112&gt;0.15,H112&lt;=23.74))*0</f>
        <v/>
      </c>
      <c r="X112">
        <f>--(AND(D112&lt;=113.15,E112&gt;0.15,H112&gt;23.74,J112&lt;=0.1))*1</f>
        <v/>
      </c>
      <c r="Y112">
        <f>--(AND(D112&lt;=113.15,E112&gt;0.15,H112&gt;23.74,J112&gt;0.1))*1</f>
        <v/>
      </c>
      <c r="Z112">
        <f>--(AND(D112&gt;113.15,K112&lt;=0.22,L112&lt;=0.02))*1</f>
        <v/>
      </c>
      <c r="AA112">
        <f>--(AND(D112&gt;113.15,K112&lt;=0.22,L112&gt;0.02))*0</f>
        <v/>
      </c>
      <c r="AB112">
        <f>--(AND(D112&gt;113.15,K112&gt;0.22,N112&lt;=810.1))*0</f>
        <v/>
      </c>
      <c r="AC112">
        <f>--(AND(D112&gt;113.15,K112&gt;0.22,N112&gt;810.1,I112&lt;=14.95))*1</f>
        <v/>
      </c>
      <c r="AD112">
        <f>--(AND(D112&gt;113.15,K112&gt;0.22,N112&gt;810.1,I112&gt;14.95))*1</f>
        <v/>
      </c>
      <c r="AE112">
        <f>SUM(P112:AD112)</f>
        <v/>
      </c>
      <c r="AF112">
        <f>IF(AE112=1,"Malignant","Benign")</f>
        <v/>
      </c>
      <c r="AG112">
        <f>--(AE112=C112)</f>
        <v/>
      </c>
    </row>
    <row r="113">
      <c r="A113">
        <f>BreastCancer_Data!A113</f>
        <v/>
      </c>
      <c r="B113">
        <f>BreastCancer_Data!B113</f>
        <v/>
      </c>
      <c r="C113">
        <f>BreastCancer_Data!D113</f>
        <v/>
      </c>
      <c r="D113">
        <f>BreastCancer_Data!E113</f>
        <v/>
      </c>
      <c r="E113">
        <f>BreastCancer_Data!F113</f>
        <v/>
      </c>
      <c r="F113">
        <f>BreastCancer_Data!G113</f>
        <v/>
      </c>
      <c r="G113">
        <f>BreastCancer_Data!H113</f>
        <v/>
      </c>
      <c r="H113">
        <f>BreastCancer_Data!I113</f>
        <v/>
      </c>
      <c r="I113">
        <f>BreastCancer_Data!J113</f>
        <v/>
      </c>
      <c r="J113">
        <f>BreastCancer_Data!K113</f>
        <v/>
      </c>
      <c r="K113">
        <f>BreastCancer_Data!L113</f>
        <v/>
      </c>
      <c r="L113">
        <f>BreastCancer_Data!M113</f>
        <v/>
      </c>
      <c r="M113">
        <f>BreastCancer_Data!N113</f>
        <v/>
      </c>
      <c r="N113">
        <f>BreastCancer_Data!O113</f>
        <v/>
      </c>
      <c r="O113">
        <f>0</f>
        <v/>
      </c>
      <c r="P113">
        <f>--(AND(D113&lt;=113.15,E113&lt;=0.15,F113&lt;=15.77,G113&lt;=0.18,H113&lt;=33.27))*0</f>
        <v/>
      </c>
      <c r="Q113">
        <f>--(AND(D113&lt;=113.15,E113&lt;=0.15,F113&lt;=15.77,G113&lt;=0.18,H113&gt;33.27))*0</f>
        <v/>
      </c>
      <c r="R113">
        <f>--(AND(D113&lt;=113.15,E113&lt;=0.15,F113&lt;=15.77,G113&gt;0.18))*0</f>
        <v/>
      </c>
      <c r="S113">
        <f>--(AND(D113&lt;=113.15,E113&lt;=0.15,F113&gt;15.77,H113&lt;=28.86,G113&lt;=0.14))*0</f>
        <v/>
      </c>
      <c r="T113">
        <f>--(AND(D113&lt;=113.15,E113&lt;=0.15,F113&gt;15.77,H113&lt;=28.86,G113&gt;0.14))*1</f>
        <v/>
      </c>
      <c r="U113">
        <f>--(AND(D113&lt;=113.15,E113&lt;=0.15,F113&gt;15.77,H113&gt;28.86,M113&lt;=14.54))*1</f>
        <v/>
      </c>
      <c r="V113">
        <f>--(AND(D113&lt;=113.15,E113&lt;=0.15,F113&gt;15.77,H113&gt;28.86,M113&gt;14.54))*1</f>
        <v/>
      </c>
      <c r="W113">
        <f>--(AND(D113&lt;=113.15,E113&gt;0.15,H113&lt;=23.74))*0</f>
        <v/>
      </c>
      <c r="X113">
        <f>--(AND(D113&lt;=113.15,E113&gt;0.15,H113&gt;23.74,J113&lt;=0.1))*1</f>
        <v/>
      </c>
      <c r="Y113">
        <f>--(AND(D113&lt;=113.15,E113&gt;0.15,H113&gt;23.74,J113&gt;0.1))*1</f>
        <v/>
      </c>
      <c r="Z113">
        <f>--(AND(D113&gt;113.15,K113&lt;=0.22,L113&lt;=0.02))*1</f>
        <v/>
      </c>
      <c r="AA113">
        <f>--(AND(D113&gt;113.15,K113&lt;=0.22,L113&gt;0.02))*0</f>
        <v/>
      </c>
      <c r="AB113">
        <f>--(AND(D113&gt;113.15,K113&gt;0.22,N113&lt;=810.1))*0</f>
        <v/>
      </c>
      <c r="AC113">
        <f>--(AND(D113&gt;113.15,K113&gt;0.22,N113&gt;810.1,I113&lt;=14.95))*1</f>
        <v/>
      </c>
      <c r="AD113">
        <f>--(AND(D113&gt;113.15,K113&gt;0.22,N113&gt;810.1,I113&gt;14.95))*1</f>
        <v/>
      </c>
      <c r="AE113">
        <f>SUM(P113:AD113)</f>
        <v/>
      </c>
      <c r="AF113">
        <f>IF(AE113=1,"Malignant","Benign")</f>
        <v/>
      </c>
      <c r="AG113">
        <f>--(AE113=C113)</f>
        <v/>
      </c>
    </row>
    <row r="114">
      <c r="A114">
        <f>BreastCancer_Data!A114</f>
        <v/>
      </c>
      <c r="B114">
        <f>BreastCancer_Data!B114</f>
        <v/>
      </c>
      <c r="C114">
        <f>BreastCancer_Data!D114</f>
        <v/>
      </c>
      <c r="D114">
        <f>BreastCancer_Data!E114</f>
        <v/>
      </c>
      <c r="E114">
        <f>BreastCancer_Data!F114</f>
        <v/>
      </c>
      <c r="F114">
        <f>BreastCancer_Data!G114</f>
        <v/>
      </c>
      <c r="G114">
        <f>BreastCancer_Data!H114</f>
        <v/>
      </c>
      <c r="H114">
        <f>BreastCancer_Data!I114</f>
        <v/>
      </c>
      <c r="I114">
        <f>BreastCancer_Data!J114</f>
        <v/>
      </c>
      <c r="J114">
        <f>BreastCancer_Data!K114</f>
        <v/>
      </c>
      <c r="K114">
        <f>BreastCancer_Data!L114</f>
        <v/>
      </c>
      <c r="L114">
        <f>BreastCancer_Data!M114</f>
        <v/>
      </c>
      <c r="M114">
        <f>BreastCancer_Data!N114</f>
        <v/>
      </c>
      <c r="N114">
        <f>BreastCancer_Data!O114</f>
        <v/>
      </c>
      <c r="O114">
        <f>0</f>
        <v/>
      </c>
      <c r="P114">
        <f>--(AND(D114&lt;=113.15,E114&lt;=0.15,F114&lt;=15.77,G114&lt;=0.18,H114&lt;=33.27))*0</f>
        <v/>
      </c>
      <c r="Q114">
        <f>--(AND(D114&lt;=113.15,E114&lt;=0.15,F114&lt;=15.77,G114&lt;=0.18,H114&gt;33.27))*0</f>
        <v/>
      </c>
      <c r="R114">
        <f>--(AND(D114&lt;=113.15,E114&lt;=0.15,F114&lt;=15.77,G114&gt;0.18))*0</f>
        <v/>
      </c>
      <c r="S114">
        <f>--(AND(D114&lt;=113.15,E114&lt;=0.15,F114&gt;15.77,H114&lt;=28.86,G114&lt;=0.14))*0</f>
        <v/>
      </c>
      <c r="T114">
        <f>--(AND(D114&lt;=113.15,E114&lt;=0.15,F114&gt;15.77,H114&lt;=28.86,G114&gt;0.14))*1</f>
        <v/>
      </c>
      <c r="U114">
        <f>--(AND(D114&lt;=113.15,E114&lt;=0.15,F114&gt;15.77,H114&gt;28.86,M114&lt;=14.54))*1</f>
        <v/>
      </c>
      <c r="V114">
        <f>--(AND(D114&lt;=113.15,E114&lt;=0.15,F114&gt;15.77,H114&gt;28.86,M114&gt;14.54))*1</f>
        <v/>
      </c>
      <c r="W114">
        <f>--(AND(D114&lt;=113.15,E114&gt;0.15,H114&lt;=23.74))*0</f>
        <v/>
      </c>
      <c r="X114">
        <f>--(AND(D114&lt;=113.15,E114&gt;0.15,H114&gt;23.74,J114&lt;=0.1))*1</f>
        <v/>
      </c>
      <c r="Y114">
        <f>--(AND(D114&lt;=113.15,E114&gt;0.15,H114&gt;23.74,J114&gt;0.1))*1</f>
        <v/>
      </c>
      <c r="Z114">
        <f>--(AND(D114&gt;113.15,K114&lt;=0.22,L114&lt;=0.02))*1</f>
        <v/>
      </c>
      <c r="AA114">
        <f>--(AND(D114&gt;113.15,K114&lt;=0.22,L114&gt;0.02))*0</f>
        <v/>
      </c>
      <c r="AB114">
        <f>--(AND(D114&gt;113.15,K114&gt;0.22,N114&lt;=810.1))*0</f>
        <v/>
      </c>
      <c r="AC114">
        <f>--(AND(D114&gt;113.15,K114&gt;0.22,N114&gt;810.1,I114&lt;=14.95))*1</f>
        <v/>
      </c>
      <c r="AD114">
        <f>--(AND(D114&gt;113.15,K114&gt;0.22,N114&gt;810.1,I114&gt;14.95))*1</f>
        <v/>
      </c>
      <c r="AE114">
        <f>SUM(P114:AD114)</f>
        <v/>
      </c>
      <c r="AF114">
        <f>IF(AE114=1,"Malignant","Benign")</f>
        <v/>
      </c>
      <c r="AG114">
        <f>--(AE114=C114)</f>
        <v/>
      </c>
    </row>
    <row r="115">
      <c r="A115">
        <f>BreastCancer_Data!A115</f>
        <v/>
      </c>
      <c r="B115">
        <f>BreastCancer_Data!B115</f>
        <v/>
      </c>
      <c r="C115">
        <f>BreastCancer_Data!D115</f>
        <v/>
      </c>
      <c r="D115">
        <f>BreastCancer_Data!E115</f>
        <v/>
      </c>
      <c r="E115">
        <f>BreastCancer_Data!F115</f>
        <v/>
      </c>
      <c r="F115">
        <f>BreastCancer_Data!G115</f>
        <v/>
      </c>
      <c r="G115">
        <f>BreastCancer_Data!H115</f>
        <v/>
      </c>
      <c r="H115">
        <f>BreastCancer_Data!I115</f>
        <v/>
      </c>
      <c r="I115">
        <f>BreastCancer_Data!J115</f>
        <v/>
      </c>
      <c r="J115">
        <f>BreastCancer_Data!K115</f>
        <v/>
      </c>
      <c r="K115">
        <f>BreastCancer_Data!L115</f>
        <v/>
      </c>
      <c r="L115">
        <f>BreastCancer_Data!M115</f>
        <v/>
      </c>
      <c r="M115">
        <f>BreastCancer_Data!N115</f>
        <v/>
      </c>
      <c r="N115">
        <f>BreastCancer_Data!O115</f>
        <v/>
      </c>
      <c r="O115">
        <f>0</f>
        <v/>
      </c>
      <c r="P115">
        <f>--(AND(D115&lt;=113.15,E115&lt;=0.15,F115&lt;=15.77,G115&lt;=0.18,H115&lt;=33.27))*0</f>
        <v/>
      </c>
      <c r="Q115">
        <f>--(AND(D115&lt;=113.15,E115&lt;=0.15,F115&lt;=15.77,G115&lt;=0.18,H115&gt;33.27))*0</f>
        <v/>
      </c>
      <c r="R115">
        <f>--(AND(D115&lt;=113.15,E115&lt;=0.15,F115&lt;=15.77,G115&gt;0.18))*0</f>
        <v/>
      </c>
      <c r="S115">
        <f>--(AND(D115&lt;=113.15,E115&lt;=0.15,F115&gt;15.77,H115&lt;=28.86,G115&lt;=0.14))*0</f>
        <v/>
      </c>
      <c r="T115">
        <f>--(AND(D115&lt;=113.15,E115&lt;=0.15,F115&gt;15.77,H115&lt;=28.86,G115&gt;0.14))*1</f>
        <v/>
      </c>
      <c r="U115">
        <f>--(AND(D115&lt;=113.15,E115&lt;=0.15,F115&gt;15.77,H115&gt;28.86,M115&lt;=14.54))*1</f>
        <v/>
      </c>
      <c r="V115">
        <f>--(AND(D115&lt;=113.15,E115&lt;=0.15,F115&gt;15.77,H115&gt;28.86,M115&gt;14.54))*1</f>
        <v/>
      </c>
      <c r="W115">
        <f>--(AND(D115&lt;=113.15,E115&gt;0.15,H115&lt;=23.74))*0</f>
        <v/>
      </c>
      <c r="X115">
        <f>--(AND(D115&lt;=113.15,E115&gt;0.15,H115&gt;23.74,J115&lt;=0.1))*1</f>
        <v/>
      </c>
      <c r="Y115">
        <f>--(AND(D115&lt;=113.15,E115&gt;0.15,H115&gt;23.74,J115&gt;0.1))*1</f>
        <v/>
      </c>
      <c r="Z115">
        <f>--(AND(D115&gt;113.15,K115&lt;=0.22,L115&lt;=0.02))*1</f>
        <v/>
      </c>
      <c r="AA115">
        <f>--(AND(D115&gt;113.15,K115&lt;=0.22,L115&gt;0.02))*0</f>
        <v/>
      </c>
      <c r="AB115">
        <f>--(AND(D115&gt;113.15,K115&gt;0.22,N115&lt;=810.1))*0</f>
        <v/>
      </c>
      <c r="AC115">
        <f>--(AND(D115&gt;113.15,K115&gt;0.22,N115&gt;810.1,I115&lt;=14.95))*1</f>
        <v/>
      </c>
      <c r="AD115">
        <f>--(AND(D115&gt;113.15,K115&gt;0.22,N115&gt;810.1,I115&gt;14.95))*1</f>
        <v/>
      </c>
      <c r="AE115">
        <f>SUM(P115:AD115)</f>
        <v/>
      </c>
      <c r="AF115">
        <f>IF(AE115=1,"Malignant","Benign")</f>
        <v/>
      </c>
      <c r="AG115">
        <f>--(AE115=C115)</f>
        <v/>
      </c>
    </row>
    <row r="116">
      <c r="A116">
        <f>BreastCancer_Data!A116</f>
        <v/>
      </c>
      <c r="B116">
        <f>BreastCancer_Data!B116</f>
        <v/>
      </c>
      <c r="C116">
        <f>BreastCancer_Data!D116</f>
        <v/>
      </c>
      <c r="D116">
        <f>BreastCancer_Data!E116</f>
        <v/>
      </c>
      <c r="E116">
        <f>BreastCancer_Data!F116</f>
        <v/>
      </c>
      <c r="F116">
        <f>BreastCancer_Data!G116</f>
        <v/>
      </c>
      <c r="G116">
        <f>BreastCancer_Data!H116</f>
        <v/>
      </c>
      <c r="H116">
        <f>BreastCancer_Data!I116</f>
        <v/>
      </c>
      <c r="I116">
        <f>BreastCancer_Data!J116</f>
        <v/>
      </c>
      <c r="J116">
        <f>BreastCancer_Data!K116</f>
        <v/>
      </c>
      <c r="K116">
        <f>BreastCancer_Data!L116</f>
        <v/>
      </c>
      <c r="L116">
        <f>BreastCancer_Data!M116</f>
        <v/>
      </c>
      <c r="M116">
        <f>BreastCancer_Data!N116</f>
        <v/>
      </c>
      <c r="N116">
        <f>BreastCancer_Data!O116</f>
        <v/>
      </c>
      <c r="O116">
        <f>0</f>
        <v/>
      </c>
      <c r="P116">
        <f>--(AND(D116&lt;=113.15,E116&lt;=0.15,F116&lt;=15.77,G116&lt;=0.18,H116&lt;=33.27))*0</f>
        <v/>
      </c>
      <c r="Q116">
        <f>--(AND(D116&lt;=113.15,E116&lt;=0.15,F116&lt;=15.77,G116&lt;=0.18,H116&gt;33.27))*0</f>
        <v/>
      </c>
      <c r="R116">
        <f>--(AND(D116&lt;=113.15,E116&lt;=0.15,F116&lt;=15.77,G116&gt;0.18))*0</f>
        <v/>
      </c>
      <c r="S116">
        <f>--(AND(D116&lt;=113.15,E116&lt;=0.15,F116&gt;15.77,H116&lt;=28.86,G116&lt;=0.14))*0</f>
        <v/>
      </c>
      <c r="T116">
        <f>--(AND(D116&lt;=113.15,E116&lt;=0.15,F116&gt;15.77,H116&lt;=28.86,G116&gt;0.14))*1</f>
        <v/>
      </c>
      <c r="U116">
        <f>--(AND(D116&lt;=113.15,E116&lt;=0.15,F116&gt;15.77,H116&gt;28.86,M116&lt;=14.54))*1</f>
        <v/>
      </c>
      <c r="V116">
        <f>--(AND(D116&lt;=113.15,E116&lt;=0.15,F116&gt;15.77,H116&gt;28.86,M116&gt;14.54))*1</f>
        <v/>
      </c>
      <c r="W116">
        <f>--(AND(D116&lt;=113.15,E116&gt;0.15,H116&lt;=23.74))*0</f>
        <v/>
      </c>
      <c r="X116">
        <f>--(AND(D116&lt;=113.15,E116&gt;0.15,H116&gt;23.74,J116&lt;=0.1))*1</f>
        <v/>
      </c>
      <c r="Y116">
        <f>--(AND(D116&lt;=113.15,E116&gt;0.15,H116&gt;23.74,J116&gt;0.1))*1</f>
        <v/>
      </c>
      <c r="Z116">
        <f>--(AND(D116&gt;113.15,K116&lt;=0.22,L116&lt;=0.02))*1</f>
        <v/>
      </c>
      <c r="AA116">
        <f>--(AND(D116&gt;113.15,K116&lt;=0.22,L116&gt;0.02))*0</f>
        <v/>
      </c>
      <c r="AB116">
        <f>--(AND(D116&gt;113.15,K116&gt;0.22,N116&lt;=810.1))*0</f>
        <v/>
      </c>
      <c r="AC116">
        <f>--(AND(D116&gt;113.15,K116&gt;0.22,N116&gt;810.1,I116&lt;=14.95))*1</f>
        <v/>
      </c>
      <c r="AD116">
        <f>--(AND(D116&gt;113.15,K116&gt;0.22,N116&gt;810.1,I116&gt;14.95))*1</f>
        <v/>
      </c>
      <c r="AE116">
        <f>SUM(P116:AD116)</f>
        <v/>
      </c>
      <c r="AF116">
        <f>IF(AE116=1,"Malignant","Benign")</f>
        <v/>
      </c>
      <c r="AG116">
        <f>--(AE116=C116)</f>
        <v/>
      </c>
    </row>
    <row r="117">
      <c r="A117">
        <f>BreastCancer_Data!A117</f>
        <v/>
      </c>
      <c r="B117">
        <f>BreastCancer_Data!B117</f>
        <v/>
      </c>
      <c r="C117">
        <f>BreastCancer_Data!D117</f>
        <v/>
      </c>
      <c r="D117">
        <f>BreastCancer_Data!E117</f>
        <v/>
      </c>
      <c r="E117">
        <f>BreastCancer_Data!F117</f>
        <v/>
      </c>
      <c r="F117">
        <f>BreastCancer_Data!G117</f>
        <v/>
      </c>
      <c r="G117">
        <f>BreastCancer_Data!H117</f>
        <v/>
      </c>
      <c r="H117">
        <f>BreastCancer_Data!I117</f>
        <v/>
      </c>
      <c r="I117">
        <f>BreastCancer_Data!J117</f>
        <v/>
      </c>
      <c r="J117">
        <f>BreastCancer_Data!K117</f>
        <v/>
      </c>
      <c r="K117">
        <f>BreastCancer_Data!L117</f>
        <v/>
      </c>
      <c r="L117">
        <f>BreastCancer_Data!M117</f>
        <v/>
      </c>
      <c r="M117">
        <f>BreastCancer_Data!N117</f>
        <v/>
      </c>
      <c r="N117">
        <f>BreastCancer_Data!O117</f>
        <v/>
      </c>
      <c r="O117">
        <f>0</f>
        <v/>
      </c>
      <c r="P117">
        <f>--(AND(D117&lt;=113.15,E117&lt;=0.15,F117&lt;=15.77,G117&lt;=0.18,H117&lt;=33.27))*0</f>
        <v/>
      </c>
      <c r="Q117">
        <f>--(AND(D117&lt;=113.15,E117&lt;=0.15,F117&lt;=15.77,G117&lt;=0.18,H117&gt;33.27))*0</f>
        <v/>
      </c>
      <c r="R117">
        <f>--(AND(D117&lt;=113.15,E117&lt;=0.15,F117&lt;=15.77,G117&gt;0.18))*0</f>
        <v/>
      </c>
      <c r="S117">
        <f>--(AND(D117&lt;=113.15,E117&lt;=0.15,F117&gt;15.77,H117&lt;=28.86,G117&lt;=0.14))*0</f>
        <v/>
      </c>
      <c r="T117">
        <f>--(AND(D117&lt;=113.15,E117&lt;=0.15,F117&gt;15.77,H117&lt;=28.86,G117&gt;0.14))*1</f>
        <v/>
      </c>
      <c r="U117">
        <f>--(AND(D117&lt;=113.15,E117&lt;=0.15,F117&gt;15.77,H117&gt;28.86,M117&lt;=14.54))*1</f>
        <v/>
      </c>
      <c r="V117">
        <f>--(AND(D117&lt;=113.15,E117&lt;=0.15,F117&gt;15.77,H117&gt;28.86,M117&gt;14.54))*1</f>
        <v/>
      </c>
      <c r="W117">
        <f>--(AND(D117&lt;=113.15,E117&gt;0.15,H117&lt;=23.74))*0</f>
        <v/>
      </c>
      <c r="X117">
        <f>--(AND(D117&lt;=113.15,E117&gt;0.15,H117&gt;23.74,J117&lt;=0.1))*1</f>
        <v/>
      </c>
      <c r="Y117">
        <f>--(AND(D117&lt;=113.15,E117&gt;0.15,H117&gt;23.74,J117&gt;0.1))*1</f>
        <v/>
      </c>
      <c r="Z117">
        <f>--(AND(D117&gt;113.15,K117&lt;=0.22,L117&lt;=0.02))*1</f>
        <v/>
      </c>
      <c r="AA117">
        <f>--(AND(D117&gt;113.15,K117&lt;=0.22,L117&gt;0.02))*0</f>
        <v/>
      </c>
      <c r="AB117">
        <f>--(AND(D117&gt;113.15,K117&gt;0.22,N117&lt;=810.1))*0</f>
        <v/>
      </c>
      <c r="AC117">
        <f>--(AND(D117&gt;113.15,K117&gt;0.22,N117&gt;810.1,I117&lt;=14.95))*1</f>
        <v/>
      </c>
      <c r="AD117">
        <f>--(AND(D117&gt;113.15,K117&gt;0.22,N117&gt;810.1,I117&gt;14.95))*1</f>
        <v/>
      </c>
      <c r="AE117">
        <f>SUM(P117:AD117)</f>
        <v/>
      </c>
      <c r="AF117">
        <f>IF(AE117=1,"Malignant","Benign")</f>
        <v/>
      </c>
      <c r="AG117">
        <f>--(AE117=C117)</f>
        <v/>
      </c>
    </row>
    <row r="118">
      <c r="A118">
        <f>BreastCancer_Data!A118</f>
        <v/>
      </c>
      <c r="B118">
        <f>BreastCancer_Data!B118</f>
        <v/>
      </c>
      <c r="C118">
        <f>BreastCancer_Data!D118</f>
        <v/>
      </c>
      <c r="D118">
        <f>BreastCancer_Data!E118</f>
        <v/>
      </c>
      <c r="E118">
        <f>BreastCancer_Data!F118</f>
        <v/>
      </c>
      <c r="F118">
        <f>BreastCancer_Data!G118</f>
        <v/>
      </c>
      <c r="G118">
        <f>BreastCancer_Data!H118</f>
        <v/>
      </c>
      <c r="H118">
        <f>BreastCancer_Data!I118</f>
        <v/>
      </c>
      <c r="I118">
        <f>BreastCancer_Data!J118</f>
        <v/>
      </c>
      <c r="J118">
        <f>BreastCancer_Data!K118</f>
        <v/>
      </c>
      <c r="K118">
        <f>BreastCancer_Data!L118</f>
        <v/>
      </c>
      <c r="L118">
        <f>BreastCancer_Data!M118</f>
        <v/>
      </c>
      <c r="M118">
        <f>BreastCancer_Data!N118</f>
        <v/>
      </c>
      <c r="N118">
        <f>BreastCancer_Data!O118</f>
        <v/>
      </c>
      <c r="O118">
        <f>0</f>
        <v/>
      </c>
      <c r="P118">
        <f>--(AND(D118&lt;=113.15,E118&lt;=0.15,F118&lt;=15.77,G118&lt;=0.18,H118&lt;=33.27))*0</f>
        <v/>
      </c>
      <c r="Q118">
        <f>--(AND(D118&lt;=113.15,E118&lt;=0.15,F118&lt;=15.77,G118&lt;=0.18,H118&gt;33.27))*0</f>
        <v/>
      </c>
      <c r="R118">
        <f>--(AND(D118&lt;=113.15,E118&lt;=0.15,F118&lt;=15.77,G118&gt;0.18))*0</f>
        <v/>
      </c>
      <c r="S118">
        <f>--(AND(D118&lt;=113.15,E118&lt;=0.15,F118&gt;15.77,H118&lt;=28.86,G118&lt;=0.14))*0</f>
        <v/>
      </c>
      <c r="T118">
        <f>--(AND(D118&lt;=113.15,E118&lt;=0.15,F118&gt;15.77,H118&lt;=28.86,G118&gt;0.14))*1</f>
        <v/>
      </c>
      <c r="U118">
        <f>--(AND(D118&lt;=113.15,E118&lt;=0.15,F118&gt;15.77,H118&gt;28.86,M118&lt;=14.54))*1</f>
        <v/>
      </c>
      <c r="V118">
        <f>--(AND(D118&lt;=113.15,E118&lt;=0.15,F118&gt;15.77,H118&gt;28.86,M118&gt;14.54))*1</f>
        <v/>
      </c>
      <c r="W118">
        <f>--(AND(D118&lt;=113.15,E118&gt;0.15,H118&lt;=23.74))*0</f>
        <v/>
      </c>
      <c r="X118">
        <f>--(AND(D118&lt;=113.15,E118&gt;0.15,H118&gt;23.74,J118&lt;=0.1))*1</f>
        <v/>
      </c>
      <c r="Y118">
        <f>--(AND(D118&lt;=113.15,E118&gt;0.15,H118&gt;23.74,J118&gt;0.1))*1</f>
        <v/>
      </c>
      <c r="Z118">
        <f>--(AND(D118&gt;113.15,K118&lt;=0.22,L118&lt;=0.02))*1</f>
        <v/>
      </c>
      <c r="AA118">
        <f>--(AND(D118&gt;113.15,K118&lt;=0.22,L118&gt;0.02))*0</f>
        <v/>
      </c>
      <c r="AB118">
        <f>--(AND(D118&gt;113.15,K118&gt;0.22,N118&lt;=810.1))*0</f>
        <v/>
      </c>
      <c r="AC118">
        <f>--(AND(D118&gt;113.15,K118&gt;0.22,N118&gt;810.1,I118&lt;=14.95))*1</f>
        <v/>
      </c>
      <c r="AD118">
        <f>--(AND(D118&gt;113.15,K118&gt;0.22,N118&gt;810.1,I118&gt;14.95))*1</f>
        <v/>
      </c>
      <c r="AE118">
        <f>SUM(P118:AD118)</f>
        <v/>
      </c>
      <c r="AF118">
        <f>IF(AE118=1,"Malignant","Benign")</f>
        <v/>
      </c>
      <c r="AG118">
        <f>--(AE118=C118)</f>
        <v/>
      </c>
    </row>
    <row r="119">
      <c r="A119">
        <f>BreastCancer_Data!A119</f>
        <v/>
      </c>
      <c r="B119">
        <f>BreastCancer_Data!B119</f>
        <v/>
      </c>
      <c r="C119">
        <f>BreastCancer_Data!D119</f>
        <v/>
      </c>
      <c r="D119">
        <f>BreastCancer_Data!E119</f>
        <v/>
      </c>
      <c r="E119">
        <f>BreastCancer_Data!F119</f>
        <v/>
      </c>
      <c r="F119">
        <f>BreastCancer_Data!G119</f>
        <v/>
      </c>
      <c r="G119">
        <f>BreastCancer_Data!H119</f>
        <v/>
      </c>
      <c r="H119">
        <f>BreastCancer_Data!I119</f>
        <v/>
      </c>
      <c r="I119">
        <f>BreastCancer_Data!J119</f>
        <v/>
      </c>
      <c r="J119">
        <f>BreastCancer_Data!K119</f>
        <v/>
      </c>
      <c r="K119">
        <f>BreastCancer_Data!L119</f>
        <v/>
      </c>
      <c r="L119">
        <f>BreastCancer_Data!M119</f>
        <v/>
      </c>
      <c r="M119">
        <f>BreastCancer_Data!N119</f>
        <v/>
      </c>
      <c r="N119">
        <f>BreastCancer_Data!O119</f>
        <v/>
      </c>
      <c r="O119">
        <f>0</f>
        <v/>
      </c>
      <c r="P119">
        <f>--(AND(D119&lt;=113.15,E119&lt;=0.15,F119&lt;=15.77,G119&lt;=0.18,H119&lt;=33.27))*0</f>
        <v/>
      </c>
      <c r="Q119">
        <f>--(AND(D119&lt;=113.15,E119&lt;=0.15,F119&lt;=15.77,G119&lt;=0.18,H119&gt;33.27))*0</f>
        <v/>
      </c>
      <c r="R119">
        <f>--(AND(D119&lt;=113.15,E119&lt;=0.15,F119&lt;=15.77,G119&gt;0.18))*0</f>
        <v/>
      </c>
      <c r="S119">
        <f>--(AND(D119&lt;=113.15,E119&lt;=0.15,F119&gt;15.77,H119&lt;=28.86,G119&lt;=0.14))*0</f>
        <v/>
      </c>
      <c r="T119">
        <f>--(AND(D119&lt;=113.15,E119&lt;=0.15,F119&gt;15.77,H119&lt;=28.86,G119&gt;0.14))*1</f>
        <v/>
      </c>
      <c r="U119">
        <f>--(AND(D119&lt;=113.15,E119&lt;=0.15,F119&gt;15.77,H119&gt;28.86,M119&lt;=14.54))*1</f>
        <v/>
      </c>
      <c r="V119">
        <f>--(AND(D119&lt;=113.15,E119&lt;=0.15,F119&gt;15.77,H119&gt;28.86,M119&gt;14.54))*1</f>
        <v/>
      </c>
      <c r="W119">
        <f>--(AND(D119&lt;=113.15,E119&gt;0.15,H119&lt;=23.74))*0</f>
        <v/>
      </c>
      <c r="X119">
        <f>--(AND(D119&lt;=113.15,E119&gt;0.15,H119&gt;23.74,J119&lt;=0.1))*1</f>
        <v/>
      </c>
      <c r="Y119">
        <f>--(AND(D119&lt;=113.15,E119&gt;0.15,H119&gt;23.74,J119&gt;0.1))*1</f>
        <v/>
      </c>
      <c r="Z119">
        <f>--(AND(D119&gt;113.15,K119&lt;=0.22,L119&lt;=0.02))*1</f>
        <v/>
      </c>
      <c r="AA119">
        <f>--(AND(D119&gt;113.15,K119&lt;=0.22,L119&gt;0.02))*0</f>
        <v/>
      </c>
      <c r="AB119">
        <f>--(AND(D119&gt;113.15,K119&gt;0.22,N119&lt;=810.1))*0</f>
        <v/>
      </c>
      <c r="AC119">
        <f>--(AND(D119&gt;113.15,K119&gt;0.22,N119&gt;810.1,I119&lt;=14.95))*1</f>
        <v/>
      </c>
      <c r="AD119">
        <f>--(AND(D119&gt;113.15,K119&gt;0.22,N119&gt;810.1,I119&gt;14.95))*1</f>
        <v/>
      </c>
      <c r="AE119">
        <f>SUM(P119:AD119)</f>
        <v/>
      </c>
      <c r="AF119">
        <f>IF(AE119=1,"Malignant","Benign")</f>
        <v/>
      </c>
      <c r="AG119">
        <f>--(AE119=C119)</f>
        <v/>
      </c>
    </row>
    <row r="120">
      <c r="A120">
        <f>BreastCancer_Data!A120</f>
        <v/>
      </c>
      <c r="B120">
        <f>BreastCancer_Data!B120</f>
        <v/>
      </c>
      <c r="C120">
        <f>BreastCancer_Data!D120</f>
        <v/>
      </c>
      <c r="D120">
        <f>BreastCancer_Data!E120</f>
        <v/>
      </c>
      <c r="E120">
        <f>BreastCancer_Data!F120</f>
        <v/>
      </c>
      <c r="F120">
        <f>BreastCancer_Data!G120</f>
        <v/>
      </c>
      <c r="G120">
        <f>BreastCancer_Data!H120</f>
        <v/>
      </c>
      <c r="H120">
        <f>BreastCancer_Data!I120</f>
        <v/>
      </c>
      <c r="I120">
        <f>BreastCancer_Data!J120</f>
        <v/>
      </c>
      <c r="J120">
        <f>BreastCancer_Data!K120</f>
        <v/>
      </c>
      <c r="K120">
        <f>BreastCancer_Data!L120</f>
        <v/>
      </c>
      <c r="L120">
        <f>BreastCancer_Data!M120</f>
        <v/>
      </c>
      <c r="M120">
        <f>BreastCancer_Data!N120</f>
        <v/>
      </c>
      <c r="N120">
        <f>BreastCancer_Data!O120</f>
        <v/>
      </c>
      <c r="O120">
        <f>0</f>
        <v/>
      </c>
      <c r="P120">
        <f>--(AND(D120&lt;=113.15,E120&lt;=0.15,F120&lt;=15.77,G120&lt;=0.18,H120&lt;=33.27))*0</f>
        <v/>
      </c>
      <c r="Q120">
        <f>--(AND(D120&lt;=113.15,E120&lt;=0.15,F120&lt;=15.77,G120&lt;=0.18,H120&gt;33.27))*0</f>
        <v/>
      </c>
      <c r="R120">
        <f>--(AND(D120&lt;=113.15,E120&lt;=0.15,F120&lt;=15.77,G120&gt;0.18))*0</f>
        <v/>
      </c>
      <c r="S120">
        <f>--(AND(D120&lt;=113.15,E120&lt;=0.15,F120&gt;15.77,H120&lt;=28.86,G120&lt;=0.14))*0</f>
        <v/>
      </c>
      <c r="T120">
        <f>--(AND(D120&lt;=113.15,E120&lt;=0.15,F120&gt;15.77,H120&lt;=28.86,G120&gt;0.14))*1</f>
        <v/>
      </c>
      <c r="U120">
        <f>--(AND(D120&lt;=113.15,E120&lt;=0.15,F120&gt;15.77,H120&gt;28.86,M120&lt;=14.54))*1</f>
        <v/>
      </c>
      <c r="V120">
        <f>--(AND(D120&lt;=113.15,E120&lt;=0.15,F120&gt;15.77,H120&gt;28.86,M120&gt;14.54))*1</f>
        <v/>
      </c>
      <c r="W120">
        <f>--(AND(D120&lt;=113.15,E120&gt;0.15,H120&lt;=23.74))*0</f>
        <v/>
      </c>
      <c r="X120">
        <f>--(AND(D120&lt;=113.15,E120&gt;0.15,H120&gt;23.74,J120&lt;=0.1))*1</f>
        <v/>
      </c>
      <c r="Y120">
        <f>--(AND(D120&lt;=113.15,E120&gt;0.15,H120&gt;23.74,J120&gt;0.1))*1</f>
        <v/>
      </c>
      <c r="Z120">
        <f>--(AND(D120&gt;113.15,K120&lt;=0.22,L120&lt;=0.02))*1</f>
        <v/>
      </c>
      <c r="AA120">
        <f>--(AND(D120&gt;113.15,K120&lt;=0.22,L120&gt;0.02))*0</f>
        <v/>
      </c>
      <c r="AB120">
        <f>--(AND(D120&gt;113.15,K120&gt;0.22,N120&lt;=810.1))*0</f>
        <v/>
      </c>
      <c r="AC120">
        <f>--(AND(D120&gt;113.15,K120&gt;0.22,N120&gt;810.1,I120&lt;=14.95))*1</f>
        <v/>
      </c>
      <c r="AD120">
        <f>--(AND(D120&gt;113.15,K120&gt;0.22,N120&gt;810.1,I120&gt;14.95))*1</f>
        <v/>
      </c>
      <c r="AE120">
        <f>SUM(P120:AD120)</f>
        <v/>
      </c>
      <c r="AF120">
        <f>IF(AE120=1,"Malignant","Benign")</f>
        <v/>
      </c>
      <c r="AG120">
        <f>--(AE120=C120)</f>
        <v/>
      </c>
    </row>
    <row r="121">
      <c r="A121">
        <f>BreastCancer_Data!A121</f>
        <v/>
      </c>
      <c r="B121">
        <f>BreastCancer_Data!B121</f>
        <v/>
      </c>
      <c r="C121">
        <f>BreastCancer_Data!D121</f>
        <v/>
      </c>
      <c r="D121">
        <f>BreastCancer_Data!E121</f>
        <v/>
      </c>
      <c r="E121">
        <f>BreastCancer_Data!F121</f>
        <v/>
      </c>
      <c r="F121">
        <f>BreastCancer_Data!G121</f>
        <v/>
      </c>
      <c r="G121">
        <f>BreastCancer_Data!H121</f>
        <v/>
      </c>
      <c r="H121">
        <f>BreastCancer_Data!I121</f>
        <v/>
      </c>
      <c r="I121">
        <f>BreastCancer_Data!J121</f>
        <v/>
      </c>
      <c r="J121">
        <f>BreastCancer_Data!K121</f>
        <v/>
      </c>
      <c r="K121">
        <f>BreastCancer_Data!L121</f>
        <v/>
      </c>
      <c r="L121">
        <f>BreastCancer_Data!M121</f>
        <v/>
      </c>
      <c r="M121">
        <f>BreastCancer_Data!N121</f>
        <v/>
      </c>
      <c r="N121">
        <f>BreastCancer_Data!O121</f>
        <v/>
      </c>
      <c r="O121">
        <f>0</f>
        <v/>
      </c>
      <c r="P121">
        <f>--(AND(D121&lt;=113.15,E121&lt;=0.15,F121&lt;=15.77,G121&lt;=0.18,H121&lt;=33.27))*0</f>
        <v/>
      </c>
      <c r="Q121">
        <f>--(AND(D121&lt;=113.15,E121&lt;=0.15,F121&lt;=15.77,G121&lt;=0.18,H121&gt;33.27))*0</f>
        <v/>
      </c>
      <c r="R121">
        <f>--(AND(D121&lt;=113.15,E121&lt;=0.15,F121&lt;=15.77,G121&gt;0.18))*0</f>
        <v/>
      </c>
      <c r="S121">
        <f>--(AND(D121&lt;=113.15,E121&lt;=0.15,F121&gt;15.77,H121&lt;=28.86,G121&lt;=0.14))*0</f>
        <v/>
      </c>
      <c r="T121">
        <f>--(AND(D121&lt;=113.15,E121&lt;=0.15,F121&gt;15.77,H121&lt;=28.86,G121&gt;0.14))*1</f>
        <v/>
      </c>
      <c r="U121">
        <f>--(AND(D121&lt;=113.15,E121&lt;=0.15,F121&gt;15.77,H121&gt;28.86,M121&lt;=14.54))*1</f>
        <v/>
      </c>
      <c r="V121">
        <f>--(AND(D121&lt;=113.15,E121&lt;=0.15,F121&gt;15.77,H121&gt;28.86,M121&gt;14.54))*1</f>
        <v/>
      </c>
      <c r="W121">
        <f>--(AND(D121&lt;=113.15,E121&gt;0.15,H121&lt;=23.74))*0</f>
        <v/>
      </c>
      <c r="X121">
        <f>--(AND(D121&lt;=113.15,E121&gt;0.15,H121&gt;23.74,J121&lt;=0.1))*1</f>
        <v/>
      </c>
      <c r="Y121">
        <f>--(AND(D121&lt;=113.15,E121&gt;0.15,H121&gt;23.74,J121&gt;0.1))*1</f>
        <v/>
      </c>
      <c r="Z121">
        <f>--(AND(D121&gt;113.15,K121&lt;=0.22,L121&lt;=0.02))*1</f>
        <v/>
      </c>
      <c r="AA121">
        <f>--(AND(D121&gt;113.15,K121&lt;=0.22,L121&gt;0.02))*0</f>
        <v/>
      </c>
      <c r="AB121">
        <f>--(AND(D121&gt;113.15,K121&gt;0.22,N121&lt;=810.1))*0</f>
        <v/>
      </c>
      <c r="AC121">
        <f>--(AND(D121&gt;113.15,K121&gt;0.22,N121&gt;810.1,I121&lt;=14.95))*1</f>
        <v/>
      </c>
      <c r="AD121">
        <f>--(AND(D121&gt;113.15,K121&gt;0.22,N121&gt;810.1,I121&gt;14.95))*1</f>
        <v/>
      </c>
      <c r="AE121">
        <f>SUM(P121:AD121)</f>
        <v/>
      </c>
      <c r="AF121">
        <f>IF(AE121=1,"Malignant","Benign")</f>
        <v/>
      </c>
      <c r="AG121">
        <f>--(AE121=C121)</f>
        <v/>
      </c>
    </row>
    <row r="122">
      <c r="A122">
        <f>BreastCancer_Data!A122</f>
        <v/>
      </c>
      <c r="B122">
        <f>BreastCancer_Data!B122</f>
        <v/>
      </c>
      <c r="C122">
        <f>BreastCancer_Data!D122</f>
        <v/>
      </c>
      <c r="D122">
        <f>BreastCancer_Data!E122</f>
        <v/>
      </c>
      <c r="E122">
        <f>BreastCancer_Data!F122</f>
        <v/>
      </c>
      <c r="F122">
        <f>BreastCancer_Data!G122</f>
        <v/>
      </c>
      <c r="G122">
        <f>BreastCancer_Data!H122</f>
        <v/>
      </c>
      <c r="H122">
        <f>BreastCancer_Data!I122</f>
        <v/>
      </c>
      <c r="I122">
        <f>BreastCancer_Data!J122</f>
        <v/>
      </c>
      <c r="J122">
        <f>BreastCancer_Data!K122</f>
        <v/>
      </c>
      <c r="K122">
        <f>BreastCancer_Data!L122</f>
        <v/>
      </c>
      <c r="L122">
        <f>BreastCancer_Data!M122</f>
        <v/>
      </c>
      <c r="M122">
        <f>BreastCancer_Data!N122</f>
        <v/>
      </c>
      <c r="N122">
        <f>BreastCancer_Data!O122</f>
        <v/>
      </c>
      <c r="O122">
        <f>0</f>
        <v/>
      </c>
      <c r="P122">
        <f>--(AND(D122&lt;=113.15,E122&lt;=0.15,F122&lt;=15.77,G122&lt;=0.18,H122&lt;=33.27))*0</f>
        <v/>
      </c>
      <c r="Q122">
        <f>--(AND(D122&lt;=113.15,E122&lt;=0.15,F122&lt;=15.77,G122&lt;=0.18,H122&gt;33.27))*0</f>
        <v/>
      </c>
      <c r="R122">
        <f>--(AND(D122&lt;=113.15,E122&lt;=0.15,F122&lt;=15.77,G122&gt;0.18))*0</f>
        <v/>
      </c>
      <c r="S122">
        <f>--(AND(D122&lt;=113.15,E122&lt;=0.15,F122&gt;15.77,H122&lt;=28.86,G122&lt;=0.14))*0</f>
        <v/>
      </c>
      <c r="T122">
        <f>--(AND(D122&lt;=113.15,E122&lt;=0.15,F122&gt;15.77,H122&lt;=28.86,G122&gt;0.14))*1</f>
        <v/>
      </c>
      <c r="U122">
        <f>--(AND(D122&lt;=113.15,E122&lt;=0.15,F122&gt;15.77,H122&gt;28.86,M122&lt;=14.54))*1</f>
        <v/>
      </c>
      <c r="V122">
        <f>--(AND(D122&lt;=113.15,E122&lt;=0.15,F122&gt;15.77,H122&gt;28.86,M122&gt;14.54))*1</f>
        <v/>
      </c>
      <c r="W122">
        <f>--(AND(D122&lt;=113.15,E122&gt;0.15,H122&lt;=23.74))*0</f>
        <v/>
      </c>
      <c r="X122">
        <f>--(AND(D122&lt;=113.15,E122&gt;0.15,H122&gt;23.74,J122&lt;=0.1))*1</f>
        <v/>
      </c>
      <c r="Y122">
        <f>--(AND(D122&lt;=113.15,E122&gt;0.15,H122&gt;23.74,J122&gt;0.1))*1</f>
        <v/>
      </c>
      <c r="Z122">
        <f>--(AND(D122&gt;113.15,K122&lt;=0.22,L122&lt;=0.02))*1</f>
        <v/>
      </c>
      <c r="AA122">
        <f>--(AND(D122&gt;113.15,K122&lt;=0.22,L122&gt;0.02))*0</f>
        <v/>
      </c>
      <c r="AB122">
        <f>--(AND(D122&gt;113.15,K122&gt;0.22,N122&lt;=810.1))*0</f>
        <v/>
      </c>
      <c r="AC122">
        <f>--(AND(D122&gt;113.15,K122&gt;0.22,N122&gt;810.1,I122&lt;=14.95))*1</f>
        <v/>
      </c>
      <c r="AD122">
        <f>--(AND(D122&gt;113.15,K122&gt;0.22,N122&gt;810.1,I122&gt;14.95))*1</f>
        <v/>
      </c>
      <c r="AE122">
        <f>SUM(P122:AD122)</f>
        <v/>
      </c>
      <c r="AF122">
        <f>IF(AE122=1,"Malignant","Benign")</f>
        <v/>
      </c>
      <c r="AG122">
        <f>--(AE122=C122)</f>
        <v/>
      </c>
    </row>
    <row r="123">
      <c r="A123">
        <f>BreastCancer_Data!A123</f>
        <v/>
      </c>
      <c r="B123">
        <f>BreastCancer_Data!B123</f>
        <v/>
      </c>
      <c r="C123">
        <f>BreastCancer_Data!D123</f>
        <v/>
      </c>
      <c r="D123">
        <f>BreastCancer_Data!E123</f>
        <v/>
      </c>
      <c r="E123">
        <f>BreastCancer_Data!F123</f>
        <v/>
      </c>
      <c r="F123">
        <f>BreastCancer_Data!G123</f>
        <v/>
      </c>
      <c r="G123">
        <f>BreastCancer_Data!H123</f>
        <v/>
      </c>
      <c r="H123">
        <f>BreastCancer_Data!I123</f>
        <v/>
      </c>
      <c r="I123">
        <f>BreastCancer_Data!J123</f>
        <v/>
      </c>
      <c r="J123">
        <f>BreastCancer_Data!K123</f>
        <v/>
      </c>
      <c r="K123">
        <f>BreastCancer_Data!L123</f>
        <v/>
      </c>
      <c r="L123">
        <f>BreastCancer_Data!M123</f>
        <v/>
      </c>
      <c r="M123">
        <f>BreastCancer_Data!N123</f>
        <v/>
      </c>
      <c r="N123">
        <f>BreastCancer_Data!O123</f>
        <v/>
      </c>
      <c r="O123">
        <f>0</f>
        <v/>
      </c>
      <c r="P123">
        <f>--(AND(D123&lt;=113.15,E123&lt;=0.15,F123&lt;=15.77,G123&lt;=0.18,H123&lt;=33.27))*0</f>
        <v/>
      </c>
      <c r="Q123">
        <f>--(AND(D123&lt;=113.15,E123&lt;=0.15,F123&lt;=15.77,G123&lt;=0.18,H123&gt;33.27))*0</f>
        <v/>
      </c>
      <c r="R123">
        <f>--(AND(D123&lt;=113.15,E123&lt;=0.15,F123&lt;=15.77,G123&gt;0.18))*0</f>
        <v/>
      </c>
      <c r="S123">
        <f>--(AND(D123&lt;=113.15,E123&lt;=0.15,F123&gt;15.77,H123&lt;=28.86,G123&lt;=0.14))*0</f>
        <v/>
      </c>
      <c r="T123">
        <f>--(AND(D123&lt;=113.15,E123&lt;=0.15,F123&gt;15.77,H123&lt;=28.86,G123&gt;0.14))*1</f>
        <v/>
      </c>
      <c r="U123">
        <f>--(AND(D123&lt;=113.15,E123&lt;=0.15,F123&gt;15.77,H123&gt;28.86,M123&lt;=14.54))*1</f>
        <v/>
      </c>
      <c r="V123">
        <f>--(AND(D123&lt;=113.15,E123&lt;=0.15,F123&gt;15.77,H123&gt;28.86,M123&gt;14.54))*1</f>
        <v/>
      </c>
      <c r="W123">
        <f>--(AND(D123&lt;=113.15,E123&gt;0.15,H123&lt;=23.74))*0</f>
        <v/>
      </c>
      <c r="X123">
        <f>--(AND(D123&lt;=113.15,E123&gt;0.15,H123&gt;23.74,J123&lt;=0.1))*1</f>
        <v/>
      </c>
      <c r="Y123">
        <f>--(AND(D123&lt;=113.15,E123&gt;0.15,H123&gt;23.74,J123&gt;0.1))*1</f>
        <v/>
      </c>
      <c r="Z123">
        <f>--(AND(D123&gt;113.15,K123&lt;=0.22,L123&lt;=0.02))*1</f>
        <v/>
      </c>
      <c r="AA123">
        <f>--(AND(D123&gt;113.15,K123&lt;=0.22,L123&gt;0.02))*0</f>
        <v/>
      </c>
      <c r="AB123">
        <f>--(AND(D123&gt;113.15,K123&gt;0.22,N123&lt;=810.1))*0</f>
        <v/>
      </c>
      <c r="AC123">
        <f>--(AND(D123&gt;113.15,K123&gt;0.22,N123&gt;810.1,I123&lt;=14.95))*1</f>
        <v/>
      </c>
      <c r="AD123">
        <f>--(AND(D123&gt;113.15,K123&gt;0.22,N123&gt;810.1,I123&gt;14.95))*1</f>
        <v/>
      </c>
      <c r="AE123">
        <f>SUM(P123:AD123)</f>
        <v/>
      </c>
      <c r="AF123">
        <f>IF(AE123=1,"Malignant","Benign")</f>
        <v/>
      </c>
      <c r="AG123">
        <f>--(AE123=C123)</f>
        <v/>
      </c>
    </row>
    <row r="124">
      <c r="A124">
        <f>BreastCancer_Data!A124</f>
        <v/>
      </c>
      <c r="B124">
        <f>BreastCancer_Data!B124</f>
        <v/>
      </c>
      <c r="C124">
        <f>BreastCancer_Data!D124</f>
        <v/>
      </c>
      <c r="D124">
        <f>BreastCancer_Data!E124</f>
        <v/>
      </c>
      <c r="E124">
        <f>BreastCancer_Data!F124</f>
        <v/>
      </c>
      <c r="F124">
        <f>BreastCancer_Data!G124</f>
        <v/>
      </c>
      <c r="G124">
        <f>BreastCancer_Data!H124</f>
        <v/>
      </c>
      <c r="H124">
        <f>BreastCancer_Data!I124</f>
        <v/>
      </c>
      <c r="I124">
        <f>BreastCancer_Data!J124</f>
        <v/>
      </c>
      <c r="J124">
        <f>BreastCancer_Data!K124</f>
        <v/>
      </c>
      <c r="K124">
        <f>BreastCancer_Data!L124</f>
        <v/>
      </c>
      <c r="L124">
        <f>BreastCancer_Data!M124</f>
        <v/>
      </c>
      <c r="M124">
        <f>BreastCancer_Data!N124</f>
        <v/>
      </c>
      <c r="N124">
        <f>BreastCancer_Data!O124</f>
        <v/>
      </c>
      <c r="O124">
        <f>0</f>
        <v/>
      </c>
      <c r="P124">
        <f>--(AND(D124&lt;=113.15,E124&lt;=0.15,F124&lt;=15.77,G124&lt;=0.18,H124&lt;=33.27))*0</f>
        <v/>
      </c>
      <c r="Q124">
        <f>--(AND(D124&lt;=113.15,E124&lt;=0.15,F124&lt;=15.77,G124&lt;=0.18,H124&gt;33.27))*0</f>
        <v/>
      </c>
      <c r="R124">
        <f>--(AND(D124&lt;=113.15,E124&lt;=0.15,F124&lt;=15.77,G124&gt;0.18))*0</f>
        <v/>
      </c>
      <c r="S124">
        <f>--(AND(D124&lt;=113.15,E124&lt;=0.15,F124&gt;15.77,H124&lt;=28.86,G124&lt;=0.14))*0</f>
        <v/>
      </c>
      <c r="T124">
        <f>--(AND(D124&lt;=113.15,E124&lt;=0.15,F124&gt;15.77,H124&lt;=28.86,G124&gt;0.14))*1</f>
        <v/>
      </c>
      <c r="U124">
        <f>--(AND(D124&lt;=113.15,E124&lt;=0.15,F124&gt;15.77,H124&gt;28.86,M124&lt;=14.54))*1</f>
        <v/>
      </c>
      <c r="V124">
        <f>--(AND(D124&lt;=113.15,E124&lt;=0.15,F124&gt;15.77,H124&gt;28.86,M124&gt;14.54))*1</f>
        <v/>
      </c>
      <c r="W124">
        <f>--(AND(D124&lt;=113.15,E124&gt;0.15,H124&lt;=23.74))*0</f>
        <v/>
      </c>
      <c r="X124">
        <f>--(AND(D124&lt;=113.15,E124&gt;0.15,H124&gt;23.74,J124&lt;=0.1))*1</f>
        <v/>
      </c>
      <c r="Y124">
        <f>--(AND(D124&lt;=113.15,E124&gt;0.15,H124&gt;23.74,J124&gt;0.1))*1</f>
        <v/>
      </c>
      <c r="Z124">
        <f>--(AND(D124&gt;113.15,K124&lt;=0.22,L124&lt;=0.02))*1</f>
        <v/>
      </c>
      <c r="AA124">
        <f>--(AND(D124&gt;113.15,K124&lt;=0.22,L124&gt;0.02))*0</f>
        <v/>
      </c>
      <c r="AB124">
        <f>--(AND(D124&gt;113.15,K124&gt;0.22,N124&lt;=810.1))*0</f>
        <v/>
      </c>
      <c r="AC124">
        <f>--(AND(D124&gt;113.15,K124&gt;0.22,N124&gt;810.1,I124&lt;=14.95))*1</f>
        <v/>
      </c>
      <c r="AD124">
        <f>--(AND(D124&gt;113.15,K124&gt;0.22,N124&gt;810.1,I124&gt;14.95))*1</f>
        <v/>
      </c>
      <c r="AE124">
        <f>SUM(P124:AD124)</f>
        <v/>
      </c>
      <c r="AF124">
        <f>IF(AE124=1,"Malignant","Benign")</f>
        <v/>
      </c>
      <c r="AG124">
        <f>--(AE124=C124)</f>
        <v/>
      </c>
    </row>
    <row r="125">
      <c r="A125">
        <f>BreastCancer_Data!A125</f>
        <v/>
      </c>
      <c r="B125">
        <f>BreastCancer_Data!B125</f>
        <v/>
      </c>
      <c r="C125">
        <f>BreastCancer_Data!D125</f>
        <v/>
      </c>
      <c r="D125">
        <f>BreastCancer_Data!E125</f>
        <v/>
      </c>
      <c r="E125">
        <f>BreastCancer_Data!F125</f>
        <v/>
      </c>
      <c r="F125">
        <f>BreastCancer_Data!G125</f>
        <v/>
      </c>
      <c r="G125">
        <f>BreastCancer_Data!H125</f>
        <v/>
      </c>
      <c r="H125">
        <f>BreastCancer_Data!I125</f>
        <v/>
      </c>
      <c r="I125">
        <f>BreastCancer_Data!J125</f>
        <v/>
      </c>
      <c r="J125">
        <f>BreastCancer_Data!K125</f>
        <v/>
      </c>
      <c r="K125">
        <f>BreastCancer_Data!L125</f>
        <v/>
      </c>
      <c r="L125">
        <f>BreastCancer_Data!M125</f>
        <v/>
      </c>
      <c r="M125">
        <f>BreastCancer_Data!N125</f>
        <v/>
      </c>
      <c r="N125">
        <f>BreastCancer_Data!O125</f>
        <v/>
      </c>
      <c r="O125">
        <f>0</f>
        <v/>
      </c>
      <c r="P125">
        <f>--(AND(D125&lt;=113.15,E125&lt;=0.15,F125&lt;=15.77,G125&lt;=0.18,H125&lt;=33.27))*0</f>
        <v/>
      </c>
      <c r="Q125">
        <f>--(AND(D125&lt;=113.15,E125&lt;=0.15,F125&lt;=15.77,G125&lt;=0.18,H125&gt;33.27))*0</f>
        <v/>
      </c>
      <c r="R125">
        <f>--(AND(D125&lt;=113.15,E125&lt;=0.15,F125&lt;=15.77,G125&gt;0.18))*0</f>
        <v/>
      </c>
      <c r="S125">
        <f>--(AND(D125&lt;=113.15,E125&lt;=0.15,F125&gt;15.77,H125&lt;=28.86,G125&lt;=0.14))*0</f>
        <v/>
      </c>
      <c r="T125">
        <f>--(AND(D125&lt;=113.15,E125&lt;=0.15,F125&gt;15.77,H125&lt;=28.86,G125&gt;0.14))*1</f>
        <v/>
      </c>
      <c r="U125">
        <f>--(AND(D125&lt;=113.15,E125&lt;=0.15,F125&gt;15.77,H125&gt;28.86,M125&lt;=14.54))*1</f>
        <v/>
      </c>
      <c r="V125">
        <f>--(AND(D125&lt;=113.15,E125&lt;=0.15,F125&gt;15.77,H125&gt;28.86,M125&gt;14.54))*1</f>
        <v/>
      </c>
      <c r="W125">
        <f>--(AND(D125&lt;=113.15,E125&gt;0.15,H125&lt;=23.74))*0</f>
        <v/>
      </c>
      <c r="X125">
        <f>--(AND(D125&lt;=113.15,E125&gt;0.15,H125&gt;23.74,J125&lt;=0.1))*1</f>
        <v/>
      </c>
      <c r="Y125">
        <f>--(AND(D125&lt;=113.15,E125&gt;0.15,H125&gt;23.74,J125&gt;0.1))*1</f>
        <v/>
      </c>
      <c r="Z125">
        <f>--(AND(D125&gt;113.15,K125&lt;=0.22,L125&lt;=0.02))*1</f>
        <v/>
      </c>
      <c r="AA125">
        <f>--(AND(D125&gt;113.15,K125&lt;=0.22,L125&gt;0.02))*0</f>
        <v/>
      </c>
      <c r="AB125">
        <f>--(AND(D125&gt;113.15,K125&gt;0.22,N125&lt;=810.1))*0</f>
        <v/>
      </c>
      <c r="AC125">
        <f>--(AND(D125&gt;113.15,K125&gt;0.22,N125&gt;810.1,I125&lt;=14.95))*1</f>
        <v/>
      </c>
      <c r="AD125">
        <f>--(AND(D125&gt;113.15,K125&gt;0.22,N125&gt;810.1,I125&gt;14.95))*1</f>
        <v/>
      </c>
      <c r="AE125">
        <f>SUM(P125:AD125)</f>
        <v/>
      </c>
      <c r="AF125">
        <f>IF(AE125=1,"Malignant","Benign")</f>
        <v/>
      </c>
      <c r="AG125">
        <f>--(AE125=C125)</f>
        <v/>
      </c>
    </row>
    <row r="126">
      <c r="A126">
        <f>BreastCancer_Data!A126</f>
        <v/>
      </c>
      <c r="B126">
        <f>BreastCancer_Data!B126</f>
        <v/>
      </c>
      <c r="C126">
        <f>BreastCancer_Data!D126</f>
        <v/>
      </c>
      <c r="D126">
        <f>BreastCancer_Data!E126</f>
        <v/>
      </c>
      <c r="E126">
        <f>BreastCancer_Data!F126</f>
        <v/>
      </c>
      <c r="F126">
        <f>BreastCancer_Data!G126</f>
        <v/>
      </c>
      <c r="G126">
        <f>BreastCancer_Data!H126</f>
        <v/>
      </c>
      <c r="H126">
        <f>BreastCancer_Data!I126</f>
        <v/>
      </c>
      <c r="I126">
        <f>BreastCancer_Data!J126</f>
        <v/>
      </c>
      <c r="J126">
        <f>BreastCancer_Data!K126</f>
        <v/>
      </c>
      <c r="K126">
        <f>BreastCancer_Data!L126</f>
        <v/>
      </c>
      <c r="L126">
        <f>BreastCancer_Data!M126</f>
        <v/>
      </c>
      <c r="M126">
        <f>BreastCancer_Data!N126</f>
        <v/>
      </c>
      <c r="N126">
        <f>BreastCancer_Data!O126</f>
        <v/>
      </c>
      <c r="O126">
        <f>0</f>
        <v/>
      </c>
      <c r="P126">
        <f>--(AND(D126&lt;=113.15,E126&lt;=0.15,F126&lt;=15.77,G126&lt;=0.18,H126&lt;=33.27))*0</f>
        <v/>
      </c>
      <c r="Q126">
        <f>--(AND(D126&lt;=113.15,E126&lt;=0.15,F126&lt;=15.77,G126&lt;=0.18,H126&gt;33.27))*0</f>
        <v/>
      </c>
      <c r="R126">
        <f>--(AND(D126&lt;=113.15,E126&lt;=0.15,F126&lt;=15.77,G126&gt;0.18))*0</f>
        <v/>
      </c>
      <c r="S126">
        <f>--(AND(D126&lt;=113.15,E126&lt;=0.15,F126&gt;15.77,H126&lt;=28.86,G126&lt;=0.14))*0</f>
        <v/>
      </c>
      <c r="T126">
        <f>--(AND(D126&lt;=113.15,E126&lt;=0.15,F126&gt;15.77,H126&lt;=28.86,G126&gt;0.14))*1</f>
        <v/>
      </c>
      <c r="U126">
        <f>--(AND(D126&lt;=113.15,E126&lt;=0.15,F126&gt;15.77,H126&gt;28.86,M126&lt;=14.54))*1</f>
        <v/>
      </c>
      <c r="V126">
        <f>--(AND(D126&lt;=113.15,E126&lt;=0.15,F126&gt;15.77,H126&gt;28.86,M126&gt;14.54))*1</f>
        <v/>
      </c>
      <c r="W126">
        <f>--(AND(D126&lt;=113.15,E126&gt;0.15,H126&lt;=23.74))*0</f>
        <v/>
      </c>
      <c r="X126">
        <f>--(AND(D126&lt;=113.15,E126&gt;0.15,H126&gt;23.74,J126&lt;=0.1))*1</f>
        <v/>
      </c>
      <c r="Y126">
        <f>--(AND(D126&lt;=113.15,E126&gt;0.15,H126&gt;23.74,J126&gt;0.1))*1</f>
        <v/>
      </c>
      <c r="Z126">
        <f>--(AND(D126&gt;113.15,K126&lt;=0.22,L126&lt;=0.02))*1</f>
        <v/>
      </c>
      <c r="AA126">
        <f>--(AND(D126&gt;113.15,K126&lt;=0.22,L126&gt;0.02))*0</f>
        <v/>
      </c>
      <c r="AB126">
        <f>--(AND(D126&gt;113.15,K126&gt;0.22,N126&lt;=810.1))*0</f>
        <v/>
      </c>
      <c r="AC126">
        <f>--(AND(D126&gt;113.15,K126&gt;0.22,N126&gt;810.1,I126&lt;=14.95))*1</f>
        <v/>
      </c>
      <c r="AD126">
        <f>--(AND(D126&gt;113.15,K126&gt;0.22,N126&gt;810.1,I126&gt;14.95))*1</f>
        <v/>
      </c>
      <c r="AE126">
        <f>SUM(P126:AD126)</f>
        <v/>
      </c>
      <c r="AF126">
        <f>IF(AE126=1,"Malignant","Benign")</f>
        <v/>
      </c>
      <c r="AG126">
        <f>--(AE126=C126)</f>
        <v/>
      </c>
    </row>
    <row r="127">
      <c r="A127">
        <f>BreastCancer_Data!A127</f>
        <v/>
      </c>
      <c r="B127">
        <f>BreastCancer_Data!B127</f>
        <v/>
      </c>
      <c r="C127">
        <f>BreastCancer_Data!D127</f>
        <v/>
      </c>
      <c r="D127">
        <f>BreastCancer_Data!E127</f>
        <v/>
      </c>
      <c r="E127">
        <f>BreastCancer_Data!F127</f>
        <v/>
      </c>
      <c r="F127">
        <f>BreastCancer_Data!G127</f>
        <v/>
      </c>
      <c r="G127">
        <f>BreastCancer_Data!H127</f>
        <v/>
      </c>
      <c r="H127">
        <f>BreastCancer_Data!I127</f>
        <v/>
      </c>
      <c r="I127">
        <f>BreastCancer_Data!J127</f>
        <v/>
      </c>
      <c r="J127">
        <f>BreastCancer_Data!K127</f>
        <v/>
      </c>
      <c r="K127">
        <f>BreastCancer_Data!L127</f>
        <v/>
      </c>
      <c r="L127">
        <f>BreastCancer_Data!M127</f>
        <v/>
      </c>
      <c r="M127">
        <f>BreastCancer_Data!N127</f>
        <v/>
      </c>
      <c r="N127">
        <f>BreastCancer_Data!O127</f>
        <v/>
      </c>
      <c r="O127">
        <f>0</f>
        <v/>
      </c>
      <c r="P127">
        <f>--(AND(D127&lt;=113.15,E127&lt;=0.15,F127&lt;=15.77,G127&lt;=0.18,H127&lt;=33.27))*0</f>
        <v/>
      </c>
      <c r="Q127">
        <f>--(AND(D127&lt;=113.15,E127&lt;=0.15,F127&lt;=15.77,G127&lt;=0.18,H127&gt;33.27))*0</f>
        <v/>
      </c>
      <c r="R127">
        <f>--(AND(D127&lt;=113.15,E127&lt;=0.15,F127&lt;=15.77,G127&gt;0.18))*0</f>
        <v/>
      </c>
      <c r="S127">
        <f>--(AND(D127&lt;=113.15,E127&lt;=0.15,F127&gt;15.77,H127&lt;=28.86,G127&lt;=0.14))*0</f>
        <v/>
      </c>
      <c r="T127">
        <f>--(AND(D127&lt;=113.15,E127&lt;=0.15,F127&gt;15.77,H127&lt;=28.86,G127&gt;0.14))*1</f>
        <v/>
      </c>
      <c r="U127">
        <f>--(AND(D127&lt;=113.15,E127&lt;=0.15,F127&gt;15.77,H127&gt;28.86,M127&lt;=14.54))*1</f>
        <v/>
      </c>
      <c r="V127">
        <f>--(AND(D127&lt;=113.15,E127&lt;=0.15,F127&gt;15.77,H127&gt;28.86,M127&gt;14.54))*1</f>
        <v/>
      </c>
      <c r="W127">
        <f>--(AND(D127&lt;=113.15,E127&gt;0.15,H127&lt;=23.74))*0</f>
        <v/>
      </c>
      <c r="X127">
        <f>--(AND(D127&lt;=113.15,E127&gt;0.15,H127&gt;23.74,J127&lt;=0.1))*1</f>
        <v/>
      </c>
      <c r="Y127">
        <f>--(AND(D127&lt;=113.15,E127&gt;0.15,H127&gt;23.74,J127&gt;0.1))*1</f>
        <v/>
      </c>
      <c r="Z127">
        <f>--(AND(D127&gt;113.15,K127&lt;=0.22,L127&lt;=0.02))*1</f>
        <v/>
      </c>
      <c r="AA127">
        <f>--(AND(D127&gt;113.15,K127&lt;=0.22,L127&gt;0.02))*0</f>
        <v/>
      </c>
      <c r="AB127">
        <f>--(AND(D127&gt;113.15,K127&gt;0.22,N127&lt;=810.1))*0</f>
        <v/>
      </c>
      <c r="AC127">
        <f>--(AND(D127&gt;113.15,K127&gt;0.22,N127&gt;810.1,I127&lt;=14.95))*1</f>
        <v/>
      </c>
      <c r="AD127">
        <f>--(AND(D127&gt;113.15,K127&gt;0.22,N127&gt;810.1,I127&gt;14.95))*1</f>
        <v/>
      </c>
      <c r="AE127">
        <f>SUM(P127:AD127)</f>
        <v/>
      </c>
      <c r="AF127">
        <f>IF(AE127=1,"Malignant","Benign")</f>
        <v/>
      </c>
      <c r="AG127">
        <f>--(AE127=C127)</f>
        <v/>
      </c>
    </row>
    <row r="128">
      <c r="A128">
        <f>BreastCancer_Data!A128</f>
        <v/>
      </c>
      <c r="B128">
        <f>BreastCancer_Data!B128</f>
        <v/>
      </c>
      <c r="C128">
        <f>BreastCancer_Data!D128</f>
        <v/>
      </c>
      <c r="D128">
        <f>BreastCancer_Data!E128</f>
        <v/>
      </c>
      <c r="E128">
        <f>BreastCancer_Data!F128</f>
        <v/>
      </c>
      <c r="F128">
        <f>BreastCancer_Data!G128</f>
        <v/>
      </c>
      <c r="G128">
        <f>BreastCancer_Data!H128</f>
        <v/>
      </c>
      <c r="H128">
        <f>BreastCancer_Data!I128</f>
        <v/>
      </c>
      <c r="I128">
        <f>BreastCancer_Data!J128</f>
        <v/>
      </c>
      <c r="J128">
        <f>BreastCancer_Data!K128</f>
        <v/>
      </c>
      <c r="K128">
        <f>BreastCancer_Data!L128</f>
        <v/>
      </c>
      <c r="L128">
        <f>BreastCancer_Data!M128</f>
        <v/>
      </c>
      <c r="M128">
        <f>BreastCancer_Data!N128</f>
        <v/>
      </c>
      <c r="N128">
        <f>BreastCancer_Data!O128</f>
        <v/>
      </c>
      <c r="O128">
        <f>0</f>
        <v/>
      </c>
      <c r="P128">
        <f>--(AND(D128&lt;=113.15,E128&lt;=0.15,F128&lt;=15.77,G128&lt;=0.18,H128&lt;=33.27))*0</f>
        <v/>
      </c>
      <c r="Q128">
        <f>--(AND(D128&lt;=113.15,E128&lt;=0.15,F128&lt;=15.77,G128&lt;=0.18,H128&gt;33.27))*0</f>
        <v/>
      </c>
      <c r="R128">
        <f>--(AND(D128&lt;=113.15,E128&lt;=0.15,F128&lt;=15.77,G128&gt;0.18))*0</f>
        <v/>
      </c>
      <c r="S128">
        <f>--(AND(D128&lt;=113.15,E128&lt;=0.15,F128&gt;15.77,H128&lt;=28.86,G128&lt;=0.14))*0</f>
        <v/>
      </c>
      <c r="T128">
        <f>--(AND(D128&lt;=113.15,E128&lt;=0.15,F128&gt;15.77,H128&lt;=28.86,G128&gt;0.14))*1</f>
        <v/>
      </c>
      <c r="U128">
        <f>--(AND(D128&lt;=113.15,E128&lt;=0.15,F128&gt;15.77,H128&gt;28.86,M128&lt;=14.54))*1</f>
        <v/>
      </c>
      <c r="V128">
        <f>--(AND(D128&lt;=113.15,E128&lt;=0.15,F128&gt;15.77,H128&gt;28.86,M128&gt;14.54))*1</f>
        <v/>
      </c>
      <c r="W128">
        <f>--(AND(D128&lt;=113.15,E128&gt;0.15,H128&lt;=23.74))*0</f>
        <v/>
      </c>
      <c r="X128">
        <f>--(AND(D128&lt;=113.15,E128&gt;0.15,H128&gt;23.74,J128&lt;=0.1))*1</f>
        <v/>
      </c>
      <c r="Y128">
        <f>--(AND(D128&lt;=113.15,E128&gt;0.15,H128&gt;23.74,J128&gt;0.1))*1</f>
        <v/>
      </c>
      <c r="Z128">
        <f>--(AND(D128&gt;113.15,K128&lt;=0.22,L128&lt;=0.02))*1</f>
        <v/>
      </c>
      <c r="AA128">
        <f>--(AND(D128&gt;113.15,K128&lt;=0.22,L128&gt;0.02))*0</f>
        <v/>
      </c>
      <c r="AB128">
        <f>--(AND(D128&gt;113.15,K128&gt;0.22,N128&lt;=810.1))*0</f>
        <v/>
      </c>
      <c r="AC128">
        <f>--(AND(D128&gt;113.15,K128&gt;0.22,N128&gt;810.1,I128&lt;=14.95))*1</f>
        <v/>
      </c>
      <c r="AD128">
        <f>--(AND(D128&gt;113.15,K128&gt;0.22,N128&gt;810.1,I128&gt;14.95))*1</f>
        <v/>
      </c>
      <c r="AE128">
        <f>SUM(P128:AD128)</f>
        <v/>
      </c>
      <c r="AF128">
        <f>IF(AE128=1,"Malignant","Benign")</f>
        <v/>
      </c>
      <c r="AG128">
        <f>--(AE128=C128)</f>
        <v/>
      </c>
    </row>
    <row r="129">
      <c r="A129">
        <f>BreastCancer_Data!A129</f>
        <v/>
      </c>
      <c r="B129">
        <f>BreastCancer_Data!B129</f>
        <v/>
      </c>
      <c r="C129">
        <f>BreastCancer_Data!D129</f>
        <v/>
      </c>
      <c r="D129">
        <f>BreastCancer_Data!E129</f>
        <v/>
      </c>
      <c r="E129">
        <f>BreastCancer_Data!F129</f>
        <v/>
      </c>
      <c r="F129">
        <f>BreastCancer_Data!G129</f>
        <v/>
      </c>
      <c r="G129">
        <f>BreastCancer_Data!H129</f>
        <v/>
      </c>
      <c r="H129">
        <f>BreastCancer_Data!I129</f>
        <v/>
      </c>
      <c r="I129">
        <f>BreastCancer_Data!J129</f>
        <v/>
      </c>
      <c r="J129">
        <f>BreastCancer_Data!K129</f>
        <v/>
      </c>
      <c r="K129">
        <f>BreastCancer_Data!L129</f>
        <v/>
      </c>
      <c r="L129">
        <f>BreastCancer_Data!M129</f>
        <v/>
      </c>
      <c r="M129">
        <f>BreastCancer_Data!N129</f>
        <v/>
      </c>
      <c r="N129">
        <f>BreastCancer_Data!O129</f>
        <v/>
      </c>
      <c r="O129">
        <f>0</f>
        <v/>
      </c>
      <c r="P129">
        <f>--(AND(D129&lt;=113.15,E129&lt;=0.15,F129&lt;=15.77,G129&lt;=0.18,H129&lt;=33.27))*0</f>
        <v/>
      </c>
      <c r="Q129">
        <f>--(AND(D129&lt;=113.15,E129&lt;=0.15,F129&lt;=15.77,G129&lt;=0.18,H129&gt;33.27))*0</f>
        <v/>
      </c>
      <c r="R129">
        <f>--(AND(D129&lt;=113.15,E129&lt;=0.15,F129&lt;=15.77,G129&gt;0.18))*0</f>
        <v/>
      </c>
      <c r="S129">
        <f>--(AND(D129&lt;=113.15,E129&lt;=0.15,F129&gt;15.77,H129&lt;=28.86,G129&lt;=0.14))*0</f>
        <v/>
      </c>
      <c r="T129">
        <f>--(AND(D129&lt;=113.15,E129&lt;=0.15,F129&gt;15.77,H129&lt;=28.86,G129&gt;0.14))*1</f>
        <v/>
      </c>
      <c r="U129">
        <f>--(AND(D129&lt;=113.15,E129&lt;=0.15,F129&gt;15.77,H129&gt;28.86,M129&lt;=14.54))*1</f>
        <v/>
      </c>
      <c r="V129">
        <f>--(AND(D129&lt;=113.15,E129&lt;=0.15,F129&gt;15.77,H129&gt;28.86,M129&gt;14.54))*1</f>
        <v/>
      </c>
      <c r="W129">
        <f>--(AND(D129&lt;=113.15,E129&gt;0.15,H129&lt;=23.74))*0</f>
        <v/>
      </c>
      <c r="X129">
        <f>--(AND(D129&lt;=113.15,E129&gt;0.15,H129&gt;23.74,J129&lt;=0.1))*1</f>
        <v/>
      </c>
      <c r="Y129">
        <f>--(AND(D129&lt;=113.15,E129&gt;0.15,H129&gt;23.74,J129&gt;0.1))*1</f>
        <v/>
      </c>
      <c r="Z129">
        <f>--(AND(D129&gt;113.15,K129&lt;=0.22,L129&lt;=0.02))*1</f>
        <v/>
      </c>
      <c r="AA129">
        <f>--(AND(D129&gt;113.15,K129&lt;=0.22,L129&gt;0.02))*0</f>
        <v/>
      </c>
      <c r="AB129">
        <f>--(AND(D129&gt;113.15,K129&gt;0.22,N129&lt;=810.1))*0</f>
        <v/>
      </c>
      <c r="AC129">
        <f>--(AND(D129&gt;113.15,K129&gt;0.22,N129&gt;810.1,I129&lt;=14.95))*1</f>
        <v/>
      </c>
      <c r="AD129">
        <f>--(AND(D129&gt;113.15,K129&gt;0.22,N129&gt;810.1,I129&gt;14.95))*1</f>
        <v/>
      </c>
      <c r="AE129">
        <f>SUM(P129:AD129)</f>
        <v/>
      </c>
      <c r="AF129">
        <f>IF(AE129=1,"Malignant","Benign")</f>
        <v/>
      </c>
      <c r="AG129">
        <f>--(AE129=C129)</f>
        <v/>
      </c>
    </row>
    <row r="130">
      <c r="A130">
        <f>BreastCancer_Data!A130</f>
        <v/>
      </c>
      <c r="B130">
        <f>BreastCancer_Data!B130</f>
        <v/>
      </c>
      <c r="C130">
        <f>BreastCancer_Data!D130</f>
        <v/>
      </c>
      <c r="D130">
        <f>BreastCancer_Data!E130</f>
        <v/>
      </c>
      <c r="E130">
        <f>BreastCancer_Data!F130</f>
        <v/>
      </c>
      <c r="F130">
        <f>BreastCancer_Data!G130</f>
        <v/>
      </c>
      <c r="G130">
        <f>BreastCancer_Data!H130</f>
        <v/>
      </c>
      <c r="H130">
        <f>BreastCancer_Data!I130</f>
        <v/>
      </c>
      <c r="I130">
        <f>BreastCancer_Data!J130</f>
        <v/>
      </c>
      <c r="J130">
        <f>BreastCancer_Data!K130</f>
        <v/>
      </c>
      <c r="K130">
        <f>BreastCancer_Data!L130</f>
        <v/>
      </c>
      <c r="L130">
        <f>BreastCancer_Data!M130</f>
        <v/>
      </c>
      <c r="M130">
        <f>BreastCancer_Data!N130</f>
        <v/>
      </c>
      <c r="N130">
        <f>BreastCancer_Data!O130</f>
        <v/>
      </c>
      <c r="O130">
        <f>0</f>
        <v/>
      </c>
      <c r="P130">
        <f>--(AND(D130&lt;=113.15,E130&lt;=0.15,F130&lt;=15.77,G130&lt;=0.18,H130&lt;=33.27))*0</f>
        <v/>
      </c>
      <c r="Q130">
        <f>--(AND(D130&lt;=113.15,E130&lt;=0.15,F130&lt;=15.77,G130&lt;=0.18,H130&gt;33.27))*0</f>
        <v/>
      </c>
      <c r="R130">
        <f>--(AND(D130&lt;=113.15,E130&lt;=0.15,F130&lt;=15.77,G130&gt;0.18))*0</f>
        <v/>
      </c>
      <c r="S130">
        <f>--(AND(D130&lt;=113.15,E130&lt;=0.15,F130&gt;15.77,H130&lt;=28.86,G130&lt;=0.14))*0</f>
        <v/>
      </c>
      <c r="T130">
        <f>--(AND(D130&lt;=113.15,E130&lt;=0.15,F130&gt;15.77,H130&lt;=28.86,G130&gt;0.14))*1</f>
        <v/>
      </c>
      <c r="U130">
        <f>--(AND(D130&lt;=113.15,E130&lt;=0.15,F130&gt;15.77,H130&gt;28.86,M130&lt;=14.54))*1</f>
        <v/>
      </c>
      <c r="V130">
        <f>--(AND(D130&lt;=113.15,E130&lt;=0.15,F130&gt;15.77,H130&gt;28.86,M130&gt;14.54))*1</f>
        <v/>
      </c>
      <c r="W130">
        <f>--(AND(D130&lt;=113.15,E130&gt;0.15,H130&lt;=23.74))*0</f>
        <v/>
      </c>
      <c r="X130">
        <f>--(AND(D130&lt;=113.15,E130&gt;0.15,H130&gt;23.74,J130&lt;=0.1))*1</f>
        <v/>
      </c>
      <c r="Y130">
        <f>--(AND(D130&lt;=113.15,E130&gt;0.15,H130&gt;23.74,J130&gt;0.1))*1</f>
        <v/>
      </c>
      <c r="Z130">
        <f>--(AND(D130&gt;113.15,K130&lt;=0.22,L130&lt;=0.02))*1</f>
        <v/>
      </c>
      <c r="AA130">
        <f>--(AND(D130&gt;113.15,K130&lt;=0.22,L130&gt;0.02))*0</f>
        <v/>
      </c>
      <c r="AB130">
        <f>--(AND(D130&gt;113.15,K130&gt;0.22,N130&lt;=810.1))*0</f>
        <v/>
      </c>
      <c r="AC130">
        <f>--(AND(D130&gt;113.15,K130&gt;0.22,N130&gt;810.1,I130&lt;=14.95))*1</f>
        <v/>
      </c>
      <c r="AD130">
        <f>--(AND(D130&gt;113.15,K130&gt;0.22,N130&gt;810.1,I130&gt;14.95))*1</f>
        <v/>
      </c>
      <c r="AE130">
        <f>SUM(P130:AD130)</f>
        <v/>
      </c>
      <c r="AF130">
        <f>IF(AE130=1,"Malignant","Benign")</f>
        <v/>
      </c>
      <c r="AG130">
        <f>--(AE130=C130)</f>
        <v/>
      </c>
    </row>
    <row r="131">
      <c r="A131">
        <f>BreastCancer_Data!A131</f>
        <v/>
      </c>
      <c r="B131">
        <f>BreastCancer_Data!B131</f>
        <v/>
      </c>
      <c r="C131">
        <f>BreastCancer_Data!D131</f>
        <v/>
      </c>
      <c r="D131">
        <f>BreastCancer_Data!E131</f>
        <v/>
      </c>
      <c r="E131">
        <f>BreastCancer_Data!F131</f>
        <v/>
      </c>
      <c r="F131">
        <f>BreastCancer_Data!G131</f>
        <v/>
      </c>
      <c r="G131">
        <f>BreastCancer_Data!H131</f>
        <v/>
      </c>
      <c r="H131">
        <f>BreastCancer_Data!I131</f>
        <v/>
      </c>
      <c r="I131">
        <f>BreastCancer_Data!J131</f>
        <v/>
      </c>
      <c r="J131">
        <f>BreastCancer_Data!K131</f>
        <v/>
      </c>
      <c r="K131">
        <f>BreastCancer_Data!L131</f>
        <v/>
      </c>
      <c r="L131">
        <f>BreastCancer_Data!M131</f>
        <v/>
      </c>
      <c r="M131">
        <f>BreastCancer_Data!N131</f>
        <v/>
      </c>
      <c r="N131">
        <f>BreastCancer_Data!O131</f>
        <v/>
      </c>
      <c r="O131">
        <f>0</f>
        <v/>
      </c>
      <c r="P131">
        <f>--(AND(D131&lt;=113.15,E131&lt;=0.15,F131&lt;=15.77,G131&lt;=0.18,H131&lt;=33.27))*0</f>
        <v/>
      </c>
      <c r="Q131">
        <f>--(AND(D131&lt;=113.15,E131&lt;=0.15,F131&lt;=15.77,G131&lt;=0.18,H131&gt;33.27))*0</f>
        <v/>
      </c>
      <c r="R131">
        <f>--(AND(D131&lt;=113.15,E131&lt;=0.15,F131&lt;=15.77,G131&gt;0.18))*0</f>
        <v/>
      </c>
      <c r="S131">
        <f>--(AND(D131&lt;=113.15,E131&lt;=0.15,F131&gt;15.77,H131&lt;=28.86,G131&lt;=0.14))*0</f>
        <v/>
      </c>
      <c r="T131">
        <f>--(AND(D131&lt;=113.15,E131&lt;=0.15,F131&gt;15.77,H131&lt;=28.86,G131&gt;0.14))*1</f>
        <v/>
      </c>
      <c r="U131">
        <f>--(AND(D131&lt;=113.15,E131&lt;=0.15,F131&gt;15.77,H131&gt;28.86,M131&lt;=14.54))*1</f>
        <v/>
      </c>
      <c r="V131">
        <f>--(AND(D131&lt;=113.15,E131&lt;=0.15,F131&gt;15.77,H131&gt;28.86,M131&gt;14.54))*1</f>
        <v/>
      </c>
      <c r="W131">
        <f>--(AND(D131&lt;=113.15,E131&gt;0.15,H131&lt;=23.74))*0</f>
        <v/>
      </c>
      <c r="X131">
        <f>--(AND(D131&lt;=113.15,E131&gt;0.15,H131&gt;23.74,J131&lt;=0.1))*1</f>
        <v/>
      </c>
      <c r="Y131">
        <f>--(AND(D131&lt;=113.15,E131&gt;0.15,H131&gt;23.74,J131&gt;0.1))*1</f>
        <v/>
      </c>
      <c r="Z131">
        <f>--(AND(D131&gt;113.15,K131&lt;=0.22,L131&lt;=0.02))*1</f>
        <v/>
      </c>
      <c r="AA131">
        <f>--(AND(D131&gt;113.15,K131&lt;=0.22,L131&gt;0.02))*0</f>
        <v/>
      </c>
      <c r="AB131">
        <f>--(AND(D131&gt;113.15,K131&gt;0.22,N131&lt;=810.1))*0</f>
        <v/>
      </c>
      <c r="AC131">
        <f>--(AND(D131&gt;113.15,K131&gt;0.22,N131&gt;810.1,I131&lt;=14.95))*1</f>
        <v/>
      </c>
      <c r="AD131">
        <f>--(AND(D131&gt;113.15,K131&gt;0.22,N131&gt;810.1,I131&gt;14.95))*1</f>
        <v/>
      </c>
      <c r="AE131">
        <f>SUM(P131:AD131)</f>
        <v/>
      </c>
      <c r="AF131">
        <f>IF(AE131=1,"Malignant","Benign")</f>
        <v/>
      </c>
      <c r="AG131">
        <f>--(AE131=C131)</f>
        <v/>
      </c>
    </row>
    <row r="132">
      <c r="A132">
        <f>BreastCancer_Data!A132</f>
        <v/>
      </c>
      <c r="B132">
        <f>BreastCancer_Data!B132</f>
        <v/>
      </c>
      <c r="C132">
        <f>BreastCancer_Data!D132</f>
        <v/>
      </c>
      <c r="D132">
        <f>BreastCancer_Data!E132</f>
        <v/>
      </c>
      <c r="E132">
        <f>BreastCancer_Data!F132</f>
        <v/>
      </c>
      <c r="F132">
        <f>BreastCancer_Data!G132</f>
        <v/>
      </c>
      <c r="G132">
        <f>BreastCancer_Data!H132</f>
        <v/>
      </c>
      <c r="H132">
        <f>BreastCancer_Data!I132</f>
        <v/>
      </c>
      <c r="I132">
        <f>BreastCancer_Data!J132</f>
        <v/>
      </c>
      <c r="J132">
        <f>BreastCancer_Data!K132</f>
        <v/>
      </c>
      <c r="K132">
        <f>BreastCancer_Data!L132</f>
        <v/>
      </c>
      <c r="L132">
        <f>BreastCancer_Data!M132</f>
        <v/>
      </c>
      <c r="M132">
        <f>BreastCancer_Data!N132</f>
        <v/>
      </c>
      <c r="N132">
        <f>BreastCancer_Data!O132</f>
        <v/>
      </c>
      <c r="O132">
        <f>0</f>
        <v/>
      </c>
      <c r="P132">
        <f>--(AND(D132&lt;=113.15,E132&lt;=0.15,F132&lt;=15.77,G132&lt;=0.18,H132&lt;=33.27))*0</f>
        <v/>
      </c>
      <c r="Q132">
        <f>--(AND(D132&lt;=113.15,E132&lt;=0.15,F132&lt;=15.77,G132&lt;=0.18,H132&gt;33.27))*0</f>
        <v/>
      </c>
      <c r="R132">
        <f>--(AND(D132&lt;=113.15,E132&lt;=0.15,F132&lt;=15.77,G132&gt;0.18))*0</f>
        <v/>
      </c>
      <c r="S132">
        <f>--(AND(D132&lt;=113.15,E132&lt;=0.15,F132&gt;15.77,H132&lt;=28.86,G132&lt;=0.14))*0</f>
        <v/>
      </c>
      <c r="T132">
        <f>--(AND(D132&lt;=113.15,E132&lt;=0.15,F132&gt;15.77,H132&lt;=28.86,G132&gt;0.14))*1</f>
        <v/>
      </c>
      <c r="U132">
        <f>--(AND(D132&lt;=113.15,E132&lt;=0.15,F132&gt;15.77,H132&gt;28.86,M132&lt;=14.54))*1</f>
        <v/>
      </c>
      <c r="V132">
        <f>--(AND(D132&lt;=113.15,E132&lt;=0.15,F132&gt;15.77,H132&gt;28.86,M132&gt;14.54))*1</f>
        <v/>
      </c>
      <c r="W132">
        <f>--(AND(D132&lt;=113.15,E132&gt;0.15,H132&lt;=23.74))*0</f>
        <v/>
      </c>
      <c r="X132">
        <f>--(AND(D132&lt;=113.15,E132&gt;0.15,H132&gt;23.74,J132&lt;=0.1))*1</f>
        <v/>
      </c>
      <c r="Y132">
        <f>--(AND(D132&lt;=113.15,E132&gt;0.15,H132&gt;23.74,J132&gt;0.1))*1</f>
        <v/>
      </c>
      <c r="Z132">
        <f>--(AND(D132&gt;113.15,K132&lt;=0.22,L132&lt;=0.02))*1</f>
        <v/>
      </c>
      <c r="AA132">
        <f>--(AND(D132&gt;113.15,K132&lt;=0.22,L132&gt;0.02))*0</f>
        <v/>
      </c>
      <c r="AB132">
        <f>--(AND(D132&gt;113.15,K132&gt;0.22,N132&lt;=810.1))*0</f>
        <v/>
      </c>
      <c r="AC132">
        <f>--(AND(D132&gt;113.15,K132&gt;0.22,N132&gt;810.1,I132&lt;=14.95))*1</f>
        <v/>
      </c>
      <c r="AD132">
        <f>--(AND(D132&gt;113.15,K132&gt;0.22,N132&gt;810.1,I132&gt;14.95))*1</f>
        <v/>
      </c>
      <c r="AE132">
        <f>SUM(P132:AD132)</f>
        <v/>
      </c>
      <c r="AF132">
        <f>IF(AE132=1,"Malignant","Benign")</f>
        <v/>
      </c>
      <c r="AG132">
        <f>--(AE132=C132)</f>
        <v/>
      </c>
    </row>
    <row r="133">
      <c r="A133">
        <f>BreastCancer_Data!A133</f>
        <v/>
      </c>
      <c r="B133">
        <f>BreastCancer_Data!B133</f>
        <v/>
      </c>
      <c r="C133">
        <f>BreastCancer_Data!D133</f>
        <v/>
      </c>
      <c r="D133">
        <f>BreastCancer_Data!E133</f>
        <v/>
      </c>
      <c r="E133">
        <f>BreastCancer_Data!F133</f>
        <v/>
      </c>
      <c r="F133">
        <f>BreastCancer_Data!G133</f>
        <v/>
      </c>
      <c r="G133">
        <f>BreastCancer_Data!H133</f>
        <v/>
      </c>
      <c r="H133">
        <f>BreastCancer_Data!I133</f>
        <v/>
      </c>
      <c r="I133">
        <f>BreastCancer_Data!J133</f>
        <v/>
      </c>
      <c r="J133">
        <f>BreastCancer_Data!K133</f>
        <v/>
      </c>
      <c r="K133">
        <f>BreastCancer_Data!L133</f>
        <v/>
      </c>
      <c r="L133">
        <f>BreastCancer_Data!M133</f>
        <v/>
      </c>
      <c r="M133">
        <f>BreastCancer_Data!N133</f>
        <v/>
      </c>
      <c r="N133">
        <f>BreastCancer_Data!O133</f>
        <v/>
      </c>
      <c r="O133">
        <f>0</f>
        <v/>
      </c>
      <c r="P133">
        <f>--(AND(D133&lt;=113.15,E133&lt;=0.15,F133&lt;=15.77,G133&lt;=0.18,H133&lt;=33.27))*0</f>
        <v/>
      </c>
      <c r="Q133">
        <f>--(AND(D133&lt;=113.15,E133&lt;=0.15,F133&lt;=15.77,G133&lt;=0.18,H133&gt;33.27))*0</f>
        <v/>
      </c>
      <c r="R133">
        <f>--(AND(D133&lt;=113.15,E133&lt;=0.15,F133&lt;=15.77,G133&gt;0.18))*0</f>
        <v/>
      </c>
      <c r="S133">
        <f>--(AND(D133&lt;=113.15,E133&lt;=0.15,F133&gt;15.77,H133&lt;=28.86,G133&lt;=0.14))*0</f>
        <v/>
      </c>
      <c r="T133">
        <f>--(AND(D133&lt;=113.15,E133&lt;=0.15,F133&gt;15.77,H133&lt;=28.86,G133&gt;0.14))*1</f>
        <v/>
      </c>
      <c r="U133">
        <f>--(AND(D133&lt;=113.15,E133&lt;=0.15,F133&gt;15.77,H133&gt;28.86,M133&lt;=14.54))*1</f>
        <v/>
      </c>
      <c r="V133">
        <f>--(AND(D133&lt;=113.15,E133&lt;=0.15,F133&gt;15.77,H133&gt;28.86,M133&gt;14.54))*1</f>
        <v/>
      </c>
      <c r="W133">
        <f>--(AND(D133&lt;=113.15,E133&gt;0.15,H133&lt;=23.74))*0</f>
        <v/>
      </c>
      <c r="X133">
        <f>--(AND(D133&lt;=113.15,E133&gt;0.15,H133&gt;23.74,J133&lt;=0.1))*1</f>
        <v/>
      </c>
      <c r="Y133">
        <f>--(AND(D133&lt;=113.15,E133&gt;0.15,H133&gt;23.74,J133&gt;0.1))*1</f>
        <v/>
      </c>
      <c r="Z133">
        <f>--(AND(D133&gt;113.15,K133&lt;=0.22,L133&lt;=0.02))*1</f>
        <v/>
      </c>
      <c r="AA133">
        <f>--(AND(D133&gt;113.15,K133&lt;=0.22,L133&gt;0.02))*0</f>
        <v/>
      </c>
      <c r="AB133">
        <f>--(AND(D133&gt;113.15,K133&gt;0.22,N133&lt;=810.1))*0</f>
        <v/>
      </c>
      <c r="AC133">
        <f>--(AND(D133&gt;113.15,K133&gt;0.22,N133&gt;810.1,I133&lt;=14.95))*1</f>
        <v/>
      </c>
      <c r="AD133">
        <f>--(AND(D133&gt;113.15,K133&gt;0.22,N133&gt;810.1,I133&gt;14.95))*1</f>
        <v/>
      </c>
      <c r="AE133">
        <f>SUM(P133:AD133)</f>
        <v/>
      </c>
      <c r="AF133">
        <f>IF(AE133=1,"Malignant","Benign")</f>
        <v/>
      </c>
      <c r="AG133">
        <f>--(AE133=C133)</f>
        <v/>
      </c>
    </row>
    <row r="134">
      <c r="A134">
        <f>BreastCancer_Data!A134</f>
        <v/>
      </c>
      <c r="B134">
        <f>BreastCancer_Data!B134</f>
        <v/>
      </c>
      <c r="C134">
        <f>BreastCancer_Data!D134</f>
        <v/>
      </c>
      <c r="D134">
        <f>BreastCancer_Data!E134</f>
        <v/>
      </c>
      <c r="E134">
        <f>BreastCancer_Data!F134</f>
        <v/>
      </c>
      <c r="F134">
        <f>BreastCancer_Data!G134</f>
        <v/>
      </c>
      <c r="G134">
        <f>BreastCancer_Data!H134</f>
        <v/>
      </c>
      <c r="H134">
        <f>BreastCancer_Data!I134</f>
        <v/>
      </c>
      <c r="I134">
        <f>BreastCancer_Data!J134</f>
        <v/>
      </c>
      <c r="J134">
        <f>BreastCancer_Data!K134</f>
        <v/>
      </c>
      <c r="K134">
        <f>BreastCancer_Data!L134</f>
        <v/>
      </c>
      <c r="L134">
        <f>BreastCancer_Data!M134</f>
        <v/>
      </c>
      <c r="M134">
        <f>BreastCancer_Data!N134</f>
        <v/>
      </c>
      <c r="N134">
        <f>BreastCancer_Data!O134</f>
        <v/>
      </c>
      <c r="O134">
        <f>0</f>
        <v/>
      </c>
      <c r="P134">
        <f>--(AND(D134&lt;=113.15,E134&lt;=0.15,F134&lt;=15.77,G134&lt;=0.18,H134&lt;=33.27))*0</f>
        <v/>
      </c>
      <c r="Q134">
        <f>--(AND(D134&lt;=113.15,E134&lt;=0.15,F134&lt;=15.77,G134&lt;=0.18,H134&gt;33.27))*0</f>
        <v/>
      </c>
      <c r="R134">
        <f>--(AND(D134&lt;=113.15,E134&lt;=0.15,F134&lt;=15.77,G134&gt;0.18))*0</f>
        <v/>
      </c>
      <c r="S134">
        <f>--(AND(D134&lt;=113.15,E134&lt;=0.15,F134&gt;15.77,H134&lt;=28.86,G134&lt;=0.14))*0</f>
        <v/>
      </c>
      <c r="T134">
        <f>--(AND(D134&lt;=113.15,E134&lt;=0.15,F134&gt;15.77,H134&lt;=28.86,G134&gt;0.14))*1</f>
        <v/>
      </c>
      <c r="U134">
        <f>--(AND(D134&lt;=113.15,E134&lt;=0.15,F134&gt;15.77,H134&gt;28.86,M134&lt;=14.54))*1</f>
        <v/>
      </c>
      <c r="V134">
        <f>--(AND(D134&lt;=113.15,E134&lt;=0.15,F134&gt;15.77,H134&gt;28.86,M134&gt;14.54))*1</f>
        <v/>
      </c>
      <c r="W134">
        <f>--(AND(D134&lt;=113.15,E134&gt;0.15,H134&lt;=23.74))*0</f>
        <v/>
      </c>
      <c r="X134">
        <f>--(AND(D134&lt;=113.15,E134&gt;0.15,H134&gt;23.74,J134&lt;=0.1))*1</f>
        <v/>
      </c>
      <c r="Y134">
        <f>--(AND(D134&lt;=113.15,E134&gt;0.15,H134&gt;23.74,J134&gt;0.1))*1</f>
        <v/>
      </c>
      <c r="Z134">
        <f>--(AND(D134&gt;113.15,K134&lt;=0.22,L134&lt;=0.02))*1</f>
        <v/>
      </c>
      <c r="AA134">
        <f>--(AND(D134&gt;113.15,K134&lt;=0.22,L134&gt;0.02))*0</f>
        <v/>
      </c>
      <c r="AB134">
        <f>--(AND(D134&gt;113.15,K134&gt;0.22,N134&lt;=810.1))*0</f>
        <v/>
      </c>
      <c r="AC134">
        <f>--(AND(D134&gt;113.15,K134&gt;0.22,N134&gt;810.1,I134&lt;=14.95))*1</f>
        <v/>
      </c>
      <c r="AD134">
        <f>--(AND(D134&gt;113.15,K134&gt;0.22,N134&gt;810.1,I134&gt;14.95))*1</f>
        <v/>
      </c>
      <c r="AE134">
        <f>SUM(P134:AD134)</f>
        <v/>
      </c>
      <c r="AF134">
        <f>IF(AE134=1,"Malignant","Benign")</f>
        <v/>
      </c>
      <c r="AG134">
        <f>--(AE134=C134)</f>
        <v/>
      </c>
    </row>
    <row r="135">
      <c r="A135">
        <f>BreastCancer_Data!A135</f>
        <v/>
      </c>
      <c r="B135">
        <f>BreastCancer_Data!B135</f>
        <v/>
      </c>
      <c r="C135">
        <f>BreastCancer_Data!D135</f>
        <v/>
      </c>
      <c r="D135">
        <f>BreastCancer_Data!E135</f>
        <v/>
      </c>
      <c r="E135">
        <f>BreastCancer_Data!F135</f>
        <v/>
      </c>
      <c r="F135">
        <f>BreastCancer_Data!G135</f>
        <v/>
      </c>
      <c r="G135">
        <f>BreastCancer_Data!H135</f>
        <v/>
      </c>
      <c r="H135">
        <f>BreastCancer_Data!I135</f>
        <v/>
      </c>
      <c r="I135">
        <f>BreastCancer_Data!J135</f>
        <v/>
      </c>
      <c r="J135">
        <f>BreastCancer_Data!K135</f>
        <v/>
      </c>
      <c r="K135">
        <f>BreastCancer_Data!L135</f>
        <v/>
      </c>
      <c r="L135">
        <f>BreastCancer_Data!M135</f>
        <v/>
      </c>
      <c r="M135">
        <f>BreastCancer_Data!N135</f>
        <v/>
      </c>
      <c r="N135">
        <f>BreastCancer_Data!O135</f>
        <v/>
      </c>
      <c r="O135">
        <f>0</f>
        <v/>
      </c>
      <c r="P135">
        <f>--(AND(D135&lt;=113.15,E135&lt;=0.15,F135&lt;=15.77,G135&lt;=0.18,H135&lt;=33.27))*0</f>
        <v/>
      </c>
      <c r="Q135">
        <f>--(AND(D135&lt;=113.15,E135&lt;=0.15,F135&lt;=15.77,G135&lt;=0.18,H135&gt;33.27))*0</f>
        <v/>
      </c>
      <c r="R135">
        <f>--(AND(D135&lt;=113.15,E135&lt;=0.15,F135&lt;=15.77,G135&gt;0.18))*0</f>
        <v/>
      </c>
      <c r="S135">
        <f>--(AND(D135&lt;=113.15,E135&lt;=0.15,F135&gt;15.77,H135&lt;=28.86,G135&lt;=0.14))*0</f>
        <v/>
      </c>
      <c r="T135">
        <f>--(AND(D135&lt;=113.15,E135&lt;=0.15,F135&gt;15.77,H135&lt;=28.86,G135&gt;0.14))*1</f>
        <v/>
      </c>
      <c r="U135">
        <f>--(AND(D135&lt;=113.15,E135&lt;=0.15,F135&gt;15.77,H135&gt;28.86,M135&lt;=14.54))*1</f>
        <v/>
      </c>
      <c r="V135">
        <f>--(AND(D135&lt;=113.15,E135&lt;=0.15,F135&gt;15.77,H135&gt;28.86,M135&gt;14.54))*1</f>
        <v/>
      </c>
      <c r="W135">
        <f>--(AND(D135&lt;=113.15,E135&gt;0.15,H135&lt;=23.74))*0</f>
        <v/>
      </c>
      <c r="X135">
        <f>--(AND(D135&lt;=113.15,E135&gt;0.15,H135&gt;23.74,J135&lt;=0.1))*1</f>
        <v/>
      </c>
      <c r="Y135">
        <f>--(AND(D135&lt;=113.15,E135&gt;0.15,H135&gt;23.74,J135&gt;0.1))*1</f>
        <v/>
      </c>
      <c r="Z135">
        <f>--(AND(D135&gt;113.15,K135&lt;=0.22,L135&lt;=0.02))*1</f>
        <v/>
      </c>
      <c r="AA135">
        <f>--(AND(D135&gt;113.15,K135&lt;=0.22,L135&gt;0.02))*0</f>
        <v/>
      </c>
      <c r="AB135">
        <f>--(AND(D135&gt;113.15,K135&gt;0.22,N135&lt;=810.1))*0</f>
        <v/>
      </c>
      <c r="AC135">
        <f>--(AND(D135&gt;113.15,K135&gt;0.22,N135&gt;810.1,I135&lt;=14.95))*1</f>
        <v/>
      </c>
      <c r="AD135">
        <f>--(AND(D135&gt;113.15,K135&gt;0.22,N135&gt;810.1,I135&gt;14.95))*1</f>
        <v/>
      </c>
      <c r="AE135">
        <f>SUM(P135:AD135)</f>
        <v/>
      </c>
      <c r="AF135">
        <f>IF(AE135=1,"Malignant","Benign")</f>
        <v/>
      </c>
      <c r="AG135">
        <f>--(AE135=C135)</f>
        <v/>
      </c>
    </row>
    <row r="136">
      <c r="A136">
        <f>BreastCancer_Data!A136</f>
        <v/>
      </c>
      <c r="B136">
        <f>BreastCancer_Data!B136</f>
        <v/>
      </c>
      <c r="C136">
        <f>BreastCancer_Data!D136</f>
        <v/>
      </c>
      <c r="D136">
        <f>BreastCancer_Data!E136</f>
        <v/>
      </c>
      <c r="E136">
        <f>BreastCancer_Data!F136</f>
        <v/>
      </c>
      <c r="F136">
        <f>BreastCancer_Data!G136</f>
        <v/>
      </c>
      <c r="G136">
        <f>BreastCancer_Data!H136</f>
        <v/>
      </c>
      <c r="H136">
        <f>BreastCancer_Data!I136</f>
        <v/>
      </c>
      <c r="I136">
        <f>BreastCancer_Data!J136</f>
        <v/>
      </c>
      <c r="J136">
        <f>BreastCancer_Data!K136</f>
        <v/>
      </c>
      <c r="K136">
        <f>BreastCancer_Data!L136</f>
        <v/>
      </c>
      <c r="L136">
        <f>BreastCancer_Data!M136</f>
        <v/>
      </c>
      <c r="M136">
        <f>BreastCancer_Data!N136</f>
        <v/>
      </c>
      <c r="N136">
        <f>BreastCancer_Data!O136</f>
        <v/>
      </c>
      <c r="O136">
        <f>0</f>
        <v/>
      </c>
      <c r="P136">
        <f>--(AND(D136&lt;=113.15,E136&lt;=0.15,F136&lt;=15.77,G136&lt;=0.18,H136&lt;=33.27))*0</f>
        <v/>
      </c>
      <c r="Q136">
        <f>--(AND(D136&lt;=113.15,E136&lt;=0.15,F136&lt;=15.77,G136&lt;=0.18,H136&gt;33.27))*0</f>
        <v/>
      </c>
      <c r="R136">
        <f>--(AND(D136&lt;=113.15,E136&lt;=0.15,F136&lt;=15.77,G136&gt;0.18))*0</f>
        <v/>
      </c>
      <c r="S136">
        <f>--(AND(D136&lt;=113.15,E136&lt;=0.15,F136&gt;15.77,H136&lt;=28.86,G136&lt;=0.14))*0</f>
        <v/>
      </c>
      <c r="T136">
        <f>--(AND(D136&lt;=113.15,E136&lt;=0.15,F136&gt;15.77,H136&lt;=28.86,G136&gt;0.14))*1</f>
        <v/>
      </c>
      <c r="U136">
        <f>--(AND(D136&lt;=113.15,E136&lt;=0.15,F136&gt;15.77,H136&gt;28.86,M136&lt;=14.54))*1</f>
        <v/>
      </c>
      <c r="V136">
        <f>--(AND(D136&lt;=113.15,E136&lt;=0.15,F136&gt;15.77,H136&gt;28.86,M136&gt;14.54))*1</f>
        <v/>
      </c>
      <c r="W136">
        <f>--(AND(D136&lt;=113.15,E136&gt;0.15,H136&lt;=23.74))*0</f>
        <v/>
      </c>
      <c r="X136">
        <f>--(AND(D136&lt;=113.15,E136&gt;0.15,H136&gt;23.74,J136&lt;=0.1))*1</f>
        <v/>
      </c>
      <c r="Y136">
        <f>--(AND(D136&lt;=113.15,E136&gt;0.15,H136&gt;23.74,J136&gt;0.1))*1</f>
        <v/>
      </c>
      <c r="Z136">
        <f>--(AND(D136&gt;113.15,K136&lt;=0.22,L136&lt;=0.02))*1</f>
        <v/>
      </c>
      <c r="AA136">
        <f>--(AND(D136&gt;113.15,K136&lt;=0.22,L136&gt;0.02))*0</f>
        <v/>
      </c>
      <c r="AB136">
        <f>--(AND(D136&gt;113.15,K136&gt;0.22,N136&lt;=810.1))*0</f>
        <v/>
      </c>
      <c r="AC136">
        <f>--(AND(D136&gt;113.15,K136&gt;0.22,N136&gt;810.1,I136&lt;=14.95))*1</f>
        <v/>
      </c>
      <c r="AD136">
        <f>--(AND(D136&gt;113.15,K136&gt;0.22,N136&gt;810.1,I136&gt;14.95))*1</f>
        <v/>
      </c>
      <c r="AE136">
        <f>SUM(P136:AD136)</f>
        <v/>
      </c>
      <c r="AF136">
        <f>IF(AE136=1,"Malignant","Benign")</f>
        <v/>
      </c>
      <c r="AG136">
        <f>--(AE136=C136)</f>
        <v/>
      </c>
    </row>
    <row r="137">
      <c r="A137">
        <f>BreastCancer_Data!A137</f>
        <v/>
      </c>
      <c r="B137">
        <f>BreastCancer_Data!B137</f>
        <v/>
      </c>
      <c r="C137">
        <f>BreastCancer_Data!D137</f>
        <v/>
      </c>
      <c r="D137">
        <f>BreastCancer_Data!E137</f>
        <v/>
      </c>
      <c r="E137">
        <f>BreastCancer_Data!F137</f>
        <v/>
      </c>
      <c r="F137">
        <f>BreastCancer_Data!G137</f>
        <v/>
      </c>
      <c r="G137">
        <f>BreastCancer_Data!H137</f>
        <v/>
      </c>
      <c r="H137">
        <f>BreastCancer_Data!I137</f>
        <v/>
      </c>
      <c r="I137">
        <f>BreastCancer_Data!J137</f>
        <v/>
      </c>
      <c r="J137">
        <f>BreastCancer_Data!K137</f>
        <v/>
      </c>
      <c r="K137">
        <f>BreastCancer_Data!L137</f>
        <v/>
      </c>
      <c r="L137">
        <f>BreastCancer_Data!M137</f>
        <v/>
      </c>
      <c r="M137">
        <f>BreastCancer_Data!N137</f>
        <v/>
      </c>
      <c r="N137">
        <f>BreastCancer_Data!O137</f>
        <v/>
      </c>
      <c r="O137">
        <f>0</f>
        <v/>
      </c>
      <c r="P137">
        <f>--(AND(D137&lt;=113.15,E137&lt;=0.15,F137&lt;=15.77,G137&lt;=0.18,H137&lt;=33.27))*0</f>
        <v/>
      </c>
      <c r="Q137">
        <f>--(AND(D137&lt;=113.15,E137&lt;=0.15,F137&lt;=15.77,G137&lt;=0.18,H137&gt;33.27))*0</f>
        <v/>
      </c>
      <c r="R137">
        <f>--(AND(D137&lt;=113.15,E137&lt;=0.15,F137&lt;=15.77,G137&gt;0.18))*0</f>
        <v/>
      </c>
      <c r="S137">
        <f>--(AND(D137&lt;=113.15,E137&lt;=0.15,F137&gt;15.77,H137&lt;=28.86,G137&lt;=0.14))*0</f>
        <v/>
      </c>
      <c r="T137">
        <f>--(AND(D137&lt;=113.15,E137&lt;=0.15,F137&gt;15.77,H137&lt;=28.86,G137&gt;0.14))*1</f>
        <v/>
      </c>
      <c r="U137">
        <f>--(AND(D137&lt;=113.15,E137&lt;=0.15,F137&gt;15.77,H137&gt;28.86,M137&lt;=14.54))*1</f>
        <v/>
      </c>
      <c r="V137">
        <f>--(AND(D137&lt;=113.15,E137&lt;=0.15,F137&gt;15.77,H137&gt;28.86,M137&gt;14.54))*1</f>
        <v/>
      </c>
      <c r="W137">
        <f>--(AND(D137&lt;=113.15,E137&gt;0.15,H137&lt;=23.74))*0</f>
        <v/>
      </c>
      <c r="X137">
        <f>--(AND(D137&lt;=113.15,E137&gt;0.15,H137&gt;23.74,J137&lt;=0.1))*1</f>
        <v/>
      </c>
      <c r="Y137">
        <f>--(AND(D137&lt;=113.15,E137&gt;0.15,H137&gt;23.74,J137&gt;0.1))*1</f>
        <v/>
      </c>
      <c r="Z137">
        <f>--(AND(D137&gt;113.15,K137&lt;=0.22,L137&lt;=0.02))*1</f>
        <v/>
      </c>
      <c r="AA137">
        <f>--(AND(D137&gt;113.15,K137&lt;=0.22,L137&gt;0.02))*0</f>
        <v/>
      </c>
      <c r="AB137">
        <f>--(AND(D137&gt;113.15,K137&gt;0.22,N137&lt;=810.1))*0</f>
        <v/>
      </c>
      <c r="AC137">
        <f>--(AND(D137&gt;113.15,K137&gt;0.22,N137&gt;810.1,I137&lt;=14.95))*1</f>
        <v/>
      </c>
      <c r="AD137">
        <f>--(AND(D137&gt;113.15,K137&gt;0.22,N137&gt;810.1,I137&gt;14.95))*1</f>
        <v/>
      </c>
      <c r="AE137">
        <f>SUM(P137:AD137)</f>
        <v/>
      </c>
      <c r="AF137">
        <f>IF(AE137=1,"Malignant","Benign")</f>
        <v/>
      </c>
      <c r="AG137">
        <f>--(AE137=C137)</f>
        <v/>
      </c>
    </row>
    <row r="138">
      <c r="A138">
        <f>BreastCancer_Data!A138</f>
        <v/>
      </c>
      <c r="B138">
        <f>BreastCancer_Data!B138</f>
        <v/>
      </c>
      <c r="C138">
        <f>BreastCancer_Data!D138</f>
        <v/>
      </c>
      <c r="D138">
        <f>BreastCancer_Data!E138</f>
        <v/>
      </c>
      <c r="E138">
        <f>BreastCancer_Data!F138</f>
        <v/>
      </c>
      <c r="F138">
        <f>BreastCancer_Data!G138</f>
        <v/>
      </c>
      <c r="G138">
        <f>BreastCancer_Data!H138</f>
        <v/>
      </c>
      <c r="H138">
        <f>BreastCancer_Data!I138</f>
        <v/>
      </c>
      <c r="I138">
        <f>BreastCancer_Data!J138</f>
        <v/>
      </c>
      <c r="J138">
        <f>BreastCancer_Data!K138</f>
        <v/>
      </c>
      <c r="K138">
        <f>BreastCancer_Data!L138</f>
        <v/>
      </c>
      <c r="L138">
        <f>BreastCancer_Data!M138</f>
        <v/>
      </c>
      <c r="M138">
        <f>BreastCancer_Data!N138</f>
        <v/>
      </c>
      <c r="N138">
        <f>BreastCancer_Data!O138</f>
        <v/>
      </c>
      <c r="O138">
        <f>0</f>
        <v/>
      </c>
      <c r="P138">
        <f>--(AND(D138&lt;=113.15,E138&lt;=0.15,F138&lt;=15.77,G138&lt;=0.18,H138&lt;=33.27))*0</f>
        <v/>
      </c>
      <c r="Q138">
        <f>--(AND(D138&lt;=113.15,E138&lt;=0.15,F138&lt;=15.77,G138&lt;=0.18,H138&gt;33.27))*0</f>
        <v/>
      </c>
      <c r="R138">
        <f>--(AND(D138&lt;=113.15,E138&lt;=0.15,F138&lt;=15.77,G138&gt;0.18))*0</f>
        <v/>
      </c>
      <c r="S138">
        <f>--(AND(D138&lt;=113.15,E138&lt;=0.15,F138&gt;15.77,H138&lt;=28.86,G138&lt;=0.14))*0</f>
        <v/>
      </c>
      <c r="T138">
        <f>--(AND(D138&lt;=113.15,E138&lt;=0.15,F138&gt;15.77,H138&lt;=28.86,G138&gt;0.14))*1</f>
        <v/>
      </c>
      <c r="U138">
        <f>--(AND(D138&lt;=113.15,E138&lt;=0.15,F138&gt;15.77,H138&gt;28.86,M138&lt;=14.54))*1</f>
        <v/>
      </c>
      <c r="V138">
        <f>--(AND(D138&lt;=113.15,E138&lt;=0.15,F138&gt;15.77,H138&gt;28.86,M138&gt;14.54))*1</f>
        <v/>
      </c>
      <c r="W138">
        <f>--(AND(D138&lt;=113.15,E138&gt;0.15,H138&lt;=23.74))*0</f>
        <v/>
      </c>
      <c r="X138">
        <f>--(AND(D138&lt;=113.15,E138&gt;0.15,H138&gt;23.74,J138&lt;=0.1))*1</f>
        <v/>
      </c>
      <c r="Y138">
        <f>--(AND(D138&lt;=113.15,E138&gt;0.15,H138&gt;23.74,J138&gt;0.1))*1</f>
        <v/>
      </c>
      <c r="Z138">
        <f>--(AND(D138&gt;113.15,K138&lt;=0.22,L138&lt;=0.02))*1</f>
        <v/>
      </c>
      <c r="AA138">
        <f>--(AND(D138&gt;113.15,K138&lt;=0.22,L138&gt;0.02))*0</f>
        <v/>
      </c>
      <c r="AB138">
        <f>--(AND(D138&gt;113.15,K138&gt;0.22,N138&lt;=810.1))*0</f>
        <v/>
      </c>
      <c r="AC138">
        <f>--(AND(D138&gt;113.15,K138&gt;0.22,N138&gt;810.1,I138&lt;=14.95))*1</f>
        <v/>
      </c>
      <c r="AD138">
        <f>--(AND(D138&gt;113.15,K138&gt;0.22,N138&gt;810.1,I138&gt;14.95))*1</f>
        <v/>
      </c>
      <c r="AE138">
        <f>SUM(P138:AD138)</f>
        <v/>
      </c>
      <c r="AF138">
        <f>IF(AE138=1,"Malignant","Benign")</f>
        <v/>
      </c>
      <c r="AG138">
        <f>--(AE138=C138)</f>
        <v/>
      </c>
    </row>
    <row r="139">
      <c r="A139">
        <f>BreastCancer_Data!A139</f>
        <v/>
      </c>
      <c r="B139">
        <f>BreastCancer_Data!B139</f>
        <v/>
      </c>
      <c r="C139">
        <f>BreastCancer_Data!D139</f>
        <v/>
      </c>
      <c r="D139">
        <f>BreastCancer_Data!E139</f>
        <v/>
      </c>
      <c r="E139">
        <f>BreastCancer_Data!F139</f>
        <v/>
      </c>
      <c r="F139">
        <f>BreastCancer_Data!G139</f>
        <v/>
      </c>
      <c r="G139">
        <f>BreastCancer_Data!H139</f>
        <v/>
      </c>
      <c r="H139">
        <f>BreastCancer_Data!I139</f>
        <v/>
      </c>
      <c r="I139">
        <f>BreastCancer_Data!J139</f>
        <v/>
      </c>
      <c r="J139">
        <f>BreastCancer_Data!K139</f>
        <v/>
      </c>
      <c r="K139">
        <f>BreastCancer_Data!L139</f>
        <v/>
      </c>
      <c r="L139">
        <f>BreastCancer_Data!M139</f>
        <v/>
      </c>
      <c r="M139">
        <f>BreastCancer_Data!N139</f>
        <v/>
      </c>
      <c r="N139">
        <f>BreastCancer_Data!O139</f>
        <v/>
      </c>
      <c r="O139">
        <f>0</f>
        <v/>
      </c>
      <c r="P139">
        <f>--(AND(D139&lt;=113.15,E139&lt;=0.15,F139&lt;=15.77,G139&lt;=0.18,H139&lt;=33.27))*0</f>
        <v/>
      </c>
      <c r="Q139">
        <f>--(AND(D139&lt;=113.15,E139&lt;=0.15,F139&lt;=15.77,G139&lt;=0.18,H139&gt;33.27))*0</f>
        <v/>
      </c>
      <c r="R139">
        <f>--(AND(D139&lt;=113.15,E139&lt;=0.15,F139&lt;=15.77,G139&gt;0.18))*0</f>
        <v/>
      </c>
      <c r="S139">
        <f>--(AND(D139&lt;=113.15,E139&lt;=0.15,F139&gt;15.77,H139&lt;=28.86,G139&lt;=0.14))*0</f>
        <v/>
      </c>
      <c r="T139">
        <f>--(AND(D139&lt;=113.15,E139&lt;=0.15,F139&gt;15.77,H139&lt;=28.86,G139&gt;0.14))*1</f>
        <v/>
      </c>
      <c r="U139">
        <f>--(AND(D139&lt;=113.15,E139&lt;=0.15,F139&gt;15.77,H139&gt;28.86,M139&lt;=14.54))*1</f>
        <v/>
      </c>
      <c r="V139">
        <f>--(AND(D139&lt;=113.15,E139&lt;=0.15,F139&gt;15.77,H139&gt;28.86,M139&gt;14.54))*1</f>
        <v/>
      </c>
      <c r="W139">
        <f>--(AND(D139&lt;=113.15,E139&gt;0.15,H139&lt;=23.74))*0</f>
        <v/>
      </c>
      <c r="X139">
        <f>--(AND(D139&lt;=113.15,E139&gt;0.15,H139&gt;23.74,J139&lt;=0.1))*1</f>
        <v/>
      </c>
      <c r="Y139">
        <f>--(AND(D139&lt;=113.15,E139&gt;0.15,H139&gt;23.74,J139&gt;0.1))*1</f>
        <v/>
      </c>
      <c r="Z139">
        <f>--(AND(D139&gt;113.15,K139&lt;=0.22,L139&lt;=0.02))*1</f>
        <v/>
      </c>
      <c r="AA139">
        <f>--(AND(D139&gt;113.15,K139&lt;=0.22,L139&gt;0.02))*0</f>
        <v/>
      </c>
      <c r="AB139">
        <f>--(AND(D139&gt;113.15,K139&gt;0.22,N139&lt;=810.1))*0</f>
        <v/>
      </c>
      <c r="AC139">
        <f>--(AND(D139&gt;113.15,K139&gt;0.22,N139&gt;810.1,I139&lt;=14.95))*1</f>
        <v/>
      </c>
      <c r="AD139">
        <f>--(AND(D139&gt;113.15,K139&gt;0.22,N139&gt;810.1,I139&gt;14.95))*1</f>
        <v/>
      </c>
      <c r="AE139">
        <f>SUM(P139:AD139)</f>
        <v/>
      </c>
      <c r="AF139">
        <f>IF(AE139=1,"Malignant","Benign")</f>
        <v/>
      </c>
      <c r="AG139">
        <f>--(AE139=C139)</f>
        <v/>
      </c>
    </row>
    <row r="140">
      <c r="A140">
        <f>BreastCancer_Data!A140</f>
        <v/>
      </c>
      <c r="B140">
        <f>BreastCancer_Data!B140</f>
        <v/>
      </c>
      <c r="C140">
        <f>BreastCancer_Data!D140</f>
        <v/>
      </c>
      <c r="D140">
        <f>BreastCancer_Data!E140</f>
        <v/>
      </c>
      <c r="E140">
        <f>BreastCancer_Data!F140</f>
        <v/>
      </c>
      <c r="F140">
        <f>BreastCancer_Data!G140</f>
        <v/>
      </c>
      <c r="G140">
        <f>BreastCancer_Data!H140</f>
        <v/>
      </c>
      <c r="H140">
        <f>BreastCancer_Data!I140</f>
        <v/>
      </c>
      <c r="I140">
        <f>BreastCancer_Data!J140</f>
        <v/>
      </c>
      <c r="J140">
        <f>BreastCancer_Data!K140</f>
        <v/>
      </c>
      <c r="K140">
        <f>BreastCancer_Data!L140</f>
        <v/>
      </c>
      <c r="L140">
        <f>BreastCancer_Data!M140</f>
        <v/>
      </c>
      <c r="M140">
        <f>BreastCancer_Data!N140</f>
        <v/>
      </c>
      <c r="N140">
        <f>BreastCancer_Data!O140</f>
        <v/>
      </c>
      <c r="O140">
        <f>0</f>
        <v/>
      </c>
      <c r="P140">
        <f>--(AND(D140&lt;=113.15,E140&lt;=0.15,F140&lt;=15.77,G140&lt;=0.18,H140&lt;=33.27))*0</f>
        <v/>
      </c>
      <c r="Q140">
        <f>--(AND(D140&lt;=113.15,E140&lt;=0.15,F140&lt;=15.77,G140&lt;=0.18,H140&gt;33.27))*0</f>
        <v/>
      </c>
      <c r="R140">
        <f>--(AND(D140&lt;=113.15,E140&lt;=0.15,F140&lt;=15.77,G140&gt;0.18))*0</f>
        <v/>
      </c>
      <c r="S140">
        <f>--(AND(D140&lt;=113.15,E140&lt;=0.15,F140&gt;15.77,H140&lt;=28.86,G140&lt;=0.14))*0</f>
        <v/>
      </c>
      <c r="T140">
        <f>--(AND(D140&lt;=113.15,E140&lt;=0.15,F140&gt;15.77,H140&lt;=28.86,G140&gt;0.14))*1</f>
        <v/>
      </c>
      <c r="U140">
        <f>--(AND(D140&lt;=113.15,E140&lt;=0.15,F140&gt;15.77,H140&gt;28.86,M140&lt;=14.54))*1</f>
        <v/>
      </c>
      <c r="V140">
        <f>--(AND(D140&lt;=113.15,E140&lt;=0.15,F140&gt;15.77,H140&gt;28.86,M140&gt;14.54))*1</f>
        <v/>
      </c>
      <c r="W140">
        <f>--(AND(D140&lt;=113.15,E140&gt;0.15,H140&lt;=23.74))*0</f>
        <v/>
      </c>
      <c r="X140">
        <f>--(AND(D140&lt;=113.15,E140&gt;0.15,H140&gt;23.74,J140&lt;=0.1))*1</f>
        <v/>
      </c>
      <c r="Y140">
        <f>--(AND(D140&lt;=113.15,E140&gt;0.15,H140&gt;23.74,J140&gt;0.1))*1</f>
        <v/>
      </c>
      <c r="Z140">
        <f>--(AND(D140&gt;113.15,K140&lt;=0.22,L140&lt;=0.02))*1</f>
        <v/>
      </c>
      <c r="AA140">
        <f>--(AND(D140&gt;113.15,K140&lt;=0.22,L140&gt;0.02))*0</f>
        <v/>
      </c>
      <c r="AB140">
        <f>--(AND(D140&gt;113.15,K140&gt;0.22,N140&lt;=810.1))*0</f>
        <v/>
      </c>
      <c r="AC140">
        <f>--(AND(D140&gt;113.15,K140&gt;0.22,N140&gt;810.1,I140&lt;=14.95))*1</f>
        <v/>
      </c>
      <c r="AD140">
        <f>--(AND(D140&gt;113.15,K140&gt;0.22,N140&gt;810.1,I140&gt;14.95))*1</f>
        <v/>
      </c>
      <c r="AE140">
        <f>SUM(P140:AD140)</f>
        <v/>
      </c>
      <c r="AF140">
        <f>IF(AE140=1,"Malignant","Benign")</f>
        <v/>
      </c>
      <c r="AG140">
        <f>--(AE140=C140)</f>
        <v/>
      </c>
    </row>
    <row r="141">
      <c r="A141">
        <f>BreastCancer_Data!A141</f>
        <v/>
      </c>
      <c r="B141">
        <f>BreastCancer_Data!B141</f>
        <v/>
      </c>
      <c r="C141">
        <f>BreastCancer_Data!D141</f>
        <v/>
      </c>
      <c r="D141">
        <f>BreastCancer_Data!E141</f>
        <v/>
      </c>
      <c r="E141">
        <f>BreastCancer_Data!F141</f>
        <v/>
      </c>
      <c r="F141">
        <f>BreastCancer_Data!G141</f>
        <v/>
      </c>
      <c r="G141">
        <f>BreastCancer_Data!H141</f>
        <v/>
      </c>
      <c r="H141">
        <f>BreastCancer_Data!I141</f>
        <v/>
      </c>
      <c r="I141">
        <f>BreastCancer_Data!J141</f>
        <v/>
      </c>
      <c r="J141">
        <f>BreastCancer_Data!K141</f>
        <v/>
      </c>
      <c r="K141">
        <f>BreastCancer_Data!L141</f>
        <v/>
      </c>
      <c r="L141">
        <f>BreastCancer_Data!M141</f>
        <v/>
      </c>
      <c r="M141">
        <f>BreastCancer_Data!N141</f>
        <v/>
      </c>
      <c r="N141">
        <f>BreastCancer_Data!O141</f>
        <v/>
      </c>
      <c r="O141">
        <f>0</f>
        <v/>
      </c>
      <c r="P141">
        <f>--(AND(D141&lt;=113.15,E141&lt;=0.15,F141&lt;=15.77,G141&lt;=0.18,H141&lt;=33.27))*0</f>
        <v/>
      </c>
      <c r="Q141">
        <f>--(AND(D141&lt;=113.15,E141&lt;=0.15,F141&lt;=15.77,G141&lt;=0.18,H141&gt;33.27))*0</f>
        <v/>
      </c>
      <c r="R141">
        <f>--(AND(D141&lt;=113.15,E141&lt;=0.15,F141&lt;=15.77,G141&gt;0.18))*0</f>
        <v/>
      </c>
      <c r="S141">
        <f>--(AND(D141&lt;=113.15,E141&lt;=0.15,F141&gt;15.77,H141&lt;=28.86,G141&lt;=0.14))*0</f>
        <v/>
      </c>
      <c r="T141">
        <f>--(AND(D141&lt;=113.15,E141&lt;=0.15,F141&gt;15.77,H141&lt;=28.86,G141&gt;0.14))*1</f>
        <v/>
      </c>
      <c r="U141">
        <f>--(AND(D141&lt;=113.15,E141&lt;=0.15,F141&gt;15.77,H141&gt;28.86,M141&lt;=14.54))*1</f>
        <v/>
      </c>
      <c r="V141">
        <f>--(AND(D141&lt;=113.15,E141&lt;=0.15,F141&gt;15.77,H141&gt;28.86,M141&gt;14.54))*1</f>
        <v/>
      </c>
      <c r="W141">
        <f>--(AND(D141&lt;=113.15,E141&gt;0.15,H141&lt;=23.74))*0</f>
        <v/>
      </c>
      <c r="X141">
        <f>--(AND(D141&lt;=113.15,E141&gt;0.15,H141&gt;23.74,J141&lt;=0.1))*1</f>
        <v/>
      </c>
      <c r="Y141">
        <f>--(AND(D141&lt;=113.15,E141&gt;0.15,H141&gt;23.74,J141&gt;0.1))*1</f>
        <v/>
      </c>
      <c r="Z141">
        <f>--(AND(D141&gt;113.15,K141&lt;=0.22,L141&lt;=0.02))*1</f>
        <v/>
      </c>
      <c r="AA141">
        <f>--(AND(D141&gt;113.15,K141&lt;=0.22,L141&gt;0.02))*0</f>
        <v/>
      </c>
      <c r="AB141">
        <f>--(AND(D141&gt;113.15,K141&gt;0.22,N141&lt;=810.1))*0</f>
        <v/>
      </c>
      <c r="AC141">
        <f>--(AND(D141&gt;113.15,K141&gt;0.22,N141&gt;810.1,I141&lt;=14.95))*1</f>
        <v/>
      </c>
      <c r="AD141">
        <f>--(AND(D141&gt;113.15,K141&gt;0.22,N141&gt;810.1,I141&gt;14.95))*1</f>
        <v/>
      </c>
      <c r="AE141">
        <f>SUM(P141:AD141)</f>
        <v/>
      </c>
      <c r="AF141">
        <f>IF(AE141=1,"Malignant","Benign")</f>
        <v/>
      </c>
      <c r="AG141">
        <f>--(AE141=C141)</f>
        <v/>
      </c>
    </row>
    <row r="142">
      <c r="A142">
        <f>BreastCancer_Data!A142</f>
        <v/>
      </c>
      <c r="B142">
        <f>BreastCancer_Data!B142</f>
        <v/>
      </c>
      <c r="C142">
        <f>BreastCancer_Data!D142</f>
        <v/>
      </c>
      <c r="D142">
        <f>BreastCancer_Data!E142</f>
        <v/>
      </c>
      <c r="E142">
        <f>BreastCancer_Data!F142</f>
        <v/>
      </c>
      <c r="F142">
        <f>BreastCancer_Data!G142</f>
        <v/>
      </c>
      <c r="G142">
        <f>BreastCancer_Data!H142</f>
        <v/>
      </c>
      <c r="H142">
        <f>BreastCancer_Data!I142</f>
        <v/>
      </c>
      <c r="I142">
        <f>BreastCancer_Data!J142</f>
        <v/>
      </c>
      <c r="J142">
        <f>BreastCancer_Data!K142</f>
        <v/>
      </c>
      <c r="K142">
        <f>BreastCancer_Data!L142</f>
        <v/>
      </c>
      <c r="L142">
        <f>BreastCancer_Data!M142</f>
        <v/>
      </c>
      <c r="M142">
        <f>BreastCancer_Data!N142</f>
        <v/>
      </c>
      <c r="N142">
        <f>BreastCancer_Data!O142</f>
        <v/>
      </c>
      <c r="O142">
        <f>0</f>
        <v/>
      </c>
      <c r="P142">
        <f>--(AND(D142&lt;=113.15,E142&lt;=0.15,F142&lt;=15.77,G142&lt;=0.18,H142&lt;=33.27))*0</f>
        <v/>
      </c>
      <c r="Q142">
        <f>--(AND(D142&lt;=113.15,E142&lt;=0.15,F142&lt;=15.77,G142&lt;=0.18,H142&gt;33.27))*0</f>
        <v/>
      </c>
      <c r="R142">
        <f>--(AND(D142&lt;=113.15,E142&lt;=0.15,F142&lt;=15.77,G142&gt;0.18))*0</f>
        <v/>
      </c>
      <c r="S142">
        <f>--(AND(D142&lt;=113.15,E142&lt;=0.15,F142&gt;15.77,H142&lt;=28.86,G142&lt;=0.14))*0</f>
        <v/>
      </c>
      <c r="T142">
        <f>--(AND(D142&lt;=113.15,E142&lt;=0.15,F142&gt;15.77,H142&lt;=28.86,G142&gt;0.14))*1</f>
        <v/>
      </c>
      <c r="U142">
        <f>--(AND(D142&lt;=113.15,E142&lt;=0.15,F142&gt;15.77,H142&gt;28.86,M142&lt;=14.54))*1</f>
        <v/>
      </c>
      <c r="V142">
        <f>--(AND(D142&lt;=113.15,E142&lt;=0.15,F142&gt;15.77,H142&gt;28.86,M142&gt;14.54))*1</f>
        <v/>
      </c>
      <c r="W142">
        <f>--(AND(D142&lt;=113.15,E142&gt;0.15,H142&lt;=23.74))*0</f>
        <v/>
      </c>
      <c r="X142">
        <f>--(AND(D142&lt;=113.15,E142&gt;0.15,H142&gt;23.74,J142&lt;=0.1))*1</f>
        <v/>
      </c>
      <c r="Y142">
        <f>--(AND(D142&lt;=113.15,E142&gt;0.15,H142&gt;23.74,J142&gt;0.1))*1</f>
        <v/>
      </c>
      <c r="Z142">
        <f>--(AND(D142&gt;113.15,K142&lt;=0.22,L142&lt;=0.02))*1</f>
        <v/>
      </c>
      <c r="AA142">
        <f>--(AND(D142&gt;113.15,K142&lt;=0.22,L142&gt;0.02))*0</f>
        <v/>
      </c>
      <c r="AB142">
        <f>--(AND(D142&gt;113.15,K142&gt;0.22,N142&lt;=810.1))*0</f>
        <v/>
      </c>
      <c r="AC142">
        <f>--(AND(D142&gt;113.15,K142&gt;0.22,N142&gt;810.1,I142&lt;=14.95))*1</f>
        <v/>
      </c>
      <c r="AD142">
        <f>--(AND(D142&gt;113.15,K142&gt;0.22,N142&gt;810.1,I142&gt;14.95))*1</f>
        <v/>
      </c>
      <c r="AE142">
        <f>SUM(P142:AD142)</f>
        <v/>
      </c>
      <c r="AF142">
        <f>IF(AE142=1,"Malignant","Benign")</f>
        <v/>
      </c>
      <c r="AG142">
        <f>--(AE142=C142)</f>
        <v/>
      </c>
    </row>
    <row r="143">
      <c r="A143">
        <f>BreastCancer_Data!A143</f>
        <v/>
      </c>
      <c r="B143">
        <f>BreastCancer_Data!B143</f>
        <v/>
      </c>
      <c r="C143">
        <f>BreastCancer_Data!D143</f>
        <v/>
      </c>
      <c r="D143">
        <f>BreastCancer_Data!E143</f>
        <v/>
      </c>
      <c r="E143">
        <f>BreastCancer_Data!F143</f>
        <v/>
      </c>
      <c r="F143">
        <f>BreastCancer_Data!G143</f>
        <v/>
      </c>
      <c r="G143">
        <f>BreastCancer_Data!H143</f>
        <v/>
      </c>
      <c r="H143">
        <f>BreastCancer_Data!I143</f>
        <v/>
      </c>
      <c r="I143">
        <f>BreastCancer_Data!J143</f>
        <v/>
      </c>
      <c r="J143">
        <f>BreastCancer_Data!K143</f>
        <v/>
      </c>
      <c r="K143">
        <f>BreastCancer_Data!L143</f>
        <v/>
      </c>
      <c r="L143">
        <f>BreastCancer_Data!M143</f>
        <v/>
      </c>
      <c r="M143">
        <f>BreastCancer_Data!N143</f>
        <v/>
      </c>
      <c r="N143">
        <f>BreastCancer_Data!O143</f>
        <v/>
      </c>
      <c r="O143">
        <f>0</f>
        <v/>
      </c>
      <c r="P143">
        <f>--(AND(D143&lt;=113.15,E143&lt;=0.15,F143&lt;=15.77,G143&lt;=0.18,H143&lt;=33.27))*0</f>
        <v/>
      </c>
      <c r="Q143">
        <f>--(AND(D143&lt;=113.15,E143&lt;=0.15,F143&lt;=15.77,G143&lt;=0.18,H143&gt;33.27))*0</f>
        <v/>
      </c>
      <c r="R143">
        <f>--(AND(D143&lt;=113.15,E143&lt;=0.15,F143&lt;=15.77,G143&gt;0.18))*0</f>
        <v/>
      </c>
      <c r="S143">
        <f>--(AND(D143&lt;=113.15,E143&lt;=0.15,F143&gt;15.77,H143&lt;=28.86,G143&lt;=0.14))*0</f>
        <v/>
      </c>
      <c r="T143">
        <f>--(AND(D143&lt;=113.15,E143&lt;=0.15,F143&gt;15.77,H143&lt;=28.86,G143&gt;0.14))*1</f>
        <v/>
      </c>
      <c r="U143">
        <f>--(AND(D143&lt;=113.15,E143&lt;=0.15,F143&gt;15.77,H143&gt;28.86,M143&lt;=14.54))*1</f>
        <v/>
      </c>
      <c r="V143">
        <f>--(AND(D143&lt;=113.15,E143&lt;=0.15,F143&gt;15.77,H143&gt;28.86,M143&gt;14.54))*1</f>
        <v/>
      </c>
      <c r="W143">
        <f>--(AND(D143&lt;=113.15,E143&gt;0.15,H143&lt;=23.74))*0</f>
        <v/>
      </c>
      <c r="X143">
        <f>--(AND(D143&lt;=113.15,E143&gt;0.15,H143&gt;23.74,J143&lt;=0.1))*1</f>
        <v/>
      </c>
      <c r="Y143">
        <f>--(AND(D143&lt;=113.15,E143&gt;0.15,H143&gt;23.74,J143&gt;0.1))*1</f>
        <v/>
      </c>
      <c r="Z143">
        <f>--(AND(D143&gt;113.15,K143&lt;=0.22,L143&lt;=0.02))*1</f>
        <v/>
      </c>
      <c r="AA143">
        <f>--(AND(D143&gt;113.15,K143&lt;=0.22,L143&gt;0.02))*0</f>
        <v/>
      </c>
      <c r="AB143">
        <f>--(AND(D143&gt;113.15,K143&gt;0.22,N143&lt;=810.1))*0</f>
        <v/>
      </c>
      <c r="AC143">
        <f>--(AND(D143&gt;113.15,K143&gt;0.22,N143&gt;810.1,I143&lt;=14.95))*1</f>
        <v/>
      </c>
      <c r="AD143">
        <f>--(AND(D143&gt;113.15,K143&gt;0.22,N143&gt;810.1,I143&gt;14.95))*1</f>
        <v/>
      </c>
      <c r="AE143">
        <f>SUM(P143:AD143)</f>
        <v/>
      </c>
      <c r="AF143">
        <f>IF(AE143=1,"Malignant","Benign")</f>
        <v/>
      </c>
      <c r="AG143">
        <f>--(AE143=C143)</f>
        <v/>
      </c>
    </row>
    <row r="144">
      <c r="A144">
        <f>BreastCancer_Data!A144</f>
        <v/>
      </c>
      <c r="B144">
        <f>BreastCancer_Data!B144</f>
        <v/>
      </c>
      <c r="C144">
        <f>BreastCancer_Data!D144</f>
        <v/>
      </c>
      <c r="D144">
        <f>BreastCancer_Data!E144</f>
        <v/>
      </c>
      <c r="E144">
        <f>BreastCancer_Data!F144</f>
        <v/>
      </c>
      <c r="F144">
        <f>BreastCancer_Data!G144</f>
        <v/>
      </c>
      <c r="G144">
        <f>BreastCancer_Data!H144</f>
        <v/>
      </c>
      <c r="H144">
        <f>BreastCancer_Data!I144</f>
        <v/>
      </c>
      <c r="I144">
        <f>BreastCancer_Data!J144</f>
        <v/>
      </c>
      <c r="J144">
        <f>BreastCancer_Data!K144</f>
        <v/>
      </c>
      <c r="K144">
        <f>BreastCancer_Data!L144</f>
        <v/>
      </c>
      <c r="L144">
        <f>BreastCancer_Data!M144</f>
        <v/>
      </c>
      <c r="M144">
        <f>BreastCancer_Data!N144</f>
        <v/>
      </c>
      <c r="N144">
        <f>BreastCancer_Data!O144</f>
        <v/>
      </c>
      <c r="O144">
        <f>0</f>
        <v/>
      </c>
      <c r="P144">
        <f>--(AND(D144&lt;=113.15,E144&lt;=0.15,F144&lt;=15.77,G144&lt;=0.18,H144&lt;=33.27))*0</f>
        <v/>
      </c>
      <c r="Q144">
        <f>--(AND(D144&lt;=113.15,E144&lt;=0.15,F144&lt;=15.77,G144&lt;=0.18,H144&gt;33.27))*0</f>
        <v/>
      </c>
      <c r="R144">
        <f>--(AND(D144&lt;=113.15,E144&lt;=0.15,F144&lt;=15.77,G144&gt;0.18))*0</f>
        <v/>
      </c>
      <c r="S144">
        <f>--(AND(D144&lt;=113.15,E144&lt;=0.15,F144&gt;15.77,H144&lt;=28.86,G144&lt;=0.14))*0</f>
        <v/>
      </c>
      <c r="T144">
        <f>--(AND(D144&lt;=113.15,E144&lt;=0.15,F144&gt;15.77,H144&lt;=28.86,G144&gt;0.14))*1</f>
        <v/>
      </c>
      <c r="U144">
        <f>--(AND(D144&lt;=113.15,E144&lt;=0.15,F144&gt;15.77,H144&gt;28.86,M144&lt;=14.54))*1</f>
        <v/>
      </c>
      <c r="V144">
        <f>--(AND(D144&lt;=113.15,E144&lt;=0.15,F144&gt;15.77,H144&gt;28.86,M144&gt;14.54))*1</f>
        <v/>
      </c>
      <c r="W144">
        <f>--(AND(D144&lt;=113.15,E144&gt;0.15,H144&lt;=23.74))*0</f>
        <v/>
      </c>
      <c r="X144">
        <f>--(AND(D144&lt;=113.15,E144&gt;0.15,H144&gt;23.74,J144&lt;=0.1))*1</f>
        <v/>
      </c>
      <c r="Y144">
        <f>--(AND(D144&lt;=113.15,E144&gt;0.15,H144&gt;23.74,J144&gt;0.1))*1</f>
        <v/>
      </c>
      <c r="Z144">
        <f>--(AND(D144&gt;113.15,K144&lt;=0.22,L144&lt;=0.02))*1</f>
        <v/>
      </c>
      <c r="AA144">
        <f>--(AND(D144&gt;113.15,K144&lt;=0.22,L144&gt;0.02))*0</f>
        <v/>
      </c>
      <c r="AB144">
        <f>--(AND(D144&gt;113.15,K144&gt;0.22,N144&lt;=810.1))*0</f>
        <v/>
      </c>
      <c r="AC144">
        <f>--(AND(D144&gt;113.15,K144&gt;0.22,N144&gt;810.1,I144&lt;=14.95))*1</f>
        <v/>
      </c>
      <c r="AD144">
        <f>--(AND(D144&gt;113.15,K144&gt;0.22,N144&gt;810.1,I144&gt;14.95))*1</f>
        <v/>
      </c>
      <c r="AE144">
        <f>SUM(P144:AD144)</f>
        <v/>
      </c>
      <c r="AF144">
        <f>IF(AE144=1,"Malignant","Benign")</f>
        <v/>
      </c>
      <c r="AG144">
        <f>--(AE144=C144)</f>
        <v/>
      </c>
    </row>
    <row r="145">
      <c r="A145">
        <f>BreastCancer_Data!A145</f>
        <v/>
      </c>
      <c r="B145">
        <f>BreastCancer_Data!B145</f>
        <v/>
      </c>
      <c r="C145">
        <f>BreastCancer_Data!D145</f>
        <v/>
      </c>
      <c r="D145">
        <f>BreastCancer_Data!E145</f>
        <v/>
      </c>
      <c r="E145">
        <f>BreastCancer_Data!F145</f>
        <v/>
      </c>
      <c r="F145">
        <f>BreastCancer_Data!G145</f>
        <v/>
      </c>
      <c r="G145">
        <f>BreastCancer_Data!H145</f>
        <v/>
      </c>
      <c r="H145">
        <f>BreastCancer_Data!I145</f>
        <v/>
      </c>
      <c r="I145">
        <f>BreastCancer_Data!J145</f>
        <v/>
      </c>
      <c r="J145">
        <f>BreastCancer_Data!K145</f>
        <v/>
      </c>
      <c r="K145">
        <f>BreastCancer_Data!L145</f>
        <v/>
      </c>
      <c r="L145">
        <f>BreastCancer_Data!M145</f>
        <v/>
      </c>
      <c r="M145">
        <f>BreastCancer_Data!N145</f>
        <v/>
      </c>
      <c r="N145">
        <f>BreastCancer_Data!O145</f>
        <v/>
      </c>
      <c r="O145">
        <f>0</f>
        <v/>
      </c>
      <c r="P145">
        <f>--(AND(D145&lt;=113.15,E145&lt;=0.15,F145&lt;=15.77,G145&lt;=0.18,H145&lt;=33.27))*0</f>
        <v/>
      </c>
      <c r="Q145">
        <f>--(AND(D145&lt;=113.15,E145&lt;=0.15,F145&lt;=15.77,G145&lt;=0.18,H145&gt;33.27))*0</f>
        <v/>
      </c>
      <c r="R145">
        <f>--(AND(D145&lt;=113.15,E145&lt;=0.15,F145&lt;=15.77,G145&gt;0.18))*0</f>
        <v/>
      </c>
      <c r="S145">
        <f>--(AND(D145&lt;=113.15,E145&lt;=0.15,F145&gt;15.77,H145&lt;=28.86,G145&lt;=0.14))*0</f>
        <v/>
      </c>
      <c r="T145">
        <f>--(AND(D145&lt;=113.15,E145&lt;=0.15,F145&gt;15.77,H145&lt;=28.86,G145&gt;0.14))*1</f>
        <v/>
      </c>
      <c r="U145">
        <f>--(AND(D145&lt;=113.15,E145&lt;=0.15,F145&gt;15.77,H145&gt;28.86,M145&lt;=14.54))*1</f>
        <v/>
      </c>
      <c r="V145">
        <f>--(AND(D145&lt;=113.15,E145&lt;=0.15,F145&gt;15.77,H145&gt;28.86,M145&gt;14.54))*1</f>
        <v/>
      </c>
      <c r="W145">
        <f>--(AND(D145&lt;=113.15,E145&gt;0.15,H145&lt;=23.74))*0</f>
        <v/>
      </c>
      <c r="X145">
        <f>--(AND(D145&lt;=113.15,E145&gt;0.15,H145&gt;23.74,J145&lt;=0.1))*1</f>
        <v/>
      </c>
      <c r="Y145">
        <f>--(AND(D145&lt;=113.15,E145&gt;0.15,H145&gt;23.74,J145&gt;0.1))*1</f>
        <v/>
      </c>
      <c r="Z145">
        <f>--(AND(D145&gt;113.15,K145&lt;=0.22,L145&lt;=0.02))*1</f>
        <v/>
      </c>
      <c r="AA145">
        <f>--(AND(D145&gt;113.15,K145&lt;=0.22,L145&gt;0.02))*0</f>
        <v/>
      </c>
      <c r="AB145">
        <f>--(AND(D145&gt;113.15,K145&gt;0.22,N145&lt;=810.1))*0</f>
        <v/>
      </c>
      <c r="AC145">
        <f>--(AND(D145&gt;113.15,K145&gt;0.22,N145&gt;810.1,I145&lt;=14.95))*1</f>
        <v/>
      </c>
      <c r="AD145">
        <f>--(AND(D145&gt;113.15,K145&gt;0.22,N145&gt;810.1,I145&gt;14.95))*1</f>
        <v/>
      </c>
      <c r="AE145">
        <f>SUM(P145:AD145)</f>
        <v/>
      </c>
      <c r="AF145">
        <f>IF(AE145=1,"Malignant","Benign")</f>
        <v/>
      </c>
      <c r="AG145">
        <f>--(AE145=C145)</f>
        <v/>
      </c>
    </row>
    <row r="146">
      <c r="A146">
        <f>BreastCancer_Data!A146</f>
        <v/>
      </c>
      <c r="B146">
        <f>BreastCancer_Data!B146</f>
        <v/>
      </c>
      <c r="C146">
        <f>BreastCancer_Data!D146</f>
        <v/>
      </c>
      <c r="D146">
        <f>BreastCancer_Data!E146</f>
        <v/>
      </c>
      <c r="E146">
        <f>BreastCancer_Data!F146</f>
        <v/>
      </c>
      <c r="F146">
        <f>BreastCancer_Data!G146</f>
        <v/>
      </c>
      <c r="G146">
        <f>BreastCancer_Data!H146</f>
        <v/>
      </c>
      <c r="H146">
        <f>BreastCancer_Data!I146</f>
        <v/>
      </c>
      <c r="I146">
        <f>BreastCancer_Data!J146</f>
        <v/>
      </c>
      <c r="J146">
        <f>BreastCancer_Data!K146</f>
        <v/>
      </c>
      <c r="K146">
        <f>BreastCancer_Data!L146</f>
        <v/>
      </c>
      <c r="L146">
        <f>BreastCancer_Data!M146</f>
        <v/>
      </c>
      <c r="M146">
        <f>BreastCancer_Data!N146</f>
        <v/>
      </c>
      <c r="N146">
        <f>BreastCancer_Data!O146</f>
        <v/>
      </c>
      <c r="O146">
        <f>0</f>
        <v/>
      </c>
      <c r="P146">
        <f>--(AND(D146&lt;=113.15,E146&lt;=0.15,F146&lt;=15.77,G146&lt;=0.18,H146&lt;=33.27))*0</f>
        <v/>
      </c>
      <c r="Q146">
        <f>--(AND(D146&lt;=113.15,E146&lt;=0.15,F146&lt;=15.77,G146&lt;=0.18,H146&gt;33.27))*0</f>
        <v/>
      </c>
      <c r="R146">
        <f>--(AND(D146&lt;=113.15,E146&lt;=0.15,F146&lt;=15.77,G146&gt;0.18))*0</f>
        <v/>
      </c>
      <c r="S146">
        <f>--(AND(D146&lt;=113.15,E146&lt;=0.15,F146&gt;15.77,H146&lt;=28.86,G146&lt;=0.14))*0</f>
        <v/>
      </c>
      <c r="T146">
        <f>--(AND(D146&lt;=113.15,E146&lt;=0.15,F146&gt;15.77,H146&lt;=28.86,G146&gt;0.14))*1</f>
        <v/>
      </c>
      <c r="U146">
        <f>--(AND(D146&lt;=113.15,E146&lt;=0.15,F146&gt;15.77,H146&gt;28.86,M146&lt;=14.54))*1</f>
        <v/>
      </c>
      <c r="V146">
        <f>--(AND(D146&lt;=113.15,E146&lt;=0.15,F146&gt;15.77,H146&gt;28.86,M146&gt;14.54))*1</f>
        <v/>
      </c>
      <c r="W146">
        <f>--(AND(D146&lt;=113.15,E146&gt;0.15,H146&lt;=23.74))*0</f>
        <v/>
      </c>
      <c r="X146">
        <f>--(AND(D146&lt;=113.15,E146&gt;0.15,H146&gt;23.74,J146&lt;=0.1))*1</f>
        <v/>
      </c>
      <c r="Y146">
        <f>--(AND(D146&lt;=113.15,E146&gt;0.15,H146&gt;23.74,J146&gt;0.1))*1</f>
        <v/>
      </c>
      <c r="Z146">
        <f>--(AND(D146&gt;113.15,K146&lt;=0.22,L146&lt;=0.02))*1</f>
        <v/>
      </c>
      <c r="AA146">
        <f>--(AND(D146&gt;113.15,K146&lt;=0.22,L146&gt;0.02))*0</f>
        <v/>
      </c>
      <c r="AB146">
        <f>--(AND(D146&gt;113.15,K146&gt;0.22,N146&lt;=810.1))*0</f>
        <v/>
      </c>
      <c r="AC146">
        <f>--(AND(D146&gt;113.15,K146&gt;0.22,N146&gt;810.1,I146&lt;=14.95))*1</f>
        <v/>
      </c>
      <c r="AD146">
        <f>--(AND(D146&gt;113.15,K146&gt;0.22,N146&gt;810.1,I146&gt;14.95))*1</f>
        <v/>
      </c>
      <c r="AE146">
        <f>SUM(P146:AD146)</f>
        <v/>
      </c>
      <c r="AF146">
        <f>IF(AE146=1,"Malignant","Benign")</f>
        <v/>
      </c>
      <c r="AG146">
        <f>--(AE146=C146)</f>
        <v/>
      </c>
    </row>
    <row r="147">
      <c r="A147">
        <f>BreastCancer_Data!A147</f>
        <v/>
      </c>
      <c r="B147">
        <f>BreastCancer_Data!B147</f>
        <v/>
      </c>
      <c r="C147">
        <f>BreastCancer_Data!D147</f>
        <v/>
      </c>
      <c r="D147">
        <f>BreastCancer_Data!E147</f>
        <v/>
      </c>
      <c r="E147">
        <f>BreastCancer_Data!F147</f>
        <v/>
      </c>
      <c r="F147">
        <f>BreastCancer_Data!G147</f>
        <v/>
      </c>
      <c r="G147">
        <f>BreastCancer_Data!H147</f>
        <v/>
      </c>
      <c r="H147">
        <f>BreastCancer_Data!I147</f>
        <v/>
      </c>
      <c r="I147">
        <f>BreastCancer_Data!J147</f>
        <v/>
      </c>
      <c r="J147">
        <f>BreastCancer_Data!K147</f>
        <v/>
      </c>
      <c r="K147">
        <f>BreastCancer_Data!L147</f>
        <v/>
      </c>
      <c r="L147">
        <f>BreastCancer_Data!M147</f>
        <v/>
      </c>
      <c r="M147">
        <f>BreastCancer_Data!N147</f>
        <v/>
      </c>
      <c r="N147">
        <f>BreastCancer_Data!O147</f>
        <v/>
      </c>
      <c r="O147">
        <f>0</f>
        <v/>
      </c>
      <c r="P147">
        <f>--(AND(D147&lt;=113.15,E147&lt;=0.15,F147&lt;=15.77,G147&lt;=0.18,H147&lt;=33.27))*0</f>
        <v/>
      </c>
      <c r="Q147">
        <f>--(AND(D147&lt;=113.15,E147&lt;=0.15,F147&lt;=15.77,G147&lt;=0.18,H147&gt;33.27))*0</f>
        <v/>
      </c>
      <c r="R147">
        <f>--(AND(D147&lt;=113.15,E147&lt;=0.15,F147&lt;=15.77,G147&gt;0.18))*0</f>
        <v/>
      </c>
      <c r="S147">
        <f>--(AND(D147&lt;=113.15,E147&lt;=0.15,F147&gt;15.77,H147&lt;=28.86,G147&lt;=0.14))*0</f>
        <v/>
      </c>
      <c r="T147">
        <f>--(AND(D147&lt;=113.15,E147&lt;=0.15,F147&gt;15.77,H147&lt;=28.86,G147&gt;0.14))*1</f>
        <v/>
      </c>
      <c r="U147">
        <f>--(AND(D147&lt;=113.15,E147&lt;=0.15,F147&gt;15.77,H147&gt;28.86,M147&lt;=14.54))*1</f>
        <v/>
      </c>
      <c r="V147">
        <f>--(AND(D147&lt;=113.15,E147&lt;=0.15,F147&gt;15.77,H147&gt;28.86,M147&gt;14.54))*1</f>
        <v/>
      </c>
      <c r="W147">
        <f>--(AND(D147&lt;=113.15,E147&gt;0.15,H147&lt;=23.74))*0</f>
        <v/>
      </c>
      <c r="X147">
        <f>--(AND(D147&lt;=113.15,E147&gt;0.15,H147&gt;23.74,J147&lt;=0.1))*1</f>
        <v/>
      </c>
      <c r="Y147">
        <f>--(AND(D147&lt;=113.15,E147&gt;0.15,H147&gt;23.74,J147&gt;0.1))*1</f>
        <v/>
      </c>
      <c r="Z147">
        <f>--(AND(D147&gt;113.15,K147&lt;=0.22,L147&lt;=0.02))*1</f>
        <v/>
      </c>
      <c r="AA147">
        <f>--(AND(D147&gt;113.15,K147&lt;=0.22,L147&gt;0.02))*0</f>
        <v/>
      </c>
      <c r="AB147">
        <f>--(AND(D147&gt;113.15,K147&gt;0.22,N147&lt;=810.1))*0</f>
        <v/>
      </c>
      <c r="AC147">
        <f>--(AND(D147&gt;113.15,K147&gt;0.22,N147&gt;810.1,I147&lt;=14.95))*1</f>
        <v/>
      </c>
      <c r="AD147">
        <f>--(AND(D147&gt;113.15,K147&gt;0.22,N147&gt;810.1,I147&gt;14.95))*1</f>
        <v/>
      </c>
      <c r="AE147">
        <f>SUM(P147:AD147)</f>
        <v/>
      </c>
      <c r="AF147">
        <f>IF(AE147=1,"Malignant","Benign")</f>
        <v/>
      </c>
      <c r="AG147">
        <f>--(AE147=C147)</f>
        <v/>
      </c>
    </row>
    <row r="148">
      <c r="A148">
        <f>BreastCancer_Data!A148</f>
        <v/>
      </c>
      <c r="B148">
        <f>BreastCancer_Data!B148</f>
        <v/>
      </c>
      <c r="C148">
        <f>BreastCancer_Data!D148</f>
        <v/>
      </c>
      <c r="D148">
        <f>BreastCancer_Data!E148</f>
        <v/>
      </c>
      <c r="E148">
        <f>BreastCancer_Data!F148</f>
        <v/>
      </c>
      <c r="F148">
        <f>BreastCancer_Data!G148</f>
        <v/>
      </c>
      <c r="G148">
        <f>BreastCancer_Data!H148</f>
        <v/>
      </c>
      <c r="H148">
        <f>BreastCancer_Data!I148</f>
        <v/>
      </c>
      <c r="I148">
        <f>BreastCancer_Data!J148</f>
        <v/>
      </c>
      <c r="J148">
        <f>BreastCancer_Data!K148</f>
        <v/>
      </c>
      <c r="K148">
        <f>BreastCancer_Data!L148</f>
        <v/>
      </c>
      <c r="L148">
        <f>BreastCancer_Data!M148</f>
        <v/>
      </c>
      <c r="M148">
        <f>BreastCancer_Data!N148</f>
        <v/>
      </c>
      <c r="N148">
        <f>BreastCancer_Data!O148</f>
        <v/>
      </c>
      <c r="O148">
        <f>0</f>
        <v/>
      </c>
      <c r="P148">
        <f>--(AND(D148&lt;=113.15,E148&lt;=0.15,F148&lt;=15.77,G148&lt;=0.18,H148&lt;=33.27))*0</f>
        <v/>
      </c>
      <c r="Q148">
        <f>--(AND(D148&lt;=113.15,E148&lt;=0.15,F148&lt;=15.77,G148&lt;=0.18,H148&gt;33.27))*0</f>
        <v/>
      </c>
      <c r="R148">
        <f>--(AND(D148&lt;=113.15,E148&lt;=0.15,F148&lt;=15.77,G148&gt;0.18))*0</f>
        <v/>
      </c>
      <c r="S148">
        <f>--(AND(D148&lt;=113.15,E148&lt;=0.15,F148&gt;15.77,H148&lt;=28.86,G148&lt;=0.14))*0</f>
        <v/>
      </c>
      <c r="T148">
        <f>--(AND(D148&lt;=113.15,E148&lt;=0.15,F148&gt;15.77,H148&lt;=28.86,G148&gt;0.14))*1</f>
        <v/>
      </c>
      <c r="U148">
        <f>--(AND(D148&lt;=113.15,E148&lt;=0.15,F148&gt;15.77,H148&gt;28.86,M148&lt;=14.54))*1</f>
        <v/>
      </c>
      <c r="V148">
        <f>--(AND(D148&lt;=113.15,E148&lt;=0.15,F148&gt;15.77,H148&gt;28.86,M148&gt;14.54))*1</f>
        <v/>
      </c>
      <c r="W148">
        <f>--(AND(D148&lt;=113.15,E148&gt;0.15,H148&lt;=23.74))*0</f>
        <v/>
      </c>
      <c r="X148">
        <f>--(AND(D148&lt;=113.15,E148&gt;0.15,H148&gt;23.74,J148&lt;=0.1))*1</f>
        <v/>
      </c>
      <c r="Y148">
        <f>--(AND(D148&lt;=113.15,E148&gt;0.15,H148&gt;23.74,J148&gt;0.1))*1</f>
        <v/>
      </c>
      <c r="Z148">
        <f>--(AND(D148&gt;113.15,K148&lt;=0.22,L148&lt;=0.02))*1</f>
        <v/>
      </c>
      <c r="AA148">
        <f>--(AND(D148&gt;113.15,K148&lt;=0.22,L148&gt;0.02))*0</f>
        <v/>
      </c>
      <c r="AB148">
        <f>--(AND(D148&gt;113.15,K148&gt;0.22,N148&lt;=810.1))*0</f>
        <v/>
      </c>
      <c r="AC148">
        <f>--(AND(D148&gt;113.15,K148&gt;0.22,N148&gt;810.1,I148&lt;=14.95))*1</f>
        <v/>
      </c>
      <c r="AD148">
        <f>--(AND(D148&gt;113.15,K148&gt;0.22,N148&gt;810.1,I148&gt;14.95))*1</f>
        <v/>
      </c>
      <c r="AE148">
        <f>SUM(P148:AD148)</f>
        <v/>
      </c>
      <c r="AF148">
        <f>IF(AE148=1,"Malignant","Benign")</f>
        <v/>
      </c>
      <c r="AG148">
        <f>--(AE148=C148)</f>
        <v/>
      </c>
    </row>
    <row r="149">
      <c r="A149">
        <f>BreastCancer_Data!A149</f>
        <v/>
      </c>
      <c r="B149">
        <f>BreastCancer_Data!B149</f>
        <v/>
      </c>
      <c r="C149">
        <f>BreastCancer_Data!D149</f>
        <v/>
      </c>
      <c r="D149">
        <f>BreastCancer_Data!E149</f>
        <v/>
      </c>
      <c r="E149">
        <f>BreastCancer_Data!F149</f>
        <v/>
      </c>
      <c r="F149">
        <f>BreastCancer_Data!G149</f>
        <v/>
      </c>
      <c r="G149">
        <f>BreastCancer_Data!H149</f>
        <v/>
      </c>
      <c r="H149">
        <f>BreastCancer_Data!I149</f>
        <v/>
      </c>
      <c r="I149">
        <f>BreastCancer_Data!J149</f>
        <v/>
      </c>
      <c r="J149">
        <f>BreastCancer_Data!K149</f>
        <v/>
      </c>
      <c r="K149">
        <f>BreastCancer_Data!L149</f>
        <v/>
      </c>
      <c r="L149">
        <f>BreastCancer_Data!M149</f>
        <v/>
      </c>
      <c r="M149">
        <f>BreastCancer_Data!N149</f>
        <v/>
      </c>
      <c r="N149">
        <f>BreastCancer_Data!O149</f>
        <v/>
      </c>
      <c r="O149">
        <f>0</f>
        <v/>
      </c>
      <c r="P149">
        <f>--(AND(D149&lt;=113.15,E149&lt;=0.15,F149&lt;=15.77,G149&lt;=0.18,H149&lt;=33.27))*0</f>
        <v/>
      </c>
      <c r="Q149">
        <f>--(AND(D149&lt;=113.15,E149&lt;=0.15,F149&lt;=15.77,G149&lt;=0.18,H149&gt;33.27))*0</f>
        <v/>
      </c>
      <c r="R149">
        <f>--(AND(D149&lt;=113.15,E149&lt;=0.15,F149&lt;=15.77,G149&gt;0.18))*0</f>
        <v/>
      </c>
      <c r="S149">
        <f>--(AND(D149&lt;=113.15,E149&lt;=0.15,F149&gt;15.77,H149&lt;=28.86,G149&lt;=0.14))*0</f>
        <v/>
      </c>
      <c r="T149">
        <f>--(AND(D149&lt;=113.15,E149&lt;=0.15,F149&gt;15.77,H149&lt;=28.86,G149&gt;0.14))*1</f>
        <v/>
      </c>
      <c r="U149">
        <f>--(AND(D149&lt;=113.15,E149&lt;=0.15,F149&gt;15.77,H149&gt;28.86,M149&lt;=14.54))*1</f>
        <v/>
      </c>
      <c r="V149">
        <f>--(AND(D149&lt;=113.15,E149&lt;=0.15,F149&gt;15.77,H149&gt;28.86,M149&gt;14.54))*1</f>
        <v/>
      </c>
      <c r="W149">
        <f>--(AND(D149&lt;=113.15,E149&gt;0.15,H149&lt;=23.74))*0</f>
        <v/>
      </c>
      <c r="X149">
        <f>--(AND(D149&lt;=113.15,E149&gt;0.15,H149&gt;23.74,J149&lt;=0.1))*1</f>
        <v/>
      </c>
      <c r="Y149">
        <f>--(AND(D149&lt;=113.15,E149&gt;0.15,H149&gt;23.74,J149&gt;0.1))*1</f>
        <v/>
      </c>
      <c r="Z149">
        <f>--(AND(D149&gt;113.15,K149&lt;=0.22,L149&lt;=0.02))*1</f>
        <v/>
      </c>
      <c r="AA149">
        <f>--(AND(D149&gt;113.15,K149&lt;=0.22,L149&gt;0.02))*0</f>
        <v/>
      </c>
      <c r="AB149">
        <f>--(AND(D149&gt;113.15,K149&gt;0.22,N149&lt;=810.1))*0</f>
        <v/>
      </c>
      <c r="AC149">
        <f>--(AND(D149&gt;113.15,K149&gt;0.22,N149&gt;810.1,I149&lt;=14.95))*1</f>
        <v/>
      </c>
      <c r="AD149">
        <f>--(AND(D149&gt;113.15,K149&gt;0.22,N149&gt;810.1,I149&gt;14.95))*1</f>
        <v/>
      </c>
      <c r="AE149">
        <f>SUM(P149:AD149)</f>
        <v/>
      </c>
      <c r="AF149">
        <f>IF(AE149=1,"Malignant","Benign")</f>
        <v/>
      </c>
      <c r="AG149">
        <f>--(AE149=C149)</f>
        <v/>
      </c>
    </row>
    <row r="150">
      <c r="A150">
        <f>BreastCancer_Data!A150</f>
        <v/>
      </c>
      <c r="B150">
        <f>BreastCancer_Data!B150</f>
        <v/>
      </c>
      <c r="C150">
        <f>BreastCancer_Data!D150</f>
        <v/>
      </c>
      <c r="D150">
        <f>BreastCancer_Data!E150</f>
        <v/>
      </c>
      <c r="E150">
        <f>BreastCancer_Data!F150</f>
        <v/>
      </c>
      <c r="F150">
        <f>BreastCancer_Data!G150</f>
        <v/>
      </c>
      <c r="G150">
        <f>BreastCancer_Data!H150</f>
        <v/>
      </c>
      <c r="H150">
        <f>BreastCancer_Data!I150</f>
        <v/>
      </c>
      <c r="I150">
        <f>BreastCancer_Data!J150</f>
        <v/>
      </c>
      <c r="J150">
        <f>BreastCancer_Data!K150</f>
        <v/>
      </c>
      <c r="K150">
        <f>BreastCancer_Data!L150</f>
        <v/>
      </c>
      <c r="L150">
        <f>BreastCancer_Data!M150</f>
        <v/>
      </c>
      <c r="M150">
        <f>BreastCancer_Data!N150</f>
        <v/>
      </c>
      <c r="N150">
        <f>BreastCancer_Data!O150</f>
        <v/>
      </c>
      <c r="O150">
        <f>0</f>
        <v/>
      </c>
      <c r="P150">
        <f>--(AND(D150&lt;=113.15,E150&lt;=0.15,F150&lt;=15.77,G150&lt;=0.18,H150&lt;=33.27))*0</f>
        <v/>
      </c>
      <c r="Q150">
        <f>--(AND(D150&lt;=113.15,E150&lt;=0.15,F150&lt;=15.77,G150&lt;=0.18,H150&gt;33.27))*0</f>
        <v/>
      </c>
      <c r="R150">
        <f>--(AND(D150&lt;=113.15,E150&lt;=0.15,F150&lt;=15.77,G150&gt;0.18))*0</f>
        <v/>
      </c>
      <c r="S150">
        <f>--(AND(D150&lt;=113.15,E150&lt;=0.15,F150&gt;15.77,H150&lt;=28.86,G150&lt;=0.14))*0</f>
        <v/>
      </c>
      <c r="T150">
        <f>--(AND(D150&lt;=113.15,E150&lt;=0.15,F150&gt;15.77,H150&lt;=28.86,G150&gt;0.14))*1</f>
        <v/>
      </c>
      <c r="U150">
        <f>--(AND(D150&lt;=113.15,E150&lt;=0.15,F150&gt;15.77,H150&gt;28.86,M150&lt;=14.54))*1</f>
        <v/>
      </c>
      <c r="V150">
        <f>--(AND(D150&lt;=113.15,E150&lt;=0.15,F150&gt;15.77,H150&gt;28.86,M150&gt;14.54))*1</f>
        <v/>
      </c>
      <c r="W150">
        <f>--(AND(D150&lt;=113.15,E150&gt;0.15,H150&lt;=23.74))*0</f>
        <v/>
      </c>
      <c r="X150">
        <f>--(AND(D150&lt;=113.15,E150&gt;0.15,H150&gt;23.74,J150&lt;=0.1))*1</f>
        <v/>
      </c>
      <c r="Y150">
        <f>--(AND(D150&lt;=113.15,E150&gt;0.15,H150&gt;23.74,J150&gt;0.1))*1</f>
        <v/>
      </c>
      <c r="Z150">
        <f>--(AND(D150&gt;113.15,K150&lt;=0.22,L150&lt;=0.02))*1</f>
        <v/>
      </c>
      <c r="AA150">
        <f>--(AND(D150&gt;113.15,K150&lt;=0.22,L150&gt;0.02))*0</f>
        <v/>
      </c>
      <c r="AB150">
        <f>--(AND(D150&gt;113.15,K150&gt;0.22,N150&lt;=810.1))*0</f>
        <v/>
      </c>
      <c r="AC150">
        <f>--(AND(D150&gt;113.15,K150&gt;0.22,N150&gt;810.1,I150&lt;=14.95))*1</f>
        <v/>
      </c>
      <c r="AD150">
        <f>--(AND(D150&gt;113.15,K150&gt;0.22,N150&gt;810.1,I150&gt;14.95))*1</f>
        <v/>
      </c>
      <c r="AE150">
        <f>SUM(P150:AD150)</f>
        <v/>
      </c>
      <c r="AF150">
        <f>IF(AE150=1,"Malignant","Benign")</f>
        <v/>
      </c>
      <c r="AG150">
        <f>--(AE150=C150)</f>
        <v/>
      </c>
    </row>
    <row r="151">
      <c r="A151">
        <f>BreastCancer_Data!A151</f>
        <v/>
      </c>
      <c r="B151">
        <f>BreastCancer_Data!B151</f>
        <v/>
      </c>
      <c r="C151">
        <f>BreastCancer_Data!D151</f>
        <v/>
      </c>
      <c r="D151">
        <f>BreastCancer_Data!E151</f>
        <v/>
      </c>
      <c r="E151">
        <f>BreastCancer_Data!F151</f>
        <v/>
      </c>
      <c r="F151">
        <f>BreastCancer_Data!G151</f>
        <v/>
      </c>
      <c r="G151">
        <f>BreastCancer_Data!H151</f>
        <v/>
      </c>
      <c r="H151">
        <f>BreastCancer_Data!I151</f>
        <v/>
      </c>
      <c r="I151">
        <f>BreastCancer_Data!J151</f>
        <v/>
      </c>
      <c r="J151">
        <f>BreastCancer_Data!K151</f>
        <v/>
      </c>
      <c r="K151">
        <f>BreastCancer_Data!L151</f>
        <v/>
      </c>
      <c r="L151">
        <f>BreastCancer_Data!M151</f>
        <v/>
      </c>
      <c r="M151">
        <f>BreastCancer_Data!N151</f>
        <v/>
      </c>
      <c r="N151">
        <f>BreastCancer_Data!O151</f>
        <v/>
      </c>
      <c r="O151">
        <f>0</f>
        <v/>
      </c>
      <c r="P151">
        <f>--(AND(D151&lt;=113.15,E151&lt;=0.15,F151&lt;=15.77,G151&lt;=0.18,H151&lt;=33.27))*0</f>
        <v/>
      </c>
      <c r="Q151">
        <f>--(AND(D151&lt;=113.15,E151&lt;=0.15,F151&lt;=15.77,G151&lt;=0.18,H151&gt;33.27))*0</f>
        <v/>
      </c>
      <c r="R151">
        <f>--(AND(D151&lt;=113.15,E151&lt;=0.15,F151&lt;=15.77,G151&gt;0.18))*0</f>
        <v/>
      </c>
      <c r="S151">
        <f>--(AND(D151&lt;=113.15,E151&lt;=0.15,F151&gt;15.77,H151&lt;=28.86,G151&lt;=0.14))*0</f>
        <v/>
      </c>
      <c r="T151">
        <f>--(AND(D151&lt;=113.15,E151&lt;=0.15,F151&gt;15.77,H151&lt;=28.86,G151&gt;0.14))*1</f>
        <v/>
      </c>
      <c r="U151">
        <f>--(AND(D151&lt;=113.15,E151&lt;=0.15,F151&gt;15.77,H151&gt;28.86,M151&lt;=14.54))*1</f>
        <v/>
      </c>
      <c r="V151">
        <f>--(AND(D151&lt;=113.15,E151&lt;=0.15,F151&gt;15.77,H151&gt;28.86,M151&gt;14.54))*1</f>
        <v/>
      </c>
      <c r="W151">
        <f>--(AND(D151&lt;=113.15,E151&gt;0.15,H151&lt;=23.74))*0</f>
        <v/>
      </c>
      <c r="X151">
        <f>--(AND(D151&lt;=113.15,E151&gt;0.15,H151&gt;23.74,J151&lt;=0.1))*1</f>
        <v/>
      </c>
      <c r="Y151">
        <f>--(AND(D151&lt;=113.15,E151&gt;0.15,H151&gt;23.74,J151&gt;0.1))*1</f>
        <v/>
      </c>
      <c r="Z151">
        <f>--(AND(D151&gt;113.15,K151&lt;=0.22,L151&lt;=0.02))*1</f>
        <v/>
      </c>
      <c r="AA151">
        <f>--(AND(D151&gt;113.15,K151&lt;=0.22,L151&gt;0.02))*0</f>
        <v/>
      </c>
      <c r="AB151">
        <f>--(AND(D151&gt;113.15,K151&gt;0.22,N151&lt;=810.1))*0</f>
        <v/>
      </c>
      <c r="AC151">
        <f>--(AND(D151&gt;113.15,K151&gt;0.22,N151&gt;810.1,I151&lt;=14.95))*1</f>
        <v/>
      </c>
      <c r="AD151">
        <f>--(AND(D151&gt;113.15,K151&gt;0.22,N151&gt;810.1,I151&gt;14.95))*1</f>
        <v/>
      </c>
      <c r="AE151">
        <f>SUM(P151:AD151)</f>
        <v/>
      </c>
      <c r="AF151">
        <f>IF(AE151=1,"Malignant","Benign")</f>
        <v/>
      </c>
      <c r="AG151">
        <f>--(AE151=C151)</f>
        <v/>
      </c>
    </row>
    <row r="152">
      <c r="A152">
        <f>BreastCancer_Data!A152</f>
        <v/>
      </c>
      <c r="B152">
        <f>BreastCancer_Data!B152</f>
        <v/>
      </c>
      <c r="C152">
        <f>BreastCancer_Data!D152</f>
        <v/>
      </c>
      <c r="D152">
        <f>BreastCancer_Data!E152</f>
        <v/>
      </c>
      <c r="E152">
        <f>BreastCancer_Data!F152</f>
        <v/>
      </c>
      <c r="F152">
        <f>BreastCancer_Data!G152</f>
        <v/>
      </c>
      <c r="G152">
        <f>BreastCancer_Data!H152</f>
        <v/>
      </c>
      <c r="H152">
        <f>BreastCancer_Data!I152</f>
        <v/>
      </c>
      <c r="I152">
        <f>BreastCancer_Data!J152</f>
        <v/>
      </c>
      <c r="J152">
        <f>BreastCancer_Data!K152</f>
        <v/>
      </c>
      <c r="K152">
        <f>BreastCancer_Data!L152</f>
        <v/>
      </c>
      <c r="L152">
        <f>BreastCancer_Data!M152</f>
        <v/>
      </c>
      <c r="M152">
        <f>BreastCancer_Data!N152</f>
        <v/>
      </c>
      <c r="N152">
        <f>BreastCancer_Data!O152</f>
        <v/>
      </c>
      <c r="O152">
        <f>0</f>
        <v/>
      </c>
      <c r="P152">
        <f>--(AND(D152&lt;=113.15,E152&lt;=0.15,F152&lt;=15.77,G152&lt;=0.18,H152&lt;=33.27))*0</f>
        <v/>
      </c>
      <c r="Q152">
        <f>--(AND(D152&lt;=113.15,E152&lt;=0.15,F152&lt;=15.77,G152&lt;=0.18,H152&gt;33.27))*0</f>
        <v/>
      </c>
      <c r="R152">
        <f>--(AND(D152&lt;=113.15,E152&lt;=0.15,F152&lt;=15.77,G152&gt;0.18))*0</f>
        <v/>
      </c>
      <c r="S152">
        <f>--(AND(D152&lt;=113.15,E152&lt;=0.15,F152&gt;15.77,H152&lt;=28.86,G152&lt;=0.14))*0</f>
        <v/>
      </c>
      <c r="T152">
        <f>--(AND(D152&lt;=113.15,E152&lt;=0.15,F152&gt;15.77,H152&lt;=28.86,G152&gt;0.14))*1</f>
        <v/>
      </c>
      <c r="U152">
        <f>--(AND(D152&lt;=113.15,E152&lt;=0.15,F152&gt;15.77,H152&gt;28.86,M152&lt;=14.54))*1</f>
        <v/>
      </c>
      <c r="V152">
        <f>--(AND(D152&lt;=113.15,E152&lt;=0.15,F152&gt;15.77,H152&gt;28.86,M152&gt;14.54))*1</f>
        <v/>
      </c>
      <c r="W152">
        <f>--(AND(D152&lt;=113.15,E152&gt;0.15,H152&lt;=23.74))*0</f>
        <v/>
      </c>
      <c r="X152">
        <f>--(AND(D152&lt;=113.15,E152&gt;0.15,H152&gt;23.74,J152&lt;=0.1))*1</f>
        <v/>
      </c>
      <c r="Y152">
        <f>--(AND(D152&lt;=113.15,E152&gt;0.15,H152&gt;23.74,J152&gt;0.1))*1</f>
        <v/>
      </c>
      <c r="Z152">
        <f>--(AND(D152&gt;113.15,K152&lt;=0.22,L152&lt;=0.02))*1</f>
        <v/>
      </c>
      <c r="AA152">
        <f>--(AND(D152&gt;113.15,K152&lt;=0.22,L152&gt;0.02))*0</f>
        <v/>
      </c>
      <c r="AB152">
        <f>--(AND(D152&gt;113.15,K152&gt;0.22,N152&lt;=810.1))*0</f>
        <v/>
      </c>
      <c r="AC152">
        <f>--(AND(D152&gt;113.15,K152&gt;0.22,N152&gt;810.1,I152&lt;=14.95))*1</f>
        <v/>
      </c>
      <c r="AD152">
        <f>--(AND(D152&gt;113.15,K152&gt;0.22,N152&gt;810.1,I152&gt;14.95))*1</f>
        <v/>
      </c>
      <c r="AE152">
        <f>SUM(P152:AD152)</f>
        <v/>
      </c>
      <c r="AF152">
        <f>IF(AE152=1,"Malignant","Benign")</f>
        <v/>
      </c>
      <c r="AG152">
        <f>--(AE152=C152)</f>
        <v/>
      </c>
    </row>
    <row r="153">
      <c r="A153">
        <f>BreastCancer_Data!A153</f>
        <v/>
      </c>
      <c r="B153">
        <f>BreastCancer_Data!B153</f>
        <v/>
      </c>
      <c r="C153">
        <f>BreastCancer_Data!D153</f>
        <v/>
      </c>
      <c r="D153">
        <f>BreastCancer_Data!E153</f>
        <v/>
      </c>
      <c r="E153">
        <f>BreastCancer_Data!F153</f>
        <v/>
      </c>
      <c r="F153">
        <f>BreastCancer_Data!G153</f>
        <v/>
      </c>
      <c r="G153">
        <f>BreastCancer_Data!H153</f>
        <v/>
      </c>
      <c r="H153">
        <f>BreastCancer_Data!I153</f>
        <v/>
      </c>
      <c r="I153">
        <f>BreastCancer_Data!J153</f>
        <v/>
      </c>
      <c r="J153">
        <f>BreastCancer_Data!K153</f>
        <v/>
      </c>
      <c r="K153">
        <f>BreastCancer_Data!L153</f>
        <v/>
      </c>
      <c r="L153">
        <f>BreastCancer_Data!M153</f>
        <v/>
      </c>
      <c r="M153">
        <f>BreastCancer_Data!N153</f>
        <v/>
      </c>
      <c r="N153">
        <f>BreastCancer_Data!O153</f>
        <v/>
      </c>
      <c r="O153">
        <f>0</f>
        <v/>
      </c>
      <c r="P153">
        <f>--(AND(D153&lt;=113.15,E153&lt;=0.15,F153&lt;=15.77,G153&lt;=0.18,H153&lt;=33.27))*0</f>
        <v/>
      </c>
      <c r="Q153">
        <f>--(AND(D153&lt;=113.15,E153&lt;=0.15,F153&lt;=15.77,G153&lt;=0.18,H153&gt;33.27))*0</f>
        <v/>
      </c>
      <c r="R153">
        <f>--(AND(D153&lt;=113.15,E153&lt;=0.15,F153&lt;=15.77,G153&gt;0.18))*0</f>
        <v/>
      </c>
      <c r="S153">
        <f>--(AND(D153&lt;=113.15,E153&lt;=0.15,F153&gt;15.77,H153&lt;=28.86,G153&lt;=0.14))*0</f>
        <v/>
      </c>
      <c r="T153">
        <f>--(AND(D153&lt;=113.15,E153&lt;=0.15,F153&gt;15.77,H153&lt;=28.86,G153&gt;0.14))*1</f>
        <v/>
      </c>
      <c r="U153">
        <f>--(AND(D153&lt;=113.15,E153&lt;=0.15,F153&gt;15.77,H153&gt;28.86,M153&lt;=14.54))*1</f>
        <v/>
      </c>
      <c r="V153">
        <f>--(AND(D153&lt;=113.15,E153&lt;=0.15,F153&gt;15.77,H153&gt;28.86,M153&gt;14.54))*1</f>
        <v/>
      </c>
      <c r="W153">
        <f>--(AND(D153&lt;=113.15,E153&gt;0.15,H153&lt;=23.74))*0</f>
        <v/>
      </c>
      <c r="X153">
        <f>--(AND(D153&lt;=113.15,E153&gt;0.15,H153&gt;23.74,J153&lt;=0.1))*1</f>
        <v/>
      </c>
      <c r="Y153">
        <f>--(AND(D153&lt;=113.15,E153&gt;0.15,H153&gt;23.74,J153&gt;0.1))*1</f>
        <v/>
      </c>
      <c r="Z153">
        <f>--(AND(D153&gt;113.15,K153&lt;=0.22,L153&lt;=0.02))*1</f>
        <v/>
      </c>
      <c r="AA153">
        <f>--(AND(D153&gt;113.15,K153&lt;=0.22,L153&gt;0.02))*0</f>
        <v/>
      </c>
      <c r="AB153">
        <f>--(AND(D153&gt;113.15,K153&gt;0.22,N153&lt;=810.1))*0</f>
        <v/>
      </c>
      <c r="AC153">
        <f>--(AND(D153&gt;113.15,K153&gt;0.22,N153&gt;810.1,I153&lt;=14.95))*1</f>
        <v/>
      </c>
      <c r="AD153">
        <f>--(AND(D153&gt;113.15,K153&gt;0.22,N153&gt;810.1,I153&gt;14.95))*1</f>
        <v/>
      </c>
      <c r="AE153">
        <f>SUM(P153:AD153)</f>
        <v/>
      </c>
      <c r="AF153">
        <f>IF(AE153=1,"Malignant","Benign")</f>
        <v/>
      </c>
      <c r="AG153">
        <f>--(AE153=C153)</f>
        <v/>
      </c>
    </row>
    <row r="154">
      <c r="A154">
        <f>BreastCancer_Data!A154</f>
        <v/>
      </c>
      <c r="B154">
        <f>BreastCancer_Data!B154</f>
        <v/>
      </c>
      <c r="C154">
        <f>BreastCancer_Data!D154</f>
        <v/>
      </c>
      <c r="D154">
        <f>BreastCancer_Data!E154</f>
        <v/>
      </c>
      <c r="E154">
        <f>BreastCancer_Data!F154</f>
        <v/>
      </c>
      <c r="F154">
        <f>BreastCancer_Data!G154</f>
        <v/>
      </c>
      <c r="G154">
        <f>BreastCancer_Data!H154</f>
        <v/>
      </c>
      <c r="H154">
        <f>BreastCancer_Data!I154</f>
        <v/>
      </c>
      <c r="I154">
        <f>BreastCancer_Data!J154</f>
        <v/>
      </c>
      <c r="J154">
        <f>BreastCancer_Data!K154</f>
        <v/>
      </c>
      <c r="K154">
        <f>BreastCancer_Data!L154</f>
        <v/>
      </c>
      <c r="L154">
        <f>BreastCancer_Data!M154</f>
        <v/>
      </c>
      <c r="M154">
        <f>BreastCancer_Data!N154</f>
        <v/>
      </c>
      <c r="N154">
        <f>BreastCancer_Data!O154</f>
        <v/>
      </c>
      <c r="O154">
        <f>0</f>
        <v/>
      </c>
      <c r="P154">
        <f>--(AND(D154&lt;=113.15,E154&lt;=0.15,F154&lt;=15.77,G154&lt;=0.18,H154&lt;=33.27))*0</f>
        <v/>
      </c>
      <c r="Q154">
        <f>--(AND(D154&lt;=113.15,E154&lt;=0.15,F154&lt;=15.77,G154&lt;=0.18,H154&gt;33.27))*0</f>
        <v/>
      </c>
      <c r="R154">
        <f>--(AND(D154&lt;=113.15,E154&lt;=0.15,F154&lt;=15.77,G154&gt;0.18))*0</f>
        <v/>
      </c>
      <c r="S154">
        <f>--(AND(D154&lt;=113.15,E154&lt;=0.15,F154&gt;15.77,H154&lt;=28.86,G154&lt;=0.14))*0</f>
        <v/>
      </c>
      <c r="T154">
        <f>--(AND(D154&lt;=113.15,E154&lt;=0.15,F154&gt;15.77,H154&lt;=28.86,G154&gt;0.14))*1</f>
        <v/>
      </c>
      <c r="U154">
        <f>--(AND(D154&lt;=113.15,E154&lt;=0.15,F154&gt;15.77,H154&gt;28.86,M154&lt;=14.54))*1</f>
        <v/>
      </c>
      <c r="V154">
        <f>--(AND(D154&lt;=113.15,E154&lt;=0.15,F154&gt;15.77,H154&gt;28.86,M154&gt;14.54))*1</f>
        <v/>
      </c>
      <c r="W154">
        <f>--(AND(D154&lt;=113.15,E154&gt;0.15,H154&lt;=23.74))*0</f>
        <v/>
      </c>
      <c r="X154">
        <f>--(AND(D154&lt;=113.15,E154&gt;0.15,H154&gt;23.74,J154&lt;=0.1))*1</f>
        <v/>
      </c>
      <c r="Y154">
        <f>--(AND(D154&lt;=113.15,E154&gt;0.15,H154&gt;23.74,J154&gt;0.1))*1</f>
        <v/>
      </c>
      <c r="Z154">
        <f>--(AND(D154&gt;113.15,K154&lt;=0.22,L154&lt;=0.02))*1</f>
        <v/>
      </c>
      <c r="AA154">
        <f>--(AND(D154&gt;113.15,K154&lt;=0.22,L154&gt;0.02))*0</f>
        <v/>
      </c>
      <c r="AB154">
        <f>--(AND(D154&gt;113.15,K154&gt;0.22,N154&lt;=810.1))*0</f>
        <v/>
      </c>
      <c r="AC154">
        <f>--(AND(D154&gt;113.15,K154&gt;0.22,N154&gt;810.1,I154&lt;=14.95))*1</f>
        <v/>
      </c>
      <c r="AD154">
        <f>--(AND(D154&gt;113.15,K154&gt;0.22,N154&gt;810.1,I154&gt;14.95))*1</f>
        <v/>
      </c>
      <c r="AE154">
        <f>SUM(P154:AD154)</f>
        <v/>
      </c>
      <c r="AF154">
        <f>IF(AE154=1,"Malignant","Benign")</f>
        <v/>
      </c>
      <c r="AG154">
        <f>--(AE154=C154)</f>
        <v/>
      </c>
    </row>
    <row r="155">
      <c r="A155">
        <f>BreastCancer_Data!A155</f>
        <v/>
      </c>
      <c r="B155">
        <f>BreastCancer_Data!B155</f>
        <v/>
      </c>
      <c r="C155">
        <f>BreastCancer_Data!D155</f>
        <v/>
      </c>
      <c r="D155">
        <f>BreastCancer_Data!E155</f>
        <v/>
      </c>
      <c r="E155">
        <f>BreastCancer_Data!F155</f>
        <v/>
      </c>
      <c r="F155">
        <f>BreastCancer_Data!G155</f>
        <v/>
      </c>
      <c r="G155">
        <f>BreastCancer_Data!H155</f>
        <v/>
      </c>
      <c r="H155">
        <f>BreastCancer_Data!I155</f>
        <v/>
      </c>
      <c r="I155">
        <f>BreastCancer_Data!J155</f>
        <v/>
      </c>
      <c r="J155">
        <f>BreastCancer_Data!K155</f>
        <v/>
      </c>
      <c r="K155">
        <f>BreastCancer_Data!L155</f>
        <v/>
      </c>
      <c r="L155">
        <f>BreastCancer_Data!M155</f>
        <v/>
      </c>
      <c r="M155">
        <f>BreastCancer_Data!N155</f>
        <v/>
      </c>
      <c r="N155">
        <f>BreastCancer_Data!O155</f>
        <v/>
      </c>
      <c r="O155">
        <f>0</f>
        <v/>
      </c>
      <c r="P155">
        <f>--(AND(D155&lt;=113.15,E155&lt;=0.15,F155&lt;=15.77,G155&lt;=0.18,H155&lt;=33.27))*0</f>
        <v/>
      </c>
      <c r="Q155">
        <f>--(AND(D155&lt;=113.15,E155&lt;=0.15,F155&lt;=15.77,G155&lt;=0.18,H155&gt;33.27))*0</f>
        <v/>
      </c>
      <c r="R155">
        <f>--(AND(D155&lt;=113.15,E155&lt;=0.15,F155&lt;=15.77,G155&gt;0.18))*0</f>
        <v/>
      </c>
      <c r="S155">
        <f>--(AND(D155&lt;=113.15,E155&lt;=0.15,F155&gt;15.77,H155&lt;=28.86,G155&lt;=0.14))*0</f>
        <v/>
      </c>
      <c r="T155">
        <f>--(AND(D155&lt;=113.15,E155&lt;=0.15,F155&gt;15.77,H155&lt;=28.86,G155&gt;0.14))*1</f>
        <v/>
      </c>
      <c r="U155">
        <f>--(AND(D155&lt;=113.15,E155&lt;=0.15,F155&gt;15.77,H155&gt;28.86,M155&lt;=14.54))*1</f>
        <v/>
      </c>
      <c r="V155">
        <f>--(AND(D155&lt;=113.15,E155&lt;=0.15,F155&gt;15.77,H155&gt;28.86,M155&gt;14.54))*1</f>
        <v/>
      </c>
      <c r="W155">
        <f>--(AND(D155&lt;=113.15,E155&gt;0.15,H155&lt;=23.74))*0</f>
        <v/>
      </c>
      <c r="X155">
        <f>--(AND(D155&lt;=113.15,E155&gt;0.15,H155&gt;23.74,J155&lt;=0.1))*1</f>
        <v/>
      </c>
      <c r="Y155">
        <f>--(AND(D155&lt;=113.15,E155&gt;0.15,H155&gt;23.74,J155&gt;0.1))*1</f>
        <v/>
      </c>
      <c r="Z155">
        <f>--(AND(D155&gt;113.15,K155&lt;=0.22,L155&lt;=0.02))*1</f>
        <v/>
      </c>
      <c r="AA155">
        <f>--(AND(D155&gt;113.15,K155&lt;=0.22,L155&gt;0.02))*0</f>
        <v/>
      </c>
      <c r="AB155">
        <f>--(AND(D155&gt;113.15,K155&gt;0.22,N155&lt;=810.1))*0</f>
        <v/>
      </c>
      <c r="AC155">
        <f>--(AND(D155&gt;113.15,K155&gt;0.22,N155&gt;810.1,I155&lt;=14.95))*1</f>
        <v/>
      </c>
      <c r="AD155">
        <f>--(AND(D155&gt;113.15,K155&gt;0.22,N155&gt;810.1,I155&gt;14.95))*1</f>
        <v/>
      </c>
      <c r="AE155">
        <f>SUM(P155:AD155)</f>
        <v/>
      </c>
      <c r="AF155">
        <f>IF(AE155=1,"Malignant","Benign")</f>
        <v/>
      </c>
      <c r="AG155">
        <f>--(AE155=C155)</f>
        <v/>
      </c>
    </row>
    <row r="156">
      <c r="A156">
        <f>BreastCancer_Data!A156</f>
        <v/>
      </c>
      <c r="B156">
        <f>BreastCancer_Data!B156</f>
        <v/>
      </c>
      <c r="C156">
        <f>BreastCancer_Data!D156</f>
        <v/>
      </c>
      <c r="D156">
        <f>BreastCancer_Data!E156</f>
        <v/>
      </c>
      <c r="E156">
        <f>BreastCancer_Data!F156</f>
        <v/>
      </c>
      <c r="F156">
        <f>BreastCancer_Data!G156</f>
        <v/>
      </c>
      <c r="G156">
        <f>BreastCancer_Data!H156</f>
        <v/>
      </c>
      <c r="H156">
        <f>BreastCancer_Data!I156</f>
        <v/>
      </c>
      <c r="I156">
        <f>BreastCancer_Data!J156</f>
        <v/>
      </c>
      <c r="J156">
        <f>BreastCancer_Data!K156</f>
        <v/>
      </c>
      <c r="K156">
        <f>BreastCancer_Data!L156</f>
        <v/>
      </c>
      <c r="L156">
        <f>BreastCancer_Data!M156</f>
        <v/>
      </c>
      <c r="M156">
        <f>BreastCancer_Data!N156</f>
        <v/>
      </c>
      <c r="N156">
        <f>BreastCancer_Data!O156</f>
        <v/>
      </c>
      <c r="O156">
        <f>0</f>
        <v/>
      </c>
      <c r="P156">
        <f>--(AND(D156&lt;=113.15,E156&lt;=0.15,F156&lt;=15.77,G156&lt;=0.18,H156&lt;=33.27))*0</f>
        <v/>
      </c>
      <c r="Q156">
        <f>--(AND(D156&lt;=113.15,E156&lt;=0.15,F156&lt;=15.77,G156&lt;=0.18,H156&gt;33.27))*0</f>
        <v/>
      </c>
      <c r="R156">
        <f>--(AND(D156&lt;=113.15,E156&lt;=0.15,F156&lt;=15.77,G156&gt;0.18))*0</f>
        <v/>
      </c>
      <c r="S156">
        <f>--(AND(D156&lt;=113.15,E156&lt;=0.15,F156&gt;15.77,H156&lt;=28.86,G156&lt;=0.14))*0</f>
        <v/>
      </c>
      <c r="T156">
        <f>--(AND(D156&lt;=113.15,E156&lt;=0.15,F156&gt;15.77,H156&lt;=28.86,G156&gt;0.14))*1</f>
        <v/>
      </c>
      <c r="U156">
        <f>--(AND(D156&lt;=113.15,E156&lt;=0.15,F156&gt;15.77,H156&gt;28.86,M156&lt;=14.54))*1</f>
        <v/>
      </c>
      <c r="V156">
        <f>--(AND(D156&lt;=113.15,E156&lt;=0.15,F156&gt;15.77,H156&gt;28.86,M156&gt;14.54))*1</f>
        <v/>
      </c>
      <c r="W156">
        <f>--(AND(D156&lt;=113.15,E156&gt;0.15,H156&lt;=23.74))*0</f>
        <v/>
      </c>
      <c r="X156">
        <f>--(AND(D156&lt;=113.15,E156&gt;0.15,H156&gt;23.74,J156&lt;=0.1))*1</f>
        <v/>
      </c>
      <c r="Y156">
        <f>--(AND(D156&lt;=113.15,E156&gt;0.15,H156&gt;23.74,J156&gt;0.1))*1</f>
        <v/>
      </c>
      <c r="Z156">
        <f>--(AND(D156&gt;113.15,K156&lt;=0.22,L156&lt;=0.02))*1</f>
        <v/>
      </c>
      <c r="AA156">
        <f>--(AND(D156&gt;113.15,K156&lt;=0.22,L156&gt;0.02))*0</f>
        <v/>
      </c>
      <c r="AB156">
        <f>--(AND(D156&gt;113.15,K156&gt;0.22,N156&lt;=810.1))*0</f>
        <v/>
      </c>
      <c r="AC156">
        <f>--(AND(D156&gt;113.15,K156&gt;0.22,N156&gt;810.1,I156&lt;=14.95))*1</f>
        <v/>
      </c>
      <c r="AD156">
        <f>--(AND(D156&gt;113.15,K156&gt;0.22,N156&gt;810.1,I156&gt;14.95))*1</f>
        <v/>
      </c>
      <c r="AE156">
        <f>SUM(P156:AD156)</f>
        <v/>
      </c>
      <c r="AF156">
        <f>IF(AE156=1,"Malignant","Benign")</f>
        <v/>
      </c>
      <c r="AG156">
        <f>--(AE156=C156)</f>
        <v/>
      </c>
    </row>
    <row r="157">
      <c r="A157">
        <f>BreastCancer_Data!A157</f>
        <v/>
      </c>
      <c r="B157">
        <f>BreastCancer_Data!B157</f>
        <v/>
      </c>
      <c r="C157">
        <f>BreastCancer_Data!D157</f>
        <v/>
      </c>
      <c r="D157">
        <f>BreastCancer_Data!E157</f>
        <v/>
      </c>
      <c r="E157">
        <f>BreastCancer_Data!F157</f>
        <v/>
      </c>
      <c r="F157">
        <f>BreastCancer_Data!G157</f>
        <v/>
      </c>
      <c r="G157">
        <f>BreastCancer_Data!H157</f>
        <v/>
      </c>
      <c r="H157">
        <f>BreastCancer_Data!I157</f>
        <v/>
      </c>
      <c r="I157">
        <f>BreastCancer_Data!J157</f>
        <v/>
      </c>
      <c r="J157">
        <f>BreastCancer_Data!K157</f>
        <v/>
      </c>
      <c r="K157">
        <f>BreastCancer_Data!L157</f>
        <v/>
      </c>
      <c r="L157">
        <f>BreastCancer_Data!M157</f>
        <v/>
      </c>
      <c r="M157">
        <f>BreastCancer_Data!N157</f>
        <v/>
      </c>
      <c r="N157">
        <f>BreastCancer_Data!O157</f>
        <v/>
      </c>
      <c r="O157">
        <f>0</f>
        <v/>
      </c>
      <c r="P157">
        <f>--(AND(D157&lt;=113.15,E157&lt;=0.15,F157&lt;=15.77,G157&lt;=0.18,H157&lt;=33.27))*0</f>
        <v/>
      </c>
      <c r="Q157">
        <f>--(AND(D157&lt;=113.15,E157&lt;=0.15,F157&lt;=15.77,G157&lt;=0.18,H157&gt;33.27))*0</f>
        <v/>
      </c>
      <c r="R157">
        <f>--(AND(D157&lt;=113.15,E157&lt;=0.15,F157&lt;=15.77,G157&gt;0.18))*0</f>
        <v/>
      </c>
      <c r="S157">
        <f>--(AND(D157&lt;=113.15,E157&lt;=0.15,F157&gt;15.77,H157&lt;=28.86,G157&lt;=0.14))*0</f>
        <v/>
      </c>
      <c r="T157">
        <f>--(AND(D157&lt;=113.15,E157&lt;=0.15,F157&gt;15.77,H157&lt;=28.86,G157&gt;0.14))*1</f>
        <v/>
      </c>
      <c r="U157">
        <f>--(AND(D157&lt;=113.15,E157&lt;=0.15,F157&gt;15.77,H157&gt;28.86,M157&lt;=14.54))*1</f>
        <v/>
      </c>
      <c r="V157">
        <f>--(AND(D157&lt;=113.15,E157&lt;=0.15,F157&gt;15.77,H157&gt;28.86,M157&gt;14.54))*1</f>
        <v/>
      </c>
      <c r="W157">
        <f>--(AND(D157&lt;=113.15,E157&gt;0.15,H157&lt;=23.74))*0</f>
        <v/>
      </c>
      <c r="X157">
        <f>--(AND(D157&lt;=113.15,E157&gt;0.15,H157&gt;23.74,J157&lt;=0.1))*1</f>
        <v/>
      </c>
      <c r="Y157">
        <f>--(AND(D157&lt;=113.15,E157&gt;0.15,H157&gt;23.74,J157&gt;0.1))*1</f>
        <v/>
      </c>
      <c r="Z157">
        <f>--(AND(D157&gt;113.15,K157&lt;=0.22,L157&lt;=0.02))*1</f>
        <v/>
      </c>
      <c r="AA157">
        <f>--(AND(D157&gt;113.15,K157&lt;=0.22,L157&gt;0.02))*0</f>
        <v/>
      </c>
      <c r="AB157">
        <f>--(AND(D157&gt;113.15,K157&gt;0.22,N157&lt;=810.1))*0</f>
        <v/>
      </c>
      <c r="AC157">
        <f>--(AND(D157&gt;113.15,K157&gt;0.22,N157&gt;810.1,I157&lt;=14.95))*1</f>
        <v/>
      </c>
      <c r="AD157">
        <f>--(AND(D157&gt;113.15,K157&gt;0.22,N157&gt;810.1,I157&gt;14.95))*1</f>
        <v/>
      </c>
      <c r="AE157">
        <f>SUM(P157:AD157)</f>
        <v/>
      </c>
      <c r="AF157">
        <f>IF(AE157=1,"Malignant","Benign")</f>
        <v/>
      </c>
      <c r="AG157">
        <f>--(AE157=C157)</f>
        <v/>
      </c>
    </row>
    <row r="158">
      <c r="A158">
        <f>BreastCancer_Data!A158</f>
        <v/>
      </c>
      <c r="B158">
        <f>BreastCancer_Data!B158</f>
        <v/>
      </c>
      <c r="C158">
        <f>BreastCancer_Data!D158</f>
        <v/>
      </c>
      <c r="D158">
        <f>BreastCancer_Data!E158</f>
        <v/>
      </c>
      <c r="E158">
        <f>BreastCancer_Data!F158</f>
        <v/>
      </c>
      <c r="F158">
        <f>BreastCancer_Data!G158</f>
        <v/>
      </c>
      <c r="G158">
        <f>BreastCancer_Data!H158</f>
        <v/>
      </c>
      <c r="H158">
        <f>BreastCancer_Data!I158</f>
        <v/>
      </c>
      <c r="I158">
        <f>BreastCancer_Data!J158</f>
        <v/>
      </c>
      <c r="J158">
        <f>BreastCancer_Data!K158</f>
        <v/>
      </c>
      <c r="K158">
        <f>BreastCancer_Data!L158</f>
        <v/>
      </c>
      <c r="L158">
        <f>BreastCancer_Data!M158</f>
        <v/>
      </c>
      <c r="M158">
        <f>BreastCancer_Data!N158</f>
        <v/>
      </c>
      <c r="N158">
        <f>BreastCancer_Data!O158</f>
        <v/>
      </c>
      <c r="O158">
        <f>0</f>
        <v/>
      </c>
      <c r="P158">
        <f>--(AND(D158&lt;=113.15,E158&lt;=0.15,F158&lt;=15.77,G158&lt;=0.18,H158&lt;=33.27))*0</f>
        <v/>
      </c>
      <c r="Q158">
        <f>--(AND(D158&lt;=113.15,E158&lt;=0.15,F158&lt;=15.77,G158&lt;=0.18,H158&gt;33.27))*0</f>
        <v/>
      </c>
      <c r="R158">
        <f>--(AND(D158&lt;=113.15,E158&lt;=0.15,F158&lt;=15.77,G158&gt;0.18))*0</f>
        <v/>
      </c>
      <c r="S158">
        <f>--(AND(D158&lt;=113.15,E158&lt;=0.15,F158&gt;15.77,H158&lt;=28.86,G158&lt;=0.14))*0</f>
        <v/>
      </c>
      <c r="T158">
        <f>--(AND(D158&lt;=113.15,E158&lt;=0.15,F158&gt;15.77,H158&lt;=28.86,G158&gt;0.14))*1</f>
        <v/>
      </c>
      <c r="U158">
        <f>--(AND(D158&lt;=113.15,E158&lt;=0.15,F158&gt;15.77,H158&gt;28.86,M158&lt;=14.54))*1</f>
        <v/>
      </c>
      <c r="V158">
        <f>--(AND(D158&lt;=113.15,E158&lt;=0.15,F158&gt;15.77,H158&gt;28.86,M158&gt;14.54))*1</f>
        <v/>
      </c>
      <c r="W158">
        <f>--(AND(D158&lt;=113.15,E158&gt;0.15,H158&lt;=23.74))*0</f>
        <v/>
      </c>
      <c r="X158">
        <f>--(AND(D158&lt;=113.15,E158&gt;0.15,H158&gt;23.74,J158&lt;=0.1))*1</f>
        <v/>
      </c>
      <c r="Y158">
        <f>--(AND(D158&lt;=113.15,E158&gt;0.15,H158&gt;23.74,J158&gt;0.1))*1</f>
        <v/>
      </c>
      <c r="Z158">
        <f>--(AND(D158&gt;113.15,K158&lt;=0.22,L158&lt;=0.02))*1</f>
        <v/>
      </c>
      <c r="AA158">
        <f>--(AND(D158&gt;113.15,K158&lt;=0.22,L158&gt;0.02))*0</f>
        <v/>
      </c>
      <c r="AB158">
        <f>--(AND(D158&gt;113.15,K158&gt;0.22,N158&lt;=810.1))*0</f>
        <v/>
      </c>
      <c r="AC158">
        <f>--(AND(D158&gt;113.15,K158&gt;0.22,N158&gt;810.1,I158&lt;=14.95))*1</f>
        <v/>
      </c>
      <c r="AD158">
        <f>--(AND(D158&gt;113.15,K158&gt;0.22,N158&gt;810.1,I158&gt;14.95))*1</f>
        <v/>
      </c>
      <c r="AE158">
        <f>SUM(P158:AD158)</f>
        <v/>
      </c>
      <c r="AF158">
        <f>IF(AE158=1,"Malignant","Benign")</f>
        <v/>
      </c>
      <c r="AG158">
        <f>--(AE158=C158)</f>
        <v/>
      </c>
    </row>
    <row r="159">
      <c r="A159">
        <f>BreastCancer_Data!A159</f>
        <v/>
      </c>
      <c r="B159">
        <f>BreastCancer_Data!B159</f>
        <v/>
      </c>
      <c r="C159">
        <f>BreastCancer_Data!D159</f>
        <v/>
      </c>
      <c r="D159">
        <f>BreastCancer_Data!E159</f>
        <v/>
      </c>
      <c r="E159">
        <f>BreastCancer_Data!F159</f>
        <v/>
      </c>
      <c r="F159">
        <f>BreastCancer_Data!G159</f>
        <v/>
      </c>
      <c r="G159">
        <f>BreastCancer_Data!H159</f>
        <v/>
      </c>
      <c r="H159">
        <f>BreastCancer_Data!I159</f>
        <v/>
      </c>
      <c r="I159">
        <f>BreastCancer_Data!J159</f>
        <v/>
      </c>
      <c r="J159">
        <f>BreastCancer_Data!K159</f>
        <v/>
      </c>
      <c r="K159">
        <f>BreastCancer_Data!L159</f>
        <v/>
      </c>
      <c r="L159">
        <f>BreastCancer_Data!M159</f>
        <v/>
      </c>
      <c r="M159">
        <f>BreastCancer_Data!N159</f>
        <v/>
      </c>
      <c r="N159">
        <f>BreastCancer_Data!O159</f>
        <v/>
      </c>
      <c r="O159">
        <f>0</f>
        <v/>
      </c>
      <c r="P159">
        <f>--(AND(D159&lt;=113.15,E159&lt;=0.15,F159&lt;=15.77,G159&lt;=0.18,H159&lt;=33.27))*0</f>
        <v/>
      </c>
      <c r="Q159">
        <f>--(AND(D159&lt;=113.15,E159&lt;=0.15,F159&lt;=15.77,G159&lt;=0.18,H159&gt;33.27))*0</f>
        <v/>
      </c>
      <c r="R159">
        <f>--(AND(D159&lt;=113.15,E159&lt;=0.15,F159&lt;=15.77,G159&gt;0.18))*0</f>
        <v/>
      </c>
      <c r="S159">
        <f>--(AND(D159&lt;=113.15,E159&lt;=0.15,F159&gt;15.77,H159&lt;=28.86,G159&lt;=0.14))*0</f>
        <v/>
      </c>
      <c r="T159">
        <f>--(AND(D159&lt;=113.15,E159&lt;=0.15,F159&gt;15.77,H159&lt;=28.86,G159&gt;0.14))*1</f>
        <v/>
      </c>
      <c r="U159">
        <f>--(AND(D159&lt;=113.15,E159&lt;=0.15,F159&gt;15.77,H159&gt;28.86,M159&lt;=14.54))*1</f>
        <v/>
      </c>
      <c r="V159">
        <f>--(AND(D159&lt;=113.15,E159&lt;=0.15,F159&gt;15.77,H159&gt;28.86,M159&gt;14.54))*1</f>
        <v/>
      </c>
      <c r="W159">
        <f>--(AND(D159&lt;=113.15,E159&gt;0.15,H159&lt;=23.74))*0</f>
        <v/>
      </c>
      <c r="X159">
        <f>--(AND(D159&lt;=113.15,E159&gt;0.15,H159&gt;23.74,J159&lt;=0.1))*1</f>
        <v/>
      </c>
      <c r="Y159">
        <f>--(AND(D159&lt;=113.15,E159&gt;0.15,H159&gt;23.74,J159&gt;0.1))*1</f>
        <v/>
      </c>
      <c r="Z159">
        <f>--(AND(D159&gt;113.15,K159&lt;=0.22,L159&lt;=0.02))*1</f>
        <v/>
      </c>
      <c r="AA159">
        <f>--(AND(D159&gt;113.15,K159&lt;=0.22,L159&gt;0.02))*0</f>
        <v/>
      </c>
      <c r="AB159">
        <f>--(AND(D159&gt;113.15,K159&gt;0.22,N159&lt;=810.1))*0</f>
        <v/>
      </c>
      <c r="AC159">
        <f>--(AND(D159&gt;113.15,K159&gt;0.22,N159&gt;810.1,I159&lt;=14.95))*1</f>
        <v/>
      </c>
      <c r="AD159">
        <f>--(AND(D159&gt;113.15,K159&gt;0.22,N159&gt;810.1,I159&gt;14.95))*1</f>
        <v/>
      </c>
      <c r="AE159">
        <f>SUM(P159:AD159)</f>
        <v/>
      </c>
      <c r="AF159">
        <f>IF(AE159=1,"Malignant","Benign")</f>
        <v/>
      </c>
      <c r="AG159">
        <f>--(AE159=C159)</f>
        <v/>
      </c>
    </row>
    <row r="160">
      <c r="A160">
        <f>BreastCancer_Data!A160</f>
        <v/>
      </c>
      <c r="B160">
        <f>BreastCancer_Data!B160</f>
        <v/>
      </c>
      <c r="C160">
        <f>BreastCancer_Data!D160</f>
        <v/>
      </c>
      <c r="D160">
        <f>BreastCancer_Data!E160</f>
        <v/>
      </c>
      <c r="E160">
        <f>BreastCancer_Data!F160</f>
        <v/>
      </c>
      <c r="F160">
        <f>BreastCancer_Data!G160</f>
        <v/>
      </c>
      <c r="G160">
        <f>BreastCancer_Data!H160</f>
        <v/>
      </c>
      <c r="H160">
        <f>BreastCancer_Data!I160</f>
        <v/>
      </c>
      <c r="I160">
        <f>BreastCancer_Data!J160</f>
        <v/>
      </c>
      <c r="J160">
        <f>BreastCancer_Data!K160</f>
        <v/>
      </c>
      <c r="K160">
        <f>BreastCancer_Data!L160</f>
        <v/>
      </c>
      <c r="L160">
        <f>BreastCancer_Data!M160</f>
        <v/>
      </c>
      <c r="M160">
        <f>BreastCancer_Data!N160</f>
        <v/>
      </c>
      <c r="N160">
        <f>BreastCancer_Data!O160</f>
        <v/>
      </c>
      <c r="O160">
        <f>0</f>
        <v/>
      </c>
      <c r="P160">
        <f>--(AND(D160&lt;=113.15,E160&lt;=0.15,F160&lt;=15.77,G160&lt;=0.18,H160&lt;=33.27))*0</f>
        <v/>
      </c>
      <c r="Q160">
        <f>--(AND(D160&lt;=113.15,E160&lt;=0.15,F160&lt;=15.77,G160&lt;=0.18,H160&gt;33.27))*0</f>
        <v/>
      </c>
      <c r="R160">
        <f>--(AND(D160&lt;=113.15,E160&lt;=0.15,F160&lt;=15.77,G160&gt;0.18))*0</f>
        <v/>
      </c>
      <c r="S160">
        <f>--(AND(D160&lt;=113.15,E160&lt;=0.15,F160&gt;15.77,H160&lt;=28.86,G160&lt;=0.14))*0</f>
        <v/>
      </c>
      <c r="T160">
        <f>--(AND(D160&lt;=113.15,E160&lt;=0.15,F160&gt;15.77,H160&lt;=28.86,G160&gt;0.14))*1</f>
        <v/>
      </c>
      <c r="U160">
        <f>--(AND(D160&lt;=113.15,E160&lt;=0.15,F160&gt;15.77,H160&gt;28.86,M160&lt;=14.54))*1</f>
        <v/>
      </c>
      <c r="V160">
        <f>--(AND(D160&lt;=113.15,E160&lt;=0.15,F160&gt;15.77,H160&gt;28.86,M160&gt;14.54))*1</f>
        <v/>
      </c>
      <c r="W160">
        <f>--(AND(D160&lt;=113.15,E160&gt;0.15,H160&lt;=23.74))*0</f>
        <v/>
      </c>
      <c r="X160">
        <f>--(AND(D160&lt;=113.15,E160&gt;0.15,H160&gt;23.74,J160&lt;=0.1))*1</f>
        <v/>
      </c>
      <c r="Y160">
        <f>--(AND(D160&lt;=113.15,E160&gt;0.15,H160&gt;23.74,J160&gt;0.1))*1</f>
        <v/>
      </c>
      <c r="Z160">
        <f>--(AND(D160&gt;113.15,K160&lt;=0.22,L160&lt;=0.02))*1</f>
        <v/>
      </c>
      <c r="AA160">
        <f>--(AND(D160&gt;113.15,K160&lt;=0.22,L160&gt;0.02))*0</f>
        <v/>
      </c>
      <c r="AB160">
        <f>--(AND(D160&gt;113.15,K160&gt;0.22,N160&lt;=810.1))*0</f>
        <v/>
      </c>
      <c r="AC160">
        <f>--(AND(D160&gt;113.15,K160&gt;0.22,N160&gt;810.1,I160&lt;=14.95))*1</f>
        <v/>
      </c>
      <c r="AD160">
        <f>--(AND(D160&gt;113.15,K160&gt;0.22,N160&gt;810.1,I160&gt;14.95))*1</f>
        <v/>
      </c>
      <c r="AE160">
        <f>SUM(P160:AD160)</f>
        <v/>
      </c>
      <c r="AF160">
        <f>IF(AE160=1,"Malignant","Benign")</f>
        <v/>
      </c>
      <c r="AG160">
        <f>--(AE160=C160)</f>
        <v/>
      </c>
    </row>
    <row r="161">
      <c r="A161">
        <f>BreastCancer_Data!A161</f>
        <v/>
      </c>
      <c r="B161">
        <f>BreastCancer_Data!B161</f>
        <v/>
      </c>
      <c r="C161">
        <f>BreastCancer_Data!D161</f>
        <v/>
      </c>
      <c r="D161">
        <f>BreastCancer_Data!E161</f>
        <v/>
      </c>
      <c r="E161">
        <f>BreastCancer_Data!F161</f>
        <v/>
      </c>
      <c r="F161">
        <f>BreastCancer_Data!G161</f>
        <v/>
      </c>
      <c r="G161">
        <f>BreastCancer_Data!H161</f>
        <v/>
      </c>
      <c r="H161">
        <f>BreastCancer_Data!I161</f>
        <v/>
      </c>
      <c r="I161">
        <f>BreastCancer_Data!J161</f>
        <v/>
      </c>
      <c r="J161">
        <f>BreastCancer_Data!K161</f>
        <v/>
      </c>
      <c r="K161">
        <f>BreastCancer_Data!L161</f>
        <v/>
      </c>
      <c r="L161">
        <f>BreastCancer_Data!M161</f>
        <v/>
      </c>
      <c r="M161">
        <f>BreastCancer_Data!N161</f>
        <v/>
      </c>
      <c r="N161">
        <f>BreastCancer_Data!O161</f>
        <v/>
      </c>
      <c r="O161">
        <f>0</f>
        <v/>
      </c>
      <c r="P161">
        <f>--(AND(D161&lt;=113.15,E161&lt;=0.15,F161&lt;=15.77,G161&lt;=0.18,H161&lt;=33.27))*0</f>
        <v/>
      </c>
      <c r="Q161">
        <f>--(AND(D161&lt;=113.15,E161&lt;=0.15,F161&lt;=15.77,G161&lt;=0.18,H161&gt;33.27))*0</f>
        <v/>
      </c>
      <c r="R161">
        <f>--(AND(D161&lt;=113.15,E161&lt;=0.15,F161&lt;=15.77,G161&gt;0.18))*0</f>
        <v/>
      </c>
      <c r="S161">
        <f>--(AND(D161&lt;=113.15,E161&lt;=0.15,F161&gt;15.77,H161&lt;=28.86,G161&lt;=0.14))*0</f>
        <v/>
      </c>
      <c r="T161">
        <f>--(AND(D161&lt;=113.15,E161&lt;=0.15,F161&gt;15.77,H161&lt;=28.86,G161&gt;0.14))*1</f>
        <v/>
      </c>
      <c r="U161">
        <f>--(AND(D161&lt;=113.15,E161&lt;=0.15,F161&gt;15.77,H161&gt;28.86,M161&lt;=14.54))*1</f>
        <v/>
      </c>
      <c r="V161">
        <f>--(AND(D161&lt;=113.15,E161&lt;=0.15,F161&gt;15.77,H161&gt;28.86,M161&gt;14.54))*1</f>
        <v/>
      </c>
      <c r="W161">
        <f>--(AND(D161&lt;=113.15,E161&gt;0.15,H161&lt;=23.74))*0</f>
        <v/>
      </c>
      <c r="X161">
        <f>--(AND(D161&lt;=113.15,E161&gt;0.15,H161&gt;23.74,J161&lt;=0.1))*1</f>
        <v/>
      </c>
      <c r="Y161">
        <f>--(AND(D161&lt;=113.15,E161&gt;0.15,H161&gt;23.74,J161&gt;0.1))*1</f>
        <v/>
      </c>
      <c r="Z161">
        <f>--(AND(D161&gt;113.15,K161&lt;=0.22,L161&lt;=0.02))*1</f>
        <v/>
      </c>
      <c r="AA161">
        <f>--(AND(D161&gt;113.15,K161&lt;=0.22,L161&gt;0.02))*0</f>
        <v/>
      </c>
      <c r="AB161">
        <f>--(AND(D161&gt;113.15,K161&gt;0.22,N161&lt;=810.1))*0</f>
        <v/>
      </c>
      <c r="AC161">
        <f>--(AND(D161&gt;113.15,K161&gt;0.22,N161&gt;810.1,I161&lt;=14.95))*1</f>
        <v/>
      </c>
      <c r="AD161">
        <f>--(AND(D161&gt;113.15,K161&gt;0.22,N161&gt;810.1,I161&gt;14.95))*1</f>
        <v/>
      </c>
      <c r="AE161">
        <f>SUM(P161:AD161)</f>
        <v/>
      </c>
      <c r="AF161">
        <f>IF(AE161=1,"Malignant","Benign")</f>
        <v/>
      </c>
      <c r="AG161">
        <f>--(AE161=C161)</f>
        <v/>
      </c>
    </row>
    <row r="162">
      <c r="A162">
        <f>BreastCancer_Data!A162</f>
        <v/>
      </c>
      <c r="B162">
        <f>BreastCancer_Data!B162</f>
        <v/>
      </c>
      <c r="C162">
        <f>BreastCancer_Data!D162</f>
        <v/>
      </c>
      <c r="D162">
        <f>BreastCancer_Data!E162</f>
        <v/>
      </c>
      <c r="E162">
        <f>BreastCancer_Data!F162</f>
        <v/>
      </c>
      <c r="F162">
        <f>BreastCancer_Data!G162</f>
        <v/>
      </c>
      <c r="G162">
        <f>BreastCancer_Data!H162</f>
        <v/>
      </c>
      <c r="H162">
        <f>BreastCancer_Data!I162</f>
        <v/>
      </c>
      <c r="I162">
        <f>BreastCancer_Data!J162</f>
        <v/>
      </c>
      <c r="J162">
        <f>BreastCancer_Data!K162</f>
        <v/>
      </c>
      <c r="K162">
        <f>BreastCancer_Data!L162</f>
        <v/>
      </c>
      <c r="L162">
        <f>BreastCancer_Data!M162</f>
        <v/>
      </c>
      <c r="M162">
        <f>BreastCancer_Data!N162</f>
        <v/>
      </c>
      <c r="N162">
        <f>BreastCancer_Data!O162</f>
        <v/>
      </c>
      <c r="O162">
        <f>0</f>
        <v/>
      </c>
      <c r="P162">
        <f>--(AND(D162&lt;=113.15,E162&lt;=0.15,F162&lt;=15.77,G162&lt;=0.18,H162&lt;=33.27))*0</f>
        <v/>
      </c>
      <c r="Q162">
        <f>--(AND(D162&lt;=113.15,E162&lt;=0.15,F162&lt;=15.77,G162&lt;=0.18,H162&gt;33.27))*0</f>
        <v/>
      </c>
      <c r="R162">
        <f>--(AND(D162&lt;=113.15,E162&lt;=0.15,F162&lt;=15.77,G162&gt;0.18))*0</f>
        <v/>
      </c>
      <c r="S162">
        <f>--(AND(D162&lt;=113.15,E162&lt;=0.15,F162&gt;15.77,H162&lt;=28.86,G162&lt;=0.14))*0</f>
        <v/>
      </c>
      <c r="T162">
        <f>--(AND(D162&lt;=113.15,E162&lt;=0.15,F162&gt;15.77,H162&lt;=28.86,G162&gt;0.14))*1</f>
        <v/>
      </c>
      <c r="U162">
        <f>--(AND(D162&lt;=113.15,E162&lt;=0.15,F162&gt;15.77,H162&gt;28.86,M162&lt;=14.54))*1</f>
        <v/>
      </c>
      <c r="V162">
        <f>--(AND(D162&lt;=113.15,E162&lt;=0.15,F162&gt;15.77,H162&gt;28.86,M162&gt;14.54))*1</f>
        <v/>
      </c>
      <c r="W162">
        <f>--(AND(D162&lt;=113.15,E162&gt;0.15,H162&lt;=23.74))*0</f>
        <v/>
      </c>
      <c r="X162">
        <f>--(AND(D162&lt;=113.15,E162&gt;0.15,H162&gt;23.74,J162&lt;=0.1))*1</f>
        <v/>
      </c>
      <c r="Y162">
        <f>--(AND(D162&lt;=113.15,E162&gt;0.15,H162&gt;23.74,J162&gt;0.1))*1</f>
        <v/>
      </c>
      <c r="Z162">
        <f>--(AND(D162&gt;113.15,K162&lt;=0.22,L162&lt;=0.02))*1</f>
        <v/>
      </c>
      <c r="AA162">
        <f>--(AND(D162&gt;113.15,K162&lt;=0.22,L162&gt;0.02))*0</f>
        <v/>
      </c>
      <c r="AB162">
        <f>--(AND(D162&gt;113.15,K162&gt;0.22,N162&lt;=810.1))*0</f>
        <v/>
      </c>
      <c r="AC162">
        <f>--(AND(D162&gt;113.15,K162&gt;0.22,N162&gt;810.1,I162&lt;=14.95))*1</f>
        <v/>
      </c>
      <c r="AD162">
        <f>--(AND(D162&gt;113.15,K162&gt;0.22,N162&gt;810.1,I162&gt;14.95))*1</f>
        <v/>
      </c>
      <c r="AE162">
        <f>SUM(P162:AD162)</f>
        <v/>
      </c>
      <c r="AF162">
        <f>IF(AE162=1,"Malignant","Benign")</f>
        <v/>
      </c>
      <c r="AG162">
        <f>--(AE162=C162)</f>
        <v/>
      </c>
    </row>
    <row r="163">
      <c r="A163">
        <f>BreastCancer_Data!A163</f>
        <v/>
      </c>
      <c r="B163">
        <f>BreastCancer_Data!B163</f>
        <v/>
      </c>
      <c r="C163">
        <f>BreastCancer_Data!D163</f>
        <v/>
      </c>
      <c r="D163">
        <f>BreastCancer_Data!E163</f>
        <v/>
      </c>
      <c r="E163">
        <f>BreastCancer_Data!F163</f>
        <v/>
      </c>
      <c r="F163">
        <f>BreastCancer_Data!G163</f>
        <v/>
      </c>
      <c r="G163">
        <f>BreastCancer_Data!H163</f>
        <v/>
      </c>
      <c r="H163">
        <f>BreastCancer_Data!I163</f>
        <v/>
      </c>
      <c r="I163">
        <f>BreastCancer_Data!J163</f>
        <v/>
      </c>
      <c r="J163">
        <f>BreastCancer_Data!K163</f>
        <v/>
      </c>
      <c r="K163">
        <f>BreastCancer_Data!L163</f>
        <v/>
      </c>
      <c r="L163">
        <f>BreastCancer_Data!M163</f>
        <v/>
      </c>
      <c r="M163">
        <f>BreastCancer_Data!N163</f>
        <v/>
      </c>
      <c r="N163">
        <f>BreastCancer_Data!O163</f>
        <v/>
      </c>
      <c r="O163">
        <f>0</f>
        <v/>
      </c>
      <c r="P163">
        <f>--(AND(D163&lt;=113.15,E163&lt;=0.15,F163&lt;=15.77,G163&lt;=0.18,H163&lt;=33.27))*0</f>
        <v/>
      </c>
      <c r="Q163">
        <f>--(AND(D163&lt;=113.15,E163&lt;=0.15,F163&lt;=15.77,G163&lt;=0.18,H163&gt;33.27))*0</f>
        <v/>
      </c>
      <c r="R163">
        <f>--(AND(D163&lt;=113.15,E163&lt;=0.15,F163&lt;=15.77,G163&gt;0.18))*0</f>
        <v/>
      </c>
      <c r="S163">
        <f>--(AND(D163&lt;=113.15,E163&lt;=0.15,F163&gt;15.77,H163&lt;=28.86,G163&lt;=0.14))*0</f>
        <v/>
      </c>
      <c r="T163">
        <f>--(AND(D163&lt;=113.15,E163&lt;=0.15,F163&gt;15.77,H163&lt;=28.86,G163&gt;0.14))*1</f>
        <v/>
      </c>
      <c r="U163">
        <f>--(AND(D163&lt;=113.15,E163&lt;=0.15,F163&gt;15.77,H163&gt;28.86,M163&lt;=14.54))*1</f>
        <v/>
      </c>
      <c r="V163">
        <f>--(AND(D163&lt;=113.15,E163&lt;=0.15,F163&gt;15.77,H163&gt;28.86,M163&gt;14.54))*1</f>
        <v/>
      </c>
      <c r="W163">
        <f>--(AND(D163&lt;=113.15,E163&gt;0.15,H163&lt;=23.74))*0</f>
        <v/>
      </c>
      <c r="X163">
        <f>--(AND(D163&lt;=113.15,E163&gt;0.15,H163&gt;23.74,J163&lt;=0.1))*1</f>
        <v/>
      </c>
      <c r="Y163">
        <f>--(AND(D163&lt;=113.15,E163&gt;0.15,H163&gt;23.74,J163&gt;0.1))*1</f>
        <v/>
      </c>
      <c r="Z163">
        <f>--(AND(D163&gt;113.15,K163&lt;=0.22,L163&lt;=0.02))*1</f>
        <v/>
      </c>
      <c r="AA163">
        <f>--(AND(D163&gt;113.15,K163&lt;=0.22,L163&gt;0.02))*0</f>
        <v/>
      </c>
      <c r="AB163">
        <f>--(AND(D163&gt;113.15,K163&gt;0.22,N163&lt;=810.1))*0</f>
        <v/>
      </c>
      <c r="AC163">
        <f>--(AND(D163&gt;113.15,K163&gt;0.22,N163&gt;810.1,I163&lt;=14.95))*1</f>
        <v/>
      </c>
      <c r="AD163">
        <f>--(AND(D163&gt;113.15,K163&gt;0.22,N163&gt;810.1,I163&gt;14.95))*1</f>
        <v/>
      </c>
      <c r="AE163">
        <f>SUM(P163:AD163)</f>
        <v/>
      </c>
      <c r="AF163">
        <f>IF(AE163=1,"Malignant","Benign")</f>
        <v/>
      </c>
      <c r="AG163">
        <f>--(AE163=C163)</f>
        <v/>
      </c>
    </row>
    <row r="164">
      <c r="A164">
        <f>BreastCancer_Data!A164</f>
        <v/>
      </c>
      <c r="B164">
        <f>BreastCancer_Data!B164</f>
        <v/>
      </c>
      <c r="C164">
        <f>BreastCancer_Data!D164</f>
        <v/>
      </c>
      <c r="D164">
        <f>BreastCancer_Data!E164</f>
        <v/>
      </c>
      <c r="E164">
        <f>BreastCancer_Data!F164</f>
        <v/>
      </c>
      <c r="F164">
        <f>BreastCancer_Data!G164</f>
        <v/>
      </c>
      <c r="G164">
        <f>BreastCancer_Data!H164</f>
        <v/>
      </c>
      <c r="H164">
        <f>BreastCancer_Data!I164</f>
        <v/>
      </c>
      <c r="I164">
        <f>BreastCancer_Data!J164</f>
        <v/>
      </c>
      <c r="J164">
        <f>BreastCancer_Data!K164</f>
        <v/>
      </c>
      <c r="K164">
        <f>BreastCancer_Data!L164</f>
        <v/>
      </c>
      <c r="L164">
        <f>BreastCancer_Data!M164</f>
        <v/>
      </c>
      <c r="M164">
        <f>BreastCancer_Data!N164</f>
        <v/>
      </c>
      <c r="N164">
        <f>BreastCancer_Data!O164</f>
        <v/>
      </c>
      <c r="O164">
        <f>0</f>
        <v/>
      </c>
      <c r="P164">
        <f>--(AND(D164&lt;=113.15,E164&lt;=0.15,F164&lt;=15.77,G164&lt;=0.18,H164&lt;=33.27))*0</f>
        <v/>
      </c>
      <c r="Q164">
        <f>--(AND(D164&lt;=113.15,E164&lt;=0.15,F164&lt;=15.77,G164&lt;=0.18,H164&gt;33.27))*0</f>
        <v/>
      </c>
      <c r="R164">
        <f>--(AND(D164&lt;=113.15,E164&lt;=0.15,F164&lt;=15.77,G164&gt;0.18))*0</f>
        <v/>
      </c>
      <c r="S164">
        <f>--(AND(D164&lt;=113.15,E164&lt;=0.15,F164&gt;15.77,H164&lt;=28.86,G164&lt;=0.14))*0</f>
        <v/>
      </c>
      <c r="T164">
        <f>--(AND(D164&lt;=113.15,E164&lt;=0.15,F164&gt;15.77,H164&lt;=28.86,G164&gt;0.14))*1</f>
        <v/>
      </c>
      <c r="U164">
        <f>--(AND(D164&lt;=113.15,E164&lt;=0.15,F164&gt;15.77,H164&gt;28.86,M164&lt;=14.54))*1</f>
        <v/>
      </c>
      <c r="V164">
        <f>--(AND(D164&lt;=113.15,E164&lt;=0.15,F164&gt;15.77,H164&gt;28.86,M164&gt;14.54))*1</f>
        <v/>
      </c>
      <c r="W164">
        <f>--(AND(D164&lt;=113.15,E164&gt;0.15,H164&lt;=23.74))*0</f>
        <v/>
      </c>
      <c r="X164">
        <f>--(AND(D164&lt;=113.15,E164&gt;0.15,H164&gt;23.74,J164&lt;=0.1))*1</f>
        <v/>
      </c>
      <c r="Y164">
        <f>--(AND(D164&lt;=113.15,E164&gt;0.15,H164&gt;23.74,J164&gt;0.1))*1</f>
        <v/>
      </c>
      <c r="Z164">
        <f>--(AND(D164&gt;113.15,K164&lt;=0.22,L164&lt;=0.02))*1</f>
        <v/>
      </c>
      <c r="AA164">
        <f>--(AND(D164&gt;113.15,K164&lt;=0.22,L164&gt;0.02))*0</f>
        <v/>
      </c>
      <c r="AB164">
        <f>--(AND(D164&gt;113.15,K164&gt;0.22,N164&lt;=810.1))*0</f>
        <v/>
      </c>
      <c r="AC164">
        <f>--(AND(D164&gt;113.15,K164&gt;0.22,N164&gt;810.1,I164&lt;=14.95))*1</f>
        <v/>
      </c>
      <c r="AD164">
        <f>--(AND(D164&gt;113.15,K164&gt;0.22,N164&gt;810.1,I164&gt;14.95))*1</f>
        <v/>
      </c>
      <c r="AE164">
        <f>SUM(P164:AD164)</f>
        <v/>
      </c>
      <c r="AF164">
        <f>IF(AE164=1,"Malignant","Benign")</f>
        <v/>
      </c>
      <c r="AG164">
        <f>--(AE164=C164)</f>
        <v/>
      </c>
    </row>
    <row r="165">
      <c r="A165">
        <f>BreastCancer_Data!A165</f>
        <v/>
      </c>
      <c r="B165">
        <f>BreastCancer_Data!B165</f>
        <v/>
      </c>
      <c r="C165">
        <f>BreastCancer_Data!D165</f>
        <v/>
      </c>
      <c r="D165">
        <f>BreastCancer_Data!E165</f>
        <v/>
      </c>
      <c r="E165">
        <f>BreastCancer_Data!F165</f>
        <v/>
      </c>
      <c r="F165">
        <f>BreastCancer_Data!G165</f>
        <v/>
      </c>
      <c r="G165">
        <f>BreastCancer_Data!H165</f>
        <v/>
      </c>
      <c r="H165">
        <f>BreastCancer_Data!I165</f>
        <v/>
      </c>
      <c r="I165">
        <f>BreastCancer_Data!J165</f>
        <v/>
      </c>
      <c r="J165">
        <f>BreastCancer_Data!K165</f>
        <v/>
      </c>
      <c r="K165">
        <f>BreastCancer_Data!L165</f>
        <v/>
      </c>
      <c r="L165">
        <f>BreastCancer_Data!M165</f>
        <v/>
      </c>
      <c r="M165">
        <f>BreastCancer_Data!N165</f>
        <v/>
      </c>
      <c r="N165">
        <f>BreastCancer_Data!O165</f>
        <v/>
      </c>
      <c r="O165">
        <f>0</f>
        <v/>
      </c>
      <c r="P165">
        <f>--(AND(D165&lt;=113.15,E165&lt;=0.15,F165&lt;=15.77,G165&lt;=0.18,H165&lt;=33.27))*0</f>
        <v/>
      </c>
      <c r="Q165">
        <f>--(AND(D165&lt;=113.15,E165&lt;=0.15,F165&lt;=15.77,G165&lt;=0.18,H165&gt;33.27))*0</f>
        <v/>
      </c>
      <c r="R165">
        <f>--(AND(D165&lt;=113.15,E165&lt;=0.15,F165&lt;=15.77,G165&gt;0.18))*0</f>
        <v/>
      </c>
      <c r="S165">
        <f>--(AND(D165&lt;=113.15,E165&lt;=0.15,F165&gt;15.77,H165&lt;=28.86,G165&lt;=0.14))*0</f>
        <v/>
      </c>
      <c r="T165">
        <f>--(AND(D165&lt;=113.15,E165&lt;=0.15,F165&gt;15.77,H165&lt;=28.86,G165&gt;0.14))*1</f>
        <v/>
      </c>
      <c r="U165">
        <f>--(AND(D165&lt;=113.15,E165&lt;=0.15,F165&gt;15.77,H165&gt;28.86,M165&lt;=14.54))*1</f>
        <v/>
      </c>
      <c r="V165">
        <f>--(AND(D165&lt;=113.15,E165&lt;=0.15,F165&gt;15.77,H165&gt;28.86,M165&gt;14.54))*1</f>
        <v/>
      </c>
      <c r="W165">
        <f>--(AND(D165&lt;=113.15,E165&gt;0.15,H165&lt;=23.74))*0</f>
        <v/>
      </c>
      <c r="X165">
        <f>--(AND(D165&lt;=113.15,E165&gt;0.15,H165&gt;23.74,J165&lt;=0.1))*1</f>
        <v/>
      </c>
      <c r="Y165">
        <f>--(AND(D165&lt;=113.15,E165&gt;0.15,H165&gt;23.74,J165&gt;0.1))*1</f>
        <v/>
      </c>
      <c r="Z165">
        <f>--(AND(D165&gt;113.15,K165&lt;=0.22,L165&lt;=0.02))*1</f>
        <v/>
      </c>
      <c r="AA165">
        <f>--(AND(D165&gt;113.15,K165&lt;=0.22,L165&gt;0.02))*0</f>
        <v/>
      </c>
      <c r="AB165">
        <f>--(AND(D165&gt;113.15,K165&gt;0.22,N165&lt;=810.1))*0</f>
        <v/>
      </c>
      <c r="AC165">
        <f>--(AND(D165&gt;113.15,K165&gt;0.22,N165&gt;810.1,I165&lt;=14.95))*1</f>
        <v/>
      </c>
      <c r="AD165">
        <f>--(AND(D165&gt;113.15,K165&gt;0.22,N165&gt;810.1,I165&gt;14.95))*1</f>
        <v/>
      </c>
      <c r="AE165">
        <f>SUM(P165:AD165)</f>
        <v/>
      </c>
      <c r="AF165">
        <f>IF(AE165=1,"Malignant","Benign")</f>
        <v/>
      </c>
      <c r="AG165">
        <f>--(AE165=C165)</f>
        <v/>
      </c>
    </row>
    <row r="166">
      <c r="A166">
        <f>BreastCancer_Data!A166</f>
        <v/>
      </c>
      <c r="B166">
        <f>BreastCancer_Data!B166</f>
        <v/>
      </c>
      <c r="C166">
        <f>BreastCancer_Data!D166</f>
        <v/>
      </c>
      <c r="D166">
        <f>BreastCancer_Data!E166</f>
        <v/>
      </c>
      <c r="E166">
        <f>BreastCancer_Data!F166</f>
        <v/>
      </c>
      <c r="F166">
        <f>BreastCancer_Data!G166</f>
        <v/>
      </c>
      <c r="G166">
        <f>BreastCancer_Data!H166</f>
        <v/>
      </c>
      <c r="H166">
        <f>BreastCancer_Data!I166</f>
        <v/>
      </c>
      <c r="I166">
        <f>BreastCancer_Data!J166</f>
        <v/>
      </c>
      <c r="J166">
        <f>BreastCancer_Data!K166</f>
        <v/>
      </c>
      <c r="K166">
        <f>BreastCancer_Data!L166</f>
        <v/>
      </c>
      <c r="L166">
        <f>BreastCancer_Data!M166</f>
        <v/>
      </c>
      <c r="M166">
        <f>BreastCancer_Data!N166</f>
        <v/>
      </c>
      <c r="N166">
        <f>BreastCancer_Data!O166</f>
        <v/>
      </c>
      <c r="O166">
        <f>0</f>
        <v/>
      </c>
      <c r="P166">
        <f>--(AND(D166&lt;=113.15,E166&lt;=0.15,F166&lt;=15.77,G166&lt;=0.18,H166&lt;=33.27))*0</f>
        <v/>
      </c>
      <c r="Q166">
        <f>--(AND(D166&lt;=113.15,E166&lt;=0.15,F166&lt;=15.77,G166&lt;=0.18,H166&gt;33.27))*0</f>
        <v/>
      </c>
      <c r="R166">
        <f>--(AND(D166&lt;=113.15,E166&lt;=0.15,F166&lt;=15.77,G166&gt;0.18))*0</f>
        <v/>
      </c>
      <c r="S166">
        <f>--(AND(D166&lt;=113.15,E166&lt;=0.15,F166&gt;15.77,H166&lt;=28.86,G166&lt;=0.14))*0</f>
        <v/>
      </c>
      <c r="T166">
        <f>--(AND(D166&lt;=113.15,E166&lt;=0.15,F166&gt;15.77,H166&lt;=28.86,G166&gt;0.14))*1</f>
        <v/>
      </c>
      <c r="U166">
        <f>--(AND(D166&lt;=113.15,E166&lt;=0.15,F166&gt;15.77,H166&gt;28.86,M166&lt;=14.54))*1</f>
        <v/>
      </c>
      <c r="V166">
        <f>--(AND(D166&lt;=113.15,E166&lt;=0.15,F166&gt;15.77,H166&gt;28.86,M166&gt;14.54))*1</f>
        <v/>
      </c>
      <c r="W166">
        <f>--(AND(D166&lt;=113.15,E166&gt;0.15,H166&lt;=23.74))*0</f>
        <v/>
      </c>
      <c r="X166">
        <f>--(AND(D166&lt;=113.15,E166&gt;0.15,H166&gt;23.74,J166&lt;=0.1))*1</f>
        <v/>
      </c>
      <c r="Y166">
        <f>--(AND(D166&lt;=113.15,E166&gt;0.15,H166&gt;23.74,J166&gt;0.1))*1</f>
        <v/>
      </c>
      <c r="Z166">
        <f>--(AND(D166&gt;113.15,K166&lt;=0.22,L166&lt;=0.02))*1</f>
        <v/>
      </c>
      <c r="AA166">
        <f>--(AND(D166&gt;113.15,K166&lt;=0.22,L166&gt;0.02))*0</f>
        <v/>
      </c>
      <c r="AB166">
        <f>--(AND(D166&gt;113.15,K166&gt;0.22,N166&lt;=810.1))*0</f>
        <v/>
      </c>
      <c r="AC166">
        <f>--(AND(D166&gt;113.15,K166&gt;0.22,N166&gt;810.1,I166&lt;=14.95))*1</f>
        <v/>
      </c>
      <c r="AD166">
        <f>--(AND(D166&gt;113.15,K166&gt;0.22,N166&gt;810.1,I166&gt;14.95))*1</f>
        <v/>
      </c>
      <c r="AE166">
        <f>SUM(P166:AD166)</f>
        <v/>
      </c>
      <c r="AF166">
        <f>IF(AE166=1,"Malignant","Benign")</f>
        <v/>
      </c>
      <c r="AG166">
        <f>--(AE166=C166)</f>
        <v/>
      </c>
    </row>
    <row r="167">
      <c r="A167">
        <f>BreastCancer_Data!A167</f>
        <v/>
      </c>
      <c r="B167">
        <f>BreastCancer_Data!B167</f>
        <v/>
      </c>
      <c r="C167">
        <f>BreastCancer_Data!D167</f>
        <v/>
      </c>
      <c r="D167">
        <f>BreastCancer_Data!E167</f>
        <v/>
      </c>
      <c r="E167">
        <f>BreastCancer_Data!F167</f>
        <v/>
      </c>
      <c r="F167">
        <f>BreastCancer_Data!G167</f>
        <v/>
      </c>
      <c r="G167">
        <f>BreastCancer_Data!H167</f>
        <v/>
      </c>
      <c r="H167">
        <f>BreastCancer_Data!I167</f>
        <v/>
      </c>
      <c r="I167">
        <f>BreastCancer_Data!J167</f>
        <v/>
      </c>
      <c r="J167">
        <f>BreastCancer_Data!K167</f>
        <v/>
      </c>
      <c r="K167">
        <f>BreastCancer_Data!L167</f>
        <v/>
      </c>
      <c r="L167">
        <f>BreastCancer_Data!M167</f>
        <v/>
      </c>
      <c r="M167">
        <f>BreastCancer_Data!N167</f>
        <v/>
      </c>
      <c r="N167">
        <f>BreastCancer_Data!O167</f>
        <v/>
      </c>
      <c r="O167">
        <f>0</f>
        <v/>
      </c>
      <c r="P167">
        <f>--(AND(D167&lt;=113.15,E167&lt;=0.15,F167&lt;=15.77,G167&lt;=0.18,H167&lt;=33.27))*0</f>
        <v/>
      </c>
      <c r="Q167">
        <f>--(AND(D167&lt;=113.15,E167&lt;=0.15,F167&lt;=15.77,G167&lt;=0.18,H167&gt;33.27))*0</f>
        <v/>
      </c>
      <c r="R167">
        <f>--(AND(D167&lt;=113.15,E167&lt;=0.15,F167&lt;=15.77,G167&gt;0.18))*0</f>
        <v/>
      </c>
      <c r="S167">
        <f>--(AND(D167&lt;=113.15,E167&lt;=0.15,F167&gt;15.77,H167&lt;=28.86,G167&lt;=0.14))*0</f>
        <v/>
      </c>
      <c r="T167">
        <f>--(AND(D167&lt;=113.15,E167&lt;=0.15,F167&gt;15.77,H167&lt;=28.86,G167&gt;0.14))*1</f>
        <v/>
      </c>
      <c r="U167">
        <f>--(AND(D167&lt;=113.15,E167&lt;=0.15,F167&gt;15.77,H167&gt;28.86,M167&lt;=14.54))*1</f>
        <v/>
      </c>
      <c r="V167">
        <f>--(AND(D167&lt;=113.15,E167&lt;=0.15,F167&gt;15.77,H167&gt;28.86,M167&gt;14.54))*1</f>
        <v/>
      </c>
      <c r="W167">
        <f>--(AND(D167&lt;=113.15,E167&gt;0.15,H167&lt;=23.74))*0</f>
        <v/>
      </c>
      <c r="X167">
        <f>--(AND(D167&lt;=113.15,E167&gt;0.15,H167&gt;23.74,J167&lt;=0.1))*1</f>
        <v/>
      </c>
      <c r="Y167">
        <f>--(AND(D167&lt;=113.15,E167&gt;0.15,H167&gt;23.74,J167&gt;0.1))*1</f>
        <v/>
      </c>
      <c r="Z167">
        <f>--(AND(D167&gt;113.15,K167&lt;=0.22,L167&lt;=0.02))*1</f>
        <v/>
      </c>
      <c r="AA167">
        <f>--(AND(D167&gt;113.15,K167&lt;=0.22,L167&gt;0.02))*0</f>
        <v/>
      </c>
      <c r="AB167">
        <f>--(AND(D167&gt;113.15,K167&gt;0.22,N167&lt;=810.1))*0</f>
        <v/>
      </c>
      <c r="AC167">
        <f>--(AND(D167&gt;113.15,K167&gt;0.22,N167&gt;810.1,I167&lt;=14.95))*1</f>
        <v/>
      </c>
      <c r="AD167">
        <f>--(AND(D167&gt;113.15,K167&gt;0.22,N167&gt;810.1,I167&gt;14.95))*1</f>
        <v/>
      </c>
      <c r="AE167">
        <f>SUM(P167:AD167)</f>
        <v/>
      </c>
      <c r="AF167">
        <f>IF(AE167=1,"Malignant","Benign")</f>
        <v/>
      </c>
      <c r="AG167">
        <f>--(AE167=C167)</f>
        <v/>
      </c>
    </row>
    <row r="168">
      <c r="A168">
        <f>BreastCancer_Data!A168</f>
        <v/>
      </c>
      <c r="B168">
        <f>BreastCancer_Data!B168</f>
        <v/>
      </c>
      <c r="C168">
        <f>BreastCancer_Data!D168</f>
        <v/>
      </c>
      <c r="D168">
        <f>BreastCancer_Data!E168</f>
        <v/>
      </c>
      <c r="E168">
        <f>BreastCancer_Data!F168</f>
        <v/>
      </c>
      <c r="F168">
        <f>BreastCancer_Data!G168</f>
        <v/>
      </c>
      <c r="G168">
        <f>BreastCancer_Data!H168</f>
        <v/>
      </c>
      <c r="H168">
        <f>BreastCancer_Data!I168</f>
        <v/>
      </c>
      <c r="I168">
        <f>BreastCancer_Data!J168</f>
        <v/>
      </c>
      <c r="J168">
        <f>BreastCancer_Data!K168</f>
        <v/>
      </c>
      <c r="K168">
        <f>BreastCancer_Data!L168</f>
        <v/>
      </c>
      <c r="L168">
        <f>BreastCancer_Data!M168</f>
        <v/>
      </c>
      <c r="M168">
        <f>BreastCancer_Data!N168</f>
        <v/>
      </c>
      <c r="N168">
        <f>BreastCancer_Data!O168</f>
        <v/>
      </c>
      <c r="O168">
        <f>0</f>
        <v/>
      </c>
      <c r="P168">
        <f>--(AND(D168&lt;=113.15,E168&lt;=0.15,F168&lt;=15.77,G168&lt;=0.18,H168&lt;=33.27))*0</f>
        <v/>
      </c>
      <c r="Q168">
        <f>--(AND(D168&lt;=113.15,E168&lt;=0.15,F168&lt;=15.77,G168&lt;=0.18,H168&gt;33.27))*0</f>
        <v/>
      </c>
      <c r="R168">
        <f>--(AND(D168&lt;=113.15,E168&lt;=0.15,F168&lt;=15.77,G168&gt;0.18))*0</f>
        <v/>
      </c>
      <c r="S168">
        <f>--(AND(D168&lt;=113.15,E168&lt;=0.15,F168&gt;15.77,H168&lt;=28.86,G168&lt;=0.14))*0</f>
        <v/>
      </c>
      <c r="T168">
        <f>--(AND(D168&lt;=113.15,E168&lt;=0.15,F168&gt;15.77,H168&lt;=28.86,G168&gt;0.14))*1</f>
        <v/>
      </c>
      <c r="U168">
        <f>--(AND(D168&lt;=113.15,E168&lt;=0.15,F168&gt;15.77,H168&gt;28.86,M168&lt;=14.54))*1</f>
        <v/>
      </c>
      <c r="V168">
        <f>--(AND(D168&lt;=113.15,E168&lt;=0.15,F168&gt;15.77,H168&gt;28.86,M168&gt;14.54))*1</f>
        <v/>
      </c>
      <c r="W168">
        <f>--(AND(D168&lt;=113.15,E168&gt;0.15,H168&lt;=23.74))*0</f>
        <v/>
      </c>
      <c r="X168">
        <f>--(AND(D168&lt;=113.15,E168&gt;0.15,H168&gt;23.74,J168&lt;=0.1))*1</f>
        <v/>
      </c>
      <c r="Y168">
        <f>--(AND(D168&lt;=113.15,E168&gt;0.15,H168&gt;23.74,J168&gt;0.1))*1</f>
        <v/>
      </c>
      <c r="Z168">
        <f>--(AND(D168&gt;113.15,K168&lt;=0.22,L168&lt;=0.02))*1</f>
        <v/>
      </c>
      <c r="AA168">
        <f>--(AND(D168&gt;113.15,K168&lt;=0.22,L168&gt;0.02))*0</f>
        <v/>
      </c>
      <c r="AB168">
        <f>--(AND(D168&gt;113.15,K168&gt;0.22,N168&lt;=810.1))*0</f>
        <v/>
      </c>
      <c r="AC168">
        <f>--(AND(D168&gt;113.15,K168&gt;0.22,N168&gt;810.1,I168&lt;=14.95))*1</f>
        <v/>
      </c>
      <c r="AD168">
        <f>--(AND(D168&gt;113.15,K168&gt;0.22,N168&gt;810.1,I168&gt;14.95))*1</f>
        <v/>
      </c>
      <c r="AE168">
        <f>SUM(P168:AD168)</f>
        <v/>
      </c>
      <c r="AF168">
        <f>IF(AE168=1,"Malignant","Benign")</f>
        <v/>
      </c>
      <c r="AG168">
        <f>--(AE168=C168)</f>
        <v/>
      </c>
    </row>
    <row r="169">
      <c r="A169">
        <f>BreastCancer_Data!A169</f>
        <v/>
      </c>
      <c r="B169">
        <f>BreastCancer_Data!B169</f>
        <v/>
      </c>
      <c r="C169">
        <f>BreastCancer_Data!D169</f>
        <v/>
      </c>
      <c r="D169">
        <f>BreastCancer_Data!E169</f>
        <v/>
      </c>
      <c r="E169">
        <f>BreastCancer_Data!F169</f>
        <v/>
      </c>
      <c r="F169">
        <f>BreastCancer_Data!G169</f>
        <v/>
      </c>
      <c r="G169">
        <f>BreastCancer_Data!H169</f>
        <v/>
      </c>
      <c r="H169">
        <f>BreastCancer_Data!I169</f>
        <v/>
      </c>
      <c r="I169">
        <f>BreastCancer_Data!J169</f>
        <v/>
      </c>
      <c r="J169">
        <f>BreastCancer_Data!K169</f>
        <v/>
      </c>
      <c r="K169">
        <f>BreastCancer_Data!L169</f>
        <v/>
      </c>
      <c r="L169">
        <f>BreastCancer_Data!M169</f>
        <v/>
      </c>
      <c r="M169">
        <f>BreastCancer_Data!N169</f>
        <v/>
      </c>
      <c r="N169">
        <f>BreastCancer_Data!O169</f>
        <v/>
      </c>
      <c r="O169">
        <f>0</f>
        <v/>
      </c>
      <c r="P169">
        <f>--(AND(D169&lt;=113.15,E169&lt;=0.15,F169&lt;=15.77,G169&lt;=0.18,H169&lt;=33.27))*0</f>
        <v/>
      </c>
      <c r="Q169">
        <f>--(AND(D169&lt;=113.15,E169&lt;=0.15,F169&lt;=15.77,G169&lt;=0.18,H169&gt;33.27))*0</f>
        <v/>
      </c>
      <c r="R169">
        <f>--(AND(D169&lt;=113.15,E169&lt;=0.15,F169&lt;=15.77,G169&gt;0.18))*0</f>
        <v/>
      </c>
      <c r="S169">
        <f>--(AND(D169&lt;=113.15,E169&lt;=0.15,F169&gt;15.77,H169&lt;=28.86,G169&lt;=0.14))*0</f>
        <v/>
      </c>
      <c r="T169">
        <f>--(AND(D169&lt;=113.15,E169&lt;=0.15,F169&gt;15.77,H169&lt;=28.86,G169&gt;0.14))*1</f>
        <v/>
      </c>
      <c r="U169">
        <f>--(AND(D169&lt;=113.15,E169&lt;=0.15,F169&gt;15.77,H169&gt;28.86,M169&lt;=14.54))*1</f>
        <v/>
      </c>
      <c r="V169">
        <f>--(AND(D169&lt;=113.15,E169&lt;=0.15,F169&gt;15.77,H169&gt;28.86,M169&gt;14.54))*1</f>
        <v/>
      </c>
      <c r="W169">
        <f>--(AND(D169&lt;=113.15,E169&gt;0.15,H169&lt;=23.74))*0</f>
        <v/>
      </c>
      <c r="X169">
        <f>--(AND(D169&lt;=113.15,E169&gt;0.15,H169&gt;23.74,J169&lt;=0.1))*1</f>
        <v/>
      </c>
      <c r="Y169">
        <f>--(AND(D169&lt;=113.15,E169&gt;0.15,H169&gt;23.74,J169&gt;0.1))*1</f>
        <v/>
      </c>
      <c r="Z169">
        <f>--(AND(D169&gt;113.15,K169&lt;=0.22,L169&lt;=0.02))*1</f>
        <v/>
      </c>
      <c r="AA169">
        <f>--(AND(D169&gt;113.15,K169&lt;=0.22,L169&gt;0.02))*0</f>
        <v/>
      </c>
      <c r="AB169">
        <f>--(AND(D169&gt;113.15,K169&gt;0.22,N169&lt;=810.1))*0</f>
        <v/>
      </c>
      <c r="AC169">
        <f>--(AND(D169&gt;113.15,K169&gt;0.22,N169&gt;810.1,I169&lt;=14.95))*1</f>
        <v/>
      </c>
      <c r="AD169">
        <f>--(AND(D169&gt;113.15,K169&gt;0.22,N169&gt;810.1,I169&gt;14.95))*1</f>
        <v/>
      </c>
      <c r="AE169">
        <f>SUM(P169:AD169)</f>
        <v/>
      </c>
      <c r="AF169">
        <f>IF(AE169=1,"Malignant","Benign")</f>
        <v/>
      </c>
      <c r="AG169">
        <f>--(AE169=C169)</f>
        <v/>
      </c>
    </row>
    <row r="170">
      <c r="A170">
        <f>BreastCancer_Data!A170</f>
        <v/>
      </c>
      <c r="B170">
        <f>BreastCancer_Data!B170</f>
        <v/>
      </c>
      <c r="C170">
        <f>BreastCancer_Data!D170</f>
        <v/>
      </c>
      <c r="D170">
        <f>BreastCancer_Data!E170</f>
        <v/>
      </c>
      <c r="E170">
        <f>BreastCancer_Data!F170</f>
        <v/>
      </c>
      <c r="F170">
        <f>BreastCancer_Data!G170</f>
        <v/>
      </c>
      <c r="G170">
        <f>BreastCancer_Data!H170</f>
        <v/>
      </c>
      <c r="H170">
        <f>BreastCancer_Data!I170</f>
        <v/>
      </c>
      <c r="I170">
        <f>BreastCancer_Data!J170</f>
        <v/>
      </c>
      <c r="J170">
        <f>BreastCancer_Data!K170</f>
        <v/>
      </c>
      <c r="K170">
        <f>BreastCancer_Data!L170</f>
        <v/>
      </c>
      <c r="L170">
        <f>BreastCancer_Data!M170</f>
        <v/>
      </c>
      <c r="M170">
        <f>BreastCancer_Data!N170</f>
        <v/>
      </c>
      <c r="N170">
        <f>BreastCancer_Data!O170</f>
        <v/>
      </c>
      <c r="O170">
        <f>0</f>
        <v/>
      </c>
      <c r="P170">
        <f>--(AND(D170&lt;=113.15,E170&lt;=0.15,F170&lt;=15.77,G170&lt;=0.18,H170&lt;=33.27))*0</f>
        <v/>
      </c>
      <c r="Q170">
        <f>--(AND(D170&lt;=113.15,E170&lt;=0.15,F170&lt;=15.77,G170&lt;=0.18,H170&gt;33.27))*0</f>
        <v/>
      </c>
      <c r="R170">
        <f>--(AND(D170&lt;=113.15,E170&lt;=0.15,F170&lt;=15.77,G170&gt;0.18))*0</f>
        <v/>
      </c>
      <c r="S170">
        <f>--(AND(D170&lt;=113.15,E170&lt;=0.15,F170&gt;15.77,H170&lt;=28.86,G170&lt;=0.14))*0</f>
        <v/>
      </c>
      <c r="T170">
        <f>--(AND(D170&lt;=113.15,E170&lt;=0.15,F170&gt;15.77,H170&lt;=28.86,G170&gt;0.14))*1</f>
        <v/>
      </c>
      <c r="U170">
        <f>--(AND(D170&lt;=113.15,E170&lt;=0.15,F170&gt;15.77,H170&gt;28.86,M170&lt;=14.54))*1</f>
        <v/>
      </c>
      <c r="V170">
        <f>--(AND(D170&lt;=113.15,E170&lt;=0.15,F170&gt;15.77,H170&gt;28.86,M170&gt;14.54))*1</f>
        <v/>
      </c>
      <c r="W170">
        <f>--(AND(D170&lt;=113.15,E170&gt;0.15,H170&lt;=23.74))*0</f>
        <v/>
      </c>
      <c r="X170">
        <f>--(AND(D170&lt;=113.15,E170&gt;0.15,H170&gt;23.74,J170&lt;=0.1))*1</f>
        <v/>
      </c>
      <c r="Y170">
        <f>--(AND(D170&lt;=113.15,E170&gt;0.15,H170&gt;23.74,J170&gt;0.1))*1</f>
        <v/>
      </c>
      <c r="Z170">
        <f>--(AND(D170&gt;113.15,K170&lt;=0.22,L170&lt;=0.02))*1</f>
        <v/>
      </c>
      <c r="AA170">
        <f>--(AND(D170&gt;113.15,K170&lt;=0.22,L170&gt;0.02))*0</f>
        <v/>
      </c>
      <c r="AB170">
        <f>--(AND(D170&gt;113.15,K170&gt;0.22,N170&lt;=810.1))*0</f>
        <v/>
      </c>
      <c r="AC170">
        <f>--(AND(D170&gt;113.15,K170&gt;0.22,N170&gt;810.1,I170&lt;=14.95))*1</f>
        <v/>
      </c>
      <c r="AD170">
        <f>--(AND(D170&gt;113.15,K170&gt;0.22,N170&gt;810.1,I170&gt;14.95))*1</f>
        <v/>
      </c>
      <c r="AE170">
        <f>SUM(P170:AD170)</f>
        <v/>
      </c>
      <c r="AF170">
        <f>IF(AE170=1,"Malignant","Benign")</f>
        <v/>
      </c>
      <c r="AG170">
        <f>--(AE170=C170)</f>
        <v/>
      </c>
    </row>
    <row r="171">
      <c r="A171">
        <f>BreastCancer_Data!A171</f>
        <v/>
      </c>
      <c r="B171">
        <f>BreastCancer_Data!B171</f>
        <v/>
      </c>
      <c r="C171">
        <f>BreastCancer_Data!D171</f>
        <v/>
      </c>
      <c r="D171">
        <f>BreastCancer_Data!E171</f>
        <v/>
      </c>
      <c r="E171">
        <f>BreastCancer_Data!F171</f>
        <v/>
      </c>
      <c r="F171">
        <f>BreastCancer_Data!G171</f>
        <v/>
      </c>
      <c r="G171">
        <f>BreastCancer_Data!H171</f>
        <v/>
      </c>
      <c r="H171">
        <f>BreastCancer_Data!I171</f>
        <v/>
      </c>
      <c r="I171">
        <f>BreastCancer_Data!J171</f>
        <v/>
      </c>
      <c r="J171">
        <f>BreastCancer_Data!K171</f>
        <v/>
      </c>
      <c r="K171">
        <f>BreastCancer_Data!L171</f>
        <v/>
      </c>
      <c r="L171">
        <f>BreastCancer_Data!M171</f>
        <v/>
      </c>
      <c r="M171">
        <f>BreastCancer_Data!N171</f>
        <v/>
      </c>
      <c r="N171">
        <f>BreastCancer_Data!O171</f>
        <v/>
      </c>
      <c r="O171">
        <f>0</f>
        <v/>
      </c>
      <c r="P171">
        <f>--(AND(D171&lt;=113.15,E171&lt;=0.15,F171&lt;=15.77,G171&lt;=0.18,H171&lt;=33.27))*0</f>
        <v/>
      </c>
      <c r="Q171">
        <f>--(AND(D171&lt;=113.15,E171&lt;=0.15,F171&lt;=15.77,G171&lt;=0.18,H171&gt;33.27))*0</f>
        <v/>
      </c>
      <c r="R171">
        <f>--(AND(D171&lt;=113.15,E171&lt;=0.15,F171&lt;=15.77,G171&gt;0.18))*0</f>
        <v/>
      </c>
      <c r="S171">
        <f>--(AND(D171&lt;=113.15,E171&lt;=0.15,F171&gt;15.77,H171&lt;=28.86,G171&lt;=0.14))*0</f>
        <v/>
      </c>
      <c r="T171">
        <f>--(AND(D171&lt;=113.15,E171&lt;=0.15,F171&gt;15.77,H171&lt;=28.86,G171&gt;0.14))*1</f>
        <v/>
      </c>
      <c r="U171">
        <f>--(AND(D171&lt;=113.15,E171&lt;=0.15,F171&gt;15.77,H171&gt;28.86,M171&lt;=14.54))*1</f>
        <v/>
      </c>
      <c r="V171">
        <f>--(AND(D171&lt;=113.15,E171&lt;=0.15,F171&gt;15.77,H171&gt;28.86,M171&gt;14.54))*1</f>
        <v/>
      </c>
      <c r="W171">
        <f>--(AND(D171&lt;=113.15,E171&gt;0.15,H171&lt;=23.74))*0</f>
        <v/>
      </c>
      <c r="X171">
        <f>--(AND(D171&lt;=113.15,E171&gt;0.15,H171&gt;23.74,J171&lt;=0.1))*1</f>
        <v/>
      </c>
      <c r="Y171">
        <f>--(AND(D171&lt;=113.15,E171&gt;0.15,H171&gt;23.74,J171&gt;0.1))*1</f>
        <v/>
      </c>
      <c r="Z171">
        <f>--(AND(D171&gt;113.15,K171&lt;=0.22,L171&lt;=0.02))*1</f>
        <v/>
      </c>
      <c r="AA171">
        <f>--(AND(D171&gt;113.15,K171&lt;=0.22,L171&gt;0.02))*0</f>
        <v/>
      </c>
      <c r="AB171">
        <f>--(AND(D171&gt;113.15,K171&gt;0.22,N171&lt;=810.1))*0</f>
        <v/>
      </c>
      <c r="AC171">
        <f>--(AND(D171&gt;113.15,K171&gt;0.22,N171&gt;810.1,I171&lt;=14.95))*1</f>
        <v/>
      </c>
      <c r="AD171">
        <f>--(AND(D171&gt;113.15,K171&gt;0.22,N171&gt;810.1,I171&gt;14.95))*1</f>
        <v/>
      </c>
      <c r="AE171">
        <f>SUM(P171:AD171)</f>
        <v/>
      </c>
      <c r="AF171">
        <f>IF(AE171=1,"Malignant","Benign")</f>
        <v/>
      </c>
      <c r="AG171">
        <f>--(AE171=C171)</f>
        <v/>
      </c>
    </row>
    <row r="172">
      <c r="A172">
        <f>BreastCancer_Data!A172</f>
        <v/>
      </c>
      <c r="B172">
        <f>BreastCancer_Data!B172</f>
        <v/>
      </c>
      <c r="C172">
        <f>BreastCancer_Data!D172</f>
        <v/>
      </c>
      <c r="D172">
        <f>BreastCancer_Data!E172</f>
        <v/>
      </c>
      <c r="E172">
        <f>BreastCancer_Data!F172</f>
        <v/>
      </c>
      <c r="F172">
        <f>BreastCancer_Data!G172</f>
        <v/>
      </c>
      <c r="G172">
        <f>BreastCancer_Data!H172</f>
        <v/>
      </c>
      <c r="H172">
        <f>BreastCancer_Data!I172</f>
        <v/>
      </c>
      <c r="I172">
        <f>BreastCancer_Data!J172</f>
        <v/>
      </c>
      <c r="J172">
        <f>BreastCancer_Data!K172</f>
        <v/>
      </c>
      <c r="K172">
        <f>BreastCancer_Data!L172</f>
        <v/>
      </c>
      <c r="L172">
        <f>BreastCancer_Data!M172</f>
        <v/>
      </c>
      <c r="M172">
        <f>BreastCancer_Data!N172</f>
        <v/>
      </c>
      <c r="N172">
        <f>BreastCancer_Data!O172</f>
        <v/>
      </c>
      <c r="O172">
        <f>0</f>
        <v/>
      </c>
      <c r="P172">
        <f>--(AND(D172&lt;=113.15,E172&lt;=0.15,F172&lt;=15.77,G172&lt;=0.18,H172&lt;=33.27))*0</f>
        <v/>
      </c>
      <c r="Q172">
        <f>--(AND(D172&lt;=113.15,E172&lt;=0.15,F172&lt;=15.77,G172&lt;=0.18,H172&gt;33.27))*0</f>
        <v/>
      </c>
      <c r="R172">
        <f>--(AND(D172&lt;=113.15,E172&lt;=0.15,F172&lt;=15.77,G172&gt;0.18))*0</f>
        <v/>
      </c>
      <c r="S172">
        <f>--(AND(D172&lt;=113.15,E172&lt;=0.15,F172&gt;15.77,H172&lt;=28.86,G172&lt;=0.14))*0</f>
        <v/>
      </c>
      <c r="T172">
        <f>--(AND(D172&lt;=113.15,E172&lt;=0.15,F172&gt;15.77,H172&lt;=28.86,G172&gt;0.14))*1</f>
        <v/>
      </c>
      <c r="U172">
        <f>--(AND(D172&lt;=113.15,E172&lt;=0.15,F172&gt;15.77,H172&gt;28.86,M172&lt;=14.54))*1</f>
        <v/>
      </c>
      <c r="V172">
        <f>--(AND(D172&lt;=113.15,E172&lt;=0.15,F172&gt;15.77,H172&gt;28.86,M172&gt;14.54))*1</f>
        <v/>
      </c>
      <c r="W172">
        <f>--(AND(D172&lt;=113.15,E172&gt;0.15,H172&lt;=23.74))*0</f>
        <v/>
      </c>
      <c r="X172">
        <f>--(AND(D172&lt;=113.15,E172&gt;0.15,H172&gt;23.74,J172&lt;=0.1))*1</f>
        <v/>
      </c>
      <c r="Y172">
        <f>--(AND(D172&lt;=113.15,E172&gt;0.15,H172&gt;23.74,J172&gt;0.1))*1</f>
        <v/>
      </c>
      <c r="Z172">
        <f>--(AND(D172&gt;113.15,K172&lt;=0.22,L172&lt;=0.02))*1</f>
        <v/>
      </c>
      <c r="AA172">
        <f>--(AND(D172&gt;113.15,K172&lt;=0.22,L172&gt;0.02))*0</f>
        <v/>
      </c>
      <c r="AB172">
        <f>--(AND(D172&gt;113.15,K172&gt;0.22,N172&lt;=810.1))*0</f>
        <v/>
      </c>
      <c r="AC172">
        <f>--(AND(D172&gt;113.15,K172&gt;0.22,N172&gt;810.1,I172&lt;=14.95))*1</f>
        <v/>
      </c>
      <c r="AD172">
        <f>--(AND(D172&gt;113.15,K172&gt;0.22,N172&gt;810.1,I172&gt;14.95))*1</f>
        <v/>
      </c>
      <c r="AE172">
        <f>SUM(P172:AD172)</f>
        <v/>
      </c>
      <c r="AF172">
        <f>IF(AE172=1,"Malignant","Benign")</f>
        <v/>
      </c>
      <c r="AG172">
        <f>--(AE172=C172)</f>
        <v/>
      </c>
    </row>
    <row r="173">
      <c r="A173">
        <f>BreastCancer_Data!A173</f>
        <v/>
      </c>
      <c r="B173">
        <f>BreastCancer_Data!B173</f>
        <v/>
      </c>
      <c r="C173">
        <f>BreastCancer_Data!D173</f>
        <v/>
      </c>
      <c r="D173">
        <f>BreastCancer_Data!E173</f>
        <v/>
      </c>
      <c r="E173">
        <f>BreastCancer_Data!F173</f>
        <v/>
      </c>
      <c r="F173">
        <f>BreastCancer_Data!G173</f>
        <v/>
      </c>
      <c r="G173">
        <f>BreastCancer_Data!H173</f>
        <v/>
      </c>
      <c r="H173">
        <f>BreastCancer_Data!I173</f>
        <v/>
      </c>
      <c r="I173">
        <f>BreastCancer_Data!J173</f>
        <v/>
      </c>
      <c r="J173">
        <f>BreastCancer_Data!K173</f>
        <v/>
      </c>
      <c r="K173">
        <f>BreastCancer_Data!L173</f>
        <v/>
      </c>
      <c r="L173">
        <f>BreastCancer_Data!M173</f>
        <v/>
      </c>
      <c r="M173">
        <f>BreastCancer_Data!N173</f>
        <v/>
      </c>
      <c r="N173">
        <f>BreastCancer_Data!O173</f>
        <v/>
      </c>
      <c r="O173">
        <f>0</f>
        <v/>
      </c>
      <c r="P173">
        <f>--(AND(D173&lt;=113.15,E173&lt;=0.15,F173&lt;=15.77,G173&lt;=0.18,H173&lt;=33.27))*0</f>
        <v/>
      </c>
      <c r="Q173">
        <f>--(AND(D173&lt;=113.15,E173&lt;=0.15,F173&lt;=15.77,G173&lt;=0.18,H173&gt;33.27))*0</f>
        <v/>
      </c>
      <c r="R173">
        <f>--(AND(D173&lt;=113.15,E173&lt;=0.15,F173&lt;=15.77,G173&gt;0.18))*0</f>
        <v/>
      </c>
      <c r="S173">
        <f>--(AND(D173&lt;=113.15,E173&lt;=0.15,F173&gt;15.77,H173&lt;=28.86,G173&lt;=0.14))*0</f>
        <v/>
      </c>
      <c r="T173">
        <f>--(AND(D173&lt;=113.15,E173&lt;=0.15,F173&gt;15.77,H173&lt;=28.86,G173&gt;0.14))*1</f>
        <v/>
      </c>
      <c r="U173">
        <f>--(AND(D173&lt;=113.15,E173&lt;=0.15,F173&gt;15.77,H173&gt;28.86,M173&lt;=14.54))*1</f>
        <v/>
      </c>
      <c r="V173">
        <f>--(AND(D173&lt;=113.15,E173&lt;=0.15,F173&gt;15.77,H173&gt;28.86,M173&gt;14.54))*1</f>
        <v/>
      </c>
      <c r="W173">
        <f>--(AND(D173&lt;=113.15,E173&gt;0.15,H173&lt;=23.74))*0</f>
        <v/>
      </c>
      <c r="X173">
        <f>--(AND(D173&lt;=113.15,E173&gt;0.15,H173&gt;23.74,J173&lt;=0.1))*1</f>
        <v/>
      </c>
      <c r="Y173">
        <f>--(AND(D173&lt;=113.15,E173&gt;0.15,H173&gt;23.74,J173&gt;0.1))*1</f>
        <v/>
      </c>
      <c r="Z173">
        <f>--(AND(D173&gt;113.15,K173&lt;=0.22,L173&lt;=0.02))*1</f>
        <v/>
      </c>
      <c r="AA173">
        <f>--(AND(D173&gt;113.15,K173&lt;=0.22,L173&gt;0.02))*0</f>
        <v/>
      </c>
      <c r="AB173">
        <f>--(AND(D173&gt;113.15,K173&gt;0.22,N173&lt;=810.1))*0</f>
        <v/>
      </c>
      <c r="AC173">
        <f>--(AND(D173&gt;113.15,K173&gt;0.22,N173&gt;810.1,I173&lt;=14.95))*1</f>
        <v/>
      </c>
      <c r="AD173">
        <f>--(AND(D173&gt;113.15,K173&gt;0.22,N173&gt;810.1,I173&gt;14.95))*1</f>
        <v/>
      </c>
      <c r="AE173">
        <f>SUM(P173:AD173)</f>
        <v/>
      </c>
      <c r="AF173">
        <f>IF(AE173=1,"Malignant","Benign")</f>
        <v/>
      </c>
      <c r="AG173">
        <f>--(AE173=C173)</f>
        <v/>
      </c>
    </row>
    <row r="174">
      <c r="A174">
        <f>BreastCancer_Data!A174</f>
        <v/>
      </c>
      <c r="B174">
        <f>BreastCancer_Data!B174</f>
        <v/>
      </c>
      <c r="C174">
        <f>BreastCancer_Data!D174</f>
        <v/>
      </c>
      <c r="D174">
        <f>BreastCancer_Data!E174</f>
        <v/>
      </c>
      <c r="E174">
        <f>BreastCancer_Data!F174</f>
        <v/>
      </c>
      <c r="F174">
        <f>BreastCancer_Data!G174</f>
        <v/>
      </c>
      <c r="G174">
        <f>BreastCancer_Data!H174</f>
        <v/>
      </c>
      <c r="H174">
        <f>BreastCancer_Data!I174</f>
        <v/>
      </c>
      <c r="I174">
        <f>BreastCancer_Data!J174</f>
        <v/>
      </c>
      <c r="J174">
        <f>BreastCancer_Data!K174</f>
        <v/>
      </c>
      <c r="K174">
        <f>BreastCancer_Data!L174</f>
        <v/>
      </c>
      <c r="L174">
        <f>BreastCancer_Data!M174</f>
        <v/>
      </c>
      <c r="M174">
        <f>BreastCancer_Data!N174</f>
        <v/>
      </c>
      <c r="N174">
        <f>BreastCancer_Data!O174</f>
        <v/>
      </c>
      <c r="O174">
        <f>0</f>
        <v/>
      </c>
      <c r="P174">
        <f>--(AND(D174&lt;=113.15,E174&lt;=0.15,F174&lt;=15.77,G174&lt;=0.18,H174&lt;=33.27))*0</f>
        <v/>
      </c>
      <c r="Q174">
        <f>--(AND(D174&lt;=113.15,E174&lt;=0.15,F174&lt;=15.77,G174&lt;=0.18,H174&gt;33.27))*0</f>
        <v/>
      </c>
      <c r="R174">
        <f>--(AND(D174&lt;=113.15,E174&lt;=0.15,F174&lt;=15.77,G174&gt;0.18))*0</f>
        <v/>
      </c>
      <c r="S174">
        <f>--(AND(D174&lt;=113.15,E174&lt;=0.15,F174&gt;15.77,H174&lt;=28.86,G174&lt;=0.14))*0</f>
        <v/>
      </c>
      <c r="T174">
        <f>--(AND(D174&lt;=113.15,E174&lt;=0.15,F174&gt;15.77,H174&lt;=28.86,G174&gt;0.14))*1</f>
        <v/>
      </c>
      <c r="U174">
        <f>--(AND(D174&lt;=113.15,E174&lt;=0.15,F174&gt;15.77,H174&gt;28.86,M174&lt;=14.54))*1</f>
        <v/>
      </c>
      <c r="V174">
        <f>--(AND(D174&lt;=113.15,E174&lt;=0.15,F174&gt;15.77,H174&gt;28.86,M174&gt;14.54))*1</f>
        <v/>
      </c>
      <c r="W174">
        <f>--(AND(D174&lt;=113.15,E174&gt;0.15,H174&lt;=23.74))*0</f>
        <v/>
      </c>
      <c r="X174">
        <f>--(AND(D174&lt;=113.15,E174&gt;0.15,H174&gt;23.74,J174&lt;=0.1))*1</f>
        <v/>
      </c>
      <c r="Y174">
        <f>--(AND(D174&lt;=113.15,E174&gt;0.15,H174&gt;23.74,J174&gt;0.1))*1</f>
        <v/>
      </c>
      <c r="Z174">
        <f>--(AND(D174&gt;113.15,K174&lt;=0.22,L174&lt;=0.02))*1</f>
        <v/>
      </c>
      <c r="AA174">
        <f>--(AND(D174&gt;113.15,K174&lt;=0.22,L174&gt;0.02))*0</f>
        <v/>
      </c>
      <c r="AB174">
        <f>--(AND(D174&gt;113.15,K174&gt;0.22,N174&lt;=810.1))*0</f>
        <v/>
      </c>
      <c r="AC174">
        <f>--(AND(D174&gt;113.15,K174&gt;0.22,N174&gt;810.1,I174&lt;=14.95))*1</f>
        <v/>
      </c>
      <c r="AD174">
        <f>--(AND(D174&gt;113.15,K174&gt;0.22,N174&gt;810.1,I174&gt;14.95))*1</f>
        <v/>
      </c>
      <c r="AE174">
        <f>SUM(P174:AD174)</f>
        <v/>
      </c>
      <c r="AF174">
        <f>IF(AE174=1,"Malignant","Benign")</f>
        <v/>
      </c>
      <c r="AG174">
        <f>--(AE174=C174)</f>
        <v/>
      </c>
    </row>
    <row r="175">
      <c r="A175">
        <f>BreastCancer_Data!A175</f>
        <v/>
      </c>
      <c r="B175">
        <f>BreastCancer_Data!B175</f>
        <v/>
      </c>
      <c r="C175">
        <f>BreastCancer_Data!D175</f>
        <v/>
      </c>
      <c r="D175">
        <f>BreastCancer_Data!E175</f>
        <v/>
      </c>
      <c r="E175">
        <f>BreastCancer_Data!F175</f>
        <v/>
      </c>
      <c r="F175">
        <f>BreastCancer_Data!G175</f>
        <v/>
      </c>
      <c r="G175">
        <f>BreastCancer_Data!H175</f>
        <v/>
      </c>
      <c r="H175">
        <f>BreastCancer_Data!I175</f>
        <v/>
      </c>
      <c r="I175">
        <f>BreastCancer_Data!J175</f>
        <v/>
      </c>
      <c r="J175">
        <f>BreastCancer_Data!K175</f>
        <v/>
      </c>
      <c r="K175">
        <f>BreastCancer_Data!L175</f>
        <v/>
      </c>
      <c r="L175">
        <f>BreastCancer_Data!M175</f>
        <v/>
      </c>
      <c r="M175">
        <f>BreastCancer_Data!N175</f>
        <v/>
      </c>
      <c r="N175">
        <f>BreastCancer_Data!O175</f>
        <v/>
      </c>
      <c r="O175">
        <f>0</f>
        <v/>
      </c>
      <c r="P175">
        <f>--(AND(D175&lt;=113.15,E175&lt;=0.15,F175&lt;=15.77,G175&lt;=0.18,H175&lt;=33.27))*0</f>
        <v/>
      </c>
      <c r="Q175">
        <f>--(AND(D175&lt;=113.15,E175&lt;=0.15,F175&lt;=15.77,G175&lt;=0.18,H175&gt;33.27))*0</f>
        <v/>
      </c>
      <c r="R175">
        <f>--(AND(D175&lt;=113.15,E175&lt;=0.15,F175&lt;=15.77,G175&gt;0.18))*0</f>
        <v/>
      </c>
      <c r="S175">
        <f>--(AND(D175&lt;=113.15,E175&lt;=0.15,F175&gt;15.77,H175&lt;=28.86,G175&lt;=0.14))*0</f>
        <v/>
      </c>
      <c r="T175">
        <f>--(AND(D175&lt;=113.15,E175&lt;=0.15,F175&gt;15.77,H175&lt;=28.86,G175&gt;0.14))*1</f>
        <v/>
      </c>
      <c r="U175">
        <f>--(AND(D175&lt;=113.15,E175&lt;=0.15,F175&gt;15.77,H175&gt;28.86,M175&lt;=14.54))*1</f>
        <v/>
      </c>
      <c r="V175">
        <f>--(AND(D175&lt;=113.15,E175&lt;=0.15,F175&gt;15.77,H175&gt;28.86,M175&gt;14.54))*1</f>
        <v/>
      </c>
      <c r="W175">
        <f>--(AND(D175&lt;=113.15,E175&gt;0.15,H175&lt;=23.74))*0</f>
        <v/>
      </c>
      <c r="X175">
        <f>--(AND(D175&lt;=113.15,E175&gt;0.15,H175&gt;23.74,J175&lt;=0.1))*1</f>
        <v/>
      </c>
      <c r="Y175">
        <f>--(AND(D175&lt;=113.15,E175&gt;0.15,H175&gt;23.74,J175&gt;0.1))*1</f>
        <v/>
      </c>
      <c r="Z175">
        <f>--(AND(D175&gt;113.15,K175&lt;=0.22,L175&lt;=0.02))*1</f>
        <v/>
      </c>
      <c r="AA175">
        <f>--(AND(D175&gt;113.15,K175&lt;=0.22,L175&gt;0.02))*0</f>
        <v/>
      </c>
      <c r="AB175">
        <f>--(AND(D175&gt;113.15,K175&gt;0.22,N175&lt;=810.1))*0</f>
        <v/>
      </c>
      <c r="AC175">
        <f>--(AND(D175&gt;113.15,K175&gt;0.22,N175&gt;810.1,I175&lt;=14.95))*1</f>
        <v/>
      </c>
      <c r="AD175">
        <f>--(AND(D175&gt;113.15,K175&gt;0.22,N175&gt;810.1,I175&gt;14.95))*1</f>
        <v/>
      </c>
      <c r="AE175">
        <f>SUM(P175:AD175)</f>
        <v/>
      </c>
      <c r="AF175">
        <f>IF(AE175=1,"Malignant","Benign")</f>
        <v/>
      </c>
      <c r="AG175">
        <f>--(AE175=C175)</f>
        <v/>
      </c>
    </row>
    <row r="176">
      <c r="A176">
        <f>BreastCancer_Data!A176</f>
        <v/>
      </c>
      <c r="B176">
        <f>BreastCancer_Data!B176</f>
        <v/>
      </c>
      <c r="C176">
        <f>BreastCancer_Data!D176</f>
        <v/>
      </c>
      <c r="D176">
        <f>BreastCancer_Data!E176</f>
        <v/>
      </c>
      <c r="E176">
        <f>BreastCancer_Data!F176</f>
        <v/>
      </c>
      <c r="F176">
        <f>BreastCancer_Data!G176</f>
        <v/>
      </c>
      <c r="G176">
        <f>BreastCancer_Data!H176</f>
        <v/>
      </c>
      <c r="H176">
        <f>BreastCancer_Data!I176</f>
        <v/>
      </c>
      <c r="I176">
        <f>BreastCancer_Data!J176</f>
        <v/>
      </c>
      <c r="J176">
        <f>BreastCancer_Data!K176</f>
        <v/>
      </c>
      <c r="K176">
        <f>BreastCancer_Data!L176</f>
        <v/>
      </c>
      <c r="L176">
        <f>BreastCancer_Data!M176</f>
        <v/>
      </c>
      <c r="M176">
        <f>BreastCancer_Data!N176</f>
        <v/>
      </c>
      <c r="N176">
        <f>BreastCancer_Data!O176</f>
        <v/>
      </c>
      <c r="O176">
        <f>0</f>
        <v/>
      </c>
      <c r="P176">
        <f>--(AND(D176&lt;=113.15,E176&lt;=0.15,F176&lt;=15.77,G176&lt;=0.18,H176&lt;=33.27))*0</f>
        <v/>
      </c>
      <c r="Q176">
        <f>--(AND(D176&lt;=113.15,E176&lt;=0.15,F176&lt;=15.77,G176&lt;=0.18,H176&gt;33.27))*0</f>
        <v/>
      </c>
      <c r="R176">
        <f>--(AND(D176&lt;=113.15,E176&lt;=0.15,F176&lt;=15.77,G176&gt;0.18))*0</f>
        <v/>
      </c>
      <c r="S176">
        <f>--(AND(D176&lt;=113.15,E176&lt;=0.15,F176&gt;15.77,H176&lt;=28.86,G176&lt;=0.14))*0</f>
        <v/>
      </c>
      <c r="T176">
        <f>--(AND(D176&lt;=113.15,E176&lt;=0.15,F176&gt;15.77,H176&lt;=28.86,G176&gt;0.14))*1</f>
        <v/>
      </c>
      <c r="U176">
        <f>--(AND(D176&lt;=113.15,E176&lt;=0.15,F176&gt;15.77,H176&gt;28.86,M176&lt;=14.54))*1</f>
        <v/>
      </c>
      <c r="V176">
        <f>--(AND(D176&lt;=113.15,E176&lt;=0.15,F176&gt;15.77,H176&gt;28.86,M176&gt;14.54))*1</f>
        <v/>
      </c>
      <c r="W176">
        <f>--(AND(D176&lt;=113.15,E176&gt;0.15,H176&lt;=23.74))*0</f>
        <v/>
      </c>
      <c r="X176">
        <f>--(AND(D176&lt;=113.15,E176&gt;0.15,H176&gt;23.74,J176&lt;=0.1))*1</f>
        <v/>
      </c>
      <c r="Y176">
        <f>--(AND(D176&lt;=113.15,E176&gt;0.15,H176&gt;23.74,J176&gt;0.1))*1</f>
        <v/>
      </c>
      <c r="Z176">
        <f>--(AND(D176&gt;113.15,K176&lt;=0.22,L176&lt;=0.02))*1</f>
        <v/>
      </c>
      <c r="AA176">
        <f>--(AND(D176&gt;113.15,K176&lt;=0.22,L176&gt;0.02))*0</f>
        <v/>
      </c>
      <c r="AB176">
        <f>--(AND(D176&gt;113.15,K176&gt;0.22,N176&lt;=810.1))*0</f>
        <v/>
      </c>
      <c r="AC176">
        <f>--(AND(D176&gt;113.15,K176&gt;0.22,N176&gt;810.1,I176&lt;=14.95))*1</f>
        <v/>
      </c>
      <c r="AD176">
        <f>--(AND(D176&gt;113.15,K176&gt;0.22,N176&gt;810.1,I176&gt;14.95))*1</f>
        <v/>
      </c>
      <c r="AE176">
        <f>SUM(P176:AD176)</f>
        <v/>
      </c>
      <c r="AF176">
        <f>IF(AE176=1,"Malignant","Benign")</f>
        <v/>
      </c>
      <c r="AG176">
        <f>--(AE176=C176)</f>
        <v/>
      </c>
    </row>
    <row r="177">
      <c r="A177">
        <f>BreastCancer_Data!A177</f>
        <v/>
      </c>
      <c r="B177">
        <f>BreastCancer_Data!B177</f>
        <v/>
      </c>
      <c r="C177">
        <f>BreastCancer_Data!D177</f>
        <v/>
      </c>
      <c r="D177">
        <f>BreastCancer_Data!E177</f>
        <v/>
      </c>
      <c r="E177">
        <f>BreastCancer_Data!F177</f>
        <v/>
      </c>
      <c r="F177">
        <f>BreastCancer_Data!G177</f>
        <v/>
      </c>
      <c r="G177">
        <f>BreastCancer_Data!H177</f>
        <v/>
      </c>
      <c r="H177">
        <f>BreastCancer_Data!I177</f>
        <v/>
      </c>
      <c r="I177">
        <f>BreastCancer_Data!J177</f>
        <v/>
      </c>
      <c r="J177">
        <f>BreastCancer_Data!K177</f>
        <v/>
      </c>
      <c r="K177">
        <f>BreastCancer_Data!L177</f>
        <v/>
      </c>
      <c r="L177">
        <f>BreastCancer_Data!M177</f>
        <v/>
      </c>
      <c r="M177">
        <f>BreastCancer_Data!N177</f>
        <v/>
      </c>
      <c r="N177">
        <f>BreastCancer_Data!O177</f>
        <v/>
      </c>
      <c r="O177">
        <f>0</f>
        <v/>
      </c>
      <c r="P177">
        <f>--(AND(D177&lt;=113.15,E177&lt;=0.15,F177&lt;=15.77,G177&lt;=0.18,H177&lt;=33.27))*0</f>
        <v/>
      </c>
      <c r="Q177">
        <f>--(AND(D177&lt;=113.15,E177&lt;=0.15,F177&lt;=15.77,G177&lt;=0.18,H177&gt;33.27))*0</f>
        <v/>
      </c>
      <c r="R177">
        <f>--(AND(D177&lt;=113.15,E177&lt;=0.15,F177&lt;=15.77,G177&gt;0.18))*0</f>
        <v/>
      </c>
      <c r="S177">
        <f>--(AND(D177&lt;=113.15,E177&lt;=0.15,F177&gt;15.77,H177&lt;=28.86,G177&lt;=0.14))*0</f>
        <v/>
      </c>
      <c r="T177">
        <f>--(AND(D177&lt;=113.15,E177&lt;=0.15,F177&gt;15.77,H177&lt;=28.86,G177&gt;0.14))*1</f>
        <v/>
      </c>
      <c r="U177">
        <f>--(AND(D177&lt;=113.15,E177&lt;=0.15,F177&gt;15.77,H177&gt;28.86,M177&lt;=14.54))*1</f>
        <v/>
      </c>
      <c r="V177">
        <f>--(AND(D177&lt;=113.15,E177&lt;=0.15,F177&gt;15.77,H177&gt;28.86,M177&gt;14.54))*1</f>
        <v/>
      </c>
      <c r="W177">
        <f>--(AND(D177&lt;=113.15,E177&gt;0.15,H177&lt;=23.74))*0</f>
        <v/>
      </c>
      <c r="X177">
        <f>--(AND(D177&lt;=113.15,E177&gt;0.15,H177&gt;23.74,J177&lt;=0.1))*1</f>
        <v/>
      </c>
      <c r="Y177">
        <f>--(AND(D177&lt;=113.15,E177&gt;0.15,H177&gt;23.74,J177&gt;0.1))*1</f>
        <v/>
      </c>
      <c r="Z177">
        <f>--(AND(D177&gt;113.15,K177&lt;=0.22,L177&lt;=0.02))*1</f>
        <v/>
      </c>
      <c r="AA177">
        <f>--(AND(D177&gt;113.15,K177&lt;=0.22,L177&gt;0.02))*0</f>
        <v/>
      </c>
      <c r="AB177">
        <f>--(AND(D177&gt;113.15,K177&gt;0.22,N177&lt;=810.1))*0</f>
        <v/>
      </c>
      <c r="AC177">
        <f>--(AND(D177&gt;113.15,K177&gt;0.22,N177&gt;810.1,I177&lt;=14.95))*1</f>
        <v/>
      </c>
      <c r="AD177">
        <f>--(AND(D177&gt;113.15,K177&gt;0.22,N177&gt;810.1,I177&gt;14.95))*1</f>
        <v/>
      </c>
      <c r="AE177">
        <f>SUM(P177:AD177)</f>
        <v/>
      </c>
      <c r="AF177">
        <f>IF(AE177=1,"Malignant","Benign")</f>
        <v/>
      </c>
      <c r="AG177">
        <f>--(AE177=C177)</f>
        <v/>
      </c>
    </row>
    <row r="178">
      <c r="A178">
        <f>BreastCancer_Data!A178</f>
        <v/>
      </c>
      <c r="B178">
        <f>BreastCancer_Data!B178</f>
        <v/>
      </c>
      <c r="C178">
        <f>BreastCancer_Data!D178</f>
        <v/>
      </c>
      <c r="D178">
        <f>BreastCancer_Data!E178</f>
        <v/>
      </c>
      <c r="E178">
        <f>BreastCancer_Data!F178</f>
        <v/>
      </c>
      <c r="F178">
        <f>BreastCancer_Data!G178</f>
        <v/>
      </c>
      <c r="G178">
        <f>BreastCancer_Data!H178</f>
        <v/>
      </c>
      <c r="H178">
        <f>BreastCancer_Data!I178</f>
        <v/>
      </c>
      <c r="I178">
        <f>BreastCancer_Data!J178</f>
        <v/>
      </c>
      <c r="J178">
        <f>BreastCancer_Data!K178</f>
        <v/>
      </c>
      <c r="K178">
        <f>BreastCancer_Data!L178</f>
        <v/>
      </c>
      <c r="L178">
        <f>BreastCancer_Data!M178</f>
        <v/>
      </c>
      <c r="M178">
        <f>BreastCancer_Data!N178</f>
        <v/>
      </c>
      <c r="N178">
        <f>BreastCancer_Data!O178</f>
        <v/>
      </c>
      <c r="O178">
        <f>0</f>
        <v/>
      </c>
      <c r="P178">
        <f>--(AND(D178&lt;=113.15,E178&lt;=0.15,F178&lt;=15.77,G178&lt;=0.18,H178&lt;=33.27))*0</f>
        <v/>
      </c>
      <c r="Q178">
        <f>--(AND(D178&lt;=113.15,E178&lt;=0.15,F178&lt;=15.77,G178&lt;=0.18,H178&gt;33.27))*0</f>
        <v/>
      </c>
      <c r="R178">
        <f>--(AND(D178&lt;=113.15,E178&lt;=0.15,F178&lt;=15.77,G178&gt;0.18))*0</f>
        <v/>
      </c>
      <c r="S178">
        <f>--(AND(D178&lt;=113.15,E178&lt;=0.15,F178&gt;15.77,H178&lt;=28.86,G178&lt;=0.14))*0</f>
        <v/>
      </c>
      <c r="T178">
        <f>--(AND(D178&lt;=113.15,E178&lt;=0.15,F178&gt;15.77,H178&lt;=28.86,G178&gt;0.14))*1</f>
        <v/>
      </c>
      <c r="U178">
        <f>--(AND(D178&lt;=113.15,E178&lt;=0.15,F178&gt;15.77,H178&gt;28.86,M178&lt;=14.54))*1</f>
        <v/>
      </c>
      <c r="V178">
        <f>--(AND(D178&lt;=113.15,E178&lt;=0.15,F178&gt;15.77,H178&gt;28.86,M178&gt;14.54))*1</f>
        <v/>
      </c>
      <c r="W178">
        <f>--(AND(D178&lt;=113.15,E178&gt;0.15,H178&lt;=23.74))*0</f>
        <v/>
      </c>
      <c r="X178">
        <f>--(AND(D178&lt;=113.15,E178&gt;0.15,H178&gt;23.74,J178&lt;=0.1))*1</f>
        <v/>
      </c>
      <c r="Y178">
        <f>--(AND(D178&lt;=113.15,E178&gt;0.15,H178&gt;23.74,J178&gt;0.1))*1</f>
        <v/>
      </c>
      <c r="Z178">
        <f>--(AND(D178&gt;113.15,K178&lt;=0.22,L178&lt;=0.02))*1</f>
        <v/>
      </c>
      <c r="AA178">
        <f>--(AND(D178&gt;113.15,K178&lt;=0.22,L178&gt;0.02))*0</f>
        <v/>
      </c>
      <c r="AB178">
        <f>--(AND(D178&gt;113.15,K178&gt;0.22,N178&lt;=810.1))*0</f>
        <v/>
      </c>
      <c r="AC178">
        <f>--(AND(D178&gt;113.15,K178&gt;0.22,N178&gt;810.1,I178&lt;=14.95))*1</f>
        <v/>
      </c>
      <c r="AD178">
        <f>--(AND(D178&gt;113.15,K178&gt;0.22,N178&gt;810.1,I178&gt;14.95))*1</f>
        <v/>
      </c>
      <c r="AE178">
        <f>SUM(P178:AD178)</f>
        <v/>
      </c>
      <c r="AF178">
        <f>IF(AE178=1,"Malignant","Benign")</f>
        <v/>
      </c>
      <c r="AG178">
        <f>--(AE178=C178)</f>
        <v/>
      </c>
    </row>
    <row r="179">
      <c r="A179">
        <f>BreastCancer_Data!A179</f>
        <v/>
      </c>
      <c r="B179">
        <f>BreastCancer_Data!B179</f>
        <v/>
      </c>
      <c r="C179">
        <f>BreastCancer_Data!D179</f>
        <v/>
      </c>
      <c r="D179">
        <f>BreastCancer_Data!E179</f>
        <v/>
      </c>
      <c r="E179">
        <f>BreastCancer_Data!F179</f>
        <v/>
      </c>
      <c r="F179">
        <f>BreastCancer_Data!G179</f>
        <v/>
      </c>
      <c r="G179">
        <f>BreastCancer_Data!H179</f>
        <v/>
      </c>
      <c r="H179">
        <f>BreastCancer_Data!I179</f>
        <v/>
      </c>
      <c r="I179">
        <f>BreastCancer_Data!J179</f>
        <v/>
      </c>
      <c r="J179">
        <f>BreastCancer_Data!K179</f>
        <v/>
      </c>
      <c r="K179">
        <f>BreastCancer_Data!L179</f>
        <v/>
      </c>
      <c r="L179">
        <f>BreastCancer_Data!M179</f>
        <v/>
      </c>
      <c r="M179">
        <f>BreastCancer_Data!N179</f>
        <v/>
      </c>
      <c r="N179">
        <f>BreastCancer_Data!O179</f>
        <v/>
      </c>
      <c r="O179">
        <f>0</f>
        <v/>
      </c>
      <c r="P179">
        <f>--(AND(D179&lt;=113.15,E179&lt;=0.15,F179&lt;=15.77,G179&lt;=0.18,H179&lt;=33.27))*0</f>
        <v/>
      </c>
      <c r="Q179">
        <f>--(AND(D179&lt;=113.15,E179&lt;=0.15,F179&lt;=15.77,G179&lt;=0.18,H179&gt;33.27))*0</f>
        <v/>
      </c>
      <c r="R179">
        <f>--(AND(D179&lt;=113.15,E179&lt;=0.15,F179&lt;=15.77,G179&gt;0.18))*0</f>
        <v/>
      </c>
      <c r="S179">
        <f>--(AND(D179&lt;=113.15,E179&lt;=0.15,F179&gt;15.77,H179&lt;=28.86,G179&lt;=0.14))*0</f>
        <v/>
      </c>
      <c r="T179">
        <f>--(AND(D179&lt;=113.15,E179&lt;=0.15,F179&gt;15.77,H179&lt;=28.86,G179&gt;0.14))*1</f>
        <v/>
      </c>
      <c r="U179">
        <f>--(AND(D179&lt;=113.15,E179&lt;=0.15,F179&gt;15.77,H179&gt;28.86,M179&lt;=14.54))*1</f>
        <v/>
      </c>
      <c r="V179">
        <f>--(AND(D179&lt;=113.15,E179&lt;=0.15,F179&gt;15.77,H179&gt;28.86,M179&gt;14.54))*1</f>
        <v/>
      </c>
      <c r="W179">
        <f>--(AND(D179&lt;=113.15,E179&gt;0.15,H179&lt;=23.74))*0</f>
        <v/>
      </c>
      <c r="X179">
        <f>--(AND(D179&lt;=113.15,E179&gt;0.15,H179&gt;23.74,J179&lt;=0.1))*1</f>
        <v/>
      </c>
      <c r="Y179">
        <f>--(AND(D179&lt;=113.15,E179&gt;0.15,H179&gt;23.74,J179&gt;0.1))*1</f>
        <v/>
      </c>
      <c r="Z179">
        <f>--(AND(D179&gt;113.15,K179&lt;=0.22,L179&lt;=0.02))*1</f>
        <v/>
      </c>
      <c r="AA179">
        <f>--(AND(D179&gt;113.15,K179&lt;=0.22,L179&gt;0.02))*0</f>
        <v/>
      </c>
      <c r="AB179">
        <f>--(AND(D179&gt;113.15,K179&gt;0.22,N179&lt;=810.1))*0</f>
        <v/>
      </c>
      <c r="AC179">
        <f>--(AND(D179&gt;113.15,K179&gt;0.22,N179&gt;810.1,I179&lt;=14.95))*1</f>
        <v/>
      </c>
      <c r="AD179">
        <f>--(AND(D179&gt;113.15,K179&gt;0.22,N179&gt;810.1,I179&gt;14.95))*1</f>
        <v/>
      </c>
      <c r="AE179">
        <f>SUM(P179:AD179)</f>
        <v/>
      </c>
      <c r="AF179">
        <f>IF(AE179=1,"Malignant","Benign")</f>
        <v/>
      </c>
      <c r="AG179">
        <f>--(AE179=C179)</f>
        <v/>
      </c>
    </row>
    <row r="180">
      <c r="A180">
        <f>BreastCancer_Data!A180</f>
        <v/>
      </c>
      <c r="B180">
        <f>BreastCancer_Data!B180</f>
        <v/>
      </c>
      <c r="C180">
        <f>BreastCancer_Data!D180</f>
        <v/>
      </c>
      <c r="D180">
        <f>BreastCancer_Data!E180</f>
        <v/>
      </c>
      <c r="E180">
        <f>BreastCancer_Data!F180</f>
        <v/>
      </c>
      <c r="F180">
        <f>BreastCancer_Data!G180</f>
        <v/>
      </c>
      <c r="G180">
        <f>BreastCancer_Data!H180</f>
        <v/>
      </c>
      <c r="H180">
        <f>BreastCancer_Data!I180</f>
        <v/>
      </c>
      <c r="I180">
        <f>BreastCancer_Data!J180</f>
        <v/>
      </c>
      <c r="J180">
        <f>BreastCancer_Data!K180</f>
        <v/>
      </c>
      <c r="K180">
        <f>BreastCancer_Data!L180</f>
        <v/>
      </c>
      <c r="L180">
        <f>BreastCancer_Data!M180</f>
        <v/>
      </c>
      <c r="M180">
        <f>BreastCancer_Data!N180</f>
        <v/>
      </c>
      <c r="N180">
        <f>BreastCancer_Data!O180</f>
        <v/>
      </c>
      <c r="O180">
        <f>0</f>
        <v/>
      </c>
      <c r="P180">
        <f>--(AND(D180&lt;=113.15,E180&lt;=0.15,F180&lt;=15.77,G180&lt;=0.18,H180&lt;=33.27))*0</f>
        <v/>
      </c>
      <c r="Q180">
        <f>--(AND(D180&lt;=113.15,E180&lt;=0.15,F180&lt;=15.77,G180&lt;=0.18,H180&gt;33.27))*0</f>
        <v/>
      </c>
      <c r="R180">
        <f>--(AND(D180&lt;=113.15,E180&lt;=0.15,F180&lt;=15.77,G180&gt;0.18))*0</f>
        <v/>
      </c>
      <c r="S180">
        <f>--(AND(D180&lt;=113.15,E180&lt;=0.15,F180&gt;15.77,H180&lt;=28.86,G180&lt;=0.14))*0</f>
        <v/>
      </c>
      <c r="T180">
        <f>--(AND(D180&lt;=113.15,E180&lt;=0.15,F180&gt;15.77,H180&lt;=28.86,G180&gt;0.14))*1</f>
        <v/>
      </c>
      <c r="U180">
        <f>--(AND(D180&lt;=113.15,E180&lt;=0.15,F180&gt;15.77,H180&gt;28.86,M180&lt;=14.54))*1</f>
        <v/>
      </c>
      <c r="V180">
        <f>--(AND(D180&lt;=113.15,E180&lt;=0.15,F180&gt;15.77,H180&gt;28.86,M180&gt;14.54))*1</f>
        <v/>
      </c>
      <c r="W180">
        <f>--(AND(D180&lt;=113.15,E180&gt;0.15,H180&lt;=23.74))*0</f>
        <v/>
      </c>
      <c r="X180">
        <f>--(AND(D180&lt;=113.15,E180&gt;0.15,H180&gt;23.74,J180&lt;=0.1))*1</f>
        <v/>
      </c>
      <c r="Y180">
        <f>--(AND(D180&lt;=113.15,E180&gt;0.15,H180&gt;23.74,J180&gt;0.1))*1</f>
        <v/>
      </c>
      <c r="Z180">
        <f>--(AND(D180&gt;113.15,K180&lt;=0.22,L180&lt;=0.02))*1</f>
        <v/>
      </c>
      <c r="AA180">
        <f>--(AND(D180&gt;113.15,K180&lt;=0.22,L180&gt;0.02))*0</f>
        <v/>
      </c>
      <c r="AB180">
        <f>--(AND(D180&gt;113.15,K180&gt;0.22,N180&lt;=810.1))*0</f>
        <v/>
      </c>
      <c r="AC180">
        <f>--(AND(D180&gt;113.15,K180&gt;0.22,N180&gt;810.1,I180&lt;=14.95))*1</f>
        <v/>
      </c>
      <c r="AD180">
        <f>--(AND(D180&gt;113.15,K180&gt;0.22,N180&gt;810.1,I180&gt;14.95))*1</f>
        <v/>
      </c>
      <c r="AE180">
        <f>SUM(P180:AD180)</f>
        <v/>
      </c>
      <c r="AF180">
        <f>IF(AE180=1,"Malignant","Benign")</f>
        <v/>
      </c>
      <c r="AG180">
        <f>--(AE180=C180)</f>
        <v/>
      </c>
    </row>
    <row r="181">
      <c r="A181">
        <f>BreastCancer_Data!A181</f>
        <v/>
      </c>
      <c r="B181">
        <f>BreastCancer_Data!B181</f>
        <v/>
      </c>
      <c r="C181">
        <f>BreastCancer_Data!D181</f>
        <v/>
      </c>
      <c r="D181">
        <f>BreastCancer_Data!E181</f>
        <v/>
      </c>
      <c r="E181">
        <f>BreastCancer_Data!F181</f>
        <v/>
      </c>
      <c r="F181">
        <f>BreastCancer_Data!G181</f>
        <v/>
      </c>
      <c r="G181">
        <f>BreastCancer_Data!H181</f>
        <v/>
      </c>
      <c r="H181">
        <f>BreastCancer_Data!I181</f>
        <v/>
      </c>
      <c r="I181">
        <f>BreastCancer_Data!J181</f>
        <v/>
      </c>
      <c r="J181">
        <f>BreastCancer_Data!K181</f>
        <v/>
      </c>
      <c r="K181">
        <f>BreastCancer_Data!L181</f>
        <v/>
      </c>
      <c r="L181">
        <f>BreastCancer_Data!M181</f>
        <v/>
      </c>
      <c r="M181">
        <f>BreastCancer_Data!N181</f>
        <v/>
      </c>
      <c r="N181">
        <f>BreastCancer_Data!O181</f>
        <v/>
      </c>
      <c r="O181">
        <f>0</f>
        <v/>
      </c>
      <c r="P181">
        <f>--(AND(D181&lt;=113.15,E181&lt;=0.15,F181&lt;=15.77,G181&lt;=0.18,H181&lt;=33.27))*0</f>
        <v/>
      </c>
      <c r="Q181">
        <f>--(AND(D181&lt;=113.15,E181&lt;=0.15,F181&lt;=15.77,G181&lt;=0.18,H181&gt;33.27))*0</f>
        <v/>
      </c>
      <c r="R181">
        <f>--(AND(D181&lt;=113.15,E181&lt;=0.15,F181&lt;=15.77,G181&gt;0.18))*0</f>
        <v/>
      </c>
      <c r="S181">
        <f>--(AND(D181&lt;=113.15,E181&lt;=0.15,F181&gt;15.77,H181&lt;=28.86,G181&lt;=0.14))*0</f>
        <v/>
      </c>
      <c r="T181">
        <f>--(AND(D181&lt;=113.15,E181&lt;=0.15,F181&gt;15.77,H181&lt;=28.86,G181&gt;0.14))*1</f>
        <v/>
      </c>
      <c r="U181">
        <f>--(AND(D181&lt;=113.15,E181&lt;=0.15,F181&gt;15.77,H181&gt;28.86,M181&lt;=14.54))*1</f>
        <v/>
      </c>
      <c r="V181">
        <f>--(AND(D181&lt;=113.15,E181&lt;=0.15,F181&gt;15.77,H181&gt;28.86,M181&gt;14.54))*1</f>
        <v/>
      </c>
      <c r="W181">
        <f>--(AND(D181&lt;=113.15,E181&gt;0.15,H181&lt;=23.74))*0</f>
        <v/>
      </c>
      <c r="X181">
        <f>--(AND(D181&lt;=113.15,E181&gt;0.15,H181&gt;23.74,J181&lt;=0.1))*1</f>
        <v/>
      </c>
      <c r="Y181">
        <f>--(AND(D181&lt;=113.15,E181&gt;0.15,H181&gt;23.74,J181&gt;0.1))*1</f>
        <v/>
      </c>
      <c r="Z181">
        <f>--(AND(D181&gt;113.15,K181&lt;=0.22,L181&lt;=0.02))*1</f>
        <v/>
      </c>
      <c r="AA181">
        <f>--(AND(D181&gt;113.15,K181&lt;=0.22,L181&gt;0.02))*0</f>
        <v/>
      </c>
      <c r="AB181">
        <f>--(AND(D181&gt;113.15,K181&gt;0.22,N181&lt;=810.1))*0</f>
        <v/>
      </c>
      <c r="AC181">
        <f>--(AND(D181&gt;113.15,K181&gt;0.22,N181&gt;810.1,I181&lt;=14.95))*1</f>
        <v/>
      </c>
      <c r="AD181">
        <f>--(AND(D181&gt;113.15,K181&gt;0.22,N181&gt;810.1,I181&gt;14.95))*1</f>
        <v/>
      </c>
      <c r="AE181">
        <f>SUM(P181:AD181)</f>
        <v/>
      </c>
      <c r="AF181">
        <f>IF(AE181=1,"Malignant","Benign")</f>
        <v/>
      </c>
      <c r="AG181">
        <f>--(AE181=C181)</f>
        <v/>
      </c>
    </row>
    <row r="182">
      <c r="A182">
        <f>BreastCancer_Data!A182</f>
        <v/>
      </c>
      <c r="B182">
        <f>BreastCancer_Data!B182</f>
        <v/>
      </c>
      <c r="C182">
        <f>BreastCancer_Data!D182</f>
        <v/>
      </c>
      <c r="D182">
        <f>BreastCancer_Data!E182</f>
        <v/>
      </c>
      <c r="E182">
        <f>BreastCancer_Data!F182</f>
        <v/>
      </c>
      <c r="F182">
        <f>BreastCancer_Data!G182</f>
        <v/>
      </c>
      <c r="G182">
        <f>BreastCancer_Data!H182</f>
        <v/>
      </c>
      <c r="H182">
        <f>BreastCancer_Data!I182</f>
        <v/>
      </c>
      <c r="I182">
        <f>BreastCancer_Data!J182</f>
        <v/>
      </c>
      <c r="J182">
        <f>BreastCancer_Data!K182</f>
        <v/>
      </c>
      <c r="K182">
        <f>BreastCancer_Data!L182</f>
        <v/>
      </c>
      <c r="L182">
        <f>BreastCancer_Data!M182</f>
        <v/>
      </c>
      <c r="M182">
        <f>BreastCancer_Data!N182</f>
        <v/>
      </c>
      <c r="N182">
        <f>BreastCancer_Data!O182</f>
        <v/>
      </c>
      <c r="O182">
        <f>0</f>
        <v/>
      </c>
      <c r="P182">
        <f>--(AND(D182&lt;=113.15,E182&lt;=0.15,F182&lt;=15.77,G182&lt;=0.18,H182&lt;=33.27))*0</f>
        <v/>
      </c>
      <c r="Q182">
        <f>--(AND(D182&lt;=113.15,E182&lt;=0.15,F182&lt;=15.77,G182&lt;=0.18,H182&gt;33.27))*0</f>
        <v/>
      </c>
      <c r="R182">
        <f>--(AND(D182&lt;=113.15,E182&lt;=0.15,F182&lt;=15.77,G182&gt;0.18))*0</f>
        <v/>
      </c>
      <c r="S182">
        <f>--(AND(D182&lt;=113.15,E182&lt;=0.15,F182&gt;15.77,H182&lt;=28.86,G182&lt;=0.14))*0</f>
        <v/>
      </c>
      <c r="T182">
        <f>--(AND(D182&lt;=113.15,E182&lt;=0.15,F182&gt;15.77,H182&lt;=28.86,G182&gt;0.14))*1</f>
        <v/>
      </c>
      <c r="U182">
        <f>--(AND(D182&lt;=113.15,E182&lt;=0.15,F182&gt;15.77,H182&gt;28.86,M182&lt;=14.54))*1</f>
        <v/>
      </c>
      <c r="V182">
        <f>--(AND(D182&lt;=113.15,E182&lt;=0.15,F182&gt;15.77,H182&gt;28.86,M182&gt;14.54))*1</f>
        <v/>
      </c>
      <c r="W182">
        <f>--(AND(D182&lt;=113.15,E182&gt;0.15,H182&lt;=23.74))*0</f>
        <v/>
      </c>
      <c r="X182">
        <f>--(AND(D182&lt;=113.15,E182&gt;0.15,H182&gt;23.74,J182&lt;=0.1))*1</f>
        <v/>
      </c>
      <c r="Y182">
        <f>--(AND(D182&lt;=113.15,E182&gt;0.15,H182&gt;23.74,J182&gt;0.1))*1</f>
        <v/>
      </c>
      <c r="Z182">
        <f>--(AND(D182&gt;113.15,K182&lt;=0.22,L182&lt;=0.02))*1</f>
        <v/>
      </c>
      <c r="AA182">
        <f>--(AND(D182&gt;113.15,K182&lt;=0.22,L182&gt;0.02))*0</f>
        <v/>
      </c>
      <c r="AB182">
        <f>--(AND(D182&gt;113.15,K182&gt;0.22,N182&lt;=810.1))*0</f>
        <v/>
      </c>
      <c r="AC182">
        <f>--(AND(D182&gt;113.15,K182&gt;0.22,N182&gt;810.1,I182&lt;=14.95))*1</f>
        <v/>
      </c>
      <c r="AD182">
        <f>--(AND(D182&gt;113.15,K182&gt;0.22,N182&gt;810.1,I182&gt;14.95))*1</f>
        <v/>
      </c>
      <c r="AE182">
        <f>SUM(P182:AD182)</f>
        <v/>
      </c>
      <c r="AF182">
        <f>IF(AE182=1,"Malignant","Benign")</f>
        <v/>
      </c>
      <c r="AG182">
        <f>--(AE182=C182)</f>
        <v/>
      </c>
    </row>
    <row r="183">
      <c r="A183">
        <f>BreastCancer_Data!A183</f>
        <v/>
      </c>
      <c r="B183">
        <f>BreastCancer_Data!B183</f>
        <v/>
      </c>
      <c r="C183">
        <f>BreastCancer_Data!D183</f>
        <v/>
      </c>
      <c r="D183">
        <f>BreastCancer_Data!E183</f>
        <v/>
      </c>
      <c r="E183">
        <f>BreastCancer_Data!F183</f>
        <v/>
      </c>
      <c r="F183">
        <f>BreastCancer_Data!G183</f>
        <v/>
      </c>
      <c r="G183">
        <f>BreastCancer_Data!H183</f>
        <v/>
      </c>
      <c r="H183">
        <f>BreastCancer_Data!I183</f>
        <v/>
      </c>
      <c r="I183">
        <f>BreastCancer_Data!J183</f>
        <v/>
      </c>
      <c r="J183">
        <f>BreastCancer_Data!K183</f>
        <v/>
      </c>
      <c r="K183">
        <f>BreastCancer_Data!L183</f>
        <v/>
      </c>
      <c r="L183">
        <f>BreastCancer_Data!M183</f>
        <v/>
      </c>
      <c r="M183">
        <f>BreastCancer_Data!N183</f>
        <v/>
      </c>
      <c r="N183">
        <f>BreastCancer_Data!O183</f>
        <v/>
      </c>
      <c r="O183">
        <f>0</f>
        <v/>
      </c>
      <c r="P183">
        <f>--(AND(D183&lt;=113.15,E183&lt;=0.15,F183&lt;=15.77,G183&lt;=0.18,H183&lt;=33.27))*0</f>
        <v/>
      </c>
      <c r="Q183">
        <f>--(AND(D183&lt;=113.15,E183&lt;=0.15,F183&lt;=15.77,G183&lt;=0.18,H183&gt;33.27))*0</f>
        <v/>
      </c>
      <c r="R183">
        <f>--(AND(D183&lt;=113.15,E183&lt;=0.15,F183&lt;=15.77,G183&gt;0.18))*0</f>
        <v/>
      </c>
      <c r="S183">
        <f>--(AND(D183&lt;=113.15,E183&lt;=0.15,F183&gt;15.77,H183&lt;=28.86,G183&lt;=0.14))*0</f>
        <v/>
      </c>
      <c r="T183">
        <f>--(AND(D183&lt;=113.15,E183&lt;=0.15,F183&gt;15.77,H183&lt;=28.86,G183&gt;0.14))*1</f>
        <v/>
      </c>
      <c r="U183">
        <f>--(AND(D183&lt;=113.15,E183&lt;=0.15,F183&gt;15.77,H183&gt;28.86,M183&lt;=14.54))*1</f>
        <v/>
      </c>
      <c r="V183">
        <f>--(AND(D183&lt;=113.15,E183&lt;=0.15,F183&gt;15.77,H183&gt;28.86,M183&gt;14.54))*1</f>
        <v/>
      </c>
      <c r="W183">
        <f>--(AND(D183&lt;=113.15,E183&gt;0.15,H183&lt;=23.74))*0</f>
        <v/>
      </c>
      <c r="X183">
        <f>--(AND(D183&lt;=113.15,E183&gt;0.15,H183&gt;23.74,J183&lt;=0.1))*1</f>
        <v/>
      </c>
      <c r="Y183">
        <f>--(AND(D183&lt;=113.15,E183&gt;0.15,H183&gt;23.74,J183&gt;0.1))*1</f>
        <v/>
      </c>
      <c r="Z183">
        <f>--(AND(D183&gt;113.15,K183&lt;=0.22,L183&lt;=0.02))*1</f>
        <v/>
      </c>
      <c r="AA183">
        <f>--(AND(D183&gt;113.15,K183&lt;=0.22,L183&gt;0.02))*0</f>
        <v/>
      </c>
      <c r="AB183">
        <f>--(AND(D183&gt;113.15,K183&gt;0.22,N183&lt;=810.1))*0</f>
        <v/>
      </c>
      <c r="AC183">
        <f>--(AND(D183&gt;113.15,K183&gt;0.22,N183&gt;810.1,I183&lt;=14.95))*1</f>
        <v/>
      </c>
      <c r="AD183">
        <f>--(AND(D183&gt;113.15,K183&gt;0.22,N183&gt;810.1,I183&gt;14.95))*1</f>
        <v/>
      </c>
      <c r="AE183">
        <f>SUM(P183:AD183)</f>
        <v/>
      </c>
      <c r="AF183">
        <f>IF(AE183=1,"Malignant","Benign")</f>
        <v/>
      </c>
      <c r="AG183">
        <f>--(AE183=C183)</f>
        <v/>
      </c>
    </row>
    <row r="184">
      <c r="A184">
        <f>BreastCancer_Data!A184</f>
        <v/>
      </c>
      <c r="B184">
        <f>BreastCancer_Data!B184</f>
        <v/>
      </c>
      <c r="C184">
        <f>BreastCancer_Data!D184</f>
        <v/>
      </c>
      <c r="D184">
        <f>BreastCancer_Data!E184</f>
        <v/>
      </c>
      <c r="E184">
        <f>BreastCancer_Data!F184</f>
        <v/>
      </c>
      <c r="F184">
        <f>BreastCancer_Data!G184</f>
        <v/>
      </c>
      <c r="G184">
        <f>BreastCancer_Data!H184</f>
        <v/>
      </c>
      <c r="H184">
        <f>BreastCancer_Data!I184</f>
        <v/>
      </c>
      <c r="I184">
        <f>BreastCancer_Data!J184</f>
        <v/>
      </c>
      <c r="J184">
        <f>BreastCancer_Data!K184</f>
        <v/>
      </c>
      <c r="K184">
        <f>BreastCancer_Data!L184</f>
        <v/>
      </c>
      <c r="L184">
        <f>BreastCancer_Data!M184</f>
        <v/>
      </c>
      <c r="M184">
        <f>BreastCancer_Data!N184</f>
        <v/>
      </c>
      <c r="N184">
        <f>BreastCancer_Data!O184</f>
        <v/>
      </c>
      <c r="O184">
        <f>0</f>
        <v/>
      </c>
      <c r="P184">
        <f>--(AND(D184&lt;=113.15,E184&lt;=0.15,F184&lt;=15.77,G184&lt;=0.18,H184&lt;=33.27))*0</f>
        <v/>
      </c>
      <c r="Q184">
        <f>--(AND(D184&lt;=113.15,E184&lt;=0.15,F184&lt;=15.77,G184&lt;=0.18,H184&gt;33.27))*0</f>
        <v/>
      </c>
      <c r="R184">
        <f>--(AND(D184&lt;=113.15,E184&lt;=0.15,F184&lt;=15.77,G184&gt;0.18))*0</f>
        <v/>
      </c>
      <c r="S184">
        <f>--(AND(D184&lt;=113.15,E184&lt;=0.15,F184&gt;15.77,H184&lt;=28.86,G184&lt;=0.14))*0</f>
        <v/>
      </c>
      <c r="T184">
        <f>--(AND(D184&lt;=113.15,E184&lt;=0.15,F184&gt;15.77,H184&lt;=28.86,G184&gt;0.14))*1</f>
        <v/>
      </c>
      <c r="U184">
        <f>--(AND(D184&lt;=113.15,E184&lt;=0.15,F184&gt;15.77,H184&gt;28.86,M184&lt;=14.54))*1</f>
        <v/>
      </c>
      <c r="V184">
        <f>--(AND(D184&lt;=113.15,E184&lt;=0.15,F184&gt;15.77,H184&gt;28.86,M184&gt;14.54))*1</f>
        <v/>
      </c>
      <c r="W184">
        <f>--(AND(D184&lt;=113.15,E184&gt;0.15,H184&lt;=23.74))*0</f>
        <v/>
      </c>
      <c r="X184">
        <f>--(AND(D184&lt;=113.15,E184&gt;0.15,H184&gt;23.74,J184&lt;=0.1))*1</f>
        <v/>
      </c>
      <c r="Y184">
        <f>--(AND(D184&lt;=113.15,E184&gt;0.15,H184&gt;23.74,J184&gt;0.1))*1</f>
        <v/>
      </c>
      <c r="Z184">
        <f>--(AND(D184&gt;113.15,K184&lt;=0.22,L184&lt;=0.02))*1</f>
        <v/>
      </c>
      <c r="AA184">
        <f>--(AND(D184&gt;113.15,K184&lt;=0.22,L184&gt;0.02))*0</f>
        <v/>
      </c>
      <c r="AB184">
        <f>--(AND(D184&gt;113.15,K184&gt;0.22,N184&lt;=810.1))*0</f>
        <v/>
      </c>
      <c r="AC184">
        <f>--(AND(D184&gt;113.15,K184&gt;0.22,N184&gt;810.1,I184&lt;=14.95))*1</f>
        <v/>
      </c>
      <c r="AD184">
        <f>--(AND(D184&gt;113.15,K184&gt;0.22,N184&gt;810.1,I184&gt;14.95))*1</f>
        <v/>
      </c>
      <c r="AE184">
        <f>SUM(P184:AD184)</f>
        <v/>
      </c>
      <c r="AF184">
        <f>IF(AE184=1,"Malignant","Benign")</f>
        <v/>
      </c>
      <c r="AG184">
        <f>--(AE184=C184)</f>
        <v/>
      </c>
    </row>
    <row r="185">
      <c r="A185">
        <f>BreastCancer_Data!A185</f>
        <v/>
      </c>
      <c r="B185">
        <f>BreastCancer_Data!B185</f>
        <v/>
      </c>
      <c r="C185">
        <f>BreastCancer_Data!D185</f>
        <v/>
      </c>
      <c r="D185">
        <f>BreastCancer_Data!E185</f>
        <v/>
      </c>
      <c r="E185">
        <f>BreastCancer_Data!F185</f>
        <v/>
      </c>
      <c r="F185">
        <f>BreastCancer_Data!G185</f>
        <v/>
      </c>
      <c r="G185">
        <f>BreastCancer_Data!H185</f>
        <v/>
      </c>
      <c r="H185">
        <f>BreastCancer_Data!I185</f>
        <v/>
      </c>
      <c r="I185">
        <f>BreastCancer_Data!J185</f>
        <v/>
      </c>
      <c r="J185">
        <f>BreastCancer_Data!K185</f>
        <v/>
      </c>
      <c r="K185">
        <f>BreastCancer_Data!L185</f>
        <v/>
      </c>
      <c r="L185">
        <f>BreastCancer_Data!M185</f>
        <v/>
      </c>
      <c r="M185">
        <f>BreastCancer_Data!N185</f>
        <v/>
      </c>
      <c r="N185">
        <f>BreastCancer_Data!O185</f>
        <v/>
      </c>
      <c r="O185">
        <f>0</f>
        <v/>
      </c>
      <c r="P185">
        <f>--(AND(D185&lt;=113.15,E185&lt;=0.15,F185&lt;=15.77,G185&lt;=0.18,H185&lt;=33.27))*0</f>
        <v/>
      </c>
      <c r="Q185">
        <f>--(AND(D185&lt;=113.15,E185&lt;=0.15,F185&lt;=15.77,G185&lt;=0.18,H185&gt;33.27))*0</f>
        <v/>
      </c>
      <c r="R185">
        <f>--(AND(D185&lt;=113.15,E185&lt;=0.15,F185&lt;=15.77,G185&gt;0.18))*0</f>
        <v/>
      </c>
      <c r="S185">
        <f>--(AND(D185&lt;=113.15,E185&lt;=0.15,F185&gt;15.77,H185&lt;=28.86,G185&lt;=0.14))*0</f>
        <v/>
      </c>
      <c r="T185">
        <f>--(AND(D185&lt;=113.15,E185&lt;=0.15,F185&gt;15.77,H185&lt;=28.86,G185&gt;0.14))*1</f>
        <v/>
      </c>
      <c r="U185">
        <f>--(AND(D185&lt;=113.15,E185&lt;=0.15,F185&gt;15.77,H185&gt;28.86,M185&lt;=14.54))*1</f>
        <v/>
      </c>
      <c r="V185">
        <f>--(AND(D185&lt;=113.15,E185&lt;=0.15,F185&gt;15.77,H185&gt;28.86,M185&gt;14.54))*1</f>
        <v/>
      </c>
      <c r="W185">
        <f>--(AND(D185&lt;=113.15,E185&gt;0.15,H185&lt;=23.74))*0</f>
        <v/>
      </c>
      <c r="X185">
        <f>--(AND(D185&lt;=113.15,E185&gt;0.15,H185&gt;23.74,J185&lt;=0.1))*1</f>
        <v/>
      </c>
      <c r="Y185">
        <f>--(AND(D185&lt;=113.15,E185&gt;0.15,H185&gt;23.74,J185&gt;0.1))*1</f>
        <v/>
      </c>
      <c r="Z185">
        <f>--(AND(D185&gt;113.15,K185&lt;=0.22,L185&lt;=0.02))*1</f>
        <v/>
      </c>
      <c r="AA185">
        <f>--(AND(D185&gt;113.15,K185&lt;=0.22,L185&gt;0.02))*0</f>
        <v/>
      </c>
      <c r="AB185">
        <f>--(AND(D185&gt;113.15,K185&gt;0.22,N185&lt;=810.1))*0</f>
        <v/>
      </c>
      <c r="AC185">
        <f>--(AND(D185&gt;113.15,K185&gt;0.22,N185&gt;810.1,I185&lt;=14.95))*1</f>
        <v/>
      </c>
      <c r="AD185">
        <f>--(AND(D185&gt;113.15,K185&gt;0.22,N185&gt;810.1,I185&gt;14.95))*1</f>
        <v/>
      </c>
      <c r="AE185">
        <f>SUM(P185:AD185)</f>
        <v/>
      </c>
      <c r="AF185">
        <f>IF(AE185=1,"Malignant","Benign")</f>
        <v/>
      </c>
      <c r="AG185">
        <f>--(AE185=C185)</f>
        <v/>
      </c>
    </row>
    <row r="186">
      <c r="A186">
        <f>BreastCancer_Data!A186</f>
        <v/>
      </c>
      <c r="B186">
        <f>BreastCancer_Data!B186</f>
        <v/>
      </c>
      <c r="C186">
        <f>BreastCancer_Data!D186</f>
        <v/>
      </c>
      <c r="D186">
        <f>BreastCancer_Data!E186</f>
        <v/>
      </c>
      <c r="E186">
        <f>BreastCancer_Data!F186</f>
        <v/>
      </c>
      <c r="F186">
        <f>BreastCancer_Data!G186</f>
        <v/>
      </c>
      <c r="G186">
        <f>BreastCancer_Data!H186</f>
        <v/>
      </c>
      <c r="H186">
        <f>BreastCancer_Data!I186</f>
        <v/>
      </c>
      <c r="I186">
        <f>BreastCancer_Data!J186</f>
        <v/>
      </c>
      <c r="J186">
        <f>BreastCancer_Data!K186</f>
        <v/>
      </c>
      <c r="K186">
        <f>BreastCancer_Data!L186</f>
        <v/>
      </c>
      <c r="L186">
        <f>BreastCancer_Data!M186</f>
        <v/>
      </c>
      <c r="M186">
        <f>BreastCancer_Data!N186</f>
        <v/>
      </c>
      <c r="N186">
        <f>BreastCancer_Data!O186</f>
        <v/>
      </c>
      <c r="O186">
        <f>0</f>
        <v/>
      </c>
      <c r="P186">
        <f>--(AND(D186&lt;=113.15,E186&lt;=0.15,F186&lt;=15.77,G186&lt;=0.18,H186&lt;=33.27))*0</f>
        <v/>
      </c>
      <c r="Q186">
        <f>--(AND(D186&lt;=113.15,E186&lt;=0.15,F186&lt;=15.77,G186&lt;=0.18,H186&gt;33.27))*0</f>
        <v/>
      </c>
      <c r="R186">
        <f>--(AND(D186&lt;=113.15,E186&lt;=0.15,F186&lt;=15.77,G186&gt;0.18))*0</f>
        <v/>
      </c>
      <c r="S186">
        <f>--(AND(D186&lt;=113.15,E186&lt;=0.15,F186&gt;15.77,H186&lt;=28.86,G186&lt;=0.14))*0</f>
        <v/>
      </c>
      <c r="T186">
        <f>--(AND(D186&lt;=113.15,E186&lt;=0.15,F186&gt;15.77,H186&lt;=28.86,G186&gt;0.14))*1</f>
        <v/>
      </c>
      <c r="U186">
        <f>--(AND(D186&lt;=113.15,E186&lt;=0.15,F186&gt;15.77,H186&gt;28.86,M186&lt;=14.54))*1</f>
        <v/>
      </c>
      <c r="V186">
        <f>--(AND(D186&lt;=113.15,E186&lt;=0.15,F186&gt;15.77,H186&gt;28.86,M186&gt;14.54))*1</f>
        <v/>
      </c>
      <c r="W186">
        <f>--(AND(D186&lt;=113.15,E186&gt;0.15,H186&lt;=23.74))*0</f>
        <v/>
      </c>
      <c r="X186">
        <f>--(AND(D186&lt;=113.15,E186&gt;0.15,H186&gt;23.74,J186&lt;=0.1))*1</f>
        <v/>
      </c>
      <c r="Y186">
        <f>--(AND(D186&lt;=113.15,E186&gt;0.15,H186&gt;23.74,J186&gt;0.1))*1</f>
        <v/>
      </c>
      <c r="Z186">
        <f>--(AND(D186&gt;113.15,K186&lt;=0.22,L186&lt;=0.02))*1</f>
        <v/>
      </c>
      <c r="AA186">
        <f>--(AND(D186&gt;113.15,K186&lt;=0.22,L186&gt;0.02))*0</f>
        <v/>
      </c>
      <c r="AB186">
        <f>--(AND(D186&gt;113.15,K186&gt;0.22,N186&lt;=810.1))*0</f>
        <v/>
      </c>
      <c r="AC186">
        <f>--(AND(D186&gt;113.15,K186&gt;0.22,N186&gt;810.1,I186&lt;=14.95))*1</f>
        <v/>
      </c>
      <c r="AD186">
        <f>--(AND(D186&gt;113.15,K186&gt;0.22,N186&gt;810.1,I186&gt;14.95))*1</f>
        <v/>
      </c>
      <c r="AE186">
        <f>SUM(P186:AD186)</f>
        <v/>
      </c>
      <c r="AF186">
        <f>IF(AE186=1,"Malignant","Benign")</f>
        <v/>
      </c>
      <c r="AG186">
        <f>--(AE186=C186)</f>
        <v/>
      </c>
    </row>
    <row r="187">
      <c r="A187">
        <f>BreastCancer_Data!A187</f>
        <v/>
      </c>
      <c r="B187">
        <f>BreastCancer_Data!B187</f>
        <v/>
      </c>
      <c r="C187">
        <f>BreastCancer_Data!D187</f>
        <v/>
      </c>
      <c r="D187">
        <f>BreastCancer_Data!E187</f>
        <v/>
      </c>
      <c r="E187">
        <f>BreastCancer_Data!F187</f>
        <v/>
      </c>
      <c r="F187">
        <f>BreastCancer_Data!G187</f>
        <v/>
      </c>
      <c r="G187">
        <f>BreastCancer_Data!H187</f>
        <v/>
      </c>
      <c r="H187">
        <f>BreastCancer_Data!I187</f>
        <v/>
      </c>
      <c r="I187">
        <f>BreastCancer_Data!J187</f>
        <v/>
      </c>
      <c r="J187">
        <f>BreastCancer_Data!K187</f>
        <v/>
      </c>
      <c r="K187">
        <f>BreastCancer_Data!L187</f>
        <v/>
      </c>
      <c r="L187">
        <f>BreastCancer_Data!M187</f>
        <v/>
      </c>
      <c r="M187">
        <f>BreastCancer_Data!N187</f>
        <v/>
      </c>
      <c r="N187">
        <f>BreastCancer_Data!O187</f>
        <v/>
      </c>
      <c r="O187">
        <f>0</f>
        <v/>
      </c>
      <c r="P187">
        <f>--(AND(D187&lt;=113.15,E187&lt;=0.15,F187&lt;=15.77,G187&lt;=0.18,H187&lt;=33.27))*0</f>
        <v/>
      </c>
      <c r="Q187">
        <f>--(AND(D187&lt;=113.15,E187&lt;=0.15,F187&lt;=15.77,G187&lt;=0.18,H187&gt;33.27))*0</f>
        <v/>
      </c>
      <c r="R187">
        <f>--(AND(D187&lt;=113.15,E187&lt;=0.15,F187&lt;=15.77,G187&gt;0.18))*0</f>
        <v/>
      </c>
      <c r="S187">
        <f>--(AND(D187&lt;=113.15,E187&lt;=0.15,F187&gt;15.77,H187&lt;=28.86,G187&lt;=0.14))*0</f>
        <v/>
      </c>
      <c r="T187">
        <f>--(AND(D187&lt;=113.15,E187&lt;=0.15,F187&gt;15.77,H187&lt;=28.86,G187&gt;0.14))*1</f>
        <v/>
      </c>
      <c r="U187">
        <f>--(AND(D187&lt;=113.15,E187&lt;=0.15,F187&gt;15.77,H187&gt;28.86,M187&lt;=14.54))*1</f>
        <v/>
      </c>
      <c r="V187">
        <f>--(AND(D187&lt;=113.15,E187&lt;=0.15,F187&gt;15.77,H187&gt;28.86,M187&gt;14.54))*1</f>
        <v/>
      </c>
      <c r="W187">
        <f>--(AND(D187&lt;=113.15,E187&gt;0.15,H187&lt;=23.74))*0</f>
        <v/>
      </c>
      <c r="X187">
        <f>--(AND(D187&lt;=113.15,E187&gt;0.15,H187&gt;23.74,J187&lt;=0.1))*1</f>
        <v/>
      </c>
      <c r="Y187">
        <f>--(AND(D187&lt;=113.15,E187&gt;0.15,H187&gt;23.74,J187&gt;0.1))*1</f>
        <v/>
      </c>
      <c r="Z187">
        <f>--(AND(D187&gt;113.15,K187&lt;=0.22,L187&lt;=0.02))*1</f>
        <v/>
      </c>
      <c r="AA187">
        <f>--(AND(D187&gt;113.15,K187&lt;=0.22,L187&gt;0.02))*0</f>
        <v/>
      </c>
      <c r="AB187">
        <f>--(AND(D187&gt;113.15,K187&gt;0.22,N187&lt;=810.1))*0</f>
        <v/>
      </c>
      <c r="AC187">
        <f>--(AND(D187&gt;113.15,K187&gt;0.22,N187&gt;810.1,I187&lt;=14.95))*1</f>
        <v/>
      </c>
      <c r="AD187">
        <f>--(AND(D187&gt;113.15,K187&gt;0.22,N187&gt;810.1,I187&gt;14.95))*1</f>
        <v/>
      </c>
      <c r="AE187">
        <f>SUM(P187:AD187)</f>
        <v/>
      </c>
      <c r="AF187">
        <f>IF(AE187=1,"Malignant","Benign")</f>
        <v/>
      </c>
      <c r="AG187">
        <f>--(AE187=C187)</f>
        <v/>
      </c>
    </row>
    <row r="188">
      <c r="A188">
        <f>BreastCancer_Data!A188</f>
        <v/>
      </c>
      <c r="B188">
        <f>BreastCancer_Data!B188</f>
        <v/>
      </c>
      <c r="C188">
        <f>BreastCancer_Data!D188</f>
        <v/>
      </c>
      <c r="D188">
        <f>BreastCancer_Data!E188</f>
        <v/>
      </c>
      <c r="E188">
        <f>BreastCancer_Data!F188</f>
        <v/>
      </c>
      <c r="F188">
        <f>BreastCancer_Data!G188</f>
        <v/>
      </c>
      <c r="G188">
        <f>BreastCancer_Data!H188</f>
        <v/>
      </c>
      <c r="H188">
        <f>BreastCancer_Data!I188</f>
        <v/>
      </c>
      <c r="I188">
        <f>BreastCancer_Data!J188</f>
        <v/>
      </c>
      <c r="J188">
        <f>BreastCancer_Data!K188</f>
        <v/>
      </c>
      <c r="K188">
        <f>BreastCancer_Data!L188</f>
        <v/>
      </c>
      <c r="L188">
        <f>BreastCancer_Data!M188</f>
        <v/>
      </c>
      <c r="M188">
        <f>BreastCancer_Data!N188</f>
        <v/>
      </c>
      <c r="N188">
        <f>BreastCancer_Data!O188</f>
        <v/>
      </c>
      <c r="O188">
        <f>0</f>
        <v/>
      </c>
      <c r="P188">
        <f>--(AND(D188&lt;=113.15,E188&lt;=0.15,F188&lt;=15.77,G188&lt;=0.18,H188&lt;=33.27))*0</f>
        <v/>
      </c>
      <c r="Q188">
        <f>--(AND(D188&lt;=113.15,E188&lt;=0.15,F188&lt;=15.77,G188&lt;=0.18,H188&gt;33.27))*0</f>
        <v/>
      </c>
      <c r="R188">
        <f>--(AND(D188&lt;=113.15,E188&lt;=0.15,F188&lt;=15.77,G188&gt;0.18))*0</f>
        <v/>
      </c>
      <c r="S188">
        <f>--(AND(D188&lt;=113.15,E188&lt;=0.15,F188&gt;15.77,H188&lt;=28.86,G188&lt;=0.14))*0</f>
        <v/>
      </c>
      <c r="T188">
        <f>--(AND(D188&lt;=113.15,E188&lt;=0.15,F188&gt;15.77,H188&lt;=28.86,G188&gt;0.14))*1</f>
        <v/>
      </c>
      <c r="U188">
        <f>--(AND(D188&lt;=113.15,E188&lt;=0.15,F188&gt;15.77,H188&gt;28.86,M188&lt;=14.54))*1</f>
        <v/>
      </c>
      <c r="V188">
        <f>--(AND(D188&lt;=113.15,E188&lt;=0.15,F188&gt;15.77,H188&gt;28.86,M188&gt;14.54))*1</f>
        <v/>
      </c>
      <c r="W188">
        <f>--(AND(D188&lt;=113.15,E188&gt;0.15,H188&lt;=23.74))*0</f>
        <v/>
      </c>
      <c r="X188">
        <f>--(AND(D188&lt;=113.15,E188&gt;0.15,H188&gt;23.74,J188&lt;=0.1))*1</f>
        <v/>
      </c>
      <c r="Y188">
        <f>--(AND(D188&lt;=113.15,E188&gt;0.15,H188&gt;23.74,J188&gt;0.1))*1</f>
        <v/>
      </c>
      <c r="Z188">
        <f>--(AND(D188&gt;113.15,K188&lt;=0.22,L188&lt;=0.02))*1</f>
        <v/>
      </c>
      <c r="AA188">
        <f>--(AND(D188&gt;113.15,K188&lt;=0.22,L188&gt;0.02))*0</f>
        <v/>
      </c>
      <c r="AB188">
        <f>--(AND(D188&gt;113.15,K188&gt;0.22,N188&lt;=810.1))*0</f>
        <v/>
      </c>
      <c r="AC188">
        <f>--(AND(D188&gt;113.15,K188&gt;0.22,N188&gt;810.1,I188&lt;=14.95))*1</f>
        <v/>
      </c>
      <c r="AD188">
        <f>--(AND(D188&gt;113.15,K188&gt;0.22,N188&gt;810.1,I188&gt;14.95))*1</f>
        <v/>
      </c>
      <c r="AE188">
        <f>SUM(P188:AD188)</f>
        <v/>
      </c>
      <c r="AF188">
        <f>IF(AE188=1,"Malignant","Benign")</f>
        <v/>
      </c>
      <c r="AG188">
        <f>--(AE188=C188)</f>
        <v/>
      </c>
    </row>
    <row r="189">
      <c r="A189">
        <f>BreastCancer_Data!A189</f>
        <v/>
      </c>
      <c r="B189">
        <f>BreastCancer_Data!B189</f>
        <v/>
      </c>
      <c r="C189">
        <f>BreastCancer_Data!D189</f>
        <v/>
      </c>
      <c r="D189">
        <f>BreastCancer_Data!E189</f>
        <v/>
      </c>
      <c r="E189">
        <f>BreastCancer_Data!F189</f>
        <v/>
      </c>
      <c r="F189">
        <f>BreastCancer_Data!G189</f>
        <v/>
      </c>
      <c r="G189">
        <f>BreastCancer_Data!H189</f>
        <v/>
      </c>
      <c r="H189">
        <f>BreastCancer_Data!I189</f>
        <v/>
      </c>
      <c r="I189">
        <f>BreastCancer_Data!J189</f>
        <v/>
      </c>
      <c r="J189">
        <f>BreastCancer_Data!K189</f>
        <v/>
      </c>
      <c r="K189">
        <f>BreastCancer_Data!L189</f>
        <v/>
      </c>
      <c r="L189">
        <f>BreastCancer_Data!M189</f>
        <v/>
      </c>
      <c r="M189">
        <f>BreastCancer_Data!N189</f>
        <v/>
      </c>
      <c r="N189">
        <f>BreastCancer_Data!O189</f>
        <v/>
      </c>
      <c r="O189">
        <f>0</f>
        <v/>
      </c>
      <c r="P189">
        <f>--(AND(D189&lt;=113.15,E189&lt;=0.15,F189&lt;=15.77,G189&lt;=0.18,H189&lt;=33.27))*0</f>
        <v/>
      </c>
      <c r="Q189">
        <f>--(AND(D189&lt;=113.15,E189&lt;=0.15,F189&lt;=15.77,G189&lt;=0.18,H189&gt;33.27))*0</f>
        <v/>
      </c>
      <c r="R189">
        <f>--(AND(D189&lt;=113.15,E189&lt;=0.15,F189&lt;=15.77,G189&gt;0.18))*0</f>
        <v/>
      </c>
      <c r="S189">
        <f>--(AND(D189&lt;=113.15,E189&lt;=0.15,F189&gt;15.77,H189&lt;=28.86,G189&lt;=0.14))*0</f>
        <v/>
      </c>
      <c r="T189">
        <f>--(AND(D189&lt;=113.15,E189&lt;=0.15,F189&gt;15.77,H189&lt;=28.86,G189&gt;0.14))*1</f>
        <v/>
      </c>
      <c r="U189">
        <f>--(AND(D189&lt;=113.15,E189&lt;=0.15,F189&gt;15.77,H189&gt;28.86,M189&lt;=14.54))*1</f>
        <v/>
      </c>
      <c r="V189">
        <f>--(AND(D189&lt;=113.15,E189&lt;=0.15,F189&gt;15.77,H189&gt;28.86,M189&gt;14.54))*1</f>
        <v/>
      </c>
      <c r="W189">
        <f>--(AND(D189&lt;=113.15,E189&gt;0.15,H189&lt;=23.74))*0</f>
        <v/>
      </c>
      <c r="X189">
        <f>--(AND(D189&lt;=113.15,E189&gt;0.15,H189&gt;23.74,J189&lt;=0.1))*1</f>
        <v/>
      </c>
      <c r="Y189">
        <f>--(AND(D189&lt;=113.15,E189&gt;0.15,H189&gt;23.74,J189&gt;0.1))*1</f>
        <v/>
      </c>
      <c r="Z189">
        <f>--(AND(D189&gt;113.15,K189&lt;=0.22,L189&lt;=0.02))*1</f>
        <v/>
      </c>
      <c r="AA189">
        <f>--(AND(D189&gt;113.15,K189&lt;=0.22,L189&gt;0.02))*0</f>
        <v/>
      </c>
      <c r="AB189">
        <f>--(AND(D189&gt;113.15,K189&gt;0.22,N189&lt;=810.1))*0</f>
        <v/>
      </c>
      <c r="AC189">
        <f>--(AND(D189&gt;113.15,K189&gt;0.22,N189&gt;810.1,I189&lt;=14.95))*1</f>
        <v/>
      </c>
      <c r="AD189">
        <f>--(AND(D189&gt;113.15,K189&gt;0.22,N189&gt;810.1,I189&gt;14.95))*1</f>
        <v/>
      </c>
      <c r="AE189">
        <f>SUM(P189:AD189)</f>
        <v/>
      </c>
      <c r="AF189">
        <f>IF(AE189=1,"Malignant","Benign")</f>
        <v/>
      </c>
      <c r="AG189">
        <f>--(AE189=C189)</f>
        <v/>
      </c>
    </row>
    <row r="190">
      <c r="A190">
        <f>BreastCancer_Data!A190</f>
        <v/>
      </c>
      <c r="B190">
        <f>BreastCancer_Data!B190</f>
        <v/>
      </c>
      <c r="C190">
        <f>BreastCancer_Data!D190</f>
        <v/>
      </c>
      <c r="D190">
        <f>BreastCancer_Data!E190</f>
        <v/>
      </c>
      <c r="E190">
        <f>BreastCancer_Data!F190</f>
        <v/>
      </c>
      <c r="F190">
        <f>BreastCancer_Data!G190</f>
        <v/>
      </c>
      <c r="G190">
        <f>BreastCancer_Data!H190</f>
        <v/>
      </c>
      <c r="H190">
        <f>BreastCancer_Data!I190</f>
        <v/>
      </c>
      <c r="I190">
        <f>BreastCancer_Data!J190</f>
        <v/>
      </c>
      <c r="J190">
        <f>BreastCancer_Data!K190</f>
        <v/>
      </c>
      <c r="K190">
        <f>BreastCancer_Data!L190</f>
        <v/>
      </c>
      <c r="L190">
        <f>BreastCancer_Data!M190</f>
        <v/>
      </c>
      <c r="M190">
        <f>BreastCancer_Data!N190</f>
        <v/>
      </c>
      <c r="N190">
        <f>BreastCancer_Data!O190</f>
        <v/>
      </c>
      <c r="O190">
        <f>0</f>
        <v/>
      </c>
      <c r="P190">
        <f>--(AND(D190&lt;=113.15,E190&lt;=0.15,F190&lt;=15.77,G190&lt;=0.18,H190&lt;=33.27))*0</f>
        <v/>
      </c>
      <c r="Q190">
        <f>--(AND(D190&lt;=113.15,E190&lt;=0.15,F190&lt;=15.77,G190&lt;=0.18,H190&gt;33.27))*0</f>
        <v/>
      </c>
      <c r="R190">
        <f>--(AND(D190&lt;=113.15,E190&lt;=0.15,F190&lt;=15.77,G190&gt;0.18))*0</f>
        <v/>
      </c>
      <c r="S190">
        <f>--(AND(D190&lt;=113.15,E190&lt;=0.15,F190&gt;15.77,H190&lt;=28.86,G190&lt;=0.14))*0</f>
        <v/>
      </c>
      <c r="T190">
        <f>--(AND(D190&lt;=113.15,E190&lt;=0.15,F190&gt;15.77,H190&lt;=28.86,G190&gt;0.14))*1</f>
        <v/>
      </c>
      <c r="U190">
        <f>--(AND(D190&lt;=113.15,E190&lt;=0.15,F190&gt;15.77,H190&gt;28.86,M190&lt;=14.54))*1</f>
        <v/>
      </c>
      <c r="V190">
        <f>--(AND(D190&lt;=113.15,E190&lt;=0.15,F190&gt;15.77,H190&gt;28.86,M190&gt;14.54))*1</f>
        <v/>
      </c>
      <c r="W190">
        <f>--(AND(D190&lt;=113.15,E190&gt;0.15,H190&lt;=23.74))*0</f>
        <v/>
      </c>
      <c r="X190">
        <f>--(AND(D190&lt;=113.15,E190&gt;0.15,H190&gt;23.74,J190&lt;=0.1))*1</f>
        <v/>
      </c>
      <c r="Y190">
        <f>--(AND(D190&lt;=113.15,E190&gt;0.15,H190&gt;23.74,J190&gt;0.1))*1</f>
        <v/>
      </c>
      <c r="Z190">
        <f>--(AND(D190&gt;113.15,K190&lt;=0.22,L190&lt;=0.02))*1</f>
        <v/>
      </c>
      <c r="AA190">
        <f>--(AND(D190&gt;113.15,K190&lt;=0.22,L190&gt;0.02))*0</f>
        <v/>
      </c>
      <c r="AB190">
        <f>--(AND(D190&gt;113.15,K190&gt;0.22,N190&lt;=810.1))*0</f>
        <v/>
      </c>
      <c r="AC190">
        <f>--(AND(D190&gt;113.15,K190&gt;0.22,N190&gt;810.1,I190&lt;=14.95))*1</f>
        <v/>
      </c>
      <c r="AD190">
        <f>--(AND(D190&gt;113.15,K190&gt;0.22,N190&gt;810.1,I190&gt;14.95))*1</f>
        <v/>
      </c>
      <c r="AE190">
        <f>SUM(P190:AD190)</f>
        <v/>
      </c>
      <c r="AF190">
        <f>IF(AE190=1,"Malignant","Benign")</f>
        <v/>
      </c>
      <c r="AG190">
        <f>--(AE190=C190)</f>
        <v/>
      </c>
    </row>
    <row r="191">
      <c r="A191">
        <f>BreastCancer_Data!A191</f>
        <v/>
      </c>
      <c r="B191">
        <f>BreastCancer_Data!B191</f>
        <v/>
      </c>
      <c r="C191">
        <f>BreastCancer_Data!D191</f>
        <v/>
      </c>
      <c r="D191">
        <f>BreastCancer_Data!E191</f>
        <v/>
      </c>
      <c r="E191">
        <f>BreastCancer_Data!F191</f>
        <v/>
      </c>
      <c r="F191">
        <f>BreastCancer_Data!G191</f>
        <v/>
      </c>
      <c r="G191">
        <f>BreastCancer_Data!H191</f>
        <v/>
      </c>
      <c r="H191">
        <f>BreastCancer_Data!I191</f>
        <v/>
      </c>
      <c r="I191">
        <f>BreastCancer_Data!J191</f>
        <v/>
      </c>
      <c r="J191">
        <f>BreastCancer_Data!K191</f>
        <v/>
      </c>
      <c r="K191">
        <f>BreastCancer_Data!L191</f>
        <v/>
      </c>
      <c r="L191">
        <f>BreastCancer_Data!M191</f>
        <v/>
      </c>
      <c r="M191">
        <f>BreastCancer_Data!N191</f>
        <v/>
      </c>
      <c r="N191">
        <f>BreastCancer_Data!O191</f>
        <v/>
      </c>
      <c r="O191">
        <f>0</f>
        <v/>
      </c>
      <c r="P191">
        <f>--(AND(D191&lt;=113.15,E191&lt;=0.15,F191&lt;=15.77,G191&lt;=0.18,H191&lt;=33.27))*0</f>
        <v/>
      </c>
      <c r="Q191">
        <f>--(AND(D191&lt;=113.15,E191&lt;=0.15,F191&lt;=15.77,G191&lt;=0.18,H191&gt;33.27))*0</f>
        <v/>
      </c>
      <c r="R191">
        <f>--(AND(D191&lt;=113.15,E191&lt;=0.15,F191&lt;=15.77,G191&gt;0.18))*0</f>
        <v/>
      </c>
      <c r="S191">
        <f>--(AND(D191&lt;=113.15,E191&lt;=0.15,F191&gt;15.77,H191&lt;=28.86,G191&lt;=0.14))*0</f>
        <v/>
      </c>
      <c r="T191">
        <f>--(AND(D191&lt;=113.15,E191&lt;=0.15,F191&gt;15.77,H191&lt;=28.86,G191&gt;0.14))*1</f>
        <v/>
      </c>
      <c r="U191">
        <f>--(AND(D191&lt;=113.15,E191&lt;=0.15,F191&gt;15.77,H191&gt;28.86,M191&lt;=14.54))*1</f>
        <v/>
      </c>
      <c r="V191">
        <f>--(AND(D191&lt;=113.15,E191&lt;=0.15,F191&gt;15.77,H191&gt;28.86,M191&gt;14.54))*1</f>
        <v/>
      </c>
      <c r="W191">
        <f>--(AND(D191&lt;=113.15,E191&gt;0.15,H191&lt;=23.74))*0</f>
        <v/>
      </c>
      <c r="X191">
        <f>--(AND(D191&lt;=113.15,E191&gt;0.15,H191&gt;23.74,J191&lt;=0.1))*1</f>
        <v/>
      </c>
      <c r="Y191">
        <f>--(AND(D191&lt;=113.15,E191&gt;0.15,H191&gt;23.74,J191&gt;0.1))*1</f>
        <v/>
      </c>
      <c r="Z191">
        <f>--(AND(D191&gt;113.15,K191&lt;=0.22,L191&lt;=0.02))*1</f>
        <v/>
      </c>
      <c r="AA191">
        <f>--(AND(D191&gt;113.15,K191&lt;=0.22,L191&gt;0.02))*0</f>
        <v/>
      </c>
      <c r="AB191">
        <f>--(AND(D191&gt;113.15,K191&gt;0.22,N191&lt;=810.1))*0</f>
        <v/>
      </c>
      <c r="AC191">
        <f>--(AND(D191&gt;113.15,K191&gt;0.22,N191&gt;810.1,I191&lt;=14.95))*1</f>
        <v/>
      </c>
      <c r="AD191">
        <f>--(AND(D191&gt;113.15,K191&gt;0.22,N191&gt;810.1,I191&gt;14.95))*1</f>
        <v/>
      </c>
      <c r="AE191">
        <f>SUM(P191:AD191)</f>
        <v/>
      </c>
      <c r="AF191">
        <f>IF(AE191=1,"Malignant","Benign")</f>
        <v/>
      </c>
      <c r="AG191">
        <f>--(AE191=C191)</f>
        <v/>
      </c>
    </row>
    <row r="192">
      <c r="A192">
        <f>BreastCancer_Data!A192</f>
        <v/>
      </c>
      <c r="B192">
        <f>BreastCancer_Data!B192</f>
        <v/>
      </c>
      <c r="C192">
        <f>BreastCancer_Data!D192</f>
        <v/>
      </c>
      <c r="D192">
        <f>BreastCancer_Data!E192</f>
        <v/>
      </c>
      <c r="E192">
        <f>BreastCancer_Data!F192</f>
        <v/>
      </c>
      <c r="F192">
        <f>BreastCancer_Data!G192</f>
        <v/>
      </c>
      <c r="G192">
        <f>BreastCancer_Data!H192</f>
        <v/>
      </c>
      <c r="H192">
        <f>BreastCancer_Data!I192</f>
        <v/>
      </c>
      <c r="I192">
        <f>BreastCancer_Data!J192</f>
        <v/>
      </c>
      <c r="J192">
        <f>BreastCancer_Data!K192</f>
        <v/>
      </c>
      <c r="K192">
        <f>BreastCancer_Data!L192</f>
        <v/>
      </c>
      <c r="L192">
        <f>BreastCancer_Data!M192</f>
        <v/>
      </c>
      <c r="M192">
        <f>BreastCancer_Data!N192</f>
        <v/>
      </c>
      <c r="N192">
        <f>BreastCancer_Data!O192</f>
        <v/>
      </c>
      <c r="O192">
        <f>0</f>
        <v/>
      </c>
      <c r="P192">
        <f>--(AND(D192&lt;=113.15,E192&lt;=0.15,F192&lt;=15.77,G192&lt;=0.18,H192&lt;=33.27))*0</f>
        <v/>
      </c>
      <c r="Q192">
        <f>--(AND(D192&lt;=113.15,E192&lt;=0.15,F192&lt;=15.77,G192&lt;=0.18,H192&gt;33.27))*0</f>
        <v/>
      </c>
      <c r="R192">
        <f>--(AND(D192&lt;=113.15,E192&lt;=0.15,F192&lt;=15.77,G192&gt;0.18))*0</f>
        <v/>
      </c>
      <c r="S192">
        <f>--(AND(D192&lt;=113.15,E192&lt;=0.15,F192&gt;15.77,H192&lt;=28.86,G192&lt;=0.14))*0</f>
        <v/>
      </c>
      <c r="T192">
        <f>--(AND(D192&lt;=113.15,E192&lt;=0.15,F192&gt;15.77,H192&lt;=28.86,G192&gt;0.14))*1</f>
        <v/>
      </c>
      <c r="U192">
        <f>--(AND(D192&lt;=113.15,E192&lt;=0.15,F192&gt;15.77,H192&gt;28.86,M192&lt;=14.54))*1</f>
        <v/>
      </c>
      <c r="V192">
        <f>--(AND(D192&lt;=113.15,E192&lt;=0.15,F192&gt;15.77,H192&gt;28.86,M192&gt;14.54))*1</f>
        <v/>
      </c>
      <c r="W192">
        <f>--(AND(D192&lt;=113.15,E192&gt;0.15,H192&lt;=23.74))*0</f>
        <v/>
      </c>
      <c r="X192">
        <f>--(AND(D192&lt;=113.15,E192&gt;0.15,H192&gt;23.74,J192&lt;=0.1))*1</f>
        <v/>
      </c>
      <c r="Y192">
        <f>--(AND(D192&lt;=113.15,E192&gt;0.15,H192&gt;23.74,J192&gt;0.1))*1</f>
        <v/>
      </c>
      <c r="Z192">
        <f>--(AND(D192&gt;113.15,K192&lt;=0.22,L192&lt;=0.02))*1</f>
        <v/>
      </c>
      <c r="AA192">
        <f>--(AND(D192&gt;113.15,K192&lt;=0.22,L192&gt;0.02))*0</f>
        <v/>
      </c>
      <c r="AB192">
        <f>--(AND(D192&gt;113.15,K192&gt;0.22,N192&lt;=810.1))*0</f>
        <v/>
      </c>
      <c r="AC192">
        <f>--(AND(D192&gt;113.15,K192&gt;0.22,N192&gt;810.1,I192&lt;=14.95))*1</f>
        <v/>
      </c>
      <c r="AD192">
        <f>--(AND(D192&gt;113.15,K192&gt;0.22,N192&gt;810.1,I192&gt;14.95))*1</f>
        <v/>
      </c>
      <c r="AE192">
        <f>SUM(P192:AD192)</f>
        <v/>
      </c>
      <c r="AF192">
        <f>IF(AE192=1,"Malignant","Benign")</f>
        <v/>
      </c>
      <c r="AG192">
        <f>--(AE192=C192)</f>
        <v/>
      </c>
    </row>
    <row r="193">
      <c r="A193">
        <f>BreastCancer_Data!A193</f>
        <v/>
      </c>
      <c r="B193">
        <f>BreastCancer_Data!B193</f>
        <v/>
      </c>
      <c r="C193">
        <f>BreastCancer_Data!D193</f>
        <v/>
      </c>
      <c r="D193">
        <f>BreastCancer_Data!E193</f>
        <v/>
      </c>
      <c r="E193">
        <f>BreastCancer_Data!F193</f>
        <v/>
      </c>
      <c r="F193">
        <f>BreastCancer_Data!G193</f>
        <v/>
      </c>
      <c r="G193">
        <f>BreastCancer_Data!H193</f>
        <v/>
      </c>
      <c r="H193">
        <f>BreastCancer_Data!I193</f>
        <v/>
      </c>
      <c r="I193">
        <f>BreastCancer_Data!J193</f>
        <v/>
      </c>
      <c r="J193">
        <f>BreastCancer_Data!K193</f>
        <v/>
      </c>
      <c r="K193">
        <f>BreastCancer_Data!L193</f>
        <v/>
      </c>
      <c r="L193">
        <f>BreastCancer_Data!M193</f>
        <v/>
      </c>
      <c r="M193">
        <f>BreastCancer_Data!N193</f>
        <v/>
      </c>
      <c r="N193">
        <f>BreastCancer_Data!O193</f>
        <v/>
      </c>
      <c r="O193">
        <f>0</f>
        <v/>
      </c>
      <c r="P193">
        <f>--(AND(D193&lt;=113.15,E193&lt;=0.15,F193&lt;=15.77,G193&lt;=0.18,H193&lt;=33.27))*0</f>
        <v/>
      </c>
      <c r="Q193">
        <f>--(AND(D193&lt;=113.15,E193&lt;=0.15,F193&lt;=15.77,G193&lt;=0.18,H193&gt;33.27))*0</f>
        <v/>
      </c>
      <c r="R193">
        <f>--(AND(D193&lt;=113.15,E193&lt;=0.15,F193&lt;=15.77,G193&gt;0.18))*0</f>
        <v/>
      </c>
      <c r="S193">
        <f>--(AND(D193&lt;=113.15,E193&lt;=0.15,F193&gt;15.77,H193&lt;=28.86,G193&lt;=0.14))*0</f>
        <v/>
      </c>
      <c r="T193">
        <f>--(AND(D193&lt;=113.15,E193&lt;=0.15,F193&gt;15.77,H193&lt;=28.86,G193&gt;0.14))*1</f>
        <v/>
      </c>
      <c r="U193">
        <f>--(AND(D193&lt;=113.15,E193&lt;=0.15,F193&gt;15.77,H193&gt;28.86,M193&lt;=14.54))*1</f>
        <v/>
      </c>
      <c r="V193">
        <f>--(AND(D193&lt;=113.15,E193&lt;=0.15,F193&gt;15.77,H193&gt;28.86,M193&gt;14.54))*1</f>
        <v/>
      </c>
      <c r="W193">
        <f>--(AND(D193&lt;=113.15,E193&gt;0.15,H193&lt;=23.74))*0</f>
        <v/>
      </c>
      <c r="X193">
        <f>--(AND(D193&lt;=113.15,E193&gt;0.15,H193&gt;23.74,J193&lt;=0.1))*1</f>
        <v/>
      </c>
      <c r="Y193">
        <f>--(AND(D193&lt;=113.15,E193&gt;0.15,H193&gt;23.74,J193&gt;0.1))*1</f>
        <v/>
      </c>
      <c r="Z193">
        <f>--(AND(D193&gt;113.15,K193&lt;=0.22,L193&lt;=0.02))*1</f>
        <v/>
      </c>
      <c r="AA193">
        <f>--(AND(D193&gt;113.15,K193&lt;=0.22,L193&gt;0.02))*0</f>
        <v/>
      </c>
      <c r="AB193">
        <f>--(AND(D193&gt;113.15,K193&gt;0.22,N193&lt;=810.1))*0</f>
        <v/>
      </c>
      <c r="AC193">
        <f>--(AND(D193&gt;113.15,K193&gt;0.22,N193&gt;810.1,I193&lt;=14.95))*1</f>
        <v/>
      </c>
      <c r="AD193">
        <f>--(AND(D193&gt;113.15,K193&gt;0.22,N193&gt;810.1,I193&gt;14.95))*1</f>
        <v/>
      </c>
      <c r="AE193">
        <f>SUM(P193:AD193)</f>
        <v/>
      </c>
      <c r="AF193">
        <f>IF(AE193=1,"Malignant","Benign")</f>
        <v/>
      </c>
      <c r="AG193">
        <f>--(AE193=C193)</f>
        <v/>
      </c>
    </row>
    <row r="194">
      <c r="A194">
        <f>BreastCancer_Data!A194</f>
        <v/>
      </c>
      <c r="B194">
        <f>BreastCancer_Data!B194</f>
        <v/>
      </c>
      <c r="C194">
        <f>BreastCancer_Data!D194</f>
        <v/>
      </c>
      <c r="D194">
        <f>BreastCancer_Data!E194</f>
        <v/>
      </c>
      <c r="E194">
        <f>BreastCancer_Data!F194</f>
        <v/>
      </c>
      <c r="F194">
        <f>BreastCancer_Data!G194</f>
        <v/>
      </c>
      <c r="G194">
        <f>BreastCancer_Data!H194</f>
        <v/>
      </c>
      <c r="H194">
        <f>BreastCancer_Data!I194</f>
        <v/>
      </c>
      <c r="I194">
        <f>BreastCancer_Data!J194</f>
        <v/>
      </c>
      <c r="J194">
        <f>BreastCancer_Data!K194</f>
        <v/>
      </c>
      <c r="K194">
        <f>BreastCancer_Data!L194</f>
        <v/>
      </c>
      <c r="L194">
        <f>BreastCancer_Data!M194</f>
        <v/>
      </c>
      <c r="M194">
        <f>BreastCancer_Data!N194</f>
        <v/>
      </c>
      <c r="N194">
        <f>BreastCancer_Data!O194</f>
        <v/>
      </c>
      <c r="O194">
        <f>0</f>
        <v/>
      </c>
      <c r="P194">
        <f>--(AND(D194&lt;=113.15,E194&lt;=0.15,F194&lt;=15.77,G194&lt;=0.18,H194&lt;=33.27))*0</f>
        <v/>
      </c>
      <c r="Q194">
        <f>--(AND(D194&lt;=113.15,E194&lt;=0.15,F194&lt;=15.77,G194&lt;=0.18,H194&gt;33.27))*0</f>
        <v/>
      </c>
      <c r="R194">
        <f>--(AND(D194&lt;=113.15,E194&lt;=0.15,F194&lt;=15.77,G194&gt;0.18))*0</f>
        <v/>
      </c>
      <c r="S194">
        <f>--(AND(D194&lt;=113.15,E194&lt;=0.15,F194&gt;15.77,H194&lt;=28.86,G194&lt;=0.14))*0</f>
        <v/>
      </c>
      <c r="T194">
        <f>--(AND(D194&lt;=113.15,E194&lt;=0.15,F194&gt;15.77,H194&lt;=28.86,G194&gt;0.14))*1</f>
        <v/>
      </c>
      <c r="U194">
        <f>--(AND(D194&lt;=113.15,E194&lt;=0.15,F194&gt;15.77,H194&gt;28.86,M194&lt;=14.54))*1</f>
        <v/>
      </c>
      <c r="V194">
        <f>--(AND(D194&lt;=113.15,E194&lt;=0.15,F194&gt;15.77,H194&gt;28.86,M194&gt;14.54))*1</f>
        <v/>
      </c>
      <c r="W194">
        <f>--(AND(D194&lt;=113.15,E194&gt;0.15,H194&lt;=23.74))*0</f>
        <v/>
      </c>
      <c r="X194">
        <f>--(AND(D194&lt;=113.15,E194&gt;0.15,H194&gt;23.74,J194&lt;=0.1))*1</f>
        <v/>
      </c>
      <c r="Y194">
        <f>--(AND(D194&lt;=113.15,E194&gt;0.15,H194&gt;23.74,J194&gt;0.1))*1</f>
        <v/>
      </c>
      <c r="Z194">
        <f>--(AND(D194&gt;113.15,K194&lt;=0.22,L194&lt;=0.02))*1</f>
        <v/>
      </c>
      <c r="AA194">
        <f>--(AND(D194&gt;113.15,K194&lt;=0.22,L194&gt;0.02))*0</f>
        <v/>
      </c>
      <c r="AB194">
        <f>--(AND(D194&gt;113.15,K194&gt;0.22,N194&lt;=810.1))*0</f>
        <v/>
      </c>
      <c r="AC194">
        <f>--(AND(D194&gt;113.15,K194&gt;0.22,N194&gt;810.1,I194&lt;=14.95))*1</f>
        <v/>
      </c>
      <c r="AD194">
        <f>--(AND(D194&gt;113.15,K194&gt;0.22,N194&gt;810.1,I194&gt;14.95))*1</f>
        <v/>
      </c>
      <c r="AE194">
        <f>SUM(P194:AD194)</f>
        <v/>
      </c>
      <c r="AF194">
        <f>IF(AE194=1,"Malignant","Benign")</f>
        <v/>
      </c>
      <c r="AG194">
        <f>--(AE194=C194)</f>
        <v/>
      </c>
    </row>
    <row r="195">
      <c r="A195">
        <f>BreastCancer_Data!A195</f>
        <v/>
      </c>
      <c r="B195">
        <f>BreastCancer_Data!B195</f>
        <v/>
      </c>
      <c r="C195">
        <f>BreastCancer_Data!D195</f>
        <v/>
      </c>
      <c r="D195">
        <f>BreastCancer_Data!E195</f>
        <v/>
      </c>
      <c r="E195">
        <f>BreastCancer_Data!F195</f>
        <v/>
      </c>
      <c r="F195">
        <f>BreastCancer_Data!G195</f>
        <v/>
      </c>
      <c r="G195">
        <f>BreastCancer_Data!H195</f>
        <v/>
      </c>
      <c r="H195">
        <f>BreastCancer_Data!I195</f>
        <v/>
      </c>
      <c r="I195">
        <f>BreastCancer_Data!J195</f>
        <v/>
      </c>
      <c r="J195">
        <f>BreastCancer_Data!K195</f>
        <v/>
      </c>
      <c r="K195">
        <f>BreastCancer_Data!L195</f>
        <v/>
      </c>
      <c r="L195">
        <f>BreastCancer_Data!M195</f>
        <v/>
      </c>
      <c r="M195">
        <f>BreastCancer_Data!N195</f>
        <v/>
      </c>
      <c r="N195">
        <f>BreastCancer_Data!O195</f>
        <v/>
      </c>
      <c r="O195">
        <f>0</f>
        <v/>
      </c>
      <c r="P195">
        <f>--(AND(D195&lt;=113.15,E195&lt;=0.15,F195&lt;=15.77,G195&lt;=0.18,H195&lt;=33.27))*0</f>
        <v/>
      </c>
      <c r="Q195">
        <f>--(AND(D195&lt;=113.15,E195&lt;=0.15,F195&lt;=15.77,G195&lt;=0.18,H195&gt;33.27))*0</f>
        <v/>
      </c>
      <c r="R195">
        <f>--(AND(D195&lt;=113.15,E195&lt;=0.15,F195&lt;=15.77,G195&gt;0.18))*0</f>
        <v/>
      </c>
      <c r="S195">
        <f>--(AND(D195&lt;=113.15,E195&lt;=0.15,F195&gt;15.77,H195&lt;=28.86,G195&lt;=0.14))*0</f>
        <v/>
      </c>
      <c r="T195">
        <f>--(AND(D195&lt;=113.15,E195&lt;=0.15,F195&gt;15.77,H195&lt;=28.86,G195&gt;0.14))*1</f>
        <v/>
      </c>
      <c r="U195">
        <f>--(AND(D195&lt;=113.15,E195&lt;=0.15,F195&gt;15.77,H195&gt;28.86,M195&lt;=14.54))*1</f>
        <v/>
      </c>
      <c r="V195">
        <f>--(AND(D195&lt;=113.15,E195&lt;=0.15,F195&gt;15.77,H195&gt;28.86,M195&gt;14.54))*1</f>
        <v/>
      </c>
      <c r="W195">
        <f>--(AND(D195&lt;=113.15,E195&gt;0.15,H195&lt;=23.74))*0</f>
        <v/>
      </c>
      <c r="X195">
        <f>--(AND(D195&lt;=113.15,E195&gt;0.15,H195&gt;23.74,J195&lt;=0.1))*1</f>
        <v/>
      </c>
      <c r="Y195">
        <f>--(AND(D195&lt;=113.15,E195&gt;0.15,H195&gt;23.74,J195&gt;0.1))*1</f>
        <v/>
      </c>
      <c r="Z195">
        <f>--(AND(D195&gt;113.15,K195&lt;=0.22,L195&lt;=0.02))*1</f>
        <v/>
      </c>
      <c r="AA195">
        <f>--(AND(D195&gt;113.15,K195&lt;=0.22,L195&gt;0.02))*0</f>
        <v/>
      </c>
      <c r="AB195">
        <f>--(AND(D195&gt;113.15,K195&gt;0.22,N195&lt;=810.1))*0</f>
        <v/>
      </c>
      <c r="AC195">
        <f>--(AND(D195&gt;113.15,K195&gt;0.22,N195&gt;810.1,I195&lt;=14.95))*1</f>
        <v/>
      </c>
      <c r="AD195">
        <f>--(AND(D195&gt;113.15,K195&gt;0.22,N195&gt;810.1,I195&gt;14.95))*1</f>
        <v/>
      </c>
      <c r="AE195">
        <f>SUM(P195:AD195)</f>
        <v/>
      </c>
      <c r="AF195">
        <f>IF(AE195=1,"Malignant","Benign")</f>
        <v/>
      </c>
      <c r="AG195">
        <f>--(AE195=C195)</f>
        <v/>
      </c>
    </row>
    <row r="196">
      <c r="A196">
        <f>BreastCancer_Data!A196</f>
        <v/>
      </c>
      <c r="B196">
        <f>BreastCancer_Data!B196</f>
        <v/>
      </c>
      <c r="C196">
        <f>BreastCancer_Data!D196</f>
        <v/>
      </c>
      <c r="D196">
        <f>BreastCancer_Data!E196</f>
        <v/>
      </c>
      <c r="E196">
        <f>BreastCancer_Data!F196</f>
        <v/>
      </c>
      <c r="F196">
        <f>BreastCancer_Data!G196</f>
        <v/>
      </c>
      <c r="G196">
        <f>BreastCancer_Data!H196</f>
        <v/>
      </c>
      <c r="H196">
        <f>BreastCancer_Data!I196</f>
        <v/>
      </c>
      <c r="I196">
        <f>BreastCancer_Data!J196</f>
        <v/>
      </c>
      <c r="J196">
        <f>BreastCancer_Data!K196</f>
        <v/>
      </c>
      <c r="K196">
        <f>BreastCancer_Data!L196</f>
        <v/>
      </c>
      <c r="L196">
        <f>BreastCancer_Data!M196</f>
        <v/>
      </c>
      <c r="M196">
        <f>BreastCancer_Data!N196</f>
        <v/>
      </c>
      <c r="N196">
        <f>BreastCancer_Data!O196</f>
        <v/>
      </c>
      <c r="O196">
        <f>0</f>
        <v/>
      </c>
      <c r="P196">
        <f>--(AND(D196&lt;=113.15,E196&lt;=0.15,F196&lt;=15.77,G196&lt;=0.18,H196&lt;=33.27))*0</f>
        <v/>
      </c>
      <c r="Q196">
        <f>--(AND(D196&lt;=113.15,E196&lt;=0.15,F196&lt;=15.77,G196&lt;=0.18,H196&gt;33.27))*0</f>
        <v/>
      </c>
      <c r="R196">
        <f>--(AND(D196&lt;=113.15,E196&lt;=0.15,F196&lt;=15.77,G196&gt;0.18))*0</f>
        <v/>
      </c>
      <c r="S196">
        <f>--(AND(D196&lt;=113.15,E196&lt;=0.15,F196&gt;15.77,H196&lt;=28.86,G196&lt;=0.14))*0</f>
        <v/>
      </c>
      <c r="T196">
        <f>--(AND(D196&lt;=113.15,E196&lt;=0.15,F196&gt;15.77,H196&lt;=28.86,G196&gt;0.14))*1</f>
        <v/>
      </c>
      <c r="U196">
        <f>--(AND(D196&lt;=113.15,E196&lt;=0.15,F196&gt;15.77,H196&gt;28.86,M196&lt;=14.54))*1</f>
        <v/>
      </c>
      <c r="V196">
        <f>--(AND(D196&lt;=113.15,E196&lt;=0.15,F196&gt;15.77,H196&gt;28.86,M196&gt;14.54))*1</f>
        <v/>
      </c>
      <c r="W196">
        <f>--(AND(D196&lt;=113.15,E196&gt;0.15,H196&lt;=23.74))*0</f>
        <v/>
      </c>
      <c r="X196">
        <f>--(AND(D196&lt;=113.15,E196&gt;0.15,H196&gt;23.74,J196&lt;=0.1))*1</f>
        <v/>
      </c>
      <c r="Y196">
        <f>--(AND(D196&lt;=113.15,E196&gt;0.15,H196&gt;23.74,J196&gt;0.1))*1</f>
        <v/>
      </c>
      <c r="Z196">
        <f>--(AND(D196&gt;113.15,K196&lt;=0.22,L196&lt;=0.02))*1</f>
        <v/>
      </c>
      <c r="AA196">
        <f>--(AND(D196&gt;113.15,K196&lt;=0.22,L196&gt;0.02))*0</f>
        <v/>
      </c>
      <c r="AB196">
        <f>--(AND(D196&gt;113.15,K196&gt;0.22,N196&lt;=810.1))*0</f>
        <v/>
      </c>
      <c r="AC196">
        <f>--(AND(D196&gt;113.15,K196&gt;0.22,N196&gt;810.1,I196&lt;=14.95))*1</f>
        <v/>
      </c>
      <c r="AD196">
        <f>--(AND(D196&gt;113.15,K196&gt;0.22,N196&gt;810.1,I196&gt;14.95))*1</f>
        <v/>
      </c>
      <c r="AE196">
        <f>SUM(P196:AD196)</f>
        <v/>
      </c>
      <c r="AF196">
        <f>IF(AE196=1,"Malignant","Benign")</f>
        <v/>
      </c>
      <c r="AG196">
        <f>--(AE196=C196)</f>
        <v/>
      </c>
    </row>
    <row r="197">
      <c r="A197">
        <f>BreastCancer_Data!A197</f>
        <v/>
      </c>
      <c r="B197">
        <f>BreastCancer_Data!B197</f>
        <v/>
      </c>
      <c r="C197">
        <f>BreastCancer_Data!D197</f>
        <v/>
      </c>
      <c r="D197">
        <f>BreastCancer_Data!E197</f>
        <v/>
      </c>
      <c r="E197">
        <f>BreastCancer_Data!F197</f>
        <v/>
      </c>
      <c r="F197">
        <f>BreastCancer_Data!G197</f>
        <v/>
      </c>
      <c r="G197">
        <f>BreastCancer_Data!H197</f>
        <v/>
      </c>
      <c r="H197">
        <f>BreastCancer_Data!I197</f>
        <v/>
      </c>
      <c r="I197">
        <f>BreastCancer_Data!J197</f>
        <v/>
      </c>
      <c r="J197">
        <f>BreastCancer_Data!K197</f>
        <v/>
      </c>
      <c r="K197">
        <f>BreastCancer_Data!L197</f>
        <v/>
      </c>
      <c r="L197">
        <f>BreastCancer_Data!M197</f>
        <v/>
      </c>
      <c r="M197">
        <f>BreastCancer_Data!N197</f>
        <v/>
      </c>
      <c r="N197">
        <f>BreastCancer_Data!O197</f>
        <v/>
      </c>
      <c r="O197">
        <f>0</f>
        <v/>
      </c>
      <c r="P197">
        <f>--(AND(D197&lt;=113.15,E197&lt;=0.15,F197&lt;=15.77,G197&lt;=0.18,H197&lt;=33.27))*0</f>
        <v/>
      </c>
      <c r="Q197">
        <f>--(AND(D197&lt;=113.15,E197&lt;=0.15,F197&lt;=15.77,G197&lt;=0.18,H197&gt;33.27))*0</f>
        <v/>
      </c>
      <c r="R197">
        <f>--(AND(D197&lt;=113.15,E197&lt;=0.15,F197&lt;=15.77,G197&gt;0.18))*0</f>
        <v/>
      </c>
      <c r="S197">
        <f>--(AND(D197&lt;=113.15,E197&lt;=0.15,F197&gt;15.77,H197&lt;=28.86,G197&lt;=0.14))*0</f>
        <v/>
      </c>
      <c r="T197">
        <f>--(AND(D197&lt;=113.15,E197&lt;=0.15,F197&gt;15.77,H197&lt;=28.86,G197&gt;0.14))*1</f>
        <v/>
      </c>
      <c r="U197">
        <f>--(AND(D197&lt;=113.15,E197&lt;=0.15,F197&gt;15.77,H197&gt;28.86,M197&lt;=14.54))*1</f>
        <v/>
      </c>
      <c r="V197">
        <f>--(AND(D197&lt;=113.15,E197&lt;=0.15,F197&gt;15.77,H197&gt;28.86,M197&gt;14.54))*1</f>
        <v/>
      </c>
      <c r="W197">
        <f>--(AND(D197&lt;=113.15,E197&gt;0.15,H197&lt;=23.74))*0</f>
        <v/>
      </c>
      <c r="X197">
        <f>--(AND(D197&lt;=113.15,E197&gt;0.15,H197&gt;23.74,J197&lt;=0.1))*1</f>
        <v/>
      </c>
      <c r="Y197">
        <f>--(AND(D197&lt;=113.15,E197&gt;0.15,H197&gt;23.74,J197&gt;0.1))*1</f>
        <v/>
      </c>
      <c r="Z197">
        <f>--(AND(D197&gt;113.15,K197&lt;=0.22,L197&lt;=0.02))*1</f>
        <v/>
      </c>
      <c r="AA197">
        <f>--(AND(D197&gt;113.15,K197&lt;=0.22,L197&gt;0.02))*0</f>
        <v/>
      </c>
      <c r="AB197">
        <f>--(AND(D197&gt;113.15,K197&gt;0.22,N197&lt;=810.1))*0</f>
        <v/>
      </c>
      <c r="AC197">
        <f>--(AND(D197&gt;113.15,K197&gt;0.22,N197&gt;810.1,I197&lt;=14.95))*1</f>
        <v/>
      </c>
      <c r="AD197">
        <f>--(AND(D197&gt;113.15,K197&gt;0.22,N197&gt;810.1,I197&gt;14.95))*1</f>
        <v/>
      </c>
      <c r="AE197">
        <f>SUM(P197:AD197)</f>
        <v/>
      </c>
      <c r="AF197">
        <f>IF(AE197=1,"Malignant","Benign")</f>
        <v/>
      </c>
      <c r="AG197">
        <f>--(AE197=C197)</f>
        <v/>
      </c>
    </row>
    <row r="198">
      <c r="A198">
        <f>BreastCancer_Data!A198</f>
        <v/>
      </c>
      <c r="B198">
        <f>BreastCancer_Data!B198</f>
        <v/>
      </c>
      <c r="C198">
        <f>BreastCancer_Data!D198</f>
        <v/>
      </c>
      <c r="D198">
        <f>BreastCancer_Data!E198</f>
        <v/>
      </c>
      <c r="E198">
        <f>BreastCancer_Data!F198</f>
        <v/>
      </c>
      <c r="F198">
        <f>BreastCancer_Data!G198</f>
        <v/>
      </c>
      <c r="G198">
        <f>BreastCancer_Data!H198</f>
        <v/>
      </c>
      <c r="H198">
        <f>BreastCancer_Data!I198</f>
        <v/>
      </c>
      <c r="I198">
        <f>BreastCancer_Data!J198</f>
        <v/>
      </c>
      <c r="J198">
        <f>BreastCancer_Data!K198</f>
        <v/>
      </c>
      <c r="K198">
        <f>BreastCancer_Data!L198</f>
        <v/>
      </c>
      <c r="L198">
        <f>BreastCancer_Data!M198</f>
        <v/>
      </c>
      <c r="M198">
        <f>BreastCancer_Data!N198</f>
        <v/>
      </c>
      <c r="N198">
        <f>BreastCancer_Data!O198</f>
        <v/>
      </c>
      <c r="O198">
        <f>0</f>
        <v/>
      </c>
      <c r="P198">
        <f>--(AND(D198&lt;=113.15,E198&lt;=0.15,F198&lt;=15.77,G198&lt;=0.18,H198&lt;=33.27))*0</f>
        <v/>
      </c>
      <c r="Q198">
        <f>--(AND(D198&lt;=113.15,E198&lt;=0.15,F198&lt;=15.77,G198&lt;=0.18,H198&gt;33.27))*0</f>
        <v/>
      </c>
      <c r="R198">
        <f>--(AND(D198&lt;=113.15,E198&lt;=0.15,F198&lt;=15.77,G198&gt;0.18))*0</f>
        <v/>
      </c>
      <c r="S198">
        <f>--(AND(D198&lt;=113.15,E198&lt;=0.15,F198&gt;15.77,H198&lt;=28.86,G198&lt;=0.14))*0</f>
        <v/>
      </c>
      <c r="T198">
        <f>--(AND(D198&lt;=113.15,E198&lt;=0.15,F198&gt;15.77,H198&lt;=28.86,G198&gt;0.14))*1</f>
        <v/>
      </c>
      <c r="U198">
        <f>--(AND(D198&lt;=113.15,E198&lt;=0.15,F198&gt;15.77,H198&gt;28.86,M198&lt;=14.54))*1</f>
        <v/>
      </c>
      <c r="V198">
        <f>--(AND(D198&lt;=113.15,E198&lt;=0.15,F198&gt;15.77,H198&gt;28.86,M198&gt;14.54))*1</f>
        <v/>
      </c>
      <c r="W198">
        <f>--(AND(D198&lt;=113.15,E198&gt;0.15,H198&lt;=23.74))*0</f>
        <v/>
      </c>
      <c r="X198">
        <f>--(AND(D198&lt;=113.15,E198&gt;0.15,H198&gt;23.74,J198&lt;=0.1))*1</f>
        <v/>
      </c>
      <c r="Y198">
        <f>--(AND(D198&lt;=113.15,E198&gt;0.15,H198&gt;23.74,J198&gt;0.1))*1</f>
        <v/>
      </c>
      <c r="Z198">
        <f>--(AND(D198&gt;113.15,K198&lt;=0.22,L198&lt;=0.02))*1</f>
        <v/>
      </c>
      <c r="AA198">
        <f>--(AND(D198&gt;113.15,K198&lt;=0.22,L198&gt;0.02))*0</f>
        <v/>
      </c>
      <c r="AB198">
        <f>--(AND(D198&gt;113.15,K198&gt;0.22,N198&lt;=810.1))*0</f>
        <v/>
      </c>
      <c r="AC198">
        <f>--(AND(D198&gt;113.15,K198&gt;0.22,N198&gt;810.1,I198&lt;=14.95))*1</f>
        <v/>
      </c>
      <c r="AD198">
        <f>--(AND(D198&gt;113.15,K198&gt;0.22,N198&gt;810.1,I198&gt;14.95))*1</f>
        <v/>
      </c>
      <c r="AE198">
        <f>SUM(P198:AD198)</f>
        <v/>
      </c>
      <c r="AF198">
        <f>IF(AE198=1,"Malignant","Benign")</f>
        <v/>
      </c>
      <c r="AG198">
        <f>--(AE198=C198)</f>
        <v/>
      </c>
    </row>
    <row r="199">
      <c r="A199">
        <f>BreastCancer_Data!A199</f>
        <v/>
      </c>
      <c r="B199">
        <f>BreastCancer_Data!B199</f>
        <v/>
      </c>
      <c r="C199">
        <f>BreastCancer_Data!D199</f>
        <v/>
      </c>
      <c r="D199">
        <f>BreastCancer_Data!E199</f>
        <v/>
      </c>
      <c r="E199">
        <f>BreastCancer_Data!F199</f>
        <v/>
      </c>
      <c r="F199">
        <f>BreastCancer_Data!G199</f>
        <v/>
      </c>
      <c r="G199">
        <f>BreastCancer_Data!H199</f>
        <v/>
      </c>
      <c r="H199">
        <f>BreastCancer_Data!I199</f>
        <v/>
      </c>
      <c r="I199">
        <f>BreastCancer_Data!J199</f>
        <v/>
      </c>
      <c r="J199">
        <f>BreastCancer_Data!K199</f>
        <v/>
      </c>
      <c r="K199">
        <f>BreastCancer_Data!L199</f>
        <v/>
      </c>
      <c r="L199">
        <f>BreastCancer_Data!M199</f>
        <v/>
      </c>
      <c r="M199">
        <f>BreastCancer_Data!N199</f>
        <v/>
      </c>
      <c r="N199">
        <f>BreastCancer_Data!O199</f>
        <v/>
      </c>
      <c r="O199">
        <f>0</f>
        <v/>
      </c>
      <c r="P199">
        <f>--(AND(D199&lt;=113.15,E199&lt;=0.15,F199&lt;=15.77,G199&lt;=0.18,H199&lt;=33.27))*0</f>
        <v/>
      </c>
      <c r="Q199">
        <f>--(AND(D199&lt;=113.15,E199&lt;=0.15,F199&lt;=15.77,G199&lt;=0.18,H199&gt;33.27))*0</f>
        <v/>
      </c>
      <c r="R199">
        <f>--(AND(D199&lt;=113.15,E199&lt;=0.15,F199&lt;=15.77,G199&gt;0.18))*0</f>
        <v/>
      </c>
      <c r="S199">
        <f>--(AND(D199&lt;=113.15,E199&lt;=0.15,F199&gt;15.77,H199&lt;=28.86,G199&lt;=0.14))*0</f>
        <v/>
      </c>
      <c r="T199">
        <f>--(AND(D199&lt;=113.15,E199&lt;=0.15,F199&gt;15.77,H199&lt;=28.86,G199&gt;0.14))*1</f>
        <v/>
      </c>
      <c r="U199">
        <f>--(AND(D199&lt;=113.15,E199&lt;=0.15,F199&gt;15.77,H199&gt;28.86,M199&lt;=14.54))*1</f>
        <v/>
      </c>
      <c r="V199">
        <f>--(AND(D199&lt;=113.15,E199&lt;=0.15,F199&gt;15.77,H199&gt;28.86,M199&gt;14.54))*1</f>
        <v/>
      </c>
      <c r="W199">
        <f>--(AND(D199&lt;=113.15,E199&gt;0.15,H199&lt;=23.74))*0</f>
        <v/>
      </c>
      <c r="X199">
        <f>--(AND(D199&lt;=113.15,E199&gt;0.15,H199&gt;23.74,J199&lt;=0.1))*1</f>
        <v/>
      </c>
      <c r="Y199">
        <f>--(AND(D199&lt;=113.15,E199&gt;0.15,H199&gt;23.74,J199&gt;0.1))*1</f>
        <v/>
      </c>
      <c r="Z199">
        <f>--(AND(D199&gt;113.15,K199&lt;=0.22,L199&lt;=0.02))*1</f>
        <v/>
      </c>
      <c r="AA199">
        <f>--(AND(D199&gt;113.15,K199&lt;=0.22,L199&gt;0.02))*0</f>
        <v/>
      </c>
      <c r="AB199">
        <f>--(AND(D199&gt;113.15,K199&gt;0.22,N199&lt;=810.1))*0</f>
        <v/>
      </c>
      <c r="AC199">
        <f>--(AND(D199&gt;113.15,K199&gt;0.22,N199&gt;810.1,I199&lt;=14.95))*1</f>
        <v/>
      </c>
      <c r="AD199">
        <f>--(AND(D199&gt;113.15,K199&gt;0.22,N199&gt;810.1,I199&gt;14.95))*1</f>
        <v/>
      </c>
      <c r="AE199">
        <f>SUM(P199:AD199)</f>
        <v/>
      </c>
      <c r="AF199">
        <f>IF(AE199=1,"Malignant","Benign")</f>
        <v/>
      </c>
      <c r="AG199">
        <f>--(AE199=C199)</f>
        <v/>
      </c>
    </row>
    <row r="200">
      <c r="A200">
        <f>BreastCancer_Data!A200</f>
        <v/>
      </c>
      <c r="B200">
        <f>BreastCancer_Data!B200</f>
        <v/>
      </c>
      <c r="C200">
        <f>BreastCancer_Data!D200</f>
        <v/>
      </c>
      <c r="D200">
        <f>BreastCancer_Data!E200</f>
        <v/>
      </c>
      <c r="E200">
        <f>BreastCancer_Data!F200</f>
        <v/>
      </c>
      <c r="F200">
        <f>BreastCancer_Data!G200</f>
        <v/>
      </c>
      <c r="G200">
        <f>BreastCancer_Data!H200</f>
        <v/>
      </c>
      <c r="H200">
        <f>BreastCancer_Data!I200</f>
        <v/>
      </c>
      <c r="I200">
        <f>BreastCancer_Data!J200</f>
        <v/>
      </c>
      <c r="J200">
        <f>BreastCancer_Data!K200</f>
        <v/>
      </c>
      <c r="K200">
        <f>BreastCancer_Data!L200</f>
        <v/>
      </c>
      <c r="L200">
        <f>BreastCancer_Data!M200</f>
        <v/>
      </c>
      <c r="M200">
        <f>BreastCancer_Data!N200</f>
        <v/>
      </c>
      <c r="N200">
        <f>BreastCancer_Data!O200</f>
        <v/>
      </c>
      <c r="O200">
        <f>0</f>
        <v/>
      </c>
      <c r="P200">
        <f>--(AND(D200&lt;=113.15,E200&lt;=0.15,F200&lt;=15.77,G200&lt;=0.18,H200&lt;=33.27))*0</f>
        <v/>
      </c>
      <c r="Q200">
        <f>--(AND(D200&lt;=113.15,E200&lt;=0.15,F200&lt;=15.77,G200&lt;=0.18,H200&gt;33.27))*0</f>
        <v/>
      </c>
      <c r="R200">
        <f>--(AND(D200&lt;=113.15,E200&lt;=0.15,F200&lt;=15.77,G200&gt;0.18))*0</f>
        <v/>
      </c>
      <c r="S200">
        <f>--(AND(D200&lt;=113.15,E200&lt;=0.15,F200&gt;15.77,H200&lt;=28.86,G200&lt;=0.14))*0</f>
        <v/>
      </c>
      <c r="T200">
        <f>--(AND(D200&lt;=113.15,E200&lt;=0.15,F200&gt;15.77,H200&lt;=28.86,G200&gt;0.14))*1</f>
        <v/>
      </c>
      <c r="U200">
        <f>--(AND(D200&lt;=113.15,E200&lt;=0.15,F200&gt;15.77,H200&gt;28.86,M200&lt;=14.54))*1</f>
        <v/>
      </c>
      <c r="V200">
        <f>--(AND(D200&lt;=113.15,E200&lt;=0.15,F200&gt;15.77,H200&gt;28.86,M200&gt;14.54))*1</f>
        <v/>
      </c>
      <c r="W200">
        <f>--(AND(D200&lt;=113.15,E200&gt;0.15,H200&lt;=23.74))*0</f>
        <v/>
      </c>
      <c r="X200">
        <f>--(AND(D200&lt;=113.15,E200&gt;0.15,H200&gt;23.74,J200&lt;=0.1))*1</f>
        <v/>
      </c>
      <c r="Y200">
        <f>--(AND(D200&lt;=113.15,E200&gt;0.15,H200&gt;23.74,J200&gt;0.1))*1</f>
        <v/>
      </c>
      <c r="Z200">
        <f>--(AND(D200&gt;113.15,K200&lt;=0.22,L200&lt;=0.02))*1</f>
        <v/>
      </c>
      <c r="AA200">
        <f>--(AND(D200&gt;113.15,K200&lt;=0.22,L200&gt;0.02))*0</f>
        <v/>
      </c>
      <c r="AB200">
        <f>--(AND(D200&gt;113.15,K200&gt;0.22,N200&lt;=810.1))*0</f>
        <v/>
      </c>
      <c r="AC200">
        <f>--(AND(D200&gt;113.15,K200&gt;0.22,N200&gt;810.1,I200&lt;=14.95))*1</f>
        <v/>
      </c>
      <c r="AD200">
        <f>--(AND(D200&gt;113.15,K200&gt;0.22,N200&gt;810.1,I200&gt;14.95))*1</f>
        <v/>
      </c>
      <c r="AE200">
        <f>SUM(P200:AD200)</f>
        <v/>
      </c>
      <c r="AF200">
        <f>IF(AE200=1,"Malignant","Benign")</f>
        <v/>
      </c>
      <c r="AG200">
        <f>--(AE200=C200)</f>
        <v/>
      </c>
    </row>
    <row r="201">
      <c r="A201">
        <f>BreastCancer_Data!A201</f>
        <v/>
      </c>
      <c r="B201">
        <f>BreastCancer_Data!B201</f>
        <v/>
      </c>
      <c r="C201">
        <f>BreastCancer_Data!D201</f>
        <v/>
      </c>
      <c r="D201">
        <f>BreastCancer_Data!E201</f>
        <v/>
      </c>
      <c r="E201">
        <f>BreastCancer_Data!F201</f>
        <v/>
      </c>
      <c r="F201">
        <f>BreastCancer_Data!G201</f>
        <v/>
      </c>
      <c r="G201">
        <f>BreastCancer_Data!H201</f>
        <v/>
      </c>
      <c r="H201">
        <f>BreastCancer_Data!I201</f>
        <v/>
      </c>
      <c r="I201">
        <f>BreastCancer_Data!J201</f>
        <v/>
      </c>
      <c r="J201">
        <f>BreastCancer_Data!K201</f>
        <v/>
      </c>
      <c r="K201">
        <f>BreastCancer_Data!L201</f>
        <v/>
      </c>
      <c r="L201">
        <f>BreastCancer_Data!M201</f>
        <v/>
      </c>
      <c r="M201">
        <f>BreastCancer_Data!N201</f>
        <v/>
      </c>
      <c r="N201">
        <f>BreastCancer_Data!O201</f>
        <v/>
      </c>
      <c r="O201">
        <f>0</f>
        <v/>
      </c>
      <c r="P201">
        <f>--(AND(D201&lt;=113.15,E201&lt;=0.15,F201&lt;=15.77,G201&lt;=0.18,H201&lt;=33.27))*0</f>
        <v/>
      </c>
      <c r="Q201">
        <f>--(AND(D201&lt;=113.15,E201&lt;=0.15,F201&lt;=15.77,G201&lt;=0.18,H201&gt;33.27))*0</f>
        <v/>
      </c>
      <c r="R201">
        <f>--(AND(D201&lt;=113.15,E201&lt;=0.15,F201&lt;=15.77,G201&gt;0.18))*0</f>
        <v/>
      </c>
      <c r="S201">
        <f>--(AND(D201&lt;=113.15,E201&lt;=0.15,F201&gt;15.77,H201&lt;=28.86,G201&lt;=0.14))*0</f>
        <v/>
      </c>
      <c r="T201">
        <f>--(AND(D201&lt;=113.15,E201&lt;=0.15,F201&gt;15.77,H201&lt;=28.86,G201&gt;0.14))*1</f>
        <v/>
      </c>
      <c r="U201">
        <f>--(AND(D201&lt;=113.15,E201&lt;=0.15,F201&gt;15.77,H201&gt;28.86,M201&lt;=14.54))*1</f>
        <v/>
      </c>
      <c r="V201">
        <f>--(AND(D201&lt;=113.15,E201&lt;=0.15,F201&gt;15.77,H201&gt;28.86,M201&gt;14.54))*1</f>
        <v/>
      </c>
      <c r="W201">
        <f>--(AND(D201&lt;=113.15,E201&gt;0.15,H201&lt;=23.74))*0</f>
        <v/>
      </c>
      <c r="X201">
        <f>--(AND(D201&lt;=113.15,E201&gt;0.15,H201&gt;23.74,J201&lt;=0.1))*1</f>
        <v/>
      </c>
      <c r="Y201">
        <f>--(AND(D201&lt;=113.15,E201&gt;0.15,H201&gt;23.74,J201&gt;0.1))*1</f>
        <v/>
      </c>
      <c r="Z201">
        <f>--(AND(D201&gt;113.15,K201&lt;=0.22,L201&lt;=0.02))*1</f>
        <v/>
      </c>
      <c r="AA201">
        <f>--(AND(D201&gt;113.15,K201&lt;=0.22,L201&gt;0.02))*0</f>
        <v/>
      </c>
      <c r="AB201">
        <f>--(AND(D201&gt;113.15,K201&gt;0.22,N201&lt;=810.1))*0</f>
        <v/>
      </c>
      <c r="AC201">
        <f>--(AND(D201&gt;113.15,K201&gt;0.22,N201&gt;810.1,I201&lt;=14.95))*1</f>
        <v/>
      </c>
      <c r="AD201">
        <f>--(AND(D201&gt;113.15,K201&gt;0.22,N201&gt;810.1,I201&gt;14.95))*1</f>
        <v/>
      </c>
      <c r="AE201">
        <f>SUM(P201:AD201)</f>
        <v/>
      </c>
      <c r="AF201">
        <f>IF(AE201=1,"Malignant","Benign")</f>
        <v/>
      </c>
      <c r="AG201">
        <f>--(AE201=C201)</f>
        <v/>
      </c>
    </row>
    <row r="202">
      <c r="A202">
        <f>BreastCancer_Data!A202</f>
        <v/>
      </c>
      <c r="B202">
        <f>BreastCancer_Data!B202</f>
        <v/>
      </c>
      <c r="C202">
        <f>BreastCancer_Data!D202</f>
        <v/>
      </c>
      <c r="D202">
        <f>BreastCancer_Data!E202</f>
        <v/>
      </c>
      <c r="E202">
        <f>BreastCancer_Data!F202</f>
        <v/>
      </c>
      <c r="F202">
        <f>BreastCancer_Data!G202</f>
        <v/>
      </c>
      <c r="G202">
        <f>BreastCancer_Data!H202</f>
        <v/>
      </c>
      <c r="H202">
        <f>BreastCancer_Data!I202</f>
        <v/>
      </c>
      <c r="I202">
        <f>BreastCancer_Data!J202</f>
        <v/>
      </c>
      <c r="J202">
        <f>BreastCancer_Data!K202</f>
        <v/>
      </c>
      <c r="K202">
        <f>BreastCancer_Data!L202</f>
        <v/>
      </c>
      <c r="L202">
        <f>BreastCancer_Data!M202</f>
        <v/>
      </c>
      <c r="M202">
        <f>BreastCancer_Data!N202</f>
        <v/>
      </c>
      <c r="N202">
        <f>BreastCancer_Data!O202</f>
        <v/>
      </c>
      <c r="O202">
        <f>0</f>
        <v/>
      </c>
      <c r="P202">
        <f>--(AND(D202&lt;=113.15,E202&lt;=0.15,F202&lt;=15.77,G202&lt;=0.18,H202&lt;=33.27))*0</f>
        <v/>
      </c>
      <c r="Q202">
        <f>--(AND(D202&lt;=113.15,E202&lt;=0.15,F202&lt;=15.77,G202&lt;=0.18,H202&gt;33.27))*0</f>
        <v/>
      </c>
      <c r="R202">
        <f>--(AND(D202&lt;=113.15,E202&lt;=0.15,F202&lt;=15.77,G202&gt;0.18))*0</f>
        <v/>
      </c>
      <c r="S202">
        <f>--(AND(D202&lt;=113.15,E202&lt;=0.15,F202&gt;15.77,H202&lt;=28.86,G202&lt;=0.14))*0</f>
        <v/>
      </c>
      <c r="T202">
        <f>--(AND(D202&lt;=113.15,E202&lt;=0.15,F202&gt;15.77,H202&lt;=28.86,G202&gt;0.14))*1</f>
        <v/>
      </c>
      <c r="U202">
        <f>--(AND(D202&lt;=113.15,E202&lt;=0.15,F202&gt;15.77,H202&gt;28.86,M202&lt;=14.54))*1</f>
        <v/>
      </c>
      <c r="V202">
        <f>--(AND(D202&lt;=113.15,E202&lt;=0.15,F202&gt;15.77,H202&gt;28.86,M202&gt;14.54))*1</f>
        <v/>
      </c>
      <c r="W202">
        <f>--(AND(D202&lt;=113.15,E202&gt;0.15,H202&lt;=23.74))*0</f>
        <v/>
      </c>
      <c r="X202">
        <f>--(AND(D202&lt;=113.15,E202&gt;0.15,H202&gt;23.74,J202&lt;=0.1))*1</f>
        <v/>
      </c>
      <c r="Y202">
        <f>--(AND(D202&lt;=113.15,E202&gt;0.15,H202&gt;23.74,J202&gt;0.1))*1</f>
        <v/>
      </c>
      <c r="Z202">
        <f>--(AND(D202&gt;113.15,K202&lt;=0.22,L202&lt;=0.02))*1</f>
        <v/>
      </c>
      <c r="AA202">
        <f>--(AND(D202&gt;113.15,K202&lt;=0.22,L202&gt;0.02))*0</f>
        <v/>
      </c>
      <c r="AB202">
        <f>--(AND(D202&gt;113.15,K202&gt;0.22,N202&lt;=810.1))*0</f>
        <v/>
      </c>
      <c r="AC202">
        <f>--(AND(D202&gt;113.15,K202&gt;0.22,N202&gt;810.1,I202&lt;=14.95))*1</f>
        <v/>
      </c>
      <c r="AD202">
        <f>--(AND(D202&gt;113.15,K202&gt;0.22,N202&gt;810.1,I202&gt;14.95))*1</f>
        <v/>
      </c>
      <c r="AE202">
        <f>SUM(P202:AD202)</f>
        <v/>
      </c>
      <c r="AF202">
        <f>IF(AE202=1,"Malignant","Benign")</f>
        <v/>
      </c>
      <c r="AG202">
        <f>--(AE202=C202)</f>
        <v/>
      </c>
    </row>
    <row r="203">
      <c r="A203">
        <f>BreastCancer_Data!A203</f>
        <v/>
      </c>
      <c r="B203">
        <f>BreastCancer_Data!B203</f>
        <v/>
      </c>
      <c r="C203">
        <f>BreastCancer_Data!D203</f>
        <v/>
      </c>
      <c r="D203">
        <f>BreastCancer_Data!E203</f>
        <v/>
      </c>
      <c r="E203">
        <f>BreastCancer_Data!F203</f>
        <v/>
      </c>
      <c r="F203">
        <f>BreastCancer_Data!G203</f>
        <v/>
      </c>
      <c r="G203">
        <f>BreastCancer_Data!H203</f>
        <v/>
      </c>
      <c r="H203">
        <f>BreastCancer_Data!I203</f>
        <v/>
      </c>
      <c r="I203">
        <f>BreastCancer_Data!J203</f>
        <v/>
      </c>
      <c r="J203">
        <f>BreastCancer_Data!K203</f>
        <v/>
      </c>
      <c r="K203">
        <f>BreastCancer_Data!L203</f>
        <v/>
      </c>
      <c r="L203">
        <f>BreastCancer_Data!M203</f>
        <v/>
      </c>
      <c r="M203">
        <f>BreastCancer_Data!N203</f>
        <v/>
      </c>
      <c r="N203">
        <f>BreastCancer_Data!O203</f>
        <v/>
      </c>
      <c r="O203">
        <f>0</f>
        <v/>
      </c>
      <c r="P203">
        <f>--(AND(D203&lt;=113.15,E203&lt;=0.15,F203&lt;=15.77,G203&lt;=0.18,H203&lt;=33.27))*0</f>
        <v/>
      </c>
      <c r="Q203">
        <f>--(AND(D203&lt;=113.15,E203&lt;=0.15,F203&lt;=15.77,G203&lt;=0.18,H203&gt;33.27))*0</f>
        <v/>
      </c>
      <c r="R203">
        <f>--(AND(D203&lt;=113.15,E203&lt;=0.15,F203&lt;=15.77,G203&gt;0.18))*0</f>
        <v/>
      </c>
      <c r="S203">
        <f>--(AND(D203&lt;=113.15,E203&lt;=0.15,F203&gt;15.77,H203&lt;=28.86,G203&lt;=0.14))*0</f>
        <v/>
      </c>
      <c r="T203">
        <f>--(AND(D203&lt;=113.15,E203&lt;=0.15,F203&gt;15.77,H203&lt;=28.86,G203&gt;0.14))*1</f>
        <v/>
      </c>
      <c r="U203">
        <f>--(AND(D203&lt;=113.15,E203&lt;=0.15,F203&gt;15.77,H203&gt;28.86,M203&lt;=14.54))*1</f>
        <v/>
      </c>
      <c r="V203">
        <f>--(AND(D203&lt;=113.15,E203&lt;=0.15,F203&gt;15.77,H203&gt;28.86,M203&gt;14.54))*1</f>
        <v/>
      </c>
      <c r="W203">
        <f>--(AND(D203&lt;=113.15,E203&gt;0.15,H203&lt;=23.74))*0</f>
        <v/>
      </c>
      <c r="X203">
        <f>--(AND(D203&lt;=113.15,E203&gt;0.15,H203&gt;23.74,J203&lt;=0.1))*1</f>
        <v/>
      </c>
      <c r="Y203">
        <f>--(AND(D203&lt;=113.15,E203&gt;0.15,H203&gt;23.74,J203&gt;0.1))*1</f>
        <v/>
      </c>
      <c r="Z203">
        <f>--(AND(D203&gt;113.15,K203&lt;=0.22,L203&lt;=0.02))*1</f>
        <v/>
      </c>
      <c r="AA203">
        <f>--(AND(D203&gt;113.15,K203&lt;=0.22,L203&gt;0.02))*0</f>
        <v/>
      </c>
      <c r="AB203">
        <f>--(AND(D203&gt;113.15,K203&gt;0.22,N203&lt;=810.1))*0</f>
        <v/>
      </c>
      <c r="AC203">
        <f>--(AND(D203&gt;113.15,K203&gt;0.22,N203&gt;810.1,I203&lt;=14.95))*1</f>
        <v/>
      </c>
      <c r="AD203">
        <f>--(AND(D203&gt;113.15,K203&gt;0.22,N203&gt;810.1,I203&gt;14.95))*1</f>
        <v/>
      </c>
      <c r="AE203">
        <f>SUM(P203:AD203)</f>
        <v/>
      </c>
      <c r="AF203">
        <f>IF(AE203=1,"Malignant","Benign")</f>
        <v/>
      </c>
      <c r="AG203">
        <f>--(AE203=C203)</f>
        <v/>
      </c>
    </row>
    <row r="204">
      <c r="A204">
        <f>BreastCancer_Data!A204</f>
        <v/>
      </c>
      <c r="B204">
        <f>BreastCancer_Data!B204</f>
        <v/>
      </c>
      <c r="C204">
        <f>BreastCancer_Data!D204</f>
        <v/>
      </c>
      <c r="D204">
        <f>BreastCancer_Data!E204</f>
        <v/>
      </c>
      <c r="E204">
        <f>BreastCancer_Data!F204</f>
        <v/>
      </c>
      <c r="F204">
        <f>BreastCancer_Data!G204</f>
        <v/>
      </c>
      <c r="G204">
        <f>BreastCancer_Data!H204</f>
        <v/>
      </c>
      <c r="H204">
        <f>BreastCancer_Data!I204</f>
        <v/>
      </c>
      <c r="I204">
        <f>BreastCancer_Data!J204</f>
        <v/>
      </c>
      <c r="J204">
        <f>BreastCancer_Data!K204</f>
        <v/>
      </c>
      <c r="K204">
        <f>BreastCancer_Data!L204</f>
        <v/>
      </c>
      <c r="L204">
        <f>BreastCancer_Data!M204</f>
        <v/>
      </c>
      <c r="M204">
        <f>BreastCancer_Data!N204</f>
        <v/>
      </c>
      <c r="N204">
        <f>BreastCancer_Data!O204</f>
        <v/>
      </c>
      <c r="O204">
        <f>0</f>
        <v/>
      </c>
      <c r="P204">
        <f>--(AND(D204&lt;=113.15,E204&lt;=0.15,F204&lt;=15.77,G204&lt;=0.18,H204&lt;=33.27))*0</f>
        <v/>
      </c>
      <c r="Q204">
        <f>--(AND(D204&lt;=113.15,E204&lt;=0.15,F204&lt;=15.77,G204&lt;=0.18,H204&gt;33.27))*0</f>
        <v/>
      </c>
      <c r="R204">
        <f>--(AND(D204&lt;=113.15,E204&lt;=0.15,F204&lt;=15.77,G204&gt;0.18))*0</f>
        <v/>
      </c>
      <c r="S204">
        <f>--(AND(D204&lt;=113.15,E204&lt;=0.15,F204&gt;15.77,H204&lt;=28.86,G204&lt;=0.14))*0</f>
        <v/>
      </c>
      <c r="T204">
        <f>--(AND(D204&lt;=113.15,E204&lt;=0.15,F204&gt;15.77,H204&lt;=28.86,G204&gt;0.14))*1</f>
        <v/>
      </c>
      <c r="U204">
        <f>--(AND(D204&lt;=113.15,E204&lt;=0.15,F204&gt;15.77,H204&gt;28.86,M204&lt;=14.54))*1</f>
        <v/>
      </c>
      <c r="V204">
        <f>--(AND(D204&lt;=113.15,E204&lt;=0.15,F204&gt;15.77,H204&gt;28.86,M204&gt;14.54))*1</f>
        <v/>
      </c>
      <c r="W204">
        <f>--(AND(D204&lt;=113.15,E204&gt;0.15,H204&lt;=23.74))*0</f>
        <v/>
      </c>
      <c r="X204">
        <f>--(AND(D204&lt;=113.15,E204&gt;0.15,H204&gt;23.74,J204&lt;=0.1))*1</f>
        <v/>
      </c>
      <c r="Y204">
        <f>--(AND(D204&lt;=113.15,E204&gt;0.15,H204&gt;23.74,J204&gt;0.1))*1</f>
        <v/>
      </c>
      <c r="Z204">
        <f>--(AND(D204&gt;113.15,K204&lt;=0.22,L204&lt;=0.02))*1</f>
        <v/>
      </c>
      <c r="AA204">
        <f>--(AND(D204&gt;113.15,K204&lt;=0.22,L204&gt;0.02))*0</f>
        <v/>
      </c>
      <c r="AB204">
        <f>--(AND(D204&gt;113.15,K204&gt;0.22,N204&lt;=810.1))*0</f>
        <v/>
      </c>
      <c r="AC204">
        <f>--(AND(D204&gt;113.15,K204&gt;0.22,N204&gt;810.1,I204&lt;=14.95))*1</f>
        <v/>
      </c>
      <c r="AD204">
        <f>--(AND(D204&gt;113.15,K204&gt;0.22,N204&gt;810.1,I204&gt;14.95))*1</f>
        <v/>
      </c>
      <c r="AE204">
        <f>SUM(P204:AD204)</f>
        <v/>
      </c>
      <c r="AF204">
        <f>IF(AE204=1,"Malignant","Benign")</f>
        <v/>
      </c>
      <c r="AG204">
        <f>--(AE204=C204)</f>
        <v/>
      </c>
    </row>
    <row r="205">
      <c r="A205">
        <f>BreastCancer_Data!A205</f>
        <v/>
      </c>
      <c r="B205">
        <f>BreastCancer_Data!B205</f>
        <v/>
      </c>
      <c r="C205">
        <f>BreastCancer_Data!D205</f>
        <v/>
      </c>
      <c r="D205">
        <f>BreastCancer_Data!E205</f>
        <v/>
      </c>
      <c r="E205">
        <f>BreastCancer_Data!F205</f>
        <v/>
      </c>
      <c r="F205">
        <f>BreastCancer_Data!G205</f>
        <v/>
      </c>
      <c r="G205">
        <f>BreastCancer_Data!H205</f>
        <v/>
      </c>
      <c r="H205">
        <f>BreastCancer_Data!I205</f>
        <v/>
      </c>
      <c r="I205">
        <f>BreastCancer_Data!J205</f>
        <v/>
      </c>
      <c r="J205">
        <f>BreastCancer_Data!K205</f>
        <v/>
      </c>
      <c r="K205">
        <f>BreastCancer_Data!L205</f>
        <v/>
      </c>
      <c r="L205">
        <f>BreastCancer_Data!M205</f>
        <v/>
      </c>
      <c r="M205">
        <f>BreastCancer_Data!N205</f>
        <v/>
      </c>
      <c r="N205">
        <f>BreastCancer_Data!O205</f>
        <v/>
      </c>
      <c r="O205">
        <f>0</f>
        <v/>
      </c>
      <c r="P205">
        <f>--(AND(D205&lt;=113.15,E205&lt;=0.15,F205&lt;=15.77,G205&lt;=0.18,H205&lt;=33.27))*0</f>
        <v/>
      </c>
      <c r="Q205">
        <f>--(AND(D205&lt;=113.15,E205&lt;=0.15,F205&lt;=15.77,G205&lt;=0.18,H205&gt;33.27))*0</f>
        <v/>
      </c>
      <c r="R205">
        <f>--(AND(D205&lt;=113.15,E205&lt;=0.15,F205&lt;=15.77,G205&gt;0.18))*0</f>
        <v/>
      </c>
      <c r="S205">
        <f>--(AND(D205&lt;=113.15,E205&lt;=0.15,F205&gt;15.77,H205&lt;=28.86,G205&lt;=0.14))*0</f>
        <v/>
      </c>
      <c r="T205">
        <f>--(AND(D205&lt;=113.15,E205&lt;=0.15,F205&gt;15.77,H205&lt;=28.86,G205&gt;0.14))*1</f>
        <v/>
      </c>
      <c r="U205">
        <f>--(AND(D205&lt;=113.15,E205&lt;=0.15,F205&gt;15.77,H205&gt;28.86,M205&lt;=14.54))*1</f>
        <v/>
      </c>
      <c r="V205">
        <f>--(AND(D205&lt;=113.15,E205&lt;=0.15,F205&gt;15.77,H205&gt;28.86,M205&gt;14.54))*1</f>
        <v/>
      </c>
      <c r="W205">
        <f>--(AND(D205&lt;=113.15,E205&gt;0.15,H205&lt;=23.74))*0</f>
        <v/>
      </c>
      <c r="X205">
        <f>--(AND(D205&lt;=113.15,E205&gt;0.15,H205&gt;23.74,J205&lt;=0.1))*1</f>
        <v/>
      </c>
      <c r="Y205">
        <f>--(AND(D205&lt;=113.15,E205&gt;0.15,H205&gt;23.74,J205&gt;0.1))*1</f>
        <v/>
      </c>
      <c r="Z205">
        <f>--(AND(D205&gt;113.15,K205&lt;=0.22,L205&lt;=0.02))*1</f>
        <v/>
      </c>
      <c r="AA205">
        <f>--(AND(D205&gt;113.15,K205&lt;=0.22,L205&gt;0.02))*0</f>
        <v/>
      </c>
      <c r="AB205">
        <f>--(AND(D205&gt;113.15,K205&gt;0.22,N205&lt;=810.1))*0</f>
        <v/>
      </c>
      <c r="AC205">
        <f>--(AND(D205&gt;113.15,K205&gt;0.22,N205&gt;810.1,I205&lt;=14.95))*1</f>
        <v/>
      </c>
      <c r="AD205">
        <f>--(AND(D205&gt;113.15,K205&gt;0.22,N205&gt;810.1,I205&gt;14.95))*1</f>
        <v/>
      </c>
      <c r="AE205">
        <f>SUM(P205:AD205)</f>
        <v/>
      </c>
      <c r="AF205">
        <f>IF(AE205=1,"Malignant","Benign")</f>
        <v/>
      </c>
      <c r="AG205">
        <f>--(AE205=C205)</f>
        <v/>
      </c>
    </row>
    <row r="206">
      <c r="A206">
        <f>BreastCancer_Data!A206</f>
        <v/>
      </c>
      <c r="B206">
        <f>BreastCancer_Data!B206</f>
        <v/>
      </c>
      <c r="C206">
        <f>BreastCancer_Data!D206</f>
        <v/>
      </c>
      <c r="D206">
        <f>BreastCancer_Data!E206</f>
        <v/>
      </c>
      <c r="E206">
        <f>BreastCancer_Data!F206</f>
        <v/>
      </c>
      <c r="F206">
        <f>BreastCancer_Data!G206</f>
        <v/>
      </c>
      <c r="G206">
        <f>BreastCancer_Data!H206</f>
        <v/>
      </c>
      <c r="H206">
        <f>BreastCancer_Data!I206</f>
        <v/>
      </c>
      <c r="I206">
        <f>BreastCancer_Data!J206</f>
        <v/>
      </c>
      <c r="J206">
        <f>BreastCancer_Data!K206</f>
        <v/>
      </c>
      <c r="K206">
        <f>BreastCancer_Data!L206</f>
        <v/>
      </c>
      <c r="L206">
        <f>BreastCancer_Data!M206</f>
        <v/>
      </c>
      <c r="M206">
        <f>BreastCancer_Data!N206</f>
        <v/>
      </c>
      <c r="N206">
        <f>BreastCancer_Data!O206</f>
        <v/>
      </c>
      <c r="O206">
        <f>0</f>
        <v/>
      </c>
      <c r="P206">
        <f>--(AND(D206&lt;=113.15,E206&lt;=0.15,F206&lt;=15.77,G206&lt;=0.18,H206&lt;=33.27))*0</f>
        <v/>
      </c>
      <c r="Q206">
        <f>--(AND(D206&lt;=113.15,E206&lt;=0.15,F206&lt;=15.77,G206&lt;=0.18,H206&gt;33.27))*0</f>
        <v/>
      </c>
      <c r="R206">
        <f>--(AND(D206&lt;=113.15,E206&lt;=0.15,F206&lt;=15.77,G206&gt;0.18))*0</f>
        <v/>
      </c>
      <c r="S206">
        <f>--(AND(D206&lt;=113.15,E206&lt;=0.15,F206&gt;15.77,H206&lt;=28.86,G206&lt;=0.14))*0</f>
        <v/>
      </c>
      <c r="T206">
        <f>--(AND(D206&lt;=113.15,E206&lt;=0.15,F206&gt;15.77,H206&lt;=28.86,G206&gt;0.14))*1</f>
        <v/>
      </c>
      <c r="U206">
        <f>--(AND(D206&lt;=113.15,E206&lt;=0.15,F206&gt;15.77,H206&gt;28.86,M206&lt;=14.54))*1</f>
        <v/>
      </c>
      <c r="V206">
        <f>--(AND(D206&lt;=113.15,E206&lt;=0.15,F206&gt;15.77,H206&gt;28.86,M206&gt;14.54))*1</f>
        <v/>
      </c>
      <c r="W206">
        <f>--(AND(D206&lt;=113.15,E206&gt;0.15,H206&lt;=23.74))*0</f>
        <v/>
      </c>
      <c r="X206">
        <f>--(AND(D206&lt;=113.15,E206&gt;0.15,H206&gt;23.74,J206&lt;=0.1))*1</f>
        <v/>
      </c>
      <c r="Y206">
        <f>--(AND(D206&lt;=113.15,E206&gt;0.15,H206&gt;23.74,J206&gt;0.1))*1</f>
        <v/>
      </c>
      <c r="Z206">
        <f>--(AND(D206&gt;113.15,K206&lt;=0.22,L206&lt;=0.02))*1</f>
        <v/>
      </c>
      <c r="AA206">
        <f>--(AND(D206&gt;113.15,K206&lt;=0.22,L206&gt;0.02))*0</f>
        <v/>
      </c>
      <c r="AB206">
        <f>--(AND(D206&gt;113.15,K206&gt;0.22,N206&lt;=810.1))*0</f>
        <v/>
      </c>
      <c r="AC206">
        <f>--(AND(D206&gt;113.15,K206&gt;0.22,N206&gt;810.1,I206&lt;=14.95))*1</f>
        <v/>
      </c>
      <c r="AD206">
        <f>--(AND(D206&gt;113.15,K206&gt;0.22,N206&gt;810.1,I206&gt;14.95))*1</f>
        <v/>
      </c>
      <c r="AE206">
        <f>SUM(P206:AD206)</f>
        <v/>
      </c>
      <c r="AF206">
        <f>IF(AE206=1,"Malignant","Benign")</f>
        <v/>
      </c>
      <c r="AG206">
        <f>--(AE206=C206)</f>
        <v/>
      </c>
    </row>
    <row r="207">
      <c r="A207">
        <f>BreastCancer_Data!A207</f>
        <v/>
      </c>
      <c r="B207">
        <f>BreastCancer_Data!B207</f>
        <v/>
      </c>
      <c r="C207">
        <f>BreastCancer_Data!D207</f>
        <v/>
      </c>
      <c r="D207">
        <f>BreastCancer_Data!E207</f>
        <v/>
      </c>
      <c r="E207">
        <f>BreastCancer_Data!F207</f>
        <v/>
      </c>
      <c r="F207">
        <f>BreastCancer_Data!G207</f>
        <v/>
      </c>
      <c r="G207">
        <f>BreastCancer_Data!H207</f>
        <v/>
      </c>
      <c r="H207">
        <f>BreastCancer_Data!I207</f>
        <v/>
      </c>
      <c r="I207">
        <f>BreastCancer_Data!J207</f>
        <v/>
      </c>
      <c r="J207">
        <f>BreastCancer_Data!K207</f>
        <v/>
      </c>
      <c r="K207">
        <f>BreastCancer_Data!L207</f>
        <v/>
      </c>
      <c r="L207">
        <f>BreastCancer_Data!M207</f>
        <v/>
      </c>
      <c r="M207">
        <f>BreastCancer_Data!N207</f>
        <v/>
      </c>
      <c r="N207">
        <f>BreastCancer_Data!O207</f>
        <v/>
      </c>
      <c r="O207">
        <f>0</f>
        <v/>
      </c>
      <c r="P207">
        <f>--(AND(D207&lt;=113.15,E207&lt;=0.15,F207&lt;=15.77,G207&lt;=0.18,H207&lt;=33.27))*0</f>
        <v/>
      </c>
      <c r="Q207">
        <f>--(AND(D207&lt;=113.15,E207&lt;=0.15,F207&lt;=15.77,G207&lt;=0.18,H207&gt;33.27))*0</f>
        <v/>
      </c>
      <c r="R207">
        <f>--(AND(D207&lt;=113.15,E207&lt;=0.15,F207&lt;=15.77,G207&gt;0.18))*0</f>
        <v/>
      </c>
      <c r="S207">
        <f>--(AND(D207&lt;=113.15,E207&lt;=0.15,F207&gt;15.77,H207&lt;=28.86,G207&lt;=0.14))*0</f>
        <v/>
      </c>
      <c r="T207">
        <f>--(AND(D207&lt;=113.15,E207&lt;=0.15,F207&gt;15.77,H207&lt;=28.86,G207&gt;0.14))*1</f>
        <v/>
      </c>
      <c r="U207">
        <f>--(AND(D207&lt;=113.15,E207&lt;=0.15,F207&gt;15.77,H207&gt;28.86,M207&lt;=14.54))*1</f>
        <v/>
      </c>
      <c r="V207">
        <f>--(AND(D207&lt;=113.15,E207&lt;=0.15,F207&gt;15.77,H207&gt;28.86,M207&gt;14.54))*1</f>
        <v/>
      </c>
      <c r="W207">
        <f>--(AND(D207&lt;=113.15,E207&gt;0.15,H207&lt;=23.74))*0</f>
        <v/>
      </c>
      <c r="X207">
        <f>--(AND(D207&lt;=113.15,E207&gt;0.15,H207&gt;23.74,J207&lt;=0.1))*1</f>
        <v/>
      </c>
      <c r="Y207">
        <f>--(AND(D207&lt;=113.15,E207&gt;0.15,H207&gt;23.74,J207&gt;0.1))*1</f>
        <v/>
      </c>
      <c r="Z207">
        <f>--(AND(D207&gt;113.15,K207&lt;=0.22,L207&lt;=0.02))*1</f>
        <v/>
      </c>
      <c r="AA207">
        <f>--(AND(D207&gt;113.15,K207&lt;=0.22,L207&gt;0.02))*0</f>
        <v/>
      </c>
      <c r="AB207">
        <f>--(AND(D207&gt;113.15,K207&gt;0.22,N207&lt;=810.1))*0</f>
        <v/>
      </c>
      <c r="AC207">
        <f>--(AND(D207&gt;113.15,K207&gt;0.22,N207&gt;810.1,I207&lt;=14.95))*1</f>
        <v/>
      </c>
      <c r="AD207">
        <f>--(AND(D207&gt;113.15,K207&gt;0.22,N207&gt;810.1,I207&gt;14.95))*1</f>
        <v/>
      </c>
      <c r="AE207">
        <f>SUM(P207:AD207)</f>
        <v/>
      </c>
      <c r="AF207">
        <f>IF(AE207=1,"Malignant","Benign")</f>
        <v/>
      </c>
      <c r="AG207">
        <f>--(AE207=C207)</f>
        <v/>
      </c>
    </row>
    <row r="208">
      <c r="A208">
        <f>BreastCancer_Data!A208</f>
        <v/>
      </c>
      <c r="B208">
        <f>BreastCancer_Data!B208</f>
        <v/>
      </c>
      <c r="C208">
        <f>BreastCancer_Data!D208</f>
        <v/>
      </c>
      <c r="D208">
        <f>BreastCancer_Data!E208</f>
        <v/>
      </c>
      <c r="E208">
        <f>BreastCancer_Data!F208</f>
        <v/>
      </c>
      <c r="F208">
        <f>BreastCancer_Data!G208</f>
        <v/>
      </c>
      <c r="G208">
        <f>BreastCancer_Data!H208</f>
        <v/>
      </c>
      <c r="H208">
        <f>BreastCancer_Data!I208</f>
        <v/>
      </c>
      <c r="I208">
        <f>BreastCancer_Data!J208</f>
        <v/>
      </c>
      <c r="J208">
        <f>BreastCancer_Data!K208</f>
        <v/>
      </c>
      <c r="K208">
        <f>BreastCancer_Data!L208</f>
        <v/>
      </c>
      <c r="L208">
        <f>BreastCancer_Data!M208</f>
        <v/>
      </c>
      <c r="M208">
        <f>BreastCancer_Data!N208</f>
        <v/>
      </c>
      <c r="N208">
        <f>BreastCancer_Data!O208</f>
        <v/>
      </c>
      <c r="O208">
        <f>0</f>
        <v/>
      </c>
      <c r="P208">
        <f>--(AND(D208&lt;=113.15,E208&lt;=0.15,F208&lt;=15.77,G208&lt;=0.18,H208&lt;=33.27))*0</f>
        <v/>
      </c>
      <c r="Q208">
        <f>--(AND(D208&lt;=113.15,E208&lt;=0.15,F208&lt;=15.77,G208&lt;=0.18,H208&gt;33.27))*0</f>
        <v/>
      </c>
      <c r="R208">
        <f>--(AND(D208&lt;=113.15,E208&lt;=0.15,F208&lt;=15.77,G208&gt;0.18))*0</f>
        <v/>
      </c>
      <c r="S208">
        <f>--(AND(D208&lt;=113.15,E208&lt;=0.15,F208&gt;15.77,H208&lt;=28.86,G208&lt;=0.14))*0</f>
        <v/>
      </c>
      <c r="T208">
        <f>--(AND(D208&lt;=113.15,E208&lt;=0.15,F208&gt;15.77,H208&lt;=28.86,G208&gt;0.14))*1</f>
        <v/>
      </c>
      <c r="U208">
        <f>--(AND(D208&lt;=113.15,E208&lt;=0.15,F208&gt;15.77,H208&gt;28.86,M208&lt;=14.54))*1</f>
        <v/>
      </c>
      <c r="V208">
        <f>--(AND(D208&lt;=113.15,E208&lt;=0.15,F208&gt;15.77,H208&gt;28.86,M208&gt;14.54))*1</f>
        <v/>
      </c>
      <c r="W208">
        <f>--(AND(D208&lt;=113.15,E208&gt;0.15,H208&lt;=23.74))*0</f>
        <v/>
      </c>
      <c r="X208">
        <f>--(AND(D208&lt;=113.15,E208&gt;0.15,H208&gt;23.74,J208&lt;=0.1))*1</f>
        <v/>
      </c>
      <c r="Y208">
        <f>--(AND(D208&lt;=113.15,E208&gt;0.15,H208&gt;23.74,J208&gt;0.1))*1</f>
        <v/>
      </c>
      <c r="Z208">
        <f>--(AND(D208&gt;113.15,K208&lt;=0.22,L208&lt;=0.02))*1</f>
        <v/>
      </c>
      <c r="AA208">
        <f>--(AND(D208&gt;113.15,K208&lt;=0.22,L208&gt;0.02))*0</f>
        <v/>
      </c>
      <c r="AB208">
        <f>--(AND(D208&gt;113.15,K208&gt;0.22,N208&lt;=810.1))*0</f>
        <v/>
      </c>
      <c r="AC208">
        <f>--(AND(D208&gt;113.15,K208&gt;0.22,N208&gt;810.1,I208&lt;=14.95))*1</f>
        <v/>
      </c>
      <c r="AD208">
        <f>--(AND(D208&gt;113.15,K208&gt;0.22,N208&gt;810.1,I208&gt;14.95))*1</f>
        <v/>
      </c>
      <c r="AE208">
        <f>SUM(P208:AD208)</f>
        <v/>
      </c>
      <c r="AF208">
        <f>IF(AE208=1,"Malignant","Benign")</f>
        <v/>
      </c>
      <c r="AG208">
        <f>--(AE208=C208)</f>
        <v/>
      </c>
    </row>
    <row r="209">
      <c r="A209">
        <f>BreastCancer_Data!A209</f>
        <v/>
      </c>
      <c r="B209">
        <f>BreastCancer_Data!B209</f>
        <v/>
      </c>
      <c r="C209">
        <f>BreastCancer_Data!D209</f>
        <v/>
      </c>
      <c r="D209">
        <f>BreastCancer_Data!E209</f>
        <v/>
      </c>
      <c r="E209">
        <f>BreastCancer_Data!F209</f>
        <v/>
      </c>
      <c r="F209">
        <f>BreastCancer_Data!G209</f>
        <v/>
      </c>
      <c r="G209">
        <f>BreastCancer_Data!H209</f>
        <v/>
      </c>
      <c r="H209">
        <f>BreastCancer_Data!I209</f>
        <v/>
      </c>
      <c r="I209">
        <f>BreastCancer_Data!J209</f>
        <v/>
      </c>
      <c r="J209">
        <f>BreastCancer_Data!K209</f>
        <v/>
      </c>
      <c r="K209">
        <f>BreastCancer_Data!L209</f>
        <v/>
      </c>
      <c r="L209">
        <f>BreastCancer_Data!M209</f>
        <v/>
      </c>
      <c r="M209">
        <f>BreastCancer_Data!N209</f>
        <v/>
      </c>
      <c r="N209">
        <f>BreastCancer_Data!O209</f>
        <v/>
      </c>
      <c r="O209">
        <f>0</f>
        <v/>
      </c>
      <c r="P209">
        <f>--(AND(D209&lt;=113.15,E209&lt;=0.15,F209&lt;=15.77,G209&lt;=0.18,H209&lt;=33.27))*0</f>
        <v/>
      </c>
      <c r="Q209">
        <f>--(AND(D209&lt;=113.15,E209&lt;=0.15,F209&lt;=15.77,G209&lt;=0.18,H209&gt;33.27))*0</f>
        <v/>
      </c>
      <c r="R209">
        <f>--(AND(D209&lt;=113.15,E209&lt;=0.15,F209&lt;=15.77,G209&gt;0.18))*0</f>
        <v/>
      </c>
      <c r="S209">
        <f>--(AND(D209&lt;=113.15,E209&lt;=0.15,F209&gt;15.77,H209&lt;=28.86,G209&lt;=0.14))*0</f>
        <v/>
      </c>
      <c r="T209">
        <f>--(AND(D209&lt;=113.15,E209&lt;=0.15,F209&gt;15.77,H209&lt;=28.86,G209&gt;0.14))*1</f>
        <v/>
      </c>
      <c r="U209">
        <f>--(AND(D209&lt;=113.15,E209&lt;=0.15,F209&gt;15.77,H209&gt;28.86,M209&lt;=14.54))*1</f>
        <v/>
      </c>
      <c r="V209">
        <f>--(AND(D209&lt;=113.15,E209&lt;=0.15,F209&gt;15.77,H209&gt;28.86,M209&gt;14.54))*1</f>
        <v/>
      </c>
      <c r="W209">
        <f>--(AND(D209&lt;=113.15,E209&gt;0.15,H209&lt;=23.74))*0</f>
        <v/>
      </c>
      <c r="X209">
        <f>--(AND(D209&lt;=113.15,E209&gt;0.15,H209&gt;23.74,J209&lt;=0.1))*1</f>
        <v/>
      </c>
      <c r="Y209">
        <f>--(AND(D209&lt;=113.15,E209&gt;0.15,H209&gt;23.74,J209&gt;0.1))*1</f>
        <v/>
      </c>
      <c r="Z209">
        <f>--(AND(D209&gt;113.15,K209&lt;=0.22,L209&lt;=0.02))*1</f>
        <v/>
      </c>
      <c r="AA209">
        <f>--(AND(D209&gt;113.15,K209&lt;=0.22,L209&gt;0.02))*0</f>
        <v/>
      </c>
      <c r="AB209">
        <f>--(AND(D209&gt;113.15,K209&gt;0.22,N209&lt;=810.1))*0</f>
        <v/>
      </c>
      <c r="AC209">
        <f>--(AND(D209&gt;113.15,K209&gt;0.22,N209&gt;810.1,I209&lt;=14.95))*1</f>
        <v/>
      </c>
      <c r="AD209">
        <f>--(AND(D209&gt;113.15,K209&gt;0.22,N209&gt;810.1,I209&gt;14.95))*1</f>
        <v/>
      </c>
      <c r="AE209">
        <f>SUM(P209:AD209)</f>
        <v/>
      </c>
      <c r="AF209">
        <f>IF(AE209=1,"Malignant","Benign")</f>
        <v/>
      </c>
      <c r="AG209">
        <f>--(AE209=C209)</f>
        <v/>
      </c>
    </row>
    <row r="210">
      <c r="A210">
        <f>BreastCancer_Data!A210</f>
        <v/>
      </c>
      <c r="B210">
        <f>BreastCancer_Data!B210</f>
        <v/>
      </c>
      <c r="C210">
        <f>BreastCancer_Data!D210</f>
        <v/>
      </c>
      <c r="D210">
        <f>BreastCancer_Data!E210</f>
        <v/>
      </c>
      <c r="E210">
        <f>BreastCancer_Data!F210</f>
        <v/>
      </c>
      <c r="F210">
        <f>BreastCancer_Data!G210</f>
        <v/>
      </c>
      <c r="G210">
        <f>BreastCancer_Data!H210</f>
        <v/>
      </c>
      <c r="H210">
        <f>BreastCancer_Data!I210</f>
        <v/>
      </c>
      <c r="I210">
        <f>BreastCancer_Data!J210</f>
        <v/>
      </c>
      <c r="J210">
        <f>BreastCancer_Data!K210</f>
        <v/>
      </c>
      <c r="K210">
        <f>BreastCancer_Data!L210</f>
        <v/>
      </c>
      <c r="L210">
        <f>BreastCancer_Data!M210</f>
        <v/>
      </c>
      <c r="M210">
        <f>BreastCancer_Data!N210</f>
        <v/>
      </c>
      <c r="N210">
        <f>BreastCancer_Data!O210</f>
        <v/>
      </c>
      <c r="O210">
        <f>0</f>
        <v/>
      </c>
      <c r="P210">
        <f>--(AND(D210&lt;=113.15,E210&lt;=0.15,F210&lt;=15.77,G210&lt;=0.18,H210&lt;=33.27))*0</f>
        <v/>
      </c>
      <c r="Q210">
        <f>--(AND(D210&lt;=113.15,E210&lt;=0.15,F210&lt;=15.77,G210&lt;=0.18,H210&gt;33.27))*0</f>
        <v/>
      </c>
      <c r="R210">
        <f>--(AND(D210&lt;=113.15,E210&lt;=0.15,F210&lt;=15.77,G210&gt;0.18))*0</f>
        <v/>
      </c>
      <c r="S210">
        <f>--(AND(D210&lt;=113.15,E210&lt;=0.15,F210&gt;15.77,H210&lt;=28.86,G210&lt;=0.14))*0</f>
        <v/>
      </c>
      <c r="T210">
        <f>--(AND(D210&lt;=113.15,E210&lt;=0.15,F210&gt;15.77,H210&lt;=28.86,G210&gt;0.14))*1</f>
        <v/>
      </c>
      <c r="U210">
        <f>--(AND(D210&lt;=113.15,E210&lt;=0.15,F210&gt;15.77,H210&gt;28.86,M210&lt;=14.54))*1</f>
        <v/>
      </c>
      <c r="V210">
        <f>--(AND(D210&lt;=113.15,E210&lt;=0.15,F210&gt;15.77,H210&gt;28.86,M210&gt;14.54))*1</f>
        <v/>
      </c>
      <c r="W210">
        <f>--(AND(D210&lt;=113.15,E210&gt;0.15,H210&lt;=23.74))*0</f>
        <v/>
      </c>
      <c r="X210">
        <f>--(AND(D210&lt;=113.15,E210&gt;0.15,H210&gt;23.74,J210&lt;=0.1))*1</f>
        <v/>
      </c>
      <c r="Y210">
        <f>--(AND(D210&lt;=113.15,E210&gt;0.15,H210&gt;23.74,J210&gt;0.1))*1</f>
        <v/>
      </c>
      <c r="Z210">
        <f>--(AND(D210&gt;113.15,K210&lt;=0.22,L210&lt;=0.02))*1</f>
        <v/>
      </c>
      <c r="AA210">
        <f>--(AND(D210&gt;113.15,K210&lt;=0.22,L210&gt;0.02))*0</f>
        <v/>
      </c>
      <c r="AB210">
        <f>--(AND(D210&gt;113.15,K210&gt;0.22,N210&lt;=810.1))*0</f>
        <v/>
      </c>
      <c r="AC210">
        <f>--(AND(D210&gt;113.15,K210&gt;0.22,N210&gt;810.1,I210&lt;=14.95))*1</f>
        <v/>
      </c>
      <c r="AD210">
        <f>--(AND(D210&gt;113.15,K210&gt;0.22,N210&gt;810.1,I210&gt;14.95))*1</f>
        <v/>
      </c>
      <c r="AE210">
        <f>SUM(P210:AD210)</f>
        <v/>
      </c>
      <c r="AF210">
        <f>IF(AE210=1,"Malignant","Benign")</f>
        <v/>
      </c>
      <c r="AG210">
        <f>--(AE210=C210)</f>
        <v/>
      </c>
    </row>
    <row r="211">
      <c r="A211">
        <f>BreastCancer_Data!A211</f>
        <v/>
      </c>
      <c r="B211">
        <f>BreastCancer_Data!B211</f>
        <v/>
      </c>
      <c r="C211">
        <f>BreastCancer_Data!D211</f>
        <v/>
      </c>
      <c r="D211">
        <f>BreastCancer_Data!E211</f>
        <v/>
      </c>
      <c r="E211">
        <f>BreastCancer_Data!F211</f>
        <v/>
      </c>
      <c r="F211">
        <f>BreastCancer_Data!G211</f>
        <v/>
      </c>
      <c r="G211">
        <f>BreastCancer_Data!H211</f>
        <v/>
      </c>
      <c r="H211">
        <f>BreastCancer_Data!I211</f>
        <v/>
      </c>
      <c r="I211">
        <f>BreastCancer_Data!J211</f>
        <v/>
      </c>
      <c r="J211">
        <f>BreastCancer_Data!K211</f>
        <v/>
      </c>
      <c r="K211">
        <f>BreastCancer_Data!L211</f>
        <v/>
      </c>
      <c r="L211">
        <f>BreastCancer_Data!M211</f>
        <v/>
      </c>
      <c r="M211">
        <f>BreastCancer_Data!N211</f>
        <v/>
      </c>
      <c r="N211">
        <f>BreastCancer_Data!O211</f>
        <v/>
      </c>
      <c r="O211">
        <f>0</f>
        <v/>
      </c>
      <c r="P211">
        <f>--(AND(D211&lt;=113.15,E211&lt;=0.15,F211&lt;=15.77,G211&lt;=0.18,H211&lt;=33.27))*0</f>
        <v/>
      </c>
      <c r="Q211">
        <f>--(AND(D211&lt;=113.15,E211&lt;=0.15,F211&lt;=15.77,G211&lt;=0.18,H211&gt;33.27))*0</f>
        <v/>
      </c>
      <c r="R211">
        <f>--(AND(D211&lt;=113.15,E211&lt;=0.15,F211&lt;=15.77,G211&gt;0.18))*0</f>
        <v/>
      </c>
      <c r="S211">
        <f>--(AND(D211&lt;=113.15,E211&lt;=0.15,F211&gt;15.77,H211&lt;=28.86,G211&lt;=0.14))*0</f>
        <v/>
      </c>
      <c r="T211">
        <f>--(AND(D211&lt;=113.15,E211&lt;=0.15,F211&gt;15.77,H211&lt;=28.86,G211&gt;0.14))*1</f>
        <v/>
      </c>
      <c r="U211">
        <f>--(AND(D211&lt;=113.15,E211&lt;=0.15,F211&gt;15.77,H211&gt;28.86,M211&lt;=14.54))*1</f>
        <v/>
      </c>
      <c r="V211">
        <f>--(AND(D211&lt;=113.15,E211&lt;=0.15,F211&gt;15.77,H211&gt;28.86,M211&gt;14.54))*1</f>
        <v/>
      </c>
      <c r="W211">
        <f>--(AND(D211&lt;=113.15,E211&gt;0.15,H211&lt;=23.74))*0</f>
        <v/>
      </c>
      <c r="X211">
        <f>--(AND(D211&lt;=113.15,E211&gt;0.15,H211&gt;23.74,J211&lt;=0.1))*1</f>
        <v/>
      </c>
      <c r="Y211">
        <f>--(AND(D211&lt;=113.15,E211&gt;0.15,H211&gt;23.74,J211&gt;0.1))*1</f>
        <v/>
      </c>
      <c r="Z211">
        <f>--(AND(D211&gt;113.15,K211&lt;=0.22,L211&lt;=0.02))*1</f>
        <v/>
      </c>
      <c r="AA211">
        <f>--(AND(D211&gt;113.15,K211&lt;=0.22,L211&gt;0.02))*0</f>
        <v/>
      </c>
      <c r="AB211">
        <f>--(AND(D211&gt;113.15,K211&gt;0.22,N211&lt;=810.1))*0</f>
        <v/>
      </c>
      <c r="AC211">
        <f>--(AND(D211&gt;113.15,K211&gt;0.22,N211&gt;810.1,I211&lt;=14.95))*1</f>
        <v/>
      </c>
      <c r="AD211">
        <f>--(AND(D211&gt;113.15,K211&gt;0.22,N211&gt;810.1,I211&gt;14.95))*1</f>
        <v/>
      </c>
      <c r="AE211">
        <f>SUM(P211:AD211)</f>
        <v/>
      </c>
      <c r="AF211">
        <f>IF(AE211=1,"Malignant","Benign")</f>
        <v/>
      </c>
      <c r="AG211">
        <f>--(AE211=C211)</f>
        <v/>
      </c>
    </row>
    <row r="212">
      <c r="A212">
        <f>BreastCancer_Data!A212</f>
        <v/>
      </c>
      <c r="B212">
        <f>BreastCancer_Data!B212</f>
        <v/>
      </c>
      <c r="C212">
        <f>BreastCancer_Data!D212</f>
        <v/>
      </c>
      <c r="D212">
        <f>BreastCancer_Data!E212</f>
        <v/>
      </c>
      <c r="E212">
        <f>BreastCancer_Data!F212</f>
        <v/>
      </c>
      <c r="F212">
        <f>BreastCancer_Data!G212</f>
        <v/>
      </c>
      <c r="G212">
        <f>BreastCancer_Data!H212</f>
        <v/>
      </c>
      <c r="H212">
        <f>BreastCancer_Data!I212</f>
        <v/>
      </c>
      <c r="I212">
        <f>BreastCancer_Data!J212</f>
        <v/>
      </c>
      <c r="J212">
        <f>BreastCancer_Data!K212</f>
        <v/>
      </c>
      <c r="K212">
        <f>BreastCancer_Data!L212</f>
        <v/>
      </c>
      <c r="L212">
        <f>BreastCancer_Data!M212</f>
        <v/>
      </c>
      <c r="M212">
        <f>BreastCancer_Data!N212</f>
        <v/>
      </c>
      <c r="N212">
        <f>BreastCancer_Data!O212</f>
        <v/>
      </c>
      <c r="O212">
        <f>0</f>
        <v/>
      </c>
      <c r="P212">
        <f>--(AND(D212&lt;=113.15,E212&lt;=0.15,F212&lt;=15.77,G212&lt;=0.18,H212&lt;=33.27))*0</f>
        <v/>
      </c>
      <c r="Q212">
        <f>--(AND(D212&lt;=113.15,E212&lt;=0.15,F212&lt;=15.77,G212&lt;=0.18,H212&gt;33.27))*0</f>
        <v/>
      </c>
      <c r="R212">
        <f>--(AND(D212&lt;=113.15,E212&lt;=0.15,F212&lt;=15.77,G212&gt;0.18))*0</f>
        <v/>
      </c>
      <c r="S212">
        <f>--(AND(D212&lt;=113.15,E212&lt;=0.15,F212&gt;15.77,H212&lt;=28.86,G212&lt;=0.14))*0</f>
        <v/>
      </c>
      <c r="T212">
        <f>--(AND(D212&lt;=113.15,E212&lt;=0.15,F212&gt;15.77,H212&lt;=28.86,G212&gt;0.14))*1</f>
        <v/>
      </c>
      <c r="U212">
        <f>--(AND(D212&lt;=113.15,E212&lt;=0.15,F212&gt;15.77,H212&gt;28.86,M212&lt;=14.54))*1</f>
        <v/>
      </c>
      <c r="V212">
        <f>--(AND(D212&lt;=113.15,E212&lt;=0.15,F212&gt;15.77,H212&gt;28.86,M212&gt;14.54))*1</f>
        <v/>
      </c>
      <c r="W212">
        <f>--(AND(D212&lt;=113.15,E212&gt;0.15,H212&lt;=23.74))*0</f>
        <v/>
      </c>
      <c r="X212">
        <f>--(AND(D212&lt;=113.15,E212&gt;0.15,H212&gt;23.74,J212&lt;=0.1))*1</f>
        <v/>
      </c>
      <c r="Y212">
        <f>--(AND(D212&lt;=113.15,E212&gt;0.15,H212&gt;23.74,J212&gt;0.1))*1</f>
        <v/>
      </c>
      <c r="Z212">
        <f>--(AND(D212&gt;113.15,K212&lt;=0.22,L212&lt;=0.02))*1</f>
        <v/>
      </c>
      <c r="AA212">
        <f>--(AND(D212&gt;113.15,K212&lt;=0.22,L212&gt;0.02))*0</f>
        <v/>
      </c>
      <c r="AB212">
        <f>--(AND(D212&gt;113.15,K212&gt;0.22,N212&lt;=810.1))*0</f>
        <v/>
      </c>
      <c r="AC212">
        <f>--(AND(D212&gt;113.15,K212&gt;0.22,N212&gt;810.1,I212&lt;=14.95))*1</f>
        <v/>
      </c>
      <c r="AD212">
        <f>--(AND(D212&gt;113.15,K212&gt;0.22,N212&gt;810.1,I212&gt;14.95))*1</f>
        <v/>
      </c>
      <c r="AE212">
        <f>SUM(P212:AD212)</f>
        <v/>
      </c>
      <c r="AF212">
        <f>IF(AE212=1,"Malignant","Benign")</f>
        <v/>
      </c>
      <c r="AG212">
        <f>--(AE212=C212)</f>
        <v/>
      </c>
    </row>
    <row r="213">
      <c r="A213">
        <f>BreastCancer_Data!A213</f>
        <v/>
      </c>
      <c r="B213">
        <f>BreastCancer_Data!B213</f>
        <v/>
      </c>
      <c r="C213">
        <f>BreastCancer_Data!D213</f>
        <v/>
      </c>
      <c r="D213">
        <f>BreastCancer_Data!E213</f>
        <v/>
      </c>
      <c r="E213">
        <f>BreastCancer_Data!F213</f>
        <v/>
      </c>
      <c r="F213">
        <f>BreastCancer_Data!G213</f>
        <v/>
      </c>
      <c r="G213">
        <f>BreastCancer_Data!H213</f>
        <v/>
      </c>
      <c r="H213">
        <f>BreastCancer_Data!I213</f>
        <v/>
      </c>
      <c r="I213">
        <f>BreastCancer_Data!J213</f>
        <v/>
      </c>
      <c r="J213">
        <f>BreastCancer_Data!K213</f>
        <v/>
      </c>
      <c r="K213">
        <f>BreastCancer_Data!L213</f>
        <v/>
      </c>
      <c r="L213">
        <f>BreastCancer_Data!M213</f>
        <v/>
      </c>
      <c r="M213">
        <f>BreastCancer_Data!N213</f>
        <v/>
      </c>
      <c r="N213">
        <f>BreastCancer_Data!O213</f>
        <v/>
      </c>
      <c r="O213">
        <f>0</f>
        <v/>
      </c>
      <c r="P213">
        <f>--(AND(D213&lt;=113.15,E213&lt;=0.15,F213&lt;=15.77,G213&lt;=0.18,H213&lt;=33.27))*0</f>
        <v/>
      </c>
      <c r="Q213">
        <f>--(AND(D213&lt;=113.15,E213&lt;=0.15,F213&lt;=15.77,G213&lt;=0.18,H213&gt;33.27))*0</f>
        <v/>
      </c>
      <c r="R213">
        <f>--(AND(D213&lt;=113.15,E213&lt;=0.15,F213&lt;=15.77,G213&gt;0.18))*0</f>
        <v/>
      </c>
      <c r="S213">
        <f>--(AND(D213&lt;=113.15,E213&lt;=0.15,F213&gt;15.77,H213&lt;=28.86,G213&lt;=0.14))*0</f>
        <v/>
      </c>
      <c r="T213">
        <f>--(AND(D213&lt;=113.15,E213&lt;=0.15,F213&gt;15.77,H213&lt;=28.86,G213&gt;0.14))*1</f>
        <v/>
      </c>
      <c r="U213">
        <f>--(AND(D213&lt;=113.15,E213&lt;=0.15,F213&gt;15.77,H213&gt;28.86,M213&lt;=14.54))*1</f>
        <v/>
      </c>
      <c r="V213">
        <f>--(AND(D213&lt;=113.15,E213&lt;=0.15,F213&gt;15.77,H213&gt;28.86,M213&gt;14.54))*1</f>
        <v/>
      </c>
      <c r="W213">
        <f>--(AND(D213&lt;=113.15,E213&gt;0.15,H213&lt;=23.74))*0</f>
        <v/>
      </c>
      <c r="X213">
        <f>--(AND(D213&lt;=113.15,E213&gt;0.15,H213&gt;23.74,J213&lt;=0.1))*1</f>
        <v/>
      </c>
      <c r="Y213">
        <f>--(AND(D213&lt;=113.15,E213&gt;0.15,H213&gt;23.74,J213&gt;0.1))*1</f>
        <v/>
      </c>
      <c r="Z213">
        <f>--(AND(D213&gt;113.15,K213&lt;=0.22,L213&lt;=0.02))*1</f>
        <v/>
      </c>
      <c r="AA213">
        <f>--(AND(D213&gt;113.15,K213&lt;=0.22,L213&gt;0.02))*0</f>
        <v/>
      </c>
      <c r="AB213">
        <f>--(AND(D213&gt;113.15,K213&gt;0.22,N213&lt;=810.1))*0</f>
        <v/>
      </c>
      <c r="AC213">
        <f>--(AND(D213&gt;113.15,K213&gt;0.22,N213&gt;810.1,I213&lt;=14.95))*1</f>
        <v/>
      </c>
      <c r="AD213">
        <f>--(AND(D213&gt;113.15,K213&gt;0.22,N213&gt;810.1,I213&gt;14.95))*1</f>
        <v/>
      </c>
      <c r="AE213">
        <f>SUM(P213:AD213)</f>
        <v/>
      </c>
      <c r="AF213">
        <f>IF(AE213=1,"Malignant","Benign")</f>
        <v/>
      </c>
      <c r="AG213">
        <f>--(AE213=C213)</f>
        <v/>
      </c>
    </row>
    <row r="214">
      <c r="A214">
        <f>BreastCancer_Data!A214</f>
        <v/>
      </c>
      <c r="B214">
        <f>BreastCancer_Data!B214</f>
        <v/>
      </c>
      <c r="C214">
        <f>BreastCancer_Data!D214</f>
        <v/>
      </c>
      <c r="D214">
        <f>BreastCancer_Data!E214</f>
        <v/>
      </c>
      <c r="E214">
        <f>BreastCancer_Data!F214</f>
        <v/>
      </c>
      <c r="F214">
        <f>BreastCancer_Data!G214</f>
        <v/>
      </c>
      <c r="G214">
        <f>BreastCancer_Data!H214</f>
        <v/>
      </c>
      <c r="H214">
        <f>BreastCancer_Data!I214</f>
        <v/>
      </c>
      <c r="I214">
        <f>BreastCancer_Data!J214</f>
        <v/>
      </c>
      <c r="J214">
        <f>BreastCancer_Data!K214</f>
        <v/>
      </c>
      <c r="K214">
        <f>BreastCancer_Data!L214</f>
        <v/>
      </c>
      <c r="L214">
        <f>BreastCancer_Data!M214</f>
        <v/>
      </c>
      <c r="M214">
        <f>BreastCancer_Data!N214</f>
        <v/>
      </c>
      <c r="N214">
        <f>BreastCancer_Data!O214</f>
        <v/>
      </c>
      <c r="O214">
        <f>0</f>
        <v/>
      </c>
      <c r="P214">
        <f>--(AND(D214&lt;=113.15,E214&lt;=0.15,F214&lt;=15.77,G214&lt;=0.18,H214&lt;=33.27))*0</f>
        <v/>
      </c>
      <c r="Q214">
        <f>--(AND(D214&lt;=113.15,E214&lt;=0.15,F214&lt;=15.77,G214&lt;=0.18,H214&gt;33.27))*0</f>
        <v/>
      </c>
      <c r="R214">
        <f>--(AND(D214&lt;=113.15,E214&lt;=0.15,F214&lt;=15.77,G214&gt;0.18))*0</f>
        <v/>
      </c>
      <c r="S214">
        <f>--(AND(D214&lt;=113.15,E214&lt;=0.15,F214&gt;15.77,H214&lt;=28.86,G214&lt;=0.14))*0</f>
        <v/>
      </c>
      <c r="T214">
        <f>--(AND(D214&lt;=113.15,E214&lt;=0.15,F214&gt;15.77,H214&lt;=28.86,G214&gt;0.14))*1</f>
        <v/>
      </c>
      <c r="U214">
        <f>--(AND(D214&lt;=113.15,E214&lt;=0.15,F214&gt;15.77,H214&gt;28.86,M214&lt;=14.54))*1</f>
        <v/>
      </c>
      <c r="V214">
        <f>--(AND(D214&lt;=113.15,E214&lt;=0.15,F214&gt;15.77,H214&gt;28.86,M214&gt;14.54))*1</f>
        <v/>
      </c>
      <c r="W214">
        <f>--(AND(D214&lt;=113.15,E214&gt;0.15,H214&lt;=23.74))*0</f>
        <v/>
      </c>
      <c r="X214">
        <f>--(AND(D214&lt;=113.15,E214&gt;0.15,H214&gt;23.74,J214&lt;=0.1))*1</f>
        <v/>
      </c>
      <c r="Y214">
        <f>--(AND(D214&lt;=113.15,E214&gt;0.15,H214&gt;23.74,J214&gt;0.1))*1</f>
        <v/>
      </c>
      <c r="Z214">
        <f>--(AND(D214&gt;113.15,K214&lt;=0.22,L214&lt;=0.02))*1</f>
        <v/>
      </c>
      <c r="AA214">
        <f>--(AND(D214&gt;113.15,K214&lt;=0.22,L214&gt;0.02))*0</f>
        <v/>
      </c>
      <c r="AB214">
        <f>--(AND(D214&gt;113.15,K214&gt;0.22,N214&lt;=810.1))*0</f>
        <v/>
      </c>
      <c r="AC214">
        <f>--(AND(D214&gt;113.15,K214&gt;0.22,N214&gt;810.1,I214&lt;=14.95))*1</f>
        <v/>
      </c>
      <c r="AD214">
        <f>--(AND(D214&gt;113.15,K214&gt;0.22,N214&gt;810.1,I214&gt;14.95))*1</f>
        <v/>
      </c>
      <c r="AE214">
        <f>SUM(P214:AD214)</f>
        <v/>
      </c>
      <c r="AF214">
        <f>IF(AE214=1,"Malignant","Benign")</f>
        <v/>
      </c>
      <c r="AG214">
        <f>--(AE214=C214)</f>
        <v/>
      </c>
    </row>
    <row r="215">
      <c r="A215">
        <f>BreastCancer_Data!A215</f>
        <v/>
      </c>
      <c r="B215">
        <f>BreastCancer_Data!B215</f>
        <v/>
      </c>
      <c r="C215">
        <f>BreastCancer_Data!D215</f>
        <v/>
      </c>
      <c r="D215">
        <f>BreastCancer_Data!E215</f>
        <v/>
      </c>
      <c r="E215">
        <f>BreastCancer_Data!F215</f>
        <v/>
      </c>
      <c r="F215">
        <f>BreastCancer_Data!G215</f>
        <v/>
      </c>
      <c r="G215">
        <f>BreastCancer_Data!H215</f>
        <v/>
      </c>
      <c r="H215">
        <f>BreastCancer_Data!I215</f>
        <v/>
      </c>
      <c r="I215">
        <f>BreastCancer_Data!J215</f>
        <v/>
      </c>
      <c r="J215">
        <f>BreastCancer_Data!K215</f>
        <v/>
      </c>
      <c r="K215">
        <f>BreastCancer_Data!L215</f>
        <v/>
      </c>
      <c r="L215">
        <f>BreastCancer_Data!M215</f>
        <v/>
      </c>
      <c r="M215">
        <f>BreastCancer_Data!N215</f>
        <v/>
      </c>
      <c r="N215">
        <f>BreastCancer_Data!O215</f>
        <v/>
      </c>
      <c r="O215">
        <f>0</f>
        <v/>
      </c>
      <c r="P215">
        <f>--(AND(D215&lt;=113.15,E215&lt;=0.15,F215&lt;=15.77,G215&lt;=0.18,H215&lt;=33.27))*0</f>
        <v/>
      </c>
      <c r="Q215">
        <f>--(AND(D215&lt;=113.15,E215&lt;=0.15,F215&lt;=15.77,G215&lt;=0.18,H215&gt;33.27))*0</f>
        <v/>
      </c>
      <c r="R215">
        <f>--(AND(D215&lt;=113.15,E215&lt;=0.15,F215&lt;=15.77,G215&gt;0.18))*0</f>
        <v/>
      </c>
      <c r="S215">
        <f>--(AND(D215&lt;=113.15,E215&lt;=0.15,F215&gt;15.77,H215&lt;=28.86,G215&lt;=0.14))*0</f>
        <v/>
      </c>
      <c r="T215">
        <f>--(AND(D215&lt;=113.15,E215&lt;=0.15,F215&gt;15.77,H215&lt;=28.86,G215&gt;0.14))*1</f>
        <v/>
      </c>
      <c r="U215">
        <f>--(AND(D215&lt;=113.15,E215&lt;=0.15,F215&gt;15.77,H215&gt;28.86,M215&lt;=14.54))*1</f>
        <v/>
      </c>
      <c r="V215">
        <f>--(AND(D215&lt;=113.15,E215&lt;=0.15,F215&gt;15.77,H215&gt;28.86,M215&gt;14.54))*1</f>
        <v/>
      </c>
      <c r="W215">
        <f>--(AND(D215&lt;=113.15,E215&gt;0.15,H215&lt;=23.74))*0</f>
        <v/>
      </c>
      <c r="X215">
        <f>--(AND(D215&lt;=113.15,E215&gt;0.15,H215&gt;23.74,J215&lt;=0.1))*1</f>
        <v/>
      </c>
      <c r="Y215">
        <f>--(AND(D215&lt;=113.15,E215&gt;0.15,H215&gt;23.74,J215&gt;0.1))*1</f>
        <v/>
      </c>
      <c r="Z215">
        <f>--(AND(D215&gt;113.15,K215&lt;=0.22,L215&lt;=0.02))*1</f>
        <v/>
      </c>
      <c r="AA215">
        <f>--(AND(D215&gt;113.15,K215&lt;=0.22,L215&gt;0.02))*0</f>
        <v/>
      </c>
      <c r="AB215">
        <f>--(AND(D215&gt;113.15,K215&gt;0.22,N215&lt;=810.1))*0</f>
        <v/>
      </c>
      <c r="AC215">
        <f>--(AND(D215&gt;113.15,K215&gt;0.22,N215&gt;810.1,I215&lt;=14.95))*1</f>
        <v/>
      </c>
      <c r="AD215">
        <f>--(AND(D215&gt;113.15,K215&gt;0.22,N215&gt;810.1,I215&gt;14.95))*1</f>
        <v/>
      </c>
      <c r="AE215">
        <f>SUM(P215:AD215)</f>
        <v/>
      </c>
      <c r="AF215">
        <f>IF(AE215=1,"Malignant","Benign")</f>
        <v/>
      </c>
      <c r="AG215">
        <f>--(AE215=C215)</f>
        <v/>
      </c>
    </row>
    <row r="216">
      <c r="A216">
        <f>BreastCancer_Data!A216</f>
        <v/>
      </c>
      <c r="B216">
        <f>BreastCancer_Data!B216</f>
        <v/>
      </c>
      <c r="C216">
        <f>BreastCancer_Data!D216</f>
        <v/>
      </c>
      <c r="D216">
        <f>BreastCancer_Data!E216</f>
        <v/>
      </c>
      <c r="E216">
        <f>BreastCancer_Data!F216</f>
        <v/>
      </c>
      <c r="F216">
        <f>BreastCancer_Data!G216</f>
        <v/>
      </c>
      <c r="G216">
        <f>BreastCancer_Data!H216</f>
        <v/>
      </c>
      <c r="H216">
        <f>BreastCancer_Data!I216</f>
        <v/>
      </c>
      <c r="I216">
        <f>BreastCancer_Data!J216</f>
        <v/>
      </c>
      <c r="J216">
        <f>BreastCancer_Data!K216</f>
        <v/>
      </c>
      <c r="K216">
        <f>BreastCancer_Data!L216</f>
        <v/>
      </c>
      <c r="L216">
        <f>BreastCancer_Data!M216</f>
        <v/>
      </c>
      <c r="M216">
        <f>BreastCancer_Data!N216</f>
        <v/>
      </c>
      <c r="N216">
        <f>BreastCancer_Data!O216</f>
        <v/>
      </c>
      <c r="O216">
        <f>0</f>
        <v/>
      </c>
      <c r="P216">
        <f>--(AND(D216&lt;=113.15,E216&lt;=0.15,F216&lt;=15.77,G216&lt;=0.18,H216&lt;=33.27))*0</f>
        <v/>
      </c>
      <c r="Q216">
        <f>--(AND(D216&lt;=113.15,E216&lt;=0.15,F216&lt;=15.77,G216&lt;=0.18,H216&gt;33.27))*0</f>
        <v/>
      </c>
      <c r="R216">
        <f>--(AND(D216&lt;=113.15,E216&lt;=0.15,F216&lt;=15.77,G216&gt;0.18))*0</f>
        <v/>
      </c>
      <c r="S216">
        <f>--(AND(D216&lt;=113.15,E216&lt;=0.15,F216&gt;15.77,H216&lt;=28.86,G216&lt;=0.14))*0</f>
        <v/>
      </c>
      <c r="T216">
        <f>--(AND(D216&lt;=113.15,E216&lt;=0.15,F216&gt;15.77,H216&lt;=28.86,G216&gt;0.14))*1</f>
        <v/>
      </c>
      <c r="U216">
        <f>--(AND(D216&lt;=113.15,E216&lt;=0.15,F216&gt;15.77,H216&gt;28.86,M216&lt;=14.54))*1</f>
        <v/>
      </c>
      <c r="V216">
        <f>--(AND(D216&lt;=113.15,E216&lt;=0.15,F216&gt;15.77,H216&gt;28.86,M216&gt;14.54))*1</f>
        <v/>
      </c>
      <c r="W216">
        <f>--(AND(D216&lt;=113.15,E216&gt;0.15,H216&lt;=23.74))*0</f>
        <v/>
      </c>
      <c r="X216">
        <f>--(AND(D216&lt;=113.15,E216&gt;0.15,H216&gt;23.74,J216&lt;=0.1))*1</f>
        <v/>
      </c>
      <c r="Y216">
        <f>--(AND(D216&lt;=113.15,E216&gt;0.15,H216&gt;23.74,J216&gt;0.1))*1</f>
        <v/>
      </c>
      <c r="Z216">
        <f>--(AND(D216&gt;113.15,K216&lt;=0.22,L216&lt;=0.02))*1</f>
        <v/>
      </c>
      <c r="AA216">
        <f>--(AND(D216&gt;113.15,K216&lt;=0.22,L216&gt;0.02))*0</f>
        <v/>
      </c>
      <c r="AB216">
        <f>--(AND(D216&gt;113.15,K216&gt;0.22,N216&lt;=810.1))*0</f>
        <v/>
      </c>
      <c r="AC216">
        <f>--(AND(D216&gt;113.15,K216&gt;0.22,N216&gt;810.1,I216&lt;=14.95))*1</f>
        <v/>
      </c>
      <c r="AD216">
        <f>--(AND(D216&gt;113.15,K216&gt;0.22,N216&gt;810.1,I216&gt;14.95))*1</f>
        <v/>
      </c>
      <c r="AE216">
        <f>SUM(P216:AD216)</f>
        <v/>
      </c>
      <c r="AF216">
        <f>IF(AE216=1,"Malignant","Benign")</f>
        <v/>
      </c>
      <c r="AG216">
        <f>--(AE216=C216)</f>
        <v/>
      </c>
    </row>
    <row r="217">
      <c r="A217">
        <f>BreastCancer_Data!A217</f>
        <v/>
      </c>
      <c r="B217">
        <f>BreastCancer_Data!B217</f>
        <v/>
      </c>
      <c r="C217">
        <f>BreastCancer_Data!D217</f>
        <v/>
      </c>
      <c r="D217">
        <f>BreastCancer_Data!E217</f>
        <v/>
      </c>
      <c r="E217">
        <f>BreastCancer_Data!F217</f>
        <v/>
      </c>
      <c r="F217">
        <f>BreastCancer_Data!G217</f>
        <v/>
      </c>
      <c r="G217">
        <f>BreastCancer_Data!H217</f>
        <v/>
      </c>
      <c r="H217">
        <f>BreastCancer_Data!I217</f>
        <v/>
      </c>
      <c r="I217">
        <f>BreastCancer_Data!J217</f>
        <v/>
      </c>
      <c r="J217">
        <f>BreastCancer_Data!K217</f>
        <v/>
      </c>
      <c r="K217">
        <f>BreastCancer_Data!L217</f>
        <v/>
      </c>
      <c r="L217">
        <f>BreastCancer_Data!M217</f>
        <v/>
      </c>
      <c r="M217">
        <f>BreastCancer_Data!N217</f>
        <v/>
      </c>
      <c r="N217">
        <f>BreastCancer_Data!O217</f>
        <v/>
      </c>
      <c r="O217">
        <f>0</f>
        <v/>
      </c>
      <c r="P217">
        <f>--(AND(D217&lt;=113.15,E217&lt;=0.15,F217&lt;=15.77,G217&lt;=0.18,H217&lt;=33.27))*0</f>
        <v/>
      </c>
      <c r="Q217">
        <f>--(AND(D217&lt;=113.15,E217&lt;=0.15,F217&lt;=15.77,G217&lt;=0.18,H217&gt;33.27))*0</f>
        <v/>
      </c>
      <c r="R217">
        <f>--(AND(D217&lt;=113.15,E217&lt;=0.15,F217&lt;=15.77,G217&gt;0.18))*0</f>
        <v/>
      </c>
      <c r="S217">
        <f>--(AND(D217&lt;=113.15,E217&lt;=0.15,F217&gt;15.77,H217&lt;=28.86,G217&lt;=0.14))*0</f>
        <v/>
      </c>
      <c r="T217">
        <f>--(AND(D217&lt;=113.15,E217&lt;=0.15,F217&gt;15.77,H217&lt;=28.86,G217&gt;0.14))*1</f>
        <v/>
      </c>
      <c r="U217">
        <f>--(AND(D217&lt;=113.15,E217&lt;=0.15,F217&gt;15.77,H217&gt;28.86,M217&lt;=14.54))*1</f>
        <v/>
      </c>
      <c r="V217">
        <f>--(AND(D217&lt;=113.15,E217&lt;=0.15,F217&gt;15.77,H217&gt;28.86,M217&gt;14.54))*1</f>
        <v/>
      </c>
      <c r="W217">
        <f>--(AND(D217&lt;=113.15,E217&gt;0.15,H217&lt;=23.74))*0</f>
        <v/>
      </c>
      <c r="X217">
        <f>--(AND(D217&lt;=113.15,E217&gt;0.15,H217&gt;23.74,J217&lt;=0.1))*1</f>
        <v/>
      </c>
      <c r="Y217">
        <f>--(AND(D217&lt;=113.15,E217&gt;0.15,H217&gt;23.74,J217&gt;0.1))*1</f>
        <v/>
      </c>
      <c r="Z217">
        <f>--(AND(D217&gt;113.15,K217&lt;=0.22,L217&lt;=0.02))*1</f>
        <v/>
      </c>
      <c r="AA217">
        <f>--(AND(D217&gt;113.15,K217&lt;=0.22,L217&gt;0.02))*0</f>
        <v/>
      </c>
      <c r="AB217">
        <f>--(AND(D217&gt;113.15,K217&gt;0.22,N217&lt;=810.1))*0</f>
        <v/>
      </c>
      <c r="AC217">
        <f>--(AND(D217&gt;113.15,K217&gt;0.22,N217&gt;810.1,I217&lt;=14.95))*1</f>
        <v/>
      </c>
      <c r="AD217">
        <f>--(AND(D217&gt;113.15,K217&gt;0.22,N217&gt;810.1,I217&gt;14.95))*1</f>
        <v/>
      </c>
      <c r="AE217">
        <f>SUM(P217:AD217)</f>
        <v/>
      </c>
      <c r="AF217">
        <f>IF(AE217=1,"Malignant","Benign")</f>
        <v/>
      </c>
      <c r="AG217">
        <f>--(AE217=C217)</f>
        <v/>
      </c>
    </row>
    <row r="218">
      <c r="A218">
        <f>BreastCancer_Data!A218</f>
        <v/>
      </c>
      <c r="B218">
        <f>BreastCancer_Data!B218</f>
        <v/>
      </c>
      <c r="C218">
        <f>BreastCancer_Data!D218</f>
        <v/>
      </c>
      <c r="D218">
        <f>BreastCancer_Data!E218</f>
        <v/>
      </c>
      <c r="E218">
        <f>BreastCancer_Data!F218</f>
        <v/>
      </c>
      <c r="F218">
        <f>BreastCancer_Data!G218</f>
        <v/>
      </c>
      <c r="G218">
        <f>BreastCancer_Data!H218</f>
        <v/>
      </c>
      <c r="H218">
        <f>BreastCancer_Data!I218</f>
        <v/>
      </c>
      <c r="I218">
        <f>BreastCancer_Data!J218</f>
        <v/>
      </c>
      <c r="J218">
        <f>BreastCancer_Data!K218</f>
        <v/>
      </c>
      <c r="K218">
        <f>BreastCancer_Data!L218</f>
        <v/>
      </c>
      <c r="L218">
        <f>BreastCancer_Data!M218</f>
        <v/>
      </c>
      <c r="M218">
        <f>BreastCancer_Data!N218</f>
        <v/>
      </c>
      <c r="N218">
        <f>BreastCancer_Data!O218</f>
        <v/>
      </c>
      <c r="O218">
        <f>0</f>
        <v/>
      </c>
      <c r="P218">
        <f>--(AND(D218&lt;=113.15,E218&lt;=0.15,F218&lt;=15.77,G218&lt;=0.18,H218&lt;=33.27))*0</f>
        <v/>
      </c>
      <c r="Q218">
        <f>--(AND(D218&lt;=113.15,E218&lt;=0.15,F218&lt;=15.77,G218&lt;=0.18,H218&gt;33.27))*0</f>
        <v/>
      </c>
      <c r="R218">
        <f>--(AND(D218&lt;=113.15,E218&lt;=0.15,F218&lt;=15.77,G218&gt;0.18))*0</f>
        <v/>
      </c>
      <c r="S218">
        <f>--(AND(D218&lt;=113.15,E218&lt;=0.15,F218&gt;15.77,H218&lt;=28.86,G218&lt;=0.14))*0</f>
        <v/>
      </c>
      <c r="T218">
        <f>--(AND(D218&lt;=113.15,E218&lt;=0.15,F218&gt;15.77,H218&lt;=28.86,G218&gt;0.14))*1</f>
        <v/>
      </c>
      <c r="U218">
        <f>--(AND(D218&lt;=113.15,E218&lt;=0.15,F218&gt;15.77,H218&gt;28.86,M218&lt;=14.54))*1</f>
        <v/>
      </c>
      <c r="V218">
        <f>--(AND(D218&lt;=113.15,E218&lt;=0.15,F218&gt;15.77,H218&gt;28.86,M218&gt;14.54))*1</f>
        <v/>
      </c>
      <c r="W218">
        <f>--(AND(D218&lt;=113.15,E218&gt;0.15,H218&lt;=23.74))*0</f>
        <v/>
      </c>
      <c r="X218">
        <f>--(AND(D218&lt;=113.15,E218&gt;0.15,H218&gt;23.74,J218&lt;=0.1))*1</f>
        <v/>
      </c>
      <c r="Y218">
        <f>--(AND(D218&lt;=113.15,E218&gt;0.15,H218&gt;23.74,J218&gt;0.1))*1</f>
        <v/>
      </c>
      <c r="Z218">
        <f>--(AND(D218&gt;113.15,K218&lt;=0.22,L218&lt;=0.02))*1</f>
        <v/>
      </c>
      <c r="AA218">
        <f>--(AND(D218&gt;113.15,K218&lt;=0.22,L218&gt;0.02))*0</f>
        <v/>
      </c>
      <c r="AB218">
        <f>--(AND(D218&gt;113.15,K218&gt;0.22,N218&lt;=810.1))*0</f>
        <v/>
      </c>
      <c r="AC218">
        <f>--(AND(D218&gt;113.15,K218&gt;0.22,N218&gt;810.1,I218&lt;=14.95))*1</f>
        <v/>
      </c>
      <c r="AD218">
        <f>--(AND(D218&gt;113.15,K218&gt;0.22,N218&gt;810.1,I218&gt;14.95))*1</f>
        <v/>
      </c>
      <c r="AE218">
        <f>SUM(P218:AD218)</f>
        <v/>
      </c>
      <c r="AF218">
        <f>IF(AE218=1,"Malignant","Benign")</f>
        <v/>
      </c>
      <c r="AG218">
        <f>--(AE218=C218)</f>
        <v/>
      </c>
    </row>
    <row r="219">
      <c r="A219">
        <f>BreastCancer_Data!A219</f>
        <v/>
      </c>
      <c r="B219">
        <f>BreastCancer_Data!B219</f>
        <v/>
      </c>
      <c r="C219">
        <f>BreastCancer_Data!D219</f>
        <v/>
      </c>
      <c r="D219">
        <f>BreastCancer_Data!E219</f>
        <v/>
      </c>
      <c r="E219">
        <f>BreastCancer_Data!F219</f>
        <v/>
      </c>
      <c r="F219">
        <f>BreastCancer_Data!G219</f>
        <v/>
      </c>
      <c r="G219">
        <f>BreastCancer_Data!H219</f>
        <v/>
      </c>
      <c r="H219">
        <f>BreastCancer_Data!I219</f>
        <v/>
      </c>
      <c r="I219">
        <f>BreastCancer_Data!J219</f>
        <v/>
      </c>
      <c r="J219">
        <f>BreastCancer_Data!K219</f>
        <v/>
      </c>
      <c r="K219">
        <f>BreastCancer_Data!L219</f>
        <v/>
      </c>
      <c r="L219">
        <f>BreastCancer_Data!M219</f>
        <v/>
      </c>
      <c r="M219">
        <f>BreastCancer_Data!N219</f>
        <v/>
      </c>
      <c r="N219">
        <f>BreastCancer_Data!O219</f>
        <v/>
      </c>
      <c r="O219">
        <f>0</f>
        <v/>
      </c>
      <c r="P219">
        <f>--(AND(D219&lt;=113.15,E219&lt;=0.15,F219&lt;=15.77,G219&lt;=0.18,H219&lt;=33.27))*0</f>
        <v/>
      </c>
      <c r="Q219">
        <f>--(AND(D219&lt;=113.15,E219&lt;=0.15,F219&lt;=15.77,G219&lt;=0.18,H219&gt;33.27))*0</f>
        <v/>
      </c>
      <c r="R219">
        <f>--(AND(D219&lt;=113.15,E219&lt;=0.15,F219&lt;=15.77,G219&gt;0.18))*0</f>
        <v/>
      </c>
      <c r="S219">
        <f>--(AND(D219&lt;=113.15,E219&lt;=0.15,F219&gt;15.77,H219&lt;=28.86,G219&lt;=0.14))*0</f>
        <v/>
      </c>
      <c r="T219">
        <f>--(AND(D219&lt;=113.15,E219&lt;=0.15,F219&gt;15.77,H219&lt;=28.86,G219&gt;0.14))*1</f>
        <v/>
      </c>
      <c r="U219">
        <f>--(AND(D219&lt;=113.15,E219&lt;=0.15,F219&gt;15.77,H219&gt;28.86,M219&lt;=14.54))*1</f>
        <v/>
      </c>
      <c r="V219">
        <f>--(AND(D219&lt;=113.15,E219&lt;=0.15,F219&gt;15.77,H219&gt;28.86,M219&gt;14.54))*1</f>
        <v/>
      </c>
      <c r="W219">
        <f>--(AND(D219&lt;=113.15,E219&gt;0.15,H219&lt;=23.74))*0</f>
        <v/>
      </c>
      <c r="X219">
        <f>--(AND(D219&lt;=113.15,E219&gt;0.15,H219&gt;23.74,J219&lt;=0.1))*1</f>
        <v/>
      </c>
      <c r="Y219">
        <f>--(AND(D219&lt;=113.15,E219&gt;0.15,H219&gt;23.74,J219&gt;0.1))*1</f>
        <v/>
      </c>
      <c r="Z219">
        <f>--(AND(D219&gt;113.15,K219&lt;=0.22,L219&lt;=0.02))*1</f>
        <v/>
      </c>
      <c r="AA219">
        <f>--(AND(D219&gt;113.15,K219&lt;=0.22,L219&gt;0.02))*0</f>
        <v/>
      </c>
      <c r="AB219">
        <f>--(AND(D219&gt;113.15,K219&gt;0.22,N219&lt;=810.1))*0</f>
        <v/>
      </c>
      <c r="AC219">
        <f>--(AND(D219&gt;113.15,K219&gt;0.22,N219&gt;810.1,I219&lt;=14.95))*1</f>
        <v/>
      </c>
      <c r="AD219">
        <f>--(AND(D219&gt;113.15,K219&gt;0.22,N219&gt;810.1,I219&gt;14.95))*1</f>
        <v/>
      </c>
      <c r="AE219">
        <f>SUM(P219:AD219)</f>
        <v/>
      </c>
      <c r="AF219">
        <f>IF(AE219=1,"Malignant","Benign")</f>
        <v/>
      </c>
      <c r="AG219">
        <f>--(AE219=C219)</f>
        <v/>
      </c>
    </row>
    <row r="220">
      <c r="A220">
        <f>BreastCancer_Data!A220</f>
        <v/>
      </c>
      <c r="B220">
        <f>BreastCancer_Data!B220</f>
        <v/>
      </c>
      <c r="C220">
        <f>BreastCancer_Data!D220</f>
        <v/>
      </c>
      <c r="D220">
        <f>BreastCancer_Data!E220</f>
        <v/>
      </c>
      <c r="E220">
        <f>BreastCancer_Data!F220</f>
        <v/>
      </c>
      <c r="F220">
        <f>BreastCancer_Data!G220</f>
        <v/>
      </c>
      <c r="G220">
        <f>BreastCancer_Data!H220</f>
        <v/>
      </c>
      <c r="H220">
        <f>BreastCancer_Data!I220</f>
        <v/>
      </c>
      <c r="I220">
        <f>BreastCancer_Data!J220</f>
        <v/>
      </c>
      <c r="J220">
        <f>BreastCancer_Data!K220</f>
        <v/>
      </c>
      <c r="K220">
        <f>BreastCancer_Data!L220</f>
        <v/>
      </c>
      <c r="L220">
        <f>BreastCancer_Data!M220</f>
        <v/>
      </c>
      <c r="M220">
        <f>BreastCancer_Data!N220</f>
        <v/>
      </c>
      <c r="N220">
        <f>BreastCancer_Data!O220</f>
        <v/>
      </c>
      <c r="O220">
        <f>0</f>
        <v/>
      </c>
      <c r="P220">
        <f>--(AND(D220&lt;=113.15,E220&lt;=0.15,F220&lt;=15.77,G220&lt;=0.18,H220&lt;=33.27))*0</f>
        <v/>
      </c>
      <c r="Q220">
        <f>--(AND(D220&lt;=113.15,E220&lt;=0.15,F220&lt;=15.77,G220&lt;=0.18,H220&gt;33.27))*0</f>
        <v/>
      </c>
      <c r="R220">
        <f>--(AND(D220&lt;=113.15,E220&lt;=0.15,F220&lt;=15.77,G220&gt;0.18))*0</f>
        <v/>
      </c>
      <c r="S220">
        <f>--(AND(D220&lt;=113.15,E220&lt;=0.15,F220&gt;15.77,H220&lt;=28.86,G220&lt;=0.14))*0</f>
        <v/>
      </c>
      <c r="T220">
        <f>--(AND(D220&lt;=113.15,E220&lt;=0.15,F220&gt;15.77,H220&lt;=28.86,G220&gt;0.14))*1</f>
        <v/>
      </c>
      <c r="U220">
        <f>--(AND(D220&lt;=113.15,E220&lt;=0.15,F220&gt;15.77,H220&gt;28.86,M220&lt;=14.54))*1</f>
        <v/>
      </c>
      <c r="V220">
        <f>--(AND(D220&lt;=113.15,E220&lt;=0.15,F220&gt;15.77,H220&gt;28.86,M220&gt;14.54))*1</f>
        <v/>
      </c>
      <c r="W220">
        <f>--(AND(D220&lt;=113.15,E220&gt;0.15,H220&lt;=23.74))*0</f>
        <v/>
      </c>
      <c r="X220">
        <f>--(AND(D220&lt;=113.15,E220&gt;0.15,H220&gt;23.74,J220&lt;=0.1))*1</f>
        <v/>
      </c>
      <c r="Y220">
        <f>--(AND(D220&lt;=113.15,E220&gt;0.15,H220&gt;23.74,J220&gt;0.1))*1</f>
        <v/>
      </c>
      <c r="Z220">
        <f>--(AND(D220&gt;113.15,K220&lt;=0.22,L220&lt;=0.02))*1</f>
        <v/>
      </c>
      <c r="AA220">
        <f>--(AND(D220&gt;113.15,K220&lt;=0.22,L220&gt;0.02))*0</f>
        <v/>
      </c>
      <c r="AB220">
        <f>--(AND(D220&gt;113.15,K220&gt;0.22,N220&lt;=810.1))*0</f>
        <v/>
      </c>
      <c r="AC220">
        <f>--(AND(D220&gt;113.15,K220&gt;0.22,N220&gt;810.1,I220&lt;=14.95))*1</f>
        <v/>
      </c>
      <c r="AD220">
        <f>--(AND(D220&gt;113.15,K220&gt;0.22,N220&gt;810.1,I220&gt;14.95))*1</f>
        <v/>
      </c>
      <c r="AE220">
        <f>SUM(P220:AD220)</f>
        <v/>
      </c>
      <c r="AF220">
        <f>IF(AE220=1,"Malignant","Benign")</f>
        <v/>
      </c>
      <c r="AG220">
        <f>--(AE220=C220)</f>
        <v/>
      </c>
    </row>
    <row r="221">
      <c r="A221">
        <f>BreastCancer_Data!A221</f>
        <v/>
      </c>
      <c r="B221">
        <f>BreastCancer_Data!B221</f>
        <v/>
      </c>
      <c r="C221">
        <f>BreastCancer_Data!D221</f>
        <v/>
      </c>
      <c r="D221">
        <f>BreastCancer_Data!E221</f>
        <v/>
      </c>
      <c r="E221">
        <f>BreastCancer_Data!F221</f>
        <v/>
      </c>
      <c r="F221">
        <f>BreastCancer_Data!G221</f>
        <v/>
      </c>
      <c r="G221">
        <f>BreastCancer_Data!H221</f>
        <v/>
      </c>
      <c r="H221">
        <f>BreastCancer_Data!I221</f>
        <v/>
      </c>
      <c r="I221">
        <f>BreastCancer_Data!J221</f>
        <v/>
      </c>
      <c r="J221">
        <f>BreastCancer_Data!K221</f>
        <v/>
      </c>
      <c r="K221">
        <f>BreastCancer_Data!L221</f>
        <v/>
      </c>
      <c r="L221">
        <f>BreastCancer_Data!M221</f>
        <v/>
      </c>
      <c r="M221">
        <f>BreastCancer_Data!N221</f>
        <v/>
      </c>
      <c r="N221">
        <f>BreastCancer_Data!O221</f>
        <v/>
      </c>
      <c r="O221">
        <f>0</f>
        <v/>
      </c>
      <c r="P221">
        <f>--(AND(D221&lt;=113.15,E221&lt;=0.15,F221&lt;=15.77,G221&lt;=0.18,H221&lt;=33.27))*0</f>
        <v/>
      </c>
      <c r="Q221">
        <f>--(AND(D221&lt;=113.15,E221&lt;=0.15,F221&lt;=15.77,G221&lt;=0.18,H221&gt;33.27))*0</f>
        <v/>
      </c>
      <c r="R221">
        <f>--(AND(D221&lt;=113.15,E221&lt;=0.15,F221&lt;=15.77,G221&gt;0.18))*0</f>
        <v/>
      </c>
      <c r="S221">
        <f>--(AND(D221&lt;=113.15,E221&lt;=0.15,F221&gt;15.77,H221&lt;=28.86,G221&lt;=0.14))*0</f>
        <v/>
      </c>
      <c r="T221">
        <f>--(AND(D221&lt;=113.15,E221&lt;=0.15,F221&gt;15.77,H221&lt;=28.86,G221&gt;0.14))*1</f>
        <v/>
      </c>
      <c r="U221">
        <f>--(AND(D221&lt;=113.15,E221&lt;=0.15,F221&gt;15.77,H221&gt;28.86,M221&lt;=14.54))*1</f>
        <v/>
      </c>
      <c r="V221">
        <f>--(AND(D221&lt;=113.15,E221&lt;=0.15,F221&gt;15.77,H221&gt;28.86,M221&gt;14.54))*1</f>
        <v/>
      </c>
      <c r="W221">
        <f>--(AND(D221&lt;=113.15,E221&gt;0.15,H221&lt;=23.74))*0</f>
        <v/>
      </c>
      <c r="X221">
        <f>--(AND(D221&lt;=113.15,E221&gt;0.15,H221&gt;23.74,J221&lt;=0.1))*1</f>
        <v/>
      </c>
      <c r="Y221">
        <f>--(AND(D221&lt;=113.15,E221&gt;0.15,H221&gt;23.74,J221&gt;0.1))*1</f>
        <v/>
      </c>
      <c r="Z221">
        <f>--(AND(D221&gt;113.15,K221&lt;=0.22,L221&lt;=0.02))*1</f>
        <v/>
      </c>
      <c r="AA221">
        <f>--(AND(D221&gt;113.15,K221&lt;=0.22,L221&gt;0.02))*0</f>
        <v/>
      </c>
      <c r="AB221">
        <f>--(AND(D221&gt;113.15,K221&gt;0.22,N221&lt;=810.1))*0</f>
        <v/>
      </c>
      <c r="AC221">
        <f>--(AND(D221&gt;113.15,K221&gt;0.22,N221&gt;810.1,I221&lt;=14.95))*1</f>
        <v/>
      </c>
      <c r="AD221">
        <f>--(AND(D221&gt;113.15,K221&gt;0.22,N221&gt;810.1,I221&gt;14.95))*1</f>
        <v/>
      </c>
      <c r="AE221">
        <f>SUM(P221:AD221)</f>
        <v/>
      </c>
      <c r="AF221">
        <f>IF(AE221=1,"Malignant","Benign")</f>
        <v/>
      </c>
      <c r="AG221">
        <f>--(AE221=C221)</f>
        <v/>
      </c>
    </row>
    <row r="222">
      <c r="A222">
        <f>BreastCancer_Data!A222</f>
        <v/>
      </c>
      <c r="B222">
        <f>BreastCancer_Data!B222</f>
        <v/>
      </c>
      <c r="C222">
        <f>BreastCancer_Data!D222</f>
        <v/>
      </c>
      <c r="D222">
        <f>BreastCancer_Data!E222</f>
        <v/>
      </c>
      <c r="E222">
        <f>BreastCancer_Data!F222</f>
        <v/>
      </c>
      <c r="F222">
        <f>BreastCancer_Data!G222</f>
        <v/>
      </c>
      <c r="G222">
        <f>BreastCancer_Data!H222</f>
        <v/>
      </c>
      <c r="H222">
        <f>BreastCancer_Data!I222</f>
        <v/>
      </c>
      <c r="I222">
        <f>BreastCancer_Data!J222</f>
        <v/>
      </c>
      <c r="J222">
        <f>BreastCancer_Data!K222</f>
        <v/>
      </c>
      <c r="K222">
        <f>BreastCancer_Data!L222</f>
        <v/>
      </c>
      <c r="L222">
        <f>BreastCancer_Data!M222</f>
        <v/>
      </c>
      <c r="M222">
        <f>BreastCancer_Data!N222</f>
        <v/>
      </c>
      <c r="N222">
        <f>BreastCancer_Data!O222</f>
        <v/>
      </c>
      <c r="O222">
        <f>0</f>
        <v/>
      </c>
      <c r="P222">
        <f>--(AND(D222&lt;=113.15,E222&lt;=0.15,F222&lt;=15.77,G222&lt;=0.18,H222&lt;=33.27))*0</f>
        <v/>
      </c>
      <c r="Q222">
        <f>--(AND(D222&lt;=113.15,E222&lt;=0.15,F222&lt;=15.77,G222&lt;=0.18,H222&gt;33.27))*0</f>
        <v/>
      </c>
      <c r="R222">
        <f>--(AND(D222&lt;=113.15,E222&lt;=0.15,F222&lt;=15.77,G222&gt;0.18))*0</f>
        <v/>
      </c>
      <c r="S222">
        <f>--(AND(D222&lt;=113.15,E222&lt;=0.15,F222&gt;15.77,H222&lt;=28.86,G222&lt;=0.14))*0</f>
        <v/>
      </c>
      <c r="T222">
        <f>--(AND(D222&lt;=113.15,E222&lt;=0.15,F222&gt;15.77,H222&lt;=28.86,G222&gt;0.14))*1</f>
        <v/>
      </c>
      <c r="U222">
        <f>--(AND(D222&lt;=113.15,E222&lt;=0.15,F222&gt;15.77,H222&gt;28.86,M222&lt;=14.54))*1</f>
        <v/>
      </c>
      <c r="V222">
        <f>--(AND(D222&lt;=113.15,E222&lt;=0.15,F222&gt;15.77,H222&gt;28.86,M222&gt;14.54))*1</f>
        <v/>
      </c>
      <c r="W222">
        <f>--(AND(D222&lt;=113.15,E222&gt;0.15,H222&lt;=23.74))*0</f>
        <v/>
      </c>
      <c r="X222">
        <f>--(AND(D222&lt;=113.15,E222&gt;0.15,H222&gt;23.74,J222&lt;=0.1))*1</f>
        <v/>
      </c>
      <c r="Y222">
        <f>--(AND(D222&lt;=113.15,E222&gt;0.15,H222&gt;23.74,J222&gt;0.1))*1</f>
        <v/>
      </c>
      <c r="Z222">
        <f>--(AND(D222&gt;113.15,K222&lt;=0.22,L222&lt;=0.02))*1</f>
        <v/>
      </c>
      <c r="AA222">
        <f>--(AND(D222&gt;113.15,K222&lt;=0.22,L222&gt;0.02))*0</f>
        <v/>
      </c>
      <c r="AB222">
        <f>--(AND(D222&gt;113.15,K222&gt;0.22,N222&lt;=810.1))*0</f>
        <v/>
      </c>
      <c r="AC222">
        <f>--(AND(D222&gt;113.15,K222&gt;0.22,N222&gt;810.1,I222&lt;=14.95))*1</f>
        <v/>
      </c>
      <c r="AD222">
        <f>--(AND(D222&gt;113.15,K222&gt;0.22,N222&gt;810.1,I222&gt;14.95))*1</f>
        <v/>
      </c>
      <c r="AE222">
        <f>SUM(P222:AD222)</f>
        <v/>
      </c>
      <c r="AF222">
        <f>IF(AE222=1,"Malignant","Benign")</f>
        <v/>
      </c>
      <c r="AG222">
        <f>--(AE222=C222)</f>
        <v/>
      </c>
    </row>
    <row r="223">
      <c r="A223">
        <f>BreastCancer_Data!A223</f>
        <v/>
      </c>
      <c r="B223">
        <f>BreastCancer_Data!B223</f>
        <v/>
      </c>
      <c r="C223">
        <f>BreastCancer_Data!D223</f>
        <v/>
      </c>
      <c r="D223">
        <f>BreastCancer_Data!E223</f>
        <v/>
      </c>
      <c r="E223">
        <f>BreastCancer_Data!F223</f>
        <v/>
      </c>
      <c r="F223">
        <f>BreastCancer_Data!G223</f>
        <v/>
      </c>
      <c r="G223">
        <f>BreastCancer_Data!H223</f>
        <v/>
      </c>
      <c r="H223">
        <f>BreastCancer_Data!I223</f>
        <v/>
      </c>
      <c r="I223">
        <f>BreastCancer_Data!J223</f>
        <v/>
      </c>
      <c r="J223">
        <f>BreastCancer_Data!K223</f>
        <v/>
      </c>
      <c r="K223">
        <f>BreastCancer_Data!L223</f>
        <v/>
      </c>
      <c r="L223">
        <f>BreastCancer_Data!M223</f>
        <v/>
      </c>
      <c r="M223">
        <f>BreastCancer_Data!N223</f>
        <v/>
      </c>
      <c r="N223">
        <f>BreastCancer_Data!O223</f>
        <v/>
      </c>
      <c r="O223">
        <f>0</f>
        <v/>
      </c>
      <c r="P223">
        <f>--(AND(D223&lt;=113.15,E223&lt;=0.15,F223&lt;=15.77,G223&lt;=0.18,H223&lt;=33.27))*0</f>
        <v/>
      </c>
      <c r="Q223">
        <f>--(AND(D223&lt;=113.15,E223&lt;=0.15,F223&lt;=15.77,G223&lt;=0.18,H223&gt;33.27))*0</f>
        <v/>
      </c>
      <c r="R223">
        <f>--(AND(D223&lt;=113.15,E223&lt;=0.15,F223&lt;=15.77,G223&gt;0.18))*0</f>
        <v/>
      </c>
      <c r="S223">
        <f>--(AND(D223&lt;=113.15,E223&lt;=0.15,F223&gt;15.77,H223&lt;=28.86,G223&lt;=0.14))*0</f>
        <v/>
      </c>
      <c r="T223">
        <f>--(AND(D223&lt;=113.15,E223&lt;=0.15,F223&gt;15.77,H223&lt;=28.86,G223&gt;0.14))*1</f>
        <v/>
      </c>
      <c r="U223">
        <f>--(AND(D223&lt;=113.15,E223&lt;=0.15,F223&gt;15.77,H223&gt;28.86,M223&lt;=14.54))*1</f>
        <v/>
      </c>
      <c r="V223">
        <f>--(AND(D223&lt;=113.15,E223&lt;=0.15,F223&gt;15.77,H223&gt;28.86,M223&gt;14.54))*1</f>
        <v/>
      </c>
      <c r="W223">
        <f>--(AND(D223&lt;=113.15,E223&gt;0.15,H223&lt;=23.74))*0</f>
        <v/>
      </c>
      <c r="X223">
        <f>--(AND(D223&lt;=113.15,E223&gt;0.15,H223&gt;23.74,J223&lt;=0.1))*1</f>
        <v/>
      </c>
      <c r="Y223">
        <f>--(AND(D223&lt;=113.15,E223&gt;0.15,H223&gt;23.74,J223&gt;0.1))*1</f>
        <v/>
      </c>
      <c r="Z223">
        <f>--(AND(D223&gt;113.15,K223&lt;=0.22,L223&lt;=0.02))*1</f>
        <v/>
      </c>
      <c r="AA223">
        <f>--(AND(D223&gt;113.15,K223&lt;=0.22,L223&gt;0.02))*0</f>
        <v/>
      </c>
      <c r="AB223">
        <f>--(AND(D223&gt;113.15,K223&gt;0.22,N223&lt;=810.1))*0</f>
        <v/>
      </c>
      <c r="AC223">
        <f>--(AND(D223&gt;113.15,K223&gt;0.22,N223&gt;810.1,I223&lt;=14.95))*1</f>
        <v/>
      </c>
      <c r="AD223">
        <f>--(AND(D223&gt;113.15,K223&gt;0.22,N223&gt;810.1,I223&gt;14.95))*1</f>
        <v/>
      </c>
      <c r="AE223">
        <f>SUM(P223:AD223)</f>
        <v/>
      </c>
      <c r="AF223">
        <f>IF(AE223=1,"Malignant","Benign")</f>
        <v/>
      </c>
      <c r="AG223">
        <f>--(AE223=C223)</f>
        <v/>
      </c>
    </row>
    <row r="224">
      <c r="A224">
        <f>BreastCancer_Data!A224</f>
        <v/>
      </c>
      <c r="B224">
        <f>BreastCancer_Data!B224</f>
        <v/>
      </c>
      <c r="C224">
        <f>BreastCancer_Data!D224</f>
        <v/>
      </c>
      <c r="D224">
        <f>BreastCancer_Data!E224</f>
        <v/>
      </c>
      <c r="E224">
        <f>BreastCancer_Data!F224</f>
        <v/>
      </c>
      <c r="F224">
        <f>BreastCancer_Data!G224</f>
        <v/>
      </c>
      <c r="G224">
        <f>BreastCancer_Data!H224</f>
        <v/>
      </c>
      <c r="H224">
        <f>BreastCancer_Data!I224</f>
        <v/>
      </c>
      <c r="I224">
        <f>BreastCancer_Data!J224</f>
        <v/>
      </c>
      <c r="J224">
        <f>BreastCancer_Data!K224</f>
        <v/>
      </c>
      <c r="K224">
        <f>BreastCancer_Data!L224</f>
        <v/>
      </c>
      <c r="L224">
        <f>BreastCancer_Data!M224</f>
        <v/>
      </c>
      <c r="M224">
        <f>BreastCancer_Data!N224</f>
        <v/>
      </c>
      <c r="N224">
        <f>BreastCancer_Data!O224</f>
        <v/>
      </c>
      <c r="O224">
        <f>0</f>
        <v/>
      </c>
      <c r="P224">
        <f>--(AND(D224&lt;=113.15,E224&lt;=0.15,F224&lt;=15.77,G224&lt;=0.18,H224&lt;=33.27))*0</f>
        <v/>
      </c>
      <c r="Q224">
        <f>--(AND(D224&lt;=113.15,E224&lt;=0.15,F224&lt;=15.77,G224&lt;=0.18,H224&gt;33.27))*0</f>
        <v/>
      </c>
      <c r="R224">
        <f>--(AND(D224&lt;=113.15,E224&lt;=0.15,F224&lt;=15.77,G224&gt;0.18))*0</f>
        <v/>
      </c>
      <c r="S224">
        <f>--(AND(D224&lt;=113.15,E224&lt;=0.15,F224&gt;15.77,H224&lt;=28.86,G224&lt;=0.14))*0</f>
        <v/>
      </c>
      <c r="T224">
        <f>--(AND(D224&lt;=113.15,E224&lt;=0.15,F224&gt;15.77,H224&lt;=28.86,G224&gt;0.14))*1</f>
        <v/>
      </c>
      <c r="U224">
        <f>--(AND(D224&lt;=113.15,E224&lt;=0.15,F224&gt;15.77,H224&gt;28.86,M224&lt;=14.54))*1</f>
        <v/>
      </c>
      <c r="V224">
        <f>--(AND(D224&lt;=113.15,E224&lt;=0.15,F224&gt;15.77,H224&gt;28.86,M224&gt;14.54))*1</f>
        <v/>
      </c>
      <c r="W224">
        <f>--(AND(D224&lt;=113.15,E224&gt;0.15,H224&lt;=23.74))*0</f>
        <v/>
      </c>
      <c r="X224">
        <f>--(AND(D224&lt;=113.15,E224&gt;0.15,H224&gt;23.74,J224&lt;=0.1))*1</f>
        <v/>
      </c>
      <c r="Y224">
        <f>--(AND(D224&lt;=113.15,E224&gt;0.15,H224&gt;23.74,J224&gt;0.1))*1</f>
        <v/>
      </c>
      <c r="Z224">
        <f>--(AND(D224&gt;113.15,K224&lt;=0.22,L224&lt;=0.02))*1</f>
        <v/>
      </c>
      <c r="AA224">
        <f>--(AND(D224&gt;113.15,K224&lt;=0.22,L224&gt;0.02))*0</f>
        <v/>
      </c>
      <c r="AB224">
        <f>--(AND(D224&gt;113.15,K224&gt;0.22,N224&lt;=810.1))*0</f>
        <v/>
      </c>
      <c r="AC224">
        <f>--(AND(D224&gt;113.15,K224&gt;0.22,N224&gt;810.1,I224&lt;=14.95))*1</f>
        <v/>
      </c>
      <c r="AD224">
        <f>--(AND(D224&gt;113.15,K224&gt;0.22,N224&gt;810.1,I224&gt;14.95))*1</f>
        <v/>
      </c>
      <c r="AE224">
        <f>SUM(P224:AD224)</f>
        <v/>
      </c>
      <c r="AF224">
        <f>IF(AE224=1,"Malignant","Benign")</f>
        <v/>
      </c>
      <c r="AG224">
        <f>--(AE224=C224)</f>
        <v/>
      </c>
    </row>
    <row r="225">
      <c r="A225">
        <f>BreastCancer_Data!A225</f>
        <v/>
      </c>
      <c r="B225">
        <f>BreastCancer_Data!B225</f>
        <v/>
      </c>
      <c r="C225">
        <f>BreastCancer_Data!D225</f>
        <v/>
      </c>
      <c r="D225">
        <f>BreastCancer_Data!E225</f>
        <v/>
      </c>
      <c r="E225">
        <f>BreastCancer_Data!F225</f>
        <v/>
      </c>
      <c r="F225">
        <f>BreastCancer_Data!G225</f>
        <v/>
      </c>
      <c r="G225">
        <f>BreastCancer_Data!H225</f>
        <v/>
      </c>
      <c r="H225">
        <f>BreastCancer_Data!I225</f>
        <v/>
      </c>
      <c r="I225">
        <f>BreastCancer_Data!J225</f>
        <v/>
      </c>
      <c r="J225">
        <f>BreastCancer_Data!K225</f>
        <v/>
      </c>
      <c r="K225">
        <f>BreastCancer_Data!L225</f>
        <v/>
      </c>
      <c r="L225">
        <f>BreastCancer_Data!M225</f>
        <v/>
      </c>
      <c r="M225">
        <f>BreastCancer_Data!N225</f>
        <v/>
      </c>
      <c r="N225">
        <f>BreastCancer_Data!O225</f>
        <v/>
      </c>
      <c r="O225">
        <f>0</f>
        <v/>
      </c>
      <c r="P225">
        <f>--(AND(D225&lt;=113.15,E225&lt;=0.15,F225&lt;=15.77,G225&lt;=0.18,H225&lt;=33.27))*0</f>
        <v/>
      </c>
      <c r="Q225">
        <f>--(AND(D225&lt;=113.15,E225&lt;=0.15,F225&lt;=15.77,G225&lt;=0.18,H225&gt;33.27))*0</f>
        <v/>
      </c>
      <c r="R225">
        <f>--(AND(D225&lt;=113.15,E225&lt;=0.15,F225&lt;=15.77,G225&gt;0.18))*0</f>
        <v/>
      </c>
      <c r="S225">
        <f>--(AND(D225&lt;=113.15,E225&lt;=0.15,F225&gt;15.77,H225&lt;=28.86,G225&lt;=0.14))*0</f>
        <v/>
      </c>
      <c r="T225">
        <f>--(AND(D225&lt;=113.15,E225&lt;=0.15,F225&gt;15.77,H225&lt;=28.86,G225&gt;0.14))*1</f>
        <v/>
      </c>
      <c r="U225">
        <f>--(AND(D225&lt;=113.15,E225&lt;=0.15,F225&gt;15.77,H225&gt;28.86,M225&lt;=14.54))*1</f>
        <v/>
      </c>
      <c r="V225">
        <f>--(AND(D225&lt;=113.15,E225&lt;=0.15,F225&gt;15.77,H225&gt;28.86,M225&gt;14.54))*1</f>
        <v/>
      </c>
      <c r="W225">
        <f>--(AND(D225&lt;=113.15,E225&gt;0.15,H225&lt;=23.74))*0</f>
        <v/>
      </c>
      <c r="X225">
        <f>--(AND(D225&lt;=113.15,E225&gt;0.15,H225&gt;23.74,J225&lt;=0.1))*1</f>
        <v/>
      </c>
      <c r="Y225">
        <f>--(AND(D225&lt;=113.15,E225&gt;0.15,H225&gt;23.74,J225&gt;0.1))*1</f>
        <v/>
      </c>
      <c r="Z225">
        <f>--(AND(D225&gt;113.15,K225&lt;=0.22,L225&lt;=0.02))*1</f>
        <v/>
      </c>
      <c r="AA225">
        <f>--(AND(D225&gt;113.15,K225&lt;=0.22,L225&gt;0.02))*0</f>
        <v/>
      </c>
      <c r="AB225">
        <f>--(AND(D225&gt;113.15,K225&gt;0.22,N225&lt;=810.1))*0</f>
        <v/>
      </c>
      <c r="AC225">
        <f>--(AND(D225&gt;113.15,K225&gt;0.22,N225&gt;810.1,I225&lt;=14.95))*1</f>
        <v/>
      </c>
      <c r="AD225">
        <f>--(AND(D225&gt;113.15,K225&gt;0.22,N225&gt;810.1,I225&gt;14.95))*1</f>
        <v/>
      </c>
      <c r="AE225">
        <f>SUM(P225:AD225)</f>
        <v/>
      </c>
      <c r="AF225">
        <f>IF(AE225=1,"Malignant","Benign")</f>
        <v/>
      </c>
      <c r="AG225">
        <f>--(AE225=C225)</f>
        <v/>
      </c>
    </row>
    <row r="226">
      <c r="A226">
        <f>BreastCancer_Data!A226</f>
        <v/>
      </c>
      <c r="B226">
        <f>BreastCancer_Data!B226</f>
        <v/>
      </c>
      <c r="C226">
        <f>BreastCancer_Data!D226</f>
        <v/>
      </c>
      <c r="D226">
        <f>BreastCancer_Data!E226</f>
        <v/>
      </c>
      <c r="E226">
        <f>BreastCancer_Data!F226</f>
        <v/>
      </c>
      <c r="F226">
        <f>BreastCancer_Data!G226</f>
        <v/>
      </c>
      <c r="G226">
        <f>BreastCancer_Data!H226</f>
        <v/>
      </c>
      <c r="H226">
        <f>BreastCancer_Data!I226</f>
        <v/>
      </c>
      <c r="I226">
        <f>BreastCancer_Data!J226</f>
        <v/>
      </c>
      <c r="J226">
        <f>BreastCancer_Data!K226</f>
        <v/>
      </c>
      <c r="K226">
        <f>BreastCancer_Data!L226</f>
        <v/>
      </c>
      <c r="L226">
        <f>BreastCancer_Data!M226</f>
        <v/>
      </c>
      <c r="M226">
        <f>BreastCancer_Data!N226</f>
        <v/>
      </c>
      <c r="N226">
        <f>BreastCancer_Data!O226</f>
        <v/>
      </c>
      <c r="O226">
        <f>0</f>
        <v/>
      </c>
      <c r="P226">
        <f>--(AND(D226&lt;=113.15,E226&lt;=0.15,F226&lt;=15.77,G226&lt;=0.18,H226&lt;=33.27))*0</f>
        <v/>
      </c>
      <c r="Q226">
        <f>--(AND(D226&lt;=113.15,E226&lt;=0.15,F226&lt;=15.77,G226&lt;=0.18,H226&gt;33.27))*0</f>
        <v/>
      </c>
      <c r="R226">
        <f>--(AND(D226&lt;=113.15,E226&lt;=0.15,F226&lt;=15.77,G226&gt;0.18))*0</f>
        <v/>
      </c>
      <c r="S226">
        <f>--(AND(D226&lt;=113.15,E226&lt;=0.15,F226&gt;15.77,H226&lt;=28.86,G226&lt;=0.14))*0</f>
        <v/>
      </c>
      <c r="T226">
        <f>--(AND(D226&lt;=113.15,E226&lt;=0.15,F226&gt;15.77,H226&lt;=28.86,G226&gt;0.14))*1</f>
        <v/>
      </c>
      <c r="U226">
        <f>--(AND(D226&lt;=113.15,E226&lt;=0.15,F226&gt;15.77,H226&gt;28.86,M226&lt;=14.54))*1</f>
        <v/>
      </c>
      <c r="V226">
        <f>--(AND(D226&lt;=113.15,E226&lt;=0.15,F226&gt;15.77,H226&gt;28.86,M226&gt;14.54))*1</f>
        <v/>
      </c>
      <c r="W226">
        <f>--(AND(D226&lt;=113.15,E226&gt;0.15,H226&lt;=23.74))*0</f>
        <v/>
      </c>
      <c r="X226">
        <f>--(AND(D226&lt;=113.15,E226&gt;0.15,H226&gt;23.74,J226&lt;=0.1))*1</f>
        <v/>
      </c>
      <c r="Y226">
        <f>--(AND(D226&lt;=113.15,E226&gt;0.15,H226&gt;23.74,J226&gt;0.1))*1</f>
        <v/>
      </c>
      <c r="Z226">
        <f>--(AND(D226&gt;113.15,K226&lt;=0.22,L226&lt;=0.02))*1</f>
        <v/>
      </c>
      <c r="AA226">
        <f>--(AND(D226&gt;113.15,K226&lt;=0.22,L226&gt;0.02))*0</f>
        <v/>
      </c>
      <c r="AB226">
        <f>--(AND(D226&gt;113.15,K226&gt;0.22,N226&lt;=810.1))*0</f>
        <v/>
      </c>
      <c r="AC226">
        <f>--(AND(D226&gt;113.15,K226&gt;0.22,N226&gt;810.1,I226&lt;=14.95))*1</f>
        <v/>
      </c>
      <c r="AD226">
        <f>--(AND(D226&gt;113.15,K226&gt;0.22,N226&gt;810.1,I226&gt;14.95))*1</f>
        <v/>
      </c>
      <c r="AE226">
        <f>SUM(P226:AD226)</f>
        <v/>
      </c>
      <c r="AF226">
        <f>IF(AE226=1,"Malignant","Benign")</f>
        <v/>
      </c>
      <c r="AG226">
        <f>--(AE226=C226)</f>
        <v/>
      </c>
    </row>
    <row r="227">
      <c r="A227">
        <f>BreastCancer_Data!A227</f>
        <v/>
      </c>
      <c r="B227">
        <f>BreastCancer_Data!B227</f>
        <v/>
      </c>
      <c r="C227">
        <f>BreastCancer_Data!D227</f>
        <v/>
      </c>
      <c r="D227">
        <f>BreastCancer_Data!E227</f>
        <v/>
      </c>
      <c r="E227">
        <f>BreastCancer_Data!F227</f>
        <v/>
      </c>
      <c r="F227">
        <f>BreastCancer_Data!G227</f>
        <v/>
      </c>
      <c r="G227">
        <f>BreastCancer_Data!H227</f>
        <v/>
      </c>
      <c r="H227">
        <f>BreastCancer_Data!I227</f>
        <v/>
      </c>
      <c r="I227">
        <f>BreastCancer_Data!J227</f>
        <v/>
      </c>
      <c r="J227">
        <f>BreastCancer_Data!K227</f>
        <v/>
      </c>
      <c r="K227">
        <f>BreastCancer_Data!L227</f>
        <v/>
      </c>
      <c r="L227">
        <f>BreastCancer_Data!M227</f>
        <v/>
      </c>
      <c r="M227">
        <f>BreastCancer_Data!N227</f>
        <v/>
      </c>
      <c r="N227">
        <f>BreastCancer_Data!O227</f>
        <v/>
      </c>
      <c r="O227">
        <f>0</f>
        <v/>
      </c>
      <c r="P227">
        <f>--(AND(D227&lt;=113.15,E227&lt;=0.15,F227&lt;=15.77,G227&lt;=0.18,H227&lt;=33.27))*0</f>
        <v/>
      </c>
      <c r="Q227">
        <f>--(AND(D227&lt;=113.15,E227&lt;=0.15,F227&lt;=15.77,G227&lt;=0.18,H227&gt;33.27))*0</f>
        <v/>
      </c>
      <c r="R227">
        <f>--(AND(D227&lt;=113.15,E227&lt;=0.15,F227&lt;=15.77,G227&gt;0.18))*0</f>
        <v/>
      </c>
      <c r="S227">
        <f>--(AND(D227&lt;=113.15,E227&lt;=0.15,F227&gt;15.77,H227&lt;=28.86,G227&lt;=0.14))*0</f>
        <v/>
      </c>
      <c r="T227">
        <f>--(AND(D227&lt;=113.15,E227&lt;=0.15,F227&gt;15.77,H227&lt;=28.86,G227&gt;0.14))*1</f>
        <v/>
      </c>
      <c r="U227">
        <f>--(AND(D227&lt;=113.15,E227&lt;=0.15,F227&gt;15.77,H227&gt;28.86,M227&lt;=14.54))*1</f>
        <v/>
      </c>
      <c r="V227">
        <f>--(AND(D227&lt;=113.15,E227&lt;=0.15,F227&gt;15.77,H227&gt;28.86,M227&gt;14.54))*1</f>
        <v/>
      </c>
      <c r="W227">
        <f>--(AND(D227&lt;=113.15,E227&gt;0.15,H227&lt;=23.74))*0</f>
        <v/>
      </c>
      <c r="X227">
        <f>--(AND(D227&lt;=113.15,E227&gt;0.15,H227&gt;23.74,J227&lt;=0.1))*1</f>
        <v/>
      </c>
      <c r="Y227">
        <f>--(AND(D227&lt;=113.15,E227&gt;0.15,H227&gt;23.74,J227&gt;0.1))*1</f>
        <v/>
      </c>
      <c r="Z227">
        <f>--(AND(D227&gt;113.15,K227&lt;=0.22,L227&lt;=0.02))*1</f>
        <v/>
      </c>
      <c r="AA227">
        <f>--(AND(D227&gt;113.15,K227&lt;=0.22,L227&gt;0.02))*0</f>
        <v/>
      </c>
      <c r="AB227">
        <f>--(AND(D227&gt;113.15,K227&gt;0.22,N227&lt;=810.1))*0</f>
        <v/>
      </c>
      <c r="AC227">
        <f>--(AND(D227&gt;113.15,K227&gt;0.22,N227&gt;810.1,I227&lt;=14.95))*1</f>
        <v/>
      </c>
      <c r="AD227">
        <f>--(AND(D227&gt;113.15,K227&gt;0.22,N227&gt;810.1,I227&gt;14.95))*1</f>
        <v/>
      </c>
      <c r="AE227">
        <f>SUM(P227:AD227)</f>
        <v/>
      </c>
      <c r="AF227">
        <f>IF(AE227=1,"Malignant","Benign")</f>
        <v/>
      </c>
      <c r="AG227">
        <f>--(AE227=C227)</f>
        <v/>
      </c>
    </row>
    <row r="228">
      <c r="A228">
        <f>BreastCancer_Data!A228</f>
        <v/>
      </c>
      <c r="B228">
        <f>BreastCancer_Data!B228</f>
        <v/>
      </c>
      <c r="C228">
        <f>BreastCancer_Data!D228</f>
        <v/>
      </c>
      <c r="D228">
        <f>BreastCancer_Data!E228</f>
        <v/>
      </c>
      <c r="E228">
        <f>BreastCancer_Data!F228</f>
        <v/>
      </c>
      <c r="F228">
        <f>BreastCancer_Data!G228</f>
        <v/>
      </c>
      <c r="G228">
        <f>BreastCancer_Data!H228</f>
        <v/>
      </c>
      <c r="H228">
        <f>BreastCancer_Data!I228</f>
        <v/>
      </c>
      <c r="I228">
        <f>BreastCancer_Data!J228</f>
        <v/>
      </c>
      <c r="J228">
        <f>BreastCancer_Data!K228</f>
        <v/>
      </c>
      <c r="K228">
        <f>BreastCancer_Data!L228</f>
        <v/>
      </c>
      <c r="L228">
        <f>BreastCancer_Data!M228</f>
        <v/>
      </c>
      <c r="M228">
        <f>BreastCancer_Data!N228</f>
        <v/>
      </c>
      <c r="N228">
        <f>BreastCancer_Data!O228</f>
        <v/>
      </c>
      <c r="O228">
        <f>0</f>
        <v/>
      </c>
      <c r="P228">
        <f>--(AND(D228&lt;=113.15,E228&lt;=0.15,F228&lt;=15.77,G228&lt;=0.18,H228&lt;=33.27))*0</f>
        <v/>
      </c>
      <c r="Q228">
        <f>--(AND(D228&lt;=113.15,E228&lt;=0.15,F228&lt;=15.77,G228&lt;=0.18,H228&gt;33.27))*0</f>
        <v/>
      </c>
      <c r="R228">
        <f>--(AND(D228&lt;=113.15,E228&lt;=0.15,F228&lt;=15.77,G228&gt;0.18))*0</f>
        <v/>
      </c>
      <c r="S228">
        <f>--(AND(D228&lt;=113.15,E228&lt;=0.15,F228&gt;15.77,H228&lt;=28.86,G228&lt;=0.14))*0</f>
        <v/>
      </c>
      <c r="T228">
        <f>--(AND(D228&lt;=113.15,E228&lt;=0.15,F228&gt;15.77,H228&lt;=28.86,G228&gt;0.14))*1</f>
        <v/>
      </c>
      <c r="U228">
        <f>--(AND(D228&lt;=113.15,E228&lt;=0.15,F228&gt;15.77,H228&gt;28.86,M228&lt;=14.54))*1</f>
        <v/>
      </c>
      <c r="V228">
        <f>--(AND(D228&lt;=113.15,E228&lt;=0.15,F228&gt;15.77,H228&gt;28.86,M228&gt;14.54))*1</f>
        <v/>
      </c>
      <c r="W228">
        <f>--(AND(D228&lt;=113.15,E228&gt;0.15,H228&lt;=23.74))*0</f>
        <v/>
      </c>
      <c r="X228">
        <f>--(AND(D228&lt;=113.15,E228&gt;0.15,H228&gt;23.74,J228&lt;=0.1))*1</f>
        <v/>
      </c>
      <c r="Y228">
        <f>--(AND(D228&lt;=113.15,E228&gt;0.15,H228&gt;23.74,J228&gt;0.1))*1</f>
        <v/>
      </c>
      <c r="Z228">
        <f>--(AND(D228&gt;113.15,K228&lt;=0.22,L228&lt;=0.02))*1</f>
        <v/>
      </c>
      <c r="AA228">
        <f>--(AND(D228&gt;113.15,K228&lt;=0.22,L228&gt;0.02))*0</f>
        <v/>
      </c>
      <c r="AB228">
        <f>--(AND(D228&gt;113.15,K228&gt;0.22,N228&lt;=810.1))*0</f>
        <v/>
      </c>
      <c r="AC228">
        <f>--(AND(D228&gt;113.15,K228&gt;0.22,N228&gt;810.1,I228&lt;=14.95))*1</f>
        <v/>
      </c>
      <c r="AD228">
        <f>--(AND(D228&gt;113.15,K228&gt;0.22,N228&gt;810.1,I228&gt;14.95))*1</f>
        <v/>
      </c>
      <c r="AE228">
        <f>SUM(P228:AD228)</f>
        <v/>
      </c>
      <c r="AF228">
        <f>IF(AE228=1,"Malignant","Benign")</f>
        <v/>
      </c>
      <c r="AG228">
        <f>--(AE228=C228)</f>
        <v/>
      </c>
    </row>
    <row r="229">
      <c r="A229">
        <f>BreastCancer_Data!A229</f>
        <v/>
      </c>
      <c r="B229">
        <f>BreastCancer_Data!B229</f>
        <v/>
      </c>
      <c r="C229">
        <f>BreastCancer_Data!D229</f>
        <v/>
      </c>
      <c r="D229">
        <f>BreastCancer_Data!E229</f>
        <v/>
      </c>
      <c r="E229">
        <f>BreastCancer_Data!F229</f>
        <v/>
      </c>
      <c r="F229">
        <f>BreastCancer_Data!G229</f>
        <v/>
      </c>
      <c r="G229">
        <f>BreastCancer_Data!H229</f>
        <v/>
      </c>
      <c r="H229">
        <f>BreastCancer_Data!I229</f>
        <v/>
      </c>
      <c r="I229">
        <f>BreastCancer_Data!J229</f>
        <v/>
      </c>
      <c r="J229">
        <f>BreastCancer_Data!K229</f>
        <v/>
      </c>
      <c r="K229">
        <f>BreastCancer_Data!L229</f>
        <v/>
      </c>
      <c r="L229">
        <f>BreastCancer_Data!M229</f>
        <v/>
      </c>
      <c r="M229">
        <f>BreastCancer_Data!N229</f>
        <v/>
      </c>
      <c r="N229">
        <f>BreastCancer_Data!O229</f>
        <v/>
      </c>
      <c r="O229">
        <f>0</f>
        <v/>
      </c>
      <c r="P229">
        <f>--(AND(D229&lt;=113.15,E229&lt;=0.15,F229&lt;=15.77,G229&lt;=0.18,H229&lt;=33.27))*0</f>
        <v/>
      </c>
      <c r="Q229">
        <f>--(AND(D229&lt;=113.15,E229&lt;=0.15,F229&lt;=15.77,G229&lt;=0.18,H229&gt;33.27))*0</f>
        <v/>
      </c>
      <c r="R229">
        <f>--(AND(D229&lt;=113.15,E229&lt;=0.15,F229&lt;=15.77,G229&gt;0.18))*0</f>
        <v/>
      </c>
      <c r="S229">
        <f>--(AND(D229&lt;=113.15,E229&lt;=0.15,F229&gt;15.77,H229&lt;=28.86,G229&lt;=0.14))*0</f>
        <v/>
      </c>
      <c r="T229">
        <f>--(AND(D229&lt;=113.15,E229&lt;=0.15,F229&gt;15.77,H229&lt;=28.86,G229&gt;0.14))*1</f>
        <v/>
      </c>
      <c r="U229">
        <f>--(AND(D229&lt;=113.15,E229&lt;=0.15,F229&gt;15.77,H229&gt;28.86,M229&lt;=14.54))*1</f>
        <v/>
      </c>
      <c r="V229">
        <f>--(AND(D229&lt;=113.15,E229&lt;=0.15,F229&gt;15.77,H229&gt;28.86,M229&gt;14.54))*1</f>
        <v/>
      </c>
      <c r="W229">
        <f>--(AND(D229&lt;=113.15,E229&gt;0.15,H229&lt;=23.74))*0</f>
        <v/>
      </c>
      <c r="X229">
        <f>--(AND(D229&lt;=113.15,E229&gt;0.15,H229&gt;23.74,J229&lt;=0.1))*1</f>
        <v/>
      </c>
      <c r="Y229">
        <f>--(AND(D229&lt;=113.15,E229&gt;0.15,H229&gt;23.74,J229&gt;0.1))*1</f>
        <v/>
      </c>
      <c r="Z229">
        <f>--(AND(D229&gt;113.15,K229&lt;=0.22,L229&lt;=0.02))*1</f>
        <v/>
      </c>
      <c r="AA229">
        <f>--(AND(D229&gt;113.15,K229&lt;=0.22,L229&gt;0.02))*0</f>
        <v/>
      </c>
      <c r="AB229">
        <f>--(AND(D229&gt;113.15,K229&gt;0.22,N229&lt;=810.1))*0</f>
        <v/>
      </c>
      <c r="AC229">
        <f>--(AND(D229&gt;113.15,K229&gt;0.22,N229&gt;810.1,I229&lt;=14.95))*1</f>
        <v/>
      </c>
      <c r="AD229">
        <f>--(AND(D229&gt;113.15,K229&gt;0.22,N229&gt;810.1,I229&gt;14.95))*1</f>
        <v/>
      </c>
      <c r="AE229">
        <f>SUM(P229:AD229)</f>
        <v/>
      </c>
      <c r="AF229">
        <f>IF(AE229=1,"Malignant","Benign")</f>
        <v/>
      </c>
      <c r="AG229">
        <f>--(AE229=C229)</f>
        <v/>
      </c>
    </row>
    <row r="230">
      <c r="A230">
        <f>BreastCancer_Data!A230</f>
        <v/>
      </c>
      <c r="B230">
        <f>BreastCancer_Data!B230</f>
        <v/>
      </c>
      <c r="C230">
        <f>BreastCancer_Data!D230</f>
        <v/>
      </c>
      <c r="D230">
        <f>BreastCancer_Data!E230</f>
        <v/>
      </c>
      <c r="E230">
        <f>BreastCancer_Data!F230</f>
        <v/>
      </c>
      <c r="F230">
        <f>BreastCancer_Data!G230</f>
        <v/>
      </c>
      <c r="G230">
        <f>BreastCancer_Data!H230</f>
        <v/>
      </c>
      <c r="H230">
        <f>BreastCancer_Data!I230</f>
        <v/>
      </c>
      <c r="I230">
        <f>BreastCancer_Data!J230</f>
        <v/>
      </c>
      <c r="J230">
        <f>BreastCancer_Data!K230</f>
        <v/>
      </c>
      <c r="K230">
        <f>BreastCancer_Data!L230</f>
        <v/>
      </c>
      <c r="L230">
        <f>BreastCancer_Data!M230</f>
        <v/>
      </c>
      <c r="M230">
        <f>BreastCancer_Data!N230</f>
        <v/>
      </c>
      <c r="N230">
        <f>BreastCancer_Data!O230</f>
        <v/>
      </c>
      <c r="O230">
        <f>0</f>
        <v/>
      </c>
      <c r="P230">
        <f>--(AND(D230&lt;=113.15,E230&lt;=0.15,F230&lt;=15.77,G230&lt;=0.18,H230&lt;=33.27))*0</f>
        <v/>
      </c>
      <c r="Q230">
        <f>--(AND(D230&lt;=113.15,E230&lt;=0.15,F230&lt;=15.77,G230&lt;=0.18,H230&gt;33.27))*0</f>
        <v/>
      </c>
      <c r="R230">
        <f>--(AND(D230&lt;=113.15,E230&lt;=0.15,F230&lt;=15.77,G230&gt;0.18))*0</f>
        <v/>
      </c>
      <c r="S230">
        <f>--(AND(D230&lt;=113.15,E230&lt;=0.15,F230&gt;15.77,H230&lt;=28.86,G230&lt;=0.14))*0</f>
        <v/>
      </c>
      <c r="T230">
        <f>--(AND(D230&lt;=113.15,E230&lt;=0.15,F230&gt;15.77,H230&lt;=28.86,G230&gt;0.14))*1</f>
        <v/>
      </c>
      <c r="U230">
        <f>--(AND(D230&lt;=113.15,E230&lt;=0.15,F230&gt;15.77,H230&gt;28.86,M230&lt;=14.54))*1</f>
        <v/>
      </c>
      <c r="V230">
        <f>--(AND(D230&lt;=113.15,E230&lt;=0.15,F230&gt;15.77,H230&gt;28.86,M230&gt;14.54))*1</f>
        <v/>
      </c>
      <c r="W230">
        <f>--(AND(D230&lt;=113.15,E230&gt;0.15,H230&lt;=23.74))*0</f>
        <v/>
      </c>
      <c r="X230">
        <f>--(AND(D230&lt;=113.15,E230&gt;0.15,H230&gt;23.74,J230&lt;=0.1))*1</f>
        <v/>
      </c>
      <c r="Y230">
        <f>--(AND(D230&lt;=113.15,E230&gt;0.15,H230&gt;23.74,J230&gt;0.1))*1</f>
        <v/>
      </c>
      <c r="Z230">
        <f>--(AND(D230&gt;113.15,K230&lt;=0.22,L230&lt;=0.02))*1</f>
        <v/>
      </c>
      <c r="AA230">
        <f>--(AND(D230&gt;113.15,K230&lt;=0.22,L230&gt;0.02))*0</f>
        <v/>
      </c>
      <c r="AB230">
        <f>--(AND(D230&gt;113.15,K230&gt;0.22,N230&lt;=810.1))*0</f>
        <v/>
      </c>
      <c r="AC230">
        <f>--(AND(D230&gt;113.15,K230&gt;0.22,N230&gt;810.1,I230&lt;=14.95))*1</f>
        <v/>
      </c>
      <c r="AD230">
        <f>--(AND(D230&gt;113.15,K230&gt;0.22,N230&gt;810.1,I230&gt;14.95))*1</f>
        <v/>
      </c>
      <c r="AE230">
        <f>SUM(P230:AD230)</f>
        <v/>
      </c>
      <c r="AF230">
        <f>IF(AE230=1,"Malignant","Benign")</f>
        <v/>
      </c>
      <c r="AG230">
        <f>--(AE230=C230)</f>
        <v/>
      </c>
    </row>
    <row r="231">
      <c r="A231">
        <f>BreastCancer_Data!A231</f>
        <v/>
      </c>
      <c r="B231">
        <f>BreastCancer_Data!B231</f>
        <v/>
      </c>
      <c r="C231">
        <f>BreastCancer_Data!D231</f>
        <v/>
      </c>
      <c r="D231">
        <f>BreastCancer_Data!E231</f>
        <v/>
      </c>
      <c r="E231">
        <f>BreastCancer_Data!F231</f>
        <v/>
      </c>
      <c r="F231">
        <f>BreastCancer_Data!G231</f>
        <v/>
      </c>
      <c r="G231">
        <f>BreastCancer_Data!H231</f>
        <v/>
      </c>
      <c r="H231">
        <f>BreastCancer_Data!I231</f>
        <v/>
      </c>
      <c r="I231">
        <f>BreastCancer_Data!J231</f>
        <v/>
      </c>
      <c r="J231">
        <f>BreastCancer_Data!K231</f>
        <v/>
      </c>
      <c r="K231">
        <f>BreastCancer_Data!L231</f>
        <v/>
      </c>
      <c r="L231">
        <f>BreastCancer_Data!M231</f>
        <v/>
      </c>
      <c r="M231">
        <f>BreastCancer_Data!N231</f>
        <v/>
      </c>
      <c r="N231">
        <f>BreastCancer_Data!O231</f>
        <v/>
      </c>
      <c r="O231">
        <f>0</f>
        <v/>
      </c>
      <c r="P231">
        <f>--(AND(D231&lt;=113.15,E231&lt;=0.15,F231&lt;=15.77,G231&lt;=0.18,H231&lt;=33.27))*0</f>
        <v/>
      </c>
      <c r="Q231">
        <f>--(AND(D231&lt;=113.15,E231&lt;=0.15,F231&lt;=15.77,G231&lt;=0.18,H231&gt;33.27))*0</f>
        <v/>
      </c>
      <c r="R231">
        <f>--(AND(D231&lt;=113.15,E231&lt;=0.15,F231&lt;=15.77,G231&gt;0.18))*0</f>
        <v/>
      </c>
      <c r="S231">
        <f>--(AND(D231&lt;=113.15,E231&lt;=0.15,F231&gt;15.77,H231&lt;=28.86,G231&lt;=0.14))*0</f>
        <v/>
      </c>
      <c r="T231">
        <f>--(AND(D231&lt;=113.15,E231&lt;=0.15,F231&gt;15.77,H231&lt;=28.86,G231&gt;0.14))*1</f>
        <v/>
      </c>
      <c r="U231">
        <f>--(AND(D231&lt;=113.15,E231&lt;=0.15,F231&gt;15.77,H231&gt;28.86,M231&lt;=14.54))*1</f>
        <v/>
      </c>
      <c r="V231">
        <f>--(AND(D231&lt;=113.15,E231&lt;=0.15,F231&gt;15.77,H231&gt;28.86,M231&gt;14.54))*1</f>
        <v/>
      </c>
      <c r="W231">
        <f>--(AND(D231&lt;=113.15,E231&gt;0.15,H231&lt;=23.74))*0</f>
        <v/>
      </c>
      <c r="X231">
        <f>--(AND(D231&lt;=113.15,E231&gt;0.15,H231&gt;23.74,J231&lt;=0.1))*1</f>
        <v/>
      </c>
      <c r="Y231">
        <f>--(AND(D231&lt;=113.15,E231&gt;0.15,H231&gt;23.74,J231&gt;0.1))*1</f>
        <v/>
      </c>
      <c r="Z231">
        <f>--(AND(D231&gt;113.15,K231&lt;=0.22,L231&lt;=0.02))*1</f>
        <v/>
      </c>
      <c r="AA231">
        <f>--(AND(D231&gt;113.15,K231&lt;=0.22,L231&gt;0.02))*0</f>
        <v/>
      </c>
      <c r="AB231">
        <f>--(AND(D231&gt;113.15,K231&gt;0.22,N231&lt;=810.1))*0</f>
        <v/>
      </c>
      <c r="AC231">
        <f>--(AND(D231&gt;113.15,K231&gt;0.22,N231&gt;810.1,I231&lt;=14.95))*1</f>
        <v/>
      </c>
      <c r="AD231">
        <f>--(AND(D231&gt;113.15,K231&gt;0.22,N231&gt;810.1,I231&gt;14.95))*1</f>
        <v/>
      </c>
      <c r="AE231">
        <f>SUM(P231:AD231)</f>
        <v/>
      </c>
      <c r="AF231">
        <f>IF(AE231=1,"Malignant","Benign")</f>
        <v/>
      </c>
      <c r="AG231">
        <f>--(AE231=C231)</f>
        <v/>
      </c>
    </row>
    <row r="232">
      <c r="A232">
        <f>BreastCancer_Data!A232</f>
        <v/>
      </c>
      <c r="B232">
        <f>BreastCancer_Data!B232</f>
        <v/>
      </c>
      <c r="C232">
        <f>BreastCancer_Data!D232</f>
        <v/>
      </c>
      <c r="D232">
        <f>BreastCancer_Data!E232</f>
        <v/>
      </c>
      <c r="E232">
        <f>BreastCancer_Data!F232</f>
        <v/>
      </c>
      <c r="F232">
        <f>BreastCancer_Data!G232</f>
        <v/>
      </c>
      <c r="G232">
        <f>BreastCancer_Data!H232</f>
        <v/>
      </c>
      <c r="H232">
        <f>BreastCancer_Data!I232</f>
        <v/>
      </c>
      <c r="I232">
        <f>BreastCancer_Data!J232</f>
        <v/>
      </c>
      <c r="J232">
        <f>BreastCancer_Data!K232</f>
        <v/>
      </c>
      <c r="K232">
        <f>BreastCancer_Data!L232</f>
        <v/>
      </c>
      <c r="L232">
        <f>BreastCancer_Data!M232</f>
        <v/>
      </c>
      <c r="M232">
        <f>BreastCancer_Data!N232</f>
        <v/>
      </c>
      <c r="N232">
        <f>BreastCancer_Data!O232</f>
        <v/>
      </c>
      <c r="O232">
        <f>0</f>
        <v/>
      </c>
      <c r="P232">
        <f>--(AND(D232&lt;=113.15,E232&lt;=0.15,F232&lt;=15.77,G232&lt;=0.18,H232&lt;=33.27))*0</f>
        <v/>
      </c>
      <c r="Q232">
        <f>--(AND(D232&lt;=113.15,E232&lt;=0.15,F232&lt;=15.77,G232&lt;=0.18,H232&gt;33.27))*0</f>
        <v/>
      </c>
      <c r="R232">
        <f>--(AND(D232&lt;=113.15,E232&lt;=0.15,F232&lt;=15.77,G232&gt;0.18))*0</f>
        <v/>
      </c>
      <c r="S232">
        <f>--(AND(D232&lt;=113.15,E232&lt;=0.15,F232&gt;15.77,H232&lt;=28.86,G232&lt;=0.14))*0</f>
        <v/>
      </c>
      <c r="T232">
        <f>--(AND(D232&lt;=113.15,E232&lt;=0.15,F232&gt;15.77,H232&lt;=28.86,G232&gt;0.14))*1</f>
        <v/>
      </c>
      <c r="U232">
        <f>--(AND(D232&lt;=113.15,E232&lt;=0.15,F232&gt;15.77,H232&gt;28.86,M232&lt;=14.54))*1</f>
        <v/>
      </c>
      <c r="V232">
        <f>--(AND(D232&lt;=113.15,E232&lt;=0.15,F232&gt;15.77,H232&gt;28.86,M232&gt;14.54))*1</f>
        <v/>
      </c>
      <c r="W232">
        <f>--(AND(D232&lt;=113.15,E232&gt;0.15,H232&lt;=23.74))*0</f>
        <v/>
      </c>
      <c r="X232">
        <f>--(AND(D232&lt;=113.15,E232&gt;0.15,H232&gt;23.74,J232&lt;=0.1))*1</f>
        <v/>
      </c>
      <c r="Y232">
        <f>--(AND(D232&lt;=113.15,E232&gt;0.15,H232&gt;23.74,J232&gt;0.1))*1</f>
        <v/>
      </c>
      <c r="Z232">
        <f>--(AND(D232&gt;113.15,K232&lt;=0.22,L232&lt;=0.02))*1</f>
        <v/>
      </c>
      <c r="AA232">
        <f>--(AND(D232&gt;113.15,K232&lt;=0.22,L232&gt;0.02))*0</f>
        <v/>
      </c>
      <c r="AB232">
        <f>--(AND(D232&gt;113.15,K232&gt;0.22,N232&lt;=810.1))*0</f>
        <v/>
      </c>
      <c r="AC232">
        <f>--(AND(D232&gt;113.15,K232&gt;0.22,N232&gt;810.1,I232&lt;=14.95))*1</f>
        <v/>
      </c>
      <c r="AD232">
        <f>--(AND(D232&gt;113.15,K232&gt;0.22,N232&gt;810.1,I232&gt;14.95))*1</f>
        <v/>
      </c>
      <c r="AE232">
        <f>SUM(P232:AD232)</f>
        <v/>
      </c>
      <c r="AF232">
        <f>IF(AE232=1,"Malignant","Benign")</f>
        <v/>
      </c>
      <c r="AG232">
        <f>--(AE232=C232)</f>
        <v/>
      </c>
    </row>
    <row r="233">
      <c r="A233">
        <f>BreastCancer_Data!A233</f>
        <v/>
      </c>
      <c r="B233">
        <f>BreastCancer_Data!B233</f>
        <v/>
      </c>
      <c r="C233">
        <f>BreastCancer_Data!D233</f>
        <v/>
      </c>
      <c r="D233">
        <f>BreastCancer_Data!E233</f>
        <v/>
      </c>
      <c r="E233">
        <f>BreastCancer_Data!F233</f>
        <v/>
      </c>
      <c r="F233">
        <f>BreastCancer_Data!G233</f>
        <v/>
      </c>
      <c r="G233">
        <f>BreastCancer_Data!H233</f>
        <v/>
      </c>
      <c r="H233">
        <f>BreastCancer_Data!I233</f>
        <v/>
      </c>
      <c r="I233">
        <f>BreastCancer_Data!J233</f>
        <v/>
      </c>
      <c r="J233">
        <f>BreastCancer_Data!K233</f>
        <v/>
      </c>
      <c r="K233">
        <f>BreastCancer_Data!L233</f>
        <v/>
      </c>
      <c r="L233">
        <f>BreastCancer_Data!M233</f>
        <v/>
      </c>
      <c r="M233">
        <f>BreastCancer_Data!N233</f>
        <v/>
      </c>
      <c r="N233">
        <f>BreastCancer_Data!O233</f>
        <v/>
      </c>
      <c r="O233">
        <f>0</f>
        <v/>
      </c>
      <c r="P233">
        <f>--(AND(D233&lt;=113.15,E233&lt;=0.15,F233&lt;=15.77,G233&lt;=0.18,H233&lt;=33.27))*0</f>
        <v/>
      </c>
      <c r="Q233">
        <f>--(AND(D233&lt;=113.15,E233&lt;=0.15,F233&lt;=15.77,G233&lt;=0.18,H233&gt;33.27))*0</f>
        <v/>
      </c>
      <c r="R233">
        <f>--(AND(D233&lt;=113.15,E233&lt;=0.15,F233&lt;=15.77,G233&gt;0.18))*0</f>
        <v/>
      </c>
      <c r="S233">
        <f>--(AND(D233&lt;=113.15,E233&lt;=0.15,F233&gt;15.77,H233&lt;=28.86,G233&lt;=0.14))*0</f>
        <v/>
      </c>
      <c r="T233">
        <f>--(AND(D233&lt;=113.15,E233&lt;=0.15,F233&gt;15.77,H233&lt;=28.86,G233&gt;0.14))*1</f>
        <v/>
      </c>
      <c r="U233">
        <f>--(AND(D233&lt;=113.15,E233&lt;=0.15,F233&gt;15.77,H233&gt;28.86,M233&lt;=14.54))*1</f>
        <v/>
      </c>
      <c r="V233">
        <f>--(AND(D233&lt;=113.15,E233&lt;=0.15,F233&gt;15.77,H233&gt;28.86,M233&gt;14.54))*1</f>
        <v/>
      </c>
      <c r="W233">
        <f>--(AND(D233&lt;=113.15,E233&gt;0.15,H233&lt;=23.74))*0</f>
        <v/>
      </c>
      <c r="X233">
        <f>--(AND(D233&lt;=113.15,E233&gt;0.15,H233&gt;23.74,J233&lt;=0.1))*1</f>
        <v/>
      </c>
      <c r="Y233">
        <f>--(AND(D233&lt;=113.15,E233&gt;0.15,H233&gt;23.74,J233&gt;0.1))*1</f>
        <v/>
      </c>
      <c r="Z233">
        <f>--(AND(D233&gt;113.15,K233&lt;=0.22,L233&lt;=0.02))*1</f>
        <v/>
      </c>
      <c r="AA233">
        <f>--(AND(D233&gt;113.15,K233&lt;=0.22,L233&gt;0.02))*0</f>
        <v/>
      </c>
      <c r="AB233">
        <f>--(AND(D233&gt;113.15,K233&gt;0.22,N233&lt;=810.1))*0</f>
        <v/>
      </c>
      <c r="AC233">
        <f>--(AND(D233&gt;113.15,K233&gt;0.22,N233&gt;810.1,I233&lt;=14.95))*1</f>
        <v/>
      </c>
      <c r="AD233">
        <f>--(AND(D233&gt;113.15,K233&gt;0.22,N233&gt;810.1,I233&gt;14.95))*1</f>
        <v/>
      </c>
      <c r="AE233">
        <f>SUM(P233:AD233)</f>
        <v/>
      </c>
      <c r="AF233">
        <f>IF(AE233=1,"Malignant","Benign")</f>
        <v/>
      </c>
      <c r="AG233">
        <f>--(AE233=C233)</f>
        <v/>
      </c>
    </row>
    <row r="234">
      <c r="A234">
        <f>BreastCancer_Data!A234</f>
        <v/>
      </c>
      <c r="B234">
        <f>BreastCancer_Data!B234</f>
        <v/>
      </c>
      <c r="C234">
        <f>BreastCancer_Data!D234</f>
        <v/>
      </c>
      <c r="D234">
        <f>BreastCancer_Data!E234</f>
        <v/>
      </c>
      <c r="E234">
        <f>BreastCancer_Data!F234</f>
        <v/>
      </c>
      <c r="F234">
        <f>BreastCancer_Data!G234</f>
        <v/>
      </c>
      <c r="G234">
        <f>BreastCancer_Data!H234</f>
        <v/>
      </c>
      <c r="H234">
        <f>BreastCancer_Data!I234</f>
        <v/>
      </c>
      <c r="I234">
        <f>BreastCancer_Data!J234</f>
        <v/>
      </c>
      <c r="J234">
        <f>BreastCancer_Data!K234</f>
        <v/>
      </c>
      <c r="K234">
        <f>BreastCancer_Data!L234</f>
        <v/>
      </c>
      <c r="L234">
        <f>BreastCancer_Data!M234</f>
        <v/>
      </c>
      <c r="M234">
        <f>BreastCancer_Data!N234</f>
        <v/>
      </c>
      <c r="N234">
        <f>BreastCancer_Data!O234</f>
        <v/>
      </c>
      <c r="O234">
        <f>0</f>
        <v/>
      </c>
      <c r="P234">
        <f>--(AND(D234&lt;=113.15,E234&lt;=0.15,F234&lt;=15.77,G234&lt;=0.18,H234&lt;=33.27))*0</f>
        <v/>
      </c>
      <c r="Q234">
        <f>--(AND(D234&lt;=113.15,E234&lt;=0.15,F234&lt;=15.77,G234&lt;=0.18,H234&gt;33.27))*0</f>
        <v/>
      </c>
      <c r="R234">
        <f>--(AND(D234&lt;=113.15,E234&lt;=0.15,F234&lt;=15.77,G234&gt;0.18))*0</f>
        <v/>
      </c>
      <c r="S234">
        <f>--(AND(D234&lt;=113.15,E234&lt;=0.15,F234&gt;15.77,H234&lt;=28.86,G234&lt;=0.14))*0</f>
        <v/>
      </c>
      <c r="T234">
        <f>--(AND(D234&lt;=113.15,E234&lt;=0.15,F234&gt;15.77,H234&lt;=28.86,G234&gt;0.14))*1</f>
        <v/>
      </c>
      <c r="U234">
        <f>--(AND(D234&lt;=113.15,E234&lt;=0.15,F234&gt;15.77,H234&gt;28.86,M234&lt;=14.54))*1</f>
        <v/>
      </c>
      <c r="V234">
        <f>--(AND(D234&lt;=113.15,E234&lt;=0.15,F234&gt;15.77,H234&gt;28.86,M234&gt;14.54))*1</f>
        <v/>
      </c>
      <c r="W234">
        <f>--(AND(D234&lt;=113.15,E234&gt;0.15,H234&lt;=23.74))*0</f>
        <v/>
      </c>
      <c r="X234">
        <f>--(AND(D234&lt;=113.15,E234&gt;0.15,H234&gt;23.74,J234&lt;=0.1))*1</f>
        <v/>
      </c>
      <c r="Y234">
        <f>--(AND(D234&lt;=113.15,E234&gt;0.15,H234&gt;23.74,J234&gt;0.1))*1</f>
        <v/>
      </c>
      <c r="Z234">
        <f>--(AND(D234&gt;113.15,K234&lt;=0.22,L234&lt;=0.02))*1</f>
        <v/>
      </c>
      <c r="AA234">
        <f>--(AND(D234&gt;113.15,K234&lt;=0.22,L234&gt;0.02))*0</f>
        <v/>
      </c>
      <c r="AB234">
        <f>--(AND(D234&gt;113.15,K234&gt;0.22,N234&lt;=810.1))*0</f>
        <v/>
      </c>
      <c r="AC234">
        <f>--(AND(D234&gt;113.15,K234&gt;0.22,N234&gt;810.1,I234&lt;=14.95))*1</f>
        <v/>
      </c>
      <c r="AD234">
        <f>--(AND(D234&gt;113.15,K234&gt;0.22,N234&gt;810.1,I234&gt;14.95))*1</f>
        <v/>
      </c>
      <c r="AE234">
        <f>SUM(P234:AD234)</f>
        <v/>
      </c>
      <c r="AF234">
        <f>IF(AE234=1,"Malignant","Benign")</f>
        <v/>
      </c>
      <c r="AG234">
        <f>--(AE234=C234)</f>
        <v/>
      </c>
    </row>
    <row r="235">
      <c r="A235">
        <f>BreastCancer_Data!A235</f>
        <v/>
      </c>
      <c r="B235">
        <f>BreastCancer_Data!B235</f>
        <v/>
      </c>
      <c r="C235">
        <f>BreastCancer_Data!D235</f>
        <v/>
      </c>
      <c r="D235">
        <f>BreastCancer_Data!E235</f>
        <v/>
      </c>
      <c r="E235">
        <f>BreastCancer_Data!F235</f>
        <v/>
      </c>
      <c r="F235">
        <f>BreastCancer_Data!G235</f>
        <v/>
      </c>
      <c r="G235">
        <f>BreastCancer_Data!H235</f>
        <v/>
      </c>
      <c r="H235">
        <f>BreastCancer_Data!I235</f>
        <v/>
      </c>
      <c r="I235">
        <f>BreastCancer_Data!J235</f>
        <v/>
      </c>
      <c r="J235">
        <f>BreastCancer_Data!K235</f>
        <v/>
      </c>
      <c r="K235">
        <f>BreastCancer_Data!L235</f>
        <v/>
      </c>
      <c r="L235">
        <f>BreastCancer_Data!M235</f>
        <v/>
      </c>
      <c r="M235">
        <f>BreastCancer_Data!N235</f>
        <v/>
      </c>
      <c r="N235">
        <f>BreastCancer_Data!O235</f>
        <v/>
      </c>
      <c r="O235">
        <f>0</f>
        <v/>
      </c>
      <c r="P235">
        <f>--(AND(D235&lt;=113.15,E235&lt;=0.15,F235&lt;=15.77,G235&lt;=0.18,H235&lt;=33.27))*0</f>
        <v/>
      </c>
      <c r="Q235">
        <f>--(AND(D235&lt;=113.15,E235&lt;=0.15,F235&lt;=15.77,G235&lt;=0.18,H235&gt;33.27))*0</f>
        <v/>
      </c>
      <c r="R235">
        <f>--(AND(D235&lt;=113.15,E235&lt;=0.15,F235&lt;=15.77,G235&gt;0.18))*0</f>
        <v/>
      </c>
      <c r="S235">
        <f>--(AND(D235&lt;=113.15,E235&lt;=0.15,F235&gt;15.77,H235&lt;=28.86,G235&lt;=0.14))*0</f>
        <v/>
      </c>
      <c r="T235">
        <f>--(AND(D235&lt;=113.15,E235&lt;=0.15,F235&gt;15.77,H235&lt;=28.86,G235&gt;0.14))*1</f>
        <v/>
      </c>
      <c r="U235">
        <f>--(AND(D235&lt;=113.15,E235&lt;=0.15,F235&gt;15.77,H235&gt;28.86,M235&lt;=14.54))*1</f>
        <v/>
      </c>
      <c r="V235">
        <f>--(AND(D235&lt;=113.15,E235&lt;=0.15,F235&gt;15.77,H235&gt;28.86,M235&gt;14.54))*1</f>
        <v/>
      </c>
      <c r="W235">
        <f>--(AND(D235&lt;=113.15,E235&gt;0.15,H235&lt;=23.74))*0</f>
        <v/>
      </c>
      <c r="X235">
        <f>--(AND(D235&lt;=113.15,E235&gt;0.15,H235&gt;23.74,J235&lt;=0.1))*1</f>
        <v/>
      </c>
      <c r="Y235">
        <f>--(AND(D235&lt;=113.15,E235&gt;0.15,H235&gt;23.74,J235&gt;0.1))*1</f>
        <v/>
      </c>
      <c r="Z235">
        <f>--(AND(D235&gt;113.15,K235&lt;=0.22,L235&lt;=0.02))*1</f>
        <v/>
      </c>
      <c r="AA235">
        <f>--(AND(D235&gt;113.15,K235&lt;=0.22,L235&gt;0.02))*0</f>
        <v/>
      </c>
      <c r="AB235">
        <f>--(AND(D235&gt;113.15,K235&gt;0.22,N235&lt;=810.1))*0</f>
        <v/>
      </c>
      <c r="AC235">
        <f>--(AND(D235&gt;113.15,K235&gt;0.22,N235&gt;810.1,I235&lt;=14.95))*1</f>
        <v/>
      </c>
      <c r="AD235">
        <f>--(AND(D235&gt;113.15,K235&gt;0.22,N235&gt;810.1,I235&gt;14.95))*1</f>
        <v/>
      </c>
      <c r="AE235">
        <f>SUM(P235:AD235)</f>
        <v/>
      </c>
      <c r="AF235">
        <f>IF(AE235=1,"Malignant","Benign")</f>
        <v/>
      </c>
      <c r="AG235">
        <f>--(AE235=C235)</f>
        <v/>
      </c>
    </row>
    <row r="236">
      <c r="A236">
        <f>BreastCancer_Data!A236</f>
        <v/>
      </c>
      <c r="B236">
        <f>BreastCancer_Data!B236</f>
        <v/>
      </c>
      <c r="C236">
        <f>BreastCancer_Data!D236</f>
        <v/>
      </c>
      <c r="D236">
        <f>BreastCancer_Data!E236</f>
        <v/>
      </c>
      <c r="E236">
        <f>BreastCancer_Data!F236</f>
        <v/>
      </c>
      <c r="F236">
        <f>BreastCancer_Data!G236</f>
        <v/>
      </c>
      <c r="G236">
        <f>BreastCancer_Data!H236</f>
        <v/>
      </c>
      <c r="H236">
        <f>BreastCancer_Data!I236</f>
        <v/>
      </c>
      <c r="I236">
        <f>BreastCancer_Data!J236</f>
        <v/>
      </c>
      <c r="J236">
        <f>BreastCancer_Data!K236</f>
        <v/>
      </c>
      <c r="K236">
        <f>BreastCancer_Data!L236</f>
        <v/>
      </c>
      <c r="L236">
        <f>BreastCancer_Data!M236</f>
        <v/>
      </c>
      <c r="M236">
        <f>BreastCancer_Data!N236</f>
        <v/>
      </c>
      <c r="N236">
        <f>BreastCancer_Data!O236</f>
        <v/>
      </c>
      <c r="O236">
        <f>0</f>
        <v/>
      </c>
      <c r="P236">
        <f>--(AND(D236&lt;=113.15,E236&lt;=0.15,F236&lt;=15.77,G236&lt;=0.18,H236&lt;=33.27))*0</f>
        <v/>
      </c>
      <c r="Q236">
        <f>--(AND(D236&lt;=113.15,E236&lt;=0.15,F236&lt;=15.77,G236&lt;=0.18,H236&gt;33.27))*0</f>
        <v/>
      </c>
      <c r="R236">
        <f>--(AND(D236&lt;=113.15,E236&lt;=0.15,F236&lt;=15.77,G236&gt;0.18))*0</f>
        <v/>
      </c>
      <c r="S236">
        <f>--(AND(D236&lt;=113.15,E236&lt;=0.15,F236&gt;15.77,H236&lt;=28.86,G236&lt;=0.14))*0</f>
        <v/>
      </c>
      <c r="T236">
        <f>--(AND(D236&lt;=113.15,E236&lt;=0.15,F236&gt;15.77,H236&lt;=28.86,G236&gt;0.14))*1</f>
        <v/>
      </c>
      <c r="U236">
        <f>--(AND(D236&lt;=113.15,E236&lt;=0.15,F236&gt;15.77,H236&gt;28.86,M236&lt;=14.54))*1</f>
        <v/>
      </c>
      <c r="V236">
        <f>--(AND(D236&lt;=113.15,E236&lt;=0.15,F236&gt;15.77,H236&gt;28.86,M236&gt;14.54))*1</f>
        <v/>
      </c>
      <c r="W236">
        <f>--(AND(D236&lt;=113.15,E236&gt;0.15,H236&lt;=23.74))*0</f>
        <v/>
      </c>
      <c r="X236">
        <f>--(AND(D236&lt;=113.15,E236&gt;0.15,H236&gt;23.74,J236&lt;=0.1))*1</f>
        <v/>
      </c>
      <c r="Y236">
        <f>--(AND(D236&lt;=113.15,E236&gt;0.15,H236&gt;23.74,J236&gt;0.1))*1</f>
        <v/>
      </c>
      <c r="Z236">
        <f>--(AND(D236&gt;113.15,K236&lt;=0.22,L236&lt;=0.02))*1</f>
        <v/>
      </c>
      <c r="AA236">
        <f>--(AND(D236&gt;113.15,K236&lt;=0.22,L236&gt;0.02))*0</f>
        <v/>
      </c>
      <c r="AB236">
        <f>--(AND(D236&gt;113.15,K236&gt;0.22,N236&lt;=810.1))*0</f>
        <v/>
      </c>
      <c r="AC236">
        <f>--(AND(D236&gt;113.15,K236&gt;0.22,N236&gt;810.1,I236&lt;=14.95))*1</f>
        <v/>
      </c>
      <c r="AD236">
        <f>--(AND(D236&gt;113.15,K236&gt;0.22,N236&gt;810.1,I236&gt;14.95))*1</f>
        <v/>
      </c>
      <c r="AE236">
        <f>SUM(P236:AD236)</f>
        <v/>
      </c>
      <c r="AF236">
        <f>IF(AE236=1,"Malignant","Benign")</f>
        <v/>
      </c>
      <c r="AG236">
        <f>--(AE236=C236)</f>
        <v/>
      </c>
    </row>
    <row r="237">
      <c r="A237">
        <f>BreastCancer_Data!A237</f>
        <v/>
      </c>
      <c r="B237">
        <f>BreastCancer_Data!B237</f>
        <v/>
      </c>
      <c r="C237">
        <f>BreastCancer_Data!D237</f>
        <v/>
      </c>
      <c r="D237">
        <f>BreastCancer_Data!E237</f>
        <v/>
      </c>
      <c r="E237">
        <f>BreastCancer_Data!F237</f>
        <v/>
      </c>
      <c r="F237">
        <f>BreastCancer_Data!G237</f>
        <v/>
      </c>
      <c r="G237">
        <f>BreastCancer_Data!H237</f>
        <v/>
      </c>
      <c r="H237">
        <f>BreastCancer_Data!I237</f>
        <v/>
      </c>
      <c r="I237">
        <f>BreastCancer_Data!J237</f>
        <v/>
      </c>
      <c r="J237">
        <f>BreastCancer_Data!K237</f>
        <v/>
      </c>
      <c r="K237">
        <f>BreastCancer_Data!L237</f>
        <v/>
      </c>
      <c r="L237">
        <f>BreastCancer_Data!M237</f>
        <v/>
      </c>
      <c r="M237">
        <f>BreastCancer_Data!N237</f>
        <v/>
      </c>
      <c r="N237">
        <f>BreastCancer_Data!O237</f>
        <v/>
      </c>
      <c r="O237">
        <f>0</f>
        <v/>
      </c>
      <c r="P237">
        <f>--(AND(D237&lt;=113.15,E237&lt;=0.15,F237&lt;=15.77,G237&lt;=0.18,H237&lt;=33.27))*0</f>
        <v/>
      </c>
      <c r="Q237">
        <f>--(AND(D237&lt;=113.15,E237&lt;=0.15,F237&lt;=15.77,G237&lt;=0.18,H237&gt;33.27))*0</f>
        <v/>
      </c>
      <c r="R237">
        <f>--(AND(D237&lt;=113.15,E237&lt;=0.15,F237&lt;=15.77,G237&gt;0.18))*0</f>
        <v/>
      </c>
      <c r="S237">
        <f>--(AND(D237&lt;=113.15,E237&lt;=0.15,F237&gt;15.77,H237&lt;=28.86,G237&lt;=0.14))*0</f>
        <v/>
      </c>
      <c r="T237">
        <f>--(AND(D237&lt;=113.15,E237&lt;=0.15,F237&gt;15.77,H237&lt;=28.86,G237&gt;0.14))*1</f>
        <v/>
      </c>
      <c r="U237">
        <f>--(AND(D237&lt;=113.15,E237&lt;=0.15,F237&gt;15.77,H237&gt;28.86,M237&lt;=14.54))*1</f>
        <v/>
      </c>
      <c r="V237">
        <f>--(AND(D237&lt;=113.15,E237&lt;=0.15,F237&gt;15.77,H237&gt;28.86,M237&gt;14.54))*1</f>
        <v/>
      </c>
      <c r="W237">
        <f>--(AND(D237&lt;=113.15,E237&gt;0.15,H237&lt;=23.74))*0</f>
        <v/>
      </c>
      <c r="X237">
        <f>--(AND(D237&lt;=113.15,E237&gt;0.15,H237&gt;23.74,J237&lt;=0.1))*1</f>
        <v/>
      </c>
      <c r="Y237">
        <f>--(AND(D237&lt;=113.15,E237&gt;0.15,H237&gt;23.74,J237&gt;0.1))*1</f>
        <v/>
      </c>
      <c r="Z237">
        <f>--(AND(D237&gt;113.15,K237&lt;=0.22,L237&lt;=0.02))*1</f>
        <v/>
      </c>
      <c r="AA237">
        <f>--(AND(D237&gt;113.15,K237&lt;=0.22,L237&gt;0.02))*0</f>
        <v/>
      </c>
      <c r="AB237">
        <f>--(AND(D237&gt;113.15,K237&gt;0.22,N237&lt;=810.1))*0</f>
        <v/>
      </c>
      <c r="AC237">
        <f>--(AND(D237&gt;113.15,K237&gt;0.22,N237&gt;810.1,I237&lt;=14.95))*1</f>
        <v/>
      </c>
      <c r="AD237">
        <f>--(AND(D237&gt;113.15,K237&gt;0.22,N237&gt;810.1,I237&gt;14.95))*1</f>
        <v/>
      </c>
      <c r="AE237">
        <f>SUM(P237:AD237)</f>
        <v/>
      </c>
      <c r="AF237">
        <f>IF(AE237=1,"Malignant","Benign")</f>
        <v/>
      </c>
      <c r="AG237">
        <f>--(AE237=C237)</f>
        <v/>
      </c>
    </row>
    <row r="238">
      <c r="A238">
        <f>BreastCancer_Data!A238</f>
        <v/>
      </c>
      <c r="B238">
        <f>BreastCancer_Data!B238</f>
        <v/>
      </c>
      <c r="C238">
        <f>BreastCancer_Data!D238</f>
        <v/>
      </c>
      <c r="D238">
        <f>BreastCancer_Data!E238</f>
        <v/>
      </c>
      <c r="E238">
        <f>BreastCancer_Data!F238</f>
        <v/>
      </c>
      <c r="F238">
        <f>BreastCancer_Data!G238</f>
        <v/>
      </c>
      <c r="G238">
        <f>BreastCancer_Data!H238</f>
        <v/>
      </c>
      <c r="H238">
        <f>BreastCancer_Data!I238</f>
        <v/>
      </c>
      <c r="I238">
        <f>BreastCancer_Data!J238</f>
        <v/>
      </c>
      <c r="J238">
        <f>BreastCancer_Data!K238</f>
        <v/>
      </c>
      <c r="K238">
        <f>BreastCancer_Data!L238</f>
        <v/>
      </c>
      <c r="L238">
        <f>BreastCancer_Data!M238</f>
        <v/>
      </c>
      <c r="M238">
        <f>BreastCancer_Data!N238</f>
        <v/>
      </c>
      <c r="N238">
        <f>BreastCancer_Data!O238</f>
        <v/>
      </c>
      <c r="O238">
        <f>0</f>
        <v/>
      </c>
      <c r="P238">
        <f>--(AND(D238&lt;=113.15,E238&lt;=0.15,F238&lt;=15.77,G238&lt;=0.18,H238&lt;=33.27))*0</f>
        <v/>
      </c>
      <c r="Q238">
        <f>--(AND(D238&lt;=113.15,E238&lt;=0.15,F238&lt;=15.77,G238&lt;=0.18,H238&gt;33.27))*0</f>
        <v/>
      </c>
      <c r="R238">
        <f>--(AND(D238&lt;=113.15,E238&lt;=0.15,F238&lt;=15.77,G238&gt;0.18))*0</f>
        <v/>
      </c>
      <c r="S238">
        <f>--(AND(D238&lt;=113.15,E238&lt;=0.15,F238&gt;15.77,H238&lt;=28.86,G238&lt;=0.14))*0</f>
        <v/>
      </c>
      <c r="T238">
        <f>--(AND(D238&lt;=113.15,E238&lt;=0.15,F238&gt;15.77,H238&lt;=28.86,G238&gt;0.14))*1</f>
        <v/>
      </c>
      <c r="U238">
        <f>--(AND(D238&lt;=113.15,E238&lt;=0.15,F238&gt;15.77,H238&gt;28.86,M238&lt;=14.54))*1</f>
        <v/>
      </c>
      <c r="V238">
        <f>--(AND(D238&lt;=113.15,E238&lt;=0.15,F238&gt;15.77,H238&gt;28.86,M238&gt;14.54))*1</f>
        <v/>
      </c>
      <c r="W238">
        <f>--(AND(D238&lt;=113.15,E238&gt;0.15,H238&lt;=23.74))*0</f>
        <v/>
      </c>
      <c r="X238">
        <f>--(AND(D238&lt;=113.15,E238&gt;0.15,H238&gt;23.74,J238&lt;=0.1))*1</f>
        <v/>
      </c>
      <c r="Y238">
        <f>--(AND(D238&lt;=113.15,E238&gt;0.15,H238&gt;23.74,J238&gt;0.1))*1</f>
        <v/>
      </c>
      <c r="Z238">
        <f>--(AND(D238&gt;113.15,K238&lt;=0.22,L238&lt;=0.02))*1</f>
        <v/>
      </c>
      <c r="AA238">
        <f>--(AND(D238&gt;113.15,K238&lt;=0.22,L238&gt;0.02))*0</f>
        <v/>
      </c>
      <c r="AB238">
        <f>--(AND(D238&gt;113.15,K238&gt;0.22,N238&lt;=810.1))*0</f>
        <v/>
      </c>
      <c r="AC238">
        <f>--(AND(D238&gt;113.15,K238&gt;0.22,N238&gt;810.1,I238&lt;=14.95))*1</f>
        <v/>
      </c>
      <c r="AD238">
        <f>--(AND(D238&gt;113.15,K238&gt;0.22,N238&gt;810.1,I238&gt;14.95))*1</f>
        <v/>
      </c>
      <c r="AE238">
        <f>SUM(P238:AD238)</f>
        <v/>
      </c>
      <c r="AF238">
        <f>IF(AE238=1,"Malignant","Benign")</f>
        <v/>
      </c>
      <c r="AG238">
        <f>--(AE238=C238)</f>
        <v/>
      </c>
    </row>
    <row r="239">
      <c r="A239">
        <f>BreastCancer_Data!A239</f>
        <v/>
      </c>
      <c r="B239">
        <f>BreastCancer_Data!B239</f>
        <v/>
      </c>
      <c r="C239">
        <f>BreastCancer_Data!D239</f>
        <v/>
      </c>
      <c r="D239">
        <f>BreastCancer_Data!E239</f>
        <v/>
      </c>
      <c r="E239">
        <f>BreastCancer_Data!F239</f>
        <v/>
      </c>
      <c r="F239">
        <f>BreastCancer_Data!G239</f>
        <v/>
      </c>
      <c r="G239">
        <f>BreastCancer_Data!H239</f>
        <v/>
      </c>
      <c r="H239">
        <f>BreastCancer_Data!I239</f>
        <v/>
      </c>
      <c r="I239">
        <f>BreastCancer_Data!J239</f>
        <v/>
      </c>
      <c r="J239">
        <f>BreastCancer_Data!K239</f>
        <v/>
      </c>
      <c r="K239">
        <f>BreastCancer_Data!L239</f>
        <v/>
      </c>
      <c r="L239">
        <f>BreastCancer_Data!M239</f>
        <v/>
      </c>
      <c r="M239">
        <f>BreastCancer_Data!N239</f>
        <v/>
      </c>
      <c r="N239">
        <f>BreastCancer_Data!O239</f>
        <v/>
      </c>
      <c r="O239">
        <f>0</f>
        <v/>
      </c>
      <c r="P239">
        <f>--(AND(D239&lt;=113.15,E239&lt;=0.15,F239&lt;=15.77,G239&lt;=0.18,H239&lt;=33.27))*0</f>
        <v/>
      </c>
      <c r="Q239">
        <f>--(AND(D239&lt;=113.15,E239&lt;=0.15,F239&lt;=15.77,G239&lt;=0.18,H239&gt;33.27))*0</f>
        <v/>
      </c>
      <c r="R239">
        <f>--(AND(D239&lt;=113.15,E239&lt;=0.15,F239&lt;=15.77,G239&gt;0.18))*0</f>
        <v/>
      </c>
      <c r="S239">
        <f>--(AND(D239&lt;=113.15,E239&lt;=0.15,F239&gt;15.77,H239&lt;=28.86,G239&lt;=0.14))*0</f>
        <v/>
      </c>
      <c r="T239">
        <f>--(AND(D239&lt;=113.15,E239&lt;=0.15,F239&gt;15.77,H239&lt;=28.86,G239&gt;0.14))*1</f>
        <v/>
      </c>
      <c r="U239">
        <f>--(AND(D239&lt;=113.15,E239&lt;=0.15,F239&gt;15.77,H239&gt;28.86,M239&lt;=14.54))*1</f>
        <v/>
      </c>
      <c r="V239">
        <f>--(AND(D239&lt;=113.15,E239&lt;=0.15,F239&gt;15.77,H239&gt;28.86,M239&gt;14.54))*1</f>
        <v/>
      </c>
      <c r="W239">
        <f>--(AND(D239&lt;=113.15,E239&gt;0.15,H239&lt;=23.74))*0</f>
        <v/>
      </c>
      <c r="X239">
        <f>--(AND(D239&lt;=113.15,E239&gt;0.15,H239&gt;23.74,J239&lt;=0.1))*1</f>
        <v/>
      </c>
      <c r="Y239">
        <f>--(AND(D239&lt;=113.15,E239&gt;0.15,H239&gt;23.74,J239&gt;0.1))*1</f>
        <v/>
      </c>
      <c r="Z239">
        <f>--(AND(D239&gt;113.15,K239&lt;=0.22,L239&lt;=0.02))*1</f>
        <v/>
      </c>
      <c r="AA239">
        <f>--(AND(D239&gt;113.15,K239&lt;=0.22,L239&gt;0.02))*0</f>
        <v/>
      </c>
      <c r="AB239">
        <f>--(AND(D239&gt;113.15,K239&gt;0.22,N239&lt;=810.1))*0</f>
        <v/>
      </c>
      <c r="AC239">
        <f>--(AND(D239&gt;113.15,K239&gt;0.22,N239&gt;810.1,I239&lt;=14.95))*1</f>
        <v/>
      </c>
      <c r="AD239">
        <f>--(AND(D239&gt;113.15,K239&gt;0.22,N239&gt;810.1,I239&gt;14.95))*1</f>
        <v/>
      </c>
      <c r="AE239">
        <f>SUM(P239:AD239)</f>
        <v/>
      </c>
      <c r="AF239">
        <f>IF(AE239=1,"Malignant","Benign")</f>
        <v/>
      </c>
      <c r="AG239">
        <f>--(AE239=C239)</f>
        <v/>
      </c>
    </row>
    <row r="240">
      <c r="A240">
        <f>BreastCancer_Data!A240</f>
        <v/>
      </c>
      <c r="B240">
        <f>BreastCancer_Data!B240</f>
        <v/>
      </c>
      <c r="C240">
        <f>BreastCancer_Data!D240</f>
        <v/>
      </c>
      <c r="D240">
        <f>BreastCancer_Data!E240</f>
        <v/>
      </c>
      <c r="E240">
        <f>BreastCancer_Data!F240</f>
        <v/>
      </c>
      <c r="F240">
        <f>BreastCancer_Data!G240</f>
        <v/>
      </c>
      <c r="G240">
        <f>BreastCancer_Data!H240</f>
        <v/>
      </c>
      <c r="H240">
        <f>BreastCancer_Data!I240</f>
        <v/>
      </c>
      <c r="I240">
        <f>BreastCancer_Data!J240</f>
        <v/>
      </c>
      <c r="J240">
        <f>BreastCancer_Data!K240</f>
        <v/>
      </c>
      <c r="K240">
        <f>BreastCancer_Data!L240</f>
        <v/>
      </c>
      <c r="L240">
        <f>BreastCancer_Data!M240</f>
        <v/>
      </c>
      <c r="M240">
        <f>BreastCancer_Data!N240</f>
        <v/>
      </c>
      <c r="N240">
        <f>BreastCancer_Data!O240</f>
        <v/>
      </c>
      <c r="O240">
        <f>0</f>
        <v/>
      </c>
      <c r="P240">
        <f>--(AND(D240&lt;=113.15,E240&lt;=0.15,F240&lt;=15.77,G240&lt;=0.18,H240&lt;=33.27))*0</f>
        <v/>
      </c>
      <c r="Q240">
        <f>--(AND(D240&lt;=113.15,E240&lt;=0.15,F240&lt;=15.77,G240&lt;=0.18,H240&gt;33.27))*0</f>
        <v/>
      </c>
      <c r="R240">
        <f>--(AND(D240&lt;=113.15,E240&lt;=0.15,F240&lt;=15.77,G240&gt;0.18))*0</f>
        <v/>
      </c>
      <c r="S240">
        <f>--(AND(D240&lt;=113.15,E240&lt;=0.15,F240&gt;15.77,H240&lt;=28.86,G240&lt;=0.14))*0</f>
        <v/>
      </c>
      <c r="T240">
        <f>--(AND(D240&lt;=113.15,E240&lt;=0.15,F240&gt;15.77,H240&lt;=28.86,G240&gt;0.14))*1</f>
        <v/>
      </c>
      <c r="U240">
        <f>--(AND(D240&lt;=113.15,E240&lt;=0.15,F240&gt;15.77,H240&gt;28.86,M240&lt;=14.54))*1</f>
        <v/>
      </c>
      <c r="V240">
        <f>--(AND(D240&lt;=113.15,E240&lt;=0.15,F240&gt;15.77,H240&gt;28.86,M240&gt;14.54))*1</f>
        <v/>
      </c>
      <c r="W240">
        <f>--(AND(D240&lt;=113.15,E240&gt;0.15,H240&lt;=23.74))*0</f>
        <v/>
      </c>
      <c r="X240">
        <f>--(AND(D240&lt;=113.15,E240&gt;0.15,H240&gt;23.74,J240&lt;=0.1))*1</f>
        <v/>
      </c>
      <c r="Y240">
        <f>--(AND(D240&lt;=113.15,E240&gt;0.15,H240&gt;23.74,J240&gt;0.1))*1</f>
        <v/>
      </c>
      <c r="Z240">
        <f>--(AND(D240&gt;113.15,K240&lt;=0.22,L240&lt;=0.02))*1</f>
        <v/>
      </c>
      <c r="AA240">
        <f>--(AND(D240&gt;113.15,K240&lt;=0.22,L240&gt;0.02))*0</f>
        <v/>
      </c>
      <c r="AB240">
        <f>--(AND(D240&gt;113.15,K240&gt;0.22,N240&lt;=810.1))*0</f>
        <v/>
      </c>
      <c r="AC240">
        <f>--(AND(D240&gt;113.15,K240&gt;0.22,N240&gt;810.1,I240&lt;=14.95))*1</f>
        <v/>
      </c>
      <c r="AD240">
        <f>--(AND(D240&gt;113.15,K240&gt;0.22,N240&gt;810.1,I240&gt;14.95))*1</f>
        <v/>
      </c>
      <c r="AE240">
        <f>SUM(P240:AD240)</f>
        <v/>
      </c>
      <c r="AF240">
        <f>IF(AE240=1,"Malignant","Benign")</f>
        <v/>
      </c>
      <c r="AG240">
        <f>--(AE240=C240)</f>
        <v/>
      </c>
    </row>
    <row r="241">
      <c r="A241">
        <f>BreastCancer_Data!A241</f>
        <v/>
      </c>
      <c r="B241">
        <f>BreastCancer_Data!B241</f>
        <v/>
      </c>
      <c r="C241">
        <f>BreastCancer_Data!D241</f>
        <v/>
      </c>
      <c r="D241">
        <f>BreastCancer_Data!E241</f>
        <v/>
      </c>
      <c r="E241">
        <f>BreastCancer_Data!F241</f>
        <v/>
      </c>
      <c r="F241">
        <f>BreastCancer_Data!G241</f>
        <v/>
      </c>
      <c r="G241">
        <f>BreastCancer_Data!H241</f>
        <v/>
      </c>
      <c r="H241">
        <f>BreastCancer_Data!I241</f>
        <v/>
      </c>
      <c r="I241">
        <f>BreastCancer_Data!J241</f>
        <v/>
      </c>
      <c r="J241">
        <f>BreastCancer_Data!K241</f>
        <v/>
      </c>
      <c r="K241">
        <f>BreastCancer_Data!L241</f>
        <v/>
      </c>
      <c r="L241">
        <f>BreastCancer_Data!M241</f>
        <v/>
      </c>
      <c r="M241">
        <f>BreastCancer_Data!N241</f>
        <v/>
      </c>
      <c r="N241">
        <f>BreastCancer_Data!O241</f>
        <v/>
      </c>
      <c r="O241">
        <f>0</f>
        <v/>
      </c>
      <c r="P241">
        <f>--(AND(D241&lt;=113.15,E241&lt;=0.15,F241&lt;=15.77,G241&lt;=0.18,H241&lt;=33.27))*0</f>
        <v/>
      </c>
      <c r="Q241">
        <f>--(AND(D241&lt;=113.15,E241&lt;=0.15,F241&lt;=15.77,G241&lt;=0.18,H241&gt;33.27))*0</f>
        <v/>
      </c>
      <c r="R241">
        <f>--(AND(D241&lt;=113.15,E241&lt;=0.15,F241&lt;=15.77,G241&gt;0.18))*0</f>
        <v/>
      </c>
      <c r="S241">
        <f>--(AND(D241&lt;=113.15,E241&lt;=0.15,F241&gt;15.77,H241&lt;=28.86,G241&lt;=0.14))*0</f>
        <v/>
      </c>
      <c r="T241">
        <f>--(AND(D241&lt;=113.15,E241&lt;=0.15,F241&gt;15.77,H241&lt;=28.86,G241&gt;0.14))*1</f>
        <v/>
      </c>
      <c r="U241">
        <f>--(AND(D241&lt;=113.15,E241&lt;=0.15,F241&gt;15.77,H241&gt;28.86,M241&lt;=14.54))*1</f>
        <v/>
      </c>
      <c r="V241">
        <f>--(AND(D241&lt;=113.15,E241&lt;=0.15,F241&gt;15.77,H241&gt;28.86,M241&gt;14.54))*1</f>
        <v/>
      </c>
      <c r="W241">
        <f>--(AND(D241&lt;=113.15,E241&gt;0.15,H241&lt;=23.74))*0</f>
        <v/>
      </c>
      <c r="X241">
        <f>--(AND(D241&lt;=113.15,E241&gt;0.15,H241&gt;23.74,J241&lt;=0.1))*1</f>
        <v/>
      </c>
      <c r="Y241">
        <f>--(AND(D241&lt;=113.15,E241&gt;0.15,H241&gt;23.74,J241&gt;0.1))*1</f>
        <v/>
      </c>
      <c r="Z241">
        <f>--(AND(D241&gt;113.15,K241&lt;=0.22,L241&lt;=0.02))*1</f>
        <v/>
      </c>
      <c r="AA241">
        <f>--(AND(D241&gt;113.15,K241&lt;=0.22,L241&gt;0.02))*0</f>
        <v/>
      </c>
      <c r="AB241">
        <f>--(AND(D241&gt;113.15,K241&gt;0.22,N241&lt;=810.1))*0</f>
        <v/>
      </c>
      <c r="AC241">
        <f>--(AND(D241&gt;113.15,K241&gt;0.22,N241&gt;810.1,I241&lt;=14.95))*1</f>
        <v/>
      </c>
      <c r="AD241">
        <f>--(AND(D241&gt;113.15,K241&gt;0.22,N241&gt;810.1,I241&gt;14.95))*1</f>
        <v/>
      </c>
      <c r="AE241">
        <f>SUM(P241:AD241)</f>
        <v/>
      </c>
      <c r="AF241">
        <f>IF(AE241=1,"Malignant","Benign")</f>
        <v/>
      </c>
      <c r="AG241">
        <f>--(AE241=C241)</f>
        <v/>
      </c>
    </row>
    <row r="242">
      <c r="A242">
        <f>BreastCancer_Data!A242</f>
        <v/>
      </c>
      <c r="B242">
        <f>BreastCancer_Data!B242</f>
        <v/>
      </c>
      <c r="C242">
        <f>BreastCancer_Data!D242</f>
        <v/>
      </c>
      <c r="D242">
        <f>BreastCancer_Data!E242</f>
        <v/>
      </c>
      <c r="E242">
        <f>BreastCancer_Data!F242</f>
        <v/>
      </c>
      <c r="F242">
        <f>BreastCancer_Data!G242</f>
        <v/>
      </c>
      <c r="G242">
        <f>BreastCancer_Data!H242</f>
        <v/>
      </c>
      <c r="H242">
        <f>BreastCancer_Data!I242</f>
        <v/>
      </c>
      <c r="I242">
        <f>BreastCancer_Data!J242</f>
        <v/>
      </c>
      <c r="J242">
        <f>BreastCancer_Data!K242</f>
        <v/>
      </c>
      <c r="K242">
        <f>BreastCancer_Data!L242</f>
        <v/>
      </c>
      <c r="L242">
        <f>BreastCancer_Data!M242</f>
        <v/>
      </c>
      <c r="M242">
        <f>BreastCancer_Data!N242</f>
        <v/>
      </c>
      <c r="N242">
        <f>BreastCancer_Data!O242</f>
        <v/>
      </c>
      <c r="O242">
        <f>0</f>
        <v/>
      </c>
      <c r="P242">
        <f>--(AND(D242&lt;=113.15,E242&lt;=0.15,F242&lt;=15.77,G242&lt;=0.18,H242&lt;=33.27))*0</f>
        <v/>
      </c>
      <c r="Q242">
        <f>--(AND(D242&lt;=113.15,E242&lt;=0.15,F242&lt;=15.77,G242&lt;=0.18,H242&gt;33.27))*0</f>
        <v/>
      </c>
      <c r="R242">
        <f>--(AND(D242&lt;=113.15,E242&lt;=0.15,F242&lt;=15.77,G242&gt;0.18))*0</f>
        <v/>
      </c>
      <c r="S242">
        <f>--(AND(D242&lt;=113.15,E242&lt;=0.15,F242&gt;15.77,H242&lt;=28.86,G242&lt;=0.14))*0</f>
        <v/>
      </c>
      <c r="T242">
        <f>--(AND(D242&lt;=113.15,E242&lt;=0.15,F242&gt;15.77,H242&lt;=28.86,G242&gt;0.14))*1</f>
        <v/>
      </c>
      <c r="U242">
        <f>--(AND(D242&lt;=113.15,E242&lt;=0.15,F242&gt;15.77,H242&gt;28.86,M242&lt;=14.54))*1</f>
        <v/>
      </c>
      <c r="V242">
        <f>--(AND(D242&lt;=113.15,E242&lt;=0.15,F242&gt;15.77,H242&gt;28.86,M242&gt;14.54))*1</f>
        <v/>
      </c>
      <c r="W242">
        <f>--(AND(D242&lt;=113.15,E242&gt;0.15,H242&lt;=23.74))*0</f>
        <v/>
      </c>
      <c r="X242">
        <f>--(AND(D242&lt;=113.15,E242&gt;0.15,H242&gt;23.74,J242&lt;=0.1))*1</f>
        <v/>
      </c>
      <c r="Y242">
        <f>--(AND(D242&lt;=113.15,E242&gt;0.15,H242&gt;23.74,J242&gt;0.1))*1</f>
        <v/>
      </c>
      <c r="Z242">
        <f>--(AND(D242&gt;113.15,K242&lt;=0.22,L242&lt;=0.02))*1</f>
        <v/>
      </c>
      <c r="AA242">
        <f>--(AND(D242&gt;113.15,K242&lt;=0.22,L242&gt;0.02))*0</f>
        <v/>
      </c>
      <c r="AB242">
        <f>--(AND(D242&gt;113.15,K242&gt;0.22,N242&lt;=810.1))*0</f>
        <v/>
      </c>
      <c r="AC242">
        <f>--(AND(D242&gt;113.15,K242&gt;0.22,N242&gt;810.1,I242&lt;=14.95))*1</f>
        <v/>
      </c>
      <c r="AD242">
        <f>--(AND(D242&gt;113.15,K242&gt;0.22,N242&gt;810.1,I242&gt;14.95))*1</f>
        <v/>
      </c>
      <c r="AE242">
        <f>SUM(P242:AD242)</f>
        <v/>
      </c>
      <c r="AF242">
        <f>IF(AE242=1,"Malignant","Benign")</f>
        <v/>
      </c>
      <c r="AG242">
        <f>--(AE242=C242)</f>
        <v/>
      </c>
    </row>
    <row r="243">
      <c r="A243">
        <f>BreastCancer_Data!A243</f>
        <v/>
      </c>
      <c r="B243">
        <f>BreastCancer_Data!B243</f>
        <v/>
      </c>
      <c r="C243">
        <f>BreastCancer_Data!D243</f>
        <v/>
      </c>
      <c r="D243">
        <f>BreastCancer_Data!E243</f>
        <v/>
      </c>
      <c r="E243">
        <f>BreastCancer_Data!F243</f>
        <v/>
      </c>
      <c r="F243">
        <f>BreastCancer_Data!G243</f>
        <v/>
      </c>
      <c r="G243">
        <f>BreastCancer_Data!H243</f>
        <v/>
      </c>
      <c r="H243">
        <f>BreastCancer_Data!I243</f>
        <v/>
      </c>
      <c r="I243">
        <f>BreastCancer_Data!J243</f>
        <v/>
      </c>
      <c r="J243">
        <f>BreastCancer_Data!K243</f>
        <v/>
      </c>
      <c r="K243">
        <f>BreastCancer_Data!L243</f>
        <v/>
      </c>
      <c r="L243">
        <f>BreastCancer_Data!M243</f>
        <v/>
      </c>
      <c r="M243">
        <f>BreastCancer_Data!N243</f>
        <v/>
      </c>
      <c r="N243">
        <f>BreastCancer_Data!O243</f>
        <v/>
      </c>
      <c r="O243">
        <f>0</f>
        <v/>
      </c>
      <c r="P243">
        <f>--(AND(D243&lt;=113.15,E243&lt;=0.15,F243&lt;=15.77,G243&lt;=0.18,H243&lt;=33.27))*0</f>
        <v/>
      </c>
      <c r="Q243">
        <f>--(AND(D243&lt;=113.15,E243&lt;=0.15,F243&lt;=15.77,G243&lt;=0.18,H243&gt;33.27))*0</f>
        <v/>
      </c>
      <c r="R243">
        <f>--(AND(D243&lt;=113.15,E243&lt;=0.15,F243&lt;=15.77,G243&gt;0.18))*0</f>
        <v/>
      </c>
      <c r="S243">
        <f>--(AND(D243&lt;=113.15,E243&lt;=0.15,F243&gt;15.77,H243&lt;=28.86,G243&lt;=0.14))*0</f>
        <v/>
      </c>
      <c r="T243">
        <f>--(AND(D243&lt;=113.15,E243&lt;=0.15,F243&gt;15.77,H243&lt;=28.86,G243&gt;0.14))*1</f>
        <v/>
      </c>
      <c r="U243">
        <f>--(AND(D243&lt;=113.15,E243&lt;=0.15,F243&gt;15.77,H243&gt;28.86,M243&lt;=14.54))*1</f>
        <v/>
      </c>
      <c r="V243">
        <f>--(AND(D243&lt;=113.15,E243&lt;=0.15,F243&gt;15.77,H243&gt;28.86,M243&gt;14.54))*1</f>
        <v/>
      </c>
      <c r="W243">
        <f>--(AND(D243&lt;=113.15,E243&gt;0.15,H243&lt;=23.74))*0</f>
        <v/>
      </c>
      <c r="X243">
        <f>--(AND(D243&lt;=113.15,E243&gt;0.15,H243&gt;23.74,J243&lt;=0.1))*1</f>
        <v/>
      </c>
      <c r="Y243">
        <f>--(AND(D243&lt;=113.15,E243&gt;0.15,H243&gt;23.74,J243&gt;0.1))*1</f>
        <v/>
      </c>
      <c r="Z243">
        <f>--(AND(D243&gt;113.15,K243&lt;=0.22,L243&lt;=0.02))*1</f>
        <v/>
      </c>
      <c r="AA243">
        <f>--(AND(D243&gt;113.15,K243&lt;=0.22,L243&gt;0.02))*0</f>
        <v/>
      </c>
      <c r="AB243">
        <f>--(AND(D243&gt;113.15,K243&gt;0.22,N243&lt;=810.1))*0</f>
        <v/>
      </c>
      <c r="AC243">
        <f>--(AND(D243&gt;113.15,K243&gt;0.22,N243&gt;810.1,I243&lt;=14.95))*1</f>
        <v/>
      </c>
      <c r="AD243">
        <f>--(AND(D243&gt;113.15,K243&gt;0.22,N243&gt;810.1,I243&gt;14.95))*1</f>
        <v/>
      </c>
      <c r="AE243">
        <f>SUM(P243:AD243)</f>
        <v/>
      </c>
      <c r="AF243">
        <f>IF(AE243=1,"Malignant","Benign")</f>
        <v/>
      </c>
      <c r="AG243">
        <f>--(AE243=C243)</f>
        <v/>
      </c>
    </row>
    <row r="244">
      <c r="A244">
        <f>BreastCancer_Data!A244</f>
        <v/>
      </c>
      <c r="B244">
        <f>BreastCancer_Data!B244</f>
        <v/>
      </c>
      <c r="C244">
        <f>BreastCancer_Data!D244</f>
        <v/>
      </c>
      <c r="D244">
        <f>BreastCancer_Data!E244</f>
        <v/>
      </c>
      <c r="E244">
        <f>BreastCancer_Data!F244</f>
        <v/>
      </c>
      <c r="F244">
        <f>BreastCancer_Data!G244</f>
        <v/>
      </c>
      <c r="G244">
        <f>BreastCancer_Data!H244</f>
        <v/>
      </c>
      <c r="H244">
        <f>BreastCancer_Data!I244</f>
        <v/>
      </c>
      <c r="I244">
        <f>BreastCancer_Data!J244</f>
        <v/>
      </c>
      <c r="J244">
        <f>BreastCancer_Data!K244</f>
        <v/>
      </c>
      <c r="K244">
        <f>BreastCancer_Data!L244</f>
        <v/>
      </c>
      <c r="L244">
        <f>BreastCancer_Data!M244</f>
        <v/>
      </c>
      <c r="M244">
        <f>BreastCancer_Data!N244</f>
        <v/>
      </c>
      <c r="N244">
        <f>BreastCancer_Data!O244</f>
        <v/>
      </c>
      <c r="O244">
        <f>0</f>
        <v/>
      </c>
      <c r="P244">
        <f>--(AND(D244&lt;=113.15,E244&lt;=0.15,F244&lt;=15.77,G244&lt;=0.18,H244&lt;=33.27))*0</f>
        <v/>
      </c>
      <c r="Q244">
        <f>--(AND(D244&lt;=113.15,E244&lt;=0.15,F244&lt;=15.77,G244&lt;=0.18,H244&gt;33.27))*0</f>
        <v/>
      </c>
      <c r="R244">
        <f>--(AND(D244&lt;=113.15,E244&lt;=0.15,F244&lt;=15.77,G244&gt;0.18))*0</f>
        <v/>
      </c>
      <c r="S244">
        <f>--(AND(D244&lt;=113.15,E244&lt;=0.15,F244&gt;15.77,H244&lt;=28.86,G244&lt;=0.14))*0</f>
        <v/>
      </c>
      <c r="T244">
        <f>--(AND(D244&lt;=113.15,E244&lt;=0.15,F244&gt;15.77,H244&lt;=28.86,G244&gt;0.14))*1</f>
        <v/>
      </c>
      <c r="U244">
        <f>--(AND(D244&lt;=113.15,E244&lt;=0.15,F244&gt;15.77,H244&gt;28.86,M244&lt;=14.54))*1</f>
        <v/>
      </c>
      <c r="V244">
        <f>--(AND(D244&lt;=113.15,E244&lt;=0.15,F244&gt;15.77,H244&gt;28.86,M244&gt;14.54))*1</f>
        <v/>
      </c>
      <c r="W244">
        <f>--(AND(D244&lt;=113.15,E244&gt;0.15,H244&lt;=23.74))*0</f>
        <v/>
      </c>
      <c r="X244">
        <f>--(AND(D244&lt;=113.15,E244&gt;0.15,H244&gt;23.74,J244&lt;=0.1))*1</f>
        <v/>
      </c>
      <c r="Y244">
        <f>--(AND(D244&lt;=113.15,E244&gt;0.15,H244&gt;23.74,J244&gt;0.1))*1</f>
        <v/>
      </c>
      <c r="Z244">
        <f>--(AND(D244&gt;113.15,K244&lt;=0.22,L244&lt;=0.02))*1</f>
        <v/>
      </c>
      <c r="AA244">
        <f>--(AND(D244&gt;113.15,K244&lt;=0.22,L244&gt;0.02))*0</f>
        <v/>
      </c>
      <c r="AB244">
        <f>--(AND(D244&gt;113.15,K244&gt;0.22,N244&lt;=810.1))*0</f>
        <v/>
      </c>
      <c r="AC244">
        <f>--(AND(D244&gt;113.15,K244&gt;0.22,N244&gt;810.1,I244&lt;=14.95))*1</f>
        <v/>
      </c>
      <c r="AD244">
        <f>--(AND(D244&gt;113.15,K244&gt;0.22,N244&gt;810.1,I244&gt;14.95))*1</f>
        <v/>
      </c>
      <c r="AE244">
        <f>SUM(P244:AD244)</f>
        <v/>
      </c>
      <c r="AF244">
        <f>IF(AE244=1,"Malignant","Benign")</f>
        <v/>
      </c>
      <c r="AG244">
        <f>--(AE244=C244)</f>
        <v/>
      </c>
    </row>
    <row r="245">
      <c r="A245">
        <f>BreastCancer_Data!A245</f>
        <v/>
      </c>
      <c r="B245">
        <f>BreastCancer_Data!B245</f>
        <v/>
      </c>
      <c r="C245">
        <f>BreastCancer_Data!D245</f>
        <v/>
      </c>
      <c r="D245">
        <f>BreastCancer_Data!E245</f>
        <v/>
      </c>
      <c r="E245">
        <f>BreastCancer_Data!F245</f>
        <v/>
      </c>
      <c r="F245">
        <f>BreastCancer_Data!G245</f>
        <v/>
      </c>
      <c r="G245">
        <f>BreastCancer_Data!H245</f>
        <v/>
      </c>
      <c r="H245">
        <f>BreastCancer_Data!I245</f>
        <v/>
      </c>
      <c r="I245">
        <f>BreastCancer_Data!J245</f>
        <v/>
      </c>
      <c r="J245">
        <f>BreastCancer_Data!K245</f>
        <v/>
      </c>
      <c r="K245">
        <f>BreastCancer_Data!L245</f>
        <v/>
      </c>
      <c r="L245">
        <f>BreastCancer_Data!M245</f>
        <v/>
      </c>
      <c r="M245">
        <f>BreastCancer_Data!N245</f>
        <v/>
      </c>
      <c r="N245">
        <f>BreastCancer_Data!O245</f>
        <v/>
      </c>
      <c r="O245">
        <f>0</f>
        <v/>
      </c>
      <c r="P245">
        <f>--(AND(D245&lt;=113.15,E245&lt;=0.15,F245&lt;=15.77,G245&lt;=0.18,H245&lt;=33.27))*0</f>
        <v/>
      </c>
      <c r="Q245">
        <f>--(AND(D245&lt;=113.15,E245&lt;=0.15,F245&lt;=15.77,G245&lt;=0.18,H245&gt;33.27))*0</f>
        <v/>
      </c>
      <c r="R245">
        <f>--(AND(D245&lt;=113.15,E245&lt;=0.15,F245&lt;=15.77,G245&gt;0.18))*0</f>
        <v/>
      </c>
      <c r="S245">
        <f>--(AND(D245&lt;=113.15,E245&lt;=0.15,F245&gt;15.77,H245&lt;=28.86,G245&lt;=0.14))*0</f>
        <v/>
      </c>
      <c r="T245">
        <f>--(AND(D245&lt;=113.15,E245&lt;=0.15,F245&gt;15.77,H245&lt;=28.86,G245&gt;0.14))*1</f>
        <v/>
      </c>
      <c r="U245">
        <f>--(AND(D245&lt;=113.15,E245&lt;=0.15,F245&gt;15.77,H245&gt;28.86,M245&lt;=14.54))*1</f>
        <v/>
      </c>
      <c r="V245">
        <f>--(AND(D245&lt;=113.15,E245&lt;=0.15,F245&gt;15.77,H245&gt;28.86,M245&gt;14.54))*1</f>
        <v/>
      </c>
      <c r="W245">
        <f>--(AND(D245&lt;=113.15,E245&gt;0.15,H245&lt;=23.74))*0</f>
        <v/>
      </c>
      <c r="X245">
        <f>--(AND(D245&lt;=113.15,E245&gt;0.15,H245&gt;23.74,J245&lt;=0.1))*1</f>
        <v/>
      </c>
      <c r="Y245">
        <f>--(AND(D245&lt;=113.15,E245&gt;0.15,H245&gt;23.74,J245&gt;0.1))*1</f>
        <v/>
      </c>
      <c r="Z245">
        <f>--(AND(D245&gt;113.15,K245&lt;=0.22,L245&lt;=0.02))*1</f>
        <v/>
      </c>
      <c r="AA245">
        <f>--(AND(D245&gt;113.15,K245&lt;=0.22,L245&gt;0.02))*0</f>
        <v/>
      </c>
      <c r="AB245">
        <f>--(AND(D245&gt;113.15,K245&gt;0.22,N245&lt;=810.1))*0</f>
        <v/>
      </c>
      <c r="AC245">
        <f>--(AND(D245&gt;113.15,K245&gt;0.22,N245&gt;810.1,I245&lt;=14.95))*1</f>
        <v/>
      </c>
      <c r="AD245">
        <f>--(AND(D245&gt;113.15,K245&gt;0.22,N245&gt;810.1,I245&gt;14.95))*1</f>
        <v/>
      </c>
      <c r="AE245">
        <f>SUM(P245:AD245)</f>
        <v/>
      </c>
      <c r="AF245">
        <f>IF(AE245=1,"Malignant","Benign")</f>
        <v/>
      </c>
      <c r="AG245">
        <f>--(AE245=C245)</f>
        <v/>
      </c>
    </row>
    <row r="246">
      <c r="A246">
        <f>BreastCancer_Data!A246</f>
        <v/>
      </c>
      <c r="B246">
        <f>BreastCancer_Data!B246</f>
        <v/>
      </c>
      <c r="C246">
        <f>BreastCancer_Data!D246</f>
        <v/>
      </c>
      <c r="D246">
        <f>BreastCancer_Data!E246</f>
        <v/>
      </c>
      <c r="E246">
        <f>BreastCancer_Data!F246</f>
        <v/>
      </c>
      <c r="F246">
        <f>BreastCancer_Data!G246</f>
        <v/>
      </c>
      <c r="G246">
        <f>BreastCancer_Data!H246</f>
        <v/>
      </c>
      <c r="H246">
        <f>BreastCancer_Data!I246</f>
        <v/>
      </c>
      <c r="I246">
        <f>BreastCancer_Data!J246</f>
        <v/>
      </c>
      <c r="J246">
        <f>BreastCancer_Data!K246</f>
        <v/>
      </c>
      <c r="K246">
        <f>BreastCancer_Data!L246</f>
        <v/>
      </c>
      <c r="L246">
        <f>BreastCancer_Data!M246</f>
        <v/>
      </c>
      <c r="M246">
        <f>BreastCancer_Data!N246</f>
        <v/>
      </c>
      <c r="N246">
        <f>BreastCancer_Data!O246</f>
        <v/>
      </c>
      <c r="O246">
        <f>0</f>
        <v/>
      </c>
      <c r="P246">
        <f>--(AND(D246&lt;=113.15,E246&lt;=0.15,F246&lt;=15.77,G246&lt;=0.18,H246&lt;=33.27))*0</f>
        <v/>
      </c>
      <c r="Q246">
        <f>--(AND(D246&lt;=113.15,E246&lt;=0.15,F246&lt;=15.77,G246&lt;=0.18,H246&gt;33.27))*0</f>
        <v/>
      </c>
      <c r="R246">
        <f>--(AND(D246&lt;=113.15,E246&lt;=0.15,F246&lt;=15.77,G246&gt;0.18))*0</f>
        <v/>
      </c>
      <c r="S246">
        <f>--(AND(D246&lt;=113.15,E246&lt;=0.15,F246&gt;15.77,H246&lt;=28.86,G246&lt;=0.14))*0</f>
        <v/>
      </c>
      <c r="T246">
        <f>--(AND(D246&lt;=113.15,E246&lt;=0.15,F246&gt;15.77,H246&lt;=28.86,G246&gt;0.14))*1</f>
        <v/>
      </c>
      <c r="U246">
        <f>--(AND(D246&lt;=113.15,E246&lt;=0.15,F246&gt;15.77,H246&gt;28.86,M246&lt;=14.54))*1</f>
        <v/>
      </c>
      <c r="V246">
        <f>--(AND(D246&lt;=113.15,E246&lt;=0.15,F246&gt;15.77,H246&gt;28.86,M246&gt;14.54))*1</f>
        <v/>
      </c>
      <c r="W246">
        <f>--(AND(D246&lt;=113.15,E246&gt;0.15,H246&lt;=23.74))*0</f>
        <v/>
      </c>
      <c r="X246">
        <f>--(AND(D246&lt;=113.15,E246&gt;0.15,H246&gt;23.74,J246&lt;=0.1))*1</f>
        <v/>
      </c>
      <c r="Y246">
        <f>--(AND(D246&lt;=113.15,E246&gt;0.15,H246&gt;23.74,J246&gt;0.1))*1</f>
        <v/>
      </c>
      <c r="Z246">
        <f>--(AND(D246&gt;113.15,K246&lt;=0.22,L246&lt;=0.02))*1</f>
        <v/>
      </c>
      <c r="AA246">
        <f>--(AND(D246&gt;113.15,K246&lt;=0.22,L246&gt;0.02))*0</f>
        <v/>
      </c>
      <c r="AB246">
        <f>--(AND(D246&gt;113.15,K246&gt;0.22,N246&lt;=810.1))*0</f>
        <v/>
      </c>
      <c r="AC246">
        <f>--(AND(D246&gt;113.15,K246&gt;0.22,N246&gt;810.1,I246&lt;=14.95))*1</f>
        <v/>
      </c>
      <c r="AD246">
        <f>--(AND(D246&gt;113.15,K246&gt;0.22,N246&gt;810.1,I246&gt;14.95))*1</f>
        <v/>
      </c>
      <c r="AE246">
        <f>SUM(P246:AD246)</f>
        <v/>
      </c>
      <c r="AF246">
        <f>IF(AE246=1,"Malignant","Benign")</f>
        <v/>
      </c>
      <c r="AG246">
        <f>--(AE246=C246)</f>
        <v/>
      </c>
    </row>
    <row r="247">
      <c r="A247">
        <f>BreastCancer_Data!A247</f>
        <v/>
      </c>
      <c r="B247">
        <f>BreastCancer_Data!B247</f>
        <v/>
      </c>
      <c r="C247">
        <f>BreastCancer_Data!D247</f>
        <v/>
      </c>
      <c r="D247">
        <f>BreastCancer_Data!E247</f>
        <v/>
      </c>
      <c r="E247">
        <f>BreastCancer_Data!F247</f>
        <v/>
      </c>
      <c r="F247">
        <f>BreastCancer_Data!G247</f>
        <v/>
      </c>
      <c r="G247">
        <f>BreastCancer_Data!H247</f>
        <v/>
      </c>
      <c r="H247">
        <f>BreastCancer_Data!I247</f>
        <v/>
      </c>
      <c r="I247">
        <f>BreastCancer_Data!J247</f>
        <v/>
      </c>
      <c r="J247">
        <f>BreastCancer_Data!K247</f>
        <v/>
      </c>
      <c r="K247">
        <f>BreastCancer_Data!L247</f>
        <v/>
      </c>
      <c r="L247">
        <f>BreastCancer_Data!M247</f>
        <v/>
      </c>
      <c r="M247">
        <f>BreastCancer_Data!N247</f>
        <v/>
      </c>
      <c r="N247">
        <f>BreastCancer_Data!O247</f>
        <v/>
      </c>
      <c r="O247">
        <f>0</f>
        <v/>
      </c>
      <c r="P247">
        <f>--(AND(D247&lt;=113.15,E247&lt;=0.15,F247&lt;=15.77,G247&lt;=0.18,H247&lt;=33.27))*0</f>
        <v/>
      </c>
      <c r="Q247">
        <f>--(AND(D247&lt;=113.15,E247&lt;=0.15,F247&lt;=15.77,G247&lt;=0.18,H247&gt;33.27))*0</f>
        <v/>
      </c>
      <c r="R247">
        <f>--(AND(D247&lt;=113.15,E247&lt;=0.15,F247&lt;=15.77,G247&gt;0.18))*0</f>
        <v/>
      </c>
      <c r="S247">
        <f>--(AND(D247&lt;=113.15,E247&lt;=0.15,F247&gt;15.77,H247&lt;=28.86,G247&lt;=0.14))*0</f>
        <v/>
      </c>
      <c r="T247">
        <f>--(AND(D247&lt;=113.15,E247&lt;=0.15,F247&gt;15.77,H247&lt;=28.86,G247&gt;0.14))*1</f>
        <v/>
      </c>
      <c r="U247">
        <f>--(AND(D247&lt;=113.15,E247&lt;=0.15,F247&gt;15.77,H247&gt;28.86,M247&lt;=14.54))*1</f>
        <v/>
      </c>
      <c r="V247">
        <f>--(AND(D247&lt;=113.15,E247&lt;=0.15,F247&gt;15.77,H247&gt;28.86,M247&gt;14.54))*1</f>
        <v/>
      </c>
      <c r="W247">
        <f>--(AND(D247&lt;=113.15,E247&gt;0.15,H247&lt;=23.74))*0</f>
        <v/>
      </c>
      <c r="X247">
        <f>--(AND(D247&lt;=113.15,E247&gt;0.15,H247&gt;23.74,J247&lt;=0.1))*1</f>
        <v/>
      </c>
      <c r="Y247">
        <f>--(AND(D247&lt;=113.15,E247&gt;0.15,H247&gt;23.74,J247&gt;0.1))*1</f>
        <v/>
      </c>
      <c r="Z247">
        <f>--(AND(D247&gt;113.15,K247&lt;=0.22,L247&lt;=0.02))*1</f>
        <v/>
      </c>
      <c r="AA247">
        <f>--(AND(D247&gt;113.15,K247&lt;=0.22,L247&gt;0.02))*0</f>
        <v/>
      </c>
      <c r="AB247">
        <f>--(AND(D247&gt;113.15,K247&gt;0.22,N247&lt;=810.1))*0</f>
        <v/>
      </c>
      <c r="AC247">
        <f>--(AND(D247&gt;113.15,K247&gt;0.22,N247&gt;810.1,I247&lt;=14.95))*1</f>
        <v/>
      </c>
      <c r="AD247">
        <f>--(AND(D247&gt;113.15,K247&gt;0.22,N247&gt;810.1,I247&gt;14.95))*1</f>
        <v/>
      </c>
      <c r="AE247">
        <f>SUM(P247:AD247)</f>
        <v/>
      </c>
      <c r="AF247">
        <f>IF(AE247=1,"Malignant","Benign")</f>
        <v/>
      </c>
      <c r="AG247">
        <f>--(AE247=C247)</f>
        <v/>
      </c>
    </row>
    <row r="248">
      <c r="A248">
        <f>BreastCancer_Data!A248</f>
        <v/>
      </c>
      <c r="B248">
        <f>BreastCancer_Data!B248</f>
        <v/>
      </c>
      <c r="C248">
        <f>BreastCancer_Data!D248</f>
        <v/>
      </c>
      <c r="D248">
        <f>BreastCancer_Data!E248</f>
        <v/>
      </c>
      <c r="E248">
        <f>BreastCancer_Data!F248</f>
        <v/>
      </c>
      <c r="F248">
        <f>BreastCancer_Data!G248</f>
        <v/>
      </c>
      <c r="G248">
        <f>BreastCancer_Data!H248</f>
        <v/>
      </c>
      <c r="H248">
        <f>BreastCancer_Data!I248</f>
        <v/>
      </c>
      <c r="I248">
        <f>BreastCancer_Data!J248</f>
        <v/>
      </c>
      <c r="J248">
        <f>BreastCancer_Data!K248</f>
        <v/>
      </c>
      <c r="K248">
        <f>BreastCancer_Data!L248</f>
        <v/>
      </c>
      <c r="L248">
        <f>BreastCancer_Data!M248</f>
        <v/>
      </c>
      <c r="M248">
        <f>BreastCancer_Data!N248</f>
        <v/>
      </c>
      <c r="N248">
        <f>BreastCancer_Data!O248</f>
        <v/>
      </c>
      <c r="O248">
        <f>0</f>
        <v/>
      </c>
      <c r="P248">
        <f>--(AND(D248&lt;=113.15,E248&lt;=0.15,F248&lt;=15.77,G248&lt;=0.18,H248&lt;=33.27))*0</f>
        <v/>
      </c>
      <c r="Q248">
        <f>--(AND(D248&lt;=113.15,E248&lt;=0.15,F248&lt;=15.77,G248&lt;=0.18,H248&gt;33.27))*0</f>
        <v/>
      </c>
      <c r="R248">
        <f>--(AND(D248&lt;=113.15,E248&lt;=0.15,F248&lt;=15.77,G248&gt;0.18))*0</f>
        <v/>
      </c>
      <c r="S248">
        <f>--(AND(D248&lt;=113.15,E248&lt;=0.15,F248&gt;15.77,H248&lt;=28.86,G248&lt;=0.14))*0</f>
        <v/>
      </c>
      <c r="T248">
        <f>--(AND(D248&lt;=113.15,E248&lt;=0.15,F248&gt;15.77,H248&lt;=28.86,G248&gt;0.14))*1</f>
        <v/>
      </c>
      <c r="U248">
        <f>--(AND(D248&lt;=113.15,E248&lt;=0.15,F248&gt;15.77,H248&gt;28.86,M248&lt;=14.54))*1</f>
        <v/>
      </c>
      <c r="V248">
        <f>--(AND(D248&lt;=113.15,E248&lt;=0.15,F248&gt;15.77,H248&gt;28.86,M248&gt;14.54))*1</f>
        <v/>
      </c>
      <c r="W248">
        <f>--(AND(D248&lt;=113.15,E248&gt;0.15,H248&lt;=23.74))*0</f>
        <v/>
      </c>
      <c r="X248">
        <f>--(AND(D248&lt;=113.15,E248&gt;0.15,H248&gt;23.74,J248&lt;=0.1))*1</f>
        <v/>
      </c>
      <c r="Y248">
        <f>--(AND(D248&lt;=113.15,E248&gt;0.15,H248&gt;23.74,J248&gt;0.1))*1</f>
        <v/>
      </c>
      <c r="Z248">
        <f>--(AND(D248&gt;113.15,K248&lt;=0.22,L248&lt;=0.02))*1</f>
        <v/>
      </c>
      <c r="AA248">
        <f>--(AND(D248&gt;113.15,K248&lt;=0.22,L248&gt;0.02))*0</f>
        <v/>
      </c>
      <c r="AB248">
        <f>--(AND(D248&gt;113.15,K248&gt;0.22,N248&lt;=810.1))*0</f>
        <v/>
      </c>
      <c r="AC248">
        <f>--(AND(D248&gt;113.15,K248&gt;0.22,N248&gt;810.1,I248&lt;=14.95))*1</f>
        <v/>
      </c>
      <c r="AD248">
        <f>--(AND(D248&gt;113.15,K248&gt;0.22,N248&gt;810.1,I248&gt;14.95))*1</f>
        <v/>
      </c>
      <c r="AE248">
        <f>SUM(P248:AD248)</f>
        <v/>
      </c>
      <c r="AF248">
        <f>IF(AE248=1,"Malignant","Benign")</f>
        <v/>
      </c>
      <c r="AG248">
        <f>--(AE248=C248)</f>
        <v/>
      </c>
    </row>
    <row r="249">
      <c r="A249">
        <f>BreastCancer_Data!A249</f>
        <v/>
      </c>
      <c r="B249">
        <f>BreastCancer_Data!B249</f>
        <v/>
      </c>
      <c r="C249">
        <f>BreastCancer_Data!D249</f>
        <v/>
      </c>
      <c r="D249">
        <f>BreastCancer_Data!E249</f>
        <v/>
      </c>
      <c r="E249">
        <f>BreastCancer_Data!F249</f>
        <v/>
      </c>
      <c r="F249">
        <f>BreastCancer_Data!G249</f>
        <v/>
      </c>
      <c r="G249">
        <f>BreastCancer_Data!H249</f>
        <v/>
      </c>
      <c r="H249">
        <f>BreastCancer_Data!I249</f>
        <v/>
      </c>
      <c r="I249">
        <f>BreastCancer_Data!J249</f>
        <v/>
      </c>
      <c r="J249">
        <f>BreastCancer_Data!K249</f>
        <v/>
      </c>
      <c r="K249">
        <f>BreastCancer_Data!L249</f>
        <v/>
      </c>
      <c r="L249">
        <f>BreastCancer_Data!M249</f>
        <v/>
      </c>
      <c r="M249">
        <f>BreastCancer_Data!N249</f>
        <v/>
      </c>
      <c r="N249">
        <f>BreastCancer_Data!O249</f>
        <v/>
      </c>
      <c r="O249">
        <f>0</f>
        <v/>
      </c>
      <c r="P249">
        <f>--(AND(D249&lt;=113.15,E249&lt;=0.15,F249&lt;=15.77,G249&lt;=0.18,H249&lt;=33.27))*0</f>
        <v/>
      </c>
      <c r="Q249">
        <f>--(AND(D249&lt;=113.15,E249&lt;=0.15,F249&lt;=15.77,G249&lt;=0.18,H249&gt;33.27))*0</f>
        <v/>
      </c>
      <c r="R249">
        <f>--(AND(D249&lt;=113.15,E249&lt;=0.15,F249&lt;=15.77,G249&gt;0.18))*0</f>
        <v/>
      </c>
      <c r="S249">
        <f>--(AND(D249&lt;=113.15,E249&lt;=0.15,F249&gt;15.77,H249&lt;=28.86,G249&lt;=0.14))*0</f>
        <v/>
      </c>
      <c r="T249">
        <f>--(AND(D249&lt;=113.15,E249&lt;=0.15,F249&gt;15.77,H249&lt;=28.86,G249&gt;0.14))*1</f>
        <v/>
      </c>
      <c r="U249">
        <f>--(AND(D249&lt;=113.15,E249&lt;=0.15,F249&gt;15.77,H249&gt;28.86,M249&lt;=14.54))*1</f>
        <v/>
      </c>
      <c r="V249">
        <f>--(AND(D249&lt;=113.15,E249&lt;=0.15,F249&gt;15.77,H249&gt;28.86,M249&gt;14.54))*1</f>
        <v/>
      </c>
      <c r="W249">
        <f>--(AND(D249&lt;=113.15,E249&gt;0.15,H249&lt;=23.74))*0</f>
        <v/>
      </c>
      <c r="X249">
        <f>--(AND(D249&lt;=113.15,E249&gt;0.15,H249&gt;23.74,J249&lt;=0.1))*1</f>
        <v/>
      </c>
      <c r="Y249">
        <f>--(AND(D249&lt;=113.15,E249&gt;0.15,H249&gt;23.74,J249&gt;0.1))*1</f>
        <v/>
      </c>
      <c r="Z249">
        <f>--(AND(D249&gt;113.15,K249&lt;=0.22,L249&lt;=0.02))*1</f>
        <v/>
      </c>
      <c r="AA249">
        <f>--(AND(D249&gt;113.15,K249&lt;=0.22,L249&gt;0.02))*0</f>
        <v/>
      </c>
      <c r="AB249">
        <f>--(AND(D249&gt;113.15,K249&gt;0.22,N249&lt;=810.1))*0</f>
        <v/>
      </c>
      <c r="AC249">
        <f>--(AND(D249&gt;113.15,K249&gt;0.22,N249&gt;810.1,I249&lt;=14.95))*1</f>
        <v/>
      </c>
      <c r="AD249">
        <f>--(AND(D249&gt;113.15,K249&gt;0.22,N249&gt;810.1,I249&gt;14.95))*1</f>
        <v/>
      </c>
      <c r="AE249">
        <f>SUM(P249:AD249)</f>
        <v/>
      </c>
      <c r="AF249">
        <f>IF(AE249=1,"Malignant","Benign")</f>
        <v/>
      </c>
      <c r="AG249">
        <f>--(AE249=C249)</f>
        <v/>
      </c>
    </row>
    <row r="250">
      <c r="A250">
        <f>BreastCancer_Data!A250</f>
        <v/>
      </c>
      <c r="B250">
        <f>BreastCancer_Data!B250</f>
        <v/>
      </c>
      <c r="C250">
        <f>BreastCancer_Data!D250</f>
        <v/>
      </c>
      <c r="D250">
        <f>BreastCancer_Data!E250</f>
        <v/>
      </c>
      <c r="E250">
        <f>BreastCancer_Data!F250</f>
        <v/>
      </c>
      <c r="F250">
        <f>BreastCancer_Data!G250</f>
        <v/>
      </c>
      <c r="G250">
        <f>BreastCancer_Data!H250</f>
        <v/>
      </c>
      <c r="H250">
        <f>BreastCancer_Data!I250</f>
        <v/>
      </c>
      <c r="I250">
        <f>BreastCancer_Data!J250</f>
        <v/>
      </c>
      <c r="J250">
        <f>BreastCancer_Data!K250</f>
        <v/>
      </c>
      <c r="K250">
        <f>BreastCancer_Data!L250</f>
        <v/>
      </c>
      <c r="L250">
        <f>BreastCancer_Data!M250</f>
        <v/>
      </c>
      <c r="M250">
        <f>BreastCancer_Data!N250</f>
        <v/>
      </c>
      <c r="N250">
        <f>BreastCancer_Data!O250</f>
        <v/>
      </c>
      <c r="O250">
        <f>0</f>
        <v/>
      </c>
      <c r="P250">
        <f>--(AND(D250&lt;=113.15,E250&lt;=0.15,F250&lt;=15.77,G250&lt;=0.18,H250&lt;=33.27))*0</f>
        <v/>
      </c>
      <c r="Q250">
        <f>--(AND(D250&lt;=113.15,E250&lt;=0.15,F250&lt;=15.77,G250&lt;=0.18,H250&gt;33.27))*0</f>
        <v/>
      </c>
      <c r="R250">
        <f>--(AND(D250&lt;=113.15,E250&lt;=0.15,F250&lt;=15.77,G250&gt;0.18))*0</f>
        <v/>
      </c>
      <c r="S250">
        <f>--(AND(D250&lt;=113.15,E250&lt;=0.15,F250&gt;15.77,H250&lt;=28.86,G250&lt;=0.14))*0</f>
        <v/>
      </c>
      <c r="T250">
        <f>--(AND(D250&lt;=113.15,E250&lt;=0.15,F250&gt;15.77,H250&lt;=28.86,G250&gt;0.14))*1</f>
        <v/>
      </c>
      <c r="U250">
        <f>--(AND(D250&lt;=113.15,E250&lt;=0.15,F250&gt;15.77,H250&gt;28.86,M250&lt;=14.54))*1</f>
        <v/>
      </c>
      <c r="V250">
        <f>--(AND(D250&lt;=113.15,E250&lt;=0.15,F250&gt;15.77,H250&gt;28.86,M250&gt;14.54))*1</f>
        <v/>
      </c>
      <c r="W250">
        <f>--(AND(D250&lt;=113.15,E250&gt;0.15,H250&lt;=23.74))*0</f>
        <v/>
      </c>
      <c r="X250">
        <f>--(AND(D250&lt;=113.15,E250&gt;0.15,H250&gt;23.74,J250&lt;=0.1))*1</f>
        <v/>
      </c>
      <c r="Y250">
        <f>--(AND(D250&lt;=113.15,E250&gt;0.15,H250&gt;23.74,J250&gt;0.1))*1</f>
        <v/>
      </c>
      <c r="Z250">
        <f>--(AND(D250&gt;113.15,K250&lt;=0.22,L250&lt;=0.02))*1</f>
        <v/>
      </c>
      <c r="AA250">
        <f>--(AND(D250&gt;113.15,K250&lt;=0.22,L250&gt;0.02))*0</f>
        <v/>
      </c>
      <c r="AB250">
        <f>--(AND(D250&gt;113.15,K250&gt;0.22,N250&lt;=810.1))*0</f>
        <v/>
      </c>
      <c r="AC250">
        <f>--(AND(D250&gt;113.15,K250&gt;0.22,N250&gt;810.1,I250&lt;=14.95))*1</f>
        <v/>
      </c>
      <c r="AD250">
        <f>--(AND(D250&gt;113.15,K250&gt;0.22,N250&gt;810.1,I250&gt;14.95))*1</f>
        <v/>
      </c>
      <c r="AE250">
        <f>SUM(P250:AD250)</f>
        <v/>
      </c>
      <c r="AF250">
        <f>IF(AE250=1,"Malignant","Benign")</f>
        <v/>
      </c>
      <c r="AG250">
        <f>--(AE250=C250)</f>
        <v/>
      </c>
    </row>
    <row r="251">
      <c r="A251">
        <f>BreastCancer_Data!A251</f>
        <v/>
      </c>
      <c r="B251">
        <f>BreastCancer_Data!B251</f>
        <v/>
      </c>
      <c r="C251">
        <f>BreastCancer_Data!D251</f>
        <v/>
      </c>
      <c r="D251">
        <f>BreastCancer_Data!E251</f>
        <v/>
      </c>
      <c r="E251">
        <f>BreastCancer_Data!F251</f>
        <v/>
      </c>
      <c r="F251">
        <f>BreastCancer_Data!G251</f>
        <v/>
      </c>
      <c r="G251">
        <f>BreastCancer_Data!H251</f>
        <v/>
      </c>
      <c r="H251">
        <f>BreastCancer_Data!I251</f>
        <v/>
      </c>
      <c r="I251">
        <f>BreastCancer_Data!J251</f>
        <v/>
      </c>
      <c r="J251">
        <f>BreastCancer_Data!K251</f>
        <v/>
      </c>
      <c r="K251">
        <f>BreastCancer_Data!L251</f>
        <v/>
      </c>
      <c r="L251">
        <f>BreastCancer_Data!M251</f>
        <v/>
      </c>
      <c r="M251">
        <f>BreastCancer_Data!N251</f>
        <v/>
      </c>
      <c r="N251">
        <f>BreastCancer_Data!O251</f>
        <v/>
      </c>
      <c r="O251">
        <f>0</f>
        <v/>
      </c>
      <c r="P251">
        <f>--(AND(D251&lt;=113.15,E251&lt;=0.15,F251&lt;=15.77,G251&lt;=0.18,H251&lt;=33.27))*0</f>
        <v/>
      </c>
      <c r="Q251">
        <f>--(AND(D251&lt;=113.15,E251&lt;=0.15,F251&lt;=15.77,G251&lt;=0.18,H251&gt;33.27))*0</f>
        <v/>
      </c>
      <c r="R251">
        <f>--(AND(D251&lt;=113.15,E251&lt;=0.15,F251&lt;=15.77,G251&gt;0.18))*0</f>
        <v/>
      </c>
      <c r="S251">
        <f>--(AND(D251&lt;=113.15,E251&lt;=0.15,F251&gt;15.77,H251&lt;=28.86,G251&lt;=0.14))*0</f>
        <v/>
      </c>
      <c r="T251">
        <f>--(AND(D251&lt;=113.15,E251&lt;=0.15,F251&gt;15.77,H251&lt;=28.86,G251&gt;0.14))*1</f>
        <v/>
      </c>
      <c r="U251">
        <f>--(AND(D251&lt;=113.15,E251&lt;=0.15,F251&gt;15.77,H251&gt;28.86,M251&lt;=14.54))*1</f>
        <v/>
      </c>
      <c r="V251">
        <f>--(AND(D251&lt;=113.15,E251&lt;=0.15,F251&gt;15.77,H251&gt;28.86,M251&gt;14.54))*1</f>
        <v/>
      </c>
      <c r="W251">
        <f>--(AND(D251&lt;=113.15,E251&gt;0.15,H251&lt;=23.74))*0</f>
        <v/>
      </c>
      <c r="X251">
        <f>--(AND(D251&lt;=113.15,E251&gt;0.15,H251&gt;23.74,J251&lt;=0.1))*1</f>
        <v/>
      </c>
      <c r="Y251">
        <f>--(AND(D251&lt;=113.15,E251&gt;0.15,H251&gt;23.74,J251&gt;0.1))*1</f>
        <v/>
      </c>
      <c r="Z251">
        <f>--(AND(D251&gt;113.15,K251&lt;=0.22,L251&lt;=0.02))*1</f>
        <v/>
      </c>
      <c r="AA251">
        <f>--(AND(D251&gt;113.15,K251&lt;=0.22,L251&gt;0.02))*0</f>
        <v/>
      </c>
      <c r="AB251">
        <f>--(AND(D251&gt;113.15,K251&gt;0.22,N251&lt;=810.1))*0</f>
        <v/>
      </c>
      <c r="AC251">
        <f>--(AND(D251&gt;113.15,K251&gt;0.22,N251&gt;810.1,I251&lt;=14.95))*1</f>
        <v/>
      </c>
      <c r="AD251">
        <f>--(AND(D251&gt;113.15,K251&gt;0.22,N251&gt;810.1,I251&gt;14.95))*1</f>
        <v/>
      </c>
      <c r="AE251">
        <f>SUM(P251:AD251)</f>
        <v/>
      </c>
      <c r="AF251">
        <f>IF(AE251=1,"Malignant","Benign")</f>
        <v/>
      </c>
      <c r="AG251">
        <f>--(AE251=C251)</f>
        <v/>
      </c>
    </row>
    <row r="252">
      <c r="A252">
        <f>BreastCancer_Data!A252</f>
        <v/>
      </c>
      <c r="B252">
        <f>BreastCancer_Data!B252</f>
        <v/>
      </c>
      <c r="C252">
        <f>BreastCancer_Data!D252</f>
        <v/>
      </c>
      <c r="D252">
        <f>BreastCancer_Data!E252</f>
        <v/>
      </c>
      <c r="E252">
        <f>BreastCancer_Data!F252</f>
        <v/>
      </c>
      <c r="F252">
        <f>BreastCancer_Data!G252</f>
        <v/>
      </c>
      <c r="G252">
        <f>BreastCancer_Data!H252</f>
        <v/>
      </c>
      <c r="H252">
        <f>BreastCancer_Data!I252</f>
        <v/>
      </c>
      <c r="I252">
        <f>BreastCancer_Data!J252</f>
        <v/>
      </c>
      <c r="J252">
        <f>BreastCancer_Data!K252</f>
        <v/>
      </c>
      <c r="K252">
        <f>BreastCancer_Data!L252</f>
        <v/>
      </c>
      <c r="L252">
        <f>BreastCancer_Data!M252</f>
        <v/>
      </c>
      <c r="M252">
        <f>BreastCancer_Data!N252</f>
        <v/>
      </c>
      <c r="N252">
        <f>BreastCancer_Data!O252</f>
        <v/>
      </c>
      <c r="O252">
        <f>0</f>
        <v/>
      </c>
      <c r="P252">
        <f>--(AND(D252&lt;=113.15,E252&lt;=0.15,F252&lt;=15.77,G252&lt;=0.18,H252&lt;=33.27))*0</f>
        <v/>
      </c>
      <c r="Q252">
        <f>--(AND(D252&lt;=113.15,E252&lt;=0.15,F252&lt;=15.77,G252&lt;=0.18,H252&gt;33.27))*0</f>
        <v/>
      </c>
      <c r="R252">
        <f>--(AND(D252&lt;=113.15,E252&lt;=0.15,F252&lt;=15.77,G252&gt;0.18))*0</f>
        <v/>
      </c>
      <c r="S252">
        <f>--(AND(D252&lt;=113.15,E252&lt;=0.15,F252&gt;15.77,H252&lt;=28.86,G252&lt;=0.14))*0</f>
        <v/>
      </c>
      <c r="T252">
        <f>--(AND(D252&lt;=113.15,E252&lt;=0.15,F252&gt;15.77,H252&lt;=28.86,G252&gt;0.14))*1</f>
        <v/>
      </c>
      <c r="U252">
        <f>--(AND(D252&lt;=113.15,E252&lt;=0.15,F252&gt;15.77,H252&gt;28.86,M252&lt;=14.54))*1</f>
        <v/>
      </c>
      <c r="V252">
        <f>--(AND(D252&lt;=113.15,E252&lt;=0.15,F252&gt;15.77,H252&gt;28.86,M252&gt;14.54))*1</f>
        <v/>
      </c>
      <c r="W252">
        <f>--(AND(D252&lt;=113.15,E252&gt;0.15,H252&lt;=23.74))*0</f>
        <v/>
      </c>
      <c r="X252">
        <f>--(AND(D252&lt;=113.15,E252&gt;0.15,H252&gt;23.74,J252&lt;=0.1))*1</f>
        <v/>
      </c>
      <c r="Y252">
        <f>--(AND(D252&lt;=113.15,E252&gt;0.15,H252&gt;23.74,J252&gt;0.1))*1</f>
        <v/>
      </c>
      <c r="Z252">
        <f>--(AND(D252&gt;113.15,K252&lt;=0.22,L252&lt;=0.02))*1</f>
        <v/>
      </c>
      <c r="AA252">
        <f>--(AND(D252&gt;113.15,K252&lt;=0.22,L252&gt;0.02))*0</f>
        <v/>
      </c>
      <c r="AB252">
        <f>--(AND(D252&gt;113.15,K252&gt;0.22,N252&lt;=810.1))*0</f>
        <v/>
      </c>
      <c r="AC252">
        <f>--(AND(D252&gt;113.15,K252&gt;0.22,N252&gt;810.1,I252&lt;=14.95))*1</f>
        <v/>
      </c>
      <c r="AD252">
        <f>--(AND(D252&gt;113.15,K252&gt;0.22,N252&gt;810.1,I252&gt;14.95))*1</f>
        <v/>
      </c>
      <c r="AE252">
        <f>SUM(P252:AD252)</f>
        <v/>
      </c>
      <c r="AF252">
        <f>IF(AE252=1,"Malignant","Benign")</f>
        <v/>
      </c>
      <c r="AG252">
        <f>--(AE252=C252)</f>
        <v/>
      </c>
    </row>
    <row r="253">
      <c r="A253">
        <f>BreastCancer_Data!A253</f>
        <v/>
      </c>
      <c r="B253">
        <f>BreastCancer_Data!B253</f>
        <v/>
      </c>
      <c r="C253">
        <f>BreastCancer_Data!D253</f>
        <v/>
      </c>
      <c r="D253">
        <f>BreastCancer_Data!E253</f>
        <v/>
      </c>
      <c r="E253">
        <f>BreastCancer_Data!F253</f>
        <v/>
      </c>
      <c r="F253">
        <f>BreastCancer_Data!G253</f>
        <v/>
      </c>
      <c r="G253">
        <f>BreastCancer_Data!H253</f>
        <v/>
      </c>
      <c r="H253">
        <f>BreastCancer_Data!I253</f>
        <v/>
      </c>
      <c r="I253">
        <f>BreastCancer_Data!J253</f>
        <v/>
      </c>
      <c r="J253">
        <f>BreastCancer_Data!K253</f>
        <v/>
      </c>
      <c r="K253">
        <f>BreastCancer_Data!L253</f>
        <v/>
      </c>
      <c r="L253">
        <f>BreastCancer_Data!M253</f>
        <v/>
      </c>
      <c r="M253">
        <f>BreastCancer_Data!N253</f>
        <v/>
      </c>
      <c r="N253">
        <f>BreastCancer_Data!O253</f>
        <v/>
      </c>
      <c r="O253">
        <f>0</f>
        <v/>
      </c>
      <c r="P253">
        <f>--(AND(D253&lt;=113.15,E253&lt;=0.15,F253&lt;=15.77,G253&lt;=0.18,H253&lt;=33.27))*0</f>
        <v/>
      </c>
      <c r="Q253">
        <f>--(AND(D253&lt;=113.15,E253&lt;=0.15,F253&lt;=15.77,G253&lt;=0.18,H253&gt;33.27))*0</f>
        <v/>
      </c>
      <c r="R253">
        <f>--(AND(D253&lt;=113.15,E253&lt;=0.15,F253&lt;=15.77,G253&gt;0.18))*0</f>
        <v/>
      </c>
      <c r="S253">
        <f>--(AND(D253&lt;=113.15,E253&lt;=0.15,F253&gt;15.77,H253&lt;=28.86,G253&lt;=0.14))*0</f>
        <v/>
      </c>
      <c r="T253">
        <f>--(AND(D253&lt;=113.15,E253&lt;=0.15,F253&gt;15.77,H253&lt;=28.86,G253&gt;0.14))*1</f>
        <v/>
      </c>
      <c r="U253">
        <f>--(AND(D253&lt;=113.15,E253&lt;=0.15,F253&gt;15.77,H253&gt;28.86,M253&lt;=14.54))*1</f>
        <v/>
      </c>
      <c r="V253">
        <f>--(AND(D253&lt;=113.15,E253&lt;=0.15,F253&gt;15.77,H253&gt;28.86,M253&gt;14.54))*1</f>
        <v/>
      </c>
      <c r="W253">
        <f>--(AND(D253&lt;=113.15,E253&gt;0.15,H253&lt;=23.74))*0</f>
        <v/>
      </c>
      <c r="X253">
        <f>--(AND(D253&lt;=113.15,E253&gt;0.15,H253&gt;23.74,J253&lt;=0.1))*1</f>
        <v/>
      </c>
      <c r="Y253">
        <f>--(AND(D253&lt;=113.15,E253&gt;0.15,H253&gt;23.74,J253&gt;0.1))*1</f>
        <v/>
      </c>
      <c r="Z253">
        <f>--(AND(D253&gt;113.15,K253&lt;=0.22,L253&lt;=0.02))*1</f>
        <v/>
      </c>
      <c r="AA253">
        <f>--(AND(D253&gt;113.15,K253&lt;=0.22,L253&gt;0.02))*0</f>
        <v/>
      </c>
      <c r="AB253">
        <f>--(AND(D253&gt;113.15,K253&gt;0.22,N253&lt;=810.1))*0</f>
        <v/>
      </c>
      <c r="AC253">
        <f>--(AND(D253&gt;113.15,K253&gt;0.22,N253&gt;810.1,I253&lt;=14.95))*1</f>
        <v/>
      </c>
      <c r="AD253">
        <f>--(AND(D253&gt;113.15,K253&gt;0.22,N253&gt;810.1,I253&gt;14.95))*1</f>
        <v/>
      </c>
      <c r="AE253">
        <f>SUM(P253:AD253)</f>
        <v/>
      </c>
      <c r="AF253">
        <f>IF(AE253=1,"Malignant","Benign")</f>
        <v/>
      </c>
      <c r="AG253">
        <f>--(AE253=C253)</f>
        <v/>
      </c>
    </row>
    <row r="254">
      <c r="A254">
        <f>BreastCancer_Data!A254</f>
        <v/>
      </c>
      <c r="B254">
        <f>BreastCancer_Data!B254</f>
        <v/>
      </c>
      <c r="C254">
        <f>BreastCancer_Data!D254</f>
        <v/>
      </c>
      <c r="D254">
        <f>BreastCancer_Data!E254</f>
        <v/>
      </c>
      <c r="E254">
        <f>BreastCancer_Data!F254</f>
        <v/>
      </c>
      <c r="F254">
        <f>BreastCancer_Data!G254</f>
        <v/>
      </c>
      <c r="G254">
        <f>BreastCancer_Data!H254</f>
        <v/>
      </c>
      <c r="H254">
        <f>BreastCancer_Data!I254</f>
        <v/>
      </c>
      <c r="I254">
        <f>BreastCancer_Data!J254</f>
        <v/>
      </c>
      <c r="J254">
        <f>BreastCancer_Data!K254</f>
        <v/>
      </c>
      <c r="K254">
        <f>BreastCancer_Data!L254</f>
        <v/>
      </c>
      <c r="L254">
        <f>BreastCancer_Data!M254</f>
        <v/>
      </c>
      <c r="M254">
        <f>BreastCancer_Data!N254</f>
        <v/>
      </c>
      <c r="N254">
        <f>BreastCancer_Data!O254</f>
        <v/>
      </c>
      <c r="O254">
        <f>0</f>
        <v/>
      </c>
      <c r="P254">
        <f>--(AND(D254&lt;=113.15,E254&lt;=0.15,F254&lt;=15.77,G254&lt;=0.18,H254&lt;=33.27))*0</f>
        <v/>
      </c>
      <c r="Q254">
        <f>--(AND(D254&lt;=113.15,E254&lt;=0.15,F254&lt;=15.77,G254&lt;=0.18,H254&gt;33.27))*0</f>
        <v/>
      </c>
      <c r="R254">
        <f>--(AND(D254&lt;=113.15,E254&lt;=0.15,F254&lt;=15.77,G254&gt;0.18))*0</f>
        <v/>
      </c>
      <c r="S254">
        <f>--(AND(D254&lt;=113.15,E254&lt;=0.15,F254&gt;15.77,H254&lt;=28.86,G254&lt;=0.14))*0</f>
        <v/>
      </c>
      <c r="T254">
        <f>--(AND(D254&lt;=113.15,E254&lt;=0.15,F254&gt;15.77,H254&lt;=28.86,G254&gt;0.14))*1</f>
        <v/>
      </c>
      <c r="U254">
        <f>--(AND(D254&lt;=113.15,E254&lt;=0.15,F254&gt;15.77,H254&gt;28.86,M254&lt;=14.54))*1</f>
        <v/>
      </c>
      <c r="V254">
        <f>--(AND(D254&lt;=113.15,E254&lt;=0.15,F254&gt;15.77,H254&gt;28.86,M254&gt;14.54))*1</f>
        <v/>
      </c>
      <c r="W254">
        <f>--(AND(D254&lt;=113.15,E254&gt;0.15,H254&lt;=23.74))*0</f>
        <v/>
      </c>
      <c r="X254">
        <f>--(AND(D254&lt;=113.15,E254&gt;0.15,H254&gt;23.74,J254&lt;=0.1))*1</f>
        <v/>
      </c>
      <c r="Y254">
        <f>--(AND(D254&lt;=113.15,E254&gt;0.15,H254&gt;23.74,J254&gt;0.1))*1</f>
        <v/>
      </c>
      <c r="Z254">
        <f>--(AND(D254&gt;113.15,K254&lt;=0.22,L254&lt;=0.02))*1</f>
        <v/>
      </c>
      <c r="AA254">
        <f>--(AND(D254&gt;113.15,K254&lt;=0.22,L254&gt;0.02))*0</f>
        <v/>
      </c>
      <c r="AB254">
        <f>--(AND(D254&gt;113.15,K254&gt;0.22,N254&lt;=810.1))*0</f>
        <v/>
      </c>
      <c r="AC254">
        <f>--(AND(D254&gt;113.15,K254&gt;0.22,N254&gt;810.1,I254&lt;=14.95))*1</f>
        <v/>
      </c>
      <c r="AD254">
        <f>--(AND(D254&gt;113.15,K254&gt;0.22,N254&gt;810.1,I254&gt;14.95))*1</f>
        <v/>
      </c>
      <c r="AE254">
        <f>SUM(P254:AD254)</f>
        <v/>
      </c>
      <c r="AF254">
        <f>IF(AE254=1,"Malignant","Benign")</f>
        <v/>
      </c>
      <c r="AG254">
        <f>--(AE254=C254)</f>
        <v/>
      </c>
    </row>
    <row r="255">
      <c r="A255">
        <f>BreastCancer_Data!A255</f>
        <v/>
      </c>
      <c r="B255">
        <f>BreastCancer_Data!B255</f>
        <v/>
      </c>
      <c r="C255">
        <f>BreastCancer_Data!D255</f>
        <v/>
      </c>
      <c r="D255">
        <f>BreastCancer_Data!E255</f>
        <v/>
      </c>
      <c r="E255">
        <f>BreastCancer_Data!F255</f>
        <v/>
      </c>
      <c r="F255">
        <f>BreastCancer_Data!G255</f>
        <v/>
      </c>
      <c r="G255">
        <f>BreastCancer_Data!H255</f>
        <v/>
      </c>
      <c r="H255">
        <f>BreastCancer_Data!I255</f>
        <v/>
      </c>
      <c r="I255">
        <f>BreastCancer_Data!J255</f>
        <v/>
      </c>
      <c r="J255">
        <f>BreastCancer_Data!K255</f>
        <v/>
      </c>
      <c r="K255">
        <f>BreastCancer_Data!L255</f>
        <v/>
      </c>
      <c r="L255">
        <f>BreastCancer_Data!M255</f>
        <v/>
      </c>
      <c r="M255">
        <f>BreastCancer_Data!N255</f>
        <v/>
      </c>
      <c r="N255">
        <f>BreastCancer_Data!O255</f>
        <v/>
      </c>
      <c r="O255">
        <f>0</f>
        <v/>
      </c>
      <c r="P255">
        <f>--(AND(D255&lt;=113.15,E255&lt;=0.15,F255&lt;=15.77,G255&lt;=0.18,H255&lt;=33.27))*0</f>
        <v/>
      </c>
      <c r="Q255">
        <f>--(AND(D255&lt;=113.15,E255&lt;=0.15,F255&lt;=15.77,G255&lt;=0.18,H255&gt;33.27))*0</f>
        <v/>
      </c>
      <c r="R255">
        <f>--(AND(D255&lt;=113.15,E255&lt;=0.15,F255&lt;=15.77,G255&gt;0.18))*0</f>
        <v/>
      </c>
      <c r="S255">
        <f>--(AND(D255&lt;=113.15,E255&lt;=0.15,F255&gt;15.77,H255&lt;=28.86,G255&lt;=0.14))*0</f>
        <v/>
      </c>
      <c r="T255">
        <f>--(AND(D255&lt;=113.15,E255&lt;=0.15,F255&gt;15.77,H255&lt;=28.86,G255&gt;0.14))*1</f>
        <v/>
      </c>
      <c r="U255">
        <f>--(AND(D255&lt;=113.15,E255&lt;=0.15,F255&gt;15.77,H255&gt;28.86,M255&lt;=14.54))*1</f>
        <v/>
      </c>
      <c r="V255">
        <f>--(AND(D255&lt;=113.15,E255&lt;=0.15,F255&gt;15.77,H255&gt;28.86,M255&gt;14.54))*1</f>
        <v/>
      </c>
      <c r="W255">
        <f>--(AND(D255&lt;=113.15,E255&gt;0.15,H255&lt;=23.74))*0</f>
        <v/>
      </c>
      <c r="X255">
        <f>--(AND(D255&lt;=113.15,E255&gt;0.15,H255&gt;23.74,J255&lt;=0.1))*1</f>
        <v/>
      </c>
      <c r="Y255">
        <f>--(AND(D255&lt;=113.15,E255&gt;0.15,H255&gt;23.74,J255&gt;0.1))*1</f>
        <v/>
      </c>
      <c r="Z255">
        <f>--(AND(D255&gt;113.15,K255&lt;=0.22,L255&lt;=0.02))*1</f>
        <v/>
      </c>
      <c r="AA255">
        <f>--(AND(D255&gt;113.15,K255&lt;=0.22,L255&gt;0.02))*0</f>
        <v/>
      </c>
      <c r="AB255">
        <f>--(AND(D255&gt;113.15,K255&gt;0.22,N255&lt;=810.1))*0</f>
        <v/>
      </c>
      <c r="AC255">
        <f>--(AND(D255&gt;113.15,K255&gt;0.22,N255&gt;810.1,I255&lt;=14.95))*1</f>
        <v/>
      </c>
      <c r="AD255">
        <f>--(AND(D255&gt;113.15,K255&gt;0.22,N255&gt;810.1,I255&gt;14.95))*1</f>
        <v/>
      </c>
      <c r="AE255">
        <f>SUM(P255:AD255)</f>
        <v/>
      </c>
      <c r="AF255">
        <f>IF(AE255=1,"Malignant","Benign")</f>
        <v/>
      </c>
      <c r="AG255">
        <f>--(AE255=C255)</f>
        <v/>
      </c>
    </row>
    <row r="256">
      <c r="A256">
        <f>BreastCancer_Data!A256</f>
        <v/>
      </c>
      <c r="B256">
        <f>BreastCancer_Data!B256</f>
        <v/>
      </c>
      <c r="C256">
        <f>BreastCancer_Data!D256</f>
        <v/>
      </c>
      <c r="D256">
        <f>BreastCancer_Data!E256</f>
        <v/>
      </c>
      <c r="E256">
        <f>BreastCancer_Data!F256</f>
        <v/>
      </c>
      <c r="F256">
        <f>BreastCancer_Data!G256</f>
        <v/>
      </c>
      <c r="G256">
        <f>BreastCancer_Data!H256</f>
        <v/>
      </c>
      <c r="H256">
        <f>BreastCancer_Data!I256</f>
        <v/>
      </c>
      <c r="I256">
        <f>BreastCancer_Data!J256</f>
        <v/>
      </c>
      <c r="J256">
        <f>BreastCancer_Data!K256</f>
        <v/>
      </c>
      <c r="K256">
        <f>BreastCancer_Data!L256</f>
        <v/>
      </c>
      <c r="L256">
        <f>BreastCancer_Data!M256</f>
        <v/>
      </c>
      <c r="M256">
        <f>BreastCancer_Data!N256</f>
        <v/>
      </c>
      <c r="N256">
        <f>BreastCancer_Data!O256</f>
        <v/>
      </c>
      <c r="O256">
        <f>0</f>
        <v/>
      </c>
      <c r="P256">
        <f>--(AND(D256&lt;=113.15,E256&lt;=0.15,F256&lt;=15.77,G256&lt;=0.18,H256&lt;=33.27))*0</f>
        <v/>
      </c>
      <c r="Q256">
        <f>--(AND(D256&lt;=113.15,E256&lt;=0.15,F256&lt;=15.77,G256&lt;=0.18,H256&gt;33.27))*0</f>
        <v/>
      </c>
      <c r="R256">
        <f>--(AND(D256&lt;=113.15,E256&lt;=0.15,F256&lt;=15.77,G256&gt;0.18))*0</f>
        <v/>
      </c>
      <c r="S256">
        <f>--(AND(D256&lt;=113.15,E256&lt;=0.15,F256&gt;15.77,H256&lt;=28.86,G256&lt;=0.14))*0</f>
        <v/>
      </c>
      <c r="T256">
        <f>--(AND(D256&lt;=113.15,E256&lt;=0.15,F256&gt;15.77,H256&lt;=28.86,G256&gt;0.14))*1</f>
        <v/>
      </c>
      <c r="U256">
        <f>--(AND(D256&lt;=113.15,E256&lt;=0.15,F256&gt;15.77,H256&gt;28.86,M256&lt;=14.54))*1</f>
        <v/>
      </c>
      <c r="V256">
        <f>--(AND(D256&lt;=113.15,E256&lt;=0.15,F256&gt;15.77,H256&gt;28.86,M256&gt;14.54))*1</f>
        <v/>
      </c>
      <c r="W256">
        <f>--(AND(D256&lt;=113.15,E256&gt;0.15,H256&lt;=23.74))*0</f>
        <v/>
      </c>
      <c r="X256">
        <f>--(AND(D256&lt;=113.15,E256&gt;0.15,H256&gt;23.74,J256&lt;=0.1))*1</f>
        <v/>
      </c>
      <c r="Y256">
        <f>--(AND(D256&lt;=113.15,E256&gt;0.15,H256&gt;23.74,J256&gt;0.1))*1</f>
        <v/>
      </c>
      <c r="Z256">
        <f>--(AND(D256&gt;113.15,K256&lt;=0.22,L256&lt;=0.02))*1</f>
        <v/>
      </c>
      <c r="AA256">
        <f>--(AND(D256&gt;113.15,K256&lt;=0.22,L256&gt;0.02))*0</f>
        <v/>
      </c>
      <c r="AB256">
        <f>--(AND(D256&gt;113.15,K256&gt;0.22,N256&lt;=810.1))*0</f>
        <v/>
      </c>
      <c r="AC256">
        <f>--(AND(D256&gt;113.15,K256&gt;0.22,N256&gt;810.1,I256&lt;=14.95))*1</f>
        <v/>
      </c>
      <c r="AD256">
        <f>--(AND(D256&gt;113.15,K256&gt;0.22,N256&gt;810.1,I256&gt;14.95))*1</f>
        <v/>
      </c>
      <c r="AE256">
        <f>SUM(P256:AD256)</f>
        <v/>
      </c>
      <c r="AF256">
        <f>IF(AE256=1,"Malignant","Benign")</f>
        <v/>
      </c>
      <c r="AG256">
        <f>--(AE256=C256)</f>
        <v/>
      </c>
    </row>
    <row r="257">
      <c r="A257">
        <f>BreastCancer_Data!A257</f>
        <v/>
      </c>
      <c r="B257">
        <f>BreastCancer_Data!B257</f>
        <v/>
      </c>
      <c r="C257">
        <f>BreastCancer_Data!D257</f>
        <v/>
      </c>
      <c r="D257">
        <f>BreastCancer_Data!E257</f>
        <v/>
      </c>
      <c r="E257">
        <f>BreastCancer_Data!F257</f>
        <v/>
      </c>
      <c r="F257">
        <f>BreastCancer_Data!G257</f>
        <v/>
      </c>
      <c r="G257">
        <f>BreastCancer_Data!H257</f>
        <v/>
      </c>
      <c r="H257">
        <f>BreastCancer_Data!I257</f>
        <v/>
      </c>
      <c r="I257">
        <f>BreastCancer_Data!J257</f>
        <v/>
      </c>
      <c r="J257">
        <f>BreastCancer_Data!K257</f>
        <v/>
      </c>
      <c r="K257">
        <f>BreastCancer_Data!L257</f>
        <v/>
      </c>
      <c r="L257">
        <f>BreastCancer_Data!M257</f>
        <v/>
      </c>
      <c r="M257">
        <f>BreastCancer_Data!N257</f>
        <v/>
      </c>
      <c r="N257">
        <f>BreastCancer_Data!O257</f>
        <v/>
      </c>
      <c r="O257">
        <f>0</f>
        <v/>
      </c>
      <c r="P257">
        <f>--(AND(D257&lt;=113.15,E257&lt;=0.15,F257&lt;=15.77,G257&lt;=0.18,H257&lt;=33.27))*0</f>
        <v/>
      </c>
      <c r="Q257">
        <f>--(AND(D257&lt;=113.15,E257&lt;=0.15,F257&lt;=15.77,G257&lt;=0.18,H257&gt;33.27))*0</f>
        <v/>
      </c>
      <c r="R257">
        <f>--(AND(D257&lt;=113.15,E257&lt;=0.15,F257&lt;=15.77,G257&gt;0.18))*0</f>
        <v/>
      </c>
      <c r="S257">
        <f>--(AND(D257&lt;=113.15,E257&lt;=0.15,F257&gt;15.77,H257&lt;=28.86,G257&lt;=0.14))*0</f>
        <v/>
      </c>
      <c r="T257">
        <f>--(AND(D257&lt;=113.15,E257&lt;=0.15,F257&gt;15.77,H257&lt;=28.86,G257&gt;0.14))*1</f>
        <v/>
      </c>
      <c r="U257">
        <f>--(AND(D257&lt;=113.15,E257&lt;=0.15,F257&gt;15.77,H257&gt;28.86,M257&lt;=14.54))*1</f>
        <v/>
      </c>
      <c r="V257">
        <f>--(AND(D257&lt;=113.15,E257&lt;=0.15,F257&gt;15.77,H257&gt;28.86,M257&gt;14.54))*1</f>
        <v/>
      </c>
      <c r="W257">
        <f>--(AND(D257&lt;=113.15,E257&gt;0.15,H257&lt;=23.74))*0</f>
        <v/>
      </c>
      <c r="X257">
        <f>--(AND(D257&lt;=113.15,E257&gt;0.15,H257&gt;23.74,J257&lt;=0.1))*1</f>
        <v/>
      </c>
      <c r="Y257">
        <f>--(AND(D257&lt;=113.15,E257&gt;0.15,H257&gt;23.74,J257&gt;0.1))*1</f>
        <v/>
      </c>
      <c r="Z257">
        <f>--(AND(D257&gt;113.15,K257&lt;=0.22,L257&lt;=0.02))*1</f>
        <v/>
      </c>
      <c r="AA257">
        <f>--(AND(D257&gt;113.15,K257&lt;=0.22,L257&gt;0.02))*0</f>
        <v/>
      </c>
      <c r="AB257">
        <f>--(AND(D257&gt;113.15,K257&gt;0.22,N257&lt;=810.1))*0</f>
        <v/>
      </c>
      <c r="AC257">
        <f>--(AND(D257&gt;113.15,K257&gt;0.22,N257&gt;810.1,I257&lt;=14.95))*1</f>
        <v/>
      </c>
      <c r="AD257">
        <f>--(AND(D257&gt;113.15,K257&gt;0.22,N257&gt;810.1,I257&gt;14.95))*1</f>
        <v/>
      </c>
      <c r="AE257">
        <f>SUM(P257:AD257)</f>
        <v/>
      </c>
      <c r="AF257">
        <f>IF(AE257=1,"Malignant","Benign")</f>
        <v/>
      </c>
      <c r="AG257">
        <f>--(AE257=C257)</f>
        <v/>
      </c>
    </row>
    <row r="258">
      <c r="A258">
        <f>BreastCancer_Data!A258</f>
        <v/>
      </c>
      <c r="B258">
        <f>BreastCancer_Data!B258</f>
        <v/>
      </c>
      <c r="C258">
        <f>BreastCancer_Data!D258</f>
        <v/>
      </c>
      <c r="D258">
        <f>BreastCancer_Data!E258</f>
        <v/>
      </c>
      <c r="E258">
        <f>BreastCancer_Data!F258</f>
        <v/>
      </c>
      <c r="F258">
        <f>BreastCancer_Data!G258</f>
        <v/>
      </c>
      <c r="G258">
        <f>BreastCancer_Data!H258</f>
        <v/>
      </c>
      <c r="H258">
        <f>BreastCancer_Data!I258</f>
        <v/>
      </c>
      <c r="I258">
        <f>BreastCancer_Data!J258</f>
        <v/>
      </c>
      <c r="J258">
        <f>BreastCancer_Data!K258</f>
        <v/>
      </c>
      <c r="K258">
        <f>BreastCancer_Data!L258</f>
        <v/>
      </c>
      <c r="L258">
        <f>BreastCancer_Data!M258</f>
        <v/>
      </c>
      <c r="M258">
        <f>BreastCancer_Data!N258</f>
        <v/>
      </c>
      <c r="N258">
        <f>BreastCancer_Data!O258</f>
        <v/>
      </c>
      <c r="O258">
        <f>0</f>
        <v/>
      </c>
      <c r="P258">
        <f>--(AND(D258&lt;=113.15,E258&lt;=0.15,F258&lt;=15.77,G258&lt;=0.18,H258&lt;=33.27))*0</f>
        <v/>
      </c>
      <c r="Q258">
        <f>--(AND(D258&lt;=113.15,E258&lt;=0.15,F258&lt;=15.77,G258&lt;=0.18,H258&gt;33.27))*0</f>
        <v/>
      </c>
      <c r="R258">
        <f>--(AND(D258&lt;=113.15,E258&lt;=0.15,F258&lt;=15.77,G258&gt;0.18))*0</f>
        <v/>
      </c>
      <c r="S258">
        <f>--(AND(D258&lt;=113.15,E258&lt;=0.15,F258&gt;15.77,H258&lt;=28.86,G258&lt;=0.14))*0</f>
        <v/>
      </c>
      <c r="T258">
        <f>--(AND(D258&lt;=113.15,E258&lt;=0.15,F258&gt;15.77,H258&lt;=28.86,G258&gt;0.14))*1</f>
        <v/>
      </c>
      <c r="U258">
        <f>--(AND(D258&lt;=113.15,E258&lt;=0.15,F258&gt;15.77,H258&gt;28.86,M258&lt;=14.54))*1</f>
        <v/>
      </c>
      <c r="V258">
        <f>--(AND(D258&lt;=113.15,E258&lt;=0.15,F258&gt;15.77,H258&gt;28.86,M258&gt;14.54))*1</f>
        <v/>
      </c>
      <c r="W258">
        <f>--(AND(D258&lt;=113.15,E258&gt;0.15,H258&lt;=23.74))*0</f>
        <v/>
      </c>
      <c r="X258">
        <f>--(AND(D258&lt;=113.15,E258&gt;0.15,H258&gt;23.74,J258&lt;=0.1))*1</f>
        <v/>
      </c>
      <c r="Y258">
        <f>--(AND(D258&lt;=113.15,E258&gt;0.15,H258&gt;23.74,J258&gt;0.1))*1</f>
        <v/>
      </c>
      <c r="Z258">
        <f>--(AND(D258&gt;113.15,K258&lt;=0.22,L258&lt;=0.02))*1</f>
        <v/>
      </c>
      <c r="AA258">
        <f>--(AND(D258&gt;113.15,K258&lt;=0.22,L258&gt;0.02))*0</f>
        <v/>
      </c>
      <c r="AB258">
        <f>--(AND(D258&gt;113.15,K258&gt;0.22,N258&lt;=810.1))*0</f>
        <v/>
      </c>
      <c r="AC258">
        <f>--(AND(D258&gt;113.15,K258&gt;0.22,N258&gt;810.1,I258&lt;=14.95))*1</f>
        <v/>
      </c>
      <c r="AD258">
        <f>--(AND(D258&gt;113.15,K258&gt;0.22,N258&gt;810.1,I258&gt;14.95))*1</f>
        <v/>
      </c>
      <c r="AE258">
        <f>SUM(P258:AD258)</f>
        <v/>
      </c>
      <c r="AF258">
        <f>IF(AE258=1,"Malignant","Benign")</f>
        <v/>
      </c>
      <c r="AG258">
        <f>--(AE258=C258)</f>
        <v/>
      </c>
    </row>
    <row r="259">
      <c r="A259">
        <f>BreastCancer_Data!A259</f>
        <v/>
      </c>
      <c r="B259">
        <f>BreastCancer_Data!B259</f>
        <v/>
      </c>
      <c r="C259">
        <f>BreastCancer_Data!D259</f>
        <v/>
      </c>
      <c r="D259">
        <f>BreastCancer_Data!E259</f>
        <v/>
      </c>
      <c r="E259">
        <f>BreastCancer_Data!F259</f>
        <v/>
      </c>
      <c r="F259">
        <f>BreastCancer_Data!G259</f>
        <v/>
      </c>
      <c r="G259">
        <f>BreastCancer_Data!H259</f>
        <v/>
      </c>
      <c r="H259">
        <f>BreastCancer_Data!I259</f>
        <v/>
      </c>
      <c r="I259">
        <f>BreastCancer_Data!J259</f>
        <v/>
      </c>
      <c r="J259">
        <f>BreastCancer_Data!K259</f>
        <v/>
      </c>
      <c r="K259">
        <f>BreastCancer_Data!L259</f>
        <v/>
      </c>
      <c r="L259">
        <f>BreastCancer_Data!M259</f>
        <v/>
      </c>
      <c r="M259">
        <f>BreastCancer_Data!N259</f>
        <v/>
      </c>
      <c r="N259">
        <f>BreastCancer_Data!O259</f>
        <v/>
      </c>
      <c r="O259">
        <f>0</f>
        <v/>
      </c>
      <c r="P259">
        <f>--(AND(D259&lt;=113.15,E259&lt;=0.15,F259&lt;=15.77,G259&lt;=0.18,H259&lt;=33.27))*0</f>
        <v/>
      </c>
      <c r="Q259">
        <f>--(AND(D259&lt;=113.15,E259&lt;=0.15,F259&lt;=15.77,G259&lt;=0.18,H259&gt;33.27))*0</f>
        <v/>
      </c>
      <c r="R259">
        <f>--(AND(D259&lt;=113.15,E259&lt;=0.15,F259&lt;=15.77,G259&gt;0.18))*0</f>
        <v/>
      </c>
      <c r="S259">
        <f>--(AND(D259&lt;=113.15,E259&lt;=0.15,F259&gt;15.77,H259&lt;=28.86,G259&lt;=0.14))*0</f>
        <v/>
      </c>
      <c r="T259">
        <f>--(AND(D259&lt;=113.15,E259&lt;=0.15,F259&gt;15.77,H259&lt;=28.86,G259&gt;0.14))*1</f>
        <v/>
      </c>
      <c r="U259">
        <f>--(AND(D259&lt;=113.15,E259&lt;=0.15,F259&gt;15.77,H259&gt;28.86,M259&lt;=14.54))*1</f>
        <v/>
      </c>
      <c r="V259">
        <f>--(AND(D259&lt;=113.15,E259&lt;=0.15,F259&gt;15.77,H259&gt;28.86,M259&gt;14.54))*1</f>
        <v/>
      </c>
      <c r="W259">
        <f>--(AND(D259&lt;=113.15,E259&gt;0.15,H259&lt;=23.74))*0</f>
        <v/>
      </c>
      <c r="X259">
        <f>--(AND(D259&lt;=113.15,E259&gt;0.15,H259&gt;23.74,J259&lt;=0.1))*1</f>
        <v/>
      </c>
      <c r="Y259">
        <f>--(AND(D259&lt;=113.15,E259&gt;0.15,H259&gt;23.74,J259&gt;0.1))*1</f>
        <v/>
      </c>
      <c r="Z259">
        <f>--(AND(D259&gt;113.15,K259&lt;=0.22,L259&lt;=0.02))*1</f>
        <v/>
      </c>
      <c r="AA259">
        <f>--(AND(D259&gt;113.15,K259&lt;=0.22,L259&gt;0.02))*0</f>
        <v/>
      </c>
      <c r="AB259">
        <f>--(AND(D259&gt;113.15,K259&gt;0.22,N259&lt;=810.1))*0</f>
        <v/>
      </c>
      <c r="AC259">
        <f>--(AND(D259&gt;113.15,K259&gt;0.22,N259&gt;810.1,I259&lt;=14.95))*1</f>
        <v/>
      </c>
      <c r="AD259">
        <f>--(AND(D259&gt;113.15,K259&gt;0.22,N259&gt;810.1,I259&gt;14.95))*1</f>
        <v/>
      </c>
      <c r="AE259">
        <f>SUM(P259:AD259)</f>
        <v/>
      </c>
      <c r="AF259">
        <f>IF(AE259=1,"Malignant","Benign")</f>
        <v/>
      </c>
      <c r="AG259">
        <f>--(AE259=C259)</f>
        <v/>
      </c>
    </row>
    <row r="260">
      <c r="A260">
        <f>BreastCancer_Data!A260</f>
        <v/>
      </c>
      <c r="B260">
        <f>BreastCancer_Data!B260</f>
        <v/>
      </c>
      <c r="C260">
        <f>BreastCancer_Data!D260</f>
        <v/>
      </c>
      <c r="D260">
        <f>BreastCancer_Data!E260</f>
        <v/>
      </c>
      <c r="E260">
        <f>BreastCancer_Data!F260</f>
        <v/>
      </c>
      <c r="F260">
        <f>BreastCancer_Data!G260</f>
        <v/>
      </c>
      <c r="G260">
        <f>BreastCancer_Data!H260</f>
        <v/>
      </c>
      <c r="H260">
        <f>BreastCancer_Data!I260</f>
        <v/>
      </c>
      <c r="I260">
        <f>BreastCancer_Data!J260</f>
        <v/>
      </c>
      <c r="J260">
        <f>BreastCancer_Data!K260</f>
        <v/>
      </c>
      <c r="K260">
        <f>BreastCancer_Data!L260</f>
        <v/>
      </c>
      <c r="L260">
        <f>BreastCancer_Data!M260</f>
        <v/>
      </c>
      <c r="M260">
        <f>BreastCancer_Data!N260</f>
        <v/>
      </c>
      <c r="N260">
        <f>BreastCancer_Data!O260</f>
        <v/>
      </c>
      <c r="O260">
        <f>0</f>
        <v/>
      </c>
      <c r="P260">
        <f>--(AND(D260&lt;=113.15,E260&lt;=0.15,F260&lt;=15.77,G260&lt;=0.18,H260&lt;=33.27))*0</f>
        <v/>
      </c>
      <c r="Q260">
        <f>--(AND(D260&lt;=113.15,E260&lt;=0.15,F260&lt;=15.77,G260&lt;=0.18,H260&gt;33.27))*0</f>
        <v/>
      </c>
      <c r="R260">
        <f>--(AND(D260&lt;=113.15,E260&lt;=0.15,F260&lt;=15.77,G260&gt;0.18))*0</f>
        <v/>
      </c>
      <c r="S260">
        <f>--(AND(D260&lt;=113.15,E260&lt;=0.15,F260&gt;15.77,H260&lt;=28.86,G260&lt;=0.14))*0</f>
        <v/>
      </c>
      <c r="T260">
        <f>--(AND(D260&lt;=113.15,E260&lt;=0.15,F260&gt;15.77,H260&lt;=28.86,G260&gt;0.14))*1</f>
        <v/>
      </c>
      <c r="U260">
        <f>--(AND(D260&lt;=113.15,E260&lt;=0.15,F260&gt;15.77,H260&gt;28.86,M260&lt;=14.54))*1</f>
        <v/>
      </c>
      <c r="V260">
        <f>--(AND(D260&lt;=113.15,E260&lt;=0.15,F260&gt;15.77,H260&gt;28.86,M260&gt;14.54))*1</f>
        <v/>
      </c>
      <c r="W260">
        <f>--(AND(D260&lt;=113.15,E260&gt;0.15,H260&lt;=23.74))*0</f>
        <v/>
      </c>
      <c r="X260">
        <f>--(AND(D260&lt;=113.15,E260&gt;0.15,H260&gt;23.74,J260&lt;=0.1))*1</f>
        <v/>
      </c>
      <c r="Y260">
        <f>--(AND(D260&lt;=113.15,E260&gt;0.15,H260&gt;23.74,J260&gt;0.1))*1</f>
        <v/>
      </c>
      <c r="Z260">
        <f>--(AND(D260&gt;113.15,K260&lt;=0.22,L260&lt;=0.02))*1</f>
        <v/>
      </c>
      <c r="AA260">
        <f>--(AND(D260&gt;113.15,K260&lt;=0.22,L260&gt;0.02))*0</f>
        <v/>
      </c>
      <c r="AB260">
        <f>--(AND(D260&gt;113.15,K260&gt;0.22,N260&lt;=810.1))*0</f>
        <v/>
      </c>
      <c r="AC260">
        <f>--(AND(D260&gt;113.15,K260&gt;0.22,N260&gt;810.1,I260&lt;=14.95))*1</f>
        <v/>
      </c>
      <c r="AD260">
        <f>--(AND(D260&gt;113.15,K260&gt;0.22,N260&gt;810.1,I260&gt;14.95))*1</f>
        <v/>
      </c>
      <c r="AE260">
        <f>SUM(P260:AD260)</f>
        <v/>
      </c>
      <c r="AF260">
        <f>IF(AE260=1,"Malignant","Benign")</f>
        <v/>
      </c>
      <c r="AG260">
        <f>--(AE260=C260)</f>
        <v/>
      </c>
    </row>
    <row r="261">
      <c r="A261">
        <f>BreastCancer_Data!A261</f>
        <v/>
      </c>
      <c r="B261">
        <f>BreastCancer_Data!B261</f>
        <v/>
      </c>
      <c r="C261">
        <f>BreastCancer_Data!D261</f>
        <v/>
      </c>
      <c r="D261">
        <f>BreastCancer_Data!E261</f>
        <v/>
      </c>
      <c r="E261">
        <f>BreastCancer_Data!F261</f>
        <v/>
      </c>
      <c r="F261">
        <f>BreastCancer_Data!G261</f>
        <v/>
      </c>
      <c r="G261">
        <f>BreastCancer_Data!H261</f>
        <v/>
      </c>
      <c r="H261">
        <f>BreastCancer_Data!I261</f>
        <v/>
      </c>
      <c r="I261">
        <f>BreastCancer_Data!J261</f>
        <v/>
      </c>
      <c r="J261">
        <f>BreastCancer_Data!K261</f>
        <v/>
      </c>
      <c r="K261">
        <f>BreastCancer_Data!L261</f>
        <v/>
      </c>
      <c r="L261">
        <f>BreastCancer_Data!M261</f>
        <v/>
      </c>
      <c r="M261">
        <f>BreastCancer_Data!N261</f>
        <v/>
      </c>
      <c r="N261">
        <f>BreastCancer_Data!O261</f>
        <v/>
      </c>
      <c r="O261">
        <f>0</f>
        <v/>
      </c>
      <c r="P261">
        <f>--(AND(D261&lt;=113.15,E261&lt;=0.15,F261&lt;=15.77,G261&lt;=0.18,H261&lt;=33.27))*0</f>
        <v/>
      </c>
      <c r="Q261">
        <f>--(AND(D261&lt;=113.15,E261&lt;=0.15,F261&lt;=15.77,G261&lt;=0.18,H261&gt;33.27))*0</f>
        <v/>
      </c>
      <c r="R261">
        <f>--(AND(D261&lt;=113.15,E261&lt;=0.15,F261&lt;=15.77,G261&gt;0.18))*0</f>
        <v/>
      </c>
      <c r="S261">
        <f>--(AND(D261&lt;=113.15,E261&lt;=0.15,F261&gt;15.77,H261&lt;=28.86,G261&lt;=0.14))*0</f>
        <v/>
      </c>
      <c r="T261">
        <f>--(AND(D261&lt;=113.15,E261&lt;=0.15,F261&gt;15.77,H261&lt;=28.86,G261&gt;0.14))*1</f>
        <v/>
      </c>
      <c r="U261">
        <f>--(AND(D261&lt;=113.15,E261&lt;=0.15,F261&gt;15.77,H261&gt;28.86,M261&lt;=14.54))*1</f>
        <v/>
      </c>
      <c r="V261">
        <f>--(AND(D261&lt;=113.15,E261&lt;=0.15,F261&gt;15.77,H261&gt;28.86,M261&gt;14.54))*1</f>
        <v/>
      </c>
      <c r="W261">
        <f>--(AND(D261&lt;=113.15,E261&gt;0.15,H261&lt;=23.74))*0</f>
        <v/>
      </c>
      <c r="X261">
        <f>--(AND(D261&lt;=113.15,E261&gt;0.15,H261&gt;23.74,J261&lt;=0.1))*1</f>
        <v/>
      </c>
      <c r="Y261">
        <f>--(AND(D261&lt;=113.15,E261&gt;0.15,H261&gt;23.74,J261&gt;0.1))*1</f>
        <v/>
      </c>
      <c r="Z261">
        <f>--(AND(D261&gt;113.15,K261&lt;=0.22,L261&lt;=0.02))*1</f>
        <v/>
      </c>
      <c r="AA261">
        <f>--(AND(D261&gt;113.15,K261&lt;=0.22,L261&gt;0.02))*0</f>
        <v/>
      </c>
      <c r="AB261">
        <f>--(AND(D261&gt;113.15,K261&gt;0.22,N261&lt;=810.1))*0</f>
        <v/>
      </c>
      <c r="AC261">
        <f>--(AND(D261&gt;113.15,K261&gt;0.22,N261&gt;810.1,I261&lt;=14.95))*1</f>
        <v/>
      </c>
      <c r="AD261">
        <f>--(AND(D261&gt;113.15,K261&gt;0.22,N261&gt;810.1,I261&gt;14.95))*1</f>
        <v/>
      </c>
      <c r="AE261">
        <f>SUM(P261:AD261)</f>
        <v/>
      </c>
      <c r="AF261">
        <f>IF(AE261=1,"Malignant","Benign")</f>
        <v/>
      </c>
      <c r="AG261">
        <f>--(AE261=C261)</f>
        <v/>
      </c>
    </row>
    <row r="262">
      <c r="A262">
        <f>BreastCancer_Data!A262</f>
        <v/>
      </c>
      <c r="B262">
        <f>BreastCancer_Data!B262</f>
        <v/>
      </c>
      <c r="C262">
        <f>BreastCancer_Data!D262</f>
        <v/>
      </c>
      <c r="D262">
        <f>BreastCancer_Data!E262</f>
        <v/>
      </c>
      <c r="E262">
        <f>BreastCancer_Data!F262</f>
        <v/>
      </c>
      <c r="F262">
        <f>BreastCancer_Data!G262</f>
        <v/>
      </c>
      <c r="G262">
        <f>BreastCancer_Data!H262</f>
        <v/>
      </c>
      <c r="H262">
        <f>BreastCancer_Data!I262</f>
        <v/>
      </c>
      <c r="I262">
        <f>BreastCancer_Data!J262</f>
        <v/>
      </c>
      <c r="J262">
        <f>BreastCancer_Data!K262</f>
        <v/>
      </c>
      <c r="K262">
        <f>BreastCancer_Data!L262</f>
        <v/>
      </c>
      <c r="L262">
        <f>BreastCancer_Data!M262</f>
        <v/>
      </c>
      <c r="M262">
        <f>BreastCancer_Data!N262</f>
        <v/>
      </c>
      <c r="N262">
        <f>BreastCancer_Data!O262</f>
        <v/>
      </c>
      <c r="O262">
        <f>0</f>
        <v/>
      </c>
      <c r="P262">
        <f>--(AND(D262&lt;=113.15,E262&lt;=0.15,F262&lt;=15.77,G262&lt;=0.18,H262&lt;=33.27))*0</f>
        <v/>
      </c>
      <c r="Q262">
        <f>--(AND(D262&lt;=113.15,E262&lt;=0.15,F262&lt;=15.77,G262&lt;=0.18,H262&gt;33.27))*0</f>
        <v/>
      </c>
      <c r="R262">
        <f>--(AND(D262&lt;=113.15,E262&lt;=0.15,F262&lt;=15.77,G262&gt;0.18))*0</f>
        <v/>
      </c>
      <c r="S262">
        <f>--(AND(D262&lt;=113.15,E262&lt;=0.15,F262&gt;15.77,H262&lt;=28.86,G262&lt;=0.14))*0</f>
        <v/>
      </c>
      <c r="T262">
        <f>--(AND(D262&lt;=113.15,E262&lt;=0.15,F262&gt;15.77,H262&lt;=28.86,G262&gt;0.14))*1</f>
        <v/>
      </c>
      <c r="U262">
        <f>--(AND(D262&lt;=113.15,E262&lt;=0.15,F262&gt;15.77,H262&gt;28.86,M262&lt;=14.54))*1</f>
        <v/>
      </c>
      <c r="V262">
        <f>--(AND(D262&lt;=113.15,E262&lt;=0.15,F262&gt;15.77,H262&gt;28.86,M262&gt;14.54))*1</f>
        <v/>
      </c>
      <c r="W262">
        <f>--(AND(D262&lt;=113.15,E262&gt;0.15,H262&lt;=23.74))*0</f>
        <v/>
      </c>
      <c r="X262">
        <f>--(AND(D262&lt;=113.15,E262&gt;0.15,H262&gt;23.74,J262&lt;=0.1))*1</f>
        <v/>
      </c>
      <c r="Y262">
        <f>--(AND(D262&lt;=113.15,E262&gt;0.15,H262&gt;23.74,J262&gt;0.1))*1</f>
        <v/>
      </c>
      <c r="Z262">
        <f>--(AND(D262&gt;113.15,K262&lt;=0.22,L262&lt;=0.02))*1</f>
        <v/>
      </c>
      <c r="AA262">
        <f>--(AND(D262&gt;113.15,K262&lt;=0.22,L262&gt;0.02))*0</f>
        <v/>
      </c>
      <c r="AB262">
        <f>--(AND(D262&gt;113.15,K262&gt;0.22,N262&lt;=810.1))*0</f>
        <v/>
      </c>
      <c r="AC262">
        <f>--(AND(D262&gt;113.15,K262&gt;0.22,N262&gt;810.1,I262&lt;=14.95))*1</f>
        <v/>
      </c>
      <c r="AD262">
        <f>--(AND(D262&gt;113.15,K262&gt;0.22,N262&gt;810.1,I262&gt;14.95))*1</f>
        <v/>
      </c>
      <c r="AE262">
        <f>SUM(P262:AD262)</f>
        <v/>
      </c>
      <c r="AF262">
        <f>IF(AE262=1,"Malignant","Benign")</f>
        <v/>
      </c>
      <c r="AG262">
        <f>--(AE262=C262)</f>
        <v/>
      </c>
    </row>
    <row r="263">
      <c r="A263">
        <f>BreastCancer_Data!A263</f>
        <v/>
      </c>
      <c r="B263">
        <f>BreastCancer_Data!B263</f>
        <v/>
      </c>
      <c r="C263">
        <f>BreastCancer_Data!D263</f>
        <v/>
      </c>
      <c r="D263">
        <f>BreastCancer_Data!E263</f>
        <v/>
      </c>
      <c r="E263">
        <f>BreastCancer_Data!F263</f>
        <v/>
      </c>
      <c r="F263">
        <f>BreastCancer_Data!G263</f>
        <v/>
      </c>
      <c r="G263">
        <f>BreastCancer_Data!H263</f>
        <v/>
      </c>
      <c r="H263">
        <f>BreastCancer_Data!I263</f>
        <v/>
      </c>
      <c r="I263">
        <f>BreastCancer_Data!J263</f>
        <v/>
      </c>
      <c r="J263">
        <f>BreastCancer_Data!K263</f>
        <v/>
      </c>
      <c r="K263">
        <f>BreastCancer_Data!L263</f>
        <v/>
      </c>
      <c r="L263">
        <f>BreastCancer_Data!M263</f>
        <v/>
      </c>
      <c r="M263">
        <f>BreastCancer_Data!N263</f>
        <v/>
      </c>
      <c r="N263">
        <f>BreastCancer_Data!O263</f>
        <v/>
      </c>
      <c r="O263">
        <f>0</f>
        <v/>
      </c>
      <c r="P263">
        <f>--(AND(D263&lt;=113.15,E263&lt;=0.15,F263&lt;=15.77,G263&lt;=0.18,H263&lt;=33.27))*0</f>
        <v/>
      </c>
      <c r="Q263">
        <f>--(AND(D263&lt;=113.15,E263&lt;=0.15,F263&lt;=15.77,G263&lt;=0.18,H263&gt;33.27))*0</f>
        <v/>
      </c>
      <c r="R263">
        <f>--(AND(D263&lt;=113.15,E263&lt;=0.15,F263&lt;=15.77,G263&gt;0.18))*0</f>
        <v/>
      </c>
      <c r="S263">
        <f>--(AND(D263&lt;=113.15,E263&lt;=0.15,F263&gt;15.77,H263&lt;=28.86,G263&lt;=0.14))*0</f>
        <v/>
      </c>
      <c r="T263">
        <f>--(AND(D263&lt;=113.15,E263&lt;=0.15,F263&gt;15.77,H263&lt;=28.86,G263&gt;0.14))*1</f>
        <v/>
      </c>
      <c r="U263">
        <f>--(AND(D263&lt;=113.15,E263&lt;=0.15,F263&gt;15.77,H263&gt;28.86,M263&lt;=14.54))*1</f>
        <v/>
      </c>
      <c r="V263">
        <f>--(AND(D263&lt;=113.15,E263&lt;=0.15,F263&gt;15.77,H263&gt;28.86,M263&gt;14.54))*1</f>
        <v/>
      </c>
      <c r="W263">
        <f>--(AND(D263&lt;=113.15,E263&gt;0.15,H263&lt;=23.74))*0</f>
        <v/>
      </c>
      <c r="X263">
        <f>--(AND(D263&lt;=113.15,E263&gt;0.15,H263&gt;23.74,J263&lt;=0.1))*1</f>
        <v/>
      </c>
      <c r="Y263">
        <f>--(AND(D263&lt;=113.15,E263&gt;0.15,H263&gt;23.74,J263&gt;0.1))*1</f>
        <v/>
      </c>
      <c r="Z263">
        <f>--(AND(D263&gt;113.15,K263&lt;=0.22,L263&lt;=0.02))*1</f>
        <v/>
      </c>
      <c r="AA263">
        <f>--(AND(D263&gt;113.15,K263&lt;=0.22,L263&gt;0.02))*0</f>
        <v/>
      </c>
      <c r="AB263">
        <f>--(AND(D263&gt;113.15,K263&gt;0.22,N263&lt;=810.1))*0</f>
        <v/>
      </c>
      <c r="AC263">
        <f>--(AND(D263&gt;113.15,K263&gt;0.22,N263&gt;810.1,I263&lt;=14.95))*1</f>
        <v/>
      </c>
      <c r="AD263">
        <f>--(AND(D263&gt;113.15,K263&gt;0.22,N263&gt;810.1,I263&gt;14.95))*1</f>
        <v/>
      </c>
      <c r="AE263">
        <f>SUM(P263:AD263)</f>
        <v/>
      </c>
      <c r="AF263">
        <f>IF(AE263=1,"Malignant","Benign")</f>
        <v/>
      </c>
      <c r="AG263">
        <f>--(AE263=C263)</f>
        <v/>
      </c>
    </row>
    <row r="264">
      <c r="A264">
        <f>BreastCancer_Data!A264</f>
        <v/>
      </c>
      <c r="B264">
        <f>BreastCancer_Data!B264</f>
        <v/>
      </c>
      <c r="C264">
        <f>BreastCancer_Data!D264</f>
        <v/>
      </c>
      <c r="D264">
        <f>BreastCancer_Data!E264</f>
        <v/>
      </c>
      <c r="E264">
        <f>BreastCancer_Data!F264</f>
        <v/>
      </c>
      <c r="F264">
        <f>BreastCancer_Data!G264</f>
        <v/>
      </c>
      <c r="G264">
        <f>BreastCancer_Data!H264</f>
        <v/>
      </c>
      <c r="H264">
        <f>BreastCancer_Data!I264</f>
        <v/>
      </c>
      <c r="I264">
        <f>BreastCancer_Data!J264</f>
        <v/>
      </c>
      <c r="J264">
        <f>BreastCancer_Data!K264</f>
        <v/>
      </c>
      <c r="K264">
        <f>BreastCancer_Data!L264</f>
        <v/>
      </c>
      <c r="L264">
        <f>BreastCancer_Data!M264</f>
        <v/>
      </c>
      <c r="M264">
        <f>BreastCancer_Data!N264</f>
        <v/>
      </c>
      <c r="N264">
        <f>BreastCancer_Data!O264</f>
        <v/>
      </c>
      <c r="O264">
        <f>0</f>
        <v/>
      </c>
      <c r="P264">
        <f>--(AND(D264&lt;=113.15,E264&lt;=0.15,F264&lt;=15.77,G264&lt;=0.18,H264&lt;=33.27))*0</f>
        <v/>
      </c>
      <c r="Q264">
        <f>--(AND(D264&lt;=113.15,E264&lt;=0.15,F264&lt;=15.77,G264&lt;=0.18,H264&gt;33.27))*0</f>
        <v/>
      </c>
      <c r="R264">
        <f>--(AND(D264&lt;=113.15,E264&lt;=0.15,F264&lt;=15.77,G264&gt;0.18))*0</f>
        <v/>
      </c>
      <c r="S264">
        <f>--(AND(D264&lt;=113.15,E264&lt;=0.15,F264&gt;15.77,H264&lt;=28.86,G264&lt;=0.14))*0</f>
        <v/>
      </c>
      <c r="T264">
        <f>--(AND(D264&lt;=113.15,E264&lt;=0.15,F264&gt;15.77,H264&lt;=28.86,G264&gt;0.14))*1</f>
        <v/>
      </c>
      <c r="U264">
        <f>--(AND(D264&lt;=113.15,E264&lt;=0.15,F264&gt;15.77,H264&gt;28.86,M264&lt;=14.54))*1</f>
        <v/>
      </c>
      <c r="V264">
        <f>--(AND(D264&lt;=113.15,E264&lt;=0.15,F264&gt;15.77,H264&gt;28.86,M264&gt;14.54))*1</f>
        <v/>
      </c>
      <c r="W264">
        <f>--(AND(D264&lt;=113.15,E264&gt;0.15,H264&lt;=23.74))*0</f>
        <v/>
      </c>
      <c r="X264">
        <f>--(AND(D264&lt;=113.15,E264&gt;0.15,H264&gt;23.74,J264&lt;=0.1))*1</f>
        <v/>
      </c>
      <c r="Y264">
        <f>--(AND(D264&lt;=113.15,E264&gt;0.15,H264&gt;23.74,J264&gt;0.1))*1</f>
        <v/>
      </c>
      <c r="Z264">
        <f>--(AND(D264&gt;113.15,K264&lt;=0.22,L264&lt;=0.02))*1</f>
        <v/>
      </c>
      <c r="AA264">
        <f>--(AND(D264&gt;113.15,K264&lt;=0.22,L264&gt;0.02))*0</f>
        <v/>
      </c>
      <c r="AB264">
        <f>--(AND(D264&gt;113.15,K264&gt;0.22,N264&lt;=810.1))*0</f>
        <v/>
      </c>
      <c r="AC264">
        <f>--(AND(D264&gt;113.15,K264&gt;0.22,N264&gt;810.1,I264&lt;=14.95))*1</f>
        <v/>
      </c>
      <c r="AD264">
        <f>--(AND(D264&gt;113.15,K264&gt;0.22,N264&gt;810.1,I264&gt;14.95))*1</f>
        <v/>
      </c>
      <c r="AE264">
        <f>SUM(P264:AD264)</f>
        <v/>
      </c>
      <c r="AF264">
        <f>IF(AE264=1,"Malignant","Benign")</f>
        <v/>
      </c>
      <c r="AG264">
        <f>--(AE264=C264)</f>
        <v/>
      </c>
    </row>
    <row r="265">
      <c r="A265">
        <f>BreastCancer_Data!A265</f>
        <v/>
      </c>
      <c r="B265">
        <f>BreastCancer_Data!B265</f>
        <v/>
      </c>
      <c r="C265">
        <f>BreastCancer_Data!D265</f>
        <v/>
      </c>
      <c r="D265">
        <f>BreastCancer_Data!E265</f>
        <v/>
      </c>
      <c r="E265">
        <f>BreastCancer_Data!F265</f>
        <v/>
      </c>
      <c r="F265">
        <f>BreastCancer_Data!G265</f>
        <v/>
      </c>
      <c r="G265">
        <f>BreastCancer_Data!H265</f>
        <v/>
      </c>
      <c r="H265">
        <f>BreastCancer_Data!I265</f>
        <v/>
      </c>
      <c r="I265">
        <f>BreastCancer_Data!J265</f>
        <v/>
      </c>
      <c r="J265">
        <f>BreastCancer_Data!K265</f>
        <v/>
      </c>
      <c r="K265">
        <f>BreastCancer_Data!L265</f>
        <v/>
      </c>
      <c r="L265">
        <f>BreastCancer_Data!M265</f>
        <v/>
      </c>
      <c r="M265">
        <f>BreastCancer_Data!N265</f>
        <v/>
      </c>
      <c r="N265">
        <f>BreastCancer_Data!O265</f>
        <v/>
      </c>
      <c r="O265">
        <f>0</f>
        <v/>
      </c>
      <c r="P265">
        <f>--(AND(D265&lt;=113.15,E265&lt;=0.15,F265&lt;=15.77,G265&lt;=0.18,H265&lt;=33.27))*0</f>
        <v/>
      </c>
      <c r="Q265">
        <f>--(AND(D265&lt;=113.15,E265&lt;=0.15,F265&lt;=15.77,G265&lt;=0.18,H265&gt;33.27))*0</f>
        <v/>
      </c>
      <c r="R265">
        <f>--(AND(D265&lt;=113.15,E265&lt;=0.15,F265&lt;=15.77,G265&gt;0.18))*0</f>
        <v/>
      </c>
      <c r="S265">
        <f>--(AND(D265&lt;=113.15,E265&lt;=0.15,F265&gt;15.77,H265&lt;=28.86,G265&lt;=0.14))*0</f>
        <v/>
      </c>
      <c r="T265">
        <f>--(AND(D265&lt;=113.15,E265&lt;=0.15,F265&gt;15.77,H265&lt;=28.86,G265&gt;0.14))*1</f>
        <v/>
      </c>
      <c r="U265">
        <f>--(AND(D265&lt;=113.15,E265&lt;=0.15,F265&gt;15.77,H265&gt;28.86,M265&lt;=14.54))*1</f>
        <v/>
      </c>
      <c r="V265">
        <f>--(AND(D265&lt;=113.15,E265&lt;=0.15,F265&gt;15.77,H265&gt;28.86,M265&gt;14.54))*1</f>
        <v/>
      </c>
      <c r="W265">
        <f>--(AND(D265&lt;=113.15,E265&gt;0.15,H265&lt;=23.74))*0</f>
        <v/>
      </c>
      <c r="X265">
        <f>--(AND(D265&lt;=113.15,E265&gt;0.15,H265&gt;23.74,J265&lt;=0.1))*1</f>
        <v/>
      </c>
      <c r="Y265">
        <f>--(AND(D265&lt;=113.15,E265&gt;0.15,H265&gt;23.74,J265&gt;0.1))*1</f>
        <v/>
      </c>
      <c r="Z265">
        <f>--(AND(D265&gt;113.15,K265&lt;=0.22,L265&lt;=0.02))*1</f>
        <v/>
      </c>
      <c r="AA265">
        <f>--(AND(D265&gt;113.15,K265&lt;=0.22,L265&gt;0.02))*0</f>
        <v/>
      </c>
      <c r="AB265">
        <f>--(AND(D265&gt;113.15,K265&gt;0.22,N265&lt;=810.1))*0</f>
        <v/>
      </c>
      <c r="AC265">
        <f>--(AND(D265&gt;113.15,K265&gt;0.22,N265&gt;810.1,I265&lt;=14.95))*1</f>
        <v/>
      </c>
      <c r="AD265">
        <f>--(AND(D265&gt;113.15,K265&gt;0.22,N265&gt;810.1,I265&gt;14.95))*1</f>
        <v/>
      </c>
      <c r="AE265">
        <f>SUM(P265:AD265)</f>
        <v/>
      </c>
      <c r="AF265">
        <f>IF(AE265=1,"Malignant","Benign")</f>
        <v/>
      </c>
      <c r="AG265">
        <f>--(AE265=C265)</f>
        <v/>
      </c>
    </row>
    <row r="266">
      <c r="A266">
        <f>BreastCancer_Data!A266</f>
        <v/>
      </c>
      <c r="B266">
        <f>BreastCancer_Data!B266</f>
        <v/>
      </c>
      <c r="C266">
        <f>BreastCancer_Data!D266</f>
        <v/>
      </c>
      <c r="D266">
        <f>BreastCancer_Data!E266</f>
        <v/>
      </c>
      <c r="E266">
        <f>BreastCancer_Data!F266</f>
        <v/>
      </c>
      <c r="F266">
        <f>BreastCancer_Data!G266</f>
        <v/>
      </c>
      <c r="G266">
        <f>BreastCancer_Data!H266</f>
        <v/>
      </c>
      <c r="H266">
        <f>BreastCancer_Data!I266</f>
        <v/>
      </c>
      <c r="I266">
        <f>BreastCancer_Data!J266</f>
        <v/>
      </c>
      <c r="J266">
        <f>BreastCancer_Data!K266</f>
        <v/>
      </c>
      <c r="K266">
        <f>BreastCancer_Data!L266</f>
        <v/>
      </c>
      <c r="L266">
        <f>BreastCancer_Data!M266</f>
        <v/>
      </c>
      <c r="M266">
        <f>BreastCancer_Data!N266</f>
        <v/>
      </c>
      <c r="N266">
        <f>BreastCancer_Data!O266</f>
        <v/>
      </c>
      <c r="O266">
        <f>0</f>
        <v/>
      </c>
      <c r="P266">
        <f>--(AND(D266&lt;=113.15,E266&lt;=0.15,F266&lt;=15.77,G266&lt;=0.18,H266&lt;=33.27))*0</f>
        <v/>
      </c>
      <c r="Q266">
        <f>--(AND(D266&lt;=113.15,E266&lt;=0.15,F266&lt;=15.77,G266&lt;=0.18,H266&gt;33.27))*0</f>
        <v/>
      </c>
      <c r="R266">
        <f>--(AND(D266&lt;=113.15,E266&lt;=0.15,F266&lt;=15.77,G266&gt;0.18))*0</f>
        <v/>
      </c>
      <c r="S266">
        <f>--(AND(D266&lt;=113.15,E266&lt;=0.15,F266&gt;15.77,H266&lt;=28.86,G266&lt;=0.14))*0</f>
        <v/>
      </c>
      <c r="T266">
        <f>--(AND(D266&lt;=113.15,E266&lt;=0.15,F266&gt;15.77,H266&lt;=28.86,G266&gt;0.14))*1</f>
        <v/>
      </c>
      <c r="U266">
        <f>--(AND(D266&lt;=113.15,E266&lt;=0.15,F266&gt;15.77,H266&gt;28.86,M266&lt;=14.54))*1</f>
        <v/>
      </c>
      <c r="V266">
        <f>--(AND(D266&lt;=113.15,E266&lt;=0.15,F266&gt;15.77,H266&gt;28.86,M266&gt;14.54))*1</f>
        <v/>
      </c>
      <c r="W266">
        <f>--(AND(D266&lt;=113.15,E266&gt;0.15,H266&lt;=23.74))*0</f>
        <v/>
      </c>
      <c r="X266">
        <f>--(AND(D266&lt;=113.15,E266&gt;0.15,H266&gt;23.74,J266&lt;=0.1))*1</f>
        <v/>
      </c>
      <c r="Y266">
        <f>--(AND(D266&lt;=113.15,E266&gt;0.15,H266&gt;23.74,J266&gt;0.1))*1</f>
        <v/>
      </c>
      <c r="Z266">
        <f>--(AND(D266&gt;113.15,K266&lt;=0.22,L266&lt;=0.02))*1</f>
        <v/>
      </c>
      <c r="AA266">
        <f>--(AND(D266&gt;113.15,K266&lt;=0.22,L266&gt;0.02))*0</f>
        <v/>
      </c>
      <c r="AB266">
        <f>--(AND(D266&gt;113.15,K266&gt;0.22,N266&lt;=810.1))*0</f>
        <v/>
      </c>
      <c r="AC266">
        <f>--(AND(D266&gt;113.15,K266&gt;0.22,N266&gt;810.1,I266&lt;=14.95))*1</f>
        <v/>
      </c>
      <c r="AD266">
        <f>--(AND(D266&gt;113.15,K266&gt;0.22,N266&gt;810.1,I266&gt;14.95))*1</f>
        <v/>
      </c>
      <c r="AE266">
        <f>SUM(P266:AD266)</f>
        <v/>
      </c>
      <c r="AF266">
        <f>IF(AE266=1,"Malignant","Benign")</f>
        <v/>
      </c>
      <c r="AG266">
        <f>--(AE266=C266)</f>
        <v/>
      </c>
    </row>
    <row r="267">
      <c r="A267">
        <f>BreastCancer_Data!A267</f>
        <v/>
      </c>
      <c r="B267">
        <f>BreastCancer_Data!B267</f>
        <v/>
      </c>
      <c r="C267">
        <f>BreastCancer_Data!D267</f>
        <v/>
      </c>
      <c r="D267">
        <f>BreastCancer_Data!E267</f>
        <v/>
      </c>
      <c r="E267">
        <f>BreastCancer_Data!F267</f>
        <v/>
      </c>
      <c r="F267">
        <f>BreastCancer_Data!G267</f>
        <v/>
      </c>
      <c r="G267">
        <f>BreastCancer_Data!H267</f>
        <v/>
      </c>
      <c r="H267">
        <f>BreastCancer_Data!I267</f>
        <v/>
      </c>
      <c r="I267">
        <f>BreastCancer_Data!J267</f>
        <v/>
      </c>
      <c r="J267">
        <f>BreastCancer_Data!K267</f>
        <v/>
      </c>
      <c r="K267">
        <f>BreastCancer_Data!L267</f>
        <v/>
      </c>
      <c r="L267">
        <f>BreastCancer_Data!M267</f>
        <v/>
      </c>
      <c r="M267">
        <f>BreastCancer_Data!N267</f>
        <v/>
      </c>
      <c r="N267">
        <f>BreastCancer_Data!O267</f>
        <v/>
      </c>
      <c r="O267">
        <f>0</f>
        <v/>
      </c>
      <c r="P267">
        <f>--(AND(D267&lt;=113.15,E267&lt;=0.15,F267&lt;=15.77,G267&lt;=0.18,H267&lt;=33.27))*0</f>
        <v/>
      </c>
      <c r="Q267">
        <f>--(AND(D267&lt;=113.15,E267&lt;=0.15,F267&lt;=15.77,G267&lt;=0.18,H267&gt;33.27))*0</f>
        <v/>
      </c>
      <c r="R267">
        <f>--(AND(D267&lt;=113.15,E267&lt;=0.15,F267&lt;=15.77,G267&gt;0.18))*0</f>
        <v/>
      </c>
      <c r="S267">
        <f>--(AND(D267&lt;=113.15,E267&lt;=0.15,F267&gt;15.77,H267&lt;=28.86,G267&lt;=0.14))*0</f>
        <v/>
      </c>
      <c r="T267">
        <f>--(AND(D267&lt;=113.15,E267&lt;=0.15,F267&gt;15.77,H267&lt;=28.86,G267&gt;0.14))*1</f>
        <v/>
      </c>
      <c r="U267">
        <f>--(AND(D267&lt;=113.15,E267&lt;=0.15,F267&gt;15.77,H267&gt;28.86,M267&lt;=14.54))*1</f>
        <v/>
      </c>
      <c r="V267">
        <f>--(AND(D267&lt;=113.15,E267&lt;=0.15,F267&gt;15.77,H267&gt;28.86,M267&gt;14.54))*1</f>
        <v/>
      </c>
      <c r="W267">
        <f>--(AND(D267&lt;=113.15,E267&gt;0.15,H267&lt;=23.74))*0</f>
        <v/>
      </c>
      <c r="X267">
        <f>--(AND(D267&lt;=113.15,E267&gt;0.15,H267&gt;23.74,J267&lt;=0.1))*1</f>
        <v/>
      </c>
      <c r="Y267">
        <f>--(AND(D267&lt;=113.15,E267&gt;0.15,H267&gt;23.74,J267&gt;0.1))*1</f>
        <v/>
      </c>
      <c r="Z267">
        <f>--(AND(D267&gt;113.15,K267&lt;=0.22,L267&lt;=0.02))*1</f>
        <v/>
      </c>
      <c r="AA267">
        <f>--(AND(D267&gt;113.15,K267&lt;=0.22,L267&gt;0.02))*0</f>
        <v/>
      </c>
      <c r="AB267">
        <f>--(AND(D267&gt;113.15,K267&gt;0.22,N267&lt;=810.1))*0</f>
        <v/>
      </c>
      <c r="AC267">
        <f>--(AND(D267&gt;113.15,K267&gt;0.22,N267&gt;810.1,I267&lt;=14.95))*1</f>
        <v/>
      </c>
      <c r="AD267">
        <f>--(AND(D267&gt;113.15,K267&gt;0.22,N267&gt;810.1,I267&gt;14.95))*1</f>
        <v/>
      </c>
      <c r="AE267">
        <f>SUM(P267:AD267)</f>
        <v/>
      </c>
      <c r="AF267">
        <f>IF(AE267=1,"Malignant","Benign")</f>
        <v/>
      </c>
      <c r="AG267">
        <f>--(AE267=C267)</f>
        <v/>
      </c>
    </row>
    <row r="268">
      <c r="A268">
        <f>BreastCancer_Data!A268</f>
        <v/>
      </c>
      <c r="B268">
        <f>BreastCancer_Data!B268</f>
        <v/>
      </c>
      <c r="C268">
        <f>BreastCancer_Data!D268</f>
        <v/>
      </c>
      <c r="D268">
        <f>BreastCancer_Data!E268</f>
        <v/>
      </c>
      <c r="E268">
        <f>BreastCancer_Data!F268</f>
        <v/>
      </c>
      <c r="F268">
        <f>BreastCancer_Data!G268</f>
        <v/>
      </c>
      <c r="G268">
        <f>BreastCancer_Data!H268</f>
        <v/>
      </c>
      <c r="H268">
        <f>BreastCancer_Data!I268</f>
        <v/>
      </c>
      <c r="I268">
        <f>BreastCancer_Data!J268</f>
        <v/>
      </c>
      <c r="J268">
        <f>BreastCancer_Data!K268</f>
        <v/>
      </c>
      <c r="K268">
        <f>BreastCancer_Data!L268</f>
        <v/>
      </c>
      <c r="L268">
        <f>BreastCancer_Data!M268</f>
        <v/>
      </c>
      <c r="M268">
        <f>BreastCancer_Data!N268</f>
        <v/>
      </c>
      <c r="N268">
        <f>BreastCancer_Data!O268</f>
        <v/>
      </c>
      <c r="O268">
        <f>0</f>
        <v/>
      </c>
      <c r="P268">
        <f>--(AND(D268&lt;=113.15,E268&lt;=0.15,F268&lt;=15.77,G268&lt;=0.18,H268&lt;=33.27))*0</f>
        <v/>
      </c>
      <c r="Q268">
        <f>--(AND(D268&lt;=113.15,E268&lt;=0.15,F268&lt;=15.77,G268&lt;=0.18,H268&gt;33.27))*0</f>
        <v/>
      </c>
      <c r="R268">
        <f>--(AND(D268&lt;=113.15,E268&lt;=0.15,F268&lt;=15.77,G268&gt;0.18))*0</f>
        <v/>
      </c>
      <c r="S268">
        <f>--(AND(D268&lt;=113.15,E268&lt;=0.15,F268&gt;15.77,H268&lt;=28.86,G268&lt;=0.14))*0</f>
        <v/>
      </c>
      <c r="T268">
        <f>--(AND(D268&lt;=113.15,E268&lt;=0.15,F268&gt;15.77,H268&lt;=28.86,G268&gt;0.14))*1</f>
        <v/>
      </c>
      <c r="U268">
        <f>--(AND(D268&lt;=113.15,E268&lt;=0.15,F268&gt;15.77,H268&gt;28.86,M268&lt;=14.54))*1</f>
        <v/>
      </c>
      <c r="V268">
        <f>--(AND(D268&lt;=113.15,E268&lt;=0.15,F268&gt;15.77,H268&gt;28.86,M268&gt;14.54))*1</f>
        <v/>
      </c>
      <c r="W268">
        <f>--(AND(D268&lt;=113.15,E268&gt;0.15,H268&lt;=23.74))*0</f>
        <v/>
      </c>
      <c r="X268">
        <f>--(AND(D268&lt;=113.15,E268&gt;0.15,H268&gt;23.74,J268&lt;=0.1))*1</f>
        <v/>
      </c>
      <c r="Y268">
        <f>--(AND(D268&lt;=113.15,E268&gt;0.15,H268&gt;23.74,J268&gt;0.1))*1</f>
        <v/>
      </c>
      <c r="Z268">
        <f>--(AND(D268&gt;113.15,K268&lt;=0.22,L268&lt;=0.02))*1</f>
        <v/>
      </c>
      <c r="AA268">
        <f>--(AND(D268&gt;113.15,K268&lt;=0.22,L268&gt;0.02))*0</f>
        <v/>
      </c>
      <c r="AB268">
        <f>--(AND(D268&gt;113.15,K268&gt;0.22,N268&lt;=810.1))*0</f>
        <v/>
      </c>
      <c r="AC268">
        <f>--(AND(D268&gt;113.15,K268&gt;0.22,N268&gt;810.1,I268&lt;=14.95))*1</f>
        <v/>
      </c>
      <c r="AD268">
        <f>--(AND(D268&gt;113.15,K268&gt;0.22,N268&gt;810.1,I268&gt;14.95))*1</f>
        <v/>
      </c>
      <c r="AE268">
        <f>SUM(P268:AD268)</f>
        <v/>
      </c>
      <c r="AF268">
        <f>IF(AE268=1,"Malignant","Benign")</f>
        <v/>
      </c>
      <c r="AG268">
        <f>--(AE268=C268)</f>
        <v/>
      </c>
    </row>
    <row r="269">
      <c r="A269">
        <f>BreastCancer_Data!A269</f>
        <v/>
      </c>
      <c r="B269">
        <f>BreastCancer_Data!B269</f>
        <v/>
      </c>
      <c r="C269">
        <f>BreastCancer_Data!D269</f>
        <v/>
      </c>
      <c r="D269">
        <f>BreastCancer_Data!E269</f>
        <v/>
      </c>
      <c r="E269">
        <f>BreastCancer_Data!F269</f>
        <v/>
      </c>
      <c r="F269">
        <f>BreastCancer_Data!G269</f>
        <v/>
      </c>
      <c r="G269">
        <f>BreastCancer_Data!H269</f>
        <v/>
      </c>
      <c r="H269">
        <f>BreastCancer_Data!I269</f>
        <v/>
      </c>
      <c r="I269">
        <f>BreastCancer_Data!J269</f>
        <v/>
      </c>
      <c r="J269">
        <f>BreastCancer_Data!K269</f>
        <v/>
      </c>
      <c r="K269">
        <f>BreastCancer_Data!L269</f>
        <v/>
      </c>
      <c r="L269">
        <f>BreastCancer_Data!M269</f>
        <v/>
      </c>
      <c r="M269">
        <f>BreastCancer_Data!N269</f>
        <v/>
      </c>
      <c r="N269">
        <f>BreastCancer_Data!O269</f>
        <v/>
      </c>
      <c r="O269">
        <f>0</f>
        <v/>
      </c>
      <c r="P269">
        <f>--(AND(D269&lt;=113.15,E269&lt;=0.15,F269&lt;=15.77,G269&lt;=0.18,H269&lt;=33.27))*0</f>
        <v/>
      </c>
      <c r="Q269">
        <f>--(AND(D269&lt;=113.15,E269&lt;=0.15,F269&lt;=15.77,G269&lt;=0.18,H269&gt;33.27))*0</f>
        <v/>
      </c>
      <c r="R269">
        <f>--(AND(D269&lt;=113.15,E269&lt;=0.15,F269&lt;=15.77,G269&gt;0.18))*0</f>
        <v/>
      </c>
      <c r="S269">
        <f>--(AND(D269&lt;=113.15,E269&lt;=0.15,F269&gt;15.77,H269&lt;=28.86,G269&lt;=0.14))*0</f>
        <v/>
      </c>
      <c r="T269">
        <f>--(AND(D269&lt;=113.15,E269&lt;=0.15,F269&gt;15.77,H269&lt;=28.86,G269&gt;0.14))*1</f>
        <v/>
      </c>
      <c r="U269">
        <f>--(AND(D269&lt;=113.15,E269&lt;=0.15,F269&gt;15.77,H269&gt;28.86,M269&lt;=14.54))*1</f>
        <v/>
      </c>
      <c r="V269">
        <f>--(AND(D269&lt;=113.15,E269&lt;=0.15,F269&gt;15.77,H269&gt;28.86,M269&gt;14.54))*1</f>
        <v/>
      </c>
      <c r="W269">
        <f>--(AND(D269&lt;=113.15,E269&gt;0.15,H269&lt;=23.74))*0</f>
        <v/>
      </c>
      <c r="X269">
        <f>--(AND(D269&lt;=113.15,E269&gt;0.15,H269&gt;23.74,J269&lt;=0.1))*1</f>
        <v/>
      </c>
      <c r="Y269">
        <f>--(AND(D269&lt;=113.15,E269&gt;0.15,H269&gt;23.74,J269&gt;0.1))*1</f>
        <v/>
      </c>
      <c r="Z269">
        <f>--(AND(D269&gt;113.15,K269&lt;=0.22,L269&lt;=0.02))*1</f>
        <v/>
      </c>
      <c r="AA269">
        <f>--(AND(D269&gt;113.15,K269&lt;=0.22,L269&gt;0.02))*0</f>
        <v/>
      </c>
      <c r="AB269">
        <f>--(AND(D269&gt;113.15,K269&gt;0.22,N269&lt;=810.1))*0</f>
        <v/>
      </c>
      <c r="AC269">
        <f>--(AND(D269&gt;113.15,K269&gt;0.22,N269&gt;810.1,I269&lt;=14.95))*1</f>
        <v/>
      </c>
      <c r="AD269">
        <f>--(AND(D269&gt;113.15,K269&gt;0.22,N269&gt;810.1,I269&gt;14.95))*1</f>
        <v/>
      </c>
      <c r="AE269">
        <f>SUM(P269:AD269)</f>
        <v/>
      </c>
      <c r="AF269">
        <f>IF(AE269=1,"Malignant","Benign")</f>
        <v/>
      </c>
      <c r="AG269">
        <f>--(AE269=C269)</f>
        <v/>
      </c>
    </row>
    <row r="270">
      <c r="A270">
        <f>BreastCancer_Data!A270</f>
        <v/>
      </c>
      <c r="B270">
        <f>BreastCancer_Data!B270</f>
        <v/>
      </c>
      <c r="C270">
        <f>BreastCancer_Data!D270</f>
        <v/>
      </c>
      <c r="D270">
        <f>BreastCancer_Data!E270</f>
        <v/>
      </c>
      <c r="E270">
        <f>BreastCancer_Data!F270</f>
        <v/>
      </c>
      <c r="F270">
        <f>BreastCancer_Data!G270</f>
        <v/>
      </c>
      <c r="G270">
        <f>BreastCancer_Data!H270</f>
        <v/>
      </c>
      <c r="H270">
        <f>BreastCancer_Data!I270</f>
        <v/>
      </c>
      <c r="I270">
        <f>BreastCancer_Data!J270</f>
        <v/>
      </c>
      <c r="J270">
        <f>BreastCancer_Data!K270</f>
        <v/>
      </c>
      <c r="K270">
        <f>BreastCancer_Data!L270</f>
        <v/>
      </c>
      <c r="L270">
        <f>BreastCancer_Data!M270</f>
        <v/>
      </c>
      <c r="M270">
        <f>BreastCancer_Data!N270</f>
        <v/>
      </c>
      <c r="N270">
        <f>BreastCancer_Data!O270</f>
        <v/>
      </c>
      <c r="O270">
        <f>0</f>
        <v/>
      </c>
      <c r="P270">
        <f>--(AND(D270&lt;=113.15,E270&lt;=0.15,F270&lt;=15.77,G270&lt;=0.18,H270&lt;=33.27))*0</f>
        <v/>
      </c>
      <c r="Q270">
        <f>--(AND(D270&lt;=113.15,E270&lt;=0.15,F270&lt;=15.77,G270&lt;=0.18,H270&gt;33.27))*0</f>
        <v/>
      </c>
      <c r="R270">
        <f>--(AND(D270&lt;=113.15,E270&lt;=0.15,F270&lt;=15.77,G270&gt;0.18))*0</f>
        <v/>
      </c>
      <c r="S270">
        <f>--(AND(D270&lt;=113.15,E270&lt;=0.15,F270&gt;15.77,H270&lt;=28.86,G270&lt;=0.14))*0</f>
        <v/>
      </c>
      <c r="T270">
        <f>--(AND(D270&lt;=113.15,E270&lt;=0.15,F270&gt;15.77,H270&lt;=28.86,G270&gt;0.14))*1</f>
        <v/>
      </c>
      <c r="U270">
        <f>--(AND(D270&lt;=113.15,E270&lt;=0.15,F270&gt;15.77,H270&gt;28.86,M270&lt;=14.54))*1</f>
        <v/>
      </c>
      <c r="V270">
        <f>--(AND(D270&lt;=113.15,E270&lt;=0.15,F270&gt;15.77,H270&gt;28.86,M270&gt;14.54))*1</f>
        <v/>
      </c>
      <c r="W270">
        <f>--(AND(D270&lt;=113.15,E270&gt;0.15,H270&lt;=23.74))*0</f>
        <v/>
      </c>
      <c r="X270">
        <f>--(AND(D270&lt;=113.15,E270&gt;0.15,H270&gt;23.74,J270&lt;=0.1))*1</f>
        <v/>
      </c>
      <c r="Y270">
        <f>--(AND(D270&lt;=113.15,E270&gt;0.15,H270&gt;23.74,J270&gt;0.1))*1</f>
        <v/>
      </c>
      <c r="Z270">
        <f>--(AND(D270&gt;113.15,K270&lt;=0.22,L270&lt;=0.02))*1</f>
        <v/>
      </c>
      <c r="AA270">
        <f>--(AND(D270&gt;113.15,K270&lt;=0.22,L270&gt;0.02))*0</f>
        <v/>
      </c>
      <c r="AB270">
        <f>--(AND(D270&gt;113.15,K270&gt;0.22,N270&lt;=810.1))*0</f>
        <v/>
      </c>
      <c r="AC270">
        <f>--(AND(D270&gt;113.15,K270&gt;0.22,N270&gt;810.1,I270&lt;=14.95))*1</f>
        <v/>
      </c>
      <c r="AD270">
        <f>--(AND(D270&gt;113.15,K270&gt;0.22,N270&gt;810.1,I270&gt;14.95))*1</f>
        <v/>
      </c>
      <c r="AE270">
        <f>SUM(P270:AD270)</f>
        <v/>
      </c>
      <c r="AF270">
        <f>IF(AE270=1,"Malignant","Benign")</f>
        <v/>
      </c>
      <c r="AG270">
        <f>--(AE270=C270)</f>
        <v/>
      </c>
    </row>
    <row r="271">
      <c r="A271">
        <f>BreastCancer_Data!A271</f>
        <v/>
      </c>
      <c r="B271">
        <f>BreastCancer_Data!B271</f>
        <v/>
      </c>
      <c r="C271">
        <f>BreastCancer_Data!D271</f>
        <v/>
      </c>
      <c r="D271">
        <f>BreastCancer_Data!E271</f>
        <v/>
      </c>
      <c r="E271">
        <f>BreastCancer_Data!F271</f>
        <v/>
      </c>
      <c r="F271">
        <f>BreastCancer_Data!G271</f>
        <v/>
      </c>
      <c r="G271">
        <f>BreastCancer_Data!H271</f>
        <v/>
      </c>
      <c r="H271">
        <f>BreastCancer_Data!I271</f>
        <v/>
      </c>
      <c r="I271">
        <f>BreastCancer_Data!J271</f>
        <v/>
      </c>
      <c r="J271">
        <f>BreastCancer_Data!K271</f>
        <v/>
      </c>
      <c r="K271">
        <f>BreastCancer_Data!L271</f>
        <v/>
      </c>
      <c r="L271">
        <f>BreastCancer_Data!M271</f>
        <v/>
      </c>
      <c r="M271">
        <f>BreastCancer_Data!N271</f>
        <v/>
      </c>
      <c r="N271">
        <f>BreastCancer_Data!O271</f>
        <v/>
      </c>
      <c r="O271">
        <f>0</f>
        <v/>
      </c>
      <c r="P271">
        <f>--(AND(D271&lt;=113.15,E271&lt;=0.15,F271&lt;=15.77,G271&lt;=0.18,H271&lt;=33.27))*0</f>
        <v/>
      </c>
      <c r="Q271">
        <f>--(AND(D271&lt;=113.15,E271&lt;=0.15,F271&lt;=15.77,G271&lt;=0.18,H271&gt;33.27))*0</f>
        <v/>
      </c>
      <c r="R271">
        <f>--(AND(D271&lt;=113.15,E271&lt;=0.15,F271&lt;=15.77,G271&gt;0.18))*0</f>
        <v/>
      </c>
      <c r="S271">
        <f>--(AND(D271&lt;=113.15,E271&lt;=0.15,F271&gt;15.77,H271&lt;=28.86,G271&lt;=0.14))*0</f>
        <v/>
      </c>
      <c r="T271">
        <f>--(AND(D271&lt;=113.15,E271&lt;=0.15,F271&gt;15.77,H271&lt;=28.86,G271&gt;0.14))*1</f>
        <v/>
      </c>
      <c r="U271">
        <f>--(AND(D271&lt;=113.15,E271&lt;=0.15,F271&gt;15.77,H271&gt;28.86,M271&lt;=14.54))*1</f>
        <v/>
      </c>
      <c r="V271">
        <f>--(AND(D271&lt;=113.15,E271&lt;=0.15,F271&gt;15.77,H271&gt;28.86,M271&gt;14.54))*1</f>
        <v/>
      </c>
      <c r="W271">
        <f>--(AND(D271&lt;=113.15,E271&gt;0.15,H271&lt;=23.74))*0</f>
        <v/>
      </c>
      <c r="X271">
        <f>--(AND(D271&lt;=113.15,E271&gt;0.15,H271&gt;23.74,J271&lt;=0.1))*1</f>
        <v/>
      </c>
      <c r="Y271">
        <f>--(AND(D271&lt;=113.15,E271&gt;0.15,H271&gt;23.74,J271&gt;0.1))*1</f>
        <v/>
      </c>
      <c r="Z271">
        <f>--(AND(D271&gt;113.15,K271&lt;=0.22,L271&lt;=0.02))*1</f>
        <v/>
      </c>
      <c r="AA271">
        <f>--(AND(D271&gt;113.15,K271&lt;=0.22,L271&gt;0.02))*0</f>
        <v/>
      </c>
      <c r="AB271">
        <f>--(AND(D271&gt;113.15,K271&gt;0.22,N271&lt;=810.1))*0</f>
        <v/>
      </c>
      <c r="AC271">
        <f>--(AND(D271&gt;113.15,K271&gt;0.22,N271&gt;810.1,I271&lt;=14.95))*1</f>
        <v/>
      </c>
      <c r="AD271">
        <f>--(AND(D271&gt;113.15,K271&gt;0.22,N271&gt;810.1,I271&gt;14.95))*1</f>
        <v/>
      </c>
      <c r="AE271">
        <f>SUM(P271:AD271)</f>
        <v/>
      </c>
      <c r="AF271">
        <f>IF(AE271=1,"Malignant","Benign")</f>
        <v/>
      </c>
      <c r="AG271">
        <f>--(AE271=C271)</f>
        <v/>
      </c>
    </row>
    <row r="272">
      <c r="A272">
        <f>BreastCancer_Data!A272</f>
        <v/>
      </c>
      <c r="B272">
        <f>BreastCancer_Data!B272</f>
        <v/>
      </c>
      <c r="C272">
        <f>BreastCancer_Data!D272</f>
        <v/>
      </c>
      <c r="D272">
        <f>BreastCancer_Data!E272</f>
        <v/>
      </c>
      <c r="E272">
        <f>BreastCancer_Data!F272</f>
        <v/>
      </c>
      <c r="F272">
        <f>BreastCancer_Data!G272</f>
        <v/>
      </c>
      <c r="G272">
        <f>BreastCancer_Data!H272</f>
        <v/>
      </c>
      <c r="H272">
        <f>BreastCancer_Data!I272</f>
        <v/>
      </c>
      <c r="I272">
        <f>BreastCancer_Data!J272</f>
        <v/>
      </c>
      <c r="J272">
        <f>BreastCancer_Data!K272</f>
        <v/>
      </c>
      <c r="K272">
        <f>BreastCancer_Data!L272</f>
        <v/>
      </c>
      <c r="L272">
        <f>BreastCancer_Data!M272</f>
        <v/>
      </c>
      <c r="M272">
        <f>BreastCancer_Data!N272</f>
        <v/>
      </c>
      <c r="N272">
        <f>BreastCancer_Data!O272</f>
        <v/>
      </c>
      <c r="O272">
        <f>0</f>
        <v/>
      </c>
      <c r="P272">
        <f>--(AND(D272&lt;=113.15,E272&lt;=0.15,F272&lt;=15.77,G272&lt;=0.18,H272&lt;=33.27))*0</f>
        <v/>
      </c>
      <c r="Q272">
        <f>--(AND(D272&lt;=113.15,E272&lt;=0.15,F272&lt;=15.77,G272&lt;=0.18,H272&gt;33.27))*0</f>
        <v/>
      </c>
      <c r="R272">
        <f>--(AND(D272&lt;=113.15,E272&lt;=0.15,F272&lt;=15.77,G272&gt;0.18))*0</f>
        <v/>
      </c>
      <c r="S272">
        <f>--(AND(D272&lt;=113.15,E272&lt;=0.15,F272&gt;15.77,H272&lt;=28.86,G272&lt;=0.14))*0</f>
        <v/>
      </c>
      <c r="T272">
        <f>--(AND(D272&lt;=113.15,E272&lt;=0.15,F272&gt;15.77,H272&lt;=28.86,G272&gt;0.14))*1</f>
        <v/>
      </c>
      <c r="U272">
        <f>--(AND(D272&lt;=113.15,E272&lt;=0.15,F272&gt;15.77,H272&gt;28.86,M272&lt;=14.54))*1</f>
        <v/>
      </c>
      <c r="V272">
        <f>--(AND(D272&lt;=113.15,E272&lt;=0.15,F272&gt;15.77,H272&gt;28.86,M272&gt;14.54))*1</f>
        <v/>
      </c>
      <c r="W272">
        <f>--(AND(D272&lt;=113.15,E272&gt;0.15,H272&lt;=23.74))*0</f>
        <v/>
      </c>
      <c r="X272">
        <f>--(AND(D272&lt;=113.15,E272&gt;0.15,H272&gt;23.74,J272&lt;=0.1))*1</f>
        <v/>
      </c>
      <c r="Y272">
        <f>--(AND(D272&lt;=113.15,E272&gt;0.15,H272&gt;23.74,J272&gt;0.1))*1</f>
        <v/>
      </c>
      <c r="Z272">
        <f>--(AND(D272&gt;113.15,K272&lt;=0.22,L272&lt;=0.02))*1</f>
        <v/>
      </c>
      <c r="AA272">
        <f>--(AND(D272&gt;113.15,K272&lt;=0.22,L272&gt;0.02))*0</f>
        <v/>
      </c>
      <c r="AB272">
        <f>--(AND(D272&gt;113.15,K272&gt;0.22,N272&lt;=810.1))*0</f>
        <v/>
      </c>
      <c r="AC272">
        <f>--(AND(D272&gt;113.15,K272&gt;0.22,N272&gt;810.1,I272&lt;=14.95))*1</f>
        <v/>
      </c>
      <c r="AD272">
        <f>--(AND(D272&gt;113.15,K272&gt;0.22,N272&gt;810.1,I272&gt;14.95))*1</f>
        <v/>
      </c>
      <c r="AE272">
        <f>SUM(P272:AD272)</f>
        <v/>
      </c>
      <c r="AF272">
        <f>IF(AE272=1,"Malignant","Benign")</f>
        <v/>
      </c>
      <c r="AG272">
        <f>--(AE272=C272)</f>
        <v/>
      </c>
    </row>
    <row r="273">
      <c r="A273">
        <f>BreastCancer_Data!A273</f>
        <v/>
      </c>
      <c r="B273">
        <f>BreastCancer_Data!B273</f>
        <v/>
      </c>
      <c r="C273">
        <f>BreastCancer_Data!D273</f>
        <v/>
      </c>
      <c r="D273">
        <f>BreastCancer_Data!E273</f>
        <v/>
      </c>
      <c r="E273">
        <f>BreastCancer_Data!F273</f>
        <v/>
      </c>
      <c r="F273">
        <f>BreastCancer_Data!G273</f>
        <v/>
      </c>
      <c r="G273">
        <f>BreastCancer_Data!H273</f>
        <v/>
      </c>
      <c r="H273">
        <f>BreastCancer_Data!I273</f>
        <v/>
      </c>
      <c r="I273">
        <f>BreastCancer_Data!J273</f>
        <v/>
      </c>
      <c r="J273">
        <f>BreastCancer_Data!K273</f>
        <v/>
      </c>
      <c r="K273">
        <f>BreastCancer_Data!L273</f>
        <v/>
      </c>
      <c r="L273">
        <f>BreastCancer_Data!M273</f>
        <v/>
      </c>
      <c r="M273">
        <f>BreastCancer_Data!N273</f>
        <v/>
      </c>
      <c r="N273">
        <f>BreastCancer_Data!O273</f>
        <v/>
      </c>
      <c r="O273">
        <f>0</f>
        <v/>
      </c>
      <c r="P273">
        <f>--(AND(D273&lt;=113.15,E273&lt;=0.15,F273&lt;=15.77,G273&lt;=0.18,H273&lt;=33.27))*0</f>
        <v/>
      </c>
      <c r="Q273">
        <f>--(AND(D273&lt;=113.15,E273&lt;=0.15,F273&lt;=15.77,G273&lt;=0.18,H273&gt;33.27))*0</f>
        <v/>
      </c>
      <c r="R273">
        <f>--(AND(D273&lt;=113.15,E273&lt;=0.15,F273&lt;=15.77,G273&gt;0.18))*0</f>
        <v/>
      </c>
      <c r="S273">
        <f>--(AND(D273&lt;=113.15,E273&lt;=0.15,F273&gt;15.77,H273&lt;=28.86,G273&lt;=0.14))*0</f>
        <v/>
      </c>
      <c r="T273">
        <f>--(AND(D273&lt;=113.15,E273&lt;=0.15,F273&gt;15.77,H273&lt;=28.86,G273&gt;0.14))*1</f>
        <v/>
      </c>
      <c r="U273">
        <f>--(AND(D273&lt;=113.15,E273&lt;=0.15,F273&gt;15.77,H273&gt;28.86,M273&lt;=14.54))*1</f>
        <v/>
      </c>
      <c r="V273">
        <f>--(AND(D273&lt;=113.15,E273&lt;=0.15,F273&gt;15.77,H273&gt;28.86,M273&gt;14.54))*1</f>
        <v/>
      </c>
      <c r="W273">
        <f>--(AND(D273&lt;=113.15,E273&gt;0.15,H273&lt;=23.74))*0</f>
        <v/>
      </c>
      <c r="X273">
        <f>--(AND(D273&lt;=113.15,E273&gt;0.15,H273&gt;23.74,J273&lt;=0.1))*1</f>
        <v/>
      </c>
      <c r="Y273">
        <f>--(AND(D273&lt;=113.15,E273&gt;0.15,H273&gt;23.74,J273&gt;0.1))*1</f>
        <v/>
      </c>
      <c r="Z273">
        <f>--(AND(D273&gt;113.15,K273&lt;=0.22,L273&lt;=0.02))*1</f>
        <v/>
      </c>
      <c r="AA273">
        <f>--(AND(D273&gt;113.15,K273&lt;=0.22,L273&gt;0.02))*0</f>
        <v/>
      </c>
      <c r="AB273">
        <f>--(AND(D273&gt;113.15,K273&gt;0.22,N273&lt;=810.1))*0</f>
        <v/>
      </c>
      <c r="AC273">
        <f>--(AND(D273&gt;113.15,K273&gt;0.22,N273&gt;810.1,I273&lt;=14.95))*1</f>
        <v/>
      </c>
      <c r="AD273">
        <f>--(AND(D273&gt;113.15,K273&gt;0.22,N273&gt;810.1,I273&gt;14.95))*1</f>
        <v/>
      </c>
      <c r="AE273">
        <f>SUM(P273:AD273)</f>
        <v/>
      </c>
      <c r="AF273">
        <f>IF(AE273=1,"Malignant","Benign")</f>
        <v/>
      </c>
      <c r="AG273">
        <f>--(AE273=C273)</f>
        <v/>
      </c>
    </row>
    <row r="274">
      <c r="A274">
        <f>BreastCancer_Data!A274</f>
        <v/>
      </c>
      <c r="B274">
        <f>BreastCancer_Data!B274</f>
        <v/>
      </c>
      <c r="C274">
        <f>BreastCancer_Data!D274</f>
        <v/>
      </c>
      <c r="D274">
        <f>BreastCancer_Data!E274</f>
        <v/>
      </c>
      <c r="E274">
        <f>BreastCancer_Data!F274</f>
        <v/>
      </c>
      <c r="F274">
        <f>BreastCancer_Data!G274</f>
        <v/>
      </c>
      <c r="G274">
        <f>BreastCancer_Data!H274</f>
        <v/>
      </c>
      <c r="H274">
        <f>BreastCancer_Data!I274</f>
        <v/>
      </c>
      <c r="I274">
        <f>BreastCancer_Data!J274</f>
        <v/>
      </c>
      <c r="J274">
        <f>BreastCancer_Data!K274</f>
        <v/>
      </c>
      <c r="K274">
        <f>BreastCancer_Data!L274</f>
        <v/>
      </c>
      <c r="L274">
        <f>BreastCancer_Data!M274</f>
        <v/>
      </c>
      <c r="M274">
        <f>BreastCancer_Data!N274</f>
        <v/>
      </c>
      <c r="N274">
        <f>BreastCancer_Data!O274</f>
        <v/>
      </c>
      <c r="O274">
        <f>0</f>
        <v/>
      </c>
      <c r="P274">
        <f>--(AND(D274&lt;=113.15,E274&lt;=0.15,F274&lt;=15.77,G274&lt;=0.18,H274&lt;=33.27))*0</f>
        <v/>
      </c>
      <c r="Q274">
        <f>--(AND(D274&lt;=113.15,E274&lt;=0.15,F274&lt;=15.77,G274&lt;=0.18,H274&gt;33.27))*0</f>
        <v/>
      </c>
      <c r="R274">
        <f>--(AND(D274&lt;=113.15,E274&lt;=0.15,F274&lt;=15.77,G274&gt;0.18))*0</f>
        <v/>
      </c>
      <c r="S274">
        <f>--(AND(D274&lt;=113.15,E274&lt;=0.15,F274&gt;15.77,H274&lt;=28.86,G274&lt;=0.14))*0</f>
        <v/>
      </c>
      <c r="T274">
        <f>--(AND(D274&lt;=113.15,E274&lt;=0.15,F274&gt;15.77,H274&lt;=28.86,G274&gt;0.14))*1</f>
        <v/>
      </c>
      <c r="U274">
        <f>--(AND(D274&lt;=113.15,E274&lt;=0.15,F274&gt;15.77,H274&gt;28.86,M274&lt;=14.54))*1</f>
        <v/>
      </c>
      <c r="V274">
        <f>--(AND(D274&lt;=113.15,E274&lt;=0.15,F274&gt;15.77,H274&gt;28.86,M274&gt;14.54))*1</f>
        <v/>
      </c>
      <c r="W274">
        <f>--(AND(D274&lt;=113.15,E274&gt;0.15,H274&lt;=23.74))*0</f>
        <v/>
      </c>
      <c r="X274">
        <f>--(AND(D274&lt;=113.15,E274&gt;0.15,H274&gt;23.74,J274&lt;=0.1))*1</f>
        <v/>
      </c>
      <c r="Y274">
        <f>--(AND(D274&lt;=113.15,E274&gt;0.15,H274&gt;23.74,J274&gt;0.1))*1</f>
        <v/>
      </c>
      <c r="Z274">
        <f>--(AND(D274&gt;113.15,K274&lt;=0.22,L274&lt;=0.02))*1</f>
        <v/>
      </c>
      <c r="AA274">
        <f>--(AND(D274&gt;113.15,K274&lt;=0.22,L274&gt;0.02))*0</f>
        <v/>
      </c>
      <c r="AB274">
        <f>--(AND(D274&gt;113.15,K274&gt;0.22,N274&lt;=810.1))*0</f>
        <v/>
      </c>
      <c r="AC274">
        <f>--(AND(D274&gt;113.15,K274&gt;0.22,N274&gt;810.1,I274&lt;=14.95))*1</f>
        <v/>
      </c>
      <c r="AD274">
        <f>--(AND(D274&gt;113.15,K274&gt;0.22,N274&gt;810.1,I274&gt;14.95))*1</f>
        <v/>
      </c>
      <c r="AE274">
        <f>SUM(P274:AD274)</f>
        <v/>
      </c>
      <c r="AF274">
        <f>IF(AE274=1,"Malignant","Benign")</f>
        <v/>
      </c>
      <c r="AG274">
        <f>--(AE274=C274)</f>
        <v/>
      </c>
    </row>
    <row r="275">
      <c r="A275">
        <f>BreastCancer_Data!A275</f>
        <v/>
      </c>
      <c r="B275">
        <f>BreastCancer_Data!B275</f>
        <v/>
      </c>
      <c r="C275">
        <f>BreastCancer_Data!D275</f>
        <v/>
      </c>
      <c r="D275">
        <f>BreastCancer_Data!E275</f>
        <v/>
      </c>
      <c r="E275">
        <f>BreastCancer_Data!F275</f>
        <v/>
      </c>
      <c r="F275">
        <f>BreastCancer_Data!G275</f>
        <v/>
      </c>
      <c r="G275">
        <f>BreastCancer_Data!H275</f>
        <v/>
      </c>
      <c r="H275">
        <f>BreastCancer_Data!I275</f>
        <v/>
      </c>
      <c r="I275">
        <f>BreastCancer_Data!J275</f>
        <v/>
      </c>
      <c r="J275">
        <f>BreastCancer_Data!K275</f>
        <v/>
      </c>
      <c r="K275">
        <f>BreastCancer_Data!L275</f>
        <v/>
      </c>
      <c r="L275">
        <f>BreastCancer_Data!M275</f>
        <v/>
      </c>
      <c r="M275">
        <f>BreastCancer_Data!N275</f>
        <v/>
      </c>
      <c r="N275">
        <f>BreastCancer_Data!O275</f>
        <v/>
      </c>
      <c r="O275">
        <f>0</f>
        <v/>
      </c>
      <c r="P275">
        <f>--(AND(D275&lt;=113.15,E275&lt;=0.15,F275&lt;=15.77,G275&lt;=0.18,H275&lt;=33.27))*0</f>
        <v/>
      </c>
      <c r="Q275">
        <f>--(AND(D275&lt;=113.15,E275&lt;=0.15,F275&lt;=15.77,G275&lt;=0.18,H275&gt;33.27))*0</f>
        <v/>
      </c>
      <c r="R275">
        <f>--(AND(D275&lt;=113.15,E275&lt;=0.15,F275&lt;=15.77,G275&gt;0.18))*0</f>
        <v/>
      </c>
      <c r="S275">
        <f>--(AND(D275&lt;=113.15,E275&lt;=0.15,F275&gt;15.77,H275&lt;=28.86,G275&lt;=0.14))*0</f>
        <v/>
      </c>
      <c r="T275">
        <f>--(AND(D275&lt;=113.15,E275&lt;=0.15,F275&gt;15.77,H275&lt;=28.86,G275&gt;0.14))*1</f>
        <v/>
      </c>
      <c r="U275">
        <f>--(AND(D275&lt;=113.15,E275&lt;=0.15,F275&gt;15.77,H275&gt;28.86,M275&lt;=14.54))*1</f>
        <v/>
      </c>
      <c r="V275">
        <f>--(AND(D275&lt;=113.15,E275&lt;=0.15,F275&gt;15.77,H275&gt;28.86,M275&gt;14.54))*1</f>
        <v/>
      </c>
      <c r="W275">
        <f>--(AND(D275&lt;=113.15,E275&gt;0.15,H275&lt;=23.74))*0</f>
        <v/>
      </c>
      <c r="X275">
        <f>--(AND(D275&lt;=113.15,E275&gt;0.15,H275&gt;23.74,J275&lt;=0.1))*1</f>
        <v/>
      </c>
      <c r="Y275">
        <f>--(AND(D275&lt;=113.15,E275&gt;0.15,H275&gt;23.74,J275&gt;0.1))*1</f>
        <v/>
      </c>
      <c r="Z275">
        <f>--(AND(D275&gt;113.15,K275&lt;=0.22,L275&lt;=0.02))*1</f>
        <v/>
      </c>
      <c r="AA275">
        <f>--(AND(D275&gt;113.15,K275&lt;=0.22,L275&gt;0.02))*0</f>
        <v/>
      </c>
      <c r="AB275">
        <f>--(AND(D275&gt;113.15,K275&gt;0.22,N275&lt;=810.1))*0</f>
        <v/>
      </c>
      <c r="AC275">
        <f>--(AND(D275&gt;113.15,K275&gt;0.22,N275&gt;810.1,I275&lt;=14.95))*1</f>
        <v/>
      </c>
      <c r="AD275">
        <f>--(AND(D275&gt;113.15,K275&gt;0.22,N275&gt;810.1,I275&gt;14.95))*1</f>
        <v/>
      </c>
      <c r="AE275">
        <f>SUM(P275:AD275)</f>
        <v/>
      </c>
      <c r="AF275">
        <f>IF(AE275=1,"Malignant","Benign")</f>
        <v/>
      </c>
      <c r="AG275">
        <f>--(AE275=C275)</f>
        <v/>
      </c>
    </row>
    <row r="276">
      <c r="A276">
        <f>BreastCancer_Data!A276</f>
        <v/>
      </c>
      <c r="B276">
        <f>BreastCancer_Data!B276</f>
        <v/>
      </c>
      <c r="C276">
        <f>BreastCancer_Data!D276</f>
        <v/>
      </c>
      <c r="D276">
        <f>BreastCancer_Data!E276</f>
        <v/>
      </c>
      <c r="E276">
        <f>BreastCancer_Data!F276</f>
        <v/>
      </c>
      <c r="F276">
        <f>BreastCancer_Data!G276</f>
        <v/>
      </c>
      <c r="G276">
        <f>BreastCancer_Data!H276</f>
        <v/>
      </c>
      <c r="H276">
        <f>BreastCancer_Data!I276</f>
        <v/>
      </c>
      <c r="I276">
        <f>BreastCancer_Data!J276</f>
        <v/>
      </c>
      <c r="J276">
        <f>BreastCancer_Data!K276</f>
        <v/>
      </c>
      <c r="K276">
        <f>BreastCancer_Data!L276</f>
        <v/>
      </c>
      <c r="L276">
        <f>BreastCancer_Data!M276</f>
        <v/>
      </c>
      <c r="M276">
        <f>BreastCancer_Data!N276</f>
        <v/>
      </c>
      <c r="N276">
        <f>BreastCancer_Data!O276</f>
        <v/>
      </c>
      <c r="O276">
        <f>0</f>
        <v/>
      </c>
      <c r="P276">
        <f>--(AND(D276&lt;=113.15,E276&lt;=0.15,F276&lt;=15.77,G276&lt;=0.18,H276&lt;=33.27))*0</f>
        <v/>
      </c>
      <c r="Q276">
        <f>--(AND(D276&lt;=113.15,E276&lt;=0.15,F276&lt;=15.77,G276&lt;=0.18,H276&gt;33.27))*0</f>
        <v/>
      </c>
      <c r="R276">
        <f>--(AND(D276&lt;=113.15,E276&lt;=0.15,F276&lt;=15.77,G276&gt;0.18))*0</f>
        <v/>
      </c>
      <c r="S276">
        <f>--(AND(D276&lt;=113.15,E276&lt;=0.15,F276&gt;15.77,H276&lt;=28.86,G276&lt;=0.14))*0</f>
        <v/>
      </c>
      <c r="T276">
        <f>--(AND(D276&lt;=113.15,E276&lt;=0.15,F276&gt;15.77,H276&lt;=28.86,G276&gt;0.14))*1</f>
        <v/>
      </c>
      <c r="U276">
        <f>--(AND(D276&lt;=113.15,E276&lt;=0.15,F276&gt;15.77,H276&gt;28.86,M276&lt;=14.54))*1</f>
        <v/>
      </c>
      <c r="V276">
        <f>--(AND(D276&lt;=113.15,E276&lt;=0.15,F276&gt;15.77,H276&gt;28.86,M276&gt;14.54))*1</f>
        <v/>
      </c>
      <c r="W276">
        <f>--(AND(D276&lt;=113.15,E276&gt;0.15,H276&lt;=23.74))*0</f>
        <v/>
      </c>
      <c r="X276">
        <f>--(AND(D276&lt;=113.15,E276&gt;0.15,H276&gt;23.74,J276&lt;=0.1))*1</f>
        <v/>
      </c>
      <c r="Y276">
        <f>--(AND(D276&lt;=113.15,E276&gt;0.15,H276&gt;23.74,J276&gt;0.1))*1</f>
        <v/>
      </c>
      <c r="Z276">
        <f>--(AND(D276&gt;113.15,K276&lt;=0.22,L276&lt;=0.02))*1</f>
        <v/>
      </c>
      <c r="AA276">
        <f>--(AND(D276&gt;113.15,K276&lt;=0.22,L276&gt;0.02))*0</f>
        <v/>
      </c>
      <c r="AB276">
        <f>--(AND(D276&gt;113.15,K276&gt;0.22,N276&lt;=810.1))*0</f>
        <v/>
      </c>
      <c r="AC276">
        <f>--(AND(D276&gt;113.15,K276&gt;0.22,N276&gt;810.1,I276&lt;=14.95))*1</f>
        <v/>
      </c>
      <c r="AD276">
        <f>--(AND(D276&gt;113.15,K276&gt;0.22,N276&gt;810.1,I276&gt;14.95))*1</f>
        <v/>
      </c>
      <c r="AE276">
        <f>SUM(P276:AD276)</f>
        <v/>
      </c>
      <c r="AF276">
        <f>IF(AE276=1,"Malignant","Benign")</f>
        <v/>
      </c>
      <c r="AG276">
        <f>--(AE276=C276)</f>
        <v/>
      </c>
    </row>
    <row r="277">
      <c r="A277">
        <f>BreastCancer_Data!A277</f>
        <v/>
      </c>
      <c r="B277">
        <f>BreastCancer_Data!B277</f>
        <v/>
      </c>
      <c r="C277">
        <f>BreastCancer_Data!D277</f>
        <v/>
      </c>
      <c r="D277">
        <f>BreastCancer_Data!E277</f>
        <v/>
      </c>
      <c r="E277">
        <f>BreastCancer_Data!F277</f>
        <v/>
      </c>
      <c r="F277">
        <f>BreastCancer_Data!G277</f>
        <v/>
      </c>
      <c r="G277">
        <f>BreastCancer_Data!H277</f>
        <v/>
      </c>
      <c r="H277">
        <f>BreastCancer_Data!I277</f>
        <v/>
      </c>
      <c r="I277">
        <f>BreastCancer_Data!J277</f>
        <v/>
      </c>
      <c r="J277">
        <f>BreastCancer_Data!K277</f>
        <v/>
      </c>
      <c r="K277">
        <f>BreastCancer_Data!L277</f>
        <v/>
      </c>
      <c r="L277">
        <f>BreastCancer_Data!M277</f>
        <v/>
      </c>
      <c r="M277">
        <f>BreastCancer_Data!N277</f>
        <v/>
      </c>
      <c r="N277">
        <f>BreastCancer_Data!O277</f>
        <v/>
      </c>
      <c r="O277">
        <f>0</f>
        <v/>
      </c>
      <c r="P277">
        <f>--(AND(D277&lt;=113.15,E277&lt;=0.15,F277&lt;=15.77,G277&lt;=0.18,H277&lt;=33.27))*0</f>
        <v/>
      </c>
      <c r="Q277">
        <f>--(AND(D277&lt;=113.15,E277&lt;=0.15,F277&lt;=15.77,G277&lt;=0.18,H277&gt;33.27))*0</f>
        <v/>
      </c>
      <c r="R277">
        <f>--(AND(D277&lt;=113.15,E277&lt;=0.15,F277&lt;=15.77,G277&gt;0.18))*0</f>
        <v/>
      </c>
      <c r="S277">
        <f>--(AND(D277&lt;=113.15,E277&lt;=0.15,F277&gt;15.77,H277&lt;=28.86,G277&lt;=0.14))*0</f>
        <v/>
      </c>
      <c r="T277">
        <f>--(AND(D277&lt;=113.15,E277&lt;=0.15,F277&gt;15.77,H277&lt;=28.86,G277&gt;0.14))*1</f>
        <v/>
      </c>
      <c r="U277">
        <f>--(AND(D277&lt;=113.15,E277&lt;=0.15,F277&gt;15.77,H277&gt;28.86,M277&lt;=14.54))*1</f>
        <v/>
      </c>
      <c r="V277">
        <f>--(AND(D277&lt;=113.15,E277&lt;=0.15,F277&gt;15.77,H277&gt;28.86,M277&gt;14.54))*1</f>
        <v/>
      </c>
      <c r="W277">
        <f>--(AND(D277&lt;=113.15,E277&gt;0.15,H277&lt;=23.74))*0</f>
        <v/>
      </c>
      <c r="X277">
        <f>--(AND(D277&lt;=113.15,E277&gt;0.15,H277&gt;23.74,J277&lt;=0.1))*1</f>
        <v/>
      </c>
      <c r="Y277">
        <f>--(AND(D277&lt;=113.15,E277&gt;0.15,H277&gt;23.74,J277&gt;0.1))*1</f>
        <v/>
      </c>
      <c r="Z277">
        <f>--(AND(D277&gt;113.15,K277&lt;=0.22,L277&lt;=0.02))*1</f>
        <v/>
      </c>
      <c r="AA277">
        <f>--(AND(D277&gt;113.15,K277&lt;=0.22,L277&gt;0.02))*0</f>
        <v/>
      </c>
      <c r="AB277">
        <f>--(AND(D277&gt;113.15,K277&gt;0.22,N277&lt;=810.1))*0</f>
        <v/>
      </c>
      <c r="AC277">
        <f>--(AND(D277&gt;113.15,K277&gt;0.22,N277&gt;810.1,I277&lt;=14.95))*1</f>
        <v/>
      </c>
      <c r="AD277">
        <f>--(AND(D277&gt;113.15,K277&gt;0.22,N277&gt;810.1,I277&gt;14.95))*1</f>
        <v/>
      </c>
      <c r="AE277">
        <f>SUM(P277:AD277)</f>
        <v/>
      </c>
      <c r="AF277">
        <f>IF(AE277=1,"Malignant","Benign")</f>
        <v/>
      </c>
      <c r="AG277">
        <f>--(AE277=C277)</f>
        <v/>
      </c>
    </row>
    <row r="278">
      <c r="A278">
        <f>BreastCancer_Data!A278</f>
        <v/>
      </c>
      <c r="B278">
        <f>BreastCancer_Data!B278</f>
        <v/>
      </c>
      <c r="C278">
        <f>BreastCancer_Data!D278</f>
        <v/>
      </c>
      <c r="D278">
        <f>BreastCancer_Data!E278</f>
        <v/>
      </c>
      <c r="E278">
        <f>BreastCancer_Data!F278</f>
        <v/>
      </c>
      <c r="F278">
        <f>BreastCancer_Data!G278</f>
        <v/>
      </c>
      <c r="G278">
        <f>BreastCancer_Data!H278</f>
        <v/>
      </c>
      <c r="H278">
        <f>BreastCancer_Data!I278</f>
        <v/>
      </c>
      <c r="I278">
        <f>BreastCancer_Data!J278</f>
        <v/>
      </c>
      <c r="J278">
        <f>BreastCancer_Data!K278</f>
        <v/>
      </c>
      <c r="K278">
        <f>BreastCancer_Data!L278</f>
        <v/>
      </c>
      <c r="L278">
        <f>BreastCancer_Data!M278</f>
        <v/>
      </c>
      <c r="M278">
        <f>BreastCancer_Data!N278</f>
        <v/>
      </c>
      <c r="N278">
        <f>BreastCancer_Data!O278</f>
        <v/>
      </c>
      <c r="O278">
        <f>0</f>
        <v/>
      </c>
      <c r="P278">
        <f>--(AND(D278&lt;=113.15,E278&lt;=0.15,F278&lt;=15.77,G278&lt;=0.18,H278&lt;=33.27))*0</f>
        <v/>
      </c>
      <c r="Q278">
        <f>--(AND(D278&lt;=113.15,E278&lt;=0.15,F278&lt;=15.77,G278&lt;=0.18,H278&gt;33.27))*0</f>
        <v/>
      </c>
      <c r="R278">
        <f>--(AND(D278&lt;=113.15,E278&lt;=0.15,F278&lt;=15.77,G278&gt;0.18))*0</f>
        <v/>
      </c>
      <c r="S278">
        <f>--(AND(D278&lt;=113.15,E278&lt;=0.15,F278&gt;15.77,H278&lt;=28.86,G278&lt;=0.14))*0</f>
        <v/>
      </c>
      <c r="T278">
        <f>--(AND(D278&lt;=113.15,E278&lt;=0.15,F278&gt;15.77,H278&lt;=28.86,G278&gt;0.14))*1</f>
        <v/>
      </c>
      <c r="U278">
        <f>--(AND(D278&lt;=113.15,E278&lt;=0.15,F278&gt;15.77,H278&gt;28.86,M278&lt;=14.54))*1</f>
        <v/>
      </c>
      <c r="V278">
        <f>--(AND(D278&lt;=113.15,E278&lt;=0.15,F278&gt;15.77,H278&gt;28.86,M278&gt;14.54))*1</f>
        <v/>
      </c>
      <c r="W278">
        <f>--(AND(D278&lt;=113.15,E278&gt;0.15,H278&lt;=23.74))*0</f>
        <v/>
      </c>
      <c r="X278">
        <f>--(AND(D278&lt;=113.15,E278&gt;0.15,H278&gt;23.74,J278&lt;=0.1))*1</f>
        <v/>
      </c>
      <c r="Y278">
        <f>--(AND(D278&lt;=113.15,E278&gt;0.15,H278&gt;23.74,J278&gt;0.1))*1</f>
        <v/>
      </c>
      <c r="Z278">
        <f>--(AND(D278&gt;113.15,K278&lt;=0.22,L278&lt;=0.02))*1</f>
        <v/>
      </c>
      <c r="AA278">
        <f>--(AND(D278&gt;113.15,K278&lt;=0.22,L278&gt;0.02))*0</f>
        <v/>
      </c>
      <c r="AB278">
        <f>--(AND(D278&gt;113.15,K278&gt;0.22,N278&lt;=810.1))*0</f>
        <v/>
      </c>
      <c r="AC278">
        <f>--(AND(D278&gt;113.15,K278&gt;0.22,N278&gt;810.1,I278&lt;=14.95))*1</f>
        <v/>
      </c>
      <c r="AD278">
        <f>--(AND(D278&gt;113.15,K278&gt;0.22,N278&gt;810.1,I278&gt;14.95))*1</f>
        <v/>
      </c>
      <c r="AE278">
        <f>SUM(P278:AD278)</f>
        <v/>
      </c>
      <c r="AF278">
        <f>IF(AE278=1,"Malignant","Benign")</f>
        <v/>
      </c>
      <c r="AG278">
        <f>--(AE278=C278)</f>
        <v/>
      </c>
    </row>
    <row r="279">
      <c r="A279">
        <f>BreastCancer_Data!A279</f>
        <v/>
      </c>
      <c r="B279">
        <f>BreastCancer_Data!B279</f>
        <v/>
      </c>
      <c r="C279">
        <f>BreastCancer_Data!D279</f>
        <v/>
      </c>
      <c r="D279">
        <f>BreastCancer_Data!E279</f>
        <v/>
      </c>
      <c r="E279">
        <f>BreastCancer_Data!F279</f>
        <v/>
      </c>
      <c r="F279">
        <f>BreastCancer_Data!G279</f>
        <v/>
      </c>
      <c r="G279">
        <f>BreastCancer_Data!H279</f>
        <v/>
      </c>
      <c r="H279">
        <f>BreastCancer_Data!I279</f>
        <v/>
      </c>
      <c r="I279">
        <f>BreastCancer_Data!J279</f>
        <v/>
      </c>
      <c r="J279">
        <f>BreastCancer_Data!K279</f>
        <v/>
      </c>
      <c r="K279">
        <f>BreastCancer_Data!L279</f>
        <v/>
      </c>
      <c r="L279">
        <f>BreastCancer_Data!M279</f>
        <v/>
      </c>
      <c r="M279">
        <f>BreastCancer_Data!N279</f>
        <v/>
      </c>
      <c r="N279">
        <f>BreastCancer_Data!O279</f>
        <v/>
      </c>
      <c r="O279">
        <f>0</f>
        <v/>
      </c>
      <c r="P279">
        <f>--(AND(D279&lt;=113.15,E279&lt;=0.15,F279&lt;=15.77,G279&lt;=0.18,H279&lt;=33.27))*0</f>
        <v/>
      </c>
      <c r="Q279">
        <f>--(AND(D279&lt;=113.15,E279&lt;=0.15,F279&lt;=15.77,G279&lt;=0.18,H279&gt;33.27))*0</f>
        <v/>
      </c>
      <c r="R279">
        <f>--(AND(D279&lt;=113.15,E279&lt;=0.15,F279&lt;=15.77,G279&gt;0.18))*0</f>
        <v/>
      </c>
      <c r="S279">
        <f>--(AND(D279&lt;=113.15,E279&lt;=0.15,F279&gt;15.77,H279&lt;=28.86,G279&lt;=0.14))*0</f>
        <v/>
      </c>
      <c r="T279">
        <f>--(AND(D279&lt;=113.15,E279&lt;=0.15,F279&gt;15.77,H279&lt;=28.86,G279&gt;0.14))*1</f>
        <v/>
      </c>
      <c r="U279">
        <f>--(AND(D279&lt;=113.15,E279&lt;=0.15,F279&gt;15.77,H279&gt;28.86,M279&lt;=14.54))*1</f>
        <v/>
      </c>
      <c r="V279">
        <f>--(AND(D279&lt;=113.15,E279&lt;=0.15,F279&gt;15.77,H279&gt;28.86,M279&gt;14.54))*1</f>
        <v/>
      </c>
      <c r="W279">
        <f>--(AND(D279&lt;=113.15,E279&gt;0.15,H279&lt;=23.74))*0</f>
        <v/>
      </c>
      <c r="X279">
        <f>--(AND(D279&lt;=113.15,E279&gt;0.15,H279&gt;23.74,J279&lt;=0.1))*1</f>
        <v/>
      </c>
      <c r="Y279">
        <f>--(AND(D279&lt;=113.15,E279&gt;0.15,H279&gt;23.74,J279&gt;0.1))*1</f>
        <v/>
      </c>
      <c r="Z279">
        <f>--(AND(D279&gt;113.15,K279&lt;=0.22,L279&lt;=0.02))*1</f>
        <v/>
      </c>
      <c r="AA279">
        <f>--(AND(D279&gt;113.15,K279&lt;=0.22,L279&gt;0.02))*0</f>
        <v/>
      </c>
      <c r="AB279">
        <f>--(AND(D279&gt;113.15,K279&gt;0.22,N279&lt;=810.1))*0</f>
        <v/>
      </c>
      <c r="AC279">
        <f>--(AND(D279&gt;113.15,K279&gt;0.22,N279&gt;810.1,I279&lt;=14.95))*1</f>
        <v/>
      </c>
      <c r="AD279">
        <f>--(AND(D279&gt;113.15,K279&gt;0.22,N279&gt;810.1,I279&gt;14.95))*1</f>
        <v/>
      </c>
      <c r="AE279">
        <f>SUM(P279:AD279)</f>
        <v/>
      </c>
      <c r="AF279">
        <f>IF(AE279=1,"Malignant","Benign")</f>
        <v/>
      </c>
      <c r="AG279">
        <f>--(AE279=C279)</f>
        <v/>
      </c>
    </row>
    <row r="280">
      <c r="A280">
        <f>BreastCancer_Data!A280</f>
        <v/>
      </c>
      <c r="B280">
        <f>BreastCancer_Data!B280</f>
        <v/>
      </c>
      <c r="C280">
        <f>BreastCancer_Data!D280</f>
        <v/>
      </c>
      <c r="D280">
        <f>BreastCancer_Data!E280</f>
        <v/>
      </c>
      <c r="E280">
        <f>BreastCancer_Data!F280</f>
        <v/>
      </c>
      <c r="F280">
        <f>BreastCancer_Data!G280</f>
        <v/>
      </c>
      <c r="G280">
        <f>BreastCancer_Data!H280</f>
        <v/>
      </c>
      <c r="H280">
        <f>BreastCancer_Data!I280</f>
        <v/>
      </c>
      <c r="I280">
        <f>BreastCancer_Data!J280</f>
        <v/>
      </c>
      <c r="J280">
        <f>BreastCancer_Data!K280</f>
        <v/>
      </c>
      <c r="K280">
        <f>BreastCancer_Data!L280</f>
        <v/>
      </c>
      <c r="L280">
        <f>BreastCancer_Data!M280</f>
        <v/>
      </c>
      <c r="M280">
        <f>BreastCancer_Data!N280</f>
        <v/>
      </c>
      <c r="N280">
        <f>BreastCancer_Data!O280</f>
        <v/>
      </c>
      <c r="O280">
        <f>0</f>
        <v/>
      </c>
      <c r="P280">
        <f>--(AND(D280&lt;=113.15,E280&lt;=0.15,F280&lt;=15.77,G280&lt;=0.18,H280&lt;=33.27))*0</f>
        <v/>
      </c>
      <c r="Q280">
        <f>--(AND(D280&lt;=113.15,E280&lt;=0.15,F280&lt;=15.77,G280&lt;=0.18,H280&gt;33.27))*0</f>
        <v/>
      </c>
      <c r="R280">
        <f>--(AND(D280&lt;=113.15,E280&lt;=0.15,F280&lt;=15.77,G280&gt;0.18))*0</f>
        <v/>
      </c>
      <c r="S280">
        <f>--(AND(D280&lt;=113.15,E280&lt;=0.15,F280&gt;15.77,H280&lt;=28.86,G280&lt;=0.14))*0</f>
        <v/>
      </c>
      <c r="T280">
        <f>--(AND(D280&lt;=113.15,E280&lt;=0.15,F280&gt;15.77,H280&lt;=28.86,G280&gt;0.14))*1</f>
        <v/>
      </c>
      <c r="U280">
        <f>--(AND(D280&lt;=113.15,E280&lt;=0.15,F280&gt;15.77,H280&gt;28.86,M280&lt;=14.54))*1</f>
        <v/>
      </c>
      <c r="V280">
        <f>--(AND(D280&lt;=113.15,E280&lt;=0.15,F280&gt;15.77,H280&gt;28.86,M280&gt;14.54))*1</f>
        <v/>
      </c>
      <c r="W280">
        <f>--(AND(D280&lt;=113.15,E280&gt;0.15,H280&lt;=23.74))*0</f>
        <v/>
      </c>
      <c r="X280">
        <f>--(AND(D280&lt;=113.15,E280&gt;0.15,H280&gt;23.74,J280&lt;=0.1))*1</f>
        <v/>
      </c>
      <c r="Y280">
        <f>--(AND(D280&lt;=113.15,E280&gt;0.15,H280&gt;23.74,J280&gt;0.1))*1</f>
        <v/>
      </c>
      <c r="Z280">
        <f>--(AND(D280&gt;113.15,K280&lt;=0.22,L280&lt;=0.02))*1</f>
        <v/>
      </c>
      <c r="AA280">
        <f>--(AND(D280&gt;113.15,K280&lt;=0.22,L280&gt;0.02))*0</f>
        <v/>
      </c>
      <c r="AB280">
        <f>--(AND(D280&gt;113.15,K280&gt;0.22,N280&lt;=810.1))*0</f>
        <v/>
      </c>
      <c r="AC280">
        <f>--(AND(D280&gt;113.15,K280&gt;0.22,N280&gt;810.1,I280&lt;=14.95))*1</f>
        <v/>
      </c>
      <c r="AD280">
        <f>--(AND(D280&gt;113.15,K280&gt;0.22,N280&gt;810.1,I280&gt;14.95))*1</f>
        <v/>
      </c>
      <c r="AE280">
        <f>SUM(P280:AD280)</f>
        <v/>
      </c>
      <c r="AF280">
        <f>IF(AE280=1,"Malignant","Benign")</f>
        <v/>
      </c>
      <c r="AG280">
        <f>--(AE280=C280)</f>
        <v/>
      </c>
    </row>
    <row r="281">
      <c r="A281">
        <f>BreastCancer_Data!A281</f>
        <v/>
      </c>
      <c r="B281">
        <f>BreastCancer_Data!B281</f>
        <v/>
      </c>
      <c r="C281">
        <f>BreastCancer_Data!D281</f>
        <v/>
      </c>
      <c r="D281">
        <f>BreastCancer_Data!E281</f>
        <v/>
      </c>
      <c r="E281">
        <f>BreastCancer_Data!F281</f>
        <v/>
      </c>
      <c r="F281">
        <f>BreastCancer_Data!G281</f>
        <v/>
      </c>
      <c r="G281">
        <f>BreastCancer_Data!H281</f>
        <v/>
      </c>
      <c r="H281">
        <f>BreastCancer_Data!I281</f>
        <v/>
      </c>
      <c r="I281">
        <f>BreastCancer_Data!J281</f>
        <v/>
      </c>
      <c r="J281">
        <f>BreastCancer_Data!K281</f>
        <v/>
      </c>
      <c r="K281">
        <f>BreastCancer_Data!L281</f>
        <v/>
      </c>
      <c r="L281">
        <f>BreastCancer_Data!M281</f>
        <v/>
      </c>
      <c r="M281">
        <f>BreastCancer_Data!N281</f>
        <v/>
      </c>
      <c r="N281">
        <f>BreastCancer_Data!O281</f>
        <v/>
      </c>
      <c r="O281">
        <f>0</f>
        <v/>
      </c>
      <c r="P281">
        <f>--(AND(D281&lt;=113.15,E281&lt;=0.15,F281&lt;=15.77,G281&lt;=0.18,H281&lt;=33.27))*0</f>
        <v/>
      </c>
      <c r="Q281">
        <f>--(AND(D281&lt;=113.15,E281&lt;=0.15,F281&lt;=15.77,G281&lt;=0.18,H281&gt;33.27))*0</f>
        <v/>
      </c>
      <c r="R281">
        <f>--(AND(D281&lt;=113.15,E281&lt;=0.15,F281&lt;=15.77,G281&gt;0.18))*0</f>
        <v/>
      </c>
      <c r="S281">
        <f>--(AND(D281&lt;=113.15,E281&lt;=0.15,F281&gt;15.77,H281&lt;=28.86,G281&lt;=0.14))*0</f>
        <v/>
      </c>
      <c r="T281">
        <f>--(AND(D281&lt;=113.15,E281&lt;=0.15,F281&gt;15.77,H281&lt;=28.86,G281&gt;0.14))*1</f>
        <v/>
      </c>
      <c r="U281">
        <f>--(AND(D281&lt;=113.15,E281&lt;=0.15,F281&gt;15.77,H281&gt;28.86,M281&lt;=14.54))*1</f>
        <v/>
      </c>
      <c r="V281">
        <f>--(AND(D281&lt;=113.15,E281&lt;=0.15,F281&gt;15.77,H281&gt;28.86,M281&gt;14.54))*1</f>
        <v/>
      </c>
      <c r="W281">
        <f>--(AND(D281&lt;=113.15,E281&gt;0.15,H281&lt;=23.74))*0</f>
        <v/>
      </c>
      <c r="X281">
        <f>--(AND(D281&lt;=113.15,E281&gt;0.15,H281&gt;23.74,J281&lt;=0.1))*1</f>
        <v/>
      </c>
      <c r="Y281">
        <f>--(AND(D281&lt;=113.15,E281&gt;0.15,H281&gt;23.74,J281&gt;0.1))*1</f>
        <v/>
      </c>
      <c r="Z281">
        <f>--(AND(D281&gt;113.15,K281&lt;=0.22,L281&lt;=0.02))*1</f>
        <v/>
      </c>
      <c r="AA281">
        <f>--(AND(D281&gt;113.15,K281&lt;=0.22,L281&gt;0.02))*0</f>
        <v/>
      </c>
      <c r="AB281">
        <f>--(AND(D281&gt;113.15,K281&gt;0.22,N281&lt;=810.1))*0</f>
        <v/>
      </c>
      <c r="AC281">
        <f>--(AND(D281&gt;113.15,K281&gt;0.22,N281&gt;810.1,I281&lt;=14.95))*1</f>
        <v/>
      </c>
      <c r="AD281">
        <f>--(AND(D281&gt;113.15,K281&gt;0.22,N281&gt;810.1,I281&gt;14.95))*1</f>
        <v/>
      </c>
      <c r="AE281">
        <f>SUM(P281:AD281)</f>
        <v/>
      </c>
      <c r="AF281">
        <f>IF(AE281=1,"Malignant","Benign")</f>
        <v/>
      </c>
      <c r="AG281">
        <f>--(AE281=C281)</f>
        <v/>
      </c>
    </row>
    <row r="282">
      <c r="A282">
        <f>BreastCancer_Data!A282</f>
        <v/>
      </c>
      <c r="B282">
        <f>BreastCancer_Data!B282</f>
        <v/>
      </c>
      <c r="C282">
        <f>BreastCancer_Data!D282</f>
        <v/>
      </c>
      <c r="D282">
        <f>BreastCancer_Data!E282</f>
        <v/>
      </c>
      <c r="E282">
        <f>BreastCancer_Data!F282</f>
        <v/>
      </c>
      <c r="F282">
        <f>BreastCancer_Data!G282</f>
        <v/>
      </c>
      <c r="G282">
        <f>BreastCancer_Data!H282</f>
        <v/>
      </c>
      <c r="H282">
        <f>BreastCancer_Data!I282</f>
        <v/>
      </c>
      <c r="I282">
        <f>BreastCancer_Data!J282</f>
        <v/>
      </c>
      <c r="J282">
        <f>BreastCancer_Data!K282</f>
        <v/>
      </c>
      <c r="K282">
        <f>BreastCancer_Data!L282</f>
        <v/>
      </c>
      <c r="L282">
        <f>BreastCancer_Data!M282</f>
        <v/>
      </c>
      <c r="M282">
        <f>BreastCancer_Data!N282</f>
        <v/>
      </c>
      <c r="N282">
        <f>BreastCancer_Data!O282</f>
        <v/>
      </c>
      <c r="O282">
        <f>0</f>
        <v/>
      </c>
      <c r="P282">
        <f>--(AND(D282&lt;=113.15,E282&lt;=0.15,F282&lt;=15.77,G282&lt;=0.18,H282&lt;=33.27))*0</f>
        <v/>
      </c>
      <c r="Q282">
        <f>--(AND(D282&lt;=113.15,E282&lt;=0.15,F282&lt;=15.77,G282&lt;=0.18,H282&gt;33.27))*0</f>
        <v/>
      </c>
      <c r="R282">
        <f>--(AND(D282&lt;=113.15,E282&lt;=0.15,F282&lt;=15.77,G282&gt;0.18))*0</f>
        <v/>
      </c>
      <c r="S282">
        <f>--(AND(D282&lt;=113.15,E282&lt;=0.15,F282&gt;15.77,H282&lt;=28.86,G282&lt;=0.14))*0</f>
        <v/>
      </c>
      <c r="T282">
        <f>--(AND(D282&lt;=113.15,E282&lt;=0.15,F282&gt;15.77,H282&lt;=28.86,G282&gt;0.14))*1</f>
        <v/>
      </c>
      <c r="U282">
        <f>--(AND(D282&lt;=113.15,E282&lt;=0.15,F282&gt;15.77,H282&gt;28.86,M282&lt;=14.54))*1</f>
        <v/>
      </c>
      <c r="V282">
        <f>--(AND(D282&lt;=113.15,E282&lt;=0.15,F282&gt;15.77,H282&gt;28.86,M282&gt;14.54))*1</f>
        <v/>
      </c>
      <c r="W282">
        <f>--(AND(D282&lt;=113.15,E282&gt;0.15,H282&lt;=23.74))*0</f>
        <v/>
      </c>
      <c r="X282">
        <f>--(AND(D282&lt;=113.15,E282&gt;0.15,H282&gt;23.74,J282&lt;=0.1))*1</f>
        <v/>
      </c>
      <c r="Y282">
        <f>--(AND(D282&lt;=113.15,E282&gt;0.15,H282&gt;23.74,J282&gt;0.1))*1</f>
        <v/>
      </c>
      <c r="Z282">
        <f>--(AND(D282&gt;113.15,K282&lt;=0.22,L282&lt;=0.02))*1</f>
        <v/>
      </c>
      <c r="AA282">
        <f>--(AND(D282&gt;113.15,K282&lt;=0.22,L282&gt;0.02))*0</f>
        <v/>
      </c>
      <c r="AB282">
        <f>--(AND(D282&gt;113.15,K282&gt;0.22,N282&lt;=810.1))*0</f>
        <v/>
      </c>
      <c r="AC282">
        <f>--(AND(D282&gt;113.15,K282&gt;0.22,N282&gt;810.1,I282&lt;=14.95))*1</f>
        <v/>
      </c>
      <c r="AD282">
        <f>--(AND(D282&gt;113.15,K282&gt;0.22,N282&gt;810.1,I282&gt;14.95))*1</f>
        <v/>
      </c>
      <c r="AE282">
        <f>SUM(P282:AD282)</f>
        <v/>
      </c>
      <c r="AF282">
        <f>IF(AE282=1,"Malignant","Benign")</f>
        <v/>
      </c>
      <c r="AG282">
        <f>--(AE282=C282)</f>
        <v/>
      </c>
    </row>
    <row r="283">
      <c r="A283">
        <f>BreastCancer_Data!A283</f>
        <v/>
      </c>
      <c r="B283">
        <f>BreastCancer_Data!B283</f>
        <v/>
      </c>
      <c r="C283">
        <f>BreastCancer_Data!D283</f>
        <v/>
      </c>
      <c r="D283">
        <f>BreastCancer_Data!E283</f>
        <v/>
      </c>
      <c r="E283">
        <f>BreastCancer_Data!F283</f>
        <v/>
      </c>
      <c r="F283">
        <f>BreastCancer_Data!G283</f>
        <v/>
      </c>
      <c r="G283">
        <f>BreastCancer_Data!H283</f>
        <v/>
      </c>
      <c r="H283">
        <f>BreastCancer_Data!I283</f>
        <v/>
      </c>
      <c r="I283">
        <f>BreastCancer_Data!J283</f>
        <v/>
      </c>
      <c r="J283">
        <f>BreastCancer_Data!K283</f>
        <v/>
      </c>
      <c r="K283">
        <f>BreastCancer_Data!L283</f>
        <v/>
      </c>
      <c r="L283">
        <f>BreastCancer_Data!M283</f>
        <v/>
      </c>
      <c r="M283">
        <f>BreastCancer_Data!N283</f>
        <v/>
      </c>
      <c r="N283">
        <f>BreastCancer_Data!O283</f>
        <v/>
      </c>
      <c r="O283">
        <f>0</f>
        <v/>
      </c>
      <c r="P283">
        <f>--(AND(D283&lt;=113.15,E283&lt;=0.15,F283&lt;=15.77,G283&lt;=0.18,H283&lt;=33.27))*0</f>
        <v/>
      </c>
      <c r="Q283">
        <f>--(AND(D283&lt;=113.15,E283&lt;=0.15,F283&lt;=15.77,G283&lt;=0.18,H283&gt;33.27))*0</f>
        <v/>
      </c>
      <c r="R283">
        <f>--(AND(D283&lt;=113.15,E283&lt;=0.15,F283&lt;=15.77,G283&gt;0.18))*0</f>
        <v/>
      </c>
      <c r="S283">
        <f>--(AND(D283&lt;=113.15,E283&lt;=0.15,F283&gt;15.77,H283&lt;=28.86,G283&lt;=0.14))*0</f>
        <v/>
      </c>
      <c r="T283">
        <f>--(AND(D283&lt;=113.15,E283&lt;=0.15,F283&gt;15.77,H283&lt;=28.86,G283&gt;0.14))*1</f>
        <v/>
      </c>
      <c r="U283">
        <f>--(AND(D283&lt;=113.15,E283&lt;=0.15,F283&gt;15.77,H283&gt;28.86,M283&lt;=14.54))*1</f>
        <v/>
      </c>
      <c r="V283">
        <f>--(AND(D283&lt;=113.15,E283&lt;=0.15,F283&gt;15.77,H283&gt;28.86,M283&gt;14.54))*1</f>
        <v/>
      </c>
      <c r="W283">
        <f>--(AND(D283&lt;=113.15,E283&gt;0.15,H283&lt;=23.74))*0</f>
        <v/>
      </c>
      <c r="X283">
        <f>--(AND(D283&lt;=113.15,E283&gt;0.15,H283&gt;23.74,J283&lt;=0.1))*1</f>
        <v/>
      </c>
      <c r="Y283">
        <f>--(AND(D283&lt;=113.15,E283&gt;0.15,H283&gt;23.74,J283&gt;0.1))*1</f>
        <v/>
      </c>
      <c r="Z283">
        <f>--(AND(D283&gt;113.15,K283&lt;=0.22,L283&lt;=0.02))*1</f>
        <v/>
      </c>
      <c r="AA283">
        <f>--(AND(D283&gt;113.15,K283&lt;=0.22,L283&gt;0.02))*0</f>
        <v/>
      </c>
      <c r="AB283">
        <f>--(AND(D283&gt;113.15,K283&gt;0.22,N283&lt;=810.1))*0</f>
        <v/>
      </c>
      <c r="AC283">
        <f>--(AND(D283&gt;113.15,K283&gt;0.22,N283&gt;810.1,I283&lt;=14.95))*1</f>
        <v/>
      </c>
      <c r="AD283">
        <f>--(AND(D283&gt;113.15,K283&gt;0.22,N283&gt;810.1,I283&gt;14.95))*1</f>
        <v/>
      </c>
      <c r="AE283">
        <f>SUM(P283:AD283)</f>
        <v/>
      </c>
      <c r="AF283">
        <f>IF(AE283=1,"Malignant","Benign")</f>
        <v/>
      </c>
      <c r="AG283">
        <f>--(AE283=C283)</f>
        <v/>
      </c>
    </row>
    <row r="284">
      <c r="A284">
        <f>BreastCancer_Data!A284</f>
        <v/>
      </c>
      <c r="B284">
        <f>BreastCancer_Data!B284</f>
        <v/>
      </c>
      <c r="C284">
        <f>BreastCancer_Data!D284</f>
        <v/>
      </c>
      <c r="D284">
        <f>BreastCancer_Data!E284</f>
        <v/>
      </c>
      <c r="E284">
        <f>BreastCancer_Data!F284</f>
        <v/>
      </c>
      <c r="F284">
        <f>BreastCancer_Data!G284</f>
        <v/>
      </c>
      <c r="G284">
        <f>BreastCancer_Data!H284</f>
        <v/>
      </c>
      <c r="H284">
        <f>BreastCancer_Data!I284</f>
        <v/>
      </c>
      <c r="I284">
        <f>BreastCancer_Data!J284</f>
        <v/>
      </c>
      <c r="J284">
        <f>BreastCancer_Data!K284</f>
        <v/>
      </c>
      <c r="K284">
        <f>BreastCancer_Data!L284</f>
        <v/>
      </c>
      <c r="L284">
        <f>BreastCancer_Data!M284</f>
        <v/>
      </c>
      <c r="M284">
        <f>BreastCancer_Data!N284</f>
        <v/>
      </c>
      <c r="N284">
        <f>BreastCancer_Data!O284</f>
        <v/>
      </c>
      <c r="O284">
        <f>0</f>
        <v/>
      </c>
      <c r="P284">
        <f>--(AND(D284&lt;=113.15,E284&lt;=0.15,F284&lt;=15.77,G284&lt;=0.18,H284&lt;=33.27))*0</f>
        <v/>
      </c>
      <c r="Q284">
        <f>--(AND(D284&lt;=113.15,E284&lt;=0.15,F284&lt;=15.77,G284&lt;=0.18,H284&gt;33.27))*0</f>
        <v/>
      </c>
      <c r="R284">
        <f>--(AND(D284&lt;=113.15,E284&lt;=0.15,F284&lt;=15.77,G284&gt;0.18))*0</f>
        <v/>
      </c>
      <c r="S284">
        <f>--(AND(D284&lt;=113.15,E284&lt;=0.15,F284&gt;15.77,H284&lt;=28.86,G284&lt;=0.14))*0</f>
        <v/>
      </c>
      <c r="T284">
        <f>--(AND(D284&lt;=113.15,E284&lt;=0.15,F284&gt;15.77,H284&lt;=28.86,G284&gt;0.14))*1</f>
        <v/>
      </c>
      <c r="U284">
        <f>--(AND(D284&lt;=113.15,E284&lt;=0.15,F284&gt;15.77,H284&gt;28.86,M284&lt;=14.54))*1</f>
        <v/>
      </c>
      <c r="V284">
        <f>--(AND(D284&lt;=113.15,E284&lt;=0.15,F284&gt;15.77,H284&gt;28.86,M284&gt;14.54))*1</f>
        <v/>
      </c>
      <c r="W284">
        <f>--(AND(D284&lt;=113.15,E284&gt;0.15,H284&lt;=23.74))*0</f>
        <v/>
      </c>
      <c r="X284">
        <f>--(AND(D284&lt;=113.15,E284&gt;0.15,H284&gt;23.74,J284&lt;=0.1))*1</f>
        <v/>
      </c>
      <c r="Y284">
        <f>--(AND(D284&lt;=113.15,E284&gt;0.15,H284&gt;23.74,J284&gt;0.1))*1</f>
        <v/>
      </c>
      <c r="Z284">
        <f>--(AND(D284&gt;113.15,K284&lt;=0.22,L284&lt;=0.02))*1</f>
        <v/>
      </c>
      <c r="AA284">
        <f>--(AND(D284&gt;113.15,K284&lt;=0.22,L284&gt;0.02))*0</f>
        <v/>
      </c>
      <c r="AB284">
        <f>--(AND(D284&gt;113.15,K284&gt;0.22,N284&lt;=810.1))*0</f>
        <v/>
      </c>
      <c r="AC284">
        <f>--(AND(D284&gt;113.15,K284&gt;0.22,N284&gt;810.1,I284&lt;=14.95))*1</f>
        <v/>
      </c>
      <c r="AD284">
        <f>--(AND(D284&gt;113.15,K284&gt;0.22,N284&gt;810.1,I284&gt;14.95))*1</f>
        <v/>
      </c>
      <c r="AE284">
        <f>SUM(P284:AD284)</f>
        <v/>
      </c>
      <c r="AF284">
        <f>IF(AE284=1,"Malignant","Benign")</f>
        <v/>
      </c>
      <c r="AG284">
        <f>--(AE284=C284)</f>
        <v/>
      </c>
    </row>
    <row r="285">
      <c r="A285">
        <f>BreastCancer_Data!A285</f>
        <v/>
      </c>
      <c r="B285">
        <f>BreastCancer_Data!B285</f>
        <v/>
      </c>
      <c r="C285">
        <f>BreastCancer_Data!D285</f>
        <v/>
      </c>
      <c r="D285">
        <f>BreastCancer_Data!E285</f>
        <v/>
      </c>
      <c r="E285">
        <f>BreastCancer_Data!F285</f>
        <v/>
      </c>
      <c r="F285">
        <f>BreastCancer_Data!G285</f>
        <v/>
      </c>
      <c r="G285">
        <f>BreastCancer_Data!H285</f>
        <v/>
      </c>
      <c r="H285">
        <f>BreastCancer_Data!I285</f>
        <v/>
      </c>
      <c r="I285">
        <f>BreastCancer_Data!J285</f>
        <v/>
      </c>
      <c r="J285">
        <f>BreastCancer_Data!K285</f>
        <v/>
      </c>
      <c r="K285">
        <f>BreastCancer_Data!L285</f>
        <v/>
      </c>
      <c r="L285">
        <f>BreastCancer_Data!M285</f>
        <v/>
      </c>
      <c r="M285">
        <f>BreastCancer_Data!N285</f>
        <v/>
      </c>
      <c r="N285">
        <f>BreastCancer_Data!O285</f>
        <v/>
      </c>
      <c r="O285">
        <f>0</f>
        <v/>
      </c>
      <c r="P285">
        <f>--(AND(D285&lt;=113.15,E285&lt;=0.15,F285&lt;=15.77,G285&lt;=0.18,H285&lt;=33.27))*0</f>
        <v/>
      </c>
      <c r="Q285">
        <f>--(AND(D285&lt;=113.15,E285&lt;=0.15,F285&lt;=15.77,G285&lt;=0.18,H285&gt;33.27))*0</f>
        <v/>
      </c>
      <c r="R285">
        <f>--(AND(D285&lt;=113.15,E285&lt;=0.15,F285&lt;=15.77,G285&gt;0.18))*0</f>
        <v/>
      </c>
      <c r="S285">
        <f>--(AND(D285&lt;=113.15,E285&lt;=0.15,F285&gt;15.77,H285&lt;=28.86,G285&lt;=0.14))*0</f>
        <v/>
      </c>
      <c r="T285">
        <f>--(AND(D285&lt;=113.15,E285&lt;=0.15,F285&gt;15.77,H285&lt;=28.86,G285&gt;0.14))*1</f>
        <v/>
      </c>
      <c r="U285">
        <f>--(AND(D285&lt;=113.15,E285&lt;=0.15,F285&gt;15.77,H285&gt;28.86,M285&lt;=14.54))*1</f>
        <v/>
      </c>
      <c r="V285">
        <f>--(AND(D285&lt;=113.15,E285&lt;=0.15,F285&gt;15.77,H285&gt;28.86,M285&gt;14.54))*1</f>
        <v/>
      </c>
      <c r="W285">
        <f>--(AND(D285&lt;=113.15,E285&gt;0.15,H285&lt;=23.74))*0</f>
        <v/>
      </c>
      <c r="X285">
        <f>--(AND(D285&lt;=113.15,E285&gt;0.15,H285&gt;23.74,J285&lt;=0.1))*1</f>
        <v/>
      </c>
      <c r="Y285">
        <f>--(AND(D285&lt;=113.15,E285&gt;0.15,H285&gt;23.74,J285&gt;0.1))*1</f>
        <v/>
      </c>
      <c r="Z285">
        <f>--(AND(D285&gt;113.15,K285&lt;=0.22,L285&lt;=0.02))*1</f>
        <v/>
      </c>
      <c r="AA285">
        <f>--(AND(D285&gt;113.15,K285&lt;=0.22,L285&gt;0.02))*0</f>
        <v/>
      </c>
      <c r="AB285">
        <f>--(AND(D285&gt;113.15,K285&gt;0.22,N285&lt;=810.1))*0</f>
        <v/>
      </c>
      <c r="AC285">
        <f>--(AND(D285&gt;113.15,K285&gt;0.22,N285&gt;810.1,I285&lt;=14.95))*1</f>
        <v/>
      </c>
      <c r="AD285">
        <f>--(AND(D285&gt;113.15,K285&gt;0.22,N285&gt;810.1,I285&gt;14.95))*1</f>
        <v/>
      </c>
      <c r="AE285">
        <f>SUM(P285:AD285)</f>
        <v/>
      </c>
      <c r="AF285">
        <f>IF(AE285=1,"Malignant","Benign")</f>
        <v/>
      </c>
      <c r="AG285">
        <f>--(AE285=C285)</f>
        <v/>
      </c>
    </row>
    <row r="286">
      <c r="A286">
        <f>BreastCancer_Data!A286</f>
        <v/>
      </c>
      <c r="B286">
        <f>BreastCancer_Data!B286</f>
        <v/>
      </c>
      <c r="C286">
        <f>BreastCancer_Data!D286</f>
        <v/>
      </c>
      <c r="D286">
        <f>BreastCancer_Data!E286</f>
        <v/>
      </c>
      <c r="E286">
        <f>BreastCancer_Data!F286</f>
        <v/>
      </c>
      <c r="F286">
        <f>BreastCancer_Data!G286</f>
        <v/>
      </c>
      <c r="G286">
        <f>BreastCancer_Data!H286</f>
        <v/>
      </c>
      <c r="H286">
        <f>BreastCancer_Data!I286</f>
        <v/>
      </c>
      <c r="I286">
        <f>BreastCancer_Data!J286</f>
        <v/>
      </c>
      <c r="J286">
        <f>BreastCancer_Data!K286</f>
        <v/>
      </c>
      <c r="K286">
        <f>BreastCancer_Data!L286</f>
        <v/>
      </c>
      <c r="L286">
        <f>BreastCancer_Data!M286</f>
        <v/>
      </c>
      <c r="M286">
        <f>BreastCancer_Data!N286</f>
        <v/>
      </c>
      <c r="N286">
        <f>BreastCancer_Data!O286</f>
        <v/>
      </c>
      <c r="O286">
        <f>0</f>
        <v/>
      </c>
      <c r="P286">
        <f>--(AND(D286&lt;=113.15,E286&lt;=0.15,F286&lt;=15.77,G286&lt;=0.18,H286&lt;=33.27))*0</f>
        <v/>
      </c>
      <c r="Q286">
        <f>--(AND(D286&lt;=113.15,E286&lt;=0.15,F286&lt;=15.77,G286&lt;=0.18,H286&gt;33.27))*0</f>
        <v/>
      </c>
      <c r="R286">
        <f>--(AND(D286&lt;=113.15,E286&lt;=0.15,F286&lt;=15.77,G286&gt;0.18))*0</f>
        <v/>
      </c>
      <c r="S286">
        <f>--(AND(D286&lt;=113.15,E286&lt;=0.15,F286&gt;15.77,H286&lt;=28.86,G286&lt;=0.14))*0</f>
        <v/>
      </c>
      <c r="T286">
        <f>--(AND(D286&lt;=113.15,E286&lt;=0.15,F286&gt;15.77,H286&lt;=28.86,G286&gt;0.14))*1</f>
        <v/>
      </c>
      <c r="U286">
        <f>--(AND(D286&lt;=113.15,E286&lt;=0.15,F286&gt;15.77,H286&gt;28.86,M286&lt;=14.54))*1</f>
        <v/>
      </c>
      <c r="V286">
        <f>--(AND(D286&lt;=113.15,E286&lt;=0.15,F286&gt;15.77,H286&gt;28.86,M286&gt;14.54))*1</f>
        <v/>
      </c>
      <c r="W286">
        <f>--(AND(D286&lt;=113.15,E286&gt;0.15,H286&lt;=23.74))*0</f>
        <v/>
      </c>
      <c r="X286">
        <f>--(AND(D286&lt;=113.15,E286&gt;0.15,H286&gt;23.74,J286&lt;=0.1))*1</f>
        <v/>
      </c>
      <c r="Y286">
        <f>--(AND(D286&lt;=113.15,E286&gt;0.15,H286&gt;23.74,J286&gt;0.1))*1</f>
        <v/>
      </c>
      <c r="Z286">
        <f>--(AND(D286&gt;113.15,K286&lt;=0.22,L286&lt;=0.02))*1</f>
        <v/>
      </c>
      <c r="AA286">
        <f>--(AND(D286&gt;113.15,K286&lt;=0.22,L286&gt;0.02))*0</f>
        <v/>
      </c>
      <c r="AB286">
        <f>--(AND(D286&gt;113.15,K286&gt;0.22,N286&lt;=810.1))*0</f>
        <v/>
      </c>
      <c r="AC286">
        <f>--(AND(D286&gt;113.15,K286&gt;0.22,N286&gt;810.1,I286&lt;=14.95))*1</f>
        <v/>
      </c>
      <c r="AD286">
        <f>--(AND(D286&gt;113.15,K286&gt;0.22,N286&gt;810.1,I286&gt;14.95))*1</f>
        <v/>
      </c>
      <c r="AE286">
        <f>SUM(P286:AD286)</f>
        <v/>
      </c>
      <c r="AF286">
        <f>IF(AE286=1,"Malignant","Benign")</f>
        <v/>
      </c>
      <c r="AG286">
        <f>--(AE286=C286)</f>
        <v/>
      </c>
    </row>
    <row r="287">
      <c r="A287">
        <f>BreastCancer_Data!A287</f>
        <v/>
      </c>
      <c r="B287">
        <f>BreastCancer_Data!B287</f>
        <v/>
      </c>
      <c r="C287">
        <f>BreastCancer_Data!D287</f>
        <v/>
      </c>
      <c r="D287">
        <f>BreastCancer_Data!E287</f>
        <v/>
      </c>
      <c r="E287">
        <f>BreastCancer_Data!F287</f>
        <v/>
      </c>
      <c r="F287">
        <f>BreastCancer_Data!G287</f>
        <v/>
      </c>
      <c r="G287">
        <f>BreastCancer_Data!H287</f>
        <v/>
      </c>
      <c r="H287">
        <f>BreastCancer_Data!I287</f>
        <v/>
      </c>
      <c r="I287">
        <f>BreastCancer_Data!J287</f>
        <v/>
      </c>
      <c r="J287">
        <f>BreastCancer_Data!K287</f>
        <v/>
      </c>
      <c r="K287">
        <f>BreastCancer_Data!L287</f>
        <v/>
      </c>
      <c r="L287">
        <f>BreastCancer_Data!M287</f>
        <v/>
      </c>
      <c r="M287">
        <f>BreastCancer_Data!N287</f>
        <v/>
      </c>
      <c r="N287">
        <f>BreastCancer_Data!O287</f>
        <v/>
      </c>
      <c r="O287">
        <f>0</f>
        <v/>
      </c>
      <c r="P287">
        <f>--(AND(D287&lt;=113.15,E287&lt;=0.15,F287&lt;=15.77,G287&lt;=0.18,H287&lt;=33.27))*0</f>
        <v/>
      </c>
      <c r="Q287">
        <f>--(AND(D287&lt;=113.15,E287&lt;=0.15,F287&lt;=15.77,G287&lt;=0.18,H287&gt;33.27))*0</f>
        <v/>
      </c>
      <c r="R287">
        <f>--(AND(D287&lt;=113.15,E287&lt;=0.15,F287&lt;=15.77,G287&gt;0.18))*0</f>
        <v/>
      </c>
      <c r="S287">
        <f>--(AND(D287&lt;=113.15,E287&lt;=0.15,F287&gt;15.77,H287&lt;=28.86,G287&lt;=0.14))*0</f>
        <v/>
      </c>
      <c r="T287">
        <f>--(AND(D287&lt;=113.15,E287&lt;=0.15,F287&gt;15.77,H287&lt;=28.86,G287&gt;0.14))*1</f>
        <v/>
      </c>
      <c r="U287">
        <f>--(AND(D287&lt;=113.15,E287&lt;=0.15,F287&gt;15.77,H287&gt;28.86,M287&lt;=14.54))*1</f>
        <v/>
      </c>
      <c r="V287">
        <f>--(AND(D287&lt;=113.15,E287&lt;=0.15,F287&gt;15.77,H287&gt;28.86,M287&gt;14.54))*1</f>
        <v/>
      </c>
      <c r="W287">
        <f>--(AND(D287&lt;=113.15,E287&gt;0.15,H287&lt;=23.74))*0</f>
        <v/>
      </c>
      <c r="X287">
        <f>--(AND(D287&lt;=113.15,E287&gt;0.15,H287&gt;23.74,J287&lt;=0.1))*1</f>
        <v/>
      </c>
      <c r="Y287">
        <f>--(AND(D287&lt;=113.15,E287&gt;0.15,H287&gt;23.74,J287&gt;0.1))*1</f>
        <v/>
      </c>
      <c r="Z287">
        <f>--(AND(D287&gt;113.15,K287&lt;=0.22,L287&lt;=0.02))*1</f>
        <v/>
      </c>
      <c r="AA287">
        <f>--(AND(D287&gt;113.15,K287&lt;=0.22,L287&gt;0.02))*0</f>
        <v/>
      </c>
      <c r="AB287">
        <f>--(AND(D287&gt;113.15,K287&gt;0.22,N287&lt;=810.1))*0</f>
        <v/>
      </c>
      <c r="AC287">
        <f>--(AND(D287&gt;113.15,K287&gt;0.22,N287&gt;810.1,I287&lt;=14.95))*1</f>
        <v/>
      </c>
      <c r="AD287">
        <f>--(AND(D287&gt;113.15,K287&gt;0.22,N287&gt;810.1,I287&gt;14.95))*1</f>
        <v/>
      </c>
      <c r="AE287">
        <f>SUM(P287:AD287)</f>
        <v/>
      </c>
      <c r="AF287">
        <f>IF(AE287=1,"Malignant","Benign")</f>
        <v/>
      </c>
      <c r="AG287">
        <f>--(AE287=C287)</f>
        <v/>
      </c>
    </row>
    <row r="288">
      <c r="A288">
        <f>BreastCancer_Data!A288</f>
        <v/>
      </c>
      <c r="B288">
        <f>BreastCancer_Data!B288</f>
        <v/>
      </c>
      <c r="C288">
        <f>BreastCancer_Data!D288</f>
        <v/>
      </c>
      <c r="D288">
        <f>BreastCancer_Data!E288</f>
        <v/>
      </c>
      <c r="E288">
        <f>BreastCancer_Data!F288</f>
        <v/>
      </c>
      <c r="F288">
        <f>BreastCancer_Data!G288</f>
        <v/>
      </c>
      <c r="G288">
        <f>BreastCancer_Data!H288</f>
        <v/>
      </c>
      <c r="H288">
        <f>BreastCancer_Data!I288</f>
        <v/>
      </c>
      <c r="I288">
        <f>BreastCancer_Data!J288</f>
        <v/>
      </c>
      <c r="J288">
        <f>BreastCancer_Data!K288</f>
        <v/>
      </c>
      <c r="K288">
        <f>BreastCancer_Data!L288</f>
        <v/>
      </c>
      <c r="L288">
        <f>BreastCancer_Data!M288</f>
        <v/>
      </c>
      <c r="M288">
        <f>BreastCancer_Data!N288</f>
        <v/>
      </c>
      <c r="N288">
        <f>BreastCancer_Data!O288</f>
        <v/>
      </c>
      <c r="O288">
        <f>0</f>
        <v/>
      </c>
      <c r="P288">
        <f>--(AND(D288&lt;=113.15,E288&lt;=0.15,F288&lt;=15.77,G288&lt;=0.18,H288&lt;=33.27))*0</f>
        <v/>
      </c>
      <c r="Q288">
        <f>--(AND(D288&lt;=113.15,E288&lt;=0.15,F288&lt;=15.77,G288&lt;=0.18,H288&gt;33.27))*0</f>
        <v/>
      </c>
      <c r="R288">
        <f>--(AND(D288&lt;=113.15,E288&lt;=0.15,F288&lt;=15.77,G288&gt;0.18))*0</f>
        <v/>
      </c>
      <c r="S288">
        <f>--(AND(D288&lt;=113.15,E288&lt;=0.15,F288&gt;15.77,H288&lt;=28.86,G288&lt;=0.14))*0</f>
        <v/>
      </c>
      <c r="T288">
        <f>--(AND(D288&lt;=113.15,E288&lt;=0.15,F288&gt;15.77,H288&lt;=28.86,G288&gt;0.14))*1</f>
        <v/>
      </c>
      <c r="U288">
        <f>--(AND(D288&lt;=113.15,E288&lt;=0.15,F288&gt;15.77,H288&gt;28.86,M288&lt;=14.54))*1</f>
        <v/>
      </c>
      <c r="V288">
        <f>--(AND(D288&lt;=113.15,E288&lt;=0.15,F288&gt;15.77,H288&gt;28.86,M288&gt;14.54))*1</f>
        <v/>
      </c>
      <c r="W288">
        <f>--(AND(D288&lt;=113.15,E288&gt;0.15,H288&lt;=23.74))*0</f>
        <v/>
      </c>
      <c r="X288">
        <f>--(AND(D288&lt;=113.15,E288&gt;0.15,H288&gt;23.74,J288&lt;=0.1))*1</f>
        <v/>
      </c>
      <c r="Y288">
        <f>--(AND(D288&lt;=113.15,E288&gt;0.15,H288&gt;23.74,J288&gt;0.1))*1</f>
        <v/>
      </c>
      <c r="Z288">
        <f>--(AND(D288&gt;113.15,K288&lt;=0.22,L288&lt;=0.02))*1</f>
        <v/>
      </c>
      <c r="AA288">
        <f>--(AND(D288&gt;113.15,K288&lt;=0.22,L288&gt;0.02))*0</f>
        <v/>
      </c>
      <c r="AB288">
        <f>--(AND(D288&gt;113.15,K288&gt;0.22,N288&lt;=810.1))*0</f>
        <v/>
      </c>
      <c r="AC288">
        <f>--(AND(D288&gt;113.15,K288&gt;0.22,N288&gt;810.1,I288&lt;=14.95))*1</f>
        <v/>
      </c>
      <c r="AD288">
        <f>--(AND(D288&gt;113.15,K288&gt;0.22,N288&gt;810.1,I288&gt;14.95))*1</f>
        <v/>
      </c>
      <c r="AE288">
        <f>SUM(P288:AD288)</f>
        <v/>
      </c>
      <c r="AF288">
        <f>IF(AE288=1,"Malignant","Benign")</f>
        <v/>
      </c>
      <c r="AG288">
        <f>--(AE288=C288)</f>
        <v/>
      </c>
    </row>
    <row r="289">
      <c r="A289">
        <f>BreastCancer_Data!A289</f>
        <v/>
      </c>
      <c r="B289">
        <f>BreastCancer_Data!B289</f>
        <v/>
      </c>
      <c r="C289">
        <f>BreastCancer_Data!D289</f>
        <v/>
      </c>
      <c r="D289">
        <f>BreastCancer_Data!E289</f>
        <v/>
      </c>
      <c r="E289">
        <f>BreastCancer_Data!F289</f>
        <v/>
      </c>
      <c r="F289">
        <f>BreastCancer_Data!G289</f>
        <v/>
      </c>
      <c r="G289">
        <f>BreastCancer_Data!H289</f>
        <v/>
      </c>
      <c r="H289">
        <f>BreastCancer_Data!I289</f>
        <v/>
      </c>
      <c r="I289">
        <f>BreastCancer_Data!J289</f>
        <v/>
      </c>
      <c r="J289">
        <f>BreastCancer_Data!K289</f>
        <v/>
      </c>
      <c r="K289">
        <f>BreastCancer_Data!L289</f>
        <v/>
      </c>
      <c r="L289">
        <f>BreastCancer_Data!M289</f>
        <v/>
      </c>
      <c r="M289">
        <f>BreastCancer_Data!N289</f>
        <v/>
      </c>
      <c r="N289">
        <f>BreastCancer_Data!O289</f>
        <v/>
      </c>
      <c r="O289">
        <f>0</f>
        <v/>
      </c>
      <c r="P289">
        <f>--(AND(D289&lt;=113.15,E289&lt;=0.15,F289&lt;=15.77,G289&lt;=0.18,H289&lt;=33.27))*0</f>
        <v/>
      </c>
      <c r="Q289">
        <f>--(AND(D289&lt;=113.15,E289&lt;=0.15,F289&lt;=15.77,G289&lt;=0.18,H289&gt;33.27))*0</f>
        <v/>
      </c>
      <c r="R289">
        <f>--(AND(D289&lt;=113.15,E289&lt;=0.15,F289&lt;=15.77,G289&gt;0.18))*0</f>
        <v/>
      </c>
      <c r="S289">
        <f>--(AND(D289&lt;=113.15,E289&lt;=0.15,F289&gt;15.77,H289&lt;=28.86,G289&lt;=0.14))*0</f>
        <v/>
      </c>
      <c r="T289">
        <f>--(AND(D289&lt;=113.15,E289&lt;=0.15,F289&gt;15.77,H289&lt;=28.86,G289&gt;0.14))*1</f>
        <v/>
      </c>
      <c r="U289">
        <f>--(AND(D289&lt;=113.15,E289&lt;=0.15,F289&gt;15.77,H289&gt;28.86,M289&lt;=14.54))*1</f>
        <v/>
      </c>
      <c r="V289">
        <f>--(AND(D289&lt;=113.15,E289&lt;=0.15,F289&gt;15.77,H289&gt;28.86,M289&gt;14.54))*1</f>
        <v/>
      </c>
      <c r="W289">
        <f>--(AND(D289&lt;=113.15,E289&gt;0.15,H289&lt;=23.74))*0</f>
        <v/>
      </c>
      <c r="X289">
        <f>--(AND(D289&lt;=113.15,E289&gt;0.15,H289&gt;23.74,J289&lt;=0.1))*1</f>
        <v/>
      </c>
      <c r="Y289">
        <f>--(AND(D289&lt;=113.15,E289&gt;0.15,H289&gt;23.74,J289&gt;0.1))*1</f>
        <v/>
      </c>
      <c r="Z289">
        <f>--(AND(D289&gt;113.15,K289&lt;=0.22,L289&lt;=0.02))*1</f>
        <v/>
      </c>
      <c r="AA289">
        <f>--(AND(D289&gt;113.15,K289&lt;=0.22,L289&gt;0.02))*0</f>
        <v/>
      </c>
      <c r="AB289">
        <f>--(AND(D289&gt;113.15,K289&gt;0.22,N289&lt;=810.1))*0</f>
        <v/>
      </c>
      <c r="AC289">
        <f>--(AND(D289&gt;113.15,K289&gt;0.22,N289&gt;810.1,I289&lt;=14.95))*1</f>
        <v/>
      </c>
      <c r="AD289">
        <f>--(AND(D289&gt;113.15,K289&gt;0.22,N289&gt;810.1,I289&gt;14.95))*1</f>
        <v/>
      </c>
      <c r="AE289">
        <f>SUM(P289:AD289)</f>
        <v/>
      </c>
      <c r="AF289">
        <f>IF(AE289=1,"Malignant","Benign")</f>
        <v/>
      </c>
      <c r="AG289">
        <f>--(AE289=C289)</f>
        <v/>
      </c>
    </row>
    <row r="290">
      <c r="A290">
        <f>BreastCancer_Data!A290</f>
        <v/>
      </c>
      <c r="B290">
        <f>BreastCancer_Data!B290</f>
        <v/>
      </c>
      <c r="C290">
        <f>BreastCancer_Data!D290</f>
        <v/>
      </c>
      <c r="D290">
        <f>BreastCancer_Data!E290</f>
        <v/>
      </c>
      <c r="E290">
        <f>BreastCancer_Data!F290</f>
        <v/>
      </c>
      <c r="F290">
        <f>BreastCancer_Data!G290</f>
        <v/>
      </c>
      <c r="G290">
        <f>BreastCancer_Data!H290</f>
        <v/>
      </c>
      <c r="H290">
        <f>BreastCancer_Data!I290</f>
        <v/>
      </c>
      <c r="I290">
        <f>BreastCancer_Data!J290</f>
        <v/>
      </c>
      <c r="J290">
        <f>BreastCancer_Data!K290</f>
        <v/>
      </c>
      <c r="K290">
        <f>BreastCancer_Data!L290</f>
        <v/>
      </c>
      <c r="L290">
        <f>BreastCancer_Data!M290</f>
        <v/>
      </c>
      <c r="M290">
        <f>BreastCancer_Data!N290</f>
        <v/>
      </c>
      <c r="N290">
        <f>BreastCancer_Data!O290</f>
        <v/>
      </c>
      <c r="O290">
        <f>0</f>
        <v/>
      </c>
      <c r="P290">
        <f>--(AND(D290&lt;=113.15,E290&lt;=0.15,F290&lt;=15.77,G290&lt;=0.18,H290&lt;=33.27))*0</f>
        <v/>
      </c>
      <c r="Q290">
        <f>--(AND(D290&lt;=113.15,E290&lt;=0.15,F290&lt;=15.77,G290&lt;=0.18,H290&gt;33.27))*0</f>
        <v/>
      </c>
      <c r="R290">
        <f>--(AND(D290&lt;=113.15,E290&lt;=0.15,F290&lt;=15.77,G290&gt;0.18))*0</f>
        <v/>
      </c>
      <c r="S290">
        <f>--(AND(D290&lt;=113.15,E290&lt;=0.15,F290&gt;15.77,H290&lt;=28.86,G290&lt;=0.14))*0</f>
        <v/>
      </c>
      <c r="T290">
        <f>--(AND(D290&lt;=113.15,E290&lt;=0.15,F290&gt;15.77,H290&lt;=28.86,G290&gt;0.14))*1</f>
        <v/>
      </c>
      <c r="U290">
        <f>--(AND(D290&lt;=113.15,E290&lt;=0.15,F290&gt;15.77,H290&gt;28.86,M290&lt;=14.54))*1</f>
        <v/>
      </c>
      <c r="V290">
        <f>--(AND(D290&lt;=113.15,E290&lt;=0.15,F290&gt;15.77,H290&gt;28.86,M290&gt;14.54))*1</f>
        <v/>
      </c>
      <c r="W290">
        <f>--(AND(D290&lt;=113.15,E290&gt;0.15,H290&lt;=23.74))*0</f>
        <v/>
      </c>
      <c r="X290">
        <f>--(AND(D290&lt;=113.15,E290&gt;0.15,H290&gt;23.74,J290&lt;=0.1))*1</f>
        <v/>
      </c>
      <c r="Y290">
        <f>--(AND(D290&lt;=113.15,E290&gt;0.15,H290&gt;23.74,J290&gt;0.1))*1</f>
        <v/>
      </c>
      <c r="Z290">
        <f>--(AND(D290&gt;113.15,K290&lt;=0.22,L290&lt;=0.02))*1</f>
        <v/>
      </c>
      <c r="AA290">
        <f>--(AND(D290&gt;113.15,K290&lt;=0.22,L290&gt;0.02))*0</f>
        <v/>
      </c>
      <c r="AB290">
        <f>--(AND(D290&gt;113.15,K290&gt;0.22,N290&lt;=810.1))*0</f>
        <v/>
      </c>
      <c r="AC290">
        <f>--(AND(D290&gt;113.15,K290&gt;0.22,N290&gt;810.1,I290&lt;=14.95))*1</f>
        <v/>
      </c>
      <c r="AD290">
        <f>--(AND(D290&gt;113.15,K290&gt;0.22,N290&gt;810.1,I290&gt;14.95))*1</f>
        <v/>
      </c>
      <c r="AE290">
        <f>SUM(P290:AD290)</f>
        <v/>
      </c>
      <c r="AF290">
        <f>IF(AE290=1,"Malignant","Benign")</f>
        <v/>
      </c>
      <c r="AG290">
        <f>--(AE290=C290)</f>
        <v/>
      </c>
    </row>
    <row r="291">
      <c r="A291">
        <f>BreastCancer_Data!A291</f>
        <v/>
      </c>
      <c r="B291">
        <f>BreastCancer_Data!B291</f>
        <v/>
      </c>
      <c r="C291">
        <f>BreastCancer_Data!D291</f>
        <v/>
      </c>
      <c r="D291">
        <f>BreastCancer_Data!E291</f>
        <v/>
      </c>
      <c r="E291">
        <f>BreastCancer_Data!F291</f>
        <v/>
      </c>
      <c r="F291">
        <f>BreastCancer_Data!G291</f>
        <v/>
      </c>
      <c r="G291">
        <f>BreastCancer_Data!H291</f>
        <v/>
      </c>
      <c r="H291">
        <f>BreastCancer_Data!I291</f>
        <v/>
      </c>
      <c r="I291">
        <f>BreastCancer_Data!J291</f>
        <v/>
      </c>
      <c r="J291">
        <f>BreastCancer_Data!K291</f>
        <v/>
      </c>
      <c r="K291">
        <f>BreastCancer_Data!L291</f>
        <v/>
      </c>
      <c r="L291">
        <f>BreastCancer_Data!M291</f>
        <v/>
      </c>
      <c r="M291">
        <f>BreastCancer_Data!N291</f>
        <v/>
      </c>
      <c r="N291">
        <f>BreastCancer_Data!O291</f>
        <v/>
      </c>
      <c r="O291">
        <f>0</f>
        <v/>
      </c>
      <c r="P291">
        <f>--(AND(D291&lt;=113.15,E291&lt;=0.15,F291&lt;=15.77,G291&lt;=0.18,H291&lt;=33.27))*0</f>
        <v/>
      </c>
      <c r="Q291">
        <f>--(AND(D291&lt;=113.15,E291&lt;=0.15,F291&lt;=15.77,G291&lt;=0.18,H291&gt;33.27))*0</f>
        <v/>
      </c>
      <c r="R291">
        <f>--(AND(D291&lt;=113.15,E291&lt;=0.15,F291&lt;=15.77,G291&gt;0.18))*0</f>
        <v/>
      </c>
      <c r="S291">
        <f>--(AND(D291&lt;=113.15,E291&lt;=0.15,F291&gt;15.77,H291&lt;=28.86,G291&lt;=0.14))*0</f>
        <v/>
      </c>
      <c r="T291">
        <f>--(AND(D291&lt;=113.15,E291&lt;=0.15,F291&gt;15.77,H291&lt;=28.86,G291&gt;0.14))*1</f>
        <v/>
      </c>
      <c r="U291">
        <f>--(AND(D291&lt;=113.15,E291&lt;=0.15,F291&gt;15.77,H291&gt;28.86,M291&lt;=14.54))*1</f>
        <v/>
      </c>
      <c r="V291">
        <f>--(AND(D291&lt;=113.15,E291&lt;=0.15,F291&gt;15.77,H291&gt;28.86,M291&gt;14.54))*1</f>
        <v/>
      </c>
      <c r="W291">
        <f>--(AND(D291&lt;=113.15,E291&gt;0.15,H291&lt;=23.74))*0</f>
        <v/>
      </c>
      <c r="X291">
        <f>--(AND(D291&lt;=113.15,E291&gt;0.15,H291&gt;23.74,J291&lt;=0.1))*1</f>
        <v/>
      </c>
      <c r="Y291">
        <f>--(AND(D291&lt;=113.15,E291&gt;0.15,H291&gt;23.74,J291&gt;0.1))*1</f>
        <v/>
      </c>
      <c r="Z291">
        <f>--(AND(D291&gt;113.15,K291&lt;=0.22,L291&lt;=0.02))*1</f>
        <v/>
      </c>
      <c r="AA291">
        <f>--(AND(D291&gt;113.15,K291&lt;=0.22,L291&gt;0.02))*0</f>
        <v/>
      </c>
      <c r="AB291">
        <f>--(AND(D291&gt;113.15,K291&gt;0.22,N291&lt;=810.1))*0</f>
        <v/>
      </c>
      <c r="AC291">
        <f>--(AND(D291&gt;113.15,K291&gt;0.22,N291&gt;810.1,I291&lt;=14.95))*1</f>
        <v/>
      </c>
      <c r="AD291">
        <f>--(AND(D291&gt;113.15,K291&gt;0.22,N291&gt;810.1,I291&gt;14.95))*1</f>
        <v/>
      </c>
      <c r="AE291">
        <f>SUM(P291:AD291)</f>
        <v/>
      </c>
      <c r="AF291">
        <f>IF(AE291=1,"Malignant","Benign")</f>
        <v/>
      </c>
      <c r="AG291">
        <f>--(AE291=C291)</f>
        <v/>
      </c>
    </row>
    <row r="292">
      <c r="A292">
        <f>BreastCancer_Data!A292</f>
        <v/>
      </c>
      <c r="B292">
        <f>BreastCancer_Data!B292</f>
        <v/>
      </c>
      <c r="C292">
        <f>BreastCancer_Data!D292</f>
        <v/>
      </c>
      <c r="D292">
        <f>BreastCancer_Data!E292</f>
        <v/>
      </c>
      <c r="E292">
        <f>BreastCancer_Data!F292</f>
        <v/>
      </c>
      <c r="F292">
        <f>BreastCancer_Data!G292</f>
        <v/>
      </c>
      <c r="G292">
        <f>BreastCancer_Data!H292</f>
        <v/>
      </c>
      <c r="H292">
        <f>BreastCancer_Data!I292</f>
        <v/>
      </c>
      <c r="I292">
        <f>BreastCancer_Data!J292</f>
        <v/>
      </c>
      <c r="J292">
        <f>BreastCancer_Data!K292</f>
        <v/>
      </c>
      <c r="K292">
        <f>BreastCancer_Data!L292</f>
        <v/>
      </c>
      <c r="L292">
        <f>BreastCancer_Data!M292</f>
        <v/>
      </c>
      <c r="M292">
        <f>BreastCancer_Data!N292</f>
        <v/>
      </c>
      <c r="N292">
        <f>BreastCancer_Data!O292</f>
        <v/>
      </c>
      <c r="O292">
        <f>0</f>
        <v/>
      </c>
      <c r="P292">
        <f>--(AND(D292&lt;=113.15,E292&lt;=0.15,F292&lt;=15.77,G292&lt;=0.18,H292&lt;=33.27))*0</f>
        <v/>
      </c>
      <c r="Q292">
        <f>--(AND(D292&lt;=113.15,E292&lt;=0.15,F292&lt;=15.77,G292&lt;=0.18,H292&gt;33.27))*0</f>
        <v/>
      </c>
      <c r="R292">
        <f>--(AND(D292&lt;=113.15,E292&lt;=0.15,F292&lt;=15.77,G292&gt;0.18))*0</f>
        <v/>
      </c>
      <c r="S292">
        <f>--(AND(D292&lt;=113.15,E292&lt;=0.15,F292&gt;15.77,H292&lt;=28.86,G292&lt;=0.14))*0</f>
        <v/>
      </c>
      <c r="T292">
        <f>--(AND(D292&lt;=113.15,E292&lt;=0.15,F292&gt;15.77,H292&lt;=28.86,G292&gt;0.14))*1</f>
        <v/>
      </c>
      <c r="U292">
        <f>--(AND(D292&lt;=113.15,E292&lt;=0.15,F292&gt;15.77,H292&gt;28.86,M292&lt;=14.54))*1</f>
        <v/>
      </c>
      <c r="V292">
        <f>--(AND(D292&lt;=113.15,E292&lt;=0.15,F292&gt;15.77,H292&gt;28.86,M292&gt;14.54))*1</f>
        <v/>
      </c>
      <c r="W292">
        <f>--(AND(D292&lt;=113.15,E292&gt;0.15,H292&lt;=23.74))*0</f>
        <v/>
      </c>
      <c r="X292">
        <f>--(AND(D292&lt;=113.15,E292&gt;0.15,H292&gt;23.74,J292&lt;=0.1))*1</f>
        <v/>
      </c>
      <c r="Y292">
        <f>--(AND(D292&lt;=113.15,E292&gt;0.15,H292&gt;23.74,J292&gt;0.1))*1</f>
        <v/>
      </c>
      <c r="Z292">
        <f>--(AND(D292&gt;113.15,K292&lt;=0.22,L292&lt;=0.02))*1</f>
        <v/>
      </c>
      <c r="AA292">
        <f>--(AND(D292&gt;113.15,K292&lt;=0.22,L292&gt;0.02))*0</f>
        <v/>
      </c>
      <c r="AB292">
        <f>--(AND(D292&gt;113.15,K292&gt;0.22,N292&lt;=810.1))*0</f>
        <v/>
      </c>
      <c r="AC292">
        <f>--(AND(D292&gt;113.15,K292&gt;0.22,N292&gt;810.1,I292&lt;=14.95))*1</f>
        <v/>
      </c>
      <c r="AD292">
        <f>--(AND(D292&gt;113.15,K292&gt;0.22,N292&gt;810.1,I292&gt;14.95))*1</f>
        <v/>
      </c>
      <c r="AE292">
        <f>SUM(P292:AD292)</f>
        <v/>
      </c>
      <c r="AF292">
        <f>IF(AE292=1,"Malignant","Benign")</f>
        <v/>
      </c>
      <c r="AG292">
        <f>--(AE292=C292)</f>
        <v/>
      </c>
    </row>
    <row r="293">
      <c r="A293">
        <f>BreastCancer_Data!A293</f>
        <v/>
      </c>
      <c r="B293">
        <f>BreastCancer_Data!B293</f>
        <v/>
      </c>
      <c r="C293">
        <f>BreastCancer_Data!D293</f>
        <v/>
      </c>
      <c r="D293">
        <f>BreastCancer_Data!E293</f>
        <v/>
      </c>
      <c r="E293">
        <f>BreastCancer_Data!F293</f>
        <v/>
      </c>
      <c r="F293">
        <f>BreastCancer_Data!G293</f>
        <v/>
      </c>
      <c r="G293">
        <f>BreastCancer_Data!H293</f>
        <v/>
      </c>
      <c r="H293">
        <f>BreastCancer_Data!I293</f>
        <v/>
      </c>
      <c r="I293">
        <f>BreastCancer_Data!J293</f>
        <v/>
      </c>
      <c r="J293">
        <f>BreastCancer_Data!K293</f>
        <v/>
      </c>
      <c r="K293">
        <f>BreastCancer_Data!L293</f>
        <v/>
      </c>
      <c r="L293">
        <f>BreastCancer_Data!M293</f>
        <v/>
      </c>
      <c r="M293">
        <f>BreastCancer_Data!N293</f>
        <v/>
      </c>
      <c r="N293">
        <f>BreastCancer_Data!O293</f>
        <v/>
      </c>
      <c r="O293">
        <f>0</f>
        <v/>
      </c>
      <c r="P293">
        <f>--(AND(D293&lt;=113.15,E293&lt;=0.15,F293&lt;=15.77,G293&lt;=0.18,H293&lt;=33.27))*0</f>
        <v/>
      </c>
      <c r="Q293">
        <f>--(AND(D293&lt;=113.15,E293&lt;=0.15,F293&lt;=15.77,G293&lt;=0.18,H293&gt;33.27))*0</f>
        <v/>
      </c>
      <c r="R293">
        <f>--(AND(D293&lt;=113.15,E293&lt;=0.15,F293&lt;=15.77,G293&gt;0.18))*0</f>
        <v/>
      </c>
      <c r="S293">
        <f>--(AND(D293&lt;=113.15,E293&lt;=0.15,F293&gt;15.77,H293&lt;=28.86,G293&lt;=0.14))*0</f>
        <v/>
      </c>
      <c r="T293">
        <f>--(AND(D293&lt;=113.15,E293&lt;=0.15,F293&gt;15.77,H293&lt;=28.86,G293&gt;0.14))*1</f>
        <v/>
      </c>
      <c r="U293">
        <f>--(AND(D293&lt;=113.15,E293&lt;=0.15,F293&gt;15.77,H293&gt;28.86,M293&lt;=14.54))*1</f>
        <v/>
      </c>
      <c r="V293">
        <f>--(AND(D293&lt;=113.15,E293&lt;=0.15,F293&gt;15.77,H293&gt;28.86,M293&gt;14.54))*1</f>
        <v/>
      </c>
      <c r="W293">
        <f>--(AND(D293&lt;=113.15,E293&gt;0.15,H293&lt;=23.74))*0</f>
        <v/>
      </c>
      <c r="X293">
        <f>--(AND(D293&lt;=113.15,E293&gt;0.15,H293&gt;23.74,J293&lt;=0.1))*1</f>
        <v/>
      </c>
      <c r="Y293">
        <f>--(AND(D293&lt;=113.15,E293&gt;0.15,H293&gt;23.74,J293&gt;0.1))*1</f>
        <v/>
      </c>
      <c r="Z293">
        <f>--(AND(D293&gt;113.15,K293&lt;=0.22,L293&lt;=0.02))*1</f>
        <v/>
      </c>
      <c r="AA293">
        <f>--(AND(D293&gt;113.15,K293&lt;=0.22,L293&gt;0.02))*0</f>
        <v/>
      </c>
      <c r="AB293">
        <f>--(AND(D293&gt;113.15,K293&gt;0.22,N293&lt;=810.1))*0</f>
        <v/>
      </c>
      <c r="AC293">
        <f>--(AND(D293&gt;113.15,K293&gt;0.22,N293&gt;810.1,I293&lt;=14.95))*1</f>
        <v/>
      </c>
      <c r="AD293">
        <f>--(AND(D293&gt;113.15,K293&gt;0.22,N293&gt;810.1,I293&gt;14.95))*1</f>
        <v/>
      </c>
      <c r="AE293">
        <f>SUM(P293:AD293)</f>
        <v/>
      </c>
      <c r="AF293">
        <f>IF(AE293=1,"Malignant","Benign")</f>
        <v/>
      </c>
      <c r="AG293">
        <f>--(AE293=C293)</f>
        <v/>
      </c>
    </row>
    <row r="294">
      <c r="A294">
        <f>BreastCancer_Data!A294</f>
        <v/>
      </c>
      <c r="B294">
        <f>BreastCancer_Data!B294</f>
        <v/>
      </c>
      <c r="C294">
        <f>BreastCancer_Data!D294</f>
        <v/>
      </c>
      <c r="D294">
        <f>BreastCancer_Data!E294</f>
        <v/>
      </c>
      <c r="E294">
        <f>BreastCancer_Data!F294</f>
        <v/>
      </c>
      <c r="F294">
        <f>BreastCancer_Data!G294</f>
        <v/>
      </c>
      <c r="G294">
        <f>BreastCancer_Data!H294</f>
        <v/>
      </c>
      <c r="H294">
        <f>BreastCancer_Data!I294</f>
        <v/>
      </c>
      <c r="I294">
        <f>BreastCancer_Data!J294</f>
        <v/>
      </c>
      <c r="J294">
        <f>BreastCancer_Data!K294</f>
        <v/>
      </c>
      <c r="K294">
        <f>BreastCancer_Data!L294</f>
        <v/>
      </c>
      <c r="L294">
        <f>BreastCancer_Data!M294</f>
        <v/>
      </c>
      <c r="M294">
        <f>BreastCancer_Data!N294</f>
        <v/>
      </c>
      <c r="N294">
        <f>BreastCancer_Data!O294</f>
        <v/>
      </c>
      <c r="O294">
        <f>0</f>
        <v/>
      </c>
      <c r="P294">
        <f>--(AND(D294&lt;=113.15,E294&lt;=0.15,F294&lt;=15.77,G294&lt;=0.18,H294&lt;=33.27))*0</f>
        <v/>
      </c>
      <c r="Q294">
        <f>--(AND(D294&lt;=113.15,E294&lt;=0.15,F294&lt;=15.77,G294&lt;=0.18,H294&gt;33.27))*0</f>
        <v/>
      </c>
      <c r="R294">
        <f>--(AND(D294&lt;=113.15,E294&lt;=0.15,F294&lt;=15.77,G294&gt;0.18))*0</f>
        <v/>
      </c>
      <c r="S294">
        <f>--(AND(D294&lt;=113.15,E294&lt;=0.15,F294&gt;15.77,H294&lt;=28.86,G294&lt;=0.14))*0</f>
        <v/>
      </c>
      <c r="T294">
        <f>--(AND(D294&lt;=113.15,E294&lt;=0.15,F294&gt;15.77,H294&lt;=28.86,G294&gt;0.14))*1</f>
        <v/>
      </c>
      <c r="U294">
        <f>--(AND(D294&lt;=113.15,E294&lt;=0.15,F294&gt;15.77,H294&gt;28.86,M294&lt;=14.54))*1</f>
        <v/>
      </c>
      <c r="V294">
        <f>--(AND(D294&lt;=113.15,E294&lt;=0.15,F294&gt;15.77,H294&gt;28.86,M294&gt;14.54))*1</f>
        <v/>
      </c>
      <c r="W294">
        <f>--(AND(D294&lt;=113.15,E294&gt;0.15,H294&lt;=23.74))*0</f>
        <v/>
      </c>
      <c r="X294">
        <f>--(AND(D294&lt;=113.15,E294&gt;0.15,H294&gt;23.74,J294&lt;=0.1))*1</f>
        <v/>
      </c>
      <c r="Y294">
        <f>--(AND(D294&lt;=113.15,E294&gt;0.15,H294&gt;23.74,J294&gt;0.1))*1</f>
        <v/>
      </c>
      <c r="Z294">
        <f>--(AND(D294&gt;113.15,K294&lt;=0.22,L294&lt;=0.02))*1</f>
        <v/>
      </c>
      <c r="AA294">
        <f>--(AND(D294&gt;113.15,K294&lt;=0.22,L294&gt;0.02))*0</f>
        <v/>
      </c>
      <c r="AB294">
        <f>--(AND(D294&gt;113.15,K294&gt;0.22,N294&lt;=810.1))*0</f>
        <v/>
      </c>
      <c r="AC294">
        <f>--(AND(D294&gt;113.15,K294&gt;0.22,N294&gt;810.1,I294&lt;=14.95))*1</f>
        <v/>
      </c>
      <c r="AD294">
        <f>--(AND(D294&gt;113.15,K294&gt;0.22,N294&gt;810.1,I294&gt;14.95))*1</f>
        <v/>
      </c>
      <c r="AE294">
        <f>SUM(P294:AD294)</f>
        <v/>
      </c>
      <c r="AF294">
        <f>IF(AE294=1,"Malignant","Benign")</f>
        <v/>
      </c>
      <c r="AG294">
        <f>--(AE294=C294)</f>
        <v/>
      </c>
    </row>
    <row r="295">
      <c r="A295">
        <f>BreastCancer_Data!A295</f>
        <v/>
      </c>
      <c r="B295">
        <f>BreastCancer_Data!B295</f>
        <v/>
      </c>
      <c r="C295">
        <f>BreastCancer_Data!D295</f>
        <v/>
      </c>
      <c r="D295">
        <f>BreastCancer_Data!E295</f>
        <v/>
      </c>
      <c r="E295">
        <f>BreastCancer_Data!F295</f>
        <v/>
      </c>
      <c r="F295">
        <f>BreastCancer_Data!G295</f>
        <v/>
      </c>
      <c r="G295">
        <f>BreastCancer_Data!H295</f>
        <v/>
      </c>
      <c r="H295">
        <f>BreastCancer_Data!I295</f>
        <v/>
      </c>
      <c r="I295">
        <f>BreastCancer_Data!J295</f>
        <v/>
      </c>
      <c r="J295">
        <f>BreastCancer_Data!K295</f>
        <v/>
      </c>
      <c r="K295">
        <f>BreastCancer_Data!L295</f>
        <v/>
      </c>
      <c r="L295">
        <f>BreastCancer_Data!M295</f>
        <v/>
      </c>
      <c r="M295">
        <f>BreastCancer_Data!N295</f>
        <v/>
      </c>
      <c r="N295">
        <f>BreastCancer_Data!O295</f>
        <v/>
      </c>
      <c r="O295">
        <f>0</f>
        <v/>
      </c>
      <c r="P295">
        <f>--(AND(D295&lt;=113.15,E295&lt;=0.15,F295&lt;=15.77,G295&lt;=0.18,H295&lt;=33.27))*0</f>
        <v/>
      </c>
      <c r="Q295">
        <f>--(AND(D295&lt;=113.15,E295&lt;=0.15,F295&lt;=15.77,G295&lt;=0.18,H295&gt;33.27))*0</f>
        <v/>
      </c>
      <c r="R295">
        <f>--(AND(D295&lt;=113.15,E295&lt;=0.15,F295&lt;=15.77,G295&gt;0.18))*0</f>
        <v/>
      </c>
      <c r="S295">
        <f>--(AND(D295&lt;=113.15,E295&lt;=0.15,F295&gt;15.77,H295&lt;=28.86,G295&lt;=0.14))*0</f>
        <v/>
      </c>
      <c r="T295">
        <f>--(AND(D295&lt;=113.15,E295&lt;=0.15,F295&gt;15.77,H295&lt;=28.86,G295&gt;0.14))*1</f>
        <v/>
      </c>
      <c r="U295">
        <f>--(AND(D295&lt;=113.15,E295&lt;=0.15,F295&gt;15.77,H295&gt;28.86,M295&lt;=14.54))*1</f>
        <v/>
      </c>
      <c r="V295">
        <f>--(AND(D295&lt;=113.15,E295&lt;=0.15,F295&gt;15.77,H295&gt;28.86,M295&gt;14.54))*1</f>
        <v/>
      </c>
      <c r="W295">
        <f>--(AND(D295&lt;=113.15,E295&gt;0.15,H295&lt;=23.74))*0</f>
        <v/>
      </c>
      <c r="X295">
        <f>--(AND(D295&lt;=113.15,E295&gt;0.15,H295&gt;23.74,J295&lt;=0.1))*1</f>
        <v/>
      </c>
      <c r="Y295">
        <f>--(AND(D295&lt;=113.15,E295&gt;0.15,H295&gt;23.74,J295&gt;0.1))*1</f>
        <v/>
      </c>
      <c r="Z295">
        <f>--(AND(D295&gt;113.15,K295&lt;=0.22,L295&lt;=0.02))*1</f>
        <v/>
      </c>
      <c r="AA295">
        <f>--(AND(D295&gt;113.15,K295&lt;=0.22,L295&gt;0.02))*0</f>
        <v/>
      </c>
      <c r="AB295">
        <f>--(AND(D295&gt;113.15,K295&gt;0.22,N295&lt;=810.1))*0</f>
        <v/>
      </c>
      <c r="AC295">
        <f>--(AND(D295&gt;113.15,K295&gt;0.22,N295&gt;810.1,I295&lt;=14.95))*1</f>
        <v/>
      </c>
      <c r="AD295">
        <f>--(AND(D295&gt;113.15,K295&gt;0.22,N295&gt;810.1,I295&gt;14.95))*1</f>
        <v/>
      </c>
      <c r="AE295">
        <f>SUM(P295:AD295)</f>
        <v/>
      </c>
      <c r="AF295">
        <f>IF(AE295=1,"Malignant","Benign")</f>
        <v/>
      </c>
      <c r="AG295">
        <f>--(AE295=C295)</f>
        <v/>
      </c>
    </row>
    <row r="296">
      <c r="A296">
        <f>BreastCancer_Data!A296</f>
        <v/>
      </c>
      <c r="B296">
        <f>BreastCancer_Data!B296</f>
        <v/>
      </c>
      <c r="C296">
        <f>BreastCancer_Data!D296</f>
        <v/>
      </c>
      <c r="D296">
        <f>BreastCancer_Data!E296</f>
        <v/>
      </c>
      <c r="E296">
        <f>BreastCancer_Data!F296</f>
        <v/>
      </c>
      <c r="F296">
        <f>BreastCancer_Data!G296</f>
        <v/>
      </c>
      <c r="G296">
        <f>BreastCancer_Data!H296</f>
        <v/>
      </c>
      <c r="H296">
        <f>BreastCancer_Data!I296</f>
        <v/>
      </c>
      <c r="I296">
        <f>BreastCancer_Data!J296</f>
        <v/>
      </c>
      <c r="J296">
        <f>BreastCancer_Data!K296</f>
        <v/>
      </c>
      <c r="K296">
        <f>BreastCancer_Data!L296</f>
        <v/>
      </c>
      <c r="L296">
        <f>BreastCancer_Data!M296</f>
        <v/>
      </c>
      <c r="M296">
        <f>BreastCancer_Data!N296</f>
        <v/>
      </c>
      <c r="N296">
        <f>BreastCancer_Data!O296</f>
        <v/>
      </c>
      <c r="O296">
        <f>0</f>
        <v/>
      </c>
      <c r="P296">
        <f>--(AND(D296&lt;=113.15,E296&lt;=0.15,F296&lt;=15.77,G296&lt;=0.18,H296&lt;=33.27))*0</f>
        <v/>
      </c>
      <c r="Q296">
        <f>--(AND(D296&lt;=113.15,E296&lt;=0.15,F296&lt;=15.77,G296&lt;=0.18,H296&gt;33.27))*0</f>
        <v/>
      </c>
      <c r="R296">
        <f>--(AND(D296&lt;=113.15,E296&lt;=0.15,F296&lt;=15.77,G296&gt;0.18))*0</f>
        <v/>
      </c>
      <c r="S296">
        <f>--(AND(D296&lt;=113.15,E296&lt;=0.15,F296&gt;15.77,H296&lt;=28.86,G296&lt;=0.14))*0</f>
        <v/>
      </c>
      <c r="T296">
        <f>--(AND(D296&lt;=113.15,E296&lt;=0.15,F296&gt;15.77,H296&lt;=28.86,G296&gt;0.14))*1</f>
        <v/>
      </c>
      <c r="U296">
        <f>--(AND(D296&lt;=113.15,E296&lt;=0.15,F296&gt;15.77,H296&gt;28.86,M296&lt;=14.54))*1</f>
        <v/>
      </c>
      <c r="V296">
        <f>--(AND(D296&lt;=113.15,E296&lt;=0.15,F296&gt;15.77,H296&gt;28.86,M296&gt;14.54))*1</f>
        <v/>
      </c>
      <c r="W296">
        <f>--(AND(D296&lt;=113.15,E296&gt;0.15,H296&lt;=23.74))*0</f>
        <v/>
      </c>
      <c r="X296">
        <f>--(AND(D296&lt;=113.15,E296&gt;0.15,H296&gt;23.74,J296&lt;=0.1))*1</f>
        <v/>
      </c>
      <c r="Y296">
        <f>--(AND(D296&lt;=113.15,E296&gt;0.15,H296&gt;23.74,J296&gt;0.1))*1</f>
        <v/>
      </c>
      <c r="Z296">
        <f>--(AND(D296&gt;113.15,K296&lt;=0.22,L296&lt;=0.02))*1</f>
        <v/>
      </c>
      <c r="AA296">
        <f>--(AND(D296&gt;113.15,K296&lt;=0.22,L296&gt;0.02))*0</f>
        <v/>
      </c>
      <c r="AB296">
        <f>--(AND(D296&gt;113.15,K296&gt;0.22,N296&lt;=810.1))*0</f>
        <v/>
      </c>
      <c r="AC296">
        <f>--(AND(D296&gt;113.15,K296&gt;0.22,N296&gt;810.1,I296&lt;=14.95))*1</f>
        <v/>
      </c>
      <c r="AD296">
        <f>--(AND(D296&gt;113.15,K296&gt;0.22,N296&gt;810.1,I296&gt;14.95))*1</f>
        <v/>
      </c>
      <c r="AE296">
        <f>SUM(P296:AD296)</f>
        <v/>
      </c>
      <c r="AF296">
        <f>IF(AE296=1,"Malignant","Benign")</f>
        <v/>
      </c>
      <c r="AG296">
        <f>--(AE296=C296)</f>
        <v/>
      </c>
    </row>
    <row r="297">
      <c r="A297">
        <f>BreastCancer_Data!A297</f>
        <v/>
      </c>
      <c r="B297">
        <f>BreastCancer_Data!B297</f>
        <v/>
      </c>
      <c r="C297">
        <f>BreastCancer_Data!D297</f>
        <v/>
      </c>
      <c r="D297">
        <f>BreastCancer_Data!E297</f>
        <v/>
      </c>
      <c r="E297">
        <f>BreastCancer_Data!F297</f>
        <v/>
      </c>
      <c r="F297">
        <f>BreastCancer_Data!G297</f>
        <v/>
      </c>
      <c r="G297">
        <f>BreastCancer_Data!H297</f>
        <v/>
      </c>
      <c r="H297">
        <f>BreastCancer_Data!I297</f>
        <v/>
      </c>
      <c r="I297">
        <f>BreastCancer_Data!J297</f>
        <v/>
      </c>
      <c r="J297">
        <f>BreastCancer_Data!K297</f>
        <v/>
      </c>
      <c r="K297">
        <f>BreastCancer_Data!L297</f>
        <v/>
      </c>
      <c r="L297">
        <f>BreastCancer_Data!M297</f>
        <v/>
      </c>
      <c r="M297">
        <f>BreastCancer_Data!N297</f>
        <v/>
      </c>
      <c r="N297">
        <f>BreastCancer_Data!O297</f>
        <v/>
      </c>
      <c r="O297">
        <f>0</f>
        <v/>
      </c>
      <c r="P297">
        <f>--(AND(D297&lt;=113.15,E297&lt;=0.15,F297&lt;=15.77,G297&lt;=0.18,H297&lt;=33.27))*0</f>
        <v/>
      </c>
      <c r="Q297">
        <f>--(AND(D297&lt;=113.15,E297&lt;=0.15,F297&lt;=15.77,G297&lt;=0.18,H297&gt;33.27))*0</f>
        <v/>
      </c>
      <c r="R297">
        <f>--(AND(D297&lt;=113.15,E297&lt;=0.15,F297&lt;=15.77,G297&gt;0.18))*0</f>
        <v/>
      </c>
      <c r="S297">
        <f>--(AND(D297&lt;=113.15,E297&lt;=0.15,F297&gt;15.77,H297&lt;=28.86,G297&lt;=0.14))*0</f>
        <v/>
      </c>
      <c r="T297">
        <f>--(AND(D297&lt;=113.15,E297&lt;=0.15,F297&gt;15.77,H297&lt;=28.86,G297&gt;0.14))*1</f>
        <v/>
      </c>
      <c r="U297">
        <f>--(AND(D297&lt;=113.15,E297&lt;=0.15,F297&gt;15.77,H297&gt;28.86,M297&lt;=14.54))*1</f>
        <v/>
      </c>
      <c r="V297">
        <f>--(AND(D297&lt;=113.15,E297&lt;=0.15,F297&gt;15.77,H297&gt;28.86,M297&gt;14.54))*1</f>
        <v/>
      </c>
      <c r="W297">
        <f>--(AND(D297&lt;=113.15,E297&gt;0.15,H297&lt;=23.74))*0</f>
        <v/>
      </c>
      <c r="X297">
        <f>--(AND(D297&lt;=113.15,E297&gt;0.15,H297&gt;23.74,J297&lt;=0.1))*1</f>
        <v/>
      </c>
      <c r="Y297">
        <f>--(AND(D297&lt;=113.15,E297&gt;0.15,H297&gt;23.74,J297&gt;0.1))*1</f>
        <v/>
      </c>
      <c r="Z297">
        <f>--(AND(D297&gt;113.15,K297&lt;=0.22,L297&lt;=0.02))*1</f>
        <v/>
      </c>
      <c r="AA297">
        <f>--(AND(D297&gt;113.15,K297&lt;=0.22,L297&gt;0.02))*0</f>
        <v/>
      </c>
      <c r="AB297">
        <f>--(AND(D297&gt;113.15,K297&gt;0.22,N297&lt;=810.1))*0</f>
        <v/>
      </c>
      <c r="AC297">
        <f>--(AND(D297&gt;113.15,K297&gt;0.22,N297&gt;810.1,I297&lt;=14.95))*1</f>
        <v/>
      </c>
      <c r="AD297">
        <f>--(AND(D297&gt;113.15,K297&gt;0.22,N297&gt;810.1,I297&gt;14.95))*1</f>
        <v/>
      </c>
      <c r="AE297">
        <f>SUM(P297:AD297)</f>
        <v/>
      </c>
      <c r="AF297">
        <f>IF(AE297=1,"Malignant","Benign")</f>
        <v/>
      </c>
      <c r="AG297">
        <f>--(AE297=C297)</f>
        <v/>
      </c>
    </row>
    <row r="298">
      <c r="A298">
        <f>BreastCancer_Data!A298</f>
        <v/>
      </c>
      <c r="B298">
        <f>BreastCancer_Data!B298</f>
        <v/>
      </c>
      <c r="C298">
        <f>BreastCancer_Data!D298</f>
        <v/>
      </c>
      <c r="D298">
        <f>BreastCancer_Data!E298</f>
        <v/>
      </c>
      <c r="E298">
        <f>BreastCancer_Data!F298</f>
        <v/>
      </c>
      <c r="F298">
        <f>BreastCancer_Data!G298</f>
        <v/>
      </c>
      <c r="G298">
        <f>BreastCancer_Data!H298</f>
        <v/>
      </c>
      <c r="H298">
        <f>BreastCancer_Data!I298</f>
        <v/>
      </c>
      <c r="I298">
        <f>BreastCancer_Data!J298</f>
        <v/>
      </c>
      <c r="J298">
        <f>BreastCancer_Data!K298</f>
        <v/>
      </c>
      <c r="K298">
        <f>BreastCancer_Data!L298</f>
        <v/>
      </c>
      <c r="L298">
        <f>BreastCancer_Data!M298</f>
        <v/>
      </c>
      <c r="M298">
        <f>BreastCancer_Data!N298</f>
        <v/>
      </c>
      <c r="N298">
        <f>BreastCancer_Data!O298</f>
        <v/>
      </c>
      <c r="O298">
        <f>0</f>
        <v/>
      </c>
      <c r="P298">
        <f>--(AND(D298&lt;=113.15,E298&lt;=0.15,F298&lt;=15.77,G298&lt;=0.18,H298&lt;=33.27))*0</f>
        <v/>
      </c>
      <c r="Q298">
        <f>--(AND(D298&lt;=113.15,E298&lt;=0.15,F298&lt;=15.77,G298&lt;=0.18,H298&gt;33.27))*0</f>
        <v/>
      </c>
      <c r="R298">
        <f>--(AND(D298&lt;=113.15,E298&lt;=0.15,F298&lt;=15.77,G298&gt;0.18))*0</f>
        <v/>
      </c>
      <c r="S298">
        <f>--(AND(D298&lt;=113.15,E298&lt;=0.15,F298&gt;15.77,H298&lt;=28.86,G298&lt;=0.14))*0</f>
        <v/>
      </c>
      <c r="T298">
        <f>--(AND(D298&lt;=113.15,E298&lt;=0.15,F298&gt;15.77,H298&lt;=28.86,G298&gt;0.14))*1</f>
        <v/>
      </c>
      <c r="U298">
        <f>--(AND(D298&lt;=113.15,E298&lt;=0.15,F298&gt;15.77,H298&gt;28.86,M298&lt;=14.54))*1</f>
        <v/>
      </c>
      <c r="V298">
        <f>--(AND(D298&lt;=113.15,E298&lt;=0.15,F298&gt;15.77,H298&gt;28.86,M298&gt;14.54))*1</f>
        <v/>
      </c>
      <c r="W298">
        <f>--(AND(D298&lt;=113.15,E298&gt;0.15,H298&lt;=23.74))*0</f>
        <v/>
      </c>
      <c r="X298">
        <f>--(AND(D298&lt;=113.15,E298&gt;0.15,H298&gt;23.74,J298&lt;=0.1))*1</f>
        <v/>
      </c>
      <c r="Y298">
        <f>--(AND(D298&lt;=113.15,E298&gt;0.15,H298&gt;23.74,J298&gt;0.1))*1</f>
        <v/>
      </c>
      <c r="Z298">
        <f>--(AND(D298&gt;113.15,K298&lt;=0.22,L298&lt;=0.02))*1</f>
        <v/>
      </c>
      <c r="AA298">
        <f>--(AND(D298&gt;113.15,K298&lt;=0.22,L298&gt;0.02))*0</f>
        <v/>
      </c>
      <c r="AB298">
        <f>--(AND(D298&gt;113.15,K298&gt;0.22,N298&lt;=810.1))*0</f>
        <v/>
      </c>
      <c r="AC298">
        <f>--(AND(D298&gt;113.15,K298&gt;0.22,N298&gt;810.1,I298&lt;=14.95))*1</f>
        <v/>
      </c>
      <c r="AD298">
        <f>--(AND(D298&gt;113.15,K298&gt;0.22,N298&gt;810.1,I298&gt;14.95))*1</f>
        <v/>
      </c>
      <c r="AE298">
        <f>SUM(P298:AD298)</f>
        <v/>
      </c>
      <c r="AF298">
        <f>IF(AE298=1,"Malignant","Benign")</f>
        <v/>
      </c>
      <c r="AG298">
        <f>--(AE298=C298)</f>
        <v/>
      </c>
    </row>
    <row r="299">
      <c r="A299">
        <f>BreastCancer_Data!A299</f>
        <v/>
      </c>
      <c r="B299">
        <f>BreastCancer_Data!B299</f>
        <v/>
      </c>
      <c r="C299">
        <f>BreastCancer_Data!D299</f>
        <v/>
      </c>
      <c r="D299">
        <f>BreastCancer_Data!E299</f>
        <v/>
      </c>
      <c r="E299">
        <f>BreastCancer_Data!F299</f>
        <v/>
      </c>
      <c r="F299">
        <f>BreastCancer_Data!G299</f>
        <v/>
      </c>
      <c r="G299">
        <f>BreastCancer_Data!H299</f>
        <v/>
      </c>
      <c r="H299">
        <f>BreastCancer_Data!I299</f>
        <v/>
      </c>
      <c r="I299">
        <f>BreastCancer_Data!J299</f>
        <v/>
      </c>
      <c r="J299">
        <f>BreastCancer_Data!K299</f>
        <v/>
      </c>
      <c r="K299">
        <f>BreastCancer_Data!L299</f>
        <v/>
      </c>
      <c r="L299">
        <f>BreastCancer_Data!M299</f>
        <v/>
      </c>
      <c r="M299">
        <f>BreastCancer_Data!N299</f>
        <v/>
      </c>
      <c r="N299">
        <f>BreastCancer_Data!O299</f>
        <v/>
      </c>
      <c r="O299">
        <f>0</f>
        <v/>
      </c>
      <c r="P299">
        <f>--(AND(D299&lt;=113.15,E299&lt;=0.15,F299&lt;=15.77,G299&lt;=0.18,H299&lt;=33.27))*0</f>
        <v/>
      </c>
      <c r="Q299">
        <f>--(AND(D299&lt;=113.15,E299&lt;=0.15,F299&lt;=15.77,G299&lt;=0.18,H299&gt;33.27))*0</f>
        <v/>
      </c>
      <c r="R299">
        <f>--(AND(D299&lt;=113.15,E299&lt;=0.15,F299&lt;=15.77,G299&gt;0.18))*0</f>
        <v/>
      </c>
      <c r="S299">
        <f>--(AND(D299&lt;=113.15,E299&lt;=0.15,F299&gt;15.77,H299&lt;=28.86,G299&lt;=0.14))*0</f>
        <v/>
      </c>
      <c r="T299">
        <f>--(AND(D299&lt;=113.15,E299&lt;=0.15,F299&gt;15.77,H299&lt;=28.86,G299&gt;0.14))*1</f>
        <v/>
      </c>
      <c r="U299">
        <f>--(AND(D299&lt;=113.15,E299&lt;=0.15,F299&gt;15.77,H299&gt;28.86,M299&lt;=14.54))*1</f>
        <v/>
      </c>
      <c r="V299">
        <f>--(AND(D299&lt;=113.15,E299&lt;=0.15,F299&gt;15.77,H299&gt;28.86,M299&gt;14.54))*1</f>
        <v/>
      </c>
      <c r="W299">
        <f>--(AND(D299&lt;=113.15,E299&gt;0.15,H299&lt;=23.74))*0</f>
        <v/>
      </c>
      <c r="X299">
        <f>--(AND(D299&lt;=113.15,E299&gt;0.15,H299&gt;23.74,J299&lt;=0.1))*1</f>
        <v/>
      </c>
      <c r="Y299">
        <f>--(AND(D299&lt;=113.15,E299&gt;0.15,H299&gt;23.74,J299&gt;0.1))*1</f>
        <v/>
      </c>
      <c r="Z299">
        <f>--(AND(D299&gt;113.15,K299&lt;=0.22,L299&lt;=0.02))*1</f>
        <v/>
      </c>
      <c r="AA299">
        <f>--(AND(D299&gt;113.15,K299&lt;=0.22,L299&gt;0.02))*0</f>
        <v/>
      </c>
      <c r="AB299">
        <f>--(AND(D299&gt;113.15,K299&gt;0.22,N299&lt;=810.1))*0</f>
        <v/>
      </c>
      <c r="AC299">
        <f>--(AND(D299&gt;113.15,K299&gt;0.22,N299&gt;810.1,I299&lt;=14.95))*1</f>
        <v/>
      </c>
      <c r="AD299">
        <f>--(AND(D299&gt;113.15,K299&gt;0.22,N299&gt;810.1,I299&gt;14.95))*1</f>
        <v/>
      </c>
      <c r="AE299">
        <f>SUM(P299:AD299)</f>
        <v/>
      </c>
      <c r="AF299">
        <f>IF(AE299=1,"Malignant","Benign")</f>
        <v/>
      </c>
      <c r="AG299">
        <f>--(AE299=C299)</f>
        <v/>
      </c>
    </row>
    <row r="300">
      <c r="A300">
        <f>BreastCancer_Data!A300</f>
        <v/>
      </c>
      <c r="B300">
        <f>BreastCancer_Data!B300</f>
        <v/>
      </c>
      <c r="C300">
        <f>BreastCancer_Data!D300</f>
        <v/>
      </c>
      <c r="D300">
        <f>BreastCancer_Data!E300</f>
        <v/>
      </c>
      <c r="E300">
        <f>BreastCancer_Data!F300</f>
        <v/>
      </c>
      <c r="F300">
        <f>BreastCancer_Data!G300</f>
        <v/>
      </c>
      <c r="G300">
        <f>BreastCancer_Data!H300</f>
        <v/>
      </c>
      <c r="H300">
        <f>BreastCancer_Data!I300</f>
        <v/>
      </c>
      <c r="I300">
        <f>BreastCancer_Data!J300</f>
        <v/>
      </c>
      <c r="J300">
        <f>BreastCancer_Data!K300</f>
        <v/>
      </c>
      <c r="K300">
        <f>BreastCancer_Data!L300</f>
        <v/>
      </c>
      <c r="L300">
        <f>BreastCancer_Data!M300</f>
        <v/>
      </c>
      <c r="M300">
        <f>BreastCancer_Data!N300</f>
        <v/>
      </c>
      <c r="N300">
        <f>BreastCancer_Data!O300</f>
        <v/>
      </c>
      <c r="O300">
        <f>0</f>
        <v/>
      </c>
      <c r="P300">
        <f>--(AND(D300&lt;=113.15,E300&lt;=0.15,F300&lt;=15.77,G300&lt;=0.18,H300&lt;=33.27))*0</f>
        <v/>
      </c>
      <c r="Q300">
        <f>--(AND(D300&lt;=113.15,E300&lt;=0.15,F300&lt;=15.77,G300&lt;=0.18,H300&gt;33.27))*0</f>
        <v/>
      </c>
      <c r="R300">
        <f>--(AND(D300&lt;=113.15,E300&lt;=0.15,F300&lt;=15.77,G300&gt;0.18))*0</f>
        <v/>
      </c>
      <c r="S300">
        <f>--(AND(D300&lt;=113.15,E300&lt;=0.15,F300&gt;15.77,H300&lt;=28.86,G300&lt;=0.14))*0</f>
        <v/>
      </c>
      <c r="T300">
        <f>--(AND(D300&lt;=113.15,E300&lt;=0.15,F300&gt;15.77,H300&lt;=28.86,G300&gt;0.14))*1</f>
        <v/>
      </c>
      <c r="U300">
        <f>--(AND(D300&lt;=113.15,E300&lt;=0.15,F300&gt;15.77,H300&gt;28.86,M300&lt;=14.54))*1</f>
        <v/>
      </c>
      <c r="V300">
        <f>--(AND(D300&lt;=113.15,E300&lt;=0.15,F300&gt;15.77,H300&gt;28.86,M300&gt;14.54))*1</f>
        <v/>
      </c>
      <c r="W300">
        <f>--(AND(D300&lt;=113.15,E300&gt;0.15,H300&lt;=23.74))*0</f>
        <v/>
      </c>
      <c r="X300">
        <f>--(AND(D300&lt;=113.15,E300&gt;0.15,H300&gt;23.74,J300&lt;=0.1))*1</f>
        <v/>
      </c>
      <c r="Y300">
        <f>--(AND(D300&lt;=113.15,E300&gt;0.15,H300&gt;23.74,J300&gt;0.1))*1</f>
        <v/>
      </c>
      <c r="Z300">
        <f>--(AND(D300&gt;113.15,K300&lt;=0.22,L300&lt;=0.02))*1</f>
        <v/>
      </c>
      <c r="AA300">
        <f>--(AND(D300&gt;113.15,K300&lt;=0.22,L300&gt;0.02))*0</f>
        <v/>
      </c>
      <c r="AB300">
        <f>--(AND(D300&gt;113.15,K300&gt;0.22,N300&lt;=810.1))*0</f>
        <v/>
      </c>
      <c r="AC300">
        <f>--(AND(D300&gt;113.15,K300&gt;0.22,N300&gt;810.1,I300&lt;=14.95))*1</f>
        <v/>
      </c>
      <c r="AD300">
        <f>--(AND(D300&gt;113.15,K300&gt;0.22,N300&gt;810.1,I300&gt;14.95))*1</f>
        <v/>
      </c>
      <c r="AE300">
        <f>SUM(P300:AD300)</f>
        <v/>
      </c>
      <c r="AF300">
        <f>IF(AE300=1,"Malignant","Benign")</f>
        <v/>
      </c>
      <c r="AG300">
        <f>--(AE300=C300)</f>
        <v/>
      </c>
    </row>
    <row r="301">
      <c r="A301">
        <f>BreastCancer_Data!A301</f>
        <v/>
      </c>
      <c r="B301">
        <f>BreastCancer_Data!B301</f>
        <v/>
      </c>
      <c r="C301">
        <f>BreastCancer_Data!D301</f>
        <v/>
      </c>
      <c r="D301">
        <f>BreastCancer_Data!E301</f>
        <v/>
      </c>
      <c r="E301">
        <f>BreastCancer_Data!F301</f>
        <v/>
      </c>
      <c r="F301">
        <f>BreastCancer_Data!G301</f>
        <v/>
      </c>
      <c r="G301">
        <f>BreastCancer_Data!H301</f>
        <v/>
      </c>
      <c r="H301">
        <f>BreastCancer_Data!I301</f>
        <v/>
      </c>
      <c r="I301">
        <f>BreastCancer_Data!J301</f>
        <v/>
      </c>
      <c r="J301">
        <f>BreastCancer_Data!K301</f>
        <v/>
      </c>
      <c r="K301">
        <f>BreastCancer_Data!L301</f>
        <v/>
      </c>
      <c r="L301">
        <f>BreastCancer_Data!M301</f>
        <v/>
      </c>
      <c r="M301">
        <f>BreastCancer_Data!N301</f>
        <v/>
      </c>
      <c r="N301">
        <f>BreastCancer_Data!O301</f>
        <v/>
      </c>
      <c r="O301">
        <f>0</f>
        <v/>
      </c>
      <c r="P301">
        <f>--(AND(D301&lt;=113.15,E301&lt;=0.15,F301&lt;=15.77,G301&lt;=0.18,H301&lt;=33.27))*0</f>
        <v/>
      </c>
      <c r="Q301">
        <f>--(AND(D301&lt;=113.15,E301&lt;=0.15,F301&lt;=15.77,G301&lt;=0.18,H301&gt;33.27))*0</f>
        <v/>
      </c>
      <c r="R301">
        <f>--(AND(D301&lt;=113.15,E301&lt;=0.15,F301&lt;=15.77,G301&gt;0.18))*0</f>
        <v/>
      </c>
      <c r="S301">
        <f>--(AND(D301&lt;=113.15,E301&lt;=0.15,F301&gt;15.77,H301&lt;=28.86,G301&lt;=0.14))*0</f>
        <v/>
      </c>
      <c r="T301">
        <f>--(AND(D301&lt;=113.15,E301&lt;=0.15,F301&gt;15.77,H301&lt;=28.86,G301&gt;0.14))*1</f>
        <v/>
      </c>
      <c r="U301">
        <f>--(AND(D301&lt;=113.15,E301&lt;=0.15,F301&gt;15.77,H301&gt;28.86,M301&lt;=14.54))*1</f>
        <v/>
      </c>
      <c r="V301">
        <f>--(AND(D301&lt;=113.15,E301&lt;=0.15,F301&gt;15.77,H301&gt;28.86,M301&gt;14.54))*1</f>
        <v/>
      </c>
      <c r="W301">
        <f>--(AND(D301&lt;=113.15,E301&gt;0.15,H301&lt;=23.74))*0</f>
        <v/>
      </c>
      <c r="X301">
        <f>--(AND(D301&lt;=113.15,E301&gt;0.15,H301&gt;23.74,J301&lt;=0.1))*1</f>
        <v/>
      </c>
      <c r="Y301">
        <f>--(AND(D301&lt;=113.15,E301&gt;0.15,H301&gt;23.74,J301&gt;0.1))*1</f>
        <v/>
      </c>
      <c r="Z301">
        <f>--(AND(D301&gt;113.15,K301&lt;=0.22,L301&lt;=0.02))*1</f>
        <v/>
      </c>
      <c r="AA301">
        <f>--(AND(D301&gt;113.15,K301&lt;=0.22,L301&gt;0.02))*0</f>
        <v/>
      </c>
      <c r="AB301">
        <f>--(AND(D301&gt;113.15,K301&gt;0.22,N301&lt;=810.1))*0</f>
        <v/>
      </c>
      <c r="AC301">
        <f>--(AND(D301&gt;113.15,K301&gt;0.22,N301&gt;810.1,I301&lt;=14.95))*1</f>
        <v/>
      </c>
      <c r="AD301">
        <f>--(AND(D301&gt;113.15,K301&gt;0.22,N301&gt;810.1,I301&gt;14.95))*1</f>
        <v/>
      </c>
      <c r="AE301">
        <f>SUM(P301:AD301)</f>
        <v/>
      </c>
      <c r="AF301">
        <f>IF(AE301=1,"Malignant","Benign")</f>
        <v/>
      </c>
      <c r="AG301">
        <f>--(AE301=C301)</f>
        <v/>
      </c>
    </row>
    <row r="302">
      <c r="A302">
        <f>BreastCancer_Data!A302</f>
        <v/>
      </c>
      <c r="B302">
        <f>BreastCancer_Data!B302</f>
        <v/>
      </c>
      <c r="C302">
        <f>BreastCancer_Data!D302</f>
        <v/>
      </c>
      <c r="D302">
        <f>BreastCancer_Data!E302</f>
        <v/>
      </c>
      <c r="E302">
        <f>BreastCancer_Data!F302</f>
        <v/>
      </c>
      <c r="F302">
        <f>BreastCancer_Data!G302</f>
        <v/>
      </c>
      <c r="G302">
        <f>BreastCancer_Data!H302</f>
        <v/>
      </c>
      <c r="H302">
        <f>BreastCancer_Data!I302</f>
        <v/>
      </c>
      <c r="I302">
        <f>BreastCancer_Data!J302</f>
        <v/>
      </c>
      <c r="J302">
        <f>BreastCancer_Data!K302</f>
        <v/>
      </c>
      <c r="K302">
        <f>BreastCancer_Data!L302</f>
        <v/>
      </c>
      <c r="L302">
        <f>BreastCancer_Data!M302</f>
        <v/>
      </c>
      <c r="M302">
        <f>BreastCancer_Data!N302</f>
        <v/>
      </c>
      <c r="N302">
        <f>BreastCancer_Data!O302</f>
        <v/>
      </c>
      <c r="O302">
        <f>0</f>
        <v/>
      </c>
      <c r="P302">
        <f>--(AND(D302&lt;=113.15,E302&lt;=0.15,F302&lt;=15.77,G302&lt;=0.18,H302&lt;=33.27))*0</f>
        <v/>
      </c>
      <c r="Q302">
        <f>--(AND(D302&lt;=113.15,E302&lt;=0.15,F302&lt;=15.77,G302&lt;=0.18,H302&gt;33.27))*0</f>
        <v/>
      </c>
      <c r="R302">
        <f>--(AND(D302&lt;=113.15,E302&lt;=0.15,F302&lt;=15.77,G302&gt;0.18))*0</f>
        <v/>
      </c>
      <c r="S302">
        <f>--(AND(D302&lt;=113.15,E302&lt;=0.15,F302&gt;15.77,H302&lt;=28.86,G302&lt;=0.14))*0</f>
        <v/>
      </c>
      <c r="T302">
        <f>--(AND(D302&lt;=113.15,E302&lt;=0.15,F302&gt;15.77,H302&lt;=28.86,G302&gt;0.14))*1</f>
        <v/>
      </c>
      <c r="U302">
        <f>--(AND(D302&lt;=113.15,E302&lt;=0.15,F302&gt;15.77,H302&gt;28.86,M302&lt;=14.54))*1</f>
        <v/>
      </c>
      <c r="V302">
        <f>--(AND(D302&lt;=113.15,E302&lt;=0.15,F302&gt;15.77,H302&gt;28.86,M302&gt;14.54))*1</f>
        <v/>
      </c>
      <c r="W302">
        <f>--(AND(D302&lt;=113.15,E302&gt;0.15,H302&lt;=23.74))*0</f>
        <v/>
      </c>
      <c r="X302">
        <f>--(AND(D302&lt;=113.15,E302&gt;0.15,H302&gt;23.74,J302&lt;=0.1))*1</f>
        <v/>
      </c>
      <c r="Y302">
        <f>--(AND(D302&lt;=113.15,E302&gt;0.15,H302&gt;23.74,J302&gt;0.1))*1</f>
        <v/>
      </c>
      <c r="Z302">
        <f>--(AND(D302&gt;113.15,K302&lt;=0.22,L302&lt;=0.02))*1</f>
        <v/>
      </c>
      <c r="AA302">
        <f>--(AND(D302&gt;113.15,K302&lt;=0.22,L302&gt;0.02))*0</f>
        <v/>
      </c>
      <c r="AB302">
        <f>--(AND(D302&gt;113.15,K302&gt;0.22,N302&lt;=810.1))*0</f>
        <v/>
      </c>
      <c r="AC302">
        <f>--(AND(D302&gt;113.15,K302&gt;0.22,N302&gt;810.1,I302&lt;=14.95))*1</f>
        <v/>
      </c>
      <c r="AD302">
        <f>--(AND(D302&gt;113.15,K302&gt;0.22,N302&gt;810.1,I302&gt;14.95))*1</f>
        <v/>
      </c>
      <c r="AE302">
        <f>SUM(P302:AD302)</f>
        <v/>
      </c>
      <c r="AF302">
        <f>IF(AE302=1,"Malignant","Benign")</f>
        <v/>
      </c>
      <c r="AG302">
        <f>--(AE302=C302)</f>
        <v/>
      </c>
    </row>
    <row r="303">
      <c r="A303">
        <f>BreastCancer_Data!A303</f>
        <v/>
      </c>
      <c r="B303">
        <f>BreastCancer_Data!B303</f>
        <v/>
      </c>
      <c r="C303">
        <f>BreastCancer_Data!D303</f>
        <v/>
      </c>
      <c r="D303">
        <f>BreastCancer_Data!E303</f>
        <v/>
      </c>
      <c r="E303">
        <f>BreastCancer_Data!F303</f>
        <v/>
      </c>
      <c r="F303">
        <f>BreastCancer_Data!G303</f>
        <v/>
      </c>
      <c r="G303">
        <f>BreastCancer_Data!H303</f>
        <v/>
      </c>
      <c r="H303">
        <f>BreastCancer_Data!I303</f>
        <v/>
      </c>
      <c r="I303">
        <f>BreastCancer_Data!J303</f>
        <v/>
      </c>
      <c r="J303">
        <f>BreastCancer_Data!K303</f>
        <v/>
      </c>
      <c r="K303">
        <f>BreastCancer_Data!L303</f>
        <v/>
      </c>
      <c r="L303">
        <f>BreastCancer_Data!M303</f>
        <v/>
      </c>
      <c r="M303">
        <f>BreastCancer_Data!N303</f>
        <v/>
      </c>
      <c r="N303">
        <f>BreastCancer_Data!O303</f>
        <v/>
      </c>
      <c r="O303">
        <f>0</f>
        <v/>
      </c>
      <c r="P303">
        <f>--(AND(D303&lt;=113.15,E303&lt;=0.15,F303&lt;=15.77,G303&lt;=0.18,H303&lt;=33.27))*0</f>
        <v/>
      </c>
      <c r="Q303">
        <f>--(AND(D303&lt;=113.15,E303&lt;=0.15,F303&lt;=15.77,G303&lt;=0.18,H303&gt;33.27))*0</f>
        <v/>
      </c>
      <c r="R303">
        <f>--(AND(D303&lt;=113.15,E303&lt;=0.15,F303&lt;=15.77,G303&gt;0.18))*0</f>
        <v/>
      </c>
      <c r="S303">
        <f>--(AND(D303&lt;=113.15,E303&lt;=0.15,F303&gt;15.77,H303&lt;=28.86,G303&lt;=0.14))*0</f>
        <v/>
      </c>
      <c r="T303">
        <f>--(AND(D303&lt;=113.15,E303&lt;=0.15,F303&gt;15.77,H303&lt;=28.86,G303&gt;0.14))*1</f>
        <v/>
      </c>
      <c r="U303">
        <f>--(AND(D303&lt;=113.15,E303&lt;=0.15,F303&gt;15.77,H303&gt;28.86,M303&lt;=14.54))*1</f>
        <v/>
      </c>
      <c r="V303">
        <f>--(AND(D303&lt;=113.15,E303&lt;=0.15,F303&gt;15.77,H303&gt;28.86,M303&gt;14.54))*1</f>
        <v/>
      </c>
      <c r="W303">
        <f>--(AND(D303&lt;=113.15,E303&gt;0.15,H303&lt;=23.74))*0</f>
        <v/>
      </c>
      <c r="X303">
        <f>--(AND(D303&lt;=113.15,E303&gt;0.15,H303&gt;23.74,J303&lt;=0.1))*1</f>
        <v/>
      </c>
      <c r="Y303">
        <f>--(AND(D303&lt;=113.15,E303&gt;0.15,H303&gt;23.74,J303&gt;0.1))*1</f>
        <v/>
      </c>
      <c r="Z303">
        <f>--(AND(D303&gt;113.15,K303&lt;=0.22,L303&lt;=0.02))*1</f>
        <v/>
      </c>
      <c r="AA303">
        <f>--(AND(D303&gt;113.15,K303&lt;=0.22,L303&gt;0.02))*0</f>
        <v/>
      </c>
      <c r="AB303">
        <f>--(AND(D303&gt;113.15,K303&gt;0.22,N303&lt;=810.1))*0</f>
        <v/>
      </c>
      <c r="AC303">
        <f>--(AND(D303&gt;113.15,K303&gt;0.22,N303&gt;810.1,I303&lt;=14.95))*1</f>
        <v/>
      </c>
      <c r="AD303">
        <f>--(AND(D303&gt;113.15,K303&gt;0.22,N303&gt;810.1,I303&gt;14.95))*1</f>
        <v/>
      </c>
      <c r="AE303">
        <f>SUM(P303:AD303)</f>
        <v/>
      </c>
      <c r="AF303">
        <f>IF(AE303=1,"Malignant","Benign")</f>
        <v/>
      </c>
      <c r="AG303">
        <f>--(AE303=C303)</f>
        <v/>
      </c>
    </row>
    <row r="304">
      <c r="A304">
        <f>BreastCancer_Data!A304</f>
        <v/>
      </c>
      <c r="B304">
        <f>BreastCancer_Data!B304</f>
        <v/>
      </c>
      <c r="C304">
        <f>BreastCancer_Data!D304</f>
        <v/>
      </c>
      <c r="D304">
        <f>BreastCancer_Data!E304</f>
        <v/>
      </c>
      <c r="E304">
        <f>BreastCancer_Data!F304</f>
        <v/>
      </c>
      <c r="F304">
        <f>BreastCancer_Data!G304</f>
        <v/>
      </c>
      <c r="G304">
        <f>BreastCancer_Data!H304</f>
        <v/>
      </c>
      <c r="H304">
        <f>BreastCancer_Data!I304</f>
        <v/>
      </c>
      <c r="I304">
        <f>BreastCancer_Data!J304</f>
        <v/>
      </c>
      <c r="J304">
        <f>BreastCancer_Data!K304</f>
        <v/>
      </c>
      <c r="K304">
        <f>BreastCancer_Data!L304</f>
        <v/>
      </c>
      <c r="L304">
        <f>BreastCancer_Data!M304</f>
        <v/>
      </c>
      <c r="M304">
        <f>BreastCancer_Data!N304</f>
        <v/>
      </c>
      <c r="N304">
        <f>BreastCancer_Data!O304</f>
        <v/>
      </c>
      <c r="O304">
        <f>0</f>
        <v/>
      </c>
      <c r="P304">
        <f>--(AND(D304&lt;=113.15,E304&lt;=0.15,F304&lt;=15.77,G304&lt;=0.18,H304&lt;=33.27))*0</f>
        <v/>
      </c>
      <c r="Q304">
        <f>--(AND(D304&lt;=113.15,E304&lt;=0.15,F304&lt;=15.77,G304&lt;=0.18,H304&gt;33.27))*0</f>
        <v/>
      </c>
      <c r="R304">
        <f>--(AND(D304&lt;=113.15,E304&lt;=0.15,F304&lt;=15.77,G304&gt;0.18))*0</f>
        <v/>
      </c>
      <c r="S304">
        <f>--(AND(D304&lt;=113.15,E304&lt;=0.15,F304&gt;15.77,H304&lt;=28.86,G304&lt;=0.14))*0</f>
        <v/>
      </c>
      <c r="T304">
        <f>--(AND(D304&lt;=113.15,E304&lt;=0.15,F304&gt;15.77,H304&lt;=28.86,G304&gt;0.14))*1</f>
        <v/>
      </c>
      <c r="U304">
        <f>--(AND(D304&lt;=113.15,E304&lt;=0.15,F304&gt;15.77,H304&gt;28.86,M304&lt;=14.54))*1</f>
        <v/>
      </c>
      <c r="V304">
        <f>--(AND(D304&lt;=113.15,E304&lt;=0.15,F304&gt;15.77,H304&gt;28.86,M304&gt;14.54))*1</f>
        <v/>
      </c>
      <c r="W304">
        <f>--(AND(D304&lt;=113.15,E304&gt;0.15,H304&lt;=23.74))*0</f>
        <v/>
      </c>
      <c r="X304">
        <f>--(AND(D304&lt;=113.15,E304&gt;0.15,H304&gt;23.74,J304&lt;=0.1))*1</f>
        <v/>
      </c>
      <c r="Y304">
        <f>--(AND(D304&lt;=113.15,E304&gt;0.15,H304&gt;23.74,J304&gt;0.1))*1</f>
        <v/>
      </c>
      <c r="Z304">
        <f>--(AND(D304&gt;113.15,K304&lt;=0.22,L304&lt;=0.02))*1</f>
        <v/>
      </c>
      <c r="AA304">
        <f>--(AND(D304&gt;113.15,K304&lt;=0.22,L304&gt;0.02))*0</f>
        <v/>
      </c>
      <c r="AB304">
        <f>--(AND(D304&gt;113.15,K304&gt;0.22,N304&lt;=810.1))*0</f>
        <v/>
      </c>
      <c r="AC304">
        <f>--(AND(D304&gt;113.15,K304&gt;0.22,N304&gt;810.1,I304&lt;=14.95))*1</f>
        <v/>
      </c>
      <c r="AD304">
        <f>--(AND(D304&gt;113.15,K304&gt;0.22,N304&gt;810.1,I304&gt;14.95))*1</f>
        <v/>
      </c>
      <c r="AE304">
        <f>SUM(P304:AD304)</f>
        <v/>
      </c>
      <c r="AF304">
        <f>IF(AE304=1,"Malignant","Benign")</f>
        <v/>
      </c>
      <c r="AG304">
        <f>--(AE304=C304)</f>
        <v/>
      </c>
    </row>
    <row r="305">
      <c r="A305">
        <f>BreastCancer_Data!A305</f>
        <v/>
      </c>
      <c r="B305">
        <f>BreastCancer_Data!B305</f>
        <v/>
      </c>
      <c r="C305">
        <f>BreastCancer_Data!D305</f>
        <v/>
      </c>
      <c r="D305">
        <f>BreastCancer_Data!E305</f>
        <v/>
      </c>
      <c r="E305">
        <f>BreastCancer_Data!F305</f>
        <v/>
      </c>
      <c r="F305">
        <f>BreastCancer_Data!G305</f>
        <v/>
      </c>
      <c r="G305">
        <f>BreastCancer_Data!H305</f>
        <v/>
      </c>
      <c r="H305">
        <f>BreastCancer_Data!I305</f>
        <v/>
      </c>
      <c r="I305">
        <f>BreastCancer_Data!J305</f>
        <v/>
      </c>
      <c r="J305">
        <f>BreastCancer_Data!K305</f>
        <v/>
      </c>
      <c r="K305">
        <f>BreastCancer_Data!L305</f>
        <v/>
      </c>
      <c r="L305">
        <f>BreastCancer_Data!M305</f>
        <v/>
      </c>
      <c r="M305">
        <f>BreastCancer_Data!N305</f>
        <v/>
      </c>
      <c r="N305">
        <f>BreastCancer_Data!O305</f>
        <v/>
      </c>
      <c r="O305">
        <f>0</f>
        <v/>
      </c>
      <c r="P305">
        <f>--(AND(D305&lt;=113.15,E305&lt;=0.15,F305&lt;=15.77,G305&lt;=0.18,H305&lt;=33.27))*0</f>
        <v/>
      </c>
      <c r="Q305">
        <f>--(AND(D305&lt;=113.15,E305&lt;=0.15,F305&lt;=15.77,G305&lt;=0.18,H305&gt;33.27))*0</f>
        <v/>
      </c>
      <c r="R305">
        <f>--(AND(D305&lt;=113.15,E305&lt;=0.15,F305&lt;=15.77,G305&gt;0.18))*0</f>
        <v/>
      </c>
      <c r="S305">
        <f>--(AND(D305&lt;=113.15,E305&lt;=0.15,F305&gt;15.77,H305&lt;=28.86,G305&lt;=0.14))*0</f>
        <v/>
      </c>
      <c r="T305">
        <f>--(AND(D305&lt;=113.15,E305&lt;=0.15,F305&gt;15.77,H305&lt;=28.86,G305&gt;0.14))*1</f>
        <v/>
      </c>
      <c r="U305">
        <f>--(AND(D305&lt;=113.15,E305&lt;=0.15,F305&gt;15.77,H305&gt;28.86,M305&lt;=14.54))*1</f>
        <v/>
      </c>
      <c r="V305">
        <f>--(AND(D305&lt;=113.15,E305&lt;=0.15,F305&gt;15.77,H305&gt;28.86,M305&gt;14.54))*1</f>
        <v/>
      </c>
      <c r="W305">
        <f>--(AND(D305&lt;=113.15,E305&gt;0.15,H305&lt;=23.74))*0</f>
        <v/>
      </c>
      <c r="X305">
        <f>--(AND(D305&lt;=113.15,E305&gt;0.15,H305&gt;23.74,J305&lt;=0.1))*1</f>
        <v/>
      </c>
      <c r="Y305">
        <f>--(AND(D305&lt;=113.15,E305&gt;0.15,H305&gt;23.74,J305&gt;0.1))*1</f>
        <v/>
      </c>
      <c r="Z305">
        <f>--(AND(D305&gt;113.15,K305&lt;=0.22,L305&lt;=0.02))*1</f>
        <v/>
      </c>
      <c r="AA305">
        <f>--(AND(D305&gt;113.15,K305&lt;=0.22,L305&gt;0.02))*0</f>
        <v/>
      </c>
      <c r="AB305">
        <f>--(AND(D305&gt;113.15,K305&gt;0.22,N305&lt;=810.1))*0</f>
        <v/>
      </c>
      <c r="AC305">
        <f>--(AND(D305&gt;113.15,K305&gt;0.22,N305&gt;810.1,I305&lt;=14.95))*1</f>
        <v/>
      </c>
      <c r="AD305">
        <f>--(AND(D305&gt;113.15,K305&gt;0.22,N305&gt;810.1,I305&gt;14.95))*1</f>
        <v/>
      </c>
      <c r="AE305">
        <f>SUM(P305:AD305)</f>
        <v/>
      </c>
      <c r="AF305">
        <f>IF(AE305=1,"Malignant","Benign")</f>
        <v/>
      </c>
      <c r="AG305">
        <f>--(AE305=C305)</f>
        <v/>
      </c>
    </row>
    <row r="306">
      <c r="A306">
        <f>BreastCancer_Data!A306</f>
        <v/>
      </c>
      <c r="B306">
        <f>BreastCancer_Data!B306</f>
        <v/>
      </c>
      <c r="C306">
        <f>BreastCancer_Data!D306</f>
        <v/>
      </c>
      <c r="D306">
        <f>BreastCancer_Data!E306</f>
        <v/>
      </c>
      <c r="E306">
        <f>BreastCancer_Data!F306</f>
        <v/>
      </c>
      <c r="F306">
        <f>BreastCancer_Data!G306</f>
        <v/>
      </c>
      <c r="G306">
        <f>BreastCancer_Data!H306</f>
        <v/>
      </c>
      <c r="H306">
        <f>BreastCancer_Data!I306</f>
        <v/>
      </c>
      <c r="I306">
        <f>BreastCancer_Data!J306</f>
        <v/>
      </c>
      <c r="J306">
        <f>BreastCancer_Data!K306</f>
        <v/>
      </c>
      <c r="K306">
        <f>BreastCancer_Data!L306</f>
        <v/>
      </c>
      <c r="L306">
        <f>BreastCancer_Data!M306</f>
        <v/>
      </c>
      <c r="M306">
        <f>BreastCancer_Data!N306</f>
        <v/>
      </c>
      <c r="N306">
        <f>BreastCancer_Data!O306</f>
        <v/>
      </c>
      <c r="O306">
        <f>0</f>
        <v/>
      </c>
      <c r="P306">
        <f>--(AND(D306&lt;=113.15,E306&lt;=0.15,F306&lt;=15.77,G306&lt;=0.18,H306&lt;=33.27))*0</f>
        <v/>
      </c>
      <c r="Q306">
        <f>--(AND(D306&lt;=113.15,E306&lt;=0.15,F306&lt;=15.77,G306&lt;=0.18,H306&gt;33.27))*0</f>
        <v/>
      </c>
      <c r="R306">
        <f>--(AND(D306&lt;=113.15,E306&lt;=0.15,F306&lt;=15.77,G306&gt;0.18))*0</f>
        <v/>
      </c>
      <c r="S306">
        <f>--(AND(D306&lt;=113.15,E306&lt;=0.15,F306&gt;15.77,H306&lt;=28.86,G306&lt;=0.14))*0</f>
        <v/>
      </c>
      <c r="T306">
        <f>--(AND(D306&lt;=113.15,E306&lt;=0.15,F306&gt;15.77,H306&lt;=28.86,G306&gt;0.14))*1</f>
        <v/>
      </c>
      <c r="U306">
        <f>--(AND(D306&lt;=113.15,E306&lt;=0.15,F306&gt;15.77,H306&gt;28.86,M306&lt;=14.54))*1</f>
        <v/>
      </c>
      <c r="V306">
        <f>--(AND(D306&lt;=113.15,E306&lt;=0.15,F306&gt;15.77,H306&gt;28.86,M306&gt;14.54))*1</f>
        <v/>
      </c>
      <c r="W306">
        <f>--(AND(D306&lt;=113.15,E306&gt;0.15,H306&lt;=23.74))*0</f>
        <v/>
      </c>
      <c r="X306">
        <f>--(AND(D306&lt;=113.15,E306&gt;0.15,H306&gt;23.74,J306&lt;=0.1))*1</f>
        <v/>
      </c>
      <c r="Y306">
        <f>--(AND(D306&lt;=113.15,E306&gt;0.15,H306&gt;23.74,J306&gt;0.1))*1</f>
        <v/>
      </c>
      <c r="Z306">
        <f>--(AND(D306&gt;113.15,K306&lt;=0.22,L306&lt;=0.02))*1</f>
        <v/>
      </c>
      <c r="AA306">
        <f>--(AND(D306&gt;113.15,K306&lt;=0.22,L306&gt;0.02))*0</f>
        <v/>
      </c>
      <c r="AB306">
        <f>--(AND(D306&gt;113.15,K306&gt;0.22,N306&lt;=810.1))*0</f>
        <v/>
      </c>
      <c r="AC306">
        <f>--(AND(D306&gt;113.15,K306&gt;0.22,N306&gt;810.1,I306&lt;=14.95))*1</f>
        <v/>
      </c>
      <c r="AD306">
        <f>--(AND(D306&gt;113.15,K306&gt;0.22,N306&gt;810.1,I306&gt;14.95))*1</f>
        <v/>
      </c>
      <c r="AE306">
        <f>SUM(P306:AD306)</f>
        <v/>
      </c>
      <c r="AF306">
        <f>IF(AE306=1,"Malignant","Benign")</f>
        <v/>
      </c>
      <c r="AG306">
        <f>--(AE306=C306)</f>
        <v/>
      </c>
    </row>
    <row r="307">
      <c r="A307">
        <f>BreastCancer_Data!A307</f>
        <v/>
      </c>
      <c r="B307">
        <f>BreastCancer_Data!B307</f>
        <v/>
      </c>
      <c r="C307">
        <f>BreastCancer_Data!D307</f>
        <v/>
      </c>
      <c r="D307">
        <f>BreastCancer_Data!E307</f>
        <v/>
      </c>
      <c r="E307">
        <f>BreastCancer_Data!F307</f>
        <v/>
      </c>
      <c r="F307">
        <f>BreastCancer_Data!G307</f>
        <v/>
      </c>
      <c r="G307">
        <f>BreastCancer_Data!H307</f>
        <v/>
      </c>
      <c r="H307">
        <f>BreastCancer_Data!I307</f>
        <v/>
      </c>
      <c r="I307">
        <f>BreastCancer_Data!J307</f>
        <v/>
      </c>
      <c r="J307">
        <f>BreastCancer_Data!K307</f>
        <v/>
      </c>
      <c r="K307">
        <f>BreastCancer_Data!L307</f>
        <v/>
      </c>
      <c r="L307">
        <f>BreastCancer_Data!M307</f>
        <v/>
      </c>
      <c r="M307">
        <f>BreastCancer_Data!N307</f>
        <v/>
      </c>
      <c r="N307">
        <f>BreastCancer_Data!O307</f>
        <v/>
      </c>
      <c r="O307">
        <f>0</f>
        <v/>
      </c>
      <c r="P307">
        <f>--(AND(D307&lt;=113.15,E307&lt;=0.15,F307&lt;=15.77,G307&lt;=0.18,H307&lt;=33.27))*0</f>
        <v/>
      </c>
      <c r="Q307">
        <f>--(AND(D307&lt;=113.15,E307&lt;=0.15,F307&lt;=15.77,G307&lt;=0.18,H307&gt;33.27))*0</f>
        <v/>
      </c>
      <c r="R307">
        <f>--(AND(D307&lt;=113.15,E307&lt;=0.15,F307&lt;=15.77,G307&gt;0.18))*0</f>
        <v/>
      </c>
      <c r="S307">
        <f>--(AND(D307&lt;=113.15,E307&lt;=0.15,F307&gt;15.77,H307&lt;=28.86,G307&lt;=0.14))*0</f>
        <v/>
      </c>
      <c r="T307">
        <f>--(AND(D307&lt;=113.15,E307&lt;=0.15,F307&gt;15.77,H307&lt;=28.86,G307&gt;0.14))*1</f>
        <v/>
      </c>
      <c r="U307">
        <f>--(AND(D307&lt;=113.15,E307&lt;=0.15,F307&gt;15.77,H307&gt;28.86,M307&lt;=14.54))*1</f>
        <v/>
      </c>
      <c r="V307">
        <f>--(AND(D307&lt;=113.15,E307&lt;=0.15,F307&gt;15.77,H307&gt;28.86,M307&gt;14.54))*1</f>
        <v/>
      </c>
      <c r="W307">
        <f>--(AND(D307&lt;=113.15,E307&gt;0.15,H307&lt;=23.74))*0</f>
        <v/>
      </c>
      <c r="X307">
        <f>--(AND(D307&lt;=113.15,E307&gt;0.15,H307&gt;23.74,J307&lt;=0.1))*1</f>
        <v/>
      </c>
      <c r="Y307">
        <f>--(AND(D307&lt;=113.15,E307&gt;0.15,H307&gt;23.74,J307&gt;0.1))*1</f>
        <v/>
      </c>
      <c r="Z307">
        <f>--(AND(D307&gt;113.15,K307&lt;=0.22,L307&lt;=0.02))*1</f>
        <v/>
      </c>
      <c r="AA307">
        <f>--(AND(D307&gt;113.15,K307&lt;=0.22,L307&gt;0.02))*0</f>
        <v/>
      </c>
      <c r="AB307">
        <f>--(AND(D307&gt;113.15,K307&gt;0.22,N307&lt;=810.1))*0</f>
        <v/>
      </c>
      <c r="AC307">
        <f>--(AND(D307&gt;113.15,K307&gt;0.22,N307&gt;810.1,I307&lt;=14.95))*1</f>
        <v/>
      </c>
      <c r="AD307">
        <f>--(AND(D307&gt;113.15,K307&gt;0.22,N307&gt;810.1,I307&gt;14.95))*1</f>
        <v/>
      </c>
      <c r="AE307">
        <f>SUM(P307:AD307)</f>
        <v/>
      </c>
      <c r="AF307">
        <f>IF(AE307=1,"Malignant","Benign")</f>
        <v/>
      </c>
      <c r="AG307">
        <f>--(AE307=C307)</f>
        <v/>
      </c>
    </row>
    <row r="308">
      <c r="A308">
        <f>BreastCancer_Data!A308</f>
        <v/>
      </c>
      <c r="B308">
        <f>BreastCancer_Data!B308</f>
        <v/>
      </c>
      <c r="C308">
        <f>BreastCancer_Data!D308</f>
        <v/>
      </c>
      <c r="D308">
        <f>BreastCancer_Data!E308</f>
        <v/>
      </c>
      <c r="E308">
        <f>BreastCancer_Data!F308</f>
        <v/>
      </c>
      <c r="F308">
        <f>BreastCancer_Data!G308</f>
        <v/>
      </c>
      <c r="G308">
        <f>BreastCancer_Data!H308</f>
        <v/>
      </c>
      <c r="H308">
        <f>BreastCancer_Data!I308</f>
        <v/>
      </c>
      <c r="I308">
        <f>BreastCancer_Data!J308</f>
        <v/>
      </c>
      <c r="J308">
        <f>BreastCancer_Data!K308</f>
        <v/>
      </c>
      <c r="K308">
        <f>BreastCancer_Data!L308</f>
        <v/>
      </c>
      <c r="L308">
        <f>BreastCancer_Data!M308</f>
        <v/>
      </c>
      <c r="M308">
        <f>BreastCancer_Data!N308</f>
        <v/>
      </c>
      <c r="N308">
        <f>BreastCancer_Data!O308</f>
        <v/>
      </c>
      <c r="O308">
        <f>0</f>
        <v/>
      </c>
      <c r="P308">
        <f>--(AND(D308&lt;=113.15,E308&lt;=0.15,F308&lt;=15.77,G308&lt;=0.18,H308&lt;=33.27))*0</f>
        <v/>
      </c>
      <c r="Q308">
        <f>--(AND(D308&lt;=113.15,E308&lt;=0.15,F308&lt;=15.77,G308&lt;=0.18,H308&gt;33.27))*0</f>
        <v/>
      </c>
      <c r="R308">
        <f>--(AND(D308&lt;=113.15,E308&lt;=0.15,F308&lt;=15.77,G308&gt;0.18))*0</f>
        <v/>
      </c>
      <c r="S308">
        <f>--(AND(D308&lt;=113.15,E308&lt;=0.15,F308&gt;15.77,H308&lt;=28.86,G308&lt;=0.14))*0</f>
        <v/>
      </c>
      <c r="T308">
        <f>--(AND(D308&lt;=113.15,E308&lt;=0.15,F308&gt;15.77,H308&lt;=28.86,G308&gt;0.14))*1</f>
        <v/>
      </c>
      <c r="U308">
        <f>--(AND(D308&lt;=113.15,E308&lt;=0.15,F308&gt;15.77,H308&gt;28.86,M308&lt;=14.54))*1</f>
        <v/>
      </c>
      <c r="V308">
        <f>--(AND(D308&lt;=113.15,E308&lt;=0.15,F308&gt;15.77,H308&gt;28.86,M308&gt;14.54))*1</f>
        <v/>
      </c>
      <c r="W308">
        <f>--(AND(D308&lt;=113.15,E308&gt;0.15,H308&lt;=23.74))*0</f>
        <v/>
      </c>
      <c r="X308">
        <f>--(AND(D308&lt;=113.15,E308&gt;0.15,H308&gt;23.74,J308&lt;=0.1))*1</f>
        <v/>
      </c>
      <c r="Y308">
        <f>--(AND(D308&lt;=113.15,E308&gt;0.15,H308&gt;23.74,J308&gt;0.1))*1</f>
        <v/>
      </c>
      <c r="Z308">
        <f>--(AND(D308&gt;113.15,K308&lt;=0.22,L308&lt;=0.02))*1</f>
        <v/>
      </c>
      <c r="AA308">
        <f>--(AND(D308&gt;113.15,K308&lt;=0.22,L308&gt;0.02))*0</f>
        <v/>
      </c>
      <c r="AB308">
        <f>--(AND(D308&gt;113.15,K308&gt;0.22,N308&lt;=810.1))*0</f>
        <v/>
      </c>
      <c r="AC308">
        <f>--(AND(D308&gt;113.15,K308&gt;0.22,N308&gt;810.1,I308&lt;=14.95))*1</f>
        <v/>
      </c>
      <c r="AD308">
        <f>--(AND(D308&gt;113.15,K308&gt;0.22,N308&gt;810.1,I308&gt;14.95))*1</f>
        <v/>
      </c>
      <c r="AE308">
        <f>SUM(P308:AD308)</f>
        <v/>
      </c>
      <c r="AF308">
        <f>IF(AE308=1,"Malignant","Benign")</f>
        <v/>
      </c>
      <c r="AG308">
        <f>--(AE308=C308)</f>
        <v/>
      </c>
    </row>
    <row r="309">
      <c r="A309">
        <f>BreastCancer_Data!A309</f>
        <v/>
      </c>
      <c r="B309">
        <f>BreastCancer_Data!B309</f>
        <v/>
      </c>
      <c r="C309">
        <f>BreastCancer_Data!D309</f>
        <v/>
      </c>
      <c r="D309">
        <f>BreastCancer_Data!E309</f>
        <v/>
      </c>
      <c r="E309">
        <f>BreastCancer_Data!F309</f>
        <v/>
      </c>
      <c r="F309">
        <f>BreastCancer_Data!G309</f>
        <v/>
      </c>
      <c r="G309">
        <f>BreastCancer_Data!H309</f>
        <v/>
      </c>
      <c r="H309">
        <f>BreastCancer_Data!I309</f>
        <v/>
      </c>
      <c r="I309">
        <f>BreastCancer_Data!J309</f>
        <v/>
      </c>
      <c r="J309">
        <f>BreastCancer_Data!K309</f>
        <v/>
      </c>
      <c r="K309">
        <f>BreastCancer_Data!L309</f>
        <v/>
      </c>
      <c r="L309">
        <f>BreastCancer_Data!M309</f>
        <v/>
      </c>
      <c r="M309">
        <f>BreastCancer_Data!N309</f>
        <v/>
      </c>
      <c r="N309">
        <f>BreastCancer_Data!O309</f>
        <v/>
      </c>
      <c r="O309">
        <f>0</f>
        <v/>
      </c>
      <c r="P309">
        <f>--(AND(D309&lt;=113.15,E309&lt;=0.15,F309&lt;=15.77,G309&lt;=0.18,H309&lt;=33.27))*0</f>
        <v/>
      </c>
      <c r="Q309">
        <f>--(AND(D309&lt;=113.15,E309&lt;=0.15,F309&lt;=15.77,G309&lt;=0.18,H309&gt;33.27))*0</f>
        <v/>
      </c>
      <c r="R309">
        <f>--(AND(D309&lt;=113.15,E309&lt;=0.15,F309&lt;=15.77,G309&gt;0.18))*0</f>
        <v/>
      </c>
      <c r="S309">
        <f>--(AND(D309&lt;=113.15,E309&lt;=0.15,F309&gt;15.77,H309&lt;=28.86,G309&lt;=0.14))*0</f>
        <v/>
      </c>
      <c r="T309">
        <f>--(AND(D309&lt;=113.15,E309&lt;=0.15,F309&gt;15.77,H309&lt;=28.86,G309&gt;0.14))*1</f>
        <v/>
      </c>
      <c r="U309">
        <f>--(AND(D309&lt;=113.15,E309&lt;=0.15,F309&gt;15.77,H309&gt;28.86,M309&lt;=14.54))*1</f>
        <v/>
      </c>
      <c r="V309">
        <f>--(AND(D309&lt;=113.15,E309&lt;=0.15,F309&gt;15.77,H309&gt;28.86,M309&gt;14.54))*1</f>
        <v/>
      </c>
      <c r="W309">
        <f>--(AND(D309&lt;=113.15,E309&gt;0.15,H309&lt;=23.74))*0</f>
        <v/>
      </c>
      <c r="X309">
        <f>--(AND(D309&lt;=113.15,E309&gt;0.15,H309&gt;23.74,J309&lt;=0.1))*1</f>
        <v/>
      </c>
      <c r="Y309">
        <f>--(AND(D309&lt;=113.15,E309&gt;0.15,H309&gt;23.74,J309&gt;0.1))*1</f>
        <v/>
      </c>
      <c r="Z309">
        <f>--(AND(D309&gt;113.15,K309&lt;=0.22,L309&lt;=0.02))*1</f>
        <v/>
      </c>
      <c r="AA309">
        <f>--(AND(D309&gt;113.15,K309&lt;=0.22,L309&gt;0.02))*0</f>
        <v/>
      </c>
      <c r="AB309">
        <f>--(AND(D309&gt;113.15,K309&gt;0.22,N309&lt;=810.1))*0</f>
        <v/>
      </c>
      <c r="AC309">
        <f>--(AND(D309&gt;113.15,K309&gt;0.22,N309&gt;810.1,I309&lt;=14.95))*1</f>
        <v/>
      </c>
      <c r="AD309">
        <f>--(AND(D309&gt;113.15,K309&gt;0.22,N309&gt;810.1,I309&gt;14.95))*1</f>
        <v/>
      </c>
      <c r="AE309">
        <f>SUM(P309:AD309)</f>
        <v/>
      </c>
      <c r="AF309">
        <f>IF(AE309=1,"Malignant","Benign")</f>
        <v/>
      </c>
      <c r="AG309">
        <f>--(AE309=C309)</f>
        <v/>
      </c>
    </row>
    <row r="310">
      <c r="A310">
        <f>BreastCancer_Data!A310</f>
        <v/>
      </c>
      <c r="B310">
        <f>BreastCancer_Data!B310</f>
        <v/>
      </c>
      <c r="C310">
        <f>BreastCancer_Data!D310</f>
        <v/>
      </c>
      <c r="D310">
        <f>BreastCancer_Data!E310</f>
        <v/>
      </c>
      <c r="E310">
        <f>BreastCancer_Data!F310</f>
        <v/>
      </c>
      <c r="F310">
        <f>BreastCancer_Data!G310</f>
        <v/>
      </c>
      <c r="G310">
        <f>BreastCancer_Data!H310</f>
        <v/>
      </c>
      <c r="H310">
        <f>BreastCancer_Data!I310</f>
        <v/>
      </c>
      <c r="I310">
        <f>BreastCancer_Data!J310</f>
        <v/>
      </c>
      <c r="J310">
        <f>BreastCancer_Data!K310</f>
        <v/>
      </c>
      <c r="K310">
        <f>BreastCancer_Data!L310</f>
        <v/>
      </c>
      <c r="L310">
        <f>BreastCancer_Data!M310</f>
        <v/>
      </c>
      <c r="M310">
        <f>BreastCancer_Data!N310</f>
        <v/>
      </c>
      <c r="N310">
        <f>BreastCancer_Data!O310</f>
        <v/>
      </c>
      <c r="O310">
        <f>0</f>
        <v/>
      </c>
      <c r="P310">
        <f>--(AND(D310&lt;=113.15,E310&lt;=0.15,F310&lt;=15.77,G310&lt;=0.18,H310&lt;=33.27))*0</f>
        <v/>
      </c>
      <c r="Q310">
        <f>--(AND(D310&lt;=113.15,E310&lt;=0.15,F310&lt;=15.77,G310&lt;=0.18,H310&gt;33.27))*0</f>
        <v/>
      </c>
      <c r="R310">
        <f>--(AND(D310&lt;=113.15,E310&lt;=0.15,F310&lt;=15.77,G310&gt;0.18))*0</f>
        <v/>
      </c>
      <c r="S310">
        <f>--(AND(D310&lt;=113.15,E310&lt;=0.15,F310&gt;15.77,H310&lt;=28.86,G310&lt;=0.14))*0</f>
        <v/>
      </c>
      <c r="T310">
        <f>--(AND(D310&lt;=113.15,E310&lt;=0.15,F310&gt;15.77,H310&lt;=28.86,G310&gt;0.14))*1</f>
        <v/>
      </c>
      <c r="U310">
        <f>--(AND(D310&lt;=113.15,E310&lt;=0.15,F310&gt;15.77,H310&gt;28.86,M310&lt;=14.54))*1</f>
        <v/>
      </c>
      <c r="V310">
        <f>--(AND(D310&lt;=113.15,E310&lt;=0.15,F310&gt;15.77,H310&gt;28.86,M310&gt;14.54))*1</f>
        <v/>
      </c>
      <c r="W310">
        <f>--(AND(D310&lt;=113.15,E310&gt;0.15,H310&lt;=23.74))*0</f>
        <v/>
      </c>
      <c r="X310">
        <f>--(AND(D310&lt;=113.15,E310&gt;0.15,H310&gt;23.74,J310&lt;=0.1))*1</f>
        <v/>
      </c>
      <c r="Y310">
        <f>--(AND(D310&lt;=113.15,E310&gt;0.15,H310&gt;23.74,J310&gt;0.1))*1</f>
        <v/>
      </c>
      <c r="Z310">
        <f>--(AND(D310&gt;113.15,K310&lt;=0.22,L310&lt;=0.02))*1</f>
        <v/>
      </c>
      <c r="AA310">
        <f>--(AND(D310&gt;113.15,K310&lt;=0.22,L310&gt;0.02))*0</f>
        <v/>
      </c>
      <c r="AB310">
        <f>--(AND(D310&gt;113.15,K310&gt;0.22,N310&lt;=810.1))*0</f>
        <v/>
      </c>
      <c r="AC310">
        <f>--(AND(D310&gt;113.15,K310&gt;0.22,N310&gt;810.1,I310&lt;=14.95))*1</f>
        <v/>
      </c>
      <c r="AD310">
        <f>--(AND(D310&gt;113.15,K310&gt;0.22,N310&gt;810.1,I310&gt;14.95))*1</f>
        <v/>
      </c>
      <c r="AE310">
        <f>SUM(P310:AD310)</f>
        <v/>
      </c>
      <c r="AF310">
        <f>IF(AE310=1,"Malignant","Benign")</f>
        <v/>
      </c>
      <c r="AG310">
        <f>--(AE310=C310)</f>
        <v/>
      </c>
    </row>
    <row r="311">
      <c r="A311">
        <f>BreastCancer_Data!A311</f>
        <v/>
      </c>
      <c r="B311">
        <f>BreastCancer_Data!B311</f>
        <v/>
      </c>
      <c r="C311">
        <f>BreastCancer_Data!D311</f>
        <v/>
      </c>
      <c r="D311">
        <f>BreastCancer_Data!E311</f>
        <v/>
      </c>
      <c r="E311">
        <f>BreastCancer_Data!F311</f>
        <v/>
      </c>
      <c r="F311">
        <f>BreastCancer_Data!G311</f>
        <v/>
      </c>
      <c r="G311">
        <f>BreastCancer_Data!H311</f>
        <v/>
      </c>
      <c r="H311">
        <f>BreastCancer_Data!I311</f>
        <v/>
      </c>
      <c r="I311">
        <f>BreastCancer_Data!J311</f>
        <v/>
      </c>
      <c r="J311">
        <f>BreastCancer_Data!K311</f>
        <v/>
      </c>
      <c r="K311">
        <f>BreastCancer_Data!L311</f>
        <v/>
      </c>
      <c r="L311">
        <f>BreastCancer_Data!M311</f>
        <v/>
      </c>
      <c r="M311">
        <f>BreastCancer_Data!N311</f>
        <v/>
      </c>
      <c r="N311">
        <f>BreastCancer_Data!O311</f>
        <v/>
      </c>
      <c r="O311">
        <f>0</f>
        <v/>
      </c>
      <c r="P311">
        <f>--(AND(D311&lt;=113.15,E311&lt;=0.15,F311&lt;=15.77,G311&lt;=0.18,H311&lt;=33.27))*0</f>
        <v/>
      </c>
      <c r="Q311">
        <f>--(AND(D311&lt;=113.15,E311&lt;=0.15,F311&lt;=15.77,G311&lt;=0.18,H311&gt;33.27))*0</f>
        <v/>
      </c>
      <c r="R311">
        <f>--(AND(D311&lt;=113.15,E311&lt;=0.15,F311&lt;=15.77,G311&gt;0.18))*0</f>
        <v/>
      </c>
      <c r="S311">
        <f>--(AND(D311&lt;=113.15,E311&lt;=0.15,F311&gt;15.77,H311&lt;=28.86,G311&lt;=0.14))*0</f>
        <v/>
      </c>
      <c r="T311">
        <f>--(AND(D311&lt;=113.15,E311&lt;=0.15,F311&gt;15.77,H311&lt;=28.86,G311&gt;0.14))*1</f>
        <v/>
      </c>
      <c r="U311">
        <f>--(AND(D311&lt;=113.15,E311&lt;=0.15,F311&gt;15.77,H311&gt;28.86,M311&lt;=14.54))*1</f>
        <v/>
      </c>
      <c r="V311">
        <f>--(AND(D311&lt;=113.15,E311&lt;=0.15,F311&gt;15.77,H311&gt;28.86,M311&gt;14.54))*1</f>
        <v/>
      </c>
      <c r="W311">
        <f>--(AND(D311&lt;=113.15,E311&gt;0.15,H311&lt;=23.74))*0</f>
        <v/>
      </c>
      <c r="X311">
        <f>--(AND(D311&lt;=113.15,E311&gt;0.15,H311&gt;23.74,J311&lt;=0.1))*1</f>
        <v/>
      </c>
      <c r="Y311">
        <f>--(AND(D311&lt;=113.15,E311&gt;0.15,H311&gt;23.74,J311&gt;0.1))*1</f>
        <v/>
      </c>
      <c r="Z311">
        <f>--(AND(D311&gt;113.15,K311&lt;=0.22,L311&lt;=0.02))*1</f>
        <v/>
      </c>
      <c r="AA311">
        <f>--(AND(D311&gt;113.15,K311&lt;=0.22,L311&gt;0.02))*0</f>
        <v/>
      </c>
      <c r="AB311">
        <f>--(AND(D311&gt;113.15,K311&gt;0.22,N311&lt;=810.1))*0</f>
        <v/>
      </c>
      <c r="AC311">
        <f>--(AND(D311&gt;113.15,K311&gt;0.22,N311&gt;810.1,I311&lt;=14.95))*1</f>
        <v/>
      </c>
      <c r="AD311">
        <f>--(AND(D311&gt;113.15,K311&gt;0.22,N311&gt;810.1,I311&gt;14.95))*1</f>
        <v/>
      </c>
      <c r="AE311">
        <f>SUM(P311:AD311)</f>
        <v/>
      </c>
      <c r="AF311">
        <f>IF(AE311=1,"Malignant","Benign")</f>
        <v/>
      </c>
      <c r="AG311">
        <f>--(AE311=C311)</f>
        <v/>
      </c>
    </row>
    <row r="312">
      <c r="A312">
        <f>BreastCancer_Data!A312</f>
        <v/>
      </c>
      <c r="B312">
        <f>BreastCancer_Data!B312</f>
        <v/>
      </c>
      <c r="C312">
        <f>BreastCancer_Data!D312</f>
        <v/>
      </c>
      <c r="D312">
        <f>BreastCancer_Data!E312</f>
        <v/>
      </c>
      <c r="E312">
        <f>BreastCancer_Data!F312</f>
        <v/>
      </c>
      <c r="F312">
        <f>BreastCancer_Data!G312</f>
        <v/>
      </c>
      <c r="G312">
        <f>BreastCancer_Data!H312</f>
        <v/>
      </c>
      <c r="H312">
        <f>BreastCancer_Data!I312</f>
        <v/>
      </c>
      <c r="I312">
        <f>BreastCancer_Data!J312</f>
        <v/>
      </c>
      <c r="J312">
        <f>BreastCancer_Data!K312</f>
        <v/>
      </c>
      <c r="K312">
        <f>BreastCancer_Data!L312</f>
        <v/>
      </c>
      <c r="L312">
        <f>BreastCancer_Data!M312</f>
        <v/>
      </c>
      <c r="M312">
        <f>BreastCancer_Data!N312</f>
        <v/>
      </c>
      <c r="N312">
        <f>BreastCancer_Data!O312</f>
        <v/>
      </c>
      <c r="O312">
        <f>0</f>
        <v/>
      </c>
      <c r="P312">
        <f>--(AND(D312&lt;=113.15,E312&lt;=0.15,F312&lt;=15.77,G312&lt;=0.18,H312&lt;=33.27))*0</f>
        <v/>
      </c>
      <c r="Q312">
        <f>--(AND(D312&lt;=113.15,E312&lt;=0.15,F312&lt;=15.77,G312&lt;=0.18,H312&gt;33.27))*0</f>
        <v/>
      </c>
      <c r="R312">
        <f>--(AND(D312&lt;=113.15,E312&lt;=0.15,F312&lt;=15.77,G312&gt;0.18))*0</f>
        <v/>
      </c>
      <c r="S312">
        <f>--(AND(D312&lt;=113.15,E312&lt;=0.15,F312&gt;15.77,H312&lt;=28.86,G312&lt;=0.14))*0</f>
        <v/>
      </c>
      <c r="T312">
        <f>--(AND(D312&lt;=113.15,E312&lt;=0.15,F312&gt;15.77,H312&lt;=28.86,G312&gt;0.14))*1</f>
        <v/>
      </c>
      <c r="U312">
        <f>--(AND(D312&lt;=113.15,E312&lt;=0.15,F312&gt;15.77,H312&gt;28.86,M312&lt;=14.54))*1</f>
        <v/>
      </c>
      <c r="V312">
        <f>--(AND(D312&lt;=113.15,E312&lt;=0.15,F312&gt;15.77,H312&gt;28.86,M312&gt;14.54))*1</f>
        <v/>
      </c>
      <c r="W312">
        <f>--(AND(D312&lt;=113.15,E312&gt;0.15,H312&lt;=23.74))*0</f>
        <v/>
      </c>
      <c r="X312">
        <f>--(AND(D312&lt;=113.15,E312&gt;0.15,H312&gt;23.74,J312&lt;=0.1))*1</f>
        <v/>
      </c>
      <c r="Y312">
        <f>--(AND(D312&lt;=113.15,E312&gt;0.15,H312&gt;23.74,J312&gt;0.1))*1</f>
        <v/>
      </c>
      <c r="Z312">
        <f>--(AND(D312&gt;113.15,K312&lt;=0.22,L312&lt;=0.02))*1</f>
        <v/>
      </c>
      <c r="AA312">
        <f>--(AND(D312&gt;113.15,K312&lt;=0.22,L312&gt;0.02))*0</f>
        <v/>
      </c>
      <c r="AB312">
        <f>--(AND(D312&gt;113.15,K312&gt;0.22,N312&lt;=810.1))*0</f>
        <v/>
      </c>
      <c r="AC312">
        <f>--(AND(D312&gt;113.15,K312&gt;0.22,N312&gt;810.1,I312&lt;=14.95))*1</f>
        <v/>
      </c>
      <c r="AD312">
        <f>--(AND(D312&gt;113.15,K312&gt;0.22,N312&gt;810.1,I312&gt;14.95))*1</f>
        <v/>
      </c>
      <c r="AE312">
        <f>SUM(P312:AD312)</f>
        <v/>
      </c>
      <c r="AF312">
        <f>IF(AE312=1,"Malignant","Benign")</f>
        <v/>
      </c>
      <c r="AG312">
        <f>--(AE312=C312)</f>
        <v/>
      </c>
    </row>
    <row r="313">
      <c r="A313">
        <f>BreastCancer_Data!A313</f>
        <v/>
      </c>
      <c r="B313">
        <f>BreastCancer_Data!B313</f>
        <v/>
      </c>
      <c r="C313">
        <f>BreastCancer_Data!D313</f>
        <v/>
      </c>
      <c r="D313">
        <f>BreastCancer_Data!E313</f>
        <v/>
      </c>
      <c r="E313">
        <f>BreastCancer_Data!F313</f>
        <v/>
      </c>
      <c r="F313">
        <f>BreastCancer_Data!G313</f>
        <v/>
      </c>
      <c r="G313">
        <f>BreastCancer_Data!H313</f>
        <v/>
      </c>
      <c r="H313">
        <f>BreastCancer_Data!I313</f>
        <v/>
      </c>
      <c r="I313">
        <f>BreastCancer_Data!J313</f>
        <v/>
      </c>
      <c r="J313">
        <f>BreastCancer_Data!K313</f>
        <v/>
      </c>
      <c r="K313">
        <f>BreastCancer_Data!L313</f>
        <v/>
      </c>
      <c r="L313">
        <f>BreastCancer_Data!M313</f>
        <v/>
      </c>
      <c r="M313">
        <f>BreastCancer_Data!N313</f>
        <v/>
      </c>
      <c r="N313">
        <f>BreastCancer_Data!O313</f>
        <v/>
      </c>
      <c r="O313">
        <f>0</f>
        <v/>
      </c>
      <c r="P313">
        <f>--(AND(D313&lt;=113.15,E313&lt;=0.15,F313&lt;=15.77,G313&lt;=0.18,H313&lt;=33.27))*0</f>
        <v/>
      </c>
      <c r="Q313">
        <f>--(AND(D313&lt;=113.15,E313&lt;=0.15,F313&lt;=15.77,G313&lt;=0.18,H313&gt;33.27))*0</f>
        <v/>
      </c>
      <c r="R313">
        <f>--(AND(D313&lt;=113.15,E313&lt;=0.15,F313&lt;=15.77,G313&gt;0.18))*0</f>
        <v/>
      </c>
      <c r="S313">
        <f>--(AND(D313&lt;=113.15,E313&lt;=0.15,F313&gt;15.77,H313&lt;=28.86,G313&lt;=0.14))*0</f>
        <v/>
      </c>
      <c r="T313">
        <f>--(AND(D313&lt;=113.15,E313&lt;=0.15,F313&gt;15.77,H313&lt;=28.86,G313&gt;0.14))*1</f>
        <v/>
      </c>
      <c r="U313">
        <f>--(AND(D313&lt;=113.15,E313&lt;=0.15,F313&gt;15.77,H313&gt;28.86,M313&lt;=14.54))*1</f>
        <v/>
      </c>
      <c r="V313">
        <f>--(AND(D313&lt;=113.15,E313&lt;=0.15,F313&gt;15.77,H313&gt;28.86,M313&gt;14.54))*1</f>
        <v/>
      </c>
      <c r="W313">
        <f>--(AND(D313&lt;=113.15,E313&gt;0.15,H313&lt;=23.74))*0</f>
        <v/>
      </c>
      <c r="X313">
        <f>--(AND(D313&lt;=113.15,E313&gt;0.15,H313&gt;23.74,J313&lt;=0.1))*1</f>
        <v/>
      </c>
      <c r="Y313">
        <f>--(AND(D313&lt;=113.15,E313&gt;0.15,H313&gt;23.74,J313&gt;0.1))*1</f>
        <v/>
      </c>
      <c r="Z313">
        <f>--(AND(D313&gt;113.15,K313&lt;=0.22,L313&lt;=0.02))*1</f>
        <v/>
      </c>
      <c r="AA313">
        <f>--(AND(D313&gt;113.15,K313&lt;=0.22,L313&gt;0.02))*0</f>
        <v/>
      </c>
      <c r="AB313">
        <f>--(AND(D313&gt;113.15,K313&gt;0.22,N313&lt;=810.1))*0</f>
        <v/>
      </c>
      <c r="AC313">
        <f>--(AND(D313&gt;113.15,K313&gt;0.22,N313&gt;810.1,I313&lt;=14.95))*1</f>
        <v/>
      </c>
      <c r="AD313">
        <f>--(AND(D313&gt;113.15,K313&gt;0.22,N313&gt;810.1,I313&gt;14.95))*1</f>
        <v/>
      </c>
      <c r="AE313">
        <f>SUM(P313:AD313)</f>
        <v/>
      </c>
      <c r="AF313">
        <f>IF(AE313=1,"Malignant","Benign")</f>
        <v/>
      </c>
      <c r="AG313">
        <f>--(AE313=C313)</f>
        <v/>
      </c>
    </row>
    <row r="314">
      <c r="A314">
        <f>BreastCancer_Data!A314</f>
        <v/>
      </c>
      <c r="B314">
        <f>BreastCancer_Data!B314</f>
        <v/>
      </c>
      <c r="C314">
        <f>BreastCancer_Data!D314</f>
        <v/>
      </c>
      <c r="D314">
        <f>BreastCancer_Data!E314</f>
        <v/>
      </c>
      <c r="E314">
        <f>BreastCancer_Data!F314</f>
        <v/>
      </c>
      <c r="F314">
        <f>BreastCancer_Data!G314</f>
        <v/>
      </c>
      <c r="G314">
        <f>BreastCancer_Data!H314</f>
        <v/>
      </c>
      <c r="H314">
        <f>BreastCancer_Data!I314</f>
        <v/>
      </c>
      <c r="I314">
        <f>BreastCancer_Data!J314</f>
        <v/>
      </c>
      <c r="J314">
        <f>BreastCancer_Data!K314</f>
        <v/>
      </c>
      <c r="K314">
        <f>BreastCancer_Data!L314</f>
        <v/>
      </c>
      <c r="L314">
        <f>BreastCancer_Data!M314</f>
        <v/>
      </c>
      <c r="M314">
        <f>BreastCancer_Data!N314</f>
        <v/>
      </c>
      <c r="N314">
        <f>BreastCancer_Data!O314</f>
        <v/>
      </c>
      <c r="O314">
        <f>0</f>
        <v/>
      </c>
      <c r="P314">
        <f>--(AND(D314&lt;=113.15,E314&lt;=0.15,F314&lt;=15.77,G314&lt;=0.18,H314&lt;=33.27))*0</f>
        <v/>
      </c>
      <c r="Q314">
        <f>--(AND(D314&lt;=113.15,E314&lt;=0.15,F314&lt;=15.77,G314&lt;=0.18,H314&gt;33.27))*0</f>
        <v/>
      </c>
      <c r="R314">
        <f>--(AND(D314&lt;=113.15,E314&lt;=0.15,F314&lt;=15.77,G314&gt;0.18))*0</f>
        <v/>
      </c>
      <c r="S314">
        <f>--(AND(D314&lt;=113.15,E314&lt;=0.15,F314&gt;15.77,H314&lt;=28.86,G314&lt;=0.14))*0</f>
        <v/>
      </c>
      <c r="T314">
        <f>--(AND(D314&lt;=113.15,E314&lt;=0.15,F314&gt;15.77,H314&lt;=28.86,G314&gt;0.14))*1</f>
        <v/>
      </c>
      <c r="U314">
        <f>--(AND(D314&lt;=113.15,E314&lt;=0.15,F314&gt;15.77,H314&gt;28.86,M314&lt;=14.54))*1</f>
        <v/>
      </c>
      <c r="V314">
        <f>--(AND(D314&lt;=113.15,E314&lt;=0.15,F314&gt;15.77,H314&gt;28.86,M314&gt;14.54))*1</f>
        <v/>
      </c>
      <c r="W314">
        <f>--(AND(D314&lt;=113.15,E314&gt;0.15,H314&lt;=23.74))*0</f>
        <v/>
      </c>
      <c r="X314">
        <f>--(AND(D314&lt;=113.15,E314&gt;0.15,H314&gt;23.74,J314&lt;=0.1))*1</f>
        <v/>
      </c>
      <c r="Y314">
        <f>--(AND(D314&lt;=113.15,E314&gt;0.15,H314&gt;23.74,J314&gt;0.1))*1</f>
        <v/>
      </c>
      <c r="Z314">
        <f>--(AND(D314&gt;113.15,K314&lt;=0.22,L314&lt;=0.02))*1</f>
        <v/>
      </c>
      <c r="AA314">
        <f>--(AND(D314&gt;113.15,K314&lt;=0.22,L314&gt;0.02))*0</f>
        <v/>
      </c>
      <c r="AB314">
        <f>--(AND(D314&gt;113.15,K314&gt;0.22,N314&lt;=810.1))*0</f>
        <v/>
      </c>
      <c r="AC314">
        <f>--(AND(D314&gt;113.15,K314&gt;0.22,N314&gt;810.1,I314&lt;=14.95))*1</f>
        <v/>
      </c>
      <c r="AD314">
        <f>--(AND(D314&gt;113.15,K314&gt;0.22,N314&gt;810.1,I314&gt;14.95))*1</f>
        <v/>
      </c>
      <c r="AE314">
        <f>SUM(P314:AD314)</f>
        <v/>
      </c>
      <c r="AF314">
        <f>IF(AE314=1,"Malignant","Benign")</f>
        <v/>
      </c>
      <c r="AG314">
        <f>--(AE314=C314)</f>
        <v/>
      </c>
    </row>
    <row r="315">
      <c r="A315">
        <f>BreastCancer_Data!A315</f>
        <v/>
      </c>
      <c r="B315">
        <f>BreastCancer_Data!B315</f>
        <v/>
      </c>
      <c r="C315">
        <f>BreastCancer_Data!D315</f>
        <v/>
      </c>
      <c r="D315">
        <f>BreastCancer_Data!E315</f>
        <v/>
      </c>
      <c r="E315">
        <f>BreastCancer_Data!F315</f>
        <v/>
      </c>
      <c r="F315">
        <f>BreastCancer_Data!G315</f>
        <v/>
      </c>
      <c r="G315">
        <f>BreastCancer_Data!H315</f>
        <v/>
      </c>
      <c r="H315">
        <f>BreastCancer_Data!I315</f>
        <v/>
      </c>
      <c r="I315">
        <f>BreastCancer_Data!J315</f>
        <v/>
      </c>
      <c r="J315">
        <f>BreastCancer_Data!K315</f>
        <v/>
      </c>
      <c r="K315">
        <f>BreastCancer_Data!L315</f>
        <v/>
      </c>
      <c r="L315">
        <f>BreastCancer_Data!M315</f>
        <v/>
      </c>
      <c r="M315">
        <f>BreastCancer_Data!N315</f>
        <v/>
      </c>
      <c r="N315">
        <f>BreastCancer_Data!O315</f>
        <v/>
      </c>
      <c r="O315">
        <f>0</f>
        <v/>
      </c>
      <c r="P315">
        <f>--(AND(D315&lt;=113.15,E315&lt;=0.15,F315&lt;=15.77,G315&lt;=0.18,H315&lt;=33.27))*0</f>
        <v/>
      </c>
      <c r="Q315">
        <f>--(AND(D315&lt;=113.15,E315&lt;=0.15,F315&lt;=15.77,G315&lt;=0.18,H315&gt;33.27))*0</f>
        <v/>
      </c>
      <c r="R315">
        <f>--(AND(D315&lt;=113.15,E315&lt;=0.15,F315&lt;=15.77,G315&gt;0.18))*0</f>
        <v/>
      </c>
      <c r="S315">
        <f>--(AND(D315&lt;=113.15,E315&lt;=0.15,F315&gt;15.77,H315&lt;=28.86,G315&lt;=0.14))*0</f>
        <v/>
      </c>
      <c r="T315">
        <f>--(AND(D315&lt;=113.15,E315&lt;=0.15,F315&gt;15.77,H315&lt;=28.86,G315&gt;0.14))*1</f>
        <v/>
      </c>
      <c r="U315">
        <f>--(AND(D315&lt;=113.15,E315&lt;=0.15,F315&gt;15.77,H315&gt;28.86,M315&lt;=14.54))*1</f>
        <v/>
      </c>
      <c r="V315">
        <f>--(AND(D315&lt;=113.15,E315&lt;=0.15,F315&gt;15.77,H315&gt;28.86,M315&gt;14.54))*1</f>
        <v/>
      </c>
      <c r="W315">
        <f>--(AND(D315&lt;=113.15,E315&gt;0.15,H315&lt;=23.74))*0</f>
        <v/>
      </c>
      <c r="X315">
        <f>--(AND(D315&lt;=113.15,E315&gt;0.15,H315&gt;23.74,J315&lt;=0.1))*1</f>
        <v/>
      </c>
      <c r="Y315">
        <f>--(AND(D315&lt;=113.15,E315&gt;0.15,H315&gt;23.74,J315&gt;0.1))*1</f>
        <v/>
      </c>
      <c r="Z315">
        <f>--(AND(D315&gt;113.15,K315&lt;=0.22,L315&lt;=0.02))*1</f>
        <v/>
      </c>
      <c r="AA315">
        <f>--(AND(D315&gt;113.15,K315&lt;=0.22,L315&gt;0.02))*0</f>
        <v/>
      </c>
      <c r="AB315">
        <f>--(AND(D315&gt;113.15,K315&gt;0.22,N315&lt;=810.1))*0</f>
        <v/>
      </c>
      <c r="AC315">
        <f>--(AND(D315&gt;113.15,K315&gt;0.22,N315&gt;810.1,I315&lt;=14.95))*1</f>
        <v/>
      </c>
      <c r="AD315">
        <f>--(AND(D315&gt;113.15,K315&gt;0.22,N315&gt;810.1,I315&gt;14.95))*1</f>
        <v/>
      </c>
      <c r="AE315">
        <f>SUM(P315:AD315)</f>
        <v/>
      </c>
      <c r="AF315">
        <f>IF(AE315=1,"Malignant","Benign")</f>
        <v/>
      </c>
      <c r="AG315">
        <f>--(AE315=C315)</f>
        <v/>
      </c>
    </row>
    <row r="316">
      <c r="A316">
        <f>BreastCancer_Data!A316</f>
        <v/>
      </c>
      <c r="B316">
        <f>BreastCancer_Data!B316</f>
        <v/>
      </c>
      <c r="C316">
        <f>BreastCancer_Data!D316</f>
        <v/>
      </c>
      <c r="D316">
        <f>BreastCancer_Data!E316</f>
        <v/>
      </c>
      <c r="E316">
        <f>BreastCancer_Data!F316</f>
        <v/>
      </c>
      <c r="F316">
        <f>BreastCancer_Data!G316</f>
        <v/>
      </c>
      <c r="G316">
        <f>BreastCancer_Data!H316</f>
        <v/>
      </c>
      <c r="H316">
        <f>BreastCancer_Data!I316</f>
        <v/>
      </c>
      <c r="I316">
        <f>BreastCancer_Data!J316</f>
        <v/>
      </c>
      <c r="J316">
        <f>BreastCancer_Data!K316</f>
        <v/>
      </c>
      <c r="K316">
        <f>BreastCancer_Data!L316</f>
        <v/>
      </c>
      <c r="L316">
        <f>BreastCancer_Data!M316</f>
        <v/>
      </c>
      <c r="M316">
        <f>BreastCancer_Data!N316</f>
        <v/>
      </c>
      <c r="N316">
        <f>BreastCancer_Data!O316</f>
        <v/>
      </c>
      <c r="O316">
        <f>0</f>
        <v/>
      </c>
      <c r="P316">
        <f>--(AND(D316&lt;=113.15,E316&lt;=0.15,F316&lt;=15.77,G316&lt;=0.18,H316&lt;=33.27))*0</f>
        <v/>
      </c>
      <c r="Q316">
        <f>--(AND(D316&lt;=113.15,E316&lt;=0.15,F316&lt;=15.77,G316&lt;=0.18,H316&gt;33.27))*0</f>
        <v/>
      </c>
      <c r="R316">
        <f>--(AND(D316&lt;=113.15,E316&lt;=0.15,F316&lt;=15.77,G316&gt;0.18))*0</f>
        <v/>
      </c>
      <c r="S316">
        <f>--(AND(D316&lt;=113.15,E316&lt;=0.15,F316&gt;15.77,H316&lt;=28.86,G316&lt;=0.14))*0</f>
        <v/>
      </c>
      <c r="T316">
        <f>--(AND(D316&lt;=113.15,E316&lt;=0.15,F316&gt;15.77,H316&lt;=28.86,G316&gt;0.14))*1</f>
        <v/>
      </c>
      <c r="U316">
        <f>--(AND(D316&lt;=113.15,E316&lt;=0.15,F316&gt;15.77,H316&gt;28.86,M316&lt;=14.54))*1</f>
        <v/>
      </c>
      <c r="V316">
        <f>--(AND(D316&lt;=113.15,E316&lt;=0.15,F316&gt;15.77,H316&gt;28.86,M316&gt;14.54))*1</f>
        <v/>
      </c>
      <c r="W316">
        <f>--(AND(D316&lt;=113.15,E316&gt;0.15,H316&lt;=23.74))*0</f>
        <v/>
      </c>
      <c r="X316">
        <f>--(AND(D316&lt;=113.15,E316&gt;0.15,H316&gt;23.74,J316&lt;=0.1))*1</f>
        <v/>
      </c>
      <c r="Y316">
        <f>--(AND(D316&lt;=113.15,E316&gt;0.15,H316&gt;23.74,J316&gt;0.1))*1</f>
        <v/>
      </c>
      <c r="Z316">
        <f>--(AND(D316&gt;113.15,K316&lt;=0.22,L316&lt;=0.02))*1</f>
        <v/>
      </c>
      <c r="AA316">
        <f>--(AND(D316&gt;113.15,K316&lt;=0.22,L316&gt;0.02))*0</f>
        <v/>
      </c>
      <c r="AB316">
        <f>--(AND(D316&gt;113.15,K316&gt;0.22,N316&lt;=810.1))*0</f>
        <v/>
      </c>
      <c r="AC316">
        <f>--(AND(D316&gt;113.15,K316&gt;0.22,N316&gt;810.1,I316&lt;=14.95))*1</f>
        <v/>
      </c>
      <c r="AD316">
        <f>--(AND(D316&gt;113.15,K316&gt;0.22,N316&gt;810.1,I316&gt;14.95))*1</f>
        <v/>
      </c>
      <c r="AE316">
        <f>SUM(P316:AD316)</f>
        <v/>
      </c>
      <c r="AF316">
        <f>IF(AE316=1,"Malignant","Benign")</f>
        <v/>
      </c>
      <c r="AG316">
        <f>--(AE316=C316)</f>
        <v/>
      </c>
    </row>
    <row r="317">
      <c r="A317">
        <f>BreastCancer_Data!A317</f>
        <v/>
      </c>
      <c r="B317">
        <f>BreastCancer_Data!B317</f>
        <v/>
      </c>
      <c r="C317">
        <f>BreastCancer_Data!D317</f>
        <v/>
      </c>
      <c r="D317">
        <f>BreastCancer_Data!E317</f>
        <v/>
      </c>
      <c r="E317">
        <f>BreastCancer_Data!F317</f>
        <v/>
      </c>
      <c r="F317">
        <f>BreastCancer_Data!G317</f>
        <v/>
      </c>
      <c r="G317">
        <f>BreastCancer_Data!H317</f>
        <v/>
      </c>
      <c r="H317">
        <f>BreastCancer_Data!I317</f>
        <v/>
      </c>
      <c r="I317">
        <f>BreastCancer_Data!J317</f>
        <v/>
      </c>
      <c r="J317">
        <f>BreastCancer_Data!K317</f>
        <v/>
      </c>
      <c r="K317">
        <f>BreastCancer_Data!L317</f>
        <v/>
      </c>
      <c r="L317">
        <f>BreastCancer_Data!M317</f>
        <v/>
      </c>
      <c r="M317">
        <f>BreastCancer_Data!N317</f>
        <v/>
      </c>
      <c r="N317">
        <f>BreastCancer_Data!O317</f>
        <v/>
      </c>
      <c r="O317">
        <f>0</f>
        <v/>
      </c>
      <c r="P317">
        <f>--(AND(D317&lt;=113.15,E317&lt;=0.15,F317&lt;=15.77,G317&lt;=0.18,H317&lt;=33.27))*0</f>
        <v/>
      </c>
      <c r="Q317">
        <f>--(AND(D317&lt;=113.15,E317&lt;=0.15,F317&lt;=15.77,G317&lt;=0.18,H317&gt;33.27))*0</f>
        <v/>
      </c>
      <c r="R317">
        <f>--(AND(D317&lt;=113.15,E317&lt;=0.15,F317&lt;=15.77,G317&gt;0.18))*0</f>
        <v/>
      </c>
      <c r="S317">
        <f>--(AND(D317&lt;=113.15,E317&lt;=0.15,F317&gt;15.77,H317&lt;=28.86,G317&lt;=0.14))*0</f>
        <v/>
      </c>
      <c r="T317">
        <f>--(AND(D317&lt;=113.15,E317&lt;=0.15,F317&gt;15.77,H317&lt;=28.86,G317&gt;0.14))*1</f>
        <v/>
      </c>
      <c r="U317">
        <f>--(AND(D317&lt;=113.15,E317&lt;=0.15,F317&gt;15.77,H317&gt;28.86,M317&lt;=14.54))*1</f>
        <v/>
      </c>
      <c r="V317">
        <f>--(AND(D317&lt;=113.15,E317&lt;=0.15,F317&gt;15.77,H317&gt;28.86,M317&gt;14.54))*1</f>
        <v/>
      </c>
      <c r="W317">
        <f>--(AND(D317&lt;=113.15,E317&gt;0.15,H317&lt;=23.74))*0</f>
        <v/>
      </c>
      <c r="X317">
        <f>--(AND(D317&lt;=113.15,E317&gt;0.15,H317&gt;23.74,J317&lt;=0.1))*1</f>
        <v/>
      </c>
      <c r="Y317">
        <f>--(AND(D317&lt;=113.15,E317&gt;0.15,H317&gt;23.74,J317&gt;0.1))*1</f>
        <v/>
      </c>
      <c r="Z317">
        <f>--(AND(D317&gt;113.15,K317&lt;=0.22,L317&lt;=0.02))*1</f>
        <v/>
      </c>
      <c r="AA317">
        <f>--(AND(D317&gt;113.15,K317&lt;=0.22,L317&gt;0.02))*0</f>
        <v/>
      </c>
      <c r="AB317">
        <f>--(AND(D317&gt;113.15,K317&gt;0.22,N317&lt;=810.1))*0</f>
        <v/>
      </c>
      <c r="AC317">
        <f>--(AND(D317&gt;113.15,K317&gt;0.22,N317&gt;810.1,I317&lt;=14.95))*1</f>
        <v/>
      </c>
      <c r="AD317">
        <f>--(AND(D317&gt;113.15,K317&gt;0.22,N317&gt;810.1,I317&gt;14.95))*1</f>
        <v/>
      </c>
      <c r="AE317">
        <f>SUM(P317:AD317)</f>
        <v/>
      </c>
      <c r="AF317">
        <f>IF(AE317=1,"Malignant","Benign")</f>
        <v/>
      </c>
      <c r="AG317">
        <f>--(AE317=C317)</f>
        <v/>
      </c>
    </row>
    <row r="318">
      <c r="A318">
        <f>BreastCancer_Data!A318</f>
        <v/>
      </c>
      <c r="B318">
        <f>BreastCancer_Data!B318</f>
        <v/>
      </c>
      <c r="C318">
        <f>BreastCancer_Data!D318</f>
        <v/>
      </c>
      <c r="D318">
        <f>BreastCancer_Data!E318</f>
        <v/>
      </c>
      <c r="E318">
        <f>BreastCancer_Data!F318</f>
        <v/>
      </c>
      <c r="F318">
        <f>BreastCancer_Data!G318</f>
        <v/>
      </c>
      <c r="G318">
        <f>BreastCancer_Data!H318</f>
        <v/>
      </c>
      <c r="H318">
        <f>BreastCancer_Data!I318</f>
        <v/>
      </c>
      <c r="I318">
        <f>BreastCancer_Data!J318</f>
        <v/>
      </c>
      <c r="J318">
        <f>BreastCancer_Data!K318</f>
        <v/>
      </c>
      <c r="K318">
        <f>BreastCancer_Data!L318</f>
        <v/>
      </c>
      <c r="L318">
        <f>BreastCancer_Data!M318</f>
        <v/>
      </c>
      <c r="M318">
        <f>BreastCancer_Data!N318</f>
        <v/>
      </c>
      <c r="N318">
        <f>BreastCancer_Data!O318</f>
        <v/>
      </c>
      <c r="O318">
        <f>0</f>
        <v/>
      </c>
      <c r="P318">
        <f>--(AND(D318&lt;=113.15,E318&lt;=0.15,F318&lt;=15.77,G318&lt;=0.18,H318&lt;=33.27))*0</f>
        <v/>
      </c>
      <c r="Q318">
        <f>--(AND(D318&lt;=113.15,E318&lt;=0.15,F318&lt;=15.77,G318&lt;=0.18,H318&gt;33.27))*0</f>
        <v/>
      </c>
      <c r="R318">
        <f>--(AND(D318&lt;=113.15,E318&lt;=0.15,F318&lt;=15.77,G318&gt;0.18))*0</f>
        <v/>
      </c>
      <c r="S318">
        <f>--(AND(D318&lt;=113.15,E318&lt;=0.15,F318&gt;15.77,H318&lt;=28.86,G318&lt;=0.14))*0</f>
        <v/>
      </c>
      <c r="T318">
        <f>--(AND(D318&lt;=113.15,E318&lt;=0.15,F318&gt;15.77,H318&lt;=28.86,G318&gt;0.14))*1</f>
        <v/>
      </c>
      <c r="U318">
        <f>--(AND(D318&lt;=113.15,E318&lt;=0.15,F318&gt;15.77,H318&gt;28.86,M318&lt;=14.54))*1</f>
        <v/>
      </c>
      <c r="V318">
        <f>--(AND(D318&lt;=113.15,E318&lt;=0.15,F318&gt;15.77,H318&gt;28.86,M318&gt;14.54))*1</f>
        <v/>
      </c>
      <c r="W318">
        <f>--(AND(D318&lt;=113.15,E318&gt;0.15,H318&lt;=23.74))*0</f>
        <v/>
      </c>
      <c r="X318">
        <f>--(AND(D318&lt;=113.15,E318&gt;0.15,H318&gt;23.74,J318&lt;=0.1))*1</f>
        <v/>
      </c>
      <c r="Y318">
        <f>--(AND(D318&lt;=113.15,E318&gt;0.15,H318&gt;23.74,J318&gt;0.1))*1</f>
        <v/>
      </c>
      <c r="Z318">
        <f>--(AND(D318&gt;113.15,K318&lt;=0.22,L318&lt;=0.02))*1</f>
        <v/>
      </c>
      <c r="AA318">
        <f>--(AND(D318&gt;113.15,K318&lt;=0.22,L318&gt;0.02))*0</f>
        <v/>
      </c>
      <c r="AB318">
        <f>--(AND(D318&gt;113.15,K318&gt;0.22,N318&lt;=810.1))*0</f>
        <v/>
      </c>
      <c r="AC318">
        <f>--(AND(D318&gt;113.15,K318&gt;0.22,N318&gt;810.1,I318&lt;=14.95))*1</f>
        <v/>
      </c>
      <c r="AD318">
        <f>--(AND(D318&gt;113.15,K318&gt;0.22,N318&gt;810.1,I318&gt;14.95))*1</f>
        <v/>
      </c>
      <c r="AE318">
        <f>SUM(P318:AD318)</f>
        <v/>
      </c>
      <c r="AF318">
        <f>IF(AE318=1,"Malignant","Benign")</f>
        <v/>
      </c>
      <c r="AG318">
        <f>--(AE318=C318)</f>
        <v/>
      </c>
    </row>
    <row r="319">
      <c r="A319">
        <f>BreastCancer_Data!A319</f>
        <v/>
      </c>
      <c r="B319">
        <f>BreastCancer_Data!B319</f>
        <v/>
      </c>
      <c r="C319">
        <f>BreastCancer_Data!D319</f>
        <v/>
      </c>
      <c r="D319">
        <f>BreastCancer_Data!E319</f>
        <v/>
      </c>
      <c r="E319">
        <f>BreastCancer_Data!F319</f>
        <v/>
      </c>
      <c r="F319">
        <f>BreastCancer_Data!G319</f>
        <v/>
      </c>
      <c r="G319">
        <f>BreastCancer_Data!H319</f>
        <v/>
      </c>
      <c r="H319">
        <f>BreastCancer_Data!I319</f>
        <v/>
      </c>
      <c r="I319">
        <f>BreastCancer_Data!J319</f>
        <v/>
      </c>
      <c r="J319">
        <f>BreastCancer_Data!K319</f>
        <v/>
      </c>
      <c r="K319">
        <f>BreastCancer_Data!L319</f>
        <v/>
      </c>
      <c r="L319">
        <f>BreastCancer_Data!M319</f>
        <v/>
      </c>
      <c r="M319">
        <f>BreastCancer_Data!N319</f>
        <v/>
      </c>
      <c r="N319">
        <f>BreastCancer_Data!O319</f>
        <v/>
      </c>
      <c r="O319">
        <f>0</f>
        <v/>
      </c>
      <c r="P319">
        <f>--(AND(D319&lt;=113.15,E319&lt;=0.15,F319&lt;=15.77,G319&lt;=0.18,H319&lt;=33.27))*0</f>
        <v/>
      </c>
      <c r="Q319">
        <f>--(AND(D319&lt;=113.15,E319&lt;=0.15,F319&lt;=15.77,G319&lt;=0.18,H319&gt;33.27))*0</f>
        <v/>
      </c>
      <c r="R319">
        <f>--(AND(D319&lt;=113.15,E319&lt;=0.15,F319&lt;=15.77,G319&gt;0.18))*0</f>
        <v/>
      </c>
      <c r="S319">
        <f>--(AND(D319&lt;=113.15,E319&lt;=0.15,F319&gt;15.77,H319&lt;=28.86,G319&lt;=0.14))*0</f>
        <v/>
      </c>
      <c r="T319">
        <f>--(AND(D319&lt;=113.15,E319&lt;=0.15,F319&gt;15.77,H319&lt;=28.86,G319&gt;0.14))*1</f>
        <v/>
      </c>
      <c r="U319">
        <f>--(AND(D319&lt;=113.15,E319&lt;=0.15,F319&gt;15.77,H319&gt;28.86,M319&lt;=14.54))*1</f>
        <v/>
      </c>
      <c r="V319">
        <f>--(AND(D319&lt;=113.15,E319&lt;=0.15,F319&gt;15.77,H319&gt;28.86,M319&gt;14.54))*1</f>
        <v/>
      </c>
      <c r="W319">
        <f>--(AND(D319&lt;=113.15,E319&gt;0.15,H319&lt;=23.74))*0</f>
        <v/>
      </c>
      <c r="X319">
        <f>--(AND(D319&lt;=113.15,E319&gt;0.15,H319&gt;23.74,J319&lt;=0.1))*1</f>
        <v/>
      </c>
      <c r="Y319">
        <f>--(AND(D319&lt;=113.15,E319&gt;0.15,H319&gt;23.74,J319&gt;0.1))*1</f>
        <v/>
      </c>
      <c r="Z319">
        <f>--(AND(D319&gt;113.15,K319&lt;=0.22,L319&lt;=0.02))*1</f>
        <v/>
      </c>
      <c r="AA319">
        <f>--(AND(D319&gt;113.15,K319&lt;=0.22,L319&gt;0.02))*0</f>
        <v/>
      </c>
      <c r="AB319">
        <f>--(AND(D319&gt;113.15,K319&gt;0.22,N319&lt;=810.1))*0</f>
        <v/>
      </c>
      <c r="AC319">
        <f>--(AND(D319&gt;113.15,K319&gt;0.22,N319&gt;810.1,I319&lt;=14.95))*1</f>
        <v/>
      </c>
      <c r="AD319">
        <f>--(AND(D319&gt;113.15,K319&gt;0.22,N319&gt;810.1,I319&gt;14.95))*1</f>
        <v/>
      </c>
      <c r="AE319">
        <f>SUM(P319:AD319)</f>
        <v/>
      </c>
      <c r="AF319">
        <f>IF(AE319=1,"Malignant","Benign")</f>
        <v/>
      </c>
      <c r="AG319">
        <f>--(AE319=C319)</f>
        <v/>
      </c>
    </row>
    <row r="320">
      <c r="A320">
        <f>BreastCancer_Data!A320</f>
        <v/>
      </c>
      <c r="B320">
        <f>BreastCancer_Data!B320</f>
        <v/>
      </c>
      <c r="C320">
        <f>BreastCancer_Data!D320</f>
        <v/>
      </c>
      <c r="D320">
        <f>BreastCancer_Data!E320</f>
        <v/>
      </c>
      <c r="E320">
        <f>BreastCancer_Data!F320</f>
        <v/>
      </c>
      <c r="F320">
        <f>BreastCancer_Data!G320</f>
        <v/>
      </c>
      <c r="G320">
        <f>BreastCancer_Data!H320</f>
        <v/>
      </c>
      <c r="H320">
        <f>BreastCancer_Data!I320</f>
        <v/>
      </c>
      <c r="I320">
        <f>BreastCancer_Data!J320</f>
        <v/>
      </c>
      <c r="J320">
        <f>BreastCancer_Data!K320</f>
        <v/>
      </c>
      <c r="K320">
        <f>BreastCancer_Data!L320</f>
        <v/>
      </c>
      <c r="L320">
        <f>BreastCancer_Data!M320</f>
        <v/>
      </c>
      <c r="M320">
        <f>BreastCancer_Data!N320</f>
        <v/>
      </c>
      <c r="N320">
        <f>BreastCancer_Data!O320</f>
        <v/>
      </c>
      <c r="O320">
        <f>0</f>
        <v/>
      </c>
      <c r="P320">
        <f>--(AND(D320&lt;=113.15,E320&lt;=0.15,F320&lt;=15.77,G320&lt;=0.18,H320&lt;=33.27))*0</f>
        <v/>
      </c>
      <c r="Q320">
        <f>--(AND(D320&lt;=113.15,E320&lt;=0.15,F320&lt;=15.77,G320&lt;=0.18,H320&gt;33.27))*0</f>
        <v/>
      </c>
      <c r="R320">
        <f>--(AND(D320&lt;=113.15,E320&lt;=0.15,F320&lt;=15.77,G320&gt;0.18))*0</f>
        <v/>
      </c>
      <c r="S320">
        <f>--(AND(D320&lt;=113.15,E320&lt;=0.15,F320&gt;15.77,H320&lt;=28.86,G320&lt;=0.14))*0</f>
        <v/>
      </c>
      <c r="T320">
        <f>--(AND(D320&lt;=113.15,E320&lt;=0.15,F320&gt;15.77,H320&lt;=28.86,G320&gt;0.14))*1</f>
        <v/>
      </c>
      <c r="U320">
        <f>--(AND(D320&lt;=113.15,E320&lt;=0.15,F320&gt;15.77,H320&gt;28.86,M320&lt;=14.54))*1</f>
        <v/>
      </c>
      <c r="V320">
        <f>--(AND(D320&lt;=113.15,E320&lt;=0.15,F320&gt;15.77,H320&gt;28.86,M320&gt;14.54))*1</f>
        <v/>
      </c>
      <c r="W320">
        <f>--(AND(D320&lt;=113.15,E320&gt;0.15,H320&lt;=23.74))*0</f>
        <v/>
      </c>
      <c r="X320">
        <f>--(AND(D320&lt;=113.15,E320&gt;0.15,H320&gt;23.74,J320&lt;=0.1))*1</f>
        <v/>
      </c>
      <c r="Y320">
        <f>--(AND(D320&lt;=113.15,E320&gt;0.15,H320&gt;23.74,J320&gt;0.1))*1</f>
        <v/>
      </c>
      <c r="Z320">
        <f>--(AND(D320&gt;113.15,K320&lt;=0.22,L320&lt;=0.02))*1</f>
        <v/>
      </c>
      <c r="AA320">
        <f>--(AND(D320&gt;113.15,K320&lt;=0.22,L320&gt;0.02))*0</f>
        <v/>
      </c>
      <c r="AB320">
        <f>--(AND(D320&gt;113.15,K320&gt;0.22,N320&lt;=810.1))*0</f>
        <v/>
      </c>
      <c r="AC320">
        <f>--(AND(D320&gt;113.15,K320&gt;0.22,N320&gt;810.1,I320&lt;=14.95))*1</f>
        <v/>
      </c>
      <c r="AD320">
        <f>--(AND(D320&gt;113.15,K320&gt;0.22,N320&gt;810.1,I320&gt;14.95))*1</f>
        <v/>
      </c>
      <c r="AE320">
        <f>SUM(P320:AD320)</f>
        <v/>
      </c>
      <c r="AF320">
        <f>IF(AE320=1,"Malignant","Benign")</f>
        <v/>
      </c>
      <c r="AG320">
        <f>--(AE320=C320)</f>
        <v/>
      </c>
    </row>
    <row r="321">
      <c r="A321">
        <f>BreastCancer_Data!A321</f>
        <v/>
      </c>
      <c r="B321">
        <f>BreastCancer_Data!B321</f>
        <v/>
      </c>
      <c r="C321">
        <f>BreastCancer_Data!D321</f>
        <v/>
      </c>
      <c r="D321">
        <f>BreastCancer_Data!E321</f>
        <v/>
      </c>
      <c r="E321">
        <f>BreastCancer_Data!F321</f>
        <v/>
      </c>
      <c r="F321">
        <f>BreastCancer_Data!G321</f>
        <v/>
      </c>
      <c r="G321">
        <f>BreastCancer_Data!H321</f>
        <v/>
      </c>
      <c r="H321">
        <f>BreastCancer_Data!I321</f>
        <v/>
      </c>
      <c r="I321">
        <f>BreastCancer_Data!J321</f>
        <v/>
      </c>
      <c r="J321">
        <f>BreastCancer_Data!K321</f>
        <v/>
      </c>
      <c r="K321">
        <f>BreastCancer_Data!L321</f>
        <v/>
      </c>
      <c r="L321">
        <f>BreastCancer_Data!M321</f>
        <v/>
      </c>
      <c r="M321">
        <f>BreastCancer_Data!N321</f>
        <v/>
      </c>
      <c r="N321">
        <f>BreastCancer_Data!O321</f>
        <v/>
      </c>
      <c r="O321">
        <f>0</f>
        <v/>
      </c>
      <c r="P321">
        <f>--(AND(D321&lt;=113.15,E321&lt;=0.15,F321&lt;=15.77,G321&lt;=0.18,H321&lt;=33.27))*0</f>
        <v/>
      </c>
      <c r="Q321">
        <f>--(AND(D321&lt;=113.15,E321&lt;=0.15,F321&lt;=15.77,G321&lt;=0.18,H321&gt;33.27))*0</f>
        <v/>
      </c>
      <c r="R321">
        <f>--(AND(D321&lt;=113.15,E321&lt;=0.15,F321&lt;=15.77,G321&gt;0.18))*0</f>
        <v/>
      </c>
      <c r="S321">
        <f>--(AND(D321&lt;=113.15,E321&lt;=0.15,F321&gt;15.77,H321&lt;=28.86,G321&lt;=0.14))*0</f>
        <v/>
      </c>
      <c r="T321">
        <f>--(AND(D321&lt;=113.15,E321&lt;=0.15,F321&gt;15.77,H321&lt;=28.86,G321&gt;0.14))*1</f>
        <v/>
      </c>
      <c r="U321">
        <f>--(AND(D321&lt;=113.15,E321&lt;=0.15,F321&gt;15.77,H321&gt;28.86,M321&lt;=14.54))*1</f>
        <v/>
      </c>
      <c r="V321">
        <f>--(AND(D321&lt;=113.15,E321&lt;=0.15,F321&gt;15.77,H321&gt;28.86,M321&gt;14.54))*1</f>
        <v/>
      </c>
      <c r="W321">
        <f>--(AND(D321&lt;=113.15,E321&gt;0.15,H321&lt;=23.74))*0</f>
        <v/>
      </c>
      <c r="X321">
        <f>--(AND(D321&lt;=113.15,E321&gt;0.15,H321&gt;23.74,J321&lt;=0.1))*1</f>
        <v/>
      </c>
      <c r="Y321">
        <f>--(AND(D321&lt;=113.15,E321&gt;0.15,H321&gt;23.74,J321&gt;0.1))*1</f>
        <v/>
      </c>
      <c r="Z321">
        <f>--(AND(D321&gt;113.15,K321&lt;=0.22,L321&lt;=0.02))*1</f>
        <v/>
      </c>
      <c r="AA321">
        <f>--(AND(D321&gt;113.15,K321&lt;=0.22,L321&gt;0.02))*0</f>
        <v/>
      </c>
      <c r="AB321">
        <f>--(AND(D321&gt;113.15,K321&gt;0.22,N321&lt;=810.1))*0</f>
        <v/>
      </c>
      <c r="AC321">
        <f>--(AND(D321&gt;113.15,K321&gt;0.22,N321&gt;810.1,I321&lt;=14.95))*1</f>
        <v/>
      </c>
      <c r="AD321">
        <f>--(AND(D321&gt;113.15,K321&gt;0.22,N321&gt;810.1,I321&gt;14.95))*1</f>
        <v/>
      </c>
      <c r="AE321">
        <f>SUM(P321:AD321)</f>
        <v/>
      </c>
      <c r="AF321">
        <f>IF(AE321=1,"Malignant","Benign")</f>
        <v/>
      </c>
      <c r="AG321">
        <f>--(AE321=C321)</f>
        <v/>
      </c>
    </row>
    <row r="322">
      <c r="A322">
        <f>BreastCancer_Data!A322</f>
        <v/>
      </c>
      <c r="B322">
        <f>BreastCancer_Data!B322</f>
        <v/>
      </c>
      <c r="C322">
        <f>BreastCancer_Data!D322</f>
        <v/>
      </c>
      <c r="D322">
        <f>BreastCancer_Data!E322</f>
        <v/>
      </c>
      <c r="E322">
        <f>BreastCancer_Data!F322</f>
        <v/>
      </c>
      <c r="F322">
        <f>BreastCancer_Data!G322</f>
        <v/>
      </c>
      <c r="G322">
        <f>BreastCancer_Data!H322</f>
        <v/>
      </c>
      <c r="H322">
        <f>BreastCancer_Data!I322</f>
        <v/>
      </c>
      <c r="I322">
        <f>BreastCancer_Data!J322</f>
        <v/>
      </c>
      <c r="J322">
        <f>BreastCancer_Data!K322</f>
        <v/>
      </c>
      <c r="K322">
        <f>BreastCancer_Data!L322</f>
        <v/>
      </c>
      <c r="L322">
        <f>BreastCancer_Data!M322</f>
        <v/>
      </c>
      <c r="M322">
        <f>BreastCancer_Data!N322</f>
        <v/>
      </c>
      <c r="N322">
        <f>BreastCancer_Data!O322</f>
        <v/>
      </c>
      <c r="O322">
        <f>0</f>
        <v/>
      </c>
      <c r="P322">
        <f>--(AND(D322&lt;=113.15,E322&lt;=0.15,F322&lt;=15.77,G322&lt;=0.18,H322&lt;=33.27))*0</f>
        <v/>
      </c>
      <c r="Q322">
        <f>--(AND(D322&lt;=113.15,E322&lt;=0.15,F322&lt;=15.77,G322&lt;=0.18,H322&gt;33.27))*0</f>
        <v/>
      </c>
      <c r="R322">
        <f>--(AND(D322&lt;=113.15,E322&lt;=0.15,F322&lt;=15.77,G322&gt;0.18))*0</f>
        <v/>
      </c>
      <c r="S322">
        <f>--(AND(D322&lt;=113.15,E322&lt;=0.15,F322&gt;15.77,H322&lt;=28.86,G322&lt;=0.14))*0</f>
        <v/>
      </c>
      <c r="T322">
        <f>--(AND(D322&lt;=113.15,E322&lt;=0.15,F322&gt;15.77,H322&lt;=28.86,G322&gt;0.14))*1</f>
        <v/>
      </c>
      <c r="U322">
        <f>--(AND(D322&lt;=113.15,E322&lt;=0.15,F322&gt;15.77,H322&gt;28.86,M322&lt;=14.54))*1</f>
        <v/>
      </c>
      <c r="V322">
        <f>--(AND(D322&lt;=113.15,E322&lt;=0.15,F322&gt;15.77,H322&gt;28.86,M322&gt;14.54))*1</f>
        <v/>
      </c>
      <c r="W322">
        <f>--(AND(D322&lt;=113.15,E322&gt;0.15,H322&lt;=23.74))*0</f>
        <v/>
      </c>
      <c r="X322">
        <f>--(AND(D322&lt;=113.15,E322&gt;0.15,H322&gt;23.74,J322&lt;=0.1))*1</f>
        <v/>
      </c>
      <c r="Y322">
        <f>--(AND(D322&lt;=113.15,E322&gt;0.15,H322&gt;23.74,J322&gt;0.1))*1</f>
        <v/>
      </c>
      <c r="Z322">
        <f>--(AND(D322&gt;113.15,K322&lt;=0.22,L322&lt;=0.02))*1</f>
        <v/>
      </c>
      <c r="AA322">
        <f>--(AND(D322&gt;113.15,K322&lt;=0.22,L322&gt;0.02))*0</f>
        <v/>
      </c>
      <c r="AB322">
        <f>--(AND(D322&gt;113.15,K322&gt;0.22,N322&lt;=810.1))*0</f>
        <v/>
      </c>
      <c r="AC322">
        <f>--(AND(D322&gt;113.15,K322&gt;0.22,N322&gt;810.1,I322&lt;=14.95))*1</f>
        <v/>
      </c>
      <c r="AD322">
        <f>--(AND(D322&gt;113.15,K322&gt;0.22,N322&gt;810.1,I322&gt;14.95))*1</f>
        <v/>
      </c>
      <c r="AE322">
        <f>SUM(P322:AD322)</f>
        <v/>
      </c>
      <c r="AF322">
        <f>IF(AE322=1,"Malignant","Benign")</f>
        <v/>
      </c>
      <c r="AG322">
        <f>--(AE322=C322)</f>
        <v/>
      </c>
    </row>
    <row r="323">
      <c r="A323">
        <f>BreastCancer_Data!A323</f>
        <v/>
      </c>
      <c r="B323">
        <f>BreastCancer_Data!B323</f>
        <v/>
      </c>
      <c r="C323">
        <f>BreastCancer_Data!D323</f>
        <v/>
      </c>
      <c r="D323">
        <f>BreastCancer_Data!E323</f>
        <v/>
      </c>
      <c r="E323">
        <f>BreastCancer_Data!F323</f>
        <v/>
      </c>
      <c r="F323">
        <f>BreastCancer_Data!G323</f>
        <v/>
      </c>
      <c r="G323">
        <f>BreastCancer_Data!H323</f>
        <v/>
      </c>
      <c r="H323">
        <f>BreastCancer_Data!I323</f>
        <v/>
      </c>
      <c r="I323">
        <f>BreastCancer_Data!J323</f>
        <v/>
      </c>
      <c r="J323">
        <f>BreastCancer_Data!K323</f>
        <v/>
      </c>
      <c r="K323">
        <f>BreastCancer_Data!L323</f>
        <v/>
      </c>
      <c r="L323">
        <f>BreastCancer_Data!M323</f>
        <v/>
      </c>
      <c r="M323">
        <f>BreastCancer_Data!N323</f>
        <v/>
      </c>
      <c r="N323">
        <f>BreastCancer_Data!O323</f>
        <v/>
      </c>
      <c r="O323">
        <f>0</f>
        <v/>
      </c>
      <c r="P323">
        <f>--(AND(D323&lt;=113.15,E323&lt;=0.15,F323&lt;=15.77,G323&lt;=0.18,H323&lt;=33.27))*0</f>
        <v/>
      </c>
      <c r="Q323">
        <f>--(AND(D323&lt;=113.15,E323&lt;=0.15,F323&lt;=15.77,G323&lt;=0.18,H323&gt;33.27))*0</f>
        <v/>
      </c>
      <c r="R323">
        <f>--(AND(D323&lt;=113.15,E323&lt;=0.15,F323&lt;=15.77,G323&gt;0.18))*0</f>
        <v/>
      </c>
      <c r="S323">
        <f>--(AND(D323&lt;=113.15,E323&lt;=0.15,F323&gt;15.77,H323&lt;=28.86,G323&lt;=0.14))*0</f>
        <v/>
      </c>
      <c r="T323">
        <f>--(AND(D323&lt;=113.15,E323&lt;=0.15,F323&gt;15.77,H323&lt;=28.86,G323&gt;0.14))*1</f>
        <v/>
      </c>
      <c r="U323">
        <f>--(AND(D323&lt;=113.15,E323&lt;=0.15,F323&gt;15.77,H323&gt;28.86,M323&lt;=14.54))*1</f>
        <v/>
      </c>
      <c r="V323">
        <f>--(AND(D323&lt;=113.15,E323&lt;=0.15,F323&gt;15.77,H323&gt;28.86,M323&gt;14.54))*1</f>
        <v/>
      </c>
      <c r="W323">
        <f>--(AND(D323&lt;=113.15,E323&gt;0.15,H323&lt;=23.74))*0</f>
        <v/>
      </c>
      <c r="X323">
        <f>--(AND(D323&lt;=113.15,E323&gt;0.15,H323&gt;23.74,J323&lt;=0.1))*1</f>
        <v/>
      </c>
      <c r="Y323">
        <f>--(AND(D323&lt;=113.15,E323&gt;0.15,H323&gt;23.74,J323&gt;0.1))*1</f>
        <v/>
      </c>
      <c r="Z323">
        <f>--(AND(D323&gt;113.15,K323&lt;=0.22,L323&lt;=0.02))*1</f>
        <v/>
      </c>
      <c r="AA323">
        <f>--(AND(D323&gt;113.15,K323&lt;=0.22,L323&gt;0.02))*0</f>
        <v/>
      </c>
      <c r="AB323">
        <f>--(AND(D323&gt;113.15,K323&gt;0.22,N323&lt;=810.1))*0</f>
        <v/>
      </c>
      <c r="AC323">
        <f>--(AND(D323&gt;113.15,K323&gt;0.22,N323&gt;810.1,I323&lt;=14.95))*1</f>
        <v/>
      </c>
      <c r="AD323">
        <f>--(AND(D323&gt;113.15,K323&gt;0.22,N323&gt;810.1,I323&gt;14.95))*1</f>
        <v/>
      </c>
      <c r="AE323">
        <f>SUM(P323:AD323)</f>
        <v/>
      </c>
      <c r="AF323">
        <f>IF(AE323=1,"Malignant","Benign")</f>
        <v/>
      </c>
      <c r="AG323">
        <f>--(AE323=C323)</f>
        <v/>
      </c>
    </row>
    <row r="324">
      <c r="A324">
        <f>BreastCancer_Data!A324</f>
        <v/>
      </c>
      <c r="B324">
        <f>BreastCancer_Data!B324</f>
        <v/>
      </c>
      <c r="C324">
        <f>BreastCancer_Data!D324</f>
        <v/>
      </c>
      <c r="D324">
        <f>BreastCancer_Data!E324</f>
        <v/>
      </c>
      <c r="E324">
        <f>BreastCancer_Data!F324</f>
        <v/>
      </c>
      <c r="F324">
        <f>BreastCancer_Data!G324</f>
        <v/>
      </c>
      <c r="G324">
        <f>BreastCancer_Data!H324</f>
        <v/>
      </c>
      <c r="H324">
        <f>BreastCancer_Data!I324</f>
        <v/>
      </c>
      <c r="I324">
        <f>BreastCancer_Data!J324</f>
        <v/>
      </c>
      <c r="J324">
        <f>BreastCancer_Data!K324</f>
        <v/>
      </c>
      <c r="K324">
        <f>BreastCancer_Data!L324</f>
        <v/>
      </c>
      <c r="L324">
        <f>BreastCancer_Data!M324</f>
        <v/>
      </c>
      <c r="M324">
        <f>BreastCancer_Data!N324</f>
        <v/>
      </c>
      <c r="N324">
        <f>BreastCancer_Data!O324</f>
        <v/>
      </c>
      <c r="O324">
        <f>0</f>
        <v/>
      </c>
      <c r="P324">
        <f>--(AND(D324&lt;=113.15,E324&lt;=0.15,F324&lt;=15.77,G324&lt;=0.18,H324&lt;=33.27))*0</f>
        <v/>
      </c>
      <c r="Q324">
        <f>--(AND(D324&lt;=113.15,E324&lt;=0.15,F324&lt;=15.77,G324&lt;=0.18,H324&gt;33.27))*0</f>
        <v/>
      </c>
      <c r="R324">
        <f>--(AND(D324&lt;=113.15,E324&lt;=0.15,F324&lt;=15.77,G324&gt;0.18))*0</f>
        <v/>
      </c>
      <c r="S324">
        <f>--(AND(D324&lt;=113.15,E324&lt;=0.15,F324&gt;15.77,H324&lt;=28.86,G324&lt;=0.14))*0</f>
        <v/>
      </c>
      <c r="T324">
        <f>--(AND(D324&lt;=113.15,E324&lt;=0.15,F324&gt;15.77,H324&lt;=28.86,G324&gt;0.14))*1</f>
        <v/>
      </c>
      <c r="U324">
        <f>--(AND(D324&lt;=113.15,E324&lt;=0.15,F324&gt;15.77,H324&gt;28.86,M324&lt;=14.54))*1</f>
        <v/>
      </c>
      <c r="V324">
        <f>--(AND(D324&lt;=113.15,E324&lt;=0.15,F324&gt;15.77,H324&gt;28.86,M324&gt;14.54))*1</f>
        <v/>
      </c>
      <c r="W324">
        <f>--(AND(D324&lt;=113.15,E324&gt;0.15,H324&lt;=23.74))*0</f>
        <v/>
      </c>
      <c r="X324">
        <f>--(AND(D324&lt;=113.15,E324&gt;0.15,H324&gt;23.74,J324&lt;=0.1))*1</f>
        <v/>
      </c>
      <c r="Y324">
        <f>--(AND(D324&lt;=113.15,E324&gt;0.15,H324&gt;23.74,J324&gt;0.1))*1</f>
        <v/>
      </c>
      <c r="Z324">
        <f>--(AND(D324&gt;113.15,K324&lt;=0.22,L324&lt;=0.02))*1</f>
        <v/>
      </c>
      <c r="AA324">
        <f>--(AND(D324&gt;113.15,K324&lt;=0.22,L324&gt;0.02))*0</f>
        <v/>
      </c>
      <c r="AB324">
        <f>--(AND(D324&gt;113.15,K324&gt;0.22,N324&lt;=810.1))*0</f>
        <v/>
      </c>
      <c r="AC324">
        <f>--(AND(D324&gt;113.15,K324&gt;0.22,N324&gt;810.1,I324&lt;=14.95))*1</f>
        <v/>
      </c>
      <c r="AD324">
        <f>--(AND(D324&gt;113.15,K324&gt;0.22,N324&gt;810.1,I324&gt;14.95))*1</f>
        <v/>
      </c>
      <c r="AE324">
        <f>SUM(P324:AD324)</f>
        <v/>
      </c>
      <c r="AF324">
        <f>IF(AE324=1,"Malignant","Benign")</f>
        <v/>
      </c>
      <c r="AG324">
        <f>--(AE324=C324)</f>
        <v/>
      </c>
    </row>
    <row r="325">
      <c r="A325">
        <f>BreastCancer_Data!A325</f>
        <v/>
      </c>
      <c r="B325">
        <f>BreastCancer_Data!B325</f>
        <v/>
      </c>
      <c r="C325">
        <f>BreastCancer_Data!D325</f>
        <v/>
      </c>
      <c r="D325">
        <f>BreastCancer_Data!E325</f>
        <v/>
      </c>
      <c r="E325">
        <f>BreastCancer_Data!F325</f>
        <v/>
      </c>
      <c r="F325">
        <f>BreastCancer_Data!G325</f>
        <v/>
      </c>
      <c r="G325">
        <f>BreastCancer_Data!H325</f>
        <v/>
      </c>
      <c r="H325">
        <f>BreastCancer_Data!I325</f>
        <v/>
      </c>
      <c r="I325">
        <f>BreastCancer_Data!J325</f>
        <v/>
      </c>
      <c r="J325">
        <f>BreastCancer_Data!K325</f>
        <v/>
      </c>
      <c r="K325">
        <f>BreastCancer_Data!L325</f>
        <v/>
      </c>
      <c r="L325">
        <f>BreastCancer_Data!M325</f>
        <v/>
      </c>
      <c r="M325">
        <f>BreastCancer_Data!N325</f>
        <v/>
      </c>
      <c r="N325">
        <f>BreastCancer_Data!O325</f>
        <v/>
      </c>
      <c r="O325">
        <f>0</f>
        <v/>
      </c>
      <c r="P325">
        <f>--(AND(D325&lt;=113.15,E325&lt;=0.15,F325&lt;=15.77,G325&lt;=0.18,H325&lt;=33.27))*0</f>
        <v/>
      </c>
      <c r="Q325">
        <f>--(AND(D325&lt;=113.15,E325&lt;=0.15,F325&lt;=15.77,G325&lt;=0.18,H325&gt;33.27))*0</f>
        <v/>
      </c>
      <c r="R325">
        <f>--(AND(D325&lt;=113.15,E325&lt;=0.15,F325&lt;=15.77,G325&gt;0.18))*0</f>
        <v/>
      </c>
      <c r="S325">
        <f>--(AND(D325&lt;=113.15,E325&lt;=0.15,F325&gt;15.77,H325&lt;=28.86,G325&lt;=0.14))*0</f>
        <v/>
      </c>
      <c r="T325">
        <f>--(AND(D325&lt;=113.15,E325&lt;=0.15,F325&gt;15.77,H325&lt;=28.86,G325&gt;0.14))*1</f>
        <v/>
      </c>
      <c r="U325">
        <f>--(AND(D325&lt;=113.15,E325&lt;=0.15,F325&gt;15.77,H325&gt;28.86,M325&lt;=14.54))*1</f>
        <v/>
      </c>
      <c r="V325">
        <f>--(AND(D325&lt;=113.15,E325&lt;=0.15,F325&gt;15.77,H325&gt;28.86,M325&gt;14.54))*1</f>
        <v/>
      </c>
      <c r="W325">
        <f>--(AND(D325&lt;=113.15,E325&gt;0.15,H325&lt;=23.74))*0</f>
        <v/>
      </c>
      <c r="X325">
        <f>--(AND(D325&lt;=113.15,E325&gt;0.15,H325&gt;23.74,J325&lt;=0.1))*1</f>
        <v/>
      </c>
      <c r="Y325">
        <f>--(AND(D325&lt;=113.15,E325&gt;0.15,H325&gt;23.74,J325&gt;0.1))*1</f>
        <v/>
      </c>
      <c r="Z325">
        <f>--(AND(D325&gt;113.15,K325&lt;=0.22,L325&lt;=0.02))*1</f>
        <v/>
      </c>
      <c r="AA325">
        <f>--(AND(D325&gt;113.15,K325&lt;=0.22,L325&gt;0.02))*0</f>
        <v/>
      </c>
      <c r="AB325">
        <f>--(AND(D325&gt;113.15,K325&gt;0.22,N325&lt;=810.1))*0</f>
        <v/>
      </c>
      <c r="AC325">
        <f>--(AND(D325&gt;113.15,K325&gt;0.22,N325&gt;810.1,I325&lt;=14.95))*1</f>
        <v/>
      </c>
      <c r="AD325">
        <f>--(AND(D325&gt;113.15,K325&gt;0.22,N325&gt;810.1,I325&gt;14.95))*1</f>
        <v/>
      </c>
      <c r="AE325">
        <f>SUM(P325:AD325)</f>
        <v/>
      </c>
      <c r="AF325">
        <f>IF(AE325=1,"Malignant","Benign")</f>
        <v/>
      </c>
      <c r="AG325">
        <f>--(AE325=C325)</f>
        <v/>
      </c>
    </row>
    <row r="326">
      <c r="A326">
        <f>BreastCancer_Data!A326</f>
        <v/>
      </c>
      <c r="B326">
        <f>BreastCancer_Data!B326</f>
        <v/>
      </c>
      <c r="C326">
        <f>BreastCancer_Data!D326</f>
        <v/>
      </c>
      <c r="D326">
        <f>BreastCancer_Data!E326</f>
        <v/>
      </c>
      <c r="E326">
        <f>BreastCancer_Data!F326</f>
        <v/>
      </c>
      <c r="F326">
        <f>BreastCancer_Data!G326</f>
        <v/>
      </c>
      <c r="G326">
        <f>BreastCancer_Data!H326</f>
        <v/>
      </c>
      <c r="H326">
        <f>BreastCancer_Data!I326</f>
        <v/>
      </c>
      <c r="I326">
        <f>BreastCancer_Data!J326</f>
        <v/>
      </c>
      <c r="J326">
        <f>BreastCancer_Data!K326</f>
        <v/>
      </c>
      <c r="K326">
        <f>BreastCancer_Data!L326</f>
        <v/>
      </c>
      <c r="L326">
        <f>BreastCancer_Data!M326</f>
        <v/>
      </c>
      <c r="M326">
        <f>BreastCancer_Data!N326</f>
        <v/>
      </c>
      <c r="N326">
        <f>BreastCancer_Data!O326</f>
        <v/>
      </c>
      <c r="O326">
        <f>0</f>
        <v/>
      </c>
      <c r="P326">
        <f>--(AND(D326&lt;=113.15,E326&lt;=0.15,F326&lt;=15.77,G326&lt;=0.18,H326&lt;=33.27))*0</f>
        <v/>
      </c>
      <c r="Q326">
        <f>--(AND(D326&lt;=113.15,E326&lt;=0.15,F326&lt;=15.77,G326&lt;=0.18,H326&gt;33.27))*0</f>
        <v/>
      </c>
      <c r="R326">
        <f>--(AND(D326&lt;=113.15,E326&lt;=0.15,F326&lt;=15.77,G326&gt;0.18))*0</f>
        <v/>
      </c>
      <c r="S326">
        <f>--(AND(D326&lt;=113.15,E326&lt;=0.15,F326&gt;15.77,H326&lt;=28.86,G326&lt;=0.14))*0</f>
        <v/>
      </c>
      <c r="T326">
        <f>--(AND(D326&lt;=113.15,E326&lt;=0.15,F326&gt;15.77,H326&lt;=28.86,G326&gt;0.14))*1</f>
        <v/>
      </c>
      <c r="U326">
        <f>--(AND(D326&lt;=113.15,E326&lt;=0.15,F326&gt;15.77,H326&gt;28.86,M326&lt;=14.54))*1</f>
        <v/>
      </c>
      <c r="V326">
        <f>--(AND(D326&lt;=113.15,E326&lt;=0.15,F326&gt;15.77,H326&gt;28.86,M326&gt;14.54))*1</f>
        <v/>
      </c>
      <c r="W326">
        <f>--(AND(D326&lt;=113.15,E326&gt;0.15,H326&lt;=23.74))*0</f>
        <v/>
      </c>
      <c r="X326">
        <f>--(AND(D326&lt;=113.15,E326&gt;0.15,H326&gt;23.74,J326&lt;=0.1))*1</f>
        <v/>
      </c>
      <c r="Y326">
        <f>--(AND(D326&lt;=113.15,E326&gt;0.15,H326&gt;23.74,J326&gt;0.1))*1</f>
        <v/>
      </c>
      <c r="Z326">
        <f>--(AND(D326&gt;113.15,K326&lt;=0.22,L326&lt;=0.02))*1</f>
        <v/>
      </c>
      <c r="AA326">
        <f>--(AND(D326&gt;113.15,K326&lt;=0.22,L326&gt;0.02))*0</f>
        <v/>
      </c>
      <c r="AB326">
        <f>--(AND(D326&gt;113.15,K326&gt;0.22,N326&lt;=810.1))*0</f>
        <v/>
      </c>
      <c r="AC326">
        <f>--(AND(D326&gt;113.15,K326&gt;0.22,N326&gt;810.1,I326&lt;=14.95))*1</f>
        <v/>
      </c>
      <c r="AD326">
        <f>--(AND(D326&gt;113.15,K326&gt;0.22,N326&gt;810.1,I326&gt;14.95))*1</f>
        <v/>
      </c>
      <c r="AE326">
        <f>SUM(P326:AD326)</f>
        <v/>
      </c>
      <c r="AF326">
        <f>IF(AE326=1,"Malignant","Benign")</f>
        <v/>
      </c>
      <c r="AG326">
        <f>--(AE326=C326)</f>
        <v/>
      </c>
    </row>
    <row r="327">
      <c r="A327">
        <f>BreastCancer_Data!A327</f>
        <v/>
      </c>
      <c r="B327">
        <f>BreastCancer_Data!B327</f>
        <v/>
      </c>
      <c r="C327">
        <f>BreastCancer_Data!D327</f>
        <v/>
      </c>
      <c r="D327">
        <f>BreastCancer_Data!E327</f>
        <v/>
      </c>
      <c r="E327">
        <f>BreastCancer_Data!F327</f>
        <v/>
      </c>
      <c r="F327">
        <f>BreastCancer_Data!G327</f>
        <v/>
      </c>
      <c r="G327">
        <f>BreastCancer_Data!H327</f>
        <v/>
      </c>
      <c r="H327">
        <f>BreastCancer_Data!I327</f>
        <v/>
      </c>
      <c r="I327">
        <f>BreastCancer_Data!J327</f>
        <v/>
      </c>
      <c r="J327">
        <f>BreastCancer_Data!K327</f>
        <v/>
      </c>
      <c r="K327">
        <f>BreastCancer_Data!L327</f>
        <v/>
      </c>
      <c r="L327">
        <f>BreastCancer_Data!M327</f>
        <v/>
      </c>
      <c r="M327">
        <f>BreastCancer_Data!N327</f>
        <v/>
      </c>
      <c r="N327">
        <f>BreastCancer_Data!O327</f>
        <v/>
      </c>
      <c r="O327">
        <f>0</f>
        <v/>
      </c>
      <c r="P327">
        <f>--(AND(D327&lt;=113.15,E327&lt;=0.15,F327&lt;=15.77,G327&lt;=0.18,H327&lt;=33.27))*0</f>
        <v/>
      </c>
      <c r="Q327">
        <f>--(AND(D327&lt;=113.15,E327&lt;=0.15,F327&lt;=15.77,G327&lt;=0.18,H327&gt;33.27))*0</f>
        <v/>
      </c>
      <c r="R327">
        <f>--(AND(D327&lt;=113.15,E327&lt;=0.15,F327&lt;=15.77,G327&gt;0.18))*0</f>
        <v/>
      </c>
      <c r="S327">
        <f>--(AND(D327&lt;=113.15,E327&lt;=0.15,F327&gt;15.77,H327&lt;=28.86,G327&lt;=0.14))*0</f>
        <v/>
      </c>
      <c r="T327">
        <f>--(AND(D327&lt;=113.15,E327&lt;=0.15,F327&gt;15.77,H327&lt;=28.86,G327&gt;0.14))*1</f>
        <v/>
      </c>
      <c r="U327">
        <f>--(AND(D327&lt;=113.15,E327&lt;=0.15,F327&gt;15.77,H327&gt;28.86,M327&lt;=14.54))*1</f>
        <v/>
      </c>
      <c r="V327">
        <f>--(AND(D327&lt;=113.15,E327&lt;=0.15,F327&gt;15.77,H327&gt;28.86,M327&gt;14.54))*1</f>
        <v/>
      </c>
      <c r="W327">
        <f>--(AND(D327&lt;=113.15,E327&gt;0.15,H327&lt;=23.74))*0</f>
        <v/>
      </c>
      <c r="X327">
        <f>--(AND(D327&lt;=113.15,E327&gt;0.15,H327&gt;23.74,J327&lt;=0.1))*1</f>
        <v/>
      </c>
      <c r="Y327">
        <f>--(AND(D327&lt;=113.15,E327&gt;0.15,H327&gt;23.74,J327&gt;0.1))*1</f>
        <v/>
      </c>
      <c r="Z327">
        <f>--(AND(D327&gt;113.15,K327&lt;=0.22,L327&lt;=0.02))*1</f>
        <v/>
      </c>
      <c r="AA327">
        <f>--(AND(D327&gt;113.15,K327&lt;=0.22,L327&gt;0.02))*0</f>
        <v/>
      </c>
      <c r="AB327">
        <f>--(AND(D327&gt;113.15,K327&gt;0.22,N327&lt;=810.1))*0</f>
        <v/>
      </c>
      <c r="AC327">
        <f>--(AND(D327&gt;113.15,K327&gt;0.22,N327&gt;810.1,I327&lt;=14.95))*1</f>
        <v/>
      </c>
      <c r="AD327">
        <f>--(AND(D327&gt;113.15,K327&gt;0.22,N327&gt;810.1,I327&gt;14.95))*1</f>
        <v/>
      </c>
      <c r="AE327">
        <f>SUM(P327:AD327)</f>
        <v/>
      </c>
      <c r="AF327">
        <f>IF(AE327=1,"Malignant","Benign")</f>
        <v/>
      </c>
      <c r="AG327">
        <f>--(AE327=C327)</f>
        <v/>
      </c>
    </row>
    <row r="328">
      <c r="A328">
        <f>BreastCancer_Data!A328</f>
        <v/>
      </c>
      <c r="B328">
        <f>BreastCancer_Data!B328</f>
        <v/>
      </c>
      <c r="C328">
        <f>BreastCancer_Data!D328</f>
        <v/>
      </c>
      <c r="D328">
        <f>BreastCancer_Data!E328</f>
        <v/>
      </c>
      <c r="E328">
        <f>BreastCancer_Data!F328</f>
        <v/>
      </c>
      <c r="F328">
        <f>BreastCancer_Data!G328</f>
        <v/>
      </c>
      <c r="G328">
        <f>BreastCancer_Data!H328</f>
        <v/>
      </c>
      <c r="H328">
        <f>BreastCancer_Data!I328</f>
        <v/>
      </c>
      <c r="I328">
        <f>BreastCancer_Data!J328</f>
        <v/>
      </c>
      <c r="J328">
        <f>BreastCancer_Data!K328</f>
        <v/>
      </c>
      <c r="K328">
        <f>BreastCancer_Data!L328</f>
        <v/>
      </c>
      <c r="L328">
        <f>BreastCancer_Data!M328</f>
        <v/>
      </c>
      <c r="M328">
        <f>BreastCancer_Data!N328</f>
        <v/>
      </c>
      <c r="N328">
        <f>BreastCancer_Data!O328</f>
        <v/>
      </c>
      <c r="O328">
        <f>0</f>
        <v/>
      </c>
      <c r="P328">
        <f>--(AND(D328&lt;=113.15,E328&lt;=0.15,F328&lt;=15.77,G328&lt;=0.18,H328&lt;=33.27))*0</f>
        <v/>
      </c>
      <c r="Q328">
        <f>--(AND(D328&lt;=113.15,E328&lt;=0.15,F328&lt;=15.77,G328&lt;=0.18,H328&gt;33.27))*0</f>
        <v/>
      </c>
      <c r="R328">
        <f>--(AND(D328&lt;=113.15,E328&lt;=0.15,F328&lt;=15.77,G328&gt;0.18))*0</f>
        <v/>
      </c>
      <c r="S328">
        <f>--(AND(D328&lt;=113.15,E328&lt;=0.15,F328&gt;15.77,H328&lt;=28.86,G328&lt;=0.14))*0</f>
        <v/>
      </c>
      <c r="T328">
        <f>--(AND(D328&lt;=113.15,E328&lt;=0.15,F328&gt;15.77,H328&lt;=28.86,G328&gt;0.14))*1</f>
        <v/>
      </c>
      <c r="U328">
        <f>--(AND(D328&lt;=113.15,E328&lt;=0.15,F328&gt;15.77,H328&gt;28.86,M328&lt;=14.54))*1</f>
        <v/>
      </c>
      <c r="V328">
        <f>--(AND(D328&lt;=113.15,E328&lt;=0.15,F328&gt;15.77,H328&gt;28.86,M328&gt;14.54))*1</f>
        <v/>
      </c>
      <c r="W328">
        <f>--(AND(D328&lt;=113.15,E328&gt;0.15,H328&lt;=23.74))*0</f>
        <v/>
      </c>
      <c r="X328">
        <f>--(AND(D328&lt;=113.15,E328&gt;0.15,H328&gt;23.74,J328&lt;=0.1))*1</f>
        <v/>
      </c>
      <c r="Y328">
        <f>--(AND(D328&lt;=113.15,E328&gt;0.15,H328&gt;23.74,J328&gt;0.1))*1</f>
        <v/>
      </c>
      <c r="Z328">
        <f>--(AND(D328&gt;113.15,K328&lt;=0.22,L328&lt;=0.02))*1</f>
        <v/>
      </c>
      <c r="AA328">
        <f>--(AND(D328&gt;113.15,K328&lt;=0.22,L328&gt;0.02))*0</f>
        <v/>
      </c>
      <c r="AB328">
        <f>--(AND(D328&gt;113.15,K328&gt;0.22,N328&lt;=810.1))*0</f>
        <v/>
      </c>
      <c r="AC328">
        <f>--(AND(D328&gt;113.15,K328&gt;0.22,N328&gt;810.1,I328&lt;=14.95))*1</f>
        <v/>
      </c>
      <c r="AD328">
        <f>--(AND(D328&gt;113.15,K328&gt;0.22,N328&gt;810.1,I328&gt;14.95))*1</f>
        <v/>
      </c>
      <c r="AE328">
        <f>SUM(P328:AD328)</f>
        <v/>
      </c>
      <c r="AF328">
        <f>IF(AE328=1,"Malignant","Benign")</f>
        <v/>
      </c>
      <c r="AG328">
        <f>--(AE328=C328)</f>
        <v/>
      </c>
    </row>
    <row r="329">
      <c r="A329">
        <f>BreastCancer_Data!A329</f>
        <v/>
      </c>
      <c r="B329">
        <f>BreastCancer_Data!B329</f>
        <v/>
      </c>
      <c r="C329">
        <f>BreastCancer_Data!D329</f>
        <v/>
      </c>
      <c r="D329">
        <f>BreastCancer_Data!E329</f>
        <v/>
      </c>
      <c r="E329">
        <f>BreastCancer_Data!F329</f>
        <v/>
      </c>
      <c r="F329">
        <f>BreastCancer_Data!G329</f>
        <v/>
      </c>
      <c r="G329">
        <f>BreastCancer_Data!H329</f>
        <v/>
      </c>
      <c r="H329">
        <f>BreastCancer_Data!I329</f>
        <v/>
      </c>
      <c r="I329">
        <f>BreastCancer_Data!J329</f>
        <v/>
      </c>
      <c r="J329">
        <f>BreastCancer_Data!K329</f>
        <v/>
      </c>
      <c r="K329">
        <f>BreastCancer_Data!L329</f>
        <v/>
      </c>
      <c r="L329">
        <f>BreastCancer_Data!M329</f>
        <v/>
      </c>
      <c r="M329">
        <f>BreastCancer_Data!N329</f>
        <v/>
      </c>
      <c r="N329">
        <f>BreastCancer_Data!O329</f>
        <v/>
      </c>
      <c r="O329">
        <f>0</f>
        <v/>
      </c>
      <c r="P329">
        <f>--(AND(D329&lt;=113.15,E329&lt;=0.15,F329&lt;=15.77,G329&lt;=0.18,H329&lt;=33.27))*0</f>
        <v/>
      </c>
      <c r="Q329">
        <f>--(AND(D329&lt;=113.15,E329&lt;=0.15,F329&lt;=15.77,G329&lt;=0.18,H329&gt;33.27))*0</f>
        <v/>
      </c>
      <c r="R329">
        <f>--(AND(D329&lt;=113.15,E329&lt;=0.15,F329&lt;=15.77,G329&gt;0.18))*0</f>
        <v/>
      </c>
      <c r="S329">
        <f>--(AND(D329&lt;=113.15,E329&lt;=0.15,F329&gt;15.77,H329&lt;=28.86,G329&lt;=0.14))*0</f>
        <v/>
      </c>
      <c r="T329">
        <f>--(AND(D329&lt;=113.15,E329&lt;=0.15,F329&gt;15.77,H329&lt;=28.86,G329&gt;0.14))*1</f>
        <v/>
      </c>
      <c r="U329">
        <f>--(AND(D329&lt;=113.15,E329&lt;=0.15,F329&gt;15.77,H329&gt;28.86,M329&lt;=14.54))*1</f>
        <v/>
      </c>
      <c r="V329">
        <f>--(AND(D329&lt;=113.15,E329&lt;=0.15,F329&gt;15.77,H329&gt;28.86,M329&gt;14.54))*1</f>
        <v/>
      </c>
      <c r="W329">
        <f>--(AND(D329&lt;=113.15,E329&gt;0.15,H329&lt;=23.74))*0</f>
        <v/>
      </c>
      <c r="X329">
        <f>--(AND(D329&lt;=113.15,E329&gt;0.15,H329&gt;23.74,J329&lt;=0.1))*1</f>
        <v/>
      </c>
      <c r="Y329">
        <f>--(AND(D329&lt;=113.15,E329&gt;0.15,H329&gt;23.74,J329&gt;0.1))*1</f>
        <v/>
      </c>
      <c r="Z329">
        <f>--(AND(D329&gt;113.15,K329&lt;=0.22,L329&lt;=0.02))*1</f>
        <v/>
      </c>
      <c r="AA329">
        <f>--(AND(D329&gt;113.15,K329&lt;=0.22,L329&gt;0.02))*0</f>
        <v/>
      </c>
      <c r="AB329">
        <f>--(AND(D329&gt;113.15,K329&gt;0.22,N329&lt;=810.1))*0</f>
        <v/>
      </c>
      <c r="AC329">
        <f>--(AND(D329&gt;113.15,K329&gt;0.22,N329&gt;810.1,I329&lt;=14.95))*1</f>
        <v/>
      </c>
      <c r="AD329">
        <f>--(AND(D329&gt;113.15,K329&gt;0.22,N329&gt;810.1,I329&gt;14.95))*1</f>
        <v/>
      </c>
      <c r="AE329">
        <f>SUM(P329:AD329)</f>
        <v/>
      </c>
      <c r="AF329">
        <f>IF(AE329=1,"Malignant","Benign")</f>
        <v/>
      </c>
      <c r="AG329">
        <f>--(AE329=C329)</f>
        <v/>
      </c>
    </row>
    <row r="330">
      <c r="A330">
        <f>BreastCancer_Data!A330</f>
        <v/>
      </c>
      <c r="B330">
        <f>BreastCancer_Data!B330</f>
        <v/>
      </c>
      <c r="C330">
        <f>BreastCancer_Data!D330</f>
        <v/>
      </c>
      <c r="D330">
        <f>BreastCancer_Data!E330</f>
        <v/>
      </c>
      <c r="E330">
        <f>BreastCancer_Data!F330</f>
        <v/>
      </c>
      <c r="F330">
        <f>BreastCancer_Data!G330</f>
        <v/>
      </c>
      <c r="G330">
        <f>BreastCancer_Data!H330</f>
        <v/>
      </c>
      <c r="H330">
        <f>BreastCancer_Data!I330</f>
        <v/>
      </c>
      <c r="I330">
        <f>BreastCancer_Data!J330</f>
        <v/>
      </c>
      <c r="J330">
        <f>BreastCancer_Data!K330</f>
        <v/>
      </c>
      <c r="K330">
        <f>BreastCancer_Data!L330</f>
        <v/>
      </c>
      <c r="L330">
        <f>BreastCancer_Data!M330</f>
        <v/>
      </c>
      <c r="M330">
        <f>BreastCancer_Data!N330</f>
        <v/>
      </c>
      <c r="N330">
        <f>BreastCancer_Data!O330</f>
        <v/>
      </c>
      <c r="O330">
        <f>0</f>
        <v/>
      </c>
      <c r="P330">
        <f>--(AND(D330&lt;=113.15,E330&lt;=0.15,F330&lt;=15.77,G330&lt;=0.18,H330&lt;=33.27))*0</f>
        <v/>
      </c>
      <c r="Q330">
        <f>--(AND(D330&lt;=113.15,E330&lt;=0.15,F330&lt;=15.77,G330&lt;=0.18,H330&gt;33.27))*0</f>
        <v/>
      </c>
      <c r="R330">
        <f>--(AND(D330&lt;=113.15,E330&lt;=0.15,F330&lt;=15.77,G330&gt;0.18))*0</f>
        <v/>
      </c>
      <c r="S330">
        <f>--(AND(D330&lt;=113.15,E330&lt;=0.15,F330&gt;15.77,H330&lt;=28.86,G330&lt;=0.14))*0</f>
        <v/>
      </c>
      <c r="T330">
        <f>--(AND(D330&lt;=113.15,E330&lt;=0.15,F330&gt;15.77,H330&lt;=28.86,G330&gt;0.14))*1</f>
        <v/>
      </c>
      <c r="U330">
        <f>--(AND(D330&lt;=113.15,E330&lt;=0.15,F330&gt;15.77,H330&gt;28.86,M330&lt;=14.54))*1</f>
        <v/>
      </c>
      <c r="V330">
        <f>--(AND(D330&lt;=113.15,E330&lt;=0.15,F330&gt;15.77,H330&gt;28.86,M330&gt;14.54))*1</f>
        <v/>
      </c>
      <c r="W330">
        <f>--(AND(D330&lt;=113.15,E330&gt;0.15,H330&lt;=23.74))*0</f>
        <v/>
      </c>
      <c r="X330">
        <f>--(AND(D330&lt;=113.15,E330&gt;0.15,H330&gt;23.74,J330&lt;=0.1))*1</f>
        <v/>
      </c>
      <c r="Y330">
        <f>--(AND(D330&lt;=113.15,E330&gt;0.15,H330&gt;23.74,J330&gt;0.1))*1</f>
        <v/>
      </c>
      <c r="Z330">
        <f>--(AND(D330&gt;113.15,K330&lt;=0.22,L330&lt;=0.02))*1</f>
        <v/>
      </c>
      <c r="AA330">
        <f>--(AND(D330&gt;113.15,K330&lt;=0.22,L330&gt;0.02))*0</f>
        <v/>
      </c>
      <c r="AB330">
        <f>--(AND(D330&gt;113.15,K330&gt;0.22,N330&lt;=810.1))*0</f>
        <v/>
      </c>
      <c r="AC330">
        <f>--(AND(D330&gt;113.15,K330&gt;0.22,N330&gt;810.1,I330&lt;=14.95))*1</f>
        <v/>
      </c>
      <c r="AD330">
        <f>--(AND(D330&gt;113.15,K330&gt;0.22,N330&gt;810.1,I330&gt;14.95))*1</f>
        <v/>
      </c>
      <c r="AE330">
        <f>SUM(P330:AD330)</f>
        <v/>
      </c>
      <c r="AF330">
        <f>IF(AE330=1,"Malignant","Benign")</f>
        <v/>
      </c>
      <c r="AG330">
        <f>--(AE330=C330)</f>
        <v/>
      </c>
    </row>
    <row r="331">
      <c r="A331">
        <f>BreastCancer_Data!A331</f>
        <v/>
      </c>
      <c r="B331">
        <f>BreastCancer_Data!B331</f>
        <v/>
      </c>
      <c r="C331">
        <f>BreastCancer_Data!D331</f>
        <v/>
      </c>
      <c r="D331">
        <f>BreastCancer_Data!E331</f>
        <v/>
      </c>
      <c r="E331">
        <f>BreastCancer_Data!F331</f>
        <v/>
      </c>
      <c r="F331">
        <f>BreastCancer_Data!G331</f>
        <v/>
      </c>
      <c r="G331">
        <f>BreastCancer_Data!H331</f>
        <v/>
      </c>
      <c r="H331">
        <f>BreastCancer_Data!I331</f>
        <v/>
      </c>
      <c r="I331">
        <f>BreastCancer_Data!J331</f>
        <v/>
      </c>
      <c r="J331">
        <f>BreastCancer_Data!K331</f>
        <v/>
      </c>
      <c r="K331">
        <f>BreastCancer_Data!L331</f>
        <v/>
      </c>
      <c r="L331">
        <f>BreastCancer_Data!M331</f>
        <v/>
      </c>
      <c r="M331">
        <f>BreastCancer_Data!N331</f>
        <v/>
      </c>
      <c r="N331">
        <f>BreastCancer_Data!O331</f>
        <v/>
      </c>
      <c r="O331">
        <f>0</f>
        <v/>
      </c>
      <c r="P331">
        <f>--(AND(D331&lt;=113.15,E331&lt;=0.15,F331&lt;=15.77,G331&lt;=0.18,H331&lt;=33.27))*0</f>
        <v/>
      </c>
      <c r="Q331">
        <f>--(AND(D331&lt;=113.15,E331&lt;=0.15,F331&lt;=15.77,G331&lt;=0.18,H331&gt;33.27))*0</f>
        <v/>
      </c>
      <c r="R331">
        <f>--(AND(D331&lt;=113.15,E331&lt;=0.15,F331&lt;=15.77,G331&gt;0.18))*0</f>
        <v/>
      </c>
      <c r="S331">
        <f>--(AND(D331&lt;=113.15,E331&lt;=0.15,F331&gt;15.77,H331&lt;=28.86,G331&lt;=0.14))*0</f>
        <v/>
      </c>
      <c r="T331">
        <f>--(AND(D331&lt;=113.15,E331&lt;=0.15,F331&gt;15.77,H331&lt;=28.86,G331&gt;0.14))*1</f>
        <v/>
      </c>
      <c r="U331">
        <f>--(AND(D331&lt;=113.15,E331&lt;=0.15,F331&gt;15.77,H331&gt;28.86,M331&lt;=14.54))*1</f>
        <v/>
      </c>
      <c r="V331">
        <f>--(AND(D331&lt;=113.15,E331&lt;=0.15,F331&gt;15.77,H331&gt;28.86,M331&gt;14.54))*1</f>
        <v/>
      </c>
      <c r="W331">
        <f>--(AND(D331&lt;=113.15,E331&gt;0.15,H331&lt;=23.74))*0</f>
        <v/>
      </c>
      <c r="X331">
        <f>--(AND(D331&lt;=113.15,E331&gt;0.15,H331&gt;23.74,J331&lt;=0.1))*1</f>
        <v/>
      </c>
      <c r="Y331">
        <f>--(AND(D331&lt;=113.15,E331&gt;0.15,H331&gt;23.74,J331&gt;0.1))*1</f>
        <v/>
      </c>
      <c r="Z331">
        <f>--(AND(D331&gt;113.15,K331&lt;=0.22,L331&lt;=0.02))*1</f>
        <v/>
      </c>
      <c r="AA331">
        <f>--(AND(D331&gt;113.15,K331&lt;=0.22,L331&gt;0.02))*0</f>
        <v/>
      </c>
      <c r="AB331">
        <f>--(AND(D331&gt;113.15,K331&gt;0.22,N331&lt;=810.1))*0</f>
        <v/>
      </c>
      <c r="AC331">
        <f>--(AND(D331&gt;113.15,K331&gt;0.22,N331&gt;810.1,I331&lt;=14.95))*1</f>
        <v/>
      </c>
      <c r="AD331">
        <f>--(AND(D331&gt;113.15,K331&gt;0.22,N331&gt;810.1,I331&gt;14.95))*1</f>
        <v/>
      </c>
      <c r="AE331">
        <f>SUM(P331:AD331)</f>
        <v/>
      </c>
      <c r="AF331">
        <f>IF(AE331=1,"Malignant","Benign")</f>
        <v/>
      </c>
      <c r="AG331">
        <f>--(AE331=C331)</f>
        <v/>
      </c>
    </row>
    <row r="332">
      <c r="A332">
        <f>BreastCancer_Data!A332</f>
        <v/>
      </c>
      <c r="B332">
        <f>BreastCancer_Data!B332</f>
        <v/>
      </c>
      <c r="C332">
        <f>BreastCancer_Data!D332</f>
        <v/>
      </c>
      <c r="D332">
        <f>BreastCancer_Data!E332</f>
        <v/>
      </c>
      <c r="E332">
        <f>BreastCancer_Data!F332</f>
        <v/>
      </c>
      <c r="F332">
        <f>BreastCancer_Data!G332</f>
        <v/>
      </c>
      <c r="G332">
        <f>BreastCancer_Data!H332</f>
        <v/>
      </c>
      <c r="H332">
        <f>BreastCancer_Data!I332</f>
        <v/>
      </c>
      <c r="I332">
        <f>BreastCancer_Data!J332</f>
        <v/>
      </c>
      <c r="J332">
        <f>BreastCancer_Data!K332</f>
        <v/>
      </c>
      <c r="K332">
        <f>BreastCancer_Data!L332</f>
        <v/>
      </c>
      <c r="L332">
        <f>BreastCancer_Data!M332</f>
        <v/>
      </c>
      <c r="M332">
        <f>BreastCancer_Data!N332</f>
        <v/>
      </c>
      <c r="N332">
        <f>BreastCancer_Data!O332</f>
        <v/>
      </c>
      <c r="O332">
        <f>0</f>
        <v/>
      </c>
      <c r="P332">
        <f>--(AND(D332&lt;=113.15,E332&lt;=0.15,F332&lt;=15.77,G332&lt;=0.18,H332&lt;=33.27))*0</f>
        <v/>
      </c>
      <c r="Q332">
        <f>--(AND(D332&lt;=113.15,E332&lt;=0.15,F332&lt;=15.77,G332&lt;=0.18,H332&gt;33.27))*0</f>
        <v/>
      </c>
      <c r="R332">
        <f>--(AND(D332&lt;=113.15,E332&lt;=0.15,F332&lt;=15.77,G332&gt;0.18))*0</f>
        <v/>
      </c>
      <c r="S332">
        <f>--(AND(D332&lt;=113.15,E332&lt;=0.15,F332&gt;15.77,H332&lt;=28.86,G332&lt;=0.14))*0</f>
        <v/>
      </c>
      <c r="T332">
        <f>--(AND(D332&lt;=113.15,E332&lt;=0.15,F332&gt;15.77,H332&lt;=28.86,G332&gt;0.14))*1</f>
        <v/>
      </c>
      <c r="U332">
        <f>--(AND(D332&lt;=113.15,E332&lt;=0.15,F332&gt;15.77,H332&gt;28.86,M332&lt;=14.54))*1</f>
        <v/>
      </c>
      <c r="V332">
        <f>--(AND(D332&lt;=113.15,E332&lt;=0.15,F332&gt;15.77,H332&gt;28.86,M332&gt;14.54))*1</f>
        <v/>
      </c>
      <c r="W332">
        <f>--(AND(D332&lt;=113.15,E332&gt;0.15,H332&lt;=23.74))*0</f>
        <v/>
      </c>
      <c r="X332">
        <f>--(AND(D332&lt;=113.15,E332&gt;0.15,H332&gt;23.74,J332&lt;=0.1))*1</f>
        <v/>
      </c>
      <c r="Y332">
        <f>--(AND(D332&lt;=113.15,E332&gt;0.15,H332&gt;23.74,J332&gt;0.1))*1</f>
        <v/>
      </c>
      <c r="Z332">
        <f>--(AND(D332&gt;113.15,K332&lt;=0.22,L332&lt;=0.02))*1</f>
        <v/>
      </c>
      <c r="AA332">
        <f>--(AND(D332&gt;113.15,K332&lt;=0.22,L332&gt;0.02))*0</f>
        <v/>
      </c>
      <c r="AB332">
        <f>--(AND(D332&gt;113.15,K332&gt;0.22,N332&lt;=810.1))*0</f>
        <v/>
      </c>
      <c r="AC332">
        <f>--(AND(D332&gt;113.15,K332&gt;0.22,N332&gt;810.1,I332&lt;=14.95))*1</f>
        <v/>
      </c>
      <c r="AD332">
        <f>--(AND(D332&gt;113.15,K332&gt;0.22,N332&gt;810.1,I332&gt;14.95))*1</f>
        <v/>
      </c>
      <c r="AE332">
        <f>SUM(P332:AD332)</f>
        <v/>
      </c>
      <c r="AF332">
        <f>IF(AE332=1,"Malignant","Benign")</f>
        <v/>
      </c>
      <c r="AG332">
        <f>--(AE332=C332)</f>
        <v/>
      </c>
    </row>
    <row r="333">
      <c r="A333">
        <f>BreastCancer_Data!A333</f>
        <v/>
      </c>
      <c r="B333">
        <f>BreastCancer_Data!B333</f>
        <v/>
      </c>
      <c r="C333">
        <f>BreastCancer_Data!D333</f>
        <v/>
      </c>
      <c r="D333">
        <f>BreastCancer_Data!E333</f>
        <v/>
      </c>
      <c r="E333">
        <f>BreastCancer_Data!F333</f>
        <v/>
      </c>
      <c r="F333">
        <f>BreastCancer_Data!G333</f>
        <v/>
      </c>
      <c r="G333">
        <f>BreastCancer_Data!H333</f>
        <v/>
      </c>
      <c r="H333">
        <f>BreastCancer_Data!I333</f>
        <v/>
      </c>
      <c r="I333">
        <f>BreastCancer_Data!J333</f>
        <v/>
      </c>
      <c r="J333">
        <f>BreastCancer_Data!K333</f>
        <v/>
      </c>
      <c r="K333">
        <f>BreastCancer_Data!L333</f>
        <v/>
      </c>
      <c r="L333">
        <f>BreastCancer_Data!M333</f>
        <v/>
      </c>
      <c r="M333">
        <f>BreastCancer_Data!N333</f>
        <v/>
      </c>
      <c r="N333">
        <f>BreastCancer_Data!O333</f>
        <v/>
      </c>
      <c r="O333">
        <f>0</f>
        <v/>
      </c>
      <c r="P333">
        <f>--(AND(D333&lt;=113.15,E333&lt;=0.15,F333&lt;=15.77,G333&lt;=0.18,H333&lt;=33.27))*0</f>
        <v/>
      </c>
      <c r="Q333">
        <f>--(AND(D333&lt;=113.15,E333&lt;=0.15,F333&lt;=15.77,G333&lt;=0.18,H333&gt;33.27))*0</f>
        <v/>
      </c>
      <c r="R333">
        <f>--(AND(D333&lt;=113.15,E333&lt;=0.15,F333&lt;=15.77,G333&gt;0.18))*0</f>
        <v/>
      </c>
      <c r="S333">
        <f>--(AND(D333&lt;=113.15,E333&lt;=0.15,F333&gt;15.77,H333&lt;=28.86,G333&lt;=0.14))*0</f>
        <v/>
      </c>
      <c r="T333">
        <f>--(AND(D333&lt;=113.15,E333&lt;=0.15,F333&gt;15.77,H333&lt;=28.86,G333&gt;0.14))*1</f>
        <v/>
      </c>
      <c r="U333">
        <f>--(AND(D333&lt;=113.15,E333&lt;=0.15,F333&gt;15.77,H333&gt;28.86,M333&lt;=14.54))*1</f>
        <v/>
      </c>
      <c r="V333">
        <f>--(AND(D333&lt;=113.15,E333&lt;=0.15,F333&gt;15.77,H333&gt;28.86,M333&gt;14.54))*1</f>
        <v/>
      </c>
      <c r="W333">
        <f>--(AND(D333&lt;=113.15,E333&gt;0.15,H333&lt;=23.74))*0</f>
        <v/>
      </c>
      <c r="X333">
        <f>--(AND(D333&lt;=113.15,E333&gt;0.15,H333&gt;23.74,J333&lt;=0.1))*1</f>
        <v/>
      </c>
      <c r="Y333">
        <f>--(AND(D333&lt;=113.15,E333&gt;0.15,H333&gt;23.74,J333&gt;0.1))*1</f>
        <v/>
      </c>
      <c r="Z333">
        <f>--(AND(D333&gt;113.15,K333&lt;=0.22,L333&lt;=0.02))*1</f>
        <v/>
      </c>
      <c r="AA333">
        <f>--(AND(D333&gt;113.15,K333&lt;=0.22,L333&gt;0.02))*0</f>
        <v/>
      </c>
      <c r="AB333">
        <f>--(AND(D333&gt;113.15,K333&gt;0.22,N333&lt;=810.1))*0</f>
        <v/>
      </c>
      <c r="AC333">
        <f>--(AND(D333&gt;113.15,K333&gt;0.22,N333&gt;810.1,I333&lt;=14.95))*1</f>
        <v/>
      </c>
      <c r="AD333">
        <f>--(AND(D333&gt;113.15,K333&gt;0.22,N333&gt;810.1,I333&gt;14.95))*1</f>
        <v/>
      </c>
      <c r="AE333">
        <f>SUM(P333:AD333)</f>
        <v/>
      </c>
      <c r="AF333">
        <f>IF(AE333=1,"Malignant","Benign")</f>
        <v/>
      </c>
      <c r="AG333">
        <f>--(AE333=C333)</f>
        <v/>
      </c>
    </row>
    <row r="334">
      <c r="A334">
        <f>BreastCancer_Data!A334</f>
        <v/>
      </c>
      <c r="B334">
        <f>BreastCancer_Data!B334</f>
        <v/>
      </c>
      <c r="C334">
        <f>BreastCancer_Data!D334</f>
        <v/>
      </c>
      <c r="D334">
        <f>BreastCancer_Data!E334</f>
        <v/>
      </c>
      <c r="E334">
        <f>BreastCancer_Data!F334</f>
        <v/>
      </c>
      <c r="F334">
        <f>BreastCancer_Data!G334</f>
        <v/>
      </c>
      <c r="G334">
        <f>BreastCancer_Data!H334</f>
        <v/>
      </c>
      <c r="H334">
        <f>BreastCancer_Data!I334</f>
        <v/>
      </c>
      <c r="I334">
        <f>BreastCancer_Data!J334</f>
        <v/>
      </c>
      <c r="J334">
        <f>BreastCancer_Data!K334</f>
        <v/>
      </c>
      <c r="K334">
        <f>BreastCancer_Data!L334</f>
        <v/>
      </c>
      <c r="L334">
        <f>BreastCancer_Data!M334</f>
        <v/>
      </c>
      <c r="M334">
        <f>BreastCancer_Data!N334</f>
        <v/>
      </c>
      <c r="N334">
        <f>BreastCancer_Data!O334</f>
        <v/>
      </c>
      <c r="O334">
        <f>0</f>
        <v/>
      </c>
      <c r="P334">
        <f>--(AND(D334&lt;=113.15,E334&lt;=0.15,F334&lt;=15.77,G334&lt;=0.18,H334&lt;=33.27))*0</f>
        <v/>
      </c>
      <c r="Q334">
        <f>--(AND(D334&lt;=113.15,E334&lt;=0.15,F334&lt;=15.77,G334&lt;=0.18,H334&gt;33.27))*0</f>
        <v/>
      </c>
      <c r="R334">
        <f>--(AND(D334&lt;=113.15,E334&lt;=0.15,F334&lt;=15.77,G334&gt;0.18))*0</f>
        <v/>
      </c>
      <c r="S334">
        <f>--(AND(D334&lt;=113.15,E334&lt;=0.15,F334&gt;15.77,H334&lt;=28.86,G334&lt;=0.14))*0</f>
        <v/>
      </c>
      <c r="T334">
        <f>--(AND(D334&lt;=113.15,E334&lt;=0.15,F334&gt;15.77,H334&lt;=28.86,G334&gt;0.14))*1</f>
        <v/>
      </c>
      <c r="U334">
        <f>--(AND(D334&lt;=113.15,E334&lt;=0.15,F334&gt;15.77,H334&gt;28.86,M334&lt;=14.54))*1</f>
        <v/>
      </c>
      <c r="V334">
        <f>--(AND(D334&lt;=113.15,E334&lt;=0.15,F334&gt;15.77,H334&gt;28.86,M334&gt;14.54))*1</f>
        <v/>
      </c>
      <c r="W334">
        <f>--(AND(D334&lt;=113.15,E334&gt;0.15,H334&lt;=23.74))*0</f>
        <v/>
      </c>
      <c r="X334">
        <f>--(AND(D334&lt;=113.15,E334&gt;0.15,H334&gt;23.74,J334&lt;=0.1))*1</f>
        <v/>
      </c>
      <c r="Y334">
        <f>--(AND(D334&lt;=113.15,E334&gt;0.15,H334&gt;23.74,J334&gt;0.1))*1</f>
        <v/>
      </c>
      <c r="Z334">
        <f>--(AND(D334&gt;113.15,K334&lt;=0.22,L334&lt;=0.02))*1</f>
        <v/>
      </c>
      <c r="AA334">
        <f>--(AND(D334&gt;113.15,K334&lt;=0.22,L334&gt;0.02))*0</f>
        <v/>
      </c>
      <c r="AB334">
        <f>--(AND(D334&gt;113.15,K334&gt;0.22,N334&lt;=810.1))*0</f>
        <v/>
      </c>
      <c r="AC334">
        <f>--(AND(D334&gt;113.15,K334&gt;0.22,N334&gt;810.1,I334&lt;=14.95))*1</f>
        <v/>
      </c>
      <c r="AD334">
        <f>--(AND(D334&gt;113.15,K334&gt;0.22,N334&gt;810.1,I334&gt;14.95))*1</f>
        <v/>
      </c>
      <c r="AE334">
        <f>SUM(P334:AD334)</f>
        <v/>
      </c>
      <c r="AF334">
        <f>IF(AE334=1,"Malignant","Benign")</f>
        <v/>
      </c>
      <c r="AG334">
        <f>--(AE334=C334)</f>
        <v/>
      </c>
    </row>
    <row r="335">
      <c r="A335">
        <f>BreastCancer_Data!A335</f>
        <v/>
      </c>
      <c r="B335">
        <f>BreastCancer_Data!B335</f>
        <v/>
      </c>
      <c r="C335">
        <f>BreastCancer_Data!D335</f>
        <v/>
      </c>
      <c r="D335">
        <f>BreastCancer_Data!E335</f>
        <v/>
      </c>
      <c r="E335">
        <f>BreastCancer_Data!F335</f>
        <v/>
      </c>
      <c r="F335">
        <f>BreastCancer_Data!G335</f>
        <v/>
      </c>
      <c r="G335">
        <f>BreastCancer_Data!H335</f>
        <v/>
      </c>
      <c r="H335">
        <f>BreastCancer_Data!I335</f>
        <v/>
      </c>
      <c r="I335">
        <f>BreastCancer_Data!J335</f>
        <v/>
      </c>
      <c r="J335">
        <f>BreastCancer_Data!K335</f>
        <v/>
      </c>
      <c r="K335">
        <f>BreastCancer_Data!L335</f>
        <v/>
      </c>
      <c r="L335">
        <f>BreastCancer_Data!M335</f>
        <v/>
      </c>
      <c r="M335">
        <f>BreastCancer_Data!N335</f>
        <v/>
      </c>
      <c r="N335">
        <f>BreastCancer_Data!O335</f>
        <v/>
      </c>
      <c r="O335">
        <f>0</f>
        <v/>
      </c>
      <c r="P335">
        <f>--(AND(D335&lt;=113.15,E335&lt;=0.15,F335&lt;=15.77,G335&lt;=0.18,H335&lt;=33.27))*0</f>
        <v/>
      </c>
      <c r="Q335">
        <f>--(AND(D335&lt;=113.15,E335&lt;=0.15,F335&lt;=15.77,G335&lt;=0.18,H335&gt;33.27))*0</f>
        <v/>
      </c>
      <c r="R335">
        <f>--(AND(D335&lt;=113.15,E335&lt;=0.15,F335&lt;=15.77,G335&gt;0.18))*0</f>
        <v/>
      </c>
      <c r="S335">
        <f>--(AND(D335&lt;=113.15,E335&lt;=0.15,F335&gt;15.77,H335&lt;=28.86,G335&lt;=0.14))*0</f>
        <v/>
      </c>
      <c r="T335">
        <f>--(AND(D335&lt;=113.15,E335&lt;=0.15,F335&gt;15.77,H335&lt;=28.86,G335&gt;0.14))*1</f>
        <v/>
      </c>
      <c r="U335">
        <f>--(AND(D335&lt;=113.15,E335&lt;=0.15,F335&gt;15.77,H335&gt;28.86,M335&lt;=14.54))*1</f>
        <v/>
      </c>
      <c r="V335">
        <f>--(AND(D335&lt;=113.15,E335&lt;=0.15,F335&gt;15.77,H335&gt;28.86,M335&gt;14.54))*1</f>
        <v/>
      </c>
      <c r="W335">
        <f>--(AND(D335&lt;=113.15,E335&gt;0.15,H335&lt;=23.74))*0</f>
        <v/>
      </c>
      <c r="X335">
        <f>--(AND(D335&lt;=113.15,E335&gt;0.15,H335&gt;23.74,J335&lt;=0.1))*1</f>
        <v/>
      </c>
      <c r="Y335">
        <f>--(AND(D335&lt;=113.15,E335&gt;0.15,H335&gt;23.74,J335&gt;0.1))*1</f>
        <v/>
      </c>
      <c r="Z335">
        <f>--(AND(D335&gt;113.15,K335&lt;=0.22,L335&lt;=0.02))*1</f>
        <v/>
      </c>
      <c r="AA335">
        <f>--(AND(D335&gt;113.15,K335&lt;=0.22,L335&gt;0.02))*0</f>
        <v/>
      </c>
      <c r="AB335">
        <f>--(AND(D335&gt;113.15,K335&gt;0.22,N335&lt;=810.1))*0</f>
        <v/>
      </c>
      <c r="AC335">
        <f>--(AND(D335&gt;113.15,K335&gt;0.22,N335&gt;810.1,I335&lt;=14.95))*1</f>
        <v/>
      </c>
      <c r="AD335">
        <f>--(AND(D335&gt;113.15,K335&gt;0.22,N335&gt;810.1,I335&gt;14.95))*1</f>
        <v/>
      </c>
      <c r="AE335">
        <f>SUM(P335:AD335)</f>
        <v/>
      </c>
      <c r="AF335">
        <f>IF(AE335=1,"Malignant","Benign")</f>
        <v/>
      </c>
      <c r="AG335">
        <f>--(AE335=C335)</f>
        <v/>
      </c>
    </row>
    <row r="336">
      <c r="A336">
        <f>BreastCancer_Data!A336</f>
        <v/>
      </c>
      <c r="B336">
        <f>BreastCancer_Data!B336</f>
        <v/>
      </c>
      <c r="C336">
        <f>BreastCancer_Data!D336</f>
        <v/>
      </c>
      <c r="D336">
        <f>BreastCancer_Data!E336</f>
        <v/>
      </c>
      <c r="E336">
        <f>BreastCancer_Data!F336</f>
        <v/>
      </c>
      <c r="F336">
        <f>BreastCancer_Data!G336</f>
        <v/>
      </c>
      <c r="G336">
        <f>BreastCancer_Data!H336</f>
        <v/>
      </c>
      <c r="H336">
        <f>BreastCancer_Data!I336</f>
        <v/>
      </c>
      <c r="I336">
        <f>BreastCancer_Data!J336</f>
        <v/>
      </c>
      <c r="J336">
        <f>BreastCancer_Data!K336</f>
        <v/>
      </c>
      <c r="K336">
        <f>BreastCancer_Data!L336</f>
        <v/>
      </c>
      <c r="L336">
        <f>BreastCancer_Data!M336</f>
        <v/>
      </c>
      <c r="M336">
        <f>BreastCancer_Data!N336</f>
        <v/>
      </c>
      <c r="N336">
        <f>BreastCancer_Data!O336</f>
        <v/>
      </c>
      <c r="O336">
        <f>0</f>
        <v/>
      </c>
      <c r="P336">
        <f>--(AND(D336&lt;=113.15,E336&lt;=0.15,F336&lt;=15.77,G336&lt;=0.18,H336&lt;=33.27))*0</f>
        <v/>
      </c>
      <c r="Q336">
        <f>--(AND(D336&lt;=113.15,E336&lt;=0.15,F336&lt;=15.77,G336&lt;=0.18,H336&gt;33.27))*0</f>
        <v/>
      </c>
      <c r="R336">
        <f>--(AND(D336&lt;=113.15,E336&lt;=0.15,F336&lt;=15.77,G336&gt;0.18))*0</f>
        <v/>
      </c>
      <c r="S336">
        <f>--(AND(D336&lt;=113.15,E336&lt;=0.15,F336&gt;15.77,H336&lt;=28.86,G336&lt;=0.14))*0</f>
        <v/>
      </c>
      <c r="T336">
        <f>--(AND(D336&lt;=113.15,E336&lt;=0.15,F336&gt;15.77,H336&lt;=28.86,G336&gt;0.14))*1</f>
        <v/>
      </c>
      <c r="U336">
        <f>--(AND(D336&lt;=113.15,E336&lt;=0.15,F336&gt;15.77,H336&gt;28.86,M336&lt;=14.54))*1</f>
        <v/>
      </c>
      <c r="V336">
        <f>--(AND(D336&lt;=113.15,E336&lt;=0.15,F336&gt;15.77,H336&gt;28.86,M336&gt;14.54))*1</f>
        <v/>
      </c>
      <c r="W336">
        <f>--(AND(D336&lt;=113.15,E336&gt;0.15,H336&lt;=23.74))*0</f>
        <v/>
      </c>
      <c r="X336">
        <f>--(AND(D336&lt;=113.15,E336&gt;0.15,H336&gt;23.74,J336&lt;=0.1))*1</f>
        <v/>
      </c>
      <c r="Y336">
        <f>--(AND(D336&lt;=113.15,E336&gt;0.15,H336&gt;23.74,J336&gt;0.1))*1</f>
        <v/>
      </c>
      <c r="Z336">
        <f>--(AND(D336&gt;113.15,K336&lt;=0.22,L336&lt;=0.02))*1</f>
        <v/>
      </c>
      <c r="AA336">
        <f>--(AND(D336&gt;113.15,K336&lt;=0.22,L336&gt;0.02))*0</f>
        <v/>
      </c>
      <c r="AB336">
        <f>--(AND(D336&gt;113.15,K336&gt;0.22,N336&lt;=810.1))*0</f>
        <v/>
      </c>
      <c r="AC336">
        <f>--(AND(D336&gt;113.15,K336&gt;0.22,N336&gt;810.1,I336&lt;=14.95))*1</f>
        <v/>
      </c>
      <c r="AD336">
        <f>--(AND(D336&gt;113.15,K336&gt;0.22,N336&gt;810.1,I336&gt;14.95))*1</f>
        <v/>
      </c>
      <c r="AE336">
        <f>SUM(P336:AD336)</f>
        <v/>
      </c>
      <c r="AF336">
        <f>IF(AE336=1,"Malignant","Benign")</f>
        <v/>
      </c>
      <c r="AG336">
        <f>--(AE336=C336)</f>
        <v/>
      </c>
    </row>
    <row r="337">
      <c r="A337">
        <f>BreastCancer_Data!A337</f>
        <v/>
      </c>
      <c r="B337">
        <f>BreastCancer_Data!B337</f>
        <v/>
      </c>
      <c r="C337">
        <f>BreastCancer_Data!D337</f>
        <v/>
      </c>
      <c r="D337">
        <f>BreastCancer_Data!E337</f>
        <v/>
      </c>
      <c r="E337">
        <f>BreastCancer_Data!F337</f>
        <v/>
      </c>
      <c r="F337">
        <f>BreastCancer_Data!G337</f>
        <v/>
      </c>
      <c r="G337">
        <f>BreastCancer_Data!H337</f>
        <v/>
      </c>
      <c r="H337">
        <f>BreastCancer_Data!I337</f>
        <v/>
      </c>
      <c r="I337">
        <f>BreastCancer_Data!J337</f>
        <v/>
      </c>
      <c r="J337">
        <f>BreastCancer_Data!K337</f>
        <v/>
      </c>
      <c r="K337">
        <f>BreastCancer_Data!L337</f>
        <v/>
      </c>
      <c r="L337">
        <f>BreastCancer_Data!M337</f>
        <v/>
      </c>
      <c r="M337">
        <f>BreastCancer_Data!N337</f>
        <v/>
      </c>
      <c r="N337">
        <f>BreastCancer_Data!O337</f>
        <v/>
      </c>
      <c r="O337">
        <f>0</f>
        <v/>
      </c>
      <c r="P337">
        <f>--(AND(D337&lt;=113.15,E337&lt;=0.15,F337&lt;=15.77,G337&lt;=0.18,H337&lt;=33.27))*0</f>
        <v/>
      </c>
      <c r="Q337">
        <f>--(AND(D337&lt;=113.15,E337&lt;=0.15,F337&lt;=15.77,G337&lt;=0.18,H337&gt;33.27))*0</f>
        <v/>
      </c>
      <c r="R337">
        <f>--(AND(D337&lt;=113.15,E337&lt;=0.15,F337&lt;=15.77,G337&gt;0.18))*0</f>
        <v/>
      </c>
      <c r="S337">
        <f>--(AND(D337&lt;=113.15,E337&lt;=0.15,F337&gt;15.77,H337&lt;=28.86,G337&lt;=0.14))*0</f>
        <v/>
      </c>
      <c r="T337">
        <f>--(AND(D337&lt;=113.15,E337&lt;=0.15,F337&gt;15.77,H337&lt;=28.86,G337&gt;0.14))*1</f>
        <v/>
      </c>
      <c r="U337">
        <f>--(AND(D337&lt;=113.15,E337&lt;=0.15,F337&gt;15.77,H337&gt;28.86,M337&lt;=14.54))*1</f>
        <v/>
      </c>
      <c r="V337">
        <f>--(AND(D337&lt;=113.15,E337&lt;=0.15,F337&gt;15.77,H337&gt;28.86,M337&gt;14.54))*1</f>
        <v/>
      </c>
      <c r="W337">
        <f>--(AND(D337&lt;=113.15,E337&gt;0.15,H337&lt;=23.74))*0</f>
        <v/>
      </c>
      <c r="X337">
        <f>--(AND(D337&lt;=113.15,E337&gt;0.15,H337&gt;23.74,J337&lt;=0.1))*1</f>
        <v/>
      </c>
      <c r="Y337">
        <f>--(AND(D337&lt;=113.15,E337&gt;0.15,H337&gt;23.74,J337&gt;0.1))*1</f>
        <v/>
      </c>
      <c r="Z337">
        <f>--(AND(D337&gt;113.15,K337&lt;=0.22,L337&lt;=0.02))*1</f>
        <v/>
      </c>
      <c r="AA337">
        <f>--(AND(D337&gt;113.15,K337&lt;=0.22,L337&gt;0.02))*0</f>
        <v/>
      </c>
      <c r="AB337">
        <f>--(AND(D337&gt;113.15,K337&gt;0.22,N337&lt;=810.1))*0</f>
        <v/>
      </c>
      <c r="AC337">
        <f>--(AND(D337&gt;113.15,K337&gt;0.22,N337&gt;810.1,I337&lt;=14.95))*1</f>
        <v/>
      </c>
      <c r="AD337">
        <f>--(AND(D337&gt;113.15,K337&gt;0.22,N337&gt;810.1,I337&gt;14.95))*1</f>
        <v/>
      </c>
      <c r="AE337">
        <f>SUM(P337:AD337)</f>
        <v/>
      </c>
      <c r="AF337">
        <f>IF(AE337=1,"Malignant","Benign")</f>
        <v/>
      </c>
      <c r="AG337">
        <f>--(AE337=C337)</f>
        <v/>
      </c>
    </row>
    <row r="338">
      <c r="A338">
        <f>BreastCancer_Data!A338</f>
        <v/>
      </c>
      <c r="B338">
        <f>BreastCancer_Data!B338</f>
        <v/>
      </c>
      <c r="C338">
        <f>BreastCancer_Data!D338</f>
        <v/>
      </c>
      <c r="D338">
        <f>BreastCancer_Data!E338</f>
        <v/>
      </c>
      <c r="E338">
        <f>BreastCancer_Data!F338</f>
        <v/>
      </c>
      <c r="F338">
        <f>BreastCancer_Data!G338</f>
        <v/>
      </c>
      <c r="G338">
        <f>BreastCancer_Data!H338</f>
        <v/>
      </c>
      <c r="H338">
        <f>BreastCancer_Data!I338</f>
        <v/>
      </c>
      <c r="I338">
        <f>BreastCancer_Data!J338</f>
        <v/>
      </c>
      <c r="J338">
        <f>BreastCancer_Data!K338</f>
        <v/>
      </c>
      <c r="K338">
        <f>BreastCancer_Data!L338</f>
        <v/>
      </c>
      <c r="L338">
        <f>BreastCancer_Data!M338</f>
        <v/>
      </c>
      <c r="M338">
        <f>BreastCancer_Data!N338</f>
        <v/>
      </c>
      <c r="N338">
        <f>BreastCancer_Data!O338</f>
        <v/>
      </c>
      <c r="O338">
        <f>0</f>
        <v/>
      </c>
      <c r="P338">
        <f>--(AND(D338&lt;=113.15,E338&lt;=0.15,F338&lt;=15.77,G338&lt;=0.18,H338&lt;=33.27))*0</f>
        <v/>
      </c>
      <c r="Q338">
        <f>--(AND(D338&lt;=113.15,E338&lt;=0.15,F338&lt;=15.77,G338&lt;=0.18,H338&gt;33.27))*0</f>
        <v/>
      </c>
      <c r="R338">
        <f>--(AND(D338&lt;=113.15,E338&lt;=0.15,F338&lt;=15.77,G338&gt;0.18))*0</f>
        <v/>
      </c>
      <c r="S338">
        <f>--(AND(D338&lt;=113.15,E338&lt;=0.15,F338&gt;15.77,H338&lt;=28.86,G338&lt;=0.14))*0</f>
        <v/>
      </c>
      <c r="T338">
        <f>--(AND(D338&lt;=113.15,E338&lt;=0.15,F338&gt;15.77,H338&lt;=28.86,G338&gt;0.14))*1</f>
        <v/>
      </c>
      <c r="U338">
        <f>--(AND(D338&lt;=113.15,E338&lt;=0.15,F338&gt;15.77,H338&gt;28.86,M338&lt;=14.54))*1</f>
        <v/>
      </c>
      <c r="V338">
        <f>--(AND(D338&lt;=113.15,E338&lt;=0.15,F338&gt;15.77,H338&gt;28.86,M338&gt;14.54))*1</f>
        <v/>
      </c>
      <c r="W338">
        <f>--(AND(D338&lt;=113.15,E338&gt;0.15,H338&lt;=23.74))*0</f>
        <v/>
      </c>
      <c r="X338">
        <f>--(AND(D338&lt;=113.15,E338&gt;0.15,H338&gt;23.74,J338&lt;=0.1))*1</f>
        <v/>
      </c>
      <c r="Y338">
        <f>--(AND(D338&lt;=113.15,E338&gt;0.15,H338&gt;23.74,J338&gt;0.1))*1</f>
        <v/>
      </c>
      <c r="Z338">
        <f>--(AND(D338&gt;113.15,K338&lt;=0.22,L338&lt;=0.02))*1</f>
        <v/>
      </c>
      <c r="AA338">
        <f>--(AND(D338&gt;113.15,K338&lt;=0.22,L338&gt;0.02))*0</f>
        <v/>
      </c>
      <c r="AB338">
        <f>--(AND(D338&gt;113.15,K338&gt;0.22,N338&lt;=810.1))*0</f>
        <v/>
      </c>
      <c r="AC338">
        <f>--(AND(D338&gt;113.15,K338&gt;0.22,N338&gt;810.1,I338&lt;=14.95))*1</f>
        <v/>
      </c>
      <c r="AD338">
        <f>--(AND(D338&gt;113.15,K338&gt;0.22,N338&gt;810.1,I338&gt;14.95))*1</f>
        <v/>
      </c>
      <c r="AE338">
        <f>SUM(P338:AD338)</f>
        <v/>
      </c>
      <c r="AF338">
        <f>IF(AE338=1,"Malignant","Benign")</f>
        <v/>
      </c>
      <c r="AG338">
        <f>--(AE338=C338)</f>
        <v/>
      </c>
    </row>
    <row r="339">
      <c r="A339">
        <f>BreastCancer_Data!A339</f>
        <v/>
      </c>
      <c r="B339">
        <f>BreastCancer_Data!B339</f>
        <v/>
      </c>
      <c r="C339">
        <f>BreastCancer_Data!D339</f>
        <v/>
      </c>
      <c r="D339">
        <f>BreastCancer_Data!E339</f>
        <v/>
      </c>
      <c r="E339">
        <f>BreastCancer_Data!F339</f>
        <v/>
      </c>
      <c r="F339">
        <f>BreastCancer_Data!G339</f>
        <v/>
      </c>
      <c r="G339">
        <f>BreastCancer_Data!H339</f>
        <v/>
      </c>
      <c r="H339">
        <f>BreastCancer_Data!I339</f>
        <v/>
      </c>
      <c r="I339">
        <f>BreastCancer_Data!J339</f>
        <v/>
      </c>
      <c r="J339">
        <f>BreastCancer_Data!K339</f>
        <v/>
      </c>
      <c r="K339">
        <f>BreastCancer_Data!L339</f>
        <v/>
      </c>
      <c r="L339">
        <f>BreastCancer_Data!M339</f>
        <v/>
      </c>
      <c r="M339">
        <f>BreastCancer_Data!N339</f>
        <v/>
      </c>
      <c r="N339">
        <f>BreastCancer_Data!O339</f>
        <v/>
      </c>
      <c r="O339">
        <f>0</f>
        <v/>
      </c>
      <c r="P339">
        <f>--(AND(D339&lt;=113.15,E339&lt;=0.15,F339&lt;=15.77,G339&lt;=0.18,H339&lt;=33.27))*0</f>
        <v/>
      </c>
      <c r="Q339">
        <f>--(AND(D339&lt;=113.15,E339&lt;=0.15,F339&lt;=15.77,G339&lt;=0.18,H339&gt;33.27))*0</f>
        <v/>
      </c>
      <c r="R339">
        <f>--(AND(D339&lt;=113.15,E339&lt;=0.15,F339&lt;=15.77,G339&gt;0.18))*0</f>
        <v/>
      </c>
      <c r="S339">
        <f>--(AND(D339&lt;=113.15,E339&lt;=0.15,F339&gt;15.77,H339&lt;=28.86,G339&lt;=0.14))*0</f>
        <v/>
      </c>
      <c r="T339">
        <f>--(AND(D339&lt;=113.15,E339&lt;=0.15,F339&gt;15.77,H339&lt;=28.86,G339&gt;0.14))*1</f>
        <v/>
      </c>
      <c r="U339">
        <f>--(AND(D339&lt;=113.15,E339&lt;=0.15,F339&gt;15.77,H339&gt;28.86,M339&lt;=14.54))*1</f>
        <v/>
      </c>
      <c r="V339">
        <f>--(AND(D339&lt;=113.15,E339&lt;=0.15,F339&gt;15.77,H339&gt;28.86,M339&gt;14.54))*1</f>
        <v/>
      </c>
      <c r="W339">
        <f>--(AND(D339&lt;=113.15,E339&gt;0.15,H339&lt;=23.74))*0</f>
        <v/>
      </c>
      <c r="X339">
        <f>--(AND(D339&lt;=113.15,E339&gt;0.15,H339&gt;23.74,J339&lt;=0.1))*1</f>
        <v/>
      </c>
      <c r="Y339">
        <f>--(AND(D339&lt;=113.15,E339&gt;0.15,H339&gt;23.74,J339&gt;0.1))*1</f>
        <v/>
      </c>
      <c r="Z339">
        <f>--(AND(D339&gt;113.15,K339&lt;=0.22,L339&lt;=0.02))*1</f>
        <v/>
      </c>
      <c r="AA339">
        <f>--(AND(D339&gt;113.15,K339&lt;=0.22,L339&gt;0.02))*0</f>
        <v/>
      </c>
      <c r="AB339">
        <f>--(AND(D339&gt;113.15,K339&gt;0.22,N339&lt;=810.1))*0</f>
        <v/>
      </c>
      <c r="AC339">
        <f>--(AND(D339&gt;113.15,K339&gt;0.22,N339&gt;810.1,I339&lt;=14.95))*1</f>
        <v/>
      </c>
      <c r="AD339">
        <f>--(AND(D339&gt;113.15,K339&gt;0.22,N339&gt;810.1,I339&gt;14.95))*1</f>
        <v/>
      </c>
      <c r="AE339">
        <f>SUM(P339:AD339)</f>
        <v/>
      </c>
      <c r="AF339">
        <f>IF(AE339=1,"Malignant","Benign")</f>
        <v/>
      </c>
      <c r="AG339">
        <f>--(AE339=C339)</f>
        <v/>
      </c>
    </row>
    <row r="340">
      <c r="A340">
        <f>BreastCancer_Data!A340</f>
        <v/>
      </c>
      <c r="B340">
        <f>BreastCancer_Data!B340</f>
        <v/>
      </c>
      <c r="C340">
        <f>BreastCancer_Data!D340</f>
        <v/>
      </c>
      <c r="D340">
        <f>BreastCancer_Data!E340</f>
        <v/>
      </c>
      <c r="E340">
        <f>BreastCancer_Data!F340</f>
        <v/>
      </c>
      <c r="F340">
        <f>BreastCancer_Data!G340</f>
        <v/>
      </c>
      <c r="G340">
        <f>BreastCancer_Data!H340</f>
        <v/>
      </c>
      <c r="H340">
        <f>BreastCancer_Data!I340</f>
        <v/>
      </c>
      <c r="I340">
        <f>BreastCancer_Data!J340</f>
        <v/>
      </c>
      <c r="J340">
        <f>BreastCancer_Data!K340</f>
        <v/>
      </c>
      <c r="K340">
        <f>BreastCancer_Data!L340</f>
        <v/>
      </c>
      <c r="L340">
        <f>BreastCancer_Data!M340</f>
        <v/>
      </c>
      <c r="M340">
        <f>BreastCancer_Data!N340</f>
        <v/>
      </c>
      <c r="N340">
        <f>BreastCancer_Data!O340</f>
        <v/>
      </c>
      <c r="O340">
        <f>0</f>
        <v/>
      </c>
      <c r="P340">
        <f>--(AND(D340&lt;=113.15,E340&lt;=0.15,F340&lt;=15.77,G340&lt;=0.18,H340&lt;=33.27))*0</f>
        <v/>
      </c>
      <c r="Q340">
        <f>--(AND(D340&lt;=113.15,E340&lt;=0.15,F340&lt;=15.77,G340&lt;=0.18,H340&gt;33.27))*0</f>
        <v/>
      </c>
      <c r="R340">
        <f>--(AND(D340&lt;=113.15,E340&lt;=0.15,F340&lt;=15.77,G340&gt;0.18))*0</f>
        <v/>
      </c>
      <c r="S340">
        <f>--(AND(D340&lt;=113.15,E340&lt;=0.15,F340&gt;15.77,H340&lt;=28.86,G340&lt;=0.14))*0</f>
        <v/>
      </c>
      <c r="T340">
        <f>--(AND(D340&lt;=113.15,E340&lt;=0.15,F340&gt;15.77,H340&lt;=28.86,G340&gt;0.14))*1</f>
        <v/>
      </c>
      <c r="U340">
        <f>--(AND(D340&lt;=113.15,E340&lt;=0.15,F340&gt;15.77,H340&gt;28.86,M340&lt;=14.54))*1</f>
        <v/>
      </c>
      <c r="V340">
        <f>--(AND(D340&lt;=113.15,E340&lt;=0.15,F340&gt;15.77,H340&gt;28.86,M340&gt;14.54))*1</f>
        <v/>
      </c>
      <c r="W340">
        <f>--(AND(D340&lt;=113.15,E340&gt;0.15,H340&lt;=23.74))*0</f>
        <v/>
      </c>
      <c r="X340">
        <f>--(AND(D340&lt;=113.15,E340&gt;0.15,H340&gt;23.74,J340&lt;=0.1))*1</f>
        <v/>
      </c>
      <c r="Y340">
        <f>--(AND(D340&lt;=113.15,E340&gt;0.15,H340&gt;23.74,J340&gt;0.1))*1</f>
        <v/>
      </c>
      <c r="Z340">
        <f>--(AND(D340&gt;113.15,K340&lt;=0.22,L340&lt;=0.02))*1</f>
        <v/>
      </c>
      <c r="AA340">
        <f>--(AND(D340&gt;113.15,K340&lt;=0.22,L340&gt;0.02))*0</f>
        <v/>
      </c>
      <c r="AB340">
        <f>--(AND(D340&gt;113.15,K340&gt;0.22,N340&lt;=810.1))*0</f>
        <v/>
      </c>
      <c r="AC340">
        <f>--(AND(D340&gt;113.15,K340&gt;0.22,N340&gt;810.1,I340&lt;=14.95))*1</f>
        <v/>
      </c>
      <c r="AD340">
        <f>--(AND(D340&gt;113.15,K340&gt;0.22,N340&gt;810.1,I340&gt;14.95))*1</f>
        <v/>
      </c>
      <c r="AE340">
        <f>SUM(P340:AD340)</f>
        <v/>
      </c>
      <c r="AF340">
        <f>IF(AE340=1,"Malignant","Benign")</f>
        <v/>
      </c>
      <c r="AG340">
        <f>--(AE340=C340)</f>
        <v/>
      </c>
    </row>
    <row r="341">
      <c r="A341">
        <f>BreastCancer_Data!A341</f>
        <v/>
      </c>
      <c r="B341">
        <f>BreastCancer_Data!B341</f>
        <v/>
      </c>
      <c r="C341">
        <f>BreastCancer_Data!D341</f>
        <v/>
      </c>
      <c r="D341">
        <f>BreastCancer_Data!E341</f>
        <v/>
      </c>
      <c r="E341">
        <f>BreastCancer_Data!F341</f>
        <v/>
      </c>
      <c r="F341">
        <f>BreastCancer_Data!G341</f>
        <v/>
      </c>
      <c r="G341">
        <f>BreastCancer_Data!H341</f>
        <v/>
      </c>
      <c r="H341">
        <f>BreastCancer_Data!I341</f>
        <v/>
      </c>
      <c r="I341">
        <f>BreastCancer_Data!J341</f>
        <v/>
      </c>
      <c r="J341">
        <f>BreastCancer_Data!K341</f>
        <v/>
      </c>
      <c r="K341">
        <f>BreastCancer_Data!L341</f>
        <v/>
      </c>
      <c r="L341">
        <f>BreastCancer_Data!M341</f>
        <v/>
      </c>
      <c r="M341">
        <f>BreastCancer_Data!N341</f>
        <v/>
      </c>
      <c r="N341">
        <f>BreastCancer_Data!O341</f>
        <v/>
      </c>
      <c r="O341">
        <f>0</f>
        <v/>
      </c>
      <c r="P341">
        <f>--(AND(D341&lt;=113.15,E341&lt;=0.15,F341&lt;=15.77,G341&lt;=0.18,H341&lt;=33.27))*0</f>
        <v/>
      </c>
      <c r="Q341">
        <f>--(AND(D341&lt;=113.15,E341&lt;=0.15,F341&lt;=15.77,G341&lt;=0.18,H341&gt;33.27))*0</f>
        <v/>
      </c>
      <c r="R341">
        <f>--(AND(D341&lt;=113.15,E341&lt;=0.15,F341&lt;=15.77,G341&gt;0.18))*0</f>
        <v/>
      </c>
      <c r="S341">
        <f>--(AND(D341&lt;=113.15,E341&lt;=0.15,F341&gt;15.77,H341&lt;=28.86,G341&lt;=0.14))*0</f>
        <v/>
      </c>
      <c r="T341">
        <f>--(AND(D341&lt;=113.15,E341&lt;=0.15,F341&gt;15.77,H341&lt;=28.86,G341&gt;0.14))*1</f>
        <v/>
      </c>
      <c r="U341">
        <f>--(AND(D341&lt;=113.15,E341&lt;=0.15,F341&gt;15.77,H341&gt;28.86,M341&lt;=14.54))*1</f>
        <v/>
      </c>
      <c r="V341">
        <f>--(AND(D341&lt;=113.15,E341&lt;=0.15,F341&gt;15.77,H341&gt;28.86,M341&gt;14.54))*1</f>
        <v/>
      </c>
      <c r="W341">
        <f>--(AND(D341&lt;=113.15,E341&gt;0.15,H341&lt;=23.74))*0</f>
        <v/>
      </c>
      <c r="X341">
        <f>--(AND(D341&lt;=113.15,E341&gt;0.15,H341&gt;23.74,J341&lt;=0.1))*1</f>
        <v/>
      </c>
      <c r="Y341">
        <f>--(AND(D341&lt;=113.15,E341&gt;0.15,H341&gt;23.74,J341&gt;0.1))*1</f>
        <v/>
      </c>
      <c r="Z341">
        <f>--(AND(D341&gt;113.15,K341&lt;=0.22,L341&lt;=0.02))*1</f>
        <v/>
      </c>
      <c r="AA341">
        <f>--(AND(D341&gt;113.15,K341&lt;=0.22,L341&gt;0.02))*0</f>
        <v/>
      </c>
      <c r="AB341">
        <f>--(AND(D341&gt;113.15,K341&gt;0.22,N341&lt;=810.1))*0</f>
        <v/>
      </c>
      <c r="AC341">
        <f>--(AND(D341&gt;113.15,K341&gt;0.22,N341&gt;810.1,I341&lt;=14.95))*1</f>
        <v/>
      </c>
      <c r="AD341">
        <f>--(AND(D341&gt;113.15,K341&gt;0.22,N341&gt;810.1,I341&gt;14.95))*1</f>
        <v/>
      </c>
      <c r="AE341">
        <f>SUM(P341:AD341)</f>
        <v/>
      </c>
      <c r="AF341">
        <f>IF(AE341=1,"Malignant","Benign")</f>
        <v/>
      </c>
      <c r="AG341">
        <f>--(AE341=C341)</f>
        <v/>
      </c>
    </row>
    <row r="342">
      <c r="A342">
        <f>BreastCancer_Data!A342</f>
        <v/>
      </c>
      <c r="B342">
        <f>BreastCancer_Data!B342</f>
        <v/>
      </c>
      <c r="C342">
        <f>BreastCancer_Data!D342</f>
        <v/>
      </c>
      <c r="D342">
        <f>BreastCancer_Data!E342</f>
        <v/>
      </c>
      <c r="E342">
        <f>BreastCancer_Data!F342</f>
        <v/>
      </c>
      <c r="F342">
        <f>BreastCancer_Data!G342</f>
        <v/>
      </c>
      <c r="G342">
        <f>BreastCancer_Data!H342</f>
        <v/>
      </c>
      <c r="H342">
        <f>BreastCancer_Data!I342</f>
        <v/>
      </c>
      <c r="I342">
        <f>BreastCancer_Data!J342</f>
        <v/>
      </c>
      <c r="J342">
        <f>BreastCancer_Data!K342</f>
        <v/>
      </c>
      <c r="K342">
        <f>BreastCancer_Data!L342</f>
        <v/>
      </c>
      <c r="L342">
        <f>BreastCancer_Data!M342</f>
        <v/>
      </c>
      <c r="M342">
        <f>BreastCancer_Data!N342</f>
        <v/>
      </c>
      <c r="N342">
        <f>BreastCancer_Data!O342</f>
        <v/>
      </c>
      <c r="O342">
        <f>0</f>
        <v/>
      </c>
      <c r="P342">
        <f>--(AND(D342&lt;=113.15,E342&lt;=0.15,F342&lt;=15.77,G342&lt;=0.18,H342&lt;=33.27))*0</f>
        <v/>
      </c>
      <c r="Q342">
        <f>--(AND(D342&lt;=113.15,E342&lt;=0.15,F342&lt;=15.77,G342&lt;=0.18,H342&gt;33.27))*0</f>
        <v/>
      </c>
      <c r="R342">
        <f>--(AND(D342&lt;=113.15,E342&lt;=0.15,F342&lt;=15.77,G342&gt;0.18))*0</f>
        <v/>
      </c>
      <c r="S342">
        <f>--(AND(D342&lt;=113.15,E342&lt;=0.15,F342&gt;15.77,H342&lt;=28.86,G342&lt;=0.14))*0</f>
        <v/>
      </c>
      <c r="T342">
        <f>--(AND(D342&lt;=113.15,E342&lt;=0.15,F342&gt;15.77,H342&lt;=28.86,G342&gt;0.14))*1</f>
        <v/>
      </c>
      <c r="U342">
        <f>--(AND(D342&lt;=113.15,E342&lt;=0.15,F342&gt;15.77,H342&gt;28.86,M342&lt;=14.54))*1</f>
        <v/>
      </c>
      <c r="V342">
        <f>--(AND(D342&lt;=113.15,E342&lt;=0.15,F342&gt;15.77,H342&gt;28.86,M342&gt;14.54))*1</f>
        <v/>
      </c>
      <c r="W342">
        <f>--(AND(D342&lt;=113.15,E342&gt;0.15,H342&lt;=23.74))*0</f>
        <v/>
      </c>
      <c r="X342">
        <f>--(AND(D342&lt;=113.15,E342&gt;0.15,H342&gt;23.74,J342&lt;=0.1))*1</f>
        <v/>
      </c>
      <c r="Y342">
        <f>--(AND(D342&lt;=113.15,E342&gt;0.15,H342&gt;23.74,J342&gt;0.1))*1</f>
        <v/>
      </c>
      <c r="Z342">
        <f>--(AND(D342&gt;113.15,K342&lt;=0.22,L342&lt;=0.02))*1</f>
        <v/>
      </c>
      <c r="AA342">
        <f>--(AND(D342&gt;113.15,K342&lt;=0.22,L342&gt;0.02))*0</f>
        <v/>
      </c>
      <c r="AB342">
        <f>--(AND(D342&gt;113.15,K342&gt;0.22,N342&lt;=810.1))*0</f>
        <v/>
      </c>
      <c r="AC342">
        <f>--(AND(D342&gt;113.15,K342&gt;0.22,N342&gt;810.1,I342&lt;=14.95))*1</f>
        <v/>
      </c>
      <c r="AD342">
        <f>--(AND(D342&gt;113.15,K342&gt;0.22,N342&gt;810.1,I342&gt;14.95))*1</f>
        <v/>
      </c>
      <c r="AE342">
        <f>SUM(P342:AD342)</f>
        <v/>
      </c>
      <c r="AF342">
        <f>IF(AE342=1,"Malignant","Benign")</f>
        <v/>
      </c>
      <c r="AG342">
        <f>--(AE342=C342)</f>
        <v/>
      </c>
    </row>
    <row r="343">
      <c r="A343">
        <f>BreastCancer_Data!A343</f>
        <v/>
      </c>
      <c r="B343">
        <f>BreastCancer_Data!B343</f>
        <v/>
      </c>
      <c r="C343">
        <f>BreastCancer_Data!D343</f>
        <v/>
      </c>
      <c r="D343">
        <f>BreastCancer_Data!E343</f>
        <v/>
      </c>
      <c r="E343">
        <f>BreastCancer_Data!F343</f>
        <v/>
      </c>
      <c r="F343">
        <f>BreastCancer_Data!G343</f>
        <v/>
      </c>
      <c r="G343">
        <f>BreastCancer_Data!H343</f>
        <v/>
      </c>
      <c r="H343">
        <f>BreastCancer_Data!I343</f>
        <v/>
      </c>
      <c r="I343">
        <f>BreastCancer_Data!J343</f>
        <v/>
      </c>
      <c r="J343">
        <f>BreastCancer_Data!K343</f>
        <v/>
      </c>
      <c r="K343">
        <f>BreastCancer_Data!L343</f>
        <v/>
      </c>
      <c r="L343">
        <f>BreastCancer_Data!M343</f>
        <v/>
      </c>
      <c r="M343">
        <f>BreastCancer_Data!N343</f>
        <v/>
      </c>
      <c r="N343">
        <f>BreastCancer_Data!O343</f>
        <v/>
      </c>
      <c r="O343">
        <f>0</f>
        <v/>
      </c>
      <c r="P343">
        <f>--(AND(D343&lt;=113.15,E343&lt;=0.15,F343&lt;=15.77,G343&lt;=0.18,H343&lt;=33.27))*0</f>
        <v/>
      </c>
      <c r="Q343">
        <f>--(AND(D343&lt;=113.15,E343&lt;=0.15,F343&lt;=15.77,G343&lt;=0.18,H343&gt;33.27))*0</f>
        <v/>
      </c>
      <c r="R343">
        <f>--(AND(D343&lt;=113.15,E343&lt;=0.15,F343&lt;=15.77,G343&gt;0.18))*0</f>
        <v/>
      </c>
      <c r="S343">
        <f>--(AND(D343&lt;=113.15,E343&lt;=0.15,F343&gt;15.77,H343&lt;=28.86,G343&lt;=0.14))*0</f>
        <v/>
      </c>
      <c r="T343">
        <f>--(AND(D343&lt;=113.15,E343&lt;=0.15,F343&gt;15.77,H343&lt;=28.86,G343&gt;0.14))*1</f>
        <v/>
      </c>
      <c r="U343">
        <f>--(AND(D343&lt;=113.15,E343&lt;=0.15,F343&gt;15.77,H343&gt;28.86,M343&lt;=14.54))*1</f>
        <v/>
      </c>
      <c r="V343">
        <f>--(AND(D343&lt;=113.15,E343&lt;=0.15,F343&gt;15.77,H343&gt;28.86,M343&gt;14.54))*1</f>
        <v/>
      </c>
      <c r="W343">
        <f>--(AND(D343&lt;=113.15,E343&gt;0.15,H343&lt;=23.74))*0</f>
        <v/>
      </c>
      <c r="X343">
        <f>--(AND(D343&lt;=113.15,E343&gt;0.15,H343&gt;23.74,J343&lt;=0.1))*1</f>
        <v/>
      </c>
      <c r="Y343">
        <f>--(AND(D343&lt;=113.15,E343&gt;0.15,H343&gt;23.74,J343&gt;0.1))*1</f>
        <v/>
      </c>
      <c r="Z343">
        <f>--(AND(D343&gt;113.15,K343&lt;=0.22,L343&lt;=0.02))*1</f>
        <v/>
      </c>
      <c r="AA343">
        <f>--(AND(D343&gt;113.15,K343&lt;=0.22,L343&gt;0.02))*0</f>
        <v/>
      </c>
      <c r="AB343">
        <f>--(AND(D343&gt;113.15,K343&gt;0.22,N343&lt;=810.1))*0</f>
        <v/>
      </c>
      <c r="AC343">
        <f>--(AND(D343&gt;113.15,K343&gt;0.22,N343&gt;810.1,I343&lt;=14.95))*1</f>
        <v/>
      </c>
      <c r="AD343">
        <f>--(AND(D343&gt;113.15,K343&gt;0.22,N343&gt;810.1,I343&gt;14.95))*1</f>
        <v/>
      </c>
      <c r="AE343">
        <f>SUM(P343:AD343)</f>
        <v/>
      </c>
      <c r="AF343">
        <f>IF(AE343=1,"Malignant","Benign")</f>
        <v/>
      </c>
      <c r="AG343">
        <f>--(AE343=C343)</f>
        <v/>
      </c>
    </row>
    <row r="344">
      <c r="A344">
        <f>BreastCancer_Data!A344</f>
        <v/>
      </c>
      <c r="B344">
        <f>BreastCancer_Data!B344</f>
        <v/>
      </c>
      <c r="C344">
        <f>BreastCancer_Data!D344</f>
        <v/>
      </c>
      <c r="D344">
        <f>BreastCancer_Data!E344</f>
        <v/>
      </c>
      <c r="E344">
        <f>BreastCancer_Data!F344</f>
        <v/>
      </c>
      <c r="F344">
        <f>BreastCancer_Data!G344</f>
        <v/>
      </c>
      <c r="G344">
        <f>BreastCancer_Data!H344</f>
        <v/>
      </c>
      <c r="H344">
        <f>BreastCancer_Data!I344</f>
        <v/>
      </c>
      <c r="I344">
        <f>BreastCancer_Data!J344</f>
        <v/>
      </c>
      <c r="J344">
        <f>BreastCancer_Data!K344</f>
        <v/>
      </c>
      <c r="K344">
        <f>BreastCancer_Data!L344</f>
        <v/>
      </c>
      <c r="L344">
        <f>BreastCancer_Data!M344</f>
        <v/>
      </c>
      <c r="M344">
        <f>BreastCancer_Data!N344</f>
        <v/>
      </c>
      <c r="N344">
        <f>BreastCancer_Data!O344</f>
        <v/>
      </c>
      <c r="O344">
        <f>0</f>
        <v/>
      </c>
      <c r="P344">
        <f>--(AND(D344&lt;=113.15,E344&lt;=0.15,F344&lt;=15.77,G344&lt;=0.18,H344&lt;=33.27))*0</f>
        <v/>
      </c>
      <c r="Q344">
        <f>--(AND(D344&lt;=113.15,E344&lt;=0.15,F344&lt;=15.77,G344&lt;=0.18,H344&gt;33.27))*0</f>
        <v/>
      </c>
      <c r="R344">
        <f>--(AND(D344&lt;=113.15,E344&lt;=0.15,F344&lt;=15.77,G344&gt;0.18))*0</f>
        <v/>
      </c>
      <c r="S344">
        <f>--(AND(D344&lt;=113.15,E344&lt;=0.15,F344&gt;15.77,H344&lt;=28.86,G344&lt;=0.14))*0</f>
        <v/>
      </c>
      <c r="T344">
        <f>--(AND(D344&lt;=113.15,E344&lt;=0.15,F344&gt;15.77,H344&lt;=28.86,G344&gt;0.14))*1</f>
        <v/>
      </c>
      <c r="U344">
        <f>--(AND(D344&lt;=113.15,E344&lt;=0.15,F344&gt;15.77,H344&gt;28.86,M344&lt;=14.54))*1</f>
        <v/>
      </c>
      <c r="V344">
        <f>--(AND(D344&lt;=113.15,E344&lt;=0.15,F344&gt;15.77,H344&gt;28.86,M344&gt;14.54))*1</f>
        <v/>
      </c>
      <c r="W344">
        <f>--(AND(D344&lt;=113.15,E344&gt;0.15,H344&lt;=23.74))*0</f>
        <v/>
      </c>
      <c r="X344">
        <f>--(AND(D344&lt;=113.15,E344&gt;0.15,H344&gt;23.74,J344&lt;=0.1))*1</f>
        <v/>
      </c>
      <c r="Y344">
        <f>--(AND(D344&lt;=113.15,E344&gt;0.15,H344&gt;23.74,J344&gt;0.1))*1</f>
        <v/>
      </c>
      <c r="Z344">
        <f>--(AND(D344&gt;113.15,K344&lt;=0.22,L344&lt;=0.02))*1</f>
        <v/>
      </c>
      <c r="AA344">
        <f>--(AND(D344&gt;113.15,K344&lt;=0.22,L344&gt;0.02))*0</f>
        <v/>
      </c>
      <c r="AB344">
        <f>--(AND(D344&gt;113.15,K344&gt;0.22,N344&lt;=810.1))*0</f>
        <v/>
      </c>
      <c r="AC344">
        <f>--(AND(D344&gt;113.15,K344&gt;0.22,N344&gt;810.1,I344&lt;=14.95))*1</f>
        <v/>
      </c>
      <c r="AD344">
        <f>--(AND(D344&gt;113.15,K344&gt;0.22,N344&gt;810.1,I344&gt;14.95))*1</f>
        <v/>
      </c>
      <c r="AE344">
        <f>SUM(P344:AD344)</f>
        <v/>
      </c>
      <c r="AF344">
        <f>IF(AE344=1,"Malignant","Benign")</f>
        <v/>
      </c>
      <c r="AG344">
        <f>--(AE344=C344)</f>
        <v/>
      </c>
    </row>
    <row r="345">
      <c r="A345">
        <f>BreastCancer_Data!A345</f>
        <v/>
      </c>
      <c r="B345">
        <f>BreastCancer_Data!B345</f>
        <v/>
      </c>
      <c r="C345">
        <f>BreastCancer_Data!D345</f>
        <v/>
      </c>
      <c r="D345">
        <f>BreastCancer_Data!E345</f>
        <v/>
      </c>
      <c r="E345">
        <f>BreastCancer_Data!F345</f>
        <v/>
      </c>
      <c r="F345">
        <f>BreastCancer_Data!G345</f>
        <v/>
      </c>
      <c r="G345">
        <f>BreastCancer_Data!H345</f>
        <v/>
      </c>
      <c r="H345">
        <f>BreastCancer_Data!I345</f>
        <v/>
      </c>
      <c r="I345">
        <f>BreastCancer_Data!J345</f>
        <v/>
      </c>
      <c r="J345">
        <f>BreastCancer_Data!K345</f>
        <v/>
      </c>
      <c r="K345">
        <f>BreastCancer_Data!L345</f>
        <v/>
      </c>
      <c r="L345">
        <f>BreastCancer_Data!M345</f>
        <v/>
      </c>
      <c r="M345">
        <f>BreastCancer_Data!N345</f>
        <v/>
      </c>
      <c r="N345">
        <f>BreastCancer_Data!O345</f>
        <v/>
      </c>
      <c r="O345">
        <f>0</f>
        <v/>
      </c>
      <c r="P345">
        <f>--(AND(D345&lt;=113.15,E345&lt;=0.15,F345&lt;=15.77,G345&lt;=0.18,H345&lt;=33.27))*0</f>
        <v/>
      </c>
      <c r="Q345">
        <f>--(AND(D345&lt;=113.15,E345&lt;=0.15,F345&lt;=15.77,G345&lt;=0.18,H345&gt;33.27))*0</f>
        <v/>
      </c>
      <c r="R345">
        <f>--(AND(D345&lt;=113.15,E345&lt;=0.15,F345&lt;=15.77,G345&gt;0.18))*0</f>
        <v/>
      </c>
      <c r="S345">
        <f>--(AND(D345&lt;=113.15,E345&lt;=0.15,F345&gt;15.77,H345&lt;=28.86,G345&lt;=0.14))*0</f>
        <v/>
      </c>
      <c r="T345">
        <f>--(AND(D345&lt;=113.15,E345&lt;=0.15,F345&gt;15.77,H345&lt;=28.86,G345&gt;0.14))*1</f>
        <v/>
      </c>
      <c r="U345">
        <f>--(AND(D345&lt;=113.15,E345&lt;=0.15,F345&gt;15.77,H345&gt;28.86,M345&lt;=14.54))*1</f>
        <v/>
      </c>
      <c r="V345">
        <f>--(AND(D345&lt;=113.15,E345&lt;=0.15,F345&gt;15.77,H345&gt;28.86,M345&gt;14.54))*1</f>
        <v/>
      </c>
      <c r="W345">
        <f>--(AND(D345&lt;=113.15,E345&gt;0.15,H345&lt;=23.74))*0</f>
        <v/>
      </c>
      <c r="X345">
        <f>--(AND(D345&lt;=113.15,E345&gt;0.15,H345&gt;23.74,J345&lt;=0.1))*1</f>
        <v/>
      </c>
      <c r="Y345">
        <f>--(AND(D345&lt;=113.15,E345&gt;0.15,H345&gt;23.74,J345&gt;0.1))*1</f>
        <v/>
      </c>
      <c r="Z345">
        <f>--(AND(D345&gt;113.15,K345&lt;=0.22,L345&lt;=0.02))*1</f>
        <v/>
      </c>
      <c r="AA345">
        <f>--(AND(D345&gt;113.15,K345&lt;=0.22,L345&gt;0.02))*0</f>
        <v/>
      </c>
      <c r="AB345">
        <f>--(AND(D345&gt;113.15,K345&gt;0.22,N345&lt;=810.1))*0</f>
        <v/>
      </c>
      <c r="AC345">
        <f>--(AND(D345&gt;113.15,K345&gt;0.22,N345&gt;810.1,I345&lt;=14.95))*1</f>
        <v/>
      </c>
      <c r="AD345">
        <f>--(AND(D345&gt;113.15,K345&gt;0.22,N345&gt;810.1,I345&gt;14.95))*1</f>
        <v/>
      </c>
      <c r="AE345">
        <f>SUM(P345:AD345)</f>
        <v/>
      </c>
      <c r="AF345">
        <f>IF(AE345=1,"Malignant","Benign")</f>
        <v/>
      </c>
      <c r="AG345">
        <f>--(AE345=C345)</f>
        <v/>
      </c>
    </row>
    <row r="346">
      <c r="A346">
        <f>BreastCancer_Data!A346</f>
        <v/>
      </c>
      <c r="B346">
        <f>BreastCancer_Data!B346</f>
        <v/>
      </c>
      <c r="C346">
        <f>BreastCancer_Data!D346</f>
        <v/>
      </c>
      <c r="D346">
        <f>BreastCancer_Data!E346</f>
        <v/>
      </c>
      <c r="E346">
        <f>BreastCancer_Data!F346</f>
        <v/>
      </c>
      <c r="F346">
        <f>BreastCancer_Data!G346</f>
        <v/>
      </c>
      <c r="G346">
        <f>BreastCancer_Data!H346</f>
        <v/>
      </c>
      <c r="H346">
        <f>BreastCancer_Data!I346</f>
        <v/>
      </c>
      <c r="I346">
        <f>BreastCancer_Data!J346</f>
        <v/>
      </c>
      <c r="J346">
        <f>BreastCancer_Data!K346</f>
        <v/>
      </c>
      <c r="K346">
        <f>BreastCancer_Data!L346</f>
        <v/>
      </c>
      <c r="L346">
        <f>BreastCancer_Data!M346</f>
        <v/>
      </c>
      <c r="M346">
        <f>BreastCancer_Data!N346</f>
        <v/>
      </c>
      <c r="N346">
        <f>BreastCancer_Data!O346</f>
        <v/>
      </c>
      <c r="O346">
        <f>0</f>
        <v/>
      </c>
      <c r="P346">
        <f>--(AND(D346&lt;=113.15,E346&lt;=0.15,F346&lt;=15.77,G346&lt;=0.18,H346&lt;=33.27))*0</f>
        <v/>
      </c>
      <c r="Q346">
        <f>--(AND(D346&lt;=113.15,E346&lt;=0.15,F346&lt;=15.77,G346&lt;=0.18,H346&gt;33.27))*0</f>
        <v/>
      </c>
      <c r="R346">
        <f>--(AND(D346&lt;=113.15,E346&lt;=0.15,F346&lt;=15.77,G346&gt;0.18))*0</f>
        <v/>
      </c>
      <c r="S346">
        <f>--(AND(D346&lt;=113.15,E346&lt;=0.15,F346&gt;15.77,H346&lt;=28.86,G346&lt;=0.14))*0</f>
        <v/>
      </c>
      <c r="T346">
        <f>--(AND(D346&lt;=113.15,E346&lt;=0.15,F346&gt;15.77,H346&lt;=28.86,G346&gt;0.14))*1</f>
        <v/>
      </c>
      <c r="U346">
        <f>--(AND(D346&lt;=113.15,E346&lt;=0.15,F346&gt;15.77,H346&gt;28.86,M346&lt;=14.54))*1</f>
        <v/>
      </c>
      <c r="V346">
        <f>--(AND(D346&lt;=113.15,E346&lt;=0.15,F346&gt;15.77,H346&gt;28.86,M346&gt;14.54))*1</f>
        <v/>
      </c>
      <c r="W346">
        <f>--(AND(D346&lt;=113.15,E346&gt;0.15,H346&lt;=23.74))*0</f>
        <v/>
      </c>
      <c r="X346">
        <f>--(AND(D346&lt;=113.15,E346&gt;0.15,H346&gt;23.74,J346&lt;=0.1))*1</f>
        <v/>
      </c>
      <c r="Y346">
        <f>--(AND(D346&lt;=113.15,E346&gt;0.15,H346&gt;23.74,J346&gt;0.1))*1</f>
        <v/>
      </c>
      <c r="Z346">
        <f>--(AND(D346&gt;113.15,K346&lt;=0.22,L346&lt;=0.02))*1</f>
        <v/>
      </c>
      <c r="AA346">
        <f>--(AND(D346&gt;113.15,K346&lt;=0.22,L346&gt;0.02))*0</f>
        <v/>
      </c>
      <c r="AB346">
        <f>--(AND(D346&gt;113.15,K346&gt;0.22,N346&lt;=810.1))*0</f>
        <v/>
      </c>
      <c r="AC346">
        <f>--(AND(D346&gt;113.15,K346&gt;0.22,N346&gt;810.1,I346&lt;=14.95))*1</f>
        <v/>
      </c>
      <c r="AD346">
        <f>--(AND(D346&gt;113.15,K346&gt;0.22,N346&gt;810.1,I346&gt;14.95))*1</f>
        <v/>
      </c>
      <c r="AE346">
        <f>SUM(P346:AD346)</f>
        <v/>
      </c>
      <c r="AF346">
        <f>IF(AE346=1,"Malignant","Benign")</f>
        <v/>
      </c>
      <c r="AG346">
        <f>--(AE346=C346)</f>
        <v/>
      </c>
    </row>
    <row r="347">
      <c r="A347">
        <f>BreastCancer_Data!A347</f>
        <v/>
      </c>
      <c r="B347">
        <f>BreastCancer_Data!B347</f>
        <v/>
      </c>
      <c r="C347">
        <f>BreastCancer_Data!D347</f>
        <v/>
      </c>
      <c r="D347">
        <f>BreastCancer_Data!E347</f>
        <v/>
      </c>
      <c r="E347">
        <f>BreastCancer_Data!F347</f>
        <v/>
      </c>
      <c r="F347">
        <f>BreastCancer_Data!G347</f>
        <v/>
      </c>
      <c r="G347">
        <f>BreastCancer_Data!H347</f>
        <v/>
      </c>
      <c r="H347">
        <f>BreastCancer_Data!I347</f>
        <v/>
      </c>
      <c r="I347">
        <f>BreastCancer_Data!J347</f>
        <v/>
      </c>
      <c r="J347">
        <f>BreastCancer_Data!K347</f>
        <v/>
      </c>
      <c r="K347">
        <f>BreastCancer_Data!L347</f>
        <v/>
      </c>
      <c r="L347">
        <f>BreastCancer_Data!M347</f>
        <v/>
      </c>
      <c r="M347">
        <f>BreastCancer_Data!N347</f>
        <v/>
      </c>
      <c r="N347">
        <f>BreastCancer_Data!O347</f>
        <v/>
      </c>
      <c r="O347">
        <f>0</f>
        <v/>
      </c>
      <c r="P347">
        <f>--(AND(D347&lt;=113.15,E347&lt;=0.15,F347&lt;=15.77,G347&lt;=0.18,H347&lt;=33.27))*0</f>
        <v/>
      </c>
      <c r="Q347">
        <f>--(AND(D347&lt;=113.15,E347&lt;=0.15,F347&lt;=15.77,G347&lt;=0.18,H347&gt;33.27))*0</f>
        <v/>
      </c>
      <c r="R347">
        <f>--(AND(D347&lt;=113.15,E347&lt;=0.15,F347&lt;=15.77,G347&gt;0.18))*0</f>
        <v/>
      </c>
      <c r="S347">
        <f>--(AND(D347&lt;=113.15,E347&lt;=0.15,F347&gt;15.77,H347&lt;=28.86,G347&lt;=0.14))*0</f>
        <v/>
      </c>
      <c r="T347">
        <f>--(AND(D347&lt;=113.15,E347&lt;=0.15,F347&gt;15.77,H347&lt;=28.86,G347&gt;0.14))*1</f>
        <v/>
      </c>
      <c r="U347">
        <f>--(AND(D347&lt;=113.15,E347&lt;=0.15,F347&gt;15.77,H347&gt;28.86,M347&lt;=14.54))*1</f>
        <v/>
      </c>
      <c r="V347">
        <f>--(AND(D347&lt;=113.15,E347&lt;=0.15,F347&gt;15.77,H347&gt;28.86,M347&gt;14.54))*1</f>
        <v/>
      </c>
      <c r="W347">
        <f>--(AND(D347&lt;=113.15,E347&gt;0.15,H347&lt;=23.74))*0</f>
        <v/>
      </c>
      <c r="X347">
        <f>--(AND(D347&lt;=113.15,E347&gt;0.15,H347&gt;23.74,J347&lt;=0.1))*1</f>
        <v/>
      </c>
      <c r="Y347">
        <f>--(AND(D347&lt;=113.15,E347&gt;0.15,H347&gt;23.74,J347&gt;0.1))*1</f>
        <v/>
      </c>
      <c r="Z347">
        <f>--(AND(D347&gt;113.15,K347&lt;=0.22,L347&lt;=0.02))*1</f>
        <v/>
      </c>
      <c r="AA347">
        <f>--(AND(D347&gt;113.15,K347&lt;=0.22,L347&gt;0.02))*0</f>
        <v/>
      </c>
      <c r="AB347">
        <f>--(AND(D347&gt;113.15,K347&gt;0.22,N347&lt;=810.1))*0</f>
        <v/>
      </c>
      <c r="AC347">
        <f>--(AND(D347&gt;113.15,K347&gt;0.22,N347&gt;810.1,I347&lt;=14.95))*1</f>
        <v/>
      </c>
      <c r="AD347">
        <f>--(AND(D347&gt;113.15,K347&gt;0.22,N347&gt;810.1,I347&gt;14.95))*1</f>
        <v/>
      </c>
      <c r="AE347">
        <f>SUM(P347:AD347)</f>
        <v/>
      </c>
      <c r="AF347">
        <f>IF(AE347=1,"Malignant","Benign")</f>
        <v/>
      </c>
      <c r="AG347">
        <f>--(AE347=C347)</f>
        <v/>
      </c>
    </row>
    <row r="348">
      <c r="A348">
        <f>BreastCancer_Data!A348</f>
        <v/>
      </c>
      <c r="B348">
        <f>BreastCancer_Data!B348</f>
        <v/>
      </c>
      <c r="C348">
        <f>BreastCancer_Data!D348</f>
        <v/>
      </c>
      <c r="D348">
        <f>BreastCancer_Data!E348</f>
        <v/>
      </c>
      <c r="E348">
        <f>BreastCancer_Data!F348</f>
        <v/>
      </c>
      <c r="F348">
        <f>BreastCancer_Data!G348</f>
        <v/>
      </c>
      <c r="G348">
        <f>BreastCancer_Data!H348</f>
        <v/>
      </c>
      <c r="H348">
        <f>BreastCancer_Data!I348</f>
        <v/>
      </c>
      <c r="I348">
        <f>BreastCancer_Data!J348</f>
        <v/>
      </c>
      <c r="J348">
        <f>BreastCancer_Data!K348</f>
        <v/>
      </c>
      <c r="K348">
        <f>BreastCancer_Data!L348</f>
        <v/>
      </c>
      <c r="L348">
        <f>BreastCancer_Data!M348</f>
        <v/>
      </c>
      <c r="M348">
        <f>BreastCancer_Data!N348</f>
        <v/>
      </c>
      <c r="N348">
        <f>BreastCancer_Data!O348</f>
        <v/>
      </c>
      <c r="O348">
        <f>0</f>
        <v/>
      </c>
      <c r="P348">
        <f>--(AND(D348&lt;=113.15,E348&lt;=0.15,F348&lt;=15.77,G348&lt;=0.18,H348&lt;=33.27))*0</f>
        <v/>
      </c>
      <c r="Q348">
        <f>--(AND(D348&lt;=113.15,E348&lt;=0.15,F348&lt;=15.77,G348&lt;=0.18,H348&gt;33.27))*0</f>
        <v/>
      </c>
      <c r="R348">
        <f>--(AND(D348&lt;=113.15,E348&lt;=0.15,F348&lt;=15.77,G348&gt;0.18))*0</f>
        <v/>
      </c>
      <c r="S348">
        <f>--(AND(D348&lt;=113.15,E348&lt;=0.15,F348&gt;15.77,H348&lt;=28.86,G348&lt;=0.14))*0</f>
        <v/>
      </c>
      <c r="T348">
        <f>--(AND(D348&lt;=113.15,E348&lt;=0.15,F348&gt;15.77,H348&lt;=28.86,G348&gt;0.14))*1</f>
        <v/>
      </c>
      <c r="U348">
        <f>--(AND(D348&lt;=113.15,E348&lt;=0.15,F348&gt;15.77,H348&gt;28.86,M348&lt;=14.54))*1</f>
        <v/>
      </c>
      <c r="V348">
        <f>--(AND(D348&lt;=113.15,E348&lt;=0.15,F348&gt;15.77,H348&gt;28.86,M348&gt;14.54))*1</f>
        <v/>
      </c>
      <c r="W348">
        <f>--(AND(D348&lt;=113.15,E348&gt;0.15,H348&lt;=23.74))*0</f>
        <v/>
      </c>
      <c r="X348">
        <f>--(AND(D348&lt;=113.15,E348&gt;0.15,H348&gt;23.74,J348&lt;=0.1))*1</f>
        <v/>
      </c>
      <c r="Y348">
        <f>--(AND(D348&lt;=113.15,E348&gt;0.15,H348&gt;23.74,J348&gt;0.1))*1</f>
        <v/>
      </c>
      <c r="Z348">
        <f>--(AND(D348&gt;113.15,K348&lt;=0.22,L348&lt;=0.02))*1</f>
        <v/>
      </c>
      <c r="AA348">
        <f>--(AND(D348&gt;113.15,K348&lt;=0.22,L348&gt;0.02))*0</f>
        <v/>
      </c>
      <c r="AB348">
        <f>--(AND(D348&gt;113.15,K348&gt;0.22,N348&lt;=810.1))*0</f>
        <v/>
      </c>
      <c r="AC348">
        <f>--(AND(D348&gt;113.15,K348&gt;0.22,N348&gt;810.1,I348&lt;=14.95))*1</f>
        <v/>
      </c>
      <c r="AD348">
        <f>--(AND(D348&gt;113.15,K348&gt;0.22,N348&gt;810.1,I348&gt;14.95))*1</f>
        <v/>
      </c>
      <c r="AE348">
        <f>SUM(P348:AD348)</f>
        <v/>
      </c>
      <c r="AF348">
        <f>IF(AE348=1,"Malignant","Benign")</f>
        <v/>
      </c>
      <c r="AG348">
        <f>--(AE348=C348)</f>
        <v/>
      </c>
    </row>
    <row r="349">
      <c r="A349">
        <f>BreastCancer_Data!A349</f>
        <v/>
      </c>
      <c r="B349">
        <f>BreastCancer_Data!B349</f>
        <v/>
      </c>
      <c r="C349">
        <f>BreastCancer_Data!D349</f>
        <v/>
      </c>
      <c r="D349">
        <f>BreastCancer_Data!E349</f>
        <v/>
      </c>
      <c r="E349">
        <f>BreastCancer_Data!F349</f>
        <v/>
      </c>
      <c r="F349">
        <f>BreastCancer_Data!G349</f>
        <v/>
      </c>
      <c r="G349">
        <f>BreastCancer_Data!H349</f>
        <v/>
      </c>
      <c r="H349">
        <f>BreastCancer_Data!I349</f>
        <v/>
      </c>
      <c r="I349">
        <f>BreastCancer_Data!J349</f>
        <v/>
      </c>
      <c r="J349">
        <f>BreastCancer_Data!K349</f>
        <v/>
      </c>
      <c r="K349">
        <f>BreastCancer_Data!L349</f>
        <v/>
      </c>
      <c r="L349">
        <f>BreastCancer_Data!M349</f>
        <v/>
      </c>
      <c r="M349">
        <f>BreastCancer_Data!N349</f>
        <v/>
      </c>
      <c r="N349">
        <f>BreastCancer_Data!O349</f>
        <v/>
      </c>
      <c r="O349">
        <f>0</f>
        <v/>
      </c>
      <c r="P349">
        <f>--(AND(D349&lt;=113.15,E349&lt;=0.15,F349&lt;=15.77,G349&lt;=0.18,H349&lt;=33.27))*0</f>
        <v/>
      </c>
      <c r="Q349">
        <f>--(AND(D349&lt;=113.15,E349&lt;=0.15,F349&lt;=15.77,G349&lt;=0.18,H349&gt;33.27))*0</f>
        <v/>
      </c>
      <c r="R349">
        <f>--(AND(D349&lt;=113.15,E349&lt;=0.15,F349&lt;=15.77,G349&gt;0.18))*0</f>
        <v/>
      </c>
      <c r="S349">
        <f>--(AND(D349&lt;=113.15,E349&lt;=0.15,F349&gt;15.77,H349&lt;=28.86,G349&lt;=0.14))*0</f>
        <v/>
      </c>
      <c r="T349">
        <f>--(AND(D349&lt;=113.15,E349&lt;=0.15,F349&gt;15.77,H349&lt;=28.86,G349&gt;0.14))*1</f>
        <v/>
      </c>
      <c r="U349">
        <f>--(AND(D349&lt;=113.15,E349&lt;=0.15,F349&gt;15.77,H349&gt;28.86,M349&lt;=14.54))*1</f>
        <v/>
      </c>
      <c r="V349">
        <f>--(AND(D349&lt;=113.15,E349&lt;=0.15,F349&gt;15.77,H349&gt;28.86,M349&gt;14.54))*1</f>
        <v/>
      </c>
      <c r="W349">
        <f>--(AND(D349&lt;=113.15,E349&gt;0.15,H349&lt;=23.74))*0</f>
        <v/>
      </c>
      <c r="X349">
        <f>--(AND(D349&lt;=113.15,E349&gt;0.15,H349&gt;23.74,J349&lt;=0.1))*1</f>
        <v/>
      </c>
      <c r="Y349">
        <f>--(AND(D349&lt;=113.15,E349&gt;0.15,H349&gt;23.74,J349&gt;0.1))*1</f>
        <v/>
      </c>
      <c r="Z349">
        <f>--(AND(D349&gt;113.15,K349&lt;=0.22,L349&lt;=0.02))*1</f>
        <v/>
      </c>
      <c r="AA349">
        <f>--(AND(D349&gt;113.15,K349&lt;=0.22,L349&gt;0.02))*0</f>
        <v/>
      </c>
      <c r="AB349">
        <f>--(AND(D349&gt;113.15,K349&gt;0.22,N349&lt;=810.1))*0</f>
        <v/>
      </c>
      <c r="AC349">
        <f>--(AND(D349&gt;113.15,K349&gt;0.22,N349&gt;810.1,I349&lt;=14.95))*1</f>
        <v/>
      </c>
      <c r="AD349">
        <f>--(AND(D349&gt;113.15,K349&gt;0.22,N349&gt;810.1,I349&gt;14.95))*1</f>
        <v/>
      </c>
      <c r="AE349">
        <f>SUM(P349:AD349)</f>
        <v/>
      </c>
      <c r="AF349">
        <f>IF(AE349=1,"Malignant","Benign")</f>
        <v/>
      </c>
      <c r="AG349">
        <f>--(AE349=C349)</f>
        <v/>
      </c>
    </row>
    <row r="350">
      <c r="A350">
        <f>BreastCancer_Data!A350</f>
        <v/>
      </c>
      <c r="B350">
        <f>BreastCancer_Data!B350</f>
        <v/>
      </c>
      <c r="C350">
        <f>BreastCancer_Data!D350</f>
        <v/>
      </c>
      <c r="D350">
        <f>BreastCancer_Data!E350</f>
        <v/>
      </c>
      <c r="E350">
        <f>BreastCancer_Data!F350</f>
        <v/>
      </c>
      <c r="F350">
        <f>BreastCancer_Data!G350</f>
        <v/>
      </c>
      <c r="G350">
        <f>BreastCancer_Data!H350</f>
        <v/>
      </c>
      <c r="H350">
        <f>BreastCancer_Data!I350</f>
        <v/>
      </c>
      <c r="I350">
        <f>BreastCancer_Data!J350</f>
        <v/>
      </c>
      <c r="J350">
        <f>BreastCancer_Data!K350</f>
        <v/>
      </c>
      <c r="K350">
        <f>BreastCancer_Data!L350</f>
        <v/>
      </c>
      <c r="L350">
        <f>BreastCancer_Data!M350</f>
        <v/>
      </c>
      <c r="M350">
        <f>BreastCancer_Data!N350</f>
        <v/>
      </c>
      <c r="N350">
        <f>BreastCancer_Data!O350</f>
        <v/>
      </c>
      <c r="O350">
        <f>0</f>
        <v/>
      </c>
      <c r="P350">
        <f>--(AND(D350&lt;=113.15,E350&lt;=0.15,F350&lt;=15.77,G350&lt;=0.18,H350&lt;=33.27))*0</f>
        <v/>
      </c>
      <c r="Q350">
        <f>--(AND(D350&lt;=113.15,E350&lt;=0.15,F350&lt;=15.77,G350&lt;=0.18,H350&gt;33.27))*0</f>
        <v/>
      </c>
      <c r="R350">
        <f>--(AND(D350&lt;=113.15,E350&lt;=0.15,F350&lt;=15.77,G350&gt;0.18))*0</f>
        <v/>
      </c>
      <c r="S350">
        <f>--(AND(D350&lt;=113.15,E350&lt;=0.15,F350&gt;15.77,H350&lt;=28.86,G350&lt;=0.14))*0</f>
        <v/>
      </c>
      <c r="T350">
        <f>--(AND(D350&lt;=113.15,E350&lt;=0.15,F350&gt;15.77,H350&lt;=28.86,G350&gt;0.14))*1</f>
        <v/>
      </c>
      <c r="U350">
        <f>--(AND(D350&lt;=113.15,E350&lt;=0.15,F350&gt;15.77,H350&gt;28.86,M350&lt;=14.54))*1</f>
        <v/>
      </c>
      <c r="V350">
        <f>--(AND(D350&lt;=113.15,E350&lt;=0.15,F350&gt;15.77,H350&gt;28.86,M350&gt;14.54))*1</f>
        <v/>
      </c>
      <c r="W350">
        <f>--(AND(D350&lt;=113.15,E350&gt;0.15,H350&lt;=23.74))*0</f>
        <v/>
      </c>
      <c r="X350">
        <f>--(AND(D350&lt;=113.15,E350&gt;0.15,H350&gt;23.74,J350&lt;=0.1))*1</f>
        <v/>
      </c>
      <c r="Y350">
        <f>--(AND(D350&lt;=113.15,E350&gt;0.15,H350&gt;23.74,J350&gt;0.1))*1</f>
        <v/>
      </c>
      <c r="Z350">
        <f>--(AND(D350&gt;113.15,K350&lt;=0.22,L350&lt;=0.02))*1</f>
        <v/>
      </c>
      <c r="AA350">
        <f>--(AND(D350&gt;113.15,K350&lt;=0.22,L350&gt;0.02))*0</f>
        <v/>
      </c>
      <c r="AB350">
        <f>--(AND(D350&gt;113.15,K350&gt;0.22,N350&lt;=810.1))*0</f>
        <v/>
      </c>
      <c r="AC350">
        <f>--(AND(D350&gt;113.15,K350&gt;0.22,N350&gt;810.1,I350&lt;=14.95))*1</f>
        <v/>
      </c>
      <c r="AD350">
        <f>--(AND(D350&gt;113.15,K350&gt;0.22,N350&gt;810.1,I350&gt;14.95))*1</f>
        <v/>
      </c>
      <c r="AE350">
        <f>SUM(P350:AD350)</f>
        <v/>
      </c>
      <c r="AF350">
        <f>IF(AE350=1,"Malignant","Benign")</f>
        <v/>
      </c>
      <c r="AG350">
        <f>--(AE350=C350)</f>
        <v/>
      </c>
    </row>
    <row r="351">
      <c r="A351">
        <f>BreastCancer_Data!A351</f>
        <v/>
      </c>
      <c r="B351">
        <f>BreastCancer_Data!B351</f>
        <v/>
      </c>
      <c r="C351">
        <f>BreastCancer_Data!D351</f>
        <v/>
      </c>
      <c r="D351">
        <f>BreastCancer_Data!E351</f>
        <v/>
      </c>
      <c r="E351">
        <f>BreastCancer_Data!F351</f>
        <v/>
      </c>
      <c r="F351">
        <f>BreastCancer_Data!G351</f>
        <v/>
      </c>
      <c r="G351">
        <f>BreastCancer_Data!H351</f>
        <v/>
      </c>
      <c r="H351">
        <f>BreastCancer_Data!I351</f>
        <v/>
      </c>
      <c r="I351">
        <f>BreastCancer_Data!J351</f>
        <v/>
      </c>
      <c r="J351">
        <f>BreastCancer_Data!K351</f>
        <v/>
      </c>
      <c r="K351">
        <f>BreastCancer_Data!L351</f>
        <v/>
      </c>
      <c r="L351">
        <f>BreastCancer_Data!M351</f>
        <v/>
      </c>
      <c r="M351">
        <f>BreastCancer_Data!N351</f>
        <v/>
      </c>
      <c r="N351">
        <f>BreastCancer_Data!O351</f>
        <v/>
      </c>
      <c r="O351">
        <f>0</f>
        <v/>
      </c>
      <c r="P351">
        <f>--(AND(D351&lt;=113.15,E351&lt;=0.15,F351&lt;=15.77,G351&lt;=0.18,H351&lt;=33.27))*0</f>
        <v/>
      </c>
      <c r="Q351">
        <f>--(AND(D351&lt;=113.15,E351&lt;=0.15,F351&lt;=15.77,G351&lt;=0.18,H351&gt;33.27))*0</f>
        <v/>
      </c>
      <c r="R351">
        <f>--(AND(D351&lt;=113.15,E351&lt;=0.15,F351&lt;=15.77,G351&gt;0.18))*0</f>
        <v/>
      </c>
      <c r="S351">
        <f>--(AND(D351&lt;=113.15,E351&lt;=0.15,F351&gt;15.77,H351&lt;=28.86,G351&lt;=0.14))*0</f>
        <v/>
      </c>
      <c r="T351">
        <f>--(AND(D351&lt;=113.15,E351&lt;=0.15,F351&gt;15.77,H351&lt;=28.86,G351&gt;0.14))*1</f>
        <v/>
      </c>
      <c r="U351">
        <f>--(AND(D351&lt;=113.15,E351&lt;=0.15,F351&gt;15.77,H351&gt;28.86,M351&lt;=14.54))*1</f>
        <v/>
      </c>
      <c r="V351">
        <f>--(AND(D351&lt;=113.15,E351&lt;=0.15,F351&gt;15.77,H351&gt;28.86,M351&gt;14.54))*1</f>
        <v/>
      </c>
      <c r="W351">
        <f>--(AND(D351&lt;=113.15,E351&gt;0.15,H351&lt;=23.74))*0</f>
        <v/>
      </c>
      <c r="X351">
        <f>--(AND(D351&lt;=113.15,E351&gt;0.15,H351&gt;23.74,J351&lt;=0.1))*1</f>
        <v/>
      </c>
      <c r="Y351">
        <f>--(AND(D351&lt;=113.15,E351&gt;0.15,H351&gt;23.74,J351&gt;0.1))*1</f>
        <v/>
      </c>
      <c r="Z351">
        <f>--(AND(D351&gt;113.15,K351&lt;=0.22,L351&lt;=0.02))*1</f>
        <v/>
      </c>
      <c r="AA351">
        <f>--(AND(D351&gt;113.15,K351&lt;=0.22,L351&gt;0.02))*0</f>
        <v/>
      </c>
      <c r="AB351">
        <f>--(AND(D351&gt;113.15,K351&gt;0.22,N351&lt;=810.1))*0</f>
        <v/>
      </c>
      <c r="AC351">
        <f>--(AND(D351&gt;113.15,K351&gt;0.22,N351&gt;810.1,I351&lt;=14.95))*1</f>
        <v/>
      </c>
      <c r="AD351">
        <f>--(AND(D351&gt;113.15,K351&gt;0.22,N351&gt;810.1,I351&gt;14.95))*1</f>
        <v/>
      </c>
      <c r="AE351">
        <f>SUM(P351:AD351)</f>
        <v/>
      </c>
      <c r="AF351">
        <f>IF(AE351=1,"Malignant","Benign")</f>
        <v/>
      </c>
      <c r="AG351">
        <f>--(AE351=C351)</f>
        <v/>
      </c>
    </row>
    <row r="352">
      <c r="A352">
        <f>BreastCancer_Data!A352</f>
        <v/>
      </c>
      <c r="B352">
        <f>BreastCancer_Data!B352</f>
        <v/>
      </c>
      <c r="C352">
        <f>BreastCancer_Data!D352</f>
        <v/>
      </c>
      <c r="D352">
        <f>BreastCancer_Data!E352</f>
        <v/>
      </c>
      <c r="E352">
        <f>BreastCancer_Data!F352</f>
        <v/>
      </c>
      <c r="F352">
        <f>BreastCancer_Data!G352</f>
        <v/>
      </c>
      <c r="G352">
        <f>BreastCancer_Data!H352</f>
        <v/>
      </c>
      <c r="H352">
        <f>BreastCancer_Data!I352</f>
        <v/>
      </c>
      <c r="I352">
        <f>BreastCancer_Data!J352</f>
        <v/>
      </c>
      <c r="J352">
        <f>BreastCancer_Data!K352</f>
        <v/>
      </c>
      <c r="K352">
        <f>BreastCancer_Data!L352</f>
        <v/>
      </c>
      <c r="L352">
        <f>BreastCancer_Data!M352</f>
        <v/>
      </c>
      <c r="M352">
        <f>BreastCancer_Data!N352</f>
        <v/>
      </c>
      <c r="N352">
        <f>BreastCancer_Data!O352</f>
        <v/>
      </c>
      <c r="O352">
        <f>0</f>
        <v/>
      </c>
      <c r="P352">
        <f>--(AND(D352&lt;=113.15,E352&lt;=0.15,F352&lt;=15.77,G352&lt;=0.18,H352&lt;=33.27))*0</f>
        <v/>
      </c>
      <c r="Q352">
        <f>--(AND(D352&lt;=113.15,E352&lt;=0.15,F352&lt;=15.77,G352&lt;=0.18,H352&gt;33.27))*0</f>
        <v/>
      </c>
      <c r="R352">
        <f>--(AND(D352&lt;=113.15,E352&lt;=0.15,F352&lt;=15.77,G352&gt;0.18))*0</f>
        <v/>
      </c>
      <c r="S352">
        <f>--(AND(D352&lt;=113.15,E352&lt;=0.15,F352&gt;15.77,H352&lt;=28.86,G352&lt;=0.14))*0</f>
        <v/>
      </c>
      <c r="T352">
        <f>--(AND(D352&lt;=113.15,E352&lt;=0.15,F352&gt;15.77,H352&lt;=28.86,G352&gt;0.14))*1</f>
        <v/>
      </c>
      <c r="U352">
        <f>--(AND(D352&lt;=113.15,E352&lt;=0.15,F352&gt;15.77,H352&gt;28.86,M352&lt;=14.54))*1</f>
        <v/>
      </c>
      <c r="V352">
        <f>--(AND(D352&lt;=113.15,E352&lt;=0.15,F352&gt;15.77,H352&gt;28.86,M352&gt;14.54))*1</f>
        <v/>
      </c>
      <c r="W352">
        <f>--(AND(D352&lt;=113.15,E352&gt;0.15,H352&lt;=23.74))*0</f>
        <v/>
      </c>
      <c r="X352">
        <f>--(AND(D352&lt;=113.15,E352&gt;0.15,H352&gt;23.74,J352&lt;=0.1))*1</f>
        <v/>
      </c>
      <c r="Y352">
        <f>--(AND(D352&lt;=113.15,E352&gt;0.15,H352&gt;23.74,J352&gt;0.1))*1</f>
        <v/>
      </c>
      <c r="Z352">
        <f>--(AND(D352&gt;113.15,K352&lt;=0.22,L352&lt;=0.02))*1</f>
        <v/>
      </c>
      <c r="AA352">
        <f>--(AND(D352&gt;113.15,K352&lt;=0.22,L352&gt;0.02))*0</f>
        <v/>
      </c>
      <c r="AB352">
        <f>--(AND(D352&gt;113.15,K352&gt;0.22,N352&lt;=810.1))*0</f>
        <v/>
      </c>
      <c r="AC352">
        <f>--(AND(D352&gt;113.15,K352&gt;0.22,N352&gt;810.1,I352&lt;=14.95))*1</f>
        <v/>
      </c>
      <c r="AD352">
        <f>--(AND(D352&gt;113.15,K352&gt;0.22,N352&gt;810.1,I352&gt;14.95))*1</f>
        <v/>
      </c>
      <c r="AE352">
        <f>SUM(P352:AD352)</f>
        <v/>
      </c>
      <c r="AF352">
        <f>IF(AE352=1,"Malignant","Benign")</f>
        <v/>
      </c>
      <c r="AG352">
        <f>--(AE352=C352)</f>
        <v/>
      </c>
    </row>
    <row r="353">
      <c r="A353">
        <f>BreastCancer_Data!A353</f>
        <v/>
      </c>
      <c r="B353">
        <f>BreastCancer_Data!B353</f>
        <v/>
      </c>
      <c r="C353">
        <f>BreastCancer_Data!D353</f>
        <v/>
      </c>
      <c r="D353">
        <f>BreastCancer_Data!E353</f>
        <v/>
      </c>
      <c r="E353">
        <f>BreastCancer_Data!F353</f>
        <v/>
      </c>
      <c r="F353">
        <f>BreastCancer_Data!G353</f>
        <v/>
      </c>
      <c r="G353">
        <f>BreastCancer_Data!H353</f>
        <v/>
      </c>
      <c r="H353">
        <f>BreastCancer_Data!I353</f>
        <v/>
      </c>
      <c r="I353">
        <f>BreastCancer_Data!J353</f>
        <v/>
      </c>
      <c r="J353">
        <f>BreastCancer_Data!K353</f>
        <v/>
      </c>
      <c r="K353">
        <f>BreastCancer_Data!L353</f>
        <v/>
      </c>
      <c r="L353">
        <f>BreastCancer_Data!M353</f>
        <v/>
      </c>
      <c r="M353">
        <f>BreastCancer_Data!N353</f>
        <v/>
      </c>
      <c r="N353">
        <f>BreastCancer_Data!O353</f>
        <v/>
      </c>
      <c r="O353">
        <f>0</f>
        <v/>
      </c>
      <c r="P353">
        <f>--(AND(D353&lt;=113.15,E353&lt;=0.15,F353&lt;=15.77,G353&lt;=0.18,H353&lt;=33.27))*0</f>
        <v/>
      </c>
      <c r="Q353">
        <f>--(AND(D353&lt;=113.15,E353&lt;=0.15,F353&lt;=15.77,G353&lt;=0.18,H353&gt;33.27))*0</f>
        <v/>
      </c>
      <c r="R353">
        <f>--(AND(D353&lt;=113.15,E353&lt;=0.15,F353&lt;=15.77,G353&gt;0.18))*0</f>
        <v/>
      </c>
      <c r="S353">
        <f>--(AND(D353&lt;=113.15,E353&lt;=0.15,F353&gt;15.77,H353&lt;=28.86,G353&lt;=0.14))*0</f>
        <v/>
      </c>
      <c r="T353">
        <f>--(AND(D353&lt;=113.15,E353&lt;=0.15,F353&gt;15.77,H353&lt;=28.86,G353&gt;0.14))*1</f>
        <v/>
      </c>
      <c r="U353">
        <f>--(AND(D353&lt;=113.15,E353&lt;=0.15,F353&gt;15.77,H353&gt;28.86,M353&lt;=14.54))*1</f>
        <v/>
      </c>
      <c r="V353">
        <f>--(AND(D353&lt;=113.15,E353&lt;=0.15,F353&gt;15.77,H353&gt;28.86,M353&gt;14.54))*1</f>
        <v/>
      </c>
      <c r="W353">
        <f>--(AND(D353&lt;=113.15,E353&gt;0.15,H353&lt;=23.74))*0</f>
        <v/>
      </c>
      <c r="X353">
        <f>--(AND(D353&lt;=113.15,E353&gt;0.15,H353&gt;23.74,J353&lt;=0.1))*1</f>
        <v/>
      </c>
      <c r="Y353">
        <f>--(AND(D353&lt;=113.15,E353&gt;0.15,H353&gt;23.74,J353&gt;0.1))*1</f>
        <v/>
      </c>
      <c r="Z353">
        <f>--(AND(D353&gt;113.15,K353&lt;=0.22,L353&lt;=0.02))*1</f>
        <v/>
      </c>
      <c r="AA353">
        <f>--(AND(D353&gt;113.15,K353&lt;=0.22,L353&gt;0.02))*0</f>
        <v/>
      </c>
      <c r="AB353">
        <f>--(AND(D353&gt;113.15,K353&gt;0.22,N353&lt;=810.1))*0</f>
        <v/>
      </c>
      <c r="AC353">
        <f>--(AND(D353&gt;113.15,K353&gt;0.22,N353&gt;810.1,I353&lt;=14.95))*1</f>
        <v/>
      </c>
      <c r="AD353">
        <f>--(AND(D353&gt;113.15,K353&gt;0.22,N353&gt;810.1,I353&gt;14.95))*1</f>
        <v/>
      </c>
      <c r="AE353">
        <f>SUM(P353:AD353)</f>
        <v/>
      </c>
      <c r="AF353">
        <f>IF(AE353=1,"Malignant","Benign")</f>
        <v/>
      </c>
      <c r="AG353">
        <f>--(AE353=C353)</f>
        <v/>
      </c>
    </row>
    <row r="354">
      <c r="A354">
        <f>BreastCancer_Data!A354</f>
        <v/>
      </c>
      <c r="B354">
        <f>BreastCancer_Data!B354</f>
        <v/>
      </c>
      <c r="C354">
        <f>BreastCancer_Data!D354</f>
        <v/>
      </c>
      <c r="D354">
        <f>BreastCancer_Data!E354</f>
        <v/>
      </c>
      <c r="E354">
        <f>BreastCancer_Data!F354</f>
        <v/>
      </c>
      <c r="F354">
        <f>BreastCancer_Data!G354</f>
        <v/>
      </c>
      <c r="G354">
        <f>BreastCancer_Data!H354</f>
        <v/>
      </c>
      <c r="H354">
        <f>BreastCancer_Data!I354</f>
        <v/>
      </c>
      <c r="I354">
        <f>BreastCancer_Data!J354</f>
        <v/>
      </c>
      <c r="J354">
        <f>BreastCancer_Data!K354</f>
        <v/>
      </c>
      <c r="K354">
        <f>BreastCancer_Data!L354</f>
        <v/>
      </c>
      <c r="L354">
        <f>BreastCancer_Data!M354</f>
        <v/>
      </c>
      <c r="M354">
        <f>BreastCancer_Data!N354</f>
        <v/>
      </c>
      <c r="N354">
        <f>BreastCancer_Data!O354</f>
        <v/>
      </c>
      <c r="O354">
        <f>0</f>
        <v/>
      </c>
      <c r="P354">
        <f>--(AND(D354&lt;=113.15,E354&lt;=0.15,F354&lt;=15.77,G354&lt;=0.18,H354&lt;=33.27))*0</f>
        <v/>
      </c>
      <c r="Q354">
        <f>--(AND(D354&lt;=113.15,E354&lt;=0.15,F354&lt;=15.77,G354&lt;=0.18,H354&gt;33.27))*0</f>
        <v/>
      </c>
      <c r="R354">
        <f>--(AND(D354&lt;=113.15,E354&lt;=0.15,F354&lt;=15.77,G354&gt;0.18))*0</f>
        <v/>
      </c>
      <c r="S354">
        <f>--(AND(D354&lt;=113.15,E354&lt;=0.15,F354&gt;15.77,H354&lt;=28.86,G354&lt;=0.14))*0</f>
        <v/>
      </c>
      <c r="T354">
        <f>--(AND(D354&lt;=113.15,E354&lt;=0.15,F354&gt;15.77,H354&lt;=28.86,G354&gt;0.14))*1</f>
        <v/>
      </c>
      <c r="U354">
        <f>--(AND(D354&lt;=113.15,E354&lt;=0.15,F354&gt;15.77,H354&gt;28.86,M354&lt;=14.54))*1</f>
        <v/>
      </c>
      <c r="V354">
        <f>--(AND(D354&lt;=113.15,E354&lt;=0.15,F354&gt;15.77,H354&gt;28.86,M354&gt;14.54))*1</f>
        <v/>
      </c>
      <c r="W354">
        <f>--(AND(D354&lt;=113.15,E354&gt;0.15,H354&lt;=23.74))*0</f>
        <v/>
      </c>
      <c r="X354">
        <f>--(AND(D354&lt;=113.15,E354&gt;0.15,H354&gt;23.74,J354&lt;=0.1))*1</f>
        <v/>
      </c>
      <c r="Y354">
        <f>--(AND(D354&lt;=113.15,E354&gt;0.15,H354&gt;23.74,J354&gt;0.1))*1</f>
        <v/>
      </c>
      <c r="Z354">
        <f>--(AND(D354&gt;113.15,K354&lt;=0.22,L354&lt;=0.02))*1</f>
        <v/>
      </c>
      <c r="AA354">
        <f>--(AND(D354&gt;113.15,K354&lt;=0.22,L354&gt;0.02))*0</f>
        <v/>
      </c>
      <c r="AB354">
        <f>--(AND(D354&gt;113.15,K354&gt;0.22,N354&lt;=810.1))*0</f>
        <v/>
      </c>
      <c r="AC354">
        <f>--(AND(D354&gt;113.15,K354&gt;0.22,N354&gt;810.1,I354&lt;=14.95))*1</f>
        <v/>
      </c>
      <c r="AD354">
        <f>--(AND(D354&gt;113.15,K354&gt;0.22,N354&gt;810.1,I354&gt;14.95))*1</f>
        <v/>
      </c>
      <c r="AE354">
        <f>SUM(P354:AD354)</f>
        <v/>
      </c>
      <c r="AF354">
        <f>IF(AE354=1,"Malignant","Benign")</f>
        <v/>
      </c>
      <c r="AG354">
        <f>--(AE354=C354)</f>
        <v/>
      </c>
    </row>
    <row r="355">
      <c r="A355">
        <f>BreastCancer_Data!A355</f>
        <v/>
      </c>
      <c r="B355">
        <f>BreastCancer_Data!B355</f>
        <v/>
      </c>
      <c r="C355">
        <f>BreastCancer_Data!D355</f>
        <v/>
      </c>
      <c r="D355">
        <f>BreastCancer_Data!E355</f>
        <v/>
      </c>
      <c r="E355">
        <f>BreastCancer_Data!F355</f>
        <v/>
      </c>
      <c r="F355">
        <f>BreastCancer_Data!G355</f>
        <v/>
      </c>
      <c r="G355">
        <f>BreastCancer_Data!H355</f>
        <v/>
      </c>
      <c r="H355">
        <f>BreastCancer_Data!I355</f>
        <v/>
      </c>
      <c r="I355">
        <f>BreastCancer_Data!J355</f>
        <v/>
      </c>
      <c r="J355">
        <f>BreastCancer_Data!K355</f>
        <v/>
      </c>
      <c r="K355">
        <f>BreastCancer_Data!L355</f>
        <v/>
      </c>
      <c r="L355">
        <f>BreastCancer_Data!M355</f>
        <v/>
      </c>
      <c r="M355">
        <f>BreastCancer_Data!N355</f>
        <v/>
      </c>
      <c r="N355">
        <f>BreastCancer_Data!O355</f>
        <v/>
      </c>
      <c r="O355">
        <f>0</f>
        <v/>
      </c>
      <c r="P355">
        <f>--(AND(D355&lt;=113.15,E355&lt;=0.15,F355&lt;=15.77,G355&lt;=0.18,H355&lt;=33.27))*0</f>
        <v/>
      </c>
      <c r="Q355">
        <f>--(AND(D355&lt;=113.15,E355&lt;=0.15,F355&lt;=15.77,G355&lt;=0.18,H355&gt;33.27))*0</f>
        <v/>
      </c>
      <c r="R355">
        <f>--(AND(D355&lt;=113.15,E355&lt;=0.15,F355&lt;=15.77,G355&gt;0.18))*0</f>
        <v/>
      </c>
      <c r="S355">
        <f>--(AND(D355&lt;=113.15,E355&lt;=0.15,F355&gt;15.77,H355&lt;=28.86,G355&lt;=0.14))*0</f>
        <v/>
      </c>
      <c r="T355">
        <f>--(AND(D355&lt;=113.15,E355&lt;=0.15,F355&gt;15.77,H355&lt;=28.86,G355&gt;0.14))*1</f>
        <v/>
      </c>
      <c r="U355">
        <f>--(AND(D355&lt;=113.15,E355&lt;=0.15,F355&gt;15.77,H355&gt;28.86,M355&lt;=14.54))*1</f>
        <v/>
      </c>
      <c r="V355">
        <f>--(AND(D355&lt;=113.15,E355&lt;=0.15,F355&gt;15.77,H355&gt;28.86,M355&gt;14.54))*1</f>
        <v/>
      </c>
      <c r="W355">
        <f>--(AND(D355&lt;=113.15,E355&gt;0.15,H355&lt;=23.74))*0</f>
        <v/>
      </c>
      <c r="X355">
        <f>--(AND(D355&lt;=113.15,E355&gt;0.15,H355&gt;23.74,J355&lt;=0.1))*1</f>
        <v/>
      </c>
      <c r="Y355">
        <f>--(AND(D355&lt;=113.15,E355&gt;0.15,H355&gt;23.74,J355&gt;0.1))*1</f>
        <v/>
      </c>
      <c r="Z355">
        <f>--(AND(D355&gt;113.15,K355&lt;=0.22,L355&lt;=0.02))*1</f>
        <v/>
      </c>
      <c r="AA355">
        <f>--(AND(D355&gt;113.15,K355&lt;=0.22,L355&gt;0.02))*0</f>
        <v/>
      </c>
      <c r="AB355">
        <f>--(AND(D355&gt;113.15,K355&gt;0.22,N355&lt;=810.1))*0</f>
        <v/>
      </c>
      <c r="AC355">
        <f>--(AND(D355&gt;113.15,K355&gt;0.22,N355&gt;810.1,I355&lt;=14.95))*1</f>
        <v/>
      </c>
      <c r="AD355">
        <f>--(AND(D355&gt;113.15,K355&gt;0.22,N355&gt;810.1,I355&gt;14.95))*1</f>
        <v/>
      </c>
      <c r="AE355">
        <f>SUM(P355:AD355)</f>
        <v/>
      </c>
      <c r="AF355">
        <f>IF(AE355=1,"Malignant","Benign")</f>
        <v/>
      </c>
      <c r="AG355">
        <f>--(AE355=C355)</f>
        <v/>
      </c>
    </row>
    <row r="356">
      <c r="A356">
        <f>BreastCancer_Data!A356</f>
        <v/>
      </c>
      <c r="B356">
        <f>BreastCancer_Data!B356</f>
        <v/>
      </c>
      <c r="C356">
        <f>BreastCancer_Data!D356</f>
        <v/>
      </c>
      <c r="D356">
        <f>BreastCancer_Data!E356</f>
        <v/>
      </c>
      <c r="E356">
        <f>BreastCancer_Data!F356</f>
        <v/>
      </c>
      <c r="F356">
        <f>BreastCancer_Data!G356</f>
        <v/>
      </c>
      <c r="G356">
        <f>BreastCancer_Data!H356</f>
        <v/>
      </c>
      <c r="H356">
        <f>BreastCancer_Data!I356</f>
        <v/>
      </c>
      <c r="I356">
        <f>BreastCancer_Data!J356</f>
        <v/>
      </c>
      <c r="J356">
        <f>BreastCancer_Data!K356</f>
        <v/>
      </c>
      <c r="K356">
        <f>BreastCancer_Data!L356</f>
        <v/>
      </c>
      <c r="L356">
        <f>BreastCancer_Data!M356</f>
        <v/>
      </c>
      <c r="M356">
        <f>BreastCancer_Data!N356</f>
        <v/>
      </c>
      <c r="N356">
        <f>BreastCancer_Data!O356</f>
        <v/>
      </c>
      <c r="O356">
        <f>0</f>
        <v/>
      </c>
      <c r="P356">
        <f>--(AND(D356&lt;=113.15,E356&lt;=0.15,F356&lt;=15.77,G356&lt;=0.18,H356&lt;=33.27))*0</f>
        <v/>
      </c>
      <c r="Q356">
        <f>--(AND(D356&lt;=113.15,E356&lt;=0.15,F356&lt;=15.77,G356&lt;=0.18,H356&gt;33.27))*0</f>
        <v/>
      </c>
      <c r="R356">
        <f>--(AND(D356&lt;=113.15,E356&lt;=0.15,F356&lt;=15.77,G356&gt;0.18))*0</f>
        <v/>
      </c>
      <c r="S356">
        <f>--(AND(D356&lt;=113.15,E356&lt;=0.15,F356&gt;15.77,H356&lt;=28.86,G356&lt;=0.14))*0</f>
        <v/>
      </c>
      <c r="T356">
        <f>--(AND(D356&lt;=113.15,E356&lt;=0.15,F356&gt;15.77,H356&lt;=28.86,G356&gt;0.14))*1</f>
        <v/>
      </c>
      <c r="U356">
        <f>--(AND(D356&lt;=113.15,E356&lt;=0.15,F356&gt;15.77,H356&gt;28.86,M356&lt;=14.54))*1</f>
        <v/>
      </c>
      <c r="V356">
        <f>--(AND(D356&lt;=113.15,E356&lt;=0.15,F356&gt;15.77,H356&gt;28.86,M356&gt;14.54))*1</f>
        <v/>
      </c>
      <c r="W356">
        <f>--(AND(D356&lt;=113.15,E356&gt;0.15,H356&lt;=23.74))*0</f>
        <v/>
      </c>
      <c r="X356">
        <f>--(AND(D356&lt;=113.15,E356&gt;0.15,H356&gt;23.74,J356&lt;=0.1))*1</f>
        <v/>
      </c>
      <c r="Y356">
        <f>--(AND(D356&lt;=113.15,E356&gt;0.15,H356&gt;23.74,J356&gt;0.1))*1</f>
        <v/>
      </c>
      <c r="Z356">
        <f>--(AND(D356&gt;113.15,K356&lt;=0.22,L356&lt;=0.02))*1</f>
        <v/>
      </c>
      <c r="AA356">
        <f>--(AND(D356&gt;113.15,K356&lt;=0.22,L356&gt;0.02))*0</f>
        <v/>
      </c>
      <c r="AB356">
        <f>--(AND(D356&gt;113.15,K356&gt;0.22,N356&lt;=810.1))*0</f>
        <v/>
      </c>
      <c r="AC356">
        <f>--(AND(D356&gt;113.15,K356&gt;0.22,N356&gt;810.1,I356&lt;=14.95))*1</f>
        <v/>
      </c>
      <c r="AD356">
        <f>--(AND(D356&gt;113.15,K356&gt;0.22,N356&gt;810.1,I356&gt;14.95))*1</f>
        <v/>
      </c>
      <c r="AE356">
        <f>SUM(P356:AD356)</f>
        <v/>
      </c>
      <c r="AF356">
        <f>IF(AE356=1,"Malignant","Benign")</f>
        <v/>
      </c>
      <c r="AG356">
        <f>--(AE356=C356)</f>
        <v/>
      </c>
    </row>
    <row r="357">
      <c r="A357">
        <f>BreastCancer_Data!A357</f>
        <v/>
      </c>
      <c r="B357">
        <f>BreastCancer_Data!B357</f>
        <v/>
      </c>
      <c r="C357">
        <f>BreastCancer_Data!D357</f>
        <v/>
      </c>
      <c r="D357">
        <f>BreastCancer_Data!E357</f>
        <v/>
      </c>
      <c r="E357">
        <f>BreastCancer_Data!F357</f>
        <v/>
      </c>
      <c r="F357">
        <f>BreastCancer_Data!G357</f>
        <v/>
      </c>
      <c r="G357">
        <f>BreastCancer_Data!H357</f>
        <v/>
      </c>
      <c r="H357">
        <f>BreastCancer_Data!I357</f>
        <v/>
      </c>
      <c r="I357">
        <f>BreastCancer_Data!J357</f>
        <v/>
      </c>
      <c r="J357">
        <f>BreastCancer_Data!K357</f>
        <v/>
      </c>
      <c r="K357">
        <f>BreastCancer_Data!L357</f>
        <v/>
      </c>
      <c r="L357">
        <f>BreastCancer_Data!M357</f>
        <v/>
      </c>
      <c r="M357">
        <f>BreastCancer_Data!N357</f>
        <v/>
      </c>
      <c r="N357">
        <f>BreastCancer_Data!O357</f>
        <v/>
      </c>
      <c r="O357">
        <f>0</f>
        <v/>
      </c>
      <c r="P357">
        <f>--(AND(D357&lt;=113.15,E357&lt;=0.15,F357&lt;=15.77,G357&lt;=0.18,H357&lt;=33.27))*0</f>
        <v/>
      </c>
      <c r="Q357">
        <f>--(AND(D357&lt;=113.15,E357&lt;=0.15,F357&lt;=15.77,G357&lt;=0.18,H357&gt;33.27))*0</f>
        <v/>
      </c>
      <c r="R357">
        <f>--(AND(D357&lt;=113.15,E357&lt;=0.15,F357&lt;=15.77,G357&gt;0.18))*0</f>
        <v/>
      </c>
      <c r="S357">
        <f>--(AND(D357&lt;=113.15,E357&lt;=0.15,F357&gt;15.77,H357&lt;=28.86,G357&lt;=0.14))*0</f>
        <v/>
      </c>
      <c r="T357">
        <f>--(AND(D357&lt;=113.15,E357&lt;=0.15,F357&gt;15.77,H357&lt;=28.86,G357&gt;0.14))*1</f>
        <v/>
      </c>
      <c r="U357">
        <f>--(AND(D357&lt;=113.15,E357&lt;=0.15,F357&gt;15.77,H357&gt;28.86,M357&lt;=14.54))*1</f>
        <v/>
      </c>
      <c r="V357">
        <f>--(AND(D357&lt;=113.15,E357&lt;=0.15,F357&gt;15.77,H357&gt;28.86,M357&gt;14.54))*1</f>
        <v/>
      </c>
      <c r="W357">
        <f>--(AND(D357&lt;=113.15,E357&gt;0.15,H357&lt;=23.74))*0</f>
        <v/>
      </c>
      <c r="X357">
        <f>--(AND(D357&lt;=113.15,E357&gt;0.15,H357&gt;23.74,J357&lt;=0.1))*1</f>
        <v/>
      </c>
      <c r="Y357">
        <f>--(AND(D357&lt;=113.15,E357&gt;0.15,H357&gt;23.74,J357&gt;0.1))*1</f>
        <v/>
      </c>
      <c r="Z357">
        <f>--(AND(D357&gt;113.15,K357&lt;=0.22,L357&lt;=0.02))*1</f>
        <v/>
      </c>
      <c r="AA357">
        <f>--(AND(D357&gt;113.15,K357&lt;=0.22,L357&gt;0.02))*0</f>
        <v/>
      </c>
      <c r="AB357">
        <f>--(AND(D357&gt;113.15,K357&gt;0.22,N357&lt;=810.1))*0</f>
        <v/>
      </c>
      <c r="AC357">
        <f>--(AND(D357&gt;113.15,K357&gt;0.22,N357&gt;810.1,I357&lt;=14.95))*1</f>
        <v/>
      </c>
      <c r="AD357">
        <f>--(AND(D357&gt;113.15,K357&gt;0.22,N357&gt;810.1,I357&gt;14.95))*1</f>
        <v/>
      </c>
      <c r="AE357">
        <f>SUM(P357:AD357)</f>
        <v/>
      </c>
      <c r="AF357">
        <f>IF(AE357=1,"Malignant","Benign")</f>
        <v/>
      </c>
      <c r="AG357">
        <f>--(AE357=C357)</f>
        <v/>
      </c>
    </row>
    <row r="358">
      <c r="A358">
        <f>BreastCancer_Data!A358</f>
        <v/>
      </c>
      <c r="B358">
        <f>BreastCancer_Data!B358</f>
        <v/>
      </c>
      <c r="C358">
        <f>BreastCancer_Data!D358</f>
        <v/>
      </c>
      <c r="D358">
        <f>BreastCancer_Data!E358</f>
        <v/>
      </c>
      <c r="E358">
        <f>BreastCancer_Data!F358</f>
        <v/>
      </c>
      <c r="F358">
        <f>BreastCancer_Data!G358</f>
        <v/>
      </c>
      <c r="G358">
        <f>BreastCancer_Data!H358</f>
        <v/>
      </c>
      <c r="H358">
        <f>BreastCancer_Data!I358</f>
        <v/>
      </c>
      <c r="I358">
        <f>BreastCancer_Data!J358</f>
        <v/>
      </c>
      <c r="J358">
        <f>BreastCancer_Data!K358</f>
        <v/>
      </c>
      <c r="K358">
        <f>BreastCancer_Data!L358</f>
        <v/>
      </c>
      <c r="L358">
        <f>BreastCancer_Data!M358</f>
        <v/>
      </c>
      <c r="M358">
        <f>BreastCancer_Data!N358</f>
        <v/>
      </c>
      <c r="N358">
        <f>BreastCancer_Data!O358</f>
        <v/>
      </c>
      <c r="O358">
        <f>0</f>
        <v/>
      </c>
      <c r="P358">
        <f>--(AND(D358&lt;=113.15,E358&lt;=0.15,F358&lt;=15.77,G358&lt;=0.18,H358&lt;=33.27))*0</f>
        <v/>
      </c>
      <c r="Q358">
        <f>--(AND(D358&lt;=113.15,E358&lt;=0.15,F358&lt;=15.77,G358&lt;=0.18,H358&gt;33.27))*0</f>
        <v/>
      </c>
      <c r="R358">
        <f>--(AND(D358&lt;=113.15,E358&lt;=0.15,F358&lt;=15.77,G358&gt;0.18))*0</f>
        <v/>
      </c>
      <c r="S358">
        <f>--(AND(D358&lt;=113.15,E358&lt;=0.15,F358&gt;15.77,H358&lt;=28.86,G358&lt;=0.14))*0</f>
        <v/>
      </c>
      <c r="T358">
        <f>--(AND(D358&lt;=113.15,E358&lt;=0.15,F358&gt;15.77,H358&lt;=28.86,G358&gt;0.14))*1</f>
        <v/>
      </c>
      <c r="U358">
        <f>--(AND(D358&lt;=113.15,E358&lt;=0.15,F358&gt;15.77,H358&gt;28.86,M358&lt;=14.54))*1</f>
        <v/>
      </c>
      <c r="V358">
        <f>--(AND(D358&lt;=113.15,E358&lt;=0.15,F358&gt;15.77,H358&gt;28.86,M358&gt;14.54))*1</f>
        <v/>
      </c>
      <c r="W358">
        <f>--(AND(D358&lt;=113.15,E358&gt;0.15,H358&lt;=23.74))*0</f>
        <v/>
      </c>
      <c r="X358">
        <f>--(AND(D358&lt;=113.15,E358&gt;0.15,H358&gt;23.74,J358&lt;=0.1))*1</f>
        <v/>
      </c>
      <c r="Y358">
        <f>--(AND(D358&lt;=113.15,E358&gt;0.15,H358&gt;23.74,J358&gt;0.1))*1</f>
        <v/>
      </c>
      <c r="Z358">
        <f>--(AND(D358&gt;113.15,K358&lt;=0.22,L358&lt;=0.02))*1</f>
        <v/>
      </c>
      <c r="AA358">
        <f>--(AND(D358&gt;113.15,K358&lt;=0.22,L358&gt;0.02))*0</f>
        <v/>
      </c>
      <c r="AB358">
        <f>--(AND(D358&gt;113.15,K358&gt;0.22,N358&lt;=810.1))*0</f>
        <v/>
      </c>
      <c r="AC358">
        <f>--(AND(D358&gt;113.15,K358&gt;0.22,N358&gt;810.1,I358&lt;=14.95))*1</f>
        <v/>
      </c>
      <c r="AD358">
        <f>--(AND(D358&gt;113.15,K358&gt;0.22,N358&gt;810.1,I358&gt;14.95))*1</f>
        <v/>
      </c>
      <c r="AE358">
        <f>SUM(P358:AD358)</f>
        <v/>
      </c>
      <c r="AF358">
        <f>IF(AE358=1,"Malignant","Benign")</f>
        <v/>
      </c>
      <c r="AG358">
        <f>--(AE358=C358)</f>
        <v/>
      </c>
    </row>
    <row r="359">
      <c r="A359">
        <f>BreastCancer_Data!A359</f>
        <v/>
      </c>
      <c r="B359">
        <f>BreastCancer_Data!B359</f>
        <v/>
      </c>
      <c r="C359">
        <f>BreastCancer_Data!D359</f>
        <v/>
      </c>
      <c r="D359">
        <f>BreastCancer_Data!E359</f>
        <v/>
      </c>
      <c r="E359">
        <f>BreastCancer_Data!F359</f>
        <v/>
      </c>
      <c r="F359">
        <f>BreastCancer_Data!G359</f>
        <v/>
      </c>
      <c r="G359">
        <f>BreastCancer_Data!H359</f>
        <v/>
      </c>
      <c r="H359">
        <f>BreastCancer_Data!I359</f>
        <v/>
      </c>
      <c r="I359">
        <f>BreastCancer_Data!J359</f>
        <v/>
      </c>
      <c r="J359">
        <f>BreastCancer_Data!K359</f>
        <v/>
      </c>
      <c r="K359">
        <f>BreastCancer_Data!L359</f>
        <v/>
      </c>
      <c r="L359">
        <f>BreastCancer_Data!M359</f>
        <v/>
      </c>
      <c r="M359">
        <f>BreastCancer_Data!N359</f>
        <v/>
      </c>
      <c r="N359">
        <f>BreastCancer_Data!O359</f>
        <v/>
      </c>
      <c r="O359">
        <f>0</f>
        <v/>
      </c>
      <c r="P359">
        <f>--(AND(D359&lt;=113.15,E359&lt;=0.15,F359&lt;=15.77,G359&lt;=0.18,H359&lt;=33.27))*0</f>
        <v/>
      </c>
      <c r="Q359">
        <f>--(AND(D359&lt;=113.15,E359&lt;=0.15,F359&lt;=15.77,G359&lt;=0.18,H359&gt;33.27))*0</f>
        <v/>
      </c>
      <c r="R359">
        <f>--(AND(D359&lt;=113.15,E359&lt;=0.15,F359&lt;=15.77,G359&gt;0.18))*0</f>
        <v/>
      </c>
      <c r="S359">
        <f>--(AND(D359&lt;=113.15,E359&lt;=0.15,F359&gt;15.77,H359&lt;=28.86,G359&lt;=0.14))*0</f>
        <v/>
      </c>
      <c r="T359">
        <f>--(AND(D359&lt;=113.15,E359&lt;=0.15,F359&gt;15.77,H359&lt;=28.86,G359&gt;0.14))*1</f>
        <v/>
      </c>
      <c r="U359">
        <f>--(AND(D359&lt;=113.15,E359&lt;=0.15,F359&gt;15.77,H359&gt;28.86,M359&lt;=14.54))*1</f>
        <v/>
      </c>
      <c r="V359">
        <f>--(AND(D359&lt;=113.15,E359&lt;=0.15,F359&gt;15.77,H359&gt;28.86,M359&gt;14.54))*1</f>
        <v/>
      </c>
      <c r="W359">
        <f>--(AND(D359&lt;=113.15,E359&gt;0.15,H359&lt;=23.74))*0</f>
        <v/>
      </c>
      <c r="X359">
        <f>--(AND(D359&lt;=113.15,E359&gt;0.15,H359&gt;23.74,J359&lt;=0.1))*1</f>
        <v/>
      </c>
      <c r="Y359">
        <f>--(AND(D359&lt;=113.15,E359&gt;0.15,H359&gt;23.74,J359&gt;0.1))*1</f>
        <v/>
      </c>
      <c r="Z359">
        <f>--(AND(D359&gt;113.15,K359&lt;=0.22,L359&lt;=0.02))*1</f>
        <v/>
      </c>
      <c r="AA359">
        <f>--(AND(D359&gt;113.15,K359&lt;=0.22,L359&gt;0.02))*0</f>
        <v/>
      </c>
      <c r="AB359">
        <f>--(AND(D359&gt;113.15,K359&gt;0.22,N359&lt;=810.1))*0</f>
        <v/>
      </c>
      <c r="AC359">
        <f>--(AND(D359&gt;113.15,K359&gt;0.22,N359&gt;810.1,I359&lt;=14.95))*1</f>
        <v/>
      </c>
      <c r="AD359">
        <f>--(AND(D359&gt;113.15,K359&gt;0.22,N359&gt;810.1,I359&gt;14.95))*1</f>
        <v/>
      </c>
      <c r="AE359">
        <f>SUM(P359:AD359)</f>
        <v/>
      </c>
      <c r="AF359">
        <f>IF(AE359=1,"Malignant","Benign")</f>
        <v/>
      </c>
      <c r="AG359">
        <f>--(AE359=C359)</f>
        <v/>
      </c>
    </row>
    <row r="360">
      <c r="A360">
        <f>BreastCancer_Data!A360</f>
        <v/>
      </c>
      <c r="B360">
        <f>BreastCancer_Data!B360</f>
        <v/>
      </c>
      <c r="C360">
        <f>BreastCancer_Data!D360</f>
        <v/>
      </c>
      <c r="D360">
        <f>BreastCancer_Data!E360</f>
        <v/>
      </c>
      <c r="E360">
        <f>BreastCancer_Data!F360</f>
        <v/>
      </c>
      <c r="F360">
        <f>BreastCancer_Data!G360</f>
        <v/>
      </c>
      <c r="G360">
        <f>BreastCancer_Data!H360</f>
        <v/>
      </c>
      <c r="H360">
        <f>BreastCancer_Data!I360</f>
        <v/>
      </c>
      <c r="I360">
        <f>BreastCancer_Data!J360</f>
        <v/>
      </c>
      <c r="J360">
        <f>BreastCancer_Data!K360</f>
        <v/>
      </c>
      <c r="K360">
        <f>BreastCancer_Data!L360</f>
        <v/>
      </c>
      <c r="L360">
        <f>BreastCancer_Data!M360</f>
        <v/>
      </c>
      <c r="M360">
        <f>BreastCancer_Data!N360</f>
        <v/>
      </c>
      <c r="N360">
        <f>BreastCancer_Data!O360</f>
        <v/>
      </c>
      <c r="O360">
        <f>0</f>
        <v/>
      </c>
      <c r="P360">
        <f>--(AND(D360&lt;=113.15,E360&lt;=0.15,F360&lt;=15.77,G360&lt;=0.18,H360&lt;=33.27))*0</f>
        <v/>
      </c>
      <c r="Q360">
        <f>--(AND(D360&lt;=113.15,E360&lt;=0.15,F360&lt;=15.77,G360&lt;=0.18,H360&gt;33.27))*0</f>
        <v/>
      </c>
      <c r="R360">
        <f>--(AND(D360&lt;=113.15,E360&lt;=0.15,F360&lt;=15.77,G360&gt;0.18))*0</f>
        <v/>
      </c>
      <c r="S360">
        <f>--(AND(D360&lt;=113.15,E360&lt;=0.15,F360&gt;15.77,H360&lt;=28.86,G360&lt;=0.14))*0</f>
        <v/>
      </c>
      <c r="T360">
        <f>--(AND(D360&lt;=113.15,E360&lt;=0.15,F360&gt;15.77,H360&lt;=28.86,G360&gt;0.14))*1</f>
        <v/>
      </c>
      <c r="U360">
        <f>--(AND(D360&lt;=113.15,E360&lt;=0.15,F360&gt;15.77,H360&gt;28.86,M360&lt;=14.54))*1</f>
        <v/>
      </c>
      <c r="V360">
        <f>--(AND(D360&lt;=113.15,E360&lt;=0.15,F360&gt;15.77,H360&gt;28.86,M360&gt;14.54))*1</f>
        <v/>
      </c>
      <c r="W360">
        <f>--(AND(D360&lt;=113.15,E360&gt;0.15,H360&lt;=23.74))*0</f>
        <v/>
      </c>
      <c r="X360">
        <f>--(AND(D360&lt;=113.15,E360&gt;0.15,H360&gt;23.74,J360&lt;=0.1))*1</f>
        <v/>
      </c>
      <c r="Y360">
        <f>--(AND(D360&lt;=113.15,E360&gt;0.15,H360&gt;23.74,J360&gt;0.1))*1</f>
        <v/>
      </c>
      <c r="Z360">
        <f>--(AND(D360&gt;113.15,K360&lt;=0.22,L360&lt;=0.02))*1</f>
        <v/>
      </c>
      <c r="AA360">
        <f>--(AND(D360&gt;113.15,K360&lt;=0.22,L360&gt;0.02))*0</f>
        <v/>
      </c>
      <c r="AB360">
        <f>--(AND(D360&gt;113.15,K360&gt;0.22,N360&lt;=810.1))*0</f>
        <v/>
      </c>
      <c r="AC360">
        <f>--(AND(D360&gt;113.15,K360&gt;0.22,N360&gt;810.1,I360&lt;=14.95))*1</f>
        <v/>
      </c>
      <c r="AD360">
        <f>--(AND(D360&gt;113.15,K360&gt;0.22,N360&gt;810.1,I360&gt;14.95))*1</f>
        <v/>
      </c>
      <c r="AE360">
        <f>SUM(P360:AD360)</f>
        <v/>
      </c>
      <c r="AF360">
        <f>IF(AE360=1,"Malignant","Benign")</f>
        <v/>
      </c>
      <c r="AG360">
        <f>--(AE360=C360)</f>
        <v/>
      </c>
    </row>
    <row r="361">
      <c r="A361">
        <f>BreastCancer_Data!A361</f>
        <v/>
      </c>
      <c r="B361">
        <f>BreastCancer_Data!B361</f>
        <v/>
      </c>
      <c r="C361">
        <f>BreastCancer_Data!D361</f>
        <v/>
      </c>
      <c r="D361">
        <f>BreastCancer_Data!E361</f>
        <v/>
      </c>
      <c r="E361">
        <f>BreastCancer_Data!F361</f>
        <v/>
      </c>
      <c r="F361">
        <f>BreastCancer_Data!G361</f>
        <v/>
      </c>
      <c r="G361">
        <f>BreastCancer_Data!H361</f>
        <v/>
      </c>
      <c r="H361">
        <f>BreastCancer_Data!I361</f>
        <v/>
      </c>
      <c r="I361">
        <f>BreastCancer_Data!J361</f>
        <v/>
      </c>
      <c r="J361">
        <f>BreastCancer_Data!K361</f>
        <v/>
      </c>
      <c r="K361">
        <f>BreastCancer_Data!L361</f>
        <v/>
      </c>
      <c r="L361">
        <f>BreastCancer_Data!M361</f>
        <v/>
      </c>
      <c r="M361">
        <f>BreastCancer_Data!N361</f>
        <v/>
      </c>
      <c r="N361">
        <f>BreastCancer_Data!O361</f>
        <v/>
      </c>
      <c r="O361">
        <f>0</f>
        <v/>
      </c>
      <c r="P361">
        <f>--(AND(D361&lt;=113.15,E361&lt;=0.15,F361&lt;=15.77,G361&lt;=0.18,H361&lt;=33.27))*0</f>
        <v/>
      </c>
      <c r="Q361">
        <f>--(AND(D361&lt;=113.15,E361&lt;=0.15,F361&lt;=15.77,G361&lt;=0.18,H361&gt;33.27))*0</f>
        <v/>
      </c>
      <c r="R361">
        <f>--(AND(D361&lt;=113.15,E361&lt;=0.15,F361&lt;=15.77,G361&gt;0.18))*0</f>
        <v/>
      </c>
      <c r="S361">
        <f>--(AND(D361&lt;=113.15,E361&lt;=0.15,F361&gt;15.77,H361&lt;=28.86,G361&lt;=0.14))*0</f>
        <v/>
      </c>
      <c r="T361">
        <f>--(AND(D361&lt;=113.15,E361&lt;=0.15,F361&gt;15.77,H361&lt;=28.86,G361&gt;0.14))*1</f>
        <v/>
      </c>
      <c r="U361">
        <f>--(AND(D361&lt;=113.15,E361&lt;=0.15,F361&gt;15.77,H361&gt;28.86,M361&lt;=14.54))*1</f>
        <v/>
      </c>
      <c r="V361">
        <f>--(AND(D361&lt;=113.15,E361&lt;=0.15,F361&gt;15.77,H361&gt;28.86,M361&gt;14.54))*1</f>
        <v/>
      </c>
      <c r="W361">
        <f>--(AND(D361&lt;=113.15,E361&gt;0.15,H361&lt;=23.74))*0</f>
        <v/>
      </c>
      <c r="X361">
        <f>--(AND(D361&lt;=113.15,E361&gt;0.15,H361&gt;23.74,J361&lt;=0.1))*1</f>
        <v/>
      </c>
      <c r="Y361">
        <f>--(AND(D361&lt;=113.15,E361&gt;0.15,H361&gt;23.74,J361&gt;0.1))*1</f>
        <v/>
      </c>
      <c r="Z361">
        <f>--(AND(D361&gt;113.15,K361&lt;=0.22,L361&lt;=0.02))*1</f>
        <v/>
      </c>
      <c r="AA361">
        <f>--(AND(D361&gt;113.15,K361&lt;=0.22,L361&gt;0.02))*0</f>
        <v/>
      </c>
      <c r="AB361">
        <f>--(AND(D361&gt;113.15,K361&gt;0.22,N361&lt;=810.1))*0</f>
        <v/>
      </c>
      <c r="AC361">
        <f>--(AND(D361&gt;113.15,K361&gt;0.22,N361&gt;810.1,I361&lt;=14.95))*1</f>
        <v/>
      </c>
      <c r="AD361">
        <f>--(AND(D361&gt;113.15,K361&gt;0.22,N361&gt;810.1,I361&gt;14.95))*1</f>
        <v/>
      </c>
      <c r="AE361">
        <f>SUM(P361:AD361)</f>
        <v/>
      </c>
      <c r="AF361">
        <f>IF(AE361=1,"Malignant","Benign")</f>
        <v/>
      </c>
      <c r="AG361">
        <f>--(AE361=C361)</f>
        <v/>
      </c>
    </row>
    <row r="362">
      <c r="A362">
        <f>BreastCancer_Data!A362</f>
        <v/>
      </c>
      <c r="B362">
        <f>BreastCancer_Data!B362</f>
        <v/>
      </c>
      <c r="C362">
        <f>BreastCancer_Data!D362</f>
        <v/>
      </c>
      <c r="D362">
        <f>BreastCancer_Data!E362</f>
        <v/>
      </c>
      <c r="E362">
        <f>BreastCancer_Data!F362</f>
        <v/>
      </c>
      <c r="F362">
        <f>BreastCancer_Data!G362</f>
        <v/>
      </c>
      <c r="G362">
        <f>BreastCancer_Data!H362</f>
        <v/>
      </c>
      <c r="H362">
        <f>BreastCancer_Data!I362</f>
        <v/>
      </c>
      <c r="I362">
        <f>BreastCancer_Data!J362</f>
        <v/>
      </c>
      <c r="J362">
        <f>BreastCancer_Data!K362</f>
        <v/>
      </c>
      <c r="K362">
        <f>BreastCancer_Data!L362</f>
        <v/>
      </c>
      <c r="L362">
        <f>BreastCancer_Data!M362</f>
        <v/>
      </c>
      <c r="M362">
        <f>BreastCancer_Data!N362</f>
        <v/>
      </c>
      <c r="N362">
        <f>BreastCancer_Data!O362</f>
        <v/>
      </c>
      <c r="O362">
        <f>0</f>
        <v/>
      </c>
      <c r="P362">
        <f>--(AND(D362&lt;=113.15,E362&lt;=0.15,F362&lt;=15.77,G362&lt;=0.18,H362&lt;=33.27))*0</f>
        <v/>
      </c>
      <c r="Q362">
        <f>--(AND(D362&lt;=113.15,E362&lt;=0.15,F362&lt;=15.77,G362&lt;=0.18,H362&gt;33.27))*0</f>
        <v/>
      </c>
      <c r="R362">
        <f>--(AND(D362&lt;=113.15,E362&lt;=0.15,F362&lt;=15.77,G362&gt;0.18))*0</f>
        <v/>
      </c>
      <c r="S362">
        <f>--(AND(D362&lt;=113.15,E362&lt;=0.15,F362&gt;15.77,H362&lt;=28.86,G362&lt;=0.14))*0</f>
        <v/>
      </c>
      <c r="T362">
        <f>--(AND(D362&lt;=113.15,E362&lt;=0.15,F362&gt;15.77,H362&lt;=28.86,G362&gt;0.14))*1</f>
        <v/>
      </c>
      <c r="U362">
        <f>--(AND(D362&lt;=113.15,E362&lt;=0.15,F362&gt;15.77,H362&gt;28.86,M362&lt;=14.54))*1</f>
        <v/>
      </c>
      <c r="V362">
        <f>--(AND(D362&lt;=113.15,E362&lt;=0.15,F362&gt;15.77,H362&gt;28.86,M362&gt;14.54))*1</f>
        <v/>
      </c>
      <c r="W362">
        <f>--(AND(D362&lt;=113.15,E362&gt;0.15,H362&lt;=23.74))*0</f>
        <v/>
      </c>
      <c r="X362">
        <f>--(AND(D362&lt;=113.15,E362&gt;0.15,H362&gt;23.74,J362&lt;=0.1))*1</f>
        <v/>
      </c>
      <c r="Y362">
        <f>--(AND(D362&lt;=113.15,E362&gt;0.15,H362&gt;23.74,J362&gt;0.1))*1</f>
        <v/>
      </c>
      <c r="Z362">
        <f>--(AND(D362&gt;113.15,K362&lt;=0.22,L362&lt;=0.02))*1</f>
        <v/>
      </c>
      <c r="AA362">
        <f>--(AND(D362&gt;113.15,K362&lt;=0.22,L362&gt;0.02))*0</f>
        <v/>
      </c>
      <c r="AB362">
        <f>--(AND(D362&gt;113.15,K362&gt;0.22,N362&lt;=810.1))*0</f>
        <v/>
      </c>
      <c r="AC362">
        <f>--(AND(D362&gt;113.15,K362&gt;0.22,N362&gt;810.1,I362&lt;=14.95))*1</f>
        <v/>
      </c>
      <c r="AD362">
        <f>--(AND(D362&gt;113.15,K362&gt;0.22,N362&gt;810.1,I362&gt;14.95))*1</f>
        <v/>
      </c>
      <c r="AE362">
        <f>SUM(P362:AD362)</f>
        <v/>
      </c>
      <c r="AF362">
        <f>IF(AE362=1,"Malignant","Benign")</f>
        <v/>
      </c>
      <c r="AG362">
        <f>--(AE362=C362)</f>
        <v/>
      </c>
    </row>
    <row r="363">
      <c r="A363">
        <f>BreastCancer_Data!A363</f>
        <v/>
      </c>
      <c r="B363">
        <f>BreastCancer_Data!B363</f>
        <v/>
      </c>
      <c r="C363">
        <f>BreastCancer_Data!D363</f>
        <v/>
      </c>
      <c r="D363">
        <f>BreastCancer_Data!E363</f>
        <v/>
      </c>
      <c r="E363">
        <f>BreastCancer_Data!F363</f>
        <v/>
      </c>
      <c r="F363">
        <f>BreastCancer_Data!G363</f>
        <v/>
      </c>
      <c r="G363">
        <f>BreastCancer_Data!H363</f>
        <v/>
      </c>
      <c r="H363">
        <f>BreastCancer_Data!I363</f>
        <v/>
      </c>
      <c r="I363">
        <f>BreastCancer_Data!J363</f>
        <v/>
      </c>
      <c r="J363">
        <f>BreastCancer_Data!K363</f>
        <v/>
      </c>
      <c r="K363">
        <f>BreastCancer_Data!L363</f>
        <v/>
      </c>
      <c r="L363">
        <f>BreastCancer_Data!M363</f>
        <v/>
      </c>
      <c r="M363">
        <f>BreastCancer_Data!N363</f>
        <v/>
      </c>
      <c r="N363">
        <f>BreastCancer_Data!O363</f>
        <v/>
      </c>
      <c r="O363">
        <f>0</f>
        <v/>
      </c>
      <c r="P363">
        <f>--(AND(D363&lt;=113.15,E363&lt;=0.15,F363&lt;=15.77,G363&lt;=0.18,H363&lt;=33.27))*0</f>
        <v/>
      </c>
      <c r="Q363">
        <f>--(AND(D363&lt;=113.15,E363&lt;=0.15,F363&lt;=15.77,G363&lt;=0.18,H363&gt;33.27))*0</f>
        <v/>
      </c>
      <c r="R363">
        <f>--(AND(D363&lt;=113.15,E363&lt;=0.15,F363&lt;=15.77,G363&gt;0.18))*0</f>
        <v/>
      </c>
      <c r="S363">
        <f>--(AND(D363&lt;=113.15,E363&lt;=0.15,F363&gt;15.77,H363&lt;=28.86,G363&lt;=0.14))*0</f>
        <v/>
      </c>
      <c r="T363">
        <f>--(AND(D363&lt;=113.15,E363&lt;=0.15,F363&gt;15.77,H363&lt;=28.86,G363&gt;0.14))*1</f>
        <v/>
      </c>
      <c r="U363">
        <f>--(AND(D363&lt;=113.15,E363&lt;=0.15,F363&gt;15.77,H363&gt;28.86,M363&lt;=14.54))*1</f>
        <v/>
      </c>
      <c r="V363">
        <f>--(AND(D363&lt;=113.15,E363&lt;=0.15,F363&gt;15.77,H363&gt;28.86,M363&gt;14.54))*1</f>
        <v/>
      </c>
      <c r="W363">
        <f>--(AND(D363&lt;=113.15,E363&gt;0.15,H363&lt;=23.74))*0</f>
        <v/>
      </c>
      <c r="X363">
        <f>--(AND(D363&lt;=113.15,E363&gt;0.15,H363&gt;23.74,J363&lt;=0.1))*1</f>
        <v/>
      </c>
      <c r="Y363">
        <f>--(AND(D363&lt;=113.15,E363&gt;0.15,H363&gt;23.74,J363&gt;0.1))*1</f>
        <v/>
      </c>
      <c r="Z363">
        <f>--(AND(D363&gt;113.15,K363&lt;=0.22,L363&lt;=0.02))*1</f>
        <v/>
      </c>
      <c r="AA363">
        <f>--(AND(D363&gt;113.15,K363&lt;=0.22,L363&gt;0.02))*0</f>
        <v/>
      </c>
      <c r="AB363">
        <f>--(AND(D363&gt;113.15,K363&gt;0.22,N363&lt;=810.1))*0</f>
        <v/>
      </c>
      <c r="AC363">
        <f>--(AND(D363&gt;113.15,K363&gt;0.22,N363&gt;810.1,I363&lt;=14.95))*1</f>
        <v/>
      </c>
      <c r="AD363">
        <f>--(AND(D363&gt;113.15,K363&gt;0.22,N363&gt;810.1,I363&gt;14.95))*1</f>
        <v/>
      </c>
      <c r="AE363">
        <f>SUM(P363:AD363)</f>
        <v/>
      </c>
      <c r="AF363">
        <f>IF(AE363=1,"Malignant","Benign")</f>
        <v/>
      </c>
      <c r="AG363">
        <f>--(AE363=C363)</f>
        <v/>
      </c>
    </row>
    <row r="364">
      <c r="A364">
        <f>BreastCancer_Data!A364</f>
        <v/>
      </c>
      <c r="B364">
        <f>BreastCancer_Data!B364</f>
        <v/>
      </c>
      <c r="C364">
        <f>BreastCancer_Data!D364</f>
        <v/>
      </c>
      <c r="D364">
        <f>BreastCancer_Data!E364</f>
        <v/>
      </c>
      <c r="E364">
        <f>BreastCancer_Data!F364</f>
        <v/>
      </c>
      <c r="F364">
        <f>BreastCancer_Data!G364</f>
        <v/>
      </c>
      <c r="G364">
        <f>BreastCancer_Data!H364</f>
        <v/>
      </c>
      <c r="H364">
        <f>BreastCancer_Data!I364</f>
        <v/>
      </c>
      <c r="I364">
        <f>BreastCancer_Data!J364</f>
        <v/>
      </c>
      <c r="J364">
        <f>BreastCancer_Data!K364</f>
        <v/>
      </c>
      <c r="K364">
        <f>BreastCancer_Data!L364</f>
        <v/>
      </c>
      <c r="L364">
        <f>BreastCancer_Data!M364</f>
        <v/>
      </c>
      <c r="M364">
        <f>BreastCancer_Data!N364</f>
        <v/>
      </c>
      <c r="N364">
        <f>BreastCancer_Data!O364</f>
        <v/>
      </c>
      <c r="O364">
        <f>0</f>
        <v/>
      </c>
      <c r="P364">
        <f>--(AND(D364&lt;=113.15,E364&lt;=0.15,F364&lt;=15.77,G364&lt;=0.18,H364&lt;=33.27))*0</f>
        <v/>
      </c>
      <c r="Q364">
        <f>--(AND(D364&lt;=113.15,E364&lt;=0.15,F364&lt;=15.77,G364&lt;=0.18,H364&gt;33.27))*0</f>
        <v/>
      </c>
      <c r="R364">
        <f>--(AND(D364&lt;=113.15,E364&lt;=0.15,F364&lt;=15.77,G364&gt;0.18))*0</f>
        <v/>
      </c>
      <c r="S364">
        <f>--(AND(D364&lt;=113.15,E364&lt;=0.15,F364&gt;15.77,H364&lt;=28.86,G364&lt;=0.14))*0</f>
        <v/>
      </c>
      <c r="T364">
        <f>--(AND(D364&lt;=113.15,E364&lt;=0.15,F364&gt;15.77,H364&lt;=28.86,G364&gt;0.14))*1</f>
        <v/>
      </c>
      <c r="U364">
        <f>--(AND(D364&lt;=113.15,E364&lt;=0.15,F364&gt;15.77,H364&gt;28.86,M364&lt;=14.54))*1</f>
        <v/>
      </c>
      <c r="V364">
        <f>--(AND(D364&lt;=113.15,E364&lt;=0.15,F364&gt;15.77,H364&gt;28.86,M364&gt;14.54))*1</f>
        <v/>
      </c>
      <c r="W364">
        <f>--(AND(D364&lt;=113.15,E364&gt;0.15,H364&lt;=23.74))*0</f>
        <v/>
      </c>
      <c r="X364">
        <f>--(AND(D364&lt;=113.15,E364&gt;0.15,H364&gt;23.74,J364&lt;=0.1))*1</f>
        <v/>
      </c>
      <c r="Y364">
        <f>--(AND(D364&lt;=113.15,E364&gt;0.15,H364&gt;23.74,J364&gt;0.1))*1</f>
        <v/>
      </c>
      <c r="Z364">
        <f>--(AND(D364&gt;113.15,K364&lt;=0.22,L364&lt;=0.02))*1</f>
        <v/>
      </c>
      <c r="AA364">
        <f>--(AND(D364&gt;113.15,K364&lt;=0.22,L364&gt;0.02))*0</f>
        <v/>
      </c>
      <c r="AB364">
        <f>--(AND(D364&gt;113.15,K364&gt;0.22,N364&lt;=810.1))*0</f>
        <v/>
      </c>
      <c r="AC364">
        <f>--(AND(D364&gt;113.15,K364&gt;0.22,N364&gt;810.1,I364&lt;=14.95))*1</f>
        <v/>
      </c>
      <c r="AD364">
        <f>--(AND(D364&gt;113.15,K364&gt;0.22,N364&gt;810.1,I364&gt;14.95))*1</f>
        <v/>
      </c>
      <c r="AE364">
        <f>SUM(P364:AD364)</f>
        <v/>
      </c>
      <c r="AF364">
        <f>IF(AE364=1,"Malignant","Benign")</f>
        <v/>
      </c>
      <c r="AG364">
        <f>--(AE364=C364)</f>
        <v/>
      </c>
    </row>
    <row r="365">
      <c r="A365">
        <f>BreastCancer_Data!A365</f>
        <v/>
      </c>
      <c r="B365">
        <f>BreastCancer_Data!B365</f>
        <v/>
      </c>
      <c r="C365">
        <f>BreastCancer_Data!D365</f>
        <v/>
      </c>
      <c r="D365">
        <f>BreastCancer_Data!E365</f>
        <v/>
      </c>
      <c r="E365">
        <f>BreastCancer_Data!F365</f>
        <v/>
      </c>
      <c r="F365">
        <f>BreastCancer_Data!G365</f>
        <v/>
      </c>
      <c r="G365">
        <f>BreastCancer_Data!H365</f>
        <v/>
      </c>
      <c r="H365">
        <f>BreastCancer_Data!I365</f>
        <v/>
      </c>
      <c r="I365">
        <f>BreastCancer_Data!J365</f>
        <v/>
      </c>
      <c r="J365">
        <f>BreastCancer_Data!K365</f>
        <v/>
      </c>
      <c r="K365">
        <f>BreastCancer_Data!L365</f>
        <v/>
      </c>
      <c r="L365">
        <f>BreastCancer_Data!M365</f>
        <v/>
      </c>
      <c r="M365">
        <f>BreastCancer_Data!N365</f>
        <v/>
      </c>
      <c r="N365">
        <f>BreastCancer_Data!O365</f>
        <v/>
      </c>
      <c r="O365">
        <f>0</f>
        <v/>
      </c>
      <c r="P365">
        <f>--(AND(D365&lt;=113.15,E365&lt;=0.15,F365&lt;=15.77,G365&lt;=0.18,H365&lt;=33.27))*0</f>
        <v/>
      </c>
      <c r="Q365">
        <f>--(AND(D365&lt;=113.15,E365&lt;=0.15,F365&lt;=15.77,G365&lt;=0.18,H365&gt;33.27))*0</f>
        <v/>
      </c>
      <c r="R365">
        <f>--(AND(D365&lt;=113.15,E365&lt;=0.15,F365&lt;=15.77,G365&gt;0.18))*0</f>
        <v/>
      </c>
      <c r="S365">
        <f>--(AND(D365&lt;=113.15,E365&lt;=0.15,F365&gt;15.77,H365&lt;=28.86,G365&lt;=0.14))*0</f>
        <v/>
      </c>
      <c r="T365">
        <f>--(AND(D365&lt;=113.15,E365&lt;=0.15,F365&gt;15.77,H365&lt;=28.86,G365&gt;0.14))*1</f>
        <v/>
      </c>
      <c r="U365">
        <f>--(AND(D365&lt;=113.15,E365&lt;=0.15,F365&gt;15.77,H365&gt;28.86,M365&lt;=14.54))*1</f>
        <v/>
      </c>
      <c r="V365">
        <f>--(AND(D365&lt;=113.15,E365&lt;=0.15,F365&gt;15.77,H365&gt;28.86,M365&gt;14.54))*1</f>
        <v/>
      </c>
      <c r="W365">
        <f>--(AND(D365&lt;=113.15,E365&gt;0.15,H365&lt;=23.74))*0</f>
        <v/>
      </c>
      <c r="X365">
        <f>--(AND(D365&lt;=113.15,E365&gt;0.15,H365&gt;23.74,J365&lt;=0.1))*1</f>
        <v/>
      </c>
      <c r="Y365">
        <f>--(AND(D365&lt;=113.15,E365&gt;0.15,H365&gt;23.74,J365&gt;0.1))*1</f>
        <v/>
      </c>
      <c r="Z365">
        <f>--(AND(D365&gt;113.15,K365&lt;=0.22,L365&lt;=0.02))*1</f>
        <v/>
      </c>
      <c r="AA365">
        <f>--(AND(D365&gt;113.15,K365&lt;=0.22,L365&gt;0.02))*0</f>
        <v/>
      </c>
      <c r="AB365">
        <f>--(AND(D365&gt;113.15,K365&gt;0.22,N365&lt;=810.1))*0</f>
        <v/>
      </c>
      <c r="AC365">
        <f>--(AND(D365&gt;113.15,K365&gt;0.22,N365&gt;810.1,I365&lt;=14.95))*1</f>
        <v/>
      </c>
      <c r="AD365">
        <f>--(AND(D365&gt;113.15,K365&gt;0.22,N365&gt;810.1,I365&gt;14.95))*1</f>
        <v/>
      </c>
      <c r="AE365">
        <f>SUM(P365:AD365)</f>
        <v/>
      </c>
      <c r="AF365">
        <f>IF(AE365=1,"Malignant","Benign")</f>
        <v/>
      </c>
      <c r="AG365">
        <f>--(AE365=C365)</f>
        <v/>
      </c>
    </row>
    <row r="366">
      <c r="A366">
        <f>BreastCancer_Data!A366</f>
        <v/>
      </c>
      <c r="B366">
        <f>BreastCancer_Data!B366</f>
        <v/>
      </c>
      <c r="C366">
        <f>BreastCancer_Data!D366</f>
        <v/>
      </c>
      <c r="D366">
        <f>BreastCancer_Data!E366</f>
        <v/>
      </c>
      <c r="E366">
        <f>BreastCancer_Data!F366</f>
        <v/>
      </c>
      <c r="F366">
        <f>BreastCancer_Data!G366</f>
        <v/>
      </c>
      <c r="G366">
        <f>BreastCancer_Data!H366</f>
        <v/>
      </c>
      <c r="H366">
        <f>BreastCancer_Data!I366</f>
        <v/>
      </c>
      <c r="I366">
        <f>BreastCancer_Data!J366</f>
        <v/>
      </c>
      <c r="J366">
        <f>BreastCancer_Data!K366</f>
        <v/>
      </c>
      <c r="K366">
        <f>BreastCancer_Data!L366</f>
        <v/>
      </c>
      <c r="L366">
        <f>BreastCancer_Data!M366</f>
        <v/>
      </c>
      <c r="M366">
        <f>BreastCancer_Data!N366</f>
        <v/>
      </c>
      <c r="N366">
        <f>BreastCancer_Data!O366</f>
        <v/>
      </c>
      <c r="O366">
        <f>0</f>
        <v/>
      </c>
      <c r="P366">
        <f>--(AND(D366&lt;=113.15,E366&lt;=0.15,F366&lt;=15.77,G366&lt;=0.18,H366&lt;=33.27))*0</f>
        <v/>
      </c>
      <c r="Q366">
        <f>--(AND(D366&lt;=113.15,E366&lt;=0.15,F366&lt;=15.77,G366&lt;=0.18,H366&gt;33.27))*0</f>
        <v/>
      </c>
      <c r="R366">
        <f>--(AND(D366&lt;=113.15,E366&lt;=0.15,F366&lt;=15.77,G366&gt;0.18))*0</f>
        <v/>
      </c>
      <c r="S366">
        <f>--(AND(D366&lt;=113.15,E366&lt;=0.15,F366&gt;15.77,H366&lt;=28.86,G366&lt;=0.14))*0</f>
        <v/>
      </c>
      <c r="T366">
        <f>--(AND(D366&lt;=113.15,E366&lt;=0.15,F366&gt;15.77,H366&lt;=28.86,G366&gt;0.14))*1</f>
        <v/>
      </c>
      <c r="U366">
        <f>--(AND(D366&lt;=113.15,E366&lt;=0.15,F366&gt;15.77,H366&gt;28.86,M366&lt;=14.54))*1</f>
        <v/>
      </c>
      <c r="V366">
        <f>--(AND(D366&lt;=113.15,E366&lt;=0.15,F366&gt;15.77,H366&gt;28.86,M366&gt;14.54))*1</f>
        <v/>
      </c>
      <c r="W366">
        <f>--(AND(D366&lt;=113.15,E366&gt;0.15,H366&lt;=23.74))*0</f>
        <v/>
      </c>
      <c r="X366">
        <f>--(AND(D366&lt;=113.15,E366&gt;0.15,H366&gt;23.74,J366&lt;=0.1))*1</f>
        <v/>
      </c>
      <c r="Y366">
        <f>--(AND(D366&lt;=113.15,E366&gt;0.15,H366&gt;23.74,J366&gt;0.1))*1</f>
        <v/>
      </c>
      <c r="Z366">
        <f>--(AND(D366&gt;113.15,K366&lt;=0.22,L366&lt;=0.02))*1</f>
        <v/>
      </c>
      <c r="AA366">
        <f>--(AND(D366&gt;113.15,K366&lt;=0.22,L366&gt;0.02))*0</f>
        <v/>
      </c>
      <c r="AB366">
        <f>--(AND(D366&gt;113.15,K366&gt;0.22,N366&lt;=810.1))*0</f>
        <v/>
      </c>
      <c r="AC366">
        <f>--(AND(D366&gt;113.15,K366&gt;0.22,N366&gt;810.1,I366&lt;=14.95))*1</f>
        <v/>
      </c>
      <c r="AD366">
        <f>--(AND(D366&gt;113.15,K366&gt;0.22,N366&gt;810.1,I366&gt;14.95))*1</f>
        <v/>
      </c>
      <c r="AE366">
        <f>SUM(P366:AD366)</f>
        <v/>
      </c>
      <c r="AF366">
        <f>IF(AE366=1,"Malignant","Benign")</f>
        <v/>
      </c>
      <c r="AG366">
        <f>--(AE366=C366)</f>
        <v/>
      </c>
    </row>
    <row r="367">
      <c r="A367">
        <f>BreastCancer_Data!A367</f>
        <v/>
      </c>
      <c r="B367">
        <f>BreastCancer_Data!B367</f>
        <v/>
      </c>
      <c r="C367">
        <f>BreastCancer_Data!D367</f>
        <v/>
      </c>
      <c r="D367">
        <f>BreastCancer_Data!E367</f>
        <v/>
      </c>
      <c r="E367">
        <f>BreastCancer_Data!F367</f>
        <v/>
      </c>
      <c r="F367">
        <f>BreastCancer_Data!G367</f>
        <v/>
      </c>
      <c r="G367">
        <f>BreastCancer_Data!H367</f>
        <v/>
      </c>
      <c r="H367">
        <f>BreastCancer_Data!I367</f>
        <v/>
      </c>
      <c r="I367">
        <f>BreastCancer_Data!J367</f>
        <v/>
      </c>
      <c r="J367">
        <f>BreastCancer_Data!K367</f>
        <v/>
      </c>
      <c r="K367">
        <f>BreastCancer_Data!L367</f>
        <v/>
      </c>
      <c r="L367">
        <f>BreastCancer_Data!M367</f>
        <v/>
      </c>
      <c r="M367">
        <f>BreastCancer_Data!N367</f>
        <v/>
      </c>
      <c r="N367">
        <f>BreastCancer_Data!O367</f>
        <v/>
      </c>
      <c r="O367">
        <f>0</f>
        <v/>
      </c>
      <c r="P367">
        <f>--(AND(D367&lt;=113.15,E367&lt;=0.15,F367&lt;=15.77,G367&lt;=0.18,H367&lt;=33.27))*0</f>
        <v/>
      </c>
      <c r="Q367">
        <f>--(AND(D367&lt;=113.15,E367&lt;=0.15,F367&lt;=15.77,G367&lt;=0.18,H367&gt;33.27))*0</f>
        <v/>
      </c>
      <c r="R367">
        <f>--(AND(D367&lt;=113.15,E367&lt;=0.15,F367&lt;=15.77,G367&gt;0.18))*0</f>
        <v/>
      </c>
      <c r="S367">
        <f>--(AND(D367&lt;=113.15,E367&lt;=0.15,F367&gt;15.77,H367&lt;=28.86,G367&lt;=0.14))*0</f>
        <v/>
      </c>
      <c r="T367">
        <f>--(AND(D367&lt;=113.15,E367&lt;=0.15,F367&gt;15.77,H367&lt;=28.86,G367&gt;0.14))*1</f>
        <v/>
      </c>
      <c r="U367">
        <f>--(AND(D367&lt;=113.15,E367&lt;=0.15,F367&gt;15.77,H367&gt;28.86,M367&lt;=14.54))*1</f>
        <v/>
      </c>
      <c r="V367">
        <f>--(AND(D367&lt;=113.15,E367&lt;=0.15,F367&gt;15.77,H367&gt;28.86,M367&gt;14.54))*1</f>
        <v/>
      </c>
      <c r="W367">
        <f>--(AND(D367&lt;=113.15,E367&gt;0.15,H367&lt;=23.74))*0</f>
        <v/>
      </c>
      <c r="X367">
        <f>--(AND(D367&lt;=113.15,E367&gt;0.15,H367&gt;23.74,J367&lt;=0.1))*1</f>
        <v/>
      </c>
      <c r="Y367">
        <f>--(AND(D367&lt;=113.15,E367&gt;0.15,H367&gt;23.74,J367&gt;0.1))*1</f>
        <v/>
      </c>
      <c r="Z367">
        <f>--(AND(D367&gt;113.15,K367&lt;=0.22,L367&lt;=0.02))*1</f>
        <v/>
      </c>
      <c r="AA367">
        <f>--(AND(D367&gt;113.15,K367&lt;=0.22,L367&gt;0.02))*0</f>
        <v/>
      </c>
      <c r="AB367">
        <f>--(AND(D367&gt;113.15,K367&gt;0.22,N367&lt;=810.1))*0</f>
        <v/>
      </c>
      <c r="AC367">
        <f>--(AND(D367&gt;113.15,K367&gt;0.22,N367&gt;810.1,I367&lt;=14.95))*1</f>
        <v/>
      </c>
      <c r="AD367">
        <f>--(AND(D367&gt;113.15,K367&gt;0.22,N367&gt;810.1,I367&gt;14.95))*1</f>
        <v/>
      </c>
      <c r="AE367">
        <f>SUM(P367:AD367)</f>
        <v/>
      </c>
      <c r="AF367">
        <f>IF(AE367=1,"Malignant","Benign")</f>
        <v/>
      </c>
      <c r="AG367">
        <f>--(AE367=C367)</f>
        <v/>
      </c>
    </row>
    <row r="368">
      <c r="A368">
        <f>BreastCancer_Data!A368</f>
        <v/>
      </c>
      <c r="B368">
        <f>BreastCancer_Data!B368</f>
        <v/>
      </c>
      <c r="C368">
        <f>BreastCancer_Data!D368</f>
        <v/>
      </c>
      <c r="D368">
        <f>BreastCancer_Data!E368</f>
        <v/>
      </c>
      <c r="E368">
        <f>BreastCancer_Data!F368</f>
        <v/>
      </c>
      <c r="F368">
        <f>BreastCancer_Data!G368</f>
        <v/>
      </c>
      <c r="G368">
        <f>BreastCancer_Data!H368</f>
        <v/>
      </c>
      <c r="H368">
        <f>BreastCancer_Data!I368</f>
        <v/>
      </c>
      <c r="I368">
        <f>BreastCancer_Data!J368</f>
        <v/>
      </c>
      <c r="J368">
        <f>BreastCancer_Data!K368</f>
        <v/>
      </c>
      <c r="K368">
        <f>BreastCancer_Data!L368</f>
        <v/>
      </c>
      <c r="L368">
        <f>BreastCancer_Data!M368</f>
        <v/>
      </c>
      <c r="M368">
        <f>BreastCancer_Data!N368</f>
        <v/>
      </c>
      <c r="N368">
        <f>BreastCancer_Data!O368</f>
        <v/>
      </c>
      <c r="O368">
        <f>0</f>
        <v/>
      </c>
      <c r="P368">
        <f>--(AND(D368&lt;=113.15,E368&lt;=0.15,F368&lt;=15.77,G368&lt;=0.18,H368&lt;=33.27))*0</f>
        <v/>
      </c>
      <c r="Q368">
        <f>--(AND(D368&lt;=113.15,E368&lt;=0.15,F368&lt;=15.77,G368&lt;=0.18,H368&gt;33.27))*0</f>
        <v/>
      </c>
      <c r="R368">
        <f>--(AND(D368&lt;=113.15,E368&lt;=0.15,F368&lt;=15.77,G368&gt;0.18))*0</f>
        <v/>
      </c>
      <c r="S368">
        <f>--(AND(D368&lt;=113.15,E368&lt;=0.15,F368&gt;15.77,H368&lt;=28.86,G368&lt;=0.14))*0</f>
        <v/>
      </c>
      <c r="T368">
        <f>--(AND(D368&lt;=113.15,E368&lt;=0.15,F368&gt;15.77,H368&lt;=28.86,G368&gt;0.14))*1</f>
        <v/>
      </c>
      <c r="U368">
        <f>--(AND(D368&lt;=113.15,E368&lt;=0.15,F368&gt;15.77,H368&gt;28.86,M368&lt;=14.54))*1</f>
        <v/>
      </c>
      <c r="V368">
        <f>--(AND(D368&lt;=113.15,E368&lt;=0.15,F368&gt;15.77,H368&gt;28.86,M368&gt;14.54))*1</f>
        <v/>
      </c>
      <c r="W368">
        <f>--(AND(D368&lt;=113.15,E368&gt;0.15,H368&lt;=23.74))*0</f>
        <v/>
      </c>
      <c r="X368">
        <f>--(AND(D368&lt;=113.15,E368&gt;0.15,H368&gt;23.74,J368&lt;=0.1))*1</f>
        <v/>
      </c>
      <c r="Y368">
        <f>--(AND(D368&lt;=113.15,E368&gt;0.15,H368&gt;23.74,J368&gt;0.1))*1</f>
        <v/>
      </c>
      <c r="Z368">
        <f>--(AND(D368&gt;113.15,K368&lt;=0.22,L368&lt;=0.02))*1</f>
        <v/>
      </c>
      <c r="AA368">
        <f>--(AND(D368&gt;113.15,K368&lt;=0.22,L368&gt;0.02))*0</f>
        <v/>
      </c>
      <c r="AB368">
        <f>--(AND(D368&gt;113.15,K368&gt;0.22,N368&lt;=810.1))*0</f>
        <v/>
      </c>
      <c r="AC368">
        <f>--(AND(D368&gt;113.15,K368&gt;0.22,N368&gt;810.1,I368&lt;=14.95))*1</f>
        <v/>
      </c>
      <c r="AD368">
        <f>--(AND(D368&gt;113.15,K368&gt;0.22,N368&gt;810.1,I368&gt;14.95))*1</f>
        <v/>
      </c>
      <c r="AE368">
        <f>SUM(P368:AD368)</f>
        <v/>
      </c>
      <c r="AF368">
        <f>IF(AE368=1,"Malignant","Benign")</f>
        <v/>
      </c>
      <c r="AG368">
        <f>--(AE368=C368)</f>
        <v/>
      </c>
    </row>
    <row r="369">
      <c r="A369">
        <f>BreastCancer_Data!A369</f>
        <v/>
      </c>
      <c r="B369">
        <f>BreastCancer_Data!B369</f>
        <v/>
      </c>
      <c r="C369">
        <f>BreastCancer_Data!D369</f>
        <v/>
      </c>
      <c r="D369">
        <f>BreastCancer_Data!E369</f>
        <v/>
      </c>
      <c r="E369">
        <f>BreastCancer_Data!F369</f>
        <v/>
      </c>
      <c r="F369">
        <f>BreastCancer_Data!G369</f>
        <v/>
      </c>
      <c r="G369">
        <f>BreastCancer_Data!H369</f>
        <v/>
      </c>
      <c r="H369">
        <f>BreastCancer_Data!I369</f>
        <v/>
      </c>
      <c r="I369">
        <f>BreastCancer_Data!J369</f>
        <v/>
      </c>
      <c r="J369">
        <f>BreastCancer_Data!K369</f>
        <v/>
      </c>
      <c r="K369">
        <f>BreastCancer_Data!L369</f>
        <v/>
      </c>
      <c r="L369">
        <f>BreastCancer_Data!M369</f>
        <v/>
      </c>
      <c r="M369">
        <f>BreastCancer_Data!N369</f>
        <v/>
      </c>
      <c r="N369">
        <f>BreastCancer_Data!O369</f>
        <v/>
      </c>
      <c r="O369">
        <f>0</f>
        <v/>
      </c>
      <c r="P369">
        <f>--(AND(D369&lt;=113.15,E369&lt;=0.15,F369&lt;=15.77,G369&lt;=0.18,H369&lt;=33.27))*0</f>
        <v/>
      </c>
      <c r="Q369">
        <f>--(AND(D369&lt;=113.15,E369&lt;=0.15,F369&lt;=15.77,G369&lt;=0.18,H369&gt;33.27))*0</f>
        <v/>
      </c>
      <c r="R369">
        <f>--(AND(D369&lt;=113.15,E369&lt;=0.15,F369&lt;=15.77,G369&gt;0.18))*0</f>
        <v/>
      </c>
      <c r="S369">
        <f>--(AND(D369&lt;=113.15,E369&lt;=0.15,F369&gt;15.77,H369&lt;=28.86,G369&lt;=0.14))*0</f>
        <v/>
      </c>
      <c r="T369">
        <f>--(AND(D369&lt;=113.15,E369&lt;=0.15,F369&gt;15.77,H369&lt;=28.86,G369&gt;0.14))*1</f>
        <v/>
      </c>
      <c r="U369">
        <f>--(AND(D369&lt;=113.15,E369&lt;=0.15,F369&gt;15.77,H369&gt;28.86,M369&lt;=14.54))*1</f>
        <v/>
      </c>
      <c r="V369">
        <f>--(AND(D369&lt;=113.15,E369&lt;=0.15,F369&gt;15.77,H369&gt;28.86,M369&gt;14.54))*1</f>
        <v/>
      </c>
      <c r="W369">
        <f>--(AND(D369&lt;=113.15,E369&gt;0.15,H369&lt;=23.74))*0</f>
        <v/>
      </c>
      <c r="X369">
        <f>--(AND(D369&lt;=113.15,E369&gt;0.15,H369&gt;23.74,J369&lt;=0.1))*1</f>
        <v/>
      </c>
      <c r="Y369">
        <f>--(AND(D369&lt;=113.15,E369&gt;0.15,H369&gt;23.74,J369&gt;0.1))*1</f>
        <v/>
      </c>
      <c r="Z369">
        <f>--(AND(D369&gt;113.15,K369&lt;=0.22,L369&lt;=0.02))*1</f>
        <v/>
      </c>
      <c r="AA369">
        <f>--(AND(D369&gt;113.15,K369&lt;=0.22,L369&gt;0.02))*0</f>
        <v/>
      </c>
      <c r="AB369">
        <f>--(AND(D369&gt;113.15,K369&gt;0.22,N369&lt;=810.1))*0</f>
        <v/>
      </c>
      <c r="AC369">
        <f>--(AND(D369&gt;113.15,K369&gt;0.22,N369&gt;810.1,I369&lt;=14.95))*1</f>
        <v/>
      </c>
      <c r="AD369">
        <f>--(AND(D369&gt;113.15,K369&gt;0.22,N369&gt;810.1,I369&gt;14.95))*1</f>
        <v/>
      </c>
      <c r="AE369">
        <f>SUM(P369:AD369)</f>
        <v/>
      </c>
      <c r="AF369">
        <f>IF(AE369=1,"Malignant","Benign")</f>
        <v/>
      </c>
      <c r="AG369">
        <f>--(AE369=C369)</f>
        <v/>
      </c>
    </row>
    <row r="370">
      <c r="A370">
        <f>BreastCancer_Data!A370</f>
        <v/>
      </c>
      <c r="B370">
        <f>BreastCancer_Data!B370</f>
        <v/>
      </c>
      <c r="C370">
        <f>BreastCancer_Data!D370</f>
        <v/>
      </c>
      <c r="D370">
        <f>BreastCancer_Data!E370</f>
        <v/>
      </c>
      <c r="E370">
        <f>BreastCancer_Data!F370</f>
        <v/>
      </c>
      <c r="F370">
        <f>BreastCancer_Data!G370</f>
        <v/>
      </c>
      <c r="G370">
        <f>BreastCancer_Data!H370</f>
        <v/>
      </c>
      <c r="H370">
        <f>BreastCancer_Data!I370</f>
        <v/>
      </c>
      <c r="I370">
        <f>BreastCancer_Data!J370</f>
        <v/>
      </c>
      <c r="J370">
        <f>BreastCancer_Data!K370</f>
        <v/>
      </c>
      <c r="K370">
        <f>BreastCancer_Data!L370</f>
        <v/>
      </c>
      <c r="L370">
        <f>BreastCancer_Data!M370</f>
        <v/>
      </c>
      <c r="M370">
        <f>BreastCancer_Data!N370</f>
        <v/>
      </c>
      <c r="N370">
        <f>BreastCancer_Data!O370</f>
        <v/>
      </c>
      <c r="O370">
        <f>0</f>
        <v/>
      </c>
      <c r="P370">
        <f>--(AND(D370&lt;=113.15,E370&lt;=0.15,F370&lt;=15.77,G370&lt;=0.18,H370&lt;=33.27))*0</f>
        <v/>
      </c>
      <c r="Q370">
        <f>--(AND(D370&lt;=113.15,E370&lt;=0.15,F370&lt;=15.77,G370&lt;=0.18,H370&gt;33.27))*0</f>
        <v/>
      </c>
      <c r="R370">
        <f>--(AND(D370&lt;=113.15,E370&lt;=0.15,F370&lt;=15.77,G370&gt;0.18))*0</f>
        <v/>
      </c>
      <c r="S370">
        <f>--(AND(D370&lt;=113.15,E370&lt;=0.15,F370&gt;15.77,H370&lt;=28.86,G370&lt;=0.14))*0</f>
        <v/>
      </c>
      <c r="T370">
        <f>--(AND(D370&lt;=113.15,E370&lt;=0.15,F370&gt;15.77,H370&lt;=28.86,G370&gt;0.14))*1</f>
        <v/>
      </c>
      <c r="U370">
        <f>--(AND(D370&lt;=113.15,E370&lt;=0.15,F370&gt;15.77,H370&gt;28.86,M370&lt;=14.54))*1</f>
        <v/>
      </c>
      <c r="V370">
        <f>--(AND(D370&lt;=113.15,E370&lt;=0.15,F370&gt;15.77,H370&gt;28.86,M370&gt;14.54))*1</f>
        <v/>
      </c>
      <c r="W370">
        <f>--(AND(D370&lt;=113.15,E370&gt;0.15,H370&lt;=23.74))*0</f>
        <v/>
      </c>
      <c r="X370">
        <f>--(AND(D370&lt;=113.15,E370&gt;0.15,H370&gt;23.74,J370&lt;=0.1))*1</f>
        <v/>
      </c>
      <c r="Y370">
        <f>--(AND(D370&lt;=113.15,E370&gt;0.15,H370&gt;23.74,J370&gt;0.1))*1</f>
        <v/>
      </c>
      <c r="Z370">
        <f>--(AND(D370&gt;113.15,K370&lt;=0.22,L370&lt;=0.02))*1</f>
        <v/>
      </c>
      <c r="AA370">
        <f>--(AND(D370&gt;113.15,K370&lt;=0.22,L370&gt;0.02))*0</f>
        <v/>
      </c>
      <c r="AB370">
        <f>--(AND(D370&gt;113.15,K370&gt;0.22,N370&lt;=810.1))*0</f>
        <v/>
      </c>
      <c r="AC370">
        <f>--(AND(D370&gt;113.15,K370&gt;0.22,N370&gt;810.1,I370&lt;=14.95))*1</f>
        <v/>
      </c>
      <c r="AD370">
        <f>--(AND(D370&gt;113.15,K370&gt;0.22,N370&gt;810.1,I370&gt;14.95))*1</f>
        <v/>
      </c>
      <c r="AE370">
        <f>SUM(P370:AD370)</f>
        <v/>
      </c>
      <c r="AF370">
        <f>IF(AE370=1,"Malignant","Benign")</f>
        <v/>
      </c>
      <c r="AG370">
        <f>--(AE370=C370)</f>
        <v/>
      </c>
    </row>
    <row r="371">
      <c r="A371">
        <f>BreastCancer_Data!A371</f>
        <v/>
      </c>
      <c r="B371">
        <f>BreastCancer_Data!B371</f>
        <v/>
      </c>
      <c r="C371">
        <f>BreastCancer_Data!D371</f>
        <v/>
      </c>
      <c r="D371">
        <f>BreastCancer_Data!E371</f>
        <v/>
      </c>
      <c r="E371">
        <f>BreastCancer_Data!F371</f>
        <v/>
      </c>
      <c r="F371">
        <f>BreastCancer_Data!G371</f>
        <v/>
      </c>
      <c r="G371">
        <f>BreastCancer_Data!H371</f>
        <v/>
      </c>
      <c r="H371">
        <f>BreastCancer_Data!I371</f>
        <v/>
      </c>
      <c r="I371">
        <f>BreastCancer_Data!J371</f>
        <v/>
      </c>
      <c r="J371">
        <f>BreastCancer_Data!K371</f>
        <v/>
      </c>
      <c r="K371">
        <f>BreastCancer_Data!L371</f>
        <v/>
      </c>
      <c r="L371">
        <f>BreastCancer_Data!M371</f>
        <v/>
      </c>
      <c r="M371">
        <f>BreastCancer_Data!N371</f>
        <v/>
      </c>
      <c r="N371">
        <f>BreastCancer_Data!O371</f>
        <v/>
      </c>
      <c r="O371">
        <f>0</f>
        <v/>
      </c>
      <c r="P371">
        <f>--(AND(D371&lt;=113.15,E371&lt;=0.15,F371&lt;=15.77,G371&lt;=0.18,H371&lt;=33.27))*0</f>
        <v/>
      </c>
      <c r="Q371">
        <f>--(AND(D371&lt;=113.15,E371&lt;=0.15,F371&lt;=15.77,G371&lt;=0.18,H371&gt;33.27))*0</f>
        <v/>
      </c>
      <c r="R371">
        <f>--(AND(D371&lt;=113.15,E371&lt;=0.15,F371&lt;=15.77,G371&gt;0.18))*0</f>
        <v/>
      </c>
      <c r="S371">
        <f>--(AND(D371&lt;=113.15,E371&lt;=0.15,F371&gt;15.77,H371&lt;=28.86,G371&lt;=0.14))*0</f>
        <v/>
      </c>
      <c r="T371">
        <f>--(AND(D371&lt;=113.15,E371&lt;=0.15,F371&gt;15.77,H371&lt;=28.86,G371&gt;0.14))*1</f>
        <v/>
      </c>
      <c r="U371">
        <f>--(AND(D371&lt;=113.15,E371&lt;=0.15,F371&gt;15.77,H371&gt;28.86,M371&lt;=14.54))*1</f>
        <v/>
      </c>
      <c r="V371">
        <f>--(AND(D371&lt;=113.15,E371&lt;=0.15,F371&gt;15.77,H371&gt;28.86,M371&gt;14.54))*1</f>
        <v/>
      </c>
      <c r="W371">
        <f>--(AND(D371&lt;=113.15,E371&gt;0.15,H371&lt;=23.74))*0</f>
        <v/>
      </c>
      <c r="X371">
        <f>--(AND(D371&lt;=113.15,E371&gt;0.15,H371&gt;23.74,J371&lt;=0.1))*1</f>
        <v/>
      </c>
      <c r="Y371">
        <f>--(AND(D371&lt;=113.15,E371&gt;0.15,H371&gt;23.74,J371&gt;0.1))*1</f>
        <v/>
      </c>
      <c r="Z371">
        <f>--(AND(D371&gt;113.15,K371&lt;=0.22,L371&lt;=0.02))*1</f>
        <v/>
      </c>
      <c r="AA371">
        <f>--(AND(D371&gt;113.15,K371&lt;=0.22,L371&gt;0.02))*0</f>
        <v/>
      </c>
      <c r="AB371">
        <f>--(AND(D371&gt;113.15,K371&gt;0.22,N371&lt;=810.1))*0</f>
        <v/>
      </c>
      <c r="AC371">
        <f>--(AND(D371&gt;113.15,K371&gt;0.22,N371&gt;810.1,I371&lt;=14.95))*1</f>
        <v/>
      </c>
      <c r="AD371">
        <f>--(AND(D371&gt;113.15,K371&gt;0.22,N371&gt;810.1,I371&gt;14.95))*1</f>
        <v/>
      </c>
      <c r="AE371">
        <f>SUM(P371:AD371)</f>
        <v/>
      </c>
      <c r="AF371">
        <f>IF(AE371=1,"Malignant","Benign")</f>
        <v/>
      </c>
      <c r="AG371">
        <f>--(AE371=C371)</f>
        <v/>
      </c>
    </row>
    <row r="372">
      <c r="A372">
        <f>BreastCancer_Data!A372</f>
        <v/>
      </c>
      <c r="B372">
        <f>BreastCancer_Data!B372</f>
        <v/>
      </c>
      <c r="C372">
        <f>BreastCancer_Data!D372</f>
        <v/>
      </c>
      <c r="D372">
        <f>BreastCancer_Data!E372</f>
        <v/>
      </c>
      <c r="E372">
        <f>BreastCancer_Data!F372</f>
        <v/>
      </c>
      <c r="F372">
        <f>BreastCancer_Data!G372</f>
        <v/>
      </c>
      <c r="G372">
        <f>BreastCancer_Data!H372</f>
        <v/>
      </c>
      <c r="H372">
        <f>BreastCancer_Data!I372</f>
        <v/>
      </c>
      <c r="I372">
        <f>BreastCancer_Data!J372</f>
        <v/>
      </c>
      <c r="J372">
        <f>BreastCancer_Data!K372</f>
        <v/>
      </c>
      <c r="K372">
        <f>BreastCancer_Data!L372</f>
        <v/>
      </c>
      <c r="L372">
        <f>BreastCancer_Data!M372</f>
        <v/>
      </c>
      <c r="M372">
        <f>BreastCancer_Data!N372</f>
        <v/>
      </c>
      <c r="N372">
        <f>BreastCancer_Data!O372</f>
        <v/>
      </c>
      <c r="O372">
        <f>0</f>
        <v/>
      </c>
      <c r="P372">
        <f>--(AND(D372&lt;=113.15,E372&lt;=0.15,F372&lt;=15.77,G372&lt;=0.18,H372&lt;=33.27))*0</f>
        <v/>
      </c>
      <c r="Q372">
        <f>--(AND(D372&lt;=113.15,E372&lt;=0.15,F372&lt;=15.77,G372&lt;=0.18,H372&gt;33.27))*0</f>
        <v/>
      </c>
      <c r="R372">
        <f>--(AND(D372&lt;=113.15,E372&lt;=0.15,F372&lt;=15.77,G372&gt;0.18))*0</f>
        <v/>
      </c>
      <c r="S372">
        <f>--(AND(D372&lt;=113.15,E372&lt;=0.15,F372&gt;15.77,H372&lt;=28.86,G372&lt;=0.14))*0</f>
        <v/>
      </c>
      <c r="T372">
        <f>--(AND(D372&lt;=113.15,E372&lt;=0.15,F372&gt;15.77,H372&lt;=28.86,G372&gt;0.14))*1</f>
        <v/>
      </c>
      <c r="U372">
        <f>--(AND(D372&lt;=113.15,E372&lt;=0.15,F372&gt;15.77,H372&gt;28.86,M372&lt;=14.54))*1</f>
        <v/>
      </c>
      <c r="V372">
        <f>--(AND(D372&lt;=113.15,E372&lt;=0.15,F372&gt;15.77,H372&gt;28.86,M372&gt;14.54))*1</f>
        <v/>
      </c>
      <c r="W372">
        <f>--(AND(D372&lt;=113.15,E372&gt;0.15,H372&lt;=23.74))*0</f>
        <v/>
      </c>
      <c r="X372">
        <f>--(AND(D372&lt;=113.15,E372&gt;0.15,H372&gt;23.74,J372&lt;=0.1))*1</f>
        <v/>
      </c>
      <c r="Y372">
        <f>--(AND(D372&lt;=113.15,E372&gt;0.15,H372&gt;23.74,J372&gt;0.1))*1</f>
        <v/>
      </c>
      <c r="Z372">
        <f>--(AND(D372&gt;113.15,K372&lt;=0.22,L372&lt;=0.02))*1</f>
        <v/>
      </c>
      <c r="AA372">
        <f>--(AND(D372&gt;113.15,K372&lt;=0.22,L372&gt;0.02))*0</f>
        <v/>
      </c>
      <c r="AB372">
        <f>--(AND(D372&gt;113.15,K372&gt;0.22,N372&lt;=810.1))*0</f>
        <v/>
      </c>
      <c r="AC372">
        <f>--(AND(D372&gt;113.15,K372&gt;0.22,N372&gt;810.1,I372&lt;=14.95))*1</f>
        <v/>
      </c>
      <c r="AD372">
        <f>--(AND(D372&gt;113.15,K372&gt;0.22,N372&gt;810.1,I372&gt;14.95))*1</f>
        <v/>
      </c>
      <c r="AE372">
        <f>SUM(P372:AD372)</f>
        <v/>
      </c>
      <c r="AF372">
        <f>IF(AE372=1,"Malignant","Benign")</f>
        <v/>
      </c>
      <c r="AG372">
        <f>--(AE372=C372)</f>
        <v/>
      </c>
    </row>
    <row r="373">
      <c r="A373">
        <f>BreastCancer_Data!A373</f>
        <v/>
      </c>
      <c r="B373">
        <f>BreastCancer_Data!B373</f>
        <v/>
      </c>
      <c r="C373">
        <f>BreastCancer_Data!D373</f>
        <v/>
      </c>
      <c r="D373">
        <f>BreastCancer_Data!E373</f>
        <v/>
      </c>
      <c r="E373">
        <f>BreastCancer_Data!F373</f>
        <v/>
      </c>
      <c r="F373">
        <f>BreastCancer_Data!G373</f>
        <v/>
      </c>
      <c r="G373">
        <f>BreastCancer_Data!H373</f>
        <v/>
      </c>
      <c r="H373">
        <f>BreastCancer_Data!I373</f>
        <v/>
      </c>
      <c r="I373">
        <f>BreastCancer_Data!J373</f>
        <v/>
      </c>
      <c r="J373">
        <f>BreastCancer_Data!K373</f>
        <v/>
      </c>
      <c r="K373">
        <f>BreastCancer_Data!L373</f>
        <v/>
      </c>
      <c r="L373">
        <f>BreastCancer_Data!M373</f>
        <v/>
      </c>
      <c r="M373">
        <f>BreastCancer_Data!N373</f>
        <v/>
      </c>
      <c r="N373">
        <f>BreastCancer_Data!O373</f>
        <v/>
      </c>
      <c r="O373">
        <f>0</f>
        <v/>
      </c>
      <c r="P373">
        <f>--(AND(D373&lt;=113.15,E373&lt;=0.15,F373&lt;=15.77,G373&lt;=0.18,H373&lt;=33.27))*0</f>
        <v/>
      </c>
      <c r="Q373">
        <f>--(AND(D373&lt;=113.15,E373&lt;=0.15,F373&lt;=15.77,G373&lt;=0.18,H373&gt;33.27))*0</f>
        <v/>
      </c>
      <c r="R373">
        <f>--(AND(D373&lt;=113.15,E373&lt;=0.15,F373&lt;=15.77,G373&gt;0.18))*0</f>
        <v/>
      </c>
      <c r="S373">
        <f>--(AND(D373&lt;=113.15,E373&lt;=0.15,F373&gt;15.77,H373&lt;=28.86,G373&lt;=0.14))*0</f>
        <v/>
      </c>
      <c r="T373">
        <f>--(AND(D373&lt;=113.15,E373&lt;=0.15,F373&gt;15.77,H373&lt;=28.86,G373&gt;0.14))*1</f>
        <v/>
      </c>
      <c r="U373">
        <f>--(AND(D373&lt;=113.15,E373&lt;=0.15,F373&gt;15.77,H373&gt;28.86,M373&lt;=14.54))*1</f>
        <v/>
      </c>
      <c r="V373">
        <f>--(AND(D373&lt;=113.15,E373&lt;=0.15,F373&gt;15.77,H373&gt;28.86,M373&gt;14.54))*1</f>
        <v/>
      </c>
      <c r="W373">
        <f>--(AND(D373&lt;=113.15,E373&gt;0.15,H373&lt;=23.74))*0</f>
        <v/>
      </c>
      <c r="X373">
        <f>--(AND(D373&lt;=113.15,E373&gt;0.15,H373&gt;23.74,J373&lt;=0.1))*1</f>
        <v/>
      </c>
      <c r="Y373">
        <f>--(AND(D373&lt;=113.15,E373&gt;0.15,H373&gt;23.74,J373&gt;0.1))*1</f>
        <v/>
      </c>
      <c r="Z373">
        <f>--(AND(D373&gt;113.15,K373&lt;=0.22,L373&lt;=0.02))*1</f>
        <v/>
      </c>
      <c r="AA373">
        <f>--(AND(D373&gt;113.15,K373&lt;=0.22,L373&gt;0.02))*0</f>
        <v/>
      </c>
      <c r="AB373">
        <f>--(AND(D373&gt;113.15,K373&gt;0.22,N373&lt;=810.1))*0</f>
        <v/>
      </c>
      <c r="AC373">
        <f>--(AND(D373&gt;113.15,K373&gt;0.22,N373&gt;810.1,I373&lt;=14.95))*1</f>
        <v/>
      </c>
      <c r="AD373">
        <f>--(AND(D373&gt;113.15,K373&gt;0.22,N373&gt;810.1,I373&gt;14.95))*1</f>
        <v/>
      </c>
      <c r="AE373">
        <f>SUM(P373:AD373)</f>
        <v/>
      </c>
      <c r="AF373">
        <f>IF(AE373=1,"Malignant","Benign")</f>
        <v/>
      </c>
      <c r="AG373">
        <f>--(AE373=C373)</f>
        <v/>
      </c>
    </row>
    <row r="374">
      <c r="A374">
        <f>BreastCancer_Data!A374</f>
        <v/>
      </c>
      <c r="B374">
        <f>BreastCancer_Data!B374</f>
        <v/>
      </c>
      <c r="C374">
        <f>BreastCancer_Data!D374</f>
        <v/>
      </c>
      <c r="D374">
        <f>BreastCancer_Data!E374</f>
        <v/>
      </c>
      <c r="E374">
        <f>BreastCancer_Data!F374</f>
        <v/>
      </c>
      <c r="F374">
        <f>BreastCancer_Data!G374</f>
        <v/>
      </c>
      <c r="G374">
        <f>BreastCancer_Data!H374</f>
        <v/>
      </c>
      <c r="H374">
        <f>BreastCancer_Data!I374</f>
        <v/>
      </c>
      <c r="I374">
        <f>BreastCancer_Data!J374</f>
        <v/>
      </c>
      <c r="J374">
        <f>BreastCancer_Data!K374</f>
        <v/>
      </c>
      <c r="K374">
        <f>BreastCancer_Data!L374</f>
        <v/>
      </c>
      <c r="L374">
        <f>BreastCancer_Data!M374</f>
        <v/>
      </c>
      <c r="M374">
        <f>BreastCancer_Data!N374</f>
        <v/>
      </c>
      <c r="N374">
        <f>BreastCancer_Data!O374</f>
        <v/>
      </c>
      <c r="O374">
        <f>0</f>
        <v/>
      </c>
      <c r="P374">
        <f>--(AND(D374&lt;=113.15,E374&lt;=0.15,F374&lt;=15.77,G374&lt;=0.18,H374&lt;=33.27))*0</f>
        <v/>
      </c>
      <c r="Q374">
        <f>--(AND(D374&lt;=113.15,E374&lt;=0.15,F374&lt;=15.77,G374&lt;=0.18,H374&gt;33.27))*0</f>
        <v/>
      </c>
      <c r="R374">
        <f>--(AND(D374&lt;=113.15,E374&lt;=0.15,F374&lt;=15.77,G374&gt;0.18))*0</f>
        <v/>
      </c>
      <c r="S374">
        <f>--(AND(D374&lt;=113.15,E374&lt;=0.15,F374&gt;15.77,H374&lt;=28.86,G374&lt;=0.14))*0</f>
        <v/>
      </c>
      <c r="T374">
        <f>--(AND(D374&lt;=113.15,E374&lt;=0.15,F374&gt;15.77,H374&lt;=28.86,G374&gt;0.14))*1</f>
        <v/>
      </c>
      <c r="U374">
        <f>--(AND(D374&lt;=113.15,E374&lt;=0.15,F374&gt;15.77,H374&gt;28.86,M374&lt;=14.54))*1</f>
        <v/>
      </c>
      <c r="V374">
        <f>--(AND(D374&lt;=113.15,E374&lt;=0.15,F374&gt;15.77,H374&gt;28.86,M374&gt;14.54))*1</f>
        <v/>
      </c>
      <c r="W374">
        <f>--(AND(D374&lt;=113.15,E374&gt;0.15,H374&lt;=23.74))*0</f>
        <v/>
      </c>
      <c r="X374">
        <f>--(AND(D374&lt;=113.15,E374&gt;0.15,H374&gt;23.74,J374&lt;=0.1))*1</f>
        <v/>
      </c>
      <c r="Y374">
        <f>--(AND(D374&lt;=113.15,E374&gt;0.15,H374&gt;23.74,J374&gt;0.1))*1</f>
        <v/>
      </c>
      <c r="Z374">
        <f>--(AND(D374&gt;113.15,K374&lt;=0.22,L374&lt;=0.02))*1</f>
        <v/>
      </c>
      <c r="AA374">
        <f>--(AND(D374&gt;113.15,K374&lt;=0.22,L374&gt;0.02))*0</f>
        <v/>
      </c>
      <c r="AB374">
        <f>--(AND(D374&gt;113.15,K374&gt;0.22,N374&lt;=810.1))*0</f>
        <v/>
      </c>
      <c r="AC374">
        <f>--(AND(D374&gt;113.15,K374&gt;0.22,N374&gt;810.1,I374&lt;=14.95))*1</f>
        <v/>
      </c>
      <c r="AD374">
        <f>--(AND(D374&gt;113.15,K374&gt;0.22,N374&gt;810.1,I374&gt;14.95))*1</f>
        <v/>
      </c>
      <c r="AE374">
        <f>SUM(P374:AD374)</f>
        <v/>
      </c>
      <c r="AF374">
        <f>IF(AE374=1,"Malignant","Benign")</f>
        <v/>
      </c>
      <c r="AG374">
        <f>--(AE374=C374)</f>
        <v/>
      </c>
    </row>
    <row r="375">
      <c r="A375">
        <f>BreastCancer_Data!A375</f>
        <v/>
      </c>
      <c r="B375">
        <f>BreastCancer_Data!B375</f>
        <v/>
      </c>
      <c r="C375">
        <f>BreastCancer_Data!D375</f>
        <v/>
      </c>
      <c r="D375">
        <f>BreastCancer_Data!E375</f>
        <v/>
      </c>
      <c r="E375">
        <f>BreastCancer_Data!F375</f>
        <v/>
      </c>
      <c r="F375">
        <f>BreastCancer_Data!G375</f>
        <v/>
      </c>
      <c r="G375">
        <f>BreastCancer_Data!H375</f>
        <v/>
      </c>
      <c r="H375">
        <f>BreastCancer_Data!I375</f>
        <v/>
      </c>
      <c r="I375">
        <f>BreastCancer_Data!J375</f>
        <v/>
      </c>
      <c r="J375">
        <f>BreastCancer_Data!K375</f>
        <v/>
      </c>
      <c r="K375">
        <f>BreastCancer_Data!L375</f>
        <v/>
      </c>
      <c r="L375">
        <f>BreastCancer_Data!M375</f>
        <v/>
      </c>
      <c r="M375">
        <f>BreastCancer_Data!N375</f>
        <v/>
      </c>
      <c r="N375">
        <f>BreastCancer_Data!O375</f>
        <v/>
      </c>
      <c r="O375">
        <f>0</f>
        <v/>
      </c>
      <c r="P375">
        <f>--(AND(D375&lt;=113.15,E375&lt;=0.15,F375&lt;=15.77,G375&lt;=0.18,H375&lt;=33.27))*0</f>
        <v/>
      </c>
      <c r="Q375">
        <f>--(AND(D375&lt;=113.15,E375&lt;=0.15,F375&lt;=15.77,G375&lt;=0.18,H375&gt;33.27))*0</f>
        <v/>
      </c>
      <c r="R375">
        <f>--(AND(D375&lt;=113.15,E375&lt;=0.15,F375&lt;=15.77,G375&gt;0.18))*0</f>
        <v/>
      </c>
      <c r="S375">
        <f>--(AND(D375&lt;=113.15,E375&lt;=0.15,F375&gt;15.77,H375&lt;=28.86,G375&lt;=0.14))*0</f>
        <v/>
      </c>
      <c r="T375">
        <f>--(AND(D375&lt;=113.15,E375&lt;=0.15,F375&gt;15.77,H375&lt;=28.86,G375&gt;0.14))*1</f>
        <v/>
      </c>
      <c r="U375">
        <f>--(AND(D375&lt;=113.15,E375&lt;=0.15,F375&gt;15.77,H375&gt;28.86,M375&lt;=14.54))*1</f>
        <v/>
      </c>
      <c r="V375">
        <f>--(AND(D375&lt;=113.15,E375&lt;=0.15,F375&gt;15.77,H375&gt;28.86,M375&gt;14.54))*1</f>
        <v/>
      </c>
      <c r="W375">
        <f>--(AND(D375&lt;=113.15,E375&gt;0.15,H375&lt;=23.74))*0</f>
        <v/>
      </c>
      <c r="X375">
        <f>--(AND(D375&lt;=113.15,E375&gt;0.15,H375&gt;23.74,J375&lt;=0.1))*1</f>
        <v/>
      </c>
      <c r="Y375">
        <f>--(AND(D375&lt;=113.15,E375&gt;0.15,H375&gt;23.74,J375&gt;0.1))*1</f>
        <v/>
      </c>
      <c r="Z375">
        <f>--(AND(D375&gt;113.15,K375&lt;=0.22,L375&lt;=0.02))*1</f>
        <v/>
      </c>
      <c r="AA375">
        <f>--(AND(D375&gt;113.15,K375&lt;=0.22,L375&gt;0.02))*0</f>
        <v/>
      </c>
      <c r="AB375">
        <f>--(AND(D375&gt;113.15,K375&gt;0.22,N375&lt;=810.1))*0</f>
        <v/>
      </c>
      <c r="AC375">
        <f>--(AND(D375&gt;113.15,K375&gt;0.22,N375&gt;810.1,I375&lt;=14.95))*1</f>
        <v/>
      </c>
      <c r="AD375">
        <f>--(AND(D375&gt;113.15,K375&gt;0.22,N375&gt;810.1,I375&gt;14.95))*1</f>
        <v/>
      </c>
      <c r="AE375">
        <f>SUM(P375:AD375)</f>
        <v/>
      </c>
      <c r="AF375">
        <f>IF(AE375=1,"Malignant","Benign")</f>
        <v/>
      </c>
      <c r="AG375">
        <f>--(AE375=C375)</f>
        <v/>
      </c>
    </row>
    <row r="376">
      <c r="A376">
        <f>BreastCancer_Data!A376</f>
        <v/>
      </c>
      <c r="B376">
        <f>BreastCancer_Data!B376</f>
        <v/>
      </c>
      <c r="C376">
        <f>BreastCancer_Data!D376</f>
        <v/>
      </c>
      <c r="D376">
        <f>BreastCancer_Data!E376</f>
        <v/>
      </c>
      <c r="E376">
        <f>BreastCancer_Data!F376</f>
        <v/>
      </c>
      <c r="F376">
        <f>BreastCancer_Data!G376</f>
        <v/>
      </c>
      <c r="G376">
        <f>BreastCancer_Data!H376</f>
        <v/>
      </c>
      <c r="H376">
        <f>BreastCancer_Data!I376</f>
        <v/>
      </c>
      <c r="I376">
        <f>BreastCancer_Data!J376</f>
        <v/>
      </c>
      <c r="J376">
        <f>BreastCancer_Data!K376</f>
        <v/>
      </c>
      <c r="K376">
        <f>BreastCancer_Data!L376</f>
        <v/>
      </c>
      <c r="L376">
        <f>BreastCancer_Data!M376</f>
        <v/>
      </c>
      <c r="M376">
        <f>BreastCancer_Data!N376</f>
        <v/>
      </c>
      <c r="N376">
        <f>BreastCancer_Data!O376</f>
        <v/>
      </c>
      <c r="O376">
        <f>0</f>
        <v/>
      </c>
      <c r="P376">
        <f>--(AND(D376&lt;=113.15,E376&lt;=0.15,F376&lt;=15.77,G376&lt;=0.18,H376&lt;=33.27))*0</f>
        <v/>
      </c>
      <c r="Q376">
        <f>--(AND(D376&lt;=113.15,E376&lt;=0.15,F376&lt;=15.77,G376&lt;=0.18,H376&gt;33.27))*0</f>
        <v/>
      </c>
      <c r="R376">
        <f>--(AND(D376&lt;=113.15,E376&lt;=0.15,F376&lt;=15.77,G376&gt;0.18))*0</f>
        <v/>
      </c>
      <c r="S376">
        <f>--(AND(D376&lt;=113.15,E376&lt;=0.15,F376&gt;15.77,H376&lt;=28.86,G376&lt;=0.14))*0</f>
        <v/>
      </c>
      <c r="T376">
        <f>--(AND(D376&lt;=113.15,E376&lt;=0.15,F376&gt;15.77,H376&lt;=28.86,G376&gt;0.14))*1</f>
        <v/>
      </c>
      <c r="U376">
        <f>--(AND(D376&lt;=113.15,E376&lt;=0.15,F376&gt;15.77,H376&gt;28.86,M376&lt;=14.54))*1</f>
        <v/>
      </c>
      <c r="V376">
        <f>--(AND(D376&lt;=113.15,E376&lt;=0.15,F376&gt;15.77,H376&gt;28.86,M376&gt;14.54))*1</f>
        <v/>
      </c>
      <c r="W376">
        <f>--(AND(D376&lt;=113.15,E376&gt;0.15,H376&lt;=23.74))*0</f>
        <v/>
      </c>
      <c r="X376">
        <f>--(AND(D376&lt;=113.15,E376&gt;0.15,H376&gt;23.74,J376&lt;=0.1))*1</f>
        <v/>
      </c>
      <c r="Y376">
        <f>--(AND(D376&lt;=113.15,E376&gt;0.15,H376&gt;23.74,J376&gt;0.1))*1</f>
        <v/>
      </c>
      <c r="Z376">
        <f>--(AND(D376&gt;113.15,K376&lt;=0.22,L376&lt;=0.02))*1</f>
        <v/>
      </c>
      <c r="AA376">
        <f>--(AND(D376&gt;113.15,K376&lt;=0.22,L376&gt;0.02))*0</f>
        <v/>
      </c>
      <c r="AB376">
        <f>--(AND(D376&gt;113.15,K376&gt;0.22,N376&lt;=810.1))*0</f>
        <v/>
      </c>
      <c r="AC376">
        <f>--(AND(D376&gt;113.15,K376&gt;0.22,N376&gt;810.1,I376&lt;=14.95))*1</f>
        <v/>
      </c>
      <c r="AD376">
        <f>--(AND(D376&gt;113.15,K376&gt;0.22,N376&gt;810.1,I376&gt;14.95))*1</f>
        <v/>
      </c>
      <c r="AE376">
        <f>SUM(P376:AD376)</f>
        <v/>
      </c>
      <c r="AF376">
        <f>IF(AE376=1,"Malignant","Benign")</f>
        <v/>
      </c>
      <c r="AG376">
        <f>--(AE376=C376)</f>
        <v/>
      </c>
    </row>
    <row r="377">
      <c r="A377">
        <f>BreastCancer_Data!A377</f>
        <v/>
      </c>
      <c r="B377">
        <f>BreastCancer_Data!B377</f>
        <v/>
      </c>
      <c r="C377">
        <f>BreastCancer_Data!D377</f>
        <v/>
      </c>
      <c r="D377">
        <f>BreastCancer_Data!E377</f>
        <v/>
      </c>
      <c r="E377">
        <f>BreastCancer_Data!F377</f>
        <v/>
      </c>
      <c r="F377">
        <f>BreastCancer_Data!G377</f>
        <v/>
      </c>
      <c r="G377">
        <f>BreastCancer_Data!H377</f>
        <v/>
      </c>
      <c r="H377">
        <f>BreastCancer_Data!I377</f>
        <v/>
      </c>
      <c r="I377">
        <f>BreastCancer_Data!J377</f>
        <v/>
      </c>
      <c r="J377">
        <f>BreastCancer_Data!K377</f>
        <v/>
      </c>
      <c r="K377">
        <f>BreastCancer_Data!L377</f>
        <v/>
      </c>
      <c r="L377">
        <f>BreastCancer_Data!M377</f>
        <v/>
      </c>
      <c r="M377">
        <f>BreastCancer_Data!N377</f>
        <v/>
      </c>
      <c r="N377">
        <f>BreastCancer_Data!O377</f>
        <v/>
      </c>
      <c r="O377">
        <f>0</f>
        <v/>
      </c>
      <c r="P377">
        <f>--(AND(D377&lt;=113.15,E377&lt;=0.15,F377&lt;=15.77,G377&lt;=0.18,H377&lt;=33.27))*0</f>
        <v/>
      </c>
      <c r="Q377">
        <f>--(AND(D377&lt;=113.15,E377&lt;=0.15,F377&lt;=15.77,G377&lt;=0.18,H377&gt;33.27))*0</f>
        <v/>
      </c>
      <c r="R377">
        <f>--(AND(D377&lt;=113.15,E377&lt;=0.15,F377&lt;=15.77,G377&gt;0.18))*0</f>
        <v/>
      </c>
      <c r="S377">
        <f>--(AND(D377&lt;=113.15,E377&lt;=0.15,F377&gt;15.77,H377&lt;=28.86,G377&lt;=0.14))*0</f>
        <v/>
      </c>
      <c r="T377">
        <f>--(AND(D377&lt;=113.15,E377&lt;=0.15,F377&gt;15.77,H377&lt;=28.86,G377&gt;0.14))*1</f>
        <v/>
      </c>
      <c r="U377">
        <f>--(AND(D377&lt;=113.15,E377&lt;=0.15,F377&gt;15.77,H377&gt;28.86,M377&lt;=14.54))*1</f>
        <v/>
      </c>
      <c r="V377">
        <f>--(AND(D377&lt;=113.15,E377&lt;=0.15,F377&gt;15.77,H377&gt;28.86,M377&gt;14.54))*1</f>
        <v/>
      </c>
      <c r="W377">
        <f>--(AND(D377&lt;=113.15,E377&gt;0.15,H377&lt;=23.74))*0</f>
        <v/>
      </c>
      <c r="X377">
        <f>--(AND(D377&lt;=113.15,E377&gt;0.15,H377&gt;23.74,J377&lt;=0.1))*1</f>
        <v/>
      </c>
      <c r="Y377">
        <f>--(AND(D377&lt;=113.15,E377&gt;0.15,H377&gt;23.74,J377&gt;0.1))*1</f>
        <v/>
      </c>
      <c r="Z377">
        <f>--(AND(D377&gt;113.15,K377&lt;=0.22,L377&lt;=0.02))*1</f>
        <v/>
      </c>
      <c r="AA377">
        <f>--(AND(D377&gt;113.15,K377&lt;=0.22,L377&gt;0.02))*0</f>
        <v/>
      </c>
      <c r="AB377">
        <f>--(AND(D377&gt;113.15,K377&gt;0.22,N377&lt;=810.1))*0</f>
        <v/>
      </c>
      <c r="AC377">
        <f>--(AND(D377&gt;113.15,K377&gt;0.22,N377&gt;810.1,I377&lt;=14.95))*1</f>
        <v/>
      </c>
      <c r="AD377">
        <f>--(AND(D377&gt;113.15,K377&gt;0.22,N377&gt;810.1,I377&gt;14.95))*1</f>
        <v/>
      </c>
      <c r="AE377">
        <f>SUM(P377:AD377)</f>
        <v/>
      </c>
      <c r="AF377">
        <f>IF(AE377=1,"Malignant","Benign")</f>
        <v/>
      </c>
      <c r="AG377">
        <f>--(AE377=C377)</f>
        <v/>
      </c>
    </row>
    <row r="378">
      <c r="A378">
        <f>BreastCancer_Data!A378</f>
        <v/>
      </c>
      <c r="B378">
        <f>BreastCancer_Data!B378</f>
        <v/>
      </c>
      <c r="C378">
        <f>BreastCancer_Data!D378</f>
        <v/>
      </c>
      <c r="D378">
        <f>BreastCancer_Data!E378</f>
        <v/>
      </c>
      <c r="E378">
        <f>BreastCancer_Data!F378</f>
        <v/>
      </c>
      <c r="F378">
        <f>BreastCancer_Data!G378</f>
        <v/>
      </c>
      <c r="G378">
        <f>BreastCancer_Data!H378</f>
        <v/>
      </c>
      <c r="H378">
        <f>BreastCancer_Data!I378</f>
        <v/>
      </c>
      <c r="I378">
        <f>BreastCancer_Data!J378</f>
        <v/>
      </c>
      <c r="J378">
        <f>BreastCancer_Data!K378</f>
        <v/>
      </c>
      <c r="K378">
        <f>BreastCancer_Data!L378</f>
        <v/>
      </c>
      <c r="L378">
        <f>BreastCancer_Data!M378</f>
        <v/>
      </c>
      <c r="M378">
        <f>BreastCancer_Data!N378</f>
        <v/>
      </c>
      <c r="N378">
        <f>BreastCancer_Data!O378</f>
        <v/>
      </c>
      <c r="O378">
        <f>0</f>
        <v/>
      </c>
      <c r="P378">
        <f>--(AND(D378&lt;=113.15,E378&lt;=0.15,F378&lt;=15.77,G378&lt;=0.18,H378&lt;=33.27))*0</f>
        <v/>
      </c>
      <c r="Q378">
        <f>--(AND(D378&lt;=113.15,E378&lt;=0.15,F378&lt;=15.77,G378&lt;=0.18,H378&gt;33.27))*0</f>
        <v/>
      </c>
      <c r="R378">
        <f>--(AND(D378&lt;=113.15,E378&lt;=0.15,F378&lt;=15.77,G378&gt;0.18))*0</f>
        <v/>
      </c>
      <c r="S378">
        <f>--(AND(D378&lt;=113.15,E378&lt;=0.15,F378&gt;15.77,H378&lt;=28.86,G378&lt;=0.14))*0</f>
        <v/>
      </c>
      <c r="T378">
        <f>--(AND(D378&lt;=113.15,E378&lt;=0.15,F378&gt;15.77,H378&lt;=28.86,G378&gt;0.14))*1</f>
        <v/>
      </c>
      <c r="U378">
        <f>--(AND(D378&lt;=113.15,E378&lt;=0.15,F378&gt;15.77,H378&gt;28.86,M378&lt;=14.54))*1</f>
        <v/>
      </c>
      <c r="V378">
        <f>--(AND(D378&lt;=113.15,E378&lt;=0.15,F378&gt;15.77,H378&gt;28.86,M378&gt;14.54))*1</f>
        <v/>
      </c>
      <c r="W378">
        <f>--(AND(D378&lt;=113.15,E378&gt;0.15,H378&lt;=23.74))*0</f>
        <v/>
      </c>
      <c r="X378">
        <f>--(AND(D378&lt;=113.15,E378&gt;0.15,H378&gt;23.74,J378&lt;=0.1))*1</f>
        <v/>
      </c>
      <c r="Y378">
        <f>--(AND(D378&lt;=113.15,E378&gt;0.15,H378&gt;23.74,J378&gt;0.1))*1</f>
        <v/>
      </c>
      <c r="Z378">
        <f>--(AND(D378&gt;113.15,K378&lt;=0.22,L378&lt;=0.02))*1</f>
        <v/>
      </c>
      <c r="AA378">
        <f>--(AND(D378&gt;113.15,K378&lt;=0.22,L378&gt;0.02))*0</f>
        <v/>
      </c>
      <c r="AB378">
        <f>--(AND(D378&gt;113.15,K378&gt;0.22,N378&lt;=810.1))*0</f>
        <v/>
      </c>
      <c r="AC378">
        <f>--(AND(D378&gt;113.15,K378&gt;0.22,N378&gt;810.1,I378&lt;=14.95))*1</f>
        <v/>
      </c>
      <c r="AD378">
        <f>--(AND(D378&gt;113.15,K378&gt;0.22,N378&gt;810.1,I378&gt;14.95))*1</f>
        <v/>
      </c>
      <c r="AE378">
        <f>SUM(P378:AD378)</f>
        <v/>
      </c>
      <c r="AF378">
        <f>IF(AE378=1,"Malignant","Benign")</f>
        <v/>
      </c>
      <c r="AG378">
        <f>--(AE378=C378)</f>
        <v/>
      </c>
    </row>
    <row r="379">
      <c r="A379">
        <f>BreastCancer_Data!A379</f>
        <v/>
      </c>
      <c r="B379">
        <f>BreastCancer_Data!B379</f>
        <v/>
      </c>
      <c r="C379">
        <f>BreastCancer_Data!D379</f>
        <v/>
      </c>
      <c r="D379">
        <f>BreastCancer_Data!E379</f>
        <v/>
      </c>
      <c r="E379">
        <f>BreastCancer_Data!F379</f>
        <v/>
      </c>
      <c r="F379">
        <f>BreastCancer_Data!G379</f>
        <v/>
      </c>
      <c r="G379">
        <f>BreastCancer_Data!H379</f>
        <v/>
      </c>
      <c r="H379">
        <f>BreastCancer_Data!I379</f>
        <v/>
      </c>
      <c r="I379">
        <f>BreastCancer_Data!J379</f>
        <v/>
      </c>
      <c r="J379">
        <f>BreastCancer_Data!K379</f>
        <v/>
      </c>
      <c r="K379">
        <f>BreastCancer_Data!L379</f>
        <v/>
      </c>
      <c r="L379">
        <f>BreastCancer_Data!M379</f>
        <v/>
      </c>
      <c r="M379">
        <f>BreastCancer_Data!N379</f>
        <v/>
      </c>
      <c r="N379">
        <f>BreastCancer_Data!O379</f>
        <v/>
      </c>
      <c r="O379">
        <f>0</f>
        <v/>
      </c>
      <c r="P379">
        <f>--(AND(D379&lt;=113.15,E379&lt;=0.15,F379&lt;=15.77,G379&lt;=0.18,H379&lt;=33.27))*0</f>
        <v/>
      </c>
      <c r="Q379">
        <f>--(AND(D379&lt;=113.15,E379&lt;=0.15,F379&lt;=15.77,G379&lt;=0.18,H379&gt;33.27))*0</f>
        <v/>
      </c>
      <c r="R379">
        <f>--(AND(D379&lt;=113.15,E379&lt;=0.15,F379&lt;=15.77,G379&gt;0.18))*0</f>
        <v/>
      </c>
      <c r="S379">
        <f>--(AND(D379&lt;=113.15,E379&lt;=0.15,F379&gt;15.77,H379&lt;=28.86,G379&lt;=0.14))*0</f>
        <v/>
      </c>
      <c r="T379">
        <f>--(AND(D379&lt;=113.15,E379&lt;=0.15,F379&gt;15.77,H379&lt;=28.86,G379&gt;0.14))*1</f>
        <v/>
      </c>
      <c r="U379">
        <f>--(AND(D379&lt;=113.15,E379&lt;=0.15,F379&gt;15.77,H379&gt;28.86,M379&lt;=14.54))*1</f>
        <v/>
      </c>
      <c r="V379">
        <f>--(AND(D379&lt;=113.15,E379&lt;=0.15,F379&gt;15.77,H379&gt;28.86,M379&gt;14.54))*1</f>
        <v/>
      </c>
      <c r="W379">
        <f>--(AND(D379&lt;=113.15,E379&gt;0.15,H379&lt;=23.74))*0</f>
        <v/>
      </c>
      <c r="X379">
        <f>--(AND(D379&lt;=113.15,E379&gt;0.15,H379&gt;23.74,J379&lt;=0.1))*1</f>
        <v/>
      </c>
      <c r="Y379">
        <f>--(AND(D379&lt;=113.15,E379&gt;0.15,H379&gt;23.74,J379&gt;0.1))*1</f>
        <v/>
      </c>
      <c r="Z379">
        <f>--(AND(D379&gt;113.15,K379&lt;=0.22,L379&lt;=0.02))*1</f>
        <v/>
      </c>
      <c r="AA379">
        <f>--(AND(D379&gt;113.15,K379&lt;=0.22,L379&gt;0.02))*0</f>
        <v/>
      </c>
      <c r="AB379">
        <f>--(AND(D379&gt;113.15,K379&gt;0.22,N379&lt;=810.1))*0</f>
        <v/>
      </c>
      <c r="AC379">
        <f>--(AND(D379&gt;113.15,K379&gt;0.22,N379&gt;810.1,I379&lt;=14.95))*1</f>
        <v/>
      </c>
      <c r="AD379">
        <f>--(AND(D379&gt;113.15,K379&gt;0.22,N379&gt;810.1,I379&gt;14.95))*1</f>
        <v/>
      </c>
      <c r="AE379">
        <f>SUM(P379:AD379)</f>
        <v/>
      </c>
      <c r="AF379">
        <f>IF(AE379=1,"Malignant","Benign")</f>
        <v/>
      </c>
      <c r="AG379">
        <f>--(AE379=C379)</f>
        <v/>
      </c>
    </row>
    <row r="380">
      <c r="A380">
        <f>BreastCancer_Data!A380</f>
        <v/>
      </c>
      <c r="B380">
        <f>BreastCancer_Data!B380</f>
        <v/>
      </c>
      <c r="C380">
        <f>BreastCancer_Data!D380</f>
        <v/>
      </c>
      <c r="D380">
        <f>BreastCancer_Data!E380</f>
        <v/>
      </c>
      <c r="E380">
        <f>BreastCancer_Data!F380</f>
        <v/>
      </c>
      <c r="F380">
        <f>BreastCancer_Data!G380</f>
        <v/>
      </c>
      <c r="G380">
        <f>BreastCancer_Data!H380</f>
        <v/>
      </c>
      <c r="H380">
        <f>BreastCancer_Data!I380</f>
        <v/>
      </c>
      <c r="I380">
        <f>BreastCancer_Data!J380</f>
        <v/>
      </c>
      <c r="J380">
        <f>BreastCancer_Data!K380</f>
        <v/>
      </c>
      <c r="K380">
        <f>BreastCancer_Data!L380</f>
        <v/>
      </c>
      <c r="L380">
        <f>BreastCancer_Data!M380</f>
        <v/>
      </c>
      <c r="M380">
        <f>BreastCancer_Data!N380</f>
        <v/>
      </c>
      <c r="N380">
        <f>BreastCancer_Data!O380</f>
        <v/>
      </c>
      <c r="O380">
        <f>0</f>
        <v/>
      </c>
      <c r="P380">
        <f>--(AND(D380&lt;=113.15,E380&lt;=0.15,F380&lt;=15.77,G380&lt;=0.18,H380&lt;=33.27))*0</f>
        <v/>
      </c>
      <c r="Q380">
        <f>--(AND(D380&lt;=113.15,E380&lt;=0.15,F380&lt;=15.77,G380&lt;=0.18,H380&gt;33.27))*0</f>
        <v/>
      </c>
      <c r="R380">
        <f>--(AND(D380&lt;=113.15,E380&lt;=0.15,F380&lt;=15.77,G380&gt;0.18))*0</f>
        <v/>
      </c>
      <c r="S380">
        <f>--(AND(D380&lt;=113.15,E380&lt;=0.15,F380&gt;15.77,H380&lt;=28.86,G380&lt;=0.14))*0</f>
        <v/>
      </c>
      <c r="T380">
        <f>--(AND(D380&lt;=113.15,E380&lt;=0.15,F380&gt;15.77,H380&lt;=28.86,G380&gt;0.14))*1</f>
        <v/>
      </c>
      <c r="U380">
        <f>--(AND(D380&lt;=113.15,E380&lt;=0.15,F380&gt;15.77,H380&gt;28.86,M380&lt;=14.54))*1</f>
        <v/>
      </c>
      <c r="V380">
        <f>--(AND(D380&lt;=113.15,E380&lt;=0.15,F380&gt;15.77,H380&gt;28.86,M380&gt;14.54))*1</f>
        <v/>
      </c>
      <c r="W380">
        <f>--(AND(D380&lt;=113.15,E380&gt;0.15,H380&lt;=23.74))*0</f>
        <v/>
      </c>
      <c r="X380">
        <f>--(AND(D380&lt;=113.15,E380&gt;0.15,H380&gt;23.74,J380&lt;=0.1))*1</f>
        <v/>
      </c>
      <c r="Y380">
        <f>--(AND(D380&lt;=113.15,E380&gt;0.15,H380&gt;23.74,J380&gt;0.1))*1</f>
        <v/>
      </c>
      <c r="Z380">
        <f>--(AND(D380&gt;113.15,K380&lt;=0.22,L380&lt;=0.02))*1</f>
        <v/>
      </c>
      <c r="AA380">
        <f>--(AND(D380&gt;113.15,K380&lt;=0.22,L380&gt;0.02))*0</f>
        <v/>
      </c>
      <c r="AB380">
        <f>--(AND(D380&gt;113.15,K380&gt;0.22,N380&lt;=810.1))*0</f>
        <v/>
      </c>
      <c r="AC380">
        <f>--(AND(D380&gt;113.15,K380&gt;0.22,N380&gt;810.1,I380&lt;=14.95))*1</f>
        <v/>
      </c>
      <c r="AD380">
        <f>--(AND(D380&gt;113.15,K380&gt;0.22,N380&gt;810.1,I380&gt;14.95))*1</f>
        <v/>
      </c>
      <c r="AE380">
        <f>SUM(P380:AD380)</f>
        <v/>
      </c>
      <c r="AF380">
        <f>IF(AE380=1,"Malignant","Benign")</f>
        <v/>
      </c>
      <c r="AG380">
        <f>--(AE380=C380)</f>
        <v/>
      </c>
    </row>
    <row r="381">
      <c r="A381">
        <f>BreastCancer_Data!A381</f>
        <v/>
      </c>
      <c r="B381">
        <f>BreastCancer_Data!B381</f>
        <v/>
      </c>
      <c r="C381">
        <f>BreastCancer_Data!D381</f>
        <v/>
      </c>
      <c r="D381">
        <f>BreastCancer_Data!E381</f>
        <v/>
      </c>
      <c r="E381">
        <f>BreastCancer_Data!F381</f>
        <v/>
      </c>
      <c r="F381">
        <f>BreastCancer_Data!G381</f>
        <v/>
      </c>
      <c r="G381">
        <f>BreastCancer_Data!H381</f>
        <v/>
      </c>
      <c r="H381">
        <f>BreastCancer_Data!I381</f>
        <v/>
      </c>
      <c r="I381">
        <f>BreastCancer_Data!J381</f>
        <v/>
      </c>
      <c r="J381">
        <f>BreastCancer_Data!K381</f>
        <v/>
      </c>
      <c r="K381">
        <f>BreastCancer_Data!L381</f>
        <v/>
      </c>
      <c r="L381">
        <f>BreastCancer_Data!M381</f>
        <v/>
      </c>
      <c r="M381">
        <f>BreastCancer_Data!N381</f>
        <v/>
      </c>
      <c r="N381">
        <f>BreastCancer_Data!O381</f>
        <v/>
      </c>
      <c r="O381">
        <f>0</f>
        <v/>
      </c>
      <c r="P381">
        <f>--(AND(D381&lt;=113.15,E381&lt;=0.15,F381&lt;=15.77,G381&lt;=0.18,H381&lt;=33.27))*0</f>
        <v/>
      </c>
      <c r="Q381">
        <f>--(AND(D381&lt;=113.15,E381&lt;=0.15,F381&lt;=15.77,G381&lt;=0.18,H381&gt;33.27))*0</f>
        <v/>
      </c>
      <c r="R381">
        <f>--(AND(D381&lt;=113.15,E381&lt;=0.15,F381&lt;=15.77,G381&gt;0.18))*0</f>
        <v/>
      </c>
      <c r="S381">
        <f>--(AND(D381&lt;=113.15,E381&lt;=0.15,F381&gt;15.77,H381&lt;=28.86,G381&lt;=0.14))*0</f>
        <v/>
      </c>
      <c r="T381">
        <f>--(AND(D381&lt;=113.15,E381&lt;=0.15,F381&gt;15.77,H381&lt;=28.86,G381&gt;0.14))*1</f>
        <v/>
      </c>
      <c r="U381">
        <f>--(AND(D381&lt;=113.15,E381&lt;=0.15,F381&gt;15.77,H381&gt;28.86,M381&lt;=14.54))*1</f>
        <v/>
      </c>
      <c r="V381">
        <f>--(AND(D381&lt;=113.15,E381&lt;=0.15,F381&gt;15.77,H381&gt;28.86,M381&gt;14.54))*1</f>
        <v/>
      </c>
      <c r="W381">
        <f>--(AND(D381&lt;=113.15,E381&gt;0.15,H381&lt;=23.74))*0</f>
        <v/>
      </c>
      <c r="X381">
        <f>--(AND(D381&lt;=113.15,E381&gt;0.15,H381&gt;23.74,J381&lt;=0.1))*1</f>
        <v/>
      </c>
      <c r="Y381">
        <f>--(AND(D381&lt;=113.15,E381&gt;0.15,H381&gt;23.74,J381&gt;0.1))*1</f>
        <v/>
      </c>
      <c r="Z381">
        <f>--(AND(D381&gt;113.15,K381&lt;=0.22,L381&lt;=0.02))*1</f>
        <v/>
      </c>
      <c r="AA381">
        <f>--(AND(D381&gt;113.15,K381&lt;=0.22,L381&gt;0.02))*0</f>
        <v/>
      </c>
      <c r="AB381">
        <f>--(AND(D381&gt;113.15,K381&gt;0.22,N381&lt;=810.1))*0</f>
        <v/>
      </c>
      <c r="AC381">
        <f>--(AND(D381&gt;113.15,K381&gt;0.22,N381&gt;810.1,I381&lt;=14.95))*1</f>
        <v/>
      </c>
      <c r="AD381">
        <f>--(AND(D381&gt;113.15,K381&gt;0.22,N381&gt;810.1,I381&gt;14.95))*1</f>
        <v/>
      </c>
      <c r="AE381">
        <f>SUM(P381:AD381)</f>
        <v/>
      </c>
      <c r="AF381">
        <f>IF(AE381=1,"Malignant","Benign")</f>
        <v/>
      </c>
      <c r="AG381">
        <f>--(AE381=C381)</f>
        <v/>
      </c>
    </row>
    <row r="382">
      <c r="A382">
        <f>BreastCancer_Data!A382</f>
        <v/>
      </c>
      <c r="B382">
        <f>BreastCancer_Data!B382</f>
        <v/>
      </c>
      <c r="C382">
        <f>BreastCancer_Data!D382</f>
        <v/>
      </c>
      <c r="D382">
        <f>BreastCancer_Data!E382</f>
        <v/>
      </c>
      <c r="E382">
        <f>BreastCancer_Data!F382</f>
        <v/>
      </c>
      <c r="F382">
        <f>BreastCancer_Data!G382</f>
        <v/>
      </c>
      <c r="G382">
        <f>BreastCancer_Data!H382</f>
        <v/>
      </c>
      <c r="H382">
        <f>BreastCancer_Data!I382</f>
        <v/>
      </c>
      <c r="I382">
        <f>BreastCancer_Data!J382</f>
        <v/>
      </c>
      <c r="J382">
        <f>BreastCancer_Data!K382</f>
        <v/>
      </c>
      <c r="K382">
        <f>BreastCancer_Data!L382</f>
        <v/>
      </c>
      <c r="L382">
        <f>BreastCancer_Data!M382</f>
        <v/>
      </c>
      <c r="M382">
        <f>BreastCancer_Data!N382</f>
        <v/>
      </c>
      <c r="N382">
        <f>BreastCancer_Data!O382</f>
        <v/>
      </c>
      <c r="O382">
        <f>0</f>
        <v/>
      </c>
      <c r="P382">
        <f>--(AND(D382&lt;=113.15,E382&lt;=0.15,F382&lt;=15.77,G382&lt;=0.18,H382&lt;=33.27))*0</f>
        <v/>
      </c>
      <c r="Q382">
        <f>--(AND(D382&lt;=113.15,E382&lt;=0.15,F382&lt;=15.77,G382&lt;=0.18,H382&gt;33.27))*0</f>
        <v/>
      </c>
      <c r="R382">
        <f>--(AND(D382&lt;=113.15,E382&lt;=0.15,F382&lt;=15.77,G382&gt;0.18))*0</f>
        <v/>
      </c>
      <c r="S382">
        <f>--(AND(D382&lt;=113.15,E382&lt;=0.15,F382&gt;15.77,H382&lt;=28.86,G382&lt;=0.14))*0</f>
        <v/>
      </c>
      <c r="T382">
        <f>--(AND(D382&lt;=113.15,E382&lt;=0.15,F382&gt;15.77,H382&lt;=28.86,G382&gt;0.14))*1</f>
        <v/>
      </c>
      <c r="U382">
        <f>--(AND(D382&lt;=113.15,E382&lt;=0.15,F382&gt;15.77,H382&gt;28.86,M382&lt;=14.54))*1</f>
        <v/>
      </c>
      <c r="V382">
        <f>--(AND(D382&lt;=113.15,E382&lt;=0.15,F382&gt;15.77,H382&gt;28.86,M382&gt;14.54))*1</f>
        <v/>
      </c>
      <c r="W382">
        <f>--(AND(D382&lt;=113.15,E382&gt;0.15,H382&lt;=23.74))*0</f>
        <v/>
      </c>
      <c r="X382">
        <f>--(AND(D382&lt;=113.15,E382&gt;0.15,H382&gt;23.74,J382&lt;=0.1))*1</f>
        <v/>
      </c>
      <c r="Y382">
        <f>--(AND(D382&lt;=113.15,E382&gt;0.15,H382&gt;23.74,J382&gt;0.1))*1</f>
        <v/>
      </c>
      <c r="Z382">
        <f>--(AND(D382&gt;113.15,K382&lt;=0.22,L382&lt;=0.02))*1</f>
        <v/>
      </c>
      <c r="AA382">
        <f>--(AND(D382&gt;113.15,K382&lt;=0.22,L382&gt;0.02))*0</f>
        <v/>
      </c>
      <c r="AB382">
        <f>--(AND(D382&gt;113.15,K382&gt;0.22,N382&lt;=810.1))*0</f>
        <v/>
      </c>
      <c r="AC382">
        <f>--(AND(D382&gt;113.15,K382&gt;0.22,N382&gt;810.1,I382&lt;=14.95))*1</f>
        <v/>
      </c>
      <c r="AD382">
        <f>--(AND(D382&gt;113.15,K382&gt;0.22,N382&gt;810.1,I382&gt;14.95))*1</f>
        <v/>
      </c>
      <c r="AE382">
        <f>SUM(P382:AD382)</f>
        <v/>
      </c>
      <c r="AF382">
        <f>IF(AE382=1,"Malignant","Benign")</f>
        <v/>
      </c>
      <c r="AG382">
        <f>--(AE382=C382)</f>
        <v/>
      </c>
    </row>
    <row r="383">
      <c r="A383">
        <f>BreastCancer_Data!A383</f>
        <v/>
      </c>
      <c r="B383">
        <f>BreastCancer_Data!B383</f>
        <v/>
      </c>
      <c r="C383">
        <f>BreastCancer_Data!D383</f>
        <v/>
      </c>
      <c r="D383">
        <f>BreastCancer_Data!E383</f>
        <v/>
      </c>
      <c r="E383">
        <f>BreastCancer_Data!F383</f>
        <v/>
      </c>
      <c r="F383">
        <f>BreastCancer_Data!G383</f>
        <v/>
      </c>
      <c r="G383">
        <f>BreastCancer_Data!H383</f>
        <v/>
      </c>
      <c r="H383">
        <f>BreastCancer_Data!I383</f>
        <v/>
      </c>
      <c r="I383">
        <f>BreastCancer_Data!J383</f>
        <v/>
      </c>
      <c r="J383">
        <f>BreastCancer_Data!K383</f>
        <v/>
      </c>
      <c r="K383">
        <f>BreastCancer_Data!L383</f>
        <v/>
      </c>
      <c r="L383">
        <f>BreastCancer_Data!M383</f>
        <v/>
      </c>
      <c r="M383">
        <f>BreastCancer_Data!N383</f>
        <v/>
      </c>
      <c r="N383">
        <f>BreastCancer_Data!O383</f>
        <v/>
      </c>
      <c r="O383">
        <f>0</f>
        <v/>
      </c>
      <c r="P383">
        <f>--(AND(D383&lt;=113.15,E383&lt;=0.15,F383&lt;=15.77,G383&lt;=0.18,H383&lt;=33.27))*0</f>
        <v/>
      </c>
      <c r="Q383">
        <f>--(AND(D383&lt;=113.15,E383&lt;=0.15,F383&lt;=15.77,G383&lt;=0.18,H383&gt;33.27))*0</f>
        <v/>
      </c>
      <c r="R383">
        <f>--(AND(D383&lt;=113.15,E383&lt;=0.15,F383&lt;=15.77,G383&gt;0.18))*0</f>
        <v/>
      </c>
      <c r="S383">
        <f>--(AND(D383&lt;=113.15,E383&lt;=0.15,F383&gt;15.77,H383&lt;=28.86,G383&lt;=0.14))*0</f>
        <v/>
      </c>
      <c r="T383">
        <f>--(AND(D383&lt;=113.15,E383&lt;=0.15,F383&gt;15.77,H383&lt;=28.86,G383&gt;0.14))*1</f>
        <v/>
      </c>
      <c r="U383">
        <f>--(AND(D383&lt;=113.15,E383&lt;=0.15,F383&gt;15.77,H383&gt;28.86,M383&lt;=14.54))*1</f>
        <v/>
      </c>
      <c r="V383">
        <f>--(AND(D383&lt;=113.15,E383&lt;=0.15,F383&gt;15.77,H383&gt;28.86,M383&gt;14.54))*1</f>
        <v/>
      </c>
      <c r="W383">
        <f>--(AND(D383&lt;=113.15,E383&gt;0.15,H383&lt;=23.74))*0</f>
        <v/>
      </c>
      <c r="X383">
        <f>--(AND(D383&lt;=113.15,E383&gt;0.15,H383&gt;23.74,J383&lt;=0.1))*1</f>
        <v/>
      </c>
      <c r="Y383">
        <f>--(AND(D383&lt;=113.15,E383&gt;0.15,H383&gt;23.74,J383&gt;0.1))*1</f>
        <v/>
      </c>
      <c r="Z383">
        <f>--(AND(D383&gt;113.15,K383&lt;=0.22,L383&lt;=0.02))*1</f>
        <v/>
      </c>
      <c r="AA383">
        <f>--(AND(D383&gt;113.15,K383&lt;=0.22,L383&gt;0.02))*0</f>
        <v/>
      </c>
      <c r="AB383">
        <f>--(AND(D383&gt;113.15,K383&gt;0.22,N383&lt;=810.1))*0</f>
        <v/>
      </c>
      <c r="AC383">
        <f>--(AND(D383&gt;113.15,K383&gt;0.22,N383&gt;810.1,I383&lt;=14.95))*1</f>
        <v/>
      </c>
      <c r="AD383">
        <f>--(AND(D383&gt;113.15,K383&gt;0.22,N383&gt;810.1,I383&gt;14.95))*1</f>
        <v/>
      </c>
      <c r="AE383">
        <f>SUM(P383:AD383)</f>
        <v/>
      </c>
      <c r="AF383">
        <f>IF(AE383=1,"Malignant","Benign")</f>
        <v/>
      </c>
      <c r="AG383">
        <f>--(AE383=C383)</f>
        <v/>
      </c>
    </row>
    <row r="384">
      <c r="A384">
        <f>BreastCancer_Data!A384</f>
        <v/>
      </c>
      <c r="B384">
        <f>BreastCancer_Data!B384</f>
        <v/>
      </c>
      <c r="C384">
        <f>BreastCancer_Data!D384</f>
        <v/>
      </c>
      <c r="D384">
        <f>BreastCancer_Data!E384</f>
        <v/>
      </c>
      <c r="E384">
        <f>BreastCancer_Data!F384</f>
        <v/>
      </c>
      <c r="F384">
        <f>BreastCancer_Data!G384</f>
        <v/>
      </c>
      <c r="G384">
        <f>BreastCancer_Data!H384</f>
        <v/>
      </c>
      <c r="H384">
        <f>BreastCancer_Data!I384</f>
        <v/>
      </c>
      <c r="I384">
        <f>BreastCancer_Data!J384</f>
        <v/>
      </c>
      <c r="J384">
        <f>BreastCancer_Data!K384</f>
        <v/>
      </c>
      <c r="K384">
        <f>BreastCancer_Data!L384</f>
        <v/>
      </c>
      <c r="L384">
        <f>BreastCancer_Data!M384</f>
        <v/>
      </c>
      <c r="M384">
        <f>BreastCancer_Data!N384</f>
        <v/>
      </c>
      <c r="N384">
        <f>BreastCancer_Data!O384</f>
        <v/>
      </c>
      <c r="O384">
        <f>0</f>
        <v/>
      </c>
      <c r="P384">
        <f>--(AND(D384&lt;=113.15,E384&lt;=0.15,F384&lt;=15.77,G384&lt;=0.18,H384&lt;=33.27))*0</f>
        <v/>
      </c>
      <c r="Q384">
        <f>--(AND(D384&lt;=113.15,E384&lt;=0.15,F384&lt;=15.77,G384&lt;=0.18,H384&gt;33.27))*0</f>
        <v/>
      </c>
      <c r="R384">
        <f>--(AND(D384&lt;=113.15,E384&lt;=0.15,F384&lt;=15.77,G384&gt;0.18))*0</f>
        <v/>
      </c>
      <c r="S384">
        <f>--(AND(D384&lt;=113.15,E384&lt;=0.15,F384&gt;15.77,H384&lt;=28.86,G384&lt;=0.14))*0</f>
        <v/>
      </c>
      <c r="T384">
        <f>--(AND(D384&lt;=113.15,E384&lt;=0.15,F384&gt;15.77,H384&lt;=28.86,G384&gt;0.14))*1</f>
        <v/>
      </c>
      <c r="U384">
        <f>--(AND(D384&lt;=113.15,E384&lt;=0.15,F384&gt;15.77,H384&gt;28.86,M384&lt;=14.54))*1</f>
        <v/>
      </c>
      <c r="V384">
        <f>--(AND(D384&lt;=113.15,E384&lt;=0.15,F384&gt;15.77,H384&gt;28.86,M384&gt;14.54))*1</f>
        <v/>
      </c>
      <c r="W384">
        <f>--(AND(D384&lt;=113.15,E384&gt;0.15,H384&lt;=23.74))*0</f>
        <v/>
      </c>
      <c r="X384">
        <f>--(AND(D384&lt;=113.15,E384&gt;0.15,H384&gt;23.74,J384&lt;=0.1))*1</f>
        <v/>
      </c>
      <c r="Y384">
        <f>--(AND(D384&lt;=113.15,E384&gt;0.15,H384&gt;23.74,J384&gt;0.1))*1</f>
        <v/>
      </c>
      <c r="Z384">
        <f>--(AND(D384&gt;113.15,K384&lt;=0.22,L384&lt;=0.02))*1</f>
        <v/>
      </c>
      <c r="AA384">
        <f>--(AND(D384&gt;113.15,K384&lt;=0.22,L384&gt;0.02))*0</f>
        <v/>
      </c>
      <c r="AB384">
        <f>--(AND(D384&gt;113.15,K384&gt;0.22,N384&lt;=810.1))*0</f>
        <v/>
      </c>
      <c r="AC384">
        <f>--(AND(D384&gt;113.15,K384&gt;0.22,N384&gt;810.1,I384&lt;=14.95))*1</f>
        <v/>
      </c>
      <c r="AD384">
        <f>--(AND(D384&gt;113.15,K384&gt;0.22,N384&gt;810.1,I384&gt;14.95))*1</f>
        <v/>
      </c>
      <c r="AE384">
        <f>SUM(P384:AD384)</f>
        <v/>
      </c>
      <c r="AF384">
        <f>IF(AE384=1,"Malignant","Benign")</f>
        <v/>
      </c>
      <c r="AG384">
        <f>--(AE384=C384)</f>
        <v/>
      </c>
    </row>
    <row r="385">
      <c r="A385">
        <f>BreastCancer_Data!A385</f>
        <v/>
      </c>
      <c r="B385">
        <f>BreastCancer_Data!B385</f>
        <v/>
      </c>
      <c r="C385">
        <f>BreastCancer_Data!D385</f>
        <v/>
      </c>
      <c r="D385">
        <f>BreastCancer_Data!E385</f>
        <v/>
      </c>
      <c r="E385">
        <f>BreastCancer_Data!F385</f>
        <v/>
      </c>
      <c r="F385">
        <f>BreastCancer_Data!G385</f>
        <v/>
      </c>
      <c r="G385">
        <f>BreastCancer_Data!H385</f>
        <v/>
      </c>
      <c r="H385">
        <f>BreastCancer_Data!I385</f>
        <v/>
      </c>
      <c r="I385">
        <f>BreastCancer_Data!J385</f>
        <v/>
      </c>
      <c r="J385">
        <f>BreastCancer_Data!K385</f>
        <v/>
      </c>
      <c r="K385">
        <f>BreastCancer_Data!L385</f>
        <v/>
      </c>
      <c r="L385">
        <f>BreastCancer_Data!M385</f>
        <v/>
      </c>
      <c r="M385">
        <f>BreastCancer_Data!N385</f>
        <v/>
      </c>
      <c r="N385">
        <f>BreastCancer_Data!O385</f>
        <v/>
      </c>
      <c r="O385">
        <f>0</f>
        <v/>
      </c>
      <c r="P385">
        <f>--(AND(D385&lt;=113.15,E385&lt;=0.15,F385&lt;=15.77,G385&lt;=0.18,H385&lt;=33.27))*0</f>
        <v/>
      </c>
      <c r="Q385">
        <f>--(AND(D385&lt;=113.15,E385&lt;=0.15,F385&lt;=15.77,G385&lt;=0.18,H385&gt;33.27))*0</f>
        <v/>
      </c>
      <c r="R385">
        <f>--(AND(D385&lt;=113.15,E385&lt;=0.15,F385&lt;=15.77,G385&gt;0.18))*0</f>
        <v/>
      </c>
      <c r="S385">
        <f>--(AND(D385&lt;=113.15,E385&lt;=0.15,F385&gt;15.77,H385&lt;=28.86,G385&lt;=0.14))*0</f>
        <v/>
      </c>
      <c r="T385">
        <f>--(AND(D385&lt;=113.15,E385&lt;=0.15,F385&gt;15.77,H385&lt;=28.86,G385&gt;0.14))*1</f>
        <v/>
      </c>
      <c r="U385">
        <f>--(AND(D385&lt;=113.15,E385&lt;=0.15,F385&gt;15.77,H385&gt;28.86,M385&lt;=14.54))*1</f>
        <v/>
      </c>
      <c r="V385">
        <f>--(AND(D385&lt;=113.15,E385&lt;=0.15,F385&gt;15.77,H385&gt;28.86,M385&gt;14.54))*1</f>
        <v/>
      </c>
      <c r="W385">
        <f>--(AND(D385&lt;=113.15,E385&gt;0.15,H385&lt;=23.74))*0</f>
        <v/>
      </c>
      <c r="X385">
        <f>--(AND(D385&lt;=113.15,E385&gt;0.15,H385&gt;23.74,J385&lt;=0.1))*1</f>
        <v/>
      </c>
      <c r="Y385">
        <f>--(AND(D385&lt;=113.15,E385&gt;0.15,H385&gt;23.74,J385&gt;0.1))*1</f>
        <v/>
      </c>
      <c r="Z385">
        <f>--(AND(D385&gt;113.15,K385&lt;=0.22,L385&lt;=0.02))*1</f>
        <v/>
      </c>
      <c r="AA385">
        <f>--(AND(D385&gt;113.15,K385&lt;=0.22,L385&gt;0.02))*0</f>
        <v/>
      </c>
      <c r="AB385">
        <f>--(AND(D385&gt;113.15,K385&gt;0.22,N385&lt;=810.1))*0</f>
        <v/>
      </c>
      <c r="AC385">
        <f>--(AND(D385&gt;113.15,K385&gt;0.22,N385&gt;810.1,I385&lt;=14.95))*1</f>
        <v/>
      </c>
      <c r="AD385">
        <f>--(AND(D385&gt;113.15,K385&gt;0.22,N385&gt;810.1,I385&gt;14.95))*1</f>
        <v/>
      </c>
      <c r="AE385">
        <f>SUM(P385:AD385)</f>
        <v/>
      </c>
      <c r="AF385">
        <f>IF(AE385=1,"Malignant","Benign")</f>
        <v/>
      </c>
      <c r="AG385">
        <f>--(AE385=C385)</f>
        <v/>
      </c>
    </row>
    <row r="386">
      <c r="A386">
        <f>BreastCancer_Data!A386</f>
        <v/>
      </c>
      <c r="B386">
        <f>BreastCancer_Data!B386</f>
        <v/>
      </c>
      <c r="C386">
        <f>BreastCancer_Data!D386</f>
        <v/>
      </c>
      <c r="D386">
        <f>BreastCancer_Data!E386</f>
        <v/>
      </c>
      <c r="E386">
        <f>BreastCancer_Data!F386</f>
        <v/>
      </c>
      <c r="F386">
        <f>BreastCancer_Data!G386</f>
        <v/>
      </c>
      <c r="G386">
        <f>BreastCancer_Data!H386</f>
        <v/>
      </c>
      <c r="H386">
        <f>BreastCancer_Data!I386</f>
        <v/>
      </c>
      <c r="I386">
        <f>BreastCancer_Data!J386</f>
        <v/>
      </c>
      <c r="J386">
        <f>BreastCancer_Data!K386</f>
        <v/>
      </c>
      <c r="K386">
        <f>BreastCancer_Data!L386</f>
        <v/>
      </c>
      <c r="L386">
        <f>BreastCancer_Data!M386</f>
        <v/>
      </c>
      <c r="M386">
        <f>BreastCancer_Data!N386</f>
        <v/>
      </c>
      <c r="N386">
        <f>BreastCancer_Data!O386</f>
        <v/>
      </c>
      <c r="O386">
        <f>0</f>
        <v/>
      </c>
      <c r="P386">
        <f>--(AND(D386&lt;=113.15,E386&lt;=0.15,F386&lt;=15.77,G386&lt;=0.18,H386&lt;=33.27))*0</f>
        <v/>
      </c>
      <c r="Q386">
        <f>--(AND(D386&lt;=113.15,E386&lt;=0.15,F386&lt;=15.77,G386&lt;=0.18,H386&gt;33.27))*0</f>
        <v/>
      </c>
      <c r="R386">
        <f>--(AND(D386&lt;=113.15,E386&lt;=0.15,F386&lt;=15.77,G386&gt;0.18))*0</f>
        <v/>
      </c>
      <c r="S386">
        <f>--(AND(D386&lt;=113.15,E386&lt;=0.15,F386&gt;15.77,H386&lt;=28.86,G386&lt;=0.14))*0</f>
        <v/>
      </c>
      <c r="T386">
        <f>--(AND(D386&lt;=113.15,E386&lt;=0.15,F386&gt;15.77,H386&lt;=28.86,G386&gt;0.14))*1</f>
        <v/>
      </c>
      <c r="U386">
        <f>--(AND(D386&lt;=113.15,E386&lt;=0.15,F386&gt;15.77,H386&gt;28.86,M386&lt;=14.54))*1</f>
        <v/>
      </c>
      <c r="V386">
        <f>--(AND(D386&lt;=113.15,E386&lt;=0.15,F386&gt;15.77,H386&gt;28.86,M386&gt;14.54))*1</f>
        <v/>
      </c>
      <c r="W386">
        <f>--(AND(D386&lt;=113.15,E386&gt;0.15,H386&lt;=23.74))*0</f>
        <v/>
      </c>
      <c r="X386">
        <f>--(AND(D386&lt;=113.15,E386&gt;0.15,H386&gt;23.74,J386&lt;=0.1))*1</f>
        <v/>
      </c>
      <c r="Y386">
        <f>--(AND(D386&lt;=113.15,E386&gt;0.15,H386&gt;23.74,J386&gt;0.1))*1</f>
        <v/>
      </c>
      <c r="Z386">
        <f>--(AND(D386&gt;113.15,K386&lt;=0.22,L386&lt;=0.02))*1</f>
        <v/>
      </c>
      <c r="AA386">
        <f>--(AND(D386&gt;113.15,K386&lt;=0.22,L386&gt;0.02))*0</f>
        <v/>
      </c>
      <c r="AB386">
        <f>--(AND(D386&gt;113.15,K386&gt;0.22,N386&lt;=810.1))*0</f>
        <v/>
      </c>
      <c r="AC386">
        <f>--(AND(D386&gt;113.15,K386&gt;0.22,N386&gt;810.1,I386&lt;=14.95))*1</f>
        <v/>
      </c>
      <c r="AD386">
        <f>--(AND(D386&gt;113.15,K386&gt;0.22,N386&gt;810.1,I386&gt;14.95))*1</f>
        <v/>
      </c>
      <c r="AE386">
        <f>SUM(P386:AD386)</f>
        <v/>
      </c>
      <c r="AF386">
        <f>IF(AE386=1,"Malignant","Benign")</f>
        <v/>
      </c>
      <c r="AG386">
        <f>--(AE386=C386)</f>
        <v/>
      </c>
    </row>
    <row r="387">
      <c r="A387">
        <f>BreastCancer_Data!A387</f>
        <v/>
      </c>
      <c r="B387">
        <f>BreastCancer_Data!B387</f>
        <v/>
      </c>
      <c r="C387">
        <f>BreastCancer_Data!D387</f>
        <v/>
      </c>
      <c r="D387">
        <f>BreastCancer_Data!E387</f>
        <v/>
      </c>
      <c r="E387">
        <f>BreastCancer_Data!F387</f>
        <v/>
      </c>
      <c r="F387">
        <f>BreastCancer_Data!G387</f>
        <v/>
      </c>
      <c r="G387">
        <f>BreastCancer_Data!H387</f>
        <v/>
      </c>
      <c r="H387">
        <f>BreastCancer_Data!I387</f>
        <v/>
      </c>
      <c r="I387">
        <f>BreastCancer_Data!J387</f>
        <v/>
      </c>
      <c r="J387">
        <f>BreastCancer_Data!K387</f>
        <v/>
      </c>
      <c r="K387">
        <f>BreastCancer_Data!L387</f>
        <v/>
      </c>
      <c r="L387">
        <f>BreastCancer_Data!M387</f>
        <v/>
      </c>
      <c r="M387">
        <f>BreastCancer_Data!N387</f>
        <v/>
      </c>
      <c r="N387">
        <f>BreastCancer_Data!O387</f>
        <v/>
      </c>
      <c r="O387">
        <f>0</f>
        <v/>
      </c>
      <c r="P387">
        <f>--(AND(D387&lt;=113.15,E387&lt;=0.15,F387&lt;=15.77,G387&lt;=0.18,H387&lt;=33.27))*0</f>
        <v/>
      </c>
      <c r="Q387">
        <f>--(AND(D387&lt;=113.15,E387&lt;=0.15,F387&lt;=15.77,G387&lt;=0.18,H387&gt;33.27))*0</f>
        <v/>
      </c>
      <c r="R387">
        <f>--(AND(D387&lt;=113.15,E387&lt;=0.15,F387&lt;=15.77,G387&gt;0.18))*0</f>
        <v/>
      </c>
      <c r="S387">
        <f>--(AND(D387&lt;=113.15,E387&lt;=0.15,F387&gt;15.77,H387&lt;=28.86,G387&lt;=0.14))*0</f>
        <v/>
      </c>
      <c r="T387">
        <f>--(AND(D387&lt;=113.15,E387&lt;=0.15,F387&gt;15.77,H387&lt;=28.86,G387&gt;0.14))*1</f>
        <v/>
      </c>
      <c r="U387">
        <f>--(AND(D387&lt;=113.15,E387&lt;=0.15,F387&gt;15.77,H387&gt;28.86,M387&lt;=14.54))*1</f>
        <v/>
      </c>
      <c r="V387">
        <f>--(AND(D387&lt;=113.15,E387&lt;=0.15,F387&gt;15.77,H387&gt;28.86,M387&gt;14.54))*1</f>
        <v/>
      </c>
      <c r="W387">
        <f>--(AND(D387&lt;=113.15,E387&gt;0.15,H387&lt;=23.74))*0</f>
        <v/>
      </c>
      <c r="X387">
        <f>--(AND(D387&lt;=113.15,E387&gt;0.15,H387&gt;23.74,J387&lt;=0.1))*1</f>
        <v/>
      </c>
      <c r="Y387">
        <f>--(AND(D387&lt;=113.15,E387&gt;0.15,H387&gt;23.74,J387&gt;0.1))*1</f>
        <v/>
      </c>
      <c r="Z387">
        <f>--(AND(D387&gt;113.15,K387&lt;=0.22,L387&lt;=0.02))*1</f>
        <v/>
      </c>
      <c r="AA387">
        <f>--(AND(D387&gt;113.15,K387&lt;=0.22,L387&gt;0.02))*0</f>
        <v/>
      </c>
      <c r="AB387">
        <f>--(AND(D387&gt;113.15,K387&gt;0.22,N387&lt;=810.1))*0</f>
        <v/>
      </c>
      <c r="AC387">
        <f>--(AND(D387&gt;113.15,K387&gt;0.22,N387&gt;810.1,I387&lt;=14.95))*1</f>
        <v/>
      </c>
      <c r="AD387">
        <f>--(AND(D387&gt;113.15,K387&gt;0.22,N387&gt;810.1,I387&gt;14.95))*1</f>
        <v/>
      </c>
      <c r="AE387">
        <f>SUM(P387:AD387)</f>
        <v/>
      </c>
      <c r="AF387">
        <f>IF(AE387=1,"Malignant","Benign")</f>
        <v/>
      </c>
      <c r="AG387">
        <f>--(AE387=C387)</f>
        <v/>
      </c>
    </row>
    <row r="388">
      <c r="A388">
        <f>BreastCancer_Data!A388</f>
        <v/>
      </c>
      <c r="B388">
        <f>BreastCancer_Data!B388</f>
        <v/>
      </c>
      <c r="C388">
        <f>BreastCancer_Data!D388</f>
        <v/>
      </c>
      <c r="D388">
        <f>BreastCancer_Data!E388</f>
        <v/>
      </c>
      <c r="E388">
        <f>BreastCancer_Data!F388</f>
        <v/>
      </c>
      <c r="F388">
        <f>BreastCancer_Data!G388</f>
        <v/>
      </c>
      <c r="G388">
        <f>BreastCancer_Data!H388</f>
        <v/>
      </c>
      <c r="H388">
        <f>BreastCancer_Data!I388</f>
        <v/>
      </c>
      <c r="I388">
        <f>BreastCancer_Data!J388</f>
        <v/>
      </c>
      <c r="J388">
        <f>BreastCancer_Data!K388</f>
        <v/>
      </c>
      <c r="K388">
        <f>BreastCancer_Data!L388</f>
        <v/>
      </c>
      <c r="L388">
        <f>BreastCancer_Data!M388</f>
        <v/>
      </c>
      <c r="M388">
        <f>BreastCancer_Data!N388</f>
        <v/>
      </c>
      <c r="N388">
        <f>BreastCancer_Data!O388</f>
        <v/>
      </c>
      <c r="O388">
        <f>0</f>
        <v/>
      </c>
      <c r="P388">
        <f>--(AND(D388&lt;=113.15,E388&lt;=0.15,F388&lt;=15.77,G388&lt;=0.18,H388&lt;=33.27))*0</f>
        <v/>
      </c>
      <c r="Q388">
        <f>--(AND(D388&lt;=113.15,E388&lt;=0.15,F388&lt;=15.77,G388&lt;=0.18,H388&gt;33.27))*0</f>
        <v/>
      </c>
      <c r="R388">
        <f>--(AND(D388&lt;=113.15,E388&lt;=0.15,F388&lt;=15.77,G388&gt;0.18))*0</f>
        <v/>
      </c>
      <c r="S388">
        <f>--(AND(D388&lt;=113.15,E388&lt;=0.15,F388&gt;15.77,H388&lt;=28.86,G388&lt;=0.14))*0</f>
        <v/>
      </c>
      <c r="T388">
        <f>--(AND(D388&lt;=113.15,E388&lt;=0.15,F388&gt;15.77,H388&lt;=28.86,G388&gt;0.14))*1</f>
        <v/>
      </c>
      <c r="U388">
        <f>--(AND(D388&lt;=113.15,E388&lt;=0.15,F388&gt;15.77,H388&gt;28.86,M388&lt;=14.54))*1</f>
        <v/>
      </c>
      <c r="V388">
        <f>--(AND(D388&lt;=113.15,E388&lt;=0.15,F388&gt;15.77,H388&gt;28.86,M388&gt;14.54))*1</f>
        <v/>
      </c>
      <c r="W388">
        <f>--(AND(D388&lt;=113.15,E388&gt;0.15,H388&lt;=23.74))*0</f>
        <v/>
      </c>
      <c r="X388">
        <f>--(AND(D388&lt;=113.15,E388&gt;0.15,H388&gt;23.74,J388&lt;=0.1))*1</f>
        <v/>
      </c>
      <c r="Y388">
        <f>--(AND(D388&lt;=113.15,E388&gt;0.15,H388&gt;23.74,J388&gt;0.1))*1</f>
        <v/>
      </c>
      <c r="Z388">
        <f>--(AND(D388&gt;113.15,K388&lt;=0.22,L388&lt;=0.02))*1</f>
        <v/>
      </c>
      <c r="AA388">
        <f>--(AND(D388&gt;113.15,K388&lt;=0.22,L388&gt;0.02))*0</f>
        <v/>
      </c>
      <c r="AB388">
        <f>--(AND(D388&gt;113.15,K388&gt;0.22,N388&lt;=810.1))*0</f>
        <v/>
      </c>
      <c r="AC388">
        <f>--(AND(D388&gt;113.15,K388&gt;0.22,N388&gt;810.1,I388&lt;=14.95))*1</f>
        <v/>
      </c>
      <c r="AD388">
        <f>--(AND(D388&gt;113.15,K388&gt;0.22,N388&gt;810.1,I388&gt;14.95))*1</f>
        <v/>
      </c>
      <c r="AE388">
        <f>SUM(P388:AD388)</f>
        <v/>
      </c>
      <c r="AF388">
        <f>IF(AE388=1,"Malignant","Benign")</f>
        <v/>
      </c>
      <c r="AG388">
        <f>--(AE388=C388)</f>
        <v/>
      </c>
    </row>
    <row r="389">
      <c r="A389">
        <f>BreastCancer_Data!A389</f>
        <v/>
      </c>
      <c r="B389">
        <f>BreastCancer_Data!B389</f>
        <v/>
      </c>
      <c r="C389">
        <f>BreastCancer_Data!D389</f>
        <v/>
      </c>
      <c r="D389">
        <f>BreastCancer_Data!E389</f>
        <v/>
      </c>
      <c r="E389">
        <f>BreastCancer_Data!F389</f>
        <v/>
      </c>
      <c r="F389">
        <f>BreastCancer_Data!G389</f>
        <v/>
      </c>
      <c r="G389">
        <f>BreastCancer_Data!H389</f>
        <v/>
      </c>
      <c r="H389">
        <f>BreastCancer_Data!I389</f>
        <v/>
      </c>
      <c r="I389">
        <f>BreastCancer_Data!J389</f>
        <v/>
      </c>
      <c r="J389">
        <f>BreastCancer_Data!K389</f>
        <v/>
      </c>
      <c r="K389">
        <f>BreastCancer_Data!L389</f>
        <v/>
      </c>
      <c r="L389">
        <f>BreastCancer_Data!M389</f>
        <v/>
      </c>
      <c r="M389">
        <f>BreastCancer_Data!N389</f>
        <v/>
      </c>
      <c r="N389">
        <f>BreastCancer_Data!O389</f>
        <v/>
      </c>
      <c r="O389">
        <f>0</f>
        <v/>
      </c>
      <c r="P389">
        <f>--(AND(D389&lt;=113.15,E389&lt;=0.15,F389&lt;=15.77,G389&lt;=0.18,H389&lt;=33.27))*0</f>
        <v/>
      </c>
      <c r="Q389">
        <f>--(AND(D389&lt;=113.15,E389&lt;=0.15,F389&lt;=15.77,G389&lt;=0.18,H389&gt;33.27))*0</f>
        <v/>
      </c>
      <c r="R389">
        <f>--(AND(D389&lt;=113.15,E389&lt;=0.15,F389&lt;=15.77,G389&gt;0.18))*0</f>
        <v/>
      </c>
      <c r="S389">
        <f>--(AND(D389&lt;=113.15,E389&lt;=0.15,F389&gt;15.77,H389&lt;=28.86,G389&lt;=0.14))*0</f>
        <v/>
      </c>
      <c r="T389">
        <f>--(AND(D389&lt;=113.15,E389&lt;=0.15,F389&gt;15.77,H389&lt;=28.86,G389&gt;0.14))*1</f>
        <v/>
      </c>
      <c r="U389">
        <f>--(AND(D389&lt;=113.15,E389&lt;=0.15,F389&gt;15.77,H389&gt;28.86,M389&lt;=14.54))*1</f>
        <v/>
      </c>
      <c r="V389">
        <f>--(AND(D389&lt;=113.15,E389&lt;=0.15,F389&gt;15.77,H389&gt;28.86,M389&gt;14.54))*1</f>
        <v/>
      </c>
      <c r="W389">
        <f>--(AND(D389&lt;=113.15,E389&gt;0.15,H389&lt;=23.74))*0</f>
        <v/>
      </c>
      <c r="X389">
        <f>--(AND(D389&lt;=113.15,E389&gt;0.15,H389&gt;23.74,J389&lt;=0.1))*1</f>
        <v/>
      </c>
      <c r="Y389">
        <f>--(AND(D389&lt;=113.15,E389&gt;0.15,H389&gt;23.74,J389&gt;0.1))*1</f>
        <v/>
      </c>
      <c r="Z389">
        <f>--(AND(D389&gt;113.15,K389&lt;=0.22,L389&lt;=0.02))*1</f>
        <v/>
      </c>
      <c r="AA389">
        <f>--(AND(D389&gt;113.15,K389&lt;=0.22,L389&gt;0.02))*0</f>
        <v/>
      </c>
      <c r="AB389">
        <f>--(AND(D389&gt;113.15,K389&gt;0.22,N389&lt;=810.1))*0</f>
        <v/>
      </c>
      <c r="AC389">
        <f>--(AND(D389&gt;113.15,K389&gt;0.22,N389&gt;810.1,I389&lt;=14.95))*1</f>
        <v/>
      </c>
      <c r="AD389">
        <f>--(AND(D389&gt;113.15,K389&gt;0.22,N389&gt;810.1,I389&gt;14.95))*1</f>
        <v/>
      </c>
      <c r="AE389">
        <f>SUM(P389:AD389)</f>
        <v/>
      </c>
      <c r="AF389">
        <f>IF(AE389=1,"Malignant","Benign")</f>
        <v/>
      </c>
      <c r="AG389">
        <f>--(AE389=C389)</f>
        <v/>
      </c>
    </row>
    <row r="390">
      <c r="A390">
        <f>BreastCancer_Data!A390</f>
        <v/>
      </c>
      <c r="B390">
        <f>BreastCancer_Data!B390</f>
        <v/>
      </c>
      <c r="C390">
        <f>BreastCancer_Data!D390</f>
        <v/>
      </c>
      <c r="D390">
        <f>BreastCancer_Data!E390</f>
        <v/>
      </c>
      <c r="E390">
        <f>BreastCancer_Data!F390</f>
        <v/>
      </c>
      <c r="F390">
        <f>BreastCancer_Data!G390</f>
        <v/>
      </c>
      <c r="G390">
        <f>BreastCancer_Data!H390</f>
        <v/>
      </c>
      <c r="H390">
        <f>BreastCancer_Data!I390</f>
        <v/>
      </c>
      <c r="I390">
        <f>BreastCancer_Data!J390</f>
        <v/>
      </c>
      <c r="J390">
        <f>BreastCancer_Data!K390</f>
        <v/>
      </c>
      <c r="K390">
        <f>BreastCancer_Data!L390</f>
        <v/>
      </c>
      <c r="L390">
        <f>BreastCancer_Data!M390</f>
        <v/>
      </c>
      <c r="M390">
        <f>BreastCancer_Data!N390</f>
        <v/>
      </c>
      <c r="N390">
        <f>BreastCancer_Data!O390</f>
        <v/>
      </c>
      <c r="O390">
        <f>0</f>
        <v/>
      </c>
      <c r="P390">
        <f>--(AND(D390&lt;=113.15,E390&lt;=0.15,F390&lt;=15.77,G390&lt;=0.18,H390&lt;=33.27))*0</f>
        <v/>
      </c>
      <c r="Q390">
        <f>--(AND(D390&lt;=113.15,E390&lt;=0.15,F390&lt;=15.77,G390&lt;=0.18,H390&gt;33.27))*0</f>
        <v/>
      </c>
      <c r="R390">
        <f>--(AND(D390&lt;=113.15,E390&lt;=0.15,F390&lt;=15.77,G390&gt;0.18))*0</f>
        <v/>
      </c>
      <c r="S390">
        <f>--(AND(D390&lt;=113.15,E390&lt;=0.15,F390&gt;15.77,H390&lt;=28.86,G390&lt;=0.14))*0</f>
        <v/>
      </c>
      <c r="T390">
        <f>--(AND(D390&lt;=113.15,E390&lt;=0.15,F390&gt;15.77,H390&lt;=28.86,G390&gt;0.14))*1</f>
        <v/>
      </c>
      <c r="U390">
        <f>--(AND(D390&lt;=113.15,E390&lt;=0.15,F390&gt;15.77,H390&gt;28.86,M390&lt;=14.54))*1</f>
        <v/>
      </c>
      <c r="V390">
        <f>--(AND(D390&lt;=113.15,E390&lt;=0.15,F390&gt;15.77,H390&gt;28.86,M390&gt;14.54))*1</f>
        <v/>
      </c>
      <c r="W390">
        <f>--(AND(D390&lt;=113.15,E390&gt;0.15,H390&lt;=23.74))*0</f>
        <v/>
      </c>
      <c r="X390">
        <f>--(AND(D390&lt;=113.15,E390&gt;0.15,H390&gt;23.74,J390&lt;=0.1))*1</f>
        <v/>
      </c>
      <c r="Y390">
        <f>--(AND(D390&lt;=113.15,E390&gt;0.15,H390&gt;23.74,J390&gt;0.1))*1</f>
        <v/>
      </c>
      <c r="Z390">
        <f>--(AND(D390&gt;113.15,K390&lt;=0.22,L390&lt;=0.02))*1</f>
        <v/>
      </c>
      <c r="AA390">
        <f>--(AND(D390&gt;113.15,K390&lt;=0.22,L390&gt;0.02))*0</f>
        <v/>
      </c>
      <c r="AB390">
        <f>--(AND(D390&gt;113.15,K390&gt;0.22,N390&lt;=810.1))*0</f>
        <v/>
      </c>
      <c r="AC390">
        <f>--(AND(D390&gt;113.15,K390&gt;0.22,N390&gt;810.1,I390&lt;=14.95))*1</f>
        <v/>
      </c>
      <c r="AD390">
        <f>--(AND(D390&gt;113.15,K390&gt;0.22,N390&gt;810.1,I390&gt;14.95))*1</f>
        <v/>
      </c>
      <c r="AE390">
        <f>SUM(P390:AD390)</f>
        <v/>
      </c>
      <c r="AF390">
        <f>IF(AE390=1,"Malignant","Benign")</f>
        <v/>
      </c>
      <c r="AG390">
        <f>--(AE390=C390)</f>
        <v/>
      </c>
    </row>
    <row r="391">
      <c r="A391">
        <f>BreastCancer_Data!A391</f>
        <v/>
      </c>
      <c r="B391">
        <f>BreastCancer_Data!B391</f>
        <v/>
      </c>
      <c r="C391">
        <f>BreastCancer_Data!D391</f>
        <v/>
      </c>
      <c r="D391">
        <f>BreastCancer_Data!E391</f>
        <v/>
      </c>
      <c r="E391">
        <f>BreastCancer_Data!F391</f>
        <v/>
      </c>
      <c r="F391">
        <f>BreastCancer_Data!G391</f>
        <v/>
      </c>
      <c r="G391">
        <f>BreastCancer_Data!H391</f>
        <v/>
      </c>
      <c r="H391">
        <f>BreastCancer_Data!I391</f>
        <v/>
      </c>
      <c r="I391">
        <f>BreastCancer_Data!J391</f>
        <v/>
      </c>
      <c r="J391">
        <f>BreastCancer_Data!K391</f>
        <v/>
      </c>
      <c r="K391">
        <f>BreastCancer_Data!L391</f>
        <v/>
      </c>
      <c r="L391">
        <f>BreastCancer_Data!M391</f>
        <v/>
      </c>
      <c r="M391">
        <f>BreastCancer_Data!N391</f>
        <v/>
      </c>
      <c r="N391">
        <f>BreastCancer_Data!O391</f>
        <v/>
      </c>
      <c r="O391">
        <f>0</f>
        <v/>
      </c>
      <c r="P391">
        <f>--(AND(D391&lt;=113.15,E391&lt;=0.15,F391&lt;=15.77,G391&lt;=0.18,H391&lt;=33.27))*0</f>
        <v/>
      </c>
      <c r="Q391">
        <f>--(AND(D391&lt;=113.15,E391&lt;=0.15,F391&lt;=15.77,G391&lt;=0.18,H391&gt;33.27))*0</f>
        <v/>
      </c>
      <c r="R391">
        <f>--(AND(D391&lt;=113.15,E391&lt;=0.15,F391&lt;=15.77,G391&gt;0.18))*0</f>
        <v/>
      </c>
      <c r="S391">
        <f>--(AND(D391&lt;=113.15,E391&lt;=0.15,F391&gt;15.77,H391&lt;=28.86,G391&lt;=0.14))*0</f>
        <v/>
      </c>
      <c r="T391">
        <f>--(AND(D391&lt;=113.15,E391&lt;=0.15,F391&gt;15.77,H391&lt;=28.86,G391&gt;0.14))*1</f>
        <v/>
      </c>
      <c r="U391">
        <f>--(AND(D391&lt;=113.15,E391&lt;=0.15,F391&gt;15.77,H391&gt;28.86,M391&lt;=14.54))*1</f>
        <v/>
      </c>
      <c r="V391">
        <f>--(AND(D391&lt;=113.15,E391&lt;=0.15,F391&gt;15.77,H391&gt;28.86,M391&gt;14.54))*1</f>
        <v/>
      </c>
      <c r="W391">
        <f>--(AND(D391&lt;=113.15,E391&gt;0.15,H391&lt;=23.74))*0</f>
        <v/>
      </c>
      <c r="X391">
        <f>--(AND(D391&lt;=113.15,E391&gt;0.15,H391&gt;23.74,J391&lt;=0.1))*1</f>
        <v/>
      </c>
      <c r="Y391">
        <f>--(AND(D391&lt;=113.15,E391&gt;0.15,H391&gt;23.74,J391&gt;0.1))*1</f>
        <v/>
      </c>
      <c r="Z391">
        <f>--(AND(D391&gt;113.15,K391&lt;=0.22,L391&lt;=0.02))*1</f>
        <v/>
      </c>
      <c r="AA391">
        <f>--(AND(D391&gt;113.15,K391&lt;=0.22,L391&gt;0.02))*0</f>
        <v/>
      </c>
      <c r="AB391">
        <f>--(AND(D391&gt;113.15,K391&gt;0.22,N391&lt;=810.1))*0</f>
        <v/>
      </c>
      <c r="AC391">
        <f>--(AND(D391&gt;113.15,K391&gt;0.22,N391&gt;810.1,I391&lt;=14.95))*1</f>
        <v/>
      </c>
      <c r="AD391">
        <f>--(AND(D391&gt;113.15,K391&gt;0.22,N391&gt;810.1,I391&gt;14.95))*1</f>
        <v/>
      </c>
      <c r="AE391">
        <f>SUM(P391:AD391)</f>
        <v/>
      </c>
      <c r="AF391">
        <f>IF(AE391=1,"Malignant","Benign")</f>
        <v/>
      </c>
      <c r="AG391">
        <f>--(AE391=C391)</f>
        <v/>
      </c>
    </row>
    <row r="392">
      <c r="A392">
        <f>BreastCancer_Data!A392</f>
        <v/>
      </c>
      <c r="B392">
        <f>BreastCancer_Data!B392</f>
        <v/>
      </c>
      <c r="C392">
        <f>BreastCancer_Data!D392</f>
        <v/>
      </c>
      <c r="D392">
        <f>BreastCancer_Data!E392</f>
        <v/>
      </c>
      <c r="E392">
        <f>BreastCancer_Data!F392</f>
        <v/>
      </c>
      <c r="F392">
        <f>BreastCancer_Data!G392</f>
        <v/>
      </c>
      <c r="G392">
        <f>BreastCancer_Data!H392</f>
        <v/>
      </c>
      <c r="H392">
        <f>BreastCancer_Data!I392</f>
        <v/>
      </c>
      <c r="I392">
        <f>BreastCancer_Data!J392</f>
        <v/>
      </c>
      <c r="J392">
        <f>BreastCancer_Data!K392</f>
        <v/>
      </c>
      <c r="K392">
        <f>BreastCancer_Data!L392</f>
        <v/>
      </c>
      <c r="L392">
        <f>BreastCancer_Data!M392</f>
        <v/>
      </c>
      <c r="M392">
        <f>BreastCancer_Data!N392</f>
        <v/>
      </c>
      <c r="N392">
        <f>BreastCancer_Data!O392</f>
        <v/>
      </c>
      <c r="O392">
        <f>0</f>
        <v/>
      </c>
      <c r="P392">
        <f>--(AND(D392&lt;=113.15,E392&lt;=0.15,F392&lt;=15.77,G392&lt;=0.18,H392&lt;=33.27))*0</f>
        <v/>
      </c>
      <c r="Q392">
        <f>--(AND(D392&lt;=113.15,E392&lt;=0.15,F392&lt;=15.77,G392&lt;=0.18,H392&gt;33.27))*0</f>
        <v/>
      </c>
      <c r="R392">
        <f>--(AND(D392&lt;=113.15,E392&lt;=0.15,F392&lt;=15.77,G392&gt;0.18))*0</f>
        <v/>
      </c>
      <c r="S392">
        <f>--(AND(D392&lt;=113.15,E392&lt;=0.15,F392&gt;15.77,H392&lt;=28.86,G392&lt;=0.14))*0</f>
        <v/>
      </c>
      <c r="T392">
        <f>--(AND(D392&lt;=113.15,E392&lt;=0.15,F392&gt;15.77,H392&lt;=28.86,G392&gt;0.14))*1</f>
        <v/>
      </c>
      <c r="U392">
        <f>--(AND(D392&lt;=113.15,E392&lt;=0.15,F392&gt;15.77,H392&gt;28.86,M392&lt;=14.54))*1</f>
        <v/>
      </c>
      <c r="V392">
        <f>--(AND(D392&lt;=113.15,E392&lt;=0.15,F392&gt;15.77,H392&gt;28.86,M392&gt;14.54))*1</f>
        <v/>
      </c>
      <c r="W392">
        <f>--(AND(D392&lt;=113.15,E392&gt;0.15,H392&lt;=23.74))*0</f>
        <v/>
      </c>
      <c r="X392">
        <f>--(AND(D392&lt;=113.15,E392&gt;0.15,H392&gt;23.74,J392&lt;=0.1))*1</f>
        <v/>
      </c>
      <c r="Y392">
        <f>--(AND(D392&lt;=113.15,E392&gt;0.15,H392&gt;23.74,J392&gt;0.1))*1</f>
        <v/>
      </c>
      <c r="Z392">
        <f>--(AND(D392&gt;113.15,K392&lt;=0.22,L392&lt;=0.02))*1</f>
        <v/>
      </c>
      <c r="AA392">
        <f>--(AND(D392&gt;113.15,K392&lt;=0.22,L392&gt;0.02))*0</f>
        <v/>
      </c>
      <c r="AB392">
        <f>--(AND(D392&gt;113.15,K392&gt;0.22,N392&lt;=810.1))*0</f>
        <v/>
      </c>
      <c r="AC392">
        <f>--(AND(D392&gt;113.15,K392&gt;0.22,N392&gt;810.1,I392&lt;=14.95))*1</f>
        <v/>
      </c>
      <c r="AD392">
        <f>--(AND(D392&gt;113.15,K392&gt;0.22,N392&gt;810.1,I392&gt;14.95))*1</f>
        <v/>
      </c>
      <c r="AE392">
        <f>SUM(P392:AD392)</f>
        <v/>
      </c>
      <c r="AF392">
        <f>IF(AE392=1,"Malignant","Benign")</f>
        <v/>
      </c>
      <c r="AG392">
        <f>--(AE392=C392)</f>
        <v/>
      </c>
    </row>
    <row r="393">
      <c r="A393">
        <f>BreastCancer_Data!A393</f>
        <v/>
      </c>
      <c r="B393">
        <f>BreastCancer_Data!B393</f>
        <v/>
      </c>
      <c r="C393">
        <f>BreastCancer_Data!D393</f>
        <v/>
      </c>
      <c r="D393">
        <f>BreastCancer_Data!E393</f>
        <v/>
      </c>
      <c r="E393">
        <f>BreastCancer_Data!F393</f>
        <v/>
      </c>
      <c r="F393">
        <f>BreastCancer_Data!G393</f>
        <v/>
      </c>
      <c r="G393">
        <f>BreastCancer_Data!H393</f>
        <v/>
      </c>
      <c r="H393">
        <f>BreastCancer_Data!I393</f>
        <v/>
      </c>
      <c r="I393">
        <f>BreastCancer_Data!J393</f>
        <v/>
      </c>
      <c r="J393">
        <f>BreastCancer_Data!K393</f>
        <v/>
      </c>
      <c r="K393">
        <f>BreastCancer_Data!L393</f>
        <v/>
      </c>
      <c r="L393">
        <f>BreastCancer_Data!M393</f>
        <v/>
      </c>
      <c r="M393">
        <f>BreastCancer_Data!N393</f>
        <v/>
      </c>
      <c r="N393">
        <f>BreastCancer_Data!O393</f>
        <v/>
      </c>
      <c r="O393">
        <f>0</f>
        <v/>
      </c>
      <c r="P393">
        <f>--(AND(D393&lt;=113.15,E393&lt;=0.15,F393&lt;=15.77,G393&lt;=0.18,H393&lt;=33.27))*0</f>
        <v/>
      </c>
      <c r="Q393">
        <f>--(AND(D393&lt;=113.15,E393&lt;=0.15,F393&lt;=15.77,G393&lt;=0.18,H393&gt;33.27))*0</f>
        <v/>
      </c>
      <c r="R393">
        <f>--(AND(D393&lt;=113.15,E393&lt;=0.15,F393&lt;=15.77,G393&gt;0.18))*0</f>
        <v/>
      </c>
      <c r="S393">
        <f>--(AND(D393&lt;=113.15,E393&lt;=0.15,F393&gt;15.77,H393&lt;=28.86,G393&lt;=0.14))*0</f>
        <v/>
      </c>
      <c r="T393">
        <f>--(AND(D393&lt;=113.15,E393&lt;=0.15,F393&gt;15.77,H393&lt;=28.86,G393&gt;0.14))*1</f>
        <v/>
      </c>
      <c r="U393">
        <f>--(AND(D393&lt;=113.15,E393&lt;=0.15,F393&gt;15.77,H393&gt;28.86,M393&lt;=14.54))*1</f>
        <v/>
      </c>
      <c r="V393">
        <f>--(AND(D393&lt;=113.15,E393&lt;=0.15,F393&gt;15.77,H393&gt;28.86,M393&gt;14.54))*1</f>
        <v/>
      </c>
      <c r="W393">
        <f>--(AND(D393&lt;=113.15,E393&gt;0.15,H393&lt;=23.74))*0</f>
        <v/>
      </c>
      <c r="X393">
        <f>--(AND(D393&lt;=113.15,E393&gt;0.15,H393&gt;23.74,J393&lt;=0.1))*1</f>
        <v/>
      </c>
      <c r="Y393">
        <f>--(AND(D393&lt;=113.15,E393&gt;0.15,H393&gt;23.74,J393&gt;0.1))*1</f>
        <v/>
      </c>
      <c r="Z393">
        <f>--(AND(D393&gt;113.15,K393&lt;=0.22,L393&lt;=0.02))*1</f>
        <v/>
      </c>
      <c r="AA393">
        <f>--(AND(D393&gt;113.15,K393&lt;=0.22,L393&gt;0.02))*0</f>
        <v/>
      </c>
      <c r="AB393">
        <f>--(AND(D393&gt;113.15,K393&gt;0.22,N393&lt;=810.1))*0</f>
        <v/>
      </c>
      <c r="AC393">
        <f>--(AND(D393&gt;113.15,K393&gt;0.22,N393&gt;810.1,I393&lt;=14.95))*1</f>
        <v/>
      </c>
      <c r="AD393">
        <f>--(AND(D393&gt;113.15,K393&gt;0.22,N393&gt;810.1,I393&gt;14.95))*1</f>
        <v/>
      </c>
      <c r="AE393">
        <f>SUM(P393:AD393)</f>
        <v/>
      </c>
      <c r="AF393">
        <f>IF(AE393=1,"Malignant","Benign")</f>
        <v/>
      </c>
      <c r="AG393">
        <f>--(AE393=C393)</f>
        <v/>
      </c>
    </row>
    <row r="394">
      <c r="A394">
        <f>BreastCancer_Data!A394</f>
        <v/>
      </c>
      <c r="B394">
        <f>BreastCancer_Data!B394</f>
        <v/>
      </c>
      <c r="C394">
        <f>BreastCancer_Data!D394</f>
        <v/>
      </c>
      <c r="D394">
        <f>BreastCancer_Data!E394</f>
        <v/>
      </c>
      <c r="E394">
        <f>BreastCancer_Data!F394</f>
        <v/>
      </c>
      <c r="F394">
        <f>BreastCancer_Data!G394</f>
        <v/>
      </c>
      <c r="G394">
        <f>BreastCancer_Data!H394</f>
        <v/>
      </c>
      <c r="H394">
        <f>BreastCancer_Data!I394</f>
        <v/>
      </c>
      <c r="I394">
        <f>BreastCancer_Data!J394</f>
        <v/>
      </c>
      <c r="J394">
        <f>BreastCancer_Data!K394</f>
        <v/>
      </c>
      <c r="K394">
        <f>BreastCancer_Data!L394</f>
        <v/>
      </c>
      <c r="L394">
        <f>BreastCancer_Data!M394</f>
        <v/>
      </c>
      <c r="M394">
        <f>BreastCancer_Data!N394</f>
        <v/>
      </c>
      <c r="N394">
        <f>BreastCancer_Data!O394</f>
        <v/>
      </c>
      <c r="O394">
        <f>0</f>
        <v/>
      </c>
      <c r="P394">
        <f>--(AND(D394&lt;=113.15,E394&lt;=0.15,F394&lt;=15.77,G394&lt;=0.18,H394&lt;=33.27))*0</f>
        <v/>
      </c>
      <c r="Q394">
        <f>--(AND(D394&lt;=113.15,E394&lt;=0.15,F394&lt;=15.77,G394&lt;=0.18,H394&gt;33.27))*0</f>
        <v/>
      </c>
      <c r="R394">
        <f>--(AND(D394&lt;=113.15,E394&lt;=0.15,F394&lt;=15.77,G394&gt;0.18))*0</f>
        <v/>
      </c>
      <c r="S394">
        <f>--(AND(D394&lt;=113.15,E394&lt;=0.15,F394&gt;15.77,H394&lt;=28.86,G394&lt;=0.14))*0</f>
        <v/>
      </c>
      <c r="T394">
        <f>--(AND(D394&lt;=113.15,E394&lt;=0.15,F394&gt;15.77,H394&lt;=28.86,G394&gt;0.14))*1</f>
        <v/>
      </c>
      <c r="U394">
        <f>--(AND(D394&lt;=113.15,E394&lt;=0.15,F394&gt;15.77,H394&gt;28.86,M394&lt;=14.54))*1</f>
        <v/>
      </c>
      <c r="V394">
        <f>--(AND(D394&lt;=113.15,E394&lt;=0.15,F394&gt;15.77,H394&gt;28.86,M394&gt;14.54))*1</f>
        <v/>
      </c>
      <c r="W394">
        <f>--(AND(D394&lt;=113.15,E394&gt;0.15,H394&lt;=23.74))*0</f>
        <v/>
      </c>
      <c r="X394">
        <f>--(AND(D394&lt;=113.15,E394&gt;0.15,H394&gt;23.74,J394&lt;=0.1))*1</f>
        <v/>
      </c>
      <c r="Y394">
        <f>--(AND(D394&lt;=113.15,E394&gt;0.15,H394&gt;23.74,J394&gt;0.1))*1</f>
        <v/>
      </c>
      <c r="Z394">
        <f>--(AND(D394&gt;113.15,K394&lt;=0.22,L394&lt;=0.02))*1</f>
        <v/>
      </c>
      <c r="AA394">
        <f>--(AND(D394&gt;113.15,K394&lt;=0.22,L394&gt;0.02))*0</f>
        <v/>
      </c>
      <c r="AB394">
        <f>--(AND(D394&gt;113.15,K394&gt;0.22,N394&lt;=810.1))*0</f>
        <v/>
      </c>
      <c r="AC394">
        <f>--(AND(D394&gt;113.15,K394&gt;0.22,N394&gt;810.1,I394&lt;=14.95))*1</f>
        <v/>
      </c>
      <c r="AD394">
        <f>--(AND(D394&gt;113.15,K394&gt;0.22,N394&gt;810.1,I394&gt;14.95))*1</f>
        <v/>
      </c>
      <c r="AE394">
        <f>SUM(P394:AD394)</f>
        <v/>
      </c>
      <c r="AF394">
        <f>IF(AE394=1,"Malignant","Benign")</f>
        <v/>
      </c>
      <c r="AG394">
        <f>--(AE394=C394)</f>
        <v/>
      </c>
    </row>
    <row r="395">
      <c r="A395">
        <f>BreastCancer_Data!A395</f>
        <v/>
      </c>
      <c r="B395">
        <f>BreastCancer_Data!B395</f>
        <v/>
      </c>
      <c r="C395">
        <f>BreastCancer_Data!D395</f>
        <v/>
      </c>
      <c r="D395">
        <f>BreastCancer_Data!E395</f>
        <v/>
      </c>
      <c r="E395">
        <f>BreastCancer_Data!F395</f>
        <v/>
      </c>
      <c r="F395">
        <f>BreastCancer_Data!G395</f>
        <v/>
      </c>
      <c r="G395">
        <f>BreastCancer_Data!H395</f>
        <v/>
      </c>
      <c r="H395">
        <f>BreastCancer_Data!I395</f>
        <v/>
      </c>
      <c r="I395">
        <f>BreastCancer_Data!J395</f>
        <v/>
      </c>
      <c r="J395">
        <f>BreastCancer_Data!K395</f>
        <v/>
      </c>
      <c r="K395">
        <f>BreastCancer_Data!L395</f>
        <v/>
      </c>
      <c r="L395">
        <f>BreastCancer_Data!M395</f>
        <v/>
      </c>
      <c r="M395">
        <f>BreastCancer_Data!N395</f>
        <v/>
      </c>
      <c r="N395">
        <f>BreastCancer_Data!O395</f>
        <v/>
      </c>
      <c r="O395">
        <f>0</f>
        <v/>
      </c>
      <c r="P395">
        <f>--(AND(D395&lt;=113.15,E395&lt;=0.15,F395&lt;=15.77,G395&lt;=0.18,H395&lt;=33.27))*0</f>
        <v/>
      </c>
      <c r="Q395">
        <f>--(AND(D395&lt;=113.15,E395&lt;=0.15,F395&lt;=15.77,G395&lt;=0.18,H395&gt;33.27))*0</f>
        <v/>
      </c>
      <c r="R395">
        <f>--(AND(D395&lt;=113.15,E395&lt;=0.15,F395&lt;=15.77,G395&gt;0.18))*0</f>
        <v/>
      </c>
      <c r="S395">
        <f>--(AND(D395&lt;=113.15,E395&lt;=0.15,F395&gt;15.77,H395&lt;=28.86,G395&lt;=0.14))*0</f>
        <v/>
      </c>
      <c r="T395">
        <f>--(AND(D395&lt;=113.15,E395&lt;=0.15,F395&gt;15.77,H395&lt;=28.86,G395&gt;0.14))*1</f>
        <v/>
      </c>
      <c r="U395">
        <f>--(AND(D395&lt;=113.15,E395&lt;=0.15,F395&gt;15.77,H395&gt;28.86,M395&lt;=14.54))*1</f>
        <v/>
      </c>
      <c r="V395">
        <f>--(AND(D395&lt;=113.15,E395&lt;=0.15,F395&gt;15.77,H395&gt;28.86,M395&gt;14.54))*1</f>
        <v/>
      </c>
      <c r="W395">
        <f>--(AND(D395&lt;=113.15,E395&gt;0.15,H395&lt;=23.74))*0</f>
        <v/>
      </c>
      <c r="X395">
        <f>--(AND(D395&lt;=113.15,E395&gt;0.15,H395&gt;23.74,J395&lt;=0.1))*1</f>
        <v/>
      </c>
      <c r="Y395">
        <f>--(AND(D395&lt;=113.15,E395&gt;0.15,H395&gt;23.74,J395&gt;0.1))*1</f>
        <v/>
      </c>
      <c r="Z395">
        <f>--(AND(D395&gt;113.15,K395&lt;=0.22,L395&lt;=0.02))*1</f>
        <v/>
      </c>
      <c r="AA395">
        <f>--(AND(D395&gt;113.15,K395&lt;=0.22,L395&gt;0.02))*0</f>
        <v/>
      </c>
      <c r="AB395">
        <f>--(AND(D395&gt;113.15,K395&gt;0.22,N395&lt;=810.1))*0</f>
        <v/>
      </c>
      <c r="AC395">
        <f>--(AND(D395&gt;113.15,K395&gt;0.22,N395&gt;810.1,I395&lt;=14.95))*1</f>
        <v/>
      </c>
      <c r="AD395">
        <f>--(AND(D395&gt;113.15,K395&gt;0.22,N395&gt;810.1,I395&gt;14.95))*1</f>
        <v/>
      </c>
      <c r="AE395">
        <f>SUM(P395:AD395)</f>
        <v/>
      </c>
      <c r="AF395">
        <f>IF(AE395=1,"Malignant","Benign")</f>
        <v/>
      </c>
      <c r="AG395">
        <f>--(AE395=C395)</f>
        <v/>
      </c>
    </row>
    <row r="396">
      <c r="A396">
        <f>BreastCancer_Data!A396</f>
        <v/>
      </c>
      <c r="B396">
        <f>BreastCancer_Data!B396</f>
        <v/>
      </c>
      <c r="C396">
        <f>BreastCancer_Data!D396</f>
        <v/>
      </c>
      <c r="D396">
        <f>BreastCancer_Data!E396</f>
        <v/>
      </c>
      <c r="E396">
        <f>BreastCancer_Data!F396</f>
        <v/>
      </c>
      <c r="F396">
        <f>BreastCancer_Data!G396</f>
        <v/>
      </c>
      <c r="G396">
        <f>BreastCancer_Data!H396</f>
        <v/>
      </c>
      <c r="H396">
        <f>BreastCancer_Data!I396</f>
        <v/>
      </c>
      <c r="I396">
        <f>BreastCancer_Data!J396</f>
        <v/>
      </c>
      <c r="J396">
        <f>BreastCancer_Data!K396</f>
        <v/>
      </c>
      <c r="K396">
        <f>BreastCancer_Data!L396</f>
        <v/>
      </c>
      <c r="L396">
        <f>BreastCancer_Data!M396</f>
        <v/>
      </c>
      <c r="M396">
        <f>BreastCancer_Data!N396</f>
        <v/>
      </c>
      <c r="N396">
        <f>BreastCancer_Data!O396</f>
        <v/>
      </c>
      <c r="O396">
        <f>0</f>
        <v/>
      </c>
      <c r="P396">
        <f>--(AND(D396&lt;=113.15,E396&lt;=0.15,F396&lt;=15.77,G396&lt;=0.18,H396&lt;=33.27))*0</f>
        <v/>
      </c>
      <c r="Q396">
        <f>--(AND(D396&lt;=113.15,E396&lt;=0.15,F396&lt;=15.77,G396&lt;=0.18,H396&gt;33.27))*0</f>
        <v/>
      </c>
      <c r="R396">
        <f>--(AND(D396&lt;=113.15,E396&lt;=0.15,F396&lt;=15.77,G396&gt;0.18))*0</f>
        <v/>
      </c>
      <c r="S396">
        <f>--(AND(D396&lt;=113.15,E396&lt;=0.15,F396&gt;15.77,H396&lt;=28.86,G396&lt;=0.14))*0</f>
        <v/>
      </c>
      <c r="T396">
        <f>--(AND(D396&lt;=113.15,E396&lt;=0.15,F396&gt;15.77,H396&lt;=28.86,G396&gt;0.14))*1</f>
        <v/>
      </c>
      <c r="U396">
        <f>--(AND(D396&lt;=113.15,E396&lt;=0.15,F396&gt;15.77,H396&gt;28.86,M396&lt;=14.54))*1</f>
        <v/>
      </c>
      <c r="V396">
        <f>--(AND(D396&lt;=113.15,E396&lt;=0.15,F396&gt;15.77,H396&gt;28.86,M396&gt;14.54))*1</f>
        <v/>
      </c>
      <c r="W396">
        <f>--(AND(D396&lt;=113.15,E396&gt;0.15,H396&lt;=23.74))*0</f>
        <v/>
      </c>
      <c r="X396">
        <f>--(AND(D396&lt;=113.15,E396&gt;0.15,H396&gt;23.74,J396&lt;=0.1))*1</f>
        <v/>
      </c>
      <c r="Y396">
        <f>--(AND(D396&lt;=113.15,E396&gt;0.15,H396&gt;23.74,J396&gt;0.1))*1</f>
        <v/>
      </c>
      <c r="Z396">
        <f>--(AND(D396&gt;113.15,K396&lt;=0.22,L396&lt;=0.02))*1</f>
        <v/>
      </c>
      <c r="AA396">
        <f>--(AND(D396&gt;113.15,K396&lt;=0.22,L396&gt;0.02))*0</f>
        <v/>
      </c>
      <c r="AB396">
        <f>--(AND(D396&gt;113.15,K396&gt;0.22,N396&lt;=810.1))*0</f>
        <v/>
      </c>
      <c r="AC396">
        <f>--(AND(D396&gt;113.15,K396&gt;0.22,N396&gt;810.1,I396&lt;=14.95))*1</f>
        <v/>
      </c>
      <c r="AD396">
        <f>--(AND(D396&gt;113.15,K396&gt;0.22,N396&gt;810.1,I396&gt;14.95))*1</f>
        <v/>
      </c>
      <c r="AE396">
        <f>SUM(P396:AD396)</f>
        <v/>
      </c>
      <c r="AF396">
        <f>IF(AE396=1,"Malignant","Benign")</f>
        <v/>
      </c>
      <c r="AG396">
        <f>--(AE396=C396)</f>
        <v/>
      </c>
    </row>
    <row r="397">
      <c r="A397">
        <f>BreastCancer_Data!A397</f>
        <v/>
      </c>
      <c r="B397">
        <f>BreastCancer_Data!B397</f>
        <v/>
      </c>
      <c r="C397">
        <f>BreastCancer_Data!D397</f>
        <v/>
      </c>
      <c r="D397">
        <f>BreastCancer_Data!E397</f>
        <v/>
      </c>
      <c r="E397">
        <f>BreastCancer_Data!F397</f>
        <v/>
      </c>
      <c r="F397">
        <f>BreastCancer_Data!G397</f>
        <v/>
      </c>
      <c r="G397">
        <f>BreastCancer_Data!H397</f>
        <v/>
      </c>
      <c r="H397">
        <f>BreastCancer_Data!I397</f>
        <v/>
      </c>
      <c r="I397">
        <f>BreastCancer_Data!J397</f>
        <v/>
      </c>
      <c r="J397">
        <f>BreastCancer_Data!K397</f>
        <v/>
      </c>
      <c r="K397">
        <f>BreastCancer_Data!L397</f>
        <v/>
      </c>
      <c r="L397">
        <f>BreastCancer_Data!M397</f>
        <v/>
      </c>
      <c r="M397">
        <f>BreastCancer_Data!N397</f>
        <v/>
      </c>
      <c r="N397">
        <f>BreastCancer_Data!O397</f>
        <v/>
      </c>
      <c r="O397">
        <f>0</f>
        <v/>
      </c>
      <c r="P397">
        <f>--(AND(D397&lt;=113.15,E397&lt;=0.15,F397&lt;=15.77,G397&lt;=0.18,H397&lt;=33.27))*0</f>
        <v/>
      </c>
      <c r="Q397">
        <f>--(AND(D397&lt;=113.15,E397&lt;=0.15,F397&lt;=15.77,G397&lt;=0.18,H397&gt;33.27))*0</f>
        <v/>
      </c>
      <c r="R397">
        <f>--(AND(D397&lt;=113.15,E397&lt;=0.15,F397&lt;=15.77,G397&gt;0.18))*0</f>
        <v/>
      </c>
      <c r="S397">
        <f>--(AND(D397&lt;=113.15,E397&lt;=0.15,F397&gt;15.77,H397&lt;=28.86,G397&lt;=0.14))*0</f>
        <v/>
      </c>
      <c r="T397">
        <f>--(AND(D397&lt;=113.15,E397&lt;=0.15,F397&gt;15.77,H397&lt;=28.86,G397&gt;0.14))*1</f>
        <v/>
      </c>
      <c r="U397">
        <f>--(AND(D397&lt;=113.15,E397&lt;=0.15,F397&gt;15.77,H397&gt;28.86,M397&lt;=14.54))*1</f>
        <v/>
      </c>
      <c r="V397">
        <f>--(AND(D397&lt;=113.15,E397&lt;=0.15,F397&gt;15.77,H397&gt;28.86,M397&gt;14.54))*1</f>
        <v/>
      </c>
      <c r="W397">
        <f>--(AND(D397&lt;=113.15,E397&gt;0.15,H397&lt;=23.74))*0</f>
        <v/>
      </c>
      <c r="X397">
        <f>--(AND(D397&lt;=113.15,E397&gt;0.15,H397&gt;23.74,J397&lt;=0.1))*1</f>
        <v/>
      </c>
      <c r="Y397">
        <f>--(AND(D397&lt;=113.15,E397&gt;0.15,H397&gt;23.74,J397&gt;0.1))*1</f>
        <v/>
      </c>
      <c r="Z397">
        <f>--(AND(D397&gt;113.15,K397&lt;=0.22,L397&lt;=0.02))*1</f>
        <v/>
      </c>
      <c r="AA397">
        <f>--(AND(D397&gt;113.15,K397&lt;=0.22,L397&gt;0.02))*0</f>
        <v/>
      </c>
      <c r="AB397">
        <f>--(AND(D397&gt;113.15,K397&gt;0.22,N397&lt;=810.1))*0</f>
        <v/>
      </c>
      <c r="AC397">
        <f>--(AND(D397&gt;113.15,K397&gt;0.22,N397&gt;810.1,I397&lt;=14.95))*1</f>
        <v/>
      </c>
      <c r="AD397">
        <f>--(AND(D397&gt;113.15,K397&gt;0.22,N397&gt;810.1,I397&gt;14.95))*1</f>
        <v/>
      </c>
      <c r="AE397">
        <f>SUM(P397:AD397)</f>
        <v/>
      </c>
      <c r="AF397">
        <f>IF(AE397=1,"Malignant","Benign")</f>
        <v/>
      </c>
      <c r="AG397">
        <f>--(AE397=C397)</f>
        <v/>
      </c>
    </row>
    <row r="398">
      <c r="A398">
        <f>BreastCancer_Data!A398</f>
        <v/>
      </c>
      <c r="B398">
        <f>BreastCancer_Data!B398</f>
        <v/>
      </c>
      <c r="C398">
        <f>BreastCancer_Data!D398</f>
        <v/>
      </c>
      <c r="D398">
        <f>BreastCancer_Data!E398</f>
        <v/>
      </c>
      <c r="E398">
        <f>BreastCancer_Data!F398</f>
        <v/>
      </c>
      <c r="F398">
        <f>BreastCancer_Data!G398</f>
        <v/>
      </c>
      <c r="G398">
        <f>BreastCancer_Data!H398</f>
        <v/>
      </c>
      <c r="H398">
        <f>BreastCancer_Data!I398</f>
        <v/>
      </c>
      <c r="I398">
        <f>BreastCancer_Data!J398</f>
        <v/>
      </c>
      <c r="J398">
        <f>BreastCancer_Data!K398</f>
        <v/>
      </c>
      <c r="K398">
        <f>BreastCancer_Data!L398</f>
        <v/>
      </c>
      <c r="L398">
        <f>BreastCancer_Data!M398</f>
        <v/>
      </c>
      <c r="M398">
        <f>BreastCancer_Data!N398</f>
        <v/>
      </c>
      <c r="N398">
        <f>BreastCancer_Data!O398</f>
        <v/>
      </c>
      <c r="O398">
        <f>0</f>
        <v/>
      </c>
      <c r="P398">
        <f>--(AND(D398&lt;=113.15,E398&lt;=0.15,F398&lt;=15.77,G398&lt;=0.18,H398&lt;=33.27))*0</f>
        <v/>
      </c>
      <c r="Q398">
        <f>--(AND(D398&lt;=113.15,E398&lt;=0.15,F398&lt;=15.77,G398&lt;=0.18,H398&gt;33.27))*0</f>
        <v/>
      </c>
      <c r="R398">
        <f>--(AND(D398&lt;=113.15,E398&lt;=0.15,F398&lt;=15.77,G398&gt;0.18))*0</f>
        <v/>
      </c>
      <c r="S398">
        <f>--(AND(D398&lt;=113.15,E398&lt;=0.15,F398&gt;15.77,H398&lt;=28.86,G398&lt;=0.14))*0</f>
        <v/>
      </c>
      <c r="T398">
        <f>--(AND(D398&lt;=113.15,E398&lt;=0.15,F398&gt;15.77,H398&lt;=28.86,G398&gt;0.14))*1</f>
        <v/>
      </c>
      <c r="U398">
        <f>--(AND(D398&lt;=113.15,E398&lt;=0.15,F398&gt;15.77,H398&gt;28.86,M398&lt;=14.54))*1</f>
        <v/>
      </c>
      <c r="V398">
        <f>--(AND(D398&lt;=113.15,E398&lt;=0.15,F398&gt;15.77,H398&gt;28.86,M398&gt;14.54))*1</f>
        <v/>
      </c>
      <c r="W398">
        <f>--(AND(D398&lt;=113.15,E398&gt;0.15,H398&lt;=23.74))*0</f>
        <v/>
      </c>
      <c r="X398">
        <f>--(AND(D398&lt;=113.15,E398&gt;0.15,H398&gt;23.74,J398&lt;=0.1))*1</f>
        <v/>
      </c>
      <c r="Y398">
        <f>--(AND(D398&lt;=113.15,E398&gt;0.15,H398&gt;23.74,J398&gt;0.1))*1</f>
        <v/>
      </c>
      <c r="Z398">
        <f>--(AND(D398&gt;113.15,K398&lt;=0.22,L398&lt;=0.02))*1</f>
        <v/>
      </c>
      <c r="AA398">
        <f>--(AND(D398&gt;113.15,K398&lt;=0.22,L398&gt;0.02))*0</f>
        <v/>
      </c>
      <c r="AB398">
        <f>--(AND(D398&gt;113.15,K398&gt;0.22,N398&lt;=810.1))*0</f>
        <v/>
      </c>
      <c r="AC398">
        <f>--(AND(D398&gt;113.15,K398&gt;0.22,N398&gt;810.1,I398&lt;=14.95))*1</f>
        <v/>
      </c>
      <c r="AD398">
        <f>--(AND(D398&gt;113.15,K398&gt;0.22,N398&gt;810.1,I398&gt;14.95))*1</f>
        <v/>
      </c>
      <c r="AE398">
        <f>SUM(P398:AD398)</f>
        <v/>
      </c>
      <c r="AF398">
        <f>IF(AE398=1,"Malignant","Benign")</f>
        <v/>
      </c>
      <c r="AG398">
        <f>--(AE398=C398)</f>
        <v/>
      </c>
    </row>
    <row r="399">
      <c r="A399">
        <f>BreastCancer_Data!A399</f>
        <v/>
      </c>
      <c r="B399">
        <f>BreastCancer_Data!B399</f>
        <v/>
      </c>
      <c r="C399">
        <f>BreastCancer_Data!D399</f>
        <v/>
      </c>
      <c r="D399">
        <f>BreastCancer_Data!E399</f>
        <v/>
      </c>
      <c r="E399">
        <f>BreastCancer_Data!F399</f>
        <v/>
      </c>
      <c r="F399">
        <f>BreastCancer_Data!G399</f>
        <v/>
      </c>
      <c r="G399">
        <f>BreastCancer_Data!H399</f>
        <v/>
      </c>
      <c r="H399">
        <f>BreastCancer_Data!I399</f>
        <v/>
      </c>
      <c r="I399">
        <f>BreastCancer_Data!J399</f>
        <v/>
      </c>
      <c r="J399">
        <f>BreastCancer_Data!K399</f>
        <v/>
      </c>
      <c r="K399">
        <f>BreastCancer_Data!L399</f>
        <v/>
      </c>
      <c r="L399">
        <f>BreastCancer_Data!M399</f>
        <v/>
      </c>
      <c r="M399">
        <f>BreastCancer_Data!N399</f>
        <v/>
      </c>
      <c r="N399">
        <f>BreastCancer_Data!O399</f>
        <v/>
      </c>
      <c r="O399">
        <f>0</f>
        <v/>
      </c>
      <c r="P399">
        <f>--(AND(D399&lt;=113.15,E399&lt;=0.15,F399&lt;=15.77,G399&lt;=0.18,H399&lt;=33.27))*0</f>
        <v/>
      </c>
      <c r="Q399">
        <f>--(AND(D399&lt;=113.15,E399&lt;=0.15,F399&lt;=15.77,G399&lt;=0.18,H399&gt;33.27))*0</f>
        <v/>
      </c>
      <c r="R399">
        <f>--(AND(D399&lt;=113.15,E399&lt;=0.15,F399&lt;=15.77,G399&gt;0.18))*0</f>
        <v/>
      </c>
      <c r="S399">
        <f>--(AND(D399&lt;=113.15,E399&lt;=0.15,F399&gt;15.77,H399&lt;=28.86,G399&lt;=0.14))*0</f>
        <v/>
      </c>
      <c r="T399">
        <f>--(AND(D399&lt;=113.15,E399&lt;=0.15,F399&gt;15.77,H399&lt;=28.86,G399&gt;0.14))*1</f>
        <v/>
      </c>
      <c r="U399">
        <f>--(AND(D399&lt;=113.15,E399&lt;=0.15,F399&gt;15.77,H399&gt;28.86,M399&lt;=14.54))*1</f>
        <v/>
      </c>
      <c r="V399">
        <f>--(AND(D399&lt;=113.15,E399&lt;=0.15,F399&gt;15.77,H399&gt;28.86,M399&gt;14.54))*1</f>
        <v/>
      </c>
      <c r="W399">
        <f>--(AND(D399&lt;=113.15,E399&gt;0.15,H399&lt;=23.74))*0</f>
        <v/>
      </c>
      <c r="X399">
        <f>--(AND(D399&lt;=113.15,E399&gt;0.15,H399&gt;23.74,J399&lt;=0.1))*1</f>
        <v/>
      </c>
      <c r="Y399">
        <f>--(AND(D399&lt;=113.15,E399&gt;0.15,H399&gt;23.74,J399&gt;0.1))*1</f>
        <v/>
      </c>
      <c r="Z399">
        <f>--(AND(D399&gt;113.15,K399&lt;=0.22,L399&lt;=0.02))*1</f>
        <v/>
      </c>
      <c r="AA399">
        <f>--(AND(D399&gt;113.15,K399&lt;=0.22,L399&gt;0.02))*0</f>
        <v/>
      </c>
      <c r="AB399">
        <f>--(AND(D399&gt;113.15,K399&gt;0.22,N399&lt;=810.1))*0</f>
        <v/>
      </c>
      <c r="AC399">
        <f>--(AND(D399&gt;113.15,K399&gt;0.22,N399&gt;810.1,I399&lt;=14.95))*1</f>
        <v/>
      </c>
      <c r="AD399">
        <f>--(AND(D399&gt;113.15,K399&gt;0.22,N399&gt;810.1,I399&gt;14.95))*1</f>
        <v/>
      </c>
      <c r="AE399">
        <f>SUM(P399:AD399)</f>
        <v/>
      </c>
      <c r="AF399">
        <f>IF(AE399=1,"Malignant","Benign")</f>
        <v/>
      </c>
      <c r="AG399">
        <f>--(AE399=C399)</f>
        <v/>
      </c>
    </row>
    <row r="400">
      <c r="A400">
        <f>BreastCancer_Data!A400</f>
        <v/>
      </c>
      <c r="B400">
        <f>BreastCancer_Data!B400</f>
        <v/>
      </c>
      <c r="C400">
        <f>BreastCancer_Data!D400</f>
        <v/>
      </c>
      <c r="D400">
        <f>BreastCancer_Data!E400</f>
        <v/>
      </c>
      <c r="E400">
        <f>BreastCancer_Data!F400</f>
        <v/>
      </c>
      <c r="F400">
        <f>BreastCancer_Data!G400</f>
        <v/>
      </c>
      <c r="G400">
        <f>BreastCancer_Data!H400</f>
        <v/>
      </c>
      <c r="H400">
        <f>BreastCancer_Data!I400</f>
        <v/>
      </c>
      <c r="I400">
        <f>BreastCancer_Data!J400</f>
        <v/>
      </c>
      <c r="J400">
        <f>BreastCancer_Data!K400</f>
        <v/>
      </c>
      <c r="K400">
        <f>BreastCancer_Data!L400</f>
        <v/>
      </c>
      <c r="L400">
        <f>BreastCancer_Data!M400</f>
        <v/>
      </c>
      <c r="M400">
        <f>BreastCancer_Data!N400</f>
        <v/>
      </c>
      <c r="N400">
        <f>BreastCancer_Data!O400</f>
        <v/>
      </c>
      <c r="O400">
        <f>0</f>
        <v/>
      </c>
      <c r="P400">
        <f>--(AND(D400&lt;=113.15,E400&lt;=0.15,F400&lt;=15.77,G400&lt;=0.18,H400&lt;=33.27))*0</f>
        <v/>
      </c>
      <c r="Q400">
        <f>--(AND(D400&lt;=113.15,E400&lt;=0.15,F400&lt;=15.77,G400&lt;=0.18,H400&gt;33.27))*0</f>
        <v/>
      </c>
      <c r="R400">
        <f>--(AND(D400&lt;=113.15,E400&lt;=0.15,F400&lt;=15.77,G400&gt;0.18))*0</f>
        <v/>
      </c>
      <c r="S400">
        <f>--(AND(D400&lt;=113.15,E400&lt;=0.15,F400&gt;15.77,H400&lt;=28.86,G400&lt;=0.14))*0</f>
        <v/>
      </c>
      <c r="T400">
        <f>--(AND(D400&lt;=113.15,E400&lt;=0.15,F400&gt;15.77,H400&lt;=28.86,G400&gt;0.14))*1</f>
        <v/>
      </c>
      <c r="U400">
        <f>--(AND(D400&lt;=113.15,E400&lt;=0.15,F400&gt;15.77,H400&gt;28.86,M400&lt;=14.54))*1</f>
        <v/>
      </c>
      <c r="V400">
        <f>--(AND(D400&lt;=113.15,E400&lt;=0.15,F400&gt;15.77,H400&gt;28.86,M400&gt;14.54))*1</f>
        <v/>
      </c>
      <c r="W400">
        <f>--(AND(D400&lt;=113.15,E400&gt;0.15,H400&lt;=23.74))*0</f>
        <v/>
      </c>
      <c r="X400">
        <f>--(AND(D400&lt;=113.15,E400&gt;0.15,H400&gt;23.74,J400&lt;=0.1))*1</f>
        <v/>
      </c>
      <c r="Y400">
        <f>--(AND(D400&lt;=113.15,E400&gt;0.15,H400&gt;23.74,J400&gt;0.1))*1</f>
        <v/>
      </c>
      <c r="Z400">
        <f>--(AND(D400&gt;113.15,K400&lt;=0.22,L400&lt;=0.02))*1</f>
        <v/>
      </c>
      <c r="AA400">
        <f>--(AND(D400&gt;113.15,K400&lt;=0.22,L400&gt;0.02))*0</f>
        <v/>
      </c>
      <c r="AB400">
        <f>--(AND(D400&gt;113.15,K400&gt;0.22,N400&lt;=810.1))*0</f>
        <v/>
      </c>
      <c r="AC400">
        <f>--(AND(D400&gt;113.15,K400&gt;0.22,N400&gt;810.1,I400&lt;=14.95))*1</f>
        <v/>
      </c>
      <c r="AD400">
        <f>--(AND(D400&gt;113.15,K400&gt;0.22,N400&gt;810.1,I400&gt;14.95))*1</f>
        <v/>
      </c>
      <c r="AE400">
        <f>SUM(P400:AD400)</f>
        <v/>
      </c>
      <c r="AF400">
        <f>IF(AE400=1,"Malignant","Benign")</f>
        <v/>
      </c>
      <c r="AG400">
        <f>--(AE400=C400)</f>
        <v/>
      </c>
    </row>
    <row r="401">
      <c r="A401">
        <f>BreastCancer_Data!A401</f>
        <v/>
      </c>
      <c r="B401">
        <f>BreastCancer_Data!B401</f>
        <v/>
      </c>
      <c r="C401">
        <f>BreastCancer_Data!D401</f>
        <v/>
      </c>
      <c r="D401">
        <f>BreastCancer_Data!E401</f>
        <v/>
      </c>
      <c r="E401">
        <f>BreastCancer_Data!F401</f>
        <v/>
      </c>
      <c r="F401">
        <f>BreastCancer_Data!G401</f>
        <v/>
      </c>
      <c r="G401">
        <f>BreastCancer_Data!H401</f>
        <v/>
      </c>
      <c r="H401">
        <f>BreastCancer_Data!I401</f>
        <v/>
      </c>
      <c r="I401">
        <f>BreastCancer_Data!J401</f>
        <v/>
      </c>
      <c r="J401">
        <f>BreastCancer_Data!K401</f>
        <v/>
      </c>
      <c r="K401">
        <f>BreastCancer_Data!L401</f>
        <v/>
      </c>
      <c r="L401">
        <f>BreastCancer_Data!M401</f>
        <v/>
      </c>
      <c r="M401">
        <f>BreastCancer_Data!N401</f>
        <v/>
      </c>
      <c r="N401">
        <f>BreastCancer_Data!O401</f>
        <v/>
      </c>
      <c r="O401">
        <f>0</f>
        <v/>
      </c>
      <c r="P401">
        <f>--(AND(D401&lt;=113.15,E401&lt;=0.15,F401&lt;=15.77,G401&lt;=0.18,H401&lt;=33.27))*0</f>
        <v/>
      </c>
      <c r="Q401">
        <f>--(AND(D401&lt;=113.15,E401&lt;=0.15,F401&lt;=15.77,G401&lt;=0.18,H401&gt;33.27))*0</f>
        <v/>
      </c>
      <c r="R401">
        <f>--(AND(D401&lt;=113.15,E401&lt;=0.15,F401&lt;=15.77,G401&gt;0.18))*0</f>
        <v/>
      </c>
      <c r="S401">
        <f>--(AND(D401&lt;=113.15,E401&lt;=0.15,F401&gt;15.77,H401&lt;=28.86,G401&lt;=0.14))*0</f>
        <v/>
      </c>
      <c r="T401">
        <f>--(AND(D401&lt;=113.15,E401&lt;=0.15,F401&gt;15.77,H401&lt;=28.86,G401&gt;0.14))*1</f>
        <v/>
      </c>
      <c r="U401">
        <f>--(AND(D401&lt;=113.15,E401&lt;=0.15,F401&gt;15.77,H401&gt;28.86,M401&lt;=14.54))*1</f>
        <v/>
      </c>
      <c r="V401">
        <f>--(AND(D401&lt;=113.15,E401&lt;=0.15,F401&gt;15.77,H401&gt;28.86,M401&gt;14.54))*1</f>
        <v/>
      </c>
      <c r="W401">
        <f>--(AND(D401&lt;=113.15,E401&gt;0.15,H401&lt;=23.74))*0</f>
        <v/>
      </c>
      <c r="X401">
        <f>--(AND(D401&lt;=113.15,E401&gt;0.15,H401&gt;23.74,J401&lt;=0.1))*1</f>
        <v/>
      </c>
      <c r="Y401">
        <f>--(AND(D401&lt;=113.15,E401&gt;0.15,H401&gt;23.74,J401&gt;0.1))*1</f>
        <v/>
      </c>
      <c r="Z401">
        <f>--(AND(D401&gt;113.15,K401&lt;=0.22,L401&lt;=0.02))*1</f>
        <v/>
      </c>
      <c r="AA401">
        <f>--(AND(D401&gt;113.15,K401&lt;=0.22,L401&gt;0.02))*0</f>
        <v/>
      </c>
      <c r="AB401">
        <f>--(AND(D401&gt;113.15,K401&gt;0.22,N401&lt;=810.1))*0</f>
        <v/>
      </c>
      <c r="AC401">
        <f>--(AND(D401&gt;113.15,K401&gt;0.22,N401&gt;810.1,I401&lt;=14.95))*1</f>
        <v/>
      </c>
      <c r="AD401">
        <f>--(AND(D401&gt;113.15,K401&gt;0.22,N401&gt;810.1,I401&gt;14.95))*1</f>
        <v/>
      </c>
      <c r="AE401">
        <f>SUM(P401:AD401)</f>
        <v/>
      </c>
      <c r="AF401">
        <f>IF(AE401=1,"Malignant","Benign")</f>
        <v/>
      </c>
      <c r="AG401">
        <f>--(AE401=C401)</f>
        <v/>
      </c>
    </row>
    <row r="402">
      <c r="A402">
        <f>BreastCancer_Data!A402</f>
        <v/>
      </c>
      <c r="B402">
        <f>BreastCancer_Data!B402</f>
        <v/>
      </c>
      <c r="C402">
        <f>BreastCancer_Data!D402</f>
        <v/>
      </c>
      <c r="D402">
        <f>BreastCancer_Data!E402</f>
        <v/>
      </c>
      <c r="E402">
        <f>BreastCancer_Data!F402</f>
        <v/>
      </c>
      <c r="F402">
        <f>BreastCancer_Data!G402</f>
        <v/>
      </c>
      <c r="G402">
        <f>BreastCancer_Data!H402</f>
        <v/>
      </c>
      <c r="H402">
        <f>BreastCancer_Data!I402</f>
        <v/>
      </c>
      <c r="I402">
        <f>BreastCancer_Data!J402</f>
        <v/>
      </c>
      <c r="J402">
        <f>BreastCancer_Data!K402</f>
        <v/>
      </c>
      <c r="K402">
        <f>BreastCancer_Data!L402</f>
        <v/>
      </c>
      <c r="L402">
        <f>BreastCancer_Data!M402</f>
        <v/>
      </c>
      <c r="M402">
        <f>BreastCancer_Data!N402</f>
        <v/>
      </c>
      <c r="N402">
        <f>BreastCancer_Data!O402</f>
        <v/>
      </c>
      <c r="O402">
        <f>0</f>
        <v/>
      </c>
      <c r="P402">
        <f>--(AND(D402&lt;=113.15,E402&lt;=0.15,F402&lt;=15.77,G402&lt;=0.18,H402&lt;=33.27))*0</f>
        <v/>
      </c>
      <c r="Q402">
        <f>--(AND(D402&lt;=113.15,E402&lt;=0.15,F402&lt;=15.77,G402&lt;=0.18,H402&gt;33.27))*0</f>
        <v/>
      </c>
      <c r="R402">
        <f>--(AND(D402&lt;=113.15,E402&lt;=0.15,F402&lt;=15.77,G402&gt;0.18))*0</f>
        <v/>
      </c>
      <c r="S402">
        <f>--(AND(D402&lt;=113.15,E402&lt;=0.15,F402&gt;15.77,H402&lt;=28.86,G402&lt;=0.14))*0</f>
        <v/>
      </c>
      <c r="T402">
        <f>--(AND(D402&lt;=113.15,E402&lt;=0.15,F402&gt;15.77,H402&lt;=28.86,G402&gt;0.14))*1</f>
        <v/>
      </c>
      <c r="U402">
        <f>--(AND(D402&lt;=113.15,E402&lt;=0.15,F402&gt;15.77,H402&gt;28.86,M402&lt;=14.54))*1</f>
        <v/>
      </c>
      <c r="V402">
        <f>--(AND(D402&lt;=113.15,E402&lt;=0.15,F402&gt;15.77,H402&gt;28.86,M402&gt;14.54))*1</f>
        <v/>
      </c>
      <c r="W402">
        <f>--(AND(D402&lt;=113.15,E402&gt;0.15,H402&lt;=23.74))*0</f>
        <v/>
      </c>
      <c r="X402">
        <f>--(AND(D402&lt;=113.15,E402&gt;0.15,H402&gt;23.74,J402&lt;=0.1))*1</f>
        <v/>
      </c>
      <c r="Y402">
        <f>--(AND(D402&lt;=113.15,E402&gt;0.15,H402&gt;23.74,J402&gt;0.1))*1</f>
        <v/>
      </c>
      <c r="Z402">
        <f>--(AND(D402&gt;113.15,K402&lt;=0.22,L402&lt;=0.02))*1</f>
        <v/>
      </c>
      <c r="AA402">
        <f>--(AND(D402&gt;113.15,K402&lt;=0.22,L402&gt;0.02))*0</f>
        <v/>
      </c>
      <c r="AB402">
        <f>--(AND(D402&gt;113.15,K402&gt;0.22,N402&lt;=810.1))*0</f>
        <v/>
      </c>
      <c r="AC402">
        <f>--(AND(D402&gt;113.15,K402&gt;0.22,N402&gt;810.1,I402&lt;=14.95))*1</f>
        <v/>
      </c>
      <c r="AD402">
        <f>--(AND(D402&gt;113.15,K402&gt;0.22,N402&gt;810.1,I402&gt;14.95))*1</f>
        <v/>
      </c>
      <c r="AE402">
        <f>SUM(P402:AD402)</f>
        <v/>
      </c>
      <c r="AF402">
        <f>IF(AE402=1,"Malignant","Benign")</f>
        <v/>
      </c>
      <c r="AG402">
        <f>--(AE402=C402)</f>
        <v/>
      </c>
    </row>
    <row r="403">
      <c r="A403">
        <f>BreastCancer_Data!A403</f>
        <v/>
      </c>
      <c r="B403">
        <f>BreastCancer_Data!B403</f>
        <v/>
      </c>
      <c r="C403">
        <f>BreastCancer_Data!D403</f>
        <v/>
      </c>
      <c r="D403">
        <f>BreastCancer_Data!E403</f>
        <v/>
      </c>
      <c r="E403">
        <f>BreastCancer_Data!F403</f>
        <v/>
      </c>
      <c r="F403">
        <f>BreastCancer_Data!G403</f>
        <v/>
      </c>
      <c r="G403">
        <f>BreastCancer_Data!H403</f>
        <v/>
      </c>
      <c r="H403">
        <f>BreastCancer_Data!I403</f>
        <v/>
      </c>
      <c r="I403">
        <f>BreastCancer_Data!J403</f>
        <v/>
      </c>
      <c r="J403">
        <f>BreastCancer_Data!K403</f>
        <v/>
      </c>
      <c r="K403">
        <f>BreastCancer_Data!L403</f>
        <v/>
      </c>
      <c r="L403">
        <f>BreastCancer_Data!M403</f>
        <v/>
      </c>
      <c r="M403">
        <f>BreastCancer_Data!N403</f>
        <v/>
      </c>
      <c r="N403">
        <f>BreastCancer_Data!O403</f>
        <v/>
      </c>
      <c r="O403">
        <f>0</f>
        <v/>
      </c>
      <c r="P403">
        <f>--(AND(D403&lt;=113.15,E403&lt;=0.15,F403&lt;=15.77,G403&lt;=0.18,H403&lt;=33.27))*0</f>
        <v/>
      </c>
      <c r="Q403">
        <f>--(AND(D403&lt;=113.15,E403&lt;=0.15,F403&lt;=15.77,G403&lt;=0.18,H403&gt;33.27))*0</f>
        <v/>
      </c>
      <c r="R403">
        <f>--(AND(D403&lt;=113.15,E403&lt;=0.15,F403&lt;=15.77,G403&gt;0.18))*0</f>
        <v/>
      </c>
      <c r="S403">
        <f>--(AND(D403&lt;=113.15,E403&lt;=0.15,F403&gt;15.77,H403&lt;=28.86,G403&lt;=0.14))*0</f>
        <v/>
      </c>
      <c r="T403">
        <f>--(AND(D403&lt;=113.15,E403&lt;=0.15,F403&gt;15.77,H403&lt;=28.86,G403&gt;0.14))*1</f>
        <v/>
      </c>
      <c r="U403">
        <f>--(AND(D403&lt;=113.15,E403&lt;=0.15,F403&gt;15.77,H403&gt;28.86,M403&lt;=14.54))*1</f>
        <v/>
      </c>
      <c r="V403">
        <f>--(AND(D403&lt;=113.15,E403&lt;=0.15,F403&gt;15.77,H403&gt;28.86,M403&gt;14.54))*1</f>
        <v/>
      </c>
      <c r="W403">
        <f>--(AND(D403&lt;=113.15,E403&gt;0.15,H403&lt;=23.74))*0</f>
        <v/>
      </c>
      <c r="X403">
        <f>--(AND(D403&lt;=113.15,E403&gt;0.15,H403&gt;23.74,J403&lt;=0.1))*1</f>
        <v/>
      </c>
      <c r="Y403">
        <f>--(AND(D403&lt;=113.15,E403&gt;0.15,H403&gt;23.74,J403&gt;0.1))*1</f>
        <v/>
      </c>
      <c r="Z403">
        <f>--(AND(D403&gt;113.15,K403&lt;=0.22,L403&lt;=0.02))*1</f>
        <v/>
      </c>
      <c r="AA403">
        <f>--(AND(D403&gt;113.15,K403&lt;=0.22,L403&gt;0.02))*0</f>
        <v/>
      </c>
      <c r="AB403">
        <f>--(AND(D403&gt;113.15,K403&gt;0.22,N403&lt;=810.1))*0</f>
        <v/>
      </c>
      <c r="AC403">
        <f>--(AND(D403&gt;113.15,K403&gt;0.22,N403&gt;810.1,I403&lt;=14.95))*1</f>
        <v/>
      </c>
      <c r="AD403">
        <f>--(AND(D403&gt;113.15,K403&gt;0.22,N403&gt;810.1,I403&gt;14.95))*1</f>
        <v/>
      </c>
      <c r="AE403">
        <f>SUM(P403:AD403)</f>
        <v/>
      </c>
      <c r="AF403">
        <f>IF(AE403=1,"Malignant","Benign")</f>
        <v/>
      </c>
      <c r="AG403">
        <f>--(AE403=C403)</f>
        <v/>
      </c>
    </row>
    <row r="404">
      <c r="A404">
        <f>BreastCancer_Data!A404</f>
        <v/>
      </c>
      <c r="B404">
        <f>BreastCancer_Data!B404</f>
        <v/>
      </c>
      <c r="C404">
        <f>BreastCancer_Data!D404</f>
        <v/>
      </c>
      <c r="D404">
        <f>BreastCancer_Data!E404</f>
        <v/>
      </c>
      <c r="E404">
        <f>BreastCancer_Data!F404</f>
        <v/>
      </c>
      <c r="F404">
        <f>BreastCancer_Data!G404</f>
        <v/>
      </c>
      <c r="G404">
        <f>BreastCancer_Data!H404</f>
        <v/>
      </c>
      <c r="H404">
        <f>BreastCancer_Data!I404</f>
        <v/>
      </c>
      <c r="I404">
        <f>BreastCancer_Data!J404</f>
        <v/>
      </c>
      <c r="J404">
        <f>BreastCancer_Data!K404</f>
        <v/>
      </c>
      <c r="K404">
        <f>BreastCancer_Data!L404</f>
        <v/>
      </c>
      <c r="L404">
        <f>BreastCancer_Data!M404</f>
        <v/>
      </c>
      <c r="M404">
        <f>BreastCancer_Data!N404</f>
        <v/>
      </c>
      <c r="N404">
        <f>BreastCancer_Data!O404</f>
        <v/>
      </c>
      <c r="O404">
        <f>0</f>
        <v/>
      </c>
      <c r="P404">
        <f>--(AND(D404&lt;=113.15,E404&lt;=0.15,F404&lt;=15.77,G404&lt;=0.18,H404&lt;=33.27))*0</f>
        <v/>
      </c>
      <c r="Q404">
        <f>--(AND(D404&lt;=113.15,E404&lt;=0.15,F404&lt;=15.77,G404&lt;=0.18,H404&gt;33.27))*0</f>
        <v/>
      </c>
      <c r="R404">
        <f>--(AND(D404&lt;=113.15,E404&lt;=0.15,F404&lt;=15.77,G404&gt;0.18))*0</f>
        <v/>
      </c>
      <c r="S404">
        <f>--(AND(D404&lt;=113.15,E404&lt;=0.15,F404&gt;15.77,H404&lt;=28.86,G404&lt;=0.14))*0</f>
        <v/>
      </c>
      <c r="T404">
        <f>--(AND(D404&lt;=113.15,E404&lt;=0.15,F404&gt;15.77,H404&lt;=28.86,G404&gt;0.14))*1</f>
        <v/>
      </c>
      <c r="U404">
        <f>--(AND(D404&lt;=113.15,E404&lt;=0.15,F404&gt;15.77,H404&gt;28.86,M404&lt;=14.54))*1</f>
        <v/>
      </c>
      <c r="V404">
        <f>--(AND(D404&lt;=113.15,E404&lt;=0.15,F404&gt;15.77,H404&gt;28.86,M404&gt;14.54))*1</f>
        <v/>
      </c>
      <c r="W404">
        <f>--(AND(D404&lt;=113.15,E404&gt;0.15,H404&lt;=23.74))*0</f>
        <v/>
      </c>
      <c r="X404">
        <f>--(AND(D404&lt;=113.15,E404&gt;0.15,H404&gt;23.74,J404&lt;=0.1))*1</f>
        <v/>
      </c>
      <c r="Y404">
        <f>--(AND(D404&lt;=113.15,E404&gt;0.15,H404&gt;23.74,J404&gt;0.1))*1</f>
        <v/>
      </c>
      <c r="Z404">
        <f>--(AND(D404&gt;113.15,K404&lt;=0.22,L404&lt;=0.02))*1</f>
        <v/>
      </c>
      <c r="AA404">
        <f>--(AND(D404&gt;113.15,K404&lt;=0.22,L404&gt;0.02))*0</f>
        <v/>
      </c>
      <c r="AB404">
        <f>--(AND(D404&gt;113.15,K404&gt;0.22,N404&lt;=810.1))*0</f>
        <v/>
      </c>
      <c r="AC404">
        <f>--(AND(D404&gt;113.15,K404&gt;0.22,N404&gt;810.1,I404&lt;=14.95))*1</f>
        <v/>
      </c>
      <c r="AD404">
        <f>--(AND(D404&gt;113.15,K404&gt;0.22,N404&gt;810.1,I404&gt;14.95))*1</f>
        <v/>
      </c>
      <c r="AE404">
        <f>SUM(P404:AD404)</f>
        <v/>
      </c>
      <c r="AF404">
        <f>IF(AE404=1,"Malignant","Benign")</f>
        <v/>
      </c>
      <c r="AG404">
        <f>--(AE404=C404)</f>
        <v/>
      </c>
    </row>
    <row r="405">
      <c r="A405">
        <f>BreastCancer_Data!A405</f>
        <v/>
      </c>
      <c r="B405">
        <f>BreastCancer_Data!B405</f>
        <v/>
      </c>
      <c r="C405">
        <f>BreastCancer_Data!D405</f>
        <v/>
      </c>
      <c r="D405">
        <f>BreastCancer_Data!E405</f>
        <v/>
      </c>
      <c r="E405">
        <f>BreastCancer_Data!F405</f>
        <v/>
      </c>
      <c r="F405">
        <f>BreastCancer_Data!G405</f>
        <v/>
      </c>
      <c r="G405">
        <f>BreastCancer_Data!H405</f>
        <v/>
      </c>
      <c r="H405">
        <f>BreastCancer_Data!I405</f>
        <v/>
      </c>
      <c r="I405">
        <f>BreastCancer_Data!J405</f>
        <v/>
      </c>
      <c r="J405">
        <f>BreastCancer_Data!K405</f>
        <v/>
      </c>
      <c r="K405">
        <f>BreastCancer_Data!L405</f>
        <v/>
      </c>
      <c r="L405">
        <f>BreastCancer_Data!M405</f>
        <v/>
      </c>
      <c r="M405">
        <f>BreastCancer_Data!N405</f>
        <v/>
      </c>
      <c r="N405">
        <f>BreastCancer_Data!O405</f>
        <v/>
      </c>
      <c r="O405">
        <f>0</f>
        <v/>
      </c>
      <c r="P405">
        <f>--(AND(D405&lt;=113.15,E405&lt;=0.15,F405&lt;=15.77,G405&lt;=0.18,H405&lt;=33.27))*0</f>
        <v/>
      </c>
      <c r="Q405">
        <f>--(AND(D405&lt;=113.15,E405&lt;=0.15,F405&lt;=15.77,G405&lt;=0.18,H405&gt;33.27))*0</f>
        <v/>
      </c>
      <c r="R405">
        <f>--(AND(D405&lt;=113.15,E405&lt;=0.15,F405&lt;=15.77,G405&gt;0.18))*0</f>
        <v/>
      </c>
      <c r="S405">
        <f>--(AND(D405&lt;=113.15,E405&lt;=0.15,F405&gt;15.77,H405&lt;=28.86,G405&lt;=0.14))*0</f>
        <v/>
      </c>
      <c r="T405">
        <f>--(AND(D405&lt;=113.15,E405&lt;=0.15,F405&gt;15.77,H405&lt;=28.86,G405&gt;0.14))*1</f>
        <v/>
      </c>
      <c r="U405">
        <f>--(AND(D405&lt;=113.15,E405&lt;=0.15,F405&gt;15.77,H405&gt;28.86,M405&lt;=14.54))*1</f>
        <v/>
      </c>
      <c r="V405">
        <f>--(AND(D405&lt;=113.15,E405&lt;=0.15,F405&gt;15.77,H405&gt;28.86,M405&gt;14.54))*1</f>
        <v/>
      </c>
      <c r="W405">
        <f>--(AND(D405&lt;=113.15,E405&gt;0.15,H405&lt;=23.74))*0</f>
        <v/>
      </c>
      <c r="X405">
        <f>--(AND(D405&lt;=113.15,E405&gt;0.15,H405&gt;23.74,J405&lt;=0.1))*1</f>
        <v/>
      </c>
      <c r="Y405">
        <f>--(AND(D405&lt;=113.15,E405&gt;0.15,H405&gt;23.74,J405&gt;0.1))*1</f>
        <v/>
      </c>
      <c r="Z405">
        <f>--(AND(D405&gt;113.15,K405&lt;=0.22,L405&lt;=0.02))*1</f>
        <v/>
      </c>
      <c r="AA405">
        <f>--(AND(D405&gt;113.15,K405&lt;=0.22,L405&gt;0.02))*0</f>
        <v/>
      </c>
      <c r="AB405">
        <f>--(AND(D405&gt;113.15,K405&gt;0.22,N405&lt;=810.1))*0</f>
        <v/>
      </c>
      <c r="AC405">
        <f>--(AND(D405&gt;113.15,K405&gt;0.22,N405&gt;810.1,I405&lt;=14.95))*1</f>
        <v/>
      </c>
      <c r="AD405">
        <f>--(AND(D405&gt;113.15,K405&gt;0.22,N405&gt;810.1,I405&gt;14.95))*1</f>
        <v/>
      </c>
      <c r="AE405">
        <f>SUM(P405:AD405)</f>
        <v/>
      </c>
      <c r="AF405">
        <f>IF(AE405=1,"Malignant","Benign")</f>
        <v/>
      </c>
      <c r="AG405">
        <f>--(AE405=C405)</f>
        <v/>
      </c>
    </row>
    <row r="406">
      <c r="A406">
        <f>BreastCancer_Data!A406</f>
        <v/>
      </c>
      <c r="B406">
        <f>BreastCancer_Data!B406</f>
        <v/>
      </c>
      <c r="C406">
        <f>BreastCancer_Data!D406</f>
        <v/>
      </c>
      <c r="D406">
        <f>BreastCancer_Data!E406</f>
        <v/>
      </c>
      <c r="E406">
        <f>BreastCancer_Data!F406</f>
        <v/>
      </c>
      <c r="F406">
        <f>BreastCancer_Data!G406</f>
        <v/>
      </c>
      <c r="G406">
        <f>BreastCancer_Data!H406</f>
        <v/>
      </c>
      <c r="H406">
        <f>BreastCancer_Data!I406</f>
        <v/>
      </c>
      <c r="I406">
        <f>BreastCancer_Data!J406</f>
        <v/>
      </c>
      <c r="J406">
        <f>BreastCancer_Data!K406</f>
        <v/>
      </c>
      <c r="K406">
        <f>BreastCancer_Data!L406</f>
        <v/>
      </c>
      <c r="L406">
        <f>BreastCancer_Data!M406</f>
        <v/>
      </c>
      <c r="M406">
        <f>BreastCancer_Data!N406</f>
        <v/>
      </c>
      <c r="N406">
        <f>BreastCancer_Data!O406</f>
        <v/>
      </c>
      <c r="O406">
        <f>0</f>
        <v/>
      </c>
      <c r="P406">
        <f>--(AND(D406&lt;=113.15,E406&lt;=0.15,F406&lt;=15.77,G406&lt;=0.18,H406&lt;=33.27))*0</f>
        <v/>
      </c>
      <c r="Q406">
        <f>--(AND(D406&lt;=113.15,E406&lt;=0.15,F406&lt;=15.77,G406&lt;=0.18,H406&gt;33.27))*0</f>
        <v/>
      </c>
      <c r="R406">
        <f>--(AND(D406&lt;=113.15,E406&lt;=0.15,F406&lt;=15.77,G406&gt;0.18))*0</f>
        <v/>
      </c>
      <c r="S406">
        <f>--(AND(D406&lt;=113.15,E406&lt;=0.15,F406&gt;15.77,H406&lt;=28.86,G406&lt;=0.14))*0</f>
        <v/>
      </c>
      <c r="T406">
        <f>--(AND(D406&lt;=113.15,E406&lt;=0.15,F406&gt;15.77,H406&lt;=28.86,G406&gt;0.14))*1</f>
        <v/>
      </c>
      <c r="U406">
        <f>--(AND(D406&lt;=113.15,E406&lt;=0.15,F406&gt;15.77,H406&gt;28.86,M406&lt;=14.54))*1</f>
        <v/>
      </c>
      <c r="V406">
        <f>--(AND(D406&lt;=113.15,E406&lt;=0.15,F406&gt;15.77,H406&gt;28.86,M406&gt;14.54))*1</f>
        <v/>
      </c>
      <c r="W406">
        <f>--(AND(D406&lt;=113.15,E406&gt;0.15,H406&lt;=23.74))*0</f>
        <v/>
      </c>
      <c r="X406">
        <f>--(AND(D406&lt;=113.15,E406&gt;0.15,H406&gt;23.74,J406&lt;=0.1))*1</f>
        <v/>
      </c>
      <c r="Y406">
        <f>--(AND(D406&lt;=113.15,E406&gt;0.15,H406&gt;23.74,J406&gt;0.1))*1</f>
        <v/>
      </c>
      <c r="Z406">
        <f>--(AND(D406&gt;113.15,K406&lt;=0.22,L406&lt;=0.02))*1</f>
        <v/>
      </c>
      <c r="AA406">
        <f>--(AND(D406&gt;113.15,K406&lt;=0.22,L406&gt;0.02))*0</f>
        <v/>
      </c>
      <c r="AB406">
        <f>--(AND(D406&gt;113.15,K406&gt;0.22,N406&lt;=810.1))*0</f>
        <v/>
      </c>
      <c r="AC406">
        <f>--(AND(D406&gt;113.15,K406&gt;0.22,N406&gt;810.1,I406&lt;=14.95))*1</f>
        <v/>
      </c>
      <c r="AD406">
        <f>--(AND(D406&gt;113.15,K406&gt;0.22,N406&gt;810.1,I406&gt;14.95))*1</f>
        <v/>
      </c>
      <c r="AE406">
        <f>SUM(P406:AD406)</f>
        <v/>
      </c>
      <c r="AF406">
        <f>IF(AE406=1,"Malignant","Benign")</f>
        <v/>
      </c>
      <c r="AG406">
        <f>--(AE406=C406)</f>
        <v/>
      </c>
    </row>
    <row r="407">
      <c r="A407">
        <f>BreastCancer_Data!A407</f>
        <v/>
      </c>
      <c r="B407">
        <f>BreastCancer_Data!B407</f>
        <v/>
      </c>
      <c r="C407">
        <f>BreastCancer_Data!D407</f>
        <v/>
      </c>
      <c r="D407">
        <f>BreastCancer_Data!E407</f>
        <v/>
      </c>
      <c r="E407">
        <f>BreastCancer_Data!F407</f>
        <v/>
      </c>
      <c r="F407">
        <f>BreastCancer_Data!G407</f>
        <v/>
      </c>
      <c r="G407">
        <f>BreastCancer_Data!H407</f>
        <v/>
      </c>
      <c r="H407">
        <f>BreastCancer_Data!I407</f>
        <v/>
      </c>
      <c r="I407">
        <f>BreastCancer_Data!J407</f>
        <v/>
      </c>
      <c r="J407">
        <f>BreastCancer_Data!K407</f>
        <v/>
      </c>
      <c r="K407">
        <f>BreastCancer_Data!L407</f>
        <v/>
      </c>
      <c r="L407">
        <f>BreastCancer_Data!M407</f>
        <v/>
      </c>
      <c r="M407">
        <f>BreastCancer_Data!N407</f>
        <v/>
      </c>
      <c r="N407">
        <f>BreastCancer_Data!O407</f>
        <v/>
      </c>
      <c r="O407">
        <f>0</f>
        <v/>
      </c>
      <c r="P407">
        <f>--(AND(D407&lt;=113.15,E407&lt;=0.15,F407&lt;=15.77,G407&lt;=0.18,H407&lt;=33.27))*0</f>
        <v/>
      </c>
      <c r="Q407">
        <f>--(AND(D407&lt;=113.15,E407&lt;=0.15,F407&lt;=15.77,G407&lt;=0.18,H407&gt;33.27))*0</f>
        <v/>
      </c>
      <c r="R407">
        <f>--(AND(D407&lt;=113.15,E407&lt;=0.15,F407&lt;=15.77,G407&gt;0.18))*0</f>
        <v/>
      </c>
      <c r="S407">
        <f>--(AND(D407&lt;=113.15,E407&lt;=0.15,F407&gt;15.77,H407&lt;=28.86,G407&lt;=0.14))*0</f>
        <v/>
      </c>
      <c r="T407">
        <f>--(AND(D407&lt;=113.15,E407&lt;=0.15,F407&gt;15.77,H407&lt;=28.86,G407&gt;0.14))*1</f>
        <v/>
      </c>
      <c r="U407">
        <f>--(AND(D407&lt;=113.15,E407&lt;=0.15,F407&gt;15.77,H407&gt;28.86,M407&lt;=14.54))*1</f>
        <v/>
      </c>
      <c r="V407">
        <f>--(AND(D407&lt;=113.15,E407&lt;=0.15,F407&gt;15.77,H407&gt;28.86,M407&gt;14.54))*1</f>
        <v/>
      </c>
      <c r="W407">
        <f>--(AND(D407&lt;=113.15,E407&gt;0.15,H407&lt;=23.74))*0</f>
        <v/>
      </c>
      <c r="X407">
        <f>--(AND(D407&lt;=113.15,E407&gt;0.15,H407&gt;23.74,J407&lt;=0.1))*1</f>
        <v/>
      </c>
      <c r="Y407">
        <f>--(AND(D407&lt;=113.15,E407&gt;0.15,H407&gt;23.74,J407&gt;0.1))*1</f>
        <v/>
      </c>
      <c r="Z407">
        <f>--(AND(D407&gt;113.15,K407&lt;=0.22,L407&lt;=0.02))*1</f>
        <v/>
      </c>
      <c r="AA407">
        <f>--(AND(D407&gt;113.15,K407&lt;=0.22,L407&gt;0.02))*0</f>
        <v/>
      </c>
      <c r="AB407">
        <f>--(AND(D407&gt;113.15,K407&gt;0.22,N407&lt;=810.1))*0</f>
        <v/>
      </c>
      <c r="AC407">
        <f>--(AND(D407&gt;113.15,K407&gt;0.22,N407&gt;810.1,I407&lt;=14.95))*1</f>
        <v/>
      </c>
      <c r="AD407">
        <f>--(AND(D407&gt;113.15,K407&gt;0.22,N407&gt;810.1,I407&gt;14.95))*1</f>
        <v/>
      </c>
      <c r="AE407">
        <f>SUM(P407:AD407)</f>
        <v/>
      </c>
      <c r="AF407">
        <f>IF(AE407=1,"Malignant","Benign")</f>
        <v/>
      </c>
      <c r="AG407">
        <f>--(AE407=C407)</f>
        <v/>
      </c>
    </row>
    <row r="408">
      <c r="A408">
        <f>BreastCancer_Data!A408</f>
        <v/>
      </c>
      <c r="B408">
        <f>BreastCancer_Data!B408</f>
        <v/>
      </c>
      <c r="C408">
        <f>BreastCancer_Data!D408</f>
        <v/>
      </c>
      <c r="D408">
        <f>BreastCancer_Data!E408</f>
        <v/>
      </c>
      <c r="E408">
        <f>BreastCancer_Data!F408</f>
        <v/>
      </c>
      <c r="F408">
        <f>BreastCancer_Data!G408</f>
        <v/>
      </c>
      <c r="G408">
        <f>BreastCancer_Data!H408</f>
        <v/>
      </c>
      <c r="H408">
        <f>BreastCancer_Data!I408</f>
        <v/>
      </c>
      <c r="I408">
        <f>BreastCancer_Data!J408</f>
        <v/>
      </c>
      <c r="J408">
        <f>BreastCancer_Data!K408</f>
        <v/>
      </c>
      <c r="K408">
        <f>BreastCancer_Data!L408</f>
        <v/>
      </c>
      <c r="L408">
        <f>BreastCancer_Data!M408</f>
        <v/>
      </c>
      <c r="M408">
        <f>BreastCancer_Data!N408</f>
        <v/>
      </c>
      <c r="N408">
        <f>BreastCancer_Data!O408</f>
        <v/>
      </c>
      <c r="O408">
        <f>0</f>
        <v/>
      </c>
      <c r="P408">
        <f>--(AND(D408&lt;=113.15,E408&lt;=0.15,F408&lt;=15.77,G408&lt;=0.18,H408&lt;=33.27))*0</f>
        <v/>
      </c>
      <c r="Q408">
        <f>--(AND(D408&lt;=113.15,E408&lt;=0.15,F408&lt;=15.77,G408&lt;=0.18,H408&gt;33.27))*0</f>
        <v/>
      </c>
      <c r="R408">
        <f>--(AND(D408&lt;=113.15,E408&lt;=0.15,F408&lt;=15.77,G408&gt;0.18))*0</f>
        <v/>
      </c>
      <c r="S408">
        <f>--(AND(D408&lt;=113.15,E408&lt;=0.15,F408&gt;15.77,H408&lt;=28.86,G408&lt;=0.14))*0</f>
        <v/>
      </c>
      <c r="T408">
        <f>--(AND(D408&lt;=113.15,E408&lt;=0.15,F408&gt;15.77,H408&lt;=28.86,G408&gt;0.14))*1</f>
        <v/>
      </c>
      <c r="U408">
        <f>--(AND(D408&lt;=113.15,E408&lt;=0.15,F408&gt;15.77,H408&gt;28.86,M408&lt;=14.54))*1</f>
        <v/>
      </c>
      <c r="V408">
        <f>--(AND(D408&lt;=113.15,E408&lt;=0.15,F408&gt;15.77,H408&gt;28.86,M408&gt;14.54))*1</f>
        <v/>
      </c>
      <c r="W408">
        <f>--(AND(D408&lt;=113.15,E408&gt;0.15,H408&lt;=23.74))*0</f>
        <v/>
      </c>
      <c r="X408">
        <f>--(AND(D408&lt;=113.15,E408&gt;0.15,H408&gt;23.74,J408&lt;=0.1))*1</f>
        <v/>
      </c>
      <c r="Y408">
        <f>--(AND(D408&lt;=113.15,E408&gt;0.15,H408&gt;23.74,J408&gt;0.1))*1</f>
        <v/>
      </c>
      <c r="Z408">
        <f>--(AND(D408&gt;113.15,K408&lt;=0.22,L408&lt;=0.02))*1</f>
        <v/>
      </c>
      <c r="AA408">
        <f>--(AND(D408&gt;113.15,K408&lt;=0.22,L408&gt;0.02))*0</f>
        <v/>
      </c>
      <c r="AB408">
        <f>--(AND(D408&gt;113.15,K408&gt;0.22,N408&lt;=810.1))*0</f>
        <v/>
      </c>
      <c r="AC408">
        <f>--(AND(D408&gt;113.15,K408&gt;0.22,N408&gt;810.1,I408&lt;=14.95))*1</f>
        <v/>
      </c>
      <c r="AD408">
        <f>--(AND(D408&gt;113.15,K408&gt;0.22,N408&gt;810.1,I408&gt;14.95))*1</f>
        <v/>
      </c>
      <c r="AE408">
        <f>SUM(P408:AD408)</f>
        <v/>
      </c>
      <c r="AF408">
        <f>IF(AE408=1,"Malignant","Benign")</f>
        <v/>
      </c>
      <c r="AG408">
        <f>--(AE408=C408)</f>
        <v/>
      </c>
    </row>
    <row r="409">
      <c r="A409">
        <f>BreastCancer_Data!A409</f>
        <v/>
      </c>
      <c r="B409">
        <f>BreastCancer_Data!B409</f>
        <v/>
      </c>
      <c r="C409">
        <f>BreastCancer_Data!D409</f>
        <v/>
      </c>
      <c r="D409">
        <f>BreastCancer_Data!E409</f>
        <v/>
      </c>
      <c r="E409">
        <f>BreastCancer_Data!F409</f>
        <v/>
      </c>
      <c r="F409">
        <f>BreastCancer_Data!G409</f>
        <v/>
      </c>
      <c r="G409">
        <f>BreastCancer_Data!H409</f>
        <v/>
      </c>
      <c r="H409">
        <f>BreastCancer_Data!I409</f>
        <v/>
      </c>
      <c r="I409">
        <f>BreastCancer_Data!J409</f>
        <v/>
      </c>
      <c r="J409">
        <f>BreastCancer_Data!K409</f>
        <v/>
      </c>
      <c r="K409">
        <f>BreastCancer_Data!L409</f>
        <v/>
      </c>
      <c r="L409">
        <f>BreastCancer_Data!M409</f>
        <v/>
      </c>
      <c r="M409">
        <f>BreastCancer_Data!N409</f>
        <v/>
      </c>
      <c r="N409">
        <f>BreastCancer_Data!O409</f>
        <v/>
      </c>
      <c r="O409">
        <f>0</f>
        <v/>
      </c>
      <c r="P409">
        <f>--(AND(D409&lt;=113.15,E409&lt;=0.15,F409&lt;=15.77,G409&lt;=0.18,H409&lt;=33.27))*0</f>
        <v/>
      </c>
      <c r="Q409">
        <f>--(AND(D409&lt;=113.15,E409&lt;=0.15,F409&lt;=15.77,G409&lt;=0.18,H409&gt;33.27))*0</f>
        <v/>
      </c>
      <c r="R409">
        <f>--(AND(D409&lt;=113.15,E409&lt;=0.15,F409&lt;=15.77,G409&gt;0.18))*0</f>
        <v/>
      </c>
      <c r="S409">
        <f>--(AND(D409&lt;=113.15,E409&lt;=0.15,F409&gt;15.77,H409&lt;=28.86,G409&lt;=0.14))*0</f>
        <v/>
      </c>
      <c r="T409">
        <f>--(AND(D409&lt;=113.15,E409&lt;=0.15,F409&gt;15.77,H409&lt;=28.86,G409&gt;0.14))*1</f>
        <v/>
      </c>
      <c r="U409">
        <f>--(AND(D409&lt;=113.15,E409&lt;=0.15,F409&gt;15.77,H409&gt;28.86,M409&lt;=14.54))*1</f>
        <v/>
      </c>
      <c r="V409">
        <f>--(AND(D409&lt;=113.15,E409&lt;=0.15,F409&gt;15.77,H409&gt;28.86,M409&gt;14.54))*1</f>
        <v/>
      </c>
      <c r="W409">
        <f>--(AND(D409&lt;=113.15,E409&gt;0.15,H409&lt;=23.74))*0</f>
        <v/>
      </c>
      <c r="X409">
        <f>--(AND(D409&lt;=113.15,E409&gt;0.15,H409&gt;23.74,J409&lt;=0.1))*1</f>
        <v/>
      </c>
      <c r="Y409">
        <f>--(AND(D409&lt;=113.15,E409&gt;0.15,H409&gt;23.74,J409&gt;0.1))*1</f>
        <v/>
      </c>
      <c r="Z409">
        <f>--(AND(D409&gt;113.15,K409&lt;=0.22,L409&lt;=0.02))*1</f>
        <v/>
      </c>
      <c r="AA409">
        <f>--(AND(D409&gt;113.15,K409&lt;=0.22,L409&gt;0.02))*0</f>
        <v/>
      </c>
      <c r="AB409">
        <f>--(AND(D409&gt;113.15,K409&gt;0.22,N409&lt;=810.1))*0</f>
        <v/>
      </c>
      <c r="AC409">
        <f>--(AND(D409&gt;113.15,K409&gt;0.22,N409&gt;810.1,I409&lt;=14.95))*1</f>
        <v/>
      </c>
      <c r="AD409">
        <f>--(AND(D409&gt;113.15,K409&gt;0.22,N409&gt;810.1,I409&gt;14.95))*1</f>
        <v/>
      </c>
      <c r="AE409">
        <f>SUM(P409:AD409)</f>
        <v/>
      </c>
      <c r="AF409">
        <f>IF(AE409=1,"Malignant","Benign")</f>
        <v/>
      </c>
      <c r="AG409">
        <f>--(AE409=C409)</f>
        <v/>
      </c>
    </row>
    <row r="410">
      <c r="A410">
        <f>BreastCancer_Data!A410</f>
        <v/>
      </c>
      <c r="B410">
        <f>BreastCancer_Data!B410</f>
        <v/>
      </c>
      <c r="C410">
        <f>BreastCancer_Data!D410</f>
        <v/>
      </c>
      <c r="D410">
        <f>BreastCancer_Data!E410</f>
        <v/>
      </c>
      <c r="E410">
        <f>BreastCancer_Data!F410</f>
        <v/>
      </c>
      <c r="F410">
        <f>BreastCancer_Data!G410</f>
        <v/>
      </c>
      <c r="G410">
        <f>BreastCancer_Data!H410</f>
        <v/>
      </c>
      <c r="H410">
        <f>BreastCancer_Data!I410</f>
        <v/>
      </c>
      <c r="I410">
        <f>BreastCancer_Data!J410</f>
        <v/>
      </c>
      <c r="J410">
        <f>BreastCancer_Data!K410</f>
        <v/>
      </c>
      <c r="K410">
        <f>BreastCancer_Data!L410</f>
        <v/>
      </c>
      <c r="L410">
        <f>BreastCancer_Data!M410</f>
        <v/>
      </c>
      <c r="M410">
        <f>BreastCancer_Data!N410</f>
        <v/>
      </c>
      <c r="N410">
        <f>BreastCancer_Data!O410</f>
        <v/>
      </c>
      <c r="O410">
        <f>0</f>
        <v/>
      </c>
      <c r="P410">
        <f>--(AND(D410&lt;=113.15,E410&lt;=0.15,F410&lt;=15.77,G410&lt;=0.18,H410&lt;=33.27))*0</f>
        <v/>
      </c>
      <c r="Q410">
        <f>--(AND(D410&lt;=113.15,E410&lt;=0.15,F410&lt;=15.77,G410&lt;=0.18,H410&gt;33.27))*0</f>
        <v/>
      </c>
      <c r="R410">
        <f>--(AND(D410&lt;=113.15,E410&lt;=0.15,F410&lt;=15.77,G410&gt;0.18))*0</f>
        <v/>
      </c>
      <c r="S410">
        <f>--(AND(D410&lt;=113.15,E410&lt;=0.15,F410&gt;15.77,H410&lt;=28.86,G410&lt;=0.14))*0</f>
        <v/>
      </c>
      <c r="T410">
        <f>--(AND(D410&lt;=113.15,E410&lt;=0.15,F410&gt;15.77,H410&lt;=28.86,G410&gt;0.14))*1</f>
        <v/>
      </c>
      <c r="U410">
        <f>--(AND(D410&lt;=113.15,E410&lt;=0.15,F410&gt;15.77,H410&gt;28.86,M410&lt;=14.54))*1</f>
        <v/>
      </c>
      <c r="V410">
        <f>--(AND(D410&lt;=113.15,E410&lt;=0.15,F410&gt;15.77,H410&gt;28.86,M410&gt;14.54))*1</f>
        <v/>
      </c>
      <c r="W410">
        <f>--(AND(D410&lt;=113.15,E410&gt;0.15,H410&lt;=23.74))*0</f>
        <v/>
      </c>
      <c r="X410">
        <f>--(AND(D410&lt;=113.15,E410&gt;0.15,H410&gt;23.74,J410&lt;=0.1))*1</f>
        <v/>
      </c>
      <c r="Y410">
        <f>--(AND(D410&lt;=113.15,E410&gt;0.15,H410&gt;23.74,J410&gt;0.1))*1</f>
        <v/>
      </c>
      <c r="Z410">
        <f>--(AND(D410&gt;113.15,K410&lt;=0.22,L410&lt;=0.02))*1</f>
        <v/>
      </c>
      <c r="AA410">
        <f>--(AND(D410&gt;113.15,K410&lt;=0.22,L410&gt;0.02))*0</f>
        <v/>
      </c>
      <c r="AB410">
        <f>--(AND(D410&gt;113.15,K410&gt;0.22,N410&lt;=810.1))*0</f>
        <v/>
      </c>
      <c r="AC410">
        <f>--(AND(D410&gt;113.15,K410&gt;0.22,N410&gt;810.1,I410&lt;=14.95))*1</f>
        <v/>
      </c>
      <c r="AD410">
        <f>--(AND(D410&gt;113.15,K410&gt;0.22,N410&gt;810.1,I410&gt;14.95))*1</f>
        <v/>
      </c>
      <c r="AE410">
        <f>SUM(P410:AD410)</f>
        <v/>
      </c>
      <c r="AF410">
        <f>IF(AE410=1,"Malignant","Benign")</f>
        <v/>
      </c>
      <c r="AG410">
        <f>--(AE410=C410)</f>
        <v/>
      </c>
    </row>
    <row r="411">
      <c r="A411">
        <f>BreastCancer_Data!A411</f>
        <v/>
      </c>
      <c r="B411">
        <f>BreastCancer_Data!B411</f>
        <v/>
      </c>
      <c r="C411">
        <f>BreastCancer_Data!D411</f>
        <v/>
      </c>
      <c r="D411">
        <f>BreastCancer_Data!E411</f>
        <v/>
      </c>
      <c r="E411">
        <f>BreastCancer_Data!F411</f>
        <v/>
      </c>
      <c r="F411">
        <f>BreastCancer_Data!G411</f>
        <v/>
      </c>
      <c r="G411">
        <f>BreastCancer_Data!H411</f>
        <v/>
      </c>
      <c r="H411">
        <f>BreastCancer_Data!I411</f>
        <v/>
      </c>
      <c r="I411">
        <f>BreastCancer_Data!J411</f>
        <v/>
      </c>
      <c r="J411">
        <f>BreastCancer_Data!K411</f>
        <v/>
      </c>
      <c r="K411">
        <f>BreastCancer_Data!L411</f>
        <v/>
      </c>
      <c r="L411">
        <f>BreastCancer_Data!M411</f>
        <v/>
      </c>
      <c r="M411">
        <f>BreastCancer_Data!N411</f>
        <v/>
      </c>
      <c r="N411">
        <f>BreastCancer_Data!O411</f>
        <v/>
      </c>
      <c r="O411">
        <f>0</f>
        <v/>
      </c>
      <c r="P411">
        <f>--(AND(D411&lt;=113.15,E411&lt;=0.15,F411&lt;=15.77,G411&lt;=0.18,H411&lt;=33.27))*0</f>
        <v/>
      </c>
      <c r="Q411">
        <f>--(AND(D411&lt;=113.15,E411&lt;=0.15,F411&lt;=15.77,G411&lt;=0.18,H411&gt;33.27))*0</f>
        <v/>
      </c>
      <c r="R411">
        <f>--(AND(D411&lt;=113.15,E411&lt;=0.15,F411&lt;=15.77,G411&gt;0.18))*0</f>
        <v/>
      </c>
      <c r="S411">
        <f>--(AND(D411&lt;=113.15,E411&lt;=0.15,F411&gt;15.77,H411&lt;=28.86,G411&lt;=0.14))*0</f>
        <v/>
      </c>
      <c r="T411">
        <f>--(AND(D411&lt;=113.15,E411&lt;=0.15,F411&gt;15.77,H411&lt;=28.86,G411&gt;0.14))*1</f>
        <v/>
      </c>
      <c r="U411">
        <f>--(AND(D411&lt;=113.15,E411&lt;=0.15,F411&gt;15.77,H411&gt;28.86,M411&lt;=14.54))*1</f>
        <v/>
      </c>
      <c r="V411">
        <f>--(AND(D411&lt;=113.15,E411&lt;=0.15,F411&gt;15.77,H411&gt;28.86,M411&gt;14.54))*1</f>
        <v/>
      </c>
      <c r="W411">
        <f>--(AND(D411&lt;=113.15,E411&gt;0.15,H411&lt;=23.74))*0</f>
        <v/>
      </c>
      <c r="X411">
        <f>--(AND(D411&lt;=113.15,E411&gt;0.15,H411&gt;23.74,J411&lt;=0.1))*1</f>
        <v/>
      </c>
      <c r="Y411">
        <f>--(AND(D411&lt;=113.15,E411&gt;0.15,H411&gt;23.74,J411&gt;0.1))*1</f>
        <v/>
      </c>
      <c r="Z411">
        <f>--(AND(D411&gt;113.15,K411&lt;=0.22,L411&lt;=0.02))*1</f>
        <v/>
      </c>
      <c r="AA411">
        <f>--(AND(D411&gt;113.15,K411&lt;=0.22,L411&gt;0.02))*0</f>
        <v/>
      </c>
      <c r="AB411">
        <f>--(AND(D411&gt;113.15,K411&gt;0.22,N411&lt;=810.1))*0</f>
        <v/>
      </c>
      <c r="AC411">
        <f>--(AND(D411&gt;113.15,K411&gt;0.22,N411&gt;810.1,I411&lt;=14.95))*1</f>
        <v/>
      </c>
      <c r="AD411">
        <f>--(AND(D411&gt;113.15,K411&gt;0.22,N411&gt;810.1,I411&gt;14.95))*1</f>
        <v/>
      </c>
      <c r="AE411">
        <f>SUM(P411:AD411)</f>
        <v/>
      </c>
      <c r="AF411">
        <f>IF(AE411=1,"Malignant","Benign")</f>
        <v/>
      </c>
      <c r="AG411">
        <f>--(AE411=C411)</f>
        <v/>
      </c>
    </row>
    <row r="412">
      <c r="A412">
        <f>BreastCancer_Data!A412</f>
        <v/>
      </c>
      <c r="B412">
        <f>BreastCancer_Data!B412</f>
        <v/>
      </c>
      <c r="C412">
        <f>BreastCancer_Data!D412</f>
        <v/>
      </c>
      <c r="D412">
        <f>BreastCancer_Data!E412</f>
        <v/>
      </c>
      <c r="E412">
        <f>BreastCancer_Data!F412</f>
        <v/>
      </c>
      <c r="F412">
        <f>BreastCancer_Data!G412</f>
        <v/>
      </c>
      <c r="G412">
        <f>BreastCancer_Data!H412</f>
        <v/>
      </c>
      <c r="H412">
        <f>BreastCancer_Data!I412</f>
        <v/>
      </c>
      <c r="I412">
        <f>BreastCancer_Data!J412</f>
        <v/>
      </c>
      <c r="J412">
        <f>BreastCancer_Data!K412</f>
        <v/>
      </c>
      <c r="K412">
        <f>BreastCancer_Data!L412</f>
        <v/>
      </c>
      <c r="L412">
        <f>BreastCancer_Data!M412</f>
        <v/>
      </c>
      <c r="M412">
        <f>BreastCancer_Data!N412</f>
        <v/>
      </c>
      <c r="N412">
        <f>BreastCancer_Data!O412</f>
        <v/>
      </c>
      <c r="O412">
        <f>0</f>
        <v/>
      </c>
      <c r="P412">
        <f>--(AND(D412&lt;=113.15,E412&lt;=0.15,F412&lt;=15.77,G412&lt;=0.18,H412&lt;=33.27))*0</f>
        <v/>
      </c>
      <c r="Q412">
        <f>--(AND(D412&lt;=113.15,E412&lt;=0.15,F412&lt;=15.77,G412&lt;=0.18,H412&gt;33.27))*0</f>
        <v/>
      </c>
      <c r="R412">
        <f>--(AND(D412&lt;=113.15,E412&lt;=0.15,F412&lt;=15.77,G412&gt;0.18))*0</f>
        <v/>
      </c>
      <c r="S412">
        <f>--(AND(D412&lt;=113.15,E412&lt;=0.15,F412&gt;15.77,H412&lt;=28.86,G412&lt;=0.14))*0</f>
        <v/>
      </c>
      <c r="T412">
        <f>--(AND(D412&lt;=113.15,E412&lt;=0.15,F412&gt;15.77,H412&lt;=28.86,G412&gt;0.14))*1</f>
        <v/>
      </c>
      <c r="U412">
        <f>--(AND(D412&lt;=113.15,E412&lt;=0.15,F412&gt;15.77,H412&gt;28.86,M412&lt;=14.54))*1</f>
        <v/>
      </c>
      <c r="V412">
        <f>--(AND(D412&lt;=113.15,E412&lt;=0.15,F412&gt;15.77,H412&gt;28.86,M412&gt;14.54))*1</f>
        <v/>
      </c>
      <c r="W412">
        <f>--(AND(D412&lt;=113.15,E412&gt;0.15,H412&lt;=23.74))*0</f>
        <v/>
      </c>
      <c r="X412">
        <f>--(AND(D412&lt;=113.15,E412&gt;0.15,H412&gt;23.74,J412&lt;=0.1))*1</f>
        <v/>
      </c>
      <c r="Y412">
        <f>--(AND(D412&lt;=113.15,E412&gt;0.15,H412&gt;23.74,J412&gt;0.1))*1</f>
        <v/>
      </c>
      <c r="Z412">
        <f>--(AND(D412&gt;113.15,K412&lt;=0.22,L412&lt;=0.02))*1</f>
        <v/>
      </c>
      <c r="AA412">
        <f>--(AND(D412&gt;113.15,K412&lt;=0.22,L412&gt;0.02))*0</f>
        <v/>
      </c>
      <c r="AB412">
        <f>--(AND(D412&gt;113.15,K412&gt;0.22,N412&lt;=810.1))*0</f>
        <v/>
      </c>
      <c r="AC412">
        <f>--(AND(D412&gt;113.15,K412&gt;0.22,N412&gt;810.1,I412&lt;=14.95))*1</f>
        <v/>
      </c>
      <c r="AD412">
        <f>--(AND(D412&gt;113.15,K412&gt;0.22,N412&gt;810.1,I412&gt;14.95))*1</f>
        <v/>
      </c>
      <c r="AE412">
        <f>SUM(P412:AD412)</f>
        <v/>
      </c>
      <c r="AF412">
        <f>IF(AE412=1,"Malignant","Benign")</f>
        <v/>
      </c>
      <c r="AG412">
        <f>--(AE412=C412)</f>
        <v/>
      </c>
    </row>
    <row r="413">
      <c r="A413">
        <f>BreastCancer_Data!A413</f>
        <v/>
      </c>
      <c r="B413">
        <f>BreastCancer_Data!B413</f>
        <v/>
      </c>
      <c r="C413">
        <f>BreastCancer_Data!D413</f>
        <v/>
      </c>
      <c r="D413">
        <f>BreastCancer_Data!E413</f>
        <v/>
      </c>
      <c r="E413">
        <f>BreastCancer_Data!F413</f>
        <v/>
      </c>
      <c r="F413">
        <f>BreastCancer_Data!G413</f>
        <v/>
      </c>
      <c r="G413">
        <f>BreastCancer_Data!H413</f>
        <v/>
      </c>
      <c r="H413">
        <f>BreastCancer_Data!I413</f>
        <v/>
      </c>
      <c r="I413">
        <f>BreastCancer_Data!J413</f>
        <v/>
      </c>
      <c r="J413">
        <f>BreastCancer_Data!K413</f>
        <v/>
      </c>
      <c r="K413">
        <f>BreastCancer_Data!L413</f>
        <v/>
      </c>
      <c r="L413">
        <f>BreastCancer_Data!M413</f>
        <v/>
      </c>
      <c r="M413">
        <f>BreastCancer_Data!N413</f>
        <v/>
      </c>
      <c r="N413">
        <f>BreastCancer_Data!O413</f>
        <v/>
      </c>
      <c r="O413">
        <f>0</f>
        <v/>
      </c>
      <c r="P413">
        <f>--(AND(D413&lt;=113.15,E413&lt;=0.15,F413&lt;=15.77,G413&lt;=0.18,H413&lt;=33.27))*0</f>
        <v/>
      </c>
      <c r="Q413">
        <f>--(AND(D413&lt;=113.15,E413&lt;=0.15,F413&lt;=15.77,G413&lt;=0.18,H413&gt;33.27))*0</f>
        <v/>
      </c>
      <c r="R413">
        <f>--(AND(D413&lt;=113.15,E413&lt;=0.15,F413&lt;=15.77,G413&gt;0.18))*0</f>
        <v/>
      </c>
      <c r="S413">
        <f>--(AND(D413&lt;=113.15,E413&lt;=0.15,F413&gt;15.77,H413&lt;=28.86,G413&lt;=0.14))*0</f>
        <v/>
      </c>
      <c r="T413">
        <f>--(AND(D413&lt;=113.15,E413&lt;=0.15,F413&gt;15.77,H413&lt;=28.86,G413&gt;0.14))*1</f>
        <v/>
      </c>
      <c r="U413">
        <f>--(AND(D413&lt;=113.15,E413&lt;=0.15,F413&gt;15.77,H413&gt;28.86,M413&lt;=14.54))*1</f>
        <v/>
      </c>
      <c r="V413">
        <f>--(AND(D413&lt;=113.15,E413&lt;=0.15,F413&gt;15.77,H413&gt;28.86,M413&gt;14.54))*1</f>
        <v/>
      </c>
      <c r="W413">
        <f>--(AND(D413&lt;=113.15,E413&gt;0.15,H413&lt;=23.74))*0</f>
        <v/>
      </c>
      <c r="X413">
        <f>--(AND(D413&lt;=113.15,E413&gt;0.15,H413&gt;23.74,J413&lt;=0.1))*1</f>
        <v/>
      </c>
      <c r="Y413">
        <f>--(AND(D413&lt;=113.15,E413&gt;0.15,H413&gt;23.74,J413&gt;0.1))*1</f>
        <v/>
      </c>
      <c r="Z413">
        <f>--(AND(D413&gt;113.15,K413&lt;=0.22,L413&lt;=0.02))*1</f>
        <v/>
      </c>
      <c r="AA413">
        <f>--(AND(D413&gt;113.15,K413&lt;=0.22,L413&gt;0.02))*0</f>
        <v/>
      </c>
      <c r="AB413">
        <f>--(AND(D413&gt;113.15,K413&gt;0.22,N413&lt;=810.1))*0</f>
        <v/>
      </c>
      <c r="AC413">
        <f>--(AND(D413&gt;113.15,K413&gt;0.22,N413&gt;810.1,I413&lt;=14.95))*1</f>
        <v/>
      </c>
      <c r="AD413">
        <f>--(AND(D413&gt;113.15,K413&gt;0.22,N413&gt;810.1,I413&gt;14.95))*1</f>
        <v/>
      </c>
      <c r="AE413">
        <f>SUM(P413:AD413)</f>
        <v/>
      </c>
      <c r="AF413">
        <f>IF(AE413=1,"Malignant","Benign")</f>
        <v/>
      </c>
      <c r="AG413">
        <f>--(AE413=C413)</f>
        <v/>
      </c>
    </row>
    <row r="414">
      <c r="A414">
        <f>BreastCancer_Data!A414</f>
        <v/>
      </c>
      <c r="B414">
        <f>BreastCancer_Data!B414</f>
        <v/>
      </c>
      <c r="C414">
        <f>BreastCancer_Data!D414</f>
        <v/>
      </c>
      <c r="D414">
        <f>BreastCancer_Data!E414</f>
        <v/>
      </c>
      <c r="E414">
        <f>BreastCancer_Data!F414</f>
        <v/>
      </c>
      <c r="F414">
        <f>BreastCancer_Data!G414</f>
        <v/>
      </c>
      <c r="G414">
        <f>BreastCancer_Data!H414</f>
        <v/>
      </c>
      <c r="H414">
        <f>BreastCancer_Data!I414</f>
        <v/>
      </c>
      <c r="I414">
        <f>BreastCancer_Data!J414</f>
        <v/>
      </c>
      <c r="J414">
        <f>BreastCancer_Data!K414</f>
        <v/>
      </c>
      <c r="K414">
        <f>BreastCancer_Data!L414</f>
        <v/>
      </c>
      <c r="L414">
        <f>BreastCancer_Data!M414</f>
        <v/>
      </c>
      <c r="M414">
        <f>BreastCancer_Data!N414</f>
        <v/>
      </c>
      <c r="N414">
        <f>BreastCancer_Data!O414</f>
        <v/>
      </c>
      <c r="O414">
        <f>0</f>
        <v/>
      </c>
      <c r="P414">
        <f>--(AND(D414&lt;=113.15,E414&lt;=0.15,F414&lt;=15.77,G414&lt;=0.18,H414&lt;=33.27))*0</f>
        <v/>
      </c>
      <c r="Q414">
        <f>--(AND(D414&lt;=113.15,E414&lt;=0.15,F414&lt;=15.77,G414&lt;=0.18,H414&gt;33.27))*0</f>
        <v/>
      </c>
      <c r="R414">
        <f>--(AND(D414&lt;=113.15,E414&lt;=0.15,F414&lt;=15.77,G414&gt;0.18))*0</f>
        <v/>
      </c>
      <c r="S414">
        <f>--(AND(D414&lt;=113.15,E414&lt;=0.15,F414&gt;15.77,H414&lt;=28.86,G414&lt;=0.14))*0</f>
        <v/>
      </c>
      <c r="T414">
        <f>--(AND(D414&lt;=113.15,E414&lt;=0.15,F414&gt;15.77,H414&lt;=28.86,G414&gt;0.14))*1</f>
        <v/>
      </c>
      <c r="U414">
        <f>--(AND(D414&lt;=113.15,E414&lt;=0.15,F414&gt;15.77,H414&gt;28.86,M414&lt;=14.54))*1</f>
        <v/>
      </c>
      <c r="V414">
        <f>--(AND(D414&lt;=113.15,E414&lt;=0.15,F414&gt;15.77,H414&gt;28.86,M414&gt;14.54))*1</f>
        <v/>
      </c>
      <c r="W414">
        <f>--(AND(D414&lt;=113.15,E414&gt;0.15,H414&lt;=23.74))*0</f>
        <v/>
      </c>
      <c r="X414">
        <f>--(AND(D414&lt;=113.15,E414&gt;0.15,H414&gt;23.74,J414&lt;=0.1))*1</f>
        <v/>
      </c>
      <c r="Y414">
        <f>--(AND(D414&lt;=113.15,E414&gt;0.15,H414&gt;23.74,J414&gt;0.1))*1</f>
        <v/>
      </c>
      <c r="Z414">
        <f>--(AND(D414&gt;113.15,K414&lt;=0.22,L414&lt;=0.02))*1</f>
        <v/>
      </c>
      <c r="AA414">
        <f>--(AND(D414&gt;113.15,K414&lt;=0.22,L414&gt;0.02))*0</f>
        <v/>
      </c>
      <c r="AB414">
        <f>--(AND(D414&gt;113.15,K414&gt;0.22,N414&lt;=810.1))*0</f>
        <v/>
      </c>
      <c r="AC414">
        <f>--(AND(D414&gt;113.15,K414&gt;0.22,N414&gt;810.1,I414&lt;=14.95))*1</f>
        <v/>
      </c>
      <c r="AD414">
        <f>--(AND(D414&gt;113.15,K414&gt;0.22,N414&gt;810.1,I414&gt;14.95))*1</f>
        <v/>
      </c>
      <c r="AE414">
        <f>SUM(P414:AD414)</f>
        <v/>
      </c>
      <c r="AF414">
        <f>IF(AE414=1,"Malignant","Benign")</f>
        <v/>
      </c>
      <c r="AG414">
        <f>--(AE414=C414)</f>
        <v/>
      </c>
    </row>
    <row r="415">
      <c r="A415">
        <f>BreastCancer_Data!A415</f>
        <v/>
      </c>
      <c r="B415">
        <f>BreastCancer_Data!B415</f>
        <v/>
      </c>
      <c r="C415">
        <f>BreastCancer_Data!D415</f>
        <v/>
      </c>
      <c r="D415">
        <f>BreastCancer_Data!E415</f>
        <v/>
      </c>
      <c r="E415">
        <f>BreastCancer_Data!F415</f>
        <v/>
      </c>
      <c r="F415">
        <f>BreastCancer_Data!G415</f>
        <v/>
      </c>
      <c r="G415">
        <f>BreastCancer_Data!H415</f>
        <v/>
      </c>
      <c r="H415">
        <f>BreastCancer_Data!I415</f>
        <v/>
      </c>
      <c r="I415">
        <f>BreastCancer_Data!J415</f>
        <v/>
      </c>
      <c r="J415">
        <f>BreastCancer_Data!K415</f>
        <v/>
      </c>
      <c r="K415">
        <f>BreastCancer_Data!L415</f>
        <v/>
      </c>
      <c r="L415">
        <f>BreastCancer_Data!M415</f>
        <v/>
      </c>
      <c r="M415">
        <f>BreastCancer_Data!N415</f>
        <v/>
      </c>
      <c r="N415">
        <f>BreastCancer_Data!O415</f>
        <v/>
      </c>
      <c r="O415">
        <f>0</f>
        <v/>
      </c>
      <c r="P415">
        <f>--(AND(D415&lt;=113.15,E415&lt;=0.15,F415&lt;=15.77,G415&lt;=0.18,H415&lt;=33.27))*0</f>
        <v/>
      </c>
      <c r="Q415">
        <f>--(AND(D415&lt;=113.15,E415&lt;=0.15,F415&lt;=15.77,G415&lt;=0.18,H415&gt;33.27))*0</f>
        <v/>
      </c>
      <c r="R415">
        <f>--(AND(D415&lt;=113.15,E415&lt;=0.15,F415&lt;=15.77,G415&gt;0.18))*0</f>
        <v/>
      </c>
      <c r="S415">
        <f>--(AND(D415&lt;=113.15,E415&lt;=0.15,F415&gt;15.77,H415&lt;=28.86,G415&lt;=0.14))*0</f>
        <v/>
      </c>
      <c r="T415">
        <f>--(AND(D415&lt;=113.15,E415&lt;=0.15,F415&gt;15.77,H415&lt;=28.86,G415&gt;0.14))*1</f>
        <v/>
      </c>
      <c r="U415">
        <f>--(AND(D415&lt;=113.15,E415&lt;=0.15,F415&gt;15.77,H415&gt;28.86,M415&lt;=14.54))*1</f>
        <v/>
      </c>
      <c r="V415">
        <f>--(AND(D415&lt;=113.15,E415&lt;=0.15,F415&gt;15.77,H415&gt;28.86,M415&gt;14.54))*1</f>
        <v/>
      </c>
      <c r="W415">
        <f>--(AND(D415&lt;=113.15,E415&gt;0.15,H415&lt;=23.74))*0</f>
        <v/>
      </c>
      <c r="X415">
        <f>--(AND(D415&lt;=113.15,E415&gt;0.15,H415&gt;23.74,J415&lt;=0.1))*1</f>
        <v/>
      </c>
      <c r="Y415">
        <f>--(AND(D415&lt;=113.15,E415&gt;0.15,H415&gt;23.74,J415&gt;0.1))*1</f>
        <v/>
      </c>
      <c r="Z415">
        <f>--(AND(D415&gt;113.15,K415&lt;=0.22,L415&lt;=0.02))*1</f>
        <v/>
      </c>
      <c r="AA415">
        <f>--(AND(D415&gt;113.15,K415&lt;=0.22,L415&gt;0.02))*0</f>
        <v/>
      </c>
      <c r="AB415">
        <f>--(AND(D415&gt;113.15,K415&gt;0.22,N415&lt;=810.1))*0</f>
        <v/>
      </c>
      <c r="AC415">
        <f>--(AND(D415&gt;113.15,K415&gt;0.22,N415&gt;810.1,I415&lt;=14.95))*1</f>
        <v/>
      </c>
      <c r="AD415">
        <f>--(AND(D415&gt;113.15,K415&gt;0.22,N415&gt;810.1,I415&gt;14.95))*1</f>
        <v/>
      </c>
      <c r="AE415">
        <f>SUM(P415:AD415)</f>
        <v/>
      </c>
      <c r="AF415">
        <f>IF(AE415=1,"Malignant","Benign")</f>
        <v/>
      </c>
      <c r="AG415">
        <f>--(AE415=C415)</f>
        <v/>
      </c>
    </row>
    <row r="416">
      <c r="A416">
        <f>BreastCancer_Data!A416</f>
        <v/>
      </c>
      <c r="B416">
        <f>BreastCancer_Data!B416</f>
        <v/>
      </c>
      <c r="C416">
        <f>BreastCancer_Data!D416</f>
        <v/>
      </c>
      <c r="D416">
        <f>BreastCancer_Data!E416</f>
        <v/>
      </c>
      <c r="E416">
        <f>BreastCancer_Data!F416</f>
        <v/>
      </c>
      <c r="F416">
        <f>BreastCancer_Data!G416</f>
        <v/>
      </c>
      <c r="G416">
        <f>BreastCancer_Data!H416</f>
        <v/>
      </c>
      <c r="H416">
        <f>BreastCancer_Data!I416</f>
        <v/>
      </c>
      <c r="I416">
        <f>BreastCancer_Data!J416</f>
        <v/>
      </c>
      <c r="J416">
        <f>BreastCancer_Data!K416</f>
        <v/>
      </c>
      <c r="K416">
        <f>BreastCancer_Data!L416</f>
        <v/>
      </c>
      <c r="L416">
        <f>BreastCancer_Data!M416</f>
        <v/>
      </c>
      <c r="M416">
        <f>BreastCancer_Data!N416</f>
        <v/>
      </c>
      <c r="N416">
        <f>BreastCancer_Data!O416</f>
        <v/>
      </c>
      <c r="O416">
        <f>0</f>
        <v/>
      </c>
      <c r="P416">
        <f>--(AND(D416&lt;=113.15,E416&lt;=0.15,F416&lt;=15.77,G416&lt;=0.18,H416&lt;=33.27))*0</f>
        <v/>
      </c>
      <c r="Q416">
        <f>--(AND(D416&lt;=113.15,E416&lt;=0.15,F416&lt;=15.77,G416&lt;=0.18,H416&gt;33.27))*0</f>
        <v/>
      </c>
      <c r="R416">
        <f>--(AND(D416&lt;=113.15,E416&lt;=0.15,F416&lt;=15.77,G416&gt;0.18))*0</f>
        <v/>
      </c>
      <c r="S416">
        <f>--(AND(D416&lt;=113.15,E416&lt;=0.15,F416&gt;15.77,H416&lt;=28.86,G416&lt;=0.14))*0</f>
        <v/>
      </c>
      <c r="T416">
        <f>--(AND(D416&lt;=113.15,E416&lt;=0.15,F416&gt;15.77,H416&lt;=28.86,G416&gt;0.14))*1</f>
        <v/>
      </c>
      <c r="U416">
        <f>--(AND(D416&lt;=113.15,E416&lt;=0.15,F416&gt;15.77,H416&gt;28.86,M416&lt;=14.54))*1</f>
        <v/>
      </c>
      <c r="V416">
        <f>--(AND(D416&lt;=113.15,E416&lt;=0.15,F416&gt;15.77,H416&gt;28.86,M416&gt;14.54))*1</f>
        <v/>
      </c>
      <c r="W416">
        <f>--(AND(D416&lt;=113.15,E416&gt;0.15,H416&lt;=23.74))*0</f>
        <v/>
      </c>
      <c r="X416">
        <f>--(AND(D416&lt;=113.15,E416&gt;0.15,H416&gt;23.74,J416&lt;=0.1))*1</f>
        <v/>
      </c>
      <c r="Y416">
        <f>--(AND(D416&lt;=113.15,E416&gt;0.15,H416&gt;23.74,J416&gt;0.1))*1</f>
        <v/>
      </c>
      <c r="Z416">
        <f>--(AND(D416&gt;113.15,K416&lt;=0.22,L416&lt;=0.02))*1</f>
        <v/>
      </c>
      <c r="AA416">
        <f>--(AND(D416&gt;113.15,K416&lt;=0.22,L416&gt;0.02))*0</f>
        <v/>
      </c>
      <c r="AB416">
        <f>--(AND(D416&gt;113.15,K416&gt;0.22,N416&lt;=810.1))*0</f>
        <v/>
      </c>
      <c r="AC416">
        <f>--(AND(D416&gt;113.15,K416&gt;0.22,N416&gt;810.1,I416&lt;=14.95))*1</f>
        <v/>
      </c>
      <c r="AD416">
        <f>--(AND(D416&gt;113.15,K416&gt;0.22,N416&gt;810.1,I416&gt;14.95))*1</f>
        <v/>
      </c>
      <c r="AE416">
        <f>SUM(P416:AD416)</f>
        <v/>
      </c>
      <c r="AF416">
        <f>IF(AE416=1,"Malignant","Benign")</f>
        <v/>
      </c>
      <c r="AG416">
        <f>--(AE416=C416)</f>
        <v/>
      </c>
    </row>
    <row r="417">
      <c r="A417">
        <f>BreastCancer_Data!A417</f>
        <v/>
      </c>
      <c r="B417">
        <f>BreastCancer_Data!B417</f>
        <v/>
      </c>
      <c r="C417">
        <f>BreastCancer_Data!D417</f>
        <v/>
      </c>
      <c r="D417">
        <f>BreastCancer_Data!E417</f>
        <v/>
      </c>
      <c r="E417">
        <f>BreastCancer_Data!F417</f>
        <v/>
      </c>
      <c r="F417">
        <f>BreastCancer_Data!G417</f>
        <v/>
      </c>
      <c r="G417">
        <f>BreastCancer_Data!H417</f>
        <v/>
      </c>
      <c r="H417">
        <f>BreastCancer_Data!I417</f>
        <v/>
      </c>
      <c r="I417">
        <f>BreastCancer_Data!J417</f>
        <v/>
      </c>
      <c r="J417">
        <f>BreastCancer_Data!K417</f>
        <v/>
      </c>
      <c r="K417">
        <f>BreastCancer_Data!L417</f>
        <v/>
      </c>
      <c r="L417">
        <f>BreastCancer_Data!M417</f>
        <v/>
      </c>
      <c r="M417">
        <f>BreastCancer_Data!N417</f>
        <v/>
      </c>
      <c r="N417">
        <f>BreastCancer_Data!O417</f>
        <v/>
      </c>
      <c r="O417">
        <f>0</f>
        <v/>
      </c>
      <c r="P417">
        <f>--(AND(D417&lt;=113.15,E417&lt;=0.15,F417&lt;=15.77,G417&lt;=0.18,H417&lt;=33.27))*0</f>
        <v/>
      </c>
      <c r="Q417">
        <f>--(AND(D417&lt;=113.15,E417&lt;=0.15,F417&lt;=15.77,G417&lt;=0.18,H417&gt;33.27))*0</f>
        <v/>
      </c>
      <c r="R417">
        <f>--(AND(D417&lt;=113.15,E417&lt;=0.15,F417&lt;=15.77,G417&gt;0.18))*0</f>
        <v/>
      </c>
      <c r="S417">
        <f>--(AND(D417&lt;=113.15,E417&lt;=0.15,F417&gt;15.77,H417&lt;=28.86,G417&lt;=0.14))*0</f>
        <v/>
      </c>
      <c r="T417">
        <f>--(AND(D417&lt;=113.15,E417&lt;=0.15,F417&gt;15.77,H417&lt;=28.86,G417&gt;0.14))*1</f>
        <v/>
      </c>
      <c r="U417">
        <f>--(AND(D417&lt;=113.15,E417&lt;=0.15,F417&gt;15.77,H417&gt;28.86,M417&lt;=14.54))*1</f>
        <v/>
      </c>
      <c r="V417">
        <f>--(AND(D417&lt;=113.15,E417&lt;=0.15,F417&gt;15.77,H417&gt;28.86,M417&gt;14.54))*1</f>
        <v/>
      </c>
      <c r="W417">
        <f>--(AND(D417&lt;=113.15,E417&gt;0.15,H417&lt;=23.74))*0</f>
        <v/>
      </c>
      <c r="X417">
        <f>--(AND(D417&lt;=113.15,E417&gt;0.15,H417&gt;23.74,J417&lt;=0.1))*1</f>
        <v/>
      </c>
      <c r="Y417">
        <f>--(AND(D417&lt;=113.15,E417&gt;0.15,H417&gt;23.74,J417&gt;0.1))*1</f>
        <v/>
      </c>
      <c r="Z417">
        <f>--(AND(D417&gt;113.15,K417&lt;=0.22,L417&lt;=0.02))*1</f>
        <v/>
      </c>
      <c r="AA417">
        <f>--(AND(D417&gt;113.15,K417&lt;=0.22,L417&gt;0.02))*0</f>
        <v/>
      </c>
      <c r="AB417">
        <f>--(AND(D417&gt;113.15,K417&gt;0.22,N417&lt;=810.1))*0</f>
        <v/>
      </c>
      <c r="AC417">
        <f>--(AND(D417&gt;113.15,K417&gt;0.22,N417&gt;810.1,I417&lt;=14.95))*1</f>
        <v/>
      </c>
      <c r="AD417">
        <f>--(AND(D417&gt;113.15,K417&gt;0.22,N417&gt;810.1,I417&gt;14.95))*1</f>
        <v/>
      </c>
      <c r="AE417">
        <f>SUM(P417:AD417)</f>
        <v/>
      </c>
      <c r="AF417">
        <f>IF(AE417=1,"Malignant","Benign")</f>
        <v/>
      </c>
      <c r="AG417">
        <f>--(AE417=C417)</f>
        <v/>
      </c>
    </row>
    <row r="418">
      <c r="A418">
        <f>BreastCancer_Data!A418</f>
        <v/>
      </c>
      <c r="B418">
        <f>BreastCancer_Data!B418</f>
        <v/>
      </c>
      <c r="C418">
        <f>BreastCancer_Data!D418</f>
        <v/>
      </c>
      <c r="D418">
        <f>BreastCancer_Data!E418</f>
        <v/>
      </c>
      <c r="E418">
        <f>BreastCancer_Data!F418</f>
        <v/>
      </c>
      <c r="F418">
        <f>BreastCancer_Data!G418</f>
        <v/>
      </c>
      <c r="G418">
        <f>BreastCancer_Data!H418</f>
        <v/>
      </c>
      <c r="H418">
        <f>BreastCancer_Data!I418</f>
        <v/>
      </c>
      <c r="I418">
        <f>BreastCancer_Data!J418</f>
        <v/>
      </c>
      <c r="J418">
        <f>BreastCancer_Data!K418</f>
        <v/>
      </c>
      <c r="K418">
        <f>BreastCancer_Data!L418</f>
        <v/>
      </c>
      <c r="L418">
        <f>BreastCancer_Data!M418</f>
        <v/>
      </c>
      <c r="M418">
        <f>BreastCancer_Data!N418</f>
        <v/>
      </c>
      <c r="N418">
        <f>BreastCancer_Data!O418</f>
        <v/>
      </c>
      <c r="O418">
        <f>0</f>
        <v/>
      </c>
      <c r="P418">
        <f>--(AND(D418&lt;=113.15,E418&lt;=0.15,F418&lt;=15.77,G418&lt;=0.18,H418&lt;=33.27))*0</f>
        <v/>
      </c>
      <c r="Q418">
        <f>--(AND(D418&lt;=113.15,E418&lt;=0.15,F418&lt;=15.77,G418&lt;=0.18,H418&gt;33.27))*0</f>
        <v/>
      </c>
      <c r="R418">
        <f>--(AND(D418&lt;=113.15,E418&lt;=0.15,F418&lt;=15.77,G418&gt;0.18))*0</f>
        <v/>
      </c>
      <c r="S418">
        <f>--(AND(D418&lt;=113.15,E418&lt;=0.15,F418&gt;15.77,H418&lt;=28.86,G418&lt;=0.14))*0</f>
        <v/>
      </c>
      <c r="T418">
        <f>--(AND(D418&lt;=113.15,E418&lt;=0.15,F418&gt;15.77,H418&lt;=28.86,G418&gt;0.14))*1</f>
        <v/>
      </c>
      <c r="U418">
        <f>--(AND(D418&lt;=113.15,E418&lt;=0.15,F418&gt;15.77,H418&gt;28.86,M418&lt;=14.54))*1</f>
        <v/>
      </c>
      <c r="V418">
        <f>--(AND(D418&lt;=113.15,E418&lt;=0.15,F418&gt;15.77,H418&gt;28.86,M418&gt;14.54))*1</f>
        <v/>
      </c>
      <c r="W418">
        <f>--(AND(D418&lt;=113.15,E418&gt;0.15,H418&lt;=23.74))*0</f>
        <v/>
      </c>
      <c r="X418">
        <f>--(AND(D418&lt;=113.15,E418&gt;0.15,H418&gt;23.74,J418&lt;=0.1))*1</f>
        <v/>
      </c>
      <c r="Y418">
        <f>--(AND(D418&lt;=113.15,E418&gt;0.15,H418&gt;23.74,J418&gt;0.1))*1</f>
        <v/>
      </c>
      <c r="Z418">
        <f>--(AND(D418&gt;113.15,K418&lt;=0.22,L418&lt;=0.02))*1</f>
        <v/>
      </c>
      <c r="AA418">
        <f>--(AND(D418&gt;113.15,K418&lt;=0.22,L418&gt;0.02))*0</f>
        <v/>
      </c>
      <c r="AB418">
        <f>--(AND(D418&gt;113.15,K418&gt;0.22,N418&lt;=810.1))*0</f>
        <v/>
      </c>
      <c r="AC418">
        <f>--(AND(D418&gt;113.15,K418&gt;0.22,N418&gt;810.1,I418&lt;=14.95))*1</f>
        <v/>
      </c>
      <c r="AD418">
        <f>--(AND(D418&gt;113.15,K418&gt;0.22,N418&gt;810.1,I418&gt;14.95))*1</f>
        <v/>
      </c>
      <c r="AE418">
        <f>SUM(P418:AD418)</f>
        <v/>
      </c>
      <c r="AF418">
        <f>IF(AE418=1,"Malignant","Benign")</f>
        <v/>
      </c>
      <c r="AG418">
        <f>--(AE418=C418)</f>
        <v/>
      </c>
    </row>
    <row r="419">
      <c r="A419">
        <f>BreastCancer_Data!A419</f>
        <v/>
      </c>
      <c r="B419">
        <f>BreastCancer_Data!B419</f>
        <v/>
      </c>
      <c r="C419">
        <f>BreastCancer_Data!D419</f>
        <v/>
      </c>
      <c r="D419">
        <f>BreastCancer_Data!E419</f>
        <v/>
      </c>
      <c r="E419">
        <f>BreastCancer_Data!F419</f>
        <v/>
      </c>
      <c r="F419">
        <f>BreastCancer_Data!G419</f>
        <v/>
      </c>
      <c r="G419">
        <f>BreastCancer_Data!H419</f>
        <v/>
      </c>
      <c r="H419">
        <f>BreastCancer_Data!I419</f>
        <v/>
      </c>
      <c r="I419">
        <f>BreastCancer_Data!J419</f>
        <v/>
      </c>
      <c r="J419">
        <f>BreastCancer_Data!K419</f>
        <v/>
      </c>
      <c r="K419">
        <f>BreastCancer_Data!L419</f>
        <v/>
      </c>
      <c r="L419">
        <f>BreastCancer_Data!M419</f>
        <v/>
      </c>
      <c r="M419">
        <f>BreastCancer_Data!N419</f>
        <v/>
      </c>
      <c r="N419">
        <f>BreastCancer_Data!O419</f>
        <v/>
      </c>
      <c r="O419">
        <f>0</f>
        <v/>
      </c>
      <c r="P419">
        <f>--(AND(D419&lt;=113.15,E419&lt;=0.15,F419&lt;=15.77,G419&lt;=0.18,H419&lt;=33.27))*0</f>
        <v/>
      </c>
      <c r="Q419">
        <f>--(AND(D419&lt;=113.15,E419&lt;=0.15,F419&lt;=15.77,G419&lt;=0.18,H419&gt;33.27))*0</f>
        <v/>
      </c>
      <c r="R419">
        <f>--(AND(D419&lt;=113.15,E419&lt;=0.15,F419&lt;=15.77,G419&gt;0.18))*0</f>
        <v/>
      </c>
      <c r="S419">
        <f>--(AND(D419&lt;=113.15,E419&lt;=0.15,F419&gt;15.77,H419&lt;=28.86,G419&lt;=0.14))*0</f>
        <v/>
      </c>
      <c r="T419">
        <f>--(AND(D419&lt;=113.15,E419&lt;=0.15,F419&gt;15.77,H419&lt;=28.86,G419&gt;0.14))*1</f>
        <v/>
      </c>
      <c r="U419">
        <f>--(AND(D419&lt;=113.15,E419&lt;=0.15,F419&gt;15.77,H419&gt;28.86,M419&lt;=14.54))*1</f>
        <v/>
      </c>
      <c r="V419">
        <f>--(AND(D419&lt;=113.15,E419&lt;=0.15,F419&gt;15.77,H419&gt;28.86,M419&gt;14.54))*1</f>
        <v/>
      </c>
      <c r="W419">
        <f>--(AND(D419&lt;=113.15,E419&gt;0.15,H419&lt;=23.74))*0</f>
        <v/>
      </c>
      <c r="X419">
        <f>--(AND(D419&lt;=113.15,E419&gt;0.15,H419&gt;23.74,J419&lt;=0.1))*1</f>
        <v/>
      </c>
      <c r="Y419">
        <f>--(AND(D419&lt;=113.15,E419&gt;0.15,H419&gt;23.74,J419&gt;0.1))*1</f>
        <v/>
      </c>
      <c r="Z419">
        <f>--(AND(D419&gt;113.15,K419&lt;=0.22,L419&lt;=0.02))*1</f>
        <v/>
      </c>
      <c r="AA419">
        <f>--(AND(D419&gt;113.15,K419&lt;=0.22,L419&gt;0.02))*0</f>
        <v/>
      </c>
      <c r="AB419">
        <f>--(AND(D419&gt;113.15,K419&gt;0.22,N419&lt;=810.1))*0</f>
        <v/>
      </c>
      <c r="AC419">
        <f>--(AND(D419&gt;113.15,K419&gt;0.22,N419&gt;810.1,I419&lt;=14.95))*1</f>
        <v/>
      </c>
      <c r="AD419">
        <f>--(AND(D419&gt;113.15,K419&gt;0.22,N419&gt;810.1,I419&gt;14.95))*1</f>
        <v/>
      </c>
      <c r="AE419">
        <f>SUM(P419:AD419)</f>
        <v/>
      </c>
      <c r="AF419">
        <f>IF(AE419=1,"Malignant","Benign")</f>
        <v/>
      </c>
      <c r="AG419">
        <f>--(AE419=C419)</f>
        <v/>
      </c>
    </row>
    <row r="420">
      <c r="A420">
        <f>BreastCancer_Data!A420</f>
        <v/>
      </c>
      <c r="B420">
        <f>BreastCancer_Data!B420</f>
        <v/>
      </c>
      <c r="C420">
        <f>BreastCancer_Data!D420</f>
        <v/>
      </c>
      <c r="D420">
        <f>BreastCancer_Data!E420</f>
        <v/>
      </c>
      <c r="E420">
        <f>BreastCancer_Data!F420</f>
        <v/>
      </c>
      <c r="F420">
        <f>BreastCancer_Data!G420</f>
        <v/>
      </c>
      <c r="G420">
        <f>BreastCancer_Data!H420</f>
        <v/>
      </c>
      <c r="H420">
        <f>BreastCancer_Data!I420</f>
        <v/>
      </c>
      <c r="I420">
        <f>BreastCancer_Data!J420</f>
        <v/>
      </c>
      <c r="J420">
        <f>BreastCancer_Data!K420</f>
        <v/>
      </c>
      <c r="K420">
        <f>BreastCancer_Data!L420</f>
        <v/>
      </c>
      <c r="L420">
        <f>BreastCancer_Data!M420</f>
        <v/>
      </c>
      <c r="M420">
        <f>BreastCancer_Data!N420</f>
        <v/>
      </c>
      <c r="N420">
        <f>BreastCancer_Data!O420</f>
        <v/>
      </c>
      <c r="O420">
        <f>0</f>
        <v/>
      </c>
      <c r="P420">
        <f>--(AND(D420&lt;=113.15,E420&lt;=0.15,F420&lt;=15.77,G420&lt;=0.18,H420&lt;=33.27))*0</f>
        <v/>
      </c>
      <c r="Q420">
        <f>--(AND(D420&lt;=113.15,E420&lt;=0.15,F420&lt;=15.77,G420&lt;=0.18,H420&gt;33.27))*0</f>
        <v/>
      </c>
      <c r="R420">
        <f>--(AND(D420&lt;=113.15,E420&lt;=0.15,F420&lt;=15.77,G420&gt;0.18))*0</f>
        <v/>
      </c>
      <c r="S420">
        <f>--(AND(D420&lt;=113.15,E420&lt;=0.15,F420&gt;15.77,H420&lt;=28.86,G420&lt;=0.14))*0</f>
        <v/>
      </c>
      <c r="T420">
        <f>--(AND(D420&lt;=113.15,E420&lt;=0.15,F420&gt;15.77,H420&lt;=28.86,G420&gt;0.14))*1</f>
        <v/>
      </c>
      <c r="U420">
        <f>--(AND(D420&lt;=113.15,E420&lt;=0.15,F420&gt;15.77,H420&gt;28.86,M420&lt;=14.54))*1</f>
        <v/>
      </c>
      <c r="V420">
        <f>--(AND(D420&lt;=113.15,E420&lt;=0.15,F420&gt;15.77,H420&gt;28.86,M420&gt;14.54))*1</f>
        <v/>
      </c>
      <c r="W420">
        <f>--(AND(D420&lt;=113.15,E420&gt;0.15,H420&lt;=23.74))*0</f>
        <v/>
      </c>
      <c r="X420">
        <f>--(AND(D420&lt;=113.15,E420&gt;0.15,H420&gt;23.74,J420&lt;=0.1))*1</f>
        <v/>
      </c>
      <c r="Y420">
        <f>--(AND(D420&lt;=113.15,E420&gt;0.15,H420&gt;23.74,J420&gt;0.1))*1</f>
        <v/>
      </c>
      <c r="Z420">
        <f>--(AND(D420&gt;113.15,K420&lt;=0.22,L420&lt;=0.02))*1</f>
        <v/>
      </c>
      <c r="AA420">
        <f>--(AND(D420&gt;113.15,K420&lt;=0.22,L420&gt;0.02))*0</f>
        <v/>
      </c>
      <c r="AB420">
        <f>--(AND(D420&gt;113.15,K420&gt;0.22,N420&lt;=810.1))*0</f>
        <v/>
      </c>
      <c r="AC420">
        <f>--(AND(D420&gt;113.15,K420&gt;0.22,N420&gt;810.1,I420&lt;=14.95))*1</f>
        <v/>
      </c>
      <c r="AD420">
        <f>--(AND(D420&gt;113.15,K420&gt;0.22,N420&gt;810.1,I420&gt;14.95))*1</f>
        <v/>
      </c>
      <c r="AE420">
        <f>SUM(P420:AD420)</f>
        <v/>
      </c>
      <c r="AF420">
        <f>IF(AE420=1,"Malignant","Benign")</f>
        <v/>
      </c>
      <c r="AG420">
        <f>--(AE420=C420)</f>
        <v/>
      </c>
    </row>
    <row r="421">
      <c r="A421">
        <f>BreastCancer_Data!A421</f>
        <v/>
      </c>
      <c r="B421">
        <f>BreastCancer_Data!B421</f>
        <v/>
      </c>
      <c r="C421">
        <f>BreastCancer_Data!D421</f>
        <v/>
      </c>
      <c r="D421">
        <f>BreastCancer_Data!E421</f>
        <v/>
      </c>
      <c r="E421">
        <f>BreastCancer_Data!F421</f>
        <v/>
      </c>
      <c r="F421">
        <f>BreastCancer_Data!G421</f>
        <v/>
      </c>
      <c r="G421">
        <f>BreastCancer_Data!H421</f>
        <v/>
      </c>
      <c r="H421">
        <f>BreastCancer_Data!I421</f>
        <v/>
      </c>
      <c r="I421">
        <f>BreastCancer_Data!J421</f>
        <v/>
      </c>
      <c r="J421">
        <f>BreastCancer_Data!K421</f>
        <v/>
      </c>
      <c r="K421">
        <f>BreastCancer_Data!L421</f>
        <v/>
      </c>
      <c r="L421">
        <f>BreastCancer_Data!M421</f>
        <v/>
      </c>
      <c r="M421">
        <f>BreastCancer_Data!N421</f>
        <v/>
      </c>
      <c r="N421">
        <f>BreastCancer_Data!O421</f>
        <v/>
      </c>
      <c r="O421">
        <f>0</f>
        <v/>
      </c>
      <c r="P421">
        <f>--(AND(D421&lt;=113.15,E421&lt;=0.15,F421&lt;=15.77,G421&lt;=0.18,H421&lt;=33.27))*0</f>
        <v/>
      </c>
      <c r="Q421">
        <f>--(AND(D421&lt;=113.15,E421&lt;=0.15,F421&lt;=15.77,G421&lt;=0.18,H421&gt;33.27))*0</f>
        <v/>
      </c>
      <c r="R421">
        <f>--(AND(D421&lt;=113.15,E421&lt;=0.15,F421&lt;=15.77,G421&gt;0.18))*0</f>
        <v/>
      </c>
      <c r="S421">
        <f>--(AND(D421&lt;=113.15,E421&lt;=0.15,F421&gt;15.77,H421&lt;=28.86,G421&lt;=0.14))*0</f>
        <v/>
      </c>
      <c r="T421">
        <f>--(AND(D421&lt;=113.15,E421&lt;=0.15,F421&gt;15.77,H421&lt;=28.86,G421&gt;0.14))*1</f>
        <v/>
      </c>
      <c r="U421">
        <f>--(AND(D421&lt;=113.15,E421&lt;=0.15,F421&gt;15.77,H421&gt;28.86,M421&lt;=14.54))*1</f>
        <v/>
      </c>
      <c r="V421">
        <f>--(AND(D421&lt;=113.15,E421&lt;=0.15,F421&gt;15.77,H421&gt;28.86,M421&gt;14.54))*1</f>
        <v/>
      </c>
      <c r="W421">
        <f>--(AND(D421&lt;=113.15,E421&gt;0.15,H421&lt;=23.74))*0</f>
        <v/>
      </c>
      <c r="X421">
        <f>--(AND(D421&lt;=113.15,E421&gt;0.15,H421&gt;23.74,J421&lt;=0.1))*1</f>
        <v/>
      </c>
      <c r="Y421">
        <f>--(AND(D421&lt;=113.15,E421&gt;0.15,H421&gt;23.74,J421&gt;0.1))*1</f>
        <v/>
      </c>
      <c r="Z421">
        <f>--(AND(D421&gt;113.15,K421&lt;=0.22,L421&lt;=0.02))*1</f>
        <v/>
      </c>
      <c r="AA421">
        <f>--(AND(D421&gt;113.15,K421&lt;=0.22,L421&gt;0.02))*0</f>
        <v/>
      </c>
      <c r="AB421">
        <f>--(AND(D421&gt;113.15,K421&gt;0.22,N421&lt;=810.1))*0</f>
        <v/>
      </c>
      <c r="AC421">
        <f>--(AND(D421&gt;113.15,K421&gt;0.22,N421&gt;810.1,I421&lt;=14.95))*1</f>
        <v/>
      </c>
      <c r="AD421">
        <f>--(AND(D421&gt;113.15,K421&gt;0.22,N421&gt;810.1,I421&gt;14.95))*1</f>
        <v/>
      </c>
      <c r="AE421">
        <f>SUM(P421:AD421)</f>
        <v/>
      </c>
      <c r="AF421">
        <f>IF(AE421=1,"Malignant","Benign")</f>
        <v/>
      </c>
      <c r="AG421">
        <f>--(AE421=C421)</f>
        <v/>
      </c>
    </row>
    <row r="422">
      <c r="A422">
        <f>BreastCancer_Data!A422</f>
        <v/>
      </c>
      <c r="B422">
        <f>BreastCancer_Data!B422</f>
        <v/>
      </c>
      <c r="C422">
        <f>BreastCancer_Data!D422</f>
        <v/>
      </c>
      <c r="D422">
        <f>BreastCancer_Data!E422</f>
        <v/>
      </c>
      <c r="E422">
        <f>BreastCancer_Data!F422</f>
        <v/>
      </c>
      <c r="F422">
        <f>BreastCancer_Data!G422</f>
        <v/>
      </c>
      <c r="G422">
        <f>BreastCancer_Data!H422</f>
        <v/>
      </c>
      <c r="H422">
        <f>BreastCancer_Data!I422</f>
        <v/>
      </c>
      <c r="I422">
        <f>BreastCancer_Data!J422</f>
        <v/>
      </c>
      <c r="J422">
        <f>BreastCancer_Data!K422</f>
        <v/>
      </c>
      <c r="K422">
        <f>BreastCancer_Data!L422</f>
        <v/>
      </c>
      <c r="L422">
        <f>BreastCancer_Data!M422</f>
        <v/>
      </c>
      <c r="M422">
        <f>BreastCancer_Data!N422</f>
        <v/>
      </c>
      <c r="N422">
        <f>BreastCancer_Data!O422</f>
        <v/>
      </c>
      <c r="O422">
        <f>0</f>
        <v/>
      </c>
      <c r="P422">
        <f>--(AND(D422&lt;=113.15,E422&lt;=0.15,F422&lt;=15.77,G422&lt;=0.18,H422&lt;=33.27))*0</f>
        <v/>
      </c>
      <c r="Q422">
        <f>--(AND(D422&lt;=113.15,E422&lt;=0.15,F422&lt;=15.77,G422&lt;=0.18,H422&gt;33.27))*0</f>
        <v/>
      </c>
      <c r="R422">
        <f>--(AND(D422&lt;=113.15,E422&lt;=0.15,F422&lt;=15.77,G422&gt;0.18))*0</f>
        <v/>
      </c>
      <c r="S422">
        <f>--(AND(D422&lt;=113.15,E422&lt;=0.15,F422&gt;15.77,H422&lt;=28.86,G422&lt;=0.14))*0</f>
        <v/>
      </c>
      <c r="T422">
        <f>--(AND(D422&lt;=113.15,E422&lt;=0.15,F422&gt;15.77,H422&lt;=28.86,G422&gt;0.14))*1</f>
        <v/>
      </c>
      <c r="U422">
        <f>--(AND(D422&lt;=113.15,E422&lt;=0.15,F422&gt;15.77,H422&gt;28.86,M422&lt;=14.54))*1</f>
        <v/>
      </c>
      <c r="V422">
        <f>--(AND(D422&lt;=113.15,E422&lt;=0.15,F422&gt;15.77,H422&gt;28.86,M422&gt;14.54))*1</f>
        <v/>
      </c>
      <c r="W422">
        <f>--(AND(D422&lt;=113.15,E422&gt;0.15,H422&lt;=23.74))*0</f>
        <v/>
      </c>
      <c r="X422">
        <f>--(AND(D422&lt;=113.15,E422&gt;0.15,H422&gt;23.74,J422&lt;=0.1))*1</f>
        <v/>
      </c>
      <c r="Y422">
        <f>--(AND(D422&lt;=113.15,E422&gt;0.15,H422&gt;23.74,J422&gt;0.1))*1</f>
        <v/>
      </c>
      <c r="Z422">
        <f>--(AND(D422&gt;113.15,K422&lt;=0.22,L422&lt;=0.02))*1</f>
        <v/>
      </c>
      <c r="AA422">
        <f>--(AND(D422&gt;113.15,K422&lt;=0.22,L422&gt;0.02))*0</f>
        <v/>
      </c>
      <c r="AB422">
        <f>--(AND(D422&gt;113.15,K422&gt;0.22,N422&lt;=810.1))*0</f>
        <v/>
      </c>
      <c r="AC422">
        <f>--(AND(D422&gt;113.15,K422&gt;0.22,N422&gt;810.1,I422&lt;=14.95))*1</f>
        <v/>
      </c>
      <c r="AD422">
        <f>--(AND(D422&gt;113.15,K422&gt;0.22,N422&gt;810.1,I422&gt;14.95))*1</f>
        <v/>
      </c>
      <c r="AE422">
        <f>SUM(P422:AD422)</f>
        <v/>
      </c>
      <c r="AF422">
        <f>IF(AE422=1,"Malignant","Benign")</f>
        <v/>
      </c>
      <c r="AG422">
        <f>--(AE422=C422)</f>
        <v/>
      </c>
    </row>
    <row r="423">
      <c r="A423">
        <f>BreastCancer_Data!A423</f>
        <v/>
      </c>
      <c r="B423">
        <f>BreastCancer_Data!B423</f>
        <v/>
      </c>
      <c r="C423">
        <f>BreastCancer_Data!D423</f>
        <v/>
      </c>
      <c r="D423">
        <f>BreastCancer_Data!E423</f>
        <v/>
      </c>
      <c r="E423">
        <f>BreastCancer_Data!F423</f>
        <v/>
      </c>
      <c r="F423">
        <f>BreastCancer_Data!G423</f>
        <v/>
      </c>
      <c r="G423">
        <f>BreastCancer_Data!H423</f>
        <v/>
      </c>
      <c r="H423">
        <f>BreastCancer_Data!I423</f>
        <v/>
      </c>
      <c r="I423">
        <f>BreastCancer_Data!J423</f>
        <v/>
      </c>
      <c r="J423">
        <f>BreastCancer_Data!K423</f>
        <v/>
      </c>
      <c r="K423">
        <f>BreastCancer_Data!L423</f>
        <v/>
      </c>
      <c r="L423">
        <f>BreastCancer_Data!M423</f>
        <v/>
      </c>
      <c r="M423">
        <f>BreastCancer_Data!N423</f>
        <v/>
      </c>
      <c r="N423">
        <f>BreastCancer_Data!O423</f>
        <v/>
      </c>
      <c r="O423">
        <f>0</f>
        <v/>
      </c>
      <c r="P423">
        <f>--(AND(D423&lt;=113.15,E423&lt;=0.15,F423&lt;=15.77,G423&lt;=0.18,H423&lt;=33.27))*0</f>
        <v/>
      </c>
      <c r="Q423">
        <f>--(AND(D423&lt;=113.15,E423&lt;=0.15,F423&lt;=15.77,G423&lt;=0.18,H423&gt;33.27))*0</f>
        <v/>
      </c>
      <c r="R423">
        <f>--(AND(D423&lt;=113.15,E423&lt;=0.15,F423&lt;=15.77,G423&gt;0.18))*0</f>
        <v/>
      </c>
      <c r="S423">
        <f>--(AND(D423&lt;=113.15,E423&lt;=0.15,F423&gt;15.77,H423&lt;=28.86,G423&lt;=0.14))*0</f>
        <v/>
      </c>
      <c r="T423">
        <f>--(AND(D423&lt;=113.15,E423&lt;=0.15,F423&gt;15.77,H423&lt;=28.86,G423&gt;0.14))*1</f>
        <v/>
      </c>
      <c r="U423">
        <f>--(AND(D423&lt;=113.15,E423&lt;=0.15,F423&gt;15.77,H423&gt;28.86,M423&lt;=14.54))*1</f>
        <v/>
      </c>
      <c r="V423">
        <f>--(AND(D423&lt;=113.15,E423&lt;=0.15,F423&gt;15.77,H423&gt;28.86,M423&gt;14.54))*1</f>
        <v/>
      </c>
      <c r="W423">
        <f>--(AND(D423&lt;=113.15,E423&gt;0.15,H423&lt;=23.74))*0</f>
        <v/>
      </c>
      <c r="X423">
        <f>--(AND(D423&lt;=113.15,E423&gt;0.15,H423&gt;23.74,J423&lt;=0.1))*1</f>
        <v/>
      </c>
      <c r="Y423">
        <f>--(AND(D423&lt;=113.15,E423&gt;0.15,H423&gt;23.74,J423&gt;0.1))*1</f>
        <v/>
      </c>
      <c r="Z423">
        <f>--(AND(D423&gt;113.15,K423&lt;=0.22,L423&lt;=0.02))*1</f>
        <v/>
      </c>
      <c r="AA423">
        <f>--(AND(D423&gt;113.15,K423&lt;=0.22,L423&gt;0.02))*0</f>
        <v/>
      </c>
      <c r="AB423">
        <f>--(AND(D423&gt;113.15,K423&gt;0.22,N423&lt;=810.1))*0</f>
        <v/>
      </c>
      <c r="AC423">
        <f>--(AND(D423&gt;113.15,K423&gt;0.22,N423&gt;810.1,I423&lt;=14.95))*1</f>
        <v/>
      </c>
      <c r="AD423">
        <f>--(AND(D423&gt;113.15,K423&gt;0.22,N423&gt;810.1,I423&gt;14.95))*1</f>
        <v/>
      </c>
      <c r="AE423">
        <f>SUM(P423:AD423)</f>
        <v/>
      </c>
      <c r="AF423">
        <f>IF(AE423=1,"Malignant","Benign")</f>
        <v/>
      </c>
      <c r="AG423">
        <f>--(AE423=C423)</f>
        <v/>
      </c>
    </row>
    <row r="424">
      <c r="A424">
        <f>BreastCancer_Data!A424</f>
        <v/>
      </c>
      <c r="B424">
        <f>BreastCancer_Data!B424</f>
        <v/>
      </c>
      <c r="C424">
        <f>BreastCancer_Data!D424</f>
        <v/>
      </c>
      <c r="D424">
        <f>BreastCancer_Data!E424</f>
        <v/>
      </c>
      <c r="E424">
        <f>BreastCancer_Data!F424</f>
        <v/>
      </c>
      <c r="F424">
        <f>BreastCancer_Data!G424</f>
        <v/>
      </c>
      <c r="G424">
        <f>BreastCancer_Data!H424</f>
        <v/>
      </c>
      <c r="H424">
        <f>BreastCancer_Data!I424</f>
        <v/>
      </c>
      <c r="I424">
        <f>BreastCancer_Data!J424</f>
        <v/>
      </c>
      <c r="J424">
        <f>BreastCancer_Data!K424</f>
        <v/>
      </c>
      <c r="K424">
        <f>BreastCancer_Data!L424</f>
        <v/>
      </c>
      <c r="L424">
        <f>BreastCancer_Data!M424</f>
        <v/>
      </c>
      <c r="M424">
        <f>BreastCancer_Data!N424</f>
        <v/>
      </c>
      <c r="N424">
        <f>BreastCancer_Data!O424</f>
        <v/>
      </c>
      <c r="O424">
        <f>0</f>
        <v/>
      </c>
      <c r="P424">
        <f>--(AND(D424&lt;=113.15,E424&lt;=0.15,F424&lt;=15.77,G424&lt;=0.18,H424&lt;=33.27))*0</f>
        <v/>
      </c>
      <c r="Q424">
        <f>--(AND(D424&lt;=113.15,E424&lt;=0.15,F424&lt;=15.77,G424&lt;=0.18,H424&gt;33.27))*0</f>
        <v/>
      </c>
      <c r="R424">
        <f>--(AND(D424&lt;=113.15,E424&lt;=0.15,F424&lt;=15.77,G424&gt;0.18))*0</f>
        <v/>
      </c>
      <c r="S424">
        <f>--(AND(D424&lt;=113.15,E424&lt;=0.15,F424&gt;15.77,H424&lt;=28.86,G424&lt;=0.14))*0</f>
        <v/>
      </c>
      <c r="T424">
        <f>--(AND(D424&lt;=113.15,E424&lt;=0.15,F424&gt;15.77,H424&lt;=28.86,G424&gt;0.14))*1</f>
        <v/>
      </c>
      <c r="U424">
        <f>--(AND(D424&lt;=113.15,E424&lt;=0.15,F424&gt;15.77,H424&gt;28.86,M424&lt;=14.54))*1</f>
        <v/>
      </c>
      <c r="V424">
        <f>--(AND(D424&lt;=113.15,E424&lt;=0.15,F424&gt;15.77,H424&gt;28.86,M424&gt;14.54))*1</f>
        <v/>
      </c>
      <c r="W424">
        <f>--(AND(D424&lt;=113.15,E424&gt;0.15,H424&lt;=23.74))*0</f>
        <v/>
      </c>
      <c r="X424">
        <f>--(AND(D424&lt;=113.15,E424&gt;0.15,H424&gt;23.74,J424&lt;=0.1))*1</f>
        <v/>
      </c>
      <c r="Y424">
        <f>--(AND(D424&lt;=113.15,E424&gt;0.15,H424&gt;23.74,J424&gt;0.1))*1</f>
        <v/>
      </c>
      <c r="Z424">
        <f>--(AND(D424&gt;113.15,K424&lt;=0.22,L424&lt;=0.02))*1</f>
        <v/>
      </c>
      <c r="AA424">
        <f>--(AND(D424&gt;113.15,K424&lt;=0.22,L424&gt;0.02))*0</f>
        <v/>
      </c>
      <c r="AB424">
        <f>--(AND(D424&gt;113.15,K424&gt;0.22,N424&lt;=810.1))*0</f>
        <v/>
      </c>
      <c r="AC424">
        <f>--(AND(D424&gt;113.15,K424&gt;0.22,N424&gt;810.1,I424&lt;=14.95))*1</f>
        <v/>
      </c>
      <c r="AD424">
        <f>--(AND(D424&gt;113.15,K424&gt;0.22,N424&gt;810.1,I424&gt;14.95))*1</f>
        <v/>
      </c>
      <c r="AE424">
        <f>SUM(P424:AD424)</f>
        <v/>
      </c>
      <c r="AF424">
        <f>IF(AE424=1,"Malignant","Benign")</f>
        <v/>
      </c>
      <c r="AG424">
        <f>--(AE424=C424)</f>
        <v/>
      </c>
    </row>
    <row r="425">
      <c r="A425">
        <f>BreastCancer_Data!A425</f>
        <v/>
      </c>
      <c r="B425">
        <f>BreastCancer_Data!B425</f>
        <v/>
      </c>
      <c r="C425">
        <f>BreastCancer_Data!D425</f>
        <v/>
      </c>
      <c r="D425">
        <f>BreastCancer_Data!E425</f>
        <v/>
      </c>
      <c r="E425">
        <f>BreastCancer_Data!F425</f>
        <v/>
      </c>
      <c r="F425">
        <f>BreastCancer_Data!G425</f>
        <v/>
      </c>
      <c r="G425">
        <f>BreastCancer_Data!H425</f>
        <v/>
      </c>
      <c r="H425">
        <f>BreastCancer_Data!I425</f>
        <v/>
      </c>
      <c r="I425">
        <f>BreastCancer_Data!J425</f>
        <v/>
      </c>
      <c r="J425">
        <f>BreastCancer_Data!K425</f>
        <v/>
      </c>
      <c r="K425">
        <f>BreastCancer_Data!L425</f>
        <v/>
      </c>
      <c r="L425">
        <f>BreastCancer_Data!M425</f>
        <v/>
      </c>
      <c r="M425">
        <f>BreastCancer_Data!N425</f>
        <v/>
      </c>
      <c r="N425">
        <f>BreastCancer_Data!O425</f>
        <v/>
      </c>
      <c r="O425">
        <f>0</f>
        <v/>
      </c>
      <c r="P425">
        <f>--(AND(D425&lt;=113.15,E425&lt;=0.15,F425&lt;=15.77,G425&lt;=0.18,H425&lt;=33.27))*0</f>
        <v/>
      </c>
      <c r="Q425">
        <f>--(AND(D425&lt;=113.15,E425&lt;=0.15,F425&lt;=15.77,G425&lt;=0.18,H425&gt;33.27))*0</f>
        <v/>
      </c>
      <c r="R425">
        <f>--(AND(D425&lt;=113.15,E425&lt;=0.15,F425&lt;=15.77,G425&gt;0.18))*0</f>
        <v/>
      </c>
      <c r="S425">
        <f>--(AND(D425&lt;=113.15,E425&lt;=0.15,F425&gt;15.77,H425&lt;=28.86,G425&lt;=0.14))*0</f>
        <v/>
      </c>
      <c r="T425">
        <f>--(AND(D425&lt;=113.15,E425&lt;=0.15,F425&gt;15.77,H425&lt;=28.86,G425&gt;0.14))*1</f>
        <v/>
      </c>
      <c r="U425">
        <f>--(AND(D425&lt;=113.15,E425&lt;=0.15,F425&gt;15.77,H425&gt;28.86,M425&lt;=14.54))*1</f>
        <v/>
      </c>
      <c r="V425">
        <f>--(AND(D425&lt;=113.15,E425&lt;=0.15,F425&gt;15.77,H425&gt;28.86,M425&gt;14.54))*1</f>
        <v/>
      </c>
      <c r="W425">
        <f>--(AND(D425&lt;=113.15,E425&gt;0.15,H425&lt;=23.74))*0</f>
        <v/>
      </c>
      <c r="X425">
        <f>--(AND(D425&lt;=113.15,E425&gt;0.15,H425&gt;23.74,J425&lt;=0.1))*1</f>
        <v/>
      </c>
      <c r="Y425">
        <f>--(AND(D425&lt;=113.15,E425&gt;0.15,H425&gt;23.74,J425&gt;0.1))*1</f>
        <v/>
      </c>
      <c r="Z425">
        <f>--(AND(D425&gt;113.15,K425&lt;=0.22,L425&lt;=0.02))*1</f>
        <v/>
      </c>
      <c r="AA425">
        <f>--(AND(D425&gt;113.15,K425&lt;=0.22,L425&gt;0.02))*0</f>
        <v/>
      </c>
      <c r="AB425">
        <f>--(AND(D425&gt;113.15,K425&gt;0.22,N425&lt;=810.1))*0</f>
        <v/>
      </c>
      <c r="AC425">
        <f>--(AND(D425&gt;113.15,K425&gt;0.22,N425&gt;810.1,I425&lt;=14.95))*1</f>
        <v/>
      </c>
      <c r="AD425">
        <f>--(AND(D425&gt;113.15,K425&gt;0.22,N425&gt;810.1,I425&gt;14.95))*1</f>
        <v/>
      </c>
      <c r="AE425">
        <f>SUM(P425:AD425)</f>
        <v/>
      </c>
      <c r="AF425">
        <f>IF(AE425=1,"Malignant","Benign")</f>
        <v/>
      </c>
      <c r="AG425">
        <f>--(AE425=C425)</f>
        <v/>
      </c>
    </row>
    <row r="426">
      <c r="A426">
        <f>BreastCancer_Data!A426</f>
        <v/>
      </c>
      <c r="B426">
        <f>BreastCancer_Data!B426</f>
        <v/>
      </c>
      <c r="C426">
        <f>BreastCancer_Data!D426</f>
        <v/>
      </c>
      <c r="D426">
        <f>BreastCancer_Data!E426</f>
        <v/>
      </c>
      <c r="E426">
        <f>BreastCancer_Data!F426</f>
        <v/>
      </c>
      <c r="F426">
        <f>BreastCancer_Data!G426</f>
        <v/>
      </c>
      <c r="G426">
        <f>BreastCancer_Data!H426</f>
        <v/>
      </c>
      <c r="H426">
        <f>BreastCancer_Data!I426</f>
        <v/>
      </c>
      <c r="I426">
        <f>BreastCancer_Data!J426</f>
        <v/>
      </c>
      <c r="J426">
        <f>BreastCancer_Data!K426</f>
        <v/>
      </c>
      <c r="K426">
        <f>BreastCancer_Data!L426</f>
        <v/>
      </c>
      <c r="L426">
        <f>BreastCancer_Data!M426</f>
        <v/>
      </c>
      <c r="M426">
        <f>BreastCancer_Data!N426</f>
        <v/>
      </c>
      <c r="N426">
        <f>BreastCancer_Data!O426</f>
        <v/>
      </c>
      <c r="O426">
        <f>0</f>
        <v/>
      </c>
      <c r="P426">
        <f>--(AND(D426&lt;=113.15,E426&lt;=0.15,F426&lt;=15.77,G426&lt;=0.18,H426&lt;=33.27))*0</f>
        <v/>
      </c>
      <c r="Q426">
        <f>--(AND(D426&lt;=113.15,E426&lt;=0.15,F426&lt;=15.77,G426&lt;=0.18,H426&gt;33.27))*0</f>
        <v/>
      </c>
      <c r="R426">
        <f>--(AND(D426&lt;=113.15,E426&lt;=0.15,F426&lt;=15.77,G426&gt;0.18))*0</f>
        <v/>
      </c>
      <c r="S426">
        <f>--(AND(D426&lt;=113.15,E426&lt;=0.15,F426&gt;15.77,H426&lt;=28.86,G426&lt;=0.14))*0</f>
        <v/>
      </c>
      <c r="T426">
        <f>--(AND(D426&lt;=113.15,E426&lt;=0.15,F426&gt;15.77,H426&lt;=28.86,G426&gt;0.14))*1</f>
        <v/>
      </c>
      <c r="U426">
        <f>--(AND(D426&lt;=113.15,E426&lt;=0.15,F426&gt;15.77,H426&gt;28.86,M426&lt;=14.54))*1</f>
        <v/>
      </c>
      <c r="V426">
        <f>--(AND(D426&lt;=113.15,E426&lt;=0.15,F426&gt;15.77,H426&gt;28.86,M426&gt;14.54))*1</f>
        <v/>
      </c>
      <c r="W426">
        <f>--(AND(D426&lt;=113.15,E426&gt;0.15,H426&lt;=23.74))*0</f>
        <v/>
      </c>
      <c r="X426">
        <f>--(AND(D426&lt;=113.15,E426&gt;0.15,H426&gt;23.74,J426&lt;=0.1))*1</f>
        <v/>
      </c>
      <c r="Y426">
        <f>--(AND(D426&lt;=113.15,E426&gt;0.15,H426&gt;23.74,J426&gt;0.1))*1</f>
        <v/>
      </c>
      <c r="Z426">
        <f>--(AND(D426&gt;113.15,K426&lt;=0.22,L426&lt;=0.02))*1</f>
        <v/>
      </c>
      <c r="AA426">
        <f>--(AND(D426&gt;113.15,K426&lt;=0.22,L426&gt;0.02))*0</f>
        <v/>
      </c>
      <c r="AB426">
        <f>--(AND(D426&gt;113.15,K426&gt;0.22,N426&lt;=810.1))*0</f>
        <v/>
      </c>
      <c r="AC426">
        <f>--(AND(D426&gt;113.15,K426&gt;0.22,N426&gt;810.1,I426&lt;=14.95))*1</f>
        <v/>
      </c>
      <c r="AD426">
        <f>--(AND(D426&gt;113.15,K426&gt;0.22,N426&gt;810.1,I426&gt;14.95))*1</f>
        <v/>
      </c>
      <c r="AE426">
        <f>SUM(P426:AD426)</f>
        <v/>
      </c>
      <c r="AF426">
        <f>IF(AE426=1,"Malignant","Benign")</f>
        <v/>
      </c>
      <c r="AG426">
        <f>--(AE426=C426)</f>
        <v/>
      </c>
    </row>
    <row r="427">
      <c r="A427">
        <f>BreastCancer_Data!A427</f>
        <v/>
      </c>
      <c r="B427">
        <f>BreastCancer_Data!B427</f>
        <v/>
      </c>
      <c r="C427">
        <f>BreastCancer_Data!D427</f>
        <v/>
      </c>
      <c r="D427">
        <f>BreastCancer_Data!E427</f>
        <v/>
      </c>
      <c r="E427">
        <f>BreastCancer_Data!F427</f>
        <v/>
      </c>
      <c r="F427">
        <f>BreastCancer_Data!G427</f>
        <v/>
      </c>
      <c r="G427">
        <f>BreastCancer_Data!H427</f>
        <v/>
      </c>
      <c r="H427">
        <f>BreastCancer_Data!I427</f>
        <v/>
      </c>
      <c r="I427">
        <f>BreastCancer_Data!J427</f>
        <v/>
      </c>
      <c r="J427">
        <f>BreastCancer_Data!K427</f>
        <v/>
      </c>
      <c r="K427">
        <f>BreastCancer_Data!L427</f>
        <v/>
      </c>
      <c r="L427">
        <f>BreastCancer_Data!M427</f>
        <v/>
      </c>
      <c r="M427">
        <f>BreastCancer_Data!N427</f>
        <v/>
      </c>
      <c r="N427">
        <f>BreastCancer_Data!O427</f>
        <v/>
      </c>
      <c r="O427">
        <f>0</f>
        <v/>
      </c>
      <c r="P427">
        <f>--(AND(D427&lt;=113.15,E427&lt;=0.15,F427&lt;=15.77,G427&lt;=0.18,H427&lt;=33.27))*0</f>
        <v/>
      </c>
      <c r="Q427">
        <f>--(AND(D427&lt;=113.15,E427&lt;=0.15,F427&lt;=15.77,G427&lt;=0.18,H427&gt;33.27))*0</f>
        <v/>
      </c>
      <c r="R427">
        <f>--(AND(D427&lt;=113.15,E427&lt;=0.15,F427&lt;=15.77,G427&gt;0.18))*0</f>
        <v/>
      </c>
      <c r="S427">
        <f>--(AND(D427&lt;=113.15,E427&lt;=0.15,F427&gt;15.77,H427&lt;=28.86,G427&lt;=0.14))*0</f>
        <v/>
      </c>
      <c r="T427">
        <f>--(AND(D427&lt;=113.15,E427&lt;=0.15,F427&gt;15.77,H427&lt;=28.86,G427&gt;0.14))*1</f>
        <v/>
      </c>
      <c r="U427">
        <f>--(AND(D427&lt;=113.15,E427&lt;=0.15,F427&gt;15.77,H427&gt;28.86,M427&lt;=14.54))*1</f>
        <v/>
      </c>
      <c r="V427">
        <f>--(AND(D427&lt;=113.15,E427&lt;=0.15,F427&gt;15.77,H427&gt;28.86,M427&gt;14.54))*1</f>
        <v/>
      </c>
      <c r="W427">
        <f>--(AND(D427&lt;=113.15,E427&gt;0.15,H427&lt;=23.74))*0</f>
        <v/>
      </c>
      <c r="X427">
        <f>--(AND(D427&lt;=113.15,E427&gt;0.15,H427&gt;23.74,J427&lt;=0.1))*1</f>
        <v/>
      </c>
      <c r="Y427">
        <f>--(AND(D427&lt;=113.15,E427&gt;0.15,H427&gt;23.74,J427&gt;0.1))*1</f>
        <v/>
      </c>
      <c r="Z427">
        <f>--(AND(D427&gt;113.15,K427&lt;=0.22,L427&lt;=0.02))*1</f>
        <v/>
      </c>
      <c r="AA427">
        <f>--(AND(D427&gt;113.15,K427&lt;=0.22,L427&gt;0.02))*0</f>
        <v/>
      </c>
      <c r="AB427">
        <f>--(AND(D427&gt;113.15,K427&gt;0.22,N427&lt;=810.1))*0</f>
        <v/>
      </c>
      <c r="AC427">
        <f>--(AND(D427&gt;113.15,K427&gt;0.22,N427&gt;810.1,I427&lt;=14.95))*1</f>
        <v/>
      </c>
      <c r="AD427">
        <f>--(AND(D427&gt;113.15,K427&gt;0.22,N427&gt;810.1,I427&gt;14.95))*1</f>
        <v/>
      </c>
      <c r="AE427">
        <f>SUM(P427:AD427)</f>
        <v/>
      </c>
      <c r="AF427">
        <f>IF(AE427=1,"Malignant","Benign")</f>
        <v/>
      </c>
      <c r="AG427">
        <f>--(AE427=C427)</f>
        <v/>
      </c>
    </row>
    <row r="428">
      <c r="A428">
        <f>BreastCancer_Data!A428</f>
        <v/>
      </c>
      <c r="B428">
        <f>BreastCancer_Data!B428</f>
        <v/>
      </c>
      <c r="C428">
        <f>BreastCancer_Data!D428</f>
        <v/>
      </c>
      <c r="D428">
        <f>BreastCancer_Data!E428</f>
        <v/>
      </c>
      <c r="E428">
        <f>BreastCancer_Data!F428</f>
        <v/>
      </c>
      <c r="F428">
        <f>BreastCancer_Data!G428</f>
        <v/>
      </c>
      <c r="G428">
        <f>BreastCancer_Data!H428</f>
        <v/>
      </c>
      <c r="H428">
        <f>BreastCancer_Data!I428</f>
        <v/>
      </c>
      <c r="I428">
        <f>BreastCancer_Data!J428</f>
        <v/>
      </c>
      <c r="J428">
        <f>BreastCancer_Data!K428</f>
        <v/>
      </c>
      <c r="K428">
        <f>BreastCancer_Data!L428</f>
        <v/>
      </c>
      <c r="L428">
        <f>BreastCancer_Data!M428</f>
        <v/>
      </c>
      <c r="M428">
        <f>BreastCancer_Data!N428</f>
        <v/>
      </c>
      <c r="N428">
        <f>BreastCancer_Data!O428</f>
        <v/>
      </c>
      <c r="O428">
        <f>0</f>
        <v/>
      </c>
      <c r="P428">
        <f>--(AND(D428&lt;=113.15,E428&lt;=0.15,F428&lt;=15.77,G428&lt;=0.18,H428&lt;=33.27))*0</f>
        <v/>
      </c>
      <c r="Q428">
        <f>--(AND(D428&lt;=113.15,E428&lt;=0.15,F428&lt;=15.77,G428&lt;=0.18,H428&gt;33.27))*0</f>
        <v/>
      </c>
      <c r="R428">
        <f>--(AND(D428&lt;=113.15,E428&lt;=0.15,F428&lt;=15.77,G428&gt;0.18))*0</f>
        <v/>
      </c>
      <c r="S428">
        <f>--(AND(D428&lt;=113.15,E428&lt;=0.15,F428&gt;15.77,H428&lt;=28.86,G428&lt;=0.14))*0</f>
        <v/>
      </c>
      <c r="T428">
        <f>--(AND(D428&lt;=113.15,E428&lt;=0.15,F428&gt;15.77,H428&lt;=28.86,G428&gt;0.14))*1</f>
        <v/>
      </c>
      <c r="U428">
        <f>--(AND(D428&lt;=113.15,E428&lt;=0.15,F428&gt;15.77,H428&gt;28.86,M428&lt;=14.54))*1</f>
        <v/>
      </c>
      <c r="V428">
        <f>--(AND(D428&lt;=113.15,E428&lt;=0.15,F428&gt;15.77,H428&gt;28.86,M428&gt;14.54))*1</f>
        <v/>
      </c>
      <c r="W428">
        <f>--(AND(D428&lt;=113.15,E428&gt;0.15,H428&lt;=23.74))*0</f>
        <v/>
      </c>
      <c r="X428">
        <f>--(AND(D428&lt;=113.15,E428&gt;0.15,H428&gt;23.74,J428&lt;=0.1))*1</f>
        <v/>
      </c>
      <c r="Y428">
        <f>--(AND(D428&lt;=113.15,E428&gt;0.15,H428&gt;23.74,J428&gt;0.1))*1</f>
        <v/>
      </c>
      <c r="Z428">
        <f>--(AND(D428&gt;113.15,K428&lt;=0.22,L428&lt;=0.02))*1</f>
        <v/>
      </c>
      <c r="AA428">
        <f>--(AND(D428&gt;113.15,K428&lt;=0.22,L428&gt;0.02))*0</f>
        <v/>
      </c>
      <c r="AB428">
        <f>--(AND(D428&gt;113.15,K428&gt;0.22,N428&lt;=810.1))*0</f>
        <v/>
      </c>
      <c r="AC428">
        <f>--(AND(D428&gt;113.15,K428&gt;0.22,N428&gt;810.1,I428&lt;=14.95))*1</f>
        <v/>
      </c>
      <c r="AD428">
        <f>--(AND(D428&gt;113.15,K428&gt;0.22,N428&gt;810.1,I428&gt;14.95))*1</f>
        <v/>
      </c>
      <c r="AE428">
        <f>SUM(P428:AD428)</f>
        <v/>
      </c>
      <c r="AF428">
        <f>IF(AE428=1,"Malignant","Benign")</f>
        <v/>
      </c>
      <c r="AG428">
        <f>--(AE428=C428)</f>
        <v/>
      </c>
    </row>
    <row r="429">
      <c r="A429">
        <f>BreastCancer_Data!A429</f>
        <v/>
      </c>
      <c r="B429">
        <f>BreastCancer_Data!B429</f>
        <v/>
      </c>
      <c r="C429">
        <f>BreastCancer_Data!D429</f>
        <v/>
      </c>
      <c r="D429">
        <f>BreastCancer_Data!E429</f>
        <v/>
      </c>
      <c r="E429">
        <f>BreastCancer_Data!F429</f>
        <v/>
      </c>
      <c r="F429">
        <f>BreastCancer_Data!G429</f>
        <v/>
      </c>
      <c r="G429">
        <f>BreastCancer_Data!H429</f>
        <v/>
      </c>
      <c r="H429">
        <f>BreastCancer_Data!I429</f>
        <v/>
      </c>
      <c r="I429">
        <f>BreastCancer_Data!J429</f>
        <v/>
      </c>
      <c r="J429">
        <f>BreastCancer_Data!K429</f>
        <v/>
      </c>
      <c r="K429">
        <f>BreastCancer_Data!L429</f>
        <v/>
      </c>
      <c r="L429">
        <f>BreastCancer_Data!M429</f>
        <v/>
      </c>
      <c r="M429">
        <f>BreastCancer_Data!N429</f>
        <v/>
      </c>
      <c r="N429">
        <f>BreastCancer_Data!O429</f>
        <v/>
      </c>
      <c r="O429">
        <f>0</f>
        <v/>
      </c>
      <c r="P429">
        <f>--(AND(D429&lt;=113.15,E429&lt;=0.15,F429&lt;=15.77,G429&lt;=0.18,H429&lt;=33.27))*0</f>
        <v/>
      </c>
      <c r="Q429">
        <f>--(AND(D429&lt;=113.15,E429&lt;=0.15,F429&lt;=15.77,G429&lt;=0.18,H429&gt;33.27))*0</f>
        <v/>
      </c>
      <c r="R429">
        <f>--(AND(D429&lt;=113.15,E429&lt;=0.15,F429&lt;=15.77,G429&gt;0.18))*0</f>
        <v/>
      </c>
      <c r="S429">
        <f>--(AND(D429&lt;=113.15,E429&lt;=0.15,F429&gt;15.77,H429&lt;=28.86,G429&lt;=0.14))*0</f>
        <v/>
      </c>
      <c r="T429">
        <f>--(AND(D429&lt;=113.15,E429&lt;=0.15,F429&gt;15.77,H429&lt;=28.86,G429&gt;0.14))*1</f>
        <v/>
      </c>
      <c r="U429">
        <f>--(AND(D429&lt;=113.15,E429&lt;=0.15,F429&gt;15.77,H429&gt;28.86,M429&lt;=14.54))*1</f>
        <v/>
      </c>
      <c r="V429">
        <f>--(AND(D429&lt;=113.15,E429&lt;=0.15,F429&gt;15.77,H429&gt;28.86,M429&gt;14.54))*1</f>
        <v/>
      </c>
      <c r="W429">
        <f>--(AND(D429&lt;=113.15,E429&gt;0.15,H429&lt;=23.74))*0</f>
        <v/>
      </c>
      <c r="X429">
        <f>--(AND(D429&lt;=113.15,E429&gt;0.15,H429&gt;23.74,J429&lt;=0.1))*1</f>
        <v/>
      </c>
      <c r="Y429">
        <f>--(AND(D429&lt;=113.15,E429&gt;0.15,H429&gt;23.74,J429&gt;0.1))*1</f>
        <v/>
      </c>
      <c r="Z429">
        <f>--(AND(D429&gt;113.15,K429&lt;=0.22,L429&lt;=0.02))*1</f>
        <v/>
      </c>
      <c r="AA429">
        <f>--(AND(D429&gt;113.15,K429&lt;=0.22,L429&gt;0.02))*0</f>
        <v/>
      </c>
      <c r="AB429">
        <f>--(AND(D429&gt;113.15,K429&gt;0.22,N429&lt;=810.1))*0</f>
        <v/>
      </c>
      <c r="AC429">
        <f>--(AND(D429&gt;113.15,K429&gt;0.22,N429&gt;810.1,I429&lt;=14.95))*1</f>
        <v/>
      </c>
      <c r="AD429">
        <f>--(AND(D429&gt;113.15,K429&gt;0.22,N429&gt;810.1,I429&gt;14.95))*1</f>
        <v/>
      </c>
      <c r="AE429">
        <f>SUM(P429:AD429)</f>
        <v/>
      </c>
      <c r="AF429">
        <f>IF(AE429=1,"Malignant","Benign")</f>
        <v/>
      </c>
      <c r="AG429">
        <f>--(AE429=C429)</f>
        <v/>
      </c>
    </row>
    <row r="430">
      <c r="A430">
        <f>BreastCancer_Data!A430</f>
        <v/>
      </c>
      <c r="B430">
        <f>BreastCancer_Data!B430</f>
        <v/>
      </c>
      <c r="C430">
        <f>BreastCancer_Data!D430</f>
        <v/>
      </c>
      <c r="D430">
        <f>BreastCancer_Data!E430</f>
        <v/>
      </c>
      <c r="E430">
        <f>BreastCancer_Data!F430</f>
        <v/>
      </c>
      <c r="F430">
        <f>BreastCancer_Data!G430</f>
        <v/>
      </c>
      <c r="G430">
        <f>BreastCancer_Data!H430</f>
        <v/>
      </c>
      <c r="H430">
        <f>BreastCancer_Data!I430</f>
        <v/>
      </c>
      <c r="I430">
        <f>BreastCancer_Data!J430</f>
        <v/>
      </c>
      <c r="J430">
        <f>BreastCancer_Data!K430</f>
        <v/>
      </c>
      <c r="K430">
        <f>BreastCancer_Data!L430</f>
        <v/>
      </c>
      <c r="L430">
        <f>BreastCancer_Data!M430</f>
        <v/>
      </c>
      <c r="M430">
        <f>BreastCancer_Data!N430</f>
        <v/>
      </c>
      <c r="N430">
        <f>BreastCancer_Data!O430</f>
        <v/>
      </c>
      <c r="O430">
        <f>0</f>
        <v/>
      </c>
      <c r="P430">
        <f>--(AND(D430&lt;=113.15,E430&lt;=0.15,F430&lt;=15.77,G430&lt;=0.18,H430&lt;=33.27))*0</f>
        <v/>
      </c>
      <c r="Q430">
        <f>--(AND(D430&lt;=113.15,E430&lt;=0.15,F430&lt;=15.77,G430&lt;=0.18,H430&gt;33.27))*0</f>
        <v/>
      </c>
      <c r="R430">
        <f>--(AND(D430&lt;=113.15,E430&lt;=0.15,F430&lt;=15.77,G430&gt;0.18))*0</f>
        <v/>
      </c>
      <c r="S430">
        <f>--(AND(D430&lt;=113.15,E430&lt;=0.15,F430&gt;15.77,H430&lt;=28.86,G430&lt;=0.14))*0</f>
        <v/>
      </c>
      <c r="T430">
        <f>--(AND(D430&lt;=113.15,E430&lt;=0.15,F430&gt;15.77,H430&lt;=28.86,G430&gt;0.14))*1</f>
        <v/>
      </c>
      <c r="U430">
        <f>--(AND(D430&lt;=113.15,E430&lt;=0.15,F430&gt;15.77,H430&gt;28.86,M430&lt;=14.54))*1</f>
        <v/>
      </c>
      <c r="V430">
        <f>--(AND(D430&lt;=113.15,E430&lt;=0.15,F430&gt;15.77,H430&gt;28.86,M430&gt;14.54))*1</f>
        <v/>
      </c>
      <c r="W430">
        <f>--(AND(D430&lt;=113.15,E430&gt;0.15,H430&lt;=23.74))*0</f>
        <v/>
      </c>
      <c r="X430">
        <f>--(AND(D430&lt;=113.15,E430&gt;0.15,H430&gt;23.74,J430&lt;=0.1))*1</f>
        <v/>
      </c>
      <c r="Y430">
        <f>--(AND(D430&lt;=113.15,E430&gt;0.15,H430&gt;23.74,J430&gt;0.1))*1</f>
        <v/>
      </c>
      <c r="Z430">
        <f>--(AND(D430&gt;113.15,K430&lt;=0.22,L430&lt;=0.02))*1</f>
        <v/>
      </c>
      <c r="AA430">
        <f>--(AND(D430&gt;113.15,K430&lt;=0.22,L430&gt;0.02))*0</f>
        <v/>
      </c>
      <c r="AB430">
        <f>--(AND(D430&gt;113.15,K430&gt;0.22,N430&lt;=810.1))*0</f>
        <v/>
      </c>
      <c r="AC430">
        <f>--(AND(D430&gt;113.15,K430&gt;0.22,N430&gt;810.1,I430&lt;=14.95))*1</f>
        <v/>
      </c>
      <c r="AD430">
        <f>--(AND(D430&gt;113.15,K430&gt;0.22,N430&gt;810.1,I430&gt;14.95))*1</f>
        <v/>
      </c>
      <c r="AE430">
        <f>SUM(P430:AD430)</f>
        <v/>
      </c>
      <c r="AF430">
        <f>IF(AE430=1,"Malignant","Benign")</f>
        <v/>
      </c>
      <c r="AG430">
        <f>--(AE430=C430)</f>
        <v/>
      </c>
    </row>
    <row r="431">
      <c r="A431">
        <f>BreastCancer_Data!A431</f>
        <v/>
      </c>
      <c r="B431">
        <f>BreastCancer_Data!B431</f>
        <v/>
      </c>
      <c r="C431">
        <f>BreastCancer_Data!D431</f>
        <v/>
      </c>
      <c r="D431">
        <f>BreastCancer_Data!E431</f>
        <v/>
      </c>
      <c r="E431">
        <f>BreastCancer_Data!F431</f>
        <v/>
      </c>
      <c r="F431">
        <f>BreastCancer_Data!G431</f>
        <v/>
      </c>
      <c r="G431">
        <f>BreastCancer_Data!H431</f>
        <v/>
      </c>
      <c r="H431">
        <f>BreastCancer_Data!I431</f>
        <v/>
      </c>
      <c r="I431">
        <f>BreastCancer_Data!J431</f>
        <v/>
      </c>
      <c r="J431">
        <f>BreastCancer_Data!K431</f>
        <v/>
      </c>
      <c r="K431">
        <f>BreastCancer_Data!L431</f>
        <v/>
      </c>
      <c r="L431">
        <f>BreastCancer_Data!M431</f>
        <v/>
      </c>
      <c r="M431">
        <f>BreastCancer_Data!N431</f>
        <v/>
      </c>
      <c r="N431">
        <f>BreastCancer_Data!O431</f>
        <v/>
      </c>
      <c r="O431">
        <f>0</f>
        <v/>
      </c>
      <c r="P431">
        <f>--(AND(D431&lt;=113.15,E431&lt;=0.15,F431&lt;=15.77,G431&lt;=0.18,H431&lt;=33.27))*0</f>
        <v/>
      </c>
      <c r="Q431">
        <f>--(AND(D431&lt;=113.15,E431&lt;=0.15,F431&lt;=15.77,G431&lt;=0.18,H431&gt;33.27))*0</f>
        <v/>
      </c>
      <c r="R431">
        <f>--(AND(D431&lt;=113.15,E431&lt;=0.15,F431&lt;=15.77,G431&gt;0.18))*0</f>
        <v/>
      </c>
      <c r="S431">
        <f>--(AND(D431&lt;=113.15,E431&lt;=0.15,F431&gt;15.77,H431&lt;=28.86,G431&lt;=0.14))*0</f>
        <v/>
      </c>
      <c r="T431">
        <f>--(AND(D431&lt;=113.15,E431&lt;=0.15,F431&gt;15.77,H431&lt;=28.86,G431&gt;0.14))*1</f>
        <v/>
      </c>
      <c r="U431">
        <f>--(AND(D431&lt;=113.15,E431&lt;=0.15,F431&gt;15.77,H431&gt;28.86,M431&lt;=14.54))*1</f>
        <v/>
      </c>
      <c r="V431">
        <f>--(AND(D431&lt;=113.15,E431&lt;=0.15,F431&gt;15.77,H431&gt;28.86,M431&gt;14.54))*1</f>
        <v/>
      </c>
      <c r="W431">
        <f>--(AND(D431&lt;=113.15,E431&gt;0.15,H431&lt;=23.74))*0</f>
        <v/>
      </c>
      <c r="X431">
        <f>--(AND(D431&lt;=113.15,E431&gt;0.15,H431&gt;23.74,J431&lt;=0.1))*1</f>
        <v/>
      </c>
      <c r="Y431">
        <f>--(AND(D431&lt;=113.15,E431&gt;0.15,H431&gt;23.74,J431&gt;0.1))*1</f>
        <v/>
      </c>
      <c r="Z431">
        <f>--(AND(D431&gt;113.15,K431&lt;=0.22,L431&lt;=0.02))*1</f>
        <v/>
      </c>
      <c r="AA431">
        <f>--(AND(D431&gt;113.15,K431&lt;=0.22,L431&gt;0.02))*0</f>
        <v/>
      </c>
      <c r="AB431">
        <f>--(AND(D431&gt;113.15,K431&gt;0.22,N431&lt;=810.1))*0</f>
        <v/>
      </c>
      <c r="AC431">
        <f>--(AND(D431&gt;113.15,K431&gt;0.22,N431&gt;810.1,I431&lt;=14.95))*1</f>
        <v/>
      </c>
      <c r="AD431">
        <f>--(AND(D431&gt;113.15,K431&gt;0.22,N431&gt;810.1,I431&gt;14.95))*1</f>
        <v/>
      </c>
      <c r="AE431">
        <f>SUM(P431:AD431)</f>
        <v/>
      </c>
      <c r="AF431">
        <f>IF(AE431=1,"Malignant","Benign")</f>
        <v/>
      </c>
      <c r="AG431">
        <f>--(AE431=C431)</f>
        <v/>
      </c>
    </row>
    <row r="432">
      <c r="A432">
        <f>BreastCancer_Data!A432</f>
        <v/>
      </c>
      <c r="B432">
        <f>BreastCancer_Data!B432</f>
        <v/>
      </c>
      <c r="C432">
        <f>BreastCancer_Data!D432</f>
        <v/>
      </c>
      <c r="D432">
        <f>BreastCancer_Data!E432</f>
        <v/>
      </c>
      <c r="E432">
        <f>BreastCancer_Data!F432</f>
        <v/>
      </c>
      <c r="F432">
        <f>BreastCancer_Data!G432</f>
        <v/>
      </c>
      <c r="G432">
        <f>BreastCancer_Data!H432</f>
        <v/>
      </c>
      <c r="H432">
        <f>BreastCancer_Data!I432</f>
        <v/>
      </c>
      <c r="I432">
        <f>BreastCancer_Data!J432</f>
        <v/>
      </c>
      <c r="J432">
        <f>BreastCancer_Data!K432</f>
        <v/>
      </c>
      <c r="K432">
        <f>BreastCancer_Data!L432</f>
        <v/>
      </c>
      <c r="L432">
        <f>BreastCancer_Data!M432</f>
        <v/>
      </c>
      <c r="M432">
        <f>BreastCancer_Data!N432</f>
        <v/>
      </c>
      <c r="N432">
        <f>BreastCancer_Data!O432</f>
        <v/>
      </c>
      <c r="O432">
        <f>0</f>
        <v/>
      </c>
      <c r="P432">
        <f>--(AND(D432&lt;=113.15,E432&lt;=0.15,F432&lt;=15.77,G432&lt;=0.18,H432&lt;=33.27))*0</f>
        <v/>
      </c>
      <c r="Q432">
        <f>--(AND(D432&lt;=113.15,E432&lt;=0.15,F432&lt;=15.77,G432&lt;=0.18,H432&gt;33.27))*0</f>
        <v/>
      </c>
      <c r="R432">
        <f>--(AND(D432&lt;=113.15,E432&lt;=0.15,F432&lt;=15.77,G432&gt;0.18))*0</f>
        <v/>
      </c>
      <c r="S432">
        <f>--(AND(D432&lt;=113.15,E432&lt;=0.15,F432&gt;15.77,H432&lt;=28.86,G432&lt;=0.14))*0</f>
        <v/>
      </c>
      <c r="T432">
        <f>--(AND(D432&lt;=113.15,E432&lt;=0.15,F432&gt;15.77,H432&lt;=28.86,G432&gt;0.14))*1</f>
        <v/>
      </c>
      <c r="U432">
        <f>--(AND(D432&lt;=113.15,E432&lt;=0.15,F432&gt;15.77,H432&gt;28.86,M432&lt;=14.54))*1</f>
        <v/>
      </c>
      <c r="V432">
        <f>--(AND(D432&lt;=113.15,E432&lt;=0.15,F432&gt;15.77,H432&gt;28.86,M432&gt;14.54))*1</f>
        <v/>
      </c>
      <c r="W432">
        <f>--(AND(D432&lt;=113.15,E432&gt;0.15,H432&lt;=23.74))*0</f>
        <v/>
      </c>
      <c r="X432">
        <f>--(AND(D432&lt;=113.15,E432&gt;0.15,H432&gt;23.74,J432&lt;=0.1))*1</f>
        <v/>
      </c>
      <c r="Y432">
        <f>--(AND(D432&lt;=113.15,E432&gt;0.15,H432&gt;23.74,J432&gt;0.1))*1</f>
        <v/>
      </c>
      <c r="Z432">
        <f>--(AND(D432&gt;113.15,K432&lt;=0.22,L432&lt;=0.02))*1</f>
        <v/>
      </c>
      <c r="AA432">
        <f>--(AND(D432&gt;113.15,K432&lt;=0.22,L432&gt;0.02))*0</f>
        <v/>
      </c>
      <c r="AB432">
        <f>--(AND(D432&gt;113.15,K432&gt;0.22,N432&lt;=810.1))*0</f>
        <v/>
      </c>
      <c r="AC432">
        <f>--(AND(D432&gt;113.15,K432&gt;0.22,N432&gt;810.1,I432&lt;=14.95))*1</f>
        <v/>
      </c>
      <c r="AD432">
        <f>--(AND(D432&gt;113.15,K432&gt;0.22,N432&gt;810.1,I432&gt;14.95))*1</f>
        <v/>
      </c>
      <c r="AE432">
        <f>SUM(P432:AD432)</f>
        <v/>
      </c>
      <c r="AF432">
        <f>IF(AE432=1,"Malignant","Benign")</f>
        <v/>
      </c>
      <c r="AG432">
        <f>--(AE432=C432)</f>
        <v/>
      </c>
    </row>
    <row r="433">
      <c r="A433">
        <f>BreastCancer_Data!A433</f>
        <v/>
      </c>
      <c r="B433">
        <f>BreastCancer_Data!B433</f>
        <v/>
      </c>
      <c r="C433">
        <f>BreastCancer_Data!D433</f>
        <v/>
      </c>
      <c r="D433">
        <f>BreastCancer_Data!E433</f>
        <v/>
      </c>
      <c r="E433">
        <f>BreastCancer_Data!F433</f>
        <v/>
      </c>
      <c r="F433">
        <f>BreastCancer_Data!G433</f>
        <v/>
      </c>
      <c r="G433">
        <f>BreastCancer_Data!H433</f>
        <v/>
      </c>
      <c r="H433">
        <f>BreastCancer_Data!I433</f>
        <v/>
      </c>
      <c r="I433">
        <f>BreastCancer_Data!J433</f>
        <v/>
      </c>
      <c r="J433">
        <f>BreastCancer_Data!K433</f>
        <v/>
      </c>
      <c r="K433">
        <f>BreastCancer_Data!L433</f>
        <v/>
      </c>
      <c r="L433">
        <f>BreastCancer_Data!M433</f>
        <v/>
      </c>
      <c r="M433">
        <f>BreastCancer_Data!N433</f>
        <v/>
      </c>
      <c r="N433">
        <f>BreastCancer_Data!O433</f>
        <v/>
      </c>
      <c r="O433">
        <f>0</f>
        <v/>
      </c>
      <c r="P433">
        <f>--(AND(D433&lt;=113.15,E433&lt;=0.15,F433&lt;=15.77,G433&lt;=0.18,H433&lt;=33.27))*0</f>
        <v/>
      </c>
      <c r="Q433">
        <f>--(AND(D433&lt;=113.15,E433&lt;=0.15,F433&lt;=15.77,G433&lt;=0.18,H433&gt;33.27))*0</f>
        <v/>
      </c>
      <c r="R433">
        <f>--(AND(D433&lt;=113.15,E433&lt;=0.15,F433&lt;=15.77,G433&gt;0.18))*0</f>
        <v/>
      </c>
      <c r="S433">
        <f>--(AND(D433&lt;=113.15,E433&lt;=0.15,F433&gt;15.77,H433&lt;=28.86,G433&lt;=0.14))*0</f>
        <v/>
      </c>
      <c r="T433">
        <f>--(AND(D433&lt;=113.15,E433&lt;=0.15,F433&gt;15.77,H433&lt;=28.86,G433&gt;0.14))*1</f>
        <v/>
      </c>
      <c r="U433">
        <f>--(AND(D433&lt;=113.15,E433&lt;=0.15,F433&gt;15.77,H433&gt;28.86,M433&lt;=14.54))*1</f>
        <v/>
      </c>
      <c r="V433">
        <f>--(AND(D433&lt;=113.15,E433&lt;=0.15,F433&gt;15.77,H433&gt;28.86,M433&gt;14.54))*1</f>
        <v/>
      </c>
      <c r="W433">
        <f>--(AND(D433&lt;=113.15,E433&gt;0.15,H433&lt;=23.74))*0</f>
        <v/>
      </c>
      <c r="X433">
        <f>--(AND(D433&lt;=113.15,E433&gt;0.15,H433&gt;23.74,J433&lt;=0.1))*1</f>
        <v/>
      </c>
      <c r="Y433">
        <f>--(AND(D433&lt;=113.15,E433&gt;0.15,H433&gt;23.74,J433&gt;0.1))*1</f>
        <v/>
      </c>
      <c r="Z433">
        <f>--(AND(D433&gt;113.15,K433&lt;=0.22,L433&lt;=0.02))*1</f>
        <v/>
      </c>
      <c r="AA433">
        <f>--(AND(D433&gt;113.15,K433&lt;=0.22,L433&gt;0.02))*0</f>
        <v/>
      </c>
      <c r="AB433">
        <f>--(AND(D433&gt;113.15,K433&gt;0.22,N433&lt;=810.1))*0</f>
        <v/>
      </c>
      <c r="AC433">
        <f>--(AND(D433&gt;113.15,K433&gt;0.22,N433&gt;810.1,I433&lt;=14.95))*1</f>
        <v/>
      </c>
      <c r="AD433">
        <f>--(AND(D433&gt;113.15,K433&gt;0.22,N433&gt;810.1,I433&gt;14.95))*1</f>
        <v/>
      </c>
      <c r="AE433">
        <f>SUM(P433:AD433)</f>
        <v/>
      </c>
      <c r="AF433">
        <f>IF(AE433=1,"Malignant","Benign")</f>
        <v/>
      </c>
      <c r="AG433">
        <f>--(AE433=C433)</f>
        <v/>
      </c>
    </row>
    <row r="434">
      <c r="A434">
        <f>BreastCancer_Data!A434</f>
        <v/>
      </c>
      <c r="B434">
        <f>BreastCancer_Data!B434</f>
        <v/>
      </c>
      <c r="C434">
        <f>BreastCancer_Data!D434</f>
        <v/>
      </c>
      <c r="D434">
        <f>BreastCancer_Data!E434</f>
        <v/>
      </c>
      <c r="E434">
        <f>BreastCancer_Data!F434</f>
        <v/>
      </c>
      <c r="F434">
        <f>BreastCancer_Data!G434</f>
        <v/>
      </c>
      <c r="G434">
        <f>BreastCancer_Data!H434</f>
        <v/>
      </c>
      <c r="H434">
        <f>BreastCancer_Data!I434</f>
        <v/>
      </c>
      <c r="I434">
        <f>BreastCancer_Data!J434</f>
        <v/>
      </c>
      <c r="J434">
        <f>BreastCancer_Data!K434</f>
        <v/>
      </c>
      <c r="K434">
        <f>BreastCancer_Data!L434</f>
        <v/>
      </c>
      <c r="L434">
        <f>BreastCancer_Data!M434</f>
        <v/>
      </c>
      <c r="M434">
        <f>BreastCancer_Data!N434</f>
        <v/>
      </c>
      <c r="N434">
        <f>BreastCancer_Data!O434</f>
        <v/>
      </c>
      <c r="O434">
        <f>0</f>
        <v/>
      </c>
      <c r="P434">
        <f>--(AND(D434&lt;=113.15,E434&lt;=0.15,F434&lt;=15.77,G434&lt;=0.18,H434&lt;=33.27))*0</f>
        <v/>
      </c>
      <c r="Q434">
        <f>--(AND(D434&lt;=113.15,E434&lt;=0.15,F434&lt;=15.77,G434&lt;=0.18,H434&gt;33.27))*0</f>
        <v/>
      </c>
      <c r="R434">
        <f>--(AND(D434&lt;=113.15,E434&lt;=0.15,F434&lt;=15.77,G434&gt;0.18))*0</f>
        <v/>
      </c>
      <c r="S434">
        <f>--(AND(D434&lt;=113.15,E434&lt;=0.15,F434&gt;15.77,H434&lt;=28.86,G434&lt;=0.14))*0</f>
        <v/>
      </c>
      <c r="T434">
        <f>--(AND(D434&lt;=113.15,E434&lt;=0.15,F434&gt;15.77,H434&lt;=28.86,G434&gt;0.14))*1</f>
        <v/>
      </c>
      <c r="U434">
        <f>--(AND(D434&lt;=113.15,E434&lt;=0.15,F434&gt;15.77,H434&gt;28.86,M434&lt;=14.54))*1</f>
        <v/>
      </c>
      <c r="V434">
        <f>--(AND(D434&lt;=113.15,E434&lt;=0.15,F434&gt;15.77,H434&gt;28.86,M434&gt;14.54))*1</f>
        <v/>
      </c>
      <c r="W434">
        <f>--(AND(D434&lt;=113.15,E434&gt;0.15,H434&lt;=23.74))*0</f>
        <v/>
      </c>
      <c r="X434">
        <f>--(AND(D434&lt;=113.15,E434&gt;0.15,H434&gt;23.74,J434&lt;=0.1))*1</f>
        <v/>
      </c>
      <c r="Y434">
        <f>--(AND(D434&lt;=113.15,E434&gt;0.15,H434&gt;23.74,J434&gt;0.1))*1</f>
        <v/>
      </c>
      <c r="Z434">
        <f>--(AND(D434&gt;113.15,K434&lt;=0.22,L434&lt;=0.02))*1</f>
        <v/>
      </c>
      <c r="AA434">
        <f>--(AND(D434&gt;113.15,K434&lt;=0.22,L434&gt;0.02))*0</f>
        <v/>
      </c>
      <c r="AB434">
        <f>--(AND(D434&gt;113.15,K434&gt;0.22,N434&lt;=810.1))*0</f>
        <v/>
      </c>
      <c r="AC434">
        <f>--(AND(D434&gt;113.15,K434&gt;0.22,N434&gt;810.1,I434&lt;=14.95))*1</f>
        <v/>
      </c>
      <c r="AD434">
        <f>--(AND(D434&gt;113.15,K434&gt;0.22,N434&gt;810.1,I434&gt;14.95))*1</f>
        <v/>
      </c>
      <c r="AE434">
        <f>SUM(P434:AD434)</f>
        <v/>
      </c>
      <c r="AF434">
        <f>IF(AE434=1,"Malignant","Benign")</f>
        <v/>
      </c>
      <c r="AG434">
        <f>--(AE434=C434)</f>
        <v/>
      </c>
    </row>
    <row r="435">
      <c r="A435">
        <f>BreastCancer_Data!A435</f>
        <v/>
      </c>
      <c r="B435">
        <f>BreastCancer_Data!B435</f>
        <v/>
      </c>
      <c r="C435">
        <f>BreastCancer_Data!D435</f>
        <v/>
      </c>
      <c r="D435">
        <f>BreastCancer_Data!E435</f>
        <v/>
      </c>
      <c r="E435">
        <f>BreastCancer_Data!F435</f>
        <v/>
      </c>
      <c r="F435">
        <f>BreastCancer_Data!G435</f>
        <v/>
      </c>
      <c r="G435">
        <f>BreastCancer_Data!H435</f>
        <v/>
      </c>
      <c r="H435">
        <f>BreastCancer_Data!I435</f>
        <v/>
      </c>
      <c r="I435">
        <f>BreastCancer_Data!J435</f>
        <v/>
      </c>
      <c r="J435">
        <f>BreastCancer_Data!K435</f>
        <v/>
      </c>
      <c r="K435">
        <f>BreastCancer_Data!L435</f>
        <v/>
      </c>
      <c r="L435">
        <f>BreastCancer_Data!M435</f>
        <v/>
      </c>
      <c r="M435">
        <f>BreastCancer_Data!N435</f>
        <v/>
      </c>
      <c r="N435">
        <f>BreastCancer_Data!O435</f>
        <v/>
      </c>
      <c r="O435">
        <f>0</f>
        <v/>
      </c>
      <c r="P435">
        <f>--(AND(D435&lt;=113.15,E435&lt;=0.15,F435&lt;=15.77,G435&lt;=0.18,H435&lt;=33.27))*0</f>
        <v/>
      </c>
      <c r="Q435">
        <f>--(AND(D435&lt;=113.15,E435&lt;=0.15,F435&lt;=15.77,G435&lt;=0.18,H435&gt;33.27))*0</f>
        <v/>
      </c>
      <c r="R435">
        <f>--(AND(D435&lt;=113.15,E435&lt;=0.15,F435&lt;=15.77,G435&gt;0.18))*0</f>
        <v/>
      </c>
      <c r="S435">
        <f>--(AND(D435&lt;=113.15,E435&lt;=0.15,F435&gt;15.77,H435&lt;=28.86,G435&lt;=0.14))*0</f>
        <v/>
      </c>
      <c r="T435">
        <f>--(AND(D435&lt;=113.15,E435&lt;=0.15,F435&gt;15.77,H435&lt;=28.86,G435&gt;0.14))*1</f>
        <v/>
      </c>
      <c r="U435">
        <f>--(AND(D435&lt;=113.15,E435&lt;=0.15,F435&gt;15.77,H435&gt;28.86,M435&lt;=14.54))*1</f>
        <v/>
      </c>
      <c r="V435">
        <f>--(AND(D435&lt;=113.15,E435&lt;=0.15,F435&gt;15.77,H435&gt;28.86,M435&gt;14.54))*1</f>
        <v/>
      </c>
      <c r="W435">
        <f>--(AND(D435&lt;=113.15,E435&gt;0.15,H435&lt;=23.74))*0</f>
        <v/>
      </c>
      <c r="X435">
        <f>--(AND(D435&lt;=113.15,E435&gt;0.15,H435&gt;23.74,J435&lt;=0.1))*1</f>
        <v/>
      </c>
      <c r="Y435">
        <f>--(AND(D435&lt;=113.15,E435&gt;0.15,H435&gt;23.74,J435&gt;0.1))*1</f>
        <v/>
      </c>
      <c r="Z435">
        <f>--(AND(D435&gt;113.15,K435&lt;=0.22,L435&lt;=0.02))*1</f>
        <v/>
      </c>
      <c r="AA435">
        <f>--(AND(D435&gt;113.15,K435&lt;=0.22,L435&gt;0.02))*0</f>
        <v/>
      </c>
      <c r="AB435">
        <f>--(AND(D435&gt;113.15,K435&gt;0.22,N435&lt;=810.1))*0</f>
        <v/>
      </c>
      <c r="AC435">
        <f>--(AND(D435&gt;113.15,K435&gt;0.22,N435&gt;810.1,I435&lt;=14.95))*1</f>
        <v/>
      </c>
      <c r="AD435">
        <f>--(AND(D435&gt;113.15,K435&gt;0.22,N435&gt;810.1,I435&gt;14.95))*1</f>
        <v/>
      </c>
      <c r="AE435">
        <f>SUM(P435:AD435)</f>
        <v/>
      </c>
      <c r="AF435">
        <f>IF(AE435=1,"Malignant","Benign")</f>
        <v/>
      </c>
      <c r="AG435">
        <f>--(AE435=C435)</f>
        <v/>
      </c>
    </row>
    <row r="436">
      <c r="A436">
        <f>BreastCancer_Data!A436</f>
        <v/>
      </c>
      <c r="B436">
        <f>BreastCancer_Data!B436</f>
        <v/>
      </c>
      <c r="C436">
        <f>BreastCancer_Data!D436</f>
        <v/>
      </c>
      <c r="D436">
        <f>BreastCancer_Data!E436</f>
        <v/>
      </c>
      <c r="E436">
        <f>BreastCancer_Data!F436</f>
        <v/>
      </c>
      <c r="F436">
        <f>BreastCancer_Data!G436</f>
        <v/>
      </c>
      <c r="G436">
        <f>BreastCancer_Data!H436</f>
        <v/>
      </c>
      <c r="H436">
        <f>BreastCancer_Data!I436</f>
        <v/>
      </c>
      <c r="I436">
        <f>BreastCancer_Data!J436</f>
        <v/>
      </c>
      <c r="J436">
        <f>BreastCancer_Data!K436</f>
        <v/>
      </c>
      <c r="K436">
        <f>BreastCancer_Data!L436</f>
        <v/>
      </c>
      <c r="L436">
        <f>BreastCancer_Data!M436</f>
        <v/>
      </c>
      <c r="M436">
        <f>BreastCancer_Data!N436</f>
        <v/>
      </c>
      <c r="N436">
        <f>BreastCancer_Data!O436</f>
        <v/>
      </c>
      <c r="O436">
        <f>0</f>
        <v/>
      </c>
      <c r="P436">
        <f>--(AND(D436&lt;=113.15,E436&lt;=0.15,F436&lt;=15.77,G436&lt;=0.18,H436&lt;=33.27))*0</f>
        <v/>
      </c>
      <c r="Q436">
        <f>--(AND(D436&lt;=113.15,E436&lt;=0.15,F436&lt;=15.77,G436&lt;=0.18,H436&gt;33.27))*0</f>
        <v/>
      </c>
      <c r="R436">
        <f>--(AND(D436&lt;=113.15,E436&lt;=0.15,F436&lt;=15.77,G436&gt;0.18))*0</f>
        <v/>
      </c>
      <c r="S436">
        <f>--(AND(D436&lt;=113.15,E436&lt;=0.15,F436&gt;15.77,H436&lt;=28.86,G436&lt;=0.14))*0</f>
        <v/>
      </c>
      <c r="T436">
        <f>--(AND(D436&lt;=113.15,E436&lt;=0.15,F436&gt;15.77,H436&lt;=28.86,G436&gt;0.14))*1</f>
        <v/>
      </c>
      <c r="U436">
        <f>--(AND(D436&lt;=113.15,E436&lt;=0.15,F436&gt;15.77,H436&gt;28.86,M436&lt;=14.54))*1</f>
        <v/>
      </c>
      <c r="V436">
        <f>--(AND(D436&lt;=113.15,E436&lt;=0.15,F436&gt;15.77,H436&gt;28.86,M436&gt;14.54))*1</f>
        <v/>
      </c>
      <c r="W436">
        <f>--(AND(D436&lt;=113.15,E436&gt;0.15,H436&lt;=23.74))*0</f>
        <v/>
      </c>
      <c r="X436">
        <f>--(AND(D436&lt;=113.15,E436&gt;0.15,H436&gt;23.74,J436&lt;=0.1))*1</f>
        <v/>
      </c>
      <c r="Y436">
        <f>--(AND(D436&lt;=113.15,E436&gt;0.15,H436&gt;23.74,J436&gt;0.1))*1</f>
        <v/>
      </c>
      <c r="Z436">
        <f>--(AND(D436&gt;113.15,K436&lt;=0.22,L436&lt;=0.02))*1</f>
        <v/>
      </c>
      <c r="AA436">
        <f>--(AND(D436&gt;113.15,K436&lt;=0.22,L436&gt;0.02))*0</f>
        <v/>
      </c>
      <c r="AB436">
        <f>--(AND(D436&gt;113.15,K436&gt;0.22,N436&lt;=810.1))*0</f>
        <v/>
      </c>
      <c r="AC436">
        <f>--(AND(D436&gt;113.15,K436&gt;0.22,N436&gt;810.1,I436&lt;=14.95))*1</f>
        <v/>
      </c>
      <c r="AD436">
        <f>--(AND(D436&gt;113.15,K436&gt;0.22,N436&gt;810.1,I436&gt;14.95))*1</f>
        <v/>
      </c>
      <c r="AE436">
        <f>SUM(P436:AD436)</f>
        <v/>
      </c>
      <c r="AF436">
        <f>IF(AE436=1,"Malignant","Benign")</f>
        <v/>
      </c>
      <c r="AG436">
        <f>--(AE436=C436)</f>
        <v/>
      </c>
    </row>
    <row r="437">
      <c r="A437">
        <f>BreastCancer_Data!A437</f>
        <v/>
      </c>
      <c r="B437">
        <f>BreastCancer_Data!B437</f>
        <v/>
      </c>
      <c r="C437">
        <f>BreastCancer_Data!D437</f>
        <v/>
      </c>
      <c r="D437">
        <f>BreastCancer_Data!E437</f>
        <v/>
      </c>
      <c r="E437">
        <f>BreastCancer_Data!F437</f>
        <v/>
      </c>
      <c r="F437">
        <f>BreastCancer_Data!G437</f>
        <v/>
      </c>
      <c r="G437">
        <f>BreastCancer_Data!H437</f>
        <v/>
      </c>
      <c r="H437">
        <f>BreastCancer_Data!I437</f>
        <v/>
      </c>
      <c r="I437">
        <f>BreastCancer_Data!J437</f>
        <v/>
      </c>
      <c r="J437">
        <f>BreastCancer_Data!K437</f>
        <v/>
      </c>
      <c r="K437">
        <f>BreastCancer_Data!L437</f>
        <v/>
      </c>
      <c r="L437">
        <f>BreastCancer_Data!M437</f>
        <v/>
      </c>
      <c r="M437">
        <f>BreastCancer_Data!N437</f>
        <v/>
      </c>
      <c r="N437">
        <f>BreastCancer_Data!O437</f>
        <v/>
      </c>
      <c r="O437">
        <f>0</f>
        <v/>
      </c>
      <c r="P437">
        <f>--(AND(D437&lt;=113.15,E437&lt;=0.15,F437&lt;=15.77,G437&lt;=0.18,H437&lt;=33.27))*0</f>
        <v/>
      </c>
      <c r="Q437">
        <f>--(AND(D437&lt;=113.15,E437&lt;=0.15,F437&lt;=15.77,G437&lt;=0.18,H437&gt;33.27))*0</f>
        <v/>
      </c>
      <c r="R437">
        <f>--(AND(D437&lt;=113.15,E437&lt;=0.15,F437&lt;=15.77,G437&gt;0.18))*0</f>
        <v/>
      </c>
      <c r="S437">
        <f>--(AND(D437&lt;=113.15,E437&lt;=0.15,F437&gt;15.77,H437&lt;=28.86,G437&lt;=0.14))*0</f>
        <v/>
      </c>
      <c r="T437">
        <f>--(AND(D437&lt;=113.15,E437&lt;=0.15,F437&gt;15.77,H437&lt;=28.86,G437&gt;0.14))*1</f>
        <v/>
      </c>
      <c r="U437">
        <f>--(AND(D437&lt;=113.15,E437&lt;=0.15,F437&gt;15.77,H437&gt;28.86,M437&lt;=14.54))*1</f>
        <v/>
      </c>
      <c r="V437">
        <f>--(AND(D437&lt;=113.15,E437&lt;=0.15,F437&gt;15.77,H437&gt;28.86,M437&gt;14.54))*1</f>
        <v/>
      </c>
      <c r="W437">
        <f>--(AND(D437&lt;=113.15,E437&gt;0.15,H437&lt;=23.74))*0</f>
        <v/>
      </c>
      <c r="X437">
        <f>--(AND(D437&lt;=113.15,E437&gt;0.15,H437&gt;23.74,J437&lt;=0.1))*1</f>
        <v/>
      </c>
      <c r="Y437">
        <f>--(AND(D437&lt;=113.15,E437&gt;0.15,H437&gt;23.74,J437&gt;0.1))*1</f>
        <v/>
      </c>
      <c r="Z437">
        <f>--(AND(D437&gt;113.15,K437&lt;=0.22,L437&lt;=0.02))*1</f>
        <v/>
      </c>
      <c r="AA437">
        <f>--(AND(D437&gt;113.15,K437&lt;=0.22,L437&gt;0.02))*0</f>
        <v/>
      </c>
      <c r="AB437">
        <f>--(AND(D437&gt;113.15,K437&gt;0.22,N437&lt;=810.1))*0</f>
        <v/>
      </c>
      <c r="AC437">
        <f>--(AND(D437&gt;113.15,K437&gt;0.22,N437&gt;810.1,I437&lt;=14.95))*1</f>
        <v/>
      </c>
      <c r="AD437">
        <f>--(AND(D437&gt;113.15,K437&gt;0.22,N437&gt;810.1,I437&gt;14.95))*1</f>
        <v/>
      </c>
      <c r="AE437">
        <f>SUM(P437:AD437)</f>
        <v/>
      </c>
      <c r="AF437">
        <f>IF(AE437=1,"Malignant","Benign")</f>
        <v/>
      </c>
      <c r="AG437">
        <f>--(AE437=C437)</f>
        <v/>
      </c>
    </row>
    <row r="438">
      <c r="A438">
        <f>BreastCancer_Data!A438</f>
        <v/>
      </c>
      <c r="B438">
        <f>BreastCancer_Data!B438</f>
        <v/>
      </c>
      <c r="C438">
        <f>BreastCancer_Data!D438</f>
        <v/>
      </c>
      <c r="D438">
        <f>BreastCancer_Data!E438</f>
        <v/>
      </c>
      <c r="E438">
        <f>BreastCancer_Data!F438</f>
        <v/>
      </c>
      <c r="F438">
        <f>BreastCancer_Data!G438</f>
        <v/>
      </c>
      <c r="G438">
        <f>BreastCancer_Data!H438</f>
        <v/>
      </c>
      <c r="H438">
        <f>BreastCancer_Data!I438</f>
        <v/>
      </c>
      <c r="I438">
        <f>BreastCancer_Data!J438</f>
        <v/>
      </c>
      <c r="J438">
        <f>BreastCancer_Data!K438</f>
        <v/>
      </c>
      <c r="K438">
        <f>BreastCancer_Data!L438</f>
        <v/>
      </c>
      <c r="L438">
        <f>BreastCancer_Data!M438</f>
        <v/>
      </c>
      <c r="M438">
        <f>BreastCancer_Data!N438</f>
        <v/>
      </c>
      <c r="N438">
        <f>BreastCancer_Data!O438</f>
        <v/>
      </c>
      <c r="O438">
        <f>0</f>
        <v/>
      </c>
      <c r="P438">
        <f>--(AND(D438&lt;=113.15,E438&lt;=0.15,F438&lt;=15.77,G438&lt;=0.18,H438&lt;=33.27))*0</f>
        <v/>
      </c>
      <c r="Q438">
        <f>--(AND(D438&lt;=113.15,E438&lt;=0.15,F438&lt;=15.77,G438&lt;=0.18,H438&gt;33.27))*0</f>
        <v/>
      </c>
      <c r="R438">
        <f>--(AND(D438&lt;=113.15,E438&lt;=0.15,F438&lt;=15.77,G438&gt;0.18))*0</f>
        <v/>
      </c>
      <c r="S438">
        <f>--(AND(D438&lt;=113.15,E438&lt;=0.15,F438&gt;15.77,H438&lt;=28.86,G438&lt;=0.14))*0</f>
        <v/>
      </c>
      <c r="T438">
        <f>--(AND(D438&lt;=113.15,E438&lt;=0.15,F438&gt;15.77,H438&lt;=28.86,G438&gt;0.14))*1</f>
        <v/>
      </c>
      <c r="U438">
        <f>--(AND(D438&lt;=113.15,E438&lt;=0.15,F438&gt;15.77,H438&gt;28.86,M438&lt;=14.54))*1</f>
        <v/>
      </c>
      <c r="V438">
        <f>--(AND(D438&lt;=113.15,E438&lt;=0.15,F438&gt;15.77,H438&gt;28.86,M438&gt;14.54))*1</f>
        <v/>
      </c>
      <c r="W438">
        <f>--(AND(D438&lt;=113.15,E438&gt;0.15,H438&lt;=23.74))*0</f>
        <v/>
      </c>
      <c r="X438">
        <f>--(AND(D438&lt;=113.15,E438&gt;0.15,H438&gt;23.74,J438&lt;=0.1))*1</f>
        <v/>
      </c>
      <c r="Y438">
        <f>--(AND(D438&lt;=113.15,E438&gt;0.15,H438&gt;23.74,J438&gt;0.1))*1</f>
        <v/>
      </c>
      <c r="Z438">
        <f>--(AND(D438&gt;113.15,K438&lt;=0.22,L438&lt;=0.02))*1</f>
        <v/>
      </c>
      <c r="AA438">
        <f>--(AND(D438&gt;113.15,K438&lt;=0.22,L438&gt;0.02))*0</f>
        <v/>
      </c>
      <c r="AB438">
        <f>--(AND(D438&gt;113.15,K438&gt;0.22,N438&lt;=810.1))*0</f>
        <v/>
      </c>
      <c r="AC438">
        <f>--(AND(D438&gt;113.15,K438&gt;0.22,N438&gt;810.1,I438&lt;=14.95))*1</f>
        <v/>
      </c>
      <c r="AD438">
        <f>--(AND(D438&gt;113.15,K438&gt;0.22,N438&gt;810.1,I438&gt;14.95))*1</f>
        <v/>
      </c>
      <c r="AE438">
        <f>SUM(P438:AD438)</f>
        <v/>
      </c>
      <c r="AF438">
        <f>IF(AE438=1,"Malignant","Benign")</f>
        <v/>
      </c>
      <c r="AG438">
        <f>--(AE438=C438)</f>
        <v/>
      </c>
    </row>
    <row r="439">
      <c r="A439">
        <f>BreastCancer_Data!A439</f>
        <v/>
      </c>
      <c r="B439">
        <f>BreastCancer_Data!B439</f>
        <v/>
      </c>
      <c r="C439">
        <f>BreastCancer_Data!D439</f>
        <v/>
      </c>
      <c r="D439">
        <f>BreastCancer_Data!E439</f>
        <v/>
      </c>
      <c r="E439">
        <f>BreastCancer_Data!F439</f>
        <v/>
      </c>
      <c r="F439">
        <f>BreastCancer_Data!G439</f>
        <v/>
      </c>
      <c r="G439">
        <f>BreastCancer_Data!H439</f>
        <v/>
      </c>
      <c r="H439">
        <f>BreastCancer_Data!I439</f>
        <v/>
      </c>
      <c r="I439">
        <f>BreastCancer_Data!J439</f>
        <v/>
      </c>
      <c r="J439">
        <f>BreastCancer_Data!K439</f>
        <v/>
      </c>
      <c r="K439">
        <f>BreastCancer_Data!L439</f>
        <v/>
      </c>
      <c r="L439">
        <f>BreastCancer_Data!M439</f>
        <v/>
      </c>
      <c r="M439">
        <f>BreastCancer_Data!N439</f>
        <v/>
      </c>
      <c r="N439">
        <f>BreastCancer_Data!O439</f>
        <v/>
      </c>
      <c r="O439">
        <f>0</f>
        <v/>
      </c>
      <c r="P439">
        <f>--(AND(D439&lt;=113.15,E439&lt;=0.15,F439&lt;=15.77,G439&lt;=0.18,H439&lt;=33.27))*0</f>
        <v/>
      </c>
      <c r="Q439">
        <f>--(AND(D439&lt;=113.15,E439&lt;=0.15,F439&lt;=15.77,G439&lt;=0.18,H439&gt;33.27))*0</f>
        <v/>
      </c>
      <c r="R439">
        <f>--(AND(D439&lt;=113.15,E439&lt;=0.15,F439&lt;=15.77,G439&gt;0.18))*0</f>
        <v/>
      </c>
      <c r="S439">
        <f>--(AND(D439&lt;=113.15,E439&lt;=0.15,F439&gt;15.77,H439&lt;=28.86,G439&lt;=0.14))*0</f>
        <v/>
      </c>
      <c r="T439">
        <f>--(AND(D439&lt;=113.15,E439&lt;=0.15,F439&gt;15.77,H439&lt;=28.86,G439&gt;0.14))*1</f>
        <v/>
      </c>
      <c r="U439">
        <f>--(AND(D439&lt;=113.15,E439&lt;=0.15,F439&gt;15.77,H439&gt;28.86,M439&lt;=14.54))*1</f>
        <v/>
      </c>
      <c r="V439">
        <f>--(AND(D439&lt;=113.15,E439&lt;=0.15,F439&gt;15.77,H439&gt;28.86,M439&gt;14.54))*1</f>
        <v/>
      </c>
      <c r="W439">
        <f>--(AND(D439&lt;=113.15,E439&gt;0.15,H439&lt;=23.74))*0</f>
        <v/>
      </c>
      <c r="X439">
        <f>--(AND(D439&lt;=113.15,E439&gt;0.15,H439&gt;23.74,J439&lt;=0.1))*1</f>
        <v/>
      </c>
      <c r="Y439">
        <f>--(AND(D439&lt;=113.15,E439&gt;0.15,H439&gt;23.74,J439&gt;0.1))*1</f>
        <v/>
      </c>
      <c r="Z439">
        <f>--(AND(D439&gt;113.15,K439&lt;=0.22,L439&lt;=0.02))*1</f>
        <v/>
      </c>
      <c r="AA439">
        <f>--(AND(D439&gt;113.15,K439&lt;=0.22,L439&gt;0.02))*0</f>
        <v/>
      </c>
      <c r="AB439">
        <f>--(AND(D439&gt;113.15,K439&gt;0.22,N439&lt;=810.1))*0</f>
        <v/>
      </c>
      <c r="AC439">
        <f>--(AND(D439&gt;113.15,K439&gt;0.22,N439&gt;810.1,I439&lt;=14.95))*1</f>
        <v/>
      </c>
      <c r="AD439">
        <f>--(AND(D439&gt;113.15,K439&gt;0.22,N439&gt;810.1,I439&gt;14.95))*1</f>
        <v/>
      </c>
      <c r="AE439">
        <f>SUM(P439:AD439)</f>
        <v/>
      </c>
      <c r="AF439">
        <f>IF(AE439=1,"Malignant","Benign")</f>
        <v/>
      </c>
      <c r="AG439">
        <f>--(AE439=C439)</f>
        <v/>
      </c>
    </row>
    <row r="440">
      <c r="A440">
        <f>BreastCancer_Data!A440</f>
        <v/>
      </c>
      <c r="B440">
        <f>BreastCancer_Data!B440</f>
        <v/>
      </c>
      <c r="C440">
        <f>BreastCancer_Data!D440</f>
        <v/>
      </c>
      <c r="D440">
        <f>BreastCancer_Data!E440</f>
        <v/>
      </c>
      <c r="E440">
        <f>BreastCancer_Data!F440</f>
        <v/>
      </c>
      <c r="F440">
        <f>BreastCancer_Data!G440</f>
        <v/>
      </c>
      <c r="G440">
        <f>BreastCancer_Data!H440</f>
        <v/>
      </c>
      <c r="H440">
        <f>BreastCancer_Data!I440</f>
        <v/>
      </c>
      <c r="I440">
        <f>BreastCancer_Data!J440</f>
        <v/>
      </c>
      <c r="J440">
        <f>BreastCancer_Data!K440</f>
        <v/>
      </c>
      <c r="K440">
        <f>BreastCancer_Data!L440</f>
        <v/>
      </c>
      <c r="L440">
        <f>BreastCancer_Data!M440</f>
        <v/>
      </c>
      <c r="M440">
        <f>BreastCancer_Data!N440</f>
        <v/>
      </c>
      <c r="N440">
        <f>BreastCancer_Data!O440</f>
        <v/>
      </c>
      <c r="O440">
        <f>0</f>
        <v/>
      </c>
      <c r="P440">
        <f>--(AND(D440&lt;=113.15,E440&lt;=0.15,F440&lt;=15.77,G440&lt;=0.18,H440&lt;=33.27))*0</f>
        <v/>
      </c>
      <c r="Q440">
        <f>--(AND(D440&lt;=113.15,E440&lt;=0.15,F440&lt;=15.77,G440&lt;=0.18,H440&gt;33.27))*0</f>
        <v/>
      </c>
      <c r="R440">
        <f>--(AND(D440&lt;=113.15,E440&lt;=0.15,F440&lt;=15.77,G440&gt;0.18))*0</f>
        <v/>
      </c>
      <c r="S440">
        <f>--(AND(D440&lt;=113.15,E440&lt;=0.15,F440&gt;15.77,H440&lt;=28.86,G440&lt;=0.14))*0</f>
        <v/>
      </c>
      <c r="T440">
        <f>--(AND(D440&lt;=113.15,E440&lt;=0.15,F440&gt;15.77,H440&lt;=28.86,G440&gt;0.14))*1</f>
        <v/>
      </c>
      <c r="U440">
        <f>--(AND(D440&lt;=113.15,E440&lt;=0.15,F440&gt;15.77,H440&gt;28.86,M440&lt;=14.54))*1</f>
        <v/>
      </c>
      <c r="V440">
        <f>--(AND(D440&lt;=113.15,E440&lt;=0.15,F440&gt;15.77,H440&gt;28.86,M440&gt;14.54))*1</f>
        <v/>
      </c>
      <c r="W440">
        <f>--(AND(D440&lt;=113.15,E440&gt;0.15,H440&lt;=23.74))*0</f>
        <v/>
      </c>
      <c r="X440">
        <f>--(AND(D440&lt;=113.15,E440&gt;0.15,H440&gt;23.74,J440&lt;=0.1))*1</f>
        <v/>
      </c>
      <c r="Y440">
        <f>--(AND(D440&lt;=113.15,E440&gt;0.15,H440&gt;23.74,J440&gt;0.1))*1</f>
        <v/>
      </c>
      <c r="Z440">
        <f>--(AND(D440&gt;113.15,K440&lt;=0.22,L440&lt;=0.02))*1</f>
        <v/>
      </c>
      <c r="AA440">
        <f>--(AND(D440&gt;113.15,K440&lt;=0.22,L440&gt;0.02))*0</f>
        <v/>
      </c>
      <c r="AB440">
        <f>--(AND(D440&gt;113.15,K440&gt;0.22,N440&lt;=810.1))*0</f>
        <v/>
      </c>
      <c r="AC440">
        <f>--(AND(D440&gt;113.15,K440&gt;0.22,N440&gt;810.1,I440&lt;=14.95))*1</f>
        <v/>
      </c>
      <c r="AD440">
        <f>--(AND(D440&gt;113.15,K440&gt;0.22,N440&gt;810.1,I440&gt;14.95))*1</f>
        <v/>
      </c>
      <c r="AE440">
        <f>SUM(P440:AD440)</f>
        <v/>
      </c>
      <c r="AF440">
        <f>IF(AE440=1,"Malignant","Benign")</f>
        <v/>
      </c>
      <c r="AG440">
        <f>--(AE440=C440)</f>
        <v/>
      </c>
    </row>
    <row r="441">
      <c r="A441">
        <f>BreastCancer_Data!A441</f>
        <v/>
      </c>
      <c r="B441">
        <f>BreastCancer_Data!B441</f>
        <v/>
      </c>
      <c r="C441">
        <f>BreastCancer_Data!D441</f>
        <v/>
      </c>
      <c r="D441">
        <f>BreastCancer_Data!E441</f>
        <v/>
      </c>
      <c r="E441">
        <f>BreastCancer_Data!F441</f>
        <v/>
      </c>
      <c r="F441">
        <f>BreastCancer_Data!G441</f>
        <v/>
      </c>
      <c r="G441">
        <f>BreastCancer_Data!H441</f>
        <v/>
      </c>
      <c r="H441">
        <f>BreastCancer_Data!I441</f>
        <v/>
      </c>
      <c r="I441">
        <f>BreastCancer_Data!J441</f>
        <v/>
      </c>
      <c r="J441">
        <f>BreastCancer_Data!K441</f>
        <v/>
      </c>
      <c r="K441">
        <f>BreastCancer_Data!L441</f>
        <v/>
      </c>
      <c r="L441">
        <f>BreastCancer_Data!M441</f>
        <v/>
      </c>
      <c r="M441">
        <f>BreastCancer_Data!N441</f>
        <v/>
      </c>
      <c r="N441">
        <f>BreastCancer_Data!O441</f>
        <v/>
      </c>
      <c r="O441">
        <f>0</f>
        <v/>
      </c>
      <c r="P441">
        <f>--(AND(D441&lt;=113.15,E441&lt;=0.15,F441&lt;=15.77,G441&lt;=0.18,H441&lt;=33.27))*0</f>
        <v/>
      </c>
      <c r="Q441">
        <f>--(AND(D441&lt;=113.15,E441&lt;=0.15,F441&lt;=15.77,G441&lt;=0.18,H441&gt;33.27))*0</f>
        <v/>
      </c>
      <c r="R441">
        <f>--(AND(D441&lt;=113.15,E441&lt;=0.15,F441&lt;=15.77,G441&gt;0.18))*0</f>
        <v/>
      </c>
      <c r="S441">
        <f>--(AND(D441&lt;=113.15,E441&lt;=0.15,F441&gt;15.77,H441&lt;=28.86,G441&lt;=0.14))*0</f>
        <v/>
      </c>
      <c r="T441">
        <f>--(AND(D441&lt;=113.15,E441&lt;=0.15,F441&gt;15.77,H441&lt;=28.86,G441&gt;0.14))*1</f>
        <v/>
      </c>
      <c r="U441">
        <f>--(AND(D441&lt;=113.15,E441&lt;=0.15,F441&gt;15.77,H441&gt;28.86,M441&lt;=14.54))*1</f>
        <v/>
      </c>
      <c r="V441">
        <f>--(AND(D441&lt;=113.15,E441&lt;=0.15,F441&gt;15.77,H441&gt;28.86,M441&gt;14.54))*1</f>
        <v/>
      </c>
      <c r="W441">
        <f>--(AND(D441&lt;=113.15,E441&gt;0.15,H441&lt;=23.74))*0</f>
        <v/>
      </c>
      <c r="X441">
        <f>--(AND(D441&lt;=113.15,E441&gt;0.15,H441&gt;23.74,J441&lt;=0.1))*1</f>
        <v/>
      </c>
      <c r="Y441">
        <f>--(AND(D441&lt;=113.15,E441&gt;0.15,H441&gt;23.74,J441&gt;0.1))*1</f>
        <v/>
      </c>
      <c r="Z441">
        <f>--(AND(D441&gt;113.15,K441&lt;=0.22,L441&lt;=0.02))*1</f>
        <v/>
      </c>
      <c r="AA441">
        <f>--(AND(D441&gt;113.15,K441&lt;=0.22,L441&gt;0.02))*0</f>
        <v/>
      </c>
      <c r="AB441">
        <f>--(AND(D441&gt;113.15,K441&gt;0.22,N441&lt;=810.1))*0</f>
        <v/>
      </c>
      <c r="AC441">
        <f>--(AND(D441&gt;113.15,K441&gt;0.22,N441&gt;810.1,I441&lt;=14.95))*1</f>
        <v/>
      </c>
      <c r="AD441">
        <f>--(AND(D441&gt;113.15,K441&gt;0.22,N441&gt;810.1,I441&gt;14.95))*1</f>
        <v/>
      </c>
      <c r="AE441">
        <f>SUM(P441:AD441)</f>
        <v/>
      </c>
      <c r="AF441">
        <f>IF(AE441=1,"Malignant","Benign")</f>
        <v/>
      </c>
      <c r="AG441">
        <f>--(AE441=C441)</f>
        <v/>
      </c>
    </row>
    <row r="442">
      <c r="A442">
        <f>BreastCancer_Data!A442</f>
        <v/>
      </c>
      <c r="B442">
        <f>BreastCancer_Data!B442</f>
        <v/>
      </c>
      <c r="C442">
        <f>BreastCancer_Data!D442</f>
        <v/>
      </c>
      <c r="D442">
        <f>BreastCancer_Data!E442</f>
        <v/>
      </c>
      <c r="E442">
        <f>BreastCancer_Data!F442</f>
        <v/>
      </c>
      <c r="F442">
        <f>BreastCancer_Data!G442</f>
        <v/>
      </c>
      <c r="G442">
        <f>BreastCancer_Data!H442</f>
        <v/>
      </c>
      <c r="H442">
        <f>BreastCancer_Data!I442</f>
        <v/>
      </c>
      <c r="I442">
        <f>BreastCancer_Data!J442</f>
        <v/>
      </c>
      <c r="J442">
        <f>BreastCancer_Data!K442</f>
        <v/>
      </c>
      <c r="K442">
        <f>BreastCancer_Data!L442</f>
        <v/>
      </c>
      <c r="L442">
        <f>BreastCancer_Data!M442</f>
        <v/>
      </c>
      <c r="M442">
        <f>BreastCancer_Data!N442</f>
        <v/>
      </c>
      <c r="N442">
        <f>BreastCancer_Data!O442</f>
        <v/>
      </c>
      <c r="O442">
        <f>0</f>
        <v/>
      </c>
      <c r="P442">
        <f>--(AND(D442&lt;=113.15,E442&lt;=0.15,F442&lt;=15.77,G442&lt;=0.18,H442&lt;=33.27))*0</f>
        <v/>
      </c>
      <c r="Q442">
        <f>--(AND(D442&lt;=113.15,E442&lt;=0.15,F442&lt;=15.77,G442&lt;=0.18,H442&gt;33.27))*0</f>
        <v/>
      </c>
      <c r="R442">
        <f>--(AND(D442&lt;=113.15,E442&lt;=0.15,F442&lt;=15.77,G442&gt;0.18))*0</f>
        <v/>
      </c>
      <c r="S442">
        <f>--(AND(D442&lt;=113.15,E442&lt;=0.15,F442&gt;15.77,H442&lt;=28.86,G442&lt;=0.14))*0</f>
        <v/>
      </c>
      <c r="T442">
        <f>--(AND(D442&lt;=113.15,E442&lt;=0.15,F442&gt;15.77,H442&lt;=28.86,G442&gt;0.14))*1</f>
        <v/>
      </c>
      <c r="U442">
        <f>--(AND(D442&lt;=113.15,E442&lt;=0.15,F442&gt;15.77,H442&gt;28.86,M442&lt;=14.54))*1</f>
        <v/>
      </c>
      <c r="V442">
        <f>--(AND(D442&lt;=113.15,E442&lt;=0.15,F442&gt;15.77,H442&gt;28.86,M442&gt;14.54))*1</f>
        <v/>
      </c>
      <c r="W442">
        <f>--(AND(D442&lt;=113.15,E442&gt;0.15,H442&lt;=23.74))*0</f>
        <v/>
      </c>
      <c r="X442">
        <f>--(AND(D442&lt;=113.15,E442&gt;0.15,H442&gt;23.74,J442&lt;=0.1))*1</f>
        <v/>
      </c>
      <c r="Y442">
        <f>--(AND(D442&lt;=113.15,E442&gt;0.15,H442&gt;23.74,J442&gt;0.1))*1</f>
        <v/>
      </c>
      <c r="Z442">
        <f>--(AND(D442&gt;113.15,K442&lt;=0.22,L442&lt;=0.02))*1</f>
        <v/>
      </c>
      <c r="AA442">
        <f>--(AND(D442&gt;113.15,K442&lt;=0.22,L442&gt;0.02))*0</f>
        <v/>
      </c>
      <c r="AB442">
        <f>--(AND(D442&gt;113.15,K442&gt;0.22,N442&lt;=810.1))*0</f>
        <v/>
      </c>
      <c r="AC442">
        <f>--(AND(D442&gt;113.15,K442&gt;0.22,N442&gt;810.1,I442&lt;=14.95))*1</f>
        <v/>
      </c>
      <c r="AD442">
        <f>--(AND(D442&gt;113.15,K442&gt;0.22,N442&gt;810.1,I442&gt;14.95))*1</f>
        <v/>
      </c>
      <c r="AE442">
        <f>SUM(P442:AD442)</f>
        <v/>
      </c>
      <c r="AF442">
        <f>IF(AE442=1,"Malignant","Benign")</f>
        <v/>
      </c>
      <c r="AG442">
        <f>--(AE442=C442)</f>
        <v/>
      </c>
    </row>
    <row r="443">
      <c r="A443">
        <f>BreastCancer_Data!A443</f>
        <v/>
      </c>
      <c r="B443">
        <f>BreastCancer_Data!B443</f>
        <v/>
      </c>
      <c r="C443">
        <f>BreastCancer_Data!D443</f>
        <v/>
      </c>
      <c r="D443">
        <f>BreastCancer_Data!E443</f>
        <v/>
      </c>
      <c r="E443">
        <f>BreastCancer_Data!F443</f>
        <v/>
      </c>
      <c r="F443">
        <f>BreastCancer_Data!G443</f>
        <v/>
      </c>
      <c r="G443">
        <f>BreastCancer_Data!H443</f>
        <v/>
      </c>
      <c r="H443">
        <f>BreastCancer_Data!I443</f>
        <v/>
      </c>
      <c r="I443">
        <f>BreastCancer_Data!J443</f>
        <v/>
      </c>
      <c r="J443">
        <f>BreastCancer_Data!K443</f>
        <v/>
      </c>
      <c r="K443">
        <f>BreastCancer_Data!L443</f>
        <v/>
      </c>
      <c r="L443">
        <f>BreastCancer_Data!M443</f>
        <v/>
      </c>
      <c r="M443">
        <f>BreastCancer_Data!N443</f>
        <v/>
      </c>
      <c r="N443">
        <f>BreastCancer_Data!O443</f>
        <v/>
      </c>
      <c r="O443">
        <f>0</f>
        <v/>
      </c>
      <c r="P443">
        <f>--(AND(D443&lt;=113.15,E443&lt;=0.15,F443&lt;=15.77,G443&lt;=0.18,H443&lt;=33.27))*0</f>
        <v/>
      </c>
      <c r="Q443">
        <f>--(AND(D443&lt;=113.15,E443&lt;=0.15,F443&lt;=15.77,G443&lt;=0.18,H443&gt;33.27))*0</f>
        <v/>
      </c>
      <c r="R443">
        <f>--(AND(D443&lt;=113.15,E443&lt;=0.15,F443&lt;=15.77,G443&gt;0.18))*0</f>
        <v/>
      </c>
      <c r="S443">
        <f>--(AND(D443&lt;=113.15,E443&lt;=0.15,F443&gt;15.77,H443&lt;=28.86,G443&lt;=0.14))*0</f>
        <v/>
      </c>
      <c r="T443">
        <f>--(AND(D443&lt;=113.15,E443&lt;=0.15,F443&gt;15.77,H443&lt;=28.86,G443&gt;0.14))*1</f>
        <v/>
      </c>
      <c r="U443">
        <f>--(AND(D443&lt;=113.15,E443&lt;=0.15,F443&gt;15.77,H443&gt;28.86,M443&lt;=14.54))*1</f>
        <v/>
      </c>
      <c r="V443">
        <f>--(AND(D443&lt;=113.15,E443&lt;=0.15,F443&gt;15.77,H443&gt;28.86,M443&gt;14.54))*1</f>
        <v/>
      </c>
      <c r="W443">
        <f>--(AND(D443&lt;=113.15,E443&gt;0.15,H443&lt;=23.74))*0</f>
        <v/>
      </c>
      <c r="X443">
        <f>--(AND(D443&lt;=113.15,E443&gt;0.15,H443&gt;23.74,J443&lt;=0.1))*1</f>
        <v/>
      </c>
      <c r="Y443">
        <f>--(AND(D443&lt;=113.15,E443&gt;0.15,H443&gt;23.74,J443&gt;0.1))*1</f>
        <v/>
      </c>
      <c r="Z443">
        <f>--(AND(D443&gt;113.15,K443&lt;=0.22,L443&lt;=0.02))*1</f>
        <v/>
      </c>
      <c r="AA443">
        <f>--(AND(D443&gt;113.15,K443&lt;=0.22,L443&gt;0.02))*0</f>
        <v/>
      </c>
      <c r="AB443">
        <f>--(AND(D443&gt;113.15,K443&gt;0.22,N443&lt;=810.1))*0</f>
        <v/>
      </c>
      <c r="AC443">
        <f>--(AND(D443&gt;113.15,K443&gt;0.22,N443&gt;810.1,I443&lt;=14.95))*1</f>
        <v/>
      </c>
      <c r="AD443">
        <f>--(AND(D443&gt;113.15,K443&gt;0.22,N443&gt;810.1,I443&gt;14.95))*1</f>
        <v/>
      </c>
      <c r="AE443">
        <f>SUM(P443:AD443)</f>
        <v/>
      </c>
      <c r="AF443">
        <f>IF(AE443=1,"Malignant","Benign")</f>
        <v/>
      </c>
      <c r="AG443">
        <f>--(AE443=C443)</f>
        <v/>
      </c>
    </row>
    <row r="444">
      <c r="A444">
        <f>BreastCancer_Data!A444</f>
        <v/>
      </c>
      <c r="B444">
        <f>BreastCancer_Data!B444</f>
        <v/>
      </c>
      <c r="C444">
        <f>BreastCancer_Data!D444</f>
        <v/>
      </c>
      <c r="D444">
        <f>BreastCancer_Data!E444</f>
        <v/>
      </c>
      <c r="E444">
        <f>BreastCancer_Data!F444</f>
        <v/>
      </c>
      <c r="F444">
        <f>BreastCancer_Data!G444</f>
        <v/>
      </c>
      <c r="G444">
        <f>BreastCancer_Data!H444</f>
        <v/>
      </c>
      <c r="H444">
        <f>BreastCancer_Data!I444</f>
        <v/>
      </c>
      <c r="I444">
        <f>BreastCancer_Data!J444</f>
        <v/>
      </c>
      <c r="J444">
        <f>BreastCancer_Data!K444</f>
        <v/>
      </c>
      <c r="K444">
        <f>BreastCancer_Data!L444</f>
        <v/>
      </c>
      <c r="L444">
        <f>BreastCancer_Data!M444</f>
        <v/>
      </c>
      <c r="M444">
        <f>BreastCancer_Data!N444</f>
        <v/>
      </c>
      <c r="N444">
        <f>BreastCancer_Data!O444</f>
        <v/>
      </c>
      <c r="O444">
        <f>0</f>
        <v/>
      </c>
      <c r="P444">
        <f>--(AND(D444&lt;=113.15,E444&lt;=0.15,F444&lt;=15.77,G444&lt;=0.18,H444&lt;=33.27))*0</f>
        <v/>
      </c>
      <c r="Q444">
        <f>--(AND(D444&lt;=113.15,E444&lt;=0.15,F444&lt;=15.77,G444&lt;=0.18,H444&gt;33.27))*0</f>
        <v/>
      </c>
      <c r="R444">
        <f>--(AND(D444&lt;=113.15,E444&lt;=0.15,F444&lt;=15.77,G444&gt;0.18))*0</f>
        <v/>
      </c>
      <c r="S444">
        <f>--(AND(D444&lt;=113.15,E444&lt;=0.15,F444&gt;15.77,H444&lt;=28.86,G444&lt;=0.14))*0</f>
        <v/>
      </c>
      <c r="T444">
        <f>--(AND(D444&lt;=113.15,E444&lt;=0.15,F444&gt;15.77,H444&lt;=28.86,G444&gt;0.14))*1</f>
        <v/>
      </c>
      <c r="U444">
        <f>--(AND(D444&lt;=113.15,E444&lt;=0.15,F444&gt;15.77,H444&gt;28.86,M444&lt;=14.54))*1</f>
        <v/>
      </c>
      <c r="V444">
        <f>--(AND(D444&lt;=113.15,E444&lt;=0.15,F444&gt;15.77,H444&gt;28.86,M444&gt;14.54))*1</f>
        <v/>
      </c>
      <c r="W444">
        <f>--(AND(D444&lt;=113.15,E444&gt;0.15,H444&lt;=23.74))*0</f>
        <v/>
      </c>
      <c r="X444">
        <f>--(AND(D444&lt;=113.15,E444&gt;0.15,H444&gt;23.74,J444&lt;=0.1))*1</f>
        <v/>
      </c>
      <c r="Y444">
        <f>--(AND(D444&lt;=113.15,E444&gt;0.15,H444&gt;23.74,J444&gt;0.1))*1</f>
        <v/>
      </c>
      <c r="Z444">
        <f>--(AND(D444&gt;113.15,K444&lt;=0.22,L444&lt;=0.02))*1</f>
        <v/>
      </c>
      <c r="AA444">
        <f>--(AND(D444&gt;113.15,K444&lt;=0.22,L444&gt;0.02))*0</f>
        <v/>
      </c>
      <c r="AB444">
        <f>--(AND(D444&gt;113.15,K444&gt;0.22,N444&lt;=810.1))*0</f>
        <v/>
      </c>
      <c r="AC444">
        <f>--(AND(D444&gt;113.15,K444&gt;0.22,N444&gt;810.1,I444&lt;=14.95))*1</f>
        <v/>
      </c>
      <c r="AD444">
        <f>--(AND(D444&gt;113.15,K444&gt;0.22,N444&gt;810.1,I444&gt;14.95))*1</f>
        <v/>
      </c>
      <c r="AE444">
        <f>SUM(P444:AD444)</f>
        <v/>
      </c>
      <c r="AF444">
        <f>IF(AE444=1,"Malignant","Benign")</f>
        <v/>
      </c>
      <c r="AG444">
        <f>--(AE444=C444)</f>
        <v/>
      </c>
    </row>
    <row r="445">
      <c r="A445">
        <f>BreastCancer_Data!A445</f>
        <v/>
      </c>
      <c r="B445">
        <f>BreastCancer_Data!B445</f>
        <v/>
      </c>
      <c r="C445">
        <f>BreastCancer_Data!D445</f>
        <v/>
      </c>
      <c r="D445">
        <f>BreastCancer_Data!E445</f>
        <v/>
      </c>
      <c r="E445">
        <f>BreastCancer_Data!F445</f>
        <v/>
      </c>
      <c r="F445">
        <f>BreastCancer_Data!G445</f>
        <v/>
      </c>
      <c r="G445">
        <f>BreastCancer_Data!H445</f>
        <v/>
      </c>
      <c r="H445">
        <f>BreastCancer_Data!I445</f>
        <v/>
      </c>
      <c r="I445">
        <f>BreastCancer_Data!J445</f>
        <v/>
      </c>
      <c r="J445">
        <f>BreastCancer_Data!K445</f>
        <v/>
      </c>
      <c r="K445">
        <f>BreastCancer_Data!L445</f>
        <v/>
      </c>
      <c r="L445">
        <f>BreastCancer_Data!M445</f>
        <v/>
      </c>
      <c r="M445">
        <f>BreastCancer_Data!N445</f>
        <v/>
      </c>
      <c r="N445">
        <f>BreastCancer_Data!O445</f>
        <v/>
      </c>
      <c r="O445">
        <f>0</f>
        <v/>
      </c>
      <c r="P445">
        <f>--(AND(D445&lt;=113.15,E445&lt;=0.15,F445&lt;=15.77,G445&lt;=0.18,H445&lt;=33.27))*0</f>
        <v/>
      </c>
      <c r="Q445">
        <f>--(AND(D445&lt;=113.15,E445&lt;=0.15,F445&lt;=15.77,G445&lt;=0.18,H445&gt;33.27))*0</f>
        <v/>
      </c>
      <c r="R445">
        <f>--(AND(D445&lt;=113.15,E445&lt;=0.15,F445&lt;=15.77,G445&gt;0.18))*0</f>
        <v/>
      </c>
      <c r="S445">
        <f>--(AND(D445&lt;=113.15,E445&lt;=0.15,F445&gt;15.77,H445&lt;=28.86,G445&lt;=0.14))*0</f>
        <v/>
      </c>
      <c r="T445">
        <f>--(AND(D445&lt;=113.15,E445&lt;=0.15,F445&gt;15.77,H445&lt;=28.86,G445&gt;0.14))*1</f>
        <v/>
      </c>
      <c r="U445">
        <f>--(AND(D445&lt;=113.15,E445&lt;=0.15,F445&gt;15.77,H445&gt;28.86,M445&lt;=14.54))*1</f>
        <v/>
      </c>
      <c r="V445">
        <f>--(AND(D445&lt;=113.15,E445&lt;=0.15,F445&gt;15.77,H445&gt;28.86,M445&gt;14.54))*1</f>
        <v/>
      </c>
      <c r="W445">
        <f>--(AND(D445&lt;=113.15,E445&gt;0.15,H445&lt;=23.74))*0</f>
        <v/>
      </c>
      <c r="X445">
        <f>--(AND(D445&lt;=113.15,E445&gt;0.15,H445&gt;23.74,J445&lt;=0.1))*1</f>
        <v/>
      </c>
      <c r="Y445">
        <f>--(AND(D445&lt;=113.15,E445&gt;0.15,H445&gt;23.74,J445&gt;0.1))*1</f>
        <v/>
      </c>
      <c r="Z445">
        <f>--(AND(D445&gt;113.15,K445&lt;=0.22,L445&lt;=0.02))*1</f>
        <v/>
      </c>
      <c r="AA445">
        <f>--(AND(D445&gt;113.15,K445&lt;=0.22,L445&gt;0.02))*0</f>
        <v/>
      </c>
      <c r="AB445">
        <f>--(AND(D445&gt;113.15,K445&gt;0.22,N445&lt;=810.1))*0</f>
        <v/>
      </c>
      <c r="AC445">
        <f>--(AND(D445&gt;113.15,K445&gt;0.22,N445&gt;810.1,I445&lt;=14.95))*1</f>
        <v/>
      </c>
      <c r="AD445">
        <f>--(AND(D445&gt;113.15,K445&gt;0.22,N445&gt;810.1,I445&gt;14.95))*1</f>
        <v/>
      </c>
      <c r="AE445">
        <f>SUM(P445:AD445)</f>
        <v/>
      </c>
      <c r="AF445">
        <f>IF(AE445=1,"Malignant","Benign")</f>
        <v/>
      </c>
      <c r="AG445">
        <f>--(AE445=C445)</f>
        <v/>
      </c>
    </row>
    <row r="446">
      <c r="A446">
        <f>BreastCancer_Data!A446</f>
        <v/>
      </c>
      <c r="B446">
        <f>BreastCancer_Data!B446</f>
        <v/>
      </c>
      <c r="C446">
        <f>BreastCancer_Data!D446</f>
        <v/>
      </c>
      <c r="D446">
        <f>BreastCancer_Data!E446</f>
        <v/>
      </c>
      <c r="E446">
        <f>BreastCancer_Data!F446</f>
        <v/>
      </c>
      <c r="F446">
        <f>BreastCancer_Data!G446</f>
        <v/>
      </c>
      <c r="G446">
        <f>BreastCancer_Data!H446</f>
        <v/>
      </c>
      <c r="H446">
        <f>BreastCancer_Data!I446</f>
        <v/>
      </c>
      <c r="I446">
        <f>BreastCancer_Data!J446</f>
        <v/>
      </c>
      <c r="J446">
        <f>BreastCancer_Data!K446</f>
        <v/>
      </c>
      <c r="K446">
        <f>BreastCancer_Data!L446</f>
        <v/>
      </c>
      <c r="L446">
        <f>BreastCancer_Data!M446</f>
        <v/>
      </c>
      <c r="M446">
        <f>BreastCancer_Data!N446</f>
        <v/>
      </c>
      <c r="N446">
        <f>BreastCancer_Data!O446</f>
        <v/>
      </c>
      <c r="O446">
        <f>0</f>
        <v/>
      </c>
      <c r="P446">
        <f>--(AND(D446&lt;=113.15,E446&lt;=0.15,F446&lt;=15.77,G446&lt;=0.18,H446&lt;=33.27))*0</f>
        <v/>
      </c>
      <c r="Q446">
        <f>--(AND(D446&lt;=113.15,E446&lt;=0.15,F446&lt;=15.77,G446&lt;=0.18,H446&gt;33.27))*0</f>
        <v/>
      </c>
      <c r="R446">
        <f>--(AND(D446&lt;=113.15,E446&lt;=0.15,F446&lt;=15.77,G446&gt;0.18))*0</f>
        <v/>
      </c>
      <c r="S446">
        <f>--(AND(D446&lt;=113.15,E446&lt;=0.15,F446&gt;15.77,H446&lt;=28.86,G446&lt;=0.14))*0</f>
        <v/>
      </c>
      <c r="T446">
        <f>--(AND(D446&lt;=113.15,E446&lt;=0.15,F446&gt;15.77,H446&lt;=28.86,G446&gt;0.14))*1</f>
        <v/>
      </c>
      <c r="U446">
        <f>--(AND(D446&lt;=113.15,E446&lt;=0.15,F446&gt;15.77,H446&gt;28.86,M446&lt;=14.54))*1</f>
        <v/>
      </c>
      <c r="V446">
        <f>--(AND(D446&lt;=113.15,E446&lt;=0.15,F446&gt;15.77,H446&gt;28.86,M446&gt;14.54))*1</f>
        <v/>
      </c>
      <c r="W446">
        <f>--(AND(D446&lt;=113.15,E446&gt;0.15,H446&lt;=23.74))*0</f>
        <v/>
      </c>
      <c r="X446">
        <f>--(AND(D446&lt;=113.15,E446&gt;0.15,H446&gt;23.74,J446&lt;=0.1))*1</f>
        <v/>
      </c>
      <c r="Y446">
        <f>--(AND(D446&lt;=113.15,E446&gt;0.15,H446&gt;23.74,J446&gt;0.1))*1</f>
        <v/>
      </c>
      <c r="Z446">
        <f>--(AND(D446&gt;113.15,K446&lt;=0.22,L446&lt;=0.02))*1</f>
        <v/>
      </c>
      <c r="AA446">
        <f>--(AND(D446&gt;113.15,K446&lt;=0.22,L446&gt;0.02))*0</f>
        <v/>
      </c>
      <c r="AB446">
        <f>--(AND(D446&gt;113.15,K446&gt;0.22,N446&lt;=810.1))*0</f>
        <v/>
      </c>
      <c r="AC446">
        <f>--(AND(D446&gt;113.15,K446&gt;0.22,N446&gt;810.1,I446&lt;=14.95))*1</f>
        <v/>
      </c>
      <c r="AD446">
        <f>--(AND(D446&gt;113.15,K446&gt;0.22,N446&gt;810.1,I446&gt;14.95))*1</f>
        <v/>
      </c>
      <c r="AE446">
        <f>SUM(P446:AD446)</f>
        <v/>
      </c>
      <c r="AF446">
        <f>IF(AE446=1,"Malignant","Benign")</f>
        <v/>
      </c>
      <c r="AG446">
        <f>--(AE446=C446)</f>
        <v/>
      </c>
    </row>
    <row r="447">
      <c r="A447">
        <f>BreastCancer_Data!A447</f>
        <v/>
      </c>
      <c r="B447">
        <f>BreastCancer_Data!B447</f>
        <v/>
      </c>
      <c r="C447">
        <f>BreastCancer_Data!D447</f>
        <v/>
      </c>
      <c r="D447">
        <f>BreastCancer_Data!E447</f>
        <v/>
      </c>
      <c r="E447">
        <f>BreastCancer_Data!F447</f>
        <v/>
      </c>
      <c r="F447">
        <f>BreastCancer_Data!G447</f>
        <v/>
      </c>
      <c r="G447">
        <f>BreastCancer_Data!H447</f>
        <v/>
      </c>
      <c r="H447">
        <f>BreastCancer_Data!I447</f>
        <v/>
      </c>
      <c r="I447">
        <f>BreastCancer_Data!J447</f>
        <v/>
      </c>
      <c r="J447">
        <f>BreastCancer_Data!K447</f>
        <v/>
      </c>
      <c r="K447">
        <f>BreastCancer_Data!L447</f>
        <v/>
      </c>
      <c r="L447">
        <f>BreastCancer_Data!M447</f>
        <v/>
      </c>
      <c r="M447">
        <f>BreastCancer_Data!N447</f>
        <v/>
      </c>
      <c r="N447">
        <f>BreastCancer_Data!O447</f>
        <v/>
      </c>
      <c r="O447">
        <f>0</f>
        <v/>
      </c>
      <c r="P447">
        <f>--(AND(D447&lt;=113.15,E447&lt;=0.15,F447&lt;=15.77,G447&lt;=0.18,H447&lt;=33.27))*0</f>
        <v/>
      </c>
      <c r="Q447">
        <f>--(AND(D447&lt;=113.15,E447&lt;=0.15,F447&lt;=15.77,G447&lt;=0.18,H447&gt;33.27))*0</f>
        <v/>
      </c>
      <c r="R447">
        <f>--(AND(D447&lt;=113.15,E447&lt;=0.15,F447&lt;=15.77,G447&gt;0.18))*0</f>
        <v/>
      </c>
      <c r="S447">
        <f>--(AND(D447&lt;=113.15,E447&lt;=0.15,F447&gt;15.77,H447&lt;=28.86,G447&lt;=0.14))*0</f>
        <v/>
      </c>
      <c r="T447">
        <f>--(AND(D447&lt;=113.15,E447&lt;=0.15,F447&gt;15.77,H447&lt;=28.86,G447&gt;0.14))*1</f>
        <v/>
      </c>
      <c r="U447">
        <f>--(AND(D447&lt;=113.15,E447&lt;=0.15,F447&gt;15.77,H447&gt;28.86,M447&lt;=14.54))*1</f>
        <v/>
      </c>
      <c r="V447">
        <f>--(AND(D447&lt;=113.15,E447&lt;=0.15,F447&gt;15.77,H447&gt;28.86,M447&gt;14.54))*1</f>
        <v/>
      </c>
      <c r="W447">
        <f>--(AND(D447&lt;=113.15,E447&gt;0.15,H447&lt;=23.74))*0</f>
        <v/>
      </c>
      <c r="X447">
        <f>--(AND(D447&lt;=113.15,E447&gt;0.15,H447&gt;23.74,J447&lt;=0.1))*1</f>
        <v/>
      </c>
      <c r="Y447">
        <f>--(AND(D447&lt;=113.15,E447&gt;0.15,H447&gt;23.74,J447&gt;0.1))*1</f>
        <v/>
      </c>
      <c r="Z447">
        <f>--(AND(D447&gt;113.15,K447&lt;=0.22,L447&lt;=0.02))*1</f>
        <v/>
      </c>
      <c r="AA447">
        <f>--(AND(D447&gt;113.15,K447&lt;=0.22,L447&gt;0.02))*0</f>
        <v/>
      </c>
      <c r="AB447">
        <f>--(AND(D447&gt;113.15,K447&gt;0.22,N447&lt;=810.1))*0</f>
        <v/>
      </c>
      <c r="AC447">
        <f>--(AND(D447&gt;113.15,K447&gt;0.22,N447&gt;810.1,I447&lt;=14.95))*1</f>
        <v/>
      </c>
      <c r="AD447">
        <f>--(AND(D447&gt;113.15,K447&gt;0.22,N447&gt;810.1,I447&gt;14.95))*1</f>
        <v/>
      </c>
      <c r="AE447">
        <f>SUM(P447:AD447)</f>
        <v/>
      </c>
      <c r="AF447">
        <f>IF(AE447=1,"Malignant","Benign")</f>
        <v/>
      </c>
      <c r="AG447">
        <f>--(AE447=C447)</f>
        <v/>
      </c>
    </row>
    <row r="448">
      <c r="A448">
        <f>BreastCancer_Data!A448</f>
        <v/>
      </c>
      <c r="B448">
        <f>BreastCancer_Data!B448</f>
        <v/>
      </c>
      <c r="C448">
        <f>BreastCancer_Data!D448</f>
        <v/>
      </c>
      <c r="D448">
        <f>BreastCancer_Data!E448</f>
        <v/>
      </c>
      <c r="E448">
        <f>BreastCancer_Data!F448</f>
        <v/>
      </c>
      <c r="F448">
        <f>BreastCancer_Data!G448</f>
        <v/>
      </c>
      <c r="G448">
        <f>BreastCancer_Data!H448</f>
        <v/>
      </c>
      <c r="H448">
        <f>BreastCancer_Data!I448</f>
        <v/>
      </c>
      <c r="I448">
        <f>BreastCancer_Data!J448</f>
        <v/>
      </c>
      <c r="J448">
        <f>BreastCancer_Data!K448</f>
        <v/>
      </c>
      <c r="K448">
        <f>BreastCancer_Data!L448</f>
        <v/>
      </c>
      <c r="L448">
        <f>BreastCancer_Data!M448</f>
        <v/>
      </c>
      <c r="M448">
        <f>BreastCancer_Data!N448</f>
        <v/>
      </c>
      <c r="N448">
        <f>BreastCancer_Data!O448</f>
        <v/>
      </c>
      <c r="O448">
        <f>0</f>
        <v/>
      </c>
      <c r="P448">
        <f>--(AND(D448&lt;=113.15,E448&lt;=0.15,F448&lt;=15.77,G448&lt;=0.18,H448&lt;=33.27))*0</f>
        <v/>
      </c>
      <c r="Q448">
        <f>--(AND(D448&lt;=113.15,E448&lt;=0.15,F448&lt;=15.77,G448&lt;=0.18,H448&gt;33.27))*0</f>
        <v/>
      </c>
      <c r="R448">
        <f>--(AND(D448&lt;=113.15,E448&lt;=0.15,F448&lt;=15.77,G448&gt;0.18))*0</f>
        <v/>
      </c>
      <c r="S448">
        <f>--(AND(D448&lt;=113.15,E448&lt;=0.15,F448&gt;15.77,H448&lt;=28.86,G448&lt;=0.14))*0</f>
        <v/>
      </c>
      <c r="T448">
        <f>--(AND(D448&lt;=113.15,E448&lt;=0.15,F448&gt;15.77,H448&lt;=28.86,G448&gt;0.14))*1</f>
        <v/>
      </c>
      <c r="U448">
        <f>--(AND(D448&lt;=113.15,E448&lt;=0.15,F448&gt;15.77,H448&gt;28.86,M448&lt;=14.54))*1</f>
        <v/>
      </c>
      <c r="V448">
        <f>--(AND(D448&lt;=113.15,E448&lt;=0.15,F448&gt;15.77,H448&gt;28.86,M448&gt;14.54))*1</f>
        <v/>
      </c>
      <c r="W448">
        <f>--(AND(D448&lt;=113.15,E448&gt;0.15,H448&lt;=23.74))*0</f>
        <v/>
      </c>
      <c r="X448">
        <f>--(AND(D448&lt;=113.15,E448&gt;0.15,H448&gt;23.74,J448&lt;=0.1))*1</f>
        <v/>
      </c>
      <c r="Y448">
        <f>--(AND(D448&lt;=113.15,E448&gt;0.15,H448&gt;23.74,J448&gt;0.1))*1</f>
        <v/>
      </c>
      <c r="Z448">
        <f>--(AND(D448&gt;113.15,K448&lt;=0.22,L448&lt;=0.02))*1</f>
        <v/>
      </c>
      <c r="AA448">
        <f>--(AND(D448&gt;113.15,K448&lt;=0.22,L448&gt;0.02))*0</f>
        <v/>
      </c>
      <c r="AB448">
        <f>--(AND(D448&gt;113.15,K448&gt;0.22,N448&lt;=810.1))*0</f>
        <v/>
      </c>
      <c r="AC448">
        <f>--(AND(D448&gt;113.15,K448&gt;0.22,N448&gt;810.1,I448&lt;=14.95))*1</f>
        <v/>
      </c>
      <c r="AD448">
        <f>--(AND(D448&gt;113.15,K448&gt;0.22,N448&gt;810.1,I448&gt;14.95))*1</f>
        <v/>
      </c>
      <c r="AE448">
        <f>SUM(P448:AD448)</f>
        <v/>
      </c>
      <c r="AF448">
        <f>IF(AE448=1,"Malignant","Benign")</f>
        <v/>
      </c>
      <c r="AG448">
        <f>--(AE448=C448)</f>
        <v/>
      </c>
    </row>
    <row r="449">
      <c r="A449">
        <f>BreastCancer_Data!A449</f>
        <v/>
      </c>
      <c r="B449">
        <f>BreastCancer_Data!B449</f>
        <v/>
      </c>
      <c r="C449">
        <f>BreastCancer_Data!D449</f>
        <v/>
      </c>
      <c r="D449">
        <f>BreastCancer_Data!E449</f>
        <v/>
      </c>
      <c r="E449">
        <f>BreastCancer_Data!F449</f>
        <v/>
      </c>
      <c r="F449">
        <f>BreastCancer_Data!G449</f>
        <v/>
      </c>
      <c r="G449">
        <f>BreastCancer_Data!H449</f>
        <v/>
      </c>
      <c r="H449">
        <f>BreastCancer_Data!I449</f>
        <v/>
      </c>
      <c r="I449">
        <f>BreastCancer_Data!J449</f>
        <v/>
      </c>
      <c r="J449">
        <f>BreastCancer_Data!K449</f>
        <v/>
      </c>
      <c r="K449">
        <f>BreastCancer_Data!L449</f>
        <v/>
      </c>
      <c r="L449">
        <f>BreastCancer_Data!M449</f>
        <v/>
      </c>
      <c r="M449">
        <f>BreastCancer_Data!N449</f>
        <v/>
      </c>
      <c r="N449">
        <f>BreastCancer_Data!O449</f>
        <v/>
      </c>
      <c r="O449">
        <f>0</f>
        <v/>
      </c>
      <c r="P449">
        <f>--(AND(D449&lt;=113.15,E449&lt;=0.15,F449&lt;=15.77,G449&lt;=0.18,H449&lt;=33.27))*0</f>
        <v/>
      </c>
      <c r="Q449">
        <f>--(AND(D449&lt;=113.15,E449&lt;=0.15,F449&lt;=15.77,G449&lt;=0.18,H449&gt;33.27))*0</f>
        <v/>
      </c>
      <c r="R449">
        <f>--(AND(D449&lt;=113.15,E449&lt;=0.15,F449&lt;=15.77,G449&gt;0.18))*0</f>
        <v/>
      </c>
      <c r="S449">
        <f>--(AND(D449&lt;=113.15,E449&lt;=0.15,F449&gt;15.77,H449&lt;=28.86,G449&lt;=0.14))*0</f>
        <v/>
      </c>
      <c r="T449">
        <f>--(AND(D449&lt;=113.15,E449&lt;=0.15,F449&gt;15.77,H449&lt;=28.86,G449&gt;0.14))*1</f>
        <v/>
      </c>
      <c r="U449">
        <f>--(AND(D449&lt;=113.15,E449&lt;=0.15,F449&gt;15.77,H449&gt;28.86,M449&lt;=14.54))*1</f>
        <v/>
      </c>
      <c r="V449">
        <f>--(AND(D449&lt;=113.15,E449&lt;=0.15,F449&gt;15.77,H449&gt;28.86,M449&gt;14.54))*1</f>
        <v/>
      </c>
      <c r="W449">
        <f>--(AND(D449&lt;=113.15,E449&gt;0.15,H449&lt;=23.74))*0</f>
        <v/>
      </c>
      <c r="X449">
        <f>--(AND(D449&lt;=113.15,E449&gt;0.15,H449&gt;23.74,J449&lt;=0.1))*1</f>
        <v/>
      </c>
      <c r="Y449">
        <f>--(AND(D449&lt;=113.15,E449&gt;0.15,H449&gt;23.74,J449&gt;0.1))*1</f>
        <v/>
      </c>
      <c r="Z449">
        <f>--(AND(D449&gt;113.15,K449&lt;=0.22,L449&lt;=0.02))*1</f>
        <v/>
      </c>
      <c r="AA449">
        <f>--(AND(D449&gt;113.15,K449&lt;=0.22,L449&gt;0.02))*0</f>
        <v/>
      </c>
      <c r="AB449">
        <f>--(AND(D449&gt;113.15,K449&gt;0.22,N449&lt;=810.1))*0</f>
        <v/>
      </c>
      <c r="AC449">
        <f>--(AND(D449&gt;113.15,K449&gt;0.22,N449&gt;810.1,I449&lt;=14.95))*1</f>
        <v/>
      </c>
      <c r="AD449">
        <f>--(AND(D449&gt;113.15,K449&gt;0.22,N449&gt;810.1,I449&gt;14.95))*1</f>
        <v/>
      </c>
      <c r="AE449">
        <f>SUM(P449:AD449)</f>
        <v/>
      </c>
      <c r="AF449">
        <f>IF(AE449=1,"Malignant","Benign")</f>
        <v/>
      </c>
      <c r="AG449">
        <f>--(AE449=C449)</f>
        <v/>
      </c>
    </row>
    <row r="450">
      <c r="A450">
        <f>BreastCancer_Data!A450</f>
        <v/>
      </c>
      <c r="B450">
        <f>BreastCancer_Data!B450</f>
        <v/>
      </c>
      <c r="C450">
        <f>BreastCancer_Data!D450</f>
        <v/>
      </c>
      <c r="D450">
        <f>BreastCancer_Data!E450</f>
        <v/>
      </c>
      <c r="E450">
        <f>BreastCancer_Data!F450</f>
        <v/>
      </c>
      <c r="F450">
        <f>BreastCancer_Data!G450</f>
        <v/>
      </c>
      <c r="G450">
        <f>BreastCancer_Data!H450</f>
        <v/>
      </c>
      <c r="H450">
        <f>BreastCancer_Data!I450</f>
        <v/>
      </c>
      <c r="I450">
        <f>BreastCancer_Data!J450</f>
        <v/>
      </c>
      <c r="J450">
        <f>BreastCancer_Data!K450</f>
        <v/>
      </c>
      <c r="K450">
        <f>BreastCancer_Data!L450</f>
        <v/>
      </c>
      <c r="L450">
        <f>BreastCancer_Data!M450</f>
        <v/>
      </c>
      <c r="M450">
        <f>BreastCancer_Data!N450</f>
        <v/>
      </c>
      <c r="N450">
        <f>BreastCancer_Data!O450</f>
        <v/>
      </c>
      <c r="O450">
        <f>0</f>
        <v/>
      </c>
      <c r="P450">
        <f>--(AND(D450&lt;=113.15,E450&lt;=0.15,F450&lt;=15.77,G450&lt;=0.18,H450&lt;=33.27))*0</f>
        <v/>
      </c>
      <c r="Q450">
        <f>--(AND(D450&lt;=113.15,E450&lt;=0.15,F450&lt;=15.77,G450&lt;=0.18,H450&gt;33.27))*0</f>
        <v/>
      </c>
      <c r="R450">
        <f>--(AND(D450&lt;=113.15,E450&lt;=0.15,F450&lt;=15.77,G450&gt;0.18))*0</f>
        <v/>
      </c>
      <c r="S450">
        <f>--(AND(D450&lt;=113.15,E450&lt;=0.15,F450&gt;15.77,H450&lt;=28.86,G450&lt;=0.14))*0</f>
        <v/>
      </c>
      <c r="T450">
        <f>--(AND(D450&lt;=113.15,E450&lt;=0.15,F450&gt;15.77,H450&lt;=28.86,G450&gt;0.14))*1</f>
        <v/>
      </c>
      <c r="U450">
        <f>--(AND(D450&lt;=113.15,E450&lt;=0.15,F450&gt;15.77,H450&gt;28.86,M450&lt;=14.54))*1</f>
        <v/>
      </c>
      <c r="V450">
        <f>--(AND(D450&lt;=113.15,E450&lt;=0.15,F450&gt;15.77,H450&gt;28.86,M450&gt;14.54))*1</f>
        <v/>
      </c>
      <c r="W450">
        <f>--(AND(D450&lt;=113.15,E450&gt;0.15,H450&lt;=23.74))*0</f>
        <v/>
      </c>
      <c r="X450">
        <f>--(AND(D450&lt;=113.15,E450&gt;0.15,H450&gt;23.74,J450&lt;=0.1))*1</f>
        <v/>
      </c>
      <c r="Y450">
        <f>--(AND(D450&lt;=113.15,E450&gt;0.15,H450&gt;23.74,J450&gt;0.1))*1</f>
        <v/>
      </c>
      <c r="Z450">
        <f>--(AND(D450&gt;113.15,K450&lt;=0.22,L450&lt;=0.02))*1</f>
        <v/>
      </c>
      <c r="AA450">
        <f>--(AND(D450&gt;113.15,K450&lt;=0.22,L450&gt;0.02))*0</f>
        <v/>
      </c>
      <c r="AB450">
        <f>--(AND(D450&gt;113.15,K450&gt;0.22,N450&lt;=810.1))*0</f>
        <v/>
      </c>
      <c r="AC450">
        <f>--(AND(D450&gt;113.15,K450&gt;0.22,N450&gt;810.1,I450&lt;=14.95))*1</f>
        <v/>
      </c>
      <c r="AD450">
        <f>--(AND(D450&gt;113.15,K450&gt;0.22,N450&gt;810.1,I450&gt;14.95))*1</f>
        <v/>
      </c>
      <c r="AE450">
        <f>SUM(P450:AD450)</f>
        <v/>
      </c>
      <c r="AF450">
        <f>IF(AE450=1,"Malignant","Benign")</f>
        <v/>
      </c>
      <c r="AG450">
        <f>--(AE450=C450)</f>
        <v/>
      </c>
    </row>
    <row r="451">
      <c r="A451">
        <f>BreastCancer_Data!A451</f>
        <v/>
      </c>
      <c r="B451">
        <f>BreastCancer_Data!B451</f>
        <v/>
      </c>
      <c r="C451">
        <f>BreastCancer_Data!D451</f>
        <v/>
      </c>
      <c r="D451">
        <f>BreastCancer_Data!E451</f>
        <v/>
      </c>
      <c r="E451">
        <f>BreastCancer_Data!F451</f>
        <v/>
      </c>
      <c r="F451">
        <f>BreastCancer_Data!G451</f>
        <v/>
      </c>
      <c r="G451">
        <f>BreastCancer_Data!H451</f>
        <v/>
      </c>
      <c r="H451">
        <f>BreastCancer_Data!I451</f>
        <v/>
      </c>
      <c r="I451">
        <f>BreastCancer_Data!J451</f>
        <v/>
      </c>
      <c r="J451">
        <f>BreastCancer_Data!K451</f>
        <v/>
      </c>
      <c r="K451">
        <f>BreastCancer_Data!L451</f>
        <v/>
      </c>
      <c r="L451">
        <f>BreastCancer_Data!M451</f>
        <v/>
      </c>
      <c r="M451">
        <f>BreastCancer_Data!N451</f>
        <v/>
      </c>
      <c r="N451">
        <f>BreastCancer_Data!O451</f>
        <v/>
      </c>
      <c r="O451">
        <f>0</f>
        <v/>
      </c>
      <c r="P451">
        <f>--(AND(D451&lt;=113.15,E451&lt;=0.15,F451&lt;=15.77,G451&lt;=0.18,H451&lt;=33.27))*0</f>
        <v/>
      </c>
      <c r="Q451">
        <f>--(AND(D451&lt;=113.15,E451&lt;=0.15,F451&lt;=15.77,G451&lt;=0.18,H451&gt;33.27))*0</f>
        <v/>
      </c>
      <c r="R451">
        <f>--(AND(D451&lt;=113.15,E451&lt;=0.15,F451&lt;=15.77,G451&gt;0.18))*0</f>
        <v/>
      </c>
      <c r="S451">
        <f>--(AND(D451&lt;=113.15,E451&lt;=0.15,F451&gt;15.77,H451&lt;=28.86,G451&lt;=0.14))*0</f>
        <v/>
      </c>
      <c r="T451">
        <f>--(AND(D451&lt;=113.15,E451&lt;=0.15,F451&gt;15.77,H451&lt;=28.86,G451&gt;0.14))*1</f>
        <v/>
      </c>
      <c r="U451">
        <f>--(AND(D451&lt;=113.15,E451&lt;=0.15,F451&gt;15.77,H451&gt;28.86,M451&lt;=14.54))*1</f>
        <v/>
      </c>
      <c r="V451">
        <f>--(AND(D451&lt;=113.15,E451&lt;=0.15,F451&gt;15.77,H451&gt;28.86,M451&gt;14.54))*1</f>
        <v/>
      </c>
      <c r="W451">
        <f>--(AND(D451&lt;=113.15,E451&gt;0.15,H451&lt;=23.74))*0</f>
        <v/>
      </c>
      <c r="X451">
        <f>--(AND(D451&lt;=113.15,E451&gt;0.15,H451&gt;23.74,J451&lt;=0.1))*1</f>
        <v/>
      </c>
      <c r="Y451">
        <f>--(AND(D451&lt;=113.15,E451&gt;0.15,H451&gt;23.74,J451&gt;0.1))*1</f>
        <v/>
      </c>
      <c r="Z451">
        <f>--(AND(D451&gt;113.15,K451&lt;=0.22,L451&lt;=0.02))*1</f>
        <v/>
      </c>
      <c r="AA451">
        <f>--(AND(D451&gt;113.15,K451&lt;=0.22,L451&gt;0.02))*0</f>
        <v/>
      </c>
      <c r="AB451">
        <f>--(AND(D451&gt;113.15,K451&gt;0.22,N451&lt;=810.1))*0</f>
        <v/>
      </c>
      <c r="AC451">
        <f>--(AND(D451&gt;113.15,K451&gt;0.22,N451&gt;810.1,I451&lt;=14.95))*1</f>
        <v/>
      </c>
      <c r="AD451">
        <f>--(AND(D451&gt;113.15,K451&gt;0.22,N451&gt;810.1,I451&gt;14.95))*1</f>
        <v/>
      </c>
      <c r="AE451">
        <f>SUM(P451:AD451)</f>
        <v/>
      </c>
      <c r="AF451">
        <f>IF(AE451=1,"Malignant","Benign")</f>
        <v/>
      </c>
      <c r="AG451">
        <f>--(AE451=C451)</f>
        <v/>
      </c>
    </row>
    <row r="452">
      <c r="A452">
        <f>BreastCancer_Data!A452</f>
        <v/>
      </c>
      <c r="B452">
        <f>BreastCancer_Data!B452</f>
        <v/>
      </c>
      <c r="C452">
        <f>BreastCancer_Data!D452</f>
        <v/>
      </c>
      <c r="D452">
        <f>BreastCancer_Data!E452</f>
        <v/>
      </c>
      <c r="E452">
        <f>BreastCancer_Data!F452</f>
        <v/>
      </c>
      <c r="F452">
        <f>BreastCancer_Data!G452</f>
        <v/>
      </c>
      <c r="G452">
        <f>BreastCancer_Data!H452</f>
        <v/>
      </c>
      <c r="H452">
        <f>BreastCancer_Data!I452</f>
        <v/>
      </c>
      <c r="I452">
        <f>BreastCancer_Data!J452</f>
        <v/>
      </c>
      <c r="J452">
        <f>BreastCancer_Data!K452</f>
        <v/>
      </c>
      <c r="K452">
        <f>BreastCancer_Data!L452</f>
        <v/>
      </c>
      <c r="L452">
        <f>BreastCancer_Data!M452</f>
        <v/>
      </c>
      <c r="M452">
        <f>BreastCancer_Data!N452</f>
        <v/>
      </c>
      <c r="N452">
        <f>BreastCancer_Data!O452</f>
        <v/>
      </c>
      <c r="O452">
        <f>0</f>
        <v/>
      </c>
      <c r="P452">
        <f>--(AND(D452&lt;=113.15,E452&lt;=0.15,F452&lt;=15.77,G452&lt;=0.18,H452&lt;=33.27))*0</f>
        <v/>
      </c>
      <c r="Q452">
        <f>--(AND(D452&lt;=113.15,E452&lt;=0.15,F452&lt;=15.77,G452&lt;=0.18,H452&gt;33.27))*0</f>
        <v/>
      </c>
      <c r="R452">
        <f>--(AND(D452&lt;=113.15,E452&lt;=0.15,F452&lt;=15.77,G452&gt;0.18))*0</f>
        <v/>
      </c>
      <c r="S452">
        <f>--(AND(D452&lt;=113.15,E452&lt;=0.15,F452&gt;15.77,H452&lt;=28.86,G452&lt;=0.14))*0</f>
        <v/>
      </c>
      <c r="T452">
        <f>--(AND(D452&lt;=113.15,E452&lt;=0.15,F452&gt;15.77,H452&lt;=28.86,G452&gt;0.14))*1</f>
        <v/>
      </c>
      <c r="U452">
        <f>--(AND(D452&lt;=113.15,E452&lt;=0.15,F452&gt;15.77,H452&gt;28.86,M452&lt;=14.54))*1</f>
        <v/>
      </c>
      <c r="V452">
        <f>--(AND(D452&lt;=113.15,E452&lt;=0.15,F452&gt;15.77,H452&gt;28.86,M452&gt;14.54))*1</f>
        <v/>
      </c>
      <c r="W452">
        <f>--(AND(D452&lt;=113.15,E452&gt;0.15,H452&lt;=23.74))*0</f>
        <v/>
      </c>
      <c r="X452">
        <f>--(AND(D452&lt;=113.15,E452&gt;0.15,H452&gt;23.74,J452&lt;=0.1))*1</f>
        <v/>
      </c>
      <c r="Y452">
        <f>--(AND(D452&lt;=113.15,E452&gt;0.15,H452&gt;23.74,J452&gt;0.1))*1</f>
        <v/>
      </c>
      <c r="Z452">
        <f>--(AND(D452&gt;113.15,K452&lt;=0.22,L452&lt;=0.02))*1</f>
        <v/>
      </c>
      <c r="AA452">
        <f>--(AND(D452&gt;113.15,K452&lt;=0.22,L452&gt;0.02))*0</f>
        <v/>
      </c>
      <c r="AB452">
        <f>--(AND(D452&gt;113.15,K452&gt;0.22,N452&lt;=810.1))*0</f>
        <v/>
      </c>
      <c r="AC452">
        <f>--(AND(D452&gt;113.15,K452&gt;0.22,N452&gt;810.1,I452&lt;=14.95))*1</f>
        <v/>
      </c>
      <c r="AD452">
        <f>--(AND(D452&gt;113.15,K452&gt;0.22,N452&gt;810.1,I452&gt;14.95))*1</f>
        <v/>
      </c>
      <c r="AE452">
        <f>SUM(P452:AD452)</f>
        <v/>
      </c>
      <c r="AF452">
        <f>IF(AE452=1,"Malignant","Benign")</f>
        <v/>
      </c>
      <c r="AG452">
        <f>--(AE452=C452)</f>
        <v/>
      </c>
    </row>
    <row r="453">
      <c r="A453">
        <f>BreastCancer_Data!A453</f>
        <v/>
      </c>
      <c r="B453">
        <f>BreastCancer_Data!B453</f>
        <v/>
      </c>
      <c r="C453">
        <f>BreastCancer_Data!D453</f>
        <v/>
      </c>
      <c r="D453">
        <f>BreastCancer_Data!E453</f>
        <v/>
      </c>
      <c r="E453">
        <f>BreastCancer_Data!F453</f>
        <v/>
      </c>
      <c r="F453">
        <f>BreastCancer_Data!G453</f>
        <v/>
      </c>
      <c r="G453">
        <f>BreastCancer_Data!H453</f>
        <v/>
      </c>
      <c r="H453">
        <f>BreastCancer_Data!I453</f>
        <v/>
      </c>
      <c r="I453">
        <f>BreastCancer_Data!J453</f>
        <v/>
      </c>
      <c r="J453">
        <f>BreastCancer_Data!K453</f>
        <v/>
      </c>
      <c r="K453">
        <f>BreastCancer_Data!L453</f>
        <v/>
      </c>
      <c r="L453">
        <f>BreastCancer_Data!M453</f>
        <v/>
      </c>
      <c r="M453">
        <f>BreastCancer_Data!N453</f>
        <v/>
      </c>
      <c r="N453">
        <f>BreastCancer_Data!O453</f>
        <v/>
      </c>
      <c r="O453">
        <f>0</f>
        <v/>
      </c>
      <c r="P453">
        <f>--(AND(D453&lt;=113.15,E453&lt;=0.15,F453&lt;=15.77,G453&lt;=0.18,H453&lt;=33.27))*0</f>
        <v/>
      </c>
      <c r="Q453">
        <f>--(AND(D453&lt;=113.15,E453&lt;=0.15,F453&lt;=15.77,G453&lt;=0.18,H453&gt;33.27))*0</f>
        <v/>
      </c>
      <c r="R453">
        <f>--(AND(D453&lt;=113.15,E453&lt;=0.15,F453&lt;=15.77,G453&gt;0.18))*0</f>
        <v/>
      </c>
      <c r="S453">
        <f>--(AND(D453&lt;=113.15,E453&lt;=0.15,F453&gt;15.77,H453&lt;=28.86,G453&lt;=0.14))*0</f>
        <v/>
      </c>
      <c r="T453">
        <f>--(AND(D453&lt;=113.15,E453&lt;=0.15,F453&gt;15.77,H453&lt;=28.86,G453&gt;0.14))*1</f>
        <v/>
      </c>
      <c r="U453">
        <f>--(AND(D453&lt;=113.15,E453&lt;=0.15,F453&gt;15.77,H453&gt;28.86,M453&lt;=14.54))*1</f>
        <v/>
      </c>
      <c r="V453">
        <f>--(AND(D453&lt;=113.15,E453&lt;=0.15,F453&gt;15.77,H453&gt;28.86,M453&gt;14.54))*1</f>
        <v/>
      </c>
      <c r="W453">
        <f>--(AND(D453&lt;=113.15,E453&gt;0.15,H453&lt;=23.74))*0</f>
        <v/>
      </c>
      <c r="X453">
        <f>--(AND(D453&lt;=113.15,E453&gt;0.15,H453&gt;23.74,J453&lt;=0.1))*1</f>
        <v/>
      </c>
      <c r="Y453">
        <f>--(AND(D453&lt;=113.15,E453&gt;0.15,H453&gt;23.74,J453&gt;0.1))*1</f>
        <v/>
      </c>
      <c r="Z453">
        <f>--(AND(D453&gt;113.15,K453&lt;=0.22,L453&lt;=0.02))*1</f>
        <v/>
      </c>
      <c r="AA453">
        <f>--(AND(D453&gt;113.15,K453&lt;=0.22,L453&gt;0.02))*0</f>
        <v/>
      </c>
      <c r="AB453">
        <f>--(AND(D453&gt;113.15,K453&gt;0.22,N453&lt;=810.1))*0</f>
        <v/>
      </c>
      <c r="AC453">
        <f>--(AND(D453&gt;113.15,K453&gt;0.22,N453&gt;810.1,I453&lt;=14.95))*1</f>
        <v/>
      </c>
      <c r="AD453">
        <f>--(AND(D453&gt;113.15,K453&gt;0.22,N453&gt;810.1,I453&gt;14.95))*1</f>
        <v/>
      </c>
      <c r="AE453">
        <f>SUM(P453:AD453)</f>
        <v/>
      </c>
      <c r="AF453">
        <f>IF(AE453=1,"Malignant","Benign")</f>
        <v/>
      </c>
      <c r="AG453">
        <f>--(AE453=C453)</f>
        <v/>
      </c>
    </row>
    <row r="454">
      <c r="A454">
        <f>BreastCancer_Data!A454</f>
        <v/>
      </c>
      <c r="B454">
        <f>BreastCancer_Data!B454</f>
        <v/>
      </c>
      <c r="C454">
        <f>BreastCancer_Data!D454</f>
        <v/>
      </c>
      <c r="D454">
        <f>BreastCancer_Data!E454</f>
        <v/>
      </c>
      <c r="E454">
        <f>BreastCancer_Data!F454</f>
        <v/>
      </c>
      <c r="F454">
        <f>BreastCancer_Data!G454</f>
        <v/>
      </c>
      <c r="G454">
        <f>BreastCancer_Data!H454</f>
        <v/>
      </c>
      <c r="H454">
        <f>BreastCancer_Data!I454</f>
        <v/>
      </c>
      <c r="I454">
        <f>BreastCancer_Data!J454</f>
        <v/>
      </c>
      <c r="J454">
        <f>BreastCancer_Data!K454</f>
        <v/>
      </c>
      <c r="K454">
        <f>BreastCancer_Data!L454</f>
        <v/>
      </c>
      <c r="L454">
        <f>BreastCancer_Data!M454</f>
        <v/>
      </c>
      <c r="M454">
        <f>BreastCancer_Data!N454</f>
        <v/>
      </c>
      <c r="N454">
        <f>BreastCancer_Data!O454</f>
        <v/>
      </c>
      <c r="O454">
        <f>0</f>
        <v/>
      </c>
      <c r="P454">
        <f>--(AND(D454&lt;=113.15,E454&lt;=0.15,F454&lt;=15.77,G454&lt;=0.18,H454&lt;=33.27))*0</f>
        <v/>
      </c>
      <c r="Q454">
        <f>--(AND(D454&lt;=113.15,E454&lt;=0.15,F454&lt;=15.77,G454&lt;=0.18,H454&gt;33.27))*0</f>
        <v/>
      </c>
      <c r="R454">
        <f>--(AND(D454&lt;=113.15,E454&lt;=0.15,F454&lt;=15.77,G454&gt;0.18))*0</f>
        <v/>
      </c>
      <c r="S454">
        <f>--(AND(D454&lt;=113.15,E454&lt;=0.15,F454&gt;15.77,H454&lt;=28.86,G454&lt;=0.14))*0</f>
        <v/>
      </c>
      <c r="T454">
        <f>--(AND(D454&lt;=113.15,E454&lt;=0.15,F454&gt;15.77,H454&lt;=28.86,G454&gt;0.14))*1</f>
        <v/>
      </c>
      <c r="U454">
        <f>--(AND(D454&lt;=113.15,E454&lt;=0.15,F454&gt;15.77,H454&gt;28.86,M454&lt;=14.54))*1</f>
        <v/>
      </c>
      <c r="V454">
        <f>--(AND(D454&lt;=113.15,E454&lt;=0.15,F454&gt;15.77,H454&gt;28.86,M454&gt;14.54))*1</f>
        <v/>
      </c>
      <c r="W454">
        <f>--(AND(D454&lt;=113.15,E454&gt;0.15,H454&lt;=23.74))*0</f>
        <v/>
      </c>
      <c r="X454">
        <f>--(AND(D454&lt;=113.15,E454&gt;0.15,H454&gt;23.74,J454&lt;=0.1))*1</f>
        <v/>
      </c>
      <c r="Y454">
        <f>--(AND(D454&lt;=113.15,E454&gt;0.15,H454&gt;23.74,J454&gt;0.1))*1</f>
        <v/>
      </c>
      <c r="Z454">
        <f>--(AND(D454&gt;113.15,K454&lt;=0.22,L454&lt;=0.02))*1</f>
        <v/>
      </c>
      <c r="AA454">
        <f>--(AND(D454&gt;113.15,K454&lt;=0.22,L454&gt;0.02))*0</f>
        <v/>
      </c>
      <c r="AB454">
        <f>--(AND(D454&gt;113.15,K454&gt;0.22,N454&lt;=810.1))*0</f>
        <v/>
      </c>
      <c r="AC454">
        <f>--(AND(D454&gt;113.15,K454&gt;0.22,N454&gt;810.1,I454&lt;=14.95))*1</f>
        <v/>
      </c>
      <c r="AD454">
        <f>--(AND(D454&gt;113.15,K454&gt;0.22,N454&gt;810.1,I454&gt;14.95))*1</f>
        <v/>
      </c>
      <c r="AE454">
        <f>SUM(P454:AD454)</f>
        <v/>
      </c>
      <c r="AF454">
        <f>IF(AE454=1,"Malignant","Benign")</f>
        <v/>
      </c>
      <c r="AG454">
        <f>--(AE454=C454)</f>
        <v/>
      </c>
    </row>
    <row r="455">
      <c r="A455">
        <f>BreastCancer_Data!A455</f>
        <v/>
      </c>
      <c r="B455">
        <f>BreastCancer_Data!B455</f>
        <v/>
      </c>
      <c r="C455">
        <f>BreastCancer_Data!D455</f>
        <v/>
      </c>
      <c r="D455">
        <f>BreastCancer_Data!E455</f>
        <v/>
      </c>
      <c r="E455">
        <f>BreastCancer_Data!F455</f>
        <v/>
      </c>
      <c r="F455">
        <f>BreastCancer_Data!G455</f>
        <v/>
      </c>
      <c r="G455">
        <f>BreastCancer_Data!H455</f>
        <v/>
      </c>
      <c r="H455">
        <f>BreastCancer_Data!I455</f>
        <v/>
      </c>
      <c r="I455">
        <f>BreastCancer_Data!J455</f>
        <v/>
      </c>
      <c r="J455">
        <f>BreastCancer_Data!K455</f>
        <v/>
      </c>
      <c r="K455">
        <f>BreastCancer_Data!L455</f>
        <v/>
      </c>
      <c r="L455">
        <f>BreastCancer_Data!M455</f>
        <v/>
      </c>
      <c r="M455">
        <f>BreastCancer_Data!N455</f>
        <v/>
      </c>
      <c r="N455">
        <f>BreastCancer_Data!O455</f>
        <v/>
      </c>
      <c r="O455">
        <f>0</f>
        <v/>
      </c>
      <c r="P455">
        <f>--(AND(D455&lt;=113.15,E455&lt;=0.15,F455&lt;=15.77,G455&lt;=0.18,H455&lt;=33.27))*0</f>
        <v/>
      </c>
      <c r="Q455">
        <f>--(AND(D455&lt;=113.15,E455&lt;=0.15,F455&lt;=15.77,G455&lt;=0.18,H455&gt;33.27))*0</f>
        <v/>
      </c>
      <c r="R455">
        <f>--(AND(D455&lt;=113.15,E455&lt;=0.15,F455&lt;=15.77,G455&gt;0.18))*0</f>
        <v/>
      </c>
      <c r="S455">
        <f>--(AND(D455&lt;=113.15,E455&lt;=0.15,F455&gt;15.77,H455&lt;=28.86,G455&lt;=0.14))*0</f>
        <v/>
      </c>
      <c r="T455">
        <f>--(AND(D455&lt;=113.15,E455&lt;=0.15,F455&gt;15.77,H455&lt;=28.86,G455&gt;0.14))*1</f>
        <v/>
      </c>
      <c r="U455">
        <f>--(AND(D455&lt;=113.15,E455&lt;=0.15,F455&gt;15.77,H455&gt;28.86,M455&lt;=14.54))*1</f>
        <v/>
      </c>
      <c r="V455">
        <f>--(AND(D455&lt;=113.15,E455&lt;=0.15,F455&gt;15.77,H455&gt;28.86,M455&gt;14.54))*1</f>
        <v/>
      </c>
      <c r="W455">
        <f>--(AND(D455&lt;=113.15,E455&gt;0.15,H455&lt;=23.74))*0</f>
        <v/>
      </c>
      <c r="X455">
        <f>--(AND(D455&lt;=113.15,E455&gt;0.15,H455&gt;23.74,J455&lt;=0.1))*1</f>
        <v/>
      </c>
      <c r="Y455">
        <f>--(AND(D455&lt;=113.15,E455&gt;0.15,H455&gt;23.74,J455&gt;0.1))*1</f>
        <v/>
      </c>
      <c r="Z455">
        <f>--(AND(D455&gt;113.15,K455&lt;=0.22,L455&lt;=0.02))*1</f>
        <v/>
      </c>
      <c r="AA455">
        <f>--(AND(D455&gt;113.15,K455&lt;=0.22,L455&gt;0.02))*0</f>
        <v/>
      </c>
      <c r="AB455">
        <f>--(AND(D455&gt;113.15,K455&gt;0.22,N455&lt;=810.1))*0</f>
        <v/>
      </c>
      <c r="AC455">
        <f>--(AND(D455&gt;113.15,K455&gt;0.22,N455&gt;810.1,I455&lt;=14.95))*1</f>
        <v/>
      </c>
      <c r="AD455">
        <f>--(AND(D455&gt;113.15,K455&gt;0.22,N455&gt;810.1,I455&gt;14.95))*1</f>
        <v/>
      </c>
      <c r="AE455">
        <f>SUM(P455:AD455)</f>
        <v/>
      </c>
      <c r="AF455">
        <f>IF(AE455=1,"Malignant","Benign")</f>
        <v/>
      </c>
      <c r="AG455">
        <f>--(AE455=C455)</f>
        <v/>
      </c>
    </row>
    <row r="456">
      <c r="A456">
        <f>BreastCancer_Data!A456</f>
        <v/>
      </c>
      <c r="B456">
        <f>BreastCancer_Data!B456</f>
        <v/>
      </c>
      <c r="C456">
        <f>BreastCancer_Data!D456</f>
        <v/>
      </c>
      <c r="D456">
        <f>BreastCancer_Data!E456</f>
        <v/>
      </c>
      <c r="E456">
        <f>BreastCancer_Data!F456</f>
        <v/>
      </c>
      <c r="F456">
        <f>BreastCancer_Data!G456</f>
        <v/>
      </c>
      <c r="G456">
        <f>BreastCancer_Data!H456</f>
        <v/>
      </c>
      <c r="H456">
        <f>BreastCancer_Data!I456</f>
        <v/>
      </c>
      <c r="I456">
        <f>BreastCancer_Data!J456</f>
        <v/>
      </c>
      <c r="J456">
        <f>BreastCancer_Data!K456</f>
        <v/>
      </c>
      <c r="K456">
        <f>BreastCancer_Data!L456</f>
        <v/>
      </c>
      <c r="L456">
        <f>BreastCancer_Data!M456</f>
        <v/>
      </c>
      <c r="M456">
        <f>BreastCancer_Data!N456</f>
        <v/>
      </c>
      <c r="N456">
        <f>BreastCancer_Data!O456</f>
        <v/>
      </c>
      <c r="O456">
        <f>0</f>
        <v/>
      </c>
      <c r="P456">
        <f>--(AND(D456&lt;=113.15,E456&lt;=0.15,F456&lt;=15.77,G456&lt;=0.18,H456&lt;=33.27))*0</f>
        <v/>
      </c>
      <c r="Q456">
        <f>--(AND(D456&lt;=113.15,E456&lt;=0.15,F456&lt;=15.77,G456&lt;=0.18,H456&gt;33.27))*0</f>
        <v/>
      </c>
      <c r="R456">
        <f>--(AND(D456&lt;=113.15,E456&lt;=0.15,F456&lt;=15.77,G456&gt;0.18))*0</f>
        <v/>
      </c>
      <c r="S456">
        <f>--(AND(D456&lt;=113.15,E456&lt;=0.15,F456&gt;15.77,H456&lt;=28.86,G456&lt;=0.14))*0</f>
        <v/>
      </c>
      <c r="T456">
        <f>--(AND(D456&lt;=113.15,E456&lt;=0.15,F456&gt;15.77,H456&lt;=28.86,G456&gt;0.14))*1</f>
        <v/>
      </c>
      <c r="U456">
        <f>--(AND(D456&lt;=113.15,E456&lt;=0.15,F456&gt;15.77,H456&gt;28.86,M456&lt;=14.54))*1</f>
        <v/>
      </c>
      <c r="V456">
        <f>--(AND(D456&lt;=113.15,E456&lt;=0.15,F456&gt;15.77,H456&gt;28.86,M456&gt;14.54))*1</f>
        <v/>
      </c>
      <c r="W456">
        <f>--(AND(D456&lt;=113.15,E456&gt;0.15,H456&lt;=23.74))*0</f>
        <v/>
      </c>
      <c r="X456">
        <f>--(AND(D456&lt;=113.15,E456&gt;0.15,H456&gt;23.74,J456&lt;=0.1))*1</f>
        <v/>
      </c>
      <c r="Y456">
        <f>--(AND(D456&lt;=113.15,E456&gt;0.15,H456&gt;23.74,J456&gt;0.1))*1</f>
        <v/>
      </c>
      <c r="Z456">
        <f>--(AND(D456&gt;113.15,K456&lt;=0.22,L456&lt;=0.02))*1</f>
        <v/>
      </c>
      <c r="AA456">
        <f>--(AND(D456&gt;113.15,K456&lt;=0.22,L456&gt;0.02))*0</f>
        <v/>
      </c>
      <c r="AB456">
        <f>--(AND(D456&gt;113.15,K456&gt;0.22,N456&lt;=810.1))*0</f>
        <v/>
      </c>
      <c r="AC456">
        <f>--(AND(D456&gt;113.15,K456&gt;0.22,N456&gt;810.1,I456&lt;=14.95))*1</f>
        <v/>
      </c>
      <c r="AD456">
        <f>--(AND(D456&gt;113.15,K456&gt;0.22,N456&gt;810.1,I456&gt;14.95))*1</f>
        <v/>
      </c>
      <c r="AE456">
        <f>SUM(P456:AD456)</f>
        <v/>
      </c>
      <c r="AF456">
        <f>IF(AE456=1,"Malignant","Benign")</f>
        <v/>
      </c>
      <c r="AG456">
        <f>--(AE456=C456)</f>
        <v/>
      </c>
    </row>
    <row r="457">
      <c r="A457">
        <f>BreastCancer_Data!A457</f>
        <v/>
      </c>
      <c r="B457">
        <f>BreastCancer_Data!B457</f>
        <v/>
      </c>
      <c r="C457">
        <f>BreastCancer_Data!D457</f>
        <v/>
      </c>
      <c r="D457">
        <f>BreastCancer_Data!E457</f>
        <v/>
      </c>
      <c r="E457">
        <f>BreastCancer_Data!F457</f>
        <v/>
      </c>
      <c r="F457">
        <f>BreastCancer_Data!G457</f>
        <v/>
      </c>
      <c r="G457">
        <f>BreastCancer_Data!H457</f>
        <v/>
      </c>
      <c r="H457">
        <f>BreastCancer_Data!I457</f>
        <v/>
      </c>
      <c r="I457">
        <f>BreastCancer_Data!J457</f>
        <v/>
      </c>
      <c r="J457">
        <f>BreastCancer_Data!K457</f>
        <v/>
      </c>
      <c r="K457">
        <f>BreastCancer_Data!L457</f>
        <v/>
      </c>
      <c r="L457">
        <f>BreastCancer_Data!M457</f>
        <v/>
      </c>
      <c r="M457">
        <f>BreastCancer_Data!N457</f>
        <v/>
      </c>
      <c r="N457">
        <f>BreastCancer_Data!O457</f>
        <v/>
      </c>
      <c r="O457">
        <f>0</f>
        <v/>
      </c>
      <c r="P457">
        <f>--(AND(D457&lt;=113.15,E457&lt;=0.15,F457&lt;=15.77,G457&lt;=0.18,H457&lt;=33.27))*0</f>
        <v/>
      </c>
      <c r="Q457">
        <f>--(AND(D457&lt;=113.15,E457&lt;=0.15,F457&lt;=15.77,G457&lt;=0.18,H457&gt;33.27))*0</f>
        <v/>
      </c>
      <c r="R457">
        <f>--(AND(D457&lt;=113.15,E457&lt;=0.15,F457&lt;=15.77,G457&gt;0.18))*0</f>
        <v/>
      </c>
      <c r="S457">
        <f>--(AND(D457&lt;=113.15,E457&lt;=0.15,F457&gt;15.77,H457&lt;=28.86,G457&lt;=0.14))*0</f>
        <v/>
      </c>
      <c r="T457">
        <f>--(AND(D457&lt;=113.15,E457&lt;=0.15,F457&gt;15.77,H457&lt;=28.86,G457&gt;0.14))*1</f>
        <v/>
      </c>
      <c r="U457">
        <f>--(AND(D457&lt;=113.15,E457&lt;=0.15,F457&gt;15.77,H457&gt;28.86,M457&lt;=14.54))*1</f>
        <v/>
      </c>
      <c r="V457">
        <f>--(AND(D457&lt;=113.15,E457&lt;=0.15,F457&gt;15.77,H457&gt;28.86,M457&gt;14.54))*1</f>
        <v/>
      </c>
      <c r="W457">
        <f>--(AND(D457&lt;=113.15,E457&gt;0.15,H457&lt;=23.74))*0</f>
        <v/>
      </c>
      <c r="X457">
        <f>--(AND(D457&lt;=113.15,E457&gt;0.15,H457&gt;23.74,J457&lt;=0.1))*1</f>
        <v/>
      </c>
      <c r="Y457">
        <f>--(AND(D457&lt;=113.15,E457&gt;0.15,H457&gt;23.74,J457&gt;0.1))*1</f>
        <v/>
      </c>
      <c r="Z457">
        <f>--(AND(D457&gt;113.15,K457&lt;=0.22,L457&lt;=0.02))*1</f>
        <v/>
      </c>
      <c r="AA457">
        <f>--(AND(D457&gt;113.15,K457&lt;=0.22,L457&gt;0.02))*0</f>
        <v/>
      </c>
      <c r="AB457">
        <f>--(AND(D457&gt;113.15,K457&gt;0.22,N457&lt;=810.1))*0</f>
        <v/>
      </c>
      <c r="AC457">
        <f>--(AND(D457&gt;113.15,K457&gt;0.22,N457&gt;810.1,I457&lt;=14.95))*1</f>
        <v/>
      </c>
      <c r="AD457">
        <f>--(AND(D457&gt;113.15,K457&gt;0.22,N457&gt;810.1,I457&gt;14.95))*1</f>
        <v/>
      </c>
      <c r="AE457">
        <f>SUM(P457:AD457)</f>
        <v/>
      </c>
      <c r="AF457">
        <f>IF(AE457=1,"Malignant","Benign")</f>
        <v/>
      </c>
      <c r="AG457">
        <f>--(AE457=C457)</f>
        <v/>
      </c>
    </row>
    <row r="458">
      <c r="A458">
        <f>BreastCancer_Data!A458</f>
        <v/>
      </c>
      <c r="B458">
        <f>BreastCancer_Data!B458</f>
        <v/>
      </c>
      <c r="C458">
        <f>BreastCancer_Data!D458</f>
        <v/>
      </c>
      <c r="D458">
        <f>BreastCancer_Data!E458</f>
        <v/>
      </c>
      <c r="E458">
        <f>BreastCancer_Data!F458</f>
        <v/>
      </c>
      <c r="F458">
        <f>BreastCancer_Data!G458</f>
        <v/>
      </c>
      <c r="G458">
        <f>BreastCancer_Data!H458</f>
        <v/>
      </c>
      <c r="H458">
        <f>BreastCancer_Data!I458</f>
        <v/>
      </c>
      <c r="I458">
        <f>BreastCancer_Data!J458</f>
        <v/>
      </c>
      <c r="J458">
        <f>BreastCancer_Data!K458</f>
        <v/>
      </c>
      <c r="K458">
        <f>BreastCancer_Data!L458</f>
        <v/>
      </c>
      <c r="L458">
        <f>BreastCancer_Data!M458</f>
        <v/>
      </c>
      <c r="M458">
        <f>BreastCancer_Data!N458</f>
        <v/>
      </c>
      <c r="N458">
        <f>BreastCancer_Data!O458</f>
        <v/>
      </c>
      <c r="O458">
        <f>0</f>
        <v/>
      </c>
      <c r="P458">
        <f>--(AND(D458&lt;=113.15,E458&lt;=0.15,F458&lt;=15.77,G458&lt;=0.18,H458&lt;=33.27))*0</f>
        <v/>
      </c>
      <c r="Q458">
        <f>--(AND(D458&lt;=113.15,E458&lt;=0.15,F458&lt;=15.77,G458&lt;=0.18,H458&gt;33.27))*0</f>
        <v/>
      </c>
      <c r="R458">
        <f>--(AND(D458&lt;=113.15,E458&lt;=0.15,F458&lt;=15.77,G458&gt;0.18))*0</f>
        <v/>
      </c>
      <c r="S458">
        <f>--(AND(D458&lt;=113.15,E458&lt;=0.15,F458&gt;15.77,H458&lt;=28.86,G458&lt;=0.14))*0</f>
        <v/>
      </c>
      <c r="T458">
        <f>--(AND(D458&lt;=113.15,E458&lt;=0.15,F458&gt;15.77,H458&lt;=28.86,G458&gt;0.14))*1</f>
        <v/>
      </c>
      <c r="U458">
        <f>--(AND(D458&lt;=113.15,E458&lt;=0.15,F458&gt;15.77,H458&gt;28.86,M458&lt;=14.54))*1</f>
        <v/>
      </c>
      <c r="V458">
        <f>--(AND(D458&lt;=113.15,E458&lt;=0.15,F458&gt;15.77,H458&gt;28.86,M458&gt;14.54))*1</f>
        <v/>
      </c>
      <c r="W458">
        <f>--(AND(D458&lt;=113.15,E458&gt;0.15,H458&lt;=23.74))*0</f>
        <v/>
      </c>
      <c r="X458">
        <f>--(AND(D458&lt;=113.15,E458&gt;0.15,H458&gt;23.74,J458&lt;=0.1))*1</f>
        <v/>
      </c>
      <c r="Y458">
        <f>--(AND(D458&lt;=113.15,E458&gt;0.15,H458&gt;23.74,J458&gt;0.1))*1</f>
        <v/>
      </c>
      <c r="Z458">
        <f>--(AND(D458&gt;113.15,K458&lt;=0.22,L458&lt;=0.02))*1</f>
        <v/>
      </c>
      <c r="AA458">
        <f>--(AND(D458&gt;113.15,K458&lt;=0.22,L458&gt;0.02))*0</f>
        <v/>
      </c>
      <c r="AB458">
        <f>--(AND(D458&gt;113.15,K458&gt;0.22,N458&lt;=810.1))*0</f>
        <v/>
      </c>
      <c r="AC458">
        <f>--(AND(D458&gt;113.15,K458&gt;0.22,N458&gt;810.1,I458&lt;=14.95))*1</f>
        <v/>
      </c>
      <c r="AD458">
        <f>--(AND(D458&gt;113.15,K458&gt;0.22,N458&gt;810.1,I458&gt;14.95))*1</f>
        <v/>
      </c>
      <c r="AE458">
        <f>SUM(P458:AD458)</f>
        <v/>
      </c>
      <c r="AF458">
        <f>IF(AE458=1,"Malignant","Benign")</f>
        <v/>
      </c>
      <c r="AG458">
        <f>--(AE458=C458)</f>
        <v/>
      </c>
    </row>
    <row r="459">
      <c r="A459">
        <f>BreastCancer_Data!A459</f>
        <v/>
      </c>
      <c r="B459">
        <f>BreastCancer_Data!B459</f>
        <v/>
      </c>
      <c r="C459">
        <f>BreastCancer_Data!D459</f>
        <v/>
      </c>
      <c r="D459">
        <f>BreastCancer_Data!E459</f>
        <v/>
      </c>
      <c r="E459">
        <f>BreastCancer_Data!F459</f>
        <v/>
      </c>
      <c r="F459">
        <f>BreastCancer_Data!G459</f>
        <v/>
      </c>
      <c r="G459">
        <f>BreastCancer_Data!H459</f>
        <v/>
      </c>
      <c r="H459">
        <f>BreastCancer_Data!I459</f>
        <v/>
      </c>
      <c r="I459">
        <f>BreastCancer_Data!J459</f>
        <v/>
      </c>
      <c r="J459">
        <f>BreastCancer_Data!K459</f>
        <v/>
      </c>
      <c r="K459">
        <f>BreastCancer_Data!L459</f>
        <v/>
      </c>
      <c r="L459">
        <f>BreastCancer_Data!M459</f>
        <v/>
      </c>
      <c r="M459">
        <f>BreastCancer_Data!N459</f>
        <v/>
      </c>
      <c r="N459">
        <f>BreastCancer_Data!O459</f>
        <v/>
      </c>
      <c r="O459">
        <f>0</f>
        <v/>
      </c>
      <c r="P459">
        <f>--(AND(D459&lt;=113.15,E459&lt;=0.15,F459&lt;=15.77,G459&lt;=0.18,H459&lt;=33.27))*0</f>
        <v/>
      </c>
      <c r="Q459">
        <f>--(AND(D459&lt;=113.15,E459&lt;=0.15,F459&lt;=15.77,G459&lt;=0.18,H459&gt;33.27))*0</f>
        <v/>
      </c>
      <c r="R459">
        <f>--(AND(D459&lt;=113.15,E459&lt;=0.15,F459&lt;=15.77,G459&gt;0.18))*0</f>
        <v/>
      </c>
      <c r="S459">
        <f>--(AND(D459&lt;=113.15,E459&lt;=0.15,F459&gt;15.77,H459&lt;=28.86,G459&lt;=0.14))*0</f>
        <v/>
      </c>
      <c r="T459">
        <f>--(AND(D459&lt;=113.15,E459&lt;=0.15,F459&gt;15.77,H459&lt;=28.86,G459&gt;0.14))*1</f>
        <v/>
      </c>
      <c r="U459">
        <f>--(AND(D459&lt;=113.15,E459&lt;=0.15,F459&gt;15.77,H459&gt;28.86,M459&lt;=14.54))*1</f>
        <v/>
      </c>
      <c r="V459">
        <f>--(AND(D459&lt;=113.15,E459&lt;=0.15,F459&gt;15.77,H459&gt;28.86,M459&gt;14.54))*1</f>
        <v/>
      </c>
      <c r="W459">
        <f>--(AND(D459&lt;=113.15,E459&gt;0.15,H459&lt;=23.74))*0</f>
        <v/>
      </c>
      <c r="X459">
        <f>--(AND(D459&lt;=113.15,E459&gt;0.15,H459&gt;23.74,J459&lt;=0.1))*1</f>
        <v/>
      </c>
      <c r="Y459">
        <f>--(AND(D459&lt;=113.15,E459&gt;0.15,H459&gt;23.74,J459&gt;0.1))*1</f>
        <v/>
      </c>
      <c r="Z459">
        <f>--(AND(D459&gt;113.15,K459&lt;=0.22,L459&lt;=0.02))*1</f>
        <v/>
      </c>
      <c r="AA459">
        <f>--(AND(D459&gt;113.15,K459&lt;=0.22,L459&gt;0.02))*0</f>
        <v/>
      </c>
      <c r="AB459">
        <f>--(AND(D459&gt;113.15,K459&gt;0.22,N459&lt;=810.1))*0</f>
        <v/>
      </c>
      <c r="AC459">
        <f>--(AND(D459&gt;113.15,K459&gt;0.22,N459&gt;810.1,I459&lt;=14.95))*1</f>
        <v/>
      </c>
      <c r="AD459">
        <f>--(AND(D459&gt;113.15,K459&gt;0.22,N459&gt;810.1,I459&gt;14.95))*1</f>
        <v/>
      </c>
      <c r="AE459">
        <f>SUM(P459:AD459)</f>
        <v/>
      </c>
      <c r="AF459">
        <f>IF(AE459=1,"Malignant","Benign")</f>
        <v/>
      </c>
      <c r="AG459">
        <f>--(AE459=C459)</f>
        <v/>
      </c>
    </row>
    <row r="460">
      <c r="A460">
        <f>BreastCancer_Data!A460</f>
        <v/>
      </c>
      <c r="B460">
        <f>BreastCancer_Data!B460</f>
        <v/>
      </c>
      <c r="C460">
        <f>BreastCancer_Data!D460</f>
        <v/>
      </c>
      <c r="D460">
        <f>BreastCancer_Data!E460</f>
        <v/>
      </c>
      <c r="E460">
        <f>BreastCancer_Data!F460</f>
        <v/>
      </c>
      <c r="F460">
        <f>BreastCancer_Data!G460</f>
        <v/>
      </c>
      <c r="G460">
        <f>BreastCancer_Data!H460</f>
        <v/>
      </c>
      <c r="H460">
        <f>BreastCancer_Data!I460</f>
        <v/>
      </c>
      <c r="I460">
        <f>BreastCancer_Data!J460</f>
        <v/>
      </c>
      <c r="J460">
        <f>BreastCancer_Data!K460</f>
        <v/>
      </c>
      <c r="K460">
        <f>BreastCancer_Data!L460</f>
        <v/>
      </c>
      <c r="L460">
        <f>BreastCancer_Data!M460</f>
        <v/>
      </c>
      <c r="M460">
        <f>BreastCancer_Data!N460</f>
        <v/>
      </c>
      <c r="N460">
        <f>BreastCancer_Data!O460</f>
        <v/>
      </c>
      <c r="O460">
        <f>0</f>
        <v/>
      </c>
      <c r="P460">
        <f>--(AND(D460&lt;=113.15,E460&lt;=0.15,F460&lt;=15.77,G460&lt;=0.18,H460&lt;=33.27))*0</f>
        <v/>
      </c>
      <c r="Q460">
        <f>--(AND(D460&lt;=113.15,E460&lt;=0.15,F460&lt;=15.77,G460&lt;=0.18,H460&gt;33.27))*0</f>
        <v/>
      </c>
      <c r="R460">
        <f>--(AND(D460&lt;=113.15,E460&lt;=0.15,F460&lt;=15.77,G460&gt;0.18))*0</f>
        <v/>
      </c>
      <c r="S460">
        <f>--(AND(D460&lt;=113.15,E460&lt;=0.15,F460&gt;15.77,H460&lt;=28.86,G460&lt;=0.14))*0</f>
        <v/>
      </c>
      <c r="T460">
        <f>--(AND(D460&lt;=113.15,E460&lt;=0.15,F460&gt;15.77,H460&lt;=28.86,G460&gt;0.14))*1</f>
        <v/>
      </c>
      <c r="U460">
        <f>--(AND(D460&lt;=113.15,E460&lt;=0.15,F460&gt;15.77,H460&gt;28.86,M460&lt;=14.54))*1</f>
        <v/>
      </c>
      <c r="V460">
        <f>--(AND(D460&lt;=113.15,E460&lt;=0.15,F460&gt;15.77,H460&gt;28.86,M460&gt;14.54))*1</f>
        <v/>
      </c>
      <c r="W460">
        <f>--(AND(D460&lt;=113.15,E460&gt;0.15,H460&lt;=23.74))*0</f>
        <v/>
      </c>
      <c r="X460">
        <f>--(AND(D460&lt;=113.15,E460&gt;0.15,H460&gt;23.74,J460&lt;=0.1))*1</f>
        <v/>
      </c>
      <c r="Y460">
        <f>--(AND(D460&lt;=113.15,E460&gt;0.15,H460&gt;23.74,J460&gt;0.1))*1</f>
        <v/>
      </c>
      <c r="Z460">
        <f>--(AND(D460&gt;113.15,K460&lt;=0.22,L460&lt;=0.02))*1</f>
        <v/>
      </c>
      <c r="AA460">
        <f>--(AND(D460&gt;113.15,K460&lt;=0.22,L460&gt;0.02))*0</f>
        <v/>
      </c>
      <c r="AB460">
        <f>--(AND(D460&gt;113.15,K460&gt;0.22,N460&lt;=810.1))*0</f>
        <v/>
      </c>
      <c r="AC460">
        <f>--(AND(D460&gt;113.15,K460&gt;0.22,N460&gt;810.1,I460&lt;=14.95))*1</f>
        <v/>
      </c>
      <c r="AD460">
        <f>--(AND(D460&gt;113.15,K460&gt;0.22,N460&gt;810.1,I460&gt;14.95))*1</f>
        <v/>
      </c>
      <c r="AE460">
        <f>SUM(P460:AD460)</f>
        <v/>
      </c>
      <c r="AF460">
        <f>IF(AE460=1,"Malignant","Benign")</f>
        <v/>
      </c>
      <c r="AG460">
        <f>--(AE460=C460)</f>
        <v/>
      </c>
    </row>
    <row r="461">
      <c r="A461">
        <f>BreastCancer_Data!A461</f>
        <v/>
      </c>
      <c r="B461">
        <f>BreastCancer_Data!B461</f>
        <v/>
      </c>
      <c r="C461">
        <f>BreastCancer_Data!D461</f>
        <v/>
      </c>
      <c r="D461">
        <f>BreastCancer_Data!E461</f>
        <v/>
      </c>
      <c r="E461">
        <f>BreastCancer_Data!F461</f>
        <v/>
      </c>
      <c r="F461">
        <f>BreastCancer_Data!G461</f>
        <v/>
      </c>
      <c r="G461">
        <f>BreastCancer_Data!H461</f>
        <v/>
      </c>
      <c r="H461">
        <f>BreastCancer_Data!I461</f>
        <v/>
      </c>
      <c r="I461">
        <f>BreastCancer_Data!J461</f>
        <v/>
      </c>
      <c r="J461">
        <f>BreastCancer_Data!K461</f>
        <v/>
      </c>
      <c r="K461">
        <f>BreastCancer_Data!L461</f>
        <v/>
      </c>
      <c r="L461">
        <f>BreastCancer_Data!M461</f>
        <v/>
      </c>
      <c r="M461">
        <f>BreastCancer_Data!N461</f>
        <v/>
      </c>
      <c r="N461">
        <f>BreastCancer_Data!O461</f>
        <v/>
      </c>
      <c r="O461">
        <f>0</f>
        <v/>
      </c>
      <c r="P461">
        <f>--(AND(D461&lt;=113.15,E461&lt;=0.15,F461&lt;=15.77,G461&lt;=0.18,H461&lt;=33.27))*0</f>
        <v/>
      </c>
      <c r="Q461">
        <f>--(AND(D461&lt;=113.15,E461&lt;=0.15,F461&lt;=15.77,G461&lt;=0.18,H461&gt;33.27))*0</f>
        <v/>
      </c>
      <c r="R461">
        <f>--(AND(D461&lt;=113.15,E461&lt;=0.15,F461&lt;=15.77,G461&gt;0.18))*0</f>
        <v/>
      </c>
      <c r="S461">
        <f>--(AND(D461&lt;=113.15,E461&lt;=0.15,F461&gt;15.77,H461&lt;=28.86,G461&lt;=0.14))*0</f>
        <v/>
      </c>
      <c r="T461">
        <f>--(AND(D461&lt;=113.15,E461&lt;=0.15,F461&gt;15.77,H461&lt;=28.86,G461&gt;0.14))*1</f>
        <v/>
      </c>
      <c r="U461">
        <f>--(AND(D461&lt;=113.15,E461&lt;=0.15,F461&gt;15.77,H461&gt;28.86,M461&lt;=14.54))*1</f>
        <v/>
      </c>
      <c r="V461">
        <f>--(AND(D461&lt;=113.15,E461&lt;=0.15,F461&gt;15.77,H461&gt;28.86,M461&gt;14.54))*1</f>
        <v/>
      </c>
      <c r="W461">
        <f>--(AND(D461&lt;=113.15,E461&gt;0.15,H461&lt;=23.74))*0</f>
        <v/>
      </c>
      <c r="X461">
        <f>--(AND(D461&lt;=113.15,E461&gt;0.15,H461&gt;23.74,J461&lt;=0.1))*1</f>
        <v/>
      </c>
      <c r="Y461">
        <f>--(AND(D461&lt;=113.15,E461&gt;0.15,H461&gt;23.74,J461&gt;0.1))*1</f>
        <v/>
      </c>
      <c r="Z461">
        <f>--(AND(D461&gt;113.15,K461&lt;=0.22,L461&lt;=0.02))*1</f>
        <v/>
      </c>
      <c r="AA461">
        <f>--(AND(D461&gt;113.15,K461&lt;=0.22,L461&gt;0.02))*0</f>
        <v/>
      </c>
      <c r="AB461">
        <f>--(AND(D461&gt;113.15,K461&gt;0.22,N461&lt;=810.1))*0</f>
        <v/>
      </c>
      <c r="AC461">
        <f>--(AND(D461&gt;113.15,K461&gt;0.22,N461&gt;810.1,I461&lt;=14.95))*1</f>
        <v/>
      </c>
      <c r="AD461">
        <f>--(AND(D461&gt;113.15,K461&gt;0.22,N461&gt;810.1,I461&gt;14.95))*1</f>
        <v/>
      </c>
      <c r="AE461">
        <f>SUM(P461:AD461)</f>
        <v/>
      </c>
      <c r="AF461">
        <f>IF(AE461=1,"Malignant","Benign")</f>
        <v/>
      </c>
      <c r="AG461">
        <f>--(AE461=C461)</f>
        <v/>
      </c>
    </row>
    <row r="462">
      <c r="A462">
        <f>BreastCancer_Data!A462</f>
        <v/>
      </c>
      <c r="B462">
        <f>BreastCancer_Data!B462</f>
        <v/>
      </c>
      <c r="C462">
        <f>BreastCancer_Data!D462</f>
        <v/>
      </c>
      <c r="D462">
        <f>BreastCancer_Data!E462</f>
        <v/>
      </c>
      <c r="E462">
        <f>BreastCancer_Data!F462</f>
        <v/>
      </c>
      <c r="F462">
        <f>BreastCancer_Data!G462</f>
        <v/>
      </c>
      <c r="G462">
        <f>BreastCancer_Data!H462</f>
        <v/>
      </c>
      <c r="H462">
        <f>BreastCancer_Data!I462</f>
        <v/>
      </c>
      <c r="I462">
        <f>BreastCancer_Data!J462</f>
        <v/>
      </c>
      <c r="J462">
        <f>BreastCancer_Data!K462</f>
        <v/>
      </c>
      <c r="K462">
        <f>BreastCancer_Data!L462</f>
        <v/>
      </c>
      <c r="L462">
        <f>BreastCancer_Data!M462</f>
        <v/>
      </c>
      <c r="M462">
        <f>BreastCancer_Data!N462</f>
        <v/>
      </c>
      <c r="N462">
        <f>BreastCancer_Data!O462</f>
        <v/>
      </c>
      <c r="O462">
        <f>0</f>
        <v/>
      </c>
      <c r="P462">
        <f>--(AND(D462&lt;=113.15,E462&lt;=0.15,F462&lt;=15.77,G462&lt;=0.18,H462&lt;=33.27))*0</f>
        <v/>
      </c>
      <c r="Q462">
        <f>--(AND(D462&lt;=113.15,E462&lt;=0.15,F462&lt;=15.77,G462&lt;=0.18,H462&gt;33.27))*0</f>
        <v/>
      </c>
      <c r="R462">
        <f>--(AND(D462&lt;=113.15,E462&lt;=0.15,F462&lt;=15.77,G462&gt;0.18))*0</f>
        <v/>
      </c>
      <c r="S462">
        <f>--(AND(D462&lt;=113.15,E462&lt;=0.15,F462&gt;15.77,H462&lt;=28.86,G462&lt;=0.14))*0</f>
        <v/>
      </c>
      <c r="T462">
        <f>--(AND(D462&lt;=113.15,E462&lt;=0.15,F462&gt;15.77,H462&lt;=28.86,G462&gt;0.14))*1</f>
        <v/>
      </c>
      <c r="U462">
        <f>--(AND(D462&lt;=113.15,E462&lt;=0.15,F462&gt;15.77,H462&gt;28.86,M462&lt;=14.54))*1</f>
        <v/>
      </c>
      <c r="V462">
        <f>--(AND(D462&lt;=113.15,E462&lt;=0.15,F462&gt;15.77,H462&gt;28.86,M462&gt;14.54))*1</f>
        <v/>
      </c>
      <c r="W462">
        <f>--(AND(D462&lt;=113.15,E462&gt;0.15,H462&lt;=23.74))*0</f>
        <v/>
      </c>
      <c r="X462">
        <f>--(AND(D462&lt;=113.15,E462&gt;0.15,H462&gt;23.74,J462&lt;=0.1))*1</f>
        <v/>
      </c>
      <c r="Y462">
        <f>--(AND(D462&lt;=113.15,E462&gt;0.15,H462&gt;23.74,J462&gt;0.1))*1</f>
        <v/>
      </c>
      <c r="Z462">
        <f>--(AND(D462&gt;113.15,K462&lt;=0.22,L462&lt;=0.02))*1</f>
        <v/>
      </c>
      <c r="AA462">
        <f>--(AND(D462&gt;113.15,K462&lt;=0.22,L462&gt;0.02))*0</f>
        <v/>
      </c>
      <c r="AB462">
        <f>--(AND(D462&gt;113.15,K462&gt;0.22,N462&lt;=810.1))*0</f>
        <v/>
      </c>
      <c r="AC462">
        <f>--(AND(D462&gt;113.15,K462&gt;0.22,N462&gt;810.1,I462&lt;=14.95))*1</f>
        <v/>
      </c>
      <c r="AD462">
        <f>--(AND(D462&gt;113.15,K462&gt;0.22,N462&gt;810.1,I462&gt;14.95))*1</f>
        <v/>
      </c>
      <c r="AE462">
        <f>SUM(P462:AD462)</f>
        <v/>
      </c>
      <c r="AF462">
        <f>IF(AE462=1,"Malignant","Benign")</f>
        <v/>
      </c>
      <c r="AG462">
        <f>--(AE462=C462)</f>
        <v/>
      </c>
    </row>
    <row r="463">
      <c r="A463">
        <f>BreastCancer_Data!A463</f>
        <v/>
      </c>
      <c r="B463">
        <f>BreastCancer_Data!B463</f>
        <v/>
      </c>
      <c r="C463">
        <f>BreastCancer_Data!D463</f>
        <v/>
      </c>
      <c r="D463">
        <f>BreastCancer_Data!E463</f>
        <v/>
      </c>
      <c r="E463">
        <f>BreastCancer_Data!F463</f>
        <v/>
      </c>
      <c r="F463">
        <f>BreastCancer_Data!G463</f>
        <v/>
      </c>
      <c r="G463">
        <f>BreastCancer_Data!H463</f>
        <v/>
      </c>
      <c r="H463">
        <f>BreastCancer_Data!I463</f>
        <v/>
      </c>
      <c r="I463">
        <f>BreastCancer_Data!J463</f>
        <v/>
      </c>
      <c r="J463">
        <f>BreastCancer_Data!K463</f>
        <v/>
      </c>
      <c r="K463">
        <f>BreastCancer_Data!L463</f>
        <v/>
      </c>
      <c r="L463">
        <f>BreastCancer_Data!M463</f>
        <v/>
      </c>
      <c r="M463">
        <f>BreastCancer_Data!N463</f>
        <v/>
      </c>
      <c r="N463">
        <f>BreastCancer_Data!O463</f>
        <v/>
      </c>
      <c r="O463">
        <f>0</f>
        <v/>
      </c>
      <c r="P463">
        <f>--(AND(D463&lt;=113.15,E463&lt;=0.15,F463&lt;=15.77,G463&lt;=0.18,H463&lt;=33.27))*0</f>
        <v/>
      </c>
      <c r="Q463">
        <f>--(AND(D463&lt;=113.15,E463&lt;=0.15,F463&lt;=15.77,G463&lt;=0.18,H463&gt;33.27))*0</f>
        <v/>
      </c>
      <c r="R463">
        <f>--(AND(D463&lt;=113.15,E463&lt;=0.15,F463&lt;=15.77,G463&gt;0.18))*0</f>
        <v/>
      </c>
      <c r="S463">
        <f>--(AND(D463&lt;=113.15,E463&lt;=0.15,F463&gt;15.77,H463&lt;=28.86,G463&lt;=0.14))*0</f>
        <v/>
      </c>
      <c r="T463">
        <f>--(AND(D463&lt;=113.15,E463&lt;=0.15,F463&gt;15.77,H463&lt;=28.86,G463&gt;0.14))*1</f>
        <v/>
      </c>
      <c r="U463">
        <f>--(AND(D463&lt;=113.15,E463&lt;=0.15,F463&gt;15.77,H463&gt;28.86,M463&lt;=14.54))*1</f>
        <v/>
      </c>
      <c r="V463">
        <f>--(AND(D463&lt;=113.15,E463&lt;=0.15,F463&gt;15.77,H463&gt;28.86,M463&gt;14.54))*1</f>
        <v/>
      </c>
      <c r="W463">
        <f>--(AND(D463&lt;=113.15,E463&gt;0.15,H463&lt;=23.74))*0</f>
        <v/>
      </c>
      <c r="X463">
        <f>--(AND(D463&lt;=113.15,E463&gt;0.15,H463&gt;23.74,J463&lt;=0.1))*1</f>
        <v/>
      </c>
      <c r="Y463">
        <f>--(AND(D463&lt;=113.15,E463&gt;0.15,H463&gt;23.74,J463&gt;0.1))*1</f>
        <v/>
      </c>
      <c r="Z463">
        <f>--(AND(D463&gt;113.15,K463&lt;=0.22,L463&lt;=0.02))*1</f>
        <v/>
      </c>
      <c r="AA463">
        <f>--(AND(D463&gt;113.15,K463&lt;=0.22,L463&gt;0.02))*0</f>
        <v/>
      </c>
      <c r="AB463">
        <f>--(AND(D463&gt;113.15,K463&gt;0.22,N463&lt;=810.1))*0</f>
        <v/>
      </c>
      <c r="AC463">
        <f>--(AND(D463&gt;113.15,K463&gt;0.22,N463&gt;810.1,I463&lt;=14.95))*1</f>
        <v/>
      </c>
      <c r="AD463">
        <f>--(AND(D463&gt;113.15,K463&gt;0.22,N463&gt;810.1,I463&gt;14.95))*1</f>
        <v/>
      </c>
      <c r="AE463">
        <f>SUM(P463:AD463)</f>
        <v/>
      </c>
      <c r="AF463">
        <f>IF(AE463=1,"Malignant","Benign")</f>
        <v/>
      </c>
      <c r="AG463">
        <f>--(AE463=C463)</f>
        <v/>
      </c>
    </row>
    <row r="464">
      <c r="A464">
        <f>BreastCancer_Data!A464</f>
        <v/>
      </c>
      <c r="B464">
        <f>BreastCancer_Data!B464</f>
        <v/>
      </c>
      <c r="C464">
        <f>BreastCancer_Data!D464</f>
        <v/>
      </c>
      <c r="D464">
        <f>BreastCancer_Data!E464</f>
        <v/>
      </c>
      <c r="E464">
        <f>BreastCancer_Data!F464</f>
        <v/>
      </c>
      <c r="F464">
        <f>BreastCancer_Data!G464</f>
        <v/>
      </c>
      <c r="G464">
        <f>BreastCancer_Data!H464</f>
        <v/>
      </c>
      <c r="H464">
        <f>BreastCancer_Data!I464</f>
        <v/>
      </c>
      <c r="I464">
        <f>BreastCancer_Data!J464</f>
        <v/>
      </c>
      <c r="J464">
        <f>BreastCancer_Data!K464</f>
        <v/>
      </c>
      <c r="K464">
        <f>BreastCancer_Data!L464</f>
        <v/>
      </c>
      <c r="L464">
        <f>BreastCancer_Data!M464</f>
        <v/>
      </c>
      <c r="M464">
        <f>BreastCancer_Data!N464</f>
        <v/>
      </c>
      <c r="N464">
        <f>BreastCancer_Data!O464</f>
        <v/>
      </c>
      <c r="O464">
        <f>0</f>
        <v/>
      </c>
      <c r="P464">
        <f>--(AND(D464&lt;=113.15,E464&lt;=0.15,F464&lt;=15.77,G464&lt;=0.18,H464&lt;=33.27))*0</f>
        <v/>
      </c>
      <c r="Q464">
        <f>--(AND(D464&lt;=113.15,E464&lt;=0.15,F464&lt;=15.77,G464&lt;=0.18,H464&gt;33.27))*0</f>
        <v/>
      </c>
      <c r="R464">
        <f>--(AND(D464&lt;=113.15,E464&lt;=0.15,F464&lt;=15.77,G464&gt;0.18))*0</f>
        <v/>
      </c>
      <c r="S464">
        <f>--(AND(D464&lt;=113.15,E464&lt;=0.15,F464&gt;15.77,H464&lt;=28.86,G464&lt;=0.14))*0</f>
        <v/>
      </c>
      <c r="T464">
        <f>--(AND(D464&lt;=113.15,E464&lt;=0.15,F464&gt;15.77,H464&lt;=28.86,G464&gt;0.14))*1</f>
        <v/>
      </c>
      <c r="U464">
        <f>--(AND(D464&lt;=113.15,E464&lt;=0.15,F464&gt;15.77,H464&gt;28.86,M464&lt;=14.54))*1</f>
        <v/>
      </c>
      <c r="V464">
        <f>--(AND(D464&lt;=113.15,E464&lt;=0.15,F464&gt;15.77,H464&gt;28.86,M464&gt;14.54))*1</f>
        <v/>
      </c>
      <c r="W464">
        <f>--(AND(D464&lt;=113.15,E464&gt;0.15,H464&lt;=23.74))*0</f>
        <v/>
      </c>
      <c r="X464">
        <f>--(AND(D464&lt;=113.15,E464&gt;0.15,H464&gt;23.74,J464&lt;=0.1))*1</f>
        <v/>
      </c>
      <c r="Y464">
        <f>--(AND(D464&lt;=113.15,E464&gt;0.15,H464&gt;23.74,J464&gt;0.1))*1</f>
        <v/>
      </c>
      <c r="Z464">
        <f>--(AND(D464&gt;113.15,K464&lt;=0.22,L464&lt;=0.02))*1</f>
        <v/>
      </c>
      <c r="AA464">
        <f>--(AND(D464&gt;113.15,K464&lt;=0.22,L464&gt;0.02))*0</f>
        <v/>
      </c>
      <c r="AB464">
        <f>--(AND(D464&gt;113.15,K464&gt;0.22,N464&lt;=810.1))*0</f>
        <v/>
      </c>
      <c r="AC464">
        <f>--(AND(D464&gt;113.15,K464&gt;0.22,N464&gt;810.1,I464&lt;=14.95))*1</f>
        <v/>
      </c>
      <c r="AD464">
        <f>--(AND(D464&gt;113.15,K464&gt;0.22,N464&gt;810.1,I464&gt;14.95))*1</f>
        <v/>
      </c>
      <c r="AE464">
        <f>SUM(P464:AD464)</f>
        <v/>
      </c>
      <c r="AF464">
        <f>IF(AE464=1,"Malignant","Benign")</f>
        <v/>
      </c>
      <c r="AG464">
        <f>--(AE464=C464)</f>
        <v/>
      </c>
    </row>
    <row r="465">
      <c r="A465">
        <f>BreastCancer_Data!A465</f>
        <v/>
      </c>
      <c r="B465">
        <f>BreastCancer_Data!B465</f>
        <v/>
      </c>
      <c r="C465">
        <f>BreastCancer_Data!D465</f>
        <v/>
      </c>
      <c r="D465">
        <f>BreastCancer_Data!E465</f>
        <v/>
      </c>
      <c r="E465">
        <f>BreastCancer_Data!F465</f>
        <v/>
      </c>
      <c r="F465">
        <f>BreastCancer_Data!G465</f>
        <v/>
      </c>
      <c r="G465">
        <f>BreastCancer_Data!H465</f>
        <v/>
      </c>
      <c r="H465">
        <f>BreastCancer_Data!I465</f>
        <v/>
      </c>
      <c r="I465">
        <f>BreastCancer_Data!J465</f>
        <v/>
      </c>
      <c r="J465">
        <f>BreastCancer_Data!K465</f>
        <v/>
      </c>
      <c r="K465">
        <f>BreastCancer_Data!L465</f>
        <v/>
      </c>
      <c r="L465">
        <f>BreastCancer_Data!M465</f>
        <v/>
      </c>
      <c r="M465">
        <f>BreastCancer_Data!N465</f>
        <v/>
      </c>
      <c r="N465">
        <f>BreastCancer_Data!O465</f>
        <v/>
      </c>
      <c r="O465">
        <f>0</f>
        <v/>
      </c>
      <c r="P465">
        <f>--(AND(D465&lt;=113.15,E465&lt;=0.15,F465&lt;=15.77,G465&lt;=0.18,H465&lt;=33.27))*0</f>
        <v/>
      </c>
      <c r="Q465">
        <f>--(AND(D465&lt;=113.15,E465&lt;=0.15,F465&lt;=15.77,G465&lt;=0.18,H465&gt;33.27))*0</f>
        <v/>
      </c>
      <c r="R465">
        <f>--(AND(D465&lt;=113.15,E465&lt;=0.15,F465&lt;=15.77,G465&gt;0.18))*0</f>
        <v/>
      </c>
      <c r="S465">
        <f>--(AND(D465&lt;=113.15,E465&lt;=0.15,F465&gt;15.77,H465&lt;=28.86,G465&lt;=0.14))*0</f>
        <v/>
      </c>
      <c r="T465">
        <f>--(AND(D465&lt;=113.15,E465&lt;=0.15,F465&gt;15.77,H465&lt;=28.86,G465&gt;0.14))*1</f>
        <v/>
      </c>
      <c r="U465">
        <f>--(AND(D465&lt;=113.15,E465&lt;=0.15,F465&gt;15.77,H465&gt;28.86,M465&lt;=14.54))*1</f>
        <v/>
      </c>
      <c r="V465">
        <f>--(AND(D465&lt;=113.15,E465&lt;=0.15,F465&gt;15.77,H465&gt;28.86,M465&gt;14.54))*1</f>
        <v/>
      </c>
      <c r="W465">
        <f>--(AND(D465&lt;=113.15,E465&gt;0.15,H465&lt;=23.74))*0</f>
        <v/>
      </c>
      <c r="X465">
        <f>--(AND(D465&lt;=113.15,E465&gt;0.15,H465&gt;23.74,J465&lt;=0.1))*1</f>
        <v/>
      </c>
      <c r="Y465">
        <f>--(AND(D465&lt;=113.15,E465&gt;0.15,H465&gt;23.74,J465&gt;0.1))*1</f>
        <v/>
      </c>
      <c r="Z465">
        <f>--(AND(D465&gt;113.15,K465&lt;=0.22,L465&lt;=0.02))*1</f>
        <v/>
      </c>
      <c r="AA465">
        <f>--(AND(D465&gt;113.15,K465&lt;=0.22,L465&gt;0.02))*0</f>
        <v/>
      </c>
      <c r="AB465">
        <f>--(AND(D465&gt;113.15,K465&gt;0.22,N465&lt;=810.1))*0</f>
        <v/>
      </c>
      <c r="AC465">
        <f>--(AND(D465&gt;113.15,K465&gt;0.22,N465&gt;810.1,I465&lt;=14.95))*1</f>
        <v/>
      </c>
      <c r="AD465">
        <f>--(AND(D465&gt;113.15,K465&gt;0.22,N465&gt;810.1,I465&gt;14.95))*1</f>
        <v/>
      </c>
      <c r="AE465">
        <f>SUM(P465:AD465)</f>
        <v/>
      </c>
      <c r="AF465">
        <f>IF(AE465=1,"Malignant","Benign")</f>
        <v/>
      </c>
      <c r="AG465">
        <f>--(AE465=C465)</f>
        <v/>
      </c>
    </row>
    <row r="466">
      <c r="A466">
        <f>BreastCancer_Data!A466</f>
        <v/>
      </c>
      <c r="B466">
        <f>BreastCancer_Data!B466</f>
        <v/>
      </c>
      <c r="C466">
        <f>BreastCancer_Data!D466</f>
        <v/>
      </c>
      <c r="D466">
        <f>BreastCancer_Data!E466</f>
        <v/>
      </c>
      <c r="E466">
        <f>BreastCancer_Data!F466</f>
        <v/>
      </c>
      <c r="F466">
        <f>BreastCancer_Data!G466</f>
        <v/>
      </c>
      <c r="G466">
        <f>BreastCancer_Data!H466</f>
        <v/>
      </c>
      <c r="H466">
        <f>BreastCancer_Data!I466</f>
        <v/>
      </c>
      <c r="I466">
        <f>BreastCancer_Data!J466</f>
        <v/>
      </c>
      <c r="J466">
        <f>BreastCancer_Data!K466</f>
        <v/>
      </c>
      <c r="K466">
        <f>BreastCancer_Data!L466</f>
        <v/>
      </c>
      <c r="L466">
        <f>BreastCancer_Data!M466</f>
        <v/>
      </c>
      <c r="M466">
        <f>BreastCancer_Data!N466</f>
        <v/>
      </c>
      <c r="N466">
        <f>BreastCancer_Data!O466</f>
        <v/>
      </c>
      <c r="O466">
        <f>0</f>
        <v/>
      </c>
      <c r="P466">
        <f>--(AND(D466&lt;=113.15,E466&lt;=0.15,F466&lt;=15.77,G466&lt;=0.18,H466&lt;=33.27))*0</f>
        <v/>
      </c>
      <c r="Q466">
        <f>--(AND(D466&lt;=113.15,E466&lt;=0.15,F466&lt;=15.77,G466&lt;=0.18,H466&gt;33.27))*0</f>
        <v/>
      </c>
      <c r="R466">
        <f>--(AND(D466&lt;=113.15,E466&lt;=0.15,F466&lt;=15.77,G466&gt;0.18))*0</f>
        <v/>
      </c>
      <c r="S466">
        <f>--(AND(D466&lt;=113.15,E466&lt;=0.15,F466&gt;15.77,H466&lt;=28.86,G466&lt;=0.14))*0</f>
        <v/>
      </c>
      <c r="T466">
        <f>--(AND(D466&lt;=113.15,E466&lt;=0.15,F466&gt;15.77,H466&lt;=28.86,G466&gt;0.14))*1</f>
        <v/>
      </c>
      <c r="U466">
        <f>--(AND(D466&lt;=113.15,E466&lt;=0.15,F466&gt;15.77,H466&gt;28.86,M466&lt;=14.54))*1</f>
        <v/>
      </c>
      <c r="V466">
        <f>--(AND(D466&lt;=113.15,E466&lt;=0.15,F466&gt;15.77,H466&gt;28.86,M466&gt;14.54))*1</f>
        <v/>
      </c>
      <c r="W466">
        <f>--(AND(D466&lt;=113.15,E466&gt;0.15,H466&lt;=23.74))*0</f>
        <v/>
      </c>
      <c r="X466">
        <f>--(AND(D466&lt;=113.15,E466&gt;0.15,H466&gt;23.74,J466&lt;=0.1))*1</f>
        <v/>
      </c>
      <c r="Y466">
        <f>--(AND(D466&lt;=113.15,E466&gt;0.15,H466&gt;23.74,J466&gt;0.1))*1</f>
        <v/>
      </c>
      <c r="Z466">
        <f>--(AND(D466&gt;113.15,K466&lt;=0.22,L466&lt;=0.02))*1</f>
        <v/>
      </c>
      <c r="AA466">
        <f>--(AND(D466&gt;113.15,K466&lt;=0.22,L466&gt;0.02))*0</f>
        <v/>
      </c>
      <c r="AB466">
        <f>--(AND(D466&gt;113.15,K466&gt;0.22,N466&lt;=810.1))*0</f>
        <v/>
      </c>
      <c r="AC466">
        <f>--(AND(D466&gt;113.15,K466&gt;0.22,N466&gt;810.1,I466&lt;=14.95))*1</f>
        <v/>
      </c>
      <c r="AD466">
        <f>--(AND(D466&gt;113.15,K466&gt;0.22,N466&gt;810.1,I466&gt;14.95))*1</f>
        <v/>
      </c>
      <c r="AE466">
        <f>SUM(P466:AD466)</f>
        <v/>
      </c>
      <c r="AF466">
        <f>IF(AE466=1,"Malignant","Benign")</f>
        <v/>
      </c>
      <c r="AG466">
        <f>--(AE466=C466)</f>
        <v/>
      </c>
    </row>
    <row r="467">
      <c r="A467">
        <f>BreastCancer_Data!A467</f>
        <v/>
      </c>
      <c r="B467">
        <f>BreastCancer_Data!B467</f>
        <v/>
      </c>
      <c r="C467">
        <f>BreastCancer_Data!D467</f>
        <v/>
      </c>
      <c r="D467">
        <f>BreastCancer_Data!E467</f>
        <v/>
      </c>
      <c r="E467">
        <f>BreastCancer_Data!F467</f>
        <v/>
      </c>
      <c r="F467">
        <f>BreastCancer_Data!G467</f>
        <v/>
      </c>
      <c r="G467">
        <f>BreastCancer_Data!H467</f>
        <v/>
      </c>
      <c r="H467">
        <f>BreastCancer_Data!I467</f>
        <v/>
      </c>
      <c r="I467">
        <f>BreastCancer_Data!J467</f>
        <v/>
      </c>
      <c r="J467">
        <f>BreastCancer_Data!K467</f>
        <v/>
      </c>
      <c r="K467">
        <f>BreastCancer_Data!L467</f>
        <v/>
      </c>
      <c r="L467">
        <f>BreastCancer_Data!M467</f>
        <v/>
      </c>
      <c r="M467">
        <f>BreastCancer_Data!N467</f>
        <v/>
      </c>
      <c r="N467">
        <f>BreastCancer_Data!O467</f>
        <v/>
      </c>
      <c r="O467">
        <f>0</f>
        <v/>
      </c>
      <c r="P467">
        <f>--(AND(D467&lt;=113.15,E467&lt;=0.15,F467&lt;=15.77,G467&lt;=0.18,H467&lt;=33.27))*0</f>
        <v/>
      </c>
      <c r="Q467">
        <f>--(AND(D467&lt;=113.15,E467&lt;=0.15,F467&lt;=15.77,G467&lt;=0.18,H467&gt;33.27))*0</f>
        <v/>
      </c>
      <c r="R467">
        <f>--(AND(D467&lt;=113.15,E467&lt;=0.15,F467&lt;=15.77,G467&gt;0.18))*0</f>
        <v/>
      </c>
      <c r="S467">
        <f>--(AND(D467&lt;=113.15,E467&lt;=0.15,F467&gt;15.77,H467&lt;=28.86,G467&lt;=0.14))*0</f>
        <v/>
      </c>
      <c r="T467">
        <f>--(AND(D467&lt;=113.15,E467&lt;=0.15,F467&gt;15.77,H467&lt;=28.86,G467&gt;0.14))*1</f>
        <v/>
      </c>
      <c r="U467">
        <f>--(AND(D467&lt;=113.15,E467&lt;=0.15,F467&gt;15.77,H467&gt;28.86,M467&lt;=14.54))*1</f>
        <v/>
      </c>
      <c r="V467">
        <f>--(AND(D467&lt;=113.15,E467&lt;=0.15,F467&gt;15.77,H467&gt;28.86,M467&gt;14.54))*1</f>
        <v/>
      </c>
      <c r="W467">
        <f>--(AND(D467&lt;=113.15,E467&gt;0.15,H467&lt;=23.74))*0</f>
        <v/>
      </c>
      <c r="X467">
        <f>--(AND(D467&lt;=113.15,E467&gt;0.15,H467&gt;23.74,J467&lt;=0.1))*1</f>
        <v/>
      </c>
      <c r="Y467">
        <f>--(AND(D467&lt;=113.15,E467&gt;0.15,H467&gt;23.74,J467&gt;0.1))*1</f>
        <v/>
      </c>
      <c r="Z467">
        <f>--(AND(D467&gt;113.15,K467&lt;=0.22,L467&lt;=0.02))*1</f>
        <v/>
      </c>
      <c r="AA467">
        <f>--(AND(D467&gt;113.15,K467&lt;=0.22,L467&gt;0.02))*0</f>
        <v/>
      </c>
      <c r="AB467">
        <f>--(AND(D467&gt;113.15,K467&gt;0.22,N467&lt;=810.1))*0</f>
        <v/>
      </c>
      <c r="AC467">
        <f>--(AND(D467&gt;113.15,K467&gt;0.22,N467&gt;810.1,I467&lt;=14.95))*1</f>
        <v/>
      </c>
      <c r="AD467">
        <f>--(AND(D467&gt;113.15,K467&gt;0.22,N467&gt;810.1,I467&gt;14.95))*1</f>
        <v/>
      </c>
      <c r="AE467">
        <f>SUM(P467:AD467)</f>
        <v/>
      </c>
      <c r="AF467">
        <f>IF(AE467=1,"Malignant","Benign")</f>
        <v/>
      </c>
      <c r="AG467">
        <f>--(AE467=C467)</f>
        <v/>
      </c>
    </row>
    <row r="468">
      <c r="A468">
        <f>BreastCancer_Data!A468</f>
        <v/>
      </c>
      <c r="B468">
        <f>BreastCancer_Data!B468</f>
        <v/>
      </c>
      <c r="C468">
        <f>BreastCancer_Data!D468</f>
        <v/>
      </c>
      <c r="D468">
        <f>BreastCancer_Data!E468</f>
        <v/>
      </c>
      <c r="E468">
        <f>BreastCancer_Data!F468</f>
        <v/>
      </c>
      <c r="F468">
        <f>BreastCancer_Data!G468</f>
        <v/>
      </c>
      <c r="G468">
        <f>BreastCancer_Data!H468</f>
        <v/>
      </c>
      <c r="H468">
        <f>BreastCancer_Data!I468</f>
        <v/>
      </c>
      <c r="I468">
        <f>BreastCancer_Data!J468</f>
        <v/>
      </c>
      <c r="J468">
        <f>BreastCancer_Data!K468</f>
        <v/>
      </c>
      <c r="K468">
        <f>BreastCancer_Data!L468</f>
        <v/>
      </c>
      <c r="L468">
        <f>BreastCancer_Data!M468</f>
        <v/>
      </c>
      <c r="M468">
        <f>BreastCancer_Data!N468</f>
        <v/>
      </c>
      <c r="N468">
        <f>BreastCancer_Data!O468</f>
        <v/>
      </c>
      <c r="O468">
        <f>0</f>
        <v/>
      </c>
      <c r="P468">
        <f>--(AND(D468&lt;=113.15,E468&lt;=0.15,F468&lt;=15.77,G468&lt;=0.18,H468&lt;=33.27))*0</f>
        <v/>
      </c>
      <c r="Q468">
        <f>--(AND(D468&lt;=113.15,E468&lt;=0.15,F468&lt;=15.77,G468&lt;=0.18,H468&gt;33.27))*0</f>
        <v/>
      </c>
      <c r="R468">
        <f>--(AND(D468&lt;=113.15,E468&lt;=0.15,F468&lt;=15.77,G468&gt;0.18))*0</f>
        <v/>
      </c>
      <c r="S468">
        <f>--(AND(D468&lt;=113.15,E468&lt;=0.15,F468&gt;15.77,H468&lt;=28.86,G468&lt;=0.14))*0</f>
        <v/>
      </c>
      <c r="T468">
        <f>--(AND(D468&lt;=113.15,E468&lt;=0.15,F468&gt;15.77,H468&lt;=28.86,G468&gt;0.14))*1</f>
        <v/>
      </c>
      <c r="U468">
        <f>--(AND(D468&lt;=113.15,E468&lt;=0.15,F468&gt;15.77,H468&gt;28.86,M468&lt;=14.54))*1</f>
        <v/>
      </c>
      <c r="V468">
        <f>--(AND(D468&lt;=113.15,E468&lt;=0.15,F468&gt;15.77,H468&gt;28.86,M468&gt;14.54))*1</f>
        <v/>
      </c>
      <c r="W468">
        <f>--(AND(D468&lt;=113.15,E468&gt;0.15,H468&lt;=23.74))*0</f>
        <v/>
      </c>
      <c r="X468">
        <f>--(AND(D468&lt;=113.15,E468&gt;0.15,H468&gt;23.74,J468&lt;=0.1))*1</f>
        <v/>
      </c>
      <c r="Y468">
        <f>--(AND(D468&lt;=113.15,E468&gt;0.15,H468&gt;23.74,J468&gt;0.1))*1</f>
        <v/>
      </c>
      <c r="Z468">
        <f>--(AND(D468&gt;113.15,K468&lt;=0.22,L468&lt;=0.02))*1</f>
        <v/>
      </c>
      <c r="AA468">
        <f>--(AND(D468&gt;113.15,K468&lt;=0.22,L468&gt;0.02))*0</f>
        <v/>
      </c>
      <c r="AB468">
        <f>--(AND(D468&gt;113.15,K468&gt;0.22,N468&lt;=810.1))*0</f>
        <v/>
      </c>
      <c r="AC468">
        <f>--(AND(D468&gt;113.15,K468&gt;0.22,N468&gt;810.1,I468&lt;=14.95))*1</f>
        <v/>
      </c>
      <c r="AD468">
        <f>--(AND(D468&gt;113.15,K468&gt;0.22,N468&gt;810.1,I468&gt;14.95))*1</f>
        <v/>
      </c>
      <c r="AE468">
        <f>SUM(P468:AD468)</f>
        <v/>
      </c>
      <c r="AF468">
        <f>IF(AE468=1,"Malignant","Benign")</f>
        <v/>
      </c>
      <c r="AG468">
        <f>--(AE468=C468)</f>
        <v/>
      </c>
    </row>
    <row r="469">
      <c r="A469">
        <f>BreastCancer_Data!A469</f>
        <v/>
      </c>
      <c r="B469">
        <f>BreastCancer_Data!B469</f>
        <v/>
      </c>
      <c r="C469">
        <f>BreastCancer_Data!D469</f>
        <v/>
      </c>
      <c r="D469">
        <f>BreastCancer_Data!E469</f>
        <v/>
      </c>
      <c r="E469">
        <f>BreastCancer_Data!F469</f>
        <v/>
      </c>
      <c r="F469">
        <f>BreastCancer_Data!G469</f>
        <v/>
      </c>
      <c r="G469">
        <f>BreastCancer_Data!H469</f>
        <v/>
      </c>
      <c r="H469">
        <f>BreastCancer_Data!I469</f>
        <v/>
      </c>
      <c r="I469">
        <f>BreastCancer_Data!J469</f>
        <v/>
      </c>
      <c r="J469">
        <f>BreastCancer_Data!K469</f>
        <v/>
      </c>
      <c r="K469">
        <f>BreastCancer_Data!L469</f>
        <v/>
      </c>
      <c r="L469">
        <f>BreastCancer_Data!M469</f>
        <v/>
      </c>
      <c r="M469">
        <f>BreastCancer_Data!N469</f>
        <v/>
      </c>
      <c r="N469">
        <f>BreastCancer_Data!O469</f>
        <v/>
      </c>
      <c r="O469">
        <f>0</f>
        <v/>
      </c>
      <c r="P469">
        <f>--(AND(D469&lt;=113.15,E469&lt;=0.15,F469&lt;=15.77,G469&lt;=0.18,H469&lt;=33.27))*0</f>
        <v/>
      </c>
      <c r="Q469">
        <f>--(AND(D469&lt;=113.15,E469&lt;=0.15,F469&lt;=15.77,G469&lt;=0.18,H469&gt;33.27))*0</f>
        <v/>
      </c>
      <c r="R469">
        <f>--(AND(D469&lt;=113.15,E469&lt;=0.15,F469&lt;=15.77,G469&gt;0.18))*0</f>
        <v/>
      </c>
      <c r="S469">
        <f>--(AND(D469&lt;=113.15,E469&lt;=0.15,F469&gt;15.77,H469&lt;=28.86,G469&lt;=0.14))*0</f>
        <v/>
      </c>
      <c r="T469">
        <f>--(AND(D469&lt;=113.15,E469&lt;=0.15,F469&gt;15.77,H469&lt;=28.86,G469&gt;0.14))*1</f>
        <v/>
      </c>
      <c r="U469">
        <f>--(AND(D469&lt;=113.15,E469&lt;=0.15,F469&gt;15.77,H469&gt;28.86,M469&lt;=14.54))*1</f>
        <v/>
      </c>
      <c r="V469">
        <f>--(AND(D469&lt;=113.15,E469&lt;=0.15,F469&gt;15.77,H469&gt;28.86,M469&gt;14.54))*1</f>
        <v/>
      </c>
      <c r="W469">
        <f>--(AND(D469&lt;=113.15,E469&gt;0.15,H469&lt;=23.74))*0</f>
        <v/>
      </c>
      <c r="X469">
        <f>--(AND(D469&lt;=113.15,E469&gt;0.15,H469&gt;23.74,J469&lt;=0.1))*1</f>
        <v/>
      </c>
      <c r="Y469">
        <f>--(AND(D469&lt;=113.15,E469&gt;0.15,H469&gt;23.74,J469&gt;0.1))*1</f>
        <v/>
      </c>
      <c r="Z469">
        <f>--(AND(D469&gt;113.15,K469&lt;=0.22,L469&lt;=0.02))*1</f>
        <v/>
      </c>
      <c r="AA469">
        <f>--(AND(D469&gt;113.15,K469&lt;=0.22,L469&gt;0.02))*0</f>
        <v/>
      </c>
      <c r="AB469">
        <f>--(AND(D469&gt;113.15,K469&gt;0.22,N469&lt;=810.1))*0</f>
        <v/>
      </c>
      <c r="AC469">
        <f>--(AND(D469&gt;113.15,K469&gt;0.22,N469&gt;810.1,I469&lt;=14.95))*1</f>
        <v/>
      </c>
      <c r="AD469">
        <f>--(AND(D469&gt;113.15,K469&gt;0.22,N469&gt;810.1,I469&gt;14.95))*1</f>
        <v/>
      </c>
      <c r="AE469">
        <f>SUM(P469:AD469)</f>
        <v/>
      </c>
      <c r="AF469">
        <f>IF(AE469=1,"Malignant","Benign")</f>
        <v/>
      </c>
      <c r="AG469">
        <f>--(AE469=C469)</f>
        <v/>
      </c>
    </row>
    <row r="470">
      <c r="A470">
        <f>BreastCancer_Data!A470</f>
        <v/>
      </c>
      <c r="B470">
        <f>BreastCancer_Data!B470</f>
        <v/>
      </c>
      <c r="C470">
        <f>BreastCancer_Data!D470</f>
        <v/>
      </c>
      <c r="D470">
        <f>BreastCancer_Data!E470</f>
        <v/>
      </c>
      <c r="E470">
        <f>BreastCancer_Data!F470</f>
        <v/>
      </c>
      <c r="F470">
        <f>BreastCancer_Data!G470</f>
        <v/>
      </c>
      <c r="G470">
        <f>BreastCancer_Data!H470</f>
        <v/>
      </c>
      <c r="H470">
        <f>BreastCancer_Data!I470</f>
        <v/>
      </c>
      <c r="I470">
        <f>BreastCancer_Data!J470</f>
        <v/>
      </c>
      <c r="J470">
        <f>BreastCancer_Data!K470</f>
        <v/>
      </c>
      <c r="K470">
        <f>BreastCancer_Data!L470</f>
        <v/>
      </c>
      <c r="L470">
        <f>BreastCancer_Data!M470</f>
        <v/>
      </c>
      <c r="M470">
        <f>BreastCancer_Data!N470</f>
        <v/>
      </c>
      <c r="N470">
        <f>BreastCancer_Data!O470</f>
        <v/>
      </c>
      <c r="O470">
        <f>0</f>
        <v/>
      </c>
      <c r="P470">
        <f>--(AND(D470&lt;=113.15,E470&lt;=0.15,F470&lt;=15.77,G470&lt;=0.18,H470&lt;=33.27))*0</f>
        <v/>
      </c>
      <c r="Q470">
        <f>--(AND(D470&lt;=113.15,E470&lt;=0.15,F470&lt;=15.77,G470&lt;=0.18,H470&gt;33.27))*0</f>
        <v/>
      </c>
      <c r="R470">
        <f>--(AND(D470&lt;=113.15,E470&lt;=0.15,F470&lt;=15.77,G470&gt;0.18))*0</f>
        <v/>
      </c>
      <c r="S470">
        <f>--(AND(D470&lt;=113.15,E470&lt;=0.15,F470&gt;15.77,H470&lt;=28.86,G470&lt;=0.14))*0</f>
        <v/>
      </c>
      <c r="T470">
        <f>--(AND(D470&lt;=113.15,E470&lt;=0.15,F470&gt;15.77,H470&lt;=28.86,G470&gt;0.14))*1</f>
        <v/>
      </c>
      <c r="U470">
        <f>--(AND(D470&lt;=113.15,E470&lt;=0.15,F470&gt;15.77,H470&gt;28.86,M470&lt;=14.54))*1</f>
        <v/>
      </c>
      <c r="V470">
        <f>--(AND(D470&lt;=113.15,E470&lt;=0.15,F470&gt;15.77,H470&gt;28.86,M470&gt;14.54))*1</f>
        <v/>
      </c>
      <c r="W470">
        <f>--(AND(D470&lt;=113.15,E470&gt;0.15,H470&lt;=23.74))*0</f>
        <v/>
      </c>
      <c r="X470">
        <f>--(AND(D470&lt;=113.15,E470&gt;0.15,H470&gt;23.74,J470&lt;=0.1))*1</f>
        <v/>
      </c>
      <c r="Y470">
        <f>--(AND(D470&lt;=113.15,E470&gt;0.15,H470&gt;23.74,J470&gt;0.1))*1</f>
        <v/>
      </c>
      <c r="Z470">
        <f>--(AND(D470&gt;113.15,K470&lt;=0.22,L470&lt;=0.02))*1</f>
        <v/>
      </c>
      <c r="AA470">
        <f>--(AND(D470&gt;113.15,K470&lt;=0.22,L470&gt;0.02))*0</f>
        <v/>
      </c>
      <c r="AB470">
        <f>--(AND(D470&gt;113.15,K470&gt;0.22,N470&lt;=810.1))*0</f>
        <v/>
      </c>
      <c r="AC470">
        <f>--(AND(D470&gt;113.15,K470&gt;0.22,N470&gt;810.1,I470&lt;=14.95))*1</f>
        <v/>
      </c>
      <c r="AD470">
        <f>--(AND(D470&gt;113.15,K470&gt;0.22,N470&gt;810.1,I470&gt;14.95))*1</f>
        <v/>
      </c>
      <c r="AE470">
        <f>SUM(P470:AD470)</f>
        <v/>
      </c>
      <c r="AF470">
        <f>IF(AE470=1,"Malignant","Benign")</f>
        <v/>
      </c>
      <c r="AG470">
        <f>--(AE470=C470)</f>
        <v/>
      </c>
    </row>
    <row r="471">
      <c r="A471">
        <f>BreastCancer_Data!A471</f>
        <v/>
      </c>
      <c r="B471">
        <f>BreastCancer_Data!B471</f>
        <v/>
      </c>
      <c r="C471">
        <f>BreastCancer_Data!D471</f>
        <v/>
      </c>
      <c r="D471">
        <f>BreastCancer_Data!E471</f>
        <v/>
      </c>
      <c r="E471">
        <f>BreastCancer_Data!F471</f>
        <v/>
      </c>
      <c r="F471">
        <f>BreastCancer_Data!G471</f>
        <v/>
      </c>
      <c r="G471">
        <f>BreastCancer_Data!H471</f>
        <v/>
      </c>
      <c r="H471">
        <f>BreastCancer_Data!I471</f>
        <v/>
      </c>
      <c r="I471">
        <f>BreastCancer_Data!J471</f>
        <v/>
      </c>
      <c r="J471">
        <f>BreastCancer_Data!K471</f>
        <v/>
      </c>
      <c r="K471">
        <f>BreastCancer_Data!L471</f>
        <v/>
      </c>
      <c r="L471">
        <f>BreastCancer_Data!M471</f>
        <v/>
      </c>
      <c r="M471">
        <f>BreastCancer_Data!N471</f>
        <v/>
      </c>
      <c r="N471">
        <f>BreastCancer_Data!O471</f>
        <v/>
      </c>
      <c r="O471">
        <f>0</f>
        <v/>
      </c>
      <c r="P471">
        <f>--(AND(D471&lt;=113.15,E471&lt;=0.15,F471&lt;=15.77,G471&lt;=0.18,H471&lt;=33.27))*0</f>
        <v/>
      </c>
      <c r="Q471">
        <f>--(AND(D471&lt;=113.15,E471&lt;=0.15,F471&lt;=15.77,G471&lt;=0.18,H471&gt;33.27))*0</f>
        <v/>
      </c>
      <c r="R471">
        <f>--(AND(D471&lt;=113.15,E471&lt;=0.15,F471&lt;=15.77,G471&gt;0.18))*0</f>
        <v/>
      </c>
      <c r="S471">
        <f>--(AND(D471&lt;=113.15,E471&lt;=0.15,F471&gt;15.77,H471&lt;=28.86,G471&lt;=0.14))*0</f>
        <v/>
      </c>
      <c r="T471">
        <f>--(AND(D471&lt;=113.15,E471&lt;=0.15,F471&gt;15.77,H471&lt;=28.86,G471&gt;0.14))*1</f>
        <v/>
      </c>
      <c r="U471">
        <f>--(AND(D471&lt;=113.15,E471&lt;=0.15,F471&gt;15.77,H471&gt;28.86,M471&lt;=14.54))*1</f>
        <v/>
      </c>
      <c r="V471">
        <f>--(AND(D471&lt;=113.15,E471&lt;=0.15,F471&gt;15.77,H471&gt;28.86,M471&gt;14.54))*1</f>
        <v/>
      </c>
      <c r="W471">
        <f>--(AND(D471&lt;=113.15,E471&gt;0.15,H471&lt;=23.74))*0</f>
        <v/>
      </c>
      <c r="X471">
        <f>--(AND(D471&lt;=113.15,E471&gt;0.15,H471&gt;23.74,J471&lt;=0.1))*1</f>
        <v/>
      </c>
      <c r="Y471">
        <f>--(AND(D471&lt;=113.15,E471&gt;0.15,H471&gt;23.74,J471&gt;0.1))*1</f>
        <v/>
      </c>
      <c r="Z471">
        <f>--(AND(D471&gt;113.15,K471&lt;=0.22,L471&lt;=0.02))*1</f>
        <v/>
      </c>
      <c r="AA471">
        <f>--(AND(D471&gt;113.15,K471&lt;=0.22,L471&gt;0.02))*0</f>
        <v/>
      </c>
      <c r="AB471">
        <f>--(AND(D471&gt;113.15,K471&gt;0.22,N471&lt;=810.1))*0</f>
        <v/>
      </c>
      <c r="AC471">
        <f>--(AND(D471&gt;113.15,K471&gt;0.22,N471&gt;810.1,I471&lt;=14.95))*1</f>
        <v/>
      </c>
      <c r="AD471">
        <f>--(AND(D471&gt;113.15,K471&gt;0.22,N471&gt;810.1,I471&gt;14.95))*1</f>
        <v/>
      </c>
      <c r="AE471">
        <f>SUM(P471:AD471)</f>
        <v/>
      </c>
      <c r="AF471">
        <f>IF(AE471=1,"Malignant","Benign")</f>
        <v/>
      </c>
      <c r="AG471">
        <f>--(AE471=C471)</f>
        <v/>
      </c>
    </row>
    <row r="472">
      <c r="A472">
        <f>BreastCancer_Data!A472</f>
        <v/>
      </c>
      <c r="B472">
        <f>BreastCancer_Data!B472</f>
        <v/>
      </c>
      <c r="C472">
        <f>BreastCancer_Data!D472</f>
        <v/>
      </c>
      <c r="D472">
        <f>BreastCancer_Data!E472</f>
        <v/>
      </c>
      <c r="E472">
        <f>BreastCancer_Data!F472</f>
        <v/>
      </c>
      <c r="F472">
        <f>BreastCancer_Data!G472</f>
        <v/>
      </c>
      <c r="G472">
        <f>BreastCancer_Data!H472</f>
        <v/>
      </c>
      <c r="H472">
        <f>BreastCancer_Data!I472</f>
        <v/>
      </c>
      <c r="I472">
        <f>BreastCancer_Data!J472</f>
        <v/>
      </c>
      <c r="J472">
        <f>BreastCancer_Data!K472</f>
        <v/>
      </c>
      <c r="K472">
        <f>BreastCancer_Data!L472</f>
        <v/>
      </c>
      <c r="L472">
        <f>BreastCancer_Data!M472</f>
        <v/>
      </c>
      <c r="M472">
        <f>BreastCancer_Data!N472</f>
        <v/>
      </c>
      <c r="N472">
        <f>BreastCancer_Data!O472</f>
        <v/>
      </c>
      <c r="O472">
        <f>0</f>
        <v/>
      </c>
      <c r="P472">
        <f>--(AND(D472&lt;=113.15,E472&lt;=0.15,F472&lt;=15.77,G472&lt;=0.18,H472&lt;=33.27))*0</f>
        <v/>
      </c>
      <c r="Q472">
        <f>--(AND(D472&lt;=113.15,E472&lt;=0.15,F472&lt;=15.77,G472&lt;=0.18,H472&gt;33.27))*0</f>
        <v/>
      </c>
      <c r="R472">
        <f>--(AND(D472&lt;=113.15,E472&lt;=0.15,F472&lt;=15.77,G472&gt;0.18))*0</f>
        <v/>
      </c>
      <c r="S472">
        <f>--(AND(D472&lt;=113.15,E472&lt;=0.15,F472&gt;15.77,H472&lt;=28.86,G472&lt;=0.14))*0</f>
        <v/>
      </c>
      <c r="T472">
        <f>--(AND(D472&lt;=113.15,E472&lt;=0.15,F472&gt;15.77,H472&lt;=28.86,G472&gt;0.14))*1</f>
        <v/>
      </c>
      <c r="U472">
        <f>--(AND(D472&lt;=113.15,E472&lt;=0.15,F472&gt;15.77,H472&gt;28.86,M472&lt;=14.54))*1</f>
        <v/>
      </c>
      <c r="V472">
        <f>--(AND(D472&lt;=113.15,E472&lt;=0.15,F472&gt;15.77,H472&gt;28.86,M472&gt;14.54))*1</f>
        <v/>
      </c>
      <c r="W472">
        <f>--(AND(D472&lt;=113.15,E472&gt;0.15,H472&lt;=23.74))*0</f>
        <v/>
      </c>
      <c r="X472">
        <f>--(AND(D472&lt;=113.15,E472&gt;0.15,H472&gt;23.74,J472&lt;=0.1))*1</f>
        <v/>
      </c>
      <c r="Y472">
        <f>--(AND(D472&lt;=113.15,E472&gt;0.15,H472&gt;23.74,J472&gt;0.1))*1</f>
        <v/>
      </c>
      <c r="Z472">
        <f>--(AND(D472&gt;113.15,K472&lt;=0.22,L472&lt;=0.02))*1</f>
        <v/>
      </c>
      <c r="AA472">
        <f>--(AND(D472&gt;113.15,K472&lt;=0.22,L472&gt;0.02))*0</f>
        <v/>
      </c>
      <c r="AB472">
        <f>--(AND(D472&gt;113.15,K472&gt;0.22,N472&lt;=810.1))*0</f>
        <v/>
      </c>
      <c r="AC472">
        <f>--(AND(D472&gt;113.15,K472&gt;0.22,N472&gt;810.1,I472&lt;=14.95))*1</f>
        <v/>
      </c>
      <c r="AD472">
        <f>--(AND(D472&gt;113.15,K472&gt;0.22,N472&gt;810.1,I472&gt;14.95))*1</f>
        <v/>
      </c>
      <c r="AE472">
        <f>SUM(P472:AD472)</f>
        <v/>
      </c>
      <c r="AF472">
        <f>IF(AE472=1,"Malignant","Benign")</f>
        <v/>
      </c>
      <c r="AG472">
        <f>--(AE472=C472)</f>
        <v/>
      </c>
    </row>
    <row r="473">
      <c r="A473">
        <f>BreastCancer_Data!A473</f>
        <v/>
      </c>
      <c r="B473">
        <f>BreastCancer_Data!B473</f>
        <v/>
      </c>
      <c r="C473">
        <f>BreastCancer_Data!D473</f>
        <v/>
      </c>
      <c r="D473">
        <f>BreastCancer_Data!E473</f>
        <v/>
      </c>
      <c r="E473">
        <f>BreastCancer_Data!F473</f>
        <v/>
      </c>
      <c r="F473">
        <f>BreastCancer_Data!G473</f>
        <v/>
      </c>
      <c r="G473">
        <f>BreastCancer_Data!H473</f>
        <v/>
      </c>
      <c r="H473">
        <f>BreastCancer_Data!I473</f>
        <v/>
      </c>
      <c r="I473">
        <f>BreastCancer_Data!J473</f>
        <v/>
      </c>
      <c r="J473">
        <f>BreastCancer_Data!K473</f>
        <v/>
      </c>
      <c r="K473">
        <f>BreastCancer_Data!L473</f>
        <v/>
      </c>
      <c r="L473">
        <f>BreastCancer_Data!M473</f>
        <v/>
      </c>
      <c r="M473">
        <f>BreastCancer_Data!N473</f>
        <v/>
      </c>
      <c r="N473">
        <f>BreastCancer_Data!O473</f>
        <v/>
      </c>
      <c r="O473">
        <f>0</f>
        <v/>
      </c>
      <c r="P473">
        <f>--(AND(D473&lt;=113.15,E473&lt;=0.15,F473&lt;=15.77,G473&lt;=0.18,H473&lt;=33.27))*0</f>
        <v/>
      </c>
      <c r="Q473">
        <f>--(AND(D473&lt;=113.15,E473&lt;=0.15,F473&lt;=15.77,G473&lt;=0.18,H473&gt;33.27))*0</f>
        <v/>
      </c>
      <c r="R473">
        <f>--(AND(D473&lt;=113.15,E473&lt;=0.15,F473&lt;=15.77,G473&gt;0.18))*0</f>
        <v/>
      </c>
      <c r="S473">
        <f>--(AND(D473&lt;=113.15,E473&lt;=0.15,F473&gt;15.77,H473&lt;=28.86,G473&lt;=0.14))*0</f>
        <v/>
      </c>
      <c r="T473">
        <f>--(AND(D473&lt;=113.15,E473&lt;=0.15,F473&gt;15.77,H473&lt;=28.86,G473&gt;0.14))*1</f>
        <v/>
      </c>
      <c r="U473">
        <f>--(AND(D473&lt;=113.15,E473&lt;=0.15,F473&gt;15.77,H473&gt;28.86,M473&lt;=14.54))*1</f>
        <v/>
      </c>
      <c r="V473">
        <f>--(AND(D473&lt;=113.15,E473&lt;=0.15,F473&gt;15.77,H473&gt;28.86,M473&gt;14.54))*1</f>
        <v/>
      </c>
      <c r="W473">
        <f>--(AND(D473&lt;=113.15,E473&gt;0.15,H473&lt;=23.74))*0</f>
        <v/>
      </c>
      <c r="X473">
        <f>--(AND(D473&lt;=113.15,E473&gt;0.15,H473&gt;23.74,J473&lt;=0.1))*1</f>
        <v/>
      </c>
      <c r="Y473">
        <f>--(AND(D473&lt;=113.15,E473&gt;0.15,H473&gt;23.74,J473&gt;0.1))*1</f>
        <v/>
      </c>
      <c r="Z473">
        <f>--(AND(D473&gt;113.15,K473&lt;=0.22,L473&lt;=0.02))*1</f>
        <v/>
      </c>
      <c r="AA473">
        <f>--(AND(D473&gt;113.15,K473&lt;=0.22,L473&gt;0.02))*0</f>
        <v/>
      </c>
      <c r="AB473">
        <f>--(AND(D473&gt;113.15,K473&gt;0.22,N473&lt;=810.1))*0</f>
        <v/>
      </c>
      <c r="AC473">
        <f>--(AND(D473&gt;113.15,K473&gt;0.22,N473&gt;810.1,I473&lt;=14.95))*1</f>
        <v/>
      </c>
      <c r="AD473">
        <f>--(AND(D473&gt;113.15,K473&gt;0.22,N473&gt;810.1,I473&gt;14.95))*1</f>
        <v/>
      </c>
      <c r="AE473">
        <f>SUM(P473:AD473)</f>
        <v/>
      </c>
      <c r="AF473">
        <f>IF(AE473=1,"Malignant","Benign")</f>
        <v/>
      </c>
      <c r="AG473">
        <f>--(AE473=C473)</f>
        <v/>
      </c>
    </row>
    <row r="474">
      <c r="A474">
        <f>BreastCancer_Data!A474</f>
        <v/>
      </c>
      <c r="B474">
        <f>BreastCancer_Data!B474</f>
        <v/>
      </c>
      <c r="C474">
        <f>BreastCancer_Data!D474</f>
        <v/>
      </c>
      <c r="D474">
        <f>BreastCancer_Data!E474</f>
        <v/>
      </c>
      <c r="E474">
        <f>BreastCancer_Data!F474</f>
        <v/>
      </c>
      <c r="F474">
        <f>BreastCancer_Data!G474</f>
        <v/>
      </c>
      <c r="G474">
        <f>BreastCancer_Data!H474</f>
        <v/>
      </c>
      <c r="H474">
        <f>BreastCancer_Data!I474</f>
        <v/>
      </c>
      <c r="I474">
        <f>BreastCancer_Data!J474</f>
        <v/>
      </c>
      <c r="J474">
        <f>BreastCancer_Data!K474</f>
        <v/>
      </c>
      <c r="K474">
        <f>BreastCancer_Data!L474</f>
        <v/>
      </c>
      <c r="L474">
        <f>BreastCancer_Data!M474</f>
        <v/>
      </c>
      <c r="M474">
        <f>BreastCancer_Data!N474</f>
        <v/>
      </c>
      <c r="N474">
        <f>BreastCancer_Data!O474</f>
        <v/>
      </c>
      <c r="O474">
        <f>0</f>
        <v/>
      </c>
      <c r="P474">
        <f>--(AND(D474&lt;=113.15,E474&lt;=0.15,F474&lt;=15.77,G474&lt;=0.18,H474&lt;=33.27))*0</f>
        <v/>
      </c>
      <c r="Q474">
        <f>--(AND(D474&lt;=113.15,E474&lt;=0.15,F474&lt;=15.77,G474&lt;=0.18,H474&gt;33.27))*0</f>
        <v/>
      </c>
      <c r="R474">
        <f>--(AND(D474&lt;=113.15,E474&lt;=0.15,F474&lt;=15.77,G474&gt;0.18))*0</f>
        <v/>
      </c>
      <c r="S474">
        <f>--(AND(D474&lt;=113.15,E474&lt;=0.15,F474&gt;15.77,H474&lt;=28.86,G474&lt;=0.14))*0</f>
        <v/>
      </c>
      <c r="T474">
        <f>--(AND(D474&lt;=113.15,E474&lt;=0.15,F474&gt;15.77,H474&lt;=28.86,G474&gt;0.14))*1</f>
        <v/>
      </c>
      <c r="U474">
        <f>--(AND(D474&lt;=113.15,E474&lt;=0.15,F474&gt;15.77,H474&gt;28.86,M474&lt;=14.54))*1</f>
        <v/>
      </c>
      <c r="V474">
        <f>--(AND(D474&lt;=113.15,E474&lt;=0.15,F474&gt;15.77,H474&gt;28.86,M474&gt;14.54))*1</f>
        <v/>
      </c>
      <c r="W474">
        <f>--(AND(D474&lt;=113.15,E474&gt;0.15,H474&lt;=23.74))*0</f>
        <v/>
      </c>
      <c r="X474">
        <f>--(AND(D474&lt;=113.15,E474&gt;0.15,H474&gt;23.74,J474&lt;=0.1))*1</f>
        <v/>
      </c>
      <c r="Y474">
        <f>--(AND(D474&lt;=113.15,E474&gt;0.15,H474&gt;23.74,J474&gt;0.1))*1</f>
        <v/>
      </c>
      <c r="Z474">
        <f>--(AND(D474&gt;113.15,K474&lt;=0.22,L474&lt;=0.02))*1</f>
        <v/>
      </c>
      <c r="AA474">
        <f>--(AND(D474&gt;113.15,K474&lt;=0.22,L474&gt;0.02))*0</f>
        <v/>
      </c>
      <c r="AB474">
        <f>--(AND(D474&gt;113.15,K474&gt;0.22,N474&lt;=810.1))*0</f>
        <v/>
      </c>
      <c r="AC474">
        <f>--(AND(D474&gt;113.15,K474&gt;0.22,N474&gt;810.1,I474&lt;=14.95))*1</f>
        <v/>
      </c>
      <c r="AD474">
        <f>--(AND(D474&gt;113.15,K474&gt;0.22,N474&gt;810.1,I474&gt;14.95))*1</f>
        <v/>
      </c>
      <c r="AE474">
        <f>SUM(P474:AD474)</f>
        <v/>
      </c>
      <c r="AF474">
        <f>IF(AE474=1,"Malignant","Benign")</f>
        <v/>
      </c>
      <c r="AG474">
        <f>--(AE474=C474)</f>
        <v/>
      </c>
    </row>
    <row r="475">
      <c r="A475">
        <f>BreastCancer_Data!A475</f>
        <v/>
      </c>
      <c r="B475">
        <f>BreastCancer_Data!B475</f>
        <v/>
      </c>
      <c r="C475">
        <f>BreastCancer_Data!D475</f>
        <v/>
      </c>
      <c r="D475">
        <f>BreastCancer_Data!E475</f>
        <v/>
      </c>
      <c r="E475">
        <f>BreastCancer_Data!F475</f>
        <v/>
      </c>
      <c r="F475">
        <f>BreastCancer_Data!G475</f>
        <v/>
      </c>
      <c r="G475">
        <f>BreastCancer_Data!H475</f>
        <v/>
      </c>
      <c r="H475">
        <f>BreastCancer_Data!I475</f>
        <v/>
      </c>
      <c r="I475">
        <f>BreastCancer_Data!J475</f>
        <v/>
      </c>
      <c r="J475">
        <f>BreastCancer_Data!K475</f>
        <v/>
      </c>
      <c r="K475">
        <f>BreastCancer_Data!L475</f>
        <v/>
      </c>
      <c r="L475">
        <f>BreastCancer_Data!M475</f>
        <v/>
      </c>
      <c r="M475">
        <f>BreastCancer_Data!N475</f>
        <v/>
      </c>
      <c r="N475">
        <f>BreastCancer_Data!O475</f>
        <v/>
      </c>
      <c r="O475">
        <f>0</f>
        <v/>
      </c>
      <c r="P475">
        <f>--(AND(D475&lt;=113.15,E475&lt;=0.15,F475&lt;=15.77,G475&lt;=0.18,H475&lt;=33.27))*0</f>
        <v/>
      </c>
      <c r="Q475">
        <f>--(AND(D475&lt;=113.15,E475&lt;=0.15,F475&lt;=15.77,G475&lt;=0.18,H475&gt;33.27))*0</f>
        <v/>
      </c>
      <c r="R475">
        <f>--(AND(D475&lt;=113.15,E475&lt;=0.15,F475&lt;=15.77,G475&gt;0.18))*0</f>
        <v/>
      </c>
      <c r="S475">
        <f>--(AND(D475&lt;=113.15,E475&lt;=0.15,F475&gt;15.77,H475&lt;=28.86,G475&lt;=0.14))*0</f>
        <v/>
      </c>
      <c r="T475">
        <f>--(AND(D475&lt;=113.15,E475&lt;=0.15,F475&gt;15.77,H475&lt;=28.86,G475&gt;0.14))*1</f>
        <v/>
      </c>
      <c r="U475">
        <f>--(AND(D475&lt;=113.15,E475&lt;=0.15,F475&gt;15.77,H475&gt;28.86,M475&lt;=14.54))*1</f>
        <v/>
      </c>
      <c r="V475">
        <f>--(AND(D475&lt;=113.15,E475&lt;=0.15,F475&gt;15.77,H475&gt;28.86,M475&gt;14.54))*1</f>
        <v/>
      </c>
      <c r="W475">
        <f>--(AND(D475&lt;=113.15,E475&gt;0.15,H475&lt;=23.74))*0</f>
        <v/>
      </c>
      <c r="X475">
        <f>--(AND(D475&lt;=113.15,E475&gt;0.15,H475&gt;23.74,J475&lt;=0.1))*1</f>
        <v/>
      </c>
      <c r="Y475">
        <f>--(AND(D475&lt;=113.15,E475&gt;0.15,H475&gt;23.74,J475&gt;0.1))*1</f>
        <v/>
      </c>
      <c r="Z475">
        <f>--(AND(D475&gt;113.15,K475&lt;=0.22,L475&lt;=0.02))*1</f>
        <v/>
      </c>
      <c r="AA475">
        <f>--(AND(D475&gt;113.15,K475&lt;=0.22,L475&gt;0.02))*0</f>
        <v/>
      </c>
      <c r="AB475">
        <f>--(AND(D475&gt;113.15,K475&gt;0.22,N475&lt;=810.1))*0</f>
        <v/>
      </c>
      <c r="AC475">
        <f>--(AND(D475&gt;113.15,K475&gt;0.22,N475&gt;810.1,I475&lt;=14.95))*1</f>
        <v/>
      </c>
      <c r="AD475">
        <f>--(AND(D475&gt;113.15,K475&gt;0.22,N475&gt;810.1,I475&gt;14.95))*1</f>
        <v/>
      </c>
      <c r="AE475">
        <f>SUM(P475:AD475)</f>
        <v/>
      </c>
      <c r="AF475">
        <f>IF(AE475=1,"Malignant","Benign")</f>
        <v/>
      </c>
      <c r="AG475">
        <f>--(AE475=C475)</f>
        <v/>
      </c>
    </row>
    <row r="476">
      <c r="A476">
        <f>BreastCancer_Data!A476</f>
        <v/>
      </c>
      <c r="B476">
        <f>BreastCancer_Data!B476</f>
        <v/>
      </c>
      <c r="C476">
        <f>BreastCancer_Data!D476</f>
        <v/>
      </c>
      <c r="D476">
        <f>BreastCancer_Data!E476</f>
        <v/>
      </c>
      <c r="E476">
        <f>BreastCancer_Data!F476</f>
        <v/>
      </c>
      <c r="F476">
        <f>BreastCancer_Data!G476</f>
        <v/>
      </c>
      <c r="G476">
        <f>BreastCancer_Data!H476</f>
        <v/>
      </c>
      <c r="H476">
        <f>BreastCancer_Data!I476</f>
        <v/>
      </c>
      <c r="I476">
        <f>BreastCancer_Data!J476</f>
        <v/>
      </c>
      <c r="J476">
        <f>BreastCancer_Data!K476</f>
        <v/>
      </c>
      <c r="K476">
        <f>BreastCancer_Data!L476</f>
        <v/>
      </c>
      <c r="L476">
        <f>BreastCancer_Data!M476</f>
        <v/>
      </c>
      <c r="M476">
        <f>BreastCancer_Data!N476</f>
        <v/>
      </c>
      <c r="N476">
        <f>BreastCancer_Data!O476</f>
        <v/>
      </c>
      <c r="O476">
        <f>0</f>
        <v/>
      </c>
      <c r="P476">
        <f>--(AND(D476&lt;=113.15,E476&lt;=0.15,F476&lt;=15.77,G476&lt;=0.18,H476&lt;=33.27))*0</f>
        <v/>
      </c>
      <c r="Q476">
        <f>--(AND(D476&lt;=113.15,E476&lt;=0.15,F476&lt;=15.77,G476&lt;=0.18,H476&gt;33.27))*0</f>
        <v/>
      </c>
      <c r="R476">
        <f>--(AND(D476&lt;=113.15,E476&lt;=0.15,F476&lt;=15.77,G476&gt;0.18))*0</f>
        <v/>
      </c>
      <c r="S476">
        <f>--(AND(D476&lt;=113.15,E476&lt;=0.15,F476&gt;15.77,H476&lt;=28.86,G476&lt;=0.14))*0</f>
        <v/>
      </c>
      <c r="T476">
        <f>--(AND(D476&lt;=113.15,E476&lt;=0.15,F476&gt;15.77,H476&lt;=28.86,G476&gt;0.14))*1</f>
        <v/>
      </c>
      <c r="U476">
        <f>--(AND(D476&lt;=113.15,E476&lt;=0.15,F476&gt;15.77,H476&gt;28.86,M476&lt;=14.54))*1</f>
        <v/>
      </c>
      <c r="V476">
        <f>--(AND(D476&lt;=113.15,E476&lt;=0.15,F476&gt;15.77,H476&gt;28.86,M476&gt;14.54))*1</f>
        <v/>
      </c>
      <c r="W476">
        <f>--(AND(D476&lt;=113.15,E476&gt;0.15,H476&lt;=23.74))*0</f>
        <v/>
      </c>
      <c r="X476">
        <f>--(AND(D476&lt;=113.15,E476&gt;0.15,H476&gt;23.74,J476&lt;=0.1))*1</f>
        <v/>
      </c>
      <c r="Y476">
        <f>--(AND(D476&lt;=113.15,E476&gt;0.15,H476&gt;23.74,J476&gt;0.1))*1</f>
        <v/>
      </c>
      <c r="Z476">
        <f>--(AND(D476&gt;113.15,K476&lt;=0.22,L476&lt;=0.02))*1</f>
        <v/>
      </c>
      <c r="AA476">
        <f>--(AND(D476&gt;113.15,K476&lt;=0.22,L476&gt;0.02))*0</f>
        <v/>
      </c>
      <c r="AB476">
        <f>--(AND(D476&gt;113.15,K476&gt;0.22,N476&lt;=810.1))*0</f>
        <v/>
      </c>
      <c r="AC476">
        <f>--(AND(D476&gt;113.15,K476&gt;0.22,N476&gt;810.1,I476&lt;=14.95))*1</f>
        <v/>
      </c>
      <c r="AD476">
        <f>--(AND(D476&gt;113.15,K476&gt;0.22,N476&gt;810.1,I476&gt;14.95))*1</f>
        <v/>
      </c>
      <c r="AE476">
        <f>SUM(P476:AD476)</f>
        <v/>
      </c>
      <c r="AF476">
        <f>IF(AE476=1,"Malignant","Benign")</f>
        <v/>
      </c>
      <c r="AG476">
        <f>--(AE476=C476)</f>
        <v/>
      </c>
    </row>
    <row r="477">
      <c r="A477">
        <f>BreastCancer_Data!A477</f>
        <v/>
      </c>
      <c r="B477">
        <f>BreastCancer_Data!B477</f>
        <v/>
      </c>
      <c r="C477">
        <f>BreastCancer_Data!D477</f>
        <v/>
      </c>
      <c r="D477">
        <f>BreastCancer_Data!E477</f>
        <v/>
      </c>
      <c r="E477">
        <f>BreastCancer_Data!F477</f>
        <v/>
      </c>
      <c r="F477">
        <f>BreastCancer_Data!G477</f>
        <v/>
      </c>
      <c r="G477">
        <f>BreastCancer_Data!H477</f>
        <v/>
      </c>
      <c r="H477">
        <f>BreastCancer_Data!I477</f>
        <v/>
      </c>
      <c r="I477">
        <f>BreastCancer_Data!J477</f>
        <v/>
      </c>
      <c r="J477">
        <f>BreastCancer_Data!K477</f>
        <v/>
      </c>
      <c r="K477">
        <f>BreastCancer_Data!L477</f>
        <v/>
      </c>
      <c r="L477">
        <f>BreastCancer_Data!M477</f>
        <v/>
      </c>
      <c r="M477">
        <f>BreastCancer_Data!N477</f>
        <v/>
      </c>
      <c r="N477">
        <f>BreastCancer_Data!O477</f>
        <v/>
      </c>
      <c r="O477">
        <f>0</f>
        <v/>
      </c>
      <c r="P477">
        <f>--(AND(D477&lt;=113.15,E477&lt;=0.15,F477&lt;=15.77,G477&lt;=0.18,H477&lt;=33.27))*0</f>
        <v/>
      </c>
      <c r="Q477">
        <f>--(AND(D477&lt;=113.15,E477&lt;=0.15,F477&lt;=15.77,G477&lt;=0.18,H477&gt;33.27))*0</f>
        <v/>
      </c>
      <c r="R477">
        <f>--(AND(D477&lt;=113.15,E477&lt;=0.15,F477&lt;=15.77,G477&gt;0.18))*0</f>
        <v/>
      </c>
      <c r="S477">
        <f>--(AND(D477&lt;=113.15,E477&lt;=0.15,F477&gt;15.77,H477&lt;=28.86,G477&lt;=0.14))*0</f>
        <v/>
      </c>
      <c r="T477">
        <f>--(AND(D477&lt;=113.15,E477&lt;=0.15,F477&gt;15.77,H477&lt;=28.86,G477&gt;0.14))*1</f>
        <v/>
      </c>
      <c r="U477">
        <f>--(AND(D477&lt;=113.15,E477&lt;=0.15,F477&gt;15.77,H477&gt;28.86,M477&lt;=14.54))*1</f>
        <v/>
      </c>
      <c r="V477">
        <f>--(AND(D477&lt;=113.15,E477&lt;=0.15,F477&gt;15.77,H477&gt;28.86,M477&gt;14.54))*1</f>
        <v/>
      </c>
      <c r="W477">
        <f>--(AND(D477&lt;=113.15,E477&gt;0.15,H477&lt;=23.74))*0</f>
        <v/>
      </c>
      <c r="X477">
        <f>--(AND(D477&lt;=113.15,E477&gt;0.15,H477&gt;23.74,J477&lt;=0.1))*1</f>
        <v/>
      </c>
      <c r="Y477">
        <f>--(AND(D477&lt;=113.15,E477&gt;0.15,H477&gt;23.74,J477&gt;0.1))*1</f>
        <v/>
      </c>
      <c r="Z477">
        <f>--(AND(D477&gt;113.15,K477&lt;=0.22,L477&lt;=0.02))*1</f>
        <v/>
      </c>
      <c r="AA477">
        <f>--(AND(D477&gt;113.15,K477&lt;=0.22,L477&gt;0.02))*0</f>
        <v/>
      </c>
      <c r="AB477">
        <f>--(AND(D477&gt;113.15,K477&gt;0.22,N477&lt;=810.1))*0</f>
        <v/>
      </c>
      <c r="AC477">
        <f>--(AND(D477&gt;113.15,K477&gt;0.22,N477&gt;810.1,I477&lt;=14.95))*1</f>
        <v/>
      </c>
      <c r="AD477">
        <f>--(AND(D477&gt;113.15,K477&gt;0.22,N477&gt;810.1,I477&gt;14.95))*1</f>
        <v/>
      </c>
      <c r="AE477">
        <f>SUM(P477:AD477)</f>
        <v/>
      </c>
      <c r="AF477">
        <f>IF(AE477=1,"Malignant","Benign")</f>
        <v/>
      </c>
      <c r="AG477">
        <f>--(AE477=C477)</f>
        <v/>
      </c>
    </row>
    <row r="478">
      <c r="A478">
        <f>BreastCancer_Data!A478</f>
        <v/>
      </c>
      <c r="B478">
        <f>BreastCancer_Data!B478</f>
        <v/>
      </c>
      <c r="C478">
        <f>BreastCancer_Data!D478</f>
        <v/>
      </c>
      <c r="D478">
        <f>BreastCancer_Data!E478</f>
        <v/>
      </c>
      <c r="E478">
        <f>BreastCancer_Data!F478</f>
        <v/>
      </c>
      <c r="F478">
        <f>BreastCancer_Data!G478</f>
        <v/>
      </c>
      <c r="G478">
        <f>BreastCancer_Data!H478</f>
        <v/>
      </c>
      <c r="H478">
        <f>BreastCancer_Data!I478</f>
        <v/>
      </c>
      <c r="I478">
        <f>BreastCancer_Data!J478</f>
        <v/>
      </c>
      <c r="J478">
        <f>BreastCancer_Data!K478</f>
        <v/>
      </c>
      <c r="K478">
        <f>BreastCancer_Data!L478</f>
        <v/>
      </c>
      <c r="L478">
        <f>BreastCancer_Data!M478</f>
        <v/>
      </c>
      <c r="M478">
        <f>BreastCancer_Data!N478</f>
        <v/>
      </c>
      <c r="N478">
        <f>BreastCancer_Data!O478</f>
        <v/>
      </c>
      <c r="O478">
        <f>0</f>
        <v/>
      </c>
      <c r="P478">
        <f>--(AND(D478&lt;=113.15,E478&lt;=0.15,F478&lt;=15.77,G478&lt;=0.18,H478&lt;=33.27))*0</f>
        <v/>
      </c>
      <c r="Q478">
        <f>--(AND(D478&lt;=113.15,E478&lt;=0.15,F478&lt;=15.77,G478&lt;=0.18,H478&gt;33.27))*0</f>
        <v/>
      </c>
      <c r="R478">
        <f>--(AND(D478&lt;=113.15,E478&lt;=0.15,F478&lt;=15.77,G478&gt;0.18))*0</f>
        <v/>
      </c>
      <c r="S478">
        <f>--(AND(D478&lt;=113.15,E478&lt;=0.15,F478&gt;15.77,H478&lt;=28.86,G478&lt;=0.14))*0</f>
        <v/>
      </c>
      <c r="T478">
        <f>--(AND(D478&lt;=113.15,E478&lt;=0.15,F478&gt;15.77,H478&lt;=28.86,G478&gt;0.14))*1</f>
        <v/>
      </c>
      <c r="U478">
        <f>--(AND(D478&lt;=113.15,E478&lt;=0.15,F478&gt;15.77,H478&gt;28.86,M478&lt;=14.54))*1</f>
        <v/>
      </c>
      <c r="V478">
        <f>--(AND(D478&lt;=113.15,E478&lt;=0.15,F478&gt;15.77,H478&gt;28.86,M478&gt;14.54))*1</f>
        <v/>
      </c>
      <c r="W478">
        <f>--(AND(D478&lt;=113.15,E478&gt;0.15,H478&lt;=23.74))*0</f>
        <v/>
      </c>
      <c r="X478">
        <f>--(AND(D478&lt;=113.15,E478&gt;0.15,H478&gt;23.74,J478&lt;=0.1))*1</f>
        <v/>
      </c>
      <c r="Y478">
        <f>--(AND(D478&lt;=113.15,E478&gt;0.15,H478&gt;23.74,J478&gt;0.1))*1</f>
        <v/>
      </c>
      <c r="Z478">
        <f>--(AND(D478&gt;113.15,K478&lt;=0.22,L478&lt;=0.02))*1</f>
        <v/>
      </c>
      <c r="AA478">
        <f>--(AND(D478&gt;113.15,K478&lt;=0.22,L478&gt;0.02))*0</f>
        <v/>
      </c>
      <c r="AB478">
        <f>--(AND(D478&gt;113.15,K478&gt;0.22,N478&lt;=810.1))*0</f>
        <v/>
      </c>
      <c r="AC478">
        <f>--(AND(D478&gt;113.15,K478&gt;0.22,N478&gt;810.1,I478&lt;=14.95))*1</f>
        <v/>
      </c>
      <c r="AD478">
        <f>--(AND(D478&gt;113.15,K478&gt;0.22,N478&gt;810.1,I478&gt;14.95))*1</f>
        <v/>
      </c>
      <c r="AE478">
        <f>SUM(P478:AD478)</f>
        <v/>
      </c>
      <c r="AF478">
        <f>IF(AE478=1,"Malignant","Benign")</f>
        <v/>
      </c>
      <c r="AG478">
        <f>--(AE478=C478)</f>
        <v/>
      </c>
    </row>
    <row r="479">
      <c r="A479">
        <f>BreastCancer_Data!A479</f>
        <v/>
      </c>
      <c r="B479">
        <f>BreastCancer_Data!B479</f>
        <v/>
      </c>
      <c r="C479">
        <f>BreastCancer_Data!D479</f>
        <v/>
      </c>
      <c r="D479">
        <f>BreastCancer_Data!E479</f>
        <v/>
      </c>
      <c r="E479">
        <f>BreastCancer_Data!F479</f>
        <v/>
      </c>
      <c r="F479">
        <f>BreastCancer_Data!G479</f>
        <v/>
      </c>
      <c r="G479">
        <f>BreastCancer_Data!H479</f>
        <v/>
      </c>
      <c r="H479">
        <f>BreastCancer_Data!I479</f>
        <v/>
      </c>
      <c r="I479">
        <f>BreastCancer_Data!J479</f>
        <v/>
      </c>
      <c r="J479">
        <f>BreastCancer_Data!K479</f>
        <v/>
      </c>
      <c r="K479">
        <f>BreastCancer_Data!L479</f>
        <v/>
      </c>
      <c r="L479">
        <f>BreastCancer_Data!M479</f>
        <v/>
      </c>
      <c r="M479">
        <f>BreastCancer_Data!N479</f>
        <v/>
      </c>
      <c r="N479">
        <f>BreastCancer_Data!O479</f>
        <v/>
      </c>
      <c r="O479">
        <f>0</f>
        <v/>
      </c>
      <c r="P479">
        <f>--(AND(D479&lt;=113.15,E479&lt;=0.15,F479&lt;=15.77,G479&lt;=0.18,H479&lt;=33.27))*0</f>
        <v/>
      </c>
      <c r="Q479">
        <f>--(AND(D479&lt;=113.15,E479&lt;=0.15,F479&lt;=15.77,G479&lt;=0.18,H479&gt;33.27))*0</f>
        <v/>
      </c>
      <c r="R479">
        <f>--(AND(D479&lt;=113.15,E479&lt;=0.15,F479&lt;=15.77,G479&gt;0.18))*0</f>
        <v/>
      </c>
      <c r="S479">
        <f>--(AND(D479&lt;=113.15,E479&lt;=0.15,F479&gt;15.77,H479&lt;=28.86,G479&lt;=0.14))*0</f>
        <v/>
      </c>
      <c r="T479">
        <f>--(AND(D479&lt;=113.15,E479&lt;=0.15,F479&gt;15.77,H479&lt;=28.86,G479&gt;0.14))*1</f>
        <v/>
      </c>
      <c r="U479">
        <f>--(AND(D479&lt;=113.15,E479&lt;=0.15,F479&gt;15.77,H479&gt;28.86,M479&lt;=14.54))*1</f>
        <v/>
      </c>
      <c r="V479">
        <f>--(AND(D479&lt;=113.15,E479&lt;=0.15,F479&gt;15.77,H479&gt;28.86,M479&gt;14.54))*1</f>
        <v/>
      </c>
      <c r="W479">
        <f>--(AND(D479&lt;=113.15,E479&gt;0.15,H479&lt;=23.74))*0</f>
        <v/>
      </c>
      <c r="X479">
        <f>--(AND(D479&lt;=113.15,E479&gt;0.15,H479&gt;23.74,J479&lt;=0.1))*1</f>
        <v/>
      </c>
      <c r="Y479">
        <f>--(AND(D479&lt;=113.15,E479&gt;0.15,H479&gt;23.74,J479&gt;0.1))*1</f>
        <v/>
      </c>
      <c r="Z479">
        <f>--(AND(D479&gt;113.15,K479&lt;=0.22,L479&lt;=0.02))*1</f>
        <v/>
      </c>
      <c r="AA479">
        <f>--(AND(D479&gt;113.15,K479&lt;=0.22,L479&gt;0.02))*0</f>
        <v/>
      </c>
      <c r="AB479">
        <f>--(AND(D479&gt;113.15,K479&gt;0.22,N479&lt;=810.1))*0</f>
        <v/>
      </c>
      <c r="AC479">
        <f>--(AND(D479&gt;113.15,K479&gt;0.22,N479&gt;810.1,I479&lt;=14.95))*1</f>
        <v/>
      </c>
      <c r="AD479">
        <f>--(AND(D479&gt;113.15,K479&gt;0.22,N479&gt;810.1,I479&gt;14.95))*1</f>
        <v/>
      </c>
      <c r="AE479">
        <f>SUM(P479:AD479)</f>
        <v/>
      </c>
      <c r="AF479">
        <f>IF(AE479=1,"Malignant","Benign")</f>
        <v/>
      </c>
      <c r="AG479">
        <f>--(AE479=C479)</f>
        <v/>
      </c>
    </row>
    <row r="480">
      <c r="A480">
        <f>BreastCancer_Data!A480</f>
        <v/>
      </c>
      <c r="B480">
        <f>BreastCancer_Data!B480</f>
        <v/>
      </c>
      <c r="C480">
        <f>BreastCancer_Data!D480</f>
        <v/>
      </c>
      <c r="D480">
        <f>BreastCancer_Data!E480</f>
        <v/>
      </c>
      <c r="E480">
        <f>BreastCancer_Data!F480</f>
        <v/>
      </c>
      <c r="F480">
        <f>BreastCancer_Data!G480</f>
        <v/>
      </c>
      <c r="G480">
        <f>BreastCancer_Data!H480</f>
        <v/>
      </c>
      <c r="H480">
        <f>BreastCancer_Data!I480</f>
        <v/>
      </c>
      <c r="I480">
        <f>BreastCancer_Data!J480</f>
        <v/>
      </c>
      <c r="J480">
        <f>BreastCancer_Data!K480</f>
        <v/>
      </c>
      <c r="K480">
        <f>BreastCancer_Data!L480</f>
        <v/>
      </c>
      <c r="L480">
        <f>BreastCancer_Data!M480</f>
        <v/>
      </c>
      <c r="M480">
        <f>BreastCancer_Data!N480</f>
        <v/>
      </c>
      <c r="N480">
        <f>BreastCancer_Data!O480</f>
        <v/>
      </c>
      <c r="O480">
        <f>0</f>
        <v/>
      </c>
      <c r="P480">
        <f>--(AND(D480&lt;=113.15,E480&lt;=0.15,F480&lt;=15.77,G480&lt;=0.18,H480&lt;=33.27))*0</f>
        <v/>
      </c>
      <c r="Q480">
        <f>--(AND(D480&lt;=113.15,E480&lt;=0.15,F480&lt;=15.77,G480&lt;=0.18,H480&gt;33.27))*0</f>
        <v/>
      </c>
      <c r="R480">
        <f>--(AND(D480&lt;=113.15,E480&lt;=0.15,F480&lt;=15.77,G480&gt;0.18))*0</f>
        <v/>
      </c>
      <c r="S480">
        <f>--(AND(D480&lt;=113.15,E480&lt;=0.15,F480&gt;15.77,H480&lt;=28.86,G480&lt;=0.14))*0</f>
        <v/>
      </c>
      <c r="T480">
        <f>--(AND(D480&lt;=113.15,E480&lt;=0.15,F480&gt;15.77,H480&lt;=28.86,G480&gt;0.14))*1</f>
        <v/>
      </c>
      <c r="U480">
        <f>--(AND(D480&lt;=113.15,E480&lt;=0.15,F480&gt;15.77,H480&gt;28.86,M480&lt;=14.54))*1</f>
        <v/>
      </c>
      <c r="V480">
        <f>--(AND(D480&lt;=113.15,E480&lt;=0.15,F480&gt;15.77,H480&gt;28.86,M480&gt;14.54))*1</f>
        <v/>
      </c>
      <c r="W480">
        <f>--(AND(D480&lt;=113.15,E480&gt;0.15,H480&lt;=23.74))*0</f>
        <v/>
      </c>
      <c r="X480">
        <f>--(AND(D480&lt;=113.15,E480&gt;0.15,H480&gt;23.74,J480&lt;=0.1))*1</f>
        <v/>
      </c>
      <c r="Y480">
        <f>--(AND(D480&lt;=113.15,E480&gt;0.15,H480&gt;23.74,J480&gt;0.1))*1</f>
        <v/>
      </c>
      <c r="Z480">
        <f>--(AND(D480&gt;113.15,K480&lt;=0.22,L480&lt;=0.02))*1</f>
        <v/>
      </c>
      <c r="AA480">
        <f>--(AND(D480&gt;113.15,K480&lt;=0.22,L480&gt;0.02))*0</f>
        <v/>
      </c>
      <c r="AB480">
        <f>--(AND(D480&gt;113.15,K480&gt;0.22,N480&lt;=810.1))*0</f>
        <v/>
      </c>
      <c r="AC480">
        <f>--(AND(D480&gt;113.15,K480&gt;0.22,N480&gt;810.1,I480&lt;=14.95))*1</f>
        <v/>
      </c>
      <c r="AD480">
        <f>--(AND(D480&gt;113.15,K480&gt;0.22,N480&gt;810.1,I480&gt;14.95))*1</f>
        <v/>
      </c>
      <c r="AE480">
        <f>SUM(P480:AD480)</f>
        <v/>
      </c>
      <c r="AF480">
        <f>IF(AE480=1,"Malignant","Benign")</f>
        <v/>
      </c>
      <c r="AG480">
        <f>--(AE480=C480)</f>
        <v/>
      </c>
    </row>
    <row r="481">
      <c r="A481">
        <f>BreastCancer_Data!A481</f>
        <v/>
      </c>
      <c r="B481">
        <f>BreastCancer_Data!B481</f>
        <v/>
      </c>
      <c r="C481">
        <f>BreastCancer_Data!D481</f>
        <v/>
      </c>
      <c r="D481">
        <f>BreastCancer_Data!E481</f>
        <v/>
      </c>
      <c r="E481">
        <f>BreastCancer_Data!F481</f>
        <v/>
      </c>
      <c r="F481">
        <f>BreastCancer_Data!G481</f>
        <v/>
      </c>
      <c r="G481">
        <f>BreastCancer_Data!H481</f>
        <v/>
      </c>
      <c r="H481">
        <f>BreastCancer_Data!I481</f>
        <v/>
      </c>
      <c r="I481">
        <f>BreastCancer_Data!J481</f>
        <v/>
      </c>
      <c r="J481">
        <f>BreastCancer_Data!K481</f>
        <v/>
      </c>
      <c r="K481">
        <f>BreastCancer_Data!L481</f>
        <v/>
      </c>
      <c r="L481">
        <f>BreastCancer_Data!M481</f>
        <v/>
      </c>
      <c r="M481">
        <f>BreastCancer_Data!N481</f>
        <v/>
      </c>
      <c r="N481">
        <f>BreastCancer_Data!O481</f>
        <v/>
      </c>
      <c r="O481">
        <f>0</f>
        <v/>
      </c>
      <c r="P481">
        <f>--(AND(D481&lt;=113.15,E481&lt;=0.15,F481&lt;=15.77,G481&lt;=0.18,H481&lt;=33.27))*0</f>
        <v/>
      </c>
      <c r="Q481">
        <f>--(AND(D481&lt;=113.15,E481&lt;=0.15,F481&lt;=15.77,G481&lt;=0.18,H481&gt;33.27))*0</f>
        <v/>
      </c>
      <c r="R481">
        <f>--(AND(D481&lt;=113.15,E481&lt;=0.15,F481&lt;=15.77,G481&gt;0.18))*0</f>
        <v/>
      </c>
      <c r="S481">
        <f>--(AND(D481&lt;=113.15,E481&lt;=0.15,F481&gt;15.77,H481&lt;=28.86,G481&lt;=0.14))*0</f>
        <v/>
      </c>
      <c r="T481">
        <f>--(AND(D481&lt;=113.15,E481&lt;=0.15,F481&gt;15.77,H481&lt;=28.86,G481&gt;0.14))*1</f>
        <v/>
      </c>
      <c r="U481">
        <f>--(AND(D481&lt;=113.15,E481&lt;=0.15,F481&gt;15.77,H481&gt;28.86,M481&lt;=14.54))*1</f>
        <v/>
      </c>
      <c r="V481">
        <f>--(AND(D481&lt;=113.15,E481&lt;=0.15,F481&gt;15.77,H481&gt;28.86,M481&gt;14.54))*1</f>
        <v/>
      </c>
      <c r="W481">
        <f>--(AND(D481&lt;=113.15,E481&gt;0.15,H481&lt;=23.74))*0</f>
        <v/>
      </c>
      <c r="X481">
        <f>--(AND(D481&lt;=113.15,E481&gt;0.15,H481&gt;23.74,J481&lt;=0.1))*1</f>
        <v/>
      </c>
      <c r="Y481">
        <f>--(AND(D481&lt;=113.15,E481&gt;0.15,H481&gt;23.74,J481&gt;0.1))*1</f>
        <v/>
      </c>
      <c r="Z481">
        <f>--(AND(D481&gt;113.15,K481&lt;=0.22,L481&lt;=0.02))*1</f>
        <v/>
      </c>
      <c r="AA481">
        <f>--(AND(D481&gt;113.15,K481&lt;=0.22,L481&gt;0.02))*0</f>
        <v/>
      </c>
      <c r="AB481">
        <f>--(AND(D481&gt;113.15,K481&gt;0.22,N481&lt;=810.1))*0</f>
        <v/>
      </c>
      <c r="AC481">
        <f>--(AND(D481&gt;113.15,K481&gt;0.22,N481&gt;810.1,I481&lt;=14.95))*1</f>
        <v/>
      </c>
      <c r="AD481">
        <f>--(AND(D481&gt;113.15,K481&gt;0.22,N481&gt;810.1,I481&gt;14.95))*1</f>
        <v/>
      </c>
      <c r="AE481">
        <f>SUM(P481:AD481)</f>
        <v/>
      </c>
      <c r="AF481">
        <f>IF(AE481=1,"Malignant","Benign")</f>
        <v/>
      </c>
      <c r="AG481">
        <f>--(AE481=C481)</f>
        <v/>
      </c>
    </row>
    <row r="482">
      <c r="A482">
        <f>BreastCancer_Data!A482</f>
        <v/>
      </c>
      <c r="B482">
        <f>BreastCancer_Data!B482</f>
        <v/>
      </c>
      <c r="C482">
        <f>BreastCancer_Data!D482</f>
        <v/>
      </c>
      <c r="D482">
        <f>BreastCancer_Data!E482</f>
        <v/>
      </c>
      <c r="E482">
        <f>BreastCancer_Data!F482</f>
        <v/>
      </c>
      <c r="F482">
        <f>BreastCancer_Data!G482</f>
        <v/>
      </c>
      <c r="G482">
        <f>BreastCancer_Data!H482</f>
        <v/>
      </c>
      <c r="H482">
        <f>BreastCancer_Data!I482</f>
        <v/>
      </c>
      <c r="I482">
        <f>BreastCancer_Data!J482</f>
        <v/>
      </c>
      <c r="J482">
        <f>BreastCancer_Data!K482</f>
        <v/>
      </c>
      <c r="K482">
        <f>BreastCancer_Data!L482</f>
        <v/>
      </c>
      <c r="L482">
        <f>BreastCancer_Data!M482</f>
        <v/>
      </c>
      <c r="M482">
        <f>BreastCancer_Data!N482</f>
        <v/>
      </c>
      <c r="N482">
        <f>BreastCancer_Data!O482</f>
        <v/>
      </c>
      <c r="O482">
        <f>0</f>
        <v/>
      </c>
      <c r="P482">
        <f>--(AND(D482&lt;=113.15,E482&lt;=0.15,F482&lt;=15.77,G482&lt;=0.18,H482&lt;=33.27))*0</f>
        <v/>
      </c>
      <c r="Q482">
        <f>--(AND(D482&lt;=113.15,E482&lt;=0.15,F482&lt;=15.77,G482&lt;=0.18,H482&gt;33.27))*0</f>
        <v/>
      </c>
      <c r="R482">
        <f>--(AND(D482&lt;=113.15,E482&lt;=0.15,F482&lt;=15.77,G482&gt;0.18))*0</f>
        <v/>
      </c>
      <c r="S482">
        <f>--(AND(D482&lt;=113.15,E482&lt;=0.15,F482&gt;15.77,H482&lt;=28.86,G482&lt;=0.14))*0</f>
        <v/>
      </c>
      <c r="T482">
        <f>--(AND(D482&lt;=113.15,E482&lt;=0.15,F482&gt;15.77,H482&lt;=28.86,G482&gt;0.14))*1</f>
        <v/>
      </c>
      <c r="U482">
        <f>--(AND(D482&lt;=113.15,E482&lt;=0.15,F482&gt;15.77,H482&gt;28.86,M482&lt;=14.54))*1</f>
        <v/>
      </c>
      <c r="V482">
        <f>--(AND(D482&lt;=113.15,E482&lt;=0.15,F482&gt;15.77,H482&gt;28.86,M482&gt;14.54))*1</f>
        <v/>
      </c>
      <c r="W482">
        <f>--(AND(D482&lt;=113.15,E482&gt;0.15,H482&lt;=23.74))*0</f>
        <v/>
      </c>
      <c r="X482">
        <f>--(AND(D482&lt;=113.15,E482&gt;0.15,H482&gt;23.74,J482&lt;=0.1))*1</f>
        <v/>
      </c>
      <c r="Y482">
        <f>--(AND(D482&lt;=113.15,E482&gt;0.15,H482&gt;23.74,J482&gt;0.1))*1</f>
        <v/>
      </c>
      <c r="Z482">
        <f>--(AND(D482&gt;113.15,K482&lt;=0.22,L482&lt;=0.02))*1</f>
        <v/>
      </c>
      <c r="AA482">
        <f>--(AND(D482&gt;113.15,K482&lt;=0.22,L482&gt;0.02))*0</f>
        <v/>
      </c>
      <c r="AB482">
        <f>--(AND(D482&gt;113.15,K482&gt;0.22,N482&lt;=810.1))*0</f>
        <v/>
      </c>
      <c r="AC482">
        <f>--(AND(D482&gt;113.15,K482&gt;0.22,N482&gt;810.1,I482&lt;=14.95))*1</f>
        <v/>
      </c>
      <c r="AD482">
        <f>--(AND(D482&gt;113.15,K482&gt;0.22,N482&gt;810.1,I482&gt;14.95))*1</f>
        <v/>
      </c>
      <c r="AE482">
        <f>SUM(P482:AD482)</f>
        <v/>
      </c>
      <c r="AF482">
        <f>IF(AE482=1,"Malignant","Benign")</f>
        <v/>
      </c>
      <c r="AG482">
        <f>--(AE482=C482)</f>
        <v/>
      </c>
    </row>
    <row r="483">
      <c r="A483">
        <f>BreastCancer_Data!A483</f>
        <v/>
      </c>
      <c r="B483">
        <f>BreastCancer_Data!B483</f>
        <v/>
      </c>
      <c r="C483">
        <f>BreastCancer_Data!D483</f>
        <v/>
      </c>
      <c r="D483">
        <f>BreastCancer_Data!E483</f>
        <v/>
      </c>
      <c r="E483">
        <f>BreastCancer_Data!F483</f>
        <v/>
      </c>
      <c r="F483">
        <f>BreastCancer_Data!G483</f>
        <v/>
      </c>
      <c r="G483">
        <f>BreastCancer_Data!H483</f>
        <v/>
      </c>
      <c r="H483">
        <f>BreastCancer_Data!I483</f>
        <v/>
      </c>
      <c r="I483">
        <f>BreastCancer_Data!J483</f>
        <v/>
      </c>
      <c r="J483">
        <f>BreastCancer_Data!K483</f>
        <v/>
      </c>
      <c r="K483">
        <f>BreastCancer_Data!L483</f>
        <v/>
      </c>
      <c r="L483">
        <f>BreastCancer_Data!M483</f>
        <v/>
      </c>
      <c r="M483">
        <f>BreastCancer_Data!N483</f>
        <v/>
      </c>
      <c r="N483">
        <f>BreastCancer_Data!O483</f>
        <v/>
      </c>
      <c r="O483">
        <f>0</f>
        <v/>
      </c>
      <c r="P483">
        <f>--(AND(D483&lt;=113.15,E483&lt;=0.15,F483&lt;=15.77,G483&lt;=0.18,H483&lt;=33.27))*0</f>
        <v/>
      </c>
      <c r="Q483">
        <f>--(AND(D483&lt;=113.15,E483&lt;=0.15,F483&lt;=15.77,G483&lt;=0.18,H483&gt;33.27))*0</f>
        <v/>
      </c>
      <c r="R483">
        <f>--(AND(D483&lt;=113.15,E483&lt;=0.15,F483&lt;=15.77,G483&gt;0.18))*0</f>
        <v/>
      </c>
      <c r="S483">
        <f>--(AND(D483&lt;=113.15,E483&lt;=0.15,F483&gt;15.77,H483&lt;=28.86,G483&lt;=0.14))*0</f>
        <v/>
      </c>
      <c r="T483">
        <f>--(AND(D483&lt;=113.15,E483&lt;=0.15,F483&gt;15.77,H483&lt;=28.86,G483&gt;0.14))*1</f>
        <v/>
      </c>
      <c r="U483">
        <f>--(AND(D483&lt;=113.15,E483&lt;=0.15,F483&gt;15.77,H483&gt;28.86,M483&lt;=14.54))*1</f>
        <v/>
      </c>
      <c r="V483">
        <f>--(AND(D483&lt;=113.15,E483&lt;=0.15,F483&gt;15.77,H483&gt;28.86,M483&gt;14.54))*1</f>
        <v/>
      </c>
      <c r="W483">
        <f>--(AND(D483&lt;=113.15,E483&gt;0.15,H483&lt;=23.74))*0</f>
        <v/>
      </c>
      <c r="X483">
        <f>--(AND(D483&lt;=113.15,E483&gt;0.15,H483&gt;23.74,J483&lt;=0.1))*1</f>
        <v/>
      </c>
      <c r="Y483">
        <f>--(AND(D483&lt;=113.15,E483&gt;0.15,H483&gt;23.74,J483&gt;0.1))*1</f>
        <v/>
      </c>
      <c r="Z483">
        <f>--(AND(D483&gt;113.15,K483&lt;=0.22,L483&lt;=0.02))*1</f>
        <v/>
      </c>
      <c r="AA483">
        <f>--(AND(D483&gt;113.15,K483&lt;=0.22,L483&gt;0.02))*0</f>
        <v/>
      </c>
      <c r="AB483">
        <f>--(AND(D483&gt;113.15,K483&gt;0.22,N483&lt;=810.1))*0</f>
        <v/>
      </c>
      <c r="AC483">
        <f>--(AND(D483&gt;113.15,K483&gt;0.22,N483&gt;810.1,I483&lt;=14.95))*1</f>
        <v/>
      </c>
      <c r="AD483">
        <f>--(AND(D483&gt;113.15,K483&gt;0.22,N483&gt;810.1,I483&gt;14.95))*1</f>
        <v/>
      </c>
      <c r="AE483">
        <f>SUM(P483:AD483)</f>
        <v/>
      </c>
      <c r="AF483">
        <f>IF(AE483=1,"Malignant","Benign")</f>
        <v/>
      </c>
      <c r="AG483">
        <f>--(AE483=C483)</f>
        <v/>
      </c>
    </row>
    <row r="484">
      <c r="A484">
        <f>BreastCancer_Data!A484</f>
        <v/>
      </c>
      <c r="B484">
        <f>BreastCancer_Data!B484</f>
        <v/>
      </c>
      <c r="C484">
        <f>BreastCancer_Data!D484</f>
        <v/>
      </c>
      <c r="D484">
        <f>BreastCancer_Data!E484</f>
        <v/>
      </c>
      <c r="E484">
        <f>BreastCancer_Data!F484</f>
        <v/>
      </c>
      <c r="F484">
        <f>BreastCancer_Data!G484</f>
        <v/>
      </c>
      <c r="G484">
        <f>BreastCancer_Data!H484</f>
        <v/>
      </c>
      <c r="H484">
        <f>BreastCancer_Data!I484</f>
        <v/>
      </c>
      <c r="I484">
        <f>BreastCancer_Data!J484</f>
        <v/>
      </c>
      <c r="J484">
        <f>BreastCancer_Data!K484</f>
        <v/>
      </c>
      <c r="K484">
        <f>BreastCancer_Data!L484</f>
        <v/>
      </c>
      <c r="L484">
        <f>BreastCancer_Data!M484</f>
        <v/>
      </c>
      <c r="M484">
        <f>BreastCancer_Data!N484</f>
        <v/>
      </c>
      <c r="N484">
        <f>BreastCancer_Data!O484</f>
        <v/>
      </c>
      <c r="O484">
        <f>0</f>
        <v/>
      </c>
      <c r="P484">
        <f>--(AND(D484&lt;=113.15,E484&lt;=0.15,F484&lt;=15.77,G484&lt;=0.18,H484&lt;=33.27))*0</f>
        <v/>
      </c>
      <c r="Q484">
        <f>--(AND(D484&lt;=113.15,E484&lt;=0.15,F484&lt;=15.77,G484&lt;=0.18,H484&gt;33.27))*0</f>
        <v/>
      </c>
      <c r="R484">
        <f>--(AND(D484&lt;=113.15,E484&lt;=0.15,F484&lt;=15.77,G484&gt;0.18))*0</f>
        <v/>
      </c>
      <c r="S484">
        <f>--(AND(D484&lt;=113.15,E484&lt;=0.15,F484&gt;15.77,H484&lt;=28.86,G484&lt;=0.14))*0</f>
        <v/>
      </c>
      <c r="T484">
        <f>--(AND(D484&lt;=113.15,E484&lt;=0.15,F484&gt;15.77,H484&lt;=28.86,G484&gt;0.14))*1</f>
        <v/>
      </c>
      <c r="U484">
        <f>--(AND(D484&lt;=113.15,E484&lt;=0.15,F484&gt;15.77,H484&gt;28.86,M484&lt;=14.54))*1</f>
        <v/>
      </c>
      <c r="V484">
        <f>--(AND(D484&lt;=113.15,E484&lt;=0.15,F484&gt;15.77,H484&gt;28.86,M484&gt;14.54))*1</f>
        <v/>
      </c>
      <c r="W484">
        <f>--(AND(D484&lt;=113.15,E484&gt;0.15,H484&lt;=23.74))*0</f>
        <v/>
      </c>
      <c r="X484">
        <f>--(AND(D484&lt;=113.15,E484&gt;0.15,H484&gt;23.74,J484&lt;=0.1))*1</f>
        <v/>
      </c>
      <c r="Y484">
        <f>--(AND(D484&lt;=113.15,E484&gt;0.15,H484&gt;23.74,J484&gt;0.1))*1</f>
        <v/>
      </c>
      <c r="Z484">
        <f>--(AND(D484&gt;113.15,K484&lt;=0.22,L484&lt;=0.02))*1</f>
        <v/>
      </c>
      <c r="AA484">
        <f>--(AND(D484&gt;113.15,K484&lt;=0.22,L484&gt;0.02))*0</f>
        <v/>
      </c>
      <c r="AB484">
        <f>--(AND(D484&gt;113.15,K484&gt;0.22,N484&lt;=810.1))*0</f>
        <v/>
      </c>
      <c r="AC484">
        <f>--(AND(D484&gt;113.15,K484&gt;0.22,N484&gt;810.1,I484&lt;=14.95))*1</f>
        <v/>
      </c>
      <c r="AD484">
        <f>--(AND(D484&gt;113.15,K484&gt;0.22,N484&gt;810.1,I484&gt;14.95))*1</f>
        <v/>
      </c>
      <c r="AE484">
        <f>SUM(P484:AD484)</f>
        <v/>
      </c>
      <c r="AF484">
        <f>IF(AE484=1,"Malignant","Benign")</f>
        <v/>
      </c>
      <c r="AG484">
        <f>--(AE484=C484)</f>
        <v/>
      </c>
    </row>
    <row r="485">
      <c r="A485">
        <f>BreastCancer_Data!A485</f>
        <v/>
      </c>
      <c r="B485">
        <f>BreastCancer_Data!B485</f>
        <v/>
      </c>
      <c r="C485">
        <f>BreastCancer_Data!D485</f>
        <v/>
      </c>
      <c r="D485">
        <f>BreastCancer_Data!E485</f>
        <v/>
      </c>
      <c r="E485">
        <f>BreastCancer_Data!F485</f>
        <v/>
      </c>
      <c r="F485">
        <f>BreastCancer_Data!G485</f>
        <v/>
      </c>
      <c r="G485">
        <f>BreastCancer_Data!H485</f>
        <v/>
      </c>
      <c r="H485">
        <f>BreastCancer_Data!I485</f>
        <v/>
      </c>
      <c r="I485">
        <f>BreastCancer_Data!J485</f>
        <v/>
      </c>
      <c r="J485">
        <f>BreastCancer_Data!K485</f>
        <v/>
      </c>
      <c r="K485">
        <f>BreastCancer_Data!L485</f>
        <v/>
      </c>
      <c r="L485">
        <f>BreastCancer_Data!M485</f>
        <v/>
      </c>
      <c r="M485">
        <f>BreastCancer_Data!N485</f>
        <v/>
      </c>
      <c r="N485">
        <f>BreastCancer_Data!O485</f>
        <v/>
      </c>
      <c r="O485">
        <f>0</f>
        <v/>
      </c>
      <c r="P485">
        <f>--(AND(D485&lt;=113.15,E485&lt;=0.15,F485&lt;=15.77,G485&lt;=0.18,H485&lt;=33.27))*0</f>
        <v/>
      </c>
      <c r="Q485">
        <f>--(AND(D485&lt;=113.15,E485&lt;=0.15,F485&lt;=15.77,G485&lt;=0.18,H485&gt;33.27))*0</f>
        <v/>
      </c>
      <c r="R485">
        <f>--(AND(D485&lt;=113.15,E485&lt;=0.15,F485&lt;=15.77,G485&gt;0.18))*0</f>
        <v/>
      </c>
      <c r="S485">
        <f>--(AND(D485&lt;=113.15,E485&lt;=0.15,F485&gt;15.77,H485&lt;=28.86,G485&lt;=0.14))*0</f>
        <v/>
      </c>
      <c r="T485">
        <f>--(AND(D485&lt;=113.15,E485&lt;=0.15,F485&gt;15.77,H485&lt;=28.86,G485&gt;0.14))*1</f>
        <v/>
      </c>
      <c r="U485">
        <f>--(AND(D485&lt;=113.15,E485&lt;=0.15,F485&gt;15.77,H485&gt;28.86,M485&lt;=14.54))*1</f>
        <v/>
      </c>
      <c r="V485">
        <f>--(AND(D485&lt;=113.15,E485&lt;=0.15,F485&gt;15.77,H485&gt;28.86,M485&gt;14.54))*1</f>
        <v/>
      </c>
      <c r="W485">
        <f>--(AND(D485&lt;=113.15,E485&gt;0.15,H485&lt;=23.74))*0</f>
        <v/>
      </c>
      <c r="X485">
        <f>--(AND(D485&lt;=113.15,E485&gt;0.15,H485&gt;23.74,J485&lt;=0.1))*1</f>
        <v/>
      </c>
      <c r="Y485">
        <f>--(AND(D485&lt;=113.15,E485&gt;0.15,H485&gt;23.74,J485&gt;0.1))*1</f>
        <v/>
      </c>
      <c r="Z485">
        <f>--(AND(D485&gt;113.15,K485&lt;=0.22,L485&lt;=0.02))*1</f>
        <v/>
      </c>
      <c r="AA485">
        <f>--(AND(D485&gt;113.15,K485&lt;=0.22,L485&gt;0.02))*0</f>
        <v/>
      </c>
      <c r="AB485">
        <f>--(AND(D485&gt;113.15,K485&gt;0.22,N485&lt;=810.1))*0</f>
        <v/>
      </c>
      <c r="AC485">
        <f>--(AND(D485&gt;113.15,K485&gt;0.22,N485&gt;810.1,I485&lt;=14.95))*1</f>
        <v/>
      </c>
      <c r="AD485">
        <f>--(AND(D485&gt;113.15,K485&gt;0.22,N485&gt;810.1,I485&gt;14.95))*1</f>
        <v/>
      </c>
      <c r="AE485">
        <f>SUM(P485:AD485)</f>
        <v/>
      </c>
      <c r="AF485">
        <f>IF(AE485=1,"Malignant","Benign")</f>
        <v/>
      </c>
      <c r="AG485">
        <f>--(AE485=C485)</f>
        <v/>
      </c>
    </row>
    <row r="486">
      <c r="A486">
        <f>BreastCancer_Data!A486</f>
        <v/>
      </c>
      <c r="B486">
        <f>BreastCancer_Data!B486</f>
        <v/>
      </c>
      <c r="C486">
        <f>BreastCancer_Data!D486</f>
        <v/>
      </c>
      <c r="D486">
        <f>BreastCancer_Data!E486</f>
        <v/>
      </c>
      <c r="E486">
        <f>BreastCancer_Data!F486</f>
        <v/>
      </c>
      <c r="F486">
        <f>BreastCancer_Data!G486</f>
        <v/>
      </c>
      <c r="G486">
        <f>BreastCancer_Data!H486</f>
        <v/>
      </c>
      <c r="H486">
        <f>BreastCancer_Data!I486</f>
        <v/>
      </c>
      <c r="I486">
        <f>BreastCancer_Data!J486</f>
        <v/>
      </c>
      <c r="J486">
        <f>BreastCancer_Data!K486</f>
        <v/>
      </c>
      <c r="K486">
        <f>BreastCancer_Data!L486</f>
        <v/>
      </c>
      <c r="L486">
        <f>BreastCancer_Data!M486</f>
        <v/>
      </c>
      <c r="M486">
        <f>BreastCancer_Data!N486</f>
        <v/>
      </c>
      <c r="N486">
        <f>BreastCancer_Data!O486</f>
        <v/>
      </c>
      <c r="O486">
        <f>0</f>
        <v/>
      </c>
      <c r="P486">
        <f>--(AND(D486&lt;=113.15,E486&lt;=0.15,F486&lt;=15.77,G486&lt;=0.18,H486&lt;=33.27))*0</f>
        <v/>
      </c>
      <c r="Q486">
        <f>--(AND(D486&lt;=113.15,E486&lt;=0.15,F486&lt;=15.77,G486&lt;=0.18,H486&gt;33.27))*0</f>
        <v/>
      </c>
      <c r="R486">
        <f>--(AND(D486&lt;=113.15,E486&lt;=0.15,F486&lt;=15.77,G486&gt;0.18))*0</f>
        <v/>
      </c>
      <c r="S486">
        <f>--(AND(D486&lt;=113.15,E486&lt;=0.15,F486&gt;15.77,H486&lt;=28.86,G486&lt;=0.14))*0</f>
        <v/>
      </c>
      <c r="T486">
        <f>--(AND(D486&lt;=113.15,E486&lt;=0.15,F486&gt;15.77,H486&lt;=28.86,G486&gt;0.14))*1</f>
        <v/>
      </c>
      <c r="U486">
        <f>--(AND(D486&lt;=113.15,E486&lt;=0.15,F486&gt;15.77,H486&gt;28.86,M486&lt;=14.54))*1</f>
        <v/>
      </c>
      <c r="V486">
        <f>--(AND(D486&lt;=113.15,E486&lt;=0.15,F486&gt;15.77,H486&gt;28.86,M486&gt;14.54))*1</f>
        <v/>
      </c>
      <c r="W486">
        <f>--(AND(D486&lt;=113.15,E486&gt;0.15,H486&lt;=23.74))*0</f>
        <v/>
      </c>
      <c r="X486">
        <f>--(AND(D486&lt;=113.15,E486&gt;0.15,H486&gt;23.74,J486&lt;=0.1))*1</f>
        <v/>
      </c>
      <c r="Y486">
        <f>--(AND(D486&lt;=113.15,E486&gt;0.15,H486&gt;23.74,J486&gt;0.1))*1</f>
        <v/>
      </c>
      <c r="Z486">
        <f>--(AND(D486&gt;113.15,K486&lt;=0.22,L486&lt;=0.02))*1</f>
        <v/>
      </c>
      <c r="AA486">
        <f>--(AND(D486&gt;113.15,K486&lt;=0.22,L486&gt;0.02))*0</f>
        <v/>
      </c>
      <c r="AB486">
        <f>--(AND(D486&gt;113.15,K486&gt;0.22,N486&lt;=810.1))*0</f>
        <v/>
      </c>
      <c r="AC486">
        <f>--(AND(D486&gt;113.15,K486&gt;0.22,N486&gt;810.1,I486&lt;=14.95))*1</f>
        <v/>
      </c>
      <c r="AD486">
        <f>--(AND(D486&gt;113.15,K486&gt;0.22,N486&gt;810.1,I486&gt;14.95))*1</f>
        <v/>
      </c>
      <c r="AE486">
        <f>SUM(P486:AD486)</f>
        <v/>
      </c>
      <c r="AF486">
        <f>IF(AE486=1,"Malignant","Benign")</f>
        <v/>
      </c>
      <c r="AG486">
        <f>--(AE486=C486)</f>
        <v/>
      </c>
    </row>
    <row r="487">
      <c r="A487">
        <f>BreastCancer_Data!A487</f>
        <v/>
      </c>
      <c r="B487">
        <f>BreastCancer_Data!B487</f>
        <v/>
      </c>
      <c r="C487">
        <f>BreastCancer_Data!D487</f>
        <v/>
      </c>
      <c r="D487">
        <f>BreastCancer_Data!E487</f>
        <v/>
      </c>
      <c r="E487">
        <f>BreastCancer_Data!F487</f>
        <v/>
      </c>
      <c r="F487">
        <f>BreastCancer_Data!G487</f>
        <v/>
      </c>
      <c r="G487">
        <f>BreastCancer_Data!H487</f>
        <v/>
      </c>
      <c r="H487">
        <f>BreastCancer_Data!I487</f>
        <v/>
      </c>
      <c r="I487">
        <f>BreastCancer_Data!J487</f>
        <v/>
      </c>
      <c r="J487">
        <f>BreastCancer_Data!K487</f>
        <v/>
      </c>
      <c r="K487">
        <f>BreastCancer_Data!L487</f>
        <v/>
      </c>
      <c r="L487">
        <f>BreastCancer_Data!M487</f>
        <v/>
      </c>
      <c r="M487">
        <f>BreastCancer_Data!N487</f>
        <v/>
      </c>
      <c r="N487">
        <f>BreastCancer_Data!O487</f>
        <v/>
      </c>
      <c r="O487">
        <f>0</f>
        <v/>
      </c>
      <c r="P487">
        <f>--(AND(D487&lt;=113.15,E487&lt;=0.15,F487&lt;=15.77,G487&lt;=0.18,H487&lt;=33.27))*0</f>
        <v/>
      </c>
      <c r="Q487">
        <f>--(AND(D487&lt;=113.15,E487&lt;=0.15,F487&lt;=15.77,G487&lt;=0.18,H487&gt;33.27))*0</f>
        <v/>
      </c>
      <c r="R487">
        <f>--(AND(D487&lt;=113.15,E487&lt;=0.15,F487&lt;=15.77,G487&gt;0.18))*0</f>
        <v/>
      </c>
      <c r="S487">
        <f>--(AND(D487&lt;=113.15,E487&lt;=0.15,F487&gt;15.77,H487&lt;=28.86,G487&lt;=0.14))*0</f>
        <v/>
      </c>
      <c r="T487">
        <f>--(AND(D487&lt;=113.15,E487&lt;=0.15,F487&gt;15.77,H487&lt;=28.86,G487&gt;0.14))*1</f>
        <v/>
      </c>
      <c r="U487">
        <f>--(AND(D487&lt;=113.15,E487&lt;=0.15,F487&gt;15.77,H487&gt;28.86,M487&lt;=14.54))*1</f>
        <v/>
      </c>
      <c r="V487">
        <f>--(AND(D487&lt;=113.15,E487&lt;=0.15,F487&gt;15.77,H487&gt;28.86,M487&gt;14.54))*1</f>
        <v/>
      </c>
      <c r="W487">
        <f>--(AND(D487&lt;=113.15,E487&gt;0.15,H487&lt;=23.74))*0</f>
        <v/>
      </c>
      <c r="X487">
        <f>--(AND(D487&lt;=113.15,E487&gt;0.15,H487&gt;23.74,J487&lt;=0.1))*1</f>
        <v/>
      </c>
      <c r="Y487">
        <f>--(AND(D487&lt;=113.15,E487&gt;0.15,H487&gt;23.74,J487&gt;0.1))*1</f>
        <v/>
      </c>
      <c r="Z487">
        <f>--(AND(D487&gt;113.15,K487&lt;=0.22,L487&lt;=0.02))*1</f>
        <v/>
      </c>
      <c r="AA487">
        <f>--(AND(D487&gt;113.15,K487&lt;=0.22,L487&gt;0.02))*0</f>
        <v/>
      </c>
      <c r="AB487">
        <f>--(AND(D487&gt;113.15,K487&gt;0.22,N487&lt;=810.1))*0</f>
        <v/>
      </c>
      <c r="AC487">
        <f>--(AND(D487&gt;113.15,K487&gt;0.22,N487&gt;810.1,I487&lt;=14.95))*1</f>
        <v/>
      </c>
      <c r="AD487">
        <f>--(AND(D487&gt;113.15,K487&gt;0.22,N487&gt;810.1,I487&gt;14.95))*1</f>
        <v/>
      </c>
      <c r="AE487">
        <f>SUM(P487:AD487)</f>
        <v/>
      </c>
      <c r="AF487">
        <f>IF(AE487=1,"Malignant","Benign")</f>
        <v/>
      </c>
      <c r="AG487">
        <f>--(AE487=C487)</f>
        <v/>
      </c>
    </row>
    <row r="488">
      <c r="A488">
        <f>BreastCancer_Data!A488</f>
        <v/>
      </c>
      <c r="B488">
        <f>BreastCancer_Data!B488</f>
        <v/>
      </c>
      <c r="C488">
        <f>BreastCancer_Data!D488</f>
        <v/>
      </c>
      <c r="D488">
        <f>BreastCancer_Data!E488</f>
        <v/>
      </c>
      <c r="E488">
        <f>BreastCancer_Data!F488</f>
        <v/>
      </c>
      <c r="F488">
        <f>BreastCancer_Data!G488</f>
        <v/>
      </c>
      <c r="G488">
        <f>BreastCancer_Data!H488</f>
        <v/>
      </c>
      <c r="H488">
        <f>BreastCancer_Data!I488</f>
        <v/>
      </c>
      <c r="I488">
        <f>BreastCancer_Data!J488</f>
        <v/>
      </c>
      <c r="J488">
        <f>BreastCancer_Data!K488</f>
        <v/>
      </c>
      <c r="K488">
        <f>BreastCancer_Data!L488</f>
        <v/>
      </c>
      <c r="L488">
        <f>BreastCancer_Data!M488</f>
        <v/>
      </c>
      <c r="M488">
        <f>BreastCancer_Data!N488</f>
        <v/>
      </c>
      <c r="N488">
        <f>BreastCancer_Data!O488</f>
        <v/>
      </c>
      <c r="O488">
        <f>0</f>
        <v/>
      </c>
      <c r="P488">
        <f>--(AND(D488&lt;=113.15,E488&lt;=0.15,F488&lt;=15.77,G488&lt;=0.18,H488&lt;=33.27))*0</f>
        <v/>
      </c>
      <c r="Q488">
        <f>--(AND(D488&lt;=113.15,E488&lt;=0.15,F488&lt;=15.77,G488&lt;=0.18,H488&gt;33.27))*0</f>
        <v/>
      </c>
      <c r="R488">
        <f>--(AND(D488&lt;=113.15,E488&lt;=0.15,F488&lt;=15.77,G488&gt;0.18))*0</f>
        <v/>
      </c>
      <c r="S488">
        <f>--(AND(D488&lt;=113.15,E488&lt;=0.15,F488&gt;15.77,H488&lt;=28.86,G488&lt;=0.14))*0</f>
        <v/>
      </c>
      <c r="T488">
        <f>--(AND(D488&lt;=113.15,E488&lt;=0.15,F488&gt;15.77,H488&lt;=28.86,G488&gt;0.14))*1</f>
        <v/>
      </c>
      <c r="U488">
        <f>--(AND(D488&lt;=113.15,E488&lt;=0.15,F488&gt;15.77,H488&gt;28.86,M488&lt;=14.54))*1</f>
        <v/>
      </c>
      <c r="V488">
        <f>--(AND(D488&lt;=113.15,E488&lt;=0.15,F488&gt;15.77,H488&gt;28.86,M488&gt;14.54))*1</f>
        <v/>
      </c>
      <c r="W488">
        <f>--(AND(D488&lt;=113.15,E488&gt;0.15,H488&lt;=23.74))*0</f>
        <v/>
      </c>
      <c r="X488">
        <f>--(AND(D488&lt;=113.15,E488&gt;0.15,H488&gt;23.74,J488&lt;=0.1))*1</f>
        <v/>
      </c>
      <c r="Y488">
        <f>--(AND(D488&lt;=113.15,E488&gt;0.15,H488&gt;23.74,J488&gt;0.1))*1</f>
        <v/>
      </c>
      <c r="Z488">
        <f>--(AND(D488&gt;113.15,K488&lt;=0.22,L488&lt;=0.02))*1</f>
        <v/>
      </c>
      <c r="AA488">
        <f>--(AND(D488&gt;113.15,K488&lt;=0.22,L488&gt;0.02))*0</f>
        <v/>
      </c>
      <c r="AB488">
        <f>--(AND(D488&gt;113.15,K488&gt;0.22,N488&lt;=810.1))*0</f>
        <v/>
      </c>
      <c r="AC488">
        <f>--(AND(D488&gt;113.15,K488&gt;0.22,N488&gt;810.1,I488&lt;=14.95))*1</f>
        <v/>
      </c>
      <c r="AD488">
        <f>--(AND(D488&gt;113.15,K488&gt;0.22,N488&gt;810.1,I488&gt;14.95))*1</f>
        <v/>
      </c>
      <c r="AE488">
        <f>SUM(P488:AD488)</f>
        <v/>
      </c>
      <c r="AF488">
        <f>IF(AE488=1,"Malignant","Benign")</f>
        <v/>
      </c>
      <c r="AG488">
        <f>--(AE488=C488)</f>
        <v/>
      </c>
    </row>
    <row r="489">
      <c r="A489">
        <f>BreastCancer_Data!A489</f>
        <v/>
      </c>
      <c r="B489">
        <f>BreastCancer_Data!B489</f>
        <v/>
      </c>
      <c r="C489">
        <f>BreastCancer_Data!D489</f>
        <v/>
      </c>
      <c r="D489">
        <f>BreastCancer_Data!E489</f>
        <v/>
      </c>
      <c r="E489">
        <f>BreastCancer_Data!F489</f>
        <v/>
      </c>
      <c r="F489">
        <f>BreastCancer_Data!G489</f>
        <v/>
      </c>
      <c r="G489">
        <f>BreastCancer_Data!H489</f>
        <v/>
      </c>
      <c r="H489">
        <f>BreastCancer_Data!I489</f>
        <v/>
      </c>
      <c r="I489">
        <f>BreastCancer_Data!J489</f>
        <v/>
      </c>
      <c r="J489">
        <f>BreastCancer_Data!K489</f>
        <v/>
      </c>
      <c r="K489">
        <f>BreastCancer_Data!L489</f>
        <v/>
      </c>
      <c r="L489">
        <f>BreastCancer_Data!M489</f>
        <v/>
      </c>
      <c r="M489">
        <f>BreastCancer_Data!N489</f>
        <v/>
      </c>
      <c r="N489">
        <f>BreastCancer_Data!O489</f>
        <v/>
      </c>
      <c r="O489">
        <f>0</f>
        <v/>
      </c>
      <c r="P489">
        <f>--(AND(D489&lt;=113.15,E489&lt;=0.15,F489&lt;=15.77,G489&lt;=0.18,H489&lt;=33.27))*0</f>
        <v/>
      </c>
      <c r="Q489">
        <f>--(AND(D489&lt;=113.15,E489&lt;=0.15,F489&lt;=15.77,G489&lt;=0.18,H489&gt;33.27))*0</f>
        <v/>
      </c>
      <c r="R489">
        <f>--(AND(D489&lt;=113.15,E489&lt;=0.15,F489&lt;=15.77,G489&gt;0.18))*0</f>
        <v/>
      </c>
      <c r="S489">
        <f>--(AND(D489&lt;=113.15,E489&lt;=0.15,F489&gt;15.77,H489&lt;=28.86,G489&lt;=0.14))*0</f>
        <v/>
      </c>
      <c r="T489">
        <f>--(AND(D489&lt;=113.15,E489&lt;=0.15,F489&gt;15.77,H489&lt;=28.86,G489&gt;0.14))*1</f>
        <v/>
      </c>
      <c r="U489">
        <f>--(AND(D489&lt;=113.15,E489&lt;=0.15,F489&gt;15.77,H489&gt;28.86,M489&lt;=14.54))*1</f>
        <v/>
      </c>
      <c r="V489">
        <f>--(AND(D489&lt;=113.15,E489&lt;=0.15,F489&gt;15.77,H489&gt;28.86,M489&gt;14.54))*1</f>
        <v/>
      </c>
      <c r="W489">
        <f>--(AND(D489&lt;=113.15,E489&gt;0.15,H489&lt;=23.74))*0</f>
        <v/>
      </c>
      <c r="X489">
        <f>--(AND(D489&lt;=113.15,E489&gt;0.15,H489&gt;23.74,J489&lt;=0.1))*1</f>
        <v/>
      </c>
      <c r="Y489">
        <f>--(AND(D489&lt;=113.15,E489&gt;0.15,H489&gt;23.74,J489&gt;0.1))*1</f>
        <v/>
      </c>
      <c r="Z489">
        <f>--(AND(D489&gt;113.15,K489&lt;=0.22,L489&lt;=0.02))*1</f>
        <v/>
      </c>
      <c r="AA489">
        <f>--(AND(D489&gt;113.15,K489&lt;=0.22,L489&gt;0.02))*0</f>
        <v/>
      </c>
      <c r="AB489">
        <f>--(AND(D489&gt;113.15,K489&gt;0.22,N489&lt;=810.1))*0</f>
        <v/>
      </c>
      <c r="AC489">
        <f>--(AND(D489&gt;113.15,K489&gt;0.22,N489&gt;810.1,I489&lt;=14.95))*1</f>
        <v/>
      </c>
      <c r="AD489">
        <f>--(AND(D489&gt;113.15,K489&gt;0.22,N489&gt;810.1,I489&gt;14.95))*1</f>
        <v/>
      </c>
      <c r="AE489">
        <f>SUM(P489:AD489)</f>
        <v/>
      </c>
      <c r="AF489">
        <f>IF(AE489=1,"Malignant","Benign")</f>
        <v/>
      </c>
      <c r="AG489">
        <f>--(AE489=C489)</f>
        <v/>
      </c>
    </row>
    <row r="490">
      <c r="A490">
        <f>BreastCancer_Data!A490</f>
        <v/>
      </c>
      <c r="B490">
        <f>BreastCancer_Data!B490</f>
        <v/>
      </c>
      <c r="C490">
        <f>BreastCancer_Data!D490</f>
        <v/>
      </c>
      <c r="D490">
        <f>BreastCancer_Data!E490</f>
        <v/>
      </c>
      <c r="E490">
        <f>BreastCancer_Data!F490</f>
        <v/>
      </c>
      <c r="F490">
        <f>BreastCancer_Data!G490</f>
        <v/>
      </c>
      <c r="G490">
        <f>BreastCancer_Data!H490</f>
        <v/>
      </c>
      <c r="H490">
        <f>BreastCancer_Data!I490</f>
        <v/>
      </c>
      <c r="I490">
        <f>BreastCancer_Data!J490</f>
        <v/>
      </c>
      <c r="J490">
        <f>BreastCancer_Data!K490</f>
        <v/>
      </c>
      <c r="K490">
        <f>BreastCancer_Data!L490</f>
        <v/>
      </c>
      <c r="L490">
        <f>BreastCancer_Data!M490</f>
        <v/>
      </c>
      <c r="M490">
        <f>BreastCancer_Data!N490</f>
        <v/>
      </c>
      <c r="N490">
        <f>BreastCancer_Data!O490</f>
        <v/>
      </c>
      <c r="O490">
        <f>0</f>
        <v/>
      </c>
      <c r="P490">
        <f>--(AND(D490&lt;=113.15,E490&lt;=0.15,F490&lt;=15.77,G490&lt;=0.18,H490&lt;=33.27))*0</f>
        <v/>
      </c>
      <c r="Q490">
        <f>--(AND(D490&lt;=113.15,E490&lt;=0.15,F490&lt;=15.77,G490&lt;=0.18,H490&gt;33.27))*0</f>
        <v/>
      </c>
      <c r="R490">
        <f>--(AND(D490&lt;=113.15,E490&lt;=0.15,F490&lt;=15.77,G490&gt;0.18))*0</f>
        <v/>
      </c>
      <c r="S490">
        <f>--(AND(D490&lt;=113.15,E490&lt;=0.15,F490&gt;15.77,H490&lt;=28.86,G490&lt;=0.14))*0</f>
        <v/>
      </c>
      <c r="T490">
        <f>--(AND(D490&lt;=113.15,E490&lt;=0.15,F490&gt;15.77,H490&lt;=28.86,G490&gt;0.14))*1</f>
        <v/>
      </c>
      <c r="U490">
        <f>--(AND(D490&lt;=113.15,E490&lt;=0.15,F490&gt;15.77,H490&gt;28.86,M490&lt;=14.54))*1</f>
        <v/>
      </c>
      <c r="V490">
        <f>--(AND(D490&lt;=113.15,E490&lt;=0.15,F490&gt;15.77,H490&gt;28.86,M490&gt;14.54))*1</f>
        <v/>
      </c>
      <c r="W490">
        <f>--(AND(D490&lt;=113.15,E490&gt;0.15,H490&lt;=23.74))*0</f>
        <v/>
      </c>
      <c r="X490">
        <f>--(AND(D490&lt;=113.15,E490&gt;0.15,H490&gt;23.74,J490&lt;=0.1))*1</f>
        <v/>
      </c>
      <c r="Y490">
        <f>--(AND(D490&lt;=113.15,E490&gt;0.15,H490&gt;23.74,J490&gt;0.1))*1</f>
        <v/>
      </c>
      <c r="Z490">
        <f>--(AND(D490&gt;113.15,K490&lt;=0.22,L490&lt;=0.02))*1</f>
        <v/>
      </c>
      <c r="AA490">
        <f>--(AND(D490&gt;113.15,K490&lt;=0.22,L490&gt;0.02))*0</f>
        <v/>
      </c>
      <c r="AB490">
        <f>--(AND(D490&gt;113.15,K490&gt;0.22,N490&lt;=810.1))*0</f>
        <v/>
      </c>
      <c r="AC490">
        <f>--(AND(D490&gt;113.15,K490&gt;0.22,N490&gt;810.1,I490&lt;=14.95))*1</f>
        <v/>
      </c>
      <c r="AD490">
        <f>--(AND(D490&gt;113.15,K490&gt;0.22,N490&gt;810.1,I490&gt;14.95))*1</f>
        <v/>
      </c>
      <c r="AE490">
        <f>SUM(P490:AD490)</f>
        <v/>
      </c>
      <c r="AF490">
        <f>IF(AE490=1,"Malignant","Benign")</f>
        <v/>
      </c>
      <c r="AG490">
        <f>--(AE490=C490)</f>
        <v/>
      </c>
    </row>
    <row r="491">
      <c r="A491">
        <f>BreastCancer_Data!A491</f>
        <v/>
      </c>
      <c r="B491">
        <f>BreastCancer_Data!B491</f>
        <v/>
      </c>
      <c r="C491">
        <f>BreastCancer_Data!D491</f>
        <v/>
      </c>
      <c r="D491">
        <f>BreastCancer_Data!E491</f>
        <v/>
      </c>
      <c r="E491">
        <f>BreastCancer_Data!F491</f>
        <v/>
      </c>
      <c r="F491">
        <f>BreastCancer_Data!G491</f>
        <v/>
      </c>
      <c r="G491">
        <f>BreastCancer_Data!H491</f>
        <v/>
      </c>
      <c r="H491">
        <f>BreastCancer_Data!I491</f>
        <v/>
      </c>
      <c r="I491">
        <f>BreastCancer_Data!J491</f>
        <v/>
      </c>
      <c r="J491">
        <f>BreastCancer_Data!K491</f>
        <v/>
      </c>
      <c r="K491">
        <f>BreastCancer_Data!L491</f>
        <v/>
      </c>
      <c r="L491">
        <f>BreastCancer_Data!M491</f>
        <v/>
      </c>
      <c r="M491">
        <f>BreastCancer_Data!N491</f>
        <v/>
      </c>
      <c r="N491">
        <f>BreastCancer_Data!O491</f>
        <v/>
      </c>
      <c r="O491">
        <f>0</f>
        <v/>
      </c>
      <c r="P491">
        <f>--(AND(D491&lt;=113.15,E491&lt;=0.15,F491&lt;=15.77,G491&lt;=0.18,H491&lt;=33.27))*0</f>
        <v/>
      </c>
      <c r="Q491">
        <f>--(AND(D491&lt;=113.15,E491&lt;=0.15,F491&lt;=15.77,G491&lt;=0.18,H491&gt;33.27))*0</f>
        <v/>
      </c>
      <c r="R491">
        <f>--(AND(D491&lt;=113.15,E491&lt;=0.15,F491&lt;=15.77,G491&gt;0.18))*0</f>
        <v/>
      </c>
      <c r="S491">
        <f>--(AND(D491&lt;=113.15,E491&lt;=0.15,F491&gt;15.77,H491&lt;=28.86,G491&lt;=0.14))*0</f>
        <v/>
      </c>
      <c r="T491">
        <f>--(AND(D491&lt;=113.15,E491&lt;=0.15,F491&gt;15.77,H491&lt;=28.86,G491&gt;0.14))*1</f>
        <v/>
      </c>
      <c r="U491">
        <f>--(AND(D491&lt;=113.15,E491&lt;=0.15,F491&gt;15.77,H491&gt;28.86,M491&lt;=14.54))*1</f>
        <v/>
      </c>
      <c r="V491">
        <f>--(AND(D491&lt;=113.15,E491&lt;=0.15,F491&gt;15.77,H491&gt;28.86,M491&gt;14.54))*1</f>
        <v/>
      </c>
      <c r="W491">
        <f>--(AND(D491&lt;=113.15,E491&gt;0.15,H491&lt;=23.74))*0</f>
        <v/>
      </c>
      <c r="X491">
        <f>--(AND(D491&lt;=113.15,E491&gt;0.15,H491&gt;23.74,J491&lt;=0.1))*1</f>
        <v/>
      </c>
      <c r="Y491">
        <f>--(AND(D491&lt;=113.15,E491&gt;0.15,H491&gt;23.74,J491&gt;0.1))*1</f>
        <v/>
      </c>
      <c r="Z491">
        <f>--(AND(D491&gt;113.15,K491&lt;=0.22,L491&lt;=0.02))*1</f>
        <v/>
      </c>
      <c r="AA491">
        <f>--(AND(D491&gt;113.15,K491&lt;=0.22,L491&gt;0.02))*0</f>
        <v/>
      </c>
      <c r="AB491">
        <f>--(AND(D491&gt;113.15,K491&gt;0.22,N491&lt;=810.1))*0</f>
        <v/>
      </c>
      <c r="AC491">
        <f>--(AND(D491&gt;113.15,K491&gt;0.22,N491&gt;810.1,I491&lt;=14.95))*1</f>
        <v/>
      </c>
      <c r="AD491">
        <f>--(AND(D491&gt;113.15,K491&gt;0.22,N491&gt;810.1,I491&gt;14.95))*1</f>
        <v/>
      </c>
      <c r="AE491">
        <f>SUM(P491:AD491)</f>
        <v/>
      </c>
      <c r="AF491">
        <f>IF(AE491=1,"Malignant","Benign")</f>
        <v/>
      </c>
      <c r="AG491">
        <f>--(AE491=C491)</f>
        <v/>
      </c>
    </row>
    <row r="492">
      <c r="A492">
        <f>BreastCancer_Data!A492</f>
        <v/>
      </c>
      <c r="B492">
        <f>BreastCancer_Data!B492</f>
        <v/>
      </c>
      <c r="C492">
        <f>BreastCancer_Data!D492</f>
        <v/>
      </c>
      <c r="D492">
        <f>BreastCancer_Data!E492</f>
        <v/>
      </c>
      <c r="E492">
        <f>BreastCancer_Data!F492</f>
        <v/>
      </c>
      <c r="F492">
        <f>BreastCancer_Data!G492</f>
        <v/>
      </c>
      <c r="G492">
        <f>BreastCancer_Data!H492</f>
        <v/>
      </c>
      <c r="H492">
        <f>BreastCancer_Data!I492</f>
        <v/>
      </c>
      <c r="I492">
        <f>BreastCancer_Data!J492</f>
        <v/>
      </c>
      <c r="J492">
        <f>BreastCancer_Data!K492</f>
        <v/>
      </c>
      <c r="K492">
        <f>BreastCancer_Data!L492</f>
        <v/>
      </c>
      <c r="L492">
        <f>BreastCancer_Data!M492</f>
        <v/>
      </c>
      <c r="M492">
        <f>BreastCancer_Data!N492</f>
        <v/>
      </c>
      <c r="N492">
        <f>BreastCancer_Data!O492</f>
        <v/>
      </c>
      <c r="O492">
        <f>0</f>
        <v/>
      </c>
      <c r="P492">
        <f>--(AND(D492&lt;=113.15,E492&lt;=0.15,F492&lt;=15.77,G492&lt;=0.18,H492&lt;=33.27))*0</f>
        <v/>
      </c>
      <c r="Q492">
        <f>--(AND(D492&lt;=113.15,E492&lt;=0.15,F492&lt;=15.77,G492&lt;=0.18,H492&gt;33.27))*0</f>
        <v/>
      </c>
      <c r="R492">
        <f>--(AND(D492&lt;=113.15,E492&lt;=0.15,F492&lt;=15.77,G492&gt;0.18))*0</f>
        <v/>
      </c>
      <c r="S492">
        <f>--(AND(D492&lt;=113.15,E492&lt;=0.15,F492&gt;15.77,H492&lt;=28.86,G492&lt;=0.14))*0</f>
        <v/>
      </c>
      <c r="T492">
        <f>--(AND(D492&lt;=113.15,E492&lt;=0.15,F492&gt;15.77,H492&lt;=28.86,G492&gt;0.14))*1</f>
        <v/>
      </c>
      <c r="U492">
        <f>--(AND(D492&lt;=113.15,E492&lt;=0.15,F492&gt;15.77,H492&gt;28.86,M492&lt;=14.54))*1</f>
        <v/>
      </c>
      <c r="V492">
        <f>--(AND(D492&lt;=113.15,E492&lt;=0.15,F492&gt;15.77,H492&gt;28.86,M492&gt;14.54))*1</f>
        <v/>
      </c>
      <c r="W492">
        <f>--(AND(D492&lt;=113.15,E492&gt;0.15,H492&lt;=23.74))*0</f>
        <v/>
      </c>
      <c r="X492">
        <f>--(AND(D492&lt;=113.15,E492&gt;0.15,H492&gt;23.74,J492&lt;=0.1))*1</f>
        <v/>
      </c>
      <c r="Y492">
        <f>--(AND(D492&lt;=113.15,E492&gt;0.15,H492&gt;23.74,J492&gt;0.1))*1</f>
        <v/>
      </c>
      <c r="Z492">
        <f>--(AND(D492&gt;113.15,K492&lt;=0.22,L492&lt;=0.02))*1</f>
        <v/>
      </c>
      <c r="AA492">
        <f>--(AND(D492&gt;113.15,K492&lt;=0.22,L492&gt;0.02))*0</f>
        <v/>
      </c>
      <c r="AB492">
        <f>--(AND(D492&gt;113.15,K492&gt;0.22,N492&lt;=810.1))*0</f>
        <v/>
      </c>
      <c r="AC492">
        <f>--(AND(D492&gt;113.15,K492&gt;0.22,N492&gt;810.1,I492&lt;=14.95))*1</f>
        <v/>
      </c>
      <c r="AD492">
        <f>--(AND(D492&gt;113.15,K492&gt;0.22,N492&gt;810.1,I492&gt;14.95))*1</f>
        <v/>
      </c>
      <c r="AE492">
        <f>SUM(P492:AD492)</f>
        <v/>
      </c>
      <c r="AF492">
        <f>IF(AE492=1,"Malignant","Benign")</f>
        <v/>
      </c>
      <c r="AG492">
        <f>--(AE492=C492)</f>
        <v/>
      </c>
    </row>
    <row r="493">
      <c r="A493">
        <f>BreastCancer_Data!A493</f>
        <v/>
      </c>
      <c r="B493">
        <f>BreastCancer_Data!B493</f>
        <v/>
      </c>
      <c r="C493">
        <f>BreastCancer_Data!D493</f>
        <v/>
      </c>
      <c r="D493">
        <f>BreastCancer_Data!E493</f>
        <v/>
      </c>
      <c r="E493">
        <f>BreastCancer_Data!F493</f>
        <v/>
      </c>
      <c r="F493">
        <f>BreastCancer_Data!G493</f>
        <v/>
      </c>
      <c r="G493">
        <f>BreastCancer_Data!H493</f>
        <v/>
      </c>
      <c r="H493">
        <f>BreastCancer_Data!I493</f>
        <v/>
      </c>
      <c r="I493">
        <f>BreastCancer_Data!J493</f>
        <v/>
      </c>
      <c r="J493">
        <f>BreastCancer_Data!K493</f>
        <v/>
      </c>
      <c r="K493">
        <f>BreastCancer_Data!L493</f>
        <v/>
      </c>
      <c r="L493">
        <f>BreastCancer_Data!M493</f>
        <v/>
      </c>
      <c r="M493">
        <f>BreastCancer_Data!N493</f>
        <v/>
      </c>
      <c r="N493">
        <f>BreastCancer_Data!O493</f>
        <v/>
      </c>
      <c r="O493">
        <f>0</f>
        <v/>
      </c>
      <c r="P493">
        <f>--(AND(D493&lt;=113.15,E493&lt;=0.15,F493&lt;=15.77,G493&lt;=0.18,H493&lt;=33.27))*0</f>
        <v/>
      </c>
      <c r="Q493">
        <f>--(AND(D493&lt;=113.15,E493&lt;=0.15,F493&lt;=15.77,G493&lt;=0.18,H493&gt;33.27))*0</f>
        <v/>
      </c>
      <c r="R493">
        <f>--(AND(D493&lt;=113.15,E493&lt;=0.15,F493&lt;=15.77,G493&gt;0.18))*0</f>
        <v/>
      </c>
      <c r="S493">
        <f>--(AND(D493&lt;=113.15,E493&lt;=0.15,F493&gt;15.77,H493&lt;=28.86,G493&lt;=0.14))*0</f>
        <v/>
      </c>
      <c r="T493">
        <f>--(AND(D493&lt;=113.15,E493&lt;=0.15,F493&gt;15.77,H493&lt;=28.86,G493&gt;0.14))*1</f>
        <v/>
      </c>
      <c r="U493">
        <f>--(AND(D493&lt;=113.15,E493&lt;=0.15,F493&gt;15.77,H493&gt;28.86,M493&lt;=14.54))*1</f>
        <v/>
      </c>
      <c r="V493">
        <f>--(AND(D493&lt;=113.15,E493&lt;=0.15,F493&gt;15.77,H493&gt;28.86,M493&gt;14.54))*1</f>
        <v/>
      </c>
      <c r="W493">
        <f>--(AND(D493&lt;=113.15,E493&gt;0.15,H493&lt;=23.74))*0</f>
        <v/>
      </c>
      <c r="X493">
        <f>--(AND(D493&lt;=113.15,E493&gt;0.15,H493&gt;23.74,J493&lt;=0.1))*1</f>
        <v/>
      </c>
      <c r="Y493">
        <f>--(AND(D493&lt;=113.15,E493&gt;0.15,H493&gt;23.74,J493&gt;0.1))*1</f>
        <v/>
      </c>
      <c r="Z493">
        <f>--(AND(D493&gt;113.15,K493&lt;=0.22,L493&lt;=0.02))*1</f>
        <v/>
      </c>
      <c r="AA493">
        <f>--(AND(D493&gt;113.15,K493&lt;=0.22,L493&gt;0.02))*0</f>
        <v/>
      </c>
      <c r="AB493">
        <f>--(AND(D493&gt;113.15,K493&gt;0.22,N493&lt;=810.1))*0</f>
        <v/>
      </c>
      <c r="AC493">
        <f>--(AND(D493&gt;113.15,K493&gt;0.22,N493&gt;810.1,I493&lt;=14.95))*1</f>
        <v/>
      </c>
      <c r="AD493">
        <f>--(AND(D493&gt;113.15,K493&gt;0.22,N493&gt;810.1,I493&gt;14.95))*1</f>
        <v/>
      </c>
      <c r="AE493">
        <f>SUM(P493:AD493)</f>
        <v/>
      </c>
      <c r="AF493">
        <f>IF(AE493=1,"Malignant","Benign")</f>
        <v/>
      </c>
      <c r="AG493">
        <f>--(AE493=C493)</f>
        <v/>
      </c>
    </row>
    <row r="494">
      <c r="A494">
        <f>BreastCancer_Data!A494</f>
        <v/>
      </c>
      <c r="B494">
        <f>BreastCancer_Data!B494</f>
        <v/>
      </c>
      <c r="C494">
        <f>BreastCancer_Data!D494</f>
        <v/>
      </c>
      <c r="D494">
        <f>BreastCancer_Data!E494</f>
        <v/>
      </c>
      <c r="E494">
        <f>BreastCancer_Data!F494</f>
        <v/>
      </c>
      <c r="F494">
        <f>BreastCancer_Data!G494</f>
        <v/>
      </c>
      <c r="G494">
        <f>BreastCancer_Data!H494</f>
        <v/>
      </c>
      <c r="H494">
        <f>BreastCancer_Data!I494</f>
        <v/>
      </c>
      <c r="I494">
        <f>BreastCancer_Data!J494</f>
        <v/>
      </c>
      <c r="J494">
        <f>BreastCancer_Data!K494</f>
        <v/>
      </c>
      <c r="K494">
        <f>BreastCancer_Data!L494</f>
        <v/>
      </c>
      <c r="L494">
        <f>BreastCancer_Data!M494</f>
        <v/>
      </c>
      <c r="M494">
        <f>BreastCancer_Data!N494</f>
        <v/>
      </c>
      <c r="N494">
        <f>BreastCancer_Data!O494</f>
        <v/>
      </c>
      <c r="O494">
        <f>0</f>
        <v/>
      </c>
      <c r="P494">
        <f>--(AND(D494&lt;=113.15,E494&lt;=0.15,F494&lt;=15.77,G494&lt;=0.18,H494&lt;=33.27))*0</f>
        <v/>
      </c>
      <c r="Q494">
        <f>--(AND(D494&lt;=113.15,E494&lt;=0.15,F494&lt;=15.77,G494&lt;=0.18,H494&gt;33.27))*0</f>
        <v/>
      </c>
      <c r="R494">
        <f>--(AND(D494&lt;=113.15,E494&lt;=0.15,F494&lt;=15.77,G494&gt;0.18))*0</f>
        <v/>
      </c>
      <c r="S494">
        <f>--(AND(D494&lt;=113.15,E494&lt;=0.15,F494&gt;15.77,H494&lt;=28.86,G494&lt;=0.14))*0</f>
        <v/>
      </c>
      <c r="T494">
        <f>--(AND(D494&lt;=113.15,E494&lt;=0.15,F494&gt;15.77,H494&lt;=28.86,G494&gt;0.14))*1</f>
        <v/>
      </c>
      <c r="U494">
        <f>--(AND(D494&lt;=113.15,E494&lt;=0.15,F494&gt;15.77,H494&gt;28.86,M494&lt;=14.54))*1</f>
        <v/>
      </c>
      <c r="V494">
        <f>--(AND(D494&lt;=113.15,E494&lt;=0.15,F494&gt;15.77,H494&gt;28.86,M494&gt;14.54))*1</f>
        <v/>
      </c>
      <c r="W494">
        <f>--(AND(D494&lt;=113.15,E494&gt;0.15,H494&lt;=23.74))*0</f>
        <v/>
      </c>
      <c r="X494">
        <f>--(AND(D494&lt;=113.15,E494&gt;0.15,H494&gt;23.74,J494&lt;=0.1))*1</f>
        <v/>
      </c>
      <c r="Y494">
        <f>--(AND(D494&lt;=113.15,E494&gt;0.15,H494&gt;23.74,J494&gt;0.1))*1</f>
        <v/>
      </c>
      <c r="Z494">
        <f>--(AND(D494&gt;113.15,K494&lt;=0.22,L494&lt;=0.02))*1</f>
        <v/>
      </c>
      <c r="AA494">
        <f>--(AND(D494&gt;113.15,K494&lt;=0.22,L494&gt;0.02))*0</f>
        <v/>
      </c>
      <c r="AB494">
        <f>--(AND(D494&gt;113.15,K494&gt;0.22,N494&lt;=810.1))*0</f>
        <v/>
      </c>
      <c r="AC494">
        <f>--(AND(D494&gt;113.15,K494&gt;0.22,N494&gt;810.1,I494&lt;=14.95))*1</f>
        <v/>
      </c>
      <c r="AD494">
        <f>--(AND(D494&gt;113.15,K494&gt;0.22,N494&gt;810.1,I494&gt;14.95))*1</f>
        <v/>
      </c>
      <c r="AE494">
        <f>SUM(P494:AD494)</f>
        <v/>
      </c>
      <c r="AF494">
        <f>IF(AE494=1,"Malignant","Benign")</f>
        <v/>
      </c>
      <c r="AG494">
        <f>--(AE494=C494)</f>
        <v/>
      </c>
    </row>
    <row r="495">
      <c r="A495">
        <f>BreastCancer_Data!A495</f>
        <v/>
      </c>
      <c r="B495">
        <f>BreastCancer_Data!B495</f>
        <v/>
      </c>
      <c r="C495">
        <f>BreastCancer_Data!D495</f>
        <v/>
      </c>
      <c r="D495">
        <f>BreastCancer_Data!E495</f>
        <v/>
      </c>
      <c r="E495">
        <f>BreastCancer_Data!F495</f>
        <v/>
      </c>
      <c r="F495">
        <f>BreastCancer_Data!G495</f>
        <v/>
      </c>
      <c r="G495">
        <f>BreastCancer_Data!H495</f>
        <v/>
      </c>
      <c r="H495">
        <f>BreastCancer_Data!I495</f>
        <v/>
      </c>
      <c r="I495">
        <f>BreastCancer_Data!J495</f>
        <v/>
      </c>
      <c r="J495">
        <f>BreastCancer_Data!K495</f>
        <v/>
      </c>
      <c r="K495">
        <f>BreastCancer_Data!L495</f>
        <v/>
      </c>
      <c r="L495">
        <f>BreastCancer_Data!M495</f>
        <v/>
      </c>
      <c r="M495">
        <f>BreastCancer_Data!N495</f>
        <v/>
      </c>
      <c r="N495">
        <f>BreastCancer_Data!O495</f>
        <v/>
      </c>
      <c r="O495">
        <f>0</f>
        <v/>
      </c>
      <c r="P495">
        <f>--(AND(D495&lt;=113.15,E495&lt;=0.15,F495&lt;=15.77,G495&lt;=0.18,H495&lt;=33.27))*0</f>
        <v/>
      </c>
      <c r="Q495">
        <f>--(AND(D495&lt;=113.15,E495&lt;=0.15,F495&lt;=15.77,G495&lt;=0.18,H495&gt;33.27))*0</f>
        <v/>
      </c>
      <c r="R495">
        <f>--(AND(D495&lt;=113.15,E495&lt;=0.15,F495&lt;=15.77,G495&gt;0.18))*0</f>
        <v/>
      </c>
      <c r="S495">
        <f>--(AND(D495&lt;=113.15,E495&lt;=0.15,F495&gt;15.77,H495&lt;=28.86,G495&lt;=0.14))*0</f>
        <v/>
      </c>
      <c r="T495">
        <f>--(AND(D495&lt;=113.15,E495&lt;=0.15,F495&gt;15.77,H495&lt;=28.86,G495&gt;0.14))*1</f>
        <v/>
      </c>
      <c r="U495">
        <f>--(AND(D495&lt;=113.15,E495&lt;=0.15,F495&gt;15.77,H495&gt;28.86,M495&lt;=14.54))*1</f>
        <v/>
      </c>
      <c r="V495">
        <f>--(AND(D495&lt;=113.15,E495&lt;=0.15,F495&gt;15.77,H495&gt;28.86,M495&gt;14.54))*1</f>
        <v/>
      </c>
      <c r="W495">
        <f>--(AND(D495&lt;=113.15,E495&gt;0.15,H495&lt;=23.74))*0</f>
        <v/>
      </c>
      <c r="X495">
        <f>--(AND(D495&lt;=113.15,E495&gt;0.15,H495&gt;23.74,J495&lt;=0.1))*1</f>
        <v/>
      </c>
      <c r="Y495">
        <f>--(AND(D495&lt;=113.15,E495&gt;0.15,H495&gt;23.74,J495&gt;0.1))*1</f>
        <v/>
      </c>
      <c r="Z495">
        <f>--(AND(D495&gt;113.15,K495&lt;=0.22,L495&lt;=0.02))*1</f>
        <v/>
      </c>
      <c r="AA495">
        <f>--(AND(D495&gt;113.15,K495&lt;=0.22,L495&gt;0.02))*0</f>
        <v/>
      </c>
      <c r="AB495">
        <f>--(AND(D495&gt;113.15,K495&gt;0.22,N495&lt;=810.1))*0</f>
        <v/>
      </c>
      <c r="AC495">
        <f>--(AND(D495&gt;113.15,K495&gt;0.22,N495&gt;810.1,I495&lt;=14.95))*1</f>
        <v/>
      </c>
      <c r="AD495">
        <f>--(AND(D495&gt;113.15,K495&gt;0.22,N495&gt;810.1,I495&gt;14.95))*1</f>
        <v/>
      </c>
      <c r="AE495">
        <f>SUM(P495:AD495)</f>
        <v/>
      </c>
      <c r="AF495">
        <f>IF(AE495=1,"Malignant","Benign")</f>
        <v/>
      </c>
      <c r="AG495">
        <f>--(AE495=C495)</f>
        <v/>
      </c>
    </row>
    <row r="496">
      <c r="A496">
        <f>BreastCancer_Data!A496</f>
        <v/>
      </c>
      <c r="B496">
        <f>BreastCancer_Data!B496</f>
        <v/>
      </c>
      <c r="C496">
        <f>BreastCancer_Data!D496</f>
        <v/>
      </c>
      <c r="D496">
        <f>BreastCancer_Data!E496</f>
        <v/>
      </c>
      <c r="E496">
        <f>BreastCancer_Data!F496</f>
        <v/>
      </c>
      <c r="F496">
        <f>BreastCancer_Data!G496</f>
        <v/>
      </c>
      <c r="G496">
        <f>BreastCancer_Data!H496</f>
        <v/>
      </c>
      <c r="H496">
        <f>BreastCancer_Data!I496</f>
        <v/>
      </c>
      <c r="I496">
        <f>BreastCancer_Data!J496</f>
        <v/>
      </c>
      <c r="J496">
        <f>BreastCancer_Data!K496</f>
        <v/>
      </c>
      <c r="K496">
        <f>BreastCancer_Data!L496</f>
        <v/>
      </c>
      <c r="L496">
        <f>BreastCancer_Data!M496</f>
        <v/>
      </c>
      <c r="M496">
        <f>BreastCancer_Data!N496</f>
        <v/>
      </c>
      <c r="N496">
        <f>BreastCancer_Data!O496</f>
        <v/>
      </c>
      <c r="O496">
        <f>0</f>
        <v/>
      </c>
      <c r="P496">
        <f>--(AND(D496&lt;=113.15,E496&lt;=0.15,F496&lt;=15.77,G496&lt;=0.18,H496&lt;=33.27))*0</f>
        <v/>
      </c>
      <c r="Q496">
        <f>--(AND(D496&lt;=113.15,E496&lt;=0.15,F496&lt;=15.77,G496&lt;=0.18,H496&gt;33.27))*0</f>
        <v/>
      </c>
      <c r="R496">
        <f>--(AND(D496&lt;=113.15,E496&lt;=0.15,F496&lt;=15.77,G496&gt;0.18))*0</f>
        <v/>
      </c>
      <c r="S496">
        <f>--(AND(D496&lt;=113.15,E496&lt;=0.15,F496&gt;15.77,H496&lt;=28.86,G496&lt;=0.14))*0</f>
        <v/>
      </c>
      <c r="T496">
        <f>--(AND(D496&lt;=113.15,E496&lt;=0.15,F496&gt;15.77,H496&lt;=28.86,G496&gt;0.14))*1</f>
        <v/>
      </c>
      <c r="U496">
        <f>--(AND(D496&lt;=113.15,E496&lt;=0.15,F496&gt;15.77,H496&gt;28.86,M496&lt;=14.54))*1</f>
        <v/>
      </c>
      <c r="V496">
        <f>--(AND(D496&lt;=113.15,E496&lt;=0.15,F496&gt;15.77,H496&gt;28.86,M496&gt;14.54))*1</f>
        <v/>
      </c>
      <c r="W496">
        <f>--(AND(D496&lt;=113.15,E496&gt;0.15,H496&lt;=23.74))*0</f>
        <v/>
      </c>
      <c r="X496">
        <f>--(AND(D496&lt;=113.15,E496&gt;0.15,H496&gt;23.74,J496&lt;=0.1))*1</f>
        <v/>
      </c>
      <c r="Y496">
        <f>--(AND(D496&lt;=113.15,E496&gt;0.15,H496&gt;23.74,J496&gt;0.1))*1</f>
        <v/>
      </c>
      <c r="Z496">
        <f>--(AND(D496&gt;113.15,K496&lt;=0.22,L496&lt;=0.02))*1</f>
        <v/>
      </c>
      <c r="AA496">
        <f>--(AND(D496&gt;113.15,K496&lt;=0.22,L496&gt;0.02))*0</f>
        <v/>
      </c>
      <c r="AB496">
        <f>--(AND(D496&gt;113.15,K496&gt;0.22,N496&lt;=810.1))*0</f>
        <v/>
      </c>
      <c r="AC496">
        <f>--(AND(D496&gt;113.15,K496&gt;0.22,N496&gt;810.1,I496&lt;=14.95))*1</f>
        <v/>
      </c>
      <c r="AD496">
        <f>--(AND(D496&gt;113.15,K496&gt;0.22,N496&gt;810.1,I496&gt;14.95))*1</f>
        <v/>
      </c>
      <c r="AE496">
        <f>SUM(P496:AD496)</f>
        <v/>
      </c>
      <c r="AF496">
        <f>IF(AE496=1,"Malignant","Benign")</f>
        <v/>
      </c>
      <c r="AG496">
        <f>--(AE496=C496)</f>
        <v/>
      </c>
    </row>
    <row r="497">
      <c r="A497">
        <f>BreastCancer_Data!A497</f>
        <v/>
      </c>
      <c r="B497">
        <f>BreastCancer_Data!B497</f>
        <v/>
      </c>
      <c r="C497">
        <f>BreastCancer_Data!D497</f>
        <v/>
      </c>
      <c r="D497">
        <f>BreastCancer_Data!E497</f>
        <v/>
      </c>
      <c r="E497">
        <f>BreastCancer_Data!F497</f>
        <v/>
      </c>
      <c r="F497">
        <f>BreastCancer_Data!G497</f>
        <v/>
      </c>
      <c r="G497">
        <f>BreastCancer_Data!H497</f>
        <v/>
      </c>
      <c r="H497">
        <f>BreastCancer_Data!I497</f>
        <v/>
      </c>
      <c r="I497">
        <f>BreastCancer_Data!J497</f>
        <v/>
      </c>
      <c r="J497">
        <f>BreastCancer_Data!K497</f>
        <v/>
      </c>
      <c r="K497">
        <f>BreastCancer_Data!L497</f>
        <v/>
      </c>
      <c r="L497">
        <f>BreastCancer_Data!M497</f>
        <v/>
      </c>
      <c r="M497">
        <f>BreastCancer_Data!N497</f>
        <v/>
      </c>
      <c r="N497">
        <f>BreastCancer_Data!O497</f>
        <v/>
      </c>
      <c r="O497">
        <f>0</f>
        <v/>
      </c>
      <c r="P497">
        <f>--(AND(D497&lt;=113.15,E497&lt;=0.15,F497&lt;=15.77,G497&lt;=0.18,H497&lt;=33.27))*0</f>
        <v/>
      </c>
      <c r="Q497">
        <f>--(AND(D497&lt;=113.15,E497&lt;=0.15,F497&lt;=15.77,G497&lt;=0.18,H497&gt;33.27))*0</f>
        <v/>
      </c>
      <c r="R497">
        <f>--(AND(D497&lt;=113.15,E497&lt;=0.15,F497&lt;=15.77,G497&gt;0.18))*0</f>
        <v/>
      </c>
      <c r="S497">
        <f>--(AND(D497&lt;=113.15,E497&lt;=0.15,F497&gt;15.77,H497&lt;=28.86,G497&lt;=0.14))*0</f>
        <v/>
      </c>
      <c r="T497">
        <f>--(AND(D497&lt;=113.15,E497&lt;=0.15,F497&gt;15.77,H497&lt;=28.86,G497&gt;0.14))*1</f>
        <v/>
      </c>
      <c r="U497">
        <f>--(AND(D497&lt;=113.15,E497&lt;=0.15,F497&gt;15.77,H497&gt;28.86,M497&lt;=14.54))*1</f>
        <v/>
      </c>
      <c r="V497">
        <f>--(AND(D497&lt;=113.15,E497&lt;=0.15,F497&gt;15.77,H497&gt;28.86,M497&gt;14.54))*1</f>
        <v/>
      </c>
      <c r="W497">
        <f>--(AND(D497&lt;=113.15,E497&gt;0.15,H497&lt;=23.74))*0</f>
        <v/>
      </c>
      <c r="X497">
        <f>--(AND(D497&lt;=113.15,E497&gt;0.15,H497&gt;23.74,J497&lt;=0.1))*1</f>
        <v/>
      </c>
      <c r="Y497">
        <f>--(AND(D497&lt;=113.15,E497&gt;0.15,H497&gt;23.74,J497&gt;0.1))*1</f>
        <v/>
      </c>
      <c r="Z497">
        <f>--(AND(D497&gt;113.15,K497&lt;=0.22,L497&lt;=0.02))*1</f>
        <v/>
      </c>
      <c r="AA497">
        <f>--(AND(D497&gt;113.15,K497&lt;=0.22,L497&gt;0.02))*0</f>
        <v/>
      </c>
      <c r="AB497">
        <f>--(AND(D497&gt;113.15,K497&gt;0.22,N497&lt;=810.1))*0</f>
        <v/>
      </c>
      <c r="AC497">
        <f>--(AND(D497&gt;113.15,K497&gt;0.22,N497&gt;810.1,I497&lt;=14.95))*1</f>
        <v/>
      </c>
      <c r="AD497">
        <f>--(AND(D497&gt;113.15,K497&gt;0.22,N497&gt;810.1,I497&gt;14.95))*1</f>
        <v/>
      </c>
      <c r="AE497">
        <f>SUM(P497:AD497)</f>
        <v/>
      </c>
      <c r="AF497">
        <f>IF(AE497=1,"Malignant","Benign")</f>
        <v/>
      </c>
      <c r="AG497">
        <f>--(AE497=C497)</f>
        <v/>
      </c>
    </row>
    <row r="498">
      <c r="A498">
        <f>BreastCancer_Data!A498</f>
        <v/>
      </c>
      <c r="B498">
        <f>BreastCancer_Data!B498</f>
        <v/>
      </c>
      <c r="C498">
        <f>BreastCancer_Data!D498</f>
        <v/>
      </c>
      <c r="D498">
        <f>BreastCancer_Data!E498</f>
        <v/>
      </c>
      <c r="E498">
        <f>BreastCancer_Data!F498</f>
        <v/>
      </c>
      <c r="F498">
        <f>BreastCancer_Data!G498</f>
        <v/>
      </c>
      <c r="G498">
        <f>BreastCancer_Data!H498</f>
        <v/>
      </c>
      <c r="H498">
        <f>BreastCancer_Data!I498</f>
        <v/>
      </c>
      <c r="I498">
        <f>BreastCancer_Data!J498</f>
        <v/>
      </c>
      <c r="J498">
        <f>BreastCancer_Data!K498</f>
        <v/>
      </c>
      <c r="K498">
        <f>BreastCancer_Data!L498</f>
        <v/>
      </c>
      <c r="L498">
        <f>BreastCancer_Data!M498</f>
        <v/>
      </c>
      <c r="M498">
        <f>BreastCancer_Data!N498</f>
        <v/>
      </c>
      <c r="N498">
        <f>BreastCancer_Data!O498</f>
        <v/>
      </c>
      <c r="O498">
        <f>0</f>
        <v/>
      </c>
      <c r="P498">
        <f>--(AND(D498&lt;=113.15,E498&lt;=0.15,F498&lt;=15.77,G498&lt;=0.18,H498&lt;=33.27))*0</f>
        <v/>
      </c>
      <c r="Q498">
        <f>--(AND(D498&lt;=113.15,E498&lt;=0.15,F498&lt;=15.77,G498&lt;=0.18,H498&gt;33.27))*0</f>
        <v/>
      </c>
      <c r="R498">
        <f>--(AND(D498&lt;=113.15,E498&lt;=0.15,F498&lt;=15.77,G498&gt;0.18))*0</f>
        <v/>
      </c>
      <c r="S498">
        <f>--(AND(D498&lt;=113.15,E498&lt;=0.15,F498&gt;15.77,H498&lt;=28.86,G498&lt;=0.14))*0</f>
        <v/>
      </c>
      <c r="T498">
        <f>--(AND(D498&lt;=113.15,E498&lt;=0.15,F498&gt;15.77,H498&lt;=28.86,G498&gt;0.14))*1</f>
        <v/>
      </c>
      <c r="U498">
        <f>--(AND(D498&lt;=113.15,E498&lt;=0.15,F498&gt;15.77,H498&gt;28.86,M498&lt;=14.54))*1</f>
        <v/>
      </c>
      <c r="V498">
        <f>--(AND(D498&lt;=113.15,E498&lt;=0.15,F498&gt;15.77,H498&gt;28.86,M498&gt;14.54))*1</f>
        <v/>
      </c>
      <c r="W498">
        <f>--(AND(D498&lt;=113.15,E498&gt;0.15,H498&lt;=23.74))*0</f>
        <v/>
      </c>
      <c r="X498">
        <f>--(AND(D498&lt;=113.15,E498&gt;0.15,H498&gt;23.74,J498&lt;=0.1))*1</f>
        <v/>
      </c>
      <c r="Y498">
        <f>--(AND(D498&lt;=113.15,E498&gt;0.15,H498&gt;23.74,J498&gt;0.1))*1</f>
        <v/>
      </c>
      <c r="Z498">
        <f>--(AND(D498&gt;113.15,K498&lt;=0.22,L498&lt;=0.02))*1</f>
        <v/>
      </c>
      <c r="AA498">
        <f>--(AND(D498&gt;113.15,K498&lt;=0.22,L498&gt;0.02))*0</f>
        <v/>
      </c>
      <c r="AB498">
        <f>--(AND(D498&gt;113.15,K498&gt;0.22,N498&lt;=810.1))*0</f>
        <v/>
      </c>
      <c r="AC498">
        <f>--(AND(D498&gt;113.15,K498&gt;0.22,N498&gt;810.1,I498&lt;=14.95))*1</f>
        <v/>
      </c>
      <c r="AD498">
        <f>--(AND(D498&gt;113.15,K498&gt;0.22,N498&gt;810.1,I498&gt;14.95))*1</f>
        <v/>
      </c>
      <c r="AE498">
        <f>SUM(P498:AD498)</f>
        <v/>
      </c>
      <c r="AF498">
        <f>IF(AE498=1,"Malignant","Benign")</f>
        <v/>
      </c>
      <c r="AG498">
        <f>--(AE498=C498)</f>
        <v/>
      </c>
    </row>
    <row r="499">
      <c r="A499">
        <f>BreastCancer_Data!A499</f>
        <v/>
      </c>
      <c r="B499">
        <f>BreastCancer_Data!B499</f>
        <v/>
      </c>
      <c r="C499">
        <f>BreastCancer_Data!D499</f>
        <v/>
      </c>
      <c r="D499">
        <f>BreastCancer_Data!E499</f>
        <v/>
      </c>
      <c r="E499">
        <f>BreastCancer_Data!F499</f>
        <v/>
      </c>
      <c r="F499">
        <f>BreastCancer_Data!G499</f>
        <v/>
      </c>
      <c r="G499">
        <f>BreastCancer_Data!H499</f>
        <v/>
      </c>
      <c r="H499">
        <f>BreastCancer_Data!I499</f>
        <v/>
      </c>
      <c r="I499">
        <f>BreastCancer_Data!J499</f>
        <v/>
      </c>
      <c r="J499">
        <f>BreastCancer_Data!K499</f>
        <v/>
      </c>
      <c r="K499">
        <f>BreastCancer_Data!L499</f>
        <v/>
      </c>
      <c r="L499">
        <f>BreastCancer_Data!M499</f>
        <v/>
      </c>
      <c r="M499">
        <f>BreastCancer_Data!N499</f>
        <v/>
      </c>
      <c r="N499">
        <f>BreastCancer_Data!O499</f>
        <v/>
      </c>
      <c r="O499">
        <f>0</f>
        <v/>
      </c>
      <c r="P499">
        <f>--(AND(D499&lt;=113.15,E499&lt;=0.15,F499&lt;=15.77,G499&lt;=0.18,H499&lt;=33.27))*0</f>
        <v/>
      </c>
      <c r="Q499">
        <f>--(AND(D499&lt;=113.15,E499&lt;=0.15,F499&lt;=15.77,G499&lt;=0.18,H499&gt;33.27))*0</f>
        <v/>
      </c>
      <c r="R499">
        <f>--(AND(D499&lt;=113.15,E499&lt;=0.15,F499&lt;=15.77,G499&gt;0.18))*0</f>
        <v/>
      </c>
      <c r="S499">
        <f>--(AND(D499&lt;=113.15,E499&lt;=0.15,F499&gt;15.77,H499&lt;=28.86,G499&lt;=0.14))*0</f>
        <v/>
      </c>
      <c r="T499">
        <f>--(AND(D499&lt;=113.15,E499&lt;=0.15,F499&gt;15.77,H499&lt;=28.86,G499&gt;0.14))*1</f>
        <v/>
      </c>
      <c r="U499">
        <f>--(AND(D499&lt;=113.15,E499&lt;=0.15,F499&gt;15.77,H499&gt;28.86,M499&lt;=14.54))*1</f>
        <v/>
      </c>
      <c r="V499">
        <f>--(AND(D499&lt;=113.15,E499&lt;=0.15,F499&gt;15.77,H499&gt;28.86,M499&gt;14.54))*1</f>
        <v/>
      </c>
      <c r="W499">
        <f>--(AND(D499&lt;=113.15,E499&gt;0.15,H499&lt;=23.74))*0</f>
        <v/>
      </c>
      <c r="X499">
        <f>--(AND(D499&lt;=113.15,E499&gt;0.15,H499&gt;23.74,J499&lt;=0.1))*1</f>
        <v/>
      </c>
      <c r="Y499">
        <f>--(AND(D499&lt;=113.15,E499&gt;0.15,H499&gt;23.74,J499&gt;0.1))*1</f>
        <v/>
      </c>
      <c r="Z499">
        <f>--(AND(D499&gt;113.15,K499&lt;=0.22,L499&lt;=0.02))*1</f>
        <v/>
      </c>
      <c r="AA499">
        <f>--(AND(D499&gt;113.15,K499&lt;=0.22,L499&gt;0.02))*0</f>
        <v/>
      </c>
      <c r="AB499">
        <f>--(AND(D499&gt;113.15,K499&gt;0.22,N499&lt;=810.1))*0</f>
        <v/>
      </c>
      <c r="AC499">
        <f>--(AND(D499&gt;113.15,K499&gt;0.22,N499&gt;810.1,I499&lt;=14.95))*1</f>
        <v/>
      </c>
      <c r="AD499">
        <f>--(AND(D499&gt;113.15,K499&gt;0.22,N499&gt;810.1,I499&gt;14.95))*1</f>
        <v/>
      </c>
      <c r="AE499">
        <f>SUM(P499:AD499)</f>
        <v/>
      </c>
      <c r="AF499">
        <f>IF(AE499=1,"Malignant","Benign")</f>
        <v/>
      </c>
      <c r="AG499">
        <f>--(AE499=C499)</f>
        <v/>
      </c>
    </row>
    <row r="500">
      <c r="A500">
        <f>BreastCancer_Data!A500</f>
        <v/>
      </c>
      <c r="B500">
        <f>BreastCancer_Data!B500</f>
        <v/>
      </c>
      <c r="C500">
        <f>BreastCancer_Data!D500</f>
        <v/>
      </c>
      <c r="D500">
        <f>BreastCancer_Data!E500</f>
        <v/>
      </c>
      <c r="E500">
        <f>BreastCancer_Data!F500</f>
        <v/>
      </c>
      <c r="F500">
        <f>BreastCancer_Data!G500</f>
        <v/>
      </c>
      <c r="G500">
        <f>BreastCancer_Data!H500</f>
        <v/>
      </c>
      <c r="H500">
        <f>BreastCancer_Data!I500</f>
        <v/>
      </c>
      <c r="I500">
        <f>BreastCancer_Data!J500</f>
        <v/>
      </c>
      <c r="J500">
        <f>BreastCancer_Data!K500</f>
        <v/>
      </c>
      <c r="K500">
        <f>BreastCancer_Data!L500</f>
        <v/>
      </c>
      <c r="L500">
        <f>BreastCancer_Data!M500</f>
        <v/>
      </c>
      <c r="M500">
        <f>BreastCancer_Data!N500</f>
        <v/>
      </c>
      <c r="N500">
        <f>BreastCancer_Data!O500</f>
        <v/>
      </c>
      <c r="O500">
        <f>0</f>
        <v/>
      </c>
      <c r="P500">
        <f>--(AND(D500&lt;=113.15,E500&lt;=0.15,F500&lt;=15.77,G500&lt;=0.18,H500&lt;=33.27))*0</f>
        <v/>
      </c>
      <c r="Q500">
        <f>--(AND(D500&lt;=113.15,E500&lt;=0.15,F500&lt;=15.77,G500&lt;=0.18,H500&gt;33.27))*0</f>
        <v/>
      </c>
      <c r="R500">
        <f>--(AND(D500&lt;=113.15,E500&lt;=0.15,F500&lt;=15.77,G500&gt;0.18))*0</f>
        <v/>
      </c>
      <c r="S500">
        <f>--(AND(D500&lt;=113.15,E500&lt;=0.15,F500&gt;15.77,H500&lt;=28.86,G500&lt;=0.14))*0</f>
        <v/>
      </c>
      <c r="T500">
        <f>--(AND(D500&lt;=113.15,E500&lt;=0.15,F500&gt;15.77,H500&lt;=28.86,G500&gt;0.14))*1</f>
        <v/>
      </c>
      <c r="U500">
        <f>--(AND(D500&lt;=113.15,E500&lt;=0.15,F500&gt;15.77,H500&gt;28.86,M500&lt;=14.54))*1</f>
        <v/>
      </c>
      <c r="V500">
        <f>--(AND(D500&lt;=113.15,E500&lt;=0.15,F500&gt;15.77,H500&gt;28.86,M500&gt;14.54))*1</f>
        <v/>
      </c>
      <c r="W500">
        <f>--(AND(D500&lt;=113.15,E500&gt;0.15,H500&lt;=23.74))*0</f>
        <v/>
      </c>
      <c r="X500">
        <f>--(AND(D500&lt;=113.15,E500&gt;0.15,H500&gt;23.74,J500&lt;=0.1))*1</f>
        <v/>
      </c>
      <c r="Y500">
        <f>--(AND(D500&lt;=113.15,E500&gt;0.15,H500&gt;23.74,J500&gt;0.1))*1</f>
        <v/>
      </c>
      <c r="Z500">
        <f>--(AND(D500&gt;113.15,K500&lt;=0.22,L500&lt;=0.02))*1</f>
        <v/>
      </c>
      <c r="AA500">
        <f>--(AND(D500&gt;113.15,K500&lt;=0.22,L500&gt;0.02))*0</f>
        <v/>
      </c>
      <c r="AB500">
        <f>--(AND(D500&gt;113.15,K500&gt;0.22,N500&lt;=810.1))*0</f>
        <v/>
      </c>
      <c r="AC500">
        <f>--(AND(D500&gt;113.15,K500&gt;0.22,N500&gt;810.1,I500&lt;=14.95))*1</f>
        <v/>
      </c>
      <c r="AD500">
        <f>--(AND(D500&gt;113.15,K500&gt;0.22,N500&gt;810.1,I500&gt;14.95))*1</f>
        <v/>
      </c>
      <c r="AE500">
        <f>SUM(P500:AD500)</f>
        <v/>
      </c>
      <c r="AF500">
        <f>IF(AE500=1,"Malignant","Benign")</f>
        <v/>
      </c>
      <c r="AG500">
        <f>--(AE500=C500)</f>
        <v/>
      </c>
    </row>
    <row r="501">
      <c r="A501">
        <f>BreastCancer_Data!A501</f>
        <v/>
      </c>
      <c r="B501">
        <f>BreastCancer_Data!B501</f>
        <v/>
      </c>
      <c r="C501">
        <f>BreastCancer_Data!D501</f>
        <v/>
      </c>
      <c r="D501">
        <f>BreastCancer_Data!E501</f>
        <v/>
      </c>
      <c r="E501">
        <f>BreastCancer_Data!F501</f>
        <v/>
      </c>
      <c r="F501">
        <f>BreastCancer_Data!G501</f>
        <v/>
      </c>
      <c r="G501">
        <f>BreastCancer_Data!H501</f>
        <v/>
      </c>
      <c r="H501">
        <f>BreastCancer_Data!I501</f>
        <v/>
      </c>
      <c r="I501">
        <f>BreastCancer_Data!J501</f>
        <v/>
      </c>
      <c r="J501">
        <f>BreastCancer_Data!K501</f>
        <v/>
      </c>
      <c r="K501">
        <f>BreastCancer_Data!L501</f>
        <v/>
      </c>
      <c r="L501">
        <f>BreastCancer_Data!M501</f>
        <v/>
      </c>
      <c r="M501">
        <f>BreastCancer_Data!N501</f>
        <v/>
      </c>
      <c r="N501">
        <f>BreastCancer_Data!O501</f>
        <v/>
      </c>
      <c r="O501">
        <f>0</f>
        <v/>
      </c>
      <c r="P501">
        <f>--(AND(D501&lt;=113.15,E501&lt;=0.15,F501&lt;=15.77,G501&lt;=0.18,H501&lt;=33.27))*0</f>
        <v/>
      </c>
      <c r="Q501">
        <f>--(AND(D501&lt;=113.15,E501&lt;=0.15,F501&lt;=15.77,G501&lt;=0.18,H501&gt;33.27))*0</f>
        <v/>
      </c>
      <c r="R501">
        <f>--(AND(D501&lt;=113.15,E501&lt;=0.15,F501&lt;=15.77,G501&gt;0.18))*0</f>
        <v/>
      </c>
      <c r="S501">
        <f>--(AND(D501&lt;=113.15,E501&lt;=0.15,F501&gt;15.77,H501&lt;=28.86,G501&lt;=0.14))*0</f>
        <v/>
      </c>
      <c r="T501">
        <f>--(AND(D501&lt;=113.15,E501&lt;=0.15,F501&gt;15.77,H501&lt;=28.86,G501&gt;0.14))*1</f>
        <v/>
      </c>
      <c r="U501">
        <f>--(AND(D501&lt;=113.15,E501&lt;=0.15,F501&gt;15.77,H501&gt;28.86,M501&lt;=14.54))*1</f>
        <v/>
      </c>
      <c r="V501">
        <f>--(AND(D501&lt;=113.15,E501&lt;=0.15,F501&gt;15.77,H501&gt;28.86,M501&gt;14.54))*1</f>
        <v/>
      </c>
      <c r="W501">
        <f>--(AND(D501&lt;=113.15,E501&gt;0.15,H501&lt;=23.74))*0</f>
        <v/>
      </c>
      <c r="X501">
        <f>--(AND(D501&lt;=113.15,E501&gt;0.15,H501&gt;23.74,J501&lt;=0.1))*1</f>
        <v/>
      </c>
      <c r="Y501">
        <f>--(AND(D501&lt;=113.15,E501&gt;0.15,H501&gt;23.74,J501&gt;0.1))*1</f>
        <v/>
      </c>
      <c r="Z501">
        <f>--(AND(D501&gt;113.15,K501&lt;=0.22,L501&lt;=0.02))*1</f>
        <v/>
      </c>
      <c r="AA501">
        <f>--(AND(D501&gt;113.15,K501&lt;=0.22,L501&gt;0.02))*0</f>
        <v/>
      </c>
      <c r="AB501">
        <f>--(AND(D501&gt;113.15,K501&gt;0.22,N501&lt;=810.1))*0</f>
        <v/>
      </c>
      <c r="AC501">
        <f>--(AND(D501&gt;113.15,K501&gt;0.22,N501&gt;810.1,I501&lt;=14.95))*1</f>
        <v/>
      </c>
      <c r="AD501">
        <f>--(AND(D501&gt;113.15,K501&gt;0.22,N501&gt;810.1,I501&gt;14.95))*1</f>
        <v/>
      </c>
      <c r="AE501">
        <f>SUM(P501:AD501)</f>
        <v/>
      </c>
      <c r="AF501">
        <f>IF(AE501=1,"Malignant","Benign")</f>
        <v/>
      </c>
      <c r="AG501">
        <f>--(AE501=C501)</f>
        <v/>
      </c>
    </row>
    <row r="502">
      <c r="A502">
        <f>BreastCancer_Data!A502</f>
        <v/>
      </c>
      <c r="B502">
        <f>BreastCancer_Data!B502</f>
        <v/>
      </c>
      <c r="C502">
        <f>BreastCancer_Data!D502</f>
        <v/>
      </c>
      <c r="D502">
        <f>BreastCancer_Data!E502</f>
        <v/>
      </c>
      <c r="E502">
        <f>BreastCancer_Data!F502</f>
        <v/>
      </c>
      <c r="F502">
        <f>BreastCancer_Data!G502</f>
        <v/>
      </c>
      <c r="G502">
        <f>BreastCancer_Data!H502</f>
        <v/>
      </c>
      <c r="H502">
        <f>BreastCancer_Data!I502</f>
        <v/>
      </c>
      <c r="I502">
        <f>BreastCancer_Data!J502</f>
        <v/>
      </c>
      <c r="J502">
        <f>BreastCancer_Data!K502</f>
        <v/>
      </c>
      <c r="K502">
        <f>BreastCancer_Data!L502</f>
        <v/>
      </c>
      <c r="L502">
        <f>BreastCancer_Data!M502</f>
        <v/>
      </c>
      <c r="M502">
        <f>BreastCancer_Data!N502</f>
        <v/>
      </c>
      <c r="N502">
        <f>BreastCancer_Data!O502</f>
        <v/>
      </c>
      <c r="O502">
        <f>0</f>
        <v/>
      </c>
      <c r="P502">
        <f>--(AND(D502&lt;=113.15,E502&lt;=0.15,F502&lt;=15.77,G502&lt;=0.18,H502&lt;=33.27))*0</f>
        <v/>
      </c>
      <c r="Q502">
        <f>--(AND(D502&lt;=113.15,E502&lt;=0.15,F502&lt;=15.77,G502&lt;=0.18,H502&gt;33.27))*0</f>
        <v/>
      </c>
      <c r="R502">
        <f>--(AND(D502&lt;=113.15,E502&lt;=0.15,F502&lt;=15.77,G502&gt;0.18))*0</f>
        <v/>
      </c>
      <c r="S502">
        <f>--(AND(D502&lt;=113.15,E502&lt;=0.15,F502&gt;15.77,H502&lt;=28.86,G502&lt;=0.14))*0</f>
        <v/>
      </c>
      <c r="T502">
        <f>--(AND(D502&lt;=113.15,E502&lt;=0.15,F502&gt;15.77,H502&lt;=28.86,G502&gt;0.14))*1</f>
        <v/>
      </c>
      <c r="U502">
        <f>--(AND(D502&lt;=113.15,E502&lt;=0.15,F502&gt;15.77,H502&gt;28.86,M502&lt;=14.54))*1</f>
        <v/>
      </c>
      <c r="V502">
        <f>--(AND(D502&lt;=113.15,E502&lt;=0.15,F502&gt;15.77,H502&gt;28.86,M502&gt;14.54))*1</f>
        <v/>
      </c>
      <c r="W502">
        <f>--(AND(D502&lt;=113.15,E502&gt;0.15,H502&lt;=23.74))*0</f>
        <v/>
      </c>
      <c r="X502">
        <f>--(AND(D502&lt;=113.15,E502&gt;0.15,H502&gt;23.74,J502&lt;=0.1))*1</f>
        <v/>
      </c>
      <c r="Y502">
        <f>--(AND(D502&lt;=113.15,E502&gt;0.15,H502&gt;23.74,J502&gt;0.1))*1</f>
        <v/>
      </c>
      <c r="Z502">
        <f>--(AND(D502&gt;113.15,K502&lt;=0.22,L502&lt;=0.02))*1</f>
        <v/>
      </c>
      <c r="AA502">
        <f>--(AND(D502&gt;113.15,K502&lt;=0.22,L502&gt;0.02))*0</f>
        <v/>
      </c>
      <c r="AB502">
        <f>--(AND(D502&gt;113.15,K502&gt;0.22,N502&lt;=810.1))*0</f>
        <v/>
      </c>
      <c r="AC502">
        <f>--(AND(D502&gt;113.15,K502&gt;0.22,N502&gt;810.1,I502&lt;=14.95))*1</f>
        <v/>
      </c>
      <c r="AD502">
        <f>--(AND(D502&gt;113.15,K502&gt;0.22,N502&gt;810.1,I502&gt;14.95))*1</f>
        <v/>
      </c>
      <c r="AE502">
        <f>SUM(P502:AD502)</f>
        <v/>
      </c>
      <c r="AF502">
        <f>IF(AE502=1,"Malignant","Benign")</f>
        <v/>
      </c>
      <c r="AG502">
        <f>--(AE502=C502)</f>
        <v/>
      </c>
    </row>
    <row r="503">
      <c r="A503">
        <f>BreastCancer_Data!A503</f>
        <v/>
      </c>
      <c r="B503">
        <f>BreastCancer_Data!B503</f>
        <v/>
      </c>
      <c r="C503">
        <f>BreastCancer_Data!D503</f>
        <v/>
      </c>
      <c r="D503">
        <f>BreastCancer_Data!E503</f>
        <v/>
      </c>
      <c r="E503">
        <f>BreastCancer_Data!F503</f>
        <v/>
      </c>
      <c r="F503">
        <f>BreastCancer_Data!G503</f>
        <v/>
      </c>
      <c r="G503">
        <f>BreastCancer_Data!H503</f>
        <v/>
      </c>
      <c r="H503">
        <f>BreastCancer_Data!I503</f>
        <v/>
      </c>
      <c r="I503">
        <f>BreastCancer_Data!J503</f>
        <v/>
      </c>
      <c r="J503">
        <f>BreastCancer_Data!K503</f>
        <v/>
      </c>
      <c r="K503">
        <f>BreastCancer_Data!L503</f>
        <v/>
      </c>
      <c r="L503">
        <f>BreastCancer_Data!M503</f>
        <v/>
      </c>
      <c r="M503">
        <f>BreastCancer_Data!N503</f>
        <v/>
      </c>
      <c r="N503">
        <f>BreastCancer_Data!O503</f>
        <v/>
      </c>
      <c r="O503">
        <f>0</f>
        <v/>
      </c>
      <c r="P503">
        <f>--(AND(D503&lt;=113.15,E503&lt;=0.15,F503&lt;=15.77,G503&lt;=0.18,H503&lt;=33.27))*0</f>
        <v/>
      </c>
      <c r="Q503">
        <f>--(AND(D503&lt;=113.15,E503&lt;=0.15,F503&lt;=15.77,G503&lt;=0.18,H503&gt;33.27))*0</f>
        <v/>
      </c>
      <c r="R503">
        <f>--(AND(D503&lt;=113.15,E503&lt;=0.15,F503&lt;=15.77,G503&gt;0.18))*0</f>
        <v/>
      </c>
      <c r="S503">
        <f>--(AND(D503&lt;=113.15,E503&lt;=0.15,F503&gt;15.77,H503&lt;=28.86,G503&lt;=0.14))*0</f>
        <v/>
      </c>
      <c r="T503">
        <f>--(AND(D503&lt;=113.15,E503&lt;=0.15,F503&gt;15.77,H503&lt;=28.86,G503&gt;0.14))*1</f>
        <v/>
      </c>
      <c r="U503">
        <f>--(AND(D503&lt;=113.15,E503&lt;=0.15,F503&gt;15.77,H503&gt;28.86,M503&lt;=14.54))*1</f>
        <v/>
      </c>
      <c r="V503">
        <f>--(AND(D503&lt;=113.15,E503&lt;=0.15,F503&gt;15.77,H503&gt;28.86,M503&gt;14.54))*1</f>
        <v/>
      </c>
      <c r="W503">
        <f>--(AND(D503&lt;=113.15,E503&gt;0.15,H503&lt;=23.74))*0</f>
        <v/>
      </c>
      <c r="X503">
        <f>--(AND(D503&lt;=113.15,E503&gt;0.15,H503&gt;23.74,J503&lt;=0.1))*1</f>
        <v/>
      </c>
      <c r="Y503">
        <f>--(AND(D503&lt;=113.15,E503&gt;0.15,H503&gt;23.74,J503&gt;0.1))*1</f>
        <v/>
      </c>
      <c r="Z503">
        <f>--(AND(D503&gt;113.15,K503&lt;=0.22,L503&lt;=0.02))*1</f>
        <v/>
      </c>
      <c r="AA503">
        <f>--(AND(D503&gt;113.15,K503&lt;=0.22,L503&gt;0.02))*0</f>
        <v/>
      </c>
      <c r="AB503">
        <f>--(AND(D503&gt;113.15,K503&gt;0.22,N503&lt;=810.1))*0</f>
        <v/>
      </c>
      <c r="AC503">
        <f>--(AND(D503&gt;113.15,K503&gt;0.22,N503&gt;810.1,I503&lt;=14.95))*1</f>
        <v/>
      </c>
      <c r="AD503">
        <f>--(AND(D503&gt;113.15,K503&gt;0.22,N503&gt;810.1,I503&gt;14.95))*1</f>
        <v/>
      </c>
      <c r="AE503">
        <f>SUM(P503:AD503)</f>
        <v/>
      </c>
      <c r="AF503">
        <f>IF(AE503=1,"Malignant","Benign")</f>
        <v/>
      </c>
      <c r="AG503">
        <f>--(AE503=C503)</f>
        <v/>
      </c>
    </row>
    <row r="504">
      <c r="A504">
        <f>BreastCancer_Data!A504</f>
        <v/>
      </c>
      <c r="B504">
        <f>BreastCancer_Data!B504</f>
        <v/>
      </c>
      <c r="C504">
        <f>BreastCancer_Data!D504</f>
        <v/>
      </c>
      <c r="D504">
        <f>BreastCancer_Data!E504</f>
        <v/>
      </c>
      <c r="E504">
        <f>BreastCancer_Data!F504</f>
        <v/>
      </c>
      <c r="F504">
        <f>BreastCancer_Data!G504</f>
        <v/>
      </c>
      <c r="G504">
        <f>BreastCancer_Data!H504</f>
        <v/>
      </c>
      <c r="H504">
        <f>BreastCancer_Data!I504</f>
        <v/>
      </c>
      <c r="I504">
        <f>BreastCancer_Data!J504</f>
        <v/>
      </c>
      <c r="J504">
        <f>BreastCancer_Data!K504</f>
        <v/>
      </c>
      <c r="K504">
        <f>BreastCancer_Data!L504</f>
        <v/>
      </c>
      <c r="L504">
        <f>BreastCancer_Data!M504</f>
        <v/>
      </c>
      <c r="M504">
        <f>BreastCancer_Data!N504</f>
        <v/>
      </c>
      <c r="N504">
        <f>BreastCancer_Data!O504</f>
        <v/>
      </c>
      <c r="O504">
        <f>0</f>
        <v/>
      </c>
      <c r="P504">
        <f>--(AND(D504&lt;=113.15,E504&lt;=0.15,F504&lt;=15.77,G504&lt;=0.18,H504&lt;=33.27))*0</f>
        <v/>
      </c>
      <c r="Q504">
        <f>--(AND(D504&lt;=113.15,E504&lt;=0.15,F504&lt;=15.77,G504&lt;=0.18,H504&gt;33.27))*0</f>
        <v/>
      </c>
      <c r="R504">
        <f>--(AND(D504&lt;=113.15,E504&lt;=0.15,F504&lt;=15.77,G504&gt;0.18))*0</f>
        <v/>
      </c>
      <c r="S504">
        <f>--(AND(D504&lt;=113.15,E504&lt;=0.15,F504&gt;15.77,H504&lt;=28.86,G504&lt;=0.14))*0</f>
        <v/>
      </c>
      <c r="T504">
        <f>--(AND(D504&lt;=113.15,E504&lt;=0.15,F504&gt;15.77,H504&lt;=28.86,G504&gt;0.14))*1</f>
        <v/>
      </c>
      <c r="U504">
        <f>--(AND(D504&lt;=113.15,E504&lt;=0.15,F504&gt;15.77,H504&gt;28.86,M504&lt;=14.54))*1</f>
        <v/>
      </c>
      <c r="V504">
        <f>--(AND(D504&lt;=113.15,E504&lt;=0.15,F504&gt;15.77,H504&gt;28.86,M504&gt;14.54))*1</f>
        <v/>
      </c>
      <c r="W504">
        <f>--(AND(D504&lt;=113.15,E504&gt;0.15,H504&lt;=23.74))*0</f>
        <v/>
      </c>
      <c r="X504">
        <f>--(AND(D504&lt;=113.15,E504&gt;0.15,H504&gt;23.74,J504&lt;=0.1))*1</f>
        <v/>
      </c>
      <c r="Y504">
        <f>--(AND(D504&lt;=113.15,E504&gt;0.15,H504&gt;23.74,J504&gt;0.1))*1</f>
        <v/>
      </c>
      <c r="Z504">
        <f>--(AND(D504&gt;113.15,K504&lt;=0.22,L504&lt;=0.02))*1</f>
        <v/>
      </c>
      <c r="AA504">
        <f>--(AND(D504&gt;113.15,K504&lt;=0.22,L504&gt;0.02))*0</f>
        <v/>
      </c>
      <c r="AB504">
        <f>--(AND(D504&gt;113.15,K504&gt;0.22,N504&lt;=810.1))*0</f>
        <v/>
      </c>
      <c r="AC504">
        <f>--(AND(D504&gt;113.15,K504&gt;0.22,N504&gt;810.1,I504&lt;=14.95))*1</f>
        <v/>
      </c>
      <c r="AD504">
        <f>--(AND(D504&gt;113.15,K504&gt;0.22,N504&gt;810.1,I504&gt;14.95))*1</f>
        <v/>
      </c>
      <c r="AE504">
        <f>SUM(P504:AD504)</f>
        <v/>
      </c>
      <c r="AF504">
        <f>IF(AE504=1,"Malignant","Benign")</f>
        <v/>
      </c>
      <c r="AG504">
        <f>--(AE504=C504)</f>
        <v/>
      </c>
    </row>
    <row r="505">
      <c r="A505">
        <f>BreastCancer_Data!A505</f>
        <v/>
      </c>
      <c r="B505">
        <f>BreastCancer_Data!B505</f>
        <v/>
      </c>
      <c r="C505">
        <f>BreastCancer_Data!D505</f>
        <v/>
      </c>
      <c r="D505">
        <f>BreastCancer_Data!E505</f>
        <v/>
      </c>
      <c r="E505">
        <f>BreastCancer_Data!F505</f>
        <v/>
      </c>
      <c r="F505">
        <f>BreastCancer_Data!G505</f>
        <v/>
      </c>
      <c r="G505">
        <f>BreastCancer_Data!H505</f>
        <v/>
      </c>
      <c r="H505">
        <f>BreastCancer_Data!I505</f>
        <v/>
      </c>
      <c r="I505">
        <f>BreastCancer_Data!J505</f>
        <v/>
      </c>
      <c r="J505">
        <f>BreastCancer_Data!K505</f>
        <v/>
      </c>
      <c r="K505">
        <f>BreastCancer_Data!L505</f>
        <v/>
      </c>
      <c r="L505">
        <f>BreastCancer_Data!M505</f>
        <v/>
      </c>
      <c r="M505">
        <f>BreastCancer_Data!N505</f>
        <v/>
      </c>
      <c r="N505">
        <f>BreastCancer_Data!O505</f>
        <v/>
      </c>
      <c r="O505">
        <f>0</f>
        <v/>
      </c>
      <c r="P505">
        <f>--(AND(D505&lt;=113.15,E505&lt;=0.15,F505&lt;=15.77,G505&lt;=0.18,H505&lt;=33.27))*0</f>
        <v/>
      </c>
      <c r="Q505">
        <f>--(AND(D505&lt;=113.15,E505&lt;=0.15,F505&lt;=15.77,G505&lt;=0.18,H505&gt;33.27))*0</f>
        <v/>
      </c>
      <c r="R505">
        <f>--(AND(D505&lt;=113.15,E505&lt;=0.15,F505&lt;=15.77,G505&gt;0.18))*0</f>
        <v/>
      </c>
      <c r="S505">
        <f>--(AND(D505&lt;=113.15,E505&lt;=0.15,F505&gt;15.77,H505&lt;=28.86,G505&lt;=0.14))*0</f>
        <v/>
      </c>
      <c r="T505">
        <f>--(AND(D505&lt;=113.15,E505&lt;=0.15,F505&gt;15.77,H505&lt;=28.86,G505&gt;0.14))*1</f>
        <v/>
      </c>
      <c r="U505">
        <f>--(AND(D505&lt;=113.15,E505&lt;=0.15,F505&gt;15.77,H505&gt;28.86,M505&lt;=14.54))*1</f>
        <v/>
      </c>
      <c r="V505">
        <f>--(AND(D505&lt;=113.15,E505&lt;=0.15,F505&gt;15.77,H505&gt;28.86,M505&gt;14.54))*1</f>
        <v/>
      </c>
      <c r="W505">
        <f>--(AND(D505&lt;=113.15,E505&gt;0.15,H505&lt;=23.74))*0</f>
        <v/>
      </c>
      <c r="X505">
        <f>--(AND(D505&lt;=113.15,E505&gt;0.15,H505&gt;23.74,J505&lt;=0.1))*1</f>
        <v/>
      </c>
      <c r="Y505">
        <f>--(AND(D505&lt;=113.15,E505&gt;0.15,H505&gt;23.74,J505&gt;0.1))*1</f>
        <v/>
      </c>
      <c r="Z505">
        <f>--(AND(D505&gt;113.15,K505&lt;=0.22,L505&lt;=0.02))*1</f>
        <v/>
      </c>
      <c r="AA505">
        <f>--(AND(D505&gt;113.15,K505&lt;=0.22,L505&gt;0.02))*0</f>
        <v/>
      </c>
      <c r="AB505">
        <f>--(AND(D505&gt;113.15,K505&gt;0.22,N505&lt;=810.1))*0</f>
        <v/>
      </c>
      <c r="AC505">
        <f>--(AND(D505&gt;113.15,K505&gt;0.22,N505&gt;810.1,I505&lt;=14.95))*1</f>
        <v/>
      </c>
      <c r="AD505">
        <f>--(AND(D505&gt;113.15,K505&gt;0.22,N505&gt;810.1,I505&gt;14.95))*1</f>
        <v/>
      </c>
      <c r="AE505">
        <f>SUM(P505:AD505)</f>
        <v/>
      </c>
      <c r="AF505">
        <f>IF(AE505=1,"Malignant","Benign")</f>
        <v/>
      </c>
      <c r="AG505">
        <f>--(AE505=C505)</f>
        <v/>
      </c>
    </row>
    <row r="506">
      <c r="A506">
        <f>BreastCancer_Data!A506</f>
        <v/>
      </c>
      <c r="B506">
        <f>BreastCancer_Data!B506</f>
        <v/>
      </c>
      <c r="C506">
        <f>BreastCancer_Data!D506</f>
        <v/>
      </c>
      <c r="D506">
        <f>BreastCancer_Data!E506</f>
        <v/>
      </c>
      <c r="E506">
        <f>BreastCancer_Data!F506</f>
        <v/>
      </c>
      <c r="F506">
        <f>BreastCancer_Data!G506</f>
        <v/>
      </c>
      <c r="G506">
        <f>BreastCancer_Data!H506</f>
        <v/>
      </c>
      <c r="H506">
        <f>BreastCancer_Data!I506</f>
        <v/>
      </c>
      <c r="I506">
        <f>BreastCancer_Data!J506</f>
        <v/>
      </c>
      <c r="J506">
        <f>BreastCancer_Data!K506</f>
        <v/>
      </c>
      <c r="K506">
        <f>BreastCancer_Data!L506</f>
        <v/>
      </c>
      <c r="L506">
        <f>BreastCancer_Data!M506</f>
        <v/>
      </c>
      <c r="M506">
        <f>BreastCancer_Data!N506</f>
        <v/>
      </c>
      <c r="N506">
        <f>BreastCancer_Data!O506</f>
        <v/>
      </c>
      <c r="O506">
        <f>0</f>
        <v/>
      </c>
      <c r="P506">
        <f>--(AND(D506&lt;=113.15,E506&lt;=0.15,F506&lt;=15.77,G506&lt;=0.18,H506&lt;=33.27))*0</f>
        <v/>
      </c>
      <c r="Q506">
        <f>--(AND(D506&lt;=113.15,E506&lt;=0.15,F506&lt;=15.77,G506&lt;=0.18,H506&gt;33.27))*0</f>
        <v/>
      </c>
      <c r="R506">
        <f>--(AND(D506&lt;=113.15,E506&lt;=0.15,F506&lt;=15.77,G506&gt;0.18))*0</f>
        <v/>
      </c>
      <c r="S506">
        <f>--(AND(D506&lt;=113.15,E506&lt;=0.15,F506&gt;15.77,H506&lt;=28.86,G506&lt;=0.14))*0</f>
        <v/>
      </c>
      <c r="T506">
        <f>--(AND(D506&lt;=113.15,E506&lt;=0.15,F506&gt;15.77,H506&lt;=28.86,G506&gt;0.14))*1</f>
        <v/>
      </c>
      <c r="U506">
        <f>--(AND(D506&lt;=113.15,E506&lt;=0.15,F506&gt;15.77,H506&gt;28.86,M506&lt;=14.54))*1</f>
        <v/>
      </c>
      <c r="V506">
        <f>--(AND(D506&lt;=113.15,E506&lt;=0.15,F506&gt;15.77,H506&gt;28.86,M506&gt;14.54))*1</f>
        <v/>
      </c>
      <c r="W506">
        <f>--(AND(D506&lt;=113.15,E506&gt;0.15,H506&lt;=23.74))*0</f>
        <v/>
      </c>
      <c r="X506">
        <f>--(AND(D506&lt;=113.15,E506&gt;0.15,H506&gt;23.74,J506&lt;=0.1))*1</f>
        <v/>
      </c>
      <c r="Y506">
        <f>--(AND(D506&lt;=113.15,E506&gt;0.15,H506&gt;23.74,J506&gt;0.1))*1</f>
        <v/>
      </c>
      <c r="Z506">
        <f>--(AND(D506&gt;113.15,K506&lt;=0.22,L506&lt;=0.02))*1</f>
        <v/>
      </c>
      <c r="AA506">
        <f>--(AND(D506&gt;113.15,K506&lt;=0.22,L506&gt;0.02))*0</f>
        <v/>
      </c>
      <c r="AB506">
        <f>--(AND(D506&gt;113.15,K506&gt;0.22,N506&lt;=810.1))*0</f>
        <v/>
      </c>
      <c r="AC506">
        <f>--(AND(D506&gt;113.15,K506&gt;0.22,N506&gt;810.1,I506&lt;=14.95))*1</f>
        <v/>
      </c>
      <c r="AD506">
        <f>--(AND(D506&gt;113.15,K506&gt;0.22,N506&gt;810.1,I506&gt;14.95))*1</f>
        <v/>
      </c>
      <c r="AE506">
        <f>SUM(P506:AD506)</f>
        <v/>
      </c>
      <c r="AF506">
        <f>IF(AE506=1,"Malignant","Benign")</f>
        <v/>
      </c>
      <c r="AG506">
        <f>--(AE506=C506)</f>
        <v/>
      </c>
    </row>
    <row r="507">
      <c r="A507">
        <f>BreastCancer_Data!A507</f>
        <v/>
      </c>
      <c r="B507">
        <f>BreastCancer_Data!B507</f>
        <v/>
      </c>
      <c r="C507">
        <f>BreastCancer_Data!D507</f>
        <v/>
      </c>
      <c r="D507">
        <f>BreastCancer_Data!E507</f>
        <v/>
      </c>
      <c r="E507">
        <f>BreastCancer_Data!F507</f>
        <v/>
      </c>
      <c r="F507">
        <f>BreastCancer_Data!G507</f>
        <v/>
      </c>
      <c r="G507">
        <f>BreastCancer_Data!H507</f>
        <v/>
      </c>
      <c r="H507">
        <f>BreastCancer_Data!I507</f>
        <v/>
      </c>
      <c r="I507">
        <f>BreastCancer_Data!J507</f>
        <v/>
      </c>
      <c r="J507">
        <f>BreastCancer_Data!K507</f>
        <v/>
      </c>
      <c r="K507">
        <f>BreastCancer_Data!L507</f>
        <v/>
      </c>
      <c r="L507">
        <f>BreastCancer_Data!M507</f>
        <v/>
      </c>
      <c r="M507">
        <f>BreastCancer_Data!N507</f>
        <v/>
      </c>
      <c r="N507">
        <f>BreastCancer_Data!O507</f>
        <v/>
      </c>
      <c r="O507">
        <f>0</f>
        <v/>
      </c>
      <c r="P507">
        <f>--(AND(D507&lt;=113.15,E507&lt;=0.15,F507&lt;=15.77,G507&lt;=0.18,H507&lt;=33.27))*0</f>
        <v/>
      </c>
      <c r="Q507">
        <f>--(AND(D507&lt;=113.15,E507&lt;=0.15,F507&lt;=15.77,G507&lt;=0.18,H507&gt;33.27))*0</f>
        <v/>
      </c>
      <c r="R507">
        <f>--(AND(D507&lt;=113.15,E507&lt;=0.15,F507&lt;=15.77,G507&gt;0.18))*0</f>
        <v/>
      </c>
      <c r="S507">
        <f>--(AND(D507&lt;=113.15,E507&lt;=0.15,F507&gt;15.77,H507&lt;=28.86,G507&lt;=0.14))*0</f>
        <v/>
      </c>
      <c r="T507">
        <f>--(AND(D507&lt;=113.15,E507&lt;=0.15,F507&gt;15.77,H507&lt;=28.86,G507&gt;0.14))*1</f>
        <v/>
      </c>
      <c r="U507">
        <f>--(AND(D507&lt;=113.15,E507&lt;=0.15,F507&gt;15.77,H507&gt;28.86,M507&lt;=14.54))*1</f>
        <v/>
      </c>
      <c r="V507">
        <f>--(AND(D507&lt;=113.15,E507&lt;=0.15,F507&gt;15.77,H507&gt;28.86,M507&gt;14.54))*1</f>
        <v/>
      </c>
      <c r="W507">
        <f>--(AND(D507&lt;=113.15,E507&gt;0.15,H507&lt;=23.74))*0</f>
        <v/>
      </c>
      <c r="X507">
        <f>--(AND(D507&lt;=113.15,E507&gt;0.15,H507&gt;23.74,J507&lt;=0.1))*1</f>
        <v/>
      </c>
      <c r="Y507">
        <f>--(AND(D507&lt;=113.15,E507&gt;0.15,H507&gt;23.74,J507&gt;0.1))*1</f>
        <v/>
      </c>
      <c r="Z507">
        <f>--(AND(D507&gt;113.15,K507&lt;=0.22,L507&lt;=0.02))*1</f>
        <v/>
      </c>
      <c r="AA507">
        <f>--(AND(D507&gt;113.15,K507&lt;=0.22,L507&gt;0.02))*0</f>
        <v/>
      </c>
      <c r="AB507">
        <f>--(AND(D507&gt;113.15,K507&gt;0.22,N507&lt;=810.1))*0</f>
        <v/>
      </c>
      <c r="AC507">
        <f>--(AND(D507&gt;113.15,K507&gt;0.22,N507&gt;810.1,I507&lt;=14.95))*1</f>
        <v/>
      </c>
      <c r="AD507">
        <f>--(AND(D507&gt;113.15,K507&gt;0.22,N507&gt;810.1,I507&gt;14.95))*1</f>
        <v/>
      </c>
      <c r="AE507">
        <f>SUM(P507:AD507)</f>
        <v/>
      </c>
      <c r="AF507">
        <f>IF(AE507=1,"Malignant","Benign")</f>
        <v/>
      </c>
      <c r="AG507">
        <f>--(AE507=C507)</f>
        <v/>
      </c>
    </row>
    <row r="508">
      <c r="A508">
        <f>BreastCancer_Data!A508</f>
        <v/>
      </c>
      <c r="B508">
        <f>BreastCancer_Data!B508</f>
        <v/>
      </c>
      <c r="C508">
        <f>BreastCancer_Data!D508</f>
        <v/>
      </c>
      <c r="D508">
        <f>BreastCancer_Data!E508</f>
        <v/>
      </c>
      <c r="E508">
        <f>BreastCancer_Data!F508</f>
        <v/>
      </c>
      <c r="F508">
        <f>BreastCancer_Data!G508</f>
        <v/>
      </c>
      <c r="G508">
        <f>BreastCancer_Data!H508</f>
        <v/>
      </c>
      <c r="H508">
        <f>BreastCancer_Data!I508</f>
        <v/>
      </c>
      <c r="I508">
        <f>BreastCancer_Data!J508</f>
        <v/>
      </c>
      <c r="J508">
        <f>BreastCancer_Data!K508</f>
        <v/>
      </c>
      <c r="K508">
        <f>BreastCancer_Data!L508</f>
        <v/>
      </c>
      <c r="L508">
        <f>BreastCancer_Data!M508</f>
        <v/>
      </c>
      <c r="M508">
        <f>BreastCancer_Data!N508</f>
        <v/>
      </c>
      <c r="N508">
        <f>BreastCancer_Data!O508</f>
        <v/>
      </c>
      <c r="O508">
        <f>0</f>
        <v/>
      </c>
      <c r="P508">
        <f>--(AND(D508&lt;=113.15,E508&lt;=0.15,F508&lt;=15.77,G508&lt;=0.18,H508&lt;=33.27))*0</f>
        <v/>
      </c>
      <c r="Q508">
        <f>--(AND(D508&lt;=113.15,E508&lt;=0.15,F508&lt;=15.77,G508&lt;=0.18,H508&gt;33.27))*0</f>
        <v/>
      </c>
      <c r="R508">
        <f>--(AND(D508&lt;=113.15,E508&lt;=0.15,F508&lt;=15.77,G508&gt;0.18))*0</f>
        <v/>
      </c>
      <c r="S508">
        <f>--(AND(D508&lt;=113.15,E508&lt;=0.15,F508&gt;15.77,H508&lt;=28.86,G508&lt;=0.14))*0</f>
        <v/>
      </c>
      <c r="T508">
        <f>--(AND(D508&lt;=113.15,E508&lt;=0.15,F508&gt;15.77,H508&lt;=28.86,G508&gt;0.14))*1</f>
        <v/>
      </c>
      <c r="U508">
        <f>--(AND(D508&lt;=113.15,E508&lt;=0.15,F508&gt;15.77,H508&gt;28.86,M508&lt;=14.54))*1</f>
        <v/>
      </c>
      <c r="V508">
        <f>--(AND(D508&lt;=113.15,E508&lt;=0.15,F508&gt;15.77,H508&gt;28.86,M508&gt;14.54))*1</f>
        <v/>
      </c>
      <c r="W508">
        <f>--(AND(D508&lt;=113.15,E508&gt;0.15,H508&lt;=23.74))*0</f>
        <v/>
      </c>
      <c r="X508">
        <f>--(AND(D508&lt;=113.15,E508&gt;0.15,H508&gt;23.74,J508&lt;=0.1))*1</f>
        <v/>
      </c>
      <c r="Y508">
        <f>--(AND(D508&lt;=113.15,E508&gt;0.15,H508&gt;23.74,J508&gt;0.1))*1</f>
        <v/>
      </c>
      <c r="Z508">
        <f>--(AND(D508&gt;113.15,K508&lt;=0.22,L508&lt;=0.02))*1</f>
        <v/>
      </c>
      <c r="AA508">
        <f>--(AND(D508&gt;113.15,K508&lt;=0.22,L508&gt;0.02))*0</f>
        <v/>
      </c>
      <c r="AB508">
        <f>--(AND(D508&gt;113.15,K508&gt;0.22,N508&lt;=810.1))*0</f>
        <v/>
      </c>
      <c r="AC508">
        <f>--(AND(D508&gt;113.15,K508&gt;0.22,N508&gt;810.1,I508&lt;=14.95))*1</f>
        <v/>
      </c>
      <c r="AD508">
        <f>--(AND(D508&gt;113.15,K508&gt;0.22,N508&gt;810.1,I508&gt;14.95))*1</f>
        <v/>
      </c>
      <c r="AE508">
        <f>SUM(P508:AD508)</f>
        <v/>
      </c>
      <c r="AF508">
        <f>IF(AE508=1,"Malignant","Benign")</f>
        <v/>
      </c>
      <c r="AG508">
        <f>--(AE508=C508)</f>
        <v/>
      </c>
    </row>
    <row r="509">
      <c r="A509">
        <f>BreastCancer_Data!A509</f>
        <v/>
      </c>
      <c r="B509">
        <f>BreastCancer_Data!B509</f>
        <v/>
      </c>
      <c r="C509">
        <f>BreastCancer_Data!D509</f>
        <v/>
      </c>
      <c r="D509">
        <f>BreastCancer_Data!E509</f>
        <v/>
      </c>
      <c r="E509">
        <f>BreastCancer_Data!F509</f>
        <v/>
      </c>
      <c r="F509">
        <f>BreastCancer_Data!G509</f>
        <v/>
      </c>
      <c r="G509">
        <f>BreastCancer_Data!H509</f>
        <v/>
      </c>
      <c r="H509">
        <f>BreastCancer_Data!I509</f>
        <v/>
      </c>
      <c r="I509">
        <f>BreastCancer_Data!J509</f>
        <v/>
      </c>
      <c r="J509">
        <f>BreastCancer_Data!K509</f>
        <v/>
      </c>
      <c r="K509">
        <f>BreastCancer_Data!L509</f>
        <v/>
      </c>
      <c r="L509">
        <f>BreastCancer_Data!M509</f>
        <v/>
      </c>
      <c r="M509">
        <f>BreastCancer_Data!N509</f>
        <v/>
      </c>
      <c r="N509">
        <f>BreastCancer_Data!O509</f>
        <v/>
      </c>
      <c r="O509">
        <f>0</f>
        <v/>
      </c>
      <c r="P509">
        <f>--(AND(D509&lt;=113.15,E509&lt;=0.15,F509&lt;=15.77,G509&lt;=0.18,H509&lt;=33.27))*0</f>
        <v/>
      </c>
      <c r="Q509">
        <f>--(AND(D509&lt;=113.15,E509&lt;=0.15,F509&lt;=15.77,G509&lt;=0.18,H509&gt;33.27))*0</f>
        <v/>
      </c>
      <c r="R509">
        <f>--(AND(D509&lt;=113.15,E509&lt;=0.15,F509&lt;=15.77,G509&gt;0.18))*0</f>
        <v/>
      </c>
      <c r="S509">
        <f>--(AND(D509&lt;=113.15,E509&lt;=0.15,F509&gt;15.77,H509&lt;=28.86,G509&lt;=0.14))*0</f>
        <v/>
      </c>
      <c r="T509">
        <f>--(AND(D509&lt;=113.15,E509&lt;=0.15,F509&gt;15.77,H509&lt;=28.86,G509&gt;0.14))*1</f>
        <v/>
      </c>
      <c r="U509">
        <f>--(AND(D509&lt;=113.15,E509&lt;=0.15,F509&gt;15.77,H509&gt;28.86,M509&lt;=14.54))*1</f>
        <v/>
      </c>
      <c r="V509">
        <f>--(AND(D509&lt;=113.15,E509&lt;=0.15,F509&gt;15.77,H509&gt;28.86,M509&gt;14.54))*1</f>
        <v/>
      </c>
      <c r="W509">
        <f>--(AND(D509&lt;=113.15,E509&gt;0.15,H509&lt;=23.74))*0</f>
        <v/>
      </c>
      <c r="X509">
        <f>--(AND(D509&lt;=113.15,E509&gt;0.15,H509&gt;23.74,J509&lt;=0.1))*1</f>
        <v/>
      </c>
      <c r="Y509">
        <f>--(AND(D509&lt;=113.15,E509&gt;0.15,H509&gt;23.74,J509&gt;0.1))*1</f>
        <v/>
      </c>
      <c r="Z509">
        <f>--(AND(D509&gt;113.15,K509&lt;=0.22,L509&lt;=0.02))*1</f>
        <v/>
      </c>
      <c r="AA509">
        <f>--(AND(D509&gt;113.15,K509&lt;=0.22,L509&gt;0.02))*0</f>
        <v/>
      </c>
      <c r="AB509">
        <f>--(AND(D509&gt;113.15,K509&gt;0.22,N509&lt;=810.1))*0</f>
        <v/>
      </c>
      <c r="AC509">
        <f>--(AND(D509&gt;113.15,K509&gt;0.22,N509&gt;810.1,I509&lt;=14.95))*1</f>
        <v/>
      </c>
      <c r="AD509">
        <f>--(AND(D509&gt;113.15,K509&gt;0.22,N509&gt;810.1,I509&gt;14.95))*1</f>
        <v/>
      </c>
      <c r="AE509">
        <f>SUM(P509:AD509)</f>
        <v/>
      </c>
      <c r="AF509">
        <f>IF(AE509=1,"Malignant","Benign")</f>
        <v/>
      </c>
      <c r="AG509">
        <f>--(AE509=C509)</f>
        <v/>
      </c>
    </row>
    <row r="510">
      <c r="A510">
        <f>BreastCancer_Data!A510</f>
        <v/>
      </c>
      <c r="B510">
        <f>BreastCancer_Data!B510</f>
        <v/>
      </c>
      <c r="C510">
        <f>BreastCancer_Data!D510</f>
        <v/>
      </c>
      <c r="D510">
        <f>BreastCancer_Data!E510</f>
        <v/>
      </c>
      <c r="E510">
        <f>BreastCancer_Data!F510</f>
        <v/>
      </c>
      <c r="F510">
        <f>BreastCancer_Data!G510</f>
        <v/>
      </c>
      <c r="G510">
        <f>BreastCancer_Data!H510</f>
        <v/>
      </c>
      <c r="H510">
        <f>BreastCancer_Data!I510</f>
        <v/>
      </c>
      <c r="I510">
        <f>BreastCancer_Data!J510</f>
        <v/>
      </c>
      <c r="J510">
        <f>BreastCancer_Data!K510</f>
        <v/>
      </c>
      <c r="K510">
        <f>BreastCancer_Data!L510</f>
        <v/>
      </c>
      <c r="L510">
        <f>BreastCancer_Data!M510</f>
        <v/>
      </c>
      <c r="M510">
        <f>BreastCancer_Data!N510</f>
        <v/>
      </c>
      <c r="N510">
        <f>BreastCancer_Data!O510</f>
        <v/>
      </c>
      <c r="O510">
        <f>0</f>
        <v/>
      </c>
      <c r="P510">
        <f>--(AND(D510&lt;=113.15,E510&lt;=0.15,F510&lt;=15.77,G510&lt;=0.18,H510&lt;=33.27))*0</f>
        <v/>
      </c>
      <c r="Q510">
        <f>--(AND(D510&lt;=113.15,E510&lt;=0.15,F510&lt;=15.77,G510&lt;=0.18,H510&gt;33.27))*0</f>
        <v/>
      </c>
      <c r="R510">
        <f>--(AND(D510&lt;=113.15,E510&lt;=0.15,F510&lt;=15.77,G510&gt;0.18))*0</f>
        <v/>
      </c>
      <c r="S510">
        <f>--(AND(D510&lt;=113.15,E510&lt;=0.15,F510&gt;15.77,H510&lt;=28.86,G510&lt;=0.14))*0</f>
        <v/>
      </c>
      <c r="T510">
        <f>--(AND(D510&lt;=113.15,E510&lt;=0.15,F510&gt;15.77,H510&lt;=28.86,G510&gt;0.14))*1</f>
        <v/>
      </c>
      <c r="U510">
        <f>--(AND(D510&lt;=113.15,E510&lt;=0.15,F510&gt;15.77,H510&gt;28.86,M510&lt;=14.54))*1</f>
        <v/>
      </c>
      <c r="V510">
        <f>--(AND(D510&lt;=113.15,E510&lt;=0.15,F510&gt;15.77,H510&gt;28.86,M510&gt;14.54))*1</f>
        <v/>
      </c>
      <c r="W510">
        <f>--(AND(D510&lt;=113.15,E510&gt;0.15,H510&lt;=23.74))*0</f>
        <v/>
      </c>
      <c r="X510">
        <f>--(AND(D510&lt;=113.15,E510&gt;0.15,H510&gt;23.74,J510&lt;=0.1))*1</f>
        <v/>
      </c>
      <c r="Y510">
        <f>--(AND(D510&lt;=113.15,E510&gt;0.15,H510&gt;23.74,J510&gt;0.1))*1</f>
        <v/>
      </c>
      <c r="Z510">
        <f>--(AND(D510&gt;113.15,K510&lt;=0.22,L510&lt;=0.02))*1</f>
        <v/>
      </c>
      <c r="AA510">
        <f>--(AND(D510&gt;113.15,K510&lt;=0.22,L510&gt;0.02))*0</f>
        <v/>
      </c>
      <c r="AB510">
        <f>--(AND(D510&gt;113.15,K510&gt;0.22,N510&lt;=810.1))*0</f>
        <v/>
      </c>
      <c r="AC510">
        <f>--(AND(D510&gt;113.15,K510&gt;0.22,N510&gt;810.1,I510&lt;=14.95))*1</f>
        <v/>
      </c>
      <c r="AD510">
        <f>--(AND(D510&gt;113.15,K510&gt;0.22,N510&gt;810.1,I510&gt;14.95))*1</f>
        <v/>
      </c>
      <c r="AE510">
        <f>SUM(P510:AD510)</f>
        <v/>
      </c>
      <c r="AF510">
        <f>IF(AE510=1,"Malignant","Benign")</f>
        <v/>
      </c>
      <c r="AG510">
        <f>--(AE510=C510)</f>
        <v/>
      </c>
    </row>
    <row r="511">
      <c r="A511">
        <f>BreastCancer_Data!A511</f>
        <v/>
      </c>
      <c r="B511">
        <f>BreastCancer_Data!B511</f>
        <v/>
      </c>
      <c r="C511">
        <f>BreastCancer_Data!D511</f>
        <v/>
      </c>
      <c r="D511">
        <f>BreastCancer_Data!E511</f>
        <v/>
      </c>
      <c r="E511">
        <f>BreastCancer_Data!F511</f>
        <v/>
      </c>
      <c r="F511">
        <f>BreastCancer_Data!G511</f>
        <v/>
      </c>
      <c r="G511">
        <f>BreastCancer_Data!H511</f>
        <v/>
      </c>
      <c r="H511">
        <f>BreastCancer_Data!I511</f>
        <v/>
      </c>
      <c r="I511">
        <f>BreastCancer_Data!J511</f>
        <v/>
      </c>
      <c r="J511">
        <f>BreastCancer_Data!K511</f>
        <v/>
      </c>
      <c r="K511">
        <f>BreastCancer_Data!L511</f>
        <v/>
      </c>
      <c r="L511">
        <f>BreastCancer_Data!M511</f>
        <v/>
      </c>
      <c r="M511">
        <f>BreastCancer_Data!N511</f>
        <v/>
      </c>
      <c r="N511">
        <f>BreastCancer_Data!O511</f>
        <v/>
      </c>
      <c r="O511">
        <f>0</f>
        <v/>
      </c>
      <c r="P511">
        <f>--(AND(D511&lt;=113.15,E511&lt;=0.15,F511&lt;=15.77,G511&lt;=0.18,H511&lt;=33.27))*0</f>
        <v/>
      </c>
      <c r="Q511">
        <f>--(AND(D511&lt;=113.15,E511&lt;=0.15,F511&lt;=15.77,G511&lt;=0.18,H511&gt;33.27))*0</f>
        <v/>
      </c>
      <c r="R511">
        <f>--(AND(D511&lt;=113.15,E511&lt;=0.15,F511&lt;=15.77,G511&gt;0.18))*0</f>
        <v/>
      </c>
      <c r="S511">
        <f>--(AND(D511&lt;=113.15,E511&lt;=0.15,F511&gt;15.77,H511&lt;=28.86,G511&lt;=0.14))*0</f>
        <v/>
      </c>
      <c r="T511">
        <f>--(AND(D511&lt;=113.15,E511&lt;=0.15,F511&gt;15.77,H511&lt;=28.86,G511&gt;0.14))*1</f>
        <v/>
      </c>
      <c r="U511">
        <f>--(AND(D511&lt;=113.15,E511&lt;=0.15,F511&gt;15.77,H511&gt;28.86,M511&lt;=14.54))*1</f>
        <v/>
      </c>
      <c r="V511">
        <f>--(AND(D511&lt;=113.15,E511&lt;=0.15,F511&gt;15.77,H511&gt;28.86,M511&gt;14.54))*1</f>
        <v/>
      </c>
      <c r="W511">
        <f>--(AND(D511&lt;=113.15,E511&gt;0.15,H511&lt;=23.74))*0</f>
        <v/>
      </c>
      <c r="X511">
        <f>--(AND(D511&lt;=113.15,E511&gt;0.15,H511&gt;23.74,J511&lt;=0.1))*1</f>
        <v/>
      </c>
      <c r="Y511">
        <f>--(AND(D511&lt;=113.15,E511&gt;0.15,H511&gt;23.74,J511&gt;0.1))*1</f>
        <v/>
      </c>
      <c r="Z511">
        <f>--(AND(D511&gt;113.15,K511&lt;=0.22,L511&lt;=0.02))*1</f>
        <v/>
      </c>
      <c r="AA511">
        <f>--(AND(D511&gt;113.15,K511&lt;=0.22,L511&gt;0.02))*0</f>
        <v/>
      </c>
      <c r="AB511">
        <f>--(AND(D511&gt;113.15,K511&gt;0.22,N511&lt;=810.1))*0</f>
        <v/>
      </c>
      <c r="AC511">
        <f>--(AND(D511&gt;113.15,K511&gt;0.22,N511&gt;810.1,I511&lt;=14.95))*1</f>
        <v/>
      </c>
      <c r="AD511">
        <f>--(AND(D511&gt;113.15,K511&gt;0.22,N511&gt;810.1,I511&gt;14.95))*1</f>
        <v/>
      </c>
      <c r="AE511">
        <f>SUM(P511:AD511)</f>
        <v/>
      </c>
      <c r="AF511">
        <f>IF(AE511=1,"Malignant","Benign")</f>
        <v/>
      </c>
      <c r="AG511">
        <f>--(AE511=C511)</f>
        <v/>
      </c>
    </row>
    <row r="512">
      <c r="A512">
        <f>BreastCancer_Data!A512</f>
        <v/>
      </c>
      <c r="B512">
        <f>BreastCancer_Data!B512</f>
        <v/>
      </c>
      <c r="C512">
        <f>BreastCancer_Data!D512</f>
        <v/>
      </c>
      <c r="D512">
        <f>BreastCancer_Data!E512</f>
        <v/>
      </c>
      <c r="E512">
        <f>BreastCancer_Data!F512</f>
        <v/>
      </c>
      <c r="F512">
        <f>BreastCancer_Data!G512</f>
        <v/>
      </c>
      <c r="G512">
        <f>BreastCancer_Data!H512</f>
        <v/>
      </c>
      <c r="H512">
        <f>BreastCancer_Data!I512</f>
        <v/>
      </c>
      <c r="I512">
        <f>BreastCancer_Data!J512</f>
        <v/>
      </c>
      <c r="J512">
        <f>BreastCancer_Data!K512</f>
        <v/>
      </c>
      <c r="K512">
        <f>BreastCancer_Data!L512</f>
        <v/>
      </c>
      <c r="L512">
        <f>BreastCancer_Data!M512</f>
        <v/>
      </c>
      <c r="M512">
        <f>BreastCancer_Data!N512</f>
        <v/>
      </c>
      <c r="N512">
        <f>BreastCancer_Data!O512</f>
        <v/>
      </c>
      <c r="O512">
        <f>0</f>
        <v/>
      </c>
      <c r="P512">
        <f>--(AND(D512&lt;=113.15,E512&lt;=0.15,F512&lt;=15.77,G512&lt;=0.18,H512&lt;=33.27))*0</f>
        <v/>
      </c>
      <c r="Q512">
        <f>--(AND(D512&lt;=113.15,E512&lt;=0.15,F512&lt;=15.77,G512&lt;=0.18,H512&gt;33.27))*0</f>
        <v/>
      </c>
      <c r="R512">
        <f>--(AND(D512&lt;=113.15,E512&lt;=0.15,F512&lt;=15.77,G512&gt;0.18))*0</f>
        <v/>
      </c>
      <c r="S512">
        <f>--(AND(D512&lt;=113.15,E512&lt;=0.15,F512&gt;15.77,H512&lt;=28.86,G512&lt;=0.14))*0</f>
        <v/>
      </c>
      <c r="T512">
        <f>--(AND(D512&lt;=113.15,E512&lt;=0.15,F512&gt;15.77,H512&lt;=28.86,G512&gt;0.14))*1</f>
        <v/>
      </c>
      <c r="U512">
        <f>--(AND(D512&lt;=113.15,E512&lt;=0.15,F512&gt;15.77,H512&gt;28.86,M512&lt;=14.54))*1</f>
        <v/>
      </c>
      <c r="V512">
        <f>--(AND(D512&lt;=113.15,E512&lt;=0.15,F512&gt;15.77,H512&gt;28.86,M512&gt;14.54))*1</f>
        <v/>
      </c>
      <c r="W512">
        <f>--(AND(D512&lt;=113.15,E512&gt;0.15,H512&lt;=23.74))*0</f>
        <v/>
      </c>
      <c r="X512">
        <f>--(AND(D512&lt;=113.15,E512&gt;0.15,H512&gt;23.74,J512&lt;=0.1))*1</f>
        <v/>
      </c>
      <c r="Y512">
        <f>--(AND(D512&lt;=113.15,E512&gt;0.15,H512&gt;23.74,J512&gt;0.1))*1</f>
        <v/>
      </c>
      <c r="Z512">
        <f>--(AND(D512&gt;113.15,K512&lt;=0.22,L512&lt;=0.02))*1</f>
        <v/>
      </c>
      <c r="AA512">
        <f>--(AND(D512&gt;113.15,K512&lt;=0.22,L512&gt;0.02))*0</f>
        <v/>
      </c>
      <c r="AB512">
        <f>--(AND(D512&gt;113.15,K512&gt;0.22,N512&lt;=810.1))*0</f>
        <v/>
      </c>
      <c r="AC512">
        <f>--(AND(D512&gt;113.15,K512&gt;0.22,N512&gt;810.1,I512&lt;=14.95))*1</f>
        <v/>
      </c>
      <c r="AD512">
        <f>--(AND(D512&gt;113.15,K512&gt;0.22,N512&gt;810.1,I512&gt;14.95))*1</f>
        <v/>
      </c>
      <c r="AE512">
        <f>SUM(P512:AD512)</f>
        <v/>
      </c>
      <c r="AF512">
        <f>IF(AE512=1,"Malignant","Benign")</f>
        <v/>
      </c>
      <c r="AG512">
        <f>--(AE512=C512)</f>
        <v/>
      </c>
    </row>
    <row r="513">
      <c r="A513">
        <f>BreastCancer_Data!A513</f>
        <v/>
      </c>
      <c r="B513">
        <f>BreastCancer_Data!B513</f>
        <v/>
      </c>
      <c r="C513">
        <f>BreastCancer_Data!D513</f>
        <v/>
      </c>
      <c r="D513">
        <f>BreastCancer_Data!E513</f>
        <v/>
      </c>
      <c r="E513">
        <f>BreastCancer_Data!F513</f>
        <v/>
      </c>
      <c r="F513">
        <f>BreastCancer_Data!G513</f>
        <v/>
      </c>
      <c r="G513">
        <f>BreastCancer_Data!H513</f>
        <v/>
      </c>
      <c r="H513">
        <f>BreastCancer_Data!I513</f>
        <v/>
      </c>
      <c r="I513">
        <f>BreastCancer_Data!J513</f>
        <v/>
      </c>
      <c r="J513">
        <f>BreastCancer_Data!K513</f>
        <v/>
      </c>
      <c r="K513">
        <f>BreastCancer_Data!L513</f>
        <v/>
      </c>
      <c r="L513">
        <f>BreastCancer_Data!M513</f>
        <v/>
      </c>
      <c r="M513">
        <f>BreastCancer_Data!N513</f>
        <v/>
      </c>
      <c r="N513">
        <f>BreastCancer_Data!O513</f>
        <v/>
      </c>
      <c r="O513">
        <f>0</f>
        <v/>
      </c>
      <c r="P513">
        <f>--(AND(D513&lt;=113.15,E513&lt;=0.15,F513&lt;=15.77,G513&lt;=0.18,H513&lt;=33.27))*0</f>
        <v/>
      </c>
      <c r="Q513">
        <f>--(AND(D513&lt;=113.15,E513&lt;=0.15,F513&lt;=15.77,G513&lt;=0.18,H513&gt;33.27))*0</f>
        <v/>
      </c>
      <c r="R513">
        <f>--(AND(D513&lt;=113.15,E513&lt;=0.15,F513&lt;=15.77,G513&gt;0.18))*0</f>
        <v/>
      </c>
      <c r="S513">
        <f>--(AND(D513&lt;=113.15,E513&lt;=0.15,F513&gt;15.77,H513&lt;=28.86,G513&lt;=0.14))*0</f>
        <v/>
      </c>
      <c r="T513">
        <f>--(AND(D513&lt;=113.15,E513&lt;=0.15,F513&gt;15.77,H513&lt;=28.86,G513&gt;0.14))*1</f>
        <v/>
      </c>
      <c r="U513">
        <f>--(AND(D513&lt;=113.15,E513&lt;=0.15,F513&gt;15.77,H513&gt;28.86,M513&lt;=14.54))*1</f>
        <v/>
      </c>
      <c r="V513">
        <f>--(AND(D513&lt;=113.15,E513&lt;=0.15,F513&gt;15.77,H513&gt;28.86,M513&gt;14.54))*1</f>
        <v/>
      </c>
      <c r="W513">
        <f>--(AND(D513&lt;=113.15,E513&gt;0.15,H513&lt;=23.74))*0</f>
        <v/>
      </c>
      <c r="X513">
        <f>--(AND(D513&lt;=113.15,E513&gt;0.15,H513&gt;23.74,J513&lt;=0.1))*1</f>
        <v/>
      </c>
      <c r="Y513">
        <f>--(AND(D513&lt;=113.15,E513&gt;0.15,H513&gt;23.74,J513&gt;0.1))*1</f>
        <v/>
      </c>
      <c r="Z513">
        <f>--(AND(D513&gt;113.15,K513&lt;=0.22,L513&lt;=0.02))*1</f>
        <v/>
      </c>
      <c r="AA513">
        <f>--(AND(D513&gt;113.15,K513&lt;=0.22,L513&gt;0.02))*0</f>
        <v/>
      </c>
      <c r="AB513">
        <f>--(AND(D513&gt;113.15,K513&gt;0.22,N513&lt;=810.1))*0</f>
        <v/>
      </c>
      <c r="AC513">
        <f>--(AND(D513&gt;113.15,K513&gt;0.22,N513&gt;810.1,I513&lt;=14.95))*1</f>
        <v/>
      </c>
      <c r="AD513">
        <f>--(AND(D513&gt;113.15,K513&gt;0.22,N513&gt;810.1,I513&gt;14.95))*1</f>
        <v/>
      </c>
      <c r="AE513">
        <f>SUM(P513:AD513)</f>
        <v/>
      </c>
      <c r="AF513">
        <f>IF(AE513=1,"Malignant","Benign")</f>
        <v/>
      </c>
      <c r="AG513">
        <f>--(AE513=C513)</f>
        <v/>
      </c>
    </row>
    <row r="514">
      <c r="A514">
        <f>BreastCancer_Data!A514</f>
        <v/>
      </c>
      <c r="B514">
        <f>BreastCancer_Data!B514</f>
        <v/>
      </c>
      <c r="C514">
        <f>BreastCancer_Data!D514</f>
        <v/>
      </c>
      <c r="D514">
        <f>BreastCancer_Data!E514</f>
        <v/>
      </c>
      <c r="E514">
        <f>BreastCancer_Data!F514</f>
        <v/>
      </c>
      <c r="F514">
        <f>BreastCancer_Data!G514</f>
        <v/>
      </c>
      <c r="G514">
        <f>BreastCancer_Data!H514</f>
        <v/>
      </c>
      <c r="H514">
        <f>BreastCancer_Data!I514</f>
        <v/>
      </c>
      <c r="I514">
        <f>BreastCancer_Data!J514</f>
        <v/>
      </c>
      <c r="J514">
        <f>BreastCancer_Data!K514</f>
        <v/>
      </c>
      <c r="K514">
        <f>BreastCancer_Data!L514</f>
        <v/>
      </c>
      <c r="L514">
        <f>BreastCancer_Data!M514</f>
        <v/>
      </c>
      <c r="M514">
        <f>BreastCancer_Data!N514</f>
        <v/>
      </c>
      <c r="N514">
        <f>BreastCancer_Data!O514</f>
        <v/>
      </c>
      <c r="O514">
        <f>0</f>
        <v/>
      </c>
      <c r="P514">
        <f>--(AND(D514&lt;=113.15,E514&lt;=0.15,F514&lt;=15.77,G514&lt;=0.18,H514&lt;=33.27))*0</f>
        <v/>
      </c>
      <c r="Q514">
        <f>--(AND(D514&lt;=113.15,E514&lt;=0.15,F514&lt;=15.77,G514&lt;=0.18,H514&gt;33.27))*0</f>
        <v/>
      </c>
      <c r="R514">
        <f>--(AND(D514&lt;=113.15,E514&lt;=0.15,F514&lt;=15.77,G514&gt;0.18))*0</f>
        <v/>
      </c>
      <c r="S514">
        <f>--(AND(D514&lt;=113.15,E514&lt;=0.15,F514&gt;15.77,H514&lt;=28.86,G514&lt;=0.14))*0</f>
        <v/>
      </c>
      <c r="T514">
        <f>--(AND(D514&lt;=113.15,E514&lt;=0.15,F514&gt;15.77,H514&lt;=28.86,G514&gt;0.14))*1</f>
        <v/>
      </c>
      <c r="U514">
        <f>--(AND(D514&lt;=113.15,E514&lt;=0.15,F514&gt;15.77,H514&gt;28.86,M514&lt;=14.54))*1</f>
        <v/>
      </c>
      <c r="V514">
        <f>--(AND(D514&lt;=113.15,E514&lt;=0.15,F514&gt;15.77,H514&gt;28.86,M514&gt;14.54))*1</f>
        <v/>
      </c>
      <c r="W514">
        <f>--(AND(D514&lt;=113.15,E514&gt;0.15,H514&lt;=23.74))*0</f>
        <v/>
      </c>
      <c r="X514">
        <f>--(AND(D514&lt;=113.15,E514&gt;0.15,H514&gt;23.74,J514&lt;=0.1))*1</f>
        <v/>
      </c>
      <c r="Y514">
        <f>--(AND(D514&lt;=113.15,E514&gt;0.15,H514&gt;23.74,J514&gt;0.1))*1</f>
        <v/>
      </c>
      <c r="Z514">
        <f>--(AND(D514&gt;113.15,K514&lt;=0.22,L514&lt;=0.02))*1</f>
        <v/>
      </c>
      <c r="AA514">
        <f>--(AND(D514&gt;113.15,K514&lt;=0.22,L514&gt;0.02))*0</f>
        <v/>
      </c>
      <c r="AB514">
        <f>--(AND(D514&gt;113.15,K514&gt;0.22,N514&lt;=810.1))*0</f>
        <v/>
      </c>
      <c r="AC514">
        <f>--(AND(D514&gt;113.15,K514&gt;0.22,N514&gt;810.1,I514&lt;=14.95))*1</f>
        <v/>
      </c>
      <c r="AD514">
        <f>--(AND(D514&gt;113.15,K514&gt;0.22,N514&gt;810.1,I514&gt;14.95))*1</f>
        <v/>
      </c>
      <c r="AE514">
        <f>SUM(P514:AD514)</f>
        <v/>
      </c>
      <c r="AF514">
        <f>IF(AE514=1,"Malignant","Benign")</f>
        <v/>
      </c>
      <c r="AG514">
        <f>--(AE514=C514)</f>
        <v/>
      </c>
    </row>
    <row r="515">
      <c r="A515">
        <f>BreastCancer_Data!A515</f>
        <v/>
      </c>
      <c r="B515">
        <f>BreastCancer_Data!B515</f>
        <v/>
      </c>
      <c r="C515">
        <f>BreastCancer_Data!D515</f>
        <v/>
      </c>
      <c r="D515">
        <f>BreastCancer_Data!E515</f>
        <v/>
      </c>
      <c r="E515">
        <f>BreastCancer_Data!F515</f>
        <v/>
      </c>
      <c r="F515">
        <f>BreastCancer_Data!G515</f>
        <v/>
      </c>
      <c r="G515">
        <f>BreastCancer_Data!H515</f>
        <v/>
      </c>
      <c r="H515">
        <f>BreastCancer_Data!I515</f>
        <v/>
      </c>
      <c r="I515">
        <f>BreastCancer_Data!J515</f>
        <v/>
      </c>
      <c r="J515">
        <f>BreastCancer_Data!K515</f>
        <v/>
      </c>
      <c r="K515">
        <f>BreastCancer_Data!L515</f>
        <v/>
      </c>
      <c r="L515">
        <f>BreastCancer_Data!M515</f>
        <v/>
      </c>
      <c r="M515">
        <f>BreastCancer_Data!N515</f>
        <v/>
      </c>
      <c r="N515">
        <f>BreastCancer_Data!O515</f>
        <v/>
      </c>
      <c r="O515">
        <f>0</f>
        <v/>
      </c>
      <c r="P515">
        <f>--(AND(D515&lt;=113.15,E515&lt;=0.15,F515&lt;=15.77,G515&lt;=0.18,H515&lt;=33.27))*0</f>
        <v/>
      </c>
      <c r="Q515">
        <f>--(AND(D515&lt;=113.15,E515&lt;=0.15,F515&lt;=15.77,G515&lt;=0.18,H515&gt;33.27))*0</f>
        <v/>
      </c>
      <c r="R515">
        <f>--(AND(D515&lt;=113.15,E515&lt;=0.15,F515&lt;=15.77,G515&gt;0.18))*0</f>
        <v/>
      </c>
      <c r="S515">
        <f>--(AND(D515&lt;=113.15,E515&lt;=0.15,F515&gt;15.77,H515&lt;=28.86,G515&lt;=0.14))*0</f>
        <v/>
      </c>
      <c r="T515">
        <f>--(AND(D515&lt;=113.15,E515&lt;=0.15,F515&gt;15.77,H515&lt;=28.86,G515&gt;0.14))*1</f>
        <v/>
      </c>
      <c r="U515">
        <f>--(AND(D515&lt;=113.15,E515&lt;=0.15,F515&gt;15.77,H515&gt;28.86,M515&lt;=14.54))*1</f>
        <v/>
      </c>
      <c r="V515">
        <f>--(AND(D515&lt;=113.15,E515&lt;=0.15,F515&gt;15.77,H515&gt;28.86,M515&gt;14.54))*1</f>
        <v/>
      </c>
      <c r="W515">
        <f>--(AND(D515&lt;=113.15,E515&gt;0.15,H515&lt;=23.74))*0</f>
        <v/>
      </c>
      <c r="X515">
        <f>--(AND(D515&lt;=113.15,E515&gt;0.15,H515&gt;23.74,J515&lt;=0.1))*1</f>
        <v/>
      </c>
      <c r="Y515">
        <f>--(AND(D515&lt;=113.15,E515&gt;0.15,H515&gt;23.74,J515&gt;0.1))*1</f>
        <v/>
      </c>
      <c r="Z515">
        <f>--(AND(D515&gt;113.15,K515&lt;=0.22,L515&lt;=0.02))*1</f>
        <v/>
      </c>
      <c r="AA515">
        <f>--(AND(D515&gt;113.15,K515&lt;=0.22,L515&gt;0.02))*0</f>
        <v/>
      </c>
      <c r="AB515">
        <f>--(AND(D515&gt;113.15,K515&gt;0.22,N515&lt;=810.1))*0</f>
        <v/>
      </c>
      <c r="AC515">
        <f>--(AND(D515&gt;113.15,K515&gt;0.22,N515&gt;810.1,I515&lt;=14.95))*1</f>
        <v/>
      </c>
      <c r="AD515">
        <f>--(AND(D515&gt;113.15,K515&gt;0.22,N515&gt;810.1,I515&gt;14.95))*1</f>
        <v/>
      </c>
      <c r="AE515">
        <f>SUM(P515:AD515)</f>
        <v/>
      </c>
      <c r="AF515">
        <f>IF(AE515=1,"Malignant","Benign")</f>
        <v/>
      </c>
      <c r="AG515">
        <f>--(AE515=C515)</f>
        <v/>
      </c>
    </row>
    <row r="516">
      <c r="A516">
        <f>BreastCancer_Data!A516</f>
        <v/>
      </c>
      <c r="B516">
        <f>BreastCancer_Data!B516</f>
        <v/>
      </c>
      <c r="C516">
        <f>BreastCancer_Data!D516</f>
        <v/>
      </c>
      <c r="D516">
        <f>BreastCancer_Data!E516</f>
        <v/>
      </c>
      <c r="E516">
        <f>BreastCancer_Data!F516</f>
        <v/>
      </c>
      <c r="F516">
        <f>BreastCancer_Data!G516</f>
        <v/>
      </c>
      <c r="G516">
        <f>BreastCancer_Data!H516</f>
        <v/>
      </c>
      <c r="H516">
        <f>BreastCancer_Data!I516</f>
        <v/>
      </c>
      <c r="I516">
        <f>BreastCancer_Data!J516</f>
        <v/>
      </c>
      <c r="J516">
        <f>BreastCancer_Data!K516</f>
        <v/>
      </c>
      <c r="K516">
        <f>BreastCancer_Data!L516</f>
        <v/>
      </c>
      <c r="L516">
        <f>BreastCancer_Data!M516</f>
        <v/>
      </c>
      <c r="M516">
        <f>BreastCancer_Data!N516</f>
        <v/>
      </c>
      <c r="N516">
        <f>BreastCancer_Data!O516</f>
        <v/>
      </c>
      <c r="O516">
        <f>0</f>
        <v/>
      </c>
      <c r="P516">
        <f>--(AND(D516&lt;=113.15,E516&lt;=0.15,F516&lt;=15.77,G516&lt;=0.18,H516&lt;=33.27))*0</f>
        <v/>
      </c>
      <c r="Q516">
        <f>--(AND(D516&lt;=113.15,E516&lt;=0.15,F516&lt;=15.77,G516&lt;=0.18,H516&gt;33.27))*0</f>
        <v/>
      </c>
      <c r="R516">
        <f>--(AND(D516&lt;=113.15,E516&lt;=0.15,F516&lt;=15.77,G516&gt;0.18))*0</f>
        <v/>
      </c>
      <c r="S516">
        <f>--(AND(D516&lt;=113.15,E516&lt;=0.15,F516&gt;15.77,H516&lt;=28.86,G516&lt;=0.14))*0</f>
        <v/>
      </c>
      <c r="T516">
        <f>--(AND(D516&lt;=113.15,E516&lt;=0.15,F516&gt;15.77,H516&lt;=28.86,G516&gt;0.14))*1</f>
        <v/>
      </c>
      <c r="U516">
        <f>--(AND(D516&lt;=113.15,E516&lt;=0.15,F516&gt;15.77,H516&gt;28.86,M516&lt;=14.54))*1</f>
        <v/>
      </c>
      <c r="V516">
        <f>--(AND(D516&lt;=113.15,E516&lt;=0.15,F516&gt;15.77,H516&gt;28.86,M516&gt;14.54))*1</f>
        <v/>
      </c>
      <c r="W516">
        <f>--(AND(D516&lt;=113.15,E516&gt;0.15,H516&lt;=23.74))*0</f>
        <v/>
      </c>
      <c r="X516">
        <f>--(AND(D516&lt;=113.15,E516&gt;0.15,H516&gt;23.74,J516&lt;=0.1))*1</f>
        <v/>
      </c>
      <c r="Y516">
        <f>--(AND(D516&lt;=113.15,E516&gt;0.15,H516&gt;23.74,J516&gt;0.1))*1</f>
        <v/>
      </c>
      <c r="Z516">
        <f>--(AND(D516&gt;113.15,K516&lt;=0.22,L516&lt;=0.02))*1</f>
        <v/>
      </c>
      <c r="AA516">
        <f>--(AND(D516&gt;113.15,K516&lt;=0.22,L516&gt;0.02))*0</f>
        <v/>
      </c>
      <c r="AB516">
        <f>--(AND(D516&gt;113.15,K516&gt;0.22,N516&lt;=810.1))*0</f>
        <v/>
      </c>
      <c r="AC516">
        <f>--(AND(D516&gt;113.15,K516&gt;0.22,N516&gt;810.1,I516&lt;=14.95))*1</f>
        <v/>
      </c>
      <c r="AD516">
        <f>--(AND(D516&gt;113.15,K516&gt;0.22,N516&gt;810.1,I516&gt;14.95))*1</f>
        <v/>
      </c>
      <c r="AE516">
        <f>SUM(P516:AD516)</f>
        <v/>
      </c>
      <c r="AF516">
        <f>IF(AE516=1,"Malignant","Benign")</f>
        <v/>
      </c>
      <c r="AG516">
        <f>--(AE516=C516)</f>
        <v/>
      </c>
    </row>
    <row r="517">
      <c r="A517">
        <f>BreastCancer_Data!A517</f>
        <v/>
      </c>
      <c r="B517">
        <f>BreastCancer_Data!B517</f>
        <v/>
      </c>
      <c r="C517">
        <f>BreastCancer_Data!D517</f>
        <v/>
      </c>
      <c r="D517">
        <f>BreastCancer_Data!E517</f>
        <v/>
      </c>
      <c r="E517">
        <f>BreastCancer_Data!F517</f>
        <v/>
      </c>
      <c r="F517">
        <f>BreastCancer_Data!G517</f>
        <v/>
      </c>
      <c r="G517">
        <f>BreastCancer_Data!H517</f>
        <v/>
      </c>
      <c r="H517">
        <f>BreastCancer_Data!I517</f>
        <v/>
      </c>
      <c r="I517">
        <f>BreastCancer_Data!J517</f>
        <v/>
      </c>
      <c r="J517">
        <f>BreastCancer_Data!K517</f>
        <v/>
      </c>
      <c r="K517">
        <f>BreastCancer_Data!L517</f>
        <v/>
      </c>
      <c r="L517">
        <f>BreastCancer_Data!M517</f>
        <v/>
      </c>
      <c r="M517">
        <f>BreastCancer_Data!N517</f>
        <v/>
      </c>
      <c r="N517">
        <f>BreastCancer_Data!O517</f>
        <v/>
      </c>
      <c r="O517">
        <f>0</f>
        <v/>
      </c>
      <c r="P517">
        <f>--(AND(D517&lt;=113.15,E517&lt;=0.15,F517&lt;=15.77,G517&lt;=0.18,H517&lt;=33.27))*0</f>
        <v/>
      </c>
      <c r="Q517">
        <f>--(AND(D517&lt;=113.15,E517&lt;=0.15,F517&lt;=15.77,G517&lt;=0.18,H517&gt;33.27))*0</f>
        <v/>
      </c>
      <c r="R517">
        <f>--(AND(D517&lt;=113.15,E517&lt;=0.15,F517&lt;=15.77,G517&gt;0.18))*0</f>
        <v/>
      </c>
      <c r="S517">
        <f>--(AND(D517&lt;=113.15,E517&lt;=0.15,F517&gt;15.77,H517&lt;=28.86,G517&lt;=0.14))*0</f>
        <v/>
      </c>
      <c r="T517">
        <f>--(AND(D517&lt;=113.15,E517&lt;=0.15,F517&gt;15.77,H517&lt;=28.86,G517&gt;0.14))*1</f>
        <v/>
      </c>
      <c r="U517">
        <f>--(AND(D517&lt;=113.15,E517&lt;=0.15,F517&gt;15.77,H517&gt;28.86,M517&lt;=14.54))*1</f>
        <v/>
      </c>
      <c r="V517">
        <f>--(AND(D517&lt;=113.15,E517&lt;=0.15,F517&gt;15.77,H517&gt;28.86,M517&gt;14.54))*1</f>
        <v/>
      </c>
      <c r="W517">
        <f>--(AND(D517&lt;=113.15,E517&gt;0.15,H517&lt;=23.74))*0</f>
        <v/>
      </c>
      <c r="X517">
        <f>--(AND(D517&lt;=113.15,E517&gt;0.15,H517&gt;23.74,J517&lt;=0.1))*1</f>
        <v/>
      </c>
      <c r="Y517">
        <f>--(AND(D517&lt;=113.15,E517&gt;0.15,H517&gt;23.74,J517&gt;0.1))*1</f>
        <v/>
      </c>
      <c r="Z517">
        <f>--(AND(D517&gt;113.15,K517&lt;=0.22,L517&lt;=0.02))*1</f>
        <v/>
      </c>
      <c r="AA517">
        <f>--(AND(D517&gt;113.15,K517&lt;=0.22,L517&gt;0.02))*0</f>
        <v/>
      </c>
      <c r="AB517">
        <f>--(AND(D517&gt;113.15,K517&gt;0.22,N517&lt;=810.1))*0</f>
        <v/>
      </c>
      <c r="AC517">
        <f>--(AND(D517&gt;113.15,K517&gt;0.22,N517&gt;810.1,I517&lt;=14.95))*1</f>
        <v/>
      </c>
      <c r="AD517">
        <f>--(AND(D517&gt;113.15,K517&gt;0.22,N517&gt;810.1,I517&gt;14.95))*1</f>
        <v/>
      </c>
      <c r="AE517">
        <f>SUM(P517:AD517)</f>
        <v/>
      </c>
      <c r="AF517">
        <f>IF(AE517=1,"Malignant","Benign")</f>
        <v/>
      </c>
      <c r="AG517">
        <f>--(AE517=C517)</f>
        <v/>
      </c>
    </row>
    <row r="518">
      <c r="A518">
        <f>BreastCancer_Data!A518</f>
        <v/>
      </c>
      <c r="B518">
        <f>BreastCancer_Data!B518</f>
        <v/>
      </c>
      <c r="C518">
        <f>BreastCancer_Data!D518</f>
        <v/>
      </c>
      <c r="D518">
        <f>BreastCancer_Data!E518</f>
        <v/>
      </c>
      <c r="E518">
        <f>BreastCancer_Data!F518</f>
        <v/>
      </c>
      <c r="F518">
        <f>BreastCancer_Data!G518</f>
        <v/>
      </c>
      <c r="G518">
        <f>BreastCancer_Data!H518</f>
        <v/>
      </c>
      <c r="H518">
        <f>BreastCancer_Data!I518</f>
        <v/>
      </c>
      <c r="I518">
        <f>BreastCancer_Data!J518</f>
        <v/>
      </c>
      <c r="J518">
        <f>BreastCancer_Data!K518</f>
        <v/>
      </c>
      <c r="K518">
        <f>BreastCancer_Data!L518</f>
        <v/>
      </c>
      <c r="L518">
        <f>BreastCancer_Data!M518</f>
        <v/>
      </c>
      <c r="M518">
        <f>BreastCancer_Data!N518</f>
        <v/>
      </c>
      <c r="N518">
        <f>BreastCancer_Data!O518</f>
        <v/>
      </c>
      <c r="O518">
        <f>0</f>
        <v/>
      </c>
      <c r="P518">
        <f>--(AND(D518&lt;=113.15,E518&lt;=0.15,F518&lt;=15.77,G518&lt;=0.18,H518&lt;=33.27))*0</f>
        <v/>
      </c>
      <c r="Q518">
        <f>--(AND(D518&lt;=113.15,E518&lt;=0.15,F518&lt;=15.77,G518&lt;=0.18,H518&gt;33.27))*0</f>
        <v/>
      </c>
      <c r="R518">
        <f>--(AND(D518&lt;=113.15,E518&lt;=0.15,F518&lt;=15.77,G518&gt;0.18))*0</f>
        <v/>
      </c>
      <c r="S518">
        <f>--(AND(D518&lt;=113.15,E518&lt;=0.15,F518&gt;15.77,H518&lt;=28.86,G518&lt;=0.14))*0</f>
        <v/>
      </c>
      <c r="T518">
        <f>--(AND(D518&lt;=113.15,E518&lt;=0.15,F518&gt;15.77,H518&lt;=28.86,G518&gt;0.14))*1</f>
        <v/>
      </c>
      <c r="U518">
        <f>--(AND(D518&lt;=113.15,E518&lt;=0.15,F518&gt;15.77,H518&gt;28.86,M518&lt;=14.54))*1</f>
        <v/>
      </c>
      <c r="V518">
        <f>--(AND(D518&lt;=113.15,E518&lt;=0.15,F518&gt;15.77,H518&gt;28.86,M518&gt;14.54))*1</f>
        <v/>
      </c>
      <c r="W518">
        <f>--(AND(D518&lt;=113.15,E518&gt;0.15,H518&lt;=23.74))*0</f>
        <v/>
      </c>
      <c r="X518">
        <f>--(AND(D518&lt;=113.15,E518&gt;0.15,H518&gt;23.74,J518&lt;=0.1))*1</f>
        <v/>
      </c>
      <c r="Y518">
        <f>--(AND(D518&lt;=113.15,E518&gt;0.15,H518&gt;23.74,J518&gt;0.1))*1</f>
        <v/>
      </c>
      <c r="Z518">
        <f>--(AND(D518&gt;113.15,K518&lt;=0.22,L518&lt;=0.02))*1</f>
        <v/>
      </c>
      <c r="AA518">
        <f>--(AND(D518&gt;113.15,K518&lt;=0.22,L518&gt;0.02))*0</f>
        <v/>
      </c>
      <c r="AB518">
        <f>--(AND(D518&gt;113.15,K518&gt;0.22,N518&lt;=810.1))*0</f>
        <v/>
      </c>
      <c r="AC518">
        <f>--(AND(D518&gt;113.15,K518&gt;0.22,N518&gt;810.1,I518&lt;=14.95))*1</f>
        <v/>
      </c>
      <c r="AD518">
        <f>--(AND(D518&gt;113.15,K518&gt;0.22,N518&gt;810.1,I518&gt;14.95))*1</f>
        <v/>
      </c>
      <c r="AE518">
        <f>SUM(P518:AD518)</f>
        <v/>
      </c>
      <c r="AF518">
        <f>IF(AE518=1,"Malignant","Benign")</f>
        <v/>
      </c>
      <c r="AG518">
        <f>--(AE518=C518)</f>
        <v/>
      </c>
    </row>
    <row r="519">
      <c r="A519">
        <f>BreastCancer_Data!A519</f>
        <v/>
      </c>
      <c r="B519">
        <f>BreastCancer_Data!B519</f>
        <v/>
      </c>
      <c r="C519">
        <f>BreastCancer_Data!D519</f>
        <v/>
      </c>
      <c r="D519">
        <f>BreastCancer_Data!E519</f>
        <v/>
      </c>
      <c r="E519">
        <f>BreastCancer_Data!F519</f>
        <v/>
      </c>
      <c r="F519">
        <f>BreastCancer_Data!G519</f>
        <v/>
      </c>
      <c r="G519">
        <f>BreastCancer_Data!H519</f>
        <v/>
      </c>
      <c r="H519">
        <f>BreastCancer_Data!I519</f>
        <v/>
      </c>
      <c r="I519">
        <f>BreastCancer_Data!J519</f>
        <v/>
      </c>
      <c r="J519">
        <f>BreastCancer_Data!K519</f>
        <v/>
      </c>
      <c r="K519">
        <f>BreastCancer_Data!L519</f>
        <v/>
      </c>
      <c r="L519">
        <f>BreastCancer_Data!M519</f>
        <v/>
      </c>
      <c r="M519">
        <f>BreastCancer_Data!N519</f>
        <v/>
      </c>
      <c r="N519">
        <f>BreastCancer_Data!O519</f>
        <v/>
      </c>
      <c r="O519">
        <f>0</f>
        <v/>
      </c>
      <c r="P519">
        <f>--(AND(D519&lt;=113.15,E519&lt;=0.15,F519&lt;=15.77,G519&lt;=0.18,H519&lt;=33.27))*0</f>
        <v/>
      </c>
      <c r="Q519">
        <f>--(AND(D519&lt;=113.15,E519&lt;=0.15,F519&lt;=15.77,G519&lt;=0.18,H519&gt;33.27))*0</f>
        <v/>
      </c>
      <c r="R519">
        <f>--(AND(D519&lt;=113.15,E519&lt;=0.15,F519&lt;=15.77,G519&gt;0.18))*0</f>
        <v/>
      </c>
      <c r="S519">
        <f>--(AND(D519&lt;=113.15,E519&lt;=0.15,F519&gt;15.77,H519&lt;=28.86,G519&lt;=0.14))*0</f>
        <v/>
      </c>
      <c r="T519">
        <f>--(AND(D519&lt;=113.15,E519&lt;=0.15,F519&gt;15.77,H519&lt;=28.86,G519&gt;0.14))*1</f>
        <v/>
      </c>
      <c r="U519">
        <f>--(AND(D519&lt;=113.15,E519&lt;=0.15,F519&gt;15.77,H519&gt;28.86,M519&lt;=14.54))*1</f>
        <v/>
      </c>
      <c r="V519">
        <f>--(AND(D519&lt;=113.15,E519&lt;=0.15,F519&gt;15.77,H519&gt;28.86,M519&gt;14.54))*1</f>
        <v/>
      </c>
      <c r="W519">
        <f>--(AND(D519&lt;=113.15,E519&gt;0.15,H519&lt;=23.74))*0</f>
        <v/>
      </c>
      <c r="X519">
        <f>--(AND(D519&lt;=113.15,E519&gt;0.15,H519&gt;23.74,J519&lt;=0.1))*1</f>
        <v/>
      </c>
      <c r="Y519">
        <f>--(AND(D519&lt;=113.15,E519&gt;0.15,H519&gt;23.74,J519&gt;0.1))*1</f>
        <v/>
      </c>
      <c r="Z519">
        <f>--(AND(D519&gt;113.15,K519&lt;=0.22,L519&lt;=0.02))*1</f>
        <v/>
      </c>
      <c r="AA519">
        <f>--(AND(D519&gt;113.15,K519&lt;=0.22,L519&gt;0.02))*0</f>
        <v/>
      </c>
      <c r="AB519">
        <f>--(AND(D519&gt;113.15,K519&gt;0.22,N519&lt;=810.1))*0</f>
        <v/>
      </c>
      <c r="AC519">
        <f>--(AND(D519&gt;113.15,K519&gt;0.22,N519&gt;810.1,I519&lt;=14.95))*1</f>
        <v/>
      </c>
      <c r="AD519">
        <f>--(AND(D519&gt;113.15,K519&gt;0.22,N519&gt;810.1,I519&gt;14.95))*1</f>
        <v/>
      </c>
      <c r="AE519">
        <f>SUM(P519:AD519)</f>
        <v/>
      </c>
      <c r="AF519">
        <f>IF(AE519=1,"Malignant","Benign")</f>
        <v/>
      </c>
      <c r="AG519">
        <f>--(AE519=C519)</f>
        <v/>
      </c>
    </row>
    <row r="520">
      <c r="A520">
        <f>BreastCancer_Data!A520</f>
        <v/>
      </c>
      <c r="B520">
        <f>BreastCancer_Data!B520</f>
        <v/>
      </c>
      <c r="C520">
        <f>BreastCancer_Data!D520</f>
        <v/>
      </c>
      <c r="D520">
        <f>BreastCancer_Data!E520</f>
        <v/>
      </c>
      <c r="E520">
        <f>BreastCancer_Data!F520</f>
        <v/>
      </c>
      <c r="F520">
        <f>BreastCancer_Data!G520</f>
        <v/>
      </c>
      <c r="G520">
        <f>BreastCancer_Data!H520</f>
        <v/>
      </c>
      <c r="H520">
        <f>BreastCancer_Data!I520</f>
        <v/>
      </c>
      <c r="I520">
        <f>BreastCancer_Data!J520</f>
        <v/>
      </c>
      <c r="J520">
        <f>BreastCancer_Data!K520</f>
        <v/>
      </c>
      <c r="K520">
        <f>BreastCancer_Data!L520</f>
        <v/>
      </c>
      <c r="L520">
        <f>BreastCancer_Data!M520</f>
        <v/>
      </c>
      <c r="M520">
        <f>BreastCancer_Data!N520</f>
        <v/>
      </c>
      <c r="N520">
        <f>BreastCancer_Data!O520</f>
        <v/>
      </c>
      <c r="O520">
        <f>0</f>
        <v/>
      </c>
      <c r="P520">
        <f>--(AND(D520&lt;=113.15,E520&lt;=0.15,F520&lt;=15.77,G520&lt;=0.18,H520&lt;=33.27))*0</f>
        <v/>
      </c>
      <c r="Q520">
        <f>--(AND(D520&lt;=113.15,E520&lt;=0.15,F520&lt;=15.77,G520&lt;=0.18,H520&gt;33.27))*0</f>
        <v/>
      </c>
      <c r="R520">
        <f>--(AND(D520&lt;=113.15,E520&lt;=0.15,F520&lt;=15.77,G520&gt;0.18))*0</f>
        <v/>
      </c>
      <c r="S520">
        <f>--(AND(D520&lt;=113.15,E520&lt;=0.15,F520&gt;15.77,H520&lt;=28.86,G520&lt;=0.14))*0</f>
        <v/>
      </c>
      <c r="T520">
        <f>--(AND(D520&lt;=113.15,E520&lt;=0.15,F520&gt;15.77,H520&lt;=28.86,G520&gt;0.14))*1</f>
        <v/>
      </c>
      <c r="U520">
        <f>--(AND(D520&lt;=113.15,E520&lt;=0.15,F520&gt;15.77,H520&gt;28.86,M520&lt;=14.54))*1</f>
        <v/>
      </c>
      <c r="V520">
        <f>--(AND(D520&lt;=113.15,E520&lt;=0.15,F520&gt;15.77,H520&gt;28.86,M520&gt;14.54))*1</f>
        <v/>
      </c>
      <c r="W520">
        <f>--(AND(D520&lt;=113.15,E520&gt;0.15,H520&lt;=23.74))*0</f>
        <v/>
      </c>
      <c r="X520">
        <f>--(AND(D520&lt;=113.15,E520&gt;0.15,H520&gt;23.74,J520&lt;=0.1))*1</f>
        <v/>
      </c>
      <c r="Y520">
        <f>--(AND(D520&lt;=113.15,E520&gt;0.15,H520&gt;23.74,J520&gt;0.1))*1</f>
        <v/>
      </c>
      <c r="Z520">
        <f>--(AND(D520&gt;113.15,K520&lt;=0.22,L520&lt;=0.02))*1</f>
        <v/>
      </c>
      <c r="AA520">
        <f>--(AND(D520&gt;113.15,K520&lt;=0.22,L520&gt;0.02))*0</f>
        <v/>
      </c>
      <c r="AB520">
        <f>--(AND(D520&gt;113.15,K520&gt;0.22,N520&lt;=810.1))*0</f>
        <v/>
      </c>
      <c r="AC520">
        <f>--(AND(D520&gt;113.15,K520&gt;0.22,N520&gt;810.1,I520&lt;=14.95))*1</f>
        <v/>
      </c>
      <c r="AD520">
        <f>--(AND(D520&gt;113.15,K520&gt;0.22,N520&gt;810.1,I520&gt;14.95))*1</f>
        <v/>
      </c>
      <c r="AE520">
        <f>SUM(P520:AD520)</f>
        <v/>
      </c>
      <c r="AF520">
        <f>IF(AE520=1,"Malignant","Benign")</f>
        <v/>
      </c>
      <c r="AG520">
        <f>--(AE520=C520)</f>
        <v/>
      </c>
    </row>
    <row r="521">
      <c r="A521">
        <f>BreastCancer_Data!A521</f>
        <v/>
      </c>
      <c r="B521">
        <f>BreastCancer_Data!B521</f>
        <v/>
      </c>
      <c r="C521">
        <f>BreastCancer_Data!D521</f>
        <v/>
      </c>
      <c r="D521">
        <f>BreastCancer_Data!E521</f>
        <v/>
      </c>
      <c r="E521">
        <f>BreastCancer_Data!F521</f>
        <v/>
      </c>
      <c r="F521">
        <f>BreastCancer_Data!G521</f>
        <v/>
      </c>
      <c r="G521">
        <f>BreastCancer_Data!H521</f>
        <v/>
      </c>
      <c r="H521">
        <f>BreastCancer_Data!I521</f>
        <v/>
      </c>
      <c r="I521">
        <f>BreastCancer_Data!J521</f>
        <v/>
      </c>
      <c r="J521">
        <f>BreastCancer_Data!K521</f>
        <v/>
      </c>
      <c r="K521">
        <f>BreastCancer_Data!L521</f>
        <v/>
      </c>
      <c r="L521">
        <f>BreastCancer_Data!M521</f>
        <v/>
      </c>
      <c r="M521">
        <f>BreastCancer_Data!N521</f>
        <v/>
      </c>
      <c r="N521">
        <f>BreastCancer_Data!O521</f>
        <v/>
      </c>
      <c r="O521">
        <f>0</f>
        <v/>
      </c>
      <c r="P521">
        <f>--(AND(D521&lt;=113.15,E521&lt;=0.15,F521&lt;=15.77,G521&lt;=0.18,H521&lt;=33.27))*0</f>
        <v/>
      </c>
      <c r="Q521">
        <f>--(AND(D521&lt;=113.15,E521&lt;=0.15,F521&lt;=15.77,G521&lt;=0.18,H521&gt;33.27))*0</f>
        <v/>
      </c>
      <c r="R521">
        <f>--(AND(D521&lt;=113.15,E521&lt;=0.15,F521&lt;=15.77,G521&gt;0.18))*0</f>
        <v/>
      </c>
      <c r="S521">
        <f>--(AND(D521&lt;=113.15,E521&lt;=0.15,F521&gt;15.77,H521&lt;=28.86,G521&lt;=0.14))*0</f>
        <v/>
      </c>
      <c r="T521">
        <f>--(AND(D521&lt;=113.15,E521&lt;=0.15,F521&gt;15.77,H521&lt;=28.86,G521&gt;0.14))*1</f>
        <v/>
      </c>
      <c r="U521">
        <f>--(AND(D521&lt;=113.15,E521&lt;=0.15,F521&gt;15.77,H521&gt;28.86,M521&lt;=14.54))*1</f>
        <v/>
      </c>
      <c r="V521">
        <f>--(AND(D521&lt;=113.15,E521&lt;=0.15,F521&gt;15.77,H521&gt;28.86,M521&gt;14.54))*1</f>
        <v/>
      </c>
      <c r="W521">
        <f>--(AND(D521&lt;=113.15,E521&gt;0.15,H521&lt;=23.74))*0</f>
        <v/>
      </c>
      <c r="X521">
        <f>--(AND(D521&lt;=113.15,E521&gt;0.15,H521&gt;23.74,J521&lt;=0.1))*1</f>
        <v/>
      </c>
      <c r="Y521">
        <f>--(AND(D521&lt;=113.15,E521&gt;0.15,H521&gt;23.74,J521&gt;0.1))*1</f>
        <v/>
      </c>
      <c r="Z521">
        <f>--(AND(D521&gt;113.15,K521&lt;=0.22,L521&lt;=0.02))*1</f>
        <v/>
      </c>
      <c r="AA521">
        <f>--(AND(D521&gt;113.15,K521&lt;=0.22,L521&gt;0.02))*0</f>
        <v/>
      </c>
      <c r="AB521">
        <f>--(AND(D521&gt;113.15,K521&gt;0.22,N521&lt;=810.1))*0</f>
        <v/>
      </c>
      <c r="AC521">
        <f>--(AND(D521&gt;113.15,K521&gt;0.22,N521&gt;810.1,I521&lt;=14.95))*1</f>
        <v/>
      </c>
      <c r="AD521">
        <f>--(AND(D521&gt;113.15,K521&gt;0.22,N521&gt;810.1,I521&gt;14.95))*1</f>
        <v/>
      </c>
      <c r="AE521">
        <f>SUM(P521:AD521)</f>
        <v/>
      </c>
      <c r="AF521">
        <f>IF(AE521=1,"Malignant","Benign")</f>
        <v/>
      </c>
      <c r="AG521">
        <f>--(AE521=C521)</f>
        <v/>
      </c>
    </row>
    <row r="522">
      <c r="A522">
        <f>BreastCancer_Data!A522</f>
        <v/>
      </c>
      <c r="B522">
        <f>BreastCancer_Data!B522</f>
        <v/>
      </c>
      <c r="C522">
        <f>BreastCancer_Data!D522</f>
        <v/>
      </c>
      <c r="D522">
        <f>BreastCancer_Data!E522</f>
        <v/>
      </c>
      <c r="E522">
        <f>BreastCancer_Data!F522</f>
        <v/>
      </c>
      <c r="F522">
        <f>BreastCancer_Data!G522</f>
        <v/>
      </c>
      <c r="G522">
        <f>BreastCancer_Data!H522</f>
        <v/>
      </c>
      <c r="H522">
        <f>BreastCancer_Data!I522</f>
        <v/>
      </c>
      <c r="I522">
        <f>BreastCancer_Data!J522</f>
        <v/>
      </c>
      <c r="J522">
        <f>BreastCancer_Data!K522</f>
        <v/>
      </c>
      <c r="K522">
        <f>BreastCancer_Data!L522</f>
        <v/>
      </c>
      <c r="L522">
        <f>BreastCancer_Data!M522</f>
        <v/>
      </c>
      <c r="M522">
        <f>BreastCancer_Data!N522</f>
        <v/>
      </c>
      <c r="N522">
        <f>BreastCancer_Data!O522</f>
        <v/>
      </c>
      <c r="O522">
        <f>0</f>
        <v/>
      </c>
      <c r="P522">
        <f>--(AND(D522&lt;=113.15,E522&lt;=0.15,F522&lt;=15.77,G522&lt;=0.18,H522&lt;=33.27))*0</f>
        <v/>
      </c>
      <c r="Q522">
        <f>--(AND(D522&lt;=113.15,E522&lt;=0.15,F522&lt;=15.77,G522&lt;=0.18,H522&gt;33.27))*0</f>
        <v/>
      </c>
      <c r="R522">
        <f>--(AND(D522&lt;=113.15,E522&lt;=0.15,F522&lt;=15.77,G522&gt;0.18))*0</f>
        <v/>
      </c>
      <c r="S522">
        <f>--(AND(D522&lt;=113.15,E522&lt;=0.15,F522&gt;15.77,H522&lt;=28.86,G522&lt;=0.14))*0</f>
        <v/>
      </c>
      <c r="T522">
        <f>--(AND(D522&lt;=113.15,E522&lt;=0.15,F522&gt;15.77,H522&lt;=28.86,G522&gt;0.14))*1</f>
        <v/>
      </c>
      <c r="U522">
        <f>--(AND(D522&lt;=113.15,E522&lt;=0.15,F522&gt;15.77,H522&gt;28.86,M522&lt;=14.54))*1</f>
        <v/>
      </c>
      <c r="V522">
        <f>--(AND(D522&lt;=113.15,E522&lt;=0.15,F522&gt;15.77,H522&gt;28.86,M522&gt;14.54))*1</f>
        <v/>
      </c>
      <c r="W522">
        <f>--(AND(D522&lt;=113.15,E522&gt;0.15,H522&lt;=23.74))*0</f>
        <v/>
      </c>
      <c r="X522">
        <f>--(AND(D522&lt;=113.15,E522&gt;0.15,H522&gt;23.74,J522&lt;=0.1))*1</f>
        <v/>
      </c>
      <c r="Y522">
        <f>--(AND(D522&lt;=113.15,E522&gt;0.15,H522&gt;23.74,J522&gt;0.1))*1</f>
        <v/>
      </c>
      <c r="Z522">
        <f>--(AND(D522&gt;113.15,K522&lt;=0.22,L522&lt;=0.02))*1</f>
        <v/>
      </c>
      <c r="AA522">
        <f>--(AND(D522&gt;113.15,K522&lt;=0.22,L522&gt;0.02))*0</f>
        <v/>
      </c>
      <c r="AB522">
        <f>--(AND(D522&gt;113.15,K522&gt;0.22,N522&lt;=810.1))*0</f>
        <v/>
      </c>
      <c r="AC522">
        <f>--(AND(D522&gt;113.15,K522&gt;0.22,N522&gt;810.1,I522&lt;=14.95))*1</f>
        <v/>
      </c>
      <c r="AD522">
        <f>--(AND(D522&gt;113.15,K522&gt;0.22,N522&gt;810.1,I522&gt;14.95))*1</f>
        <v/>
      </c>
      <c r="AE522">
        <f>SUM(P522:AD522)</f>
        <v/>
      </c>
      <c r="AF522">
        <f>IF(AE522=1,"Malignant","Benign")</f>
        <v/>
      </c>
      <c r="AG522">
        <f>--(AE522=C522)</f>
        <v/>
      </c>
    </row>
    <row r="523">
      <c r="A523">
        <f>BreastCancer_Data!A523</f>
        <v/>
      </c>
      <c r="B523">
        <f>BreastCancer_Data!B523</f>
        <v/>
      </c>
      <c r="C523">
        <f>BreastCancer_Data!D523</f>
        <v/>
      </c>
      <c r="D523">
        <f>BreastCancer_Data!E523</f>
        <v/>
      </c>
      <c r="E523">
        <f>BreastCancer_Data!F523</f>
        <v/>
      </c>
      <c r="F523">
        <f>BreastCancer_Data!G523</f>
        <v/>
      </c>
      <c r="G523">
        <f>BreastCancer_Data!H523</f>
        <v/>
      </c>
      <c r="H523">
        <f>BreastCancer_Data!I523</f>
        <v/>
      </c>
      <c r="I523">
        <f>BreastCancer_Data!J523</f>
        <v/>
      </c>
      <c r="J523">
        <f>BreastCancer_Data!K523</f>
        <v/>
      </c>
      <c r="K523">
        <f>BreastCancer_Data!L523</f>
        <v/>
      </c>
      <c r="L523">
        <f>BreastCancer_Data!M523</f>
        <v/>
      </c>
      <c r="M523">
        <f>BreastCancer_Data!N523</f>
        <v/>
      </c>
      <c r="N523">
        <f>BreastCancer_Data!O523</f>
        <v/>
      </c>
      <c r="O523">
        <f>0</f>
        <v/>
      </c>
      <c r="P523">
        <f>--(AND(D523&lt;=113.15,E523&lt;=0.15,F523&lt;=15.77,G523&lt;=0.18,H523&lt;=33.27))*0</f>
        <v/>
      </c>
      <c r="Q523">
        <f>--(AND(D523&lt;=113.15,E523&lt;=0.15,F523&lt;=15.77,G523&lt;=0.18,H523&gt;33.27))*0</f>
        <v/>
      </c>
      <c r="R523">
        <f>--(AND(D523&lt;=113.15,E523&lt;=0.15,F523&lt;=15.77,G523&gt;0.18))*0</f>
        <v/>
      </c>
      <c r="S523">
        <f>--(AND(D523&lt;=113.15,E523&lt;=0.15,F523&gt;15.77,H523&lt;=28.86,G523&lt;=0.14))*0</f>
        <v/>
      </c>
      <c r="T523">
        <f>--(AND(D523&lt;=113.15,E523&lt;=0.15,F523&gt;15.77,H523&lt;=28.86,G523&gt;0.14))*1</f>
        <v/>
      </c>
      <c r="U523">
        <f>--(AND(D523&lt;=113.15,E523&lt;=0.15,F523&gt;15.77,H523&gt;28.86,M523&lt;=14.54))*1</f>
        <v/>
      </c>
      <c r="V523">
        <f>--(AND(D523&lt;=113.15,E523&lt;=0.15,F523&gt;15.77,H523&gt;28.86,M523&gt;14.54))*1</f>
        <v/>
      </c>
      <c r="W523">
        <f>--(AND(D523&lt;=113.15,E523&gt;0.15,H523&lt;=23.74))*0</f>
        <v/>
      </c>
      <c r="X523">
        <f>--(AND(D523&lt;=113.15,E523&gt;0.15,H523&gt;23.74,J523&lt;=0.1))*1</f>
        <v/>
      </c>
      <c r="Y523">
        <f>--(AND(D523&lt;=113.15,E523&gt;0.15,H523&gt;23.74,J523&gt;0.1))*1</f>
        <v/>
      </c>
      <c r="Z523">
        <f>--(AND(D523&gt;113.15,K523&lt;=0.22,L523&lt;=0.02))*1</f>
        <v/>
      </c>
      <c r="AA523">
        <f>--(AND(D523&gt;113.15,K523&lt;=0.22,L523&gt;0.02))*0</f>
        <v/>
      </c>
      <c r="AB523">
        <f>--(AND(D523&gt;113.15,K523&gt;0.22,N523&lt;=810.1))*0</f>
        <v/>
      </c>
      <c r="AC523">
        <f>--(AND(D523&gt;113.15,K523&gt;0.22,N523&gt;810.1,I523&lt;=14.95))*1</f>
        <v/>
      </c>
      <c r="AD523">
        <f>--(AND(D523&gt;113.15,K523&gt;0.22,N523&gt;810.1,I523&gt;14.95))*1</f>
        <v/>
      </c>
      <c r="AE523">
        <f>SUM(P523:AD523)</f>
        <v/>
      </c>
      <c r="AF523">
        <f>IF(AE523=1,"Malignant","Benign")</f>
        <v/>
      </c>
      <c r="AG523">
        <f>--(AE523=C523)</f>
        <v/>
      </c>
    </row>
    <row r="524">
      <c r="A524">
        <f>BreastCancer_Data!A524</f>
        <v/>
      </c>
      <c r="B524">
        <f>BreastCancer_Data!B524</f>
        <v/>
      </c>
      <c r="C524">
        <f>BreastCancer_Data!D524</f>
        <v/>
      </c>
      <c r="D524">
        <f>BreastCancer_Data!E524</f>
        <v/>
      </c>
      <c r="E524">
        <f>BreastCancer_Data!F524</f>
        <v/>
      </c>
      <c r="F524">
        <f>BreastCancer_Data!G524</f>
        <v/>
      </c>
      <c r="G524">
        <f>BreastCancer_Data!H524</f>
        <v/>
      </c>
      <c r="H524">
        <f>BreastCancer_Data!I524</f>
        <v/>
      </c>
      <c r="I524">
        <f>BreastCancer_Data!J524</f>
        <v/>
      </c>
      <c r="J524">
        <f>BreastCancer_Data!K524</f>
        <v/>
      </c>
      <c r="K524">
        <f>BreastCancer_Data!L524</f>
        <v/>
      </c>
      <c r="L524">
        <f>BreastCancer_Data!M524</f>
        <v/>
      </c>
      <c r="M524">
        <f>BreastCancer_Data!N524</f>
        <v/>
      </c>
      <c r="N524">
        <f>BreastCancer_Data!O524</f>
        <v/>
      </c>
      <c r="O524">
        <f>0</f>
        <v/>
      </c>
      <c r="P524">
        <f>--(AND(D524&lt;=113.15,E524&lt;=0.15,F524&lt;=15.77,G524&lt;=0.18,H524&lt;=33.27))*0</f>
        <v/>
      </c>
      <c r="Q524">
        <f>--(AND(D524&lt;=113.15,E524&lt;=0.15,F524&lt;=15.77,G524&lt;=0.18,H524&gt;33.27))*0</f>
        <v/>
      </c>
      <c r="R524">
        <f>--(AND(D524&lt;=113.15,E524&lt;=0.15,F524&lt;=15.77,G524&gt;0.18))*0</f>
        <v/>
      </c>
      <c r="S524">
        <f>--(AND(D524&lt;=113.15,E524&lt;=0.15,F524&gt;15.77,H524&lt;=28.86,G524&lt;=0.14))*0</f>
        <v/>
      </c>
      <c r="T524">
        <f>--(AND(D524&lt;=113.15,E524&lt;=0.15,F524&gt;15.77,H524&lt;=28.86,G524&gt;0.14))*1</f>
        <v/>
      </c>
      <c r="U524">
        <f>--(AND(D524&lt;=113.15,E524&lt;=0.15,F524&gt;15.77,H524&gt;28.86,M524&lt;=14.54))*1</f>
        <v/>
      </c>
      <c r="V524">
        <f>--(AND(D524&lt;=113.15,E524&lt;=0.15,F524&gt;15.77,H524&gt;28.86,M524&gt;14.54))*1</f>
        <v/>
      </c>
      <c r="W524">
        <f>--(AND(D524&lt;=113.15,E524&gt;0.15,H524&lt;=23.74))*0</f>
        <v/>
      </c>
      <c r="X524">
        <f>--(AND(D524&lt;=113.15,E524&gt;0.15,H524&gt;23.74,J524&lt;=0.1))*1</f>
        <v/>
      </c>
      <c r="Y524">
        <f>--(AND(D524&lt;=113.15,E524&gt;0.15,H524&gt;23.74,J524&gt;0.1))*1</f>
        <v/>
      </c>
      <c r="Z524">
        <f>--(AND(D524&gt;113.15,K524&lt;=0.22,L524&lt;=0.02))*1</f>
        <v/>
      </c>
      <c r="AA524">
        <f>--(AND(D524&gt;113.15,K524&lt;=0.22,L524&gt;0.02))*0</f>
        <v/>
      </c>
      <c r="AB524">
        <f>--(AND(D524&gt;113.15,K524&gt;0.22,N524&lt;=810.1))*0</f>
        <v/>
      </c>
      <c r="AC524">
        <f>--(AND(D524&gt;113.15,K524&gt;0.22,N524&gt;810.1,I524&lt;=14.95))*1</f>
        <v/>
      </c>
      <c r="AD524">
        <f>--(AND(D524&gt;113.15,K524&gt;0.22,N524&gt;810.1,I524&gt;14.95))*1</f>
        <v/>
      </c>
      <c r="AE524">
        <f>SUM(P524:AD524)</f>
        <v/>
      </c>
      <c r="AF524">
        <f>IF(AE524=1,"Malignant","Benign")</f>
        <v/>
      </c>
      <c r="AG524">
        <f>--(AE524=C524)</f>
        <v/>
      </c>
    </row>
    <row r="525">
      <c r="A525">
        <f>BreastCancer_Data!A525</f>
        <v/>
      </c>
      <c r="B525">
        <f>BreastCancer_Data!B525</f>
        <v/>
      </c>
      <c r="C525">
        <f>BreastCancer_Data!D525</f>
        <v/>
      </c>
      <c r="D525">
        <f>BreastCancer_Data!E525</f>
        <v/>
      </c>
      <c r="E525">
        <f>BreastCancer_Data!F525</f>
        <v/>
      </c>
      <c r="F525">
        <f>BreastCancer_Data!G525</f>
        <v/>
      </c>
      <c r="G525">
        <f>BreastCancer_Data!H525</f>
        <v/>
      </c>
      <c r="H525">
        <f>BreastCancer_Data!I525</f>
        <v/>
      </c>
      <c r="I525">
        <f>BreastCancer_Data!J525</f>
        <v/>
      </c>
      <c r="J525">
        <f>BreastCancer_Data!K525</f>
        <v/>
      </c>
      <c r="K525">
        <f>BreastCancer_Data!L525</f>
        <v/>
      </c>
      <c r="L525">
        <f>BreastCancer_Data!M525</f>
        <v/>
      </c>
      <c r="M525">
        <f>BreastCancer_Data!N525</f>
        <v/>
      </c>
      <c r="N525">
        <f>BreastCancer_Data!O525</f>
        <v/>
      </c>
      <c r="O525">
        <f>0</f>
        <v/>
      </c>
      <c r="P525">
        <f>--(AND(D525&lt;=113.15,E525&lt;=0.15,F525&lt;=15.77,G525&lt;=0.18,H525&lt;=33.27))*0</f>
        <v/>
      </c>
      <c r="Q525">
        <f>--(AND(D525&lt;=113.15,E525&lt;=0.15,F525&lt;=15.77,G525&lt;=0.18,H525&gt;33.27))*0</f>
        <v/>
      </c>
      <c r="R525">
        <f>--(AND(D525&lt;=113.15,E525&lt;=0.15,F525&lt;=15.77,G525&gt;0.18))*0</f>
        <v/>
      </c>
      <c r="S525">
        <f>--(AND(D525&lt;=113.15,E525&lt;=0.15,F525&gt;15.77,H525&lt;=28.86,G525&lt;=0.14))*0</f>
        <v/>
      </c>
      <c r="T525">
        <f>--(AND(D525&lt;=113.15,E525&lt;=0.15,F525&gt;15.77,H525&lt;=28.86,G525&gt;0.14))*1</f>
        <v/>
      </c>
      <c r="U525">
        <f>--(AND(D525&lt;=113.15,E525&lt;=0.15,F525&gt;15.77,H525&gt;28.86,M525&lt;=14.54))*1</f>
        <v/>
      </c>
      <c r="V525">
        <f>--(AND(D525&lt;=113.15,E525&lt;=0.15,F525&gt;15.77,H525&gt;28.86,M525&gt;14.54))*1</f>
        <v/>
      </c>
      <c r="W525">
        <f>--(AND(D525&lt;=113.15,E525&gt;0.15,H525&lt;=23.74))*0</f>
        <v/>
      </c>
      <c r="X525">
        <f>--(AND(D525&lt;=113.15,E525&gt;0.15,H525&gt;23.74,J525&lt;=0.1))*1</f>
        <v/>
      </c>
      <c r="Y525">
        <f>--(AND(D525&lt;=113.15,E525&gt;0.15,H525&gt;23.74,J525&gt;0.1))*1</f>
        <v/>
      </c>
      <c r="Z525">
        <f>--(AND(D525&gt;113.15,K525&lt;=0.22,L525&lt;=0.02))*1</f>
        <v/>
      </c>
      <c r="AA525">
        <f>--(AND(D525&gt;113.15,K525&lt;=0.22,L525&gt;0.02))*0</f>
        <v/>
      </c>
      <c r="AB525">
        <f>--(AND(D525&gt;113.15,K525&gt;0.22,N525&lt;=810.1))*0</f>
        <v/>
      </c>
      <c r="AC525">
        <f>--(AND(D525&gt;113.15,K525&gt;0.22,N525&gt;810.1,I525&lt;=14.95))*1</f>
        <v/>
      </c>
      <c r="AD525">
        <f>--(AND(D525&gt;113.15,K525&gt;0.22,N525&gt;810.1,I525&gt;14.95))*1</f>
        <v/>
      </c>
      <c r="AE525">
        <f>SUM(P525:AD525)</f>
        <v/>
      </c>
      <c r="AF525">
        <f>IF(AE525=1,"Malignant","Benign")</f>
        <v/>
      </c>
      <c r="AG525">
        <f>--(AE525=C525)</f>
        <v/>
      </c>
    </row>
    <row r="526">
      <c r="A526">
        <f>BreastCancer_Data!A526</f>
        <v/>
      </c>
      <c r="B526">
        <f>BreastCancer_Data!B526</f>
        <v/>
      </c>
      <c r="C526">
        <f>BreastCancer_Data!D526</f>
        <v/>
      </c>
      <c r="D526">
        <f>BreastCancer_Data!E526</f>
        <v/>
      </c>
      <c r="E526">
        <f>BreastCancer_Data!F526</f>
        <v/>
      </c>
      <c r="F526">
        <f>BreastCancer_Data!G526</f>
        <v/>
      </c>
      <c r="G526">
        <f>BreastCancer_Data!H526</f>
        <v/>
      </c>
      <c r="H526">
        <f>BreastCancer_Data!I526</f>
        <v/>
      </c>
      <c r="I526">
        <f>BreastCancer_Data!J526</f>
        <v/>
      </c>
      <c r="J526">
        <f>BreastCancer_Data!K526</f>
        <v/>
      </c>
      <c r="K526">
        <f>BreastCancer_Data!L526</f>
        <v/>
      </c>
      <c r="L526">
        <f>BreastCancer_Data!M526</f>
        <v/>
      </c>
      <c r="M526">
        <f>BreastCancer_Data!N526</f>
        <v/>
      </c>
      <c r="N526">
        <f>BreastCancer_Data!O526</f>
        <v/>
      </c>
      <c r="O526">
        <f>0</f>
        <v/>
      </c>
      <c r="P526">
        <f>--(AND(D526&lt;=113.15,E526&lt;=0.15,F526&lt;=15.77,G526&lt;=0.18,H526&lt;=33.27))*0</f>
        <v/>
      </c>
      <c r="Q526">
        <f>--(AND(D526&lt;=113.15,E526&lt;=0.15,F526&lt;=15.77,G526&lt;=0.18,H526&gt;33.27))*0</f>
        <v/>
      </c>
      <c r="R526">
        <f>--(AND(D526&lt;=113.15,E526&lt;=0.15,F526&lt;=15.77,G526&gt;0.18))*0</f>
        <v/>
      </c>
      <c r="S526">
        <f>--(AND(D526&lt;=113.15,E526&lt;=0.15,F526&gt;15.77,H526&lt;=28.86,G526&lt;=0.14))*0</f>
        <v/>
      </c>
      <c r="T526">
        <f>--(AND(D526&lt;=113.15,E526&lt;=0.15,F526&gt;15.77,H526&lt;=28.86,G526&gt;0.14))*1</f>
        <v/>
      </c>
      <c r="U526">
        <f>--(AND(D526&lt;=113.15,E526&lt;=0.15,F526&gt;15.77,H526&gt;28.86,M526&lt;=14.54))*1</f>
        <v/>
      </c>
      <c r="V526">
        <f>--(AND(D526&lt;=113.15,E526&lt;=0.15,F526&gt;15.77,H526&gt;28.86,M526&gt;14.54))*1</f>
        <v/>
      </c>
      <c r="W526">
        <f>--(AND(D526&lt;=113.15,E526&gt;0.15,H526&lt;=23.74))*0</f>
        <v/>
      </c>
      <c r="X526">
        <f>--(AND(D526&lt;=113.15,E526&gt;0.15,H526&gt;23.74,J526&lt;=0.1))*1</f>
        <v/>
      </c>
      <c r="Y526">
        <f>--(AND(D526&lt;=113.15,E526&gt;0.15,H526&gt;23.74,J526&gt;0.1))*1</f>
        <v/>
      </c>
      <c r="Z526">
        <f>--(AND(D526&gt;113.15,K526&lt;=0.22,L526&lt;=0.02))*1</f>
        <v/>
      </c>
      <c r="AA526">
        <f>--(AND(D526&gt;113.15,K526&lt;=0.22,L526&gt;0.02))*0</f>
        <v/>
      </c>
      <c r="AB526">
        <f>--(AND(D526&gt;113.15,K526&gt;0.22,N526&lt;=810.1))*0</f>
        <v/>
      </c>
      <c r="AC526">
        <f>--(AND(D526&gt;113.15,K526&gt;0.22,N526&gt;810.1,I526&lt;=14.95))*1</f>
        <v/>
      </c>
      <c r="AD526">
        <f>--(AND(D526&gt;113.15,K526&gt;0.22,N526&gt;810.1,I526&gt;14.95))*1</f>
        <v/>
      </c>
      <c r="AE526">
        <f>SUM(P526:AD526)</f>
        <v/>
      </c>
      <c r="AF526">
        <f>IF(AE526=1,"Malignant","Benign")</f>
        <v/>
      </c>
      <c r="AG526">
        <f>--(AE526=C526)</f>
        <v/>
      </c>
    </row>
    <row r="527">
      <c r="A527">
        <f>BreastCancer_Data!A527</f>
        <v/>
      </c>
      <c r="B527">
        <f>BreastCancer_Data!B527</f>
        <v/>
      </c>
      <c r="C527">
        <f>BreastCancer_Data!D527</f>
        <v/>
      </c>
      <c r="D527">
        <f>BreastCancer_Data!E527</f>
        <v/>
      </c>
      <c r="E527">
        <f>BreastCancer_Data!F527</f>
        <v/>
      </c>
      <c r="F527">
        <f>BreastCancer_Data!G527</f>
        <v/>
      </c>
      <c r="G527">
        <f>BreastCancer_Data!H527</f>
        <v/>
      </c>
      <c r="H527">
        <f>BreastCancer_Data!I527</f>
        <v/>
      </c>
      <c r="I527">
        <f>BreastCancer_Data!J527</f>
        <v/>
      </c>
      <c r="J527">
        <f>BreastCancer_Data!K527</f>
        <v/>
      </c>
      <c r="K527">
        <f>BreastCancer_Data!L527</f>
        <v/>
      </c>
      <c r="L527">
        <f>BreastCancer_Data!M527</f>
        <v/>
      </c>
      <c r="M527">
        <f>BreastCancer_Data!N527</f>
        <v/>
      </c>
      <c r="N527">
        <f>BreastCancer_Data!O527</f>
        <v/>
      </c>
      <c r="O527">
        <f>0</f>
        <v/>
      </c>
      <c r="P527">
        <f>--(AND(D527&lt;=113.15,E527&lt;=0.15,F527&lt;=15.77,G527&lt;=0.18,H527&lt;=33.27))*0</f>
        <v/>
      </c>
      <c r="Q527">
        <f>--(AND(D527&lt;=113.15,E527&lt;=0.15,F527&lt;=15.77,G527&lt;=0.18,H527&gt;33.27))*0</f>
        <v/>
      </c>
      <c r="R527">
        <f>--(AND(D527&lt;=113.15,E527&lt;=0.15,F527&lt;=15.77,G527&gt;0.18))*0</f>
        <v/>
      </c>
      <c r="S527">
        <f>--(AND(D527&lt;=113.15,E527&lt;=0.15,F527&gt;15.77,H527&lt;=28.86,G527&lt;=0.14))*0</f>
        <v/>
      </c>
      <c r="T527">
        <f>--(AND(D527&lt;=113.15,E527&lt;=0.15,F527&gt;15.77,H527&lt;=28.86,G527&gt;0.14))*1</f>
        <v/>
      </c>
      <c r="U527">
        <f>--(AND(D527&lt;=113.15,E527&lt;=0.15,F527&gt;15.77,H527&gt;28.86,M527&lt;=14.54))*1</f>
        <v/>
      </c>
      <c r="V527">
        <f>--(AND(D527&lt;=113.15,E527&lt;=0.15,F527&gt;15.77,H527&gt;28.86,M527&gt;14.54))*1</f>
        <v/>
      </c>
      <c r="W527">
        <f>--(AND(D527&lt;=113.15,E527&gt;0.15,H527&lt;=23.74))*0</f>
        <v/>
      </c>
      <c r="X527">
        <f>--(AND(D527&lt;=113.15,E527&gt;0.15,H527&gt;23.74,J527&lt;=0.1))*1</f>
        <v/>
      </c>
      <c r="Y527">
        <f>--(AND(D527&lt;=113.15,E527&gt;0.15,H527&gt;23.74,J527&gt;0.1))*1</f>
        <v/>
      </c>
      <c r="Z527">
        <f>--(AND(D527&gt;113.15,K527&lt;=0.22,L527&lt;=0.02))*1</f>
        <v/>
      </c>
      <c r="AA527">
        <f>--(AND(D527&gt;113.15,K527&lt;=0.22,L527&gt;0.02))*0</f>
        <v/>
      </c>
      <c r="AB527">
        <f>--(AND(D527&gt;113.15,K527&gt;0.22,N527&lt;=810.1))*0</f>
        <v/>
      </c>
      <c r="AC527">
        <f>--(AND(D527&gt;113.15,K527&gt;0.22,N527&gt;810.1,I527&lt;=14.95))*1</f>
        <v/>
      </c>
      <c r="AD527">
        <f>--(AND(D527&gt;113.15,K527&gt;0.22,N527&gt;810.1,I527&gt;14.95))*1</f>
        <v/>
      </c>
      <c r="AE527">
        <f>SUM(P527:AD527)</f>
        <v/>
      </c>
      <c r="AF527">
        <f>IF(AE527=1,"Malignant","Benign")</f>
        <v/>
      </c>
      <c r="AG527">
        <f>--(AE527=C527)</f>
        <v/>
      </c>
    </row>
    <row r="528">
      <c r="A528">
        <f>BreastCancer_Data!A528</f>
        <v/>
      </c>
      <c r="B528">
        <f>BreastCancer_Data!B528</f>
        <v/>
      </c>
      <c r="C528">
        <f>BreastCancer_Data!D528</f>
        <v/>
      </c>
      <c r="D528">
        <f>BreastCancer_Data!E528</f>
        <v/>
      </c>
      <c r="E528">
        <f>BreastCancer_Data!F528</f>
        <v/>
      </c>
      <c r="F528">
        <f>BreastCancer_Data!G528</f>
        <v/>
      </c>
      <c r="G528">
        <f>BreastCancer_Data!H528</f>
        <v/>
      </c>
      <c r="H528">
        <f>BreastCancer_Data!I528</f>
        <v/>
      </c>
      <c r="I528">
        <f>BreastCancer_Data!J528</f>
        <v/>
      </c>
      <c r="J528">
        <f>BreastCancer_Data!K528</f>
        <v/>
      </c>
      <c r="K528">
        <f>BreastCancer_Data!L528</f>
        <v/>
      </c>
      <c r="L528">
        <f>BreastCancer_Data!M528</f>
        <v/>
      </c>
      <c r="M528">
        <f>BreastCancer_Data!N528</f>
        <v/>
      </c>
      <c r="N528">
        <f>BreastCancer_Data!O528</f>
        <v/>
      </c>
      <c r="O528">
        <f>0</f>
        <v/>
      </c>
      <c r="P528">
        <f>--(AND(D528&lt;=113.15,E528&lt;=0.15,F528&lt;=15.77,G528&lt;=0.18,H528&lt;=33.27))*0</f>
        <v/>
      </c>
      <c r="Q528">
        <f>--(AND(D528&lt;=113.15,E528&lt;=0.15,F528&lt;=15.77,G528&lt;=0.18,H528&gt;33.27))*0</f>
        <v/>
      </c>
      <c r="R528">
        <f>--(AND(D528&lt;=113.15,E528&lt;=0.15,F528&lt;=15.77,G528&gt;0.18))*0</f>
        <v/>
      </c>
      <c r="S528">
        <f>--(AND(D528&lt;=113.15,E528&lt;=0.15,F528&gt;15.77,H528&lt;=28.86,G528&lt;=0.14))*0</f>
        <v/>
      </c>
      <c r="T528">
        <f>--(AND(D528&lt;=113.15,E528&lt;=0.15,F528&gt;15.77,H528&lt;=28.86,G528&gt;0.14))*1</f>
        <v/>
      </c>
      <c r="U528">
        <f>--(AND(D528&lt;=113.15,E528&lt;=0.15,F528&gt;15.77,H528&gt;28.86,M528&lt;=14.54))*1</f>
        <v/>
      </c>
      <c r="V528">
        <f>--(AND(D528&lt;=113.15,E528&lt;=0.15,F528&gt;15.77,H528&gt;28.86,M528&gt;14.54))*1</f>
        <v/>
      </c>
      <c r="W528">
        <f>--(AND(D528&lt;=113.15,E528&gt;0.15,H528&lt;=23.74))*0</f>
        <v/>
      </c>
      <c r="X528">
        <f>--(AND(D528&lt;=113.15,E528&gt;0.15,H528&gt;23.74,J528&lt;=0.1))*1</f>
        <v/>
      </c>
      <c r="Y528">
        <f>--(AND(D528&lt;=113.15,E528&gt;0.15,H528&gt;23.74,J528&gt;0.1))*1</f>
        <v/>
      </c>
      <c r="Z528">
        <f>--(AND(D528&gt;113.15,K528&lt;=0.22,L528&lt;=0.02))*1</f>
        <v/>
      </c>
      <c r="AA528">
        <f>--(AND(D528&gt;113.15,K528&lt;=0.22,L528&gt;0.02))*0</f>
        <v/>
      </c>
      <c r="AB528">
        <f>--(AND(D528&gt;113.15,K528&gt;0.22,N528&lt;=810.1))*0</f>
        <v/>
      </c>
      <c r="AC528">
        <f>--(AND(D528&gt;113.15,K528&gt;0.22,N528&gt;810.1,I528&lt;=14.95))*1</f>
        <v/>
      </c>
      <c r="AD528">
        <f>--(AND(D528&gt;113.15,K528&gt;0.22,N528&gt;810.1,I528&gt;14.95))*1</f>
        <v/>
      </c>
      <c r="AE528">
        <f>SUM(P528:AD528)</f>
        <v/>
      </c>
      <c r="AF528">
        <f>IF(AE528=1,"Malignant","Benign")</f>
        <v/>
      </c>
      <c r="AG528">
        <f>--(AE528=C528)</f>
        <v/>
      </c>
    </row>
    <row r="529">
      <c r="A529">
        <f>BreastCancer_Data!A529</f>
        <v/>
      </c>
      <c r="B529">
        <f>BreastCancer_Data!B529</f>
        <v/>
      </c>
      <c r="C529">
        <f>BreastCancer_Data!D529</f>
        <v/>
      </c>
      <c r="D529">
        <f>BreastCancer_Data!E529</f>
        <v/>
      </c>
      <c r="E529">
        <f>BreastCancer_Data!F529</f>
        <v/>
      </c>
      <c r="F529">
        <f>BreastCancer_Data!G529</f>
        <v/>
      </c>
      <c r="G529">
        <f>BreastCancer_Data!H529</f>
        <v/>
      </c>
      <c r="H529">
        <f>BreastCancer_Data!I529</f>
        <v/>
      </c>
      <c r="I529">
        <f>BreastCancer_Data!J529</f>
        <v/>
      </c>
      <c r="J529">
        <f>BreastCancer_Data!K529</f>
        <v/>
      </c>
      <c r="K529">
        <f>BreastCancer_Data!L529</f>
        <v/>
      </c>
      <c r="L529">
        <f>BreastCancer_Data!M529</f>
        <v/>
      </c>
      <c r="M529">
        <f>BreastCancer_Data!N529</f>
        <v/>
      </c>
      <c r="N529">
        <f>BreastCancer_Data!O529</f>
        <v/>
      </c>
      <c r="O529">
        <f>0</f>
        <v/>
      </c>
      <c r="P529">
        <f>--(AND(D529&lt;=113.15,E529&lt;=0.15,F529&lt;=15.77,G529&lt;=0.18,H529&lt;=33.27))*0</f>
        <v/>
      </c>
      <c r="Q529">
        <f>--(AND(D529&lt;=113.15,E529&lt;=0.15,F529&lt;=15.77,G529&lt;=0.18,H529&gt;33.27))*0</f>
        <v/>
      </c>
      <c r="R529">
        <f>--(AND(D529&lt;=113.15,E529&lt;=0.15,F529&lt;=15.77,G529&gt;0.18))*0</f>
        <v/>
      </c>
      <c r="S529">
        <f>--(AND(D529&lt;=113.15,E529&lt;=0.15,F529&gt;15.77,H529&lt;=28.86,G529&lt;=0.14))*0</f>
        <v/>
      </c>
      <c r="T529">
        <f>--(AND(D529&lt;=113.15,E529&lt;=0.15,F529&gt;15.77,H529&lt;=28.86,G529&gt;0.14))*1</f>
        <v/>
      </c>
      <c r="U529">
        <f>--(AND(D529&lt;=113.15,E529&lt;=0.15,F529&gt;15.77,H529&gt;28.86,M529&lt;=14.54))*1</f>
        <v/>
      </c>
      <c r="V529">
        <f>--(AND(D529&lt;=113.15,E529&lt;=0.15,F529&gt;15.77,H529&gt;28.86,M529&gt;14.54))*1</f>
        <v/>
      </c>
      <c r="W529">
        <f>--(AND(D529&lt;=113.15,E529&gt;0.15,H529&lt;=23.74))*0</f>
        <v/>
      </c>
      <c r="X529">
        <f>--(AND(D529&lt;=113.15,E529&gt;0.15,H529&gt;23.74,J529&lt;=0.1))*1</f>
        <v/>
      </c>
      <c r="Y529">
        <f>--(AND(D529&lt;=113.15,E529&gt;0.15,H529&gt;23.74,J529&gt;0.1))*1</f>
        <v/>
      </c>
      <c r="Z529">
        <f>--(AND(D529&gt;113.15,K529&lt;=0.22,L529&lt;=0.02))*1</f>
        <v/>
      </c>
      <c r="AA529">
        <f>--(AND(D529&gt;113.15,K529&lt;=0.22,L529&gt;0.02))*0</f>
        <v/>
      </c>
      <c r="AB529">
        <f>--(AND(D529&gt;113.15,K529&gt;0.22,N529&lt;=810.1))*0</f>
        <v/>
      </c>
      <c r="AC529">
        <f>--(AND(D529&gt;113.15,K529&gt;0.22,N529&gt;810.1,I529&lt;=14.95))*1</f>
        <v/>
      </c>
      <c r="AD529">
        <f>--(AND(D529&gt;113.15,K529&gt;0.22,N529&gt;810.1,I529&gt;14.95))*1</f>
        <v/>
      </c>
      <c r="AE529">
        <f>SUM(P529:AD529)</f>
        <v/>
      </c>
      <c r="AF529">
        <f>IF(AE529=1,"Malignant","Benign")</f>
        <v/>
      </c>
      <c r="AG529">
        <f>--(AE529=C529)</f>
        <v/>
      </c>
    </row>
    <row r="530">
      <c r="A530">
        <f>BreastCancer_Data!A530</f>
        <v/>
      </c>
      <c r="B530">
        <f>BreastCancer_Data!B530</f>
        <v/>
      </c>
      <c r="C530">
        <f>BreastCancer_Data!D530</f>
        <v/>
      </c>
      <c r="D530">
        <f>BreastCancer_Data!E530</f>
        <v/>
      </c>
      <c r="E530">
        <f>BreastCancer_Data!F530</f>
        <v/>
      </c>
      <c r="F530">
        <f>BreastCancer_Data!G530</f>
        <v/>
      </c>
      <c r="G530">
        <f>BreastCancer_Data!H530</f>
        <v/>
      </c>
      <c r="H530">
        <f>BreastCancer_Data!I530</f>
        <v/>
      </c>
      <c r="I530">
        <f>BreastCancer_Data!J530</f>
        <v/>
      </c>
      <c r="J530">
        <f>BreastCancer_Data!K530</f>
        <v/>
      </c>
      <c r="K530">
        <f>BreastCancer_Data!L530</f>
        <v/>
      </c>
      <c r="L530">
        <f>BreastCancer_Data!M530</f>
        <v/>
      </c>
      <c r="M530">
        <f>BreastCancer_Data!N530</f>
        <v/>
      </c>
      <c r="N530">
        <f>BreastCancer_Data!O530</f>
        <v/>
      </c>
      <c r="O530">
        <f>0</f>
        <v/>
      </c>
      <c r="P530">
        <f>--(AND(D530&lt;=113.15,E530&lt;=0.15,F530&lt;=15.77,G530&lt;=0.18,H530&lt;=33.27))*0</f>
        <v/>
      </c>
      <c r="Q530">
        <f>--(AND(D530&lt;=113.15,E530&lt;=0.15,F530&lt;=15.77,G530&lt;=0.18,H530&gt;33.27))*0</f>
        <v/>
      </c>
      <c r="R530">
        <f>--(AND(D530&lt;=113.15,E530&lt;=0.15,F530&lt;=15.77,G530&gt;0.18))*0</f>
        <v/>
      </c>
      <c r="S530">
        <f>--(AND(D530&lt;=113.15,E530&lt;=0.15,F530&gt;15.77,H530&lt;=28.86,G530&lt;=0.14))*0</f>
        <v/>
      </c>
      <c r="T530">
        <f>--(AND(D530&lt;=113.15,E530&lt;=0.15,F530&gt;15.77,H530&lt;=28.86,G530&gt;0.14))*1</f>
        <v/>
      </c>
      <c r="U530">
        <f>--(AND(D530&lt;=113.15,E530&lt;=0.15,F530&gt;15.77,H530&gt;28.86,M530&lt;=14.54))*1</f>
        <v/>
      </c>
      <c r="V530">
        <f>--(AND(D530&lt;=113.15,E530&lt;=0.15,F530&gt;15.77,H530&gt;28.86,M530&gt;14.54))*1</f>
        <v/>
      </c>
      <c r="W530">
        <f>--(AND(D530&lt;=113.15,E530&gt;0.15,H530&lt;=23.74))*0</f>
        <v/>
      </c>
      <c r="X530">
        <f>--(AND(D530&lt;=113.15,E530&gt;0.15,H530&gt;23.74,J530&lt;=0.1))*1</f>
        <v/>
      </c>
      <c r="Y530">
        <f>--(AND(D530&lt;=113.15,E530&gt;0.15,H530&gt;23.74,J530&gt;0.1))*1</f>
        <v/>
      </c>
      <c r="Z530">
        <f>--(AND(D530&gt;113.15,K530&lt;=0.22,L530&lt;=0.02))*1</f>
        <v/>
      </c>
      <c r="AA530">
        <f>--(AND(D530&gt;113.15,K530&lt;=0.22,L530&gt;0.02))*0</f>
        <v/>
      </c>
      <c r="AB530">
        <f>--(AND(D530&gt;113.15,K530&gt;0.22,N530&lt;=810.1))*0</f>
        <v/>
      </c>
      <c r="AC530">
        <f>--(AND(D530&gt;113.15,K530&gt;0.22,N530&gt;810.1,I530&lt;=14.95))*1</f>
        <v/>
      </c>
      <c r="AD530">
        <f>--(AND(D530&gt;113.15,K530&gt;0.22,N530&gt;810.1,I530&gt;14.95))*1</f>
        <v/>
      </c>
      <c r="AE530">
        <f>SUM(P530:AD530)</f>
        <v/>
      </c>
      <c r="AF530">
        <f>IF(AE530=1,"Malignant","Benign")</f>
        <v/>
      </c>
      <c r="AG530">
        <f>--(AE530=C530)</f>
        <v/>
      </c>
    </row>
    <row r="531">
      <c r="A531">
        <f>BreastCancer_Data!A531</f>
        <v/>
      </c>
      <c r="B531">
        <f>BreastCancer_Data!B531</f>
        <v/>
      </c>
      <c r="C531">
        <f>BreastCancer_Data!D531</f>
        <v/>
      </c>
      <c r="D531">
        <f>BreastCancer_Data!E531</f>
        <v/>
      </c>
      <c r="E531">
        <f>BreastCancer_Data!F531</f>
        <v/>
      </c>
      <c r="F531">
        <f>BreastCancer_Data!G531</f>
        <v/>
      </c>
      <c r="G531">
        <f>BreastCancer_Data!H531</f>
        <v/>
      </c>
      <c r="H531">
        <f>BreastCancer_Data!I531</f>
        <v/>
      </c>
      <c r="I531">
        <f>BreastCancer_Data!J531</f>
        <v/>
      </c>
      <c r="J531">
        <f>BreastCancer_Data!K531</f>
        <v/>
      </c>
      <c r="K531">
        <f>BreastCancer_Data!L531</f>
        <v/>
      </c>
      <c r="L531">
        <f>BreastCancer_Data!M531</f>
        <v/>
      </c>
      <c r="M531">
        <f>BreastCancer_Data!N531</f>
        <v/>
      </c>
      <c r="N531">
        <f>BreastCancer_Data!O531</f>
        <v/>
      </c>
      <c r="O531">
        <f>0</f>
        <v/>
      </c>
      <c r="P531">
        <f>--(AND(D531&lt;=113.15,E531&lt;=0.15,F531&lt;=15.77,G531&lt;=0.18,H531&lt;=33.27))*0</f>
        <v/>
      </c>
      <c r="Q531">
        <f>--(AND(D531&lt;=113.15,E531&lt;=0.15,F531&lt;=15.77,G531&lt;=0.18,H531&gt;33.27))*0</f>
        <v/>
      </c>
      <c r="R531">
        <f>--(AND(D531&lt;=113.15,E531&lt;=0.15,F531&lt;=15.77,G531&gt;0.18))*0</f>
        <v/>
      </c>
      <c r="S531">
        <f>--(AND(D531&lt;=113.15,E531&lt;=0.15,F531&gt;15.77,H531&lt;=28.86,G531&lt;=0.14))*0</f>
        <v/>
      </c>
      <c r="T531">
        <f>--(AND(D531&lt;=113.15,E531&lt;=0.15,F531&gt;15.77,H531&lt;=28.86,G531&gt;0.14))*1</f>
        <v/>
      </c>
      <c r="U531">
        <f>--(AND(D531&lt;=113.15,E531&lt;=0.15,F531&gt;15.77,H531&gt;28.86,M531&lt;=14.54))*1</f>
        <v/>
      </c>
      <c r="V531">
        <f>--(AND(D531&lt;=113.15,E531&lt;=0.15,F531&gt;15.77,H531&gt;28.86,M531&gt;14.54))*1</f>
        <v/>
      </c>
      <c r="W531">
        <f>--(AND(D531&lt;=113.15,E531&gt;0.15,H531&lt;=23.74))*0</f>
        <v/>
      </c>
      <c r="X531">
        <f>--(AND(D531&lt;=113.15,E531&gt;0.15,H531&gt;23.74,J531&lt;=0.1))*1</f>
        <v/>
      </c>
      <c r="Y531">
        <f>--(AND(D531&lt;=113.15,E531&gt;0.15,H531&gt;23.74,J531&gt;0.1))*1</f>
        <v/>
      </c>
      <c r="Z531">
        <f>--(AND(D531&gt;113.15,K531&lt;=0.22,L531&lt;=0.02))*1</f>
        <v/>
      </c>
      <c r="AA531">
        <f>--(AND(D531&gt;113.15,K531&lt;=0.22,L531&gt;0.02))*0</f>
        <v/>
      </c>
      <c r="AB531">
        <f>--(AND(D531&gt;113.15,K531&gt;0.22,N531&lt;=810.1))*0</f>
        <v/>
      </c>
      <c r="AC531">
        <f>--(AND(D531&gt;113.15,K531&gt;0.22,N531&gt;810.1,I531&lt;=14.95))*1</f>
        <v/>
      </c>
      <c r="AD531">
        <f>--(AND(D531&gt;113.15,K531&gt;0.22,N531&gt;810.1,I531&gt;14.95))*1</f>
        <v/>
      </c>
      <c r="AE531">
        <f>SUM(P531:AD531)</f>
        <v/>
      </c>
      <c r="AF531">
        <f>IF(AE531=1,"Malignant","Benign")</f>
        <v/>
      </c>
      <c r="AG531">
        <f>--(AE531=C531)</f>
        <v/>
      </c>
    </row>
    <row r="532">
      <c r="A532">
        <f>BreastCancer_Data!A532</f>
        <v/>
      </c>
      <c r="B532">
        <f>BreastCancer_Data!B532</f>
        <v/>
      </c>
      <c r="C532">
        <f>BreastCancer_Data!D532</f>
        <v/>
      </c>
      <c r="D532">
        <f>BreastCancer_Data!E532</f>
        <v/>
      </c>
      <c r="E532">
        <f>BreastCancer_Data!F532</f>
        <v/>
      </c>
      <c r="F532">
        <f>BreastCancer_Data!G532</f>
        <v/>
      </c>
      <c r="G532">
        <f>BreastCancer_Data!H532</f>
        <v/>
      </c>
      <c r="H532">
        <f>BreastCancer_Data!I532</f>
        <v/>
      </c>
      <c r="I532">
        <f>BreastCancer_Data!J532</f>
        <v/>
      </c>
      <c r="J532">
        <f>BreastCancer_Data!K532</f>
        <v/>
      </c>
      <c r="K532">
        <f>BreastCancer_Data!L532</f>
        <v/>
      </c>
      <c r="L532">
        <f>BreastCancer_Data!M532</f>
        <v/>
      </c>
      <c r="M532">
        <f>BreastCancer_Data!N532</f>
        <v/>
      </c>
      <c r="N532">
        <f>BreastCancer_Data!O532</f>
        <v/>
      </c>
      <c r="O532">
        <f>0</f>
        <v/>
      </c>
      <c r="P532">
        <f>--(AND(D532&lt;=113.15,E532&lt;=0.15,F532&lt;=15.77,G532&lt;=0.18,H532&lt;=33.27))*0</f>
        <v/>
      </c>
      <c r="Q532">
        <f>--(AND(D532&lt;=113.15,E532&lt;=0.15,F532&lt;=15.77,G532&lt;=0.18,H532&gt;33.27))*0</f>
        <v/>
      </c>
      <c r="R532">
        <f>--(AND(D532&lt;=113.15,E532&lt;=0.15,F532&lt;=15.77,G532&gt;0.18))*0</f>
        <v/>
      </c>
      <c r="S532">
        <f>--(AND(D532&lt;=113.15,E532&lt;=0.15,F532&gt;15.77,H532&lt;=28.86,G532&lt;=0.14))*0</f>
        <v/>
      </c>
      <c r="T532">
        <f>--(AND(D532&lt;=113.15,E532&lt;=0.15,F532&gt;15.77,H532&lt;=28.86,G532&gt;0.14))*1</f>
        <v/>
      </c>
      <c r="U532">
        <f>--(AND(D532&lt;=113.15,E532&lt;=0.15,F532&gt;15.77,H532&gt;28.86,M532&lt;=14.54))*1</f>
        <v/>
      </c>
      <c r="V532">
        <f>--(AND(D532&lt;=113.15,E532&lt;=0.15,F532&gt;15.77,H532&gt;28.86,M532&gt;14.54))*1</f>
        <v/>
      </c>
      <c r="W532">
        <f>--(AND(D532&lt;=113.15,E532&gt;0.15,H532&lt;=23.74))*0</f>
        <v/>
      </c>
      <c r="X532">
        <f>--(AND(D532&lt;=113.15,E532&gt;0.15,H532&gt;23.74,J532&lt;=0.1))*1</f>
        <v/>
      </c>
      <c r="Y532">
        <f>--(AND(D532&lt;=113.15,E532&gt;0.15,H532&gt;23.74,J532&gt;0.1))*1</f>
        <v/>
      </c>
      <c r="Z532">
        <f>--(AND(D532&gt;113.15,K532&lt;=0.22,L532&lt;=0.02))*1</f>
        <v/>
      </c>
      <c r="AA532">
        <f>--(AND(D532&gt;113.15,K532&lt;=0.22,L532&gt;0.02))*0</f>
        <v/>
      </c>
      <c r="AB532">
        <f>--(AND(D532&gt;113.15,K532&gt;0.22,N532&lt;=810.1))*0</f>
        <v/>
      </c>
      <c r="AC532">
        <f>--(AND(D532&gt;113.15,K532&gt;0.22,N532&gt;810.1,I532&lt;=14.95))*1</f>
        <v/>
      </c>
      <c r="AD532">
        <f>--(AND(D532&gt;113.15,K532&gt;0.22,N532&gt;810.1,I532&gt;14.95))*1</f>
        <v/>
      </c>
      <c r="AE532">
        <f>SUM(P532:AD532)</f>
        <v/>
      </c>
      <c r="AF532">
        <f>IF(AE532=1,"Malignant","Benign")</f>
        <v/>
      </c>
      <c r="AG532">
        <f>--(AE532=C532)</f>
        <v/>
      </c>
    </row>
    <row r="533">
      <c r="A533">
        <f>BreastCancer_Data!A533</f>
        <v/>
      </c>
      <c r="B533">
        <f>BreastCancer_Data!B533</f>
        <v/>
      </c>
      <c r="C533">
        <f>BreastCancer_Data!D533</f>
        <v/>
      </c>
      <c r="D533">
        <f>BreastCancer_Data!E533</f>
        <v/>
      </c>
      <c r="E533">
        <f>BreastCancer_Data!F533</f>
        <v/>
      </c>
      <c r="F533">
        <f>BreastCancer_Data!G533</f>
        <v/>
      </c>
      <c r="G533">
        <f>BreastCancer_Data!H533</f>
        <v/>
      </c>
      <c r="H533">
        <f>BreastCancer_Data!I533</f>
        <v/>
      </c>
      <c r="I533">
        <f>BreastCancer_Data!J533</f>
        <v/>
      </c>
      <c r="J533">
        <f>BreastCancer_Data!K533</f>
        <v/>
      </c>
      <c r="K533">
        <f>BreastCancer_Data!L533</f>
        <v/>
      </c>
      <c r="L533">
        <f>BreastCancer_Data!M533</f>
        <v/>
      </c>
      <c r="M533">
        <f>BreastCancer_Data!N533</f>
        <v/>
      </c>
      <c r="N533">
        <f>BreastCancer_Data!O533</f>
        <v/>
      </c>
      <c r="O533">
        <f>0</f>
        <v/>
      </c>
      <c r="P533">
        <f>--(AND(D533&lt;=113.15,E533&lt;=0.15,F533&lt;=15.77,G533&lt;=0.18,H533&lt;=33.27))*0</f>
        <v/>
      </c>
      <c r="Q533">
        <f>--(AND(D533&lt;=113.15,E533&lt;=0.15,F533&lt;=15.77,G533&lt;=0.18,H533&gt;33.27))*0</f>
        <v/>
      </c>
      <c r="R533">
        <f>--(AND(D533&lt;=113.15,E533&lt;=0.15,F533&lt;=15.77,G533&gt;0.18))*0</f>
        <v/>
      </c>
      <c r="S533">
        <f>--(AND(D533&lt;=113.15,E533&lt;=0.15,F533&gt;15.77,H533&lt;=28.86,G533&lt;=0.14))*0</f>
        <v/>
      </c>
      <c r="T533">
        <f>--(AND(D533&lt;=113.15,E533&lt;=0.15,F533&gt;15.77,H533&lt;=28.86,G533&gt;0.14))*1</f>
        <v/>
      </c>
      <c r="U533">
        <f>--(AND(D533&lt;=113.15,E533&lt;=0.15,F533&gt;15.77,H533&gt;28.86,M533&lt;=14.54))*1</f>
        <v/>
      </c>
      <c r="V533">
        <f>--(AND(D533&lt;=113.15,E533&lt;=0.15,F533&gt;15.77,H533&gt;28.86,M533&gt;14.54))*1</f>
        <v/>
      </c>
      <c r="W533">
        <f>--(AND(D533&lt;=113.15,E533&gt;0.15,H533&lt;=23.74))*0</f>
        <v/>
      </c>
      <c r="X533">
        <f>--(AND(D533&lt;=113.15,E533&gt;0.15,H533&gt;23.74,J533&lt;=0.1))*1</f>
        <v/>
      </c>
      <c r="Y533">
        <f>--(AND(D533&lt;=113.15,E533&gt;0.15,H533&gt;23.74,J533&gt;0.1))*1</f>
        <v/>
      </c>
      <c r="Z533">
        <f>--(AND(D533&gt;113.15,K533&lt;=0.22,L533&lt;=0.02))*1</f>
        <v/>
      </c>
      <c r="AA533">
        <f>--(AND(D533&gt;113.15,K533&lt;=0.22,L533&gt;0.02))*0</f>
        <v/>
      </c>
      <c r="AB533">
        <f>--(AND(D533&gt;113.15,K533&gt;0.22,N533&lt;=810.1))*0</f>
        <v/>
      </c>
      <c r="AC533">
        <f>--(AND(D533&gt;113.15,K533&gt;0.22,N533&gt;810.1,I533&lt;=14.95))*1</f>
        <v/>
      </c>
      <c r="AD533">
        <f>--(AND(D533&gt;113.15,K533&gt;0.22,N533&gt;810.1,I533&gt;14.95))*1</f>
        <v/>
      </c>
      <c r="AE533">
        <f>SUM(P533:AD533)</f>
        <v/>
      </c>
      <c r="AF533">
        <f>IF(AE533=1,"Malignant","Benign")</f>
        <v/>
      </c>
      <c r="AG533">
        <f>--(AE533=C533)</f>
        <v/>
      </c>
    </row>
    <row r="534">
      <c r="A534">
        <f>BreastCancer_Data!A534</f>
        <v/>
      </c>
      <c r="B534">
        <f>BreastCancer_Data!B534</f>
        <v/>
      </c>
      <c r="C534">
        <f>BreastCancer_Data!D534</f>
        <v/>
      </c>
      <c r="D534">
        <f>BreastCancer_Data!E534</f>
        <v/>
      </c>
      <c r="E534">
        <f>BreastCancer_Data!F534</f>
        <v/>
      </c>
      <c r="F534">
        <f>BreastCancer_Data!G534</f>
        <v/>
      </c>
      <c r="G534">
        <f>BreastCancer_Data!H534</f>
        <v/>
      </c>
      <c r="H534">
        <f>BreastCancer_Data!I534</f>
        <v/>
      </c>
      <c r="I534">
        <f>BreastCancer_Data!J534</f>
        <v/>
      </c>
      <c r="J534">
        <f>BreastCancer_Data!K534</f>
        <v/>
      </c>
      <c r="K534">
        <f>BreastCancer_Data!L534</f>
        <v/>
      </c>
      <c r="L534">
        <f>BreastCancer_Data!M534</f>
        <v/>
      </c>
      <c r="M534">
        <f>BreastCancer_Data!N534</f>
        <v/>
      </c>
      <c r="N534">
        <f>BreastCancer_Data!O534</f>
        <v/>
      </c>
      <c r="O534">
        <f>0</f>
        <v/>
      </c>
      <c r="P534">
        <f>--(AND(D534&lt;=113.15,E534&lt;=0.15,F534&lt;=15.77,G534&lt;=0.18,H534&lt;=33.27))*0</f>
        <v/>
      </c>
      <c r="Q534">
        <f>--(AND(D534&lt;=113.15,E534&lt;=0.15,F534&lt;=15.77,G534&lt;=0.18,H534&gt;33.27))*0</f>
        <v/>
      </c>
      <c r="R534">
        <f>--(AND(D534&lt;=113.15,E534&lt;=0.15,F534&lt;=15.77,G534&gt;0.18))*0</f>
        <v/>
      </c>
      <c r="S534">
        <f>--(AND(D534&lt;=113.15,E534&lt;=0.15,F534&gt;15.77,H534&lt;=28.86,G534&lt;=0.14))*0</f>
        <v/>
      </c>
      <c r="T534">
        <f>--(AND(D534&lt;=113.15,E534&lt;=0.15,F534&gt;15.77,H534&lt;=28.86,G534&gt;0.14))*1</f>
        <v/>
      </c>
      <c r="U534">
        <f>--(AND(D534&lt;=113.15,E534&lt;=0.15,F534&gt;15.77,H534&gt;28.86,M534&lt;=14.54))*1</f>
        <v/>
      </c>
      <c r="V534">
        <f>--(AND(D534&lt;=113.15,E534&lt;=0.15,F534&gt;15.77,H534&gt;28.86,M534&gt;14.54))*1</f>
        <v/>
      </c>
      <c r="W534">
        <f>--(AND(D534&lt;=113.15,E534&gt;0.15,H534&lt;=23.74))*0</f>
        <v/>
      </c>
      <c r="X534">
        <f>--(AND(D534&lt;=113.15,E534&gt;0.15,H534&gt;23.74,J534&lt;=0.1))*1</f>
        <v/>
      </c>
      <c r="Y534">
        <f>--(AND(D534&lt;=113.15,E534&gt;0.15,H534&gt;23.74,J534&gt;0.1))*1</f>
        <v/>
      </c>
      <c r="Z534">
        <f>--(AND(D534&gt;113.15,K534&lt;=0.22,L534&lt;=0.02))*1</f>
        <v/>
      </c>
      <c r="AA534">
        <f>--(AND(D534&gt;113.15,K534&lt;=0.22,L534&gt;0.02))*0</f>
        <v/>
      </c>
      <c r="AB534">
        <f>--(AND(D534&gt;113.15,K534&gt;0.22,N534&lt;=810.1))*0</f>
        <v/>
      </c>
      <c r="AC534">
        <f>--(AND(D534&gt;113.15,K534&gt;0.22,N534&gt;810.1,I534&lt;=14.95))*1</f>
        <v/>
      </c>
      <c r="AD534">
        <f>--(AND(D534&gt;113.15,K534&gt;0.22,N534&gt;810.1,I534&gt;14.95))*1</f>
        <v/>
      </c>
      <c r="AE534">
        <f>SUM(P534:AD534)</f>
        <v/>
      </c>
      <c r="AF534">
        <f>IF(AE534=1,"Malignant","Benign")</f>
        <v/>
      </c>
      <c r="AG534">
        <f>--(AE534=C534)</f>
        <v/>
      </c>
    </row>
    <row r="535">
      <c r="A535">
        <f>BreastCancer_Data!A535</f>
        <v/>
      </c>
      <c r="B535">
        <f>BreastCancer_Data!B535</f>
        <v/>
      </c>
      <c r="C535">
        <f>BreastCancer_Data!D535</f>
        <v/>
      </c>
      <c r="D535">
        <f>BreastCancer_Data!E535</f>
        <v/>
      </c>
      <c r="E535">
        <f>BreastCancer_Data!F535</f>
        <v/>
      </c>
      <c r="F535">
        <f>BreastCancer_Data!G535</f>
        <v/>
      </c>
      <c r="G535">
        <f>BreastCancer_Data!H535</f>
        <v/>
      </c>
      <c r="H535">
        <f>BreastCancer_Data!I535</f>
        <v/>
      </c>
      <c r="I535">
        <f>BreastCancer_Data!J535</f>
        <v/>
      </c>
      <c r="J535">
        <f>BreastCancer_Data!K535</f>
        <v/>
      </c>
      <c r="K535">
        <f>BreastCancer_Data!L535</f>
        <v/>
      </c>
      <c r="L535">
        <f>BreastCancer_Data!M535</f>
        <v/>
      </c>
      <c r="M535">
        <f>BreastCancer_Data!N535</f>
        <v/>
      </c>
      <c r="N535">
        <f>BreastCancer_Data!O535</f>
        <v/>
      </c>
      <c r="O535">
        <f>0</f>
        <v/>
      </c>
      <c r="P535">
        <f>--(AND(D535&lt;=113.15,E535&lt;=0.15,F535&lt;=15.77,G535&lt;=0.18,H535&lt;=33.27))*0</f>
        <v/>
      </c>
      <c r="Q535">
        <f>--(AND(D535&lt;=113.15,E535&lt;=0.15,F535&lt;=15.77,G535&lt;=0.18,H535&gt;33.27))*0</f>
        <v/>
      </c>
      <c r="R535">
        <f>--(AND(D535&lt;=113.15,E535&lt;=0.15,F535&lt;=15.77,G535&gt;0.18))*0</f>
        <v/>
      </c>
      <c r="S535">
        <f>--(AND(D535&lt;=113.15,E535&lt;=0.15,F535&gt;15.77,H535&lt;=28.86,G535&lt;=0.14))*0</f>
        <v/>
      </c>
      <c r="T535">
        <f>--(AND(D535&lt;=113.15,E535&lt;=0.15,F535&gt;15.77,H535&lt;=28.86,G535&gt;0.14))*1</f>
        <v/>
      </c>
      <c r="U535">
        <f>--(AND(D535&lt;=113.15,E535&lt;=0.15,F535&gt;15.77,H535&gt;28.86,M535&lt;=14.54))*1</f>
        <v/>
      </c>
      <c r="V535">
        <f>--(AND(D535&lt;=113.15,E535&lt;=0.15,F535&gt;15.77,H535&gt;28.86,M535&gt;14.54))*1</f>
        <v/>
      </c>
      <c r="W535">
        <f>--(AND(D535&lt;=113.15,E535&gt;0.15,H535&lt;=23.74))*0</f>
        <v/>
      </c>
      <c r="X535">
        <f>--(AND(D535&lt;=113.15,E535&gt;0.15,H535&gt;23.74,J535&lt;=0.1))*1</f>
        <v/>
      </c>
      <c r="Y535">
        <f>--(AND(D535&lt;=113.15,E535&gt;0.15,H535&gt;23.74,J535&gt;0.1))*1</f>
        <v/>
      </c>
      <c r="Z535">
        <f>--(AND(D535&gt;113.15,K535&lt;=0.22,L535&lt;=0.02))*1</f>
        <v/>
      </c>
      <c r="AA535">
        <f>--(AND(D535&gt;113.15,K535&lt;=0.22,L535&gt;0.02))*0</f>
        <v/>
      </c>
      <c r="AB535">
        <f>--(AND(D535&gt;113.15,K535&gt;0.22,N535&lt;=810.1))*0</f>
        <v/>
      </c>
      <c r="AC535">
        <f>--(AND(D535&gt;113.15,K535&gt;0.22,N535&gt;810.1,I535&lt;=14.95))*1</f>
        <v/>
      </c>
      <c r="AD535">
        <f>--(AND(D535&gt;113.15,K535&gt;0.22,N535&gt;810.1,I535&gt;14.95))*1</f>
        <v/>
      </c>
      <c r="AE535">
        <f>SUM(P535:AD535)</f>
        <v/>
      </c>
      <c r="AF535">
        <f>IF(AE535=1,"Malignant","Benign")</f>
        <v/>
      </c>
      <c r="AG535">
        <f>--(AE535=C535)</f>
        <v/>
      </c>
    </row>
    <row r="536">
      <c r="A536">
        <f>BreastCancer_Data!A536</f>
        <v/>
      </c>
      <c r="B536">
        <f>BreastCancer_Data!B536</f>
        <v/>
      </c>
      <c r="C536">
        <f>BreastCancer_Data!D536</f>
        <v/>
      </c>
      <c r="D536">
        <f>BreastCancer_Data!E536</f>
        <v/>
      </c>
      <c r="E536">
        <f>BreastCancer_Data!F536</f>
        <v/>
      </c>
      <c r="F536">
        <f>BreastCancer_Data!G536</f>
        <v/>
      </c>
      <c r="G536">
        <f>BreastCancer_Data!H536</f>
        <v/>
      </c>
      <c r="H536">
        <f>BreastCancer_Data!I536</f>
        <v/>
      </c>
      <c r="I536">
        <f>BreastCancer_Data!J536</f>
        <v/>
      </c>
      <c r="J536">
        <f>BreastCancer_Data!K536</f>
        <v/>
      </c>
      <c r="K536">
        <f>BreastCancer_Data!L536</f>
        <v/>
      </c>
      <c r="L536">
        <f>BreastCancer_Data!M536</f>
        <v/>
      </c>
      <c r="M536">
        <f>BreastCancer_Data!N536</f>
        <v/>
      </c>
      <c r="N536">
        <f>BreastCancer_Data!O536</f>
        <v/>
      </c>
      <c r="O536">
        <f>0</f>
        <v/>
      </c>
      <c r="P536">
        <f>--(AND(D536&lt;=113.15,E536&lt;=0.15,F536&lt;=15.77,G536&lt;=0.18,H536&lt;=33.27))*0</f>
        <v/>
      </c>
      <c r="Q536">
        <f>--(AND(D536&lt;=113.15,E536&lt;=0.15,F536&lt;=15.77,G536&lt;=0.18,H536&gt;33.27))*0</f>
        <v/>
      </c>
      <c r="R536">
        <f>--(AND(D536&lt;=113.15,E536&lt;=0.15,F536&lt;=15.77,G536&gt;0.18))*0</f>
        <v/>
      </c>
      <c r="S536">
        <f>--(AND(D536&lt;=113.15,E536&lt;=0.15,F536&gt;15.77,H536&lt;=28.86,G536&lt;=0.14))*0</f>
        <v/>
      </c>
      <c r="T536">
        <f>--(AND(D536&lt;=113.15,E536&lt;=0.15,F536&gt;15.77,H536&lt;=28.86,G536&gt;0.14))*1</f>
        <v/>
      </c>
      <c r="U536">
        <f>--(AND(D536&lt;=113.15,E536&lt;=0.15,F536&gt;15.77,H536&gt;28.86,M536&lt;=14.54))*1</f>
        <v/>
      </c>
      <c r="V536">
        <f>--(AND(D536&lt;=113.15,E536&lt;=0.15,F536&gt;15.77,H536&gt;28.86,M536&gt;14.54))*1</f>
        <v/>
      </c>
      <c r="W536">
        <f>--(AND(D536&lt;=113.15,E536&gt;0.15,H536&lt;=23.74))*0</f>
        <v/>
      </c>
      <c r="X536">
        <f>--(AND(D536&lt;=113.15,E536&gt;0.15,H536&gt;23.74,J536&lt;=0.1))*1</f>
        <v/>
      </c>
      <c r="Y536">
        <f>--(AND(D536&lt;=113.15,E536&gt;0.15,H536&gt;23.74,J536&gt;0.1))*1</f>
        <v/>
      </c>
      <c r="Z536">
        <f>--(AND(D536&gt;113.15,K536&lt;=0.22,L536&lt;=0.02))*1</f>
        <v/>
      </c>
      <c r="AA536">
        <f>--(AND(D536&gt;113.15,K536&lt;=0.22,L536&gt;0.02))*0</f>
        <v/>
      </c>
      <c r="AB536">
        <f>--(AND(D536&gt;113.15,K536&gt;0.22,N536&lt;=810.1))*0</f>
        <v/>
      </c>
      <c r="AC536">
        <f>--(AND(D536&gt;113.15,K536&gt;0.22,N536&gt;810.1,I536&lt;=14.95))*1</f>
        <v/>
      </c>
      <c r="AD536">
        <f>--(AND(D536&gt;113.15,K536&gt;0.22,N536&gt;810.1,I536&gt;14.95))*1</f>
        <v/>
      </c>
      <c r="AE536">
        <f>SUM(P536:AD536)</f>
        <v/>
      </c>
      <c r="AF536">
        <f>IF(AE536=1,"Malignant","Benign")</f>
        <v/>
      </c>
      <c r="AG536">
        <f>--(AE536=C536)</f>
        <v/>
      </c>
    </row>
    <row r="537">
      <c r="A537">
        <f>BreastCancer_Data!A537</f>
        <v/>
      </c>
      <c r="B537">
        <f>BreastCancer_Data!B537</f>
        <v/>
      </c>
      <c r="C537">
        <f>BreastCancer_Data!D537</f>
        <v/>
      </c>
      <c r="D537">
        <f>BreastCancer_Data!E537</f>
        <v/>
      </c>
      <c r="E537">
        <f>BreastCancer_Data!F537</f>
        <v/>
      </c>
      <c r="F537">
        <f>BreastCancer_Data!G537</f>
        <v/>
      </c>
      <c r="G537">
        <f>BreastCancer_Data!H537</f>
        <v/>
      </c>
      <c r="H537">
        <f>BreastCancer_Data!I537</f>
        <v/>
      </c>
      <c r="I537">
        <f>BreastCancer_Data!J537</f>
        <v/>
      </c>
      <c r="J537">
        <f>BreastCancer_Data!K537</f>
        <v/>
      </c>
      <c r="K537">
        <f>BreastCancer_Data!L537</f>
        <v/>
      </c>
      <c r="L537">
        <f>BreastCancer_Data!M537</f>
        <v/>
      </c>
      <c r="M537">
        <f>BreastCancer_Data!N537</f>
        <v/>
      </c>
      <c r="N537">
        <f>BreastCancer_Data!O537</f>
        <v/>
      </c>
      <c r="O537">
        <f>0</f>
        <v/>
      </c>
      <c r="P537">
        <f>--(AND(D537&lt;=113.15,E537&lt;=0.15,F537&lt;=15.77,G537&lt;=0.18,H537&lt;=33.27))*0</f>
        <v/>
      </c>
      <c r="Q537">
        <f>--(AND(D537&lt;=113.15,E537&lt;=0.15,F537&lt;=15.77,G537&lt;=0.18,H537&gt;33.27))*0</f>
        <v/>
      </c>
      <c r="R537">
        <f>--(AND(D537&lt;=113.15,E537&lt;=0.15,F537&lt;=15.77,G537&gt;0.18))*0</f>
        <v/>
      </c>
      <c r="S537">
        <f>--(AND(D537&lt;=113.15,E537&lt;=0.15,F537&gt;15.77,H537&lt;=28.86,G537&lt;=0.14))*0</f>
        <v/>
      </c>
      <c r="T537">
        <f>--(AND(D537&lt;=113.15,E537&lt;=0.15,F537&gt;15.77,H537&lt;=28.86,G537&gt;0.14))*1</f>
        <v/>
      </c>
      <c r="U537">
        <f>--(AND(D537&lt;=113.15,E537&lt;=0.15,F537&gt;15.77,H537&gt;28.86,M537&lt;=14.54))*1</f>
        <v/>
      </c>
      <c r="V537">
        <f>--(AND(D537&lt;=113.15,E537&lt;=0.15,F537&gt;15.77,H537&gt;28.86,M537&gt;14.54))*1</f>
        <v/>
      </c>
      <c r="W537">
        <f>--(AND(D537&lt;=113.15,E537&gt;0.15,H537&lt;=23.74))*0</f>
        <v/>
      </c>
      <c r="X537">
        <f>--(AND(D537&lt;=113.15,E537&gt;0.15,H537&gt;23.74,J537&lt;=0.1))*1</f>
        <v/>
      </c>
      <c r="Y537">
        <f>--(AND(D537&lt;=113.15,E537&gt;0.15,H537&gt;23.74,J537&gt;0.1))*1</f>
        <v/>
      </c>
      <c r="Z537">
        <f>--(AND(D537&gt;113.15,K537&lt;=0.22,L537&lt;=0.02))*1</f>
        <v/>
      </c>
      <c r="AA537">
        <f>--(AND(D537&gt;113.15,K537&lt;=0.22,L537&gt;0.02))*0</f>
        <v/>
      </c>
      <c r="AB537">
        <f>--(AND(D537&gt;113.15,K537&gt;0.22,N537&lt;=810.1))*0</f>
        <v/>
      </c>
      <c r="AC537">
        <f>--(AND(D537&gt;113.15,K537&gt;0.22,N537&gt;810.1,I537&lt;=14.95))*1</f>
        <v/>
      </c>
      <c r="AD537">
        <f>--(AND(D537&gt;113.15,K537&gt;0.22,N537&gt;810.1,I537&gt;14.95))*1</f>
        <v/>
      </c>
      <c r="AE537">
        <f>SUM(P537:AD537)</f>
        <v/>
      </c>
      <c r="AF537">
        <f>IF(AE537=1,"Malignant","Benign")</f>
        <v/>
      </c>
      <c r="AG537">
        <f>--(AE537=C537)</f>
        <v/>
      </c>
    </row>
    <row r="538">
      <c r="A538">
        <f>BreastCancer_Data!A538</f>
        <v/>
      </c>
      <c r="B538">
        <f>BreastCancer_Data!B538</f>
        <v/>
      </c>
      <c r="C538">
        <f>BreastCancer_Data!D538</f>
        <v/>
      </c>
      <c r="D538">
        <f>BreastCancer_Data!E538</f>
        <v/>
      </c>
      <c r="E538">
        <f>BreastCancer_Data!F538</f>
        <v/>
      </c>
      <c r="F538">
        <f>BreastCancer_Data!G538</f>
        <v/>
      </c>
      <c r="G538">
        <f>BreastCancer_Data!H538</f>
        <v/>
      </c>
      <c r="H538">
        <f>BreastCancer_Data!I538</f>
        <v/>
      </c>
      <c r="I538">
        <f>BreastCancer_Data!J538</f>
        <v/>
      </c>
      <c r="J538">
        <f>BreastCancer_Data!K538</f>
        <v/>
      </c>
      <c r="K538">
        <f>BreastCancer_Data!L538</f>
        <v/>
      </c>
      <c r="L538">
        <f>BreastCancer_Data!M538</f>
        <v/>
      </c>
      <c r="M538">
        <f>BreastCancer_Data!N538</f>
        <v/>
      </c>
      <c r="N538">
        <f>BreastCancer_Data!O538</f>
        <v/>
      </c>
      <c r="O538">
        <f>0</f>
        <v/>
      </c>
      <c r="P538">
        <f>--(AND(D538&lt;=113.15,E538&lt;=0.15,F538&lt;=15.77,G538&lt;=0.18,H538&lt;=33.27))*0</f>
        <v/>
      </c>
      <c r="Q538">
        <f>--(AND(D538&lt;=113.15,E538&lt;=0.15,F538&lt;=15.77,G538&lt;=0.18,H538&gt;33.27))*0</f>
        <v/>
      </c>
      <c r="R538">
        <f>--(AND(D538&lt;=113.15,E538&lt;=0.15,F538&lt;=15.77,G538&gt;0.18))*0</f>
        <v/>
      </c>
      <c r="S538">
        <f>--(AND(D538&lt;=113.15,E538&lt;=0.15,F538&gt;15.77,H538&lt;=28.86,G538&lt;=0.14))*0</f>
        <v/>
      </c>
      <c r="T538">
        <f>--(AND(D538&lt;=113.15,E538&lt;=0.15,F538&gt;15.77,H538&lt;=28.86,G538&gt;0.14))*1</f>
        <v/>
      </c>
      <c r="U538">
        <f>--(AND(D538&lt;=113.15,E538&lt;=0.15,F538&gt;15.77,H538&gt;28.86,M538&lt;=14.54))*1</f>
        <v/>
      </c>
      <c r="V538">
        <f>--(AND(D538&lt;=113.15,E538&lt;=0.15,F538&gt;15.77,H538&gt;28.86,M538&gt;14.54))*1</f>
        <v/>
      </c>
      <c r="W538">
        <f>--(AND(D538&lt;=113.15,E538&gt;0.15,H538&lt;=23.74))*0</f>
        <v/>
      </c>
      <c r="X538">
        <f>--(AND(D538&lt;=113.15,E538&gt;0.15,H538&gt;23.74,J538&lt;=0.1))*1</f>
        <v/>
      </c>
      <c r="Y538">
        <f>--(AND(D538&lt;=113.15,E538&gt;0.15,H538&gt;23.74,J538&gt;0.1))*1</f>
        <v/>
      </c>
      <c r="Z538">
        <f>--(AND(D538&gt;113.15,K538&lt;=0.22,L538&lt;=0.02))*1</f>
        <v/>
      </c>
      <c r="AA538">
        <f>--(AND(D538&gt;113.15,K538&lt;=0.22,L538&gt;0.02))*0</f>
        <v/>
      </c>
      <c r="AB538">
        <f>--(AND(D538&gt;113.15,K538&gt;0.22,N538&lt;=810.1))*0</f>
        <v/>
      </c>
      <c r="AC538">
        <f>--(AND(D538&gt;113.15,K538&gt;0.22,N538&gt;810.1,I538&lt;=14.95))*1</f>
        <v/>
      </c>
      <c r="AD538">
        <f>--(AND(D538&gt;113.15,K538&gt;0.22,N538&gt;810.1,I538&gt;14.95))*1</f>
        <v/>
      </c>
      <c r="AE538">
        <f>SUM(P538:AD538)</f>
        <v/>
      </c>
      <c r="AF538">
        <f>IF(AE538=1,"Malignant","Benign")</f>
        <v/>
      </c>
      <c r="AG538">
        <f>--(AE538=C538)</f>
        <v/>
      </c>
    </row>
    <row r="539">
      <c r="A539">
        <f>BreastCancer_Data!A539</f>
        <v/>
      </c>
      <c r="B539">
        <f>BreastCancer_Data!B539</f>
        <v/>
      </c>
      <c r="C539">
        <f>BreastCancer_Data!D539</f>
        <v/>
      </c>
      <c r="D539">
        <f>BreastCancer_Data!E539</f>
        <v/>
      </c>
      <c r="E539">
        <f>BreastCancer_Data!F539</f>
        <v/>
      </c>
      <c r="F539">
        <f>BreastCancer_Data!G539</f>
        <v/>
      </c>
      <c r="G539">
        <f>BreastCancer_Data!H539</f>
        <v/>
      </c>
      <c r="H539">
        <f>BreastCancer_Data!I539</f>
        <v/>
      </c>
      <c r="I539">
        <f>BreastCancer_Data!J539</f>
        <v/>
      </c>
      <c r="J539">
        <f>BreastCancer_Data!K539</f>
        <v/>
      </c>
      <c r="K539">
        <f>BreastCancer_Data!L539</f>
        <v/>
      </c>
      <c r="L539">
        <f>BreastCancer_Data!M539</f>
        <v/>
      </c>
      <c r="M539">
        <f>BreastCancer_Data!N539</f>
        <v/>
      </c>
      <c r="N539">
        <f>BreastCancer_Data!O539</f>
        <v/>
      </c>
      <c r="O539">
        <f>0</f>
        <v/>
      </c>
      <c r="P539">
        <f>--(AND(D539&lt;=113.15,E539&lt;=0.15,F539&lt;=15.77,G539&lt;=0.18,H539&lt;=33.27))*0</f>
        <v/>
      </c>
      <c r="Q539">
        <f>--(AND(D539&lt;=113.15,E539&lt;=0.15,F539&lt;=15.77,G539&lt;=0.18,H539&gt;33.27))*0</f>
        <v/>
      </c>
      <c r="R539">
        <f>--(AND(D539&lt;=113.15,E539&lt;=0.15,F539&lt;=15.77,G539&gt;0.18))*0</f>
        <v/>
      </c>
      <c r="S539">
        <f>--(AND(D539&lt;=113.15,E539&lt;=0.15,F539&gt;15.77,H539&lt;=28.86,G539&lt;=0.14))*0</f>
        <v/>
      </c>
      <c r="T539">
        <f>--(AND(D539&lt;=113.15,E539&lt;=0.15,F539&gt;15.77,H539&lt;=28.86,G539&gt;0.14))*1</f>
        <v/>
      </c>
      <c r="U539">
        <f>--(AND(D539&lt;=113.15,E539&lt;=0.15,F539&gt;15.77,H539&gt;28.86,M539&lt;=14.54))*1</f>
        <v/>
      </c>
      <c r="V539">
        <f>--(AND(D539&lt;=113.15,E539&lt;=0.15,F539&gt;15.77,H539&gt;28.86,M539&gt;14.54))*1</f>
        <v/>
      </c>
      <c r="W539">
        <f>--(AND(D539&lt;=113.15,E539&gt;0.15,H539&lt;=23.74))*0</f>
        <v/>
      </c>
      <c r="X539">
        <f>--(AND(D539&lt;=113.15,E539&gt;0.15,H539&gt;23.74,J539&lt;=0.1))*1</f>
        <v/>
      </c>
      <c r="Y539">
        <f>--(AND(D539&lt;=113.15,E539&gt;0.15,H539&gt;23.74,J539&gt;0.1))*1</f>
        <v/>
      </c>
      <c r="Z539">
        <f>--(AND(D539&gt;113.15,K539&lt;=0.22,L539&lt;=0.02))*1</f>
        <v/>
      </c>
      <c r="AA539">
        <f>--(AND(D539&gt;113.15,K539&lt;=0.22,L539&gt;0.02))*0</f>
        <v/>
      </c>
      <c r="AB539">
        <f>--(AND(D539&gt;113.15,K539&gt;0.22,N539&lt;=810.1))*0</f>
        <v/>
      </c>
      <c r="AC539">
        <f>--(AND(D539&gt;113.15,K539&gt;0.22,N539&gt;810.1,I539&lt;=14.95))*1</f>
        <v/>
      </c>
      <c r="AD539">
        <f>--(AND(D539&gt;113.15,K539&gt;0.22,N539&gt;810.1,I539&gt;14.95))*1</f>
        <v/>
      </c>
      <c r="AE539">
        <f>SUM(P539:AD539)</f>
        <v/>
      </c>
      <c r="AF539">
        <f>IF(AE539=1,"Malignant","Benign")</f>
        <v/>
      </c>
      <c r="AG539">
        <f>--(AE539=C539)</f>
        <v/>
      </c>
    </row>
    <row r="540">
      <c r="A540">
        <f>BreastCancer_Data!A540</f>
        <v/>
      </c>
      <c r="B540">
        <f>BreastCancer_Data!B540</f>
        <v/>
      </c>
      <c r="C540">
        <f>BreastCancer_Data!D540</f>
        <v/>
      </c>
      <c r="D540">
        <f>BreastCancer_Data!E540</f>
        <v/>
      </c>
      <c r="E540">
        <f>BreastCancer_Data!F540</f>
        <v/>
      </c>
      <c r="F540">
        <f>BreastCancer_Data!G540</f>
        <v/>
      </c>
      <c r="G540">
        <f>BreastCancer_Data!H540</f>
        <v/>
      </c>
      <c r="H540">
        <f>BreastCancer_Data!I540</f>
        <v/>
      </c>
      <c r="I540">
        <f>BreastCancer_Data!J540</f>
        <v/>
      </c>
      <c r="J540">
        <f>BreastCancer_Data!K540</f>
        <v/>
      </c>
      <c r="K540">
        <f>BreastCancer_Data!L540</f>
        <v/>
      </c>
      <c r="L540">
        <f>BreastCancer_Data!M540</f>
        <v/>
      </c>
      <c r="M540">
        <f>BreastCancer_Data!N540</f>
        <v/>
      </c>
      <c r="N540">
        <f>BreastCancer_Data!O540</f>
        <v/>
      </c>
      <c r="O540">
        <f>0</f>
        <v/>
      </c>
      <c r="P540">
        <f>--(AND(D540&lt;=113.15,E540&lt;=0.15,F540&lt;=15.77,G540&lt;=0.18,H540&lt;=33.27))*0</f>
        <v/>
      </c>
      <c r="Q540">
        <f>--(AND(D540&lt;=113.15,E540&lt;=0.15,F540&lt;=15.77,G540&lt;=0.18,H540&gt;33.27))*0</f>
        <v/>
      </c>
      <c r="R540">
        <f>--(AND(D540&lt;=113.15,E540&lt;=0.15,F540&lt;=15.77,G540&gt;0.18))*0</f>
        <v/>
      </c>
      <c r="S540">
        <f>--(AND(D540&lt;=113.15,E540&lt;=0.15,F540&gt;15.77,H540&lt;=28.86,G540&lt;=0.14))*0</f>
        <v/>
      </c>
      <c r="T540">
        <f>--(AND(D540&lt;=113.15,E540&lt;=0.15,F540&gt;15.77,H540&lt;=28.86,G540&gt;0.14))*1</f>
        <v/>
      </c>
      <c r="U540">
        <f>--(AND(D540&lt;=113.15,E540&lt;=0.15,F540&gt;15.77,H540&gt;28.86,M540&lt;=14.54))*1</f>
        <v/>
      </c>
      <c r="V540">
        <f>--(AND(D540&lt;=113.15,E540&lt;=0.15,F540&gt;15.77,H540&gt;28.86,M540&gt;14.54))*1</f>
        <v/>
      </c>
      <c r="W540">
        <f>--(AND(D540&lt;=113.15,E540&gt;0.15,H540&lt;=23.74))*0</f>
        <v/>
      </c>
      <c r="X540">
        <f>--(AND(D540&lt;=113.15,E540&gt;0.15,H540&gt;23.74,J540&lt;=0.1))*1</f>
        <v/>
      </c>
      <c r="Y540">
        <f>--(AND(D540&lt;=113.15,E540&gt;0.15,H540&gt;23.74,J540&gt;0.1))*1</f>
        <v/>
      </c>
      <c r="Z540">
        <f>--(AND(D540&gt;113.15,K540&lt;=0.22,L540&lt;=0.02))*1</f>
        <v/>
      </c>
      <c r="AA540">
        <f>--(AND(D540&gt;113.15,K540&lt;=0.22,L540&gt;0.02))*0</f>
        <v/>
      </c>
      <c r="AB540">
        <f>--(AND(D540&gt;113.15,K540&gt;0.22,N540&lt;=810.1))*0</f>
        <v/>
      </c>
      <c r="AC540">
        <f>--(AND(D540&gt;113.15,K540&gt;0.22,N540&gt;810.1,I540&lt;=14.95))*1</f>
        <v/>
      </c>
      <c r="AD540">
        <f>--(AND(D540&gt;113.15,K540&gt;0.22,N540&gt;810.1,I540&gt;14.95))*1</f>
        <v/>
      </c>
      <c r="AE540">
        <f>SUM(P540:AD540)</f>
        <v/>
      </c>
      <c r="AF540">
        <f>IF(AE540=1,"Malignant","Benign")</f>
        <v/>
      </c>
      <c r="AG540">
        <f>--(AE540=C540)</f>
        <v/>
      </c>
    </row>
    <row r="541">
      <c r="A541">
        <f>BreastCancer_Data!A541</f>
        <v/>
      </c>
      <c r="B541">
        <f>BreastCancer_Data!B541</f>
        <v/>
      </c>
      <c r="C541">
        <f>BreastCancer_Data!D541</f>
        <v/>
      </c>
      <c r="D541">
        <f>BreastCancer_Data!E541</f>
        <v/>
      </c>
      <c r="E541">
        <f>BreastCancer_Data!F541</f>
        <v/>
      </c>
      <c r="F541">
        <f>BreastCancer_Data!G541</f>
        <v/>
      </c>
      <c r="G541">
        <f>BreastCancer_Data!H541</f>
        <v/>
      </c>
      <c r="H541">
        <f>BreastCancer_Data!I541</f>
        <v/>
      </c>
      <c r="I541">
        <f>BreastCancer_Data!J541</f>
        <v/>
      </c>
      <c r="J541">
        <f>BreastCancer_Data!K541</f>
        <v/>
      </c>
      <c r="K541">
        <f>BreastCancer_Data!L541</f>
        <v/>
      </c>
      <c r="L541">
        <f>BreastCancer_Data!M541</f>
        <v/>
      </c>
      <c r="M541">
        <f>BreastCancer_Data!N541</f>
        <v/>
      </c>
      <c r="N541">
        <f>BreastCancer_Data!O541</f>
        <v/>
      </c>
      <c r="O541">
        <f>0</f>
        <v/>
      </c>
      <c r="P541">
        <f>--(AND(D541&lt;=113.15,E541&lt;=0.15,F541&lt;=15.77,G541&lt;=0.18,H541&lt;=33.27))*0</f>
        <v/>
      </c>
      <c r="Q541">
        <f>--(AND(D541&lt;=113.15,E541&lt;=0.15,F541&lt;=15.77,G541&lt;=0.18,H541&gt;33.27))*0</f>
        <v/>
      </c>
      <c r="R541">
        <f>--(AND(D541&lt;=113.15,E541&lt;=0.15,F541&lt;=15.77,G541&gt;0.18))*0</f>
        <v/>
      </c>
      <c r="S541">
        <f>--(AND(D541&lt;=113.15,E541&lt;=0.15,F541&gt;15.77,H541&lt;=28.86,G541&lt;=0.14))*0</f>
        <v/>
      </c>
      <c r="T541">
        <f>--(AND(D541&lt;=113.15,E541&lt;=0.15,F541&gt;15.77,H541&lt;=28.86,G541&gt;0.14))*1</f>
        <v/>
      </c>
      <c r="U541">
        <f>--(AND(D541&lt;=113.15,E541&lt;=0.15,F541&gt;15.77,H541&gt;28.86,M541&lt;=14.54))*1</f>
        <v/>
      </c>
      <c r="V541">
        <f>--(AND(D541&lt;=113.15,E541&lt;=0.15,F541&gt;15.77,H541&gt;28.86,M541&gt;14.54))*1</f>
        <v/>
      </c>
      <c r="W541">
        <f>--(AND(D541&lt;=113.15,E541&gt;0.15,H541&lt;=23.74))*0</f>
        <v/>
      </c>
      <c r="X541">
        <f>--(AND(D541&lt;=113.15,E541&gt;0.15,H541&gt;23.74,J541&lt;=0.1))*1</f>
        <v/>
      </c>
      <c r="Y541">
        <f>--(AND(D541&lt;=113.15,E541&gt;0.15,H541&gt;23.74,J541&gt;0.1))*1</f>
        <v/>
      </c>
      <c r="Z541">
        <f>--(AND(D541&gt;113.15,K541&lt;=0.22,L541&lt;=0.02))*1</f>
        <v/>
      </c>
      <c r="AA541">
        <f>--(AND(D541&gt;113.15,K541&lt;=0.22,L541&gt;0.02))*0</f>
        <v/>
      </c>
      <c r="AB541">
        <f>--(AND(D541&gt;113.15,K541&gt;0.22,N541&lt;=810.1))*0</f>
        <v/>
      </c>
      <c r="AC541">
        <f>--(AND(D541&gt;113.15,K541&gt;0.22,N541&gt;810.1,I541&lt;=14.95))*1</f>
        <v/>
      </c>
      <c r="AD541">
        <f>--(AND(D541&gt;113.15,K541&gt;0.22,N541&gt;810.1,I541&gt;14.95))*1</f>
        <v/>
      </c>
      <c r="AE541">
        <f>SUM(P541:AD541)</f>
        <v/>
      </c>
      <c r="AF541">
        <f>IF(AE541=1,"Malignant","Benign")</f>
        <v/>
      </c>
      <c r="AG541">
        <f>--(AE541=C541)</f>
        <v/>
      </c>
    </row>
    <row r="542">
      <c r="A542">
        <f>BreastCancer_Data!A542</f>
        <v/>
      </c>
      <c r="B542">
        <f>BreastCancer_Data!B542</f>
        <v/>
      </c>
      <c r="C542">
        <f>BreastCancer_Data!D542</f>
        <v/>
      </c>
      <c r="D542">
        <f>BreastCancer_Data!E542</f>
        <v/>
      </c>
      <c r="E542">
        <f>BreastCancer_Data!F542</f>
        <v/>
      </c>
      <c r="F542">
        <f>BreastCancer_Data!G542</f>
        <v/>
      </c>
      <c r="G542">
        <f>BreastCancer_Data!H542</f>
        <v/>
      </c>
      <c r="H542">
        <f>BreastCancer_Data!I542</f>
        <v/>
      </c>
      <c r="I542">
        <f>BreastCancer_Data!J542</f>
        <v/>
      </c>
      <c r="J542">
        <f>BreastCancer_Data!K542</f>
        <v/>
      </c>
      <c r="K542">
        <f>BreastCancer_Data!L542</f>
        <v/>
      </c>
      <c r="L542">
        <f>BreastCancer_Data!M542</f>
        <v/>
      </c>
      <c r="M542">
        <f>BreastCancer_Data!N542</f>
        <v/>
      </c>
      <c r="N542">
        <f>BreastCancer_Data!O542</f>
        <v/>
      </c>
      <c r="O542">
        <f>0</f>
        <v/>
      </c>
      <c r="P542">
        <f>--(AND(D542&lt;=113.15,E542&lt;=0.15,F542&lt;=15.77,G542&lt;=0.18,H542&lt;=33.27))*0</f>
        <v/>
      </c>
      <c r="Q542">
        <f>--(AND(D542&lt;=113.15,E542&lt;=0.15,F542&lt;=15.77,G542&lt;=0.18,H542&gt;33.27))*0</f>
        <v/>
      </c>
      <c r="R542">
        <f>--(AND(D542&lt;=113.15,E542&lt;=0.15,F542&lt;=15.77,G542&gt;0.18))*0</f>
        <v/>
      </c>
      <c r="S542">
        <f>--(AND(D542&lt;=113.15,E542&lt;=0.15,F542&gt;15.77,H542&lt;=28.86,G542&lt;=0.14))*0</f>
        <v/>
      </c>
      <c r="T542">
        <f>--(AND(D542&lt;=113.15,E542&lt;=0.15,F542&gt;15.77,H542&lt;=28.86,G542&gt;0.14))*1</f>
        <v/>
      </c>
      <c r="U542">
        <f>--(AND(D542&lt;=113.15,E542&lt;=0.15,F542&gt;15.77,H542&gt;28.86,M542&lt;=14.54))*1</f>
        <v/>
      </c>
      <c r="V542">
        <f>--(AND(D542&lt;=113.15,E542&lt;=0.15,F542&gt;15.77,H542&gt;28.86,M542&gt;14.54))*1</f>
        <v/>
      </c>
      <c r="W542">
        <f>--(AND(D542&lt;=113.15,E542&gt;0.15,H542&lt;=23.74))*0</f>
        <v/>
      </c>
      <c r="X542">
        <f>--(AND(D542&lt;=113.15,E542&gt;0.15,H542&gt;23.74,J542&lt;=0.1))*1</f>
        <v/>
      </c>
      <c r="Y542">
        <f>--(AND(D542&lt;=113.15,E542&gt;0.15,H542&gt;23.74,J542&gt;0.1))*1</f>
        <v/>
      </c>
      <c r="Z542">
        <f>--(AND(D542&gt;113.15,K542&lt;=0.22,L542&lt;=0.02))*1</f>
        <v/>
      </c>
      <c r="AA542">
        <f>--(AND(D542&gt;113.15,K542&lt;=0.22,L542&gt;0.02))*0</f>
        <v/>
      </c>
      <c r="AB542">
        <f>--(AND(D542&gt;113.15,K542&gt;0.22,N542&lt;=810.1))*0</f>
        <v/>
      </c>
      <c r="AC542">
        <f>--(AND(D542&gt;113.15,K542&gt;0.22,N542&gt;810.1,I542&lt;=14.95))*1</f>
        <v/>
      </c>
      <c r="AD542">
        <f>--(AND(D542&gt;113.15,K542&gt;0.22,N542&gt;810.1,I542&gt;14.95))*1</f>
        <v/>
      </c>
      <c r="AE542">
        <f>SUM(P542:AD542)</f>
        <v/>
      </c>
      <c r="AF542">
        <f>IF(AE542=1,"Malignant","Benign")</f>
        <v/>
      </c>
      <c r="AG542">
        <f>--(AE542=C542)</f>
        <v/>
      </c>
    </row>
    <row r="543">
      <c r="A543">
        <f>BreastCancer_Data!A543</f>
        <v/>
      </c>
      <c r="B543">
        <f>BreastCancer_Data!B543</f>
        <v/>
      </c>
      <c r="C543">
        <f>BreastCancer_Data!D543</f>
        <v/>
      </c>
      <c r="D543">
        <f>BreastCancer_Data!E543</f>
        <v/>
      </c>
      <c r="E543">
        <f>BreastCancer_Data!F543</f>
        <v/>
      </c>
      <c r="F543">
        <f>BreastCancer_Data!G543</f>
        <v/>
      </c>
      <c r="G543">
        <f>BreastCancer_Data!H543</f>
        <v/>
      </c>
      <c r="H543">
        <f>BreastCancer_Data!I543</f>
        <v/>
      </c>
      <c r="I543">
        <f>BreastCancer_Data!J543</f>
        <v/>
      </c>
      <c r="J543">
        <f>BreastCancer_Data!K543</f>
        <v/>
      </c>
      <c r="K543">
        <f>BreastCancer_Data!L543</f>
        <v/>
      </c>
      <c r="L543">
        <f>BreastCancer_Data!M543</f>
        <v/>
      </c>
      <c r="M543">
        <f>BreastCancer_Data!N543</f>
        <v/>
      </c>
      <c r="N543">
        <f>BreastCancer_Data!O543</f>
        <v/>
      </c>
      <c r="O543">
        <f>0</f>
        <v/>
      </c>
      <c r="P543">
        <f>--(AND(D543&lt;=113.15,E543&lt;=0.15,F543&lt;=15.77,G543&lt;=0.18,H543&lt;=33.27))*0</f>
        <v/>
      </c>
      <c r="Q543">
        <f>--(AND(D543&lt;=113.15,E543&lt;=0.15,F543&lt;=15.77,G543&lt;=0.18,H543&gt;33.27))*0</f>
        <v/>
      </c>
      <c r="R543">
        <f>--(AND(D543&lt;=113.15,E543&lt;=0.15,F543&lt;=15.77,G543&gt;0.18))*0</f>
        <v/>
      </c>
      <c r="S543">
        <f>--(AND(D543&lt;=113.15,E543&lt;=0.15,F543&gt;15.77,H543&lt;=28.86,G543&lt;=0.14))*0</f>
        <v/>
      </c>
      <c r="T543">
        <f>--(AND(D543&lt;=113.15,E543&lt;=0.15,F543&gt;15.77,H543&lt;=28.86,G543&gt;0.14))*1</f>
        <v/>
      </c>
      <c r="U543">
        <f>--(AND(D543&lt;=113.15,E543&lt;=0.15,F543&gt;15.77,H543&gt;28.86,M543&lt;=14.54))*1</f>
        <v/>
      </c>
      <c r="V543">
        <f>--(AND(D543&lt;=113.15,E543&lt;=0.15,F543&gt;15.77,H543&gt;28.86,M543&gt;14.54))*1</f>
        <v/>
      </c>
      <c r="W543">
        <f>--(AND(D543&lt;=113.15,E543&gt;0.15,H543&lt;=23.74))*0</f>
        <v/>
      </c>
      <c r="X543">
        <f>--(AND(D543&lt;=113.15,E543&gt;0.15,H543&gt;23.74,J543&lt;=0.1))*1</f>
        <v/>
      </c>
      <c r="Y543">
        <f>--(AND(D543&lt;=113.15,E543&gt;0.15,H543&gt;23.74,J543&gt;0.1))*1</f>
        <v/>
      </c>
      <c r="Z543">
        <f>--(AND(D543&gt;113.15,K543&lt;=0.22,L543&lt;=0.02))*1</f>
        <v/>
      </c>
      <c r="AA543">
        <f>--(AND(D543&gt;113.15,K543&lt;=0.22,L543&gt;0.02))*0</f>
        <v/>
      </c>
      <c r="AB543">
        <f>--(AND(D543&gt;113.15,K543&gt;0.22,N543&lt;=810.1))*0</f>
        <v/>
      </c>
      <c r="AC543">
        <f>--(AND(D543&gt;113.15,K543&gt;0.22,N543&gt;810.1,I543&lt;=14.95))*1</f>
        <v/>
      </c>
      <c r="AD543">
        <f>--(AND(D543&gt;113.15,K543&gt;0.22,N543&gt;810.1,I543&gt;14.95))*1</f>
        <v/>
      </c>
      <c r="AE543">
        <f>SUM(P543:AD543)</f>
        <v/>
      </c>
      <c r="AF543">
        <f>IF(AE543=1,"Malignant","Benign")</f>
        <v/>
      </c>
      <c r="AG543">
        <f>--(AE543=C543)</f>
        <v/>
      </c>
    </row>
    <row r="544">
      <c r="A544">
        <f>BreastCancer_Data!A544</f>
        <v/>
      </c>
      <c r="B544">
        <f>BreastCancer_Data!B544</f>
        <v/>
      </c>
      <c r="C544">
        <f>BreastCancer_Data!D544</f>
        <v/>
      </c>
      <c r="D544">
        <f>BreastCancer_Data!E544</f>
        <v/>
      </c>
      <c r="E544">
        <f>BreastCancer_Data!F544</f>
        <v/>
      </c>
      <c r="F544">
        <f>BreastCancer_Data!G544</f>
        <v/>
      </c>
      <c r="G544">
        <f>BreastCancer_Data!H544</f>
        <v/>
      </c>
      <c r="H544">
        <f>BreastCancer_Data!I544</f>
        <v/>
      </c>
      <c r="I544">
        <f>BreastCancer_Data!J544</f>
        <v/>
      </c>
      <c r="J544">
        <f>BreastCancer_Data!K544</f>
        <v/>
      </c>
      <c r="K544">
        <f>BreastCancer_Data!L544</f>
        <v/>
      </c>
      <c r="L544">
        <f>BreastCancer_Data!M544</f>
        <v/>
      </c>
      <c r="M544">
        <f>BreastCancer_Data!N544</f>
        <v/>
      </c>
      <c r="N544">
        <f>BreastCancer_Data!O544</f>
        <v/>
      </c>
      <c r="O544">
        <f>0</f>
        <v/>
      </c>
      <c r="P544">
        <f>--(AND(D544&lt;=113.15,E544&lt;=0.15,F544&lt;=15.77,G544&lt;=0.18,H544&lt;=33.27))*0</f>
        <v/>
      </c>
      <c r="Q544">
        <f>--(AND(D544&lt;=113.15,E544&lt;=0.15,F544&lt;=15.77,G544&lt;=0.18,H544&gt;33.27))*0</f>
        <v/>
      </c>
      <c r="R544">
        <f>--(AND(D544&lt;=113.15,E544&lt;=0.15,F544&lt;=15.77,G544&gt;0.18))*0</f>
        <v/>
      </c>
      <c r="S544">
        <f>--(AND(D544&lt;=113.15,E544&lt;=0.15,F544&gt;15.77,H544&lt;=28.86,G544&lt;=0.14))*0</f>
        <v/>
      </c>
      <c r="T544">
        <f>--(AND(D544&lt;=113.15,E544&lt;=0.15,F544&gt;15.77,H544&lt;=28.86,G544&gt;0.14))*1</f>
        <v/>
      </c>
      <c r="U544">
        <f>--(AND(D544&lt;=113.15,E544&lt;=0.15,F544&gt;15.77,H544&gt;28.86,M544&lt;=14.54))*1</f>
        <v/>
      </c>
      <c r="V544">
        <f>--(AND(D544&lt;=113.15,E544&lt;=0.15,F544&gt;15.77,H544&gt;28.86,M544&gt;14.54))*1</f>
        <v/>
      </c>
      <c r="W544">
        <f>--(AND(D544&lt;=113.15,E544&gt;0.15,H544&lt;=23.74))*0</f>
        <v/>
      </c>
      <c r="X544">
        <f>--(AND(D544&lt;=113.15,E544&gt;0.15,H544&gt;23.74,J544&lt;=0.1))*1</f>
        <v/>
      </c>
      <c r="Y544">
        <f>--(AND(D544&lt;=113.15,E544&gt;0.15,H544&gt;23.74,J544&gt;0.1))*1</f>
        <v/>
      </c>
      <c r="Z544">
        <f>--(AND(D544&gt;113.15,K544&lt;=0.22,L544&lt;=0.02))*1</f>
        <v/>
      </c>
      <c r="AA544">
        <f>--(AND(D544&gt;113.15,K544&lt;=0.22,L544&gt;0.02))*0</f>
        <v/>
      </c>
      <c r="AB544">
        <f>--(AND(D544&gt;113.15,K544&gt;0.22,N544&lt;=810.1))*0</f>
        <v/>
      </c>
      <c r="AC544">
        <f>--(AND(D544&gt;113.15,K544&gt;0.22,N544&gt;810.1,I544&lt;=14.95))*1</f>
        <v/>
      </c>
      <c r="AD544">
        <f>--(AND(D544&gt;113.15,K544&gt;0.22,N544&gt;810.1,I544&gt;14.95))*1</f>
        <v/>
      </c>
      <c r="AE544">
        <f>SUM(P544:AD544)</f>
        <v/>
      </c>
      <c r="AF544">
        <f>IF(AE544=1,"Malignant","Benign")</f>
        <v/>
      </c>
      <c r="AG544">
        <f>--(AE544=C544)</f>
        <v/>
      </c>
    </row>
    <row r="545">
      <c r="A545">
        <f>BreastCancer_Data!A545</f>
        <v/>
      </c>
      <c r="B545">
        <f>BreastCancer_Data!B545</f>
        <v/>
      </c>
      <c r="C545">
        <f>BreastCancer_Data!D545</f>
        <v/>
      </c>
      <c r="D545">
        <f>BreastCancer_Data!E545</f>
        <v/>
      </c>
      <c r="E545">
        <f>BreastCancer_Data!F545</f>
        <v/>
      </c>
      <c r="F545">
        <f>BreastCancer_Data!G545</f>
        <v/>
      </c>
      <c r="G545">
        <f>BreastCancer_Data!H545</f>
        <v/>
      </c>
      <c r="H545">
        <f>BreastCancer_Data!I545</f>
        <v/>
      </c>
      <c r="I545">
        <f>BreastCancer_Data!J545</f>
        <v/>
      </c>
      <c r="J545">
        <f>BreastCancer_Data!K545</f>
        <v/>
      </c>
      <c r="K545">
        <f>BreastCancer_Data!L545</f>
        <v/>
      </c>
      <c r="L545">
        <f>BreastCancer_Data!M545</f>
        <v/>
      </c>
      <c r="M545">
        <f>BreastCancer_Data!N545</f>
        <v/>
      </c>
      <c r="N545">
        <f>BreastCancer_Data!O545</f>
        <v/>
      </c>
      <c r="O545">
        <f>0</f>
        <v/>
      </c>
      <c r="P545">
        <f>--(AND(D545&lt;=113.15,E545&lt;=0.15,F545&lt;=15.77,G545&lt;=0.18,H545&lt;=33.27))*0</f>
        <v/>
      </c>
      <c r="Q545">
        <f>--(AND(D545&lt;=113.15,E545&lt;=0.15,F545&lt;=15.77,G545&lt;=0.18,H545&gt;33.27))*0</f>
        <v/>
      </c>
      <c r="R545">
        <f>--(AND(D545&lt;=113.15,E545&lt;=0.15,F545&lt;=15.77,G545&gt;0.18))*0</f>
        <v/>
      </c>
      <c r="S545">
        <f>--(AND(D545&lt;=113.15,E545&lt;=0.15,F545&gt;15.77,H545&lt;=28.86,G545&lt;=0.14))*0</f>
        <v/>
      </c>
      <c r="T545">
        <f>--(AND(D545&lt;=113.15,E545&lt;=0.15,F545&gt;15.77,H545&lt;=28.86,G545&gt;0.14))*1</f>
        <v/>
      </c>
      <c r="U545">
        <f>--(AND(D545&lt;=113.15,E545&lt;=0.15,F545&gt;15.77,H545&gt;28.86,M545&lt;=14.54))*1</f>
        <v/>
      </c>
      <c r="V545">
        <f>--(AND(D545&lt;=113.15,E545&lt;=0.15,F545&gt;15.77,H545&gt;28.86,M545&gt;14.54))*1</f>
        <v/>
      </c>
      <c r="W545">
        <f>--(AND(D545&lt;=113.15,E545&gt;0.15,H545&lt;=23.74))*0</f>
        <v/>
      </c>
      <c r="X545">
        <f>--(AND(D545&lt;=113.15,E545&gt;0.15,H545&gt;23.74,J545&lt;=0.1))*1</f>
        <v/>
      </c>
      <c r="Y545">
        <f>--(AND(D545&lt;=113.15,E545&gt;0.15,H545&gt;23.74,J545&gt;0.1))*1</f>
        <v/>
      </c>
      <c r="Z545">
        <f>--(AND(D545&gt;113.15,K545&lt;=0.22,L545&lt;=0.02))*1</f>
        <v/>
      </c>
      <c r="AA545">
        <f>--(AND(D545&gt;113.15,K545&lt;=0.22,L545&gt;0.02))*0</f>
        <v/>
      </c>
      <c r="AB545">
        <f>--(AND(D545&gt;113.15,K545&gt;0.22,N545&lt;=810.1))*0</f>
        <v/>
      </c>
      <c r="AC545">
        <f>--(AND(D545&gt;113.15,K545&gt;0.22,N545&gt;810.1,I545&lt;=14.95))*1</f>
        <v/>
      </c>
      <c r="AD545">
        <f>--(AND(D545&gt;113.15,K545&gt;0.22,N545&gt;810.1,I545&gt;14.95))*1</f>
        <v/>
      </c>
      <c r="AE545">
        <f>SUM(P545:AD545)</f>
        <v/>
      </c>
      <c r="AF545">
        <f>IF(AE545=1,"Malignant","Benign")</f>
        <v/>
      </c>
      <c r="AG545">
        <f>--(AE545=C545)</f>
        <v/>
      </c>
    </row>
    <row r="546">
      <c r="A546">
        <f>BreastCancer_Data!A546</f>
        <v/>
      </c>
      <c r="B546">
        <f>BreastCancer_Data!B546</f>
        <v/>
      </c>
      <c r="C546">
        <f>BreastCancer_Data!D546</f>
        <v/>
      </c>
      <c r="D546">
        <f>BreastCancer_Data!E546</f>
        <v/>
      </c>
      <c r="E546">
        <f>BreastCancer_Data!F546</f>
        <v/>
      </c>
      <c r="F546">
        <f>BreastCancer_Data!G546</f>
        <v/>
      </c>
      <c r="G546">
        <f>BreastCancer_Data!H546</f>
        <v/>
      </c>
      <c r="H546">
        <f>BreastCancer_Data!I546</f>
        <v/>
      </c>
      <c r="I546">
        <f>BreastCancer_Data!J546</f>
        <v/>
      </c>
      <c r="J546">
        <f>BreastCancer_Data!K546</f>
        <v/>
      </c>
      <c r="K546">
        <f>BreastCancer_Data!L546</f>
        <v/>
      </c>
      <c r="L546">
        <f>BreastCancer_Data!M546</f>
        <v/>
      </c>
      <c r="M546">
        <f>BreastCancer_Data!N546</f>
        <v/>
      </c>
      <c r="N546">
        <f>BreastCancer_Data!O546</f>
        <v/>
      </c>
      <c r="O546">
        <f>0</f>
        <v/>
      </c>
      <c r="P546">
        <f>--(AND(D546&lt;=113.15,E546&lt;=0.15,F546&lt;=15.77,G546&lt;=0.18,H546&lt;=33.27))*0</f>
        <v/>
      </c>
      <c r="Q546">
        <f>--(AND(D546&lt;=113.15,E546&lt;=0.15,F546&lt;=15.77,G546&lt;=0.18,H546&gt;33.27))*0</f>
        <v/>
      </c>
      <c r="R546">
        <f>--(AND(D546&lt;=113.15,E546&lt;=0.15,F546&lt;=15.77,G546&gt;0.18))*0</f>
        <v/>
      </c>
      <c r="S546">
        <f>--(AND(D546&lt;=113.15,E546&lt;=0.15,F546&gt;15.77,H546&lt;=28.86,G546&lt;=0.14))*0</f>
        <v/>
      </c>
      <c r="T546">
        <f>--(AND(D546&lt;=113.15,E546&lt;=0.15,F546&gt;15.77,H546&lt;=28.86,G546&gt;0.14))*1</f>
        <v/>
      </c>
      <c r="U546">
        <f>--(AND(D546&lt;=113.15,E546&lt;=0.15,F546&gt;15.77,H546&gt;28.86,M546&lt;=14.54))*1</f>
        <v/>
      </c>
      <c r="V546">
        <f>--(AND(D546&lt;=113.15,E546&lt;=0.15,F546&gt;15.77,H546&gt;28.86,M546&gt;14.54))*1</f>
        <v/>
      </c>
      <c r="W546">
        <f>--(AND(D546&lt;=113.15,E546&gt;0.15,H546&lt;=23.74))*0</f>
        <v/>
      </c>
      <c r="X546">
        <f>--(AND(D546&lt;=113.15,E546&gt;0.15,H546&gt;23.74,J546&lt;=0.1))*1</f>
        <v/>
      </c>
      <c r="Y546">
        <f>--(AND(D546&lt;=113.15,E546&gt;0.15,H546&gt;23.74,J546&gt;0.1))*1</f>
        <v/>
      </c>
      <c r="Z546">
        <f>--(AND(D546&gt;113.15,K546&lt;=0.22,L546&lt;=0.02))*1</f>
        <v/>
      </c>
      <c r="AA546">
        <f>--(AND(D546&gt;113.15,K546&lt;=0.22,L546&gt;0.02))*0</f>
        <v/>
      </c>
      <c r="AB546">
        <f>--(AND(D546&gt;113.15,K546&gt;0.22,N546&lt;=810.1))*0</f>
        <v/>
      </c>
      <c r="AC546">
        <f>--(AND(D546&gt;113.15,K546&gt;0.22,N546&gt;810.1,I546&lt;=14.95))*1</f>
        <v/>
      </c>
      <c r="AD546">
        <f>--(AND(D546&gt;113.15,K546&gt;0.22,N546&gt;810.1,I546&gt;14.95))*1</f>
        <v/>
      </c>
      <c r="AE546">
        <f>SUM(P546:AD546)</f>
        <v/>
      </c>
      <c r="AF546">
        <f>IF(AE546=1,"Malignant","Benign")</f>
        <v/>
      </c>
      <c r="AG546">
        <f>--(AE546=C546)</f>
        <v/>
      </c>
    </row>
    <row r="547">
      <c r="A547">
        <f>BreastCancer_Data!A547</f>
        <v/>
      </c>
      <c r="B547">
        <f>BreastCancer_Data!B547</f>
        <v/>
      </c>
      <c r="C547">
        <f>BreastCancer_Data!D547</f>
        <v/>
      </c>
      <c r="D547">
        <f>BreastCancer_Data!E547</f>
        <v/>
      </c>
      <c r="E547">
        <f>BreastCancer_Data!F547</f>
        <v/>
      </c>
      <c r="F547">
        <f>BreastCancer_Data!G547</f>
        <v/>
      </c>
      <c r="G547">
        <f>BreastCancer_Data!H547</f>
        <v/>
      </c>
      <c r="H547">
        <f>BreastCancer_Data!I547</f>
        <v/>
      </c>
      <c r="I547">
        <f>BreastCancer_Data!J547</f>
        <v/>
      </c>
      <c r="J547">
        <f>BreastCancer_Data!K547</f>
        <v/>
      </c>
      <c r="K547">
        <f>BreastCancer_Data!L547</f>
        <v/>
      </c>
      <c r="L547">
        <f>BreastCancer_Data!M547</f>
        <v/>
      </c>
      <c r="M547">
        <f>BreastCancer_Data!N547</f>
        <v/>
      </c>
      <c r="N547">
        <f>BreastCancer_Data!O547</f>
        <v/>
      </c>
      <c r="O547">
        <f>0</f>
        <v/>
      </c>
      <c r="P547">
        <f>--(AND(D547&lt;=113.15,E547&lt;=0.15,F547&lt;=15.77,G547&lt;=0.18,H547&lt;=33.27))*0</f>
        <v/>
      </c>
      <c r="Q547">
        <f>--(AND(D547&lt;=113.15,E547&lt;=0.15,F547&lt;=15.77,G547&lt;=0.18,H547&gt;33.27))*0</f>
        <v/>
      </c>
      <c r="R547">
        <f>--(AND(D547&lt;=113.15,E547&lt;=0.15,F547&lt;=15.77,G547&gt;0.18))*0</f>
        <v/>
      </c>
      <c r="S547">
        <f>--(AND(D547&lt;=113.15,E547&lt;=0.15,F547&gt;15.77,H547&lt;=28.86,G547&lt;=0.14))*0</f>
        <v/>
      </c>
      <c r="T547">
        <f>--(AND(D547&lt;=113.15,E547&lt;=0.15,F547&gt;15.77,H547&lt;=28.86,G547&gt;0.14))*1</f>
        <v/>
      </c>
      <c r="U547">
        <f>--(AND(D547&lt;=113.15,E547&lt;=0.15,F547&gt;15.77,H547&gt;28.86,M547&lt;=14.54))*1</f>
        <v/>
      </c>
      <c r="V547">
        <f>--(AND(D547&lt;=113.15,E547&lt;=0.15,F547&gt;15.77,H547&gt;28.86,M547&gt;14.54))*1</f>
        <v/>
      </c>
      <c r="W547">
        <f>--(AND(D547&lt;=113.15,E547&gt;0.15,H547&lt;=23.74))*0</f>
        <v/>
      </c>
      <c r="X547">
        <f>--(AND(D547&lt;=113.15,E547&gt;0.15,H547&gt;23.74,J547&lt;=0.1))*1</f>
        <v/>
      </c>
      <c r="Y547">
        <f>--(AND(D547&lt;=113.15,E547&gt;0.15,H547&gt;23.74,J547&gt;0.1))*1</f>
        <v/>
      </c>
      <c r="Z547">
        <f>--(AND(D547&gt;113.15,K547&lt;=0.22,L547&lt;=0.02))*1</f>
        <v/>
      </c>
      <c r="AA547">
        <f>--(AND(D547&gt;113.15,K547&lt;=0.22,L547&gt;0.02))*0</f>
        <v/>
      </c>
      <c r="AB547">
        <f>--(AND(D547&gt;113.15,K547&gt;0.22,N547&lt;=810.1))*0</f>
        <v/>
      </c>
      <c r="AC547">
        <f>--(AND(D547&gt;113.15,K547&gt;0.22,N547&gt;810.1,I547&lt;=14.95))*1</f>
        <v/>
      </c>
      <c r="AD547">
        <f>--(AND(D547&gt;113.15,K547&gt;0.22,N547&gt;810.1,I547&gt;14.95))*1</f>
        <v/>
      </c>
      <c r="AE547">
        <f>SUM(P547:AD547)</f>
        <v/>
      </c>
      <c r="AF547">
        <f>IF(AE547=1,"Malignant","Benign")</f>
        <v/>
      </c>
      <c r="AG547">
        <f>--(AE547=C547)</f>
        <v/>
      </c>
    </row>
    <row r="548">
      <c r="A548">
        <f>BreastCancer_Data!A548</f>
        <v/>
      </c>
      <c r="B548">
        <f>BreastCancer_Data!B548</f>
        <v/>
      </c>
      <c r="C548">
        <f>BreastCancer_Data!D548</f>
        <v/>
      </c>
      <c r="D548">
        <f>BreastCancer_Data!E548</f>
        <v/>
      </c>
      <c r="E548">
        <f>BreastCancer_Data!F548</f>
        <v/>
      </c>
      <c r="F548">
        <f>BreastCancer_Data!G548</f>
        <v/>
      </c>
      <c r="G548">
        <f>BreastCancer_Data!H548</f>
        <v/>
      </c>
      <c r="H548">
        <f>BreastCancer_Data!I548</f>
        <v/>
      </c>
      <c r="I548">
        <f>BreastCancer_Data!J548</f>
        <v/>
      </c>
      <c r="J548">
        <f>BreastCancer_Data!K548</f>
        <v/>
      </c>
      <c r="K548">
        <f>BreastCancer_Data!L548</f>
        <v/>
      </c>
      <c r="L548">
        <f>BreastCancer_Data!M548</f>
        <v/>
      </c>
      <c r="M548">
        <f>BreastCancer_Data!N548</f>
        <v/>
      </c>
      <c r="N548">
        <f>BreastCancer_Data!O548</f>
        <v/>
      </c>
      <c r="O548">
        <f>0</f>
        <v/>
      </c>
      <c r="P548">
        <f>--(AND(D548&lt;=113.15,E548&lt;=0.15,F548&lt;=15.77,G548&lt;=0.18,H548&lt;=33.27))*0</f>
        <v/>
      </c>
      <c r="Q548">
        <f>--(AND(D548&lt;=113.15,E548&lt;=0.15,F548&lt;=15.77,G548&lt;=0.18,H548&gt;33.27))*0</f>
        <v/>
      </c>
      <c r="R548">
        <f>--(AND(D548&lt;=113.15,E548&lt;=0.15,F548&lt;=15.77,G548&gt;0.18))*0</f>
        <v/>
      </c>
      <c r="S548">
        <f>--(AND(D548&lt;=113.15,E548&lt;=0.15,F548&gt;15.77,H548&lt;=28.86,G548&lt;=0.14))*0</f>
        <v/>
      </c>
      <c r="T548">
        <f>--(AND(D548&lt;=113.15,E548&lt;=0.15,F548&gt;15.77,H548&lt;=28.86,G548&gt;0.14))*1</f>
        <v/>
      </c>
      <c r="U548">
        <f>--(AND(D548&lt;=113.15,E548&lt;=0.15,F548&gt;15.77,H548&gt;28.86,M548&lt;=14.54))*1</f>
        <v/>
      </c>
      <c r="V548">
        <f>--(AND(D548&lt;=113.15,E548&lt;=0.15,F548&gt;15.77,H548&gt;28.86,M548&gt;14.54))*1</f>
        <v/>
      </c>
      <c r="W548">
        <f>--(AND(D548&lt;=113.15,E548&gt;0.15,H548&lt;=23.74))*0</f>
        <v/>
      </c>
      <c r="X548">
        <f>--(AND(D548&lt;=113.15,E548&gt;0.15,H548&gt;23.74,J548&lt;=0.1))*1</f>
        <v/>
      </c>
      <c r="Y548">
        <f>--(AND(D548&lt;=113.15,E548&gt;0.15,H548&gt;23.74,J548&gt;0.1))*1</f>
        <v/>
      </c>
      <c r="Z548">
        <f>--(AND(D548&gt;113.15,K548&lt;=0.22,L548&lt;=0.02))*1</f>
        <v/>
      </c>
      <c r="AA548">
        <f>--(AND(D548&gt;113.15,K548&lt;=0.22,L548&gt;0.02))*0</f>
        <v/>
      </c>
      <c r="AB548">
        <f>--(AND(D548&gt;113.15,K548&gt;0.22,N548&lt;=810.1))*0</f>
        <v/>
      </c>
      <c r="AC548">
        <f>--(AND(D548&gt;113.15,K548&gt;0.22,N548&gt;810.1,I548&lt;=14.95))*1</f>
        <v/>
      </c>
      <c r="AD548">
        <f>--(AND(D548&gt;113.15,K548&gt;0.22,N548&gt;810.1,I548&gt;14.95))*1</f>
        <v/>
      </c>
      <c r="AE548">
        <f>SUM(P548:AD548)</f>
        <v/>
      </c>
      <c r="AF548">
        <f>IF(AE548=1,"Malignant","Benign")</f>
        <v/>
      </c>
      <c r="AG548">
        <f>--(AE548=C548)</f>
        <v/>
      </c>
    </row>
    <row r="549">
      <c r="A549">
        <f>BreastCancer_Data!A549</f>
        <v/>
      </c>
      <c r="B549">
        <f>BreastCancer_Data!B549</f>
        <v/>
      </c>
      <c r="C549">
        <f>BreastCancer_Data!D549</f>
        <v/>
      </c>
      <c r="D549">
        <f>BreastCancer_Data!E549</f>
        <v/>
      </c>
      <c r="E549">
        <f>BreastCancer_Data!F549</f>
        <v/>
      </c>
      <c r="F549">
        <f>BreastCancer_Data!G549</f>
        <v/>
      </c>
      <c r="G549">
        <f>BreastCancer_Data!H549</f>
        <v/>
      </c>
      <c r="H549">
        <f>BreastCancer_Data!I549</f>
        <v/>
      </c>
      <c r="I549">
        <f>BreastCancer_Data!J549</f>
        <v/>
      </c>
      <c r="J549">
        <f>BreastCancer_Data!K549</f>
        <v/>
      </c>
      <c r="K549">
        <f>BreastCancer_Data!L549</f>
        <v/>
      </c>
      <c r="L549">
        <f>BreastCancer_Data!M549</f>
        <v/>
      </c>
      <c r="M549">
        <f>BreastCancer_Data!N549</f>
        <v/>
      </c>
      <c r="N549">
        <f>BreastCancer_Data!O549</f>
        <v/>
      </c>
      <c r="O549">
        <f>0</f>
        <v/>
      </c>
      <c r="P549">
        <f>--(AND(D549&lt;=113.15,E549&lt;=0.15,F549&lt;=15.77,G549&lt;=0.18,H549&lt;=33.27))*0</f>
        <v/>
      </c>
      <c r="Q549">
        <f>--(AND(D549&lt;=113.15,E549&lt;=0.15,F549&lt;=15.77,G549&lt;=0.18,H549&gt;33.27))*0</f>
        <v/>
      </c>
      <c r="R549">
        <f>--(AND(D549&lt;=113.15,E549&lt;=0.15,F549&lt;=15.77,G549&gt;0.18))*0</f>
        <v/>
      </c>
      <c r="S549">
        <f>--(AND(D549&lt;=113.15,E549&lt;=0.15,F549&gt;15.77,H549&lt;=28.86,G549&lt;=0.14))*0</f>
        <v/>
      </c>
      <c r="T549">
        <f>--(AND(D549&lt;=113.15,E549&lt;=0.15,F549&gt;15.77,H549&lt;=28.86,G549&gt;0.14))*1</f>
        <v/>
      </c>
      <c r="U549">
        <f>--(AND(D549&lt;=113.15,E549&lt;=0.15,F549&gt;15.77,H549&gt;28.86,M549&lt;=14.54))*1</f>
        <v/>
      </c>
      <c r="V549">
        <f>--(AND(D549&lt;=113.15,E549&lt;=0.15,F549&gt;15.77,H549&gt;28.86,M549&gt;14.54))*1</f>
        <v/>
      </c>
      <c r="W549">
        <f>--(AND(D549&lt;=113.15,E549&gt;0.15,H549&lt;=23.74))*0</f>
        <v/>
      </c>
      <c r="X549">
        <f>--(AND(D549&lt;=113.15,E549&gt;0.15,H549&gt;23.74,J549&lt;=0.1))*1</f>
        <v/>
      </c>
      <c r="Y549">
        <f>--(AND(D549&lt;=113.15,E549&gt;0.15,H549&gt;23.74,J549&gt;0.1))*1</f>
        <v/>
      </c>
      <c r="Z549">
        <f>--(AND(D549&gt;113.15,K549&lt;=0.22,L549&lt;=0.02))*1</f>
        <v/>
      </c>
      <c r="AA549">
        <f>--(AND(D549&gt;113.15,K549&lt;=0.22,L549&gt;0.02))*0</f>
        <v/>
      </c>
      <c r="AB549">
        <f>--(AND(D549&gt;113.15,K549&gt;0.22,N549&lt;=810.1))*0</f>
        <v/>
      </c>
      <c r="AC549">
        <f>--(AND(D549&gt;113.15,K549&gt;0.22,N549&gt;810.1,I549&lt;=14.95))*1</f>
        <v/>
      </c>
      <c r="AD549">
        <f>--(AND(D549&gt;113.15,K549&gt;0.22,N549&gt;810.1,I549&gt;14.95))*1</f>
        <v/>
      </c>
      <c r="AE549">
        <f>SUM(P549:AD549)</f>
        <v/>
      </c>
      <c r="AF549">
        <f>IF(AE549=1,"Malignant","Benign")</f>
        <v/>
      </c>
      <c r="AG549">
        <f>--(AE549=C549)</f>
        <v/>
      </c>
    </row>
    <row r="550">
      <c r="A550">
        <f>BreastCancer_Data!A550</f>
        <v/>
      </c>
      <c r="B550">
        <f>BreastCancer_Data!B550</f>
        <v/>
      </c>
      <c r="C550">
        <f>BreastCancer_Data!D550</f>
        <v/>
      </c>
      <c r="D550">
        <f>BreastCancer_Data!E550</f>
        <v/>
      </c>
      <c r="E550">
        <f>BreastCancer_Data!F550</f>
        <v/>
      </c>
      <c r="F550">
        <f>BreastCancer_Data!G550</f>
        <v/>
      </c>
      <c r="G550">
        <f>BreastCancer_Data!H550</f>
        <v/>
      </c>
      <c r="H550">
        <f>BreastCancer_Data!I550</f>
        <v/>
      </c>
      <c r="I550">
        <f>BreastCancer_Data!J550</f>
        <v/>
      </c>
      <c r="J550">
        <f>BreastCancer_Data!K550</f>
        <v/>
      </c>
      <c r="K550">
        <f>BreastCancer_Data!L550</f>
        <v/>
      </c>
      <c r="L550">
        <f>BreastCancer_Data!M550</f>
        <v/>
      </c>
      <c r="M550">
        <f>BreastCancer_Data!N550</f>
        <v/>
      </c>
      <c r="N550">
        <f>BreastCancer_Data!O550</f>
        <v/>
      </c>
      <c r="O550">
        <f>0</f>
        <v/>
      </c>
      <c r="P550">
        <f>--(AND(D550&lt;=113.15,E550&lt;=0.15,F550&lt;=15.77,G550&lt;=0.18,H550&lt;=33.27))*0</f>
        <v/>
      </c>
      <c r="Q550">
        <f>--(AND(D550&lt;=113.15,E550&lt;=0.15,F550&lt;=15.77,G550&lt;=0.18,H550&gt;33.27))*0</f>
        <v/>
      </c>
      <c r="R550">
        <f>--(AND(D550&lt;=113.15,E550&lt;=0.15,F550&lt;=15.77,G550&gt;0.18))*0</f>
        <v/>
      </c>
      <c r="S550">
        <f>--(AND(D550&lt;=113.15,E550&lt;=0.15,F550&gt;15.77,H550&lt;=28.86,G550&lt;=0.14))*0</f>
        <v/>
      </c>
      <c r="T550">
        <f>--(AND(D550&lt;=113.15,E550&lt;=0.15,F550&gt;15.77,H550&lt;=28.86,G550&gt;0.14))*1</f>
        <v/>
      </c>
      <c r="U550">
        <f>--(AND(D550&lt;=113.15,E550&lt;=0.15,F550&gt;15.77,H550&gt;28.86,M550&lt;=14.54))*1</f>
        <v/>
      </c>
      <c r="V550">
        <f>--(AND(D550&lt;=113.15,E550&lt;=0.15,F550&gt;15.77,H550&gt;28.86,M550&gt;14.54))*1</f>
        <v/>
      </c>
      <c r="W550">
        <f>--(AND(D550&lt;=113.15,E550&gt;0.15,H550&lt;=23.74))*0</f>
        <v/>
      </c>
      <c r="X550">
        <f>--(AND(D550&lt;=113.15,E550&gt;0.15,H550&gt;23.74,J550&lt;=0.1))*1</f>
        <v/>
      </c>
      <c r="Y550">
        <f>--(AND(D550&lt;=113.15,E550&gt;0.15,H550&gt;23.74,J550&gt;0.1))*1</f>
        <v/>
      </c>
      <c r="Z550">
        <f>--(AND(D550&gt;113.15,K550&lt;=0.22,L550&lt;=0.02))*1</f>
        <v/>
      </c>
      <c r="AA550">
        <f>--(AND(D550&gt;113.15,K550&lt;=0.22,L550&gt;0.02))*0</f>
        <v/>
      </c>
      <c r="AB550">
        <f>--(AND(D550&gt;113.15,K550&gt;0.22,N550&lt;=810.1))*0</f>
        <v/>
      </c>
      <c r="AC550">
        <f>--(AND(D550&gt;113.15,K550&gt;0.22,N550&gt;810.1,I550&lt;=14.95))*1</f>
        <v/>
      </c>
      <c r="AD550">
        <f>--(AND(D550&gt;113.15,K550&gt;0.22,N550&gt;810.1,I550&gt;14.95))*1</f>
        <v/>
      </c>
      <c r="AE550">
        <f>SUM(P550:AD550)</f>
        <v/>
      </c>
      <c r="AF550">
        <f>IF(AE550=1,"Malignant","Benign")</f>
        <v/>
      </c>
      <c r="AG550">
        <f>--(AE550=C550)</f>
        <v/>
      </c>
    </row>
    <row r="551">
      <c r="A551">
        <f>BreastCancer_Data!A551</f>
        <v/>
      </c>
      <c r="B551">
        <f>BreastCancer_Data!B551</f>
        <v/>
      </c>
      <c r="C551">
        <f>BreastCancer_Data!D551</f>
        <v/>
      </c>
      <c r="D551">
        <f>BreastCancer_Data!E551</f>
        <v/>
      </c>
      <c r="E551">
        <f>BreastCancer_Data!F551</f>
        <v/>
      </c>
      <c r="F551">
        <f>BreastCancer_Data!G551</f>
        <v/>
      </c>
      <c r="G551">
        <f>BreastCancer_Data!H551</f>
        <v/>
      </c>
      <c r="H551">
        <f>BreastCancer_Data!I551</f>
        <v/>
      </c>
      <c r="I551">
        <f>BreastCancer_Data!J551</f>
        <v/>
      </c>
      <c r="J551">
        <f>BreastCancer_Data!K551</f>
        <v/>
      </c>
      <c r="K551">
        <f>BreastCancer_Data!L551</f>
        <v/>
      </c>
      <c r="L551">
        <f>BreastCancer_Data!M551</f>
        <v/>
      </c>
      <c r="M551">
        <f>BreastCancer_Data!N551</f>
        <v/>
      </c>
      <c r="N551">
        <f>BreastCancer_Data!O551</f>
        <v/>
      </c>
      <c r="O551">
        <f>0</f>
        <v/>
      </c>
      <c r="P551">
        <f>--(AND(D551&lt;=113.15,E551&lt;=0.15,F551&lt;=15.77,G551&lt;=0.18,H551&lt;=33.27))*0</f>
        <v/>
      </c>
      <c r="Q551">
        <f>--(AND(D551&lt;=113.15,E551&lt;=0.15,F551&lt;=15.77,G551&lt;=0.18,H551&gt;33.27))*0</f>
        <v/>
      </c>
      <c r="R551">
        <f>--(AND(D551&lt;=113.15,E551&lt;=0.15,F551&lt;=15.77,G551&gt;0.18))*0</f>
        <v/>
      </c>
      <c r="S551">
        <f>--(AND(D551&lt;=113.15,E551&lt;=0.15,F551&gt;15.77,H551&lt;=28.86,G551&lt;=0.14))*0</f>
        <v/>
      </c>
      <c r="T551">
        <f>--(AND(D551&lt;=113.15,E551&lt;=0.15,F551&gt;15.77,H551&lt;=28.86,G551&gt;0.14))*1</f>
        <v/>
      </c>
      <c r="U551">
        <f>--(AND(D551&lt;=113.15,E551&lt;=0.15,F551&gt;15.77,H551&gt;28.86,M551&lt;=14.54))*1</f>
        <v/>
      </c>
      <c r="V551">
        <f>--(AND(D551&lt;=113.15,E551&lt;=0.15,F551&gt;15.77,H551&gt;28.86,M551&gt;14.54))*1</f>
        <v/>
      </c>
      <c r="W551">
        <f>--(AND(D551&lt;=113.15,E551&gt;0.15,H551&lt;=23.74))*0</f>
        <v/>
      </c>
      <c r="X551">
        <f>--(AND(D551&lt;=113.15,E551&gt;0.15,H551&gt;23.74,J551&lt;=0.1))*1</f>
        <v/>
      </c>
      <c r="Y551">
        <f>--(AND(D551&lt;=113.15,E551&gt;0.15,H551&gt;23.74,J551&gt;0.1))*1</f>
        <v/>
      </c>
      <c r="Z551">
        <f>--(AND(D551&gt;113.15,K551&lt;=0.22,L551&lt;=0.02))*1</f>
        <v/>
      </c>
      <c r="AA551">
        <f>--(AND(D551&gt;113.15,K551&lt;=0.22,L551&gt;0.02))*0</f>
        <v/>
      </c>
      <c r="AB551">
        <f>--(AND(D551&gt;113.15,K551&gt;0.22,N551&lt;=810.1))*0</f>
        <v/>
      </c>
      <c r="AC551">
        <f>--(AND(D551&gt;113.15,K551&gt;0.22,N551&gt;810.1,I551&lt;=14.95))*1</f>
        <v/>
      </c>
      <c r="AD551">
        <f>--(AND(D551&gt;113.15,K551&gt;0.22,N551&gt;810.1,I551&gt;14.95))*1</f>
        <v/>
      </c>
      <c r="AE551">
        <f>SUM(P551:AD551)</f>
        <v/>
      </c>
      <c r="AF551">
        <f>IF(AE551=1,"Malignant","Benign")</f>
        <v/>
      </c>
      <c r="AG551">
        <f>--(AE551=C551)</f>
        <v/>
      </c>
    </row>
    <row r="552">
      <c r="A552">
        <f>BreastCancer_Data!A552</f>
        <v/>
      </c>
      <c r="B552">
        <f>BreastCancer_Data!B552</f>
        <v/>
      </c>
      <c r="C552">
        <f>BreastCancer_Data!D552</f>
        <v/>
      </c>
      <c r="D552">
        <f>BreastCancer_Data!E552</f>
        <v/>
      </c>
      <c r="E552">
        <f>BreastCancer_Data!F552</f>
        <v/>
      </c>
      <c r="F552">
        <f>BreastCancer_Data!G552</f>
        <v/>
      </c>
      <c r="G552">
        <f>BreastCancer_Data!H552</f>
        <v/>
      </c>
      <c r="H552">
        <f>BreastCancer_Data!I552</f>
        <v/>
      </c>
      <c r="I552">
        <f>BreastCancer_Data!J552</f>
        <v/>
      </c>
      <c r="J552">
        <f>BreastCancer_Data!K552</f>
        <v/>
      </c>
      <c r="K552">
        <f>BreastCancer_Data!L552</f>
        <v/>
      </c>
      <c r="L552">
        <f>BreastCancer_Data!M552</f>
        <v/>
      </c>
      <c r="M552">
        <f>BreastCancer_Data!N552</f>
        <v/>
      </c>
      <c r="N552">
        <f>BreastCancer_Data!O552</f>
        <v/>
      </c>
      <c r="O552">
        <f>0</f>
        <v/>
      </c>
      <c r="P552">
        <f>--(AND(D552&lt;=113.15,E552&lt;=0.15,F552&lt;=15.77,G552&lt;=0.18,H552&lt;=33.27))*0</f>
        <v/>
      </c>
      <c r="Q552">
        <f>--(AND(D552&lt;=113.15,E552&lt;=0.15,F552&lt;=15.77,G552&lt;=0.18,H552&gt;33.27))*0</f>
        <v/>
      </c>
      <c r="R552">
        <f>--(AND(D552&lt;=113.15,E552&lt;=0.15,F552&lt;=15.77,G552&gt;0.18))*0</f>
        <v/>
      </c>
      <c r="S552">
        <f>--(AND(D552&lt;=113.15,E552&lt;=0.15,F552&gt;15.77,H552&lt;=28.86,G552&lt;=0.14))*0</f>
        <v/>
      </c>
      <c r="T552">
        <f>--(AND(D552&lt;=113.15,E552&lt;=0.15,F552&gt;15.77,H552&lt;=28.86,G552&gt;0.14))*1</f>
        <v/>
      </c>
      <c r="U552">
        <f>--(AND(D552&lt;=113.15,E552&lt;=0.15,F552&gt;15.77,H552&gt;28.86,M552&lt;=14.54))*1</f>
        <v/>
      </c>
      <c r="V552">
        <f>--(AND(D552&lt;=113.15,E552&lt;=0.15,F552&gt;15.77,H552&gt;28.86,M552&gt;14.54))*1</f>
        <v/>
      </c>
      <c r="W552">
        <f>--(AND(D552&lt;=113.15,E552&gt;0.15,H552&lt;=23.74))*0</f>
        <v/>
      </c>
      <c r="X552">
        <f>--(AND(D552&lt;=113.15,E552&gt;0.15,H552&gt;23.74,J552&lt;=0.1))*1</f>
        <v/>
      </c>
      <c r="Y552">
        <f>--(AND(D552&lt;=113.15,E552&gt;0.15,H552&gt;23.74,J552&gt;0.1))*1</f>
        <v/>
      </c>
      <c r="Z552">
        <f>--(AND(D552&gt;113.15,K552&lt;=0.22,L552&lt;=0.02))*1</f>
        <v/>
      </c>
      <c r="AA552">
        <f>--(AND(D552&gt;113.15,K552&lt;=0.22,L552&gt;0.02))*0</f>
        <v/>
      </c>
      <c r="AB552">
        <f>--(AND(D552&gt;113.15,K552&gt;0.22,N552&lt;=810.1))*0</f>
        <v/>
      </c>
      <c r="AC552">
        <f>--(AND(D552&gt;113.15,K552&gt;0.22,N552&gt;810.1,I552&lt;=14.95))*1</f>
        <v/>
      </c>
      <c r="AD552">
        <f>--(AND(D552&gt;113.15,K552&gt;0.22,N552&gt;810.1,I552&gt;14.95))*1</f>
        <v/>
      </c>
      <c r="AE552">
        <f>SUM(P552:AD552)</f>
        <v/>
      </c>
      <c r="AF552">
        <f>IF(AE552=1,"Malignant","Benign")</f>
        <v/>
      </c>
      <c r="AG552">
        <f>--(AE552=C552)</f>
        <v/>
      </c>
    </row>
    <row r="553">
      <c r="A553">
        <f>BreastCancer_Data!A553</f>
        <v/>
      </c>
      <c r="B553">
        <f>BreastCancer_Data!B553</f>
        <v/>
      </c>
      <c r="C553">
        <f>BreastCancer_Data!D553</f>
        <v/>
      </c>
      <c r="D553">
        <f>BreastCancer_Data!E553</f>
        <v/>
      </c>
      <c r="E553">
        <f>BreastCancer_Data!F553</f>
        <v/>
      </c>
      <c r="F553">
        <f>BreastCancer_Data!G553</f>
        <v/>
      </c>
      <c r="G553">
        <f>BreastCancer_Data!H553</f>
        <v/>
      </c>
      <c r="H553">
        <f>BreastCancer_Data!I553</f>
        <v/>
      </c>
      <c r="I553">
        <f>BreastCancer_Data!J553</f>
        <v/>
      </c>
      <c r="J553">
        <f>BreastCancer_Data!K553</f>
        <v/>
      </c>
      <c r="K553">
        <f>BreastCancer_Data!L553</f>
        <v/>
      </c>
      <c r="L553">
        <f>BreastCancer_Data!M553</f>
        <v/>
      </c>
      <c r="M553">
        <f>BreastCancer_Data!N553</f>
        <v/>
      </c>
      <c r="N553">
        <f>BreastCancer_Data!O553</f>
        <v/>
      </c>
      <c r="O553">
        <f>0</f>
        <v/>
      </c>
      <c r="P553">
        <f>--(AND(D553&lt;=113.15,E553&lt;=0.15,F553&lt;=15.77,G553&lt;=0.18,H553&lt;=33.27))*0</f>
        <v/>
      </c>
      <c r="Q553">
        <f>--(AND(D553&lt;=113.15,E553&lt;=0.15,F553&lt;=15.77,G553&lt;=0.18,H553&gt;33.27))*0</f>
        <v/>
      </c>
      <c r="R553">
        <f>--(AND(D553&lt;=113.15,E553&lt;=0.15,F553&lt;=15.77,G553&gt;0.18))*0</f>
        <v/>
      </c>
      <c r="S553">
        <f>--(AND(D553&lt;=113.15,E553&lt;=0.15,F553&gt;15.77,H553&lt;=28.86,G553&lt;=0.14))*0</f>
        <v/>
      </c>
      <c r="T553">
        <f>--(AND(D553&lt;=113.15,E553&lt;=0.15,F553&gt;15.77,H553&lt;=28.86,G553&gt;0.14))*1</f>
        <v/>
      </c>
      <c r="U553">
        <f>--(AND(D553&lt;=113.15,E553&lt;=0.15,F553&gt;15.77,H553&gt;28.86,M553&lt;=14.54))*1</f>
        <v/>
      </c>
      <c r="V553">
        <f>--(AND(D553&lt;=113.15,E553&lt;=0.15,F553&gt;15.77,H553&gt;28.86,M553&gt;14.54))*1</f>
        <v/>
      </c>
      <c r="W553">
        <f>--(AND(D553&lt;=113.15,E553&gt;0.15,H553&lt;=23.74))*0</f>
        <v/>
      </c>
      <c r="X553">
        <f>--(AND(D553&lt;=113.15,E553&gt;0.15,H553&gt;23.74,J553&lt;=0.1))*1</f>
        <v/>
      </c>
      <c r="Y553">
        <f>--(AND(D553&lt;=113.15,E553&gt;0.15,H553&gt;23.74,J553&gt;0.1))*1</f>
        <v/>
      </c>
      <c r="Z553">
        <f>--(AND(D553&gt;113.15,K553&lt;=0.22,L553&lt;=0.02))*1</f>
        <v/>
      </c>
      <c r="AA553">
        <f>--(AND(D553&gt;113.15,K553&lt;=0.22,L553&gt;0.02))*0</f>
        <v/>
      </c>
      <c r="AB553">
        <f>--(AND(D553&gt;113.15,K553&gt;0.22,N553&lt;=810.1))*0</f>
        <v/>
      </c>
      <c r="AC553">
        <f>--(AND(D553&gt;113.15,K553&gt;0.22,N553&gt;810.1,I553&lt;=14.95))*1</f>
        <v/>
      </c>
      <c r="AD553">
        <f>--(AND(D553&gt;113.15,K553&gt;0.22,N553&gt;810.1,I553&gt;14.95))*1</f>
        <v/>
      </c>
      <c r="AE553">
        <f>SUM(P553:AD553)</f>
        <v/>
      </c>
      <c r="AF553">
        <f>IF(AE553=1,"Malignant","Benign")</f>
        <v/>
      </c>
      <c r="AG553">
        <f>--(AE553=C553)</f>
        <v/>
      </c>
    </row>
    <row r="554">
      <c r="A554">
        <f>BreastCancer_Data!A554</f>
        <v/>
      </c>
      <c r="B554">
        <f>BreastCancer_Data!B554</f>
        <v/>
      </c>
      <c r="C554">
        <f>BreastCancer_Data!D554</f>
        <v/>
      </c>
      <c r="D554">
        <f>BreastCancer_Data!E554</f>
        <v/>
      </c>
      <c r="E554">
        <f>BreastCancer_Data!F554</f>
        <v/>
      </c>
      <c r="F554">
        <f>BreastCancer_Data!G554</f>
        <v/>
      </c>
      <c r="G554">
        <f>BreastCancer_Data!H554</f>
        <v/>
      </c>
      <c r="H554">
        <f>BreastCancer_Data!I554</f>
        <v/>
      </c>
      <c r="I554">
        <f>BreastCancer_Data!J554</f>
        <v/>
      </c>
      <c r="J554">
        <f>BreastCancer_Data!K554</f>
        <v/>
      </c>
      <c r="K554">
        <f>BreastCancer_Data!L554</f>
        <v/>
      </c>
      <c r="L554">
        <f>BreastCancer_Data!M554</f>
        <v/>
      </c>
      <c r="M554">
        <f>BreastCancer_Data!N554</f>
        <v/>
      </c>
      <c r="N554">
        <f>BreastCancer_Data!O554</f>
        <v/>
      </c>
      <c r="O554">
        <f>0</f>
        <v/>
      </c>
      <c r="P554">
        <f>--(AND(D554&lt;=113.15,E554&lt;=0.15,F554&lt;=15.77,G554&lt;=0.18,H554&lt;=33.27))*0</f>
        <v/>
      </c>
      <c r="Q554">
        <f>--(AND(D554&lt;=113.15,E554&lt;=0.15,F554&lt;=15.77,G554&lt;=0.18,H554&gt;33.27))*0</f>
        <v/>
      </c>
      <c r="R554">
        <f>--(AND(D554&lt;=113.15,E554&lt;=0.15,F554&lt;=15.77,G554&gt;0.18))*0</f>
        <v/>
      </c>
      <c r="S554">
        <f>--(AND(D554&lt;=113.15,E554&lt;=0.15,F554&gt;15.77,H554&lt;=28.86,G554&lt;=0.14))*0</f>
        <v/>
      </c>
      <c r="T554">
        <f>--(AND(D554&lt;=113.15,E554&lt;=0.15,F554&gt;15.77,H554&lt;=28.86,G554&gt;0.14))*1</f>
        <v/>
      </c>
      <c r="U554">
        <f>--(AND(D554&lt;=113.15,E554&lt;=0.15,F554&gt;15.77,H554&gt;28.86,M554&lt;=14.54))*1</f>
        <v/>
      </c>
      <c r="V554">
        <f>--(AND(D554&lt;=113.15,E554&lt;=0.15,F554&gt;15.77,H554&gt;28.86,M554&gt;14.54))*1</f>
        <v/>
      </c>
      <c r="W554">
        <f>--(AND(D554&lt;=113.15,E554&gt;0.15,H554&lt;=23.74))*0</f>
        <v/>
      </c>
      <c r="X554">
        <f>--(AND(D554&lt;=113.15,E554&gt;0.15,H554&gt;23.74,J554&lt;=0.1))*1</f>
        <v/>
      </c>
      <c r="Y554">
        <f>--(AND(D554&lt;=113.15,E554&gt;0.15,H554&gt;23.74,J554&gt;0.1))*1</f>
        <v/>
      </c>
      <c r="Z554">
        <f>--(AND(D554&gt;113.15,K554&lt;=0.22,L554&lt;=0.02))*1</f>
        <v/>
      </c>
      <c r="AA554">
        <f>--(AND(D554&gt;113.15,K554&lt;=0.22,L554&gt;0.02))*0</f>
        <v/>
      </c>
      <c r="AB554">
        <f>--(AND(D554&gt;113.15,K554&gt;0.22,N554&lt;=810.1))*0</f>
        <v/>
      </c>
      <c r="AC554">
        <f>--(AND(D554&gt;113.15,K554&gt;0.22,N554&gt;810.1,I554&lt;=14.95))*1</f>
        <v/>
      </c>
      <c r="AD554">
        <f>--(AND(D554&gt;113.15,K554&gt;0.22,N554&gt;810.1,I554&gt;14.95))*1</f>
        <v/>
      </c>
      <c r="AE554">
        <f>SUM(P554:AD554)</f>
        <v/>
      </c>
      <c r="AF554">
        <f>IF(AE554=1,"Malignant","Benign")</f>
        <v/>
      </c>
      <c r="AG554">
        <f>--(AE554=C554)</f>
        <v/>
      </c>
    </row>
    <row r="555">
      <c r="A555">
        <f>BreastCancer_Data!A555</f>
        <v/>
      </c>
      <c r="B555">
        <f>BreastCancer_Data!B555</f>
        <v/>
      </c>
      <c r="C555">
        <f>BreastCancer_Data!D555</f>
        <v/>
      </c>
      <c r="D555">
        <f>BreastCancer_Data!E555</f>
        <v/>
      </c>
      <c r="E555">
        <f>BreastCancer_Data!F555</f>
        <v/>
      </c>
      <c r="F555">
        <f>BreastCancer_Data!G555</f>
        <v/>
      </c>
      <c r="G555">
        <f>BreastCancer_Data!H555</f>
        <v/>
      </c>
      <c r="H555">
        <f>BreastCancer_Data!I555</f>
        <v/>
      </c>
      <c r="I555">
        <f>BreastCancer_Data!J555</f>
        <v/>
      </c>
      <c r="J555">
        <f>BreastCancer_Data!K555</f>
        <v/>
      </c>
      <c r="K555">
        <f>BreastCancer_Data!L555</f>
        <v/>
      </c>
      <c r="L555">
        <f>BreastCancer_Data!M555</f>
        <v/>
      </c>
      <c r="M555">
        <f>BreastCancer_Data!N555</f>
        <v/>
      </c>
      <c r="N555">
        <f>BreastCancer_Data!O555</f>
        <v/>
      </c>
      <c r="O555">
        <f>0</f>
        <v/>
      </c>
      <c r="P555">
        <f>--(AND(D555&lt;=113.15,E555&lt;=0.15,F555&lt;=15.77,G555&lt;=0.18,H555&lt;=33.27))*0</f>
        <v/>
      </c>
      <c r="Q555">
        <f>--(AND(D555&lt;=113.15,E555&lt;=0.15,F555&lt;=15.77,G555&lt;=0.18,H555&gt;33.27))*0</f>
        <v/>
      </c>
      <c r="R555">
        <f>--(AND(D555&lt;=113.15,E555&lt;=0.15,F555&lt;=15.77,G555&gt;0.18))*0</f>
        <v/>
      </c>
      <c r="S555">
        <f>--(AND(D555&lt;=113.15,E555&lt;=0.15,F555&gt;15.77,H555&lt;=28.86,G555&lt;=0.14))*0</f>
        <v/>
      </c>
      <c r="T555">
        <f>--(AND(D555&lt;=113.15,E555&lt;=0.15,F555&gt;15.77,H555&lt;=28.86,G555&gt;0.14))*1</f>
        <v/>
      </c>
      <c r="U555">
        <f>--(AND(D555&lt;=113.15,E555&lt;=0.15,F555&gt;15.77,H555&gt;28.86,M555&lt;=14.54))*1</f>
        <v/>
      </c>
      <c r="V555">
        <f>--(AND(D555&lt;=113.15,E555&lt;=0.15,F555&gt;15.77,H555&gt;28.86,M555&gt;14.54))*1</f>
        <v/>
      </c>
      <c r="W555">
        <f>--(AND(D555&lt;=113.15,E555&gt;0.15,H555&lt;=23.74))*0</f>
        <v/>
      </c>
      <c r="X555">
        <f>--(AND(D555&lt;=113.15,E555&gt;0.15,H555&gt;23.74,J555&lt;=0.1))*1</f>
        <v/>
      </c>
      <c r="Y555">
        <f>--(AND(D555&lt;=113.15,E555&gt;0.15,H555&gt;23.74,J555&gt;0.1))*1</f>
        <v/>
      </c>
      <c r="Z555">
        <f>--(AND(D555&gt;113.15,K555&lt;=0.22,L555&lt;=0.02))*1</f>
        <v/>
      </c>
      <c r="AA555">
        <f>--(AND(D555&gt;113.15,K555&lt;=0.22,L555&gt;0.02))*0</f>
        <v/>
      </c>
      <c r="AB555">
        <f>--(AND(D555&gt;113.15,K555&gt;0.22,N555&lt;=810.1))*0</f>
        <v/>
      </c>
      <c r="AC555">
        <f>--(AND(D555&gt;113.15,K555&gt;0.22,N555&gt;810.1,I555&lt;=14.95))*1</f>
        <v/>
      </c>
      <c r="AD555">
        <f>--(AND(D555&gt;113.15,K555&gt;0.22,N555&gt;810.1,I555&gt;14.95))*1</f>
        <v/>
      </c>
      <c r="AE555">
        <f>SUM(P555:AD555)</f>
        <v/>
      </c>
      <c r="AF555">
        <f>IF(AE555=1,"Malignant","Benign")</f>
        <v/>
      </c>
      <c r="AG555">
        <f>--(AE555=C555)</f>
        <v/>
      </c>
    </row>
    <row r="556">
      <c r="A556">
        <f>BreastCancer_Data!A556</f>
        <v/>
      </c>
      <c r="B556">
        <f>BreastCancer_Data!B556</f>
        <v/>
      </c>
      <c r="C556">
        <f>BreastCancer_Data!D556</f>
        <v/>
      </c>
      <c r="D556">
        <f>BreastCancer_Data!E556</f>
        <v/>
      </c>
      <c r="E556">
        <f>BreastCancer_Data!F556</f>
        <v/>
      </c>
      <c r="F556">
        <f>BreastCancer_Data!G556</f>
        <v/>
      </c>
      <c r="G556">
        <f>BreastCancer_Data!H556</f>
        <v/>
      </c>
      <c r="H556">
        <f>BreastCancer_Data!I556</f>
        <v/>
      </c>
      <c r="I556">
        <f>BreastCancer_Data!J556</f>
        <v/>
      </c>
      <c r="J556">
        <f>BreastCancer_Data!K556</f>
        <v/>
      </c>
      <c r="K556">
        <f>BreastCancer_Data!L556</f>
        <v/>
      </c>
      <c r="L556">
        <f>BreastCancer_Data!M556</f>
        <v/>
      </c>
      <c r="M556">
        <f>BreastCancer_Data!N556</f>
        <v/>
      </c>
      <c r="N556">
        <f>BreastCancer_Data!O556</f>
        <v/>
      </c>
      <c r="O556">
        <f>0</f>
        <v/>
      </c>
      <c r="P556">
        <f>--(AND(D556&lt;=113.15,E556&lt;=0.15,F556&lt;=15.77,G556&lt;=0.18,H556&lt;=33.27))*0</f>
        <v/>
      </c>
      <c r="Q556">
        <f>--(AND(D556&lt;=113.15,E556&lt;=0.15,F556&lt;=15.77,G556&lt;=0.18,H556&gt;33.27))*0</f>
        <v/>
      </c>
      <c r="R556">
        <f>--(AND(D556&lt;=113.15,E556&lt;=0.15,F556&lt;=15.77,G556&gt;0.18))*0</f>
        <v/>
      </c>
      <c r="S556">
        <f>--(AND(D556&lt;=113.15,E556&lt;=0.15,F556&gt;15.77,H556&lt;=28.86,G556&lt;=0.14))*0</f>
        <v/>
      </c>
      <c r="T556">
        <f>--(AND(D556&lt;=113.15,E556&lt;=0.15,F556&gt;15.77,H556&lt;=28.86,G556&gt;0.14))*1</f>
        <v/>
      </c>
      <c r="U556">
        <f>--(AND(D556&lt;=113.15,E556&lt;=0.15,F556&gt;15.77,H556&gt;28.86,M556&lt;=14.54))*1</f>
        <v/>
      </c>
      <c r="V556">
        <f>--(AND(D556&lt;=113.15,E556&lt;=0.15,F556&gt;15.77,H556&gt;28.86,M556&gt;14.54))*1</f>
        <v/>
      </c>
      <c r="W556">
        <f>--(AND(D556&lt;=113.15,E556&gt;0.15,H556&lt;=23.74))*0</f>
        <v/>
      </c>
      <c r="X556">
        <f>--(AND(D556&lt;=113.15,E556&gt;0.15,H556&gt;23.74,J556&lt;=0.1))*1</f>
        <v/>
      </c>
      <c r="Y556">
        <f>--(AND(D556&lt;=113.15,E556&gt;0.15,H556&gt;23.74,J556&gt;0.1))*1</f>
        <v/>
      </c>
      <c r="Z556">
        <f>--(AND(D556&gt;113.15,K556&lt;=0.22,L556&lt;=0.02))*1</f>
        <v/>
      </c>
      <c r="AA556">
        <f>--(AND(D556&gt;113.15,K556&lt;=0.22,L556&gt;0.02))*0</f>
        <v/>
      </c>
      <c r="AB556">
        <f>--(AND(D556&gt;113.15,K556&gt;0.22,N556&lt;=810.1))*0</f>
        <v/>
      </c>
      <c r="AC556">
        <f>--(AND(D556&gt;113.15,K556&gt;0.22,N556&gt;810.1,I556&lt;=14.95))*1</f>
        <v/>
      </c>
      <c r="AD556">
        <f>--(AND(D556&gt;113.15,K556&gt;0.22,N556&gt;810.1,I556&gt;14.95))*1</f>
        <v/>
      </c>
      <c r="AE556">
        <f>SUM(P556:AD556)</f>
        <v/>
      </c>
      <c r="AF556">
        <f>IF(AE556=1,"Malignant","Benign")</f>
        <v/>
      </c>
      <c r="AG556">
        <f>--(AE556=C556)</f>
        <v/>
      </c>
    </row>
    <row r="557">
      <c r="A557">
        <f>BreastCancer_Data!A557</f>
        <v/>
      </c>
      <c r="B557">
        <f>BreastCancer_Data!B557</f>
        <v/>
      </c>
      <c r="C557">
        <f>BreastCancer_Data!D557</f>
        <v/>
      </c>
      <c r="D557">
        <f>BreastCancer_Data!E557</f>
        <v/>
      </c>
      <c r="E557">
        <f>BreastCancer_Data!F557</f>
        <v/>
      </c>
      <c r="F557">
        <f>BreastCancer_Data!G557</f>
        <v/>
      </c>
      <c r="G557">
        <f>BreastCancer_Data!H557</f>
        <v/>
      </c>
      <c r="H557">
        <f>BreastCancer_Data!I557</f>
        <v/>
      </c>
      <c r="I557">
        <f>BreastCancer_Data!J557</f>
        <v/>
      </c>
      <c r="J557">
        <f>BreastCancer_Data!K557</f>
        <v/>
      </c>
      <c r="K557">
        <f>BreastCancer_Data!L557</f>
        <v/>
      </c>
      <c r="L557">
        <f>BreastCancer_Data!M557</f>
        <v/>
      </c>
      <c r="M557">
        <f>BreastCancer_Data!N557</f>
        <v/>
      </c>
      <c r="N557">
        <f>BreastCancer_Data!O557</f>
        <v/>
      </c>
      <c r="O557">
        <f>0</f>
        <v/>
      </c>
      <c r="P557">
        <f>--(AND(D557&lt;=113.15,E557&lt;=0.15,F557&lt;=15.77,G557&lt;=0.18,H557&lt;=33.27))*0</f>
        <v/>
      </c>
      <c r="Q557">
        <f>--(AND(D557&lt;=113.15,E557&lt;=0.15,F557&lt;=15.77,G557&lt;=0.18,H557&gt;33.27))*0</f>
        <v/>
      </c>
      <c r="R557">
        <f>--(AND(D557&lt;=113.15,E557&lt;=0.15,F557&lt;=15.77,G557&gt;0.18))*0</f>
        <v/>
      </c>
      <c r="S557">
        <f>--(AND(D557&lt;=113.15,E557&lt;=0.15,F557&gt;15.77,H557&lt;=28.86,G557&lt;=0.14))*0</f>
        <v/>
      </c>
      <c r="T557">
        <f>--(AND(D557&lt;=113.15,E557&lt;=0.15,F557&gt;15.77,H557&lt;=28.86,G557&gt;0.14))*1</f>
        <v/>
      </c>
      <c r="U557">
        <f>--(AND(D557&lt;=113.15,E557&lt;=0.15,F557&gt;15.77,H557&gt;28.86,M557&lt;=14.54))*1</f>
        <v/>
      </c>
      <c r="V557">
        <f>--(AND(D557&lt;=113.15,E557&lt;=0.15,F557&gt;15.77,H557&gt;28.86,M557&gt;14.54))*1</f>
        <v/>
      </c>
      <c r="W557">
        <f>--(AND(D557&lt;=113.15,E557&gt;0.15,H557&lt;=23.74))*0</f>
        <v/>
      </c>
      <c r="X557">
        <f>--(AND(D557&lt;=113.15,E557&gt;0.15,H557&gt;23.74,J557&lt;=0.1))*1</f>
        <v/>
      </c>
      <c r="Y557">
        <f>--(AND(D557&lt;=113.15,E557&gt;0.15,H557&gt;23.74,J557&gt;0.1))*1</f>
        <v/>
      </c>
      <c r="Z557">
        <f>--(AND(D557&gt;113.15,K557&lt;=0.22,L557&lt;=0.02))*1</f>
        <v/>
      </c>
      <c r="AA557">
        <f>--(AND(D557&gt;113.15,K557&lt;=0.22,L557&gt;0.02))*0</f>
        <v/>
      </c>
      <c r="AB557">
        <f>--(AND(D557&gt;113.15,K557&gt;0.22,N557&lt;=810.1))*0</f>
        <v/>
      </c>
      <c r="AC557">
        <f>--(AND(D557&gt;113.15,K557&gt;0.22,N557&gt;810.1,I557&lt;=14.95))*1</f>
        <v/>
      </c>
      <c r="AD557">
        <f>--(AND(D557&gt;113.15,K557&gt;0.22,N557&gt;810.1,I557&gt;14.95))*1</f>
        <v/>
      </c>
      <c r="AE557">
        <f>SUM(P557:AD557)</f>
        <v/>
      </c>
      <c r="AF557">
        <f>IF(AE557=1,"Malignant","Benign")</f>
        <v/>
      </c>
      <c r="AG557">
        <f>--(AE557=C557)</f>
        <v/>
      </c>
    </row>
    <row r="558">
      <c r="A558">
        <f>BreastCancer_Data!A558</f>
        <v/>
      </c>
      <c r="B558">
        <f>BreastCancer_Data!B558</f>
        <v/>
      </c>
      <c r="C558">
        <f>BreastCancer_Data!D558</f>
        <v/>
      </c>
      <c r="D558">
        <f>BreastCancer_Data!E558</f>
        <v/>
      </c>
      <c r="E558">
        <f>BreastCancer_Data!F558</f>
        <v/>
      </c>
      <c r="F558">
        <f>BreastCancer_Data!G558</f>
        <v/>
      </c>
      <c r="G558">
        <f>BreastCancer_Data!H558</f>
        <v/>
      </c>
      <c r="H558">
        <f>BreastCancer_Data!I558</f>
        <v/>
      </c>
      <c r="I558">
        <f>BreastCancer_Data!J558</f>
        <v/>
      </c>
      <c r="J558">
        <f>BreastCancer_Data!K558</f>
        <v/>
      </c>
      <c r="K558">
        <f>BreastCancer_Data!L558</f>
        <v/>
      </c>
      <c r="L558">
        <f>BreastCancer_Data!M558</f>
        <v/>
      </c>
      <c r="M558">
        <f>BreastCancer_Data!N558</f>
        <v/>
      </c>
      <c r="N558">
        <f>BreastCancer_Data!O558</f>
        <v/>
      </c>
      <c r="O558">
        <f>0</f>
        <v/>
      </c>
      <c r="P558">
        <f>--(AND(D558&lt;=113.15,E558&lt;=0.15,F558&lt;=15.77,G558&lt;=0.18,H558&lt;=33.27))*0</f>
        <v/>
      </c>
      <c r="Q558">
        <f>--(AND(D558&lt;=113.15,E558&lt;=0.15,F558&lt;=15.77,G558&lt;=0.18,H558&gt;33.27))*0</f>
        <v/>
      </c>
      <c r="R558">
        <f>--(AND(D558&lt;=113.15,E558&lt;=0.15,F558&lt;=15.77,G558&gt;0.18))*0</f>
        <v/>
      </c>
      <c r="S558">
        <f>--(AND(D558&lt;=113.15,E558&lt;=0.15,F558&gt;15.77,H558&lt;=28.86,G558&lt;=0.14))*0</f>
        <v/>
      </c>
      <c r="T558">
        <f>--(AND(D558&lt;=113.15,E558&lt;=0.15,F558&gt;15.77,H558&lt;=28.86,G558&gt;0.14))*1</f>
        <v/>
      </c>
      <c r="U558">
        <f>--(AND(D558&lt;=113.15,E558&lt;=0.15,F558&gt;15.77,H558&gt;28.86,M558&lt;=14.54))*1</f>
        <v/>
      </c>
      <c r="V558">
        <f>--(AND(D558&lt;=113.15,E558&lt;=0.15,F558&gt;15.77,H558&gt;28.86,M558&gt;14.54))*1</f>
        <v/>
      </c>
      <c r="W558">
        <f>--(AND(D558&lt;=113.15,E558&gt;0.15,H558&lt;=23.74))*0</f>
        <v/>
      </c>
      <c r="X558">
        <f>--(AND(D558&lt;=113.15,E558&gt;0.15,H558&gt;23.74,J558&lt;=0.1))*1</f>
        <v/>
      </c>
      <c r="Y558">
        <f>--(AND(D558&lt;=113.15,E558&gt;0.15,H558&gt;23.74,J558&gt;0.1))*1</f>
        <v/>
      </c>
      <c r="Z558">
        <f>--(AND(D558&gt;113.15,K558&lt;=0.22,L558&lt;=0.02))*1</f>
        <v/>
      </c>
      <c r="AA558">
        <f>--(AND(D558&gt;113.15,K558&lt;=0.22,L558&gt;0.02))*0</f>
        <v/>
      </c>
      <c r="AB558">
        <f>--(AND(D558&gt;113.15,K558&gt;0.22,N558&lt;=810.1))*0</f>
        <v/>
      </c>
      <c r="AC558">
        <f>--(AND(D558&gt;113.15,K558&gt;0.22,N558&gt;810.1,I558&lt;=14.95))*1</f>
        <v/>
      </c>
      <c r="AD558">
        <f>--(AND(D558&gt;113.15,K558&gt;0.22,N558&gt;810.1,I558&gt;14.95))*1</f>
        <v/>
      </c>
      <c r="AE558">
        <f>SUM(P558:AD558)</f>
        <v/>
      </c>
      <c r="AF558">
        <f>IF(AE558=1,"Malignant","Benign")</f>
        <v/>
      </c>
      <c r="AG558">
        <f>--(AE558=C558)</f>
        <v/>
      </c>
    </row>
    <row r="559">
      <c r="A559">
        <f>BreastCancer_Data!A559</f>
        <v/>
      </c>
      <c r="B559">
        <f>BreastCancer_Data!B559</f>
        <v/>
      </c>
      <c r="C559">
        <f>BreastCancer_Data!D559</f>
        <v/>
      </c>
      <c r="D559">
        <f>BreastCancer_Data!E559</f>
        <v/>
      </c>
      <c r="E559">
        <f>BreastCancer_Data!F559</f>
        <v/>
      </c>
      <c r="F559">
        <f>BreastCancer_Data!G559</f>
        <v/>
      </c>
      <c r="G559">
        <f>BreastCancer_Data!H559</f>
        <v/>
      </c>
      <c r="H559">
        <f>BreastCancer_Data!I559</f>
        <v/>
      </c>
      <c r="I559">
        <f>BreastCancer_Data!J559</f>
        <v/>
      </c>
      <c r="J559">
        <f>BreastCancer_Data!K559</f>
        <v/>
      </c>
      <c r="K559">
        <f>BreastCancer_Data!L559</f>
        <v/>
      </c>
      <c r="L559">
        <f>BreastCancer_Data!M559</f>
        <v/>
      </c>
      <c r="M559">
        <f>BreastCancer_Data!N559</f>
        <v/>
      </c>
      <c r="N559">
        <f>BreastCancer_Data!O559</f>
        <v/>
      </c>
      <c r="O559">
        <f>0</f>
        <v/>
      </c>
      <c r="P559">
        <f>--(AND(D559&lt;=113.15,E559&lt;=0.15,F559&lt;=15.77,G559&lt;=0.18,H559&lt;=33.27))*0</f>
        <v/>
      </c>
      <c r="Q559">
        <f>--(AND(D559&lt;=113.15,E559&lt;=0.15,F559&lt;=15.77,G559&lt;=0.18,H559&gt;33.27))*0</f>
        <v/>
      </c>
      <c r="R559">
        <f>--(AND(D559&lt;=113.15,E559&lt;=0.15,F559&lt;=15.77,G559&gt;0.18))*0</f>
        <v/>
      </c>
      <c r="S559">
        <f>--(AND(D559&lt;=113.15,E559&lt;=0.15,F559&gt;15.77,H559&lt;=28.86,G559&lt;=0.14))*0</f>
        <v/>
      </c>
      <c r="T559">
        <f>--(AND(D559&lt;=113.15,E559&lt;=0.15,F559&gt;15.77,H559&lt;=28.86,G559&gt;0.14))*1</f>
        <v/>
      </c>
      <c r="U559">
        <f>--(AND(D559&lt;=113.15,E559&lt;=0.15,F559&gt;15.77,H559&gt;28.86,M559&lt;=14.54))*1</f>
        <v/>
      </c>
      <c r="V559">
        <f>--(AND(D559&lt;=113.15,E559&lt;=0.15,F559&gt;15.77,H559&gt;28.86,M559&gt;14.54))*1</f>
        <v/>
      </c>
      <c r="W559">
        <f>--(AND(D559&lt;=113.15,E559&gt;0.15,H559&lt;=23.74))*0</f>
        <v/>
      </c>
      <c r="X559">
        <f>--(AND(D559&lt;=113.15,E559&gt;0.15,H559&gt;23.74,J559&lt;=0.1))*1</f>
        <v/>
      </c>
      <c r="Y559">
        <f>--(AND(D559&lt;=113.15,E559&gt;0.15,H559&gt;23.74,J559&gt;0.1))*1</f>
        <v/>
      </c>
      <c r="Z559">
        <f>--(AND(D559&gt;113.15,K559&lt;=0.22,L559&lt;=0.02))*1</f>
        <v/>
      </c>
      <c r="AA559">
        <f>--(AND(D559&gt;113.15,K559&lt;=0.22,L559&gt;0.02))*0</f>
        <v/>
      </c>
      <c r="AB559">
        <f>--(AND(D559&gt;113.15,K559&gt;0.22,N559&lt;=810.1))*0</f>
        <v/>
      </c>
      <c r="AC559">
        <f>--(AND(D559&gt;113.15,K559&gt;0.22,N559&gt;810.1,I559&lt;=14.95))*1</f>
        <v/>
      </c>
      <c r="AD559">
        <f>--(AND(D559&gt;113.15,K559&gt;0.22,N559&gt;810.1,I559&gt;14.95))*1</f>
        <v/>
      </c>
      <c r="AE559">
        <f>SUM(P559:AD559)</f>
        <v/>
      </c>
      <c r="AF559">
        <f>IF(AE559=1,"Malignant","Benign")</f>
        <v/>
      </c>
      <c r="AG559">
        <f>--(AE559=C559)</f>
        <v/>
      </c>
    </row>
    <row r="560">
      <c r="A560">
        <f>BreastCancer_Data!A560</f>
        <v/>
      </c>
      <c r="B560">
        <f>BreastCancer_Data!B560</f>
        <v/>
      </c>
      <c r="C560">
        <f>BreastCancer_Data!D560</f>
        <v/>
      </c>
      <c r="D560">
        <f>BreastCancer_Data!E560</f>
        <v/>
      </c>
      <c r="E560">
        <f>BreastCancer_Data!F560</f>
        <v/>
      </c>
      <c r="F560">
        <f>BreastCancer_Data!G560</f>
        <v/>
      </c>
      <c r="G560">
        <f>BreastCancer_Data!H560</f>
        <v/>
      </c>
      <c r="H560">
        <f>BreastCancer_Data!I560</f>
        <v/>
      </c>
      <c r="I560">
        <f>BreastCancer_Data!J560</f>
        <v/>
      </c>
      <c r="J560">
        <f>BreastCancer_Data!K560</f>
        <v/>
      </c>
      <c r="K560">
        <f>BreastCancer_Data!L560</f>
        <v/>
      </c>
      <c r="L560">
        <f>BreastCancer_Data!M560</f>
        <v/>
      </c>
      <c r="M560">
        <f>BreastCancer_Data!N560</f>
        <v/>
      </c>
      <c r="N560">
        <f>BreastCancer_Data!O560</f>
        <v/>
      </c>
      <c r="O560">
        <f>0</f>
        <v/>
      </c>
      <c r="P560">
        <f>--(AND(D560&lt;=113.15,E560&lt;=0.15,F560&lt;=15.77,G560&lt;=0.18,H560&lt;=33.27))*0</f>
        <v/>
      </c>
      <c r="Q560">
        <f>--(AND(D560&lt;=113.15,E560&lt;=0.15,F560&lt;=15.77,G560&lt;=0.18,H560&gt;33.27))*0</f>
        <v/>
      </c>
      <c r="R560">
        <f>--(AND(D560&lt;=113.15,E560&lt;=0.15,F560&lt;=15.77,G560&gt;0.18))*0</f>
        <v/>
      </c>
      <c r="S560">
        <f>--(AND(D560&lt;=113.15,E560&lt;=0.15,F560&gt;15.77,H560&lt;=28.86,G560&lt;=0.14))*0</f>
        <v/>
      </c>
      <c r="T560">
        <f>--(AND(D560&lt;=113.15,E560&lt;=0.15,F560&gt;15.77,H560&lt;=28.86,G560&gt;0.14))*1</f>
        <v/>
      </c>
      <c r="U560">
        <f>--(AND(D560&lt;=113.15,E560&lt;=0.15,F560&gt;15.77,H560&gt;28.86,M560&lt;=14.54))*1</f>
        <v/>
      </c>
      <c r="V560">
        <f>--(AND(D560&lt;=113.15,E560&lt;=0.15,F560&gt;15.77,H560&gt;28.86,M560&gt;14.54))*1</f>
        <v/>
      </c>
      <c r="W560">
        <f>--(AND(D560&lt;=113.15,E560&gt;0.15,H560&lt;=23.74))*0</f>
        <v/>
      </c>
      <c r="X560">
        <f>--(AND(D560&lt;=113.15,E560&gt;0.15,H560&gt;23.74,J560&lt;=0.1))*1</f>
        <v/>
      </c>
      <c r="Y560">
        <f>--(AND(D560&lt;=113.15,E560&gt;0.15,H560&gt;23.74,J560&gt;0.1))*1</f>
        <v/>
      </c>
      <c r="Z560">
        <f>--(AND(D560&gt;113.15,K560&lt;=0.22,L560&lt;=0.02))*1</f>
        <v/>
      </c>
      <c r="AA560">
        <f>--(AND(D560&gt;113.15,K560&lt;=0.22,L560&gt;0.02))*0</f>
        <v/>
      </c>
      <c r="AB560">
        <f>--(AND(D560&gt;113.15,K560&gt;0.22,N560&lt;=810.1))*0</f>
        <v/>
      </c>
      <c r="AC560">
        <f>--(AND(D560&gt;113.15,K560&gt;0.22,N560&gt;810.1,I560&lt;=14.95))*1</f>
        <v/>
      </c>
      <c r="AD560">
        <f>--(AND(D560&gt;113.15,K560&gt;0.22,N560&gt;810.1,I560&gt;14.95))*1</f>
        <v/>
      </c>
      <c r="AE560">
        <f>SUM(P560:AD560)</f>
        <v/>
      </c>
      <c r="AF560">
        <f>IF(AE560=1,"Malignant","Benign")</f>
        <v/>
      </c>
      <c r="AG560">
        <f>--(AE560=C560)</f>
        <v/>
      </c>
    </row>
    <row r="561">
      <c r="A561">
        <f>BreastCancer_Data!A561</f>
        <v/>
      </c>
      <c r="B561">
        <f>BreastCancer_Data!B561</f>
        <v/>
      </c>
      <c r="C561">
        <f>BreastCancer_Data!D561</f>
        <v/>
      </c>
      <c r="D561">
        <f>BreastCancer_Data!E561</f>
        <v/>
      </c>
      <c r="E561">
        <f>BreastCancer_Data!F561</f>
        <v/>
      </c>
      <c r="F561">
        <f>BreastCancer_Data!G561</f>
        <v/>
      </c>
      <c r="G561">
        <f>BreastCancer_Data!H561</f>
        <v/>
      </c>
      <c r="H561">
        <f>BreastCancer_Data!I561</f>
        <v/>
      </c>
      <c r="I561">
        <f>BreastCancer_Data!J561</f>
        <v/>
      </c>
      <c r="J561">
        <f>BreastCancer_Data!K561</f>
        <v/>
      </c>
      <c r="K561">
        <f>BreastCancer_Data!L561</f>
        <v/>
      </c>
      <c r="L561">
        <f>BreastCancer_Data!M561</f>
        <v/>
      </c>
      <c r="M561">
        <f>BreastCancer_Data!N561</f>
        <v/>
      </c>
      <c r="N561">
        <f>BreastCancer_Data!O561</f>
        <v/>
      </c>
      <c r="O561">
        <f>0</f>
        <v/>
      </c>
      <c r="P561">
        <f>--(AND(D561&lt;=113.15,E561&lt;=0.15,F561&lt;=15.77,G561&lt;=0.18,H561&lt;=33.27))*0</f>
        <v/>
      </c>
      <c r="Q561">
        <f>--(AND(D561&lt;=113.15,E561&lt;=0.15,F561&lt;=15.77,G561&lt;=0.18,H561&gt;33.27))*0</f>
        <v/>
      </c>
      <c r="R561">
        <f>--(AND(D561&lt;=113.15,E561&lt;=0.15,F561&lt;=15.77,G561&gt;0.18))*0</f>
        <v/>
      </c>
      <c r="S561">
        <f>--(AND(D561&lt;=113.15,E561&lt;=0.15,F561&gt;15.77,H561&lt;=28.86,G561&lt;=0.14))*0</f>
        <v/>
      </c>
      <c r="T561">
        <f>--(AND(D561&lt;=113.15,E561&lt;=0.15,F561&gt;15.77,H561&lt;=28.86,G561&gt;0.14))*1</f>
        <v/>
      </c>
      <c r="U561">
        <f>--(AND(D561&lt;=113.15,E561&lt;=0.15,F561&gt;15.77,H561&gt;28.86,M561&lt;=14.54))*1</f>
        <v/>
      </c>
      <c r="V561">
        <f>--(AND(D561&lt;=113.15,E561&lt;=0.15,F561&gt;15.77,H561&gt;28.86,M561&gt;14.54))*1</f>
        <v/>
      </c>
      <c r="W561">
        <f>--(AND(D561&lt;=113.15,E561&gt;0.15,H561&lt;=23.74))*0</f>
        <v/>
      </c>
      <c r="X561">
        <f>--(AND(D561&lt;=113.15,E561&gt;0.15,H561&gt;23.74,J561&lt;=0.1))*1</f>
        <v/>
      </c>
      <c r="Y561">
        <f>--(AND(D561&lt;=113.15,E561&gt;0.15,H561&gt;23.74,J561&gt;0.1))*1</f>
        <v/>
      </c>
      <c r="Z561">
        <f>--(AND(D561&gt;113.15,K561&lt;=0.22,L561&lt;=0.02))*1</f>
        <v/>
      </c>
      <c r="AA561">
        <f>--(AND(D561&gt;113.15,K561&lt;=0.22,L561&gt;0.02))*0</f>
        <v/>
      </c>
      <c r="AB561">
        <f>--(AND(D561&gt;113.15,K561&gt;0.22,N561&lt;=810.1))*0</f>
        <v/>
      </c>
      <c r="AC561">
        <f>--(AND(D561&gt;113.15,K561&gt;0.22,N561&gt;810.1,I561&lt;=14.95))*1</f>
        <v/>
      </c>
      <c r="AD561">
        <f>--(AND(D561&gt;113.15,K561&gt;0.22,N561&gt;810.1,I561&gt;14.95))*1</f>
        <v/>
      </c>
      <c r="AE561">
        <f>SUM(P561:AD561)</f>
        <v/>
      </c>
      <c r="AF561">
        <f>IF(AE561=1,"Malignant","Benign")</f>
        <v/>
      </c>
      <c r="AG561">
        <f>--(AE561=C561)</f>
        <v/>
      </c>
    </row>
    <row r="562">
      <c r="A562">
        <f>BreastCancer_Data!A562</f>
        <v/>
      </c>
      <c r="B562">
        <f>BreastCancer_Data!B562</f>
        <v/>
      </c>
      <c r="C562">
        <f>BreastCancer_Data!D562</f>
        <v/>
      </c>
      <c r="D562">
        <f>BreastCancer_Data!E562</f>
        <v/>
      </c>
      <c r="E562">
        <f>BreastCancer_Data!F562</f>
        <v/>
      </c>
      <c r="F562">
        <f>BreastCancer_Data!G562</f>
        <v/>
      </c>
      <c r="G562">
        <f>BreastCancer_Data!H562</f>
        <v/>
      </c>
      <c r="H562">
        <f>BreastCancer_Data!I562</f>
        <v/>
      </c>
      <c r="I562">
        <f>BreastCancer_Data!J562</f>
        <v/>
      </c>
      <c r="J562">
        <f>BreastCancer_Data!K562</f>
        <v/>
      </c>
      <c r="K562">
        <f>BreastCancer_Data!L562</f>
        <v/>
      </c>
      <c r="L562">
        <f>BreastCancer_Data!M562</f>
        <v/>
      </c>
      <c r="M562">
        <f>BreastCancer_Data!N562</f>
        <v/>
      </c>
      <c r="N562">
        <f>BreastCancer_Data!O562</f>
        <v/>
      </c>
      <c r="O562">
        <f>0</f>
        <v/>
      </c>
      <c r="P562">
        <f>--(AND(D562&lt;=113.15,E562&lt;=0.15,F562&lt;=15.77,G562&lt;=0.18,H562&lt;=33.27))*0</f>
        <v/>
      </c>
      <c r="Q562">
        <f>--(AND(D562&lt;=113.15,E562&lt;=0.15,F562&lt;=15.77,G562&lt;=0.18,H562&gt;33.27))*0</f>
        <v/>
      </c>
      <c r="R562">
        <f>--(AND(D562&lt;=113.15,E562&lt;=0.15,F562&lt;=15.77,G562&gt;0.18))*0</f>
        <v/>
      </c>
      <c r="S562">
        <f>--(AND(D562&lt;=113.15,E562&lt;=0.15,F562&gt;15.77,H562&lt;=28.86,G562&lt;=0.14))*0</f>
        <v/>
      </c>
      <c r="T562">
        <f>--(AND(D562&lt;=113.15,E562&lt;=0.15,F562&gt;15.77,H562&lt;=28.86,G562&gt;0.14))*1</f>
        <v/>
      </c>
      <c r="U562">
        <f>--(AND(D562&lt;=113.15,E562&lt;=0.15,F562&gt;15.77,H562&gt;28.86,M562&lt;=14.54))*1</f>
        <v/>
      </c>
      <c r="V562">
        <f>--(AND(D562&lt;=113.15,E562&lt;=0.15,F562&gt;15.77,H562&gt;28.86,M562&gt;14.54))*1</f>
        <v/>
      </c>
      <c r="W562">
        <f>--(AND(D562&lt;=113.15,E562&gt;0.15,H562&lt;=23.74))*0</f>
        <v/>
      </c>
      <c r="X562">
        <f>--(AND(D562&lt;=113.15,E562&gt;0.15,H562&gt;23.74,J562&lt;=0.1))*1</f>
        <v/>
      </c>
      <c r="Y562">
        <f>--(AND(D562&lt;=113.15,E562&gt;0.15,H562&gt;23.74,J562&gt;0.1))*1</f>
        <v/>
      </c>
      <c r="Z562">
        <f>--(AND(D562&gt;113.15,K562&lt;=0.22,L562&lt;=0.02))*1</f>
        <v/>
      </c>
      <c r="AA562">
        <f>--(AND(D562&gt;113.15,K562&lt;=0.22,L562&gt;0.02))*0</f>
        <v/>
      </c>
      <c r="AB562">
        <f>--(AND(D562&gt;113.15,K562&gt;0.22,N562&lt;=810.1))*0</f>
        <v/>
      </c>
      <c r="AC562">
        <f>--(AND(D562&gt;113.15,K562&gt;0.22,N562&gt;810.1,I562&lt;=14.95))*1</f>
        <v/>
      </c>
      <c r="AD562">
        <f>--(AND(D562&gt;113.15,K562&gt;0.22,N562&gt;810.1,I562&gt;14.95))*1</f>
        <v/>
      </c>
      <c r="AE562">
        <f>SUM(P562:AD562)</f>
        <v/>
      </c>
      <c r="AF562">
        <f>IF(AE562=1,"Malignant","Benign")</f>
        <v/>
      </c>
      <c r="AG562">
        <f>--(AE562=C562)</f>
        <v/>
      </c>
    </row>
    <row r="563">
      <c r="A563">
        <f>BreastCancer_Data!A563</f>
        <v/>
      </c>
      <c r="B563">
        <f>BreastCancer_Data!B563</f>
        <v/>
      </c>
      <c r="C563">
        <f>BreastCancer_Data!D563</f>
        <v/>
      </c>
      <c r="D563">
        <f>BreastCancer_Data!E563</f>
        <v/>
      </c>
      <c r="E563">
        <f>BreastCancer_Data!F563</f>
        <v/>
      </c>
      <c r="F563">
        <f>BreastCancer_Data!G563</f>
        <v/>
      </c>
      <c r="G563">
        <f>BreastCancer_Data!H563</f>
        <v/>
      </c>
      <c r="H563">
        <f>BreastCancer_Data!I563</f>
        <v/>
      </c>
      <c r="I563">
        <f>BreastCancer_Data!J563</f>
        <v/>
      </c>
      <c r="J563">
        <f>BreastCancer_Data!K563</f>
        <v/>
      </c>
      <c r="K563">
        <f>BreastCancer_Data!L563</f>
        <v/>
      </c>
      <c r="L563">
        <f>BreastCancer_Data!M563</f>
        <v/>
      </c>
      <c r="M563">
        <f>BreastCancer_Data!N563</f>
        <v/>
      </c>
      <c r="N563">
        <f>BreastCancer_Data!O563</f>
        <v/>
      </c>
      <c r="O563">
        <f>0</f>
        <v/>
      </c>
      <c r="P563">
        <f>--(AND(D563&lt;=113.15,E563&lt;=0.15,F563&lt;=15.77,G563&lt;=0.18,H563&lt;=33.27))*0</f>
        <v/>
      </c>
      <c r="Q563">
        <f>--(AND(D563&lt;=113.15,E563&lt;=0.15,F563&lt;=15.77,G563&lt;=0.18,H563&gt;33.27))*0</f>
        <v/>
      </c>
      <c r="R563">
        <f>--(AND(D563&lt;=113.15,E563&lt;=0.15,F563&lt;=15.77,G563&gt;0.18))*0</f>
        <v/>
      </c>
      <c r="S563">
        <f>--(AND(D563&lt;=113.15,E563&lt;=0.15,F563&gt;15.77,H563&lt;=28.86,G563&lt;=0.14))*0</f>
        <v/>
      </c>
      <c r="T563">
        <f>--(AND(D563&lt;=113.15,E563&lt;=0.15,F563&gt;15.77,H563&lt;=28.86,G563&gt;0.14))*1</f>
        <v/>
      </c>
      <c r="U563">
        <f>--(AND(D563&lt;=113.15,E563&lt;=0.15,F563&gt;15.77,H563&gt;28.86,M563&lt;=14.54))*1</f>
        <v/>
      </c>
      <c r="V563">
        <f>--(AND(D563&lt;=113.15,E563&lt;=0.15,F563&gt;15.77,H563&gt;28.86,M563&gt;14.54))*1</f>
        <v/>
      </c>
      <c r="W563">
        <f>--(AND(D563&lt;=113.15,E563&gt;0.15,H563&lt;=23.74))*0</f>
        <v/>
      </c>
      <c r="X563">
        <f>--(AND(D563&lt;=113.15,E563&gt;0.15,H563&gt;23.74,J563&lt;=0.1))*1</f>
        <v/>
      </c>
      <c r="Y563">
        <f>--(AND(D563&lt;=113.15,E563&gt;0.15,H563&gt;23.74,J563&gt;0.1))*1</f>
        <v/>
      </c>
      <c r="Z563">
        <f>--(AND(D563&gt;113.15,K563&lt;=0.22,L563&lt;=0.02))*1</f>
        <v/>
      </c>
      <c r="AA563">
        <f>--(AND(D563&gt;113.15,K563&lt;=0.22,L563&gt;0.02))*0</f>
        <v/>
      </c>
      <c r="AB563">
        <f>--(AND(D563&gt;113.15,K563&gt;0.22,N563&lt;=810.1))*0</f>
        <v/>
      </c>
      <c r="AC563">
        <f>--(AND(D563&gt;113.15,K563&gt;0.22,N563&gt;810.1,I563&lt;=14.95))*1</f>
        <v/>
      </c>
      <c r="AD563">
        <f>--(AND(D563&gt;113.15,K563&gt;0.22,N563&gt;810.1,I563&gt;14.95))*1</f>
        <v/>
      </c>
      <c r="AE563">
        <f>SUM(P563:AD563)</f>
        <v/>
      </c>
      <c r="AF563">
        <f>IF(AE563=1,"Malignant","Benign")</f>
        <v/>
      </c>
      <c r="AG563">
        <f>--(AE563=C563)</f>
        <v/>
      </c>
    </row>
    <row r="564">
      <c r="A564">
        <f>BreastCancer_Data!A564</f>
        <v/>
      </c>
      <c r="B564">
        <f>BreastCancer_Data!B564</f>
        <v/>
      </c>
      <c r="C564">
        <f>BreastCancer_Data!D564</f>
        <v/>
      </c>
      <c r="D564">
        <f>BreastCancer_Data!E564</f>
        <v/>
      </c>
      <c r="E564">
        <f>BreastCancer_Data!F564</f>
        <v/>
      </c>
      <c r="F564">
        <f>BreastCancer_Data!G564</f>
        <v/>
      </c>
      <c r="G564">
        <f>BreastCancer_Data!H564</f>
        <v/>
      </c>
      <c r="H564">
        <f>BreastCancer_Data!I564</f>
        <v/>
      </c>
      <c r="I564">
        <f>BreastCancer_Data!J564</f>
        <v/>
      </c>
      <c r="J564">
        <f>BreastCancer_Data!K564</f>
        <v/>
      </c>
      <c r="K564">
        <f>BreastCancer_Data!L564</f>
        <v/>
      </c>
      <c r="L564">
        <f>BreastCancer_Data!M564</f>
        <v/>
      </c>
      <c r="M564">
        <f>BreastCancer_Data!N564</f>
        <v/>
      </c>
      <c r="N564">
        <f>BreastCancer_Data!O564</f>
        <v/>
      </c>
      <c r="O564">
        <f>0</f>
        <v/>
      </c>
      <c r="P564">
        <f>--(AND(D564&lt;=113.15,E564&lt;=0.15,F564&lt;=15.77,G564&lt;=0.18,H564&lt;=33.27))*0</f>
        <v/>
      </c>
      <c r="Q564">
        <f>--(AND(D564&lt;=113.15,E564&lt;=0.15,F564&lt;=15.77,G564&lt;=0.18,H564&gt;33.27))*0</f>
        <v/>
      </c>
      <c r="R564">
        <f>--(AND(D564&lt;=113.15,E564&lt;=0.15,F564&lt;=15.77,G564&gt;0.18))*0</f>
        <v/>
      </c>
      <c r="S564">
        <f>--(AND(D564&lt;=113.15,E564&lt;=0.15,F564&gt;15.77,H564&lt;=28.86,G564&lt;=0.14))*0</f>
        <v/>
      </c>
      <c r="T564">
        <f>--(AND(D564&lt;=113.15,E564&lt;=0.15,F564&gt;15.77,H564&lt;=28.86,G564&gt;0.14))*1</f>
        <v/>
      </c>
      <c r="U564">
        <f>--(AND(D564&lt;=113.15,E564&lt;=0.15,F564&gt;15.77,H564&gt;28.86,M564&lt;=14.54))*1</f>
        <v/>
      </c>
      <c r="V564">
        <f>--(AND(D564&lt;=113.15,E564&lt;=0.15,F564&gt;15.77,H564&gt;28.86,M564&gt;14.54))*1</f>
        <v/>
      </c>
      <c r="W564">
        <f>--(AND(D564&lt;=113.15,E564&gt;0.15,H564&lt;=23.74))*0</f>
        <v/>
      </c>
      <c r="X564">
        <f>--(AND(D564&lt;=113.15,E564&gt;0.15,H564&gt;23.74,J564&lt;=0.1))*1</f>
        <v/>
      </c>
      <c r="Y564">
        <f>--(AND(D564&lt;=113.15,E564&gt;0.15,H564&gt;23.74,J564&gt;0.1))*1</f>
        <v/>
      </c>
      <c r="Z564">
        <f>--(AND(D564&gt;113.15,K564&lt;=0.22,L564&lt;=0.02))*1</f>
        <v/>
      </c>
      <c r="AA564">
        <f>--(AND(D564&gt;113.15,K564&lt;=0.22,L564&gt;0.02))*0</f>
        <v/>
      </c>
      <c r="AB564">
        <f>--(AND(D564&gt;113.15,K564&gt;0.22,N564&lt;=810.1))*0</f>
        <v/>
      </c>
      <c r="AC564">
        <f>--(AND(D564&gt;113.15,K564&gt;0.22,N564&gt;810.1,I564&lt;=14.95))*1</f>
        <v/>
      </c>
      <c r="AD564">
        <f>--(AND(D564&gt;113.15,K564&gt;0.22,N564&gt;810.1,I564&gt;14.95))*1</f>
        <v/>
      </c>
      <c r="AE564">
        <f>SUM(P564:AD564)</f>
        <v/>
      </c>
      <c r="AF564">
        <f>IF(AE564=1,"Malignant","Benign")</f>
        <v/>
      </c>
      <c r="AG564">
        <f>--(AE564=C564)</f>
        <v/>
      </c>
    </row>
    <row r="565">
      <c r="A565">
        <f>BreastCancer_Data!A565</f>
        <v/>
      </c>
      <c r="B565">
        <f>BreastCancer_Data!B565</f>
        <v/>
      </c>
      <c r="C565">
        <f>BreastCancer_Data!D565</f>
        <v/>
      </c>
      <c r="D565">
        <f>BreastCancer_Data!E565</f>
        <v/>
      </c>
      <c r="E565">
        <f>BreastCancer_Data!F565</f>
        <v/>
      </c>
      <c r="F565">
        <f>BreastCancer_Data!G565</f>
        <v/>
      </c>
      <c r="G565">
        <f>BreastCancer_Data!H565</f>
        <v/>
      </c>
      <c r="H565">
        <f>BreastCancer_Data!I565</f>
        <v/>
      </c>
      <c r="I565">
        <f>BreastCancer_Data!J565</f>
        <v/>
      </c>
      <c r="J565">
        <f>BreastCancer_Data!K565</f>
        <v/>
      </c>
      <c r="K565">
        <f>BreastCancer_Data!L565</f>
        <v/>
      </c>
      <c r="L565">
        <f>BreastCancer_Data!M565</f>
        <v/>
      </c>
      <c r="M565">
        <f>BreastCancer_Data!N565</f>
        <v/>
      </c>
      <c r="N565">
        <f>BreastCancer_Data!O565</f>
        <v/>
      </c>
      <c r="O565">
        <f>0</f>
        <v/>
      </c>
      <c r="P565">
        <f>--(AND(D565&lt;=113.15,E565&lt;=0.15,F565&lt;=15.77,G565&lt;=0.18,H565&lt;=33.27))*0</f>
        <v/>
      </c>
      <c r="Q565">
        <f>--(AND(D565&lt;=113.15,E565&lt;=0.15,F565&lt;=15.77,G565&lt;=0.18,H565&gt;33.27))*0</f>
        <v/>
      </c>
      <c r="R565">
        <f>--(AND(D565&lt;=113.15,E565&lt;=0.15,F565&lt;=15.77,G565&gt;0.18))*0</f>
        <v/>
      </c>
      <c r="S565">
        <f>--(AND(D565&lt;=113.15,E565&lt;=0.15,F565&gt;15.77,H565&lt;=28.86,G565&lt;=0.14))*0</f>
        <v/>
      </c>
      <c r="T565">
        <f>--(AND(D565&lt;=113.15,E565&lt;=0.15,F565&gt;15.77,H565&lt;=28.86,G565&gt;0.14))*1</f>
        <v/>
      </c>
      <c r="U565">
        <f>--(AND(D565&lt;=113.15,E565&lt;=0.15,F565&gt;15.77,H565&gt;28.86,M565&lt;=14.54))*1</f>
        <v/>
      </c>
      <c r="V565">
        <f>--(AND(D565&lt;=113.15,E565&lt;=0.15,F565&gt;15.77,H565&gt;28.86,M565&gt;14.54))*1</f>
        <v/>
      </c>
      <c r="W565">
        <f>--(AND(D565&lt;=113.15,E565&gt;0.15,H565&lt;=23.74))*0</f>
        <v/>
      </c>
      <c r="X565">
        <f>--(AND(D565&lt;=113.15,E565&gt;0.15,H565&gt;23.74,J565&lt;=0.1))*1</f>
        <v/>
      </c>
      <c r="Y565">
        <f>--(AND(D565&lt;=113.15,E565&gt;0.15,H565&gt;23.74,J565&gt;0.1))*1</f>
        <v/>
      </c>
      <c r="Z565">
        <f>--(AND(D565&gt;113.15,K565&lt;=0.22,L565&lt;=0.02))*1</f>
        <v/>
      </c>
      <c r="AA565">
        <f>--(AND(D565&gt;113.15,K565&lt;=0.22,L565&gt;0.02))*0</f>
        <v/>
      </c>
      <c r="AB565">
        <f>--(AND(D565&gt;113.15,K565&gt;0.22,N565&lt;=810.1))*0</f>
        <v/>
      </c>
      <c r="AC565">
        <f>--(AND(D565&gt;113.15,K565&gt;0.22,N565&gt;810.1,I565&lt;=14.95))*1</f>
        <v/>
      </c>
      <c r="AD565">
        <f>--(AND(D565&gt;113.15,K565&gt;0.22,N565&gt;810.1,I565&gt;14.95))*1</f>
        <v/>
      </c>
      <c r="AE565">
        <f>SUM(P565:AD565)</f>
        <v/>
      </c>
      <c r="AF565">
        <f>IF(AE565=1,"Malignant","Benign")</f>
        <v/>
      </c>
      <c r="AG565">
        <f>--(AE565=C565)</f>
        <v/>
      </c>
    </row>
    <row r="566">
      <c r="A566">
        <f>BreastCancer_Data!A566</f>
        <v/>
      </c>
      <c r="B566">
        <f>BreastCancer_Data!B566</f>
        <v/>
      </c>
      <c r="C566">
        <f>BreastCancer_Data!D566</f>
        <v/>
      </c>
      <c r="D566">
        <f>BreastCancer_Data!E566</f>
        <v/>
      </c>
      <c r="E566">
        <f>BreastCancer_Data!F566</f>
        <v/>
      </c>
      <c r="F566">
        <f>BreastCancer_Data!G566</f>
        <v/>
      </c>
      <c r="G566">
        <f>BreastCancer_Data!H566</f>
        <v/>
      </c>
      <c r="H566">
        <f>BreastCancer_Data!I566</f>
        <v/>
      </c>
      <c r="I566">
        <f>BreastCancer_Data!J566</f>
        <v/>
      </c>
      <c r="J566">
        <f>BreastCancer_Data!K566</f>
        <v/>
      </c>
      <c r="K566">
        <f>BreastCancer_Data!L566</f>
        <v/>
      </c>
      <c r="L566">
        <f>BreastCancer_Data!M566</f>
        <v/>
      </c>
      <c r="M566">
        <f>BreastCancer_Data!N566</f>
        <v/>
      </c>
      <c r="N566">
        <f>BreastCancer_Data!O566</f>
        <v/>
      </c>
      <c r="O566">
        <f>0</f>
        <v/>
      </c>
      <c r="P566">
        <f>--(AND(D566&lt;=113.15,E566&lt;=0.15,F566&lt;=15.77,G566&lt;=0.18,H566&lt;=33.27))*0</f>
        <v/>
      </c>
      <c r="Q566">
        <f>--(AND(D566&lt;=113.15,E566&lt;=0.15,F566&lt;=15.77,G566&lt;=0.18,H566&gt;33.27))*0</f>
        <v/>
      </c>
      <c r="R566">
        <f>--(AND(D566&lt;=113.15,E566&lt;=0.15,F566&lt;=15.77,G566&gt;0.18))*0</f>
        <v/>
      </c>
      <c r="S566">
        <f>--(AND(D566&lt;=113.15,E566&lt;=0.15,F566&gt;15.77,H566&lt;=28.86,G566&lt;=0.14))*0</f>
        <v/>
      </c>
      <c r="T566">
        <f>--(AND(D566&lt;=113.15,E566&lt;=0.15,F566&gt;15.77,H566&lt;=28.86,G566&gt;0.14))*1</f>
        <v/>
      </c>
      <c r="U566">
        <f>--(AND(D566&lt;=113.15,E566&lt;=0.15,F566&gt;15.77,H566&gt;28.86,M566&lt;=14.54))*1</f>
        <v/>
      </c>
      <c r="V566">
        <f>--(AND(D566&lt;=113.15,E566&lt;=0.15,F566&gt;15.77,H566&gt;28.86,M566&gt;14.54))*1</f>
        <v/>
      </c>
      <c r="W566">
        <f>--(AND(D566&lt;=113.15,E566&gt;0.15,H566&lt;=23.74))*0</f>
        <v/>
      </c>
      <c r="X566">
        <f>--(AND(D566&lt;=113.15,E566&gt;0.15,H566&gt;23.74,J566&lt;=0.1))*1</f>
        <v/>
      </c>
      <c r="Y566">
        <f>--(AND(D566&lt;=113.15,E566&gt;0.15,H566&gt;23.74,J566&gt;0.1))*1</f>
        <v/>
      </c>
      <c r="Z566">
        <f>--(AND(D566&gt;113.15,K566&lt;=0.22,L566&lt;=0.02))*1</f>
        <v/>
      </c>
      <c r="AA566">
        <f>--(AND(D566&gt;113.15,K566&lt;=0.22,L566&gt;0.02))*0</f>
        <v/>
      </c>
      <c r="AB566">
        <f>--(AND(D566&gt;113.15,K566&gt;0.22,N566&lt;=810.1))*0</f>
        <v/>
      </c>
      <c r="AC566">
        <f>--(AND(D566&gt;113.15,K566&gt;0.22,N566&gt;810.1,I566&lt;=14.95))*1</f>
        <v/>
      </c>
      <c r="AD566">
        <f>--(AND(D566&gt;113.15,K566&gt;0.22,N566&gt;810.1,I566&gt;14.95))*1</f>
        <v/>
      </c>
      <c r="AE566">
        <f>SUM(P566:AD566)</f>
        <v/>
      </c>
      <c r="AF566">
        <f>IF(AE566=1,"Malignant","Benign")</f>
        <v/>
      </c>
      <c r="AG566">
        <f>--(AE566=C566)</f>
        <v/>
      </c>
    </row>
    <row r="567">
      <c r="A567">
        <f>BreastCancer_Data!A567</f>
        <v/>
      </c>
      <c r="B567">
        <f>BreastCancer_Data!B567</f>
        <v/>
      </c>
      <c r="C567">
        <f>BreastCancer_Data!D567</f>
        <v/>
      </c>
      <c r="D567">
        <f>BreastCancer_Data!E567</f>
        <v/>
      </c>
      <c r="E567">
        <f>BreastCancer_Data!F567</f>
        <v/>
      </c>
      <c r="F567">
        <f>BreastCancer_Data!G567</f>
        <v/>
      </c>
      <c r="G567">
        <f>BreastCancer_Data!H567</f>
        <v/>
      </c>
      <c r="H567">
        <f>BreastCancer_Data!I567</f>
        <v/>
      </c>
      <c r="I567">
        <f>BreastCancer_Data!J567</f>
        <v/>
      </c>
      <c r="J567">
        <f>BreastCancer_Data!K567</f>
        <v/>
      </c>
      <c r="K567">
        <f>BreastCancer_Data!L567</f>
        <v/>
      </c>
      <c r="L567">
        <f>BreastCancer_Data!M567</f>
        <v/>
      </c>
      <c r="M567">
        <f>BreastCancer_Data!N567</f>
        <v/>
      </c>
      <c r="N567">
        <f>BreastCancer_Data!O567</f>
        <v/>
      </c>
      <c r="O567">
        <f>0</f>
        <v/>
      </c>
      <c r="P567">
        <f>--(AND(D567&lt;=113.15,E567&lt;=0.15,F567&lt;=15.77,G567&lt;=0.18,H567&lt;=33.27))*0</f>
        <v/>
      </c>
      <c r="Q567">
        <f>--(AND(D567&lt;=113.15,E567&lt;=0.15,F567&lt;=15.77,G567&lt;=0.18,H567&gt;33.27))*0</f>
        <v/>
      </c>
      <c r="R567">
        <f>--(AND(D567&lt;=113.15,E567&lt;=0.15,F567&lt;=15.77,G567&gt;0.18))*0</f>
        <v/>
      </c>
      <c r="S567">
        <f>--(AND(D567&lt;=113.15,E567&lt;=0.15,F567&gt;15.77,H567&lt;=28.86,G567&lt;=0.14))*0</f>
        <v/>
      </c>
      <c r="T567">
        <f>--(AND(D567&lt;=113.15,E567&lt;=0.15,F567&gt;15.77,H567&lt;=28.86,G567&gt;0.14))*1</f>
        <v/>
      </c>
      <c r="U567">
        <f>--(AND(D567&lt;=113.15,E567&lt;=0.15,F567&gt;15.77,H567&gt;28.86,M567&lt;=14.54))*1</f>
        <v/>
      </c>
      <c r="V567">
        <f>--(AND(D567&lt;=113.15,E567&lt;=0.15,F567&gt;15.77,H567&gt;28.86,M567&gt;14.54))*1</f>
        <v/>
      </c>
      <c r="W567">
        <f>--(AND(D567&lt;=113.15,E567&gt;0.15,H567&lt;=23.74))*0</f>
        <v/>
      </c>
      <c r="X567">
        <f>--(AND(D567&lt;=113.15,E567&gt;0.15,H567&gt;23.74,J567&lt;=0.1))*1</f>
        <v/>
      </c>
      <c r="Y567">
        <f>--(AND(D567&lt;=113.15,E567&gt;0.15,H567&gt;23.74,J567&gt;0.1))*1</f>
        <v/>
      </c>
      <c r="Z567">
        <f>--(AND(D567&gt;113.15,K567&lt;=0.22,L567&lt;=0.02))*1</f>
        <v/>
      </c>
      <c r="AA567">
        <f>--(AND(D567&gt;113.15,K567&lt;=0.22,L567&gt;0.02))*0</f>
        <v/>
      </c>
      <c r="AB567">
        <f>--(AND(D567&gt;113.15,K567&gt;0.22,N567&lt;=810.1))*0</f>
        <v/>
      </c>
      <c r="AC567">
        <f>--(AND(D567&gt;113.15,K567&gt;0.22,N567&gt;810.1,I567&lt;=14.95))*1</f>
        <v/>
      </c>
      <c r="AD567">
        <f>--(AND(D567&gt;113.15,K567&gt;0.22,N567&gt;810.1,I567&gt;14.95))*1</f>
        <v/>
      </c>
      <c r="AE567">
        <f>SUM(P567:AD567)</f>
        <v/>
      </c>
      <c r="AF567">
        <f>IF(AE567=1,"Malignant","Benign")</f>
        <v/>
      </c>
      <c r="AG567">
        <f>--(AE567=C567)</f>
        <v/>
      </c>
    </row>
    <row r="568">
      <c r="A568">
        <f>BreastCancer_Data!A568</f>
        <v/>
      </c>
      <c r="B568">
        <f>BreastCancer_Data!B568</f>
        <v/>
      </c>
      <c r="C568">
        <f>BreastCancer_Data!D568</f>
        <v/>
      </c>
      <c r="D568">
        <f>BreastCancer_Data!E568</f>
        <v/>
      </c>
      <c r="E568">
        <f>BreastCancer_Data!F568</f>
        <v/>
      </c>
      <c r="F568">
        <f>BreastCancer_Data!G568</f>
        <v/>
      </c>
      <c r="G568">
        <f>BreastCancer_Data!H568</f>
        <v/>
      </c>
      <c r="H568">
        <f>BreastCancer_Data!I568</f>
        <v/>
      </c>
      <c r="I568">
        <f>BreastCancer_Data!J568</f>
        <v/>
      </c>
      <c r="J568">
        <f>BreastCancer_Data!K568</f>
        <v/>
      </c>
      <c r="K568">
        <f>BreastCancer_Data!L568</f>
        <v/>
      </c>
      <c r="L568">
        <f>BreastCancer_Data!M568</f>
        <v/>
      </c>
      <c r="M568">
        <f>BreastCancer_Data!N568</f>
        <v/>
      </c>
      <c r="N568">
        <f>BreastCancer_Data!O568</f>
        <v/>
      </c>
      <c r="O568">
        <f>0</f>
        <v/>
      </c>
      <c r="P568">
        <f>--(AND(D568&lt;=113.15,E568&lt;=0.15,F568&lt;=15.77,G568&lt;=0.18,H568&lt;=33.27))*0</f>
        <v/>
      </c>
      <c r="Q568">
        <f>--(AND(D568&lt;=113.15,E568&lt;=0.15,F568&lt;=15.77,G568&lt;=0.18,H568&gt;33.27))*0</f>
        <v/>
      </c>
      <c r="R568">
        <f>--(AND(D568&lt;=113.15,E568&lt;=0.15,F568&lt;=15.77,G568&gt;0.18))*0</f>
        <v/>
      </c>
      <c r="S568">
        <f>--(AND(D568&lt;=113.15,E568&lt;=0.15,F568&gt;15.77,H568&lt;=28.86,G568&lt;=0.14))*0</f>
        <v/>
      </c>
      <c r="T568">
        <f>--(AND(D568&lt;=113.15,E568&lt;=0.15,F568&gt;15.77,H568&lt;=28.86,G568&gt;0.14))*1</f>
        <v/>
      </c>
      <c r="U568">
        <f>--(AND(D568&lt;=113.15,E568&lt;=0.15,F568&gt;15.77,H568&gt;28.86,M568&lt;=14.54))*1</f>
        <v/>
      </c>
      <c r="V568">
        <f>--(AND(D568&lt;=113.15,E568&lt;=0.15,F568&gt;15.77,H568&gt;28.86,M568&gt;14.54))*1</f>
        <v/>
      </c>
      <c r="W568">
        <f>--(AND(D568&lt;=113.15,E568&gt;0.15,H568&lt;=23.74))*0</f>
        <v/>
      </c>
      <c r="X568">
        <f>--(AND(D568&lt;=113.15,E568&gt;0.15,H568&gt;23.74,J568&lt;=0.1))*1</f>
        <v/>
      </c>
      <c r="Y568">
        <f>--(AND(D568&lt;=113.15,E568&gt;0.15,H568&gt;23.74,J568&gt;0.1))*1</f>
        <v/>
      </c>
      <c r="Z568">
        <f>--(AND(D568&gt;113.15,K568&lt;=0.22,L568&lt;=0.02))*1</f>
        <v/>
      </c>
      <c r="AA568">
        <f>--(AND(D568&gt;113.15,K568&lt;=0.22,L568&gt;0.02))*0</f>
        <v/>
      </c>
      <c r="AB568">
        <f>--(AND(D568&gt;113.15,K568&gt;0.22,N568&lt;=810.1))*0</f>
        <v/>
      </c>
      <c r="AC568">
        <f>--(AND(D568&gt;113.15,K568&gt;0.22,N568&gt;810.1,I568&lt;=14.95))*1</f>
        <v/>
      </c>
      <c r="AD568">
        <f>--(AND(D568&gt;113.15,K568&gt;0.22,N568&gt;810.1,I568&gt;14.95))*1</f>
        <v/>
      </c>
      <c r="AE568">
        <f>SUM(P568:AD568)</f>
        <v/>
      </c>
      <c r="AF568">
        <f>IF(AE568=1,"Malignant","Benign")</f>
        <v/>
      </c>
      <c r="AG568">
        <f>--(AE568=C568)</f>
        <v/>
      </c>
    </row>
    <row r="569">
      <c r="A569">
        <f>BreastCancer_Data!A569</f>
        <v/>
      </c>
      <c r="B569">
        <f>BreastCancer_Data!B569</f>
        <v/>
      </c>
      <c r="C569">
        <f>BreastCancer_Data!D569</f>
        <v/>
      </c>
      <c r="D569">
        <f>BreastCancer_Data!E569</f>
        <v/>
      </c>
      <c r="E569">
        <f>BreastCancer_Data!F569</f>
        <v/>
      </c>
      <c r="F569">
        <f>BreastCancer_Data!G569</f>
        <v/>
      </c>
      <c r="G569">
        <f>BreastCancer_Data!H569</f>
        <v/>
      </c>
      <c r="H569">
        <f>BreastCancer_Data!I569</f>
        <v/>
      </c>
      <c r="I569">
        <f>BreastCancer_Data!J569</f>
        <v/>
      </c>
      <c r="J569">
        <f>BreastCancer_Data!K569</f>
        <v/>
      </c>
      <c r="K569">
        <f>BreastCancer_Data!L569</f>
        <v/>
      </c>
      <c r="L569">
        <f>BreastCancer_Data!M569</f>
        <v/>
      </c>
      <c r="M569">
        <f>BreastCancer_Data!N569</f>
        <v/>
      </c>
      <c r="N569">
        <f>BreastCancer_Data!O569</f>
        <v/>
      </c>
      <c r="O569">
        <f>0</f>
        <v/>
      </c>
      <c r="P569">
        <f>--(AND(D569&lt;=113.15,E569&lt;=0.15,F569&lt;=15.77,G569&lt;=0.18,H569&lt;=33.27))*0</f>
        <v/>
      </c>
      <c r="Q569">
        <f>--(AND(D569&lt;=113.15,E569&lt;=0.15,F569&lt;=15.77,G569&lt;=0.18,H569&gt;33.27))*0</f>
        <v/>
      </c>
      <c r="R569">
        <f>--(AND(D569&lt;=113.15,E569&lt;=0.15,F569&lt;=15.77,G569&gt;0.18))*0</f>
        <v/>
      </c>
      <c r="S569">
        <f>--(AND(D569&lt;=113.15,E569&lt;=0.15,F569&gt;15.77,H569&lt;=28.86,G569&lt;=0.14))*0</f>
        <v/>
      </c>
      <c r="T569">
        <f>--(AND(D569&lt;=113.15,E569&lt;=0.15,F569&gt;15.77,H569&lt;=28.86,G569&gt;0.14))*1</f>
        <v/>
      </c>
      <c r="U569">
        <f>--(AND(D569&lt;=113.15,E569&lt;=0.15,F569&gt;15.77,H569&gt;28.86,M569&lt;=14.54))*1</f>
        <v/>
      </c>
      <c r="V569">
        <f>--(AND(D569&lt;=113.15,E569&lt;=0.15,F569&gt;15.77,H569&gt;28.86,M569&gt;14.54))*1</f>
        <v/>
      </c>
      <c r="W569">
        <f>--(AND(D569&lt;=113.15,E569&gt;0.15,H569&lt;=23.74))*0</f>
        <v/>
      </c>
      <c r="X569">
        <f>--(AND(D569&lt;=113.15,E569&gt;0.15,H569&gt;23.74,J569&lt;=0.1))*1</f>
        <v/>
      </c>
      <c r="Y569">
        <f>--(AND(D569&lt;=113.15,E569&gt;0.15,H569&gt;23.74,J569&gt;0.1))*1</f>
        <v/>
      </c>
      <c r="Z569">
        <f>--(AND(D569&gt;113.15,K569&lt;=0.22,L569&lt;=0.02))*1</f>
        <v/>
      </c>
      <c r="AA569">
        <f>--(AND(D569&gt;113.15,K569&lt;=0.22,L569&gt;0.02))*0</f>
        <v/>
      </c>
      <c r="AB569">
        <f>--(AND(D569&gt;113.15,K569&gt;0.22,N569&lt;=810.1))*0</f>
        <v/>
      </c>
      <c r="AC569">
        <f>--(AND(D569&gt;113.15,K569&gt;0.22,N569&gt;810.1,I569&lt;=14.95))*1</f>
        <v/>
      </c>
      <c r="AD569">
        <f>--(AND(D569&gt;113.15,K569&gt;0.22,N569&gt;810.1,I569&gt;14.95))*1</f>
        <v/>
      </c>
      <c r="AE569">
        <f>SUM(P569:AD569)</f>
        <v/>
      </c>
      <c r="AF569">
        <f>IF(AE569=1,"Malignant","Benign")</f>
        <v/>
      </c>
      <c r="AG569">
        <f>--(AE569=C569)</f>
        <v/>
      </c>
    </row>
    <row r="570">
      <c r="A570">
        <f>BreastCancer_Data!A570</f>
        <v/>
      </c>
      <c r="B570">
        <f>BreastCancer_Data!B570</f>
        <v/>
      </c>
      <c r="C570">
        <f>BreastCancer_Data!D570</f>
        <v/>
      </c>
      <c r="D570">
        <f>BreastCancer_Data!E570</f>
        <v/>
      </c>
      <c r="E570">
        <f>BreastCancer_Data!F570</f>
        <v/>
      </c>
      <c r="F570">
        <f>BreastCancer_Data!G570</f>
        <v/>
      </c>
      <c r="G570">
        <f>BreastCancer_Data!H570</f>
        <v/>
      </c>
      <c r="H570">
        <f>BreastCancer_Data!I570</f>
        <v/>
      </c>
      <c r="I570">
        <f>BreastCancer_Data!J570</f>
        <v/>
      </c>
      <c r="J570">
        <f>BreastCancer_Data!K570</f>
        <v/>
      </c>
      <c r="K570">
        <f>BreastCancer_Data!L570</f>
        <v/>
      </c>
      <c r="L570">
        <f>BreastCancer_Data!M570</f>
        <v/>
      </c>
      <c r="M570">
        <f>BreastCancer_Data!N570</f>
        <v/>
      </c>
      <c r="N570">
        <f>BreastCancer_Data!O570</f>
        <v/>
      </c>
      <c r="O570">
        <f>0</f>
        <v/>
      </c>
      <c r="P570">
        <f>--(AND(D570&lt;=113.15,E570&lt;=0.15,F570&lt;=15.77,G570&lt;=0.18,H570&lt;=33.27))*0</f>
        <v/>
      </c>
      <c r="Q570">
        <f>--(AND(D570&lt;=113.15,E570&lt;=0.15,F570&lt;=15.77,G570&lt;=0.18,H570&gt;33.27))*0</f>
        <v/>
      </c>
      <c r="R570">
        <f>--(AND(D570&lt;=113.15,E570&lt;=0.15,F570&lt;=15.77,G570&gt;0.18))*0</f>
        <v/>
      </c>
      <c r="S570">
        <f>--(AND(D570&lt;=113.15,E570&lt;=0.15,F570&gt;15.77,H570&lt;=28.86,G570&lt;=0.14))*0</f>
        <v/>
      </c>
      <c r="T570">
        <f>--(AND(D570&lt;=113.15,E570&lt;=0.15,F570&gt;15.77,H570&lt;=28.86,G570&gt;0.14))*1</f>
        <v/>
      </c>
      <c r="U570">
        <f>--(AND(D570&lt;=113.15,E570&lt;=0.15,F570&gt;15.77,H570&gt;28.86,M570&lt;=14.54))*1</f>
        <v/>
      </c>
      <c r="V570">
        <f>--(AND(D570&lt;=113.15,E570&lt;=0.15,F570&gt;15.77,H570&gt;28.86,M570&gt;14.54))*1</f>
        <v/>
      </c>
      <c r="W570">
        <f>--(AND(D570&lt;=113.15,E570&gt;0.15,H570&lt;=23.74))*0</f>
        <v/>
      </c>
      <c r="X570">
        <f>--(AND(D570&lt;=113.15,E570&gt;0.15,H570&gt;23.74,J570&lt;=0.1))*1</f>
        <v/>
      </c>
      <c r="Y570">
        <f>--(AND(D570&lt;=113.15,E570&gt;0.15,H570&gt;23.74,J570&gt;0.1))*1</f>
        <v/>
      </c>
      <c r="Z570">
        <f>--(AND(D570&gt;113.15,K570&lt;=0.22,L570&lt;=0.02))*1</f>
        <v/>
      </c>
      <c r="AA570">
        <f>--(AND(D570&gt;113.15,K570&lt;=0.22,L570&gt;0.02))*0</f>
        <v/>
      </c>
      <c r="AB570">
        <f>--(AND(D570&gt;113.15,K570&gt;0.22,N570&lt;=810.1))*0</f>
        <v/>
      </c>
      <c r="AC570">
        <f>--(AND(D570&gt;113.15,K570&gt;0.22,N570&gt;810.1,I570&lt;=14.95))*1</f>
        <v/>
      </c>
      <c r="AD570">
        <f>--(AND(D570&gt;113.15,K570&gt;0.22,N570&gt;810.1,I570&gt;14.95))*1</f>
        <v/>
      </c>
      <c r="AE570">
        <f>SUM(P570:AD570)</f>
        <v/>
      </c>
      <c r="AF570">
        <f>IF(AE570=1,"Malignant","Benign")</f>
        <v/>
      </c>
      <c r="AG570">
        <f>--(AE570=C570)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8" max="8"/>
    <col width="39" customWidth="1" min="9" max="9"/>
  </cols>
  <sheetData>
    <row r="1">
      <c r="A1" t="inlineStr">
        <is>
          <t>Metric</t>
        </is>
      </c>
      <c r="B1" t="inlineStr">
        <is>
          <t>Value</t>
        </is>
      </c>
      <c r="H1" t="inlineStr">
        <is>
          <t>Feature</t>
        </is>
      </c>
      <c r="I1" t="inlineStr">
        <is>
          <t>Importance (variance reduction proxy)</t>
        </is>
      </c>
    </row>
    <row r="2">
      <c r="A2" t="inlineStr">
        <is>
          <t>TP</t>
        </is>
      </c>
      <c r="B2">
        <f>COUNTIFS(Validation_Scoring!B:B,"Validation",Validation_Scoring!C:C,1,Validation_Scoring!AE:AE,1)</f>
        <v/>
      </c>
      <c r="H2">
        <f>DT2_Summary_Parity!G9</f>
        <v/>
      </c>
      <c r="I2">
        <f>DT2_Summary_Parity!H9</f>
        <v/>
      </c>
    </row>
    <row r="3">
      <c r="A3" t="inlineStr">
        <is>
          <t>TN</t>
        </is>
      </c>
      <c r="B3">
        <f>COUNTIFS(Validation_Scoring!B:B,"Validation",Validation_Scoring!C:C,0,Validation_Scoring!AE:AE,0)</f>
        <v/>
      </c>
      <c r="H3">
        <f>DT2_Summary_Parity!G10</f>
        <v/>
      </c>
      <c r="I3">
        <f>DT2_Summary_Parity!H10</f>
        <v/>
      </c>
    </row>
    <row r="4">
      <c r="A4" t="inlineStr">
        <is>
          <t>FP</t>
        </is>
      </c>
      <c r="B4">
        <f>COUNTIFS(Validation_Scoring!B:B,"Validation",Validation_Scoring!C:C,0,Validation_Scoring!AE:AE,1)</f>
        <v/>
      </c>
      <c r="H4">
        <f>DT2_Summary_Parity!G11</f>
        <v/>
      </c>
      <c r="I4">
        <f>DT2_Summary_Parity!H11</f>
        <v/>
      </c>
    </row>
    <row r="5">
      <c r="A5" t="inlineStr">
        <is>
          <t>FN</t>
        </is>
      </c>
      <c r="B5">
        <f>COUNTIFS(Validation_Scoring!B:B,"Validation",Validation_Scoring!C:C,1,Validation_Scoring!AE:AE,0)</f>
        <v/>
      </c>
      <c r="H5">
        <f>DT2_Summary_Parity!G12</f>
        <v/>
      </c>
      <c r="I5">
        <f>DT2_Summary_Parity!H12</f>
        <v/>
      </c>
    </row>
    <row r="6">
      <c r="A6" t="inlineStr">
        <is>
          <t>Accuracy</t>
        </is>
      </c>
      <c r="B6">
        <f>(B2+B3)/(B2+B3+B4+B5)</f>
        <v/>
      </c>
      <c r="H6">
        <f>DT2_Summary_Parity!G13</f>
        <v/>
      </c>
      <c r="I6">
        <f>DT2_Summary_Parity!H13</f>
        <v/>
      </c>
    </row>
    <row r="7">
      <c r="A7" t="inlineStr">
        <is>
          <t>Precision</t>
        </is>
      </c>
      <c r="B7">
        <f>IF(B2+B4=0,0,B2/(B2+B4))</f>
        <v/>
      </c>
      <c r="H7">
        <f>DT2_Summary_Parity!G14</f>
        <v/>
      </c>
      <c r="I7">
        <f>DT2_Summary_Parity!H14</f>
        <v/>
      </c>
    </row>
    <row r="8">
      <c r="A8" t="inlineStr">
        <is>
          <t>Recall</t>
        </is>
      </c>
      <c r="B8">
        <f>IF(B2+B5=0,0,B2/(B2+B5))</f>
        <v/>
      </c>
      <c r="H8">
        <f>DT2_Summary_Parity!G15</f>
        <v/>
      </c>
      <c r="I8">
        <f>DT2_Summary_Parity!H15</f>
        <v/>
      </c>
    </row>
    <row r="9">
      <c r="A9" t="inlineStr">
        <is>
          <t>F1</t>
        </is>
      </c>
      <c r="B9">
        <f>IF(B7+B8=0,0,2*B7*B8/(B7+B8))</f>
        <v/>
      </c>
      <c r="H9">
        <f>DT2_Summary_Parity!G16</f>
        <v/>
      </c>
      <c r="I9">
        <f>DT2_Summary_Parity!H16</f>
        <v/>
      </c>
    </row>
    <row r="10">
      <c r="H10">
        <f>DT2_Summary_Parity!G17</f>
        <v/>
      </c>
      <c r="I10">
        <f>DT2_Summary_Parity!H17</f>
        <v/>
      </c>
    </row>
    <row r="11">
      <c r="H11">
        <f>DT2_Summary_Parity!G18</f>
        <v/>
      </c>
      <c r="I11">
        <f>DT2_Summary_Parity!H18</f>
        <v/>
      </c>
    </row>
    <row r="12">
      <c r="H12">
        <f>DT2_Summary_Parity!G19</f>
        <v/>
      </c>
      <c r="I12">
        <f>DT2_Summary_Parity!H19</f>
        <v/>
      </c>
    </row>
    <row r="13">
      <c r="H13">
        <f>DT2_Summary_Parity!G20</f>
        <v/>
      </c>
      <c r="I13">
        <f>DT2_Summary_Parity!H20</f>
        <v/>
      </c>
    </row>
    <row r="14">
      <c r="H14">
        <f>DT2_Summary_Parity!G21</f>
        <v/>
      </c>
      <c r="I14">
        <f>DT2_Summary_Parity!H21</f>
        <v/>
      </c>
    </row>
    <row r="15">
      <c r="H15">
        <f>DT2_Summary_Parity!G22</f>
        <v/>
      </c>
      <c r="I15">
        <f>DT2_Summary_Parity!H22</f>
        <v/>
      </c>
    </row>
    <row r="16">
      <c r="H16">
        <f>DT2_Summary_Parity!G23</f>
        <v/>
      </c>
      <c r="I16">
        <f>DT2_Summary_Parity!H23</f>
        <v/>
      </c>
    </row>
    <row r="17">
      <c r="H17">
        <f>DT2_Summary_Parity!G24</f>
        <v/>
      </c>
      <c r="I17">
        <f>DT2_Summary_Parity!H24</f>
        <v/>
      </c>
    </row>
    <row r="18">
      <c r="H18">
        <f>DT2_Summary_Parity!G25</f>
        <v/>
      </c>
      <c r="I18">
        <f>DT2_Summary_Parity!H25</f>
        <v/>
      </c>
    </row>
    <row r="19">
      <c r="H19">
        <f>DT2_Summary_Parity!G26</f>
        <v/>
      </c>
      <c r="I19">
        <f>DT2_Summary_Parity!H26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5" customWidth="1" min="7" max="7"/>
  </cols>
  <sheetData>
    <row r="1">
      <c r="A1" t="inlineStr">
        <is>
          <t>model</t>
        </is>
      </c>
      <c r="B1" t="inlineStr">
        <is>
          <t>nsplit</t>
        </is>
      </c>
      <c r="C1" t="inlineStr">
        <is>
          <t>xerror_proxy</t>
        </is>
      </c>
      <c r="D1" t="inlineStr">
        <is>
          <t>cp_proxy</t>
        </is>
      </c>
      <c r="E1" t="inlineStr">
        <is>
          <t>notes</t>
        </is>
      </c>
      <c r="G1" t="inlineStr">
        <is>
          <t>cp_min_xerror</t>
        </is>
      </c>
    </row>
    <row r="2">
      <c r="A2" t="inlineStr">
        <is>
          <t>root_majority</t>
        </is>
      </c>
      <c r="B2" t="n">
        <v>0</v>
      </c>
      <c r="C2">
        <f>1-COUNTIFS(Validation_Scoring!B:B,"Validation",Validation_Scoring!C:C,IF(AVERAGEIFS(Validation_Scoring!C:C,Validation_Scoring!B:B,"Train")&gt;=0.5,1,0))/COUNTIF(Validation_Scoring!B:B,"Validation")</f>
        <v/>
      </c>
      <c r="D2">
        <f>1</f>
        <v/>
      </c>
      <c r="E2" t="inlineStr">
        <is>
          <t>Predict one class from train prevalence</t>
        </is>
      </c>
      <c r="G2">
        <f>INDEX(D2:D4,MATCH(MIN(C2:C4),C2:C4,0))</f>
        <v/>
      </c>
    </row>
    <row r="3">
      <c r="A3" t="inlineStr">
        <is>
          <t>stump_perimeter</t>
        </is>
      </c>
      <c r="B3" t="n">
        <v>1</v>
      </c>
      <c r="C3">
        <f>1-SUMPRODUCT(--(Validation_Scoring!B2:B2000="Validation"),--(Validation_Scoring!C2:C2000=IF(Validation_Scoring!D2:D2000&lt;=113.15,IF(AVERAGEIFS(Validation_Scoring!C:C,Validation_Scoring!B:B,"Train",Validation_Scoring!D:D,"&lt;=113.15")&gt;=0.5,1,0),IF(AVERAGEIFS(Validation_Scoring!C:C,Validation_Scoring!B:B,"Train",Validation_Scoring!D:D,"&gt;113.15")&gt;=0.5,1,0))))/COUNTIF(Validation_Scoring!B:B,"Validation")</f>
        <v/>
      </c>
      <c r="D3">
        <f>MAX(0.0001,C2-C3)</f>
        <v/>
      </c>
      <c r="E3" t="inlineStr">
        <is>
          <t>Single split on perimeter_worst</t>
        </is>
      </c>
      <c r="G3" t="inlineStr">
        <is>
          <t>chosen_model</t>
        </is>
      </c>
    </row>
    <row r="4">
      <c r="A4" t="inlineStr">
        <is>
          <t>full_rule_tree</t>
        </is>
      </c>
      <c r="B4" t="n">
        <v>5</v>
      </c>
      <c r="C4">
        <f>1-Confusion_Metrics!B6</f>
        <v/>
      </c>
      <c r="D4">
        <f>MAX(0.0001,(C3-C4)/(B4-B3))</f>
        <v/>
      </c>
      <c r="E4" t="inlineStr">
        <is>
          <t>Decision table equivalent to fitted tree</t>
        </is>
      </c>
      <c r="G4">
        <f>INDEX(A2:A4,MATCH(MIN(C2:C4),C2:C4,0))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5" customWidth="1" min="4" max="4"/>
    <col width="13" customWidth="1" min="5" max="5"/>
    <col width="14" customWidth="1" min="6" max="6"/>
    <col width="13" customWidth="1" min="7" max="7"/>
  </cols>
  <sheetData>
    <row r="1">
      <c r="A1" t="inlineStr">
        <is>
          <t>row_id</t>
        </is>
      </c>
      <c r="B1" t="inlineStr">
        <is>
          <t>CreditAmount</t>
        </is>
      </c>
      <c r="C1" t="inlineStr">
        <is>
          <t>Age</t>
        </is>
      </c>
      <c r="D1" t="inlineStr">
        <is>
          <t>CreditHistory</t>
        </is>
      </c>
      <c r="E1" t="inlineStr">
        <is>
          <t>Employment</t>
        </is>
      </c>
      <c r="F1" t="inlineStr">
        <is>
          <t>Credit_label</t>
        </is>
      </c>
      <c r="G1" t="inlineStr">
        <is>
          <t>Credit_num</t>
        </is>
      </c>
    </row>
    <row r="2">
      <c r="A2" t="n">
        <v>1</v>
      </c>
      <c r="B2" t="n">
        <v>1169</v>
      </c>
      <c r="C2" t="n">
        <v>67</v>
      </c>
      <c r="D2" t="inlineStr">
        <is>
          <t>A34</t>
        </is>
      </c>
      <c r="E2" t="inlineStr">
        <is>
          <t>A75</t>
        </is>
      </c>
      <c r="F2" t="inlineStr">
        <is>
          <t>Good</t>
        </is>
      </c>
      <c r="G2" t="n">
        <v>1</v>
      </c>
    </row>
    <row r="3">
      <c r="A3" t="n">
        <v>2</v>
      </c>
      <c r="B3" t="n">
        <v>5951</v>
      </c>
      <c r="C3" t="n">
        <v>22</v>
      </c>
      <c r="D3" t="inlineStr">
        <is>
          <t>A32</t>
        </is>
      </c>
      <c r="E3" t="inlineStr">
        <is>
          <t>A73</t>
        </is>
      </c>
      <c r="F3" t="inlineStr">
        <is>
          <t>Bad</t>
        </is>
      </c>
      <c r="G3" t="n">
        <v>0</v>
      </c>
    </row>
    <row r="4">
      <c r="A4" t="n">
        <v>3</v>
      </c>
      <c r="B4" t="n">
        <v>2096</v>
      </c>
      <c r="C4" t="n">
        <v>49</v>
      </c>
      <c r="D4" t="inlineStr">
        <is>
          <t>A34</t>
        </is>
      </c>
      <c r="E4" t="inlineStr">
        <is>
          <t>A74</t>
        </is>
      </c>
      <c r="F4" t="inlineStr">
        <is>
          <t>Good</t>
        </is>
      </c>
      <c r="G4" t="n">
        <v>1</v>
      </c>
    </row>
    <row r="5">
      <c r="A5" t="n">
        <v>4</v>
      </c>
      <c r="B5" t="n">
        <v>7882</v>
      </c>
      <c r="C5" t="n">
        <v>45</v>
      </c>
      <c r="D5" t="inlineStr">
        <is>
          <t>A32</t>
        </is>
      </c>
      <c r="E5" t="inlineStr">
        <is>
          <t>A74</t>
        </is>
      </c>
      <c r="F5" t="inlineStr">
        <is>
          <t>Good</t>
        </is>
      </c>
      <c r="G5" t="n">
        <v>1</v>
      </c>
    </row>
    <row r="6">
      <c r="A6" t="n">
        <v>5</v>
      </c>
      <c r="B6" t="n">
        <v>4870</v>
      </c>
      <c r="C6" t="n">
        <v>53</v>
      </c>
      <c r="D6" t="inlineStr">
        <is>
          <t>A33</t>
        </is>
      </c>
      <c r="E6" t="inlineStr">
        <is>
          <t>A73</t>
        </is>
      </c>
      <c r="F6" t="inlineStr">
        <is>
          <t>Bad</t>
        </is>
      </c>
      <c r="G6" t="n">
        <v>0</v>
      </c>
    </row>
    <row r="7">
      <c r="A7" t="n">
        <v>6</v>
      </c>
      <c r="B7" t="n">
        <v>9055</v>
      </c>
      <c r="C7" t="n">
        <v>35</v>
      </c>
      <c r="D7" t="inlineStr">
        <is>
          <t>A32</t>
        </is>
      </c>
      <c r="E7" t="inlineStr">
        <is>
          <t>A73</t>
        </is>
      </c>
      <c r="F7" t="inlineStr">
        <is>
          <t>Good</t>
        </is>
      </c>
      <c r="G7" t="n">
        <v>1</v>
      </c>
    </row>
    <row r="8">
      <c r="A8" t="n">
        <v>7</v>
      </c>
      <c r="B8" t="n">
        <v>2835</v>
      </c>
      <c r="C8" t="n">
        <v>53</v>
      </c>
      <c r="D8" t="inlineStr">
        <is>
          <t>A32</t>
        </is>
      </c>
      <c r="E8" t="inlineStr">
        <is>
          <t>A75</t>
        </is>
      </c>
      <c r="F8" t="inlineStr">
        <is>
          <t>Good</t>
        </is>
      </c>
      <c r="G8" t="n">
        <v>1</v>
      </c>
    </row>
    <row r="9">
      <c r="A9" t="n">
        <v>8</v>
      </c>
      <c r="B9" t="n">
        <v>6948</v>
      </c>
      <c r="C9" t="n">
        <v>35</v>
      </c>
      <c r="D9" t="inlineStr">
        <is>
          <t>A32</t>
        </is>
      </c>
      <c r="E9" t="inlineStr">
        <is>
          <t>A73</t>
        </is>
      </c>
      <c r="F9" t="inlineStr">
        <is>
          <t>Good</t>
        </is>
      </c>
      <c r="G9" t="n">
        <v>1</v>
      </c>
    </row>
    <row r="10">
      <c r="A10" t="n">
        <v>9</v>
      </c>
      <c r="B10" t="n">
        <v>3059</v>
      </c>
      <c r="C10" t="n">
        <v>61</v>
      </c>
      <c r="D10" t="inlineStr">
        <is>
          <t>A32</t>
        </is>
      </c>
      <c r="E10" t="inlineStr">
        <is>
          <t>A74</t>
        </is>
      </c>
      <c r="F10" t="inlineStr">
        <is>
          <t>Good</t>
        </is>
      </c>
      <c r="G10" t="n">
        <v>1</v>
      </c>
    </row>
    <row r="11">
      <c r="A11" t="n">
        <v>10</v>
      </c>
      <c r="B11" t="n">
        <v>5234</v>
      </c>
      <c r="C11" t="n">
        <v>28</v>
      </c>
      <c r="D11" t="inlineStr">
        <is>
          <t>A34</t>
        </is>
      </c>
      <c r="E11" t="inlineStr">
        <is>
          <t>A71</t>
        </is>
      </c>
      <c r="F11" t="inlineStr">
        <is>
          <t>Bad</t>
        </is>
      </c>
      <c r="G11" t="n">
        <v>0</v>
      </c>
    </row>
    <row r="12">
      <c r="A12" t="n">
        <v>11</v>
      </c>
      <c r="B12" t="n">
        <v>1295</v>
      </c>
      <c r="C12" t="n">
        <v>25</v>
      </c>
      <c r="D12" t="inlineStr">
        <is>
          <t>A32</t>
        </is>
      </c>
      <c r="E12" t="inlineStr">
        <is>
          <t>A72</t>
        </is>
      </c>
      <c r="F12" t="inlineStr">
        <is>
          <t>Bad</t>
        </is>
      </c>
      <c r="G12" t="n">
        <v>0</v>
      </c>
    </row>
    <row r="13">
      <c r="A13" t="n">
        <v>12</v>
      </c>
      <c r="B13" t="n">
        <v>4308</v>
      </c>
      <c r="C13" t="n">
        <v>24</v>
      </c>
      <c r="D13" t="inlineStr">
        <is>
          <t>A32</t>
        </is>
      </c>
      <c r="E13" t="inlineStr">
        <is>
          <t>A72</t>
        </is>
      </c>
      <c r="F13" t="inlineStr">
        <is>
          <t>Bad</t>
        </is>
      </c>
      <c r="G13" t="n">
        <v>0</v>
      </c>
    </row>
    <row r="14">
      <c r="A14" t="n">
        <v>13</v>
      </c>
      <c r="B14" t="n">
        <v>1567</v>
      </c>
      <c r="C14" t="n">
        <v>22</v>
      </c>
      <c r="D14" t="inlineStr">
        <is>
          <t>A32</t>
        </is>
      </c>
      <c r="E14" t="inlineStr">
        <is>
          <t>A73</t>
        </is>
      </c>
      <c r="F14" t="inlineStr">
        <is>
          <t>Good</t>
        </is>
      </c>
      <c r="G14" t="n">
        <v>1</v>
      </c>
    </row>
    <row r="15">
      <c r="A15" t="n">
        <v>14</v>
      </c>
      <c r="B15" t="n">
        <v>1199</v>
      </c>
      <c r="C15" t="n">
        <v>60</v>
      </c>
      <c r="D15" t="inlineStr">
        <is>
          <t>A34</t>
        </is>
      </c>
      <c r="E15" t="inlineStr">
        <is>
          <t>A75</t>
        </is>
      </c>
      <c r="F15" t="inlineStr">
        <is>
          <t>Bad</t>
        </is>
      </c>
      <c r="G15" t="n">
        <v>0</v>
      </c>
    </row>
    <row r="16">
      <c r="A16" t="n">
        <v>15</v>
      </c>
      <c r="B16" t="n">
        <v>1403</v>
      </c>
      <c r="C16" t="n">
        <v>28</v>
      </c>
      <c r="D16" t="inlineStr">
        <is>
          <t>A32</t>
        </is>
      </c>
      <c r="E16" t="inlineStr">
        <is>
          <t>A73</t>
        </is>
      </c>
      <c r="F16" t="inlineStr">
        <is>
          <t>Good</t>
        </is>
      </c>
      <c r="G16" t="n">
        <v>1</v>
      </c>
    </row>
    <row r="17">
      <c r="A17" t="n">
        <v>16</v>
      </c>
      <c r="B17" t="n">
        <v>1282</v>
      </c>
      <c r="C17" t="n">
        <v>32</v>
      </c>
      <c r="D17" t="inlineStr">
        <is>
          <t>A32</t>
        </is>
      </c>
      <c r="E17" t="inlineStr">
        <is>
          <t>A73</t>
        </is>
      </c>
      <c r="F17" t="inlineStr">
        <is>
          <t>Bad</t>
        </is>
      </c>
      <c r="G17" t="n">
        <v>0</v>
      </c>
    </row>
    <row r="18">
      <c r="A18" t="n">
        <v>17</v>
      </c>
      <c r="B18" t="n">
        <v>2424</v>
      </c>
      <c r="C18" t="n">
        <v>53</v>
      </c>
      <c r="D18" t="inlineStr">
        <is>
          <t>A34</t>
        </is>
      </c>
      <c r="E18" t="inlineStr">
        <is>
          <t>A75</t>
        </is>
      </c>
      <c r="F18" t="inlineStr">
        <is>
          <t>Good</t>
        </is>
      </c>
      <c r="G18" t="n">
        <v>1</v>
      </c>
    </row>
    <row r="19">
      <c r="A19" t="n">
        <v>18</v>
      </c>
      <c r="B19" t="n">
        <v>8072</v>
      </c>
      <c r="C19" t="n">
        <v>25</v>
      </c>
      <c r="D19" t="inlineStr">
        <is>
          <t>A30</t>
        </is>
      </c>
      <c r="E19" t="inlineStr">
        <is>
          <t>A72</t>
        </is>
      </c>
      <c r="F19" t="inlineStr">
        <is>
          <t>Good</t>
        </is>
      </c>
      <c r="G19" t="n">
        <v>1</v>
      </c>
    </row>
    <row r="20">
      <c r="A20" t="n">
        <v>19</v>
      </c>
      <c r="B20" t="n">
        <v>12579</v>
      </c>
      <c r="C20" t="n">
        <v>44</v>
      </c>
      <c r="D20" t="inlineStr">
        <is>
          <t>A32</t>
        </is>
      </c>
      <c r="E20" t="inlineStr">
        <is>
          <t>A75</t>
        </is>
      </c>
      <c r="F20" t="inlineStr">
        <is>
          <t>Bad</t>
        </is>
      </c>
      <c r="G20" t="n">
        <v>0</v>
      </c>
    </row>
    <row r="21">
      <c r="A21" t="n">
        <v>20</v>
      </c>
      <c r="B21" t="n">
        <v>3430</v>
      </c>
      <c r="C21" t="n">
        <v>31</v>
      </c>
      <c r="D21" t="inlineStr">
        <is>
          <t>A32</t>
        </is>
      </c>
      <c r="E21" t="inlineStr">
        <is>
          <t>A75</t>
        </is>
      </c>
      <c r="F21" t="inlineStr">
        <is>
          <t>Good</t>
        </is>
      </c>
      <c r="G21" t="n">
        <v>1</v>
      </c>
    </row>
    <row r="22">
      <c r="A22" t="n">
        <v>21</v>
      </c>
      <c r="B22" t="n">
        <v>2134</v>
      </c>
      <c r="C22" t="n">
        <v>48</v>
      </c>
      <c r="D22" t="inlineStr">
        <is>
          <t>A34</t>
        </is>
      </c>
      <c r="E22" t="inlineStr">
        <is>
          <t>A73</t>
        </is>
      </c>
      <c r="F22" t="inlineStr">
        <is>
          <t>Good</t>
        </is>
      </c>
      <c r="G22" t="n">
        <v>1</v>
      </c>
    </row>
    <row r="23">
      <c r="A23" t="n">
        <v>22</v>
      </c>
      <c r="B23" t="n">
        <v>2647</v>
      </c>
      <c r="C23" t="n">
        <v>44</v>
      </c>
      <c r="D23" t="inlineStr">
        <is>
          <t>A32</t>
        </is>
      </c>
      <c r="E23" t="inlineStr">
        <is>
          <t>A73</t>
        </is>
      </c>
      <c r="F23" t="inlineStr">
        <is>
          <t>Good</t>
        </is>
      </c>
      <c r="G23" t="n">
        <v>1</v>
      </c>
    </row>
    <row r="24">
      <c r="A24" t="n">
        <v>23</v>
      </c>
      <c r="B24" t="n">
        <v>2241</v>
      </c>
      <c r="C24" t="n">
        <v>48</v>
      </c>
      <c r="D24" t="inlineStr">
        <is>
          <t>A34</t>
        </is>
      </c>
      <c r="E24" t="inlineStr">
        <is>
          <t>A72</t>
        </is>
      </c>
      <c r="F24" t="inlineStr">
        <is>
          <t>Good</t>
        </is>
      </c>
      <c r="G24" t="n">
        <v>1</v>
      </c>
    </row>
    <row r="25">
      <c r="A25" t="n">
        <v>24</v>
      </c>
      <c r="B25" t="n">
        <v>1804</v>
      </c>
      <c r="C25" t="n">
        <v>44</v>
      </c>
      <c r="D25" t="inlineStr">
        <is>
          <t>A34</t>
        </is>
      </c>
      <c r="E25" t="inlineStr">
        <is>
          <t>A72</t>
        </is>
      </c>
      <c r="F25" t="inlineStr">
        <is>
          <t>Good</t>
        </is>
      </c>
      <c r="G25" t="n">
        <v>1</v>
      </c>
    </row>
    <row r="26">
      <c r="A26" t="n">
        <v>25</v>
      </c>
      <c r="B26" t="n">
        <v>2069</v>
      </c>
      <c r="C26" t="n">
        <v>26</v>
      </c>
      <c r="D26" t="inlineStr">
        <is>
          <t>A34</t>
        </is>
      </c>
      <c r="E26" t="inlineStr">
        <is>
          <t>A73</t>
        </is>
      </c>
      <c r="F26" t="inlineStr">
        <is>
          <t>Good</t>
        </is>
      </c>
      <c r="G26" t="n">
        <v>1</v>
      </c>
    </row>
    <row r="27">
      <c r="A27" t="n">
        <v>26</v>
      </c>
      <c r="B27" t="n">
        <v>1374</v>
      </c>
      <c r="C27" t="n">
        <v>36</v>
      </c>
      <c r="D27" t="inlineStr">
        <is>
          <t>A32</t>
        </is>
      </c>
      <c r="E27" t="inlineStr">
        <is>
          <t>A73</t>
        </is>
      </c>
      <c r="F27" t="inlineStr">
        <is>
          <t>Good</t>
        </is>
      </c>
      <c r="G27" t="n">
        <v>1</v>
      </c>
    </row>
    <row r="28">
      <c r="A28" t="n">
        <v>27</v>
      </c>
      <c r="B28" t="n">
        <v>426</v>
      </c>
      <c r="C28" t="n">
        <v>39</v>
      </c>
      <c r="D28" t="inlineStr">
        <is>
          <t>A30</t>
        </is>
      </c>
      <c r="E28" t="inlineStr">
        <is>
          <t>A75</t>
        </is>
      </c>
      <c r="F28" t="inlineStr">
        <is>
          <t>Good</t>
        </is>
      </c>
      <c r="G28" t="n">
        <v>1</v>
      </c>
    </row>
    <row r="29">
      <c r="A29" t="n">
        <v>28</v>
      </c>
      <c r="B29" t="n">
        <v>409</v>
      </c>
      <c r="C29" t="n">
        <v>42</v>
      </c>
      <c r="D29" t="inlineStr">
        <is>
          <t>A31</t>
        </is>
      </c>
      <c r="E29" t="inlineStr">
        <is>
          <t>A73</t>
        </is>
      </c>
      <c r="F29" t="inlineStr">
        <is>
          <t>Good</t>
        </is>
      </c>
      <c r="G29" t="n">
        <v>1</v>
      </c>
    </row>
    <row r="30">
      <c r="A30" t="n">
        <v>29</v>
      </c>
      <c r="B30" t="n">
        <v>2415</v>
      </c>
      <c r="C30" t="n">
        <v>34</v>
      </c>
      <c r="D30" t="inlineStr">
        <is>
          <t>A32</t>
        </is>
      </c>
      <c r="E30" t="inlineStr">
        <is>
          <t>A73</t>
        </is>
      </c>
      <c r="F30" t="inlineStr">
        <is>
          <t>Good</t>
        </is>
      </c>
      <c r="G30" t="n">
        <v>1</v>
      </c>
    </row>
    <row r="31">
      <c r="A31" t="n">
        <v>30</v>
      </c>
      <c r="B31" t="n">
        <v>6836</v>
      </c>
      <c r="C31" t="n">
        <v>63</v>
      </c>
      <c r="D31" t="inlineStr">
        <is>
          <t>A33</t>
        </is>
      </c>
      <c r="E31" t="inlineStr">
        <is>
          <t>A75</t>
        </is>
      </c>
      <c r="F31" t="inlineStr">
        <is>
          <t>Bad</t>
        </is>
      </c>
      <c r="G31" t="n">
        <v>0</v>
      </c>
    </row>
    <row r="32">
      <c r="A32" t="n">
        <v>31</v>
      </c>
      <c r="B32" t="n">
        <v>1913</v>
      </c>
      <c r="C32" t="n">
        <v>36</v>
      </c>
      <c r="D32" t="inlineStr">
        <is>
          <t>A32</t>
        </is>
      </c>
      <c r="E32" t="inlineStr">
        <is>
          <t>A72</t>
        </is>
      </c>
      <c r="F32" t="inlineStr">
        <is>
          <t>Good</t>
        </is>
      </c>
      <c r="G32" t="n">
        <v>1</v>
      </c>
    </row>
    <row r="33">
      <c r="A33" t="n">
        <v>32</v>
      </c>
      <c r="B33" t="n">
        <v>4020</v>
      </c>
      <c r="C33" t="n">
        <v>27</v>
      </c>
      <c r="D33" t="inlineStr">
        <is>
          <t>A32</t>
        </is>
      </c>
      <c r="E33" t="inlineStr">
        <is>
          <t>A73</t>
        </is>
      </c>
      <c r="F33" t="inlineStr">
        <is>
          <t>Good</t>
        </is>
      </c>
      <c r="G33" t="n">
        <v>1</v>
      </c>
    </row>
    <row r="34">
      <c r="A34" t="n">
        <v>33</v>
      </c>
      <c r="B34" t="n">
        <v>5866</v>
      </c>
      <c r="C34" t="n">
        <v>30</v>
      </c>
      <c r="D34" t="inlineStr">
        <is>
          <t>A32</t>
        </is>
      </c>
      <c r="E34" t="inlineStr">
        <is>
          <t>A73</t>
        </is>
      </c>
      <c r="F34" t="inlineStr">
        <is>
          <t>Good</t>
        </is>
      </c>
      <c r="G34" t="n">
        <v>1</v>
      </c>
    </row>
    <row r="35">
      <c r="A35" t="n">
        <v>34</v>
      </c>
      <c r="B35" t="n">
        <v>1264</v>
      </c>
      <c r="C35" t="n">
        <v>57</v>
      </c>
      <c r="D35" t="inlineStr">
        <is>
          <t>A34</t>
        </is>
      </c>
      <c r="E35" t="inlineStr">
        <is>
          <t>A75</t>
        </is>
      </c>
      <c r="F35" t="inlineStr">
        <is>
          <t>Good</t>
        </is>
      </c>
      <c r="G35" t="n">
        <v>1</v>
      </c>
    </row>
    <row r="36">
      <c r="A36" t="n">
        <v>35</v>
      </c>
      <c r="B36" t="n">
        <v>1474</v>
      </c>
      <c r="C36" t="n">
        <v>33</v>
      </c>
      <c r="D36" t="inlineStr">
        <is>
          <t>A32</t>
        </is>
      </c>
      <c r="E36" t="inlineStr">
        <is>
          <t>A72</t>
        </is>
      </c>
      <c r="F36" t="inlineStr">
        <is>
          <t>Good</t>
        </is>
      </c>
      <c r="G36" t="n">
        <v>1</v>
      </c>
    </row>
    <row r="37">
      <c r="A37" t="n">
        <v>36</v>
      </c>
      <c r="B37" t="n">
        <v>4746</v>
      </c>
      <c r="C37" t="n">
        <v>25</v>
      </c>
      <c r="D37" t="inlineStr">
        <is>
          <t>A34</t>
        </is>
      </c>
      <c r="E37" t="inlineStr">
        <is>
          <t>A72</t>
        </is>
      </c>
      <c r="F37" t="inlineStr">
        <is>
          <t>Bad</t>
        </is>
      </c>
      <c r="G37" t="n">
        <v>0</v>
      </c>
    </row>
    <row r="38">
      <c r="A38" t="n">
        <v>37</v>
      </c>
      <c r="B38" t="n">
        <v>6110</v>
      </c>
      <c r="C38" t="n">
        <v>31</v>
      </c>
      <c r="D38" t="inlineStr">
        <is>
          <t>A34</t>
        </is>
      </c>
      <c r="E38" t="inlineStr">
        <is>
          <t>A73</t>
        </is>
      </c>
      <c r="F38" t="inlineStr">
        <is>
          <t>Good</t>
        </is>
      </c>
      <c r="G38" t="n">
        <v>1</v>
      </c>
    </row>
    <row r="39">
      <c r="A39" t="n">
        <v>38</v>
      </c>
      <c r="B39" t="n">
        <v>2100</v>
      </c>
      <c r="C39" t="n">
        <v>37</v>
      </c>
      <c r="D39" t="inlineStr">
        <is>
          <t>A32</t>
        </is>
      </c>
      <c r="E39" t="inlineStr">
        <is>
          <t>A73</t>
        </is>
      </c>
      <c r="F39" t="inlineStr">
        <is>
          <t>Bad</t>
        </is>
      </c>
      <c r="G39" t="n">
        <v>0</v>
      </c>
    </row>
    <row r="40">
      <c r="A40" t="n">
        <v>39</v>
      </c>
      <c r="B40" t="n">
        <v>1225</v>
      </c>
      <c r="C40" t="n">
        <v>37</v>
      </c>
      <c r="D40" t="inlineStr">
        <is>
          <t>A32</t>
        </is>
      </c>
      <c r="E40" t="inlineStr">
        <is>
          <t>A73</t>
        </is>
      </c>
      <c r="F40" t="inlineStr">
        <is>
          <t>Good</t>
        </is>
      </c>
      <c r="G40" t="n">
        <v>1</v>
      </c>
    </row>
    <row r="41">
      <c r="A41" t="n">
        <v>40</v>
      </c>
      <c r="B41" t="n">
        <v>458</v>
      </c>
      <c r="C41" t="n">
        <v>24</v>
      </c>
      <c r="D41" t="inlineStr">
        <is>
          <t>A32</t>
        </is>
      </c>
      <c r="E41" t="inlineStr">
        <is>
          <t>A73</t>
        </is>
      </c>
      <c r="F41" t="inlineStr">
        <is>
          <t>Good</t>
        </is>
      </c>
      <c r="G41" t="n">
        <v>1</v>
      </c>
    </row>
    <row r="42">
      <c r="A42" t="n">
        <v>41</v>
      </c>
      <c r="B42" t="n">
        <v>2333</v>
      </c>
      <c r="C42" t="n">
        <v>30</v>
      </c>
      <c r="D42" t="inlineStr">
        <is>
          <t>A32</t>
        </is>
      </c>
      <c r="E42" t="inlineStr">
        <is>
          <t>A75</t>
        </is>
      </c>
      <c r="F42" t="inlineStr">
        <is>
          <t>Good</t>
        </is>
      </c>
      <c r="G42" t="n">
        <v>1</v>
      </c>
    </row>
    <row r="43">
      <c r="A43" t="n">
        <v>42</v>
      </c>
      <c r="B43" t="n">
        <v>1158</v>
      </c>
      <c r="C43" t="n">
        <v>26</v>
      </c>
      <c r="D43" t="inlineStr">
        <is>
          <t>A32</t>
        </is>
      </c>
      <c r="E43" t="inlineStr">
        <is>
          <t>A73</t>
        </is>
      </c>
      <c r="F43" t="inlineStr">
        <is>
          <t>Good</t>
        </is>
      </c>
      <c r="G43" t="n">
        <v>1</v>
      </c>
    </row>
    <row r="44">
      <c r="A44" t="n">
        <v>43</v>
      </c>
      <c r="B44" t="n">
        <v>6204</v>
      </c>
      <c r="C44" t="n">
        <v>44</v>
      </c>
      <c r="D44" t="inlineStr">
        <is>
          <t>A33</t>
        </is>
      </c>
      <c r="E44" t="inlineStr">
        <is>
          <t>A73</t>
        </is>
      </c>
      <c r="F44" t="inlineStr">
        <is>
          <t>Good</t>
        </is>
      </c>
      <c r="G44" t="n">
        <v>1</v>
      </c>
    </row>
    <row r="45">
      <c r="A45" t="n">
        <v>44</v>
      </c>
      <c r="B45" t="n">
        <v>6187</v>
      </c>
      <c r="C45" t="n">
        <v>24</v>
      </c>
      <c r="D45" t="inlineStr">
        <is>
          <t>A34</t>
        </is>
      </c>
      <c r="E45" t="inlineStr">
        <is>
          <t>A74</t>
        </is>
      </c>
      <c r="F45" t="inlineStr">
        <is>
          <t>Good</t>
        </is>
      </c>
      <c r="G45" t="n">
        <v>1</v>
      </c>
    </row>
    <row r="46">
      <c r="A46" t="n">
        <v>45</v>
      </c>
      <c r="B46" t="n">
        <v>6143</v>
      </c>
      <c r="C46" t="n">
        <v>58</v>
      </c>
      <c r="D46" t="inlineStr">
        <is>
          <t>A34</t>
        </is>
      </c>
      <c r="E46" t="inlineStr">
        <is>
          <t>A75</t>
        </is>
      </c>
      <c r="F46" t="inlineStr">
        <is>
          <t>Bad</t>
        </is>
      </c>
      <c r="G46" t="n">
        <v>0</v>
      </c>
    </row>
    <row r="47">
      <c r="A47" t="n">
        <v>46</v>
      </c>
      <c r="B47" t="n">
        <v>1393</v>
      </c>
      <c r="C47" t="n">
        <v>35</v>
      </c>
      <c r="D47" t="inlineStr">
        <is>
          <t>A34</t>
        </is>
      </c>
      <c r="E47" t="inlineStr">
        <is>
          <t>A72</t>
        </is>
      </c>
      <c r="F47" t="inlineStr">
        <is>
          <t>Good</t>
        </is>
      </c>
      <c r="G47" t="n">
        <v>1</v>
      </c>
    </row>
    <row r="48">
      <c r="A48" t="n">
        <v>47</v>
      </c>
      <c r="B48" t="n">
        <v>2299</v>
      </c>
      <c r="C48" t="n">
        <v>39</v>
      </c>
      <c r="D48" t="inlineStr">
        <is>
          <t>A32</t>
        </is>
      </c>
      <c r="E48" t="inlineStr">
        <is>
          <t>A75</t>
        </is>
      </c>
      <c r="F48" t="inlineStr">
        <is>
          <t>Good</t>
        </is>
      </c>
      <c r="G48" t="n">
        <v>1</v>
      </c>
    </row>
    <row r="49">
      <c r="A49" t="n">
        <v>48</v>
      </c>
      <c r="B49" t="n">
        <v>1352</v>
      </c>
      <c r="C49" t="n">
        <v>23</v>
      </c>
      <c r="D49" t="inlineStr">
        <is>
          <t>A32</t>
        </is>
      </c>
      <c r="E49" t="inlineStr">
        <is>
          <t>A71</t>
        </is>
      </c>
      <c r="F49" t="inlineStr">
        <is>
          <t>Good</t>
        </is>
      </c>
      <c r="G49" t="n">
        <v>1</v>
      </c>
    </row>
    <row r="50">
      <c r="A50" t="n">
        <v>49</v>
      </c>
      <c r="B50" t="n">
        <v>7228</v>
      </c>
      <c r="C50" t="n">
        <v>39</v>
      </c>
      <c r="D50" t="inlineStr">
        <is>
          <t>A34</t>
        </is>
      </c>
      <c r="E50" t="inlineStr">
        <is>
          <t>A73</t>
        </is>
      </c>
      <c r="F50" t="inlineStr">
        <is>
          <t>Good</t>
        </is>
      </c>
      <c r="G50" t="n">
        <v>1</v>
      </c>
    </row>
    <row r="51">
      <c r="A51" t="n">
        <v>50</v>
      </c>
      <c r="B51" t="n">
        <v>2073</v>
      </c>
      <c r="C51" t="n">
        <v>28</v>
      </c>
      <c r="D51" t="inlineStr">
        <is>
          <t>A32</t>
        </is>
      </c>
      <c r="E51" t="inlineStr">
        <is>
          <t>A73</t>
        </is>
      </c>
      <c r="F51" t="inlineStr">
        <is>
          <t>Good</t>
        </is>
      </c>
      <c r="G51" t="n">
        <v>1</v>
      </c>
    </row>
    <row r="52">
      <c r="A52" t="n">
        <v>51</v>
      </c>
      <c r="B52" t="n">
        <v>2333</v>
      </c>
      <c r="C52" t="n">
        <v>29</v>
      </c>
      <c r="D52" t="inlineStr">
        <is>
          <t>A33</t>
        </is>
      </c>
      <c r="E52" t="inlineStr">
        <is>
          <t>A72</t>
        </is>
      </c>
      <c r="F52" t="inlineStr">
        <is>
          <t>Good</t>
        </is>
      </c>
      <c r="G52" t="n">
        <v>1</v>
      </c>
    </row>
    <row r="53">
      <c r="A53" t="n">
        <v>52</v>
      </c>
      <c r="B53" t="n">
        <v>5965</v>
      </c>
      <c r="C53" t="n">
        <v>30</v>
      </c>
      <c r="D53" t="inlineStr">
        <is>
          <t>A33</t>
        </is>
      </c>
      <c r="E53" t="inlineStr">
        <is>
          <t>A75</t>
        </is>
      </c>
      <c r="F53" t="inlineStr">
        <is>
          <t>Good</t>
        </is>
      </c>
      <c r="G53" t="n">
        <v>1</v>
      </c>
    </row>
    <row r="54">
      <c r="A54" t="n">
        <v>53</v>
      </c>
      <c r="B54" t="n">
        <v>1262</v>
      </c>
      <c r="C54" t="n">
        <v>25</v>
      </c>
      <c r="D54" t="inlineStr">
        <is>
          <t>A32</t>
        </is>
      </c>
      <c r="E54" t="inlineStr">
        <is>
          <t>A73</t>
        </is>
      </c>
      <c r="F54" t="inlineStr">
        <is>
          <t>Good</t>
        </is>
      </c>
      <c r="G54" t="n">
        <v>1</v>
      </c>
    </row>
    <row r="55">
      <c r="A55" t="n">
        <v>54</v>
      </c>
      <c r="B55" t="n">
        <v>3378</v>
      </c>
      <c r="C55" t="n">
        <v>31</v>
      </c>
      <c r="D55" t="inlineStr">
        <is>
          <t>A32</t>
        </is>
      </c>
      <c r="E55" t="inlineStr">
        <is>
          <t>A73</t>
        </is>
      </c>
      <c r="F55" t="inlineStr">
        <is>
          <t>Good</t>
        </is>
      </c>
      <c r="G55" t="n">
        <v>1</v>
      </c>
    </row>
    <row r="56">
      <c r="A56" t="n">
        <v>55</v>
      </c>
      <c r="B56" t="n">
        <v>2225</v>
      </c>
      <c r="C56" t="n">
        <v>57</v>
      </c>
      <c r="D56" t="inlineStr">
        <is>
          <t>A33</t>
        </is>
      </c>
      <c r="E56" t="inlineStr">
        <is>
          <t>A75</t>
        </is>
      </c>
      <c r="F56" t="inlineStr">
        <is>
          <t>Bad</t>
        </is>
      </c>
      <c r="G56" t="n">
        <v>0</v>
      </c>
    </row>
    <row r="57">
      <c r="A57" t="n">
        <v>56</v>
      </c>
      <c r="B57" t="n">
        <v>783</v>
      </c>
      <c r="C57" t="n">
        <v>26</v>
      </c>
      <c r="D57" t="inlineStr">
        <is>
          <t>A31</t>
        </is>
      </c>
      <c r="E57" t="inlineStr">
        <is>
          <t>A73</t>
        </is>
      </c>
      <c r="F57" t="inlineStr">
        <is>
          <t>Good</t>
        </is>
      </c>
      <c r="G57" t="n">
        <v>1</v>
      </c>
    </row>
    <row r="58">
      <c r="A58" t="n">
        <v>57</v>
      </c>
      <c r="B58" t="n">
        <v>6468</v>
      </c>
      <c r="C58" t="n">
        <v>52</v>
      </c>
      <c r="D58" t="inlineStr">
        <is>
          <t>A32</t>
        </is>
      </c>
      <c r="E58" t="inlineStr">
        <is>
          <t>A71</t>
        </is>
      </c>
      <c r="F58" t="inlineStr">
        <is>
          <t>Bad</t>
        </is>
      </c>
      <c r="G58" t="n">
        <v>0</v>
      </c>
    </row>
    <row r="59">
      <c r="A59" t="n">
        <v>58</v>
      </c>
      <c r="B59" t="n">
        <v>9566</v>
      </c>
      <c r="C59" t="n">
        <v>31</v>
      </c>
      <c r="D59" t="inlineStr">
        <is>
          <t>A34</t>
        </is>
      </c>
      <c r="E59" t="inlineStr">
        <is>
          <t>A73</t>
        </is>
      </c>
      <c r="F59" t="inlineStr">
        <is>
          <t>Good</t>
        </is>
      </c>
      <c r="G59" t="n">
        <v>1</v>
      </c>
    </row>
    <row r="60">
      <c r="A60" t="n">
        <v>59</v>
      </c>
      <c r="B60" t="n">
        <v>1961</v>
      </c>
      <c r="C60" t="n">
        <v>23</v>
      </c>
      <c r="D60" t="inlineStr">
        <is>
          <t>A32</t>
        </is>
      </c>
      <c r="E60" t="inlineStr">
        <is>
          <t>A75</t>
        </is>
      </c>
      <c r="F60" t="inlineStr">
        <is>
          <t>Good</t>
        </is>
      </c>
      <c r="G60" t="n">
        <v>1</v>
      </c>
    </row>
    <row r="61">
      <c r="A61" t="n">
        <v>60</v>
      </c>
      <c r="B61" t="n">
        <v>6229</v>
      </c>
      <c r="C61" t="n">
        <v>23</v>
      </c>
      <c r="D61" t="inlineStr">
        <is>
          <t>A34</t>
        </is>
      </c>
      <c r="E61" t="inlineStr">
        <is>
          <t>A72</t>
        </is>
      </c>
      <c r="F61" t="inlineStr">
        <is>
          <t>Bad</t>
        </is>
      </c>
      <c r="G61" t="n">
        <v>0</v>
      </c>
    </row>
    <row r="62">
      <c r="A62" t="n">
        <v>61</v>
      </c>
      <c r="B62" t="n">
        <v>1391</v>
      </c>
      <c r="C62" t="n">
        <v>27</v>
      </c>
      <c r="D62" t="inlineStr">
        <is>
          <t>A32</t>
        </is>
      </c>
      <c r="E62" t="inlineStr">
        <is>
          <t>A73</t>
        </is>
      </c>
      <c r="F62" t="inlineStr">
        <is>
          <t>Good</t>
        </is>
      </c>
      <c r="G62" t="n">
        <v>1</v>
      </c>
    </row>
    <row r="63">
      <c r="A63" t="n">
        <v>62</v>
      </c>
      <c r="B63" t="n">
        <v>1537</v>
      </c>
      <c r="C63" t="n">
        <v>50</v>
      </c>
      <c r="D63" t="inlineStr">
        <is>
          <t>A34</t>
        </is>
      </c>
      <c r="E63" t="inlineStr">
        <is>
          <t>A75</t>
        </is>
      </c>
      <c r="F63" t="inlineStr">
        <is>
          <t>Good</t>
        </is>
      </c>
      <c r="G63" t="n">
        <v>1</v>
      </c>
    </row>
    <row r="64">
      <c r="A64" t="n">
        <v>63</v>
      </c>
      <c r="B64" t="n">
        <v>1953</v>
      </c>
      <c r="C64" t="n">
        <v>61</v>
      </c>
      <c r="D64" t="inlineStr">
        <is>
          <t>A30</t>
        </is>
      </c>
      <c r="E64" t="inlineStr">
        <is>
          <t>A75</t>
        </is>
      </c>
      <c r="F64" t="inlineStr">
        <is>
          <t>Bad</t>
        </is>
      </c>
      <c r="G64" t="n">
        <v>0</v>
      </c>
    </row>
    <row r="65">
      <c r="A65" t="n">
        <v>64</v>
      </c>
      <c r="B65" t="n">
        <v>14421</v>
      </c>
      <c r="C65" t="n">
        <v>25</v>
      </c>
      <c r="D65" t="inlineStr">
        <is>
          <t>A30</t>
        </is>
      </c>
      <c r="E65" t="inlineStr">
        <is>
          <t>A73</t>
        </is>
      </c>
      <c r="F65" t="inlineStr">
        <is>
          <t>Bad</t>
        </is>
      </c>
      <c r="G65" t="n">
        <v>0</v>
      </c>
    </row>
    <row r="66">
      <c r="A66" t="n">
        <v>65</v>
      </c>
      <c r="B66" t="n">
        <v>3181</v>
      </c>
      <c r="C66" t="n">
        <v>26</v>
      </c>
      <c r="D66" t="inlineStr">
        <is>
          <t>A32</t>
        </is>
      </c>
      <c r="E66" t="inlineStr">
        <is>
          <t>A72</t>
        </is>
      </c>
      <c r="F66" t="inlineStr">
        <is>
          <t>Good</t>
        </is>
      </c>
      <c r="G66" t="n">
        <v>1</v>
      </c>
    </row>
    <row r="67">
      <c r="A67" t="n">
        <v>66</v>
      </c>
      <c r="B67" t="n">
        <v>5190</v>
      </c>
      <c r="C67" t="n">
        <v>48</v>
      </c>
      <c r="D67" t="inlineStr">
        <is>
          <t>A32</t>
        </is>
      </c>
      <c r="E67" t="inlineStr">
        <is>
          <t>A75</t>
        </is>
      </c>
      <c r="F67" t="inlineStr">
        <is>
          <t>Good</t>
        </is>
      </c>
      <c r="G67" t="n">
        <v>1</v>
      </c>
    </row>
    <row r="68">
      <c r="A68" t="n">
        <v>67</v>
      </c>
      <c r="B68" t="n">
        <v>2171</v>
      </c>
      <c r="C68" t="n">
        <v>29</v>
      </c>
      <c r="D68" t="inlineStr">
        <is>
          <t>A32</t>
        </is>
      </c>
      <c r="E68" t="inlineStr">
        <is>
          <t>A72</t>
        </is>
      </c>
      <c r="F68" t="inlineStr">
        <is>
          <t>Good</t>
        </is>
      </c>
      <c r="G68" t="n">
        <v>1</v>
      </c>
    </row>
    <row r="69">
      <c r="A69" t="n">
        <v>68</v>
      </c>
      <c r="B69" t="n">
        <v>1007</v>
      </c>
      <c r="C69" t="n">
        <v>22</v>
      </c>
      <c r="D69" t="inlineStr">
        <is>
          <t>A32</t>
        </is>
      </c>
      <c r="E69" t="inlineStr">
        <is>
          <t>A73</t>
        </is>
      </c>
      <c r="F69" t="inlineStr">
        <is>
          <t>Good</t>
        </is>
      </c>
      <c r="G69" t="n">
        <v>1</v>
      </c>
    </row>
    <row r="70">
      <c r="A70" t="n">
        <v>69</v>
      </c>
      <c r="B70" t="n">
        <v>1819</v>
      </c>
      <c r="C70" t="n">
        <v>37</v>
      </c>
      <c r="D70" t="inlineStr">
        <is>
          <t>A32</t>
        </is>
      </c>
      <c r="E70" t="inlineStr">
        <is>
          <t>A73</t>
        </is>
      </c>
      <c r="F70" t="inlineStr">
        <is>
          <t>Bad</t>
        </is>
      </c>
      <c r="G70" t="n">
        <v>0</v>
      </c>
    </row>
    <row r="71">
      <c r="A71" t="n">
        <v>70</v>
      </c>
      <c r="B71" t="n">
        <v>2394</v>
      </c>
      <c r="C71" t="n">
        <v>25</v>
      </c>
      <c r="D71" t="inlineStr">
        <is>
          <t>A32</t>
        </is>
      </c>
      <c r="E71" t="inlineStr">
        <is>
          <t>A73</t>
        </is>
      </c>
      <c r="F71" t="inlineStr">
        <is>
          <t>Good</t>
        </is>
      </c>
      <c r="G71" t="n">
        <v>1</v>
      </c>
    </row>
    <row r="72">
      <c r="A72" t="n">
        <v>71</v>
      </c>
      <c r="B72" t="n">
        <v>8133</v>
      </c>
      <c r="C72" t="n">
        <v>30</v>
      </c>
      <c r="D72" t="inlineStr">
        <is>
          <t>A32</t>
        </is>
      </c>
      <c r="E72" t="inlineStr">
        <is>
          <t>A73</t>
        </is>
      </c>
      <c r="F72" t="inlineStr">
        <is>
          <t>Good</t>
        </is>
      </c>
      <c r="G72" t="n">
        <v>1</v>
      </c>
    </row>
    <row r="73">
      <c r="A73" t="n">
        <v>72</v>
      </c>
      <c r="B73" t="n">
        <v>730</v>
      </c>
      <c r="C73" t="n">
        <v>46</v>
      </c>
      <c r="D73" t="inlineStr">
        <is>
          <t>A34</t>
        </is>
      </c>
      <c r="E73" t="inlineStr">
        <is>
          <t>A75</t>
        </is>
      </c>
      <c r="F73" t="inlineStr">
        <is>
          <t>Good</t>
        </is>
      </c>
      <c r="G73" t="n">
        <v>1</v>
      </c>
    </row>
    <row r="74">
      <c r="A74" t="n">
        <v>73</v>
      </c>
      <c r="B74" t="n">
        <v>1164</v>
      </c>
      <c r="C74" t="n">
        <v>51</v>
      </c>
      <c r="D74" t="inlineStr">
        <is>
          <t>A34</t>
        </is>
      </c>
      <c r="E74" t="inlineStr">
        <is>
          <t>A75</t>
        </is>
      </c>
      <c r="F74" t="inlineStr">
        <is>
          <t>Good</t>
        </is>
      </c>
      <c r="G74" t="n">
        <v>1</v>
      </c>
    </row>
    <row r="75">
      <c r="A75" t="n">
        <v>74</v>
      </c>
      <c r="B75" t="n">
        <v>5954</v>
      </c>
      <c r="C75" t="n">
        <v>41</v>
      </c>
      <c r="D75" t="inlineStr">
        <is>
          <t>A34</t>
        </is>
      </c>
      <c r="E75" t="inlineStr">
        <is>
          <t>A74</t>
        </is>
      </c>
      <c r="F75" t="inlineStr">
        <is>
          <t>Good</t>
        </is>
      </c>
      <c r="G75" t="n">
        <v>1</v>
      </c>
    </row>
    <row r="76">
      <c r="A76" t="n">
        <v>75</v>
      </c>
      <c r="B76" t="n">
        <v>1977</v>
      </c>
      <c r="C76" t="n">
        <v>40</v>
      </c>
      <c r="D76" t="inlineStr">
        <is>
          <t>A32</t>
        </is>
      </c>
      <c r="E76" t="inlineStr">
        <is>
          <t>A75</t>
        </is>
      </c>
      <c r="F76" t="inlineStr">
        <is>
          <t>Bad</t>
        </is>
      </c>
      <c r="G76" t="n">
        <v>0</v>
      </c>
    </row>
    <row r="77">
      <c r="A77" t="n">
        <v>76</v>
      </c>
      <c r="B77" t="n">
        <v>1526</v>
      </c>
      <c r="C77" t="n">
        <v>66</v>
      </c>
      <c r="D77" t="inlineStr">
        <is>
          <t>A34</t>
        </is>
      </c>
      <c r="E77" t="inlineStr">
        <is>
          <t>A75</t>
        </is>
      </c>
      <c r="F77" t="inlineStr">
        <is>
          <t>Good</t>
        </is>
      </c>
      <c r="G77" t="n">
        <v>1</v>
      </c>
    </row>
    <row r="78">
      <c r="A78" t="n">
        <v>77</v>
      </c>
      <c r="B78" t="n">
        <v>3965</v>
      </c>
      <c r="C78" t="n">
        <v>34</v>
      </c>
      <c r="D78" t="inlineStr">
        <is>
          <t>A32</t>
        </is>
      </c>
      <c r="E78" t="inlineStr">
        <is>
          <t>A72</t>
        </is>
      </c>
      <c r="F78" t="inlineStr">
        <is>
          <t>Bad</t>
        </is>
      </c>
      <c r="G78" t="n">
        <v>0</v>
      </c>
    </row>
    <row r="79">
      <c r="A79" t="n">
        <v>78</v>
      </c>
      <c r="B79" t="n">
        <v>4771</v>
      </c>
      <c r="C79" t="n">
        <v>51</v>
      </c>
      <c r="D79" t="inlineStr">
        <is>
          <t>A33</t>
        </is>
      </c>
      <c r="E79" t="inlineStr">
        <is>
          <t>A74</t>
        </is>
      </c>
      <c r="F79" t="inlineStr">
        <is>
          <t>Good</t>
        </is>
      </c>
      <c r="G79" t="n">
        <v>1</v>
      </c>
    </row>
    <row r="80">
      <c r="A80" t="n">
        <v>79</v>
      </c>
      <c r="B80" t="n">
        <v>9436</v>
      </c>
      <c r="C80" t="n">
        <v>39</v>
      </c>
      <c r="D80" t="inlineStr">
        <is>
          <t>A30</t>
        </is>
      </c>
      <c r="E80" t="inlineStr">
        <is>
          <t>A73</t>
        </is>
      </c>
      <c r="F80" t="inlineStr">
        <is>
          <t>Good</t>
        </is>
      </c>
      <c r="G80" t="n">
        <v>1</v>
      </c>
    </row>
    <row r="81">
      <c r="A81" t="n">
        <v>80</v>
      </c>
      <c r="B81" t="n">
        <v>3832</v>
      </c>
      <c r="C81" t="n">
        <v>22</v>
      </c>
      <c r="D81" t="inlineStr">
        <is>
          <t>A32</t>
        </is>
      </c>
      <c r="E81" t="inlineStr">
        <is>
          <t>A72</t>
        </is>
      </c>
      <c r="F81" t="inlineStr">
        <is>
          <t>Good</t>
        </is>
      </c>
      <c r="G81" t="n">
        <v>1</v>
      </c>
    </row>
    <row r="82">
      <c r="A82" t="n">
        <v>81</v>
      </c>
      <c r="B82" t="n">
        <v>5943</v>
      </c>
      <c r="C82" t="n">
        <v>44</v>
      </c>
      <c r="D82" t="inlineStr">
        <is>
          <t>A32</t>
        </is>
      </c>
      <c r="E82" t="inlineStr">
        <is>
          <t>A72</t>
        </is>
      </c>
      <c r="F82" t="inlineStr">
        <is>
          <t>Bad</t>
        </is>
      </c>
      <c r="G82" t="n">
        <v>0</v>
      </c>
    </row>
    <row r="83">
      <c r="A83" t="n">
        <v>82</v>
      </c>
      <c r="B83" t="n">
        <v>1213</v>
      </c>
      <c r="C83" t="n">
        <v>47</v>
      </c>
      <c r="D83" t="inlineStr">
        <is>
          <t>A32</t>
        </is>
      </c>
      <c r="E83" t="inlineStr">
        <is>
          <t>A75</t>
        </is>
      </c>
      <c r="F83" t="inlineStr">
        <is>
          <t>Good</t>
        </is>
      </c>
      <c r="G83" t="n">
        <v>1</v>
      </c>
    </row>
    <row r="84">
      <c r="A84" t="n">
        <v>83</v>
      </c>
      <c r="B84" t="n">
        <v>1568</v>
      </c>
      <c r="C84" t="n">
        <v>24</v>
      </c>
      <c r="D84" t="inlineStr">
        <is>
          <t>A32</t>
        </is>
      </c>
      <c r="E84" t="inlineStr">
        <is>
          <t>A73</t>
        </is>
      </c>
      <c r="F84" t="inlineStr">
        <is>
          <t>Good</t>
        </is>
      </c>
      <c r="G84" t="n">
        <v>1</v>
      </c>
    </row>
    <row r="85">
      <c r="A85" t="n">
        <v>84</v>
      </c>
      <c r="B85" t="n">
        <v>1755</v>
      </c>
      <c r="C85" t="n">
        <v>58</v>
      </c>
      <c r="D85" t="inlineStr">
        <is>
          <t>A32</t>
        </is>
      </c>
      <c r="E85" t="inlineStr">
        <is>
          <t>A75</t>
        </is>
      </c>
      <c r="F85" t="inlineStr">
        <is>
          <t>Good</t>
        </is>
      </c>
      <c r="G85" t="n">
        <v>1</v>
      </c>
    </row>
    <row r="86">
      <c r="A86" t="n">
        <v>85</v>
      </c>
      <c r="B86" t="n">
        <v>2315</v>
      </c>
      <c r="C86" t="n">
        <v>52</v>
      </c>
      <c r="D86" t="inlineStr">
        <is>
          <t>A32</t>
        </is>
      </c>
      <c r="E86" t="inlineStr">
        <is>
          <t>A75</t>
        </is>
      </c>
      <c r="F86" t="inlineStr">
        <is>
          <t>Good</t>
        </is>
      </c>
      <c r="G86" t="n">
        <v>1</v>
      </c>
    </row>
    <row r="87">
      <c r="A87" t="n">
        <v>86</v>
      </c>
      <c r="B87" t="n">
        <v>1412</v>
      </c>
      <c r="C87" t="n">
        <v>29</v>
      </c>
      <c r="D87" t="inlineStr">
        <is>
          <t>A34</t>
        </is>
      </c>
      <c r="E87" t="inlineStr">
        <is>
          <t>A73</t>
        </is>
      </c>
      <c r="F87" t="inlineStr">
        <is>
          <t>Good</t>
        </is>
      </c>
      <c r="G87" t="n">
        <v>1</v>
      </c>
    </row>
    <row r="88">
      <c r="A88" t="n">
        <v>87</v>
      </c>
      <c r="B88" t="n">
        <v>1295</v>
      </c>
      <c r="C88" t="n">
        <v>27</v>
      </c>
      <c r="D88" t="inlineStr">
        <is>
          <t>A34</t>
        </is>
      </c>
      <c r="E88" t="inlineStr">
        <is>
          <t>A72</t>
        </is>
      </c>
      <c r="F88" t="inlineStr">
        <is>
          <t>Good</t>
        </is>
      </c>
      <c r="G88" t="n">
        <v>1</v>
      </c>
    </row>
    <row r="89">
      <c r="A89" t="n">
        <v>88</v>
      </c>
      <c r="B89" t="n">
        <v>12612</v>
      </c>
      <c r="C89" t="n">
        <v>47</v>
      </c>
      <c r="D89" t="inlineStr">
        <is>
          <t>A32</t>
        </is>
      </c>
      <c r="E89" t="inlineStr">
        <is>
          <t>A73</t>
        </is>
      </c>
      <c r="F89" t="inlineStr">
        <is>
          <t>Bad</t>
        </is>
      </c>
      <c r="G89" t="n">
        <v>0</v>
      </c>
    </row>
    <row r="90">
      <c r="A90" t="n">
        <v>89</v>
      </c>
      <c r="B90" t="n">
        <v>2249</v>
      </c>
      <c r="C90" t="n">
        <v>30</v>
      </c>
      <c r="D90" t="inlineStr">
        <is>
          <t>A32</t>
        </is>
      </c>
      <c r="E90" t="inlineStr">
        <is>
          <t>A74</t>
        </is>
      </c>
      <c r="F90" t="inlineStr">
        <is>
          <t>Good</t>
        </is>
      </c>
      <c r="G90" t="n">
        <v>1</v>
      </c>
    </row>
    <row r="91">
      <c r="A91" t="n">
        <v>90</v>
      </c>
      <c r="B91" t="n">
        <v>1108</v>
      </c>
      <c r="C91" t="n">
        <v>28</v>
      </c>
      <c r="D91" t="inlineStr">
        <is>
          <t>A30</t>
        </is>
      </c>
      <c r="E91" t="inlineStr">
        <is>
          <t>A74</t>
        </is>
      </c>
      <c r="F91" t="inlineStr">
        <is>
          <t>Bad</t>
        </is>
      </c>
      <c r="G91" t="n">
        <v>0</v>
      </c>
    </row>
    <row r="92">
      <c r="A92" t="n">
        <v>91</v>
      </c>
      <c r="B92" t="n">
        <v>618</v>
      </c>
      <c r="C92" t="n">
        <v>56</v>
      </c>
      <c r="D92" t="inlineStr">
        <is>
          <t>A34</t>
        </is>
      </c>
      <c r="E92" t="inlineStr">
        <is>
          <t>A75</t>
        </is>
      </c>
      <c r="F92" t="inlineStr">
        <is>
          <t>Good</t>
        </is>
      </c>
      <c r="G92" t="n">
        <v>1</v>
      </c>
    </row>
    <row r="93">
      <c r="A93" t="n">
        <v>92</v>
      </c>
      <c r="B93" t="n">
        <v>1409</v>
      </c>
      <c r="C93" t="n">
        <v>54</v>
      </c>
      <c r="D93" t="inlineStr">
        <is>
          <t>A34</t>
        </is>
      </c>
      <c r="E93" t="inlineStr">
        <is>
          <t>A75</t>
        </is>
      </c>
      <c r="F93" t="inlineStr">
        <is>
          <t>Good</t>
        </is>
      </c>
      <c r="G93" t="n">
        <v>1</v>
      </c>
    </row>
    <row r="94">
      <c r="A94" t="n">
        <v>93</v>
      </c>
      <c r="B94" t="n">
        <v>797</v>
      </c>
      <c r="C94" t="n">
        <v>33</v>
      </c>
      <c r="D94" t="inlineStr">
        <is>
          <t>A34</t>
        </is>
      </c>
      <c r="E94" t="inlineStr">
        <is>
          <t>A75</t>
        </is>
      </c>
      <c r="F94" t="inlineStr">
        <is>
          <t>Bad</t>
        </is>
      </c>
      <c r="G94" t="n">
        <v>0</v>
      </c>
    </row>
    <row r="95">
      <c r="A95" t="n">
        <v>94</v>
      </c>
      <c r="B95" t="n">
        <v>3617</v>
      </c>
      <c r="C95" t="n">
        <v>20</v>
      </c>
      <c r="D95" t="inlineStr">
        <is>
          <t>A34</t>
        </is>
      </c>
      <c r="E95" t="inlineStr">
        <is>
          <t>A75</t>
        </is>
      </c>
      <c r="F95" t="inlineStr">
        <is>
          <t>Good</t>
        </is>
      </c>
      <c r="G95" t="n">
        <v>1</v>
      </c>
    </row>
    <row r="96">
      <c r="A96" t="n">
        <v>95</v>
      </c>
      <c r="B96" t="n">
        <v>1318</v>
      </c>
      <c r="C96" t="n">
        <v>54</v>
      </c>
      <c r="D96" t="inlineStr">
        <is>
          <t>A32</t>
        </is>
      </c>
      <c r="E96" t="inlineStr">
        <is>
          <t>A75</t>
        </is>
      </c>
      <c r="F96" t="inlineStr">
        <is>
          <t>Good</t>
        </is>
      </c>
      <c r="G96" t="n">
        <v>1</v>
      </c>
    </row>
    <row r="97">
      <c r="A97" t="n">
        <v>96</v>
      </c>
      <c r="B97" t="n">
        <v>15945</v>
      </c>
      <c r="C97" t="n">
        <v>58</v>
      </c>
      <c r="D97" t="inlineStr">
        <is>
          <t>A30</t>
        </is>
      </c>
      <c r="E97" t="inlineStr">
        <is>
          <t>A72</t>
        </is>
      </c>
      <c r="F97" t="inlineStr">
        <is>
          <t>Bad</t>
        </is>
      </c>
      <c r="G97" t="n">
        <v>0</v>
      </c>
    </row>
    <row r="98">
      <c r="A98" t="n">
        <v>97</v>
      </c>
      <c r="B98" t="n">
        <v>2012</v>
      </c>
      <c r="C98" t="n">
        <v>61</v>
      </c>
      <c r="D98" t="inlineStr">
        <is>
          <t>A34</t>
        </is>
      </c>
      <c r="E98" t="inlineStr">
        <is>
          <t>A74</t>
        </is>
      </c>
      <c r="F98" t="inlineStr">
        <is>
          <t>Good</t>
        </is>
      </c>
      <c r="G98" t="n">
        <v>1</v>
      </c>
    </row>
    <row r="99">
      <c r="A99" t="n">
        <v>98</v>
      </c>
      <c r="B99" t="n">
        <v>2622</v>
      </c>
      <c r="C99" t="n">
        <v>34</v>
      </c>
      <c r="D99" t="inlineStr">
        <is>
          <t>A32</t>
        </is>
      </c>
      <c r="E99" t="inlineStr">
        <is>
          <t>A73</t>
        </is>
      </c>
      <c r="F99" t="inlineStr">
        <is>
          <t>Good</t>
        </is>
      </c>
      <c r="G99" t="n">
        <v>1</v>
      </c>
    </row>
    <row r="100">
      <c r="A100" t="n">
        <v>99</v>
      </c>
      <c r="B100" t="n">
        <v>2337</v>
      </c>
      <c r="C100" t="n">
        <v>36</v>
      </c>
      <c r="D100" t="inlineStr">
        <is>
          <t>A34</t>
        </is>
      </c>
      <c r="E100" t="inlineStr">
        <is>
          <t>A75</t>
        </is>
      </c>
      <c r="F100" t="inlineStr">
        <is>
          <t>Good</t>
        </is>
      </c>
      <c r="G100" t="n">
        <v>1</v>
      </c>
    </row>
    <row r="101">
      <c r="A101" t="n">
        <v>100</v>
      </c>
      <c r="B101" t="n">
        <v>7057</v>
      </c>
      <c r="C101" t="n">
        <v>36</v>
      </c>
      <c r="D101" t="inlineStr">
        <is>
          <t>A33</t>
        </is>
      </c>
      <c r="E101" t="inlineStr">
        <is>
          <t>A74</t>
        </is>
      </c>
      <c r="F101" t="inlineStr">
        <is>
          <t>Good</t>
        </is>
      </c>
      <c r="G101" t="n">
        <v>1</v>
      </c>
    </row>
    <row r="102">
      <c r="A102" t="n">
        <v>101</v>
      </c>
      <c r="B102" t="n">
        <v>1469</v>
      </c>
      <c r="C102" t="n">
        <v>41</v>
      </c>
      <c r="D102" t="inlineStr">
        <is>
          <t>A32</t>
        </is>
      </c>
      <c r="E102" t="inlineStr">
        <is>
          <t>A75</t>
        </is>
      </c>
      <c r="F102" t="inlineStr">
        <is>
          <t>Good</t>
        </is>
      </c>
      <c r="G102" t="n">
        <v>1</v>
      </c>
    </row>
    <row r="103">
      <c r="A103" t="n">
        <v>102</v>
      </c>
      <c r="B103" t="n">
        <v>2323</v>
      </c>
      <c r="C103" t="n">
        <v>24</v>
      </c>
      <c r="D103" t="inlineStr">
        <is>
          <t>A32</t>
        </is>
      </c>
      <c r="E103" t="inlineStr">
        <is>
          <t>A74</t>
        </is>
      </c>
      <c r="F103" t="inlineStr">
        <is>
          <t>Good</t>
        </is>
      </c>
      <c r="G103" t="n">
        <v>1</v>
      </c>
    </row>
    <row r="104">
      <c r="A104" t="n">
        <v>103</v>
      </c>
      <c r="B104" t="n">
        <v>932</v>
      </c>
      <c r="C104" t="n">
        <v>24</v>
      </c>
      <c r="D104" t="inlineStr">
        <is>
          <t>A33</t>
        </is>
      </c>
      <c r="E104" t="inlineStr">
        <is>
          <t>A73</t>
        </is>
      </c>
      <c r="F104" t="inlineStr">
        <is>
          <t>Good</t>
        </is>
      </c>
      <c r="G104" t="n">
        <v>1</v>
      </c>
    </row>
    <row r="105">
      <c r="A105" t="n">
        <v>104</v>
      </c>
      <c r="B105" t="n">
        <v>1919</v>
      </c>
      <c r="C105" t="n">
        <v>35</v>
      </c>
      <c r="D105" t="inlineStr">
        <is>
          <t>A34</t>
        </is>
      </c>
      <c r="E105" t="inlineStr">
        <is>
          <t>A74</t>
        </is>
      </c>
      <c r="F105" t="inlineStr">
        <is>
          <t>Good</t>
        </is>
      </c>
      <c r="G105" t="n">
        <v>1</v>
      </c>
    </row>
    <row r="106">
      <c r="A106" t="n">
        <v>105</v>
      </c>
      <c r="B106" t="n">
        <v>2445</v>
      </c>
      <c r="C106" t="n">
        <v>26</v>
      </c>
      <c r="D106" t="inlineStr">
        <is>
          <t>A32</t>
        </is>
      </c>
      <c r="E106" t="inlineStr">
        <is>
          <t>A72</t>
        </is>
      </c>
      <c r="F106" t="inlineStr">
        <is>
          <t>Good</t>
        </is>
      </c>
      <c r="G106" t="n">
        <v>1</v>
      </c>
    </row>
    <row r="107">
      <c r="A107" t="n">
        <v>106</v>
      </c>
      <c r="B107" t="n">
        <v>11938</v>
      </c>
      <c r="C107" t="n">
        <v>39</v>
      </c>
      <c r="D107" t="inlineStr">
        <is>
          <t>A34</t>
        </is>
      </c>
      <c r="E107" t="inlineStr">
        <is>
          <t>A73</t>
        </is>
      </c>
      <c r="F107" t="inlineStr">
        <is>
          <t>Bad</t>
        </is>
      </c>
      <c r="G107" t="n">
        <v>0</v>
      </c>
    </row>
    <row r="108">
      <c r="A108" t="n">
        <v>107</v>
      </c>
      <c r="B108" t="n">
        <v>6458</v>
      </c>
      <c r="C108" t="n">
        <v>39</v>
      </c>
      <c r="D108" t="inlineStr">
        <is>
          <t>A31</t>
        </is>
      </c>
      <c r="E108" t="inlineStr">
        <is>
          <t>A75</t>
        </is>
      </c>
      <c r="F108" t="inlineStr">
        <is>
          <t>Bad</t>
        </is>
      </c>
      <c r="G108" t="n">
        <v>0</v>
      </c>
    </row>
    <row r="109">
      <c r="A109" t="n">
        <v>108</v>
      </c>
      <c r="B109" t="n">
        <v>6078</v>
      </c>
      <c r="C109" t="n">
        <v>32</v>
      </c>
      <c r="D109" t="inlineStr">
        <is>
          <t>A32</t>
        </is>
      </c>
      <c r="E109" t="inlineStr">
        <is>
          <t>A74</t>
        </is>
      </c>
      <c r="F109" t="inlineStr">
        <is>
          <t>Good</t>
        </is>
      </c>
      <c r="G109" t="n">
        <v>1</v>
      </c>
    </row>
    <row r="110">
      <c r="A110" t="n">
        <v>109</v>
      </c>
      <c r="B110" t="n">
        <v>7721</v>
      </c>
      <c r="C110" t="n">
        <v>30</v>
      </c>
      <c r="D110" t="inlineStr">
        <is>
          <t>A32</t>
        </is>
      </c>
      <c r="E110" t="inlineStr">
        <is>
          <t>A72</t>
        </is>
      </c>
      <c r="F110" t="inlineStr">
        <is>
          <t>Good</t>
        </is>
      </c>
      <c r="G110" t="n">
        <v>1</v>
      </c>
    </row>
    <row r="111">
      <c r="A111" t="n">
        <v>110</v>
      </c>
      <c r="B111" t="n">
        <v>1410</v>
      </c>
      <c r="C111" t="n">
        <v>35</v>
      </c>
      <c r="D111" t="inlineStr">
        <is>
          <t>A32</t>
        </is>
      </c>
      <c r="E111" t="inlineStr">
        <is>
          <t>A75</t>
        </is>
      </c>
      <c r="F111" t="inlineStr">
        <is>
          <t>Good</t>
        </is>
      </c>
      <c r="G111" t="n">
        <v>1</v>
      </c>
    </row>
    <row r="112">
      <c r="A112" t="n">
        <v>111</v>
      </c>
      <c r="B112" t="n">
        <v>1449</v>
      </c>
      <c r="C112" t="n">
        <v>31</v>
      </c>
      <c r="D112" t="inlineStr">
        <is>
          <t>A33</t>
        </is>
      </c>
      <c r="E112" t="inlineStr">
        <is>
          <t>A75</t>
        </is>
      </c>
      <c r="F112" t="inlineStr">
        <is>
          <t>Good</t>
        </is>
      </c>
      <c r="G112" t="n">
        <v>1</v>
      </c>
    </row>
    <row r="113">
      <c r="A113" t="n">
        <v>112</v>
      </c>
      <c r="B113" t="n">
        <v>392</v>
      </c>
      <c r="C113" t="n">
        <v>23</v>
      </c>
      <c r="D113" t="inlineStr">
        <is>
          <t>A32</t>
        </is>
      </c>
      <c r="E113" t="inlineStr">
        <is>
          <t>A72</t>
        </is>
      </c>
      <c r="F113" t="inlineStr">
        <is>
          <t>Good</t>
        </is>
      </c>
      <c r="G113" t="n">
        <v>1</v>
      </c>
    </row>
    <row r="114">
      <c r="A114" t="n">
        <v>113</v>
      </c>
      <c r="B114" t="n">
        <v>6260</v>
      </c>
      <c r="C114" t="n">
        <v>28</v>
      </c>
      <c r="D114" t="inlineStr">
        <is>
          <t>A32</t>
        </is>
      </c>
      <c r="E114" t="inlineStr">
        <is>
          <t>A74</t>
        </is>
      </c>
      <c r="F114" t="inlineStr">
        <is>
          <t>Good</t>
        </is>
      </c>
      <c r="G114" t="n">
        <v>1</v>
      </c>
    </row>
    <row r="115">
      <c r="A115" t="n">
        <v>114</v>
      </c>
      <c r="B115" t="n">
        <v>7855</v>
      </c>
      <c r="C115" t="n">
        <v>25</v>
      </c>
      <c r="D115" t="inlineStr">
        <is>
          <t>A34</t>
        </is>
      </c>
      <c r="E115" t="inlineStr">
        <is>
          <t>A73</t>
        </is>
      </c>
      <c r="F115" t="inlineStr">
        <is>
          <t>Bad</t>
        </is>
      </c>
      <c r="G115" t="n">
        <v>0</v>
      </c>
    </row>
    <row r="116">
      <c r="A116" t="n">
        <v>115</v>
      </c>
      <c r="B116" t="n">
        <v>1680</v>
      </c>
      <c r="C116" t="n">
        <v>35</v>
      </c>
      <c r="D116" t="inlineStr">
        <is>
          <t>A32</t>
        </is>
      </c>
      <c r="E116" t="inlineStr">
        <is>
          <t>A75</t>
        </is>
      </c>
      <c r="F116" t="inlineStr">
        <is>
          <t>Good</t>
        </is>
      </c>
      <c r="G116" t="n">
        <v>1</v>
      </c>
    </row>
    <row r="117">
      <c r="A117" t="n">
        <v>116</v>
      </c>
      <c r="B117" t="n">
        <v>3578</v>
      </c>
      <c r="C117" t="n">
        <v>47</v>
      </c>
      <c r="D117" t="inlineStr">
        <is>
          <t>A34</t>
        </is>
      </c>
      <c r="E117" t="inlineStr">
        <is>
          <t>A75</t>
        </is>
      </c>
      <c r="F117" t="inlineStr">
        <is>
          <t>Good</t>
        </is>
      </c>
      <c r="G117" t="n">
        <v>1</v>
      </c>
    </row>
    <row r="118">
      <c r="A118" t="n">
        <v>117</v>
      </c>
      <c r="B118" t="n">
        <v>7174</v>
      </c>
      <c r="C118" t="n">
        <v>30</v>
      </c>
      <c r="D118" t="inlineStr">
        <is>
          <t>A32</t>
        </is>
      </c>
      <c r="E118" t="inlineStr">
        <is>
          <t>A74</t>
        </is>
      </c>
      <c r="F118" t="inlineStr">
        <is>
          <t>Bad</t>
        </is>
      </c>
      <c r="G118" t="n">
        <v>0</v>
      </c>
    </row>
    <row r="119">
      <c r="A119" t="n">
        <v>118</v>
      </c>
      <c r="B119" t="n">
        <v>2132</v>
      </c>
      <c r="C119" t="n">
        <v>27</v>
      </c>
      <c r="D119" t="inlineStr">
        <is>
          <t>A34</t>
        </is>
      </c>
      <c r="E119" t="inlineStr">
        <is>
          <t>A72</t>
        </is>
      </c>
      <c r="F119" t="inlineStr">
        <is>
          <t>Good</t>
        </is>
      </c>
      <c r="G119" t="n">
        <v>1</v>
      </c>
    </row>
    <row r="120">
      <c r="A120" t="n">
        <v>119</v>
      </c>
      <c r="B120" t="n">
        <v>4281</v>
      </c>
      <c r="C120" t="n">
        <v>23</v>
      </c>
      <c r="D120" t="inlineStr">
        <is>
          <t>A34</t>
        </is>
      </c>
      <c r="E120" t="inlineStr">
        <is>
          <t>A73</t>
        </is>
      </c>
      <c r="F120" t="inlineStr">
        <is>
          <t>Bad</t>
        </is>
      </c>
      <c r="G120" t="n">
        <v>0</v>
      </c>
    </row>
    <row r="121">
      <c r="A121" t="n">
        <v>120</v>
      </c>
      <c r="B121" t="n">
        <v>2366</v>
      </c>
      <c r="C121" t="n">
        <v>36</v>
      </c>
      <c r="D121" t="inlineStr">
        <is>
          <t>A34</t>
        </is>
      </c>
      <c r="E121" t="inlineStr">
        <is>
          <t>A74</t>
        </is>
      </c>
      <c r="F121" t="inlineStr">
        <is>
          <t>Good</t>
        </is>
      </c>
      <c r="G121" t="n">
        <v>1</v>
      </c>
    </row>
    <row r="122">
      <c r="A122" t="n">
        <v>121</v>
      </c>
      <c r="B122" t="n">
        <v>1835</v>
      </c>
      <c r="C122" t="n">
        <v>25</v>
      </c>
      <c r="D122" t="inlineStr">
        <is>
          <t>A32</t>
        </is>
      </c>
      <c r="E122" t="inlineStr">
        <is>
          <t>A73</t>
        </is>
      </c>
      <c r="F122" t="inlineStr">
        <is>
          <t>Bad</t>
        </is>
      </c>
      <c r="G122" t="n">
        <v>0</v>
      </c>
    </row>
    <row r="123">
      <c r="A123" t="n">
        <v>122</v>
      </c>
      <c r="B123" t="n">
        <v>3868</v>
      </c>
      <c r="C123" t="n">
        <v>41</v>
      </c>
      <c r="D123" t="inlineStr">
        <is>
          <t>A34</t>
        </is>
      </c>
      <c r="E123" t="inlineStr">
        <is>
          <t>A75</t>
        </is>
      </c>
      <c r="F123" t="inlineStr">
        <is>
          <t>Good</t>
        </is>
      </c>
      <c r="G123" t="n">
        <v>1</v>
      </c>
    </row>
    <row r="124">
      <c r="A124" t="n">
        <v>123</v>
      </c>
      <c r="B124" t="n">
        <v>1768</v>
      </c>
      <c r="C124" t="n">
        <v>24</v>
      </c>
      <c r="D124" t="inlineStr">
        <is>
          <t>A32</t>
        </is>
      </c>
      <c r="E124" t="inlineStr">
        <is>
          <t>A73</t>
        </is>
      </c>
      <c r="F124" t="inlineStr">
        <is>
          <t>Good</t>
        </is>
      </c>
      <c r="G124" t="n">
        <v>1</v>
      </c>
    </row>
    <row r="125">
      <c r="A125" t="n">
        <v>124</v>
      </c>
      <c r="B125" t="n">
        <v>781</v>
      </c>
      <c r="C125" t="n">
        <v>63</v>
      </c>
      <c r="D125" t="inlineStr">
        <is>
          <t>A34</t>
        </is>
      </c>
      <c r="E125" t="inlineStr">
        <is>
          <t>A75</t>
        </is>
      </c>
      <c r="F125" t="inlineStr">
        <is>
          <t>Good</t>
        </is>
      </c>
      <c r="G125" t="n">
        <v>1</v>
      </c>
    </row>
    <row r="126">
      <c r="A126" t="n">
        <v>125</v>
      </c>
      <c r="B126" t="n">
        <v>1924</v>
      </c>
      <c r="C126" t="n">
        <v>27</v>
      </c>
      <c r="D126" t="inlineStr">
        <is>
          <t>A32</t>
        </is>
      </c>
      <c r="E126" t="inlineStr">
        <is>
          <t>A72</t>
        </is>
      </c>
      <c r="F126" t="inlineStr">
        <is>
          <t>Bad</t>
        </is>
      </c>
      <c r="G126" t="n">
        <v>0</v>
      </c>
    </row>
    <row r="127">
      <c r="A127" t="n">
        <v>126</v>
      </c>
      <c r="B127" t="n">
        <v>2121</v>
      </c>
      <c r="C127" t="n">
        <v>30</v>
      </c>
      <c r="D127" t="inlineStr">
        <is>
          <t>A34</t>
        </is>
      </c>
      <c r="E127" t="inlineStr">
        <is>
          <t>A73</t>
        </is>
      </c>
      <c r="F127" t="inlineStr">
        <is>
          <t>Good</t>
        </is>
      </c>
      <c r="G127" t="n">
        <v>1</v>
      </c>
    </row>
    <row r="128">
      <c r="A128" t="n">
        <v>127</v>
      </c>
      <c r="B128" t="n">
        <v>701</v>
      </c>
      <c r="C128" t="n">
        <v>40</v>
      </c>
      <c r="D128" t="inlineStr">
        <is>
          <t>A32</t>
        </is>
      </c>
      <c r="E128" t="inlineStr">
        <is>
          <t>A73</t>
        </is>
      </c>
      <c r="F128" t="inlineStr">
        <is>
          <t>Good</t>
        </is>
      </c>
      <c r="G128" t="n">
        <v>1</v>
      </c>
    </row>
    <row r="129">
      <c r="A129" t="n">
        <v>128</v>
      </c>
      <c r="B129" t="n">
        <v>639</v>
      </c>
      <c r="C129" t="n">
        <v>30</v>
      </c>
      <c r="D129" t="inlineStr">
        <is>
          <t>A32</t>
        </is>
      </c>
      <c r="E129" t="inlineStr">
        <is>
          <t>A73</t>
        </is>
      </c>
      <c r="F129" t="inlineStr">
        <is>
          <t>Bad</t>
        </is>
      </c>
      <c r="G129" t="n">
        <v>0</v>
      </c>
    </row>
    <row r="130">
      <c r="A130" t="n">
        <v>129</v>
      </c>
      <c r="B130" t="n">
        <v>1860</v>
      </c>
      <c r="C130" t="n">
        <v>34</v>
      </c>
      <c r="D130" t="inlineStr">
        <is>
          <t>A34</t>
        </is>
      </c>
      <c r="E130" t="inlineStr">
        <is>
          <t>A71</t>
        </is>
      </c>
      <c r="F130" t="inlineStr">
        <is>
          <t>Good</t>
        </is>
      </c>
      <c r="G130" t="n">
        <v>1</v>
      </c>
    </row>
    <row r="131">
      <c r="A131" t="n">
        <v>130</v>
      </c>
      <c r="B131" t="n">
        <v>3499</v>
      </c>
      <c r="C131" t="n">
        <v>29</v>
      </c>
      <c r="D131" t="inlineStr">
        <is>
          <t>A34</t>
        </is>
      </c>
      <c r="E131" t="inlineStr">
        <is>
          <t>A73</t>
        </is>
      </c>
      <c r="F131" t="inlineStr">
        <is>
          <t>Bad</t>
        </is>
      </c>
      <c r="G131" t="n">
        <v>0</v>
      </c>
    </row>
    <row r="132">
      <c r="A132" t="n">
        <v>131</v>
      </c>
      <c r="B132" t="n">
        <v>8487</v>
      </c>
      <c r="C132" t="n">
        <v>24</v>
      </c>
      <c r="D132" t="inlineStr">
        <is>
          <t>A32</t>
        </is>
      </c>
      <c r="E132" t="inlineStr">
        <is>
          <t>A74</t>
        </is>
      </c>
      <c r="F132" t="inlineStr">
        <is>
          <t>Good</t>
        </is>
      </c>
      <c r="G132" t="n">
        <v>1</v>
      </c>
    </row>
    <row r="133">
      <c r="A133" t="n">
        <v>132</v>
      </c>
      <c r="B133" t="n">
        <v>6887</v>
      </c>
      <c r="C133" t="n">
        <v>29</v>
      </c>
      <c r="D133" t="inlineStr">
        <is>
          <t>A33</t>
        </is>
      </c>
      <c r="E133" t="inlineStr">
        <is>
          <t>A73</t>
        </is>
      </c>
      <c r="F133" t="inlineStr">
        <is>
          <t>Bad</t>
        </is>
      </c>
      <c r="G133" t="n">
        <v>0</v>
      </c>
    </row>
    <row r="134">
      <c r="A134" t="n">
        <v>133</v>
      </c>
      <c r="B134" t="n">
        <v>2708</v>
      </c>
      <c r="C134" t="n">
        <v>27</v>
      </c>
      <c r="D134" t="inlineStr">
        <is>
          <t>A32</t>
        </is>
      </c>
      <c r="E134" t="inlineStr">
        <is>
          <t>A72</t>
        </is>
      </c>
      <c r="F134" t="inlineStr">
        <is>
          <t>Good</t>
        </is>
      </c>
      <c r="G134" t="n">
        <v>1</v>
      </c>
    </row>
    <row r="135">
      <c r="A135" t="n">
        <v>134</v>
      </c>
      <c r="B135" t="n">
        <v>1984</v>
      </c>
      <c r="C135" t="n">
        <v>47</v>
      </c>
      <c r="D135" t="inlineStr">
        <is>
          <t>A32</t>
        </is>
      </c>
      <c r="E135" t="inlineStr">
        <is>
          <t>A73</t>
        </is>
      </c>
      <c r="F135" t="inlineStr">
        <is>
          <t>Good</t>
        </is>
      </c>
      <c r="G135" t="n">
        <v>1</v>
      </c>
    </row>
    <row r="136">
      <c r="A136" t="n">
        <v>135</v>
      </c>
      <c r="B136" t="n">
        <v>10144</v>
      </c>
      <c r="C136" t="n">
        <v>21</v>
      </c>
      <c r="D136" t="inlineStr">
        <is>
          <t>A32</t>
        </is>
      </c>
      <c r="E136" t="inlineStr">
        <is>
          <t>A74</t>
        </is>
      </c>
      <c r="F136" t="inlineStr">
        <is>
          <t>Good</t>
        </is>
      </c>
      <c r="G136" t="n">
        <v>1</v>
      </c>
    </row>
    <row r="137">
      <c r="A137" t="n">
        <v>136</v>
      </c>
      <c r="B137" t="n">
        <v>1240</v>
      </c>
      <c r="C137" t="n">
        <v>38</v>
      </c>
      <c r="D137" t="inlineStr">
        <is>
          <t>A34</t>
        </is>
      </c>
      <c r="E137" t="inlineStr">
        <is>
          <t>A75</t>
        </is>
      </c>
      <c r="F137" t="inlineStr">
        <is>
          <t>Good</t>
        </is>
      </c>
      <c r="G137" t="n">
        <v>1</v>
      </c>
    </row>
    <row r="138">
      <c r="A138" t="n">
        <v>137</v>
      </c>
      <c r="B138" t="n">
        <v>8613</v>
      </c>
      <c r="C138" t="n">
        <v>27</v>
      </c>
      <c r="D138" t="inlineStr">
        <is>
          <t>A33</t>
        </is>
      </c>
      <c r="E138" t="inlineStr">
        <is>
          <t>A73</t>
        </is>
      </c>
      <c r="F138" t="inlineStr">
        <is>
          <t>Good</t>
        </is>
      </c>
      <c r="G138" t="n">
        <v>1</v>
      </c>
    </row>
    <row r="139">
      <c r="A139" t="n">
        <v>138</v>
      </c>
      <c r="B139" t="n">
        <v>766</v>
      </c>
      <c r="C139" t="n">
        <v>66</v>
      </c>
      <c r="D139" t="inlineStr">
        <is>
          <t>A32</t>
        </is>
      </c>
      <c r="E139" t="inlineStr">
        <is>
          <t>A73</t>
        </is>
      </c>
      <c r="F139" t="inlineStr">
        <is>
          <t>Bad</t>
        </is>
      </c>
      <c r="G139" t="n">
        <v>0</v>
      </c>
    </row>
    <row r="140">
      <c r="A140" t="n">
        <v>139</v>
      </c>
      <c r="B140" t="n">
        <v>2728</v>
      </c>
      <c r="C140" t="n">
        <v>35</v>
      </c>
      <c r="D140" t="inlineStr">
        <is>
          <t>A34</t>
        </is>
      </c>
      <c r="E140" t="inlineStr">
        <is>
          <t>A74</t>
        </is>
      </c>
      <c r="F140" t="inlineStr">
        <is>
          <t>Good</t>
        </is>
      </c>
      <c r="G140" t="n">
        <v>1</v>
      </c>
    </row>
    <row r="141">
      <c r="A141" t="n">
        <v>140</v>
      </c>
      <c r="B141" t="n">
        <v>1881</v>
      </c>
      <c r="C141" t="n">
        <v>44</v>
      </c>
      <c r="D141" t="inlineStr">
        <is>
          <t>A32</t>
        </is>
      </c>
      <c r="E141" t="inlineStr">
        <is>
          <t>A73</t>
        </is>
      </c>
      <c r="F141" t="inlineStr">
        <is>
          <t>Good</t>
        </is>
      </c>
      <c r="G141" t="n">
        <v>1</v>
      </c>
    </row>
    <row r="142">
      <c r="A142" t="n">
        <v>141</v>
      </c>
      <c r="B142" t="n">
        <v>709</v>
      </c>
      <c r="C142" t="n">
        <v>27</v>
      </c>
      <c r="D142" t="inlineStr">
        <is>
          <t>A32</t>
        </is>
      </c>
      <c r="E142" t="inlineStr">
        <is>
          <t>A72</t>
        </is>
      </c>
      <c r="F142" t="inlineStr">
        <is>
          <t>Good</t>
        </is>
      </c>
      <c r="G142" t="n">
        <v>1</v>
      </c>
    </row>
    <row r="143">
      <c r="A143" t="n">
        <v>142</v>
      </c>
      <c r="B143" t="n">
        <v>4795</v>
      </c>
      <c r="C143" t="n">
        <v>30</v>
      </c>
      <c r="D143" t="inlineStr">
        <is>
          <t>A32</t>
        </is>
      </c>
      <c r="E143" t="inlineStr">
        <is>
          <t>A72</t>
        </is>
      </c>
      <c r="F143" t="inlineStr">
        <is>
          <t>Good</t>
        </is>
      </c>
      <c r="G143" t="n">
        <v>1</v>
      </c>
    </row>
    <row r="144">
      <c r="A144" t="n">
        <v>143</v>
      </c>
      <c r="B144" t="n">
        <v>3416</v>
      </c>
      <c r="C144" t="n">
        <v>27</v>
      </c>
      <c r="D144" t="inlineStr">
        <is>
          <t>A32</t>
        </is>
      </c>
      <c r="E144" t="inlineStr">
        <is>
          <t>A73</t>
        </is>
      </c>
      <c r="F144" t="inlineStr">
        <is>
          <t>Good</t>
        </is>
      </c>
      <c r="G144" t="n">
        <v>1</v>
      </c>
    </row>
    <row r="145">
      <c r="A145" t="n">
        <v>144</v>
      </c>
      <c r="B145" t="n">
        <v>2462</v>
      </c>
      <c r="C145" t="n">
        <v>22</v>
      </c>
      <c r="D145" t="inlineStr">
        <is>
          <t>A32</t>
        </is>
      </c>
      <c r="E145" t="inlineStr">
        <is>
          <t>A73</t>
        </is>
      </c>
      <c r="F145" t="inlineStr">
        <is>
          <t>Bad</t>
        </is>
      </c>
      <c r="G145" t="n">
        <v>0</v>
      </c>
    </row>
    <row r="146">
      <c r="A146" t="n">
        <v>145</v>
      </c>
      <c r="B146" t="n">
        <v>2288</v>
      </c>
      <c r="C146" t="n">
        <v>23</v>
      </c>
      <c r="D146" t="inlineStr">
        <is>
          <t>A34</t>
        </is>
      </c>
      <c r="E146" t="inlineStr">
        <is>
          <t>A72</t>
        </is>
      </c>
      <c r="F146" t="inlineStr">
        <is>
          <t>Good</t>
        </is>
      </c>
      <c r="G146" t="n">
        <v>1</v>
      </c>
    </row>
    <row r="147">
      <c r="A147" t="n">
        <v>146</v>
      </c>
      <c r="B147" t="n">
        <v>3566</v>
      </c>
      <c r="C147" t="n">
        <v>30</v>
      </c>
      <c r="D147" t="inlineStr">
        <is>
          <t>A31</t>
        </is>
      </c>
      <c r="E147" t="inlineStr">
        <is>
          <t>A74</t>
        </is>
      </c>
      <c r="F147" t="inlineStr">
        <is>
          <t>Good</t>
        </is>
      </c>
      <c r="G147" t="n">
        <v>1</v>
      </c>
    </row>
    <row r="148">
      <c r="A148" t="n">
        <v>147</v>
      </c>
      <c r="B148" t="n">
        <v>860</v>
      </c>
      <c r="C148" t="n">
        <v>39</v>
      </c>
      <c r="D148" t="inlineStr">
        <is>
          <t>A34</t>
        </is>
      </c>
      <c r="E148" t="inlineStr">
        <is>
          <t>A75</t>
        </is>
      </c>
      <c r="F148" t="inlineStr">
        <is>
          <t>Good</t>
        </is>
      </c>
      <c r="G148" t="n">
        <v>1</v>
      </c>
    </row>
    <row r="149">
      <c r="A149" t="n">
        <v>148</v>
      </c>
      <c r="B149" t="n">
        <v>682</v>
      </c>
      <c r="C149" t="n">
        <v>51</v>
      </c>
      <c r="D149" t="inlineStr">
        <is>
          <t>A34</t>
        </is>
      </c>
      <c r="E149" t="inlineStr">
        <is>
          <t>A74</t>
        </is>
      </c>
      <c r="F149" t="inlineStr">
        <is>
          <t>Good</t>
        </is>
      </c>
      <c r="G149" t="n">
        <v>1</v>
      </c>
    </row>
    <row r="150">
      <c r="A150" t="n">
        <v>149</v>
      </c>
      <c r="B150" t="n">
        <v>5371</v>
      </c>
      <c r="C150" t="n">
        <v>28</v>
      </c>
      <c r="D150" t="inlineStr">
        <is>
          <t>A34</t>
        </is>
      </c>
      <c r="E150" t="inlineStr">
        <is>
          <t>A73</t>
        </is>
      </c>
      <c r="F150" t="inlineStr">
        <is>
          <t>Good</t>
        </is>
      </c>
      <c r="G150" t="n">
        <v>1</v>
      </c>
    </row>
    <row r="151">
      <c r="A151" t="n">
        <v>150</v>
      </c>
      <c r="B151" t="n">
        <v>1582</v>
      </c>
      <c r="C151" t="n">
        <v>46</v>
      </c>
      <c r="D151" t="inlineStr">
        <is>
          <t>A34</t>
        </is>
      </c>
      <c r="E151" t="inlineStr">
        <is>
          <t>A75</t>
        </is>
      </c>
      <c r="F151" t="inlineStr">
        <is>
          <t>Good</t>
        </is>
      </c>
      <c r="G151" t="n">
        <v>1</v>
      </c>
    </row>
    <row r="152">
      <c r="A152" t="n">
        <v>151</v>
      </c>
      <c r="B152" t="n">
        <v>1346</v>
      </c>
      <c r="C152" t="n">
        <v>42</v>
      </c>
      <c r="D152" t="inlineStr">
        <is>
          <t>A32</t>
        </is>
      </c>
      <c r="E152" t="inlineStr">
        <is>
          <t>A75</t>
        </is>
      </c>
      <c r="F152" t="inlineStr">
        <is>
          <t>Good</t>
        </is>
      </c>
      <c r="G152" t="n">
        <v>1</v>
      </c>
    </row>
    <row r="153">
      <c r="A153" t="n">
        <v>152</v>
      </c>
      <c r="B153" t="n">
        <v>1924</v>
      </c>
      <c r="C153" t="n">
        <v>38</v>
      </c>
      <c r="D153" t="inlineStr">
        <is>
          <t>A32</t>
        </is>
      </c>
      <c r="E153" t="inlineStr">
        <is>
          <t>A73</t>
        </is>
      </c>
      <c r="F153" t="inlineStr">
        <is>
          <t>Good</t>
        </is>
      </c>
      <c r="G153" t="n">
        <v>1</v>
      </c>
    </row>
    <row r="154">
      <c r="A154" t="n">
        <v>153</v>
      </c>
      <c r="B154" t="n">
        <v>5848</v>
      </c>
      <c r="C154" t="n">
        <v>24</v>
      </c>
      <c r="D154" t="inlineStr">
        <is>
          <t>A32</t>
        </is>
      </c>
      <c r="E154" t="inlineStr">
        <is>
          <t>A73</t>
        </is>
      </c>
      <c r="F154" t="inlineStr">
        <is>
          <t>Good</t>
        </is>
      </c>
      <c r="G154" t="n">
        <v>1</v>
      </c>
    </row>
    <row r="155">
      <c r="A155" t="n">
        <v>154</v>
      </c>
      <c r="B155" t="n">
        <v>7758</v>
      </c>
      <c r="C155" t="n">
        <v>29</v>
      </c>
      <c r="D155" t="inlineStr">
        <is>
          <t>A34</t>
        </is>
      </c>
      <c r="E155" t="inlineStr">
        <is>
          <t>A75</t>
        </is>
      </c>
      <c r="F155" t="inlineStr">
        <is>
          <t>Good</t>
        </is>
      </c>
      <c r="G155" t="n">
        <v>1</v>
      </c>
    </row>
    <row r="156">
      <c r="A156" t="n">
        <v>155</v>
      </c>
      <c r="B156" t="n">
        <v>6967</v>
      </c>
      <c r="C156" t="n">
        <v>36</v>
      </c>
      <c r="D156" t="inlineStr">
        <is>
          <t>A33</t>
        </is>
      </c>
      <c r="E156" t="inlineStr">
        <is>
          <t>A74</t>
        </is>
      </c>
      <c r="F156" t="inlineStr">
        <is>
          <t>Good</t>
        </is>
      </c>
      <c r="G156" t="n">
        <v>1</v>
      </c>
    </row>
    <row r="157">
      <c r="A157" t="n">
        <v>156</v>
      </c>
      <c r="B157" t="n">
        <v>1282</v>
      </c>
      <c r="C157" t="n">
        <v>20</v>
      </c>
      <c r="D157" t="inlineStr">
        <is>
          <t>A32</t>
        </is>
      </c>
      <c r="E157" t="inlineStr">
        <is>
          <t>A73</t>
        </is>
      </c>
      <c r="F157" t="inlineStr">
        <is>
          <t>Bad</t>
        </is>
      </c>
      <c r="G157" t="n">
        <v>0</v>
      </c>
    </row>
    <row r="158">
      <c r="A158" t="n">
        <v>157</v>
      </c>
      <c r="B158" t="n">
        <v>1288</v>
      </c>
      <c r="C158" t="n">
        <v>48</v>
      </c>
      <c r="D158" t="inlineStr">
        <is>
          <t>A34</t>
        </is>
      </c>
      <c r="E158" t="inlineStr">
        <is>
          <t>A75</t>
        </is>
      </c>
      <c r="F158" t="inlineStr">
        <is>
          <t>Good</t>
        </is>
      </c>
      <c r="G158" t="n">
        <v>1</v>
      </c>
    </row>
    <row r="159">
      <c r="A159" t="n">
        <v>158</v>
      </c>
      <c r="B159" t="n">
        <v>339</v>
      </c>
      <c r="C159" t="n">
        <v>45</v>
      </c>
      <c r="D159" t="inlineStr">
        <is>
          <t>A31</t>
        </is>
      </c>
      <c r="E159" t="inlineStr">
        <is>
          <t>A75</t>
        </is>
      </c>
      <c r="F159" t="inlineStr">
        <is>
          <t>Good</t>
        </is>
      </c>
      <c r="G159" t="n">
        <v>1</v>
      </c>
    </row>
    <row r="160">
      <c r="A160" t="n">
        <v>159</v>
      </c>
      <c r="B160" t="n">
        <v>3512</v>
      </c>
      <c r="C160" t="n">
        <v>38</v>
      </c>
      <c r="D160" t="inlineStr">
        <is>
          <t>A32</t>
        </is>
      </c>
      <c r="E160" t="inlineStr">
        <is>
          <t>A74</t>
        </is>
      </c>
      <c r="F160" t="inlineStr">
        <is>
          <t>Good</t>
        </is>
      </c>
      <c r="G160" t="n">
        <v>1</v>
      </c>
    </row>
    <row r="161">
      <c r="A161" t="n">
        <v>160</v>
      </c>
      <c r="B161" t="n">
        <v>1898</v>
      </c>
      <c r="C161" t="n">
        <v>34</v>
      </c>
      <c r="D161" t="inlineStr">
        <is>
          <t>A34</t>
        </is>
      </c>
      <c r="E161" t="inlineStr">
        <is>
          <t>A73</t>
        </is>
      </c>
      <c r="F161" t="inlineStr">
        <is>
          <t>Good</t>
        </is>
      </c>
      <c r="G161" t="n">
        <v>1</v>
      </c>
    </row>
    <row r="162">
      <c r="A162" t="n">
        <v>161</v>
      </c>
      <c r="B162" t="n">
        <v>2872</v>
      </c>
      <c r="C162" t="n">
        <v>36</v>
      </c>
      <c r="D162" t="inlineStr">
        <is>
          <t>A34</t>
        </is>
      </c>
      <c r="E162" t="inlineStr">
        <is>
          <t>A75</t>
        </is>
      </c>
      <c r="F162" t="inlineStr">
        <is>
          <t>Good</t>
        </is>
      </c>
      <c r="G162" t="n">
        <v>1</v>
      </c>
    </row>
    <row r="163">
      <c r="A163" t="n">
        <v>162</v>
      </c>
      <c r="B163" t="n">
        <v>1055</v>
      </c>
      <c r="C163" t="n">
        <v>30</v>
      </c>
      <c r="D163" t="inlineStr">
        <is>
          <t>A34</t>
        </is>
      </c>
      <c r="E163" t="inlineStr">
        <is>
          <t>A72</t>
        </is>
      </c>
      <c r="F163" t="inlineStr">
        <is>
          <t>Good</t>
        </is>
      </c>
      <c r="G163" t="n">
        <v>1</v>
      </c>
    </row>
    <row r="164">
      <c r="A164" t="n">
        <v>163</v>
      </c>
      <c r="B164" t="n">
        <v>1262</v>
      </c>
      <c r="C164" t="n">
        <v>36</v>
      </c>
      <c r="D164" t="inlineStr">
        <is>
          <t>A32</t>
        </is>
      </c>
      <c r="E164" t="inlineStr">
        <is>
          <t>A74</t>
        </is>
      </c>
      <c r="F164" t="inlineStr">
        <is>
          <t>Good</t>
        </is>
      </c>
      <c r="G164" t="n">
        <v>1</v>
      </c>
    </row>
    <row r="165">
      <c r="A165" t="n">
        <v>164</v>
      </c>
      <c r="B165" t="n">
        <v>7308</v>
      </c>
      <c r="C165" t="n">
        <v>70</v>
      </c>
      <c r="D165" t="inlineStr">
        <is>
          <t>A32</t>
        </is>
      </c>
      <c r="E165" t="inlineStr">
        <is>
          <t>A71</t>
        </is>
      </c>
      <c r="F165" t="inlineStr">
        <is>
          <t>Good</t>
        </is>
      </c>
      <c r="G165" t="n">
        <v>1</v>
      </c>
    </row>
    <row r="166">
      <c r="A166" t="n">
        <v>165</v>
      </c>
      <c r="B166" t="n">
        <v>909</v>
      </c>
      <c r="C166" t="n">
        <v>36</v>
      </c>
      <c r="D166" t="inlineStr">
        <is>
          <t>A32</t>
        </is>
      </c>
      <c r="E166" t="inlineStr">
        <is>
          <t>A75</t>
        </is>
      </c>
      <c r="F166" t="inlineStr">
        <is>
          <t>Good</t>
        </is>
      </c>
      <c r="G166" t="n">
        <v>1</v>
      </c>
    </row>
    <row r="167">
      <c r="A167" t="n">
        <v>166</v>
      </c>
      <c r="B167" t="n">
        <v>2978</v>
      </c>
      <c r="C167" t="n">
        <v>32</v>
      </c>
      <c r="D167" t="inlineStr">
        <is>
          <t>A32</t>
        </is>
      </c>
      <c r="E167" t="inlineStr">
        <is>
          <t>A73</t>
        </is>
      </c>
      <c r="F167" t="inlineStr">
        <is>
          <t>Good</t>
        </is>
      </c>
      <c r="G167" t="n">
        <v>1</v>
      </c>
    </row>
    <row r="168">
      <c r="A168" t="n">
        <v>167</v>
      </c>
      <c r="B168" t="n">
        <v>1131</v>
      </c>
      <c r="C168" t="n">
        <v>33</v>
      </c>
      <c r="D168" t="inlineStr">
        <is>
          <t>A32</t>
        </is>
      </c>
      <c r="E168" t="inlineStr">
        <is>
          <t>A71</t>
        </is>
      </c>
      <c r="F168" t="inlineStr">
        <is>
          <t>Bad</t>
        </is>
      </c>
      <c r="G168" t="n">
        <v>0</v>
      </c>
    </row>
    <row r="169">
      <c r="A169" t="n">
        <v>168</v>
      </c>
      <c r="B169" t="n">
        <v>1577</v>
      </c>
      <c r="C169" t="n">
        <v>20</v>
      </c>
      <c r="D169" t="inlineStr">
        <is>
          <t>A32</t>
        </is>
      </c>
      <c r="E169" t="inlineStr">
        <is>
          <t>A72</t>
        </is>
      </c>
      <c r="F169" t="inlineStr">
        <is>
          <t>Good</t>
        </is>
      </c>
      <c r="G169" t="n">
        <v>1</v>
      </c>
    </row>
    <row r="170">
      <c r="A170" t="n">
        <v>169</v>
      </c>
      <c r="B170" t="n">
        <v>3972</v>
      </c>
      <c r="C170" t="n">
        <v>25</v>
      </c>
      <c r="D170" t="inlineStr">
        <is>
          <t>A32</t>
        </is>
      </c>
      <c r="E170" t="inlineStr">
        <is>
          <t>A74</t>
        </is>
      </c>
      <c r="F170" t="inlineStr">
        <is>
          <t>Good</t>
        </is>
      </c>
      <c r="G170" t="n">
        <v>1</v>
      </c>
    </row>
    <row r="171">
      <c r="A171" t="n">
        <v>170</v>
      </c>
      <c r="B171" t="n">
        <v>1935</v>
      </c>
      <c r="C171" t="n">
        <v>31</v>
      </c>
      <c r="D171" t="inlineStr">
        <is>
          <t>A34</t>
        </is>
      </c>
      <c r="E171" t="inlineStr">
        <is>
          <t>A75</t>
        </is>
      </c>
      <c r="F171" t="inlineStr">
        <is>
          <t>Bad</t>
        </is>
      </c>
      <c r="G171" t="n">
        <v>0</v>
      </c>
    </row>
    <row r="172">
      <c r="A172" t="n">
        <v>171</v>
      </c>
      <c r="B172" t="n">
        <v>950</v>
      </c>
      <c r="C172" t="n">
        <v>33</v>
      </c>
      <c r="D172" t="inlineStr">
        <is>
          <t>A30</t>
        </is>
      </c>
      <c r="E172" t="inlineStr">
        <is>
          <t>A75</t>
        </is>
      </c>
      <c r="F172" t="inlineStr">
        <is>
          <t>Bad</t>
        </is>
      </c>
      <c r="G172" t="n">
        <v>0</v>
      </c>
    </row>
    <row r="173">
      <c r="A173" t="n">
        <v>172</v>
      </c>
      <c r="B173" t="n">
        <v>763</v>
      </c>
      <c r="C173" t="n">
        <v>26</v>
      </c>
      <c r="D173" t="inlineStr">
        <is>
          <t>A32</t>
        </is>
      </c>
      <c r="E173" t="inlineStr">
        <is>
          <t>A73</t>
        </is>
      </c>
      <c r="F173" t="inlineStr">
        <is>
          <t>Good</t>
        </is>
      </c>
      <c r="G173" t="n">
        <v>1</v>
      </c>
    </row>
    <row r="174">
      <c r="A174" t="n">
        <v>173</v>
      </c>
      <c r="B174" t="n">
        <v>2064</v>
      </c>
      <c r="C174" t="n">
        <v>34</v>
      </c>
      <c r="D174" t="inlineStr">
        <is>
          <t>A33</t>
        </is>
      </c>
      <c r="E174" t="inlineStr">
        <is>
          <t>A71</t>
        </is>
      </c>
      <c r="F174" t="inlineStr">
        <is>
          <t>Bad</t>
        </is>
      </c>
      <c r="G174" t="n">
        <v>0</v>
      </c>
    </row>
    <row r="175">
      <c r="A175" t="n">
        <v>174</v>
      </c>
      <c r="B175" t="n">
        <v>1414</v>
      </c>
      <c r="C175" t="n">
        <v>33</v>
      </c>
      <c r="D175" t="inlineStr">
        <is>
          <t>A32</t>
        </is>
      </c>
      <c r="E175" t="inlineStr">
        <is>
          <t>A73</t>
        </is>
      </c>
      <c r="F175" t="inlineStr">
        <is>
          <t>Good</t>
        </is>
      </c>
      <c r="G175" t="n">
        <v>1</v>
      </c>
    </row>
    <row r="176">
      <c r="A176" t="n">
        <v>175</v>
      </c>
      <c r="B176" t="n">
        <v>3414</v>
      </c>
      <c r="C176" t="n">
        <v>26</v>
      </c>
      <c r="D176" t="inlineStr">
        <is>
          <t>A33</t>
        </is>
      </c>
      <c r="E176" t="inlineStr">
        <is>
          <t>A72</t>
        </is>
      </c>
      <c r="F176" t="inlineStr">
        <is>
          <t>Bad</t>
        </is>
      </c>
      <c r="G176" t="n">
        <v>0</v>
      </c>
    </row>
    <row r="177">
      <c r="A177" t="n">
        <v>176</v>
      </c>
      <c r="B177" t="n">
        <v>7485</v>
      </c>
      <c r="C177" t="n">
        <v>53</v>
      </c>
      <c r="D177" t="inlineStr">
        <is>
          <t>A31</t>
        </is>
      </c>
      <c r="E177" t="inlineStr">
        <is>
          <t>A71</t>
        </is>
      </c>
      <c r="F177" t="inlineStr">
        <is>
          <t>Bad</t>
        </is>
      </c>
      <c r="G177" t="n">
        <v>0</v>
      </c>
    </row>
    <row r="178">
      <c r="A178" t="n">
        <v>177</v>
      </c>
      <c r="B178" t="n">
        <v>2577</v>
      </c>
      <c r="C178" t="n">
        <v>42</v>
      </c>
      <c r="D178" t="inlineStr">
        <is>
          <t>A32</t>
        </is>
      </c>
      <c r="E178" t="inlineStr">
        <is>
          <t>A73</t>
        </is>
      </c>
      <c r="F178" t="inlineStr">
        <is>
          <t>Good</t>
        </is>
      </c>
      <c r="G178" t="n">
        <v>1</v>
      </c>
    </row>
    <row r="179">
      <c r="A179" t="n">
        <v>178</v>
      </c>
      <c r="B179" t="n">
        <v>338</v>
      </c>
      <c r="C179" t="n">
        <v>52</v>
      </c>
      <c r="D179" t="inlineStr">
        <is>
          <t>A34</t>
        </is>
      </c>
      <c r="E179" t="inlineStr">
        <is>
          <t>A75</t>
        </is>
      </c>
      <c r="F179" t="inlineStr">
        <is>
          <t>Good</t>
        </is>
      </c>
      <c r="G179" t="n">
        <v>1</v>
      </c>
    </row>
    <row r="180">
      <c r="A180" t="n">
        <v>179</v>
      </c>
      <c r="B180" t="n">
        <v>1963</v>
      </c>
      <c r="C180" t="n">
        <v>31</v>
      </c>
      <c r="D180" t="inlineStr">
        <is>
          <t>A32</t>
        </is>
      </c>
      <c r="E180" t="inlineStr">
        <is>
          <t>A74</t>
        </is>
      </c>
      <c r="F180" t="inlineStr">
        <is>
          <t>Good</t>
        </is>
      </c>
      <c r="G180" t="n">
        <v>1</v>
      </c>
    </row>
    <row r="181">
      <c r="A181" t="n">
        <v>180</v>
      </c>
      <c r="B181" t="n">
        <v>571</v>
      </c>
      <c r="C181" t="n">
        <v>65</v>
      </c>
      <c r="D181" t="inlineStr">
        <is>
          <t>A34</t>
        </is>
      </c>
      <c r="E181" t="inlineStr">
        <is>
          <t>A75</t>
        </is>
      </c>
      <c r="F181" t="inlineStr">
        <is>
          <t>Good</t>
        </is>
      </c>
      <c r="G181" t="n">
        <v>1</v>
      </c>
    </row>
    <row r="182">
      <c r="A182" t="n">
        <v>181</v>
      </c>
      <c r="B182" t="n">
        <v>9572</v>
      </c>
      <c r="C182" t="n">
        <v>28</v>
      </c>
      <c r="D182" t="inlineStr">
        <is>
          <t>A33</t>
        </is>
      </c>
      <c r="E182" t="inlineStr">
        <is>
          <t>A72</t>
        </is>
      </c>
      <c r="F182" t="inlineStr">
        <is>
          <t>Bad</t>
        </is>
      </c>
      <c r="G182" t="n">
        <v>0</v>
      </c>
    </row>
    <row r="183">
      <c r="A183" t="n">
        <v>182</v>
      </c>
      <c r="B183" t="n">
        <v>4455</v>
      </c>
      <c r="C183" t="n">
        <v>30</v>
      </c>
      <c r="D183" t="inlineStr">
        <is>
          <t>A33</t>
        </is>
      </c>
      <c r="E183" t="inlineStr">
        <is>
          <t>A73</t>
        </is>
      </c>
      <c r="F183" t="inlineStr">
        <is>
          <t>Bad</t>
        </is>
      </c>
      <c r="G183" t="n">
        <v>0</v>
      </c>
    </row>
    <row r="184">
      <c r="A184" t="n">
        <v>183</v>
      </c>
      <c r="B184" t="n">
        <v>1647</v>
      </c>
      <c r="C184" t="n">
        <v>40</v>
      </c>
      <c r="D184" t="inlineStr">
        <is>
          <t>A31</t>
        </is>
      </c>
      <c r="E184" t="inlineStr">
        <is>
          <t>A73</t>
        </is>
      </c>
      <c r="F184" t="inlineStr">
        <is>
          <t>Bad</t>
        </is>
      </c>
      <c r="G184" t="n">
        <v>0</v>
      </c>
    </row>
    <row r="185">
      <c r="A185" t="n">
        <v>184</v>
      </c>
      <c r="B185" t="n">
        <v>3777</v>
      </c>
      <c r="C185" t="n">
        <v>50</v>
      </c>
      <c r="D185" t="inlineStr">
        <is>
          <t>A34</t>
        </is>
      </c>
      <c r="E185" t="inlineStr">
        <is>
          <t>A73</t>
        </is>
      </c>
      <c r="F185" t="inlineStr">
        <is>
          <t>Good</t>
        </is>
      </c>
      <c r="G185" t="n">
        <v>1</v>
      </c>
    </row>
    <row r="186">
      <c r="A186" t="n">
        <v>185</v>
      </c>
      <c r="B186" t="n">
        <v>884</v>
      </c>
      <c r="C186" t="n">
        <v>36</v>
      </c>
      <c r="D186" t="inlineStr">
        <is>
          <t>A34</t>
        </is>
      </c>
      <c r="E186" t="inlineStr">
        <is>
          <t>A75</t>
        </is>
      </c>
      <c r="F186" t="inlineStr">
        <is>
          <t>Bad</t>
        </is>
      </c>
      <c r="G186" t="n">
        <v>0</v>
      </c>
    </row>
    <row r="187">
      <c r="A187" t="n">
        <v>186</v>
      </c>
      <c r="B187" t="n">
        <v>1360</v>
      </c>
      <c r="C187" t="n">
        <v>31</v>
      </c>
      <c r="D187" t="inlineStr">
        <is>
          <t>A34</t>
        </is>
      </c>
      <c r="E187" t="inlineStr">
        <is>
          <t>A73</t>
        </is>
      </c>
      <c r="F187" t="inlineStr">
        <is>
          <t>Good</t>
        </is>
      </c>
      <c r="G187" t="n">
        <v>1</v>
      </c>
    </row>
    <row r="188">
      <c r="A188" t="n">
        <v>187</v>
      </c>
      <c r="B188" t="n">
        <v>5129</v>
      </c>
      <c r="C188" t="n">
        <v>74</v>
      </c>
      <c r="D188" t="inlineStr">
        <is>
          <t>A31</t>
        </is>
      </c>
      <c r="E188" t="inlineStr">
        <is>
          <t>A75</t>
        </is>
      </c>
      <c r="F188" t="inlineStr">
        <is>
          <t>Bad</t>
        </is>
      </c>
      <c r="G188" t="n">
        <v>0</v>
      </c>
    </row>
    <row r="189">
      <c r="A189" t="n">
        <v>188</v>
      </c>
      <c r="B189" t="n">
        <v>1175</v>
      </c>
      <c r="C189" t="n">
        <v>68</v>
      </c>
      <c r="D189" t="inlineStr">
        <is>
          <t>A34</t>
        </is>
      </c>
      <c r="E189" t="inlineStr">
        <is>
          <t>A71</t>
        </is>
      </c>
      <c r="F189" t="inlineStr">
        <is>
          <t>Good</t>
        </is>
      </c>
      <c r="G189" t="n">
        <v>1</v>
      </c>
    </row>
    <row r="190">
      <c r="A190" t="n">
        <v>189</v>
      </c>
      <c r="B190" t="n">
        <v>674</v>
      </c>
      <c r="C190" t="n">
        <v>20</v>
      </c>
      <c r="D190" t="inlineStr">
        <is>
          <t>A32</t>
        </is>
      </c>
      <c r="E190" t="inlineStr">
        <is>
          <t>A74</t>
        </is>
      </c>
      <c r="F190" t="inlineStr">
        <is>
          <t>Bad</t>
        </is>
      </c>
      <c r="G190" t="n">
        <v>0</v>
      </c>
    </row>
    <row r="191">
      <c r="A191" t="n">
        <v>190</v>
      </c>
      <c r="B191" t="n">
        <v>3244</v>
      </c>
      <c r="C191" t="n">
        <v>33</v>
      </c>
      <c r="D191" t="inlineStr">
        <is>
          <t>A30</t>
        </is>
      </c>
      <c r="E191" t="inlineStr">
        <is>
          <t>A73</t>
        </is>
      </c>
      <c r="F191" t="inlineStr">
        <is>
          <t>Good</t>
        </is>
      </c>
      <c r="G191" t="n">
        <v>1</v>
      </c>
    </row>
    <row r="192">
      <c r="A192" t="n">
        <v>191</v>
      </c>
      <c r="B192" t="n">
        <v>4591</v>
      </c>
      <c r="C192" t="n">
        <v>54</v>
      </c>
      <c r="D192" t="inlineStr">
        <is>
          <t>A32</t>
        </is>
      </c>
      <c r="E192" t="inlineStr">
        <is>
          <t>A73</t>
        </is>
      </c>
      <c r="F192" t="inlineStr">
        <is>
          <t>Bad</t>
        </is>
      </c>
      <c r="G192" t="n">
        <v>0</v>
      </c>
    </row>
    <row r="193">
      <c r="A193" t="n">
        <v>192</v>
      </c>
      <c r="B193" t="n">
        <v>3844</v>
      </c>
      <c r="C193" t="n">
        <v>34</v>
      </c>
      <c r="D193" t="inlineStr">
        <is>
          <t>A30</t>
        </is>
      </c>
      <c r="E193" t="inlineStr">
        <is>
          <t>A74</t>
        </is>
      </c>
      <c r="F193" t="inlineStr">
        <is>
          <t>Bad</t>
        </is>
      </c>
      <c r="G193" t="n">
        <v>0</v>
      </c>
    </row>
    <row r="194">
      <c r="A194" t="n">
        <v>193</v>
      </c>
      <c r="B194" t="n">
        <v>3915</v>
      </c>
      <c r="C194" t="n">
        <v>36</v>
      </c>
      <c r="D194" t="inlineStr">
        <is>
          <t>A32</t>
        </is>
      </c>
      <c r="E194" t="inlineStr">
        <is>
          <t>A73</t>
        </is>
      </c>
      <c r="F194" t="inlineStr">
        <is>
          <t>Bad</t>
        </is>
      </c>
      <c r="G194" t="n">
        <v>0</v>
      </c>
    </row>
    <row r="195">
      <c r="A195" t="n">
        <v>194</v>
      </c>
      <c r="B195" t="n">
        <v>2108</v>
      </c>
      <c r="C195" t="n">
        <v>29</v>
      </c>
      <c r="D195" t="inlineStr">
        <is>
          <t>A32</t>
        </is>
      </c>
      <c r="E195" t="inlineStr">
        <is>
          <t>A74</t>
        </is>
      </c>
      <c r="F195" t="inlineStr">
        <is>
          <t>Good</t>
        </is>
      </c>
      <c r="G195" t="n">
        <v>1</v>
      </c>
    </row>
    <row r="196">
      <c r="A196" t="n">
        <v>195</v>
      </c>
      <c r="B196" t="n">
        <v>3031</v>
      </c>
      <c r="C196" t="n">
        <v>21</v>
      </c>
      <c r="D196" t="inlineStr">
        <is>
          <t>A32</t>
        </is>
      </c>
      <c r="E196" t="inlineStr">
        <is>
          <t>A73</t>
        </is>
      </c>
      <c r="F196" t="inlineStr">
        <is>
          <t>Bad</t>
        </is>
      </c>
      <c r="G196" t="n">
        <v>0</v>
      </c>
    </row>
    <row r="197">
      <c r="A197" t="n">
        <v>196</v>
      </c>
      <c r="B197" t="n">
        <v>1501</v>
      </c>
      <c r="C197" t="n">
        <v>34</v>
      </c>
      <c r="D197" t="inlineStr">
        <is>
          <t>A34</t>
        </is>
      </c>
      <c r="E197" t="inlineStr">
        <is>
          <t>A75</t>
        </is>
      </c>
      <c r="F197" t="inlineStr">
        <is>
          <t>Bad</t>
        </is>
      </c>
      <c r="G197" t="n">
        <v>0</v>
      </c>
    </row>
    <row r="198">
      <c r="A198" t="n">
        <v>197</v>
      </c>
      <c r="B198" t="n">
        <v>1382</v>
      </c>
      <c r="C198" t="n">
        <v>28</v>
      </c>
      <c r="D198" t="inlineStr">
        <is>
          <t>A34</t>
        </is>
      </c>
      <c r="E198" t="inlineStr">
        <is>
          <t>A73</t>
        </is>
      </c>
      <c r="F198" t="inlineStr">
        <is>
          <t>Good</t>
        </is>
      </c>
      <c r="G198" t="n">
        <v>1</v>
      </c>
    </row>
    <row r="199">
      <c r="A199" t="n">
        <v>198</v>
      </c>
      <c r="B199" t="n">
        <v>951</v>
      </c>
      <c r="C199" t="n">
        <v>27</v>
      </c>
      <c r="D199" t="inlineStr">
        <is>
          <t>A32</t>
        </is>
      </c>
      <c r="E199" t="inlineStr">
        <is>
          <t>A72</t>
        </is>
      </c>
      <c r="F199" t="inlineStr">
        <is>
          <t>Bad</t>
        </is>
      </c>
      <c r="G199" t="n">
        <v>0</v>
      </c>
    </row>
    <row r="200">
      <c r="A200" t="n">
        <v>199</v>
      </c>
      <c r="B200" t="n">
        <v>2760</v>
      </c>
      <c r="C200" t="n">
        <v>36</v>
      </c>
      <c r="D200" t="inlineStr">
        <is>
          <t>A32</t>
        </is>
      </c>
      <c r="E200" t="inlineStr">
        <is>
          <t>A75</t>
        </is>
      </c>
      <c r="F200" t="inlineStr">
        <is>
          <t>Good</t>
        </is>
      </c>
      <c r="G200" t="n">
        <v>1</v>
      </c>
    </row>
    <row r="201">
      <c r="A201" t="n">
        <v>200</v>
      </c>
      <c r="B201" t="n">
        <v>4297</v>
      </c>
      <c r="C201" t="n">
        <v>40</v>
      </c>
      <c r="D201" t="inlineStr">
        <is>
          <t>A33</t>
        </is>
      </c>
      <c r="E201" t="inlineStr">
        <is>
          <t>A75</t>
        </is>
      </c>
      <c r="F201" t="inlineStr">
        <is>
          <t>Bad</t>
        </is>
      </c>
      <c r="G201" t="n">
        <v>0</v>
      </c>
    </row>
    <row r="202">
      <c r="A202" t="n">
        <v>201</v>
      </c>
      <c r="B202" t="n">
        <v>936</v>
      </c>
      <c r="C202" t="n">
        <v>52</v>
      </c>
      <c r="D202" t="inlineStr">
        <is>
          <t>A34</t>
        </is>
      </c>
      <c r="E202" t="inlineStr">
        <is>
          <t>A75</t>
        </is>
      </c>
      <c r="F202" t="inlineStr">
        <is>
          <t>Good</t>
        </is>
      </c>
      <c r="G202" t="n">
        <v>1</v>
      </c>
    </row>
    <row r="203">
      <c r="A203" t="n">
        <v>202</v>
      </c>
      <c r="B203" t="n">
        <v>1168</v>
      </c>
      <c r="C203" t="n">
        <v>27</v>
      </c>
      <c r="D203" t="inlineStr">
        <is>
          <t>A32</t>
        </is>
      </c>
      <c r="E203" t="inlineStr">
        <is>
          <t>A73</t>
        </is>
      </c>
      <c r="F203" t="inlineStr">
        <is>
          <t>Good</t>
        </is>
      </c>
      <c r="G203" t="n">
        <v>1</v>
      </c>
    </row>
    <row r="204">
      <c r="A204" t="n">
        <v>203</v>
      </c>
      <c r="B204" t="n">
        <v>5117</v>
      </c>
      <c r="C204" t="n">
        <v>26</v>
      </c>
      <c r="D204" t="inlineStr">
        <is>
          <t>A33</t>
        </is>
      </c>
      <c r="E204" t="inlineStr">
        <is>
          <t>A74</t>
        </is>
      </c>
      <c r="F204" t="inlineStr">
        <is>
          <t>Good</t>
        </is>
      </c>
      <c r="G204" t="n">
        <v>1</v>
      </c>
    </row>
    <row r="205">
      <c r="A205" t="n">
        <v>204</v>
      </c>
      <c r="B205" t="n">
        <v>902</v>
      </c>
      <c r="C205" t="n">
        <v>21</v>
      </c>
      <c r="D205" t="inlineStr">
        <is>
          <t>A32</t>
        </is>
      </c>
      <c r="E205" t="inlineStr">
        <is>
          <t>A74</t>
        </is>
      </c>
      <c r="F205" t="inlineStr">
        <is>
          <t>Bad</t>
        </is>
      </c>
      <c r="G205" t="n">
        <v>0</v>
      </c>
    </row>
    <row r="206">
      <c r="A206" t="n">
        <v>205</v>
      </c>
      <c r="B206" t="n">
        <v>1495</v>
      </c>
      <c r="C206" t="n">
        <v>38</v>
      </c>
      <c r="D206" t="inlineStr">
        <is>
          <t>A34</t>
        </is>
      </c>
      <c r="E206" t="inlineStr">
        <is>
          <t>A75</t>
        </is>
      </c>
      <c r="F206" t="inlineStr">
        <is>
          <t>Good</t>
        </is>
      </c>
      <c r="G206" t="n">
        <v>1</v>
      </c>
    </row>
    <row r="207">
      <c r="A207" t="n">
        <v>206</v>
      </c>
      <c r="B207" t="n">
        <v>10623</v>
      </c>
      <c r="C207" t="n">
        <v>38</v>
      </c>
      <c r="D207" t="inlineStr">
        <is>
          <t>A34</t>
        </is>
      </c>
      <c r="E207" t="inlineStr">
        <is>
          <t>A75</t>
        </is>
      </c>
      <c r="F207" t="inlineStr">
        <is>
          <t>Good</t>
        </is>
      </c>
      <c r="G207" t="n">
        <v>1</v>
      </c>
    </row>
    <row r="208">
      <c r="A208" t="n">
        <v>207</v>
      </c>
      <c r="B208" t="n">
        <v>1935</v>
      </c>
      <c r="C208" t="n">
        <v>43</v>
      </c>
      <c r="D208" t="inlineStr">
        <is>
          <t>A34</t>
        </is>
      </c>
      <c r="E208" t="inlineStr">
        <is>
          <t>A75</t>
        </is>
      </c>
      <c r="F208" t="inlineStr">
        <is>
          <t>Good</t>
        </is>
      </c>
      <c r="G208" t="n">
        <v>1</v>
      </c>
    </row>
    <row r="209">
      <c r="A209" t="n">
        <v>208</v>
      </c>
      <c r="B209" t="n">
        <v>1424</v>
      </c>
      <c r="C209" t="n">
        <v>26</v>
      </c>
      <c r="D209" t="inlineStr">
        <is>
          <t>A34</t>
        </is>
      </c>
      <c r="E209" t="inlineStr">
        <is>
          <t>A74</t>
        </is>
      </c>
      <c r="F209" t="inlineStr">
        <is>
          <t>Good</t>
        </is>
      </c>
      <c r="G209" t="n">
        <v>1</v>
      </c>
    </row>
    <row r="210">
      <c r="A210" t="n">
        <v>209</v>
      </c>
      <c r="B210" t="n">
        <v>6568</v>
      </c>
      <c r="C210" t="n">
        <v>21</v>
      </c>
      <c r="D210" t="inlineStr">
        <is>
          <t>A32</t>
        </is>
      </c>
      <c r="E210" t="inlineStr">
        <is>
          <t>A73</t>
        </is>
      </c>
      <c r="F210" t="inlineStr">
        <is>
          <t>Good</t>
        </is>
      </c>
      <c r="G210" t="n">
        <v>1</v>
      </c>
    </row>
    <row r="211">
      <c r="A211" t="n">
        <v>210</v>
      </c>
      <c r="B211" t="n">
        <v>1413</v>
      </c>
      <c r="C211" t="n">
        <v>55</v>
      </c>
      <c r="D211" t="inlineStr">
        <is>
          <t>A32</t>
        </is>
      </c>
      <c r="E211" t="inlineStr">
        <is>
          <t>A74</t>
        </is>
      </c>
      <c r="F211" t="inlineStr">
        <is>
          <t>Good</t>
        </is>
      </c>
      <c r="G211" t="n">
        <v>1</v>
      </c>
    </row>
    <row r="212">
      <c r="A212" t="n">
        <v>211</v>
      </c>
      <c r="B212" t="n">
        <v>3074</v>
      </c>
      <c r="C212" t="n">
        <v>33</v>
      </c>
      <c r="D212" t="inlineStr">
        <is>
          <t>A34</t>
        </is>
      </c>
      <c r="E212" t="inlineStr">
        <is>
          <t>A73</t>
        </is>
      </c>
      <c r="F212" t="inlineStr">
        <is>
          <t>Good</t>
        </is>
      </c>
      <c r="G212" t="n">
        <v>1</v>
      </c>
    </row>
    <row r="213">
      <c r="A213" t="n">
        <v>212</v>
      </c>
      <c r="B213" t="n">
        <v>3835</v>
      </c>
      <c r="C213" t="n">
        <v>45</v>
      </c>
      <c r="D213" t="inlineStr">
        <is>
          <t>A32</t>
        </is>
      </c>
      <c r="E213" t="inlineStr">
        <is>
          <t>A75</t>
        </is>
      </c>
      <c r="F213" t="inlineStr">
        <is>
          <t>Good</t>
        </is>
      </c>
      <c r="G213" t="n">
        <v>1</v>
      </c>
    </row>
    <row r="214">
      <c r="A214" t="n">
        <v>213</v>
      </c>
      <c r="B214" t="n">
        <v>5293</v>
      </c>
      <c r="C214" t="n">
        <v>50</v>
      </c>
      <c r="D214" t="inlineStr">
        <is>
          <t>A30</t>
        </is>
      </c>
      <c r="E214" t="inlineStr">
        <is>
          <t>A71</t>
        </is>
      </c>
      <c r="F214" t="inlineStr">
        <is>
          <t>Bad</t>
        </is>
      </c>
      <c r="G214" t="n">
        <v>0</v>
      </c>
    </row>
    <row r="215">
      <c r="A215" t="n">
        <v>214</v>
      </c>
      <c r="B215" t="n">
        <v>1908</v>
      </c>
      <c r="C215" t="n">
        <v>66</v>
      </c>
      <c r="D215" t="inlineStr">
        <is>
          <t>A33</t>
        </is>
      </c>
      <c r="E215" t="inlineStr">
        <is>
          <t>A75</t>
        </is>
      </c>
      <c r="F215" t="inlineStr">
        <is>
          <t>Bad</t>
        </is>
      </c>
      <c r="G215" t="n">
        <v>0</v>
      </c>
    </row>
    <row r="216">
      <c r="A216" t="n">
        <v>215</v>
      </c>
      <c r="B216" t="n">
        <v>3342</v>
      </c>
      <c r="C216" t="n">
        <v>51</v>
      </c>
      <c r="D216" t="inlineStr">
        <is>
          <t>A34</t>
        </is>
      </c>
      <c r="E216" t="inlineStr">
        <is>
          <t>A75</t>
        </is>
      </c>
      <c r="F216" t="inlineStr">
        <is>
          <t>Good</t>
        </is>
      </c>
      <c r="G216" t="n">
        <v>1</v>
      </c>
    </row>
    <row r="217">
      <c r="A217" t="n">
        <v>216</v>
      </c>
      <c r="B217" t="n">
        <v>932</v>
      </c>
      <c r="C217" t="n">
        <v>39</v>
      </c>
      <c r="D217" t="inlineStr">
        <is>
          <t>A34</t>
        </is>
      </c>
      <c r="E217" t="inlineStr">
        <is>
          <t>A74</t>
        </is>
      </c>
      <c r="F217" t="inlineStr">
        <is>
          <t>Good</t>
        </is>
      </c>
      <c r="G217" t="n">
        <v>1</v>
      </c>
    </row>
    <row r="218">
      <c r="A218" t="n">
        <v>217</v>
      </c>
      <c r="B218" t="n">
        <v>3104</v>
      </c>
      <c r="C218" t="n">
        <v>31</v>
      </c>
      <c r="D218" t="inlineStr">
        <is>
          <t>A30</t>
        </is>
      </c>
      <c r="E218" t="inlineStr">
        <is>
          <t>A74</t>
        </is>
      </c>
      <c r="F218" t="inlineStr">
        <is>
          <t>Good</t>
        </is>
      </c>
      <c r="G218" t="n">
        <v>1</v>
      </c>
    </row>
    <row r="219">
      <c r="A219" t="n">
        <v>218</v>
      </c>
      <c r="B219" t="n">
        <v>3913</v>
      </c>
      <c r="C219" t="n">
        <v>23</v>
      </c>
      <c r="D219" t="inlineStr">
        <is>
          <t>A32</t>
        </is>
      </c>
      <c r="E219" t="inlineStr">
        <is>
          <t>A73</t>
        </is>
      </c>
      <c r="F219" t="inlineStr">
        <is>
          <t>Good</t>
        </is>
      </c>
      <c r="G219" t="n">
        <v>1</v>
      </c>
    </row>
    <row r="220">
      <c r="A220" t="n">
        <v>219</v>
      </c>
      <c r="B220" t="n">
        <v>3021</v>
      </c>
      <c r="C220" t="n">
        <v>24</v>
      </c>
      <c r="D220" t="inlineStr">
        <is>
          <t>A32</t>
        </is>
      </c>
      <c r="E220" t="inlineStr">
        <is>
          <t>A73</t>
        </is>
      </c>
      <c r="F220" t="inlineStr">
        <is>
          <t>Good</t>
        </is>
      </c>
      <c r="G220" t="n">
        <v>1</v>
      </c>
    </row>
    <row r="221">
      <c r="A221" t="n">
        <v>220</v>
      </c>
      <c r="B221" t="n">
        <v>1364</v>
      </c>
      <c r="C221" t="n">
        <v>64</v>
      </c>
      <c r="D221" t="inlineStr">
        <is>
          <t>A32</t>
        </is>
      </c>
      <c r="E221" t="inlineStr">
        <is>
          <t>A73</t>
        </is>
      </c>
      <c r="F221" t="inlineStr">
        <is>
          <t>Good</t>
        </is>
      </c>
      <c r="G221" t="n">
        <v>1</v>
      </c>
    </row>
    <row r="222">
      <c r="A222" t="n">
        <v>221</v>
      </c>
      <c r="B222" t="n">
        <v>625</v>
      </c>
      <c r="C222" t="n">
        <v>26</v>
      </c>
      <c r="D222" t="inlineStr">
        <is>
          <t>A32</t>
        </is>
      </c>
      <c r="E222" t="inlineStr">
        <is>
          <t>A72</t>
        </is>
      </c>
      <c r="F222" t="inlineStr">
        <is>
          <t>Good</t>
        </is>
      </c>
      <c r="G222" t="n">
        <v>1</v>
      </c>
    </row>
    <row r="223">
      <c r="A223" t="n">
        <v>222</v>
      </c>
      <c r="B223" t="n">
        <v>1200</v>
      </c>
      <c r="C223" t="n">
        <v>23</v>
      </c>
      <c r="D223" t="inlineStr">
        <is>
          <t>A32</t>
        </is>
      </c>
      <c r="E223" t="inlineStr">
        <is>
          <t>A73</t>
        </is>
      </c>
      <c r="F223" t="inlineStr">
        <is>
          <t>Good</t>
        </is>
      </c>
      <c r="G223" t="n">
        <v>1</v>
      </c>
    </row>
    <row r="224">
      <c r="A224" t="n">
        <v>223</v>
      </c>
      <c r="B224" t="n">
        <v>707</v>
      </c>
      <c r="C224" t="n">
        <v>30</v>
      </c>
      <c r="D224" t="inlineStr">
        <is>
          <t>A32</t>
        </is>
      </c>
      <c r="E224" t="inlineStr">
        <is>
          <t>A73</t>
        </is>
      </c>
      <c r="F224" t="inlineStr">
        <is>
          <t>Good</t>
        </is>
      </c>
      <c r="G224" t="n">
        <v>1</v>
      </c>
    </row>
    <row r="225">
      <c r="A225" t="n">
        <v>224</v>
      </c>
      <c r="B225" t="n">
        <v>2978</v>
      </c>
      <c r="C225" t="n">
        <v>32</v>
      </c>
      <c r="D225" t="inlineStr">
        <is>
          <t>A33</t>
        </is>
      </c>
      <c r="E225" t="inlineStr">
        <is>
          <t>A73</t>
        </is>
      </c>
      <c r="F225" t="inlineStr">
        <is>
          <t>Good</t>
        </is>
      </c>
      <c r="G225" t="n">
        <v>1</v>
      </c>
    </row>
    <row r="226">
      <c r="A226" t="n">
        <v>225</v>
      </c>
      <c r="B226" t="n">
        <v>4657</v>
      </c>
      <c r="C226" t="n">
        <v>30</v>
      </c>
      <c r="D226" t="inlineStr">
        <is>
          <t>A32</t>
        </is>
      </c>
      <c r="E226" t="inlineStr">
        <is>
          <t>A73</t>
        </is>
      </c>
      <c r="F226" t="inlineStr">
        <is>
          <t>Good</t>
        </is>
      </c>
      <c r="G226" t="n">
        <v>1</v>
      </c>
    </row>
    <row r="227">
      <c r="A227" t="n">
        <v>226</v>
      </c>
      <c r="B227" t="n">
        <v>2613</v>
      </c>
      <c r="C227" t="n">
        <v>27</v>
      </c>
      <c r="D227" t="inlineStr">
        <is>
          <t>A30</t>
        </is>
      </c>
      <c r="E227" t="inlineStr">
        <is>
          <t>A73</t>
        </is>
      </c>
      <c r="F227" t="inlineStr">
        <is>
          <t>Good</t>
        </is>
      </c>
      <c r="G227" t="n">
        <v>1</v>
      </c>
    </row>
    <row r="228">
      <c r="A228" t="n">
        <v>227</v>
      </c>
      <c r="B228" t="n">
        <v>10961</v>
      </c>
      <c r="C228" t="n">
        <v>27</v>
      </c>
      <c r="D228" t="inlineStr">
        <is>
          <t>A32</t>
        </is>
      </c>
      <c r="E228" t="inlineStr">
        <is>
          <t>A74</t>
        </is>
      </c>
      <c r="F228" t="inlineStr">
        <is>
          <t>Bad</t>
        </is>
      </c>
      <c r="G228" t="n">
        <v>0</v>
      </c>
    </row>
    <row r="229">
      <c r="A229" t="n">
        <v>228</v>
      </c>
      <c r="B229" t="n">
        <v>7865</v>
      </c>
      <c r="C229" t="n">
        <v>53</v>
      </c>
      <c r="D229" t="inlineStr">
        <is>
          <t>A32</t>
        </is>
      </c>
      <c r="E229" t="inlineStr">
        <is>
          <t>A75</t>
        </is>
      </c>
      <c r="F229" t="inlineStr">
        <is>
          <t>Bad</t>
        </is>
      </c>
      <c r="G229" t="n">
        <v>0</v>
      </c>
    </row>
    <row r="230">
      <c r="A230" t="n">
        <v>229</v>
      </c>
      <c r="B230" t="n">
        <v>1478</v>
      </c>
      <c r="C230" t="n">
        <v>22</v>
      </c>
      <c r="D230" t="inlineStr">
        <is>
          <t>A32</t>
        </is>
      </c>
      <c r="E230" t="inlineStr">
        <is>
          <t>A74</t>
        </is>
      </c>
      <c r="F230" t="inlineStr">
        <is>
          <t>Bad</t>
        </is>
      </c>
      <c r="G230" t="n">
        <v>0</v>
      </c>
    </row>
    <row r="231">
      <c r="A231" t="n">
        <v>230</v>
      </c>
      <c r="B231" t="n">
        <v>3149</v>
      </c>
      <c r="C231" t="n">
        <v>22</v>
      </c>
      <c r="D231" t="inlineStr">
        <is>
          <t>A32</t>
        </is>
      </c>
      <c r="E231" t="inlineStr">
        <is>
          <t>A72</t>
        </is>
      </c>
      <c r="F231" t="inlineStr">
        <is>
          <t>Good</t>
        </is>
      </c>
      <c r="G231" t="n">
        <v>1</v>
      </c>
    </row>
    <row r="232">
      <c r="A232" t="n">
        <v>231</v>
      </c>
      <c r="B232" t="n">
        <v>4210</v>
      </c>
      <c r="C232" t="n">
        <v>26</v>
      </c>
      <c r="D232" t="inlineStr">
        <is>
          <t>A32</t>
        </is>
      </c>
      <c r="E232" t="inlineStr">
        <is>
          <t>A73</t>
        </is>
      </c>
      <c r="F232" t="inlineStr">
        <is>
          <t>Bad</t>
        </is>
      </c>
      <c r="G232" t="n">
        <v>0</v>
      </c>
    </row>
    <row r="233">
      <c r="A233" t="n">
        <v>232</v>
      </c>
      <c r="B233" t="n">
        <v>2507</v>
      </c>
      <c r="C233" t="n">
        <v>51</v>
      </c>
      <c r="D233" t="inlineStr">
        <is>
          <t>A32</t>
        </is>
      </c>
      <c r="E233" t="inlineStr">
        <is>
          <t>A75</t>
        </is>
      </c>
      <c r="F233" t="inlineStr">
        <is>
          <t>Good</t>
        </is>
      </c>
      <c r="G233" t="n">
        <v>1</v>
      </c>
    </row>
    <row r="234">
      <c r="A234" t="n">
        <v>233</v>
      </c>
      <c r="B234" t="n">
        <v>2141</v>
      </c>
      <c r="C234" t="n">
        <v>35</v>
      </c>
      <c r="D234" t="inlineStr">
        <is>
          <t>A32</t>
        </is>
      </c>
      <c r="E234" t="inlineStr">
        <is>
          <t>A74</t>
        </is>
      </c>
      <c r="F234" t="inlineStr">
        <is>
          <t>Good</t>
        </is>
      </c>
      <c r="G234" t="n">
        <v>1</v>
      </c>
    </row>
    <row r="235">
      <c r="A235" t="n">
        <v>234</v>
      </c>
      <c r="B235" t="n">
        <v>866</v>
      </c>
      <c r="C235" t="n">
        <v>25</v>
      </c>
      <c r="D235" t="inlineStr">
        <is>
          <t>A32</t>
        </is>
      </c>
      <c r="E235" t="inlineStr">
        <is>
          <t>A73</t>
        </is>
      </c>
      <c r="F235" t="inlineStr">
        <is>
          <t>Good</t>
        </is>
      </c>
      <c r="G235" t="n">
        <v>1</v>
      </c>
    </row>
    <row r="236">
      <c r="A236" t="n">
        <v>235</v>
      </c>
      <c r="B236" t="n">
        <v>1544</v>
      </c>
      <c r="C236" t="n">
        <v>42</v>
      </c>
      <c r="D236" t="inlineStr">
        <is>
          <t>A34</t>
        </is>
      </c>
      <c r="E236" t="inlineStr">
        <is>
          <t>A74</t>
        </is>
      </c>
      <c r="F236" t="inlineStr">
        <is>
          <t>Good</t>
        </is>
      </c>
      <c r="G236" t="n">
        <v>1</v>
      </c>
    </row>
    <row r="237">
      <c r="A237" t="n">
        <v>236</v>
      </c>
      <c r="B237" t="n">
        <v>1823</v>
      </c>
      <c r="C237" t="n">
        <v>30</v>
      </c>
      <c r="D237" t="inlineStr">
        <is>
          <t>A32</t>
        </is>
      </c>
      <c r="E237" t="inlineStr">
        <is>
          <t>A71</t>
        </is>
      </c>
      <c r="F237" t="inlineStr">
        <is>
          <t>Bad</t>
        </is>
      </c>
      <c r="G237" t="n">
        <v>0</v>
      </c>
    </row>
    <row r="238">
      <c r="A238" t="n">
        <v>237</v>
      </c>
      <c r="B238" t="n">
        <v>14555</v>
      </c>
      <c r="C238" t="n">
        <v>23</v>
      </c>
      <c r="D238" t="inlineStr">
        <is>
          <t>A32</t>
        </is>
      </c>
      <c r="E238" t="inlineStr">
        <is>
          <t>A71</t>
        </is>
      </c>
      <c r="F238" t="inlineStr">
        <is>
          <t>Bad</t>
        </is>
      </c>
      <c r="G238" t="n">
        <v>0</v>
      </c>
    </row>
    <row r="239">
      <c r="A239" t="n">
        <v>238</v>
      </c>
      <c r="B239" t="n">
        <v>2767</v>
      </c>
      <c r="C239" t="n">
        <v>61</v>
      </c>
      <c r="D239" t="inlineStr">
        <is>
          <t>A32</t>
        </is>
      </c>
      <c r="E239" t="inlineStr">
        <is>
          <t>A75</t>
        </is>
      </c>
      <c r="F239" t="inlineStr">
        <is>
          <t>Bad</t>
        </is>
      </c>
      <c r="G239" t="n">
        <v>0</v>
      </c>
    </row>
    <row r="240">
      <c r="A240" t="n">
        <v>239</v>
      </c>
      <c r="B240" t="n">
        <v>1291</v>
      </c>
      <c r="C240" t="n">
        <v>35</v>
      </c>
      <c r="D240" t="inlineStr">
        <is>
          <t>A34</t>
        </is>
      </c>
      <c r="E240" t="inlineStr">
        <is>
          <t>A73</t>
        </is>
      </c>
      <c r="F240" t="inlineStr">
        <is>
          <t>Good</t>
        </is>
      </c>
      <c r="G240" t="n">
        <v>1</v>
      </c>
    </row>
    <row r="241">
      <c r="A241" t="n">
        <v>240</v>
      </c>
      <c r="B241" t="n">
        <v>2522</v>
      </c>
      <c r="C241" t="n">
        <v>39</v>
      </c>
      <c r="D241" t="inlineStr">
        <is>
          <t>A32</t>
        </is>
      </c>
      <c r="E241" t="inlineStr">
        <is>
          <t>A75</t>
        </is>
      </c>
      <c r="F241" t="inlineStr">
        <is>
          <t>Good</t>
        </is>
      </c>
      <c r="G241" t="n">
        <v>1</v>
      </c>
    </row>
    <row r="242">
      <c r="A242" t="n">
        <v>241</v>
      </c>
      <c r="B242" t="n">
        <v>915</v>
      </c>
      <c r="C242" t="n">
        <v>29</v>
      </c>
      <c r="D242" t="inlineStr">
        <is>
          <t>A32</t>
        </is>
      </c>
      <c r="E242" t="inlineStr">
        <is>
          <t>A75</t>
        </is>
      </c>
      <c r="F242" t="inlineStr">
        <is>
          <t>Bad</t>
        </is>
      </c>
      <c r="G242" t="n">
        <v>0</v>
      </c>
    </row>
    <row r="243">
      <c r="A243" t="n">
        <v>242</v>
      </c>
      <c r="B243" t="n">
        <v>1595</v>
      </c>
      <c r="C243" t="n">
        <v>51</v>
      </c>
      <c r="D243" t="inlineStr">
        <is>
          <t>A32</t>
        </is>
      </c>
      <c r="E243" t="inlineStr">
        <is>
          <t>A74</t>
        </is>
      </c>
      <c r="F243" t="inlineStr">
        <is>
          <t>Good</t>
        </is>
      </c>
      <c r="G243" t="n">
        <v>1</v>
      </c>
    </row>
    <row r="244">
      <c r="A244" t="n">
        <v>243</v>
      </c>
      <c r="B244" t="n">
        <v>4605</v>
      </c>
      <c r="C244" t="n">
        <v>24</v>
      </c>
      <c r="D244" t="inlineStr">
        <is>
          <t>A30</t>
        </is>
      </c>
      <c r="E244" t="inlineStr">
        <is>
          <t>A75</t>
        </is>
      </c>
      <c r="F244" t="inlineStr">
        <is>
          <t>Bad</t>
        </is>
      </c>
      <c r="G244" t="n">
        <v>0</v>
      </c>
    </row>
    <row r="245">
      <c r="A245" t="n">
        <v>244</v>
      </c>
      <c r="B245" t="n">
        <v>1185</v>
      </c>
      <c r="C245" t="n">
        <v>27</v>
      </c>
      <c r="D245" t="inlineStr">
        <is>
          <t>A34</t>
        </is>
      </c>
      <c r="E245" t="inlineStr">
        <is>
          <t>A73</t>
        </is>
      </c>
      <c r="F245" t="inlineStr">
        <is>
          <t>Good</t>
        </is>
      </c>
      <c r="G245" t="n">
        <v>1</v>
      </c>
    </row>
    <row r="246">
      <c r="A246" t="n">
        <v>245</v>
      </c>
      <c r="B246" t="n">
        <v>3447</v>
      </c>
      <c r="C246" t="n">
        <v>35</v>
      </c>
      <c r="D246" t="inlineStr">
        <is>
          <t>A31</t>
        </is>
      </c>
      <c r="E246" t="inlineStr">
        <is>
          <t>A73</t>
        </is>
      </c>
      <c r="F246" t="inlineStr">
        <is>
          <t>Good</t>
        </is>
      </c>
      <c r="G246" t="n">
        <v>1</v>
      </c>
    </row>
    <row r="247">
      <c r="A247" t="n">
        <v>246</v>
      </c>
      <c r="B247" t="n">
        <v>1258</v>
      </c>
      <c r="C247" t="n">
        <v>25</v>
      </c>
      <c r="D247" t="inlineStr">
        <is>
          <t>A32</t>
        </is>
      </c>
      <c r="E247" t="inlineStr">
        <is>
          <t>A74</t>
        </is>
      </c>
      <c r="F247" t="inlineStr">
        <is>
          <t>Good</t>
        </is>
      </c>
      <c r="G247" t="n">
        <v>1</v>
      </c>
    </row>
    <row r="248">
      <c r="A248" t="n">
        <v>247</v>
      </c>
      <c r="B248" t="n">
        <v>717</v>
      </c>
      <c r="C248" t="n">
        <v>52</v>
      </c>
      <c r="D248" t="inlineStr">
        <is>
          <t>A34</t>
        </is>
      </c>
      <c r="E248" t="inlineStr">
        <is>
          <t>A75</t>
        </is>
      </c>
      <c r="F248" t="inlineStr">
        <is>
          <t>Good</t>
        </is>
      </c>
      <c r="G248" t="n">
        <v>1</v>
      </c>
    </row>
    <row r="249">
      <c r="A249" t="n">
        <v>248</v>
      </c>
      <c r="B249" t="n">
        <v>1204</v>
      </c>
      <c r="C249" t="n">
        <v>35</v>
      </c>
      <c r="D249" t="inlineStr">
        <is>
          <t>A30</t>
        </is>
      </c>
      <c r="E249" t="inlineStr">
        <is>
          <t>A73</t>
        </is>
      </c>
      <c r="F249" t="inlineStr">
        <is>
          <t>Good</t>
        </is>
      </c>
      <c r="G249" t="n">
        <v>1</v>
      </c>
    </row>
    <row r="250">
      <c r="A250" t="n">
        <v>249</v>
      </c>
      <c r="B250" t="n">
        <v>1925</v>
      </c>
      <c r="C250" t="n">
        <v>26</v>
      </c>
      <c r="D250" t="inlineStr">
        <is>
          <t>A32</t>
        </is>
      </c>
      <c r="E250" t="inlineStr">
        <is>
          <t>A73</t>
        </is>
      </c>
      <c r="F250" t="inlineStr">
        <is>
          <t>Good</t>
        </is>
      </c>
      <c r="G250" t="n">
        <v>1</v>
      </c>
    </row>
    <row r="251">
      <c r="A251" t="n">
        <v>250</v>
      </c>
      <c r="B251" t="n">
        <v>433</v>
      </c>
      <c r="C251" t="n">
        <v>22</v>
      </c>
      <c r="D251" t="inlineStr">
        <is>
          <t>A32</t>
        </is>
      </c>
      <c r="E251" t="inlineStr">
        <is>
          <t>A71</t>
        </is>
      </c>
      <c r="F251" t="inlineStr">
        <is>
          <t>Bad</t>
        </is>
      </c>
      <c r="G251" t="n">
        <v>0</v>
      </c>
    </row>
    <row r="252">
      <c r="A252" t="n">
        <v>251</v>
      </c>
      <c r="B252" t="n">
        <v>666</v>
      </c>
      <c r="C252" t="n">
        <v>39</v>
      </c>
      <c r="D252" t="inlineStr">
        <is>
          <t>A34</t>
        </is>
      </c>
      <c r="E252" t="inlineStr">
        <is>
          <t>A74</t>
        </is>
      </c>
      <c r="F252" t="inlineStr">
        <is>
          <t>Good</t>
        </is>
      </c>
      <c r="G252" t="n">
        <v>1</v>
      </c>
    </row>
    <row r="253">
      <c r="A253" t="n">
        <v>252</v>
      </c>
      <c r="B253" t="n">
        <v>2251</v>
      </c>
      <c r="C253" t="n">
        <v>46</v>
      </c>
      <c r="D253" t="inlineStr">
        <is>
          <t>A32</t>
        </is>
      </c>
      <c r="E253" t="inlineStr">
        <is>
          <t>A73</t>
        </is>
      </c>
      <c r="F253" t="inlineStr">
        <is>
          <t>Good</t>
        </is>
      </c>
      <c r="G253" t="n">
        <v>1</v>
      </c>
    </row>
    <row r="254">
      <c r="A254" t="n">
        <v>253</v>
      </c>
      <c r="B254" t="n">
        <v>2150</v>
      </c>
      <c r="C254" t="n">
        <v>24</v>
      </c>
      <c r="D254" t="inlineStr">
        <is>
          <t>A32</t>
        </is>
      </c>
      <c r="E254" t="inlineStr">
        <is>
          <t>A73</t>
        </is>
      </c>
      <c r="F254" t="inlineStr">
        <is>
          <t>Bad</t>
        </is>
      </c>
      <c r="G254" t="n">
        <v>0</v>
      </c>
    </row>
    <row r="255">
      <c r="A255" t="n">
        <v>254</v>
      </c>
      <c r="B255" t="n">
        <v>4151</v>
      </c>
      <c r="C255" t="n">
        <v>35</v>
      </c>
      <c r="D255" t="inlineStr">
        <is>
          <t>A33</t>
        </is>
      </c>
      <c r="E255" t="inlineStr">
        <is>
          <t>A73</t>
        </is>
      </c>
      <c r="F255" t="inlineStr">
        <is>
          <t>Good</t>
        </is>
      </c>
      <c r="G255" t="n">
        <v>1</v>
      </c>
    </row>
    <row r="256">
      <c r="A256" t="n">
        <v>255</v>
      </c>
      <c r="B256" t="n">
        <v>2030</v>
      </c>
      <c r="C256" t="n">
        <v>24</v>
      </c>
      <c r="D256" t="inlineStr">
        <is>
          <t>A32</t>
        </is>
      </c>
      <c r="E256" t="inlineStr">
        <is>
          <t>A74</t>
        </is>
      </c>
      <c r="F256" t="inlineStr">
        <is>
          <t>Good</t>
        </is>
      </c>
      <c r="G256" t="n">
        <v>1</v>
      </c>
    </row>
    <row r="257">
      <c r="A257" t="n">
        <v>256</v>
      </c>
      <c r="B257" t="n">
        <v>7418</v>
      </c>
      <c r="C257" t="n">
        <v>27</v>
      </c>
      <c r="D257" t="inlineStr">
        <is>
          <t>A33</t>
        </is>
      </c>
      <c r="E257" t="inlineStr">
        <is>
          <t>A73</t>
        </is>
      </c>
      <c r="F257" t="inlineStr">
        <is>
          <t>Good</t>
        </is>
      </c>
      <c r="G257" t="n">
        <v>1</v>
      </c>
    </row>
    <row r="258">
      <c r="A258" t="n">
        <v>257</v>
      </c>
      <c r="B258" t="n">
        <v>2684</v>
      </c>
      <c r="C258" t="n">
        <v>35</v>
      </c>
      <c r="D258" t="inlineStr">
        <is>
          <t>A34</t>
        </is>
      </c>
      <c r="E258" t="inlineStr">
        <is>
          <t>A73</t>
        </is>
      </c>
      <c r="F258" t="inlineStr">
        <is>
          <t>Good</t>
        </is>
      </c>
      <c r="G258" t="n">
        <v>1</v>
      </c>
    </row>
    <row r="259">
      <c r="A259" t="n">
        <v>258</v>
      </c>
      <c r="B259" t="n">
        <v>2149</v>
      </c>
      <c r="C259" t="n">
        <v>29</v>
      </c>
      <c r="D259" t="inlineStr">
        <is>
          <t>A31</t>
        </is>
      </c>
      <c r="E259" t="inlineStr">
        <is>
          <t>A73</t>
        </is>
      </c>
      <c r="F259" t="inlineStr">
        <is>
          <t>Bad</t>
        </is>
      </c>
      <c r="G259" t="n">
        <v>0</v>
      </c>
    </row>
    <row r="260">
      <c r="A260" t="n">
        <v>259</v>
      </c>
      <c r="B260" t="n">
        <v>3812</v>
      </c>
      <c r="C260" t="n">
        <v>23</v>
      </c>
      <c r="D260" t="inlineStr">
        <is>
          <t>A32</t>
        </is>
      </c>
      <c r="E260" t="inlineStr">
        <is>
          <t>A72</t>
        </is>
      </c>
      <c r="F260" t="inlineStr">
        <is>
          <t>Good</t>
        </is>
      </c>
      <c r="G260" t="n">
        <v>1</v>
      </c>
    </row>
    <row r="261">
      <c r="A261" t="n">
        <v>260</v>
      </c>
      <c r="B261" t="n">
        <v>1154</v>
      </c>
      <c r="C261" t="n">
        <v>57</v>
      </c>
      <c r="D261" t="inlineStr">
        <is>
          <t>A34</t>
        </is>
      </c>
      <c r="E261" t="inlineStr">
        <is>
          <t>A71</t>
        </is>
      </c>
      <c r="F261" t="inlineStr">
        <is>
          <t>Good</t>
        </is>
      </c>
      <c r="G261" t="n">
        <v>1</v>
      </c>
    </row>
    <row r="262">
      <c r="A262" t="n">
        <v>261</v>
      </c>
      <c r="B262" t="n">
        <v>1657</v>
      </c>
      <c r="C262" t="n">
        <v>27</v>
      </c>
      <c r="D262" t="inlineStr">
        <is>
          <t>A32</t>
        </is>
      </c>
      <c r="E262" t="inlineStr">
        <is>
          <t>A73</t>
        </is>
      </c>
      <c r="F262" t="inlineStr">
        <is>
          <t>Good</t>
        </is>
      </c>
      <c r="G262" t="n">
        <v>1</v>
      </c>
    </row>
    <row r="263">
      <c r="A263" t="n">
        <v>262</v>
      </c>
      <c r="B263" t="n">
        <v>1603</v>
      </c>
      <c r="C263" t="n">
        <v>55</v>
      </c>
      <c r="D263" t="inlineStr">
        <is>
          <t>A32</t>
        </is>
      </c>
      <c r="E263" t="inlineStr">
        <is>
          <t>A75</t>
        </is>
      </c>
      <c r="F263" t="inlineStr">
        <is>
          <t>Good</t>
        </is>
      </c>
      <c r="G263" t="n">
        <v>1</v>
      </c>
    </row>
    <row r="264">
      <c r="A264" t="n">
        <v>263</v>
      </c>
      <c r="B264" t="n">
        <v>5302</v>
      </c>
      <c r="C264" t="n">
        <v>36</v>
      </c>
      <c r="D264" t="inlineStr">
        <is>
          <t>A34</t>
        </is>
      </c>
      <c r="E264" t="inlineStr">
        <is>
          <t>A75</t>
        </is>
      </c>
      <c r="F264" t="inlineStr">
        <is>
          <t>Good</t>
        </is>
      </c>
      <c r="G264" t="n">
        <v>1</v>
      </c>
    </row>
    <row r="265">
      <c r="A265" t="n">
        <v>264</v>
      </c>
      <c r="B265" t="n">
        <v>2748</v>
      </c>
      <c r="C265" t="n">
        <v>57</v>
      </c>
      <c r="D265" t="inlineStr">
        <is>
          <t>A34</t>
        </is>
      </c>
      <c r="E265" t="inlineStr">
        <is>
          <t>A75</t>
        </is>
      </c>
      <c r="F265" t="inlineStr">
        <is>
          <t>Good</t>
        </is>
      </c>
      <c r="G265" t="n">
        <v>1</v>
      </c>
    </row>
    <row r="266">
      <c r="A266" t="n">
        <v>265</v>
      </c>
      <c r="B266" t="n">
        <v>1231</v>
      </c>
      <c r="C266" t="n">
        <v>32</v>
      </c>
      <c r="D266" t="inlineStr">
        <is>
          <t>A34</t>
        </is>
      </c>
      <c r="E266" t="inlineStr">
        <is>
          <t>A75</t>
        </is>
      </c>
      <c r="F266" t="inlineStr">
        <is>
          <t>Good</t>
        </is>
      </c>
      <c r="G266" t="n">
        <v>1</v>
      </c>
    </row>
    <row r="267">
      <c r="A267" t="n">
        <v>266</v>
      </c>
      <c r="B267" t="n">
        <v>802</v>
      </c>
      <c r="C267" t="n">
        <v>37</v>
      </c>
      <c r="D267" t="inlineStr">
        <is>
          <t>A32</t>
        </is>
      </c>
      <c r="E267" t="inlineStr">
        <is>
          <t>A75</t>
        </is>
      </c>
      <c r="F267" t="inlineStr">
        <is>
          <t>Bad</t>
        </is>
      </c>
      <c r="G267" t="n">
        <v>0</v>
      </c>
    </row>
    <row r="268">
      <c r="A268" t="n">
        <v>267</v>
      </c>
      <c r="B268" t="n">
        <v>6304</v>
      </c>
      <c r="C268" t="n">
        <v>36</v>
      </c>
      <c r="D268" t="inlineStr">
        <is>
          <t>A34</t>
        </is>
      </c>
      <c r="E268" t="inlineStr">
        <is>
          <t>A75</t>
        </is>
      </c>
      <c r="F268" t="inlineStr">
        <is>
          <t>Good</t>
        </is>
      </c>
      <c r="G268" t="n">
        <v>1</v>
      </c>
    </row>
    <row r="269">
      <c r="A269" t="n">
        <v>268</v>
      </c>
      <c r="B269" t="n">
        <v>1533</v>
      </c>
      <c r="C269" t="n">
        <v>38</v>
      </c>
      <c r="D269" t="inlineStr">
        <is>
          <t>A32</t>
        </is>
      </c>
      <c r="E269" t="inlineStr">
        <is>
          <t>A72</t>
        </is>
      </c>
      <c r="F269" t="inlineStr">
        <is>
          <t>Good</t>
        </is>
      </c>
      <c r="G269" t="n">
        <v>1</v>
      </c>
    </row>
    <row r="270">
      <c r="A270" t="n">
        <v>269</v>
      </c>
      <c r="B270" t="n">
        <v>8978</v>
      </c>
      <c r="C270" t="n">
        <v>45</v>
      </c>
      <c r="D270" t="inlineStr">
        <is>
          <t>A32</t>
        </is>
      </c>
      <c r="E270" t="inlineStr">
        <is>
          <t>A75</t>
        </is>
      </c>
      <c r="F270" t="inlineStr">
        <is>
          <t>Bad</t>
        </is>
      </c>
      <c r="G270" t="n">
        <v>0</v>
      </c>
    </row>
    <row r="271">
      <c r="A271" t="n">
        <v>270</v>
      </c>
      <c r="B271" t="n">
        <v>999</v>
      </c>
      <c r="C271" t="n">
        <v>25</v>
      </c>
      <c r="D271" t="inlineStr">
        <is>
          <t>A32</t>
        </is>
      </c>
      <c r="E271" t="inlineStr">
        <is>
          <t>A75</t>
        </is>
      </c>
      <c r="F271" t="inlineStr">
        <is>
          <t>Good</t>
        </is>
      </c>
      <c r="G271" t="n">
        <v>1</v>
      </c>
    </row>
    <row r="272">
      <c r="A272" t="n">
        <v>271</v>
      </c>
      <c r="B272" t="n">
        <v>2662</v>
      </c>
      <c r="C272" t="n">
        <v>32</v>
      </c>
      <c r="D272" t="inlineStr">
        <is>
          <t>A32</t>
        </is>
      </c>
      <c r="E272" t="inlineStr">
        <is>
          <t>A74</t>
        </is>
      </c>
      <c r="F272" t="inlineStr">
        <is>
          <t>Good</t>
        </is>
      </c>
      <c r="G272" t="n">
        <v>1</v>
      </c>
    </row>
    <row r="273">
      <c r="A273" t="n">
        <v>272</v>
      </c>
      <c r="B273" t="n">
        <v>1402</v>
      </c>
      <c r="C273" t="n">
        <v>37</v>
      </c>
      <c r="D273" t="inlineStr">
        <is>
          <t>A34</t>
        </is>
      </c>
      <c r="E273" t="inlineStr">
        <is>
          <t>A74</t>
        </is>
      </c>
      <c r="F273" t="inlineStr">
        <is>
          <t>Good</t>
        </is>
      </c>
      <c r="G273" t="n">
        <v>1</v>
      </c>
    </row>
    <row r="274">
      <c r="A274" t="n">
        <v>273</v>
      </c>
      <c r="B274" t="n">
        <v>12169</v>
      </c>
      <c r="C274" t="n">
        <v>36</v>
      </c>
      <c r="D274" t="inlineStr">
        <is>
          <t>A31</t>
        </is>
      </c>
      <c r="E274" t="inlineStr">
        <is>
          <t>A71</t>
        </is>
      </c>
      <c r="F274" t="inlineStr">
        <is>
          <t>Good</t>
        </is>
      </c>
      <c r="G274" t="n">
        <v>1</v>
      </c>
    </row>
    <row r="275">
      <c r="A275" t="n">
        <v>274</v>
      </c>
      <c r="B275" t="n">
        <v>3060</v>
      </c>
      <c r="C275" t="n">
        <v>28</v>
      </c>
      <c r="D275" t="inlineStr">
        <is>
          <t>A32</t>
        </is>
      </c>
      <c r="E275" t="inlineStr">
        <is>
          <t>A74</t>
        </is>
      </c>
      <c r="F275" t="inlineStr">
        <is>
          <t>Bad</t>
        </is>
      </c>
      <c r="G275" t="n">
        <v>0</v>
      </c>
    </row>
    <row r="276">
      <c r="A276" t="n">
        <v>275</v>
      </c>
      <c r="B276" t="n">
        <v>11998</v>
      </c>
      <c r="C276" t="n">
        <v>34</v>
      </c>
      <c r="D276" t="inlineStr">
        <is>
          <t>A32</t>
        </is>
      </c>
      <c r="E276" t="inlineStr">
        <is>
          <t>A72</t>
        </is>
      </c>
      <c r="F276" t="inlineStr">
        <is>
          <t>Bad</t>
        </is>
      </c>
      <c r="G276" t="n">
        <v>0</v>
      </c>
    </row>
    <row r="277">
      <c r="A277" t="n">
        <v>276</v>
      </c>
      <c r="B277" t="n">
        <v>2697</v>
      </c>
      <c r="C277" t="n">
        <v>32</v>
      </c>
      <c r="D277" t="inlineStr">
        <is>
          <t>A32</t>
        </is>
      </c>
      <c r="E277" t="inlineStr">
        <is>
          <t>A73</t>
        </is>
      </c>
      <c r="F277" t="inlineStr">
        <is>
          <t>Good</t>
        </is>
      </c>
      <c r="G277" t="n">
        <v>1</v>
      </c>
    </row>
    <row r="278">
      <c r="A278" t="n">
        <v>277</v>
      </c>
      <c r="B278" t="n">
        <v>2404</v>
      </c>
      <c r="C278" t="n">
        <v>26</v>
      </c>
      <c r="D278" t="inlineStr">
        <is>
          <t>A34</t>
        </is>
      </c>
      <c r="E278" t="inlineStr">
        <is>
          <t>A73</t>
        </is>
      </c>
      <c r="F278" t="inlineStr">
        <is>
          <t>Good</t>
        </is>
      </c>
      <c r="G278" t="n">
        <v>1</v>
      </c>
    </row>
    <row r="279">
      <c r="A279" t="n">
        <v>278</v>
      </c>
      <c r="B279" t="n">
        <v>1262</v>
      </c>
      <c r="C279" t="n">
        <v>49</v>
      </c>
      <c r="D279" t="inlineStr">
        <is>
          <t>A32</t>
        </is>
      </c>
      <c r="E279" t="inlineStr">
        <is>
          <t>A75</t>
        </is>
      </c>
      <c r="F279" t="inlineStr">
        <is>
          <t>Good</t>
        </is>
      </c>
      <c r="G279" t="n">
        <v>1</v>
      </c>
    </row>
    <row r="280">
      <c r="A280" t="n">
        <v>279</v>
      </c>
      <c r="B280" t="n">
        <v>4611</v>
      </c>
      <c r="C280" t="n">
        <v>32</v>
      </c>
      <c r="D280" t="inlineStr">
        <is>
          <t>A32</t>
        </is>
      </c>
      <c r="E280" t="inlineStr">
        <is>
          <t>A72</t>
        </is>
      </c>
      <c r="F280" t="inlineStr">
        <is>
          <t>Bad</t>
        </is>
      </c>
      <c r="G280" t="n">
        <v>0</v>
      </c>
    </row>
    <row r="281">
      <c r="A281" t="n">
        <v>280</v>
      </c>
      <c r="B281" t="n">
        <v>1901</v>
      </c>
      <c r="C281" t="n">
        <v>29</v>
      </c>
      <c r="D281" t="inlineStr">
        <is>
          <t>A32</t>
        </is>
      </c>
      <c r="E281" t="inlineStr">
        <is>
          <t>A73</t>
        </is>
      </c>
      <c r="F281" t="inlineStr">
        <is>
          <t>Good</t>
        </is>
      </c>
      <c r="G281" t="n">
        <v>1</v>
      </c>
    </row>
    <row r="282">
      <c r="A282" t="n">
        <v>281</v>
      </c>
      <c r="B282" t="n">
        <v>3368</v>
      </c>
      <c r="C282" t="n">
        <v>23</v>
      </c>
      <c r="D282" t="inlineStr">
        <is>
          <t>A34</t>
        </is>
      </c>
      <c r="E282" t="inlineStr">
        <is>
          <t>A75</t>
        </is>
      </c>
      <c r="F282" t="inlineStr">
        <is>
          <t>Good</t>
        </is>
      </c>
      <c r="G282" t="n">
        <v>1</v>
      </c>
    </row>
    <row r="283">
      <c r="A283" t="n">
        <v>282</v>
      </c>
      <c r="B283" t="n">
        <v>1574</v>
      </c>
      <c r="C283" t="n">
        <v>50</v>
      </c>
      <c r="D283" t="inlineStr">
        <is>
          <t>A32</t>
        </is>
      </c>
      <c r="E283" t="inlineStr">
        <is>
          <t>A73</t>
        </is>
      </c>
      <c r="F283" t="inlineStr">
        <is>
          <t>Good</t>
        </is>
      </c>
      <c r="G283" t="n">
        <v>1</v>
      </c>
    </row>
    <row r="284">
      <c r="A284" t="n">
        <v>283</v>
      </c>
      <c r="B284" t="n">
        <v>1445</v>
      </c>
      <c r="C284" t="n">
        <v>49</v>
      </c>
      <c r="D284" t="inlineStr">
        <is>
          <t>A31</t>
        </is>
      </c>
      <c r="E284" t="inlineStr">
        <is>
          <t>A74</t>
        </is>
      </c>
      <c r="F284" t="inlineStr">
        <is>
          <t>Good</t>
        </is>
      </c>
      <c r="G284" t="n">
        <v>1</v>
      </c>
    </row>
    <row r="285">
      <c r="A285" t="n">
        <v>284</v>
      </c>
      <c r="B285" t="n">
        <v>1520</v>
      </c>
      <c r="C285" t="n">
        <v>63</v>
      </c>
      <c r="D285" t="inlineStr">
        <is>
          <t>A34</t>
        </is>
      </c>
      <c r="E285" t="inlineStr">
        <is>
          <t>A75</t>
        </is>
      </c>
      <c r="F285" t="inlineStr">
        <is>
          <t>Good</t>
        </is>
      </c>
      <c r="G285" t="n">
        <v>1</v>
      </c>
    </row>
    <row r="286">
      <c r="A286" t="n">
        <v>285</v>
      </c>
      <c r="B286" t="n">
        <v>3878</v>
      </c>
      <c r="C286" t="n">
        <v>37</v>
      </c>
      <c r="D286" t="inlineStr">
        <is>
          <t>A34</t>
        </is>
      </c>
      <c r="E286" t="inlineStr">
        <is>
          <t>A72</t>
        </is>
      </c>
      <c r="F286" t="inlineStr">
        <is>
          <t>Good</t>
        </is>
      </c>
      <c r="G286" t="n">
        <v>1</v>
      </c>
    </row>
    <row r="287">
      <c r="A287" t="n">
        <v>286</v>
      </c>
      <c r="B287" t="n">
        <v>10722</v>
      </c>
      <c r="C287" t="n">
        <v>35</v>
      </c>
      <c r="D287" t="inlineStr">
        <is>
          <t>A32</t>
        </is>
      </c>
      <c r="E287" t="inlineStr">
        <is>
          <t>A72</t>
        </is>
      </c>
      <c r="F287" t="inlineStr">
        <is>
          <t>Good</t>
        </is>
      </c>
      <c r="G287" t="n">
        <v>1</v>
      </c>
    </row>
    <row r="288">
      <c r="A288" t="n">
        <v>287</v>
      </c>
      <c r="B288" t="n">
        <v>4788</v>
      </c>
      <c r="C288" t="n">
        <v>26</v>
      </c>
      <c r="D288" t="inlineStr">
        <is>
          <t>A32</t>
        </is>
      </c>
      <c r="E288" t="inlineStr">
        <is>
          <t>A74</t>
        </is>
      </c>
      <c r="F288" t="inlineStr">
        <is>
          <t>Good</t>
        </is>
      </c>
      <c r="G288" t="n">
        <v>1</v>
      </c>
    </row>
    <row r="289">
      <c r="A289" t="n">
        <v>288</v>
      </c>
      <c r="B289" t="n">
        <v>7582</v>
      </c>
      <c r="C289" t="n">
        <v>31</v>
      </c>
      <c r="D289" t="inlineStr">
        <is>
          <t>A33</t>
        </is>
      </c>
      <c r="E289" t="inlineStr">
        <is>
          <t>A71</t>
        </is>
      </c>
      <c r="F289" t="inlineStr">
        <is>
          <t>Good</t>
        </is>
      </c>
      <c r="G289" t="n">
        <v>1</v>
      </c>
    </row>
    <row r="290">
      <c r="A290" t="n">
        <v>289</v>
      </c>
      <c r="B290" t="n">
        <v>1092</v>
      </c>
      <c r="C290" t="n">
        <v>49</v>
      </c>
      <c r="D290" t="inlineStr">
        <is>
          <t>A32</t>
        </is>
      </c>
      <c r="E290" t="inlineStr">
        <is>
          <t>A73</t>
        </is>
      </c>
      <c r="F290" t="inlineStr">
        <is>
          <t>Good</t>
        </is>
      </c>
      <c r="G290" t="n">
        <v>1</v>
      </c>
    </row>
    <row r="291">
      <c r="A291" t="n">
        <v>290</v>
      </c>
      <c r="B291" t="n">
        <v>1024</v>
      </c>
      <c r="C291" t="n">
        <v>48</v>
      </c>
      <c r="D291" t="inlineStr">
        <is>
          <t>A33</t>
        </is>
      </c>
      <c r="E291" t="inlineStr">
        <is>
          <t>A72</t>
        </is>
      </c>
      <c r="F291" t="inlineStr">
        <is>
          <t>Bad</t>
        </is>
      </c>
      <c r="G291" t="n">
        <v>0</v>
      </c>
    </row>
    <row r="292">
      <c r="A292" t="n">
        <v>291</v>
      </c>
      <c r="B292" t="n">
        <v>1076</v>
      </c>
      <c r="C292" t="n">
        <v>26</v>
      </c>
      <c r="D292" t="inlineStr">
        <is>
          <t>A32</t>
        </is>
      </c>
      <c r="E292" t="inlineStr">
        <is>
          <t>A73</t>
        </is>
      </c>
      <c r="F292" t="inlineStr">
        <is>
          <t>Good</t>
        </is>
      </c>
      <c r="G292" t="n">
        <v>1</v>
      </c>
    </row>
    <row r="293">
      <c r="A293" t="n">
        <v>292</v>
      </c>
      <c r="B293" t="n">
        <v>9398</v>
      </c>
      <c r="C293" t="n">
        <v>28</v>
      </c>
      <c r="D293" t="inlineStr">
        <is>
          <t>A32</t>
        </is>
      </c>
      <c r="E293" t="inlineStr">
        <is>
          <t>A72</t>
        </is>
      </c>
      <c r="F293" t="inlineStr">
        <is>
          <t>Bad</t>
        </is>
      </c>
      <c r="G293" t="n">
        <v>0</v>
      </c>
    </row>
    <row r="294">
      <c r="A294" t="n">
        <v>293</v>
      </c>
      <c r="B294" t="n">
        <v>6419</v>
      </c>
      <c r="C294" t="n">
        <v>44</v>
      </c>
      <c r="D294" t="inlineStr">
        <is>
          <t>A34</t>
        </is>
      </c>
      <c r="E294" t="inlineStr">
        <is>
          <t>A75</t>
        </is>
      </c>
      <c r="F294" t="inlineStr">
        <is>
          <t>Good</t>
        </is>
      </c>
      <c r="G294" t="n">
        <v>1</v>
      </c>
    </row>
    <row r="295">
      <c r="A295" t="n">
        <v>294</v>
      </c>
      <c r="B295" t="n">
        <v>4796</v>
      </c>
      <c r="C295" t="n">
        <v>56</v>
      </c>
      <c r="D295" t="inlineStr">
        <is>
          <t>A34</t>
        </is>
      </c>
      <c r="E295" t="inlineStr">
        <is>
          <t>A75</t>
        </is>
      </c>
      <c r="F295" t="inlineStr">
        <is>
          <t>Good</t>
        </is>
      </c>
      <c r="G295" t="n">
        <v>1</v>
      </c>
    </row>
    <row r="296">
      <c r="A296" t="n">
        <v>295</v>
      </c>
      <c r="B296" t="n">
        <v>7629</v>
      </c>
      <c r="C296" t="n">
        <v>46</v>
      </c>
      <c r="D296" t="inlineStr">
        <is>
          <t>A34</t>
        </is>
      </c>
      <c r="E296" t="inlineStr">
        <is>
          <t>A75</t>
        </is>
      </c>
      <c r="F296" t="inlineStr">
        <is>
          <t>Good</t>
        </is>
      </c>
      <c r="G296" t="n">
        <v>1</v>
      </c>
    </row>
    <row r="297">
      <c r="A297" t="n">
        <v>296</v>
      </c>
      <c r="B297" t="n">
        <v>9960</v>
      </c>
      <c r="C297" t="n">
        <v>26</v>
      </c>
      <c r="D297" t="inlineStr">
        <is>
          <t>A32</t>
        </is>
      </c>
      <c r="E297" t="inlineStr">
        <is>
          <t>A72</t>
        </is>
      </c>
      <c r="F297" t="inlineStr">
        <is>
          <t>Bad</t>
        </is>
      </c>
      <c r="G297" t="n">
        <v>0</v>
      </c>
    </row>
    <row r="298">
      <c r="A298" t="n">
        <v>297</v>
      </c>
      <c r="B298" t="n">
        <v>4675</v>
      </c>
      <c r="C298" t="n">
        <v>20</v>
      </c>
      <c r="D298" t="inlineStr">
        <is>
          <t>A32</t>
        </is>
      </c>
      <c r="E298" t="inlineStr">
        <is>
          <t>A72</t>
        </is>
      </c>
      <c r="F298" t="inlineStr">
        <is>
          <t>Good</t>
        </is>
      </c>
      <c r="G298" t="n">
        <v>1</v>
      </c>
    </row>
    <row r="299">
      <c r="A299" t="n">
        <v>298</v>
      </c>
      <c r="B299" t="n">
        <v>1287</v>
      </c>
      <c r="C299" t="n">
        <v>45</v>
      </c>
      <c r="D299" t="inlineStr">
        <is>
          <t>A32</t>
        </is>
      </c>
      <c r="E299" t="inlineStr">
        <is>
          <t>A75</t>
        </is>
      </c>
      <c r="F299" t="inlineStr">
        <is>
          <t>Good</t>
        </is>
      </c>
      <c r="G299" t="n">
        <v>1</v>
      </c>
    </row>
    <row r="300">
      <c r="A300" t="n">
        <v>299</v>
      </c>
      <c r="B300" t="n">
        <v>2515</v>
      </c>
      <c r="C300" t="n">
        <v>43</v>
      </c>
      <c r="D300" t="inlineStr">
        <is>
          <t>A32</t>
        </is>
      </c>
      <c r="E300" t="inlineStr">
        <is>
          <t>A73</t>
        </is>
      </c>
      <c r="F300" t="inlineStr">
        <is>
          <t>Good</t>
        </is>
      </c>
      <c r="G300" t="n">
        <v>1</v>
      </c>
    </row>
    <row r="301">
      <c r="A301" t="n">
        <v>300</v>
      </c>
      <c r="B301" t="n">
        <v>2745</v>
      </c>
      <c r="C301" t="n">
        <v>32</v>
      </c>
      <c r="D301" t="inlineStr">
        <is>
          <t>A34</t>
        </is>
      </c>
      <c r="E301" t="inlineStr">
        <is>
          <t>A74</t>
        </is>
      </c>
      <c r="F301" t="inlineStr">
        <is>
          <t>Good</t>
        </is>
      </c>
      <c r="G301" t="n">
        <v>1</v>
      </c>
    </row>
    <row r="302">
      <c r="A302" t="n">
        <v>301</v>
      </c>
      <c r="B302" t="n">
        <v>672</v>
      </c>
      <c r="C302" t="n">
        <v>54</v>
      </c>
      <c r="D302" t="inlineStr">
        <is>
          <t>A32</t>
        </is>
      </c>
      <c r="E302" t="inlineStr">
        <is>
          <t>A71</t>
        </is>
      </c>
      <c r="F302" t="inlineStr">
        <is>
          <t>Good</t>
        </is>
      </c>
      <c r="G302" t="n">
        <v>1</v>
      </c>
    </row>
    <row r="303">
      <c r="A303" t="n">
        <v>302</v>
      </c>
      <c r="B303" t="n">
        <v>3804</v>
      </c>
      <c r="C303" t="n">
        <v>42</v>
      </c>
      <c r="D303" t="inlineStr">
        <is>
          <t>A30</t>
        </is>
      </c>
      <c r="E303" t="inlineStr">
        <is>
          <t>A73</t>
        </is>
      </c>
      <c r="F303" t="inlineStr">
        <is>
          <t>Bad</t>
        </is>
      </c>
      <c r="G303" t="n">
        <v>0</v>
      </c>
    </row>
    <row r="304">
      <c r="A304" t="n">
        <v>303</v>
      </c>
      <c r="B304" t="n">
        <v>1344</v>
      </c>
      <c r="C304" t="n">
        <v>37</v>
      </c>
      <c r="D304" t="inlineStr">
        <is>
          <t>A34</t>
        </is>
      </c>
      <c r="E304" t="inlineStr">
        <is>
          <t>A74</t>
        </is>
      </c>
      <c r="F304" t="inlineStr">
        <is>
          <t>Bad</t>
        </is>
      </c>
      <c r="G304" t="n">
        <v>0</v>
      </c>
    </row>
    <row r="305">
      <c r="A305" t="n">
        <v>304</v>
      </c>
      <c r="B305" t="n">
        <v>1038</v>
      </c>
      <c r="C305" t="n">
        <v>49</v>
      </c>
      <c r="D305" t="inlineStr">
        <is>
          <t>A34</t>
        </is>
      </c>
      <c r="E305" t="inlineStr">
        <is>
          <t>A74</t>
        </is>
      </c>
      <c r="F305" t="inlineStr">
        <is>
          <t>Good</t>
        </is>
      </c>
      <c r="G305" t="n">
        <v>1</v>
      </c>
    </row>
    <row r="306">
      <c r="A306" t="n">
        <v>305</v>
      </c>
      <c r="B306" t="n">
        <v>10127</v>
      </c>
      <c r="C306" t="n">
        <v>44</v>
      </c>
      <c r="D306" t="inlineStr">
        <is>
          <t>A34</t>
        </is>
      </c>
      <c r="E306" t="inlineStr">
        <is>
          <t>A73</t>
        </is>
      </c>
      <c r="F306" t="inlineStr">
        <is>
          <t>Bad</t>
        </is>
      </c>
      <c r="G306" t="n">
        <v>0</v>
      </c>
    </row>
    <row r="307">
      <c r="A307" t="n">
        <v>306</v>
      </c>
      <c r="B307" t="n">
        <v>1543</v>
      </c>
      <c r="C307" t="n">
        <v>33</v>
      </c>
      <c r="D307" t="inlineStr">
        <is>
          <t>A32</t>
        </is>
      </c>
      <c r="E307" t="inlineStr">
        <is>
          <t>A73</t>
        </is>
      </c>
      <c r="F307" t="inlineStr">
        <is>
          <t>Good</t>
        </is>
      </c>
      <c r="G307" t="n">
        <v>1</v>
      </c>
    </row>
    <row r="308">
      <c r="A308" t="n">
        <v>307</v>
      </c>
      <c r="B308" t="n">
        <v>4811</v>
      </c>
      <c r="C308" t="n">
        <v>24</v>
      </c>
      <c r="D308" t="inlineStr">
        <is>
          <t>A32</t>
        </is>
      </c>
      <c r="E308" t="inlineStr">
        <is>
          <t>A74</t>
        </is>
      </c>
      <c r="F308" t="inlineStr">
        <is>
          <t>Good</t>
        </is>
      </c>
      <c r="G308" t="n">
        <v>1</v>
      </c>
    </row>
    <row r="309">
      <c r="A309" t="n">
        <v>308</v>
      </c>
      <c r="B309" t="n">
        <v>727</v>
      </c>
      <c r="C309" t="n">
        <v>33</v>
      </c>
      <c r="D309" t="inlineStr">
        <is>
          <t>A32</t>
        </is>
      </c>
      <c r="E309" t="inlineStr">
        <is>
          <t>A72</t>
        </is>
      </c>
      <c r="F309" t="inlineStr">
        <is>
          <t>Bad</t>
        </is>
      </c>
      <c r="G309" t="n">
        <v>0</v>
      </c>
    </row>
    <row r="310">
      <c r="A310" t="n">
        <v>309</v>
      </c>
      <c r="B310" t="n">
        <v>1237</v>
      </c>
      <c r="C310" t="n">
        <v>24</v>
      </c>
      <c r="D310" t="inlineStr">
        <is>
          <t>A32</t>
        </is>
      </c>
      <c r="E310" t="inlineStr">
        <is>
          <t>A73</t>
        </is>
      </c>
      <c r="F310" t="inlineStr">
        <is>
          <t>Bad</t>
        </is>
      </c>
      <c r="G310" t="n">
        <v>0</v>
      </c>
    </row>
    <row r="311">
      <c r="A311" t="n">
        <v>310</v>
      </c>
      <c r="B311" t="n">
        <v>276</v>
      </c>
      <c r="C311" t="n">
        <v>22</v>
      </c>
      <c r="D311" t="inlineStr">
        <is>
          <t>A32</t>
        </is>
      </c>
      <c r="E311" t="inlineStr">
        <is>
          <t>A73</t>
        </is>
      </c>
      <c r="F311" t="inlineStr">
        <is>
          <t>Good</t>
        </is>
      </c>
      <c r="G311" t="n">
        <v>1</v>
      </c>
    </row>
    <row r="312">
      <c r="A312" t="n">
        <v>311</v>
      </c>
      <c r="B312" t="n">
        <v>5381</v>
      </c>
      <c r="C312" t="n">
        <v>40</v>
      </c>
      <c r="D312" t="inlineStr">
        <is>
          <t>A32</t>
        </is>
      </c>
      <c r="E312" t="inlineStr">
        <is>
          <t>A71</t>
        </is>
      </c>
      <c r="F312" t="inlineStr">
        <is>
          <t>Good</t>
        </is>
      </c>
      <c r="G312" t="n">
        <v>1</v>
      </c>
    </row>
    <row r="313">
      <c r="A313" t="n">
        <v>312</v>
      </c>
      <c r="B313" t="n">
        <v>5511</v>
      </c>
      <c r="C313" t="n">
        <v>25</v>
      </c>
      <c r="D313" t="inlineStr">
        <is>
          <t>A32</t>
        </is>
      </c>
      <c r="E313" t="inlineStr">
        <is>
          <t>A73</t>
        </is>
      </c>
      <c r="F313" t="inlineStr">
        <is>
          <t>Good</t>
        </is>
      </c>
      <c r="G313" t="n">
        <v>1</v>
      </c>
    </row>
    <row r="314">
      <c r="A314" t="n">
        <v>313</v>
      </c>
      <c r="B314" t="n">
        <v>3749</v>
      </c>
      <c r="C314" t="n">
        <v>26</v>
      </c>
      <c r="D314" t="inlineStr">
        <is>
          <t>A32</t>
        </is>
      </c>
      <c r="E314" t="inlineStr">
        <is>
          <t>A72</t>
        </is>
      </c>
      <c r="F314" t="inlineStr">
        <is>
          <t>Good</t>
        </is>
      </c>
      <c r="G314" t="n">
        <v>1</v>
      </c>
    </row>
    <row r="315">
      <c r="A315" t="n">
        <v>314</v>
      </c>
      <c r="B315" t="n">
        <v>685</v>
      </c>
      <c r="C315" t="n">
        <v>25</v>
      </c>
      <c r="D315" t="inlineStr">
        <is>
          <t>A32</t>
        </is>
      </c>
      <c r="E315" t="inlineStr">
        <is>
          <t>A74</t>
        </is>
      </c>
      <c r="F315" t="inlineStr">
        <is>
          <t>Bad</t>
        </is>
      </c>
      <c r="G315" t="n">
        <v>0</v>
      </c>
    </row>
    <row r="316">
      <c r="A316" t="n">
        <v>315</v>
      </c>
      <c r="B316" t="n">
        <v>1494</v>
      </c>
      <c r="C316" t="n">
        <v>29</v>
      </c>
      <c r="D316" t="inlineStr">
        <is>
          <t>A32</t>
        </is>
      </c>
      <c r="E316" t="inlineStr">
        <is>
          <t>A72</t>
        </is>
      </c>
      <c r="F316" t="inlineStr">
        <is>
          <t>Good</t>
        </is>
      </c>
      <c r="G316" t="n">
        <v>1</v>
      </c>
    </row>
    <row r="317">
      <c r="A317" t="n">
        <v>316</v>
      </c>
      <c r="B317" t="n">
        <v>2746</v>
      </c>
      <c r="C317" t="n">
        <v>31</v>
      </c>
      <c r="D317" t="inlineStr">
        <is>
          <t>A31</t>
        </is>
      </c>
      <c r="E317" t="inlineStr">
        <is>
          <t>A75</t>
        </is>
      </c>
      <c r="F317" t="inlineStr">
        <is>
          <t>Bad</t>
        </is>
      </c>
      <c r="G317" t="n">
        <v>0</v>
      </c>
    </row>
    <row r="318">
      <c r="A318" t="n">
        <v>317</v>
      </c>
      <c r="B318" t="n">
        <v>708</v>
      </c>
      <c r="C318" t="n">
        <v>38</v>
      </c>
      <c r="D318" t="inlineStr">
        <is>
          <t>A32</t>
        </is>
      </c>
      <c r="E318" t="inlineStr">
        <is>
          <t>A73</t>
        </is>
      </c>
      <c r="F318" t="inlineStr">
        <is>
          <t>Good</t>
        </is>
      </c>
      <c r="G318" t="n">
        <v>1</v>
      </c>
    </row>
    <row r="319">
      <c r="A319" t="n">
        <v>318</v>
      </c>
      <c r="B319" t="n">
        <v>4351</v>
      </c>
      <c r="C319" t="n">
        <v>48</v>
      </c>
      <c r="D319" t="inlineStr">
        <is>
          <t>A32</t>
        </is>
      </c>
      <c r="E319" t="inlineStr">
        <is>
          <t>A73</t>
        </is>
      </c>
      <c r="F319" t="inlineStr">
        <is>
          <t>Good</t>
        </is>
      </c>
      <c r="G319" t="n">
        <v>1</v>
      </c>
    </row>
    <row r="320">
      <c r="A320" t="n">
        <v>319</v>
      </c>
      <c r="B320" t="n">
        <v>701</v>
      </c>
      <c r="C320" t="n">
        <v>32</v>
      </c>
      <c r="D320" t="inlineStr">
        <is>
          <t>A34</t>
        </is>
      </c>
      <c r="E320" t="inlineStr">
        <is>
          <t>A73</t>
        </is>
      </c>
      <c r="F320" t="inlineStr">
        <is>
          <t>Good</t>
        </is>
      </c>
      <c r="G320" t="n">
        <v>1</v>
      </c>
    </row>
    <row r="321">
      <c r="A321" t="n">
        <v>320</v>
      </c>
      <c r="B321" t="n">
        <v>3643</v>
      </c>
      <c r="C321" t="n">
        <v>27</v>
      </c>
      <c r="D321" t="inlineStr">
        <is>
          <t>A33</t>
        </is>
      </c>
      <c r="E321" t="inlineStr">
        <is>
          <t>A75</t>
        </is>
      </c>
      <c r="F321" t="inlineStr">
        <is>
          <t>Good</t>
        </is>
      </c>
      <c r="G321" t="n">
        <v>1</v>
      </c>
    </row>
    <row r="322">
      <c r="A322" t="n">
        <v>321</v>
      </c>
      <c r="B322" t="n">
        <v>4249</v>
      </c>
      <c r="C322" t="n">
        <v>28</v>
      </c>
      <c r="D322" t="inlineStr">
        <is>
          <t>A34</t>
        </is>
      </c>
      <c r="E322" t="inlineStr">
        <is>
          <t>A71</t>
        </is>
      </c>
      <c r="F322" t="inlineStr">
        <is>
          <t>Bad</t>
        </is>
      </c>
      <c r="G322" t="n">
        <v>0</v>
      </c>
    </row>
    <row r="323">
      <c r="A323" t="n">
        <v>322</v>
      </c>
      <c r="B323" t="n">
        <v>1938</v>
      </c>
      <c r="C323" t="n">
        <v>32</v>
      </c>
      <c r="D323" t="inlineStr">
        <is>
          <t>A32</t>
        </is>
      </c>
      <c r="E323" t="inlineStr">
        <is>
          <t>A72</t>
        </is>
      </c>
      <c r="F323" t="inlineStr">
        <is>
          <t>Bad</t>
        </is>
      </c>
      <c r="G323" t="n">
        <v>0</v>
      </c>
    </row>
    <row r="324">
      <c r="A324" t="n">
        <v>323</v>
      </c>
      <c r="B324" t="n">
        <v>2910</v>
      </c>
      <c r="C324" t="n">
        <v>34</v>
      </c>
      <c r="D324" t="inlineStr">
        <is>
          <t>A32</t>
        </is>
      </c>
      <c r="E324" t="inlineStr">
        <is>
          <t>A74</t>
        </is>
      </c>
      <c r="F324" t="inlineStr">
        <is>
          <t>Good</t>
        </is>
      </c>
      <c r="G324" t="n">
        <v>1</v>
      </c>
    </row>
    <row r="325">
      <c r="A325" t="n">
        <v>324</v>
      </c>
      <c r="B325" t="n">
        <v>2659</v>
      </c>
      <c r="C325" t="n">
        <v>28</v>
      </c>
      <c r="D325" t="inlineStr">
        <is>
          <t>A32</t>
        </is>
      </c>
      <c r="E325" t="inlineStr">
        <is>
          <t>A73</t>
        </is>
      </c>
      <c r="F325" t="inlineStr">
        <is>
          <t>Good</t>
        </is>
      </c>
      <c r="G325" t="n">
        <v>1</v>
      </c>
    </row>
    <row r="326">
      <c r="A326" t="n">
        <v>325</v>
      </c>
      <c r="B326" t="n">
        <v>1028</v>
      </c>
      <c r="C326" t="n">
        <v>36</v>
      </c>
      <c r="D326" t="inlineStr">
        <is>
          <t>A34</t>
        </is>
      </c>
      <c r="E326" t="inlineStr">
        <is>
          <t>A73</t>
        </is>
      </c>
      <c r="F326" t="inlineStr">
        <is>
          <t>Good</t>
        </is>
      </c>
      <c r="G326" t="n">
        <v>1</v>
      </c>
    </row>
    <row r="327">
      <c r="A327" t="n">
        <v>326</v>
      </c>
      <c r="B327" t="n">
        <v>3398</v>
      </c>
      <c r="C327" t="n">
        <v>39</v>
      </c>
      <c r="D327" t="inlineStr">
        <is>
          <t>A34</t>
        </is>
      </c>
      <c r="E327" t="inlineStr">
        <is>
          <t>A74</t>
        </is>
      </c>
      <c r="F327" t="inlineStr">
        <is>
          <t>Good</t>
        </is>
      </c>
      <c r="G327" t="n">
        <v>1</v>
      </c>
    </row>
    <row r="328">
      <c r="A328" t="n">
        <v>327</v>
      </c>
      <c r="B328" t="n">
        <v>5801</v>
      </c>
      <c r="C328" t="n">
        <v>49</v>
      </c>
      <c r="D328" t="inlineStr">
        <is>
          <t>A34</t>
        </is>
      </c>
      <c r="E328" t="inlineStr">
        <is>
          <t>A75</t>
        </is>
      </c>
      <c r="F328" t="inlineStr">
        <is>
          <t>Good</t>
        </is>
      </c>
      <c r="G328" t="n">
        <v>1</v>
      </c>
    </row>
    <row r="329">
      <c r="A329" t="n">
        <v>328</v>
      </c>
      <c r="B329" t="n">
        <v>1525</v>
      </c>
      <c r="C329" t="n">
        <v>34</v>
      </c>
      <c r="D329" t="inlineStr">
        <is>
          <t>A32</t>
        </is>
      </c>
      <c r="E329" t="inlineStr">
        <is>
          <t>A74</t>
        </is>
      </c>
      <c r="F329" t="inlineStr">
        <is>
          <t>Good</t>
        </is>
      </c>
      <c r="G329" t="n">
        <v>1</v>
      </c>
    </row>
    <row r="330">
      <c r="A330" t="n">
        <v>329</v>
      </c>
      <c r="B330" t="n">
        <v>4473</v>
      </c>
      <c r="C330" t="n">
        <v>31</v>
      </c>
      <c r="D330" t="inlineStr">
        <is>
          <t>A32</t>
        </is>
      </c>
      <c r="E330" t="inlineStr">
        <is>
          <t>A75</t>
        </is>
      </c>
      <c r="F330" t="inlineStr">
        <is>
          <t>Good</t>
        </is>
      </c>
      <c r="G330" t="n">
        <v>1</v>
      </c>
    </row>
    <row r="331">
      <c r="A331" t="n">
        <v>330</v>
      </c>
      <c r="B331" t="n">
        <v>1068</v>
      </c>
      <c r="C331" t="n">
        <v>28</v>
      </c>
      <c r="D331" t="inlineStr">
        <is>
          <t>A32</t>
        </is>
      </c>
      <c r="E331" t="inlineStr">
        <is>
          <t>A75</t>
        </is>
      </c>
      <c r="F331" t="inlineStr">
        <is>
          <t>Good</t>
        </is>
      </c>
      <c r="G331" t="n">
        <v>1</v>
      </c>
    </row>
    <row r="332">
      <c r="A332" t="n">
        <v>331</v>
      </c>
      <c r="B332" t="n">
        <v>6615</v>
      </c>
      <c r="C332" t="n">
        <v>75</v>
      </c>
      <c r="D332" t="inlineStr">
        <is>
          <t>A34</t>
        </is>
      </c>
      <c r="E332" t="inlineStr">
        <is>
          <t>A71</t>
        </is>
      </c>
      <c r="F332" t="inlineStr">
        <is>
          <t>Good</t>
        </is>
      </c>
      <c r="G332" t="n">
        <v>1</v>
      </c>
    </row>
    <row r="333">
      <c r="A333" t="n">
        <v>332</v>
      </c>
      <c r="B333" t="n">
        <v>1864</v>
      </c>
      <c r="C333" t="n">
        <v>30</v>
      </c>
      <c r="D333" t="inlineStr">
        <is>
          <t>A34</t>
        </is>
      </c>
      <c r="E333" t="inlineStr">
        <is>
          <t>A73</t>
        </is>
      </c>
      <c r="F333" t="inlineStr">
        <is>
          <t>Bad</t>
        </is>
      </c>
      <c r="G333" t="n">
        <v>0</v>
      </c>
    </row>
    <row r="334">
      <c r="A334" t="n">
        <v>333</v>
      </c>
      <c r="B334" t="n">
        <v>7408</v>
      </c>
      <c r="C334" t="n">
        <v>24</v>
      </c>
      <c r="D334" t="inlineStr">
        <is>
          <t>A32</t>
        </is>
      </c>
      <c r="E334" t="inlineStr">
        <is>
          <t>A72</t>
        </is>
      </c>
      <c r="F334" t="inlineStr">
        <is>
          <t>Bad</t>
        </is>
      </c>
      <c r="G334" t="n">
        <v>0</v>
      </c>
    </row>
    <row r="335">
      <c r="A335" t="n">
        <v>334</v>
      </c>
      <c r="B335" t="n">
        <v>11590</v>
      </c>
      <c r="C335" t="n">
        <v>24</v>
      </c>
      <c r="D335" t="inlineStr">
        <is>
          <t>A34</t>
        </is>
      </c>
      <c r="E335" t="inlineStr">
        <is>
          <t>A73</t>
        </is>
      </c>
      <c r="F335" t="inlineStr">
        <is>
          <t>Bad</t>
        </is>
      </c>
      <c r="G335" t="n">
        <v>0</v>
      </c>
    </row>
    <row r="336">
      <c r="A336" t="n">
        <v>335</v>
      </c>
      <c r="B336" t="n">
        <v>4110</v>
      </c>
      <c r="C336" t="n">
        <v>23</v>
      </c>
      <c r="D336" t="inlineStr">
        <is>
          <t>A30</t>
        </is>
      </c>
      <c r="E336" t="inlineStr">
        <is>
          <t>A75</t>
        </is>
      </c>
      <c r="F336" t="inlineStr">
        <is>
          <t>Bad</t>
        </is>
      </c>
      <c r="G336" t="n">
        <v>0</v>
      </c>
    </row>
    <row r="337">
      <c r="A337" t="n">
        <v>336</v>
      </c>
      <c r="B337" t="n">
        <v>3384</v>
      </c>
      <c r="C337" t="n">
        <v>44</v>
      </c>
      <c r="D337" t="inlineStr">
        <is>
          <t>A34</t>
        </is>
      </c>
      <c r="E337" t="inlineStr">
        <is>
          <t>A73</t>
        </is>
      </c>
      <c r="F337" t="inlineStr">
        <is>
          <t>Bad</t>
        </is>
      </c>
      <c r="G337" t="n">
        <v>0</v>
      </c>
    </row>
    <row r="338">
      <c r="A338" t="n">
        <v>337</v>
      </c>
      <c r="B338" t="n">
        <v>2101</v>
      </c>
      <c r="C338" t="n">
        <v>23</v>
      </c>
      <c r="D338" t="inlineStr">
        <is>
          <t>A32</t>
        </is>
      </c>
      <c r="E338" t="inlineStr">
        <is>
          <t>A72</t>
        </is>
      </c>
      <c r="F338" t="inlineStr">
        <is>
          <t>Good</t>
        </is>
      </c>
      <c r="G338" t="n">
        <v>1</v>
      </c>
    </row>
    <row r="339">
      <c r="A339" t="n">
        <v>338</v>
      </c>
      <c r="B339" t="n">
        <v>1275</v>
      </c>
      <c r="C339" t="n">
        <v>24</v>
      </c>
      <c r="D339" t="inlineStr">
        <is>
          <t>A32</t>
        </is>
      </c>
      <c r="E339" t="inlineStr">
        <is>
          <t>A73</t>
        </is>
      </c>
      <c r="F339" t="inlineStr">
        <is>
          <t>Bad</t>
        </is>
      </c>
      <c r="G339" t="n">
        <v>0</v>
      </c>
    </row>
    <row r="340">
      <c r="A340" t="n">
        <v>339</v>
      </c>
      <c r="B340" t="n">
        <v>4169</v>
      </c>
      <c r="C340" t="n">
        <v>28</v>
      </c>
      <c r="D340" t="inlineStr">
        <is>
          <t>A32</t>
        </is>
      </c>
      <c r="E340" t="inlineStr">
        <is>
          <t>A73</t>
        </is>
      </c>
      <c r="F340" t="inlineStr">
        <is>
          <t>Good</t>
        </is>
      </c>
      <c r="G340" t="n">
        <v>1</v>
      </c>
    </row>
    <row r="341">
      <c r="A341" t="n">
        <v>340</v>
      </c>
      <c r="B341" t="n">
        <v>1521</v>
      </c>
      <c r="C341" t="n">
        <v>31</v>
      </c>
      <c r="D341" t="inlineStr">
        <is>
          <t>A32</t>
        </is>
      </c>
      <c r="E341" t="inlineStr">
        <is>
          <t>A73</t>
        </is>
      </c>
      <c r="F341" t="inlineStr">
        <is>
          <t>Good</t>
        </is>
      </c>
      <c r="G341" t="n">
        <v>1</v>
      </c>
    </row>
    <row r="342">
      <c r="A342" t="n">
        <v>341</v>
      </c>
      <c r="B342" t="n">
        <v>5743</v>
      </c>
      <c r="C342" t="n">
        <v>24</v>
      </c>
      <c r="D342" t="inlineStr">
        <is>
          <t>A34</t>
        </is>
      </c>
      <c r="E342" t="inlineStr">
        <is>
          <t>A72</t>
        </is>
      </c>
      <c r="F342" t="inlineStr">
        <is>
          <t>Good</t>
        </is>
      </c>
      <c r="G342" t="n">
        <v>1</v>
      </c>
    </row>
    <row r="343">
      <c r="A343" t="n">
        <v>342</v>
      </c>
      <c r="B343" t="n">
        <v>3599</v>
      </c>
      <c r="C343" t="n">
        <v>26</v>
      </c>
      <c r="D343" t="inlineStr">
        <is>
          <t>A32</t>
        </is>
      </c>
      <c r="E343" t="inlineStr">
        <is>
          <t>A74</t>
        </is>
      </c>
      <c r="F343" t="inlineStr">
        <is>
          <t>Good</t>
        </is>
      </c>
      <c r="G343" t="n">
        <v>1</v>
      </c>
    </row>
    <row r="344">
      <c r="A344" t="n">
        <v>343</v>
      </c>
      <c r="B344" t="n">
        <v>3213</v>
      </c>
      <c r="C344" t="n">
        <v>25</v>
      </c>
      <c r="D344" t="inlineStr">
        <is>
          <t>A32</t>
        </is>
      </c>
      <c r="E344" t="inlineStr">
        <is>
          <t>A72</t>
        </is>
      </c>
      <c r="F344" t="inlineStr">
        <is>
          <t>Good</t>
        </is>
      </c>
      <c r="G344" t="n">
        <v>1</v>
      </c>
    </row>
    <row r="345">
      <c r="A345" t="n">
        <v>344</v>
      </c>
      <c r="B345" t="n">
        <v>4439</v>
      </c>
      <c r="C345" t="n">
        <v>33</v>
      </c>
      <c r="D345" t="inlineStr">
        <is>
          <t>A32</t>
        </is>
      </c>
      <c r="E345" t="inlineStr">
        <is>
          <t>A75</t>
        </is>
      </c>
      <c r="F345" t="inlineStr">
        <is>
          <t>Good</t>
        </is>
      </c>
      <c r="G345" t="n">
        <v>1</v>
      </c>
    </row>
    <row r="346">
      <c r="A346" t="n">
        <v>345</v>
      </c>
      <c r="B346" t="n">
        <v>3949</v>
      </c>
      <c r="C346" t="n">
        <v>37</v>
      </c>
      <c r="D346" t="inlineStr">
        <is>
          <t>A32</t>
        </is>
      </c>
      <c r="E346" t="inlineStr">
        <is>
          <t>A72</t>
        </is>
      </c>
      <c r="F346" t="inlineStr">
        <is>
          <t>Good</t>
        </is>
      </c>
      <c r="G346" t="n">
        <v>1</v>
      </c>
    </row>
    <row r="347">
      <c r="A347" t="n">
        <v>346</v>
      </c>
      <c r="B347" t="n">
        <v>1459</v>
      </c>
      <c r="C347" t="n">
        <v>43</v>
      </c>
      <c r="D347" t="inlineStr">
        <is>
          <t>A34</t>
        </is>
      </c>
      <c r="E347" t="inlineStr">
        <is>
          <t>A73</t>
        </is>
      </c>
      <c r="F347" t="inlineStr">
        <is>
          <t>Good</t>
        </is>
      </c>
      <c r="G347" t="n">
        <v>1</v>
      </c>
    </row>
    <row r="348">
      <c r="A348" t="n">
        <v>347</v>
      </c>
      <c r="B348" t="n">
        <v>882</v>
      </c>
      <c r="C348" t="n">
        <v>23</v>
      </c>
      <c r="D348" t="inlineStr">
        <is>
          <t>A34</t>
        </is>
      </c>
      <c r="E348" t="inlineStr">
        <is>
          <t>A72</t>
        </is>
      </c>
      <c r="F348" t="inlineStr">
        <is>
          <t>Good</t>
        </is>
      </c>
      <c r="G348" t="n">
        <v>1</v>
      </c>
    </row>
    <row r="349">
      <c r="A349" t="n">
        <v>348</v>
      </c>
      <c r="B349" t="n">
        <v>3758</v>
      </c>
      <c r="C349" t="n">
        <v>23</v>
      </c>
      <c r="D349" t="inlineStr">
        <is>
          <t>A32</t>
        </is>
      </c>
      <c r="E349" t="inlineStr">
        <is>
          <t>A71</t>
        </is>
      </c>
      <c r="F349" t="inlineStr">
        <is>
          <t>Good</t>
        </is>
      </c>
      <c r="G349" t="n">
        <v>1</v>
      </c>
    </row>
    <row r="350">
      <c r="A350" t="n">
        <v>349</v>
      </c>
      <c r="B350" t="n">
        <v>1743</v>
      </c>
      <c r="C350" t="n">
        <v>34</v>
      </c>
      <c r="D350" t="inlineStr">
        <is>
          <t>A33</t>
        </is>
      </c>
      <c r="E350" t="inlineStr">
        <is>
          <t>A73</t>
        </is>
      </c>
      <c r="F350" t="inlineStr">
        <is>
          <t>Good</t>
        </is>
      </c>
      <c r="G350" t="n">
        <v>1</v>
      </c>
    </row>
    <row r="351">
      <c r="A351" t="n">
        <v>350</v>
      </c>
      <c r="B351" t="n">
        <v>1136</v>
      </c>
      <c r="C351" t="n">
        <v>32</v>
      </c>
      <c r="D351" t="inlineStr">
        <is>
          <t>A34</t>
        </is>
      </c>
      <c r="E351" t="inlineStr">
        <is>
          <t>A75</t>
        </is>
      </c>
      <c r="F351" t="inlineStr">
        <is>
          <t>Bad</t>
        </is>
      </c>
      <c r="G351" t="n">
        <v>0</v>
      </c>
    </row>
    <row r="352">
      <c r="A352" t="n">
        <v>351</v>
      </c>
      <c r="B352" t="n">
        <v>1236</v>
      </c>
      <c r="C352" t="n">
        <v>23</v>
      </c>
      <c r="D352" t="inlineStr">
        <is>
          <t>A32</t>
        </is>
      </c>
      <c r="E352" t="inlineStr">
        <is>
          <t>A72</t>
        </is>
      </c>
      <c r="F352" t="inlineStr">
        <is>
          <t>Good</t>
        </is>
      </c>
      <c r="G352" t="n">
        <v>1</v>
      </c>
    </row>
    <row r="353">
      <c r="A353" t="n">
        <v>352</v>
      </c>
      <c r="B353" t="n">
        <v>959</v>
      </c>
      <c r="C353" t="n">
        <v>29</v>
      </c>
      <c r="D353" t="inlineStr">
        <is>
          <t>A32</t>
        </is>
      </c>
      <c r="E353" t="inlineStr">
        <is>
          <t>A73</t>
        </is>
      </c>
      <c r="F353" t="inlineStr">
        <is>
          <t>Bad</t>
        </is>
      </c>
      <c r="G353" t="n">
        <v>0</v>
      </c>
    </row>
    <row r="354">
      <c r="A354" t="n">
        <v>353</v>
      </c>
      <c r="B354" t="n">
        <v>3229</v>
      </c>
      <c r="C354" t="n">
        <v>38</v>
      </c>
      <c r="D354" t="inlineStr">
        <is>
          <t>A34</t>
        </is>
      </c>
      <c r="E354" t="inlineStr">
        <is>
          <t>A71</t>
        </is>
      </c>
      <c r="F354" t="inlineStr">
        <is>
          <t>Good</t>
        </is>
      </c>
      <c r="G354" t="n">
        <v>1</v>
      </c>
    </row>
    <row r="355">
      <c r="A355" t="n">
        <v>354</v>
      </c>
      <c r="B355" t="n">
        <v>6199</v>
      </c>
      <c r="C355" t="n">
        <v>28</v>
      </c>
      <c r="D355" t="inlineStr">
        <is>
          <t>A30</t>
        </is>
      </c>
      <c r="E355" t="inlineStr">
        <is>
          <t>A73</t>
        </is>
      </c>
      <c r="F355" t="inlineStr">
        <is>
          <t>Bad</t>
        </is>
      </c>
      <c r="G355" t="n">
        <v>0</v>
      </c>
    </row>
    <row r="356">
      <c r="A356" t="n">
        <v>355</v>
      </c>
      <c r="B356" t="n">
        <v>727</v>
      </c>
      <c r="C356" t="n">
        <v>46</v>
      </c>
      <c r="D356" t="inlineStr">
        <is>
          <t>A32</t>
        </is>
      </c>
      <c r="E356" t="inlineStr">
        <is>
          <t>A75</t>
        </is>
      </c>
      <c r="F356" t="inlineStr">
        <is>
          <t>Good</t>
        </is>
      </c>
      <c r="G356" t="n">
        <v>1</v>
      </c>
    </row>
    <row r="357">
      <c r="A357" t="n">
        <v>356</v>
      </c>
      <c r="B357" t="n">
        <v>1246</v>
      </c>
      <c r="C357" t="n">
        <v>23</v>
      </c>
      <c r="D357" t="inlineStr">
        <is>
          <t>A32</t>
        </is>
      </c>
      <c r="E357" t="inlineStr">
        <is>
          <t>A72</t>
        </is>
      </c>
      <c r="F357" t="inlineStr">
        <is>
          <t>Bad</t>
        </is>
      </c>
      <c r="G357" t="n">
        <v>0</v>
      </c>
    </row>
    <row r="358">
      <c r="A358" t="n">
        <v>357</v>
      </c>
      <c r="B358" t="n">
        <v>2331</v>
      </c>
      <c r="C358" t="n">
        <v>49</v>
      </c>
      <c r="D358" t="inlineStr">
        <is>
          <t>A34</t>
        </is>
      </c>
      <c r="E358" t="inlineStr">
        <is>
          <t>A75</t>
        </is>
      </c>
      <c r="F358" t="inlineStr">
        <is>
          <t>Good</t>
        </is>
      </c>
      <c r="G358" t="n">
        <v>1</v>
      </c>
    </row>
    <row r="359">
      <c r="A359" t="n">
        <v>358</v>
      </c>
      <c r="B359" t="n">
        <v>4463</v>
      </c>
      <c r="C359" t="n">
        <v>26</v>
      </c>
      <c r="D359" t="inlineStr">
        <is>
          <t>A33</t>
        </is>
      </c>
      <c r="E359" t="inlineStr">
        <is>
          <t>A73</t>
        </is>
      </c>
      <c r="F359" t="inlineStr">
        <is>
          <t>Bad</t>
        </is>
      </c>
      <c r="G359" t="n">
        <v>0</v>
      </c>
    </row>
    <row r="360">
      <c r="A360" t="n">
        <v>359</v>
      </c>
      <c r="B360" t="n">
        <v>776</v>
      </c>
      <c r="C360" t="n">
        <v>28</v>
      </c>
      <c r="D360" t="inlineStr">
        <is>
          <t>A32</t>
        </is>
      </c>
      <c r="E360" t="inlineStr">
        <is>
          <t>A73</t>
        </is>
      </c>
      <c r="F360" t="inlineStr">
        <is>
          <t>Good</t>
        </is>
      </c>
      <c r="G360" t="n">
        <v>1</v>
      </c>
    </row>
    <row r="361">
      <c r="A361" t="n">
        <v>360</v>
      </c>
      <c r="B361" t="n">
        <v>2406</v>
      </c>
      <c r="C361" t="n">
        <v>23</v>
      </c>
      <c r="D361" t="inlineStr">
        <is>
          <t>A32</t>
        </is>
      </c>
      <c r="E361" t="inlineStr">
        <is>
          <t>A74</t>
        </is>
      </c>
      <c r="F361" t="inlineStr">
        <is>
          <t>Bad</t>
        </is>
      </c>
      <c r="G361" t="n">
        <v>0</v>
      </c>
    </row>
    <row r="362">
      <c r="A362" t="n">
        <v>361</v>
      </c>
      <c r="B362" t="n">
        <v>1239</v>
      </c>
      <c r="C362" t="n">
        <v>61</v>
      </c>
      <c r="D362" t="inlineStr">
        <is>
          <t>A32</t>
        </is>
      </c>
      <c r="E362" t="inlineStr">
        <is>
          <t>A73</t>
        </is>
      </c>
      <c r="F362" t="inlineStr">
        <is>
          <t>Good</t>
        </is>
      </c>
      <c r="G362" t="n">
        <v>1</v>
      </c>
    </row>
    <row r="363">
      <c r="A363" t="n">
        <v>362</v>
      </c>
      <c r="B363" t="n">
        <v>3399</v>
      </c>
      <c r="C363" t="n">
        <v>37</v>
      </c>
      <c r="D363" t="inlineStr">
        <is>
          <t>A32</t>
        </is>
      </c>
      <c r="E363" t="inlineStr">
        <is>
          <t>A75</t>
        </is>
      </c>
      <c r="F363" t="inlineStr">
        <is>
          <t>Good</t>
        </is>
      </c>
      <c r="G363" t="n">
        <v>1</v>
      </c>
    </row>
    <row r="364">
      <c r="A364" t="n">
        <v>363</v>
      </c>
      <c r="B364" t="n">
        <v>2247</v>
      </c>
      <c r="C364" t="n">
        <v>36</v>
      </c>
      <c r="D364" t="inlineStr">
        <is>
          <t>A33</t>
        </is>
      </c>
      <c r="E364" t="inlineStr">
        <is>
          <t>A73</t>
        </is>
      </c>
      <c r="F364" t="inlineStr">
        <is>
          <t>Good</t>
        </is>
      </c>
      <c r="G364" t="n">
        <v>1</v>
      </c>
    </row>
    <row r="365">
      <c r="A365" t="n">
        <v>364</v>
      </c>
      <c r="B365" t="n">
        <v>1766</v>
      </c>
      <c r="C365" t="n">
        <v>21</v>
      </c>
      <c r="D365" t="inlineStr">
        <is>
          <t>A32</t>
        </is>
      </c>
      <c r="E365" t="inlineStr">
        <is>
          <t>A73</t>
        </is>
      </c>
      <c r="F365" t="inlineStr">
        <is>
          <t>Good</t>
        </is>
      </c>
      <c r="G365" t="n">
        <v>1</v>
      </c>
    </row>
    <row r="366">
      <c r="A366" t="n">
        <v>365</v>
      </c>
      <c r="B366" t="n">
        <v>2473</v>
      </c>
      <c r="C366" t="n">
        <v>25</v>
      </c>
      <c r="D366" t="inlineStr">
        <is>
          <t>A32</t>
        </is>
      </c>
      <c r="E366" t="inlineStr">
        <is>
          <t>A71</t>
        </is>
      </c>
      <c r="F366" t="inlineStr">
        <is>
          <t>Bad</t>
        </is>
      </c>
      <c r="G366" t="n">
        <v>0</v>
      </c>
    </row>
    <row r="367">
      <c r="A367" t="n">
        <v>366</v>
      </c>
      <c r="B367" t="n">
        <v>1542</v>
      </c>
      <c r="C367" t="n">
        <v>36</v>
      </c>
      <c r="D367" t="inlineStr">
        <is>
          <t>A32</t>
        </is>
      </c>
      <c r="E367" t="inlineStr">
        <is>
          <t>A74</t>
        </is>
      </c>
      <c r="F367" t="inlineStr">
        <is>
          <t>Good</t>
        </is>
      </c>
      <c r="G367" t="n">
        <v>1</v>
      </c>
    </row>
    <row r="368">
      <c r="A368" t="n">
        <v>367</v>
      </c>
      <c r="B368" t="n">
        <v>3850</v>
      </c>
      <c r="C368" t="n">
        <v>27</v>
      </c>
      <c r="D368" t="inlineStr">
        <is>
          <t>A34</t>
        </is>
      </c>
      <c r="E368" t="inlineStr">
        <is>
          <t>A74</t>
        </is>
      </c>
      <c r="F368" t="inlineStr">
        <is>
          <t>Good</t>
        </is>
      </c>
      <c r="G368" t="n">
        <v>1</v>
      </c>
    </row>
    <row r="369">
      <c r="A369" t="n">
        <v>368</v>
      </c>
      <c r="B369" t="n">
        <v>3650</v>
      </c>
      <c r="C369" t="n">
        <v>22</v>
      </c>
      <c r="D369" t="inlineStr">
        <is>
          <t>A32</t>
        </is>
      </c>
      <c r="E369" t="inlineStr">
        <is>
          <t>A72</t>
        </is>
      </c>
      <c r="F369" t="inlineStr">
        <is>
          <t>Good</t>
        </is>
      </c>
      <c r="G369" t="n">
        <v>1</v>
      </c>
    </row>
    <row r="370">
      <c r="A370" t="n">
        <v>369</v>
      </c>
      <c r="B370" t="n">
        <v>3446</v>
      </c>
      <c r="C370" t="n">
        <v>42</v>
      </c>
      <c r="D370" t="inlineStr">
        <is>
          <t>A32</t>
        </is>
      </c>
      <c r="E370" t="inlineStr">
        <is>
          <t>A75</t>
        </is>
      </c>
      <c r="F370" t="inlineStr">
        <is>
          <t>Bad</t>
        </is>
      </c>
      <c r="G370" t="n">
        <v>0</v>
      </c>
    </row>
    <row r="371">
      <c r="A371" t="n">
        <v>370</v>
      </c>
      <c r="B371" t="n">
        <v>3001</v>
      </c>
      <c r="C371" t="n">
        <v>40</v>
      </c>
      <c r="D371" t="inlineStr">
        <is>
          <t>A32</t>
        </is>
      </c>
      <c r="E371" t="inlineStr">
        <is>
          <t>A74</t>
        </is>
      </c>
      <c r="F371" t="inlineStr">
        <is>
          <t>Good</t>
        </is>
      </c>
      <c r="G371" t="n">
        <v>1</v>
      </c>
    </row>
    <row r="372">
      <c r="A372" t="n">
        <v>371</v>
      </c>
      <c r="B372" t="n">
        <v>3079</v>
      </c>
      <c r="C372" t="n">
        <v>36</v>
      </c>
      <c r="D372" t="inlineStr">
        <is>
          <t>A32</t>
        </is>
      </c>
      <c r="E372" t="inlineStr">
        <is>
          <t>A73</t>
        </is>
      </c>
      <c r="F372" t="inlineStr">
        <is>
          <t>Good</t>
        </is>
      </c>
      <c r="G372" t="n">
        <v>1</v>
      </c>
    </row>
    <row r="373">
      <c r="A373" t="n">
        <v>372</v>
      </c>
      <c r="B373" t="n">
        <v>6070</v>
      </c>
      <c r="C373" t="n">
        <v>33</v>
      </c>
      <c r="D373" t="inlineStr">
        <is>
          <t>A34</t>
        </is>
      </c>
      <c r="E373" t="inlineStr">
        <is>
          <t>A75</t>
        </is>
      </c>
      <c r="F373" t="inlineStr">
        <is>
          <t>Good</t>
        </is>
      </c>
      <c r="G373" t="n">
        <v>1</v>
      </c>
    </row>
    <row r="374">
      <c r="A374" t="n">
        <v>373</v>
      </c>
      <c r="B374" t="n">
        <v>2146</v>
      </c>
      <c r="C374" t="n">
        <v>23</v>
      </c>
      <c r="D374" t="inlineStr">
        <is>
          <t>A34</t>
        </is>
      </c>
      <c r="E374" t="inlineStr">
        <is>
          <t>A72</t>
        </is>
      </c>
      <c r="F374" t="inlineStr">
        <is>
          <t>Good</t>
        </is>
      </c>
      <c r="G374" t="n">
        <v>1</v>
      </c>
    </row>
    <row r="375">
      <c r="A375" t="n">
        <v>374</v>
      </c>
      <c r="B375" t="n">
        <v>13756</v>
      </c>
      <c r="C375" t="n">
        <v>63</v>
      </c>
      <c r="D375" t="inlineStr">
        <is>
          <t>A34</t>
        </is>
      </c>
      <c r="E375" t="inlineStr">
        <is>
          <t>A75</t>
        </is>
      </c>
      <c r="F375" t="inlineStr">
        <is>
          <t>Good</t>
        </is>
      </c>
      <c r="G375" t="n">
        <v>1</v>
      </c>
    </row>
    <row r="376">
      <c r="A376" t="n">
        <v>375</v>
      </c>
      <c r="B376" t="n">
        <v>14782</v>
      </c>
      <c r="C376" t="n">
        <v>60</v>
      </c>
      <c r="D376" t="inlineStr">
        <is>
          <t>A31</t>
        </is>
      </c>
      <c r="E376" t="inlineStr">
        <is>
          <t>A75</t>
        </is>
      </c>
      <c r="F376" t="inlineStr">
        <is>
          <t>Bad</t>
        </is>
      </c>
      <c r="G376" t="n">
        <v>0</v>
      </c>
    </row>
    <row r="377">
      <c r="A377" t="n">
        <v>376</v>
      </c>
      <c r="B377" t="n">
        <v>7685</v>
      </c>
      <c r="C377" t="n">
        <v>37</v>
      </c>
      <c r="D377" t="inlineStr">
        <is>
          <t>A31</t>
        </is>
      </c>
      <c r="E377" t="inlineStr">
        <is>
          <t>A74</t>
        </is>
      </c>
      <c r="F377" t="inlineStr">
        <is>
          <t>Bad</t>
        </is>
      </c>
      <c r="G377" t="n">
        <v>0</v>
      </c>
    </row>
    <row r="378">
      <c r="A378" t="n">
        <v>377</v>
      </c>
      <c r="B378" t="n">
        <v>2320</v>
      </c>
      <c r="C378" t="n">
        <v>34</v>
      </c>
      <c r="D378" t="inlineStr">
        <is>
          <t>A33</t>
        </is>
      </c>
      <c r="E378" t="inlineStr">
        <is>
          <t>A71</t>
        </is>
      </c>
      <c r="F378" t="inlineStr">
        <is>
          <t>Good</t>
        </is>
      </c>
      <c r="G378" t="n">
        <v>1</v>
      </c>
    </row>
    <row r="379">
      <c r="A379" t="n">
        <v>378</v>
      </c>
      <c r="B379" t="n">
        <v>846</v>
      </c>
      <c r="C379" t="n">
        <v>36</v>
      </c>
      <c r="D379" t="inlineStr">
        <is>
          <t>A33</t>
        </is>
      </c>
      <c r="E379" t="inlineStr">
        <is>
          <t>A75</t>
        </is>
      </c>
      <c r="F379" t="inlineStr">
        <is>
          <t>Good</t>
        </is>
      </c>
      <c r="G379" t="n">
        <v>1</v>
      </c>
    </row>
    <row r="380">
      <c r="A380" t="n">
        <v>379</v>
      </c>
      <c r="B380" t="n">
        <v>14318</v>
      </c>
      <c r="C380" t="n">
        <v>57</v>
      </c>
      <c r="D380" t="inlineStr">
        <is>
          <t>A32</t>
        </is>
      </c>
      <c r="E380" t="inlineStr">
        <is>
          <t>A75</t>
        </is>
      </c>
      <c r="F380" t="inlineStr">
        <is>
          <t>Bad</t>
        </is>
      </c>
      <c r="G380" t="n">
        <v>0</v>
      </c>
    </row>
    <row r="381">
      <c r="A381" t="n">
        <v>380</v>
      </c>
      <c r="B381" t="n">
        <v>362</v>
      </c>
      <c r="C381" t="n">
        <v>52</v>
      </c>
      <c r="D381" t="inlineStr">
        <is>
          <t>A34</t>
        </is>
      </c>
      <c r="E381" t="inlineStr">
        <is>
          <t>A73</t>
        </is>
      </c>
      <c r="F381" t="inlineStr">
        <is>
          <t>Good</t>
        </is>
      </c>
      <c r="G381" t="n">
        <v>1</v>
      </c>
    </row>
    <row r="382">
      <c r="A382" t="n">
        <v>381</v>
      </c>
      <c r="B382" t="n">
        <v>2212</v>
      </c>
      <c r="C382" t="n">
        <v>39</v>
      </c>
      <c r="D382" t="inlineStr">
        <is>
          <t>A32</t>
        </is>
      </c>
      <c r="E382" t="inlineStr">
        <is>
          <t>A74</t>
        </is>
      </c>
      <c r="F382" t="inlineStr">
        <is>
          <t>Good</t>
        </is>
      </c>
      <c r="G382" t="n">
        <v>1</v>
      </c>
    </row>
    <row r="383">
      <c r="A383" t="n">
        <v>382</v>
      </c>
      <c r="B383" t="n">
        <v>12976</v>
      </c>
      <c r="C383" t="n">
        <v>38</v>
      </c>
      <c r="D383" t="inlineStr">
        <is>
          <t>A32</t>
        </is>
      </c>
      <c r="E383" t="inlineStr">
        <is>
          <t>A71</t>
        </is>
      </c>
      <c r="F383" t="inlineStr">
        <is>
          <t>Bad</t>
        </is>
      </c>
      <c r="G383" t="n">
        <v>0</v>
      </c>
    </row>
    <row r="384">
      <c r="A384" t="n">
        <v>383</v>
      </c>
      <c r="B384" t="n">
        <v>1283</v>
      </c>
      <c r="C384" t="n">
        <v>25</v>
      </c>
      <c r="D384" t="inlineStr">
        <is>
          <t>A32</t>
        </is>
      </c>
      <c r="E384" t="inlineStr">
        <is>
          <t>A74</t>
        </is>
      </c>
      <c r="F384" t="inlineStr">
        <is>
          <t>Good</t>
        </is>
      </c>
      <c r="G384" t="n">
        <v>1</v>
      </c>
    </row>
    <row r="385">
      <c r="A385" t="n">
        <v>384</v>
      </c>
      <c r="B385" t="n">
        <v>1330</v>
      </c>
      <c r="C385" t="n">
        <v>26</v>
      </c>
      <c r="D385" t="inlineStr">
        <is>
          <t>A32</t>
        </is>
      </c>
      <c r="E385" t="inlineStr">
        <is>
          <t>A72</t>
        </is>
      </c>
      <c r="F385" t="inlineStr">
        <is>
          <t>Good</t>
        </is>
      </c>
      <c r="G385" t="n">
        <v>1</v>
      </c>
    </row>
    <row r="386">
      <c r="A386" t="n">
        <v>385</v>
      </c>
      <c r="B386" t="n">
        <v>4272</v>
      </c>
      <c r="C386" t="n">
        <v>26</v>
      </c>
      <c r="D386" t="inlineStr">
        <is>
          <t>A33</t>
        </is>
      </c>
      <c r="E386" t="inlineStr">
        <is>
          <t>A73</t>
        </is>
      </c>
      <c r="F386" t="inlineStr">
        <is>
          <t>Good</t>
        </is>
      </c>
      <c r="G386" t="n">
        <v>1</v>
      </c>
    </row>
    <row r="387">
      <c r="A387" t="n">
        <v>386</v>
      </c>
      <c r="B387" t="n">
        <v>2238</v>
      </c>
      <c r="C387" t="n">
        <v>25</v>
      </c>
      <c r="D387" t="inlineStr">
        <is>
          <t>A34</t>
        </is>
      </c>
      <c r="E387" t="inlineStr">
        <is>
          <t>A73</t>
        </is>
      </c>
      <c r="F387" t="inlineStr">
        <is>
          <t>Good</t>
        </is>
      </c>
      <c r="G387" t="n">
        <v>1</v>
      </c>
    </row>
    <row r="388">
      <c r="A388" t="n">
        <v>387</v>
      </c>
      <c r="B388" t="n">
        <v>1126</v>
      </c>
      <c r="C388" t="n">
        <v>21</v>
      </c>
      <c r="D388" t="inlineStr">
        <is>
          <t>A32</t>
        </is>
      </c>
      <c r="E388" t="inlineStr">
        <is>
          <t>A72</t>
        </is>
      </c>
      <c r="F388" t="inlineStr">
        <is>
          <t>Good</t>
        </is>
      </c>
      <c r="G388" t="n">
        <v>1</v>
      </c>
    </row>
    <row r="389">
      <c r="A389" t="n">
        <v>388</v>
      </c>
      <c r="B389" t="n">
        <v>7374</v>
      </c>
      <c r="C389" t="n">
        <v>40</v>
      </c>
      <c r="D389" t="inlineStr">
        <is>
          <t>A34</t>
        </is>
      </c>
      <c r="E389" t="inlineStr">
        <is>
          <t>A71</t>
        </is>
      </c>
      <c r="F389" t="inlineStr">
        <is>
          <t>Good</t>
        </is>
      </c>
      <c r="G389" t="n">
        <v>1</v>
      </c>
    </row>
    <row r="390">
      <c r="A390" t="n">
        <v>389</v>
      </c>
      <c r="B390" t="n">
        <v>2326</v>
      </c>
      <c r="C390" t="n">
        <v>27</v>
      </c>
      <c r="D390" t="inlineStr">
        <is>
          <t>A34</t>
        </is>
      </c>
      <c r="E390" t="inlineStr">
        <is>
          <t>A73</t>
        </is>
      </c>
      <c r="F390" t="inlineStr">
        <is>
          <t>Good</t>
        </is>
      </c>
      <c r="G390" t="n">
        <v>1</v>
      </c>
    </row>
    <row r="391">
      <c r="A391" t="n">
        <v>390</v>
      </c>
      <c r="B391" t="n">
        <v>1449</v>
      </c>
      <c r="C391" t="n">
        <v>27</v>
      </c>
      <c r="D391" t="inlineStr">
        <is>
          <t>A32</t>
        </is>
      </c>
      <c r="E391" t="inlineStr">
        <is>
          <t>A74</t>
        </is>
      </c>
      <c r="F391" t="inlineStr">
        <is>
          <t>Good</t>
        </is>
      </c>
      <c r="G391" t="n">
        <v>1</v>
      </c>
    </row>
    <row r="392">
      <c r="A392" t="n">
        <v>391</v>
      </c>
      <c r="B392" t="n">
        <v>1820</v>
      </c>
      <c r="C392" t="n">
        <v>30</v>
      </c>
      <c r="D392" t="inlineStr">
        <is>
          <t>A32</t>
        </is>
      </c>
      <c r="E392" t="inlineStr">
        <is>
          <t>A73</t>
        </is>
      </c>
      <c r="F392" t="inlineStr">
        <is>
          <t>Good</t>
        </is>
      </c>
      <c r="G392" t="n">
        <v>1</v>
      </c>
    </row>
    <row r="393">
      <c r="A393" t="n">
        <v>392</v>
      </c>
      <c r="B393" t="n">
        <v>983</v>
      </c>
      <c r="C393" t="n">
        <v>19</v>
      </c>
      <c r="D393" t="inlineStr">
        <is>
          <t>A32</t>
        </is>
      </c>
      <c r="E393" t="inlineStr">
        <is>
          <t>A72</t>
        </is>
      </c>
      <c r="F393" t="inlineStr">
        <is>
          <t>Good</t>
        </is>
      </c>
      <c r="G393" t="n">
        <v>1</v>
      </c>
    </row>
    <row r="394">
      <c r="A394" t="n">
        <v>393</v>
      </c>
      <c r="B394" t="n">
        <v>3249</v>
      </c>
      <c r="C394" t="n">
        <v>39</v>
      </c>
      <c r="D394" t="inlineStr">
        <is>
          <t>A32</t>
        </is>
      </c>
      <c r="E394" t="inlineStr">
        <is>
          <t>A74</t>
        </is>
      </c>
      <c r="F394" t="inlineStr">
        <is>
          <t>Good</t>
        </is>
      </c>
      <c r="G394" t="n">
        <v>1</v>
      </c>
    </row>
    <row r="395">
      <c r="A395" t="n">
        <v>394</v>
      </c>
      <c r="B395" t="n">
        <v>1957</v>
      </c>
      <c r="C395" t="n">
        <v>31</v>
      </c>
      <c r="D395" t="inlineStr">
        <is>
          <t>A34</t>
        </is>
      </c>
      <c r="E395" t="inlineStr">
        <is>
          <t>A74</t>
        </is>
      </c>
      <c r="F395" t="inlineStr">
        <is>
          <t>Good</t>
        </is>
      </c>
      <c r="G395" t="n">
        <v>1</v>
      </c>
    </row>
    <row r="396">
      <c r="A396" t="n">
        <v>395</v>
      </c>
      <c r="B396" t="n">
        <v>2406</v>
      </c>
      <c r="C396" t="n">
        <v>31</v>
      </c>
      <c r="D396" t="inlineStr">
        <is>
          <t>A34</t>
        </is>
      </c>
      <c r="E396" t="inlineStr">
        <is>
          <t>A71</t>
        </is>
      </c>
      <c r="F396" t="inlineStr">
        <is>
          <t>Good</t>
        </is>
      </c>
      <c r="G396" t="n">
        <v>1</v>
      </c>
    </row>
    <row r="397">
      <c r="A397" t="n">
        <v>396</v>
      </c>
      <c r="B397" t="n">
        <v>11760</v>
      </c>
      <c r="C397" t="n">
        <v>32</v>
      </c>
      <c r="D397" t="inlineStr">
        <is>
          <t>A33</t>
        </is>
      </c>
      <c r="E397" t="inlineStr">
        <is>
          <t>A74</t>
        </is>
      </c>
      <c r="F397" t="inlineStr">
        <is>
          <t>Good</t>
        </is>
      </c>
      <c r="G397" t="n">
        <v>1</v>
      </c>
    </row>
    <row r="398">
      <c r="A398" t="n">
        <v>397</v>
      </c>
      <c r="B398" t="n">
        <v>2578</v>
      </c>
      <c r="C398" t="n">
        <v>55</v>
      </c>
      <c r="D398" t="inlineStr">
        <is>
          <t>A32</t>
        </is>
      </c>
      <c r="E398" t="inlineStr">
        <is>
          <t>A71</t>
        </is>
      </c>
      <c r="F398" t="inlineStr">
        <is>
          <t>Good</t>
        </is>
      </c>
      <c r="G398" t="n">
        <v>1</v>
      </c>
    </row>
    <row r="399">
      <c r="A399" t="n">
        <v>398</v>
      </c>
      <c r="B399" t="n">
        <v>2348</v>
      </c>
      <c r="C399" t="n">
        <v>46</v>
      </c>
      <c r="D399" t="inlineStr">
        <is>
          <t>A34</t>
        </is>
      </c>
      <c r="E399" t="inlineStr">
        <is>
          <t>A73</t>
        </is>
      </c>
      <c r="F399" t="inlineStr">
        <is>
          <t>Good</t>
        </is>
      </c>
      <c r="G399" t="n">
        <v>1</v>
      </c>
    </row>
    <row r="400">
      <c r="A400" t="n">
        <v>399</v>
      </c>
      <c r="B400" t="n">
        <v>1223</v>
      </c>
      <c r="C400" t="n">
        <v>46</v>
      </c>
      <c r="D400" t="inlineStr">
        <is>
          <t>A32</t>
        </is>
      </c>
      <c r="E400" t="inlineStr">
        <is>
          <t>A75</t>
        </is>
      </c>
      <c r="F400" t="inlineStr">
        <is>
          <t>Bad</t>
        </is>
      </c>
      <c r="G400" t="n">
        <v>0</v>
      </c>
    </row>
    <row r="401">
      <c r="A401" t="n">
        <v>400</v>
      </c>
      <c r="B401" t="n">
        <v>1516</v>
      </c>
      <c r="C401" t="n">
        <v>43</v>
      </c>
      <c r="D401" t="inlineStr">
        <is>
          <t>A34</t>
        </is>
      </c>
      <c r="E401" t="inlineStr">
        <is>
          <t>A73</t>
        </is>
      </c>
      <c r="F401" t="inlineStr">
        <is>
          <t>Good</t>
        </is>
      </c>
      <c r="G401" t="n">
        <v>1</v>
      </c>
    </row>
    <row r="402">
      <c r="A402" t="n">
        <v>401</v>
      </c>
      <c r="B402" t="n">
        <v>1473</v>
      </c>
      <c r="C402" t="n">
        <v>39</v>
      </c>
      <c r="D402" t="inlineStr">
        <is>
          <t>A32</t>
        </is>
      </c>
      <c r="E402" t="inlineStr">
        <is>
          <t>A72</t>
        </is>
      </c>
      <c r="F402" t="inlineStr">
        <is>
          <t>Good</t>
        </is>
      </c>
      <c r="G402" t="n">
        <v>1</v>
      </c>
    </row>
    <row r="403">
      <c r="A403" t="n">
        <v>402</v>
      </c>
      <c r="B403" t="n">
        <v>1887</v>
      </c>
      <c r="C403" t="n">
        <v>28</v>
      </c>
      <c r="D403" t="inlineStr">
        <is>
          <t>A34</t>
        </is>
      </c>
      <c r="E403" t="inlineStr">
        <is>
          <t>A73</t>
        </is>
      </c>
      <c r="F403" t="inlineStr">
        <is>
          <t>Good</t>
        </is>
      </c>
      <c r="G403" t="n">
        <v>1</v>
      </c>
    </row>
    <row r="404">
      <c r="A404" t="n">
        <v>403</v>
      </c>
      <c r="B404" t="n">
        <v>8648</v>
      </c>
      <c r="C404" t="n">
        <v>27</v>
      </c>
      <c r="D404" t="inlineStr">
        <is>
          <t>A33</t>
        </is>
      </c>
      <c r="E404" t="inlineStr">
        <is>
          <t>A72</t>
        </is>
      </c>
      <c r="F404" t="inlineStr">
        <is>
          <t>Bad</t>
        </is>
      </c>
      <c r="G404" t="n">
        <v>0</v>
      </c>
    </row>
    <row r="405">
      <c r="A405" t="n">
        <v>404</v>
      </c>
      <c r="B405" t="n">
        <v>802</v>
      </c>
      <c r="C405" t="n">
        <v>27</v>
      </c>
      <c r="D405" t="inlineStr">
        <is>
          <t>A33</t>
        </is>
      </c>
      <c r="E405" t="inlineStr">
        <is>
          <t>A73</t>
        </is>
      </c>
      <c r="F405" t="inlineStr">
        <is>
          <t>Good</t>
        </is>
      </c>
      <c r="G405" t="n">
        <v>1</v>
      </c>
    </row>
    <row r="406">
      <c r="A406" t="n">
        <v>405</v>
      </c>
      <c r="B406" t="n">
        <v>2899</v>
      </c>
      <c r="C406" t="n">
        <v>43</v>
      </c>
      <c r="D406" t="inlineStr">
        <is>
          <t>A33</t>
        </is>
      </c>
      <c r="E406" t="inlineStr">
        <is>
          <t>A75</t>
        </is>
      </c>
      <c r="F406" t="inlineStr">
        <is>
          <t>Good</t>
        </is>
      </c>
      <c r="G406" t="n">
        <v>1</v>
      </c>
    </row>
    <row r="407">
      <c r="A407" t="n">
        <v>406</v>
      </c>
      <c r="B407" t="n">
        <v>2039</v>
      </c>
      <c r="C407" t="n">
        <v>22</v>
      </c>
      <c r="D407" t="inlineStr">
        <is>
          <t>A32</t>
        </is>
      </c>
      <c r="E407" t="inlineStr">
        <is>
          <t>A72</t>
        </is>
      </c>
      <c r="F407" t="inlineStr">
        <is>
          <t>Bad</t>
        </is>
      </c>
      <c r="G407" t="n">
        <v>0</v>
      </c>
    </row>
    <row r="408">
      <c r="A408" t="n">
        <v>407</v>
      </c>
      <c r="B408" t="n">
        <v>2197</v>
      </c>
      <c r="C408" t="n">
        <v>43</v>
      </c>
      <c r="D408" t="inlineStr">
        <is>
          <t>A34</t>
        </is>
      </c>
      <c r="E408" t="inlineStr">
        <is>
          <t>A74</t>
        </is>
      </c>
      <c r="F408" t="inlineStr">
        <is>
          <t>Good</t>
        </is>
      </c>
      <c r="G408" t="n">
        <v>1</v>
      </c>
    </row>
    <row r="409">
      <c r="A409" t="n">
        <v>408</v>
      </c>
      <c r="B409" t="n">
        <v>1053</v>
      </c>
      <c r="C409" t="n">
        <v>27</v>
      </c>
      <c r="D409" t="inlineStr">
        <is>
          <t>A32</t>
        </is>
      </c>
      <c r="E409" t="inlineStr">
        <is>
          <t>A72</t>
        </is>
      </c>
      <c r="F409" t="inlineStr">
        <is>
          <t>Good</t>
        </is>
      </c>
      <c r="G409" t="n">
        <v>1</v>
      </c>
    </row>
    <row r="410">
      <c r="A410" t="n">
        <v>409</v>
      </c>
      <c r="B410" t="n">
        <v>3235</v>
      </c>
      <c r="C410" t="n">
        <v>26</v>
      </c>
      <c r="D410" t="inlineStr">
        <is>
          <t>A32</t>
        </is>
      </c>
      <c r="E410" t="inlineStr">
        <is>
          <t>A75</t>
        </is>
      </c>
      <c r="F410" t="inlineStr">
        <is>
          <t>Good</t>
        </is>
      </c>
      <c r="G410" t="n">
        <v>1</v>
      </c>
    </row>
    <row r="411">
      <c r="A411" t="n">
        <v>410</v>
      </c>
      <c r="B411" t="n">
        <v>939</v>
      </c>
      <c r="C411" t="n">
        <v>28</v>
      </c>
      <c r="D411" t="inlineStr">
        <is>
          <t>A34</t>
        </is>
      </c>
      <c r="E411" t="inlineStr">
        <is>
          <t>A74</t>
        </is>
      </c>
      <c r="F411" t="inlineStr">
        <is>
          <t>Bad</t>
        </is>
      </c>
      <c r="G411" t="n">
        <v>0</v>
      </c>
    </row>
    <row r="412">
      <c r="A412" t="n">
        <v>411</v>
      </c>
      <c r="B412" t="n">
        <v>1967</v>
      </c>
      <c r="C412" t="n">
        <v>20</v>
      </c>
      <c r="D412" t="inlineStr">
        <is>
          <t>A32</t>
        </is>
      </c>
      <c r="E412" t="inlineStr">
        <is>
          <t>A75</t>
        </is>
      </c>
      <c r="F412" t="inlineStr">
        <is>
          <t>Good</t>
        </is>
      </c>
      <c r="G412" t="n">
        <v>1</v>
      </c>
    </row>
    <row r="413">
      <c r="A413" t="n">
        <v>412</v>
      </c>
      <c r="B413" t="n">
        <v>7253</v>
      </c>
      <c r="C413" t="n">
        <v>35</v>
      </c>
      <c r="D413" t="inlineStr">
        <is>
          <t>A34</t>
        </is>
      </c>
      <c r="E413" t="inlineStr">
        <is>
          <t>A74</t>
        </is>
      </c>
      <c r="F413" t="inlineStr">
        <is>
          <t>Good</t>
        </is>
      </c>
      <c r="G413" t="n">
        <v>1</v>
      </c>
    </row>
    <row r="414">
      <c r="A414" t="n">
        <v>413</v>
      </c>
      <c r="B414" t="n">
        <v>2292</v>
      </c>
      <c r="C414" t="n">
        <v>42</v>
      </c>
      <c r="D414" t="inlineStr">
        <is>
          <t>A34</t>
        </is>
      </c>
      <c r="E414" t="inlineStr">
        <is>
          <t>A71</t>
        </is>
      </c>
      <c r="F414" t="inlineStr">
        <is>
          <t>Bad</t>
        </is>
      </c>
      <c r="G414" t="n">
        <v>0</v>
      </c>
    </row>
    <row r="415">
      <c r="A415" t="n">
        <v>414</v>
      </c>
      <c r="B415" t="n">
        <v>1597</v>
      </c>
      <c r="C415" t="n">
        <v>40</v>
      </c>
      <c r="D415" t="inlineStr">
        <is>
          <t>A32</t>
        </is>
      </c>
      <c r="E415" t="inlineStr">
        <is>
          <t>A73</t>
        </is>
      </c>
      <c r="F415" t="inlineStr">
        <is>
          <t>Good</t>
        </is>
      </c>
      <c r="G415" t="n">
        <v>1</v>
      </c>
    </row>
    <row r="416">
      <c r="A416" t="n">
        <v>415</v>
      </c>
      <c r="B416" t="n">
        <v>1381</v>
      </c>
      <c r="C416" t="n">
        <v>35</v>
      </c>
      <c r="D416" t="inlineStr">
        <is>
          <t>A32</t>
        </is>
      </c>
      <c r="E416" t="inlineStr">
        <is>
          <t>A73</t>
        </is>
      </c>
      <c r="F416" t="inlineStr">
        <is>
          <t>Bad</t>
        </is>
      </c>
      <c r="G416" t="n">
        <v>0</v>
      </c>
    </row>
    <row r="417">
      <c r="A417" t="n">
        <v>416</v>
      </c>
      <c r="B417" t="n">
        <v>5842</v>
      </c>
      <c r="C417" t="n">
        <v>35</v>
      </c>
      <c r="D417" t="inlineStr">
        <is>
          <t>A34</t>
        </is>
      </c>
      <c r="E417" t="inlineStr">
        <is>
          <t>A75</t>
        </is>
      </c>
      <c r="F417" t="inlineStr">
        <is>
          <t>Good</t>
        </is>
      </c>
      <c r="G417" t="n">
        <v>1</v>
      </c>
    </row>
    <row r="418">
      <c r="A418" t="n">
        <v>417</v>
      </c>
      <c r="B418" t="n">
        <v>2579</v>
      </c>
      <c r="C418" t="n">
        <v>33</v>
      </c>
      <c r="D418" t="inlineStr">
        <is>
          <t>A32</t>
        </is>
      </c>
      <c r="E418" t="inlineStr">
        <is>
          <t>A72</t>
        </is>
      </c>
      <c r="F418" t="inlineStr">
        <is>
          <t>Bad</t>
        </is>
      </c>
      <c r="G418" t="n">
        <v>0</v>
      </c>
    </row>
    <row r="419">
      <c r="A419" t="n">
        <v>418</v>
      </c>
      <c r="B419" t="n">
        <v>8471</v>
      </c>
      <c r="C419" t="n">
        <v>23</v>
      </c>
      <c r="D419" t="inlineStr">
        <is>
          <t>A33</t>
        </is>
      </c>
      <c r="E419" t="inlineStr">
        <is>
          <t>A73</t>
        </is>
      </c>
      <c r="F419" t="inlineStr">
        <is>
          <t>Good</t>
        </is>
      </c>
      <c r="G419" t="n">
        <v>1</v>
      </c>
    </row>
    <row r="420">
      <c r="A420" t="n">
        <v>419</v>
      </c>
      <c r="B420" t="n">
        <v>2782</v>
      </c>
      <c r="C420" t="n">
        <v>31</v>
      </c>
      <c r="D420" t="inlineStr">
        <is>
          <t>A32</t>
        </is>
      </c>
      <c r="E420" t="inlineStr">
        <is>
          <t>A74</t>
        </is>
      </c>
      <c r="F420" t="inlineStr">
        <is>
          <t>Good</t>
        </is>
      </c>
      <c r="G420" t="n">
        <v>1</v>
      </c>
    </row>
    <row r="421">
      <c r="A421" t="n">
        <v>420</v>
      </c>
      <c r="B421" t="n">
        <v>1042</v>
      </c>
      <c r="C421" t="n">
        <v>33</v>
      </c>
      <c r="D421" t="inlineStr">
        <is>
          <t>A32</t>
        </is>
      </c>
      <c r="E421" t="inlineStr">
        <is>
          <t>A73</t>
        </is>
      </c>
      <c r="F421" t="inlineStr">
        <is>
          <t>Bad</t>
        </is>
      </c>
      <c r="G421" t="n">
        <v>0</v>
      </c>
    </row>
    <row r="422">
      <c r="A422" t="n">
        <v>421</v>
      </c>
      <c r="B422" t="n">
        <v>3186</v>
      </c>
      <c r="C422" t="n">
        <v>20</v>
      </c>
      <c r="D422" t="inlineStr">
        <is>
          <t>A32</t>
        </is>
      </c>
      <c r="E422" t="inlineStr">
        <is>
          <t>A74</t>
        </is>
      </c>
      <c r="F422" t="inlineStr">
        <is>
          <t>Good</t>
        </is>
      </c>
      <c r="G422" t="n">
        <v>1</v>
      </c>
    </row>
    <row r="423">
      <c r="A423" t="n">
        <v>422</v>
      </c>
      <c r="B423" t="n">
        <v>2028</v>
      </c>
      <c r="C423" t="n">
        <v>30</v>
      </c>
      <c r="D423" t="inlineStr">
        <is>
          <t>A32</t>
        </is>
      </c>
      <c r="E423" t="inlineStr">
        <is>
          <t>A73</t>
        </is>
      </c>
      <c r="F423" t="inlineStr">
        <is>
          <t>Good</t>
        </is>
      </c>
      <c r="G423" t="n">
        <v>1</v>
      </c>
    </row>
    <row r="424">
      <c r="A424" t="n">
        <v>423</v>
      </c>
      <c r="B424" t="n">
        <v>958</v>
      </c>
      <c r="C424" t="n">
        <v>47</v>
      </c>
      <c r="D424" t="inlineStr">
        <is>
          <t>A34</t>
        </is>
      </c>
      <c r="E424" t="inlineStr">
        <is>
          <t>A74</t>
        </is>
      </c>
      <c r="F424" t="inlineStr">
        <is>
          <t>Good</t>
        </is>
      </c>
      <c r="G424" t="n">
        <v>1</v>
      </c>
    </row>
    <row r="425">
      <c r="A425" t="n">
        <v>424</v>
      </c>
      <c r="B425" t="n">
        <v>1591</v>
      </c>
      <c r="C425" t="n">
        <v>34</v>
      </c>
      <c r="D425" t="inlineStr">
        <is>
          <t>A33</t>
        </is>
      </c>
      <c r="E425" t="inlineStr">
        <is>
          <t>A74</t>
        </is>
      </c>
      <c r="F425" t="inlineStr">
        <is>
          <t>Good</t>
        </is>
      </c>
      <c r="G425" t="n">
        <v>1</v>
      </c>
    </row>
    <row r="426">
      <c r="A426" t="n">
        <v>425</v>
      </c>
      <c r="B426" t="n">
        <v>2762</v>
      </c>
      <c r="C426" t="n">
        <v>25</v>
      </c>
      <c r="D426" t="inlineStr">
        <is>
          <t>A32</t>
        </is>
      </c>
      <c r="E426" t="inlineStr">
        <is>
          <t>A75</t>
        </is>
      </c>
      <c r="F426" t="inlineStr">
        <is>
          <t>Bad</t>
        </is>
      </c>
      <c r="G426" t="n">
        <v>0</v>
      </c>
    </row>
    <row r="427">
      <c r="A427" t="n">
        <v>426</v>
      </c>
      <c r="B427" t="n">
        <v>2779</v>
      </c>
      <c r="C427" t="n">
        <v>21</v>
      </c>
      <c r="D427" t="inlineStr">
        <is>
          <t>A32</t>
        </is>
      </c>
      <c r="E427" t="inlineStr">
        <is>
          <t>A73</t>
        </is>
      </c>
      <c r="F427" t="inlineStr">
        <is>
          <t>Good</t>
        </is>
      </c>
      <c r="G427" t="n">
        <v>1</v>
      </c>
    </row>
    <row r="428">
      <c r="A428" t="n">
        <v>427</v>
      </c>
      <c r="B428" t="n">
        <v>2743</v>
      </c>
      <c r="C428" t="n">
        <v>29</v>
      </c>
      <c r="D428" t="inlineStr">
        <is>
          <t>A34</t>
        </is>
      </c>
      <c r="E428" t="inlineStr">
        <is>
          <t>A75</t>
        </is>
      </c>
      <c r="F428" t="inlineStr">
        <is>
          <t>Good</t>
        </is>
      </c>
      <c r="G428" t="n">
        <v>1</v>
      </c>
    </row>
    <row r="429">
      <c r="A429" t="n">
        <v>428</v>
      </c>
      <c r="B429" t="n">
        <v>1149</v>
      </c>
      <c r="C429" t="n">
        <v>46</v>
      </c>
      <c r="D429" t="inlineStr">
        <is>
          <t>A34</t>
        </is>
      </c>
      <c r="E429" t="inlineStr">
        <is>
          <t>A73</t>
        </is>
      </c>
      <c r="F429" t="inlineStr">
        <is>
          <t>Good</t>
        </is>
      </c>
      <c r="G429" t="n">
        <v>1</v>
      </c>
    </row>
    <row r="430">
      <c r="A430" t="n">
        <v>429</v>
      </c>
      <c r="B430" t="n">
        <v>1313</v>
      </c>
      <c r="C430" t="n">
        <v>20</v>
      </c>
      <c r="D430" t="inlineStr">
        <is>
          <t>A32</t>
        </is>
      </c>
      <c r="E430" t="inlineStr">
        <is>
          <t>A75</t>
        </is>
      </c>
      <c r="F430" t="inlineStr">
        <is>
          <t>Good</t>
        </is>
      </c>
      <c r="G430" t="n">
        <v>1</v>
      </c>
    </row>
    <row r="431">
      <c r="A431" t="n">
        <v>430</v>
      </c>
      <c r="B431" t="n">
        <v>1190</v>
      </c>
      <c r="C431" t="n">
        <v>55</v>
      </c>
      <c r="D431" t="inlineStr">
        <is>
          <t>A34</t>
        </is>
      </c>
      <c r="E431" t="inlineStr">
        <is>
          <t>A71</t>
        </is>
      </c>
      <c r="F431" t="inlineStr">
        <is>
          <t>Bad</t>
        </is>
      </c>
      <c r="G431" t="n">
        <v>0</v>
      </c>
    </row>
    <row r="432">
      <c r="A432" t="n">
        <v>431</v>
      </c>
      <c r="B432" t="n">
        <v>3448</v>
      </c>
      <c r="C432" t="n">
        <v>74</v>
      </c>
      <c r="D432" t="inlineStr">
        <is>
          <t>A32</t>
        </is>
      </c>
      <c r="E432" t="inlineStr">
        <is>
          <t>A74</t>
        </is>
      </c>
      <c r="F432" t="inlineStr">
        <is>
          <t>Good</t>
        </is>
      </c>
      <c r="G432" t="n">
        <v>1</v>
      </c>
    </row>
    <row r="433">
      <c r="A433" t="n">
        <v>432</v>
      </c>
      <c r="B433" t="n">
        <v>11328</v>
      </c>
      <c r="C433" t="n">
        <v>29</v>
      </c>
      <c r="D433" t="inlineStr">
        <is>
          <t>A32</t>
        </is>
      </c>
      <c r="E433" t="inlineStr">
        <is>
          <t>A73</t>
        </is>
      </c>
      <c r="F433" t="inlineStr">
        <is>
          <t>Bad</t>
        </is>
      </c>
      <c r="G433" t="n">
        <v>0</v>
      </c>
    </row>
    <row r="434">
      <c r="A434" t="n">
        <v>433</v>
      </c>
      <c r="B434" t="n">
        <v>1872</v>
      </c>
      <c r="C434" t="n">
        <v>36</v>
      </c>
      <c r="D434" t="inlineStr">
        <is>
          <t>A34</t>
        </is>
      </c>
      <c r="E434" t="inlineStr">
        <is>
          <t>A71</t>
        </is>
      </c>
      <c r="F434" t="inlineStr">
        <is>
          <t>Good</t>
        </is>
      </c>
      <c r="G434" t="n">
        <v>1</v>
      </c>
    </row>
    <row r="435">
      <c r="A435" t="n">
        <v>434</v>
      </c>
      <c r="B435" t="n">
        <v>2058</v>
      </c>
      <c r="C435" t="n">
        <v>33</v>
      </c>
      <c r="D435" t="inlineStr">
        <is>
          <t>A34</t>
        </is>
      </c>
      <c r="E435" t="inlineStr">
        <is>
          <t>A73</t>
        </is>
      </c>
      <c r="F435" t="inlineStr">
        <is>
          <t>Good</t>
        </is>
      </c>
      <c r="G435" t="n">
        <v>1</v>
      </c>
    </row>
    <row r="436">
      <c r="A436" t="n">
        <v>435</v>
      </c>
      <c r="B436" t="n">
        <v>2136</v>
      </c>
      <c r="C436" t="n">
        <v>25</v>
      </c>
      <c r="D436" t="inlineStr">
        <is>
          <t>A32</t>
        </is>
      </c>
      <c r="E436" t="inlineStr">
        <is>
          <t>A73</t>
        </is>
      </c>
      <c r="F436" t="inlineStr">
        <is>
          <t>Good</t>
        </is>
      </c>
      <c r="G436" t="n">
        <v>1</v>
      </c>
    </row>
    <row r="437">
      <c r="A437" t="n">
        <v>436</v>
      </c>
      <c r="B437" t="n">
        <v>1484</v>
      </c>
      <c r="C437" t="n">
        <v>25</v>
      </c>
      <c r="D437" t="inlineStr">
        <is>
          <t>A32</t>
        </is>
      </c>
      <c r="E437" t="inlineStr">
        <is>
          <t>A73</t>
        </is>
      </c>
      <c r="F437" t="inlineStr">
        <is>
          <t>Bad</t>
        </is>
      </c>
      <c r="G437" t="n">
        <v>0</v>
      </c>
    </row>
    <row r="438">
      <c r="A438" t="n">
        <v>437</v>
      </c>
      <c r="B438" t="n">
        <v>660</v>
      </c>
      <c r="C438" t="n">
        <v>23</v>
      </c>
      <c r="D438" t="inlineStr">
        <is>
          <t>A32</t>
        </is>
      </c>
      <c r="E438" t="inlineStr">
        <is>
          <t>A74</t>
        </is>
      </c>
      <c r="F438" t="inlineStr">
        <is>
          <t>Good</t>
        </is>
      </c>
      <c r="G438" t="n">
        <v>1</v>
      </c>
    </row>
    <row r="439">
      <c r="A439" t="n">
        <v>438</v>
      </c>
      <c r="B439" t="n">
        <v>1287</v>
      </c>
      <c r="C439" t="n">
        <v>37</v>
      </c>
      <c r="D439" t="inlineStr">
        <is>
          <t>A34</t>
        </is>
      </c>
      <c r="E439" t="inlineStr">
        <is>
          <t>A75</t>
        </is>
      </c>
      <c r="F439" t="inlineStr">
        <is>
          <t>Good</t>
        </is>
      </c>
      <c r="G439" t="n">
        <v>1</v>
      </c>
    </row>
    <row r="440">
      <c r="A440" t="n">
        <v>439</v>
      </c>
      <c r="B440" t="n">
        <v>3394</v>
      </c>
      <c r="C440" t="n">
        <v>65</v>
      </c>
      <c r="D440" t="inlineStr">
        <is>
          <t>A34</t>
        </is>
      </c>
      <c r="E440" t="inlineStr">
        <is>
          <t>A71</t>
        </is>
      </c>
      <c r="F440" t="inlineStr">
        <is>
          <t>Good</t>
        </is>
      </c>
      <c r="G440" t="n">
        <v>1</v>
      </c>
    </row>
    <row r="441">
      <c r="A441" t="n">
        <v>440</v>
      </c>
      <c r="B441" t="n">
        <v>609</v>
      </c>
      <c r="C441" t="n">
        <v>26</v>
      </c>
      <c r="D441" t="inlineStr">
        <is>
          <t>A31</t>
        </is>
      </c>
      <c r="E441" t="inlineStr">
        <is>
          <t>A72</t>
        </is>
      </c>
      <c r="F441" t="inlineStr">
        <is>
          <t>Bad</t>
        </is>
      </c>
      <c r="G441" t="n">
        <v>0</v>
      </c>
    </row>
    <row r="442">
      <c r="A442" t="n">
        <v>441</v>
      </c>
      <c r="B442" t="n">
        <v>1884</v>
      </c>
      <c r="C442" t="n">
        <v>39</v>
      </c>
      <c r="D442" t="inlineStr">
        <is>
          <t>A32</t>
        </is>
      </c>
      <c r="E442" t="inlineStr">
        <is>
          <t>A75</t>
        </is>
      </c>
      <c r="F442" t="inlineStr">
        <is>
          <t>Good</t>
        </is>
      </c>
      <c r="G442" t="n">
        <v>1</v>
      </c>
    </row>
    <row r="443">
      <c r="A443" t="n">
        <v>442</v>
      </c>
      <c r="B443" t="n">
        <v>1620</v>
      </c>
      <c r="C443" t="n">
        <v>30</v>
      </c>
      <c r="D443" t="inlineStr">
        <is>
          <t>A32</t>
        </is>
      </c>
      <c r="E443" t="inlineStr">
        <is>
          <t>A73</t>
        </is>
      </c>
      <c r="F443" t="inlineStr">
        <is>
          <t>Good</t>
        </is>
      </c>
      <c r="G443" t="n">
        <v>1</v>
      </c>
    </row>
    <row r="444">
      <c r="A444" t="n">
        <v>443</v>
      </c>
      <c r="B444" t="n">
        <v>2629</v>
      </c>
      <c r="C444" t="n">
        <v>29</v>
      </c>
      <c r="D444" t="inlineStr">
        <is>
          <t>A33</t>
        </is>
      </c>
      <c r="E444" t="inlineStr">
        <is>
          <t>A73</t>
        </is>
      </c>
      <c r="F444" t="inlineStr">
        <is>
          <t>Good</t>
        </is>
      </c>
      <c r="G444" t="n">
        <v>1</v>
      </c>
    </row>
    <row r="445">
      <c r="A445" t="n">
        <v>444</v>
      </c>
      <c r="B445" t="n">
        <v>719</v>
      </c>
      <c r="C445" t="n">
        <v>41</v>
      </c>
      <c r="D445" t="inlineStr">
        <is>
          <t>A32</t>
        </is>
      </c>
      <c r="E445" t="inlineStr">
        <is>
          <t>A75</t>
        </is>
      </c>
      <c r="F445" t="inlineStr">
        <is>
          <t>Bad</t>
        </is>
      </c>
      <c r="G445" t="n">
        <v>0</v>
      </c>
    </row>
    <row r="446">
      <c r="A446" t="n">
        <v>445</v>
      </c>
      <c r="B446" t="n">
        <v>5096</v>
      </c>
      <c r="C446" t="n">
        <v>30</v>
      </c>
      <c r="D446" t="inlineStr">
        <is>
          <t>A34</t>
        </is>
      </c>
      <c r="E446" t="inlineStr">
        <is>
          <t>A73</t>
        </is>
      </c>
      <c r="F446" t="inlineStr">
        <is>
          <t>Bad</t>
        </is>
      </c>
      <c r="G446" t="n">
        <v>0</v>
      </c>
    </row>
    <row r="447">
      <c r="A447" t="n">
        <v>446</v>
      </c>
      <c r="B447" t="n">
        <v>1244</v>
      </c>
      <c r="C447" t="n">
        <v>41</v>
      </c>
      <c r="D447" t="inlineStr">
        <is>
          <t>A34</t>
        </is>
      </c>
      <c r="E447" t="inlineStr">
        <is>
          <t>A75</t>
        </is>
      </c>
      <c r="F447" t="inlineStr">
        <is>
          <t>Good</t>
        </is>
      </c>
      <c r="G447" t="n">
        <v>1</v>
      </c>
    </row>
    <row r="448">
      <c r="A448" t="n">
        <v>447</v>
      </c>
      <c r="B448" t="n">
        <v>1842</v>
      </c>
      <c r="C448" t="n">
        <v>34</v>
      </c>
      <c r="D448" t="inlineStr">
        <is>
          <t>A32</t>
        </is>
      </c>
      <c r="E448" t="inlineStr">
        <is>
          <t>A72</t>
        </is>
      </c>
      <c r="F448" t="inlineStr">
        <is>
          <t>Bad</t>
        </is>
      </c>
      <c r="G448" t="n">
        <v>0</v>
      </c>
    </row>
    <row r="449">
      <c r="A449" t="n">
        <v>448</v>
      </c>
      <c r="B449" t="n">
        <v>2576</v>
      </c>
      <c r="C449" t="n">
        <v>35</v>
      </c>
      <c r="D449" t="inlineStr">
        <is>
          <t>A32</t>
        </is>
      </c>
      <c r="E449" t="inlineStr">
        <is>
          <t>A73</t>
        </is>
      </c>
      <c r="F449" t="inlineStr">
        <is>
          <t>Good</t>
        </is>
      </c>
      <c r="G449" t="n">
        <v>1</v>
      </c>
    </row>
    <row r="450">
      <c r="A450" t="n">
        <v>449</v>
      </c>
      <c r="B450" t="n">
        <v>1424</v>
      </c>
      <c r="C450" t="n">
        <v>55</v>
      </c>
      <c r="D450" t="inlineStr">
        <is>
          <t>A32</t>
        </is>
      </c>
      <c r="E450" t="inlineStr">
        <is>
          <t>A75</t>
        </is>
      </c>
      <c r="F450" t="inlineStr">
        <is>
          <t>Good</t>
        </is>
      </c>
      <c r="G450" t="n">
        <v>1</v>
      </c>
    </row>
    <row r="451">
      <c r="A451" t="n">
        <v>450</v>
      </c>
      <c r="B451" t="n">
        <v>1512</v>
      </c>
      <c r="C451" t="n">
        <v>61</v>
      </c>
      <c r="D451" t="inlineStr">
        <is>
          <t>A33</t>
        </is>
      </c>
      <c r="E451" t="inlineStr">
        <is>
          <t>A73</t>
        </is>
      </c>
      <c r="F451" t="inlineStr">
        <is>
          <t>Bad</t>
        </is>
      </c>
      <c r="G451" t="n">
        <v>0</v>
      </c>
    </row>
    <row r="452">
      <c r="A452" t="n">
        <v>451</v>
      </c>
      <c r="B452" t="n">
        <v>11054</v>
      </c>
      <c r="C452" t="n">
        <v>30</v>
      </c>
      <c r="D452" t="inlineStr">
        <is>
          <t>A34</t>
        </is>
      </c>
      <c r="E452" t="inlineStr">
        <is>
          <t>A73</t>
        </is>
      </c>
      <c r="F452" t="inlineStr">
        <is>
          <t>Good</t>
        </is>
      </c>
      <c r="G452" t="n">
        <v>1</v>
      </c>
    </row>
    <row r="453">
      <c r="A453" t="n">
        <v>452</v>
      </c>
      <c r="B453" t="n">
        <v>518</v>
      </c>
      <c r="C453" t="n">
        <v>29</v>
      </c>
      <c r="D453" t="inlineStr">
        <is>
          <t>A32</t>
        </is>
      </c>
      <c r="E453" t="inlineStr">
        <is>
          <t>A73</t>
        </is>
      </c>
      <c r="F453" t="inlineStr">
        <is>
          <t>Good</t>
        </is>
      </c>
      <c r="G453" t="n">
        <v>1</v>
      </c>
    </row>
    <row r="454">
      <c r="A454" t="n">
        <v>453</v>
      </c>
      <c r="B454" t="n">
        <v>2759</v>
      </c>
      <c r="C454" t="n">
        <v>34</v>
      </c>
      <c r="D454" t="inlineStr">
        <is>
          <t>A30</t>
        </is>
      </c>
      <c r="E454" t="inlineStr">
        <is>
          <t>A75</t>
        </is>
      </c>
      <c r="F454" t="inlineStr">
        <is>
          <t>Good</t>
        </is>
      </c>
      <c r="G454" t="n">
        <v>1</v>
      </c>
    </row>
    <row r="455">
      <c r="A455" t="n">
        <v>454</v>
      </c>
      <c r="B455" t="n">
        <v>2670</v>
      </c>
      <c r="C455" t="n">
        <v>35</v>
      </c>
      <c r="D455" t="inlineStr">
        <is>
          <t>A32</t>
        </is>
      </c>
      <c r="E455" t="inlineStr">
        <is>
          <t>A75</t>
        </is>
      </c>
      <c r="F455" t="inlineStr">
        <is>
          <t>Good</t>
        </is>
      </c>
      <c r="G455" t="n">
        <v>1</v>
      </c>
    </row>
    <row r="456">
      <c r="A456" t="n">
        <v>455</v>
      </c>
      <c r="B456" t="n">
        <v>4817</v>
      </c>
      <c r="C456" t="n">
        <v>31</v>
      </c>
      <c r="D456" t="inlineStr">
        <is>
          <t>A32</t>
        </is>
      </c>
      <c r="E456" t="inlineStr">
        <is>
          <t>A74</t>
        </is>
      </c>
      <c r="F456" t="inlineStr">
        <is>
          <t>Bad</t>
        </is>
      </c>
      <c r="G456" t="n">
        <v>0</v>
      </c>
    </row>
    <row r="457">
      <c r="A457" t="n">
        <v>456</v>
      </c>
      <c r="B457" t="n">
        <v>2679</v>
      </c>
      <c r="C457" t="n">
        <v>29</v>
      </c>
      <c r="D457" t="inlineStr">
        <is>
          <t>A32</t>
        </is>
      </c>
      <c r="E457" t="inlineStr">
        <is>
          <t>A72</t>
        </is>
      </c>
      <c r="F457" t="inlineStr">
        <is>
          <t>Good</t>
        </is>
      </c>
      <c r="G457" t="n">
        <v>1</v>
      </c>
    </row>
    <row r="458">
      <c r="A458" t="n">
        <v>457</v>
      </c>
      <c r="B458" t="n">
        <v>3905</v>
      </c>
      <c r="C458" t="n">
        <v>36</v>
      </c>
      <c r="D458" t="inlineStr">
        <is>
          <t>A34</t>
        </is>
      </c>
      <c r="E458" t="inlineStr">
        <is>
          <t>A73</t>
        </is>
      </c>
      <c r="F458" t="inlineStr">
        <is>
          <t>Good</t>
        </is>
      </c>
      <c r="G458" t="n">
        <v>1</v>
      </c>
    </row>
    <row r="459">
      <c r="A459" t="n">
        <v>458</v>
      </c>
      <c r="B459" t="n">
        <v>3386</v>
      </c>
      <c r="C459" t="n">
        <v>35</v>
      </c>
      <c r="D459" t="inlineStr">
        <is>
          <t>A32</t>
        </is>
      </c>
      <c r="E459" t="inlineStr">
        <is>
          <t>A75</t>
        </is>
      </c>
      <c r="F459" t="inlineStr">
        <is>
          <t>Bad</t>
        </is>
      </c>
      <c r="G459" t="n">
        <v>0</v>
      </c>
    </row>
    <row r="460">
      <c r="A460" t="n">
        <v>459</v>
      </c>
      <c r="B460" t="n">
        <v>343</v>
      </c>
      <c r="C460" t="n">
        <v>27</v>
      </c>
      <c r="D460" t="inlineStr">
        <is>
          <t>A32</t>
        </is>
      </c>
      <c r="E460" t="inlineStr">
        <is>
          <t>A72</t>
        </is>
      </c>
      <c r="F460" t="inlineStr">
        <is>
          <t>Good</t>
        </is>
      </c>
      <c r="G460" t="n">
        <v>1</v>
      </c>
    </row>
    <row r="461">
      <c r="A461" t="n">
        <v>460</v>
      </c>
      <c r="B461" t="n">
        <v>4594</v>
      </c>
      <c r="C461" t="n">
        <v>32</v>
      </c>
      <c r="D461" t="inlineStr">
        <is>
          <t>A32</t>
        </is>
      </c>
      <c r="E461" t="inlineStr">
        <is>
          <t>A72</t>
        </is>
      </c>
      <c r="F461" t="inlineStr">
        <is>
          <t>Good</t>
        </is>
      </c>
      <c r="G461" t="n">
        <v>1</v>
      </c>
    </row>
    <row r="462">
      <c r="A462" t="n">
        <v>461</v>
      </c>
      <c r="B462" t="n">
        <v>3620</v>
      </c>
      <c r="C462" t="n">
        <v>37</v>
      </c>
      <c r="D462" t="inlineStr">
        <is>
          <t>A32</t>
        </is>
      </c>
      <c r="E462" t="inlineStr">
        <is>
          <t>A73</t>
        </is>
      </c>
      <c r="F462" t="inlineStr">
        <is>
          <t>Good</t>
        </is>
      </c>
      <c r="G462" t="n">
        <v>1</v>
      </c>
    </row>
    <row r="463">
      <c r="A463" t="n">
        <v>462</v>
      </c>
      <c r="B463" t="n">
        <v>1721</v>
      </c>
      <c r="C463" t="n">
        <v>36</v>
      </c>
      <c r="D463" t="inlineStr">
        <is>
          <t>A32</t>
        </is>
      </c>
      <c r="E463" t="inlineStr">
        <is>
          <t>A72</t>
        </is>
      </c>
      <c r="F463" t="inlineStr">
        <is>
          <t>Good</t>
        </is>
      </c>
      <c r="G463" t="n">
        <v>1</v>
      </c>
    </row>
    <row r="464">
      <c r="A464" t="n">
        <v>463</v>
      </c>
      <c r="B464" t="n">
        <v>3017</v>
      </c>
      <c r="C464" t="n">
        <v>34</v>
      </c>
      <c r="D464" t="inlineStr">
        <is>
          <t>A32</t>
        </is>
      </c>
      <c r="E464" t="inlineStr">
        <is>
          <t>A72</t>
        </is>
      </c>
      <c r="F464" t="inlineStr">
        <is>
          <t>Good</t>
        </is>
      </c>
      <c r="G464" t="n">
        <v>1</v>
      </c>
    </row>
    <row r="465">
      <c r="A465" t="n">
        <v>464</v>
      </c>
      <c r="B465" t="n">
        <v>754</v>
      </c>
      <c r="C465" t="n">
        <v>38</v>
      </c>
      <c r="D465" t="inlineStr">
        <is>
          <t>A32</t>
        </is>
      </c>
      <c r="E465" t="inlineStr">
        <is>
          <t>A75</t>
        </is>
      </c>
      <c r="F465" t="inlineStr">
        <is>
          <t>Good</t>
        </is>
      </c>
      <c r="G465" t="n">
        <v>1</v>
      </c>
    </row>
    <row r="466">
      <c r="A466" t="n">
        <v>465</v>
      </c>
      <c r="B466" t="n">
        <v>1950</v>
      </c>
      <c r="C466" t="n">
        <v>34</v>
      </c>
      <c r="D466" t="inlineStr">
        <is>
          <t>A32</t>
        </is>
      </c>
      <c r="E466" t="inlineStr">
        <is>
          <t>A74</t>
        </is>
      </c>
      <c r="F466" t="inlineStr">
        <is>
          <t>Good</t>
        </is>
      </c>
      <c r="G466" t="n">
        <v>1</v>
      </c>
    </row>
    <row r="467">
      <c r="A467" t="n">
        <v>466</v>
      </c>
      <c r="B467" t="n">
        <v>2924</v>
      </c>
      <c r="C467" t="n">
        <v>63</v>
      </c>
      <c r="D467" t="inlineStr">
        <is>
          <t>A32</t>
        </is>
      </c>
      <c r="E467" t="inlineStr">
        <is>
          <t>A73</t>
        </is>
      </c>
      <c r="F467" t="inlineStr">
        <is>
          <t>Good</t>
        </is>
      </c>
      <c r="G467" t="n">
        <v>1</v>
      </c>
    </row>
    <row r="468">
      <c r="A468" t="n">
        <v>467</v>
      </c>
      <c r="B468" t="n">
        <v>1659</v>
      </c>
      <c r="C468" t="n">
        <v>29</v>
      </c>
      <c r="D468" t="inlineStr">
        <is>
          <t>A33</t>
        </is>
      </c>
      <c r="E468" t="inlineStr">
        <is>
          <t>A72</t>
        </is>
      </c>
      <c r="F468" t="inlineStr">
        <is>
          <t>Bad</t>
        </is>
      </c>
      <c r="G468" t="n">
        <v>0</v>
      </c>
    </row>
    <row r="469">
      <c r="A469" t="n">
        <v>468</v>
      </c>
      <c r="B469" t="n">
        <v>7238</v>
      </c>
      <c r="C469" t="n">
        <v>32</v>
      </c>
      <c r="D469" t="inlineStr">
        <is>
          <t>A33</t>
        </is>
      </c>
      <c r="E469" t="inlineStr">
        <is>
          <t>A75</t>
        </is>
      </c>
      <c r="F469" t="inlineStr">
        <is>
          <t>Good</t>
        </is>
      </c>
      <c r="G469" t="n">
        <v>1</v>
      </c>
    </row>
    <row r="470">
      <c r="A470" t="n">
        <v>469</v>
      </c>
      <c r="B470" t="n">
        <v>2764</v>
      </c>
      <c r="C470" t="n">
        <v>26</v>
      </c>
      <c r="D470" t="inlineStr">
        <is>
          <t>A33</t>
        </is>
      </c>
      <c r="E470" t="inlineStr">
        <is>
          <t>A73</t>
        </is>
      </c>
      <c r="F470" t="inlineStr">
        <is>
          <t>Good</t>
        </is>
      </c>
      <c r="G470" t="n">
        <v>1</v>
      </c>
    </row>
    <row r="471">
      <c r="A471" t="n">
        <v>470</v>
      </c>
      <c r="B471" t="n">
        <v>4679</v>
      </c>
      <c r="C471" t="n">
        <v>35</v>
      </c>
      <c r="D471" t="inlineStr">
        <is>
          <t>A33</t>
        </is>
      </c>
      <c r="E471" t="inlineStr">
        <is>
          <t>A74</t>
        </is>
      </c>
      <c r="F471" t="inlineStr">
        <is>
          <t>Good</t>
        </is>
      </c>
      <c r="G471" t="n">
        <v>1</v>
      </c>
    </row>
    <row r="472">
      <c r="A472" t="n">
        <v>471</v>
      </c>
      <c r="B472" t="n">
        <v>3092</v>
      </c>
      <c r="C472" t="n">
        <v>22</v>
      </c>
      <c r="D472" t="inlineStr">
        <is>
          <t>A32</t>
        </is>
      </c>
      <c r="E472" t="inlineStr">
        <is>
          <t>A72</t>
        </is>
      </c>
      <c r="F472" t="inlineStr">
        <is>
          <t>Bad</t>
        </is>
      </c>
      <c r="G472" t="n">
        <v>0</v>
      </c>
    </row>
    <row r="473">
      <c r="A473" t="n">
        <v>472</v>
      </c>
      <c r="B473" t="n">
        <v>448</v>
      </c>
      <c r="C473" t="n">
        <v>23</v>
      </c>
      <c r="D473" t="inlineStr">
        <is>
          <t>A32</t>
        </is>
      </c>
      <c r="E473" t="inlineStr">
        <is>
          <t>A72</t>
        </is>
      </c>
      <c r="F473" t="inlineStr">
        <is>
          <t>Bad</t>
        </is>
      </c>
      <c r="G473" t="n">
        <v>0</v>
      </c>
    </row>
    <row r="474">
      <c r="A474" t="n">
        <v>473</v>
      </c>
      <c r="B474" t="n">
        <v>654</v>
      </c>
      <c r="C474" t="n">
        <v>28</v>
      </c>
      <c r="D474" t="inlineStr">
        <is>
          <t>A32</t>
        </is>
      </c>
      <c r="E474" t="inlineStr">
        <is>
          <t>A73</t>
        </is>
      </c>
      <c r="F474" t="inlineStr">
        <is>
          <t>Bad</t>
        </is>
      </c>
      <c r="G474" t="n">
        <v>0</v>
      </c>
    </row>
    <row r="475">
      <c r="A475" t="n">
        <v>474</v>
      </c>
      <c r="B475" t="n">
        <v>1238</v>
      </c>
      <c r="C475" t="n">
        <v>36</v>
      </c>
      <c r="D475" t="inlineStr">
        <is>
          <t>A32</t>
        </is>
      </c>
      <c r="E475" t="inlineStr">
        <is>
          <t>A71</t>
        </is>
      </c>
      <c r="F475" t="inlineStr">
        <is>
          <t>Good</t>
        </is>
      </c>
      <c r="G475" t="n">
        <v>1</v>
      </c>
    </row>
    <row r="476">
      <c r="A476" t="n">
        <v>475</v>
      </c>
      <c r="B476" t="n">
        <v>1245</v>
      </c>
      <c r="C476" t="n">
        <v>33</v>
      </c>
      <c r="D476" t="inlineStr">
        <is>
          <t>A34</t>
        </is>
      </c>
      <c r="E476" t="inlineStr">
        <is>
          <t>A73</t>
        </is>
      </c>
      <c r="F476" t="inlineStr">
        <is>
          <t>Bad</t>
        </is>
      </c>
      <c r="G476" t="n">
        <v>0</v>
      </c>
    </row>
    <row r="477">
      <c r="A477" t="n">
        <v>476</v>
      </c>
      <c r="B477" t="n">
        <v>3114</v>
      </c>
      <c r="C477" t="n">
        <v>26</v>
      </c>
      <c r="D477" t="inlineStr">
        <is>
          <t>A30</t>
        </is>
      </c>
      <c r="E477" t="inlineStr">
        <is>
          <t>A72</t>
        </is>
      </c>
      <c r="F477" t="inlineStr">
        <is>
          <t>Bad</t>
        </is>
      </c>
      <c r="G477" t="n">
        <v>0</v>
      </c>
    </row>
    <row r="478">
      <c r="A478" t="n">
        <v>477</v>
      </c>
      <c r="B478" t="n">
        <v>2569</v>
      </c>
      <c r="C478" t="n">
        <v>24</v>
      </c>
      <c r="D478" t="inlineStr">
        <is>
          <t>A32</t>
        </is>
      </c>
      <c r="E478" t="inlineStr">
        <is>
          <t>A73</t>
        </is>
      </c>
      <c r="F478" t="inlineStr">
        <is>
          <t>Good</t>
        </is>
      </c>
      <c r="G478" t="n">
        <v>1</v>
      </c>
    </row>
    <row r="479">
      <c r="A479" t="n">
        <v>478</v>
      </c>
      <c r="B479" t="n">
        <v>5152</v>
      </c>
      <c r="C479" t="n">
        <v>25</v>
      </c>
      <c r="D479" t="inlineStr">
        <is>
          <t>A32</t>
        </is>
      </c>
      <c r="E479" t="inlineStr">
        <is>
          <t>A74</t>
        </is>
      </c>
      <c r="F479" t="inlineStr">
        <is>
          <t>Good</t>
        </is>
      </c>
      <c r="G479" t="n">
        <v>1</v>
      </c>
    </row>
    <row r="480">
      <c r="A480" t="n">
        <v>479</v>
      </c>
      <c r="B480" t="n">
        <v>1037</v>
      </c>
      <c r="C480" t="n">
        <v>39</v>
      </c>
      <c r="D480" t="inlineStr">
        <is>
          <t>A32</t>
        </is>
      </c>
      <c r="E480" t="inlineStr">
        <is>
          <t>A74</t>
        </is>
      </c>
      <c r="F480" t="inlineStr">
        <is>
          <t>Good</t>
        </is>
      </c>
      <c r="G480" t="n">
        <v>1</v>
      </c>
    </row>
    <row r="481">
      <c r="A481" t="n">
        <v>480</v>
      </c>
      <c r="B481" t="n">
        <v>1478</v>
      </c>
      <c r="C481" t="n">
        <v>44</v>
      </c>
      <c r="D481" t="inlineStr">
        <is>
          <t>A34</t>
        </is>
      </c>
      <c r="E481" t="inlineStr">
        <is>
          <t>A75</t>
        </is>
      </c>
      <c r="F481" t="inlineStr">
        <is>
          <t>Good</t>
        </is>
      </c>
      <c r="G481" t="n">
        <v>1</v>
      </c>
    </row>
    <row r="482">
      <c r="A482" t="n">
        <v>481</v>
      </c>
      <c r="B482" t="n">
        <v>3573</v>
      </c>
      <c r="C482" t="n">
        <v>23</v>
      </c>
      <c r="D482" t="inlineStr">
        <is>
          <t>A34</t>
        </is>
      </c>
      <c r="E482" t="inlineStr">
        <is>
          <t>A73</t>
        </is>
      </c>
      <c r="F482" t="inlineStr">
        <is>
          <t>Good</t>
        </is>
      </c>
      <c r="G482" t="n">
        <v>1</v>
      </c>
    </row>
    <row r="483">
      <c r="A483" t="n">
        <v>482</v>
      </c>
      <c r="B483" t="n">
        <v>1201</v>
      </c>
      <c r="C483" t="n">
        <v>26</v>
      </c>
      <c r="D483" t="inlineStr">
        <is>
          <t>A32</t>
        </is>
      </c>
      <c r="E483" t="inlineStr">
        <is>
          <t>A72</t>
        </is>
      </c>
      <c r="F483" t="inlineStr">
        <is>
          <t>Good</t>
        </is>
      </c>
      <c r="G483" t="n">
        <v>1</v>
      </c>
    </row>
    <row r="484">
      <c r="A484" t="n">
        <v>483</v>
      </c>
      <c r="B484" t="n">
        <v>3622</v>
      </c>
      <c r="C484" t="n">
        <v>57</v>
      </c>
      <c r="D484" t="inlineStr">
        <is>
          <t>A32</t>
        </is>
      </c>
      <c r="E484" t="inlineStr">
        <is>
          <t>A75</t>
        </is>
      </c>
      <c r="F484" t="inlineStr">
        <is>
          <t>Good</t>
        </is>
      </c>
      <c r="G484" t="n">
        <v>1</v>
      </c>
    </row>
    <row r="485">
      <c r="A485" t="n">
        <v>484</v>
      </c>
      <c r="B485" t="n">
        <v>960</v>
      </c>
      <c r="C485" t="n">
        <v>30</v>
      </c>
      <c r="D485" t="inlineStr">
        <is>
          <t>A33</t>
        </is>
      </c>
      <c r="E485" t="inlineStr">
        <is>
          <t>A74</t>
        </is>
      </c>
      <c r="F485" t="inlineStr">
        <is>
          <t>Good</t>
        </is>
      </c>
      <c r="G485" t="n">
        <v>1</v>
      </c>
    </row>
    <row r="486">
      <c r="A486" t="n">
        <v>485</v>
      </c>
      <c r="B486" t="n">
        <v>1163</v>
      </c>
      <c r="C486" t="n">
        <v>44</v>
      </c>
      <c r="D486" t="inlineStr">
        <is>
          <t>A34</t>
        </is>
      </c>
      <c r="E486" t="inlineStr">
        <is>
          <t>A73</t>
        </is>
      </c>
      <c r="F486" t="inlineStr">
        <is>
          <t>Good</t>
        </is>
      </c>
      <c r="G486" t="n">
        <v>1</v>
      </c>
    </row>
    <row r="487">
      <c r="A487" t="n">
        <v>486</v>
      </c>
      <c r="B487" t="n">
        <v>1209</v>
      </c>
      <c r="C487" t="n">
        <v>47</v>
      </c>
      <c r="D487" t="inlineStr">
        <is>
          <t>A33</t>
        </is>
      </c>
      <c r="E487" t="inlineStr">
        <is>
          <t>A71</t>
        </is>
      </c>
      <c r="F487" t="inlineStr">
        <is>
          <t>Bad</t>
        </is>
      </c>
      <c r="G487" t="n">
        <v>0</v>
      </c>
    </row>
    <row r="488">
      <c r="A488" t="n">
        <v>487</v>
      </c>
      <c r="B488" t="n">
        <v>3077</v>
      </c>
      <c r="C488" t="n">
        <v>52</v>
      </c>
      <c r="D488" t="inlineStr">
        <is>
          <t>A32</t>
        </is>
      </c>
      <c r="E488" t="inlineStr">
        <is>
          <t>A73</t>
        </is>
      </c>
      <c r="F488" t="inlineStr">
        <is>
          <t>Good</t>
        </is>
      </c>
      <c r="G488" t="n">
        <v>1</v>
      </c>
    </row>
    <row r="489">
      <c r="A489" t="n">
        <v>488</v>
      </c>
      <c r="B489" t="n">
        <v>3757</v>
      </c>
      <c r="C489" t="n">
        <v>62</v>
      </c>
      <c r="D489" t="inlineStr">
        <is>
          <t>A32</t>
        </is>
      </c>
      <c r="E489" t="inlineStr">
        <is>
          <t>A75</t>
        </is>
      </c>
      <c r="F489" t="inlineStr">
        <is>
          <t>Good</t>
        </is>
      </c>
      <c r="G489" t="n">
        <v>1</v>
      </c>
    </row>
    <row r="490">
      <c r="A490" t="n">
        <v>489</v>
      </c>
      <c r="B490" t="n">
        <v>1418</v>
      </c>
      <c r="C490" t="n">
        <v>35</v>
      </c>
      <c r="D490" t="inlineStr">
        <is>
          <t>A32</t>
        </is>
      </c>
      <c r="E490" t="inlineStr">
        <is>
          <t>A73</t>
        </is>
      </c>
      <c r="F490" t="inlineStr">
        <is>
          <t>Good</t>
        </is>
      </c>
      <c r="G490" t="n">
        <v>1</v>
      </c>
    </row>
    <row r="491">
      <c r="A491" t="n">
        <v>490</v>
      </c>
      <c r="B491" t="n">
        <v>3518</v>
      </c>
      <c r="C491" t="n">
        <v>26</v>
      </c>
      <c r="D491" t="inlineStr">
        <is>
          <t>A32</t>
        </is>
      </c>
      <c r="E491" t="inlineStr">
        <is>
          <t>A73</t>
        </is>
      </c>
      <c r="F491" t="inlineStr">
        <is>
          <t>Good</t>
        </is>
      </c>
      <c r="G491" t="n">
        <v>1</v>
      </c>
    </row>
    <row r="492">
      <c r="A492" t="n">
        <v>491</v>
      </c>
      <c r="B492" t="n">
        <v>1934</v>
      </c>
      <c r="C492" t="n">
        <v>26</v>
      </c>
      <c r="D492" t="inlineStr">
        <is>
          <t>A34</t>
        </is>
      </c>
      <c r="E492" t="inlineStr">
        <is>
          <t>A75</t>
        </is>
      </c>
      <c r="F492" t="inlineStr">
        <is>
          <t>Good</t>
        </is>
      </c>
      <c r="G492" t="n">
        <v>1</v>
      </c>
    </row>
    <row r="493">
      <c r="A493" t="n">
        <v>492</v>
      </c>
      <c r="B493" t="n">
        <v>8318</v>
      </c>
      <c r="C493" t="n">
        <v>42</v>
      </c>
      <c r="D493" t="inlineStr">
        <is>
          <t>A30</t>
        </is>
      </c>
      <c r="E493" t="inlineStr">
        <is>
          <t>A75</t>
        </is>
      </c>
      <c r="F493" t="inlineStr">
        <is>
          <t>Bad</t>
        </is>
      </c>
      <c r="G493" t="n">
        <v>0</v>
      </c>
    </row>
    <row r="494">
      <c r="A494" t="n">
        <v>493</v>
      </c>
      <c r="B494" t="n">
        <v>1237</v>
      </c>
      <c r="C494" t="n">
        <v>27</v>
      </c>
      <c r="D494" t="inlineStr">
        <is>
          <t>A34</t>
        </is>
      </c>
      <c r="E494" t="inlineStr">
        <is>
          <t>A73</t>
        </is>
      </c>
      <c r="F494" t="inlineStr">
        <is>
          <t>Good</t>
        </is>
      </c>
      <c r="G494" t="n">
        <v>1</v>
      </c>
    </row>
    <row r="495">
      <c r="A495" t="n">
        <v>494</v>
      </c>
      <c r="B495" t="n">
        <v>368</v>
      </c>
      <c r="C495" t="n">
        <v>38</v>
      </c>
      <c r="D495" t="inlineStr">
        <is>
          <t>A32</t>
        </is>
      </c>
      <c r="E495" t="inlineStr">
        <is>
          <t>A75</t>
        </is>
      </c>
      <c r="F495" t="inlineStr">
        <is>
          <t>Good</t>
        </is>
      </c>
      <c r="G495" t="n">
        <v>1</v>
      </c>
    </row>
    <row r="496">
      <c r="A496" t="n">
        <v>495</v>
      </c>
      <c r="B496" t="n">
        <v>2122</v>
      </c>
      <c r="C496" t="n">
        <v>39</v>
      </c>
      <c r="D496" t="inlineStr">
        <is>
          <t>A34</t>
        </is>
      </c>
      <c r="E496" t="inlineStr">
        <is>
          <t>A73</t>
        </is>
      </c>
      <c r="F496" t="inlineStr">
        <is>
          <t>Good</t>
        </is>
      </c>
      <c r="G496" t="n">
        <v>1</v>
      </c>
    </row>
    <row r="497">
      <c r="A497" t="n">
        <v>496</v>
      </c>
      <c r="B497" t="n">
        <v>2996</v>
      </c>
      <c r="C497" t="n">
        <v>20</v>
      </c>
      <c r="D497" t="inlineStr">
        <is>
          <t>A32</t>
        </is>
      </c>
      <c r="E497" t="inlineStr">
        <is>
          <t>A73</t>
        </is>
      </c>
      <c r="F497" t="inlineStr">
        <is>
          <t>Bad</t>
        </is>
      </c>
      <c r="G497" t="n">
        <v>0</v>
      </c>
    </row>
    <row r="498">
      <c r="A498" t="n">
        <v>497</v>
      </c>
      <c r="B498" t="n">
        <v>9034</v>
      </c>
      <c r="C498" t="n">
        <v>29</v>
      </c>
      <c r="D498" t="inlineStr">
        <is>
          <t>A32</t>
        </is>
      </c>
      <c r="E498" t="inlineStr">
        <is>
          <t>A72</t>
        </is>
      </c>
      <c r="F498" t="inlineStr">
        <is>
          <t>Bad</t>
        </is>
      </c>
      <c r="G498" t="n">
        <v>0</v>
      </c>
    </row>
    <row r="499">
      <c r="A499" t="n">
        <v>498</v>
      </c>
      <c r="B499" t="n">
        <v>1585</v>
      </c>
      <c r="C499" t="n">
        <v>40</v>
      </c>
      <c r="D499" t="inlineStr">
        <is>
          <t>A34</t>
        </is>
      </c>
      <c r="E499" t="inlineStr">
        <is>
          <t>A74</t>
        </is>
      </c>
      <c r="F499" t="inlineStr">
        <is>
          <t>Good</t>
        </is>
      </c>
      <c r="G499" t="n">
        <v>1</v>
      </c>
    </row>
    <row r="500">
      <c r="A500" t="n">
        <v>499</v>
      </c>
      <c r="B500" t="n">
        <v>1301</v>
      </c>
      <c r="C500" t="n">
        <v>32</v>
      </c>
      <c r="D500" t="inlineStr">
        <is>
          <t>A32</t>
        </is>
      </c>
      <c r="E500" t="inlineStr">
        <is>
          <t>A75</t>
        </is>
      </c>
      <c r="F500" t="inlineStr">
        <is>
          <t>Good</t>
        </is>
      </c>
      <c r="G500" t="n">
        <v>1</v>
      </c>
    </row>
    <row r="501">
      <c r="A501" t="n">
        <v>500</v>
      </c>
      <c r="B501" t="n">
        <v>1323</v>
      </c>
      <c r="C501" t="n">
        <v>28</v>
      </c>
      <c r="D501" t="inlineStr">
        <is>
          <t>A34</t>
        </is>
      </c>
      <c r="E501" t="inlineStr">
        <is>
          <t>A75</t>
        </is>
      </c>
      <c r="F501" t="inlineStr">
        <is>
          <t>Good</t>
        </is>
      </c>
      <c r="G501" t="n">
        <v>1</v>
      </c>
    </row>
    <row r="502">
      <c r="A502" t="n">
        <v>501</v>
      </c>
      <c r="B502" t="n">
        <v>3123</v>
      </c>
      <c r="C502" t="n">
        <v>27</v>
      </c>
      <c r="D502" t="inlineStr">
        <is>
          <t>A32</t>
        </is>
      </c>
      <c r="E502" t="inlineStr">
        <is>
          <t>A72</t>
        </is>
      </c>
      <c r="F502" t="inlineStr">
        <is>
          <t>Bad</t>
        </is>
      </c>
      <c r="G502" t="n">
        <v>0</v>
      </c>
    </row>
    <row r="503">
      <c r="A503" t="n">
        <v>502</v>
      </c>
      <c r="B503" t="n">
        <v>5493</v>
      </c>
      <c r="C503" t="n">
        <v>42</v>
      </c>
      <c r="D503" t="inlineStr">
        <is>
          <t>A32</t>
        </is>
      </c>
      <c r="E503" t="inlineStr">
        <is>
          <t>A75</t>
        </is>
      </c>
      <c r="F503" t="inlineStr">
        <is>
          <t>Good</t>
        </is>
      </c>
      <c r="G503" t="n">
        <v>1</v>
      </c>
    </row>
    <row r="504">
      <c r="A504" t="n">
        <v>503</v>
      </c>
      <c r="B504" t="n">
        <v>1126</v>
      </c>
      <c r="C504" t="n">
        <v>49</v>
      </c>
      <c r="D504" t="inlineStr">
        <is>
          <t>A32</t>
        </is>
      </c>
      <c r="E504" t="inlineStr">
        <is>
          <t>A75</t>
        </is>
      </c>
      <c r="F504" t="inlineStr">
        <is>
          <t>Good</t>
        </is>
      </c>
      <c r="G504" t="n">
        <v>1</v>
      </c>
    </row>
    <row r="505">
      <c r="A505" t="n">
        <v>504</v>
      </c>
      <c r="B505" t="n">
        <v>1216</v>
      </c>
      <c r="C505" t="n">
        <v>38</v>
      </c>
      <c r="D505" t="inlineStr">
        <is>
          <t>A34</t>
        </is>
      </c>
      <c r="E505" t="inlineStr">
        <is>
          <t>A72</t>
        </is>
      </c>
      <c r="F505" t="inlineStr">
        <is>
          <t>Bad</t>
        </is>
      </c>
      <c r="G505" t="n">
        <v>0</v>
      </c>
    </row>
    <row r="506">
      <c r="A506" t="n">
        <v>505</v>
      </c>
      <c r="B506" t="n">
        <v>1207</v>
      </c>
      <c r="C506" t="n">
        <v>24</v>
      </c>
      <c r="D506" t="inlineStr">
        <is>
          <t>A32</t>
        </is>
      </c>
      <c r="E506" t="inlineStr">
        <is>
          <t>A72</t>
        </is>
      </c>
      <c r="F506" t="inlineStr">
        <is>
          <t>Bad</t>
        </is>
      </c>
      <c r="G506" t="n">
        <v>0</v>
      </c>
    </row>
    <row r="507">
      <c r="A507" t="n">
        <v>506</v>
      </c>
      <c r="B507" t="n">
        <v>1309</v>
      </c>
      <c r="C507" t="n">
        <v>27</v>
      </c>
      <c r="D507" t="inlineStr">
        <is>
          <t>A32</t>
        </is>
      </c>
      <c r="E507" t="inlineStr">
        <is>
          <t>A73</t>
        </is>
      </c>
      <c r="F507" t="inlineStr">
        <is>
          <t>Bad</t>
        </is>
      </c>
      <c r="G507" t="n">
        <v>0</v>
      </c>
    </row>
    <row r="508">
      <c r="A508" t="n">
        <v>507</v>
      </c>
      <c r="B508" t="n">
        <v>2360</v>
      </c>
      <c r="C508" t="n">
        <v>36</v>
      </c>
      <c r="D508" t="inlineStr">
        <is>
          <t>A34</t>
        </is>
      </c>
      <c r="E508" t="inlineStr">
        <is>
          <t>A73</t>
        </is>
      </c>
      <c r="F508" t="inlineStr">
        <is>
          <t>Good</t>
        </is>
      </c>
      <c r="G508" t="n">
        <v>1</v>
      </c>
    </row>
    <row r="509">
      <c r="A509" t="n">
        <v>508</v>
      </c>
      <c r="B509" t="n">
        <v>6850</v>
      </c>
      <c r="C509" t="n">
        <v>34</v>
      </c>
      <c r="D509" t="inlineStr">
        <is>
          <t>A31</t>
        </is>
      </c>
      <c r="E509" t="inlineStr">
        <is>
          <t>A71</t>
        </is>
      </c>
      <c r="F509" t="inlineStr">
        <is>
          <t>Bad</t>
        </is>
      </c>
      <c r="G509" t="n">
        <v>0</v>
      </c>
    </row>
    <row r="510">
      <c r="A510" t="n">
        <v>509</v>
      </c>
      <c r="B510" t="n">
        <v>1413</v>
      </c>
      <c r="C510" t="n">
        <v>28</v>
      </c>
      <c r="D510" t="inlineStr">
        <is>
          <t>A32</t>
        </is>
      </c>
      <c r="E510" t="inlineStr">
        <is>
          <t>A73</t>
        </is>
      </c>
      <c r="F510" t="inlineStr">
        <is>
          <t>Good</t>
        </is>
      </c>
      <c r="G510" t="n">
        <v>1</v>
      </c>
    </row>
    <row r="511">
      <c r="A511" t="n">
        <v>510</v>
      </c>
      <c r="B511" t="n">
        <v>8588</v>
      </c>
      <c r="C511" t="n">
        <v>45</v>
      </c>
      <c r="D511" t="inlineStr">
        <is>
          <t>A32</t>
        </is>
      </c>
      <c r="E511" t="inlineStr">
        <is>
          <t>A75</t>
        </is>
      </c>
      <c r="F511" t="inlineStr">
        <is>
          <t>Good</t>
        </is>
      </c>
      <c r="G511" t="n">
        <v>1</v>
      </c>
    </row>
    <row r="512">
      <c r="A512" t="n">
        <v>511</v>
      </c>
      <c r="B512" t="n">
        <v>759</v>
      </c>
      <c r="C512" t="n">
        <v>26</v>
      </c>
      <c r="D512" t="inlineStr">
        <is>
          <t>A32</t>
        </is>
      </c>
      <c r="E512" t="inlineStr">
        <is>
          <t>A74</t>
        </is>
      </c>
      <c r="F512" t="inlineStr">
        <is>
          <t>Bad</t>
        </is>
      </c>
      <c r="G512" t="n">
        <v>0</v>
      </c>
    </row>
    <row r="513">
      <c r="A513" t="n">
        <v>512</v>
      </c>
      <c r="B513" t="n">
        <v>4686</v>
      </c>
      <c r="C513" t="n">
        <v>32</v>
      </c>
      <c r="D513" t="inlineStr">
        <is>
          <t>A32</t>
        </is>
      </c>
      <c r="E513" t="inlineStr">
        <is>
          <t>A73</t>
        </is>
      </c>
      <c r="F513" t="inlineStr">
        <is>
          <t>Good</t>
        </is>
      </c>
      <c r="G513" t="n">
        <v>1</v>
      </c>
    </row>
    <row r="514">
      <c r="A514" t="n">
        <v>513</v>
      </c>
      <c r="B514" t="n">
        <v>2687</v>
      </c>
      <c r="C514" t="n">
        <v>26</v>
      </c>
      <c r="D514" t="inlineStr">
        <is>
          <t>A32</t>
        </is>
      </c>
      <c r="E514" t="inlineStr">
        <is>
          <t>A74</t>
        </is>
      </c>
      <c r="F514" t="inlineStr">
        <is>
          <t>Good</t>
        </is>
      </c>
      <c r="G514" t="n">
        <v>1</v>
      </c>
    </row>
    <row r="515">
      <c r="A515" t="n">
        <v>514</v>
      </c>
      <c r="B515" t="n">
        <v>585</v>
      </c>
      <c r="C515" t="n">
        <v>20</v>
      </c>
      <c r="D515" t="inlineStr">
        <is>
          <t>A33</t>
        </is>
      </c>
      <c r="E515" t="inlineStr">
        <is>
          <t>A73</t>
        </is>
      </c>
      <c r="F515" t="inlineStr">
        <is>
          <t>Good</t>
        </is>
      </c>
      <c r="G515" t="n">
        <v>1</v>
      </c>
    </row>
    <row r="516">
      <c r="A516" t="n">
        <v>515</v>
      </c>
      <c r="B516" t="n">
        <v>2255</v>
      </c>
      <c r="C516" t="n">
        <v>54</v>
      </c>
      <c r="D516" t="inlineStr">
        <is>
          <t>A32</t>
        </is>
      </c>
      <c r="E516" t="inlineStr">
        <is>
          <t>A72</t>
        </is>
      </c>
      <c r="F516" t="inlineStr">
        <is>
          <t>Good</t>
        </is>
      </c>
      <c r="G516" t="n">
        <v>1</v>
      </c>
    </row>
    <row r="517">
      <c r="A517" t="n">
        <v>516</v>
      </c>
      <c r="B517" t="n">
        <v>609</v>
      </c>
      <c r="C517" t="n">
        <v>37</v>
      </c>
      <c r="D517" t="inlineStr">
        <is>
          <t>A34</t>
        </is>
      </c>
      <c r="E517" t="inlineStr">
        <is>
          <t>A74</t>
        </is>
      </c>
      <c r="F517" t="inlineStr">
        <is>
          <t>Good</t>
        </is>
      </c>
      <c r="G517" t="n">
        <v>1</v>
      </c>
    </row>
    <row r="518">
      <c r="A518" t="n">
        <v>517</v>
      </c>
      <c r="B518" t="n">
        <v>1361</v>
      </c>
      <c r="C518" t="n">
        <v>40</v>
      </c>
      <c r="D518" t="inlineStr">
        <is>
          <t>A34</t>
        </is>
      </c>
      <c r="E518" t="inlineStr">
        <is>
          <t>A72</t>
        </is>
      </c>
      <c r="F518" t="inlineStr">
        <is>
          <t>Good</t>
        </is>
      </c>
      <c r="G518" t="n">
        <v>1</v>
      </c>
    </row>
    <row r="519">
      <c r="A519" t="n">
        <v>518</v>
      </c>
      <c r="B519" t="n">
        <v>7127</v>
      </c>
      <c r="C519" t="n">
        <v>23</v>
      </c>
      <c r="D519" t="inlineStr">
        <is>
          <t>A34</t>
        </is>
      </c>
      <c r="E519" t="inlineStr">
        <is>
          <t>A72</t>
        </is>
      </c>
      <c r="F519" t="inlineStr">
        <is>
          <t>Bad</t>
        </is>
      </c>
      <c r="G519" t="n">
        <v>0</v>
      </c>
    </row>
    <row r="520">
      <c r="A520" t="n">
        <v>519</v>
      </c>
      <c r="B520" t="n">
        <v>1203</v>
      </c>
      <c r="C520" t="n">
        <v>43</v>
      </c>
      <c r="D520" t="inlineStr">
        <is>
          <t>A32</t>
        </is>
      </c>
      <c r="E520" t="inlineStr">
        <is>
          <t>A75</t>
        </is>
      </c>
      <c r="F520" t="inlineStr">
        <is>
          <t>Good</t>
        </is>
      </c>
      <c r="G520" t="n">
        <v>1</v>
      </c>
    </row>
    <row r="521">
      <c r="A521" t="n">
        <v>520</v>
      </c>
      <c r="B521" t="n">
        <v>700</v>
      </c>
      <c r="C521" t="n">
        <v>36</v>
      </c>
      <c r="D521" t="inlineStr">
        <is>
          <t>A34</t>
        </is>
      </c>
      <c r="E521" t="inlineStr">
        <is>
          <t>A75</t>
        </is>
      </c>
      <c r="F521" t="inlineStr">
        <is>
          <t>Good</t>
        </is>
      </c>
      <c r="G521" t="n">
        <v>1</v>
      </c>
    </row>
    <row r="522">
      <c r="A522" t="n">
        <v>521</v>
      </c>
      <c r="B522" t="n">
        <v>5507</v>
      </c>
      <c r="C522" t="n">
        <v>44</v>
      </c>
      <c r="D522" t="inlineStr">
        <is>
          <t>A34</t>
        </is>
      </c>
      <c r="E522" t="inlineStr">
        <is>
          <t>A75</t>
        </is>
      </c>
      <c r="F522" t="inlineStr">
        <is>
          <t>Good</t>
        </is>
      </c>
      <c r="G522" t="n">
        <v>1</v>
      </c>
    </row>
    <row r="523">
      <c r="A523" t="n">
        <v>522</v>
      </c>
      <c r="B523" t="n">
        <v>3190</v>
      </c>
      <c r="C523" t="n">
        <v>24</v>
      </c>
      <c r="D523" t="inlineStr">
        <is>
          <t>A32</t>
        </is>
      </c>
      <c r="E523" t="inlineStr">
        <is>
          <t>A73</t>
        </is>
      </c>
      <c r="F523" t="inlineStr">
        <is>
          <t>Bad</t>
        </is>
      </c>
      <c r="G523" t="n">
        <v>0</v>
      </c>
    </row>
    <row r="524">
      <c r="A524" t="n">
        <v>523</v>
      </c>
      <c r="B524" t="n">
        <v>7119</v>
      </c>
      <c r="C524" t="n">
        <v>53</v>
      </c>
      <c r="D524" t="inlineStr">
        <is>
          <t>A30</t>
        </is>
      </c>
      <c r="E524" t="inlineStr">
        <is>
          <t>A73</t>
        </is>
      </c>
      <c r="F524" t="inlineStr">
        <is>
          <t>Bad</t>
        </is>
      </c>
      <c r="G524" t="n">
        <v>0</v>
      </c>
    </row>
    <row r="525">
      <c r="A525" t="n">
        <v>524</v>
      </c>
      <c r="B525" t="n">
        <v>3488</v>
      </c>
      <c r="C525" t="n">
        <v>23</v>
      </c>
      <c r="D525" t="inlineStr">
        <is>
          <t>A32</t>
        </is>
      </c>
      <c r="E525" t="inlineStr">
        <is>
          <t>A74</t>
        </is>
      </c>
      <c r="F525" t="inlineStr">
        <is>
          <t>Good</t>
        </is>
      </c>
      <c r="G525" t="n">
        <v>1</v>
      </c>
    </row>
    <row r="526">
      <c r="A526" t="n">
        <v>525</v>
      </c>
      <c r="B526" t="n">
        <v>1113</v>
      </c>
      <c r="C526" t="n">
        <v>26</v>
      </c>
      <c r="D526" t="inlineStr">
        <is>
          <t>A32</t>
        </is>
      </c>
      <c r="E526" t="inlineStr">
        <is>
          <t>A73</t>
        </is>
      </c>
      <c r="F526" t="inlineStr">
        <is>
          <t>Good</t>
        </is>
      </c>
      <c r="G526" t="n">
        <v>1</v>
      </c>
    </row>
    <row r="527">
      <c r="A527" t="n">
        <v>526</v>
      </c>
      <c r="B527" t="n">
        <v>7966</v>
      </c>
      <c r="C527" t="n">
        <v>30</v>
      </c>
      <c r="D527" t="inlineStr">
        <is>
          <t>A32</t>
        </is>
      </c>
      <c r="E527" t="inlineStr">
        <is>
          <t>A72</t>
        </is>
      </c>
      <c r="F527" t="inlineStr">
        <is>
          <t>Good</t>
        </is>
      </c>
      <c r="G527" t="n">
        <v>1</v>
      </c>
    </row>
    <row r="528">
      <c r="A528" t="n">
        <v>527</v>
      </c>
      <c r="B528" t="n">
        <v>1532</v>
      </c>
      <c r="C528" t="n">
        <v>31</v>
      </c>
      <c r="D528" t="inlineStr">
        <is>
          <t>A34</t>
        </is>
      </c>
      <c r="E528" t="inlineStr">
        <is>
          <t>A73</t>
        </is>
      </c>
      <c r="F528" t="inlineStr">
        <is>
          <t>Good</t>
        </is>
      </c>
      <c r="G528" t="n">
        <v>1</v>
      </c>
    </row>
    <row r="529">
      <c r="A529" t="n">
        <v>528</v>
      </c>
      <c r="B529" t="n">
        <v>1503</v>
      </c>
      <c r="C529" t="n">
        <v>42</v>
      </c>
      <c r="D529" t="inlineStr">
        <is>
          <t>A34</t>
        </is>
      </c>
      <c r="E529" t="inlineStr">
        <is>
          <t>A74</t>
        </is>
      </c>
      <c r="F529" t="inlineStr">
        <is>
          <t>Good</t>
        </is>
      </c>
      <c r="G529" t="n">
        <v>1</v>
      </c>
    </row>
    <row r="530">
      <c r="A530" t="n">
        <v>529</v>
      </c>
      <c r="B530" t="n">
        <v>2302</v>
      </c>
      <c r="C530" t="n">
        <v>31</v>
      </c>
      <c r="D530" t="inlineStr">
        <is>
          <t>A32</t>
        </is>
      </c>
      <c r="E530" t="inlineStr">
        <is>
          <t>A73</t>
        </is>
      </c>
      <c r="F530" t="inlineStr">
        <is>
          <t>Bad</t>
        </is>
      </c>
      <c r="G530" t="n">
        <v>0</v>
      </c>
    </row>
    <row r="531">
      <c r="A531" t="n">
        <v>530</v>
      </c>
      <c r="B531" t="n">
        <v>662</v>
      </c>
      <c r="C531" t="n">
        <v>41</v>
      </c>
      <c r="D531" t="inlineStr">
        <is>
          <t>A32</t>
        </is>
      </c>
      <c r="E531" t="inlineStr">
        <is>
          <t>A72</t>
        </is>
      </c>
      <c r="F531" t="inlineStr">
        <is>
          <t>Good</t>
        </is>
      </c>
      <c r="G531" t="n">
        <v>1</v>
      </c>
    </row>
    <row r="532">
      <c r="A532" t="n">
        <v>531</v>
      </c>
      <c r="B532" t="n">
        <v>2273</v>
      </c>
      <c r="C532" t="n">
        <v>32</v>
      </c>
      <c r="D532" t="inlineStr">
        <is>
          <t>A32</t>
        </is>
      </c>
      <c r="E532" t="inlineStr">
        <is>
          <t>A74</t>
        </is>
      </c>
      <c r="F532" t="inlineStr">
        <is>
          <t>Good</t>
        </is>
      </c>
      <c r="G532" t="n">
        <v>1</v>
      </c>
    </row>
    <row r="533">
      <c r="A533" t="n">
        <v>532</v>
      </c>
      <c r="B533" t="n">
        <v>2631</v>
      </c>
      <c r="C533" t="n">
        <v>28</v>
      </c>
      <c r="D533" t="inlineStr">
        <is>
          <t>A32</t>
        </is>
      </c>
      <c r="E533" t="inlineStr">
        <is>
          <t>A73</t>
        </is>
      </c>
      <c r="F533" t="inlineStr">
        <is>
          <t>Bad</t>
        </is>
      </c>
      <c r="G533" t="n">
        <v>0</v>
      </c>
    </row>
    <row r="534">
      <c r="A534" t="n">
        <v>533</v>
      </c>
      <c r="B534" t="n">
        <v>1503</v>
      </c>
      <c r="C534" t="n">
        <v>41</v>
      </c>
      <c r="D534" t="inlineStr">
        <is>
          <t>A33</t>
        </is>
      </c>
      <c r="E534" t="inlineStr">
        <is>
          <t>A73</t>
        </is>
      </c>
      <c r="F534" t="inlineStr">
        <is>
          <t>Good</t>
        </is>
      </c>
      <c r="G534" t="n">
        <v>1</v>
      </c>
    </row>
    <row r="535">
      <c r="A535" t="n">
        <v>534</v>
      </c>
      <c r="B535" t="n">
        <v>1311</v>
      </c>
      <c r="C535" t="n">
        <v>26</v>
      </c>
      <c r="D535" t="inlineStr">
        <is>
          <t>A32</t>
        </is>
      </c>
      <c r="E535" t="inlineStr">
        <is>
          <t>A74</t>
        </is>
      </c>
      <c r="F535" t="inlineStr">
        <is>
          <t>Good</t>
        </is>
      </c>
      <c r="G535" t="n">
        <v>1</v>
      </c>
    </row>
    <row r="536">
      <c r="A536" t="n">
        <v>535</v>
      </c>
      <c r="B536" t="n">
        <v>3105</v>
      </c>
      <c r="C536" t="n">
        <v>25</v>
      </c>
      <c r="D536" t="inlineStr">
        <is>
          <t>A32</t>
        </is>
      </c>
      <c r="E536" t="inlineStr">
        <is>
          <t>A72</t>
        </is>
      </c>
      <c r="F536" t="inlineStr">
        <is>
          <t>Good</t>
        </is>
      </c>
      <c r="G536" t="n">
        <v>1</v>
      </c>
    </row>
    <row r="537">
      <c r="A537" t="n">
        <v>536</v>
      </c>
      <c r="B537" t="n">
        <v>2319</v>
      </c>
      <c r="C537" t="n">
        <v>33</v>
      </c>
      <c r="D537" t="inlineStr">
        <is>
          <t>A34</t>
        </is>
      </c>
      <c r="E537" t="inlineStr">
        <is>
          <t>A72</t>
        </is>
      </c>
      <c r="F537" t="inlineStr">
        <is>
          <t>Bad</t>
        </is>
      </c>
      <c r="G537" t="n">
        <v>0</v>
      </c>
    </row>
    <row r="538">
      <c r="A538" t="n">
        <v>537</v>
      </c>
      <c r="B538" t="n">
        <v>1374</v>
      </c>
      <c r="C538" t="n">
        <v>75</v>
      </c>
      <c r="D538" t="inlineStr">
        <is>
          <t>A32</t>
        </is>
      </c>
      <c r="E538" t="inlineStr">
        <is>
          <t>A71</t>
        </is>
      </c>
      <c r="F538" t="inlineStr">
        <is>
          <t>Good</t>
        </is>
      </c>
      <c r="G538" t="n">
        <v>1</v>
      </c>
    </row>
    <row r="539">
      <c r="A539" t="n">
        <v>538</v>
      </c>
      <c r="B539" t="n">
        <v>3612</v>
      </c>
      <c r="C539" t="n">
        <v>37</v>
      </c>
      <c r="D539" t="inlineStr">
        <is>
          <t>A34</t>
        </is>
      </c>
      <c r="E539" t="inlineStr">
        <is>
          <t>A75</t>
        </is>
      </c>
      <c r="F539" t="inlineStr">
        <is>
          <t>Good</t>
        </is>
      </c>
      <c r="G539" t="n">
        <v>1</v>
      </c>
    </row>
    <row r="540">
      <c r="A540" t="n">
        <v>539</v>
      </c>
      <c r="B540" t="n">
        <v>7763</v>
      </c>
      <c r="C540" t="n">
        <v>42</v>
      </c>
      <c r="D540" t="inlineStr">
        <is>
          <t>A32</t>
        </is>
      </c>
      <c r="E540" t="inlineStr">
        <is>
          <t>A75</t>
        </is>
      </c>
      <c r="F540" t="inlineStr">
        <is>
          <t>Bad</t>
        </is>
      </c>
      <c r="G540" t="n">
        <v>0</v>
      </c>
    </row>
    <row r="541">
      <c r="A541" t="n">
        <v>540</v>
      </c>
      <c r="B541" t="n">
        <v>3049</v>
      </c>
      <c r="C541" t="n">
        <v>45</v>
      </c>
      <c r="D541" t="inlineStr">
        <is>
          <t>A32</t>
        </is>
      </c>
      <c r="E541" t="inlineStr">
        <is>
          <t>A72</t>
        </is>
      </c>
      <c r="F541" t="inlineStr">
        <is>
          <t>Good</t>
        </is>
      </c>
      <c r="G541" t="n">
        <v>1</v>
      </c>
    </row>
    <row r="542">
      <c r="A542" t="n">
        <v>541</v>
      </c>
      <c r="B542" t="n">
        <v>1534</v>
      </c>
      <c r="C542" t="n">
        <v>23</v>
      </c>
      <c r="D542" t="inlineStr">
        <is>
          <t>A32</t>
        </is>
      </c>
      <c r="E542" t="inlineStr">
        <is>
          <t>A72</t>
        </is>
      </c>
      <c r="F542" t="inlineStr">
        <is>
          <t>Bad</t>
        </is>
      </c>
      <c r="G542" t="n">
        <v>0</v>
      </c>
    </row>
    <row r="543">
      <c r="A543" t="n">
        <v>542</v>
      </c>
      <c r="B543" t="n">
        <v>2032</v>
      </c>
      <c r="C543" t="n">
        <v>60</v>
      </c>
      <c r="D543" t="inlineStr">
        <is>
          <t>A33</t>
        </is>
      </c>
      <c r="E543" t="inlineStr">
        <is>
          <t>A75</t>
        </is>
      </c>
      <c r="F543" t="inlineStr">
        <is>
          <t>Good</t>
        </is>
      </c>
      <c r="G543" t="n">
        <v>1</v>
      </c>
    </row>
    <row r="544">
      <c r="A544" t="n">
        <v>543</v>
      </c>
      <c r="B544" t="n">
        <v>6350</v>
      </c>
      <c r="C544" t="n">
        <v>31</v>
      </c>
      <c r="D544" t="inlineStr">
        <is>
          <t>A32</t>
        </is>
      </c>
      <c r="E544" t="inlineStr">
        <is>
          <t>A75</t>
        </is>
      </c>
      <c r="F544" t="inlineStr">
        <is>
          <t>Bad</t>
        </is>
      </c>
      <c r="G544" t="n">
        <v>0</v>
      </c>
    </row>
    <row r="545">
      <c r="A545" t="n">
        <v>544</v>
      </c>
      <c r="B545" t="n">
        <v>2864</v>
      </c>
      <c r="C545" t="n">
        <v>34</v>
      </c>
      <c r="D545" t="inlineStr">
        <is>
          <t>A32</t>
        </is>
      </c>
      <c r="E545" t="inlineStr">
        <is>
          <t>A73</t>
        </is>
      </c>
      <c r="F545" t="inlineStr">
        <is>
          <t>Bad</t>
        </is>
      </c>
      <c r="G545" t="n">
        <v>0</v>
      </c>
    </row>
    <row r="546">
      <c r="A546" t="n">
        <v>545</v>
      </c>
      <c r="B546" t="n">
        <v>1255</v>
      </c>
      <c r="C546" t="n">
        <v>61</v>
      </c>
      <c r="D546" t="inlineStr">
        <is>
          <t>A34</t>
        </is>
      </c>
      <c r="E546" t="inlineStr">
        <is>
          <t>A75</t>
        </is>
      </c>
      <c r="F546" t="inlineStr">
        <is>
          <t>Good</t>
        </is>
      </c>
      <c r="G546" t="n">
        <v>1</v>
      </c>
    </row>
    <row r="547">
      <c r="A547" t="n">
        <v>546</v>
      </c>
      <c r="B547" t="n">
        <v>1333</v>
      </c>
      <c r="C547" t="n">
        <v>43</v>
      </c>
      <c r="D547" t="inlineStr">
        <is>
          <t>A33</t>
        </is>
      </c>
      <c r="E547" t="inlineStr">
        <is>
          <t>A71</t>
        </is>
      </c>
      <c r="F547" t="inlineStr">
        <is>
          <t>Bad</t>
        </is>
      </c>
      <c r="G547" t="n">
        <v>0</v>
      </c>
    </row>
    <row r="548">
      <c r="A548" t="n">
        <v>547</v>
      </c>
      <c r="B548" t="n">
        <v>2022</v>
      </c>
      <c r="C548" t="n">
        <v>37</v>
      </c>
      <c r="D548" t="inlineStr">
        <is>
          <t>A34</t>
        </is>
      </c>
      <c r="E548" t="inlineStr">
        <is>
          <t>A73</t>
        </is>
      </c>
      <c r="F548" t="inlineStr">
        <is>
          <t>Good</t>
        </is>
      </c>
      <c r="G548" t="n">
        <v>1</v>
      </c>
    </row>
    <row r="549">
      <c r="A549" t="n">
        <v>548</v>
      </c>
      <c r="B549" t="n">
        <v>1552</v>
      </c>
      <c r="C549" t="n">
        <v>32</v>
      </c>
      <c r="D549" t="inlineStr">
        <is>
          <t>A32</t>
        </is>
      </c>
      <c r="E549" t="inlineStr">
        <is>
          <t>A74</t>
        </is>
      </c>
      <c r="F549" t="inlineStr">
        <is>
          <t>Good</t>
        </is>
      </c>
      <c r="G549" t="n">
        <v>1</v>
      </c>
    </row>
    <row r="550">
      <c r="A550" t="n">
        <v>549</v>
      </c>
      <c r="B550" t="n">
        <v>626</v>
      </c>
      <c r="C550" t="n">
        <v>24</v>
      </c>
      <c r="D550" t="inlineStr">
        <is>
          <t>A31</t>
        </is>
      </c>
      <c r="E550" t="inlineStr">
        <is>
          <t>A73</t>
        </is>
      </c>
      <c r="F550" t="inlineStr">
        <is>
          <t>Bad</t>
        </is>
      </c>
      <c r="G550" t="n">
        <v>0</v>
      </c>
    </row>
    <row r="551">
      <c r="A551" t="n">
        <v>550</v>
      </c>
      <c r="B551" t="n">
        <v>8858</v>
      </c>
      <c r="C551" t="n">
        <v>35</v>
      </c>
      <c r="D551" t="inlineStr">
        <is>
          <t>A34</t>
        </is>
      </c>
      <c r="E551" t="inlineStr">
        <is>
          <t>A74</t>
        </is>
      </c>
      <c r="F551" t="inlineStr">
        <is>
          <t>Good</t>
        </is>
      </c>
      <c r="G551" t="n">
        <v>1</v>
      </c>
    </row>
    <row r="552">
      <c r="A552" t="n">
        <v>551</v>
      </c>
      <c r="B552" t="n">
        <v>996</v>
      </c>
      <c r="C552" t="n">
        <v>23</v>
      </c>
      <c r="D552" t="inlineStr">
        <is>
          <t>A34</t>
        </is>
      </c>
      <c r="E552" t="inlineStr">
        <is>
          <t>A74</t>
        </is>
      </c>
      <c r="F552" t="inlineStr">
        <is>
          <t>Good</t>
        </is>
      </c>
      <c r="G552" t="n">
        <v>1</v>
      </c>
    </row>
    <row r="553">
      <c r="A553" t="n">
        <v>552</v>
      </c>
      <c r="B553" t="n">
        <v>1750</v>
      </c>
      <c r="C553" t="n">
        <v>45</v>
      </c>
      <c r="D553" t="inlineStr">
        <is>
          <t>A31</t>
        </is>
      </c>
      <c r="E553" t="inlineStr">
        <is>
          <t>A75</t>
        </is>
      </c>
      <c r="F553" t="inlineStr">
        <is>
          <t>Good</t>
        </is>
      </c>
      <c r="G553" t="n">
        <v>1</v>
      </c>
    </row>
    <row r="554">
      <c r="A554" t="n">
        <v>553</v>
      </c>
      <c r="B554" t="n">
        <v>6999</v>
      </c>
      <c r="C554" t="n">
        <v>34</v>
      </c>
      <c r="D554" t="inlineStr">
        <is>
          <t>A32</t>
        </is>
      </c>
      <c r="E554" t="inlineStr">
        <is>
          <t>A74</t>
        </is>
      </c>
      <c r="F554" t="inlineStr">
        <is>
          <t>Bad</t>
        </is>
      </c>
      <c r="G554" t="n">
        <v>0</v>
      </c>
    </row>
    <row r="555">
      <c r="A555" t="n">
        <v>554</v>
      </c>
      <c r="B555" t="n">
        <v>1995</v>
      </c>
      <c r="C555" t="n">
        <v>27</v>
      </c>
      <c r="D555" t="inlineStr">
        <is>
          <t>A34</t>
        </is>
      </c>
      <c r="E555" t="inlineStr">
        <is>
          <t>A72</t>
        </is>
      </c>
      <c r="F555" t="inlineStr">
        <is>
          <t>Good</t>
        </is>
      </c>
      <c r="G555" t="n">
        <v>1</v>
      </c>
    </row>
    <row r="556">
      <c r="A556" t="n">
        <v>555</v>
      </c>
      <c r="B556" t="n">
        <v>1199</v>
      </c>
      <c r="C556" t="n">
        <v>67</v>
      </c>
      <c r="D556" t="inlineStr">
        <is>
          <t>A32</t>
        </is>
      </c>
      <c r="E556" t="inlineStr">
        <is>
          <t>A74</t>
        </is>
      </c>
      <c r="F556" t="inlineStr">
        <is>
          <t>Good</t>
        </is>
      </c>
      <c r="G556" t="n">
        <v>1</v>
      </c>
    </row>
    <row r="557">
      <c r="A557" t="n">
        <v>556</v>
      </c>
      <c r="B557" t="n">
        <v>1331</v>
      </c>
      <c r="C557" t="n">
        <v>22</v>
      </c>
      <c r="D557" t="inlineStr">
        <is>
          <t>A32</t>
        </is>
      </c>
      <c r="E557" t="inlineStr">
        <is>
          <t>A72</t>
        </is>
      </c>
      <c r="F557" t="inlineStr">
        <is>
          <t>Bad</t>
        </is>
      </c>
      <c r="G557" t="n">
        <v>0</v>
      </c>
    </row>
    <row r="558">
      <c r="A558" t="n">
        <v>557</v>
      </c>
      <c r="B558" t="n">
        <v>2278</v>
      </c>
      <c r="C558" t="n">
        <v>28</v>
      </c>
      <c r="D558" t="inlineStr">
        <is>
          <t>A30</t>
        </is>
      </c>
      <c r="E558" t="inlineStr">
        <is>
          <t>A72</t>
        </is>
      </c>
      <c r="F558" t="inlineStr">
        <is>
          <t>Bad</t>
        </is>
      </c>
      <c r="G558" t="n">
        <v>0</v>
      </c>
    </row>
    <row r="559">
      <c r="A559" t="n">
        <v>558</v>
      </c>
      <c r="B559" t="n">
        <v>5003</v>
      </c>
      <c r="C559" t="n">
        <v>29</v>
      </c>
      <c r="D559" t="inlineStr">
        <is>
          <t>A30</t>
        </is>
      </c>
      <c r="E559" t="inlineStr">
        <is>
          <t>A73</t>
        </is>
      </c>
      <c r="F559" t="inlineStr">
        <is>
          <t>Bad</t>
        </is>
      </c>
      <c r="G559" t="n">
        <v>0</v>
      </c>
    </row>
    <row r="560">
      <c r="A560" t="n">
        <v>559</v>
      </c>
      <c r="B560" t="n">
        <v>3552</v>
      </c>
      <c r="C560" t="n">
        <v>27</v>
      </c>
      <c r="D560" t="inlineStr">
        <is>
          <t>A31</t>
        </is>
      </c>
      <c r="E560" t="inlineStr">
        <is>
          <t>A74</t>
        </is>
      </c>
      <c r="F560" t="inlineStr">
        <is>
          <t>Bad</t>
        </is>
      </c>
      <c r="G560" t="n">
        <v>0</v>
      </c>
    </row>
    <row r="561">
      <c r="A561" t="n">
        <v>560</v>
      </c>
      <c r="B561" t="n">
        <v>1928</v>
      </c>
      <c r="C561" t="n">
        <v>31</v>
      </c>
      <c r="D561" t="inlineStr">
        <is>
          <t>A34</t>
        </is>
      </c>
      <c r="E561" t="inlineStr">
        <is>
          <t>A72</t>
        </is>
      </c>
      <c r="F561" t="inlineStr">
        <is>
          <t>Bad</t>
        </is>
      </c>
      <c r="G561" t="n">
        <v>0</v>
      </c>
    </row>
    <row r="562">
      <c r="A562" t="n">
        <v>561</v>
      </c>
      <c r="B562" t="n">
        <v>2964</v>
      </c>
      <c r="C562" t="n">
        <v>49</v>
      </c>
      <c r="D562" t="inlineStr">
        <is>
          <t>A32</t>
        </is>
      </c>
      <c r="E562" t="inlineStr">
        <is>
          <t>A75</t>
        </is>
      </c>
      <c r="F562" t="inlineStr">
        <is>
          <t>Good</t>
        </is>
      </c>
      <c r="G562" t="n">
        <v>1</v>
      </c>
    </row>
    <row r="563">
      <c r="A563" t="n">
        <v>562</v>
      </c>
      <c r="B563" t="n">
        <v>1546</v>
      </c>
      <c r="C563" t="n">
        <v>24</v>
      </c>
      <c r="D563" t="inlineStr">
        <is>
          <t>A31</t>
        </is>
      </c>
      <c r="E563" t="inlineStr">
        <is>
          <t>A74</t>
        </is>
      </c>
      <c r="F563" t="inlineStr">
        <is>
          <t>Bad</t>
        </is>
      </c>
      <c r="G563" t="n">
        <v>0</v>
      </c>
    </row>
    <row r="564">
      <c r="A564" t="n">
        <v>563</v>
      </c>
      <c r="B564" t="n">
        <v>683</v>
      </c>
      <c r="C564" t="n">
        <v>29</v>
      </c>
      <c r="D564" t="inlineStr">
        <is>
          <t>A33</t>
        </is>
      </c>
      <c r="E564" t="inlineStr">
        <is>
          <t>A72</t>
        </is>
      </c>
      <c r="F564" t="inlineStr">
        <is>
          <t>Good</t>
        </is>
      </c>
      <c r="G564" t="n">
        <v>1</v>
      </c>
    </row>
    <row r="565">
      <c r="A565" t="n">
        <v>564</v>
      </c>
      <c r="B565" t="n">
        <v>12389</v>
      </c>
      <c r="C565" t="n">
        <v>37</v>
      </c>
      <c r="D565" t="inlineStr">
        <is>
          <t>A32</t>
        </is>
      </c>
      <c r="E565" t="inlineStr">
        <is>
          <t>A73</t>
        </is>
      </c>
      <c r="F565" t="inlineStr">
        <is>
          <t>Bad</t>
        </is>
      </c>
      <c r="G565" t="n">
        <v>0</v>
      </c>
    </row>
    <row r="566">
      <c r="A566" t="n">
        <v>565</v>
      </c>
      <c r="B566" t="n">
        <v>4712</v>
      </c>
      <c r="C566" t="n">
        <v>37</v>
      </c>
      <c r="D566" t="inlineStr">
        <is>
          <t>A33</t>
        </is>
      </c>
      <c r="E566" t="inlineStr">
        <is>
          <t>A73</t>
        </is>
      </c>
      <c r="F566" t="inlineStr">
        <is>
          <t>Good</t>
        </is>
      </c>
      <c r="G566" t="n">
        <v>1</v>
      </c>
    </row>
    <row r="567">
      <c r="A567" t="n">
        <v>566</v>
      </c>
      <c r="B567" t="n">
        <v>1553</v>
      </c>
      <c r="C567" t="n">
        <v>23</v>
      </c>
      <c r="D567" t="inlineStr">
        <is>
          <t>A33</t>
        </is>
      </c>
      <c r="E567" t="inlineStr">
        <is>
          <t>A74</t>
        </is>
      </c>
      <c r="F567" t="inlineStr">
        <is>
          <t>Good</t>
        </is>
      </c>
      <c r="G567" t="n">
        <v>1</v>
      </c>
    </row>
    <row r="568">
      <c r="A568" t="n">
        <v>567</v>
      </c>
      <c r="B568" t="n">
        <v>1372</v>
      </c>
      <c r="C568" t="n">
        <v>36</v>
      </c>
      <c r="D568" t="inlineStr">
        <is>
          <t>A32</t>
        </is>
      </c>
      <c r="E568" t="inlineStr">
        <is>
          <t>A74</t>
        </is>
      </c>
      <c r="F568" t="inlineStr">
        <is>
          <t>Bad</t>
        </is>
      </c>
      <c r="G568" t="n">
        <v>0</v>
      </c>
    </row>
    <row r="569">
      <c r="A569" t="n">
        <v>568</v>
      </c>
      <c r="B569" t="n">
        <v>2578</v>
      </c>
      <c r="C569" t="n">
        <v>34</v>
      </c>
      <c r="D569" t="inlineStr">
        <is>
          <t>A34</t>
        </is>
      </c>
      <c r="E569" t="inlineStr">
        <is>
          <t>A75</t>
        </is>
      </c>
      <c r="F569" t="inlineStr">
        <is>
          <t>Good</t>
        </is>
      </c>
      <c r="G569" t="n">
        <v>1</v>
      </c>
    </row>
    <row r="570">
      <c r="A570" t="n">
        <v>569</v>
      </c>
      <c r="B570" t="n">
        <v>3979</v>
      </c>
      <c r="C570" t="n">
        <v>41</v>
      </c>
      <c r="D570" t="inlineStr">
        <is>
          <t>A32</t>
        </is>
      </c>
      <c r="E570" t="inlineStr">
        <is>
          <t>A74</t>
        </is>
      </c>
      <c r="F570" t="inlineStr">
        <is>
          <t>Good</t>
        </is>
      </c>
      <c r="G570" t="n">
        <v>1</v>
      </c>
    </row>
    <row r="571">
      <c r="A571" t="n">
        <v>570</v>
      </c>
      <c r="B571" t="n">
        <v>6758</v>
      </c>
      <c r="C571" t="n">
        <v>31</v>
      </c>
      <c r="D571" t="inlineStr">
        <is>
          <t>A32</t>
        </is>
      </c>
      <c r="E571" t="inlineStr">
        <is>
          <t>A73</t>
        </is>
      </c>
      <c r="F571" t="inlineStr">
        <is>
          <t>Bad</t>
        </is>
      </c>
      <c r="G571" t="n">
        <v>0</v>
      </c>
    </row>
    <row r="572">
      <c r="A572" t="n">
        <v>571</v>
      </c>
      <c r="B572" t="n">
        <v>3234</v>
      </c>
      <c r="C572" t="n">
        <v>23</v>
      </c>
      <c r="D572" t="inlineStr">
        <is>
          <t>A32</t>
        </is>
      </c>
      <c r="E572" t="inlineStr">
        <is>
          <t>A72</t>
        </is>
      </c>
      <c r="F572" t="inlineStr">
        <is>
          <t>Bad</t>
        </is>
      </c>
      <c r="G572" t="n">
        <v>0</v>
      </c>
    </row>
    <row r="573">
      <c r="A573" t="n">
        <v>572</v>
      </c>
      <c r="B573" t="n">
        <v>5954</v>
      </c>
      <c r="C573" t="n">
        <v>38</v>
      </c>
      <c r="D573" t="inlineStr">
        <is>
          <t>A34</t>
        </is>
      </c>
      <c r="E573" t="inlineStr">
        <is>
          <t>A74</t>
        </is>
      </c>
      <c r="F573" t="inlineStr">
        <is>
          <t>Good</t>
        </is>
      </c>
      <c r="G573" t="n">
        <v>1</v>
      </c>
    </row>
    <row r="574">
      <c r="A574" t="n">
        <v>573</v>
      </c>
      <c r="B574" t="n">
        <v>5433</v>
      </c>
      <c r="C574" t="n">
        <v>26</v>
      </c>
      <c r="D574" t="inlineStr">
        <is>
          <t>A32</t>
        </is>
      </c>
      <c r="E574" t="inlineStr">
        <is>
          <t>A71</t>
        </is>
      </c>
      <c r="F574" t="inlineStr">
        <is>
          <t>Good</t>
        </is>
      </c>
      <c r="G574" t="n">
        <v>1</v>
      </c>
    </row>
    <row r="575">
      <c r="A575" t="n">
        <v>574</v>
      </c>
      <c r="B575" t="n">
        <v>806</v>
      </c>
      <c r="C575" t="n">
        <v>22</v>
      </c>
      <c r="D575" t="inlineStr">
        <is>
          <t>A32</t>
        </is>
      </c>
      <c r="E575" t="inlineStr">
        <is>
          <t>A73</t>
        </is>
      </c>
      <c r="F575" t="inlineStr">
        <is>
          <t>Good</t>
        </is>
      </c>
      <c r="G575" t="n">
        <v>1</v>
      </c>
    </row>
    <row r="576">
      <c r="A576" t="n">
        <v>575</v>
      </c>
      <c r="B576" t="n">
        <v>1082</v>
      </c>
      <c r="C576" t="n">
        <v>27</v>
      </c>
      <c r="D576" t="inlineStr">
        <is>
          <t>A32</t>
        </is>
      </c>
      <c r="E576" t="inlineStr">
        <is>
          <t>A75</t>
        </is>
      </c>
      <c r="F576" t="inlineStr">
        <is>
          <t>Good</t>
        </is>
      </c>
      <c r="G576" t="n">
        <v>1</v>
      </c>
    </row>
    <row r="577">
      <c r="A577" t="n">
        <v>576</v>
      </c>
      <c r="B577" t="n">
        <v>2788</v>
      </c>
      <c r="C577" t="n">
        <v>24</v>
      </c>
      <c r="D577" t="inlineStr">
        <is>
          <t>A34</t>
        </is>
      </c>
      <c r="E577" t="inlineStr">
        <is>
          <t>A74</t>
        </is>
      </c>
      <c r="F577" t="inlineStr">
        <is>
          <t>Good</t>
        </is>
      </c>
      <c r="G577" t="n">
        <v>1</v>
      </c>
    </row>
    <row r="578">
      <c r="A578" t="n">
        <v>577</v>
      </c>
      <c r="B578" t="n">
        <v>2930</v>
      </c>
      <c r="C578" t="n">
        <v>27</v>
      </c>
      <c r="D578" t="inlineStr">
        <is>
          <t>A32</t>
        </is>
      </c>
      <c r="E578" t="inlineStr">
        <is>
          <t>A74</t>
        </is>
      </c>
      <c r="F578" t="inlineStr">
        <is>
          <t>Good</t>
        </is>
      </c>
      <c r="G578" t="n">
        <v>1</v>
      </c>
    </row>
    <row r="579">
      <c r="A579" t="n">
        <v>578</v>
      </c>
      <c r="B579" t="n">
        <v>1927</v>
      </c>
      <c r="C579" t="n">
        <v>33</v>
      </c>
      <c r="D579" t="inlineStr">
        <is>
          <t>A34</t>
        </is>
      </c>
      <c r="E579" t="inlineStr">
        <is>
          <t>A73</t>
        </is>
      </c>
      <c r="F579" t="inlineStr">
        <is>
          <t>Good</t>
        </is>
      </c>
      <c r="G579" t="n">
        <v>1</v>
      </c>
    </row>
    <row r="580">
      <c r="A580" t="n">
        <v>579</v>
      </c>
      <c r="B580" t="n">
        <v>2820</v>
      </c>
      <c r="C580" t="n">
        <v>27</v>
      </c>
      <c r="D580" t="inlineStr">
        <is>
          <t>A34</t>
        </is>
      </c>
      <c r="E580" t="inlineStr">
        <is>
          <t>A72</t>
        </is>
      </c>
      <c r="F580" t="inlineStr">
        <is>
          <t>Bad</t>
        </is>
      </c>
      <c r="G580" t="n">
        <v>0</v>
      </c>
    </row>
    <row r="581">
      <c r="A581" t="n">
        <v>580</v>
      </c>
      <c r="B581" t="n">
        <v>937</v>
      </c>
      <c r="C581" t="n">
        <v>27</v>
      </c>
      <c r="D581" t="inlineStr">
        <is>
          <t>A32</t>
        </is>
      </c>
      <c r="E581" t="inlineStr">
        <is>
          <t>A72</t>
        </is>
      </c>
      <c r="F581" t="inlineStr">
        <is>
          <t>Good</t>
        </is>
      </c>
      <c r="G581" t="n">
        <v>1</v>
      </c>
    </row>
    <row r="582">
      <c r="A582" t="n">
        <v>581</v>
      </c>
      <c r="B582" t="n">
        <v>1056</v>
      </c>
      <c r="C582" t="n">
        <v>30</v>
      </c>
      <c r="D582" t="inlineStr">
        <is>
          <t>A34</t>
        </is>
      </c>
      <c r="E582" t="inlineStr">
        <is>
          <t>A75</t>
        </is>
      </c>
      <c r="F582" t="inlineStr">
        <is>
          <t>Bad</t>
        </is>
      </c>
      <c r="G582" t="n">
        <v>0</v>
      </c>
    </row>
    <row r="583">
      <c r="A583" t="n">
        <v>582</v>
      </c>
      <c r="B583" t="n">
        <v>3124</v>
      </c>
      <c r="C583" t="n">
        <v>49</v>
      </c>
      <c r="D583" t="inlineStr">
        <is>
          <t>A34</t>
        </is>
      </c>
      <c r="E583" t="inlineStr">
        <is>
          <t>A72</t>
        </is>
      </c>
      <c r="F583" t="inlineStr">
        <is>
          <t>Good</t>
        </is>
      </c>
      <c r="G583" t="n">
        <v>1</v>
      </c>
    </row>
    <row r="584">
      <c r="A584" t="n">
        <v>583</v>
      </c>
      <c r="B584" t="n">
        <v>1388</v>
      </c>
      <c r="C584" t="n">
        <v>26</v>
      </c>
      <c r="D584" t="inlineStr">
        <is>
          <t>A32</t>
        </is>
      </c>
      <c r="E584" t="inlineStr">
        <is>
          <t>A73</t>
        </is>
      </c>
      <c r="F584" t="inlineStr">
        <is>
          <t>Good</t>
        </is>
      </c>
      <c r="G584" t="n">
        <v>1</v>
      </c>
    </row>
    <row r="585">
      <c r="A585" t="n">
        <v>584</v>
      </c>
      <c r="B585" t="n">
        <v>2384</v>
      </c>
      <c r="C585" t="n">
        <v>33</v>
      </c>
      <c r="D585" t="inlineStr">
        <is>
          <t>A32</t>
        </is>
      </c>
      <c r="E585" t="inlineStr">
        <is>
          <t>A72</t>
        </is>
      </c>
      <c r="F585" t="inlineStr">
        <is>
          <t>Bad</t>
        </is>
      </c>
      <c r="G585" t="n">
        <v>0</v>
      </c>
    </row>
    <row r="586">
      <c r="A586" t="n">
        <v>585</v>
      </c>
      <c r="B586" t="n">
        <v>2133</v>
      </c>
      <c r="C586" t="n">
        <v>52</v>
      </c>
      <c r="D586" t="inlineStr">
        <is>
          <t>A32</t>
        </is>
      </c>
      <c r="E586" t="inlineStr">
        <is>
          <t>A75</t>
        </is>
      </c>
      <c r="F586" t="inlineStr">
        <is>
          <t>Good</t>
        </is>
      </c>
      <c r="G586" t="n">
        <v>1</v>
      </c>
    </row>
    <row r="587">
      <c r="A587" t="n">
        <v>586</v>
      </c>
      <c r="B587" t="n">
        <v>2039</v>
      </c>
      <c r="C587" t="n">
        <v>20</v>
      </c>
      <c r="D587" t="inlineStr">
        <is>
          <t>A32</t>
        </is>
      </c>
      <c r="E587" t="inlineStr">
        <is>
          <t>A73</t>
        </is>
      </c>
      <c r="F587" t="inlineStr">
        <is>
          <t>Bad</t>
        </is>
      </c>
      <c r="G587" t="n">
        <v>0</v>
      </c>
    </row>
    <row r="588">
      <c r="A588" t="n">
        <v>587</v>
      </c>
      <c r="B588" t="n">
        <v>2799</v>
      </c>
      <c r="C588" t="n">
        <v>36</v>
      </c>
      <c r="D588" t="inlineStr">
        <is>
          <t>A34</t>
        </is>
      </c>
      <c r="E588" t="inlineStr">
        <is>
          <t>A73</t>
        </is>
      </c>
      <c r="F588" t="inlineStr">
        <is>
          <t>Good</t>
        </is>
      </c>
      <c r="G588" t="n">
        <v>1</v>
      </c>
    </row>
    <row r="589">
      <c r="A589" t="n">
        <v>588</v>
      </c>
      <c r="B589" t="n">
        <v>1289</v>
      </c>
      <c r="C589" t="n">
        <v>21</v>
      </c>
      <c r="D589" t="inlineStr">
        <is>
          <t>A32</t>
        </is>
      </c>
      <c r="E589" t="inlineStr">
        <is>
          <t>A73</t>
        </is>
      </c>
      <c r="F589" t="inlineStr">
        <is>
          <t>Good</t>
        </is>
      </c>
      <c r="G589" t="n">
        <v>1</v>
      </c>
    </row>
    <row r="590">
      <c r="A590" t="n">
        <v>589</v>
      </c>
      <c r="B590" t="n">
        <v>1217</v>
      </c>
      <c r="C590" t="n">
        <v>47</v>
      </c>
      <c r="D590" t="inlineStr">
        <is>
          <t>A32</t>
        </is>
      </c>
      <c r="E590" t="inlineStr">
        <is>
          <t>A73</t>
        </is>
      </c>
      <c r="F590" t="inlineStr">
        <is>
          <t>Bad</t>
        </is>
      </c>
      <c r="G590" t="n">
        <v>0</v>
      </c>
    </row>
    <row r="591">
      <c r="A591" t="n">
        <v>590</v>
      </c>
      <c r="B591" t="n">
        <v>2246</v>
      </c>
      <c r="C591" t="n">
        <v>60</v>
      </c>
      <c r="D591" t="inlineStr">
        <is>
          <t>A34</t>
        </is>
      </c>
      <c r="E591" t="inlineStr">
        <is>
          <t>A75</t>
        </is>
      </c>
      <c r="F591" t="inlineStr">
        <is>
          <t>Bad</t>
        </is>
      </c>
      <c r="G591" t="n">
        <v>0</v>
      </c>
    </row>
    <row r="592">
      <c r="A592" t="n">
        <v>591</v>
      </c>
      <c r="B592" t="n">
        <v>385</v>
      </c>
      <c r="C592" t="n">
        <v>58</v>
      </c>
      <c r="D592" t="inlineStr">
        <is>
          <t>A34</t>
        </is>
      </c>
      <c r="E592" t="inlineStr">
        <is>
          <t>A74</t>
        </is>
      </c>
      <c r="F592" t="inlineStr">
        <is>
          <t>Good</t>
        </is>
      </c>
      <c r="G592" t="n">
        <v>1</v>
      </c>
    </row>
    <row r="593">
      <c r="A593" t="n">
        <v>592</v>
      </c>
      <c r="B593" t="n">
        <v>1965</v>
      </c>
      <c r="C593" t="n">
        <v>42</v>
      </c>
      <c r="D593" t="inlineStr">
        <is>
          <t>A33</t>
        </is>
      </c>
      <c r="E593" t="inlineStr">
        <is>
          <t>A73</t>
        </is>
      </c>
      <c r="F593" t="inlineStr">
        <is>
          <t>Good</t>
        </is>
      </c>
      <c r="G593" t="n">
        <v>1</v>
      </c>
    </row>
    <row r="594">
      <c r="A594" t="n">
        <v>593</v>
      </c>
      <c r="B594" t="n">
        <v>1572</v>
      </c>
      <c r="C594" t="n">
        <v>36</v>
      </c>
      <c r="D594" t="inlineStr">
        <is>
          <t>A32</t>
        </is>
      </c>
      <c r="E594" t="inlineStr">
        <is>
          <t>A75</t>
        </is>
      </c>
      <c r="F594" t="inlineStr">
        <is>
          <t>Good</t>
        </is>
      </c>
      <c r="G594" t="n">
        <v>1</v>
      </c>
    </row>
    <row r="595">
      <c r="A595" t="n">
        <v>594</v>
      </c>
      <c r="B595" t="n">
        <v>2718</v>
      </c>
      <c r="C595" t="n">
        <v>20</v>
      </c>
      <c r="D595" t="inlineStr">
        <is>
          <t>A32</t>
        </is>
      </c>
      <c r="E595" t="inlineStr">
        <is>
          <t>A73</t>
        </is>
      </c>
      <c r="F595" t="inlineStr">
        <is>
          <t>Bad</t>
        </is>
      </c>
      <c r="G595" t="n">
        <v>0</v>
      </c>
    </row>
    <row r="596">
      <c r="A596" t="n">
        <v>595</v>
      </c>
      <c r="B596" t="n">
        <v>1358</v>
      </c>
      <c r="C596" t="n">
        <v>40</v>
      </c>
      <c r="D596" t="inlineStr">
        <is>
          <t>A31</t>
        </is>
      </c>
      <c r="E596" t="inlineStr">
        <is>
          <t>A75</t>
        </is>
      </c>
      <c r="F596" t="inlineStr">
        <is>
          <t>Bad</t>
        </is>
      </c>
      <c r="G596" t="n">
        <v>0</v>
      </c>
    </row>
    <row r="597">
      <c r="A597" t="n">
        <v>596</v>
      </c>
      <c r="B597" t="n">
        <v>931</v>
      </c>
      <c r="C597" t="n">
        <v>32</v>
      </c>
      <c r="D597" t="inlineStr">
        <is>
          <t>A31</t>
        </is>
      </c>
      <c r="E597" t="inlineStr">
        <is>
          <t>A72</t>
        </is>
      </c>
      <c r="F597" t="inlineStr">
        <is>
          <t>Bad</t>
        </is>
      </c>
      <c r="G597" t="n">
        <v>0</v>
      </c>
    </row>
    <row r="598">
      <c r="A598" t="n">
        <v>597</v>
      </c>
      <c r="B598" t="n">
        <v>1442</v>
      </c>
      <c r="C598" t="n">
        <v>23</v>
      </c>
      <c r="D598" t="inlineStr">
        <is>
          <t>A32</t>
        </is>
      </c>
      <c r="E598" t="inlineStr">
        <is>
          <t>A74</t>
        </is>
      </c>
      <c r="F598" t="inlineStr">
        <is>
          <t>Bad</t>
        </is>
      </c>
      <c r="G598" t="n">
        <v>0</v>
      </c>
    </row>
    <row r="599">
      <c r="A599" t="n">
        <v>598</v>
      </c>
      <c r="B599" t="n">
        <v>4241</v>
      </c>
      <c r="C599" t="n">
        <v>36</v>
      </c>
      <c r="D599" t="inlineStr">
        <is>
          <t>A30</t>
        </is>
      </c>
      <c r="E599" t="inlineStr">
        <is>
          <t>A73</t>
        </is>
      </c>
      <c r="F599" t="inlineStr">
        <is>
          <t>Bad</t>
        </is>
      </c>
      <c r="G599" t="n">
        <v>0</v>
      </c>
    </row>
    <row r="600">
      <c r="A600" t="n">
        <v>599</v>
      </c>
      <c r="B600" t="n">
        <v>2775</v>
      </c>
      <c r="C600" t="n">
        <v>31</v>
      </c>
      <c r="D600" t="inlineStr">
        <is>
          <t>A34</t>
        </is>
      </c>
      <c r="E600" t="inlineStr">
        <is>
          <t>A74</t>
        </is>
      </c>
      <c r="F600" t="inlineStr">
        <is>
          <t>Bad</t>
        </is>
      </c>
      <c r="G600" t="n">
        <v>0</v>
      </c>
    </row>
    <row r="601">
      <c r="A601" t="n">
        <v>600</v>
      </c>
      <c r="B601" t="n">
        <v>3863</v>
      </c>
      <c r="C601" t="n">
        <v>32</v>
      </c>
      <c r="D601" t="inlineStr">
        <is>
          <t>A33</t>
        </is>
      </c>
      <c r="E601" t="inlineStr">
        <is>
          <t>A73</t>
        </is>
      </c>
      <c r="F601" t="inlineStr">
        <is>
          <t>Good</t>
        </is>
      </c>
      <c r="G601" t="n">
        <v>1</v>
      </c>
    </row>
    <row r="602">
      <c r="A602" t="n">
        <v>601</v>
      </c>
      <c r="B602" t="n">
        <v>2329</v>
      </c>
      <c r="C602" t="n">
        <v>45</v>
      </c>
      <c r="D602" t="inlineStr">
        <is>
          <t>A32</t>
        </is>
      </c>
      <c r="E602" t="inlineStr">
        <is>
          <t>A72</t>
        </is>
      </c>
      <c r="F602" t="inlineStr">
        <is>
          <t>Good</t>
        </is>
      </c>
      <c r="G602" t="n">
        <v>1</v>
      </c>
    </row>
    <row r="603">
      <c r="A603" t="n">
        <v>602</v>
      </c>
      <c r="B603" t="n">
        <v>918</v>
      </c>
      <c r="C603" t="n">
        <v>30</v>
      </c>
      <c r="D603" t="inlineStr">
        <is>
          <t>A32</t>
        </is>
      </c>
      <c r="E603" t="inlineStr">
        <is>
          <t>A73</t>
        </is>
      </c>
      <c r="F603" t="inlineStr">
        <is>
          <t>Bad</t>
        </is>
      </c>
      <c r="G603" t="n">
        <v>0</v>
      </c>
    </row>
    <row r="604">
      <c r="A604" t="n">
        <v>603</v>
      </c>
      <c r="B604" t="n">
        <v>1837</v>
      </c>
      <c r="C604" t="n">
        <v>34</v>
      </c>
      <c r="D604" t="inlineStr">
        <is>
          <t>A31</t>
        </is>
      </c>
      <c r="E604" t="inlineStr">
        <is>
          <t>A74</t>
        </is>
      </c>
      <c r="F604" t="inlineStr">
        <is>
          <t>Bad</t>
        </is>
      </c>
      <c r="G604" t="n">
        <v>0</v>
      </c>
    </row>
    <row r="605">
      <c r="A605" t="n">
        <v>604</v>
      </c>
      <c r="B605" t="n">
        <v>3349</v>
      </c>
      <c r="C605" t="n">
        <v>28</v>
      </c>
      <c r="D605" t="inlineStr">
        <is>
          <t>A32</t>
        </is>
      </c>
      <c r="E605" t="inlineStr">
        <is>
          <t>A73</t>
        </is>
      </c>
      <c r="F605" t="inlineStr">
        <is>
          <t>Bad</t>
        </is>
      </c>
      <c r="G605" t="n">
        <v>0</v>
      </c>
    </row>
    <row r="606">
      <c r="A606" t="n">
        <v>605</v>
      </c>
      <c r="B606" t="n">
        <v>1275</v>
      </c>
      <c r="C606" t="n">
        <v>23</v>
      </c>
      <c r="D606" t="inlineStr">
        <is>
          <t>A32</t>
        </is>
      </c>
      <c r="E606" t="inlineStr">
        <is>
          <t>A72</t>
        </is>
      </c>
      <c r="F606" t="inlineStr">
        <is>
          <t>Good</t>
        </is>
      </c>
      <c r="G606" t="n">
        <v>1</v>
      </c>
    </row>
    <row r="607">
      <c r="A607" t="n">
        <v>606</v>
      </c>
      <c r="B607" t="n">
        <v>2828</v>
      </c>
      <c r="C607" t="n">
        <v>22</v>
      </c>
      <c r="D607" t="inlineStr">
        <is>
          <t>A31</t>
        </is>
      </c>
      <c r="E607" t="inlineStr">
        <is>
          <t>A73</t>
        </is>
      </c>
      <c r="F607" t="inlineStr">
        <is>
          <t>Good</t>
        </is>
      </c>
      <c r="G607" t="n">
        <v>1</v>
      </c>
    </row>
    <row r="608">
      <c r="A608" t="n">
        <v>607</v>
      </c>
      <c r="B608" t="n">
        <v>4526</v>
      </c>
      <c r="C608" t="n">
        <v>74</v>
      </c>
      <c r="D608" t="inlineStr">
        <is>
          <t>A34</t>
        </is>
      </c>
      <c r="E608" t="inlineStr">
        <is>
          <t>A73</t>
        </is>
      </c>
      <c r="F608" t="inlineStr">
        <is>
          <t>Good</t>
        </is>
      </c>
      <c r="G608" t="n">
        <v>1</v>
      </c>
    </row>
    <row r="609">
      <c r="A609" t="n">
        <v>608</v>
      </c>
      <c r="B609" t="n">
        <v>2671</v>
      </c>
      <c r="C609" t="n">
        <v>50</v>
      </c>
      <c r="D609" t="inlineStr">
        <is>
          <t>A32</t>
        </is>
      </c>
      <c r="E609" t="inlineStr">
        <is>
          <t>A73</t>
        </is>
      </c>
      <c r="F609" t="inlineStr">
        <is>
          <t>Bad</t>
        </is>
      </c>
      <c r="G609" t="n">
        <v>0</v>
      </c>
    </row>
    <row r="610">
      <c r="A610" t="n">
        <v>609</v>
      </c>
      <c r="B610" t="n">
        <v>2051</v>
      </c>
      <c r="C610" t="n">
        <v>33</v>
      </c>
      <c r="D610" t="inlineStr">
        <is>
          <t>A32</t>
        </is>
      </c>
      <c r="E610" t="inlineStr">
        <is>
          <t>A72</t>
        </is>
      </c>
      <c r="F610" t="inlineStr">
        <is>
          <t>Good</t>
        </is>
      </c>
      <c r="G610" t="n">
        <v>1</v>
      </c>
    </row>
    <row r="611">
      <c r="A611" t="n">
        <v>610</v>
      </c>
      <c r="B611" t="n">
        <v>1300</v>
      </c>
      <c r="C611" t="n">
        <v>45</v>
      </c>
      <c r="D611" t="inlineStr">
        <is>
          <t>A32</t>
        </is>
      </c>
      <c r="E611" t="inlineStr">
        <is>
          <t>A75</t>
        </is>
      </c>
      <c r="F611" t="inlineStr">
        <is>
          <t>Good</t>
        </is>
      </c>
      <c r="G611" t="n">
        <v>1</v>
      </c>
    </row>
    <row r="612">
      <c r="A612" t="n">
        <v>611</v>
      </c>
      <c r="B612" t="n">
        <v>741</v>
      </c>
      <c r="C612" t="n">
        <v>22</v>
      </c>
      <c r="D612" t="inlineStr">
        <is>
          <t>A32</t>
        </is>
      </c>
      <c r="E612" t="inlineStr">
        <is>
          <t>A71</t>
        </is>
      </c>
      <c r="F612" t="inlineStr">
        <is>
          <t>Bad</t>
        </is>
      </c>
      <c r="G612" t="n">
        <v>0</v>
      </c>
    </row>
    <row r="613">
      <c r="A613" t="n">
        <v>612</v>
      </c>
      <c r="B613" t="n">
        <v>1240</v>
      </c>
      <c r="C613" t="n">
        <v>48</v>
      </c>
      <c r="D613" t="inlineStr">
        <is>
          <t>A32</t>
        </is>
      </c>
      <c r="E613" t="inlineStr">
        <is>
          <t>A75</t>
        </is>
      </c>
      <c r="F613" t="inlineStr">
        <is>
          <t>Bad</t>
        </is>
      </c>
      <c r="G613" t="n">
        <v>0</v>
      </c>
    </row>
    <row r="614">
      <c r="A614" t="n">
        <v>613</v>
      </c>
      <c r="B614" t="n">
        <v>3357</v>
      </c>
      <c r="C614" t="n">
        <v>29</v>
      </c>
      <c r="D614" t="inlineStr">
        <is>
          <t>A32</t>
        </is>
      </c>
      <c r="E614" t="inlineStr">
        <is>
          <t>A72</t>
        </is>
      </c>
      <c r="F614" t="inlineStr">
        <is>
          <t>Good</t>
        </is>
      </c>
      <c r="G614" t="n">
        <v>1</v>
      </c>
    </row>
    <row r="615">
      <c r="A615" t="n">
        <v>614</v>
      </c>
      <c r="B615" t="n">
        <v>3632</v>
      </c>
      <c r="C615" t="n">
        <v>22</v>
      </c>
      <c r="D615" t="inlineStr">
        <is>
          <t>A31</t>
        </is>
      </c>
      <c r="E615" t="inlineStr">
        <is>
          <t>A73</t>
        </is>
      </c>
      <c r="F615" t="inlineStr">
        <is>
          <t>Good</t>
        </is>
      </c>
      <c r="G615" t="n">
        <v>1</v>
      </c>
    </row>
    <row r="616">
      <c r="A616" t="n">
        <v>615</v>
      </c>
      <c r="B616" t="n">
        <v>1808</v>
      </c>
      <c r="C616" t="n">
        <v>22</v>
      </c>
      <c r="D616" t="inlineStr">
        <is>
          <t>A33</t>
        </is>
      </c>
      <c r="E616" t="inlineStr">
        <is>
          <t>A74</t>
        </is>
      </c>
      <c r="F616" t="inlineStr">
        <is>
          <t>Bad</t>
        </is>
      </c>
      <c r="G616" t="n">
        <v>0</v>
      </c>
    </row>
    <row r="617">
      <c r="A617" t="n">
        <v>616</v>
      </c>
      <c r="B617" t="n">
        <v>12204</v>
      </c>
      <c r="C617" t="n">
        <v>48</v>
      </c>
      <c r="D617" t="inlineStr">
        <is>
          <t>A30</t>
        </is>
      </c>
      <c r="E617" t="inlineStr">
        <is>
          <t>A73</t>
        </is>
      </c>
      <c r="F617" t="inlineStr">
        <is>
          <t>Good</t>
        </is>
      </c>
      <c r="G617" t="n">
        <v>1</v>
      </c>
    </row>
    <row r="618">
      <c r="A618" t="n">
        <v>617</v>
      </c>
      <c r="B618" t="n">
        <v>9157</v>
      </c>
      <c r="C618" t="n">
        <v>27</v>
      </c>
      <c r="D618" t="inlineStr">
        <is>
          <t>A33</t>
        </is>
      </c>
      <c r="E618" t="inlineStr">
        <is>
          <t>A73</t>
        </is>
      </c>
      <c r="F618" t="inlineStr">
        <is>
          <t>Good</t>
        </is>
      </c>
      <c r="G618" t="n">
        <v>1</v>
      </c>
    </row>
    <row r="619">
      <c r="A619" t="n">
        <v>618</v>
      </c>
      <c r="B619" t="n">
        <v>3676</v>
      </c>
      <c r="C619" t="n">
        <v>37</v>
      </c>
      <c r="D619" t="inlineStr">
        <is>
          <t>A34</t>
        </is>
      </c>
      <c r="E619" t="inlineStr">
        <is>
          <t>A73</t>
        </is>
      </c>
      <c r="F619" t="inlineStr">
        <is>
          <t>Good</t>
        </is>
      </c>
      <c r="G619" t="n">
        <v>1</v>
      </c>
    </row>
    <row r="620">
      <c r="A620" t="n">
        <v>619</v>
      </c>
      <c r="B620" t="n">
        <v>3441</v>
      </c>
      <c r="C620" t="n">
        <v>21</v>
      </c>
      <c r="D620" t="inlineStr">
        <is>
          <t>A32</t>
        </is>
      </c>
      <c r="E620" t="inlineStr">
        <is>
          <t>A73</t>
        </is>
      </c>
      <c r="F620" t="inlineStr">
        <is>
          <t>Bad</t>
        </is>
      </c>
      <c r="G620" t="n">
        <v>0</v>
      </c>
    </row>
    <row r="621">
      <c r="A621" t="n">
        <v>620</v>
      </c>
      <c r="B621" t="n">
        <v>640</v>
      </c>
      <c r="C621" t="n">
        <v>49</v>
      </c>
      <c r="D621" t="inlineStr">
        <is>
          <t>A32</t>
        </is>
      </c>
      <c r="E621" t="inlineStr">
        <is>
          <t>A73</t>
        </is>
      </c>
      <c r="F621" t="inlineStr">
        <is>
          <t>Good</t>
        </is>
      </c>
      <c r="G621" t="n">
        <v>1</v>
      </c>
    </row>
    <row r="622">
      <c r="A622" t="n">
        <v>621</v>
      </c>
      <c r="B622" t="n">
        <v>3652</v>
      </c>
      <c r="C622" t="n">
        <v>27</v>
      </c>
      <c r="D622" t="inlineStr">
        <is>
          <t>A34</t>
        </is>
      </c>
      <c r="E622" t="inlineStr">
        <is>
          <t>A74</t>
        </is>
      </c>
      <c r="F622" t="inlineStr">
        <is>
          <t>Good</t>
        </is>
      </c>
      <c r="G622" t="n">
        <v>1</v>
      </c>
    </row>
    <row r="623">
      <c r="A623" t="n">
        <v>622</v>
      </c>
      <c r="B623" t="n">
        <v>1530</v>
      </c>
      <c r="C623" t="n">
        <v>32</v>
      </c>
      <c r="D623" t="inlineStr">
        <is>
          <t>A34</t>
        </is>
      </c>
      <c r="E623" t="inlineStr">
        <is>
          <t>A73</t>
        </is>
      </c>
      <c r="F623" t="inlineStr">
        <is>
          <t>Bad</t>
        </is>
      </c>
      <c r="G623" t="n">
        <v>0</v>
      </c>
    </row>
    <row r="624">
      <c r="A624" t="n">
        <v>623</v>
      </c>
      <c r="B624" t="n">
        <v>3914</v>
      </c>
      <c r="C624" t="n">
        <v>38</v>
      </c>
      <c r="D624" t="inlineStr">
        <is>
          <t>A32</t>
        </is>
      </c>
      <c r="E624" t="inlineStr">
        <is>
          <t>A73</t>
        </is>
      </c>
      <c r="F624" t="inlineStr">
        <is>
          <t>Bad</t>
        </is>
      </c>
      <c r="G624" t="n">
        <v>0</v>
      </c>
    </row>
    <row r="625">
      <c r="A625" t="n">
        <v>624</v>
      </c>
      <c r="B625" t="n">
        <v>1858</v>
      </c>
      <c r="C625" t="n">
        <v>22</v>
      </c>
      <c r="D625" t="inlineStr">
        <is>
          <t>A32</t>
        </is>
      </c>
      <c r="E625" t="inlineStr">
        <is>
          <t>A72</t>
        </is>
      </c>
      <c r="F625" t="inlineStr">
        <is>
          <t>Good</t>
        </is>
      </c>
      <c r="G625" t="n">
        <v>1</v>
      </c>
    </row>
    <row r="626">
      <c r="A626" t="n">
        <v>625</v>
      </c>
      <c r="B626" t="n">
        <v>2600</v>
      </c>
      <c r="C626" t="n">
        <v>65</v>
      </c>
      <c r="D626" t="inlineStr">
        <is>
          <t>A32</t>
        </is>
      </c>
      <c r="E626" t="inlineStr">
        <is>
          <t>A73</t>
        </is>
      </c>
      <c r="F626" t="inlineStr">
        <is>
          <t>Bad</t>
        </is>
      </c>
      <c r="G626" t="n">
        <v>0</v>
      </c>
    </row>
    <row r="627">
      <c r="A627" t="n">
        <v>626</v>
      </c>
      <c r="B627" t="n">
        <v>1979</v>
      </c>
      <c r="C627" t="n">
        <v>35</v>
      </c>
      <c r="D627" t="inlineStr">
        <is>
          <t>A32</t>
        </is>
      </c>
      <c r="E627" t="inlineStr">
        <is>
          <t>A75</t>
        </is>
      </c>
      <c r="F627" t="inlineStr">
        <is>
          <t>Good</t>
        </is>
      </c>
      <c r="G627" t="n">
        <v>1</v>
      </c>
    </row>
    <row r="628">
      <c r="A628" t="n">
        <v>627</v>
      </c>
      <c r="B628" t="n">
        <v>2116</v>
      </c>
      <c r="C628" t="n">
        <v>41</v>
      </c>
      <c r="D628" t="inlineStr">
        <is>
          <t>A32</t>
        </is>
      </c>
      <c r="E628" t="inlineStr">
        <is>
          <t>A73</t>
        </is>
      </c>
      <c r="F628" t="inlineStr">
        <is>
          <t>Good</t>
        </is>
      </c>
      <c r="G628" t="n">
        <v>1</v>
      </c>
    </row>
    <row r="629">
      <c r="A629" t="n">
        <v>628</v>
      </c>
      <c r="B629" t="n">
        <v>1437</v>
      </c>
      <c r="C629" t="n">
        <v>29</v>
      </c>
      <c r="D629" t="inlineStr">
        <is>
          <t>A31</t>
        </is>
      </c>
      <c r="E629" t="inlineStr">
        <is>
          <t>A74</t>
        </is>
      </c>
      <c r="F629" t="inlineStr">
        <is>
          <t>Bad</t>
        </is>
      </c>
      <c r="G629" t="n">
        <v>0</v>
      </c>
    </row>
    <row r="630">
      <c r="A630" t="n">
        <v>629</v>
      </c>
      <c r="B630" t="n">
        <v>4042</v>
      </c>
      <c r="C630" t="n">
        <v>36</v>
      </c>
      <c r="D630" t="inlineStr">
        <is>
          <t>A34</t>
        </is>
      </c>
      <c r="E630" t="inlineStr">
        <is>
          <t>A73</t>
        </is>
      </c>
      <c r="F630" t="inlineStr">
        <is>
          <t>Good</t>
        </is>
      </c>
      <c r="G630" t="n">
        <v>1</v>
      </c>
    </row>
    <row r="631">
      <c r="A631" t="n">
        <v>630</v>
      </c>
      <c r="B631" t="n">
        <v>3832</v>
      </c>
      <c r="C631" t="n">
        <v>64</v>
      </c>
      <c r="D631" t="inlineStr">
        <is>
          <t>A32</t>
        </is>
      </c>
      <c r="E631" t="inlineStr">
        <is>
          <t>A75</t>
        </is>
      </c>
      <c r="F631" t="inlineStr">
        <is>
          <t>Good</t>
        </is>
      </c>
      <c r="G631" t="n">
        <v>1</v>
      </c>
    </row>
    <row r="632">
      <c r="A632" t="n">
        <v>631</v>
      </c>
      <c r="B632" t="n">
        <v>3660</v>
      </c>
      <c r="C632" t="n">
        <v>28</v>
      </c>
      <c r="D632" t="inlineStr">
        <is>
          <t>A32</t>
        </is>
      </c>
      <c r="E632" t="inlineStr">
        <is>
          <t>A73</t>
        </is>
      </c>
      <c r="F632" t="inlineStr">
        <is>
          <t>Good</t>
        </is>
      </c>
      <c r="G632" t="n">
        <v>1</v>
      </c>
    </row>
    <row r="633">
      <c r="A633" t="n">
        <v>632</v>
      </c>
      <c r="B633" t="n">
        <v>1553</v>
      </c>
      <c r="C633" t="n">
        <v>44</v>
      </c>
      <c r="D633" t="inlineStr">
        <is>
          <t>A31</t>
        </is>
      </c>
      <c r="E633" t="inlineStr">
        <is>
          <t>A73</t>
        </is>
      </c>
      <c r="F633" t="inlineStr">
        <is>
          <t>Bad</t>
        </is>
      </c>
      <c r="G633" t="n">
        <v>0</v>
      </c>
    </row>
    <row r="634">
      <c r="A634" t="n">
        <v>633</v>
      </c>
      <c r="B634" t="n">
        <v>1444</v>
      </c>
      <c r="C634" t="n">
        <v>23</v>
      </c>
      <c r="D634" t="inlineStr">
        <is>
          <t>A32</t>
        </is>
      </c>
      <c r="E634" t="inlineStr">
        <is>
          <t>A72</t>
        </is>
      </c>
      <c r="F634" t="inlineStr">
        <is>
          <t>Good</t>
        </is>
      </c>
      <c r="G634" t="n">
        <v>1</v>
      </c>
    </row>
    <row r="635">
      <c r="A635" t="n">
        <v>634</v>
      </c>
      <c r="B635" t="n">
        <v>1980</v>
      </c>
      <c r="C635" t="n">
        <v>19</v>
      </c>
      <c r="D635" t="inlineStr">
        <is>
          <t>A32</t>
        </is>
      </c>
      <c r="E635" t="inlineStr">
        <is>
          <t>A72</t>
        </is>
      </c>
      <c r="F635" t="inlineStr">
        <is>
          <t>Bad</t>
        </is>
      </c>
      <c r="G635" t="n">
        <v>0</v>
      </c>
    </row>
    <row r="636">
      <c r="A636" t="n">
        <v>635</v>
      </c>
      <c r="B636" t="n">
        <v>1355</v>
      </c>
      <c r="C636" t="n">
        <v>25</v>
      </c>
      <c r="D636" t="inlineStr">
        <is>
          <t>A32</t>
        </is>
      </c>
      <c r="E636" t="inlineStr">
        <is>
          <t>A72</t>
        </is>
      </c>
      <c r="F636" t="inlineStr">
        <is>
          <t>Bad</t>
        </is>
      </c>
      <c r="G636" t="n">
        <v>0</v>
      </c>
    </row>
    <row r="637">
      <c r="A637" t="n">
        <v>636</v>
      </c>
      <c r="B637" t="n">
        <v>1393</v>
      </c>
      <c r="C637" t="n">
        <v>47</v>
      </c>
      <c r="D637" t="inlineStr">
        <is>
          <t>A32</t>
        </is>
      </c>
      <c r="E637" t="inlineStr">
        <is>
          <t>A75</t>
        </is>
      </c>
      <c r="F637" t="inlineStr">
        <is>
          <t>Good</t>
        </is>
      </c>
      <c r="G637" t="n">
        <v>1</v>
      </c>
    </row>
    <row r="638">
      <c r="A638" t="n">
        <v>637</v>
      </c>
      <c r="B638" t="n">
        <v>1376</v>
      </c>
      <c r="C638" t="n">
        <v>28</v>
      </c>
      <c r="D638" t="inlineStr">
        <is>
          <t>A32</t>
        </is>
      </c>
      <c r="E638" t="inlineStr">
        <is>
          <t>A74</t>
        </is>
      </c>
      <c r="F638" t="inlineStr">
        <is>
          <t>Good</t>
        </is>
      </c>
      <c r="G638" t="n">
        <v>1</v>
      </c>
    </row>
    <row r="639">
      <c r="A639" t="n">
        <v>638</v>
      </c>
      <c r="B639" t="n">
        <v>15653</v>
      </c>
      <c r="C639" t="n">
        <v>21</v>
      </c>
      <c r="D639" t="inlineStr">
        <is>
          <t>A33</t>
        </is>
      </c>
      <c r="E639" t="inlineStr">
        <is>
          <t>A74</t>
        </is>
      </c>
      <c r="F639" t="inlineStr">
        <is>
          <t>Good</t>
        </is>
      </c>
      <c r="G639" t="n">
        <v>1</v>
      </c>
    </row>
    <row r="640">
      <c r="A640" t="n">
        <v>639</v>
      </c>
      <c r="B640" t="n">
        <v>1493</v>
      </c>
      <c r="C640" t="n">
        <v>34</v>
      </c>
      <c r="D640" t="inlineStr">
        <is>
          <t>A32</t>
        </is>
      </c>
      <c r="E640" t="inlineStr">
        <is>
          <t>A72</t>
        </is>
      </c>
      <c r="F640" t="inlineStr">
        <is>
          <t>Good</t>
        </is>
      </c>
      <c r="G640" t="n">
        <v>1</v>
      </c>
    </row>
    <row r="641">
      <c r="A641" t="n">
        <v>640</v>
      </c>
      <c r="B641" t="n">
        <v>4370</v>
      </c>
      <c r="C641" t="n">
        <v>26</v>
      </c>
      <c r="D641" t="inlineStr">
        <is>
          <t>A33</t>
        </is>
      </c>
      <c r="E641" t="inlineStr">
        <is>
          <t>A74</t>
        </is>
      </c>
      <c r="F641" t="inlineStr">
        <is>
          <t>Bad</t>
        </is>
      </c>
      <c r="G641" t="n">
        <v>0</v>
      </c>
    </row>
    <row r="642">
      <c r="A642" t="n">
        <v>641</v>
      </c>
      <c r="B642" t="n">
        <v>750</v>
      </c>
      <c r="C642" t="n">
        <v>27</v>
      </c>
      <c r="D642" t="inlineStr">
        <is>
          <t>A32</t>
        </is>
      </c>
      <c r="E642" t="inlineStr">
        <is>
          <t>A71</t>
        </is>
      </c>
      <c r="F642" t="inlineStr">
        <is>
          <t>Bad</t>
        </is>
      </c>
      <c r="G642" t="n">
        <v>0</v>
      </c>
    </row>
    <row r="643">
      <c r="A643" t="n">
        <v>642</v>
      </c>
      <c r="B643" t="n">
        <v>1308</v>
      </c>
      <c r="C643" t="n">
        <v>38</v>
      </c>
      <c r="D643" t="inlineStr">
        <is>
          <t>A32</t>
        </is>
      </c>
      <c r="E643" t="inlineStr">
        <is>
          <t>A75</t>
        </is>
      </c>
      <c r="F643" t="inlineStr">
        <is>
          <t>Good</t>
        </is>
      </c>
      <c r="G643" t="n">
        <v>1</v>
      </c>
    </row>
    <row r="644">
      <c r="A644" t="n">
        <v>643</v>
      </c>
      <c r="B644" t="n">
        <v>4623</v>
      </c>
      <c r="C644" t="n">
        <v>40</v>
      </c>
      <c r="D644" t="inlineStr">
        <is>
          <t>A32</t>
        </is>
      </c>
      <c r="E644" t="inlineStr">
        <is>
          <t>A73</t>
        </is>
      </c>
      <c r="F644" t="inlineStr">
        <is>
          <t>Bad</t>
        </is>
      </c>
      <c r="G644" t="n">
        <v>0</v>
      </c>
    </row>
    <row r="645">
      <c r="A645" t="n">
        <v>644</v>
      </c>
      <c r="B645" t="n">
        <v>1851</v>
      </c>
      <c r="C645" t="n">
        <v>33</v>
      </c>
      <c r="D645" t="inlineStr">
        <is>
          <t>A34</t>
        </is>
      </c>
      <c r="E645" t="inlineStr">
        <is>
          <t>A74</t>
        </is>
      </c>
      <c r="F645" t="inlineStr">
        <is>
          <t>Good</t>
        </is>
      </c>
      <c r="G645" t="n">
        <v>1</v>
      </c>
    </row>
    <row r="646">
      <c r="A646" t="n">
        <v>645</v>
      </c>
      <c r="B646" t="n">
        <v>1880</v>
      </c>
      <c r="C646" t="n">
        <v>32</v>
      </c>
      <c r="D646" t="inlineStr">
        <is>
          <t>A34</t>
        </is>
      </c>
      <c r="E646" t="inlineStr">
        <is>
          <t>A74</t>
        </is>
      </c>
      <c r="F646" t="inlineStr">
        <is>
          <t>Good</t>
        </is>
      </c>
      <c r="G646" t="n">
        <v>1</v>
      </c>
    </row>
    <row r="647">
      <c r="A647" t="n">
        <v>646</v>
      </c>
      <c r="B647" t="n">
        <v>7980</v>
      </c>
      <c r="C647" t="n">
        <v>27</v>
      </c>
      <c r="D647" t="inlineStr">
        <is>
          <t>A33</t>
        </is>
      </c>
      <c r="E647" t="inlineStr">
        <is>
          <t>A72</t>
        </is>
      </c>
      <c r="F647" t="inlineStr">
        <is>
          <t>Bad</t>
        </is>
      </c>
      <c r="G647" t="n">
        <v>0</v>
      </c>
    </row>
    <row r="648">
      <c r="A648" t="n">
        <v>647</v>
      </c>
      <c r="B648" t="n">
        <v>4583</v>
      </c>
      <c r="C648" t="n">
        <v>32</v>
      </c>
      <c r="D648" t="inlineStr">
        <is>
          <t>A30</t>
        </is>
      </c>
      <c r="E648" t="inlineStr">
        <is>
          <t>A73</t>
        </is>
      </c>
      <c r="F648" t="inlineStr">
        <is>
          <t>Good</t>
        </is>
      </c>
      <c r="G648" t="n">
        <v>1</v>
      </c>
    </row>
    <row r="649">
      <c r="A649" t="n">
        <v>648</v>
      </c>
      <c r="B649" t="n">
        <v>1386</v>
      </c>
      <c r="C649" t="n">
        <v>26</v>
      </c>
      <c r="D649" t="inlineStr">
        <is>
          <t>A32</t>
        </is>
      </c>
      <c r="E649" t="inlineStr">
        <is>
          <t>A73</t>
        </is>
      </c>
      <c r="F649" t="inlineStr">
        <is>
          <t>Bad</t>
        </is>
      </c>
      <c r="G649" t="n">
        <v>0</v>
      </c>
    </row>
    <row r="650">
      <c r="A650" t="n">
        <v>649</v>
      </c>
      <c r="B650" t="n">
        <v>947</v>
      </c>
      <c r="C650" t="n">
        <v>38</v>
      </c>
      <c r="D650" t="inlineStr">
        <is>
          <t>A32</t>
        </is>
      </c>
      <c r="E650" t="inlineStr">
        <is>
          <t>A74</t>
        </is>
      </c>
      <c r="F650" t="inlineStr">
        <is>
          <t>Bad</t>
        </is>
      </c>
      <c r="G650" t="n">
        <v>0</v>
      </c>
    </row>
    <row r="651">
      <c r="A651" t="n">
        <v>650</v>
      </c>
      <c r="B651" t="n">
        <v>684</v>
      </c>
      <c r="C651" t="n">
        <v>40</v>
      </c>
      <c r="D651" t="inlineStr">
        <is>
          <t>A32</t>
        </is>
      </c>
      <c r="E651" t="inlineStr">
        <is>
          <t>A73</t>
        </is>
      </c>
      <c r="F651" t="inlineStr">
        <is>
          <t>Bad</t>
        </is>
      </c>
      <c r="G651" t="n">
        <v>0</v>
      </c>
    </row>
    <row r="652">
      <c r="A652" t="n">
        <v>651</v>
      </c>
      <c r="B652" t="n">
        <v>7476</v>
      </c>
      <c r="C652" t="n">
        <v>50</v>
      </c>
      <c r="D652" t="inlineStr">
        <is>
          <t>A32</t>
        </is>
      </c>
      <c r="E652" t="inlineStr">
        <is>
          <t>A74</t>
        </is>
      </c>
      <c r="F652" t="inlineStr">
        <is>
          <t>Good</t>
        </is>
      </c>
      <c r="G652" t="n">
        <v>1</v>
      </c>
    </row>
    <row r="653">
      <c r="A653" t="n">
        <v>652</v>
      </c>
      <c r="B653" t="n">
        <v>1922</v>
      </c>
      <c r="C653" t="n">
        <v>37</v>
      </c>
      <c r="D653" t="inlineStr">
        <is>
          <t>A32</t>
        </is>
      </c>
      <c r="E653" t="inlineStr">
        <is>
          <t>A73</t>
        </is>
      </c>
      <c r="F653" t="inlineStr">
        <is>
          <t>Bad</t>
        </is>
      </c>
      <c r="G653" t="n">
        <v>0</v>
      </c>
    </row>
    <row r="654">
      <c r="A654" t="n">
        <v>653</v>
      </c>
      <c r="B654" t="n">
        <v>2303</v>
      </c>
      <c r="C654" t="n">
        <v>45</v>
      </c>
      <c r="D654" t="inlineStr">
        <is>
          <t>A32</t>
        </is>
      </c>
      <c r="E654" t="inlineStr">
        <is>
          <t>A75</t>
        </is>
      </c>
      <c r="F654" t="inlineStr">
        <is>
          <t>Bad</t>
        </is>
      </c>
      <c r="G654" t="n">
        <v>0</v>
      </c>
    </row>
    <row r="655">
      <c r="A655" t="n">
        <v>654</v>
      </c>
      <c r="B655" t="n">
        <v>8086</v>
      </c>
      <c r="C655" t="n">
        <v>42</v>
      </c>
      <c r="D655" t="inlineStr">
        <is>
          <t>A33</t>
        </is>
      </c>
      <c r="E655" t="inlineStr">
        <is>
          <t>A75</t>
        </is>
      </c>
      <c r="F655" t="inlineStr">
        <is>
          <t>Bad</t>
        </is>
      </c>
      <c r="G655" t="n">
        <v>0</v>
      </c>
    </row>
    <row r="656">
      <c r="A656" t="n">
        <v>655</v>
      </c>
      <c r="B656" t="n">
        <v>2346</v>
      </c>
      <c r="C656" t="n">
        <v>35</v>
      </c>
      <c r="D656" t="inlineStr">
        <is>
          <t>A34</t>
        </is>
      </c>
      <c r="E656" t="inlineStr">
        <is>
          <t>A74</t>
        </is>
      </c>
      <c r="F656" t="inlineStr">
        <is>
          <t>Good</t>
        </is>
      </c>
      <c r="G656" t="n">
        <v>1</v>
      </c>
    </row>
    <row r="657">
      <c r="A657" t="n">
        <v>656</v>
      </c>
      <c r="B657" t="n">
        <v>3973</v>
      </c>
      <c r="C657" t="n">
        <v>22</v>
      </c>
      <c r="D657" t="inlineStr">
        <is>
          <t>A32</t>
        </is>
      </c>
      <c r="E657" t="inlineStr">
        <is>
          <t>A71</t>
        </is>
      </c>
      <c r="F657" t="inlineStr">
        <is>
          <t>Good</t>
        </is>
      </c>
      <c r="G657" t="n">
        <v>1</v>
      </c>
    </row>
    <row r="658">
      <c r="A658" t="n">
        <v>657</v>
      </c>
      <c r="B658" t="n">
        <v>888</v>
      </c>
      <c r="C658" t="n">
        <v>41</v>
      </c>
      <c r="D658" t="inlineStr">
        <is>
          <t>A32</t>
        </is>
      </c>
      <c r="E658" t="inlineStr">
        <is>
          <t>A75</t>
        </is>
      </c>
      <c r="F658" t="inlineStr">
        <is>
          <t>Bad</t>
        </is>
      </c>
      <c r="G658" t="n">
        <v>0</v>
      </c>
    </row>
    <row r="659">
      <c r="A659" t="n">
        <v>658</v>
      </c>
      <c r="B659" t="n">
        <v>10222</v>
      </c>
      <c r="C659" t="n">
        <v>37</v>
      </c>
      <c r="D659" t="inlineStr">
        <is>
          <t>A32</t>
        </is>
      </c>
      <c r="E659" t="inlineStr">
        <is>
          <t>A74</t>
        </is>
      </c>
      <c r="F659" t="inlineStr">
        <is>
          <t>Good</t>
        </is>
      </c>
      <c r="G659" t="n">
        <v>1</v>
      </c>
    </row>
    <row r="660">
      <c r="A660" t="n">
        <v>659</v>
      </c>
      <c r="B660" t="n">
        <v>4221</v>
      </c>
      <c r="C660" t="n">
        <v>28</v>
      </c>
      <c r="D660" t="inlineStr">
        <is>
          <t>A30</t>
        </is>
      </c>
      <c r="E660" t="inlineStr">
        <is>
          <t>A73</t>
        </is>
      </c>
      <c r="F660" t="inlineStr">
        <is>
          <t>Good</t>
        </is>
      </c>
      <c r="G660" t="n">
        <v>1</v>
      </c>
    </row>
    <row r="661">
      <c r="A661" t="n">
        <v>660</v>
      </c>
      <c r="B661" t="n">
        <v>6361</v>
      </c>
      <c r="C661" t="n">
        <v>41</v>
      </c>
      <c r="D661" t="inlineStr">
        <is>
          <t>A34</t>
        </is>
      </c>
      <c r="E661" t="inlineStr">
        <is>
          <t>A75</t>
        </is>
      </c>
      <c r="F661" t="inlineStr">
        <is>
          <t>Good</t>
        </is>
      </c>
      <c r="G661" t="n">
        <v>1</v>
      </c>
    </row>
    <row r="662">
      <c r="A662" t="n">
        <v>661</v>
      </c>
      <c r="B662" t="n">
        <v>1297</v>
      </c>
      <c r="C662" t="n">
        <v>23</v>
      </c>
      <c r="D662" t="inlineStr">
        <is>
          <t>A32</t>
        </is>
      </c>
      <c r="E662" t="inlineStr">
        <is>
          <t>A73</t>
        </is>
      </c>
      <c r="F662" t="inlineStr">
        <is>
          <t>Good</t>
        </is>
      </c>
      <c r="G662" t="n">
        <v>1</v>
      </c>
    </row>
    <row r="663">
      <c r="A663" t="n">
        <v>662</v>
      </c>
      <c r="B663" t="n">
        <v>900</v>
      </c>
      <c r="C663" t="n">
        <v>23</v>
      </c>
      <c r="D663" t="inlineStr">
        <is>
          <t>A32</t>
        </is>
      </c>
      <c r="E663" t="inlineStr">
        <is>
          <t>A73</t>
        </is>
      </c>
      <c r="F663" t="inlineStr">
        <is>
          <t>Bad</t>
        </is>
      </c>
      <c r="G663" t="n">
        <v>0</v>
      </c>
    </row>
    <row r="664">
      <c r="A664" t="n">
        <v>663</v>
      </c>
      <c r="B664" t="n">
        <v>2241</v>
      </c>
      <c r="C664" t="n">
        <v>50</v>
      </c>
      <c r="D664" t="inlineStr">
        <is>
          <t>A32</t>
        </is>
      </c>
      <c r="E664" t="inlineStr">
        <is>
          <t>A75</t>
        </is>
      </c>
      <c r="F664" t="inlineStr">
        <is>
          <t>Good</t>
        </is>
      </c>
      <c r="G664" t="n">
        <v>1</v>
      </c>
    </row>
    <row r="665">
      <c r="A665" t="n">
        <v>664</v>
      </c>
      <c r="B665" t="n">
        <v>1050</v>
      </c>
      <c r="C665" t="n">
        <v>35</v>
      </c>
      <c r="D665" t="inlineStr">
        <is>
          <t>A33</t>
        </is>
      </c>
      <c r="E665" t="inlineStr">
        <is>
          <t>A71</t>
        </is>
      </c>
      <c r="F665" t="inlineStr">
        <is>
          <t>Good</t>
        </is>
      </c>
      <c r="G665" t="n">
        <v>1</v>
      </c>
    </row>
    <row r="666">
      <c r="A666" t="n">
        <v>665</v>
      </c>
      <c r="B666" t="n">
        <v>1047</v>
      </c>
      <c r="C666" t="n">
        <v>50</v>
      </c>
      <c r="D666" t="inlineStr">
        <is>
          <t>A34</t>
        </is>
      </c>
      <c r="E666" t="inlineStr">
        <is>
          <t>A73</t>
        </is>
      </c>
      <c r="F666" t="inlineStr">
        <is>
          <t>Good</t>
        </is>
      </c>
      <c r="G666" t="n">
        <v>1</v>
      </c>
    </row>
    <row r="667">
      <c r="A667" t="n">
        <v>666</v>
      </c>
      <c r="B667" t="n">
        <v>6314</v>
      </c>
      <c r="C667" t="n">
        <v>27</v>
      </c>
      <c r="D667" t="inlineStr">
        <is>
          <t>A34</t>
        </is>
      </c>
      <c r="E667" t="inlineStr">
        <is>
          <t>A71</t>
        </is>
      </c>
      <c r="F667" t="inlineStr">
        <is>
          <t>Good</t>
        </is>
      </c>
      <c r="G667" t="n">
        <v>1</v>
      </c>
    </row>
    <row r="668">
      <c r="A668" t="n">
        <v>667</v>
      </c>
      <c r="B668" t="n">
        <v>3496</v>
      </c>
      <c r="C668" t="n">
        <v>34</v>
      </c>
      <c r="D668" t="inlineStr">
        <is>
          <t>A31</t>
        </is>
      </c>
      <c r="E668" t="inlineStr">
        <is>
          <t>A73</t>
        </is>
      </c>
      <c r="F668" t="inlineStr">
        <is>
          <t>Good</t>
        </is>
      </c>
      <c r="G668" t="n">
        <v>1</v>
      </c>
    </row>
    <row r="669">
      <c r="A669" t="n">
        <v>668</v>
      </c>
      <c r="B669" t="n">
        <v>3609</v>
      </c>
      <c r="C669" t="n">
        <v>27</v>
      </c>
      <c r="D669" t="inlineStr">
        <is>
          <t>A31</t>
        </is>
      </c>
      <c r="E669" t="inlineStr">
        <is>
          <t>A73</t>
        </is>
      </c>
      <c r="F669" t="inlineStr">
        <is>
          <t>Good</t>
        </is>
      </c>
      <c r="G669" t="n">
        <v>1</v>
      </c>
    </row>
    <row r="670">
      <c r="A670" t="n">
        <v>669</v>
      </c>
      <c r="B670" t="n">
        <v>4843</v>
      </c>
      <c r="C670" t="n">
        <v>43</v>
      </c>
      <c r="D670" t="inlineStr">
        <is>
          <t>A34</t>
        </is>
      </c>
      <c r="E670" t="inlineStr">
        <is>
          <t>A75</t>
        </is>
      </c>
      <c r="F670" t="inlineStr">
        <is>
          <t>Bad</t>
        </is>
      </c>
      <c r="G670" t="n">
        <v>0</v>
      </c>
    </row>
    <row r="671">
      <c r="A671" t="n">
        <v>670</v>
      </c>
      <c r="B671" t="n">
        <v>3017</v>
      </c>
      <c r="C671" t="n">
        <v>47</v>
      </c>
      <c r="D671" t="inlineStr">
        <is>
          <t>A34</t>
        </is>
      </c>
      <c r="E671" t="inlineStr">
        <is>
          <t>A75</t>
        </is>
      </c>
      <c r="F671" t="inlineStr">
        <is>
          <t>Good</t>
        </is>
      </c>
      <c r="G671" t="n">
        <v>1</v>
      </c>
    </row>
    <row r="672">
      <c r="A672" t="n">
        <v>671</v>
      </c>
      <c r="B672" t="n">
        <v>4139</v>
      </c>
      <c r="C672" t="n">
        <v>27</v>
      </c>
      <c r="D672" t="inlineStr">
        <is>
          <t>A34</t>
        </is>
      </c>
      <c r="E672" t="inlineStr">
        <is>
          <t>A73</t>
        </is>
      </c>
      <c r="F672" t="inlineStr">
        <is>
          <t>Good</t>
        </is>
      </c>
      <c r="G672" t="n">
        <v>1</v>
      </c>
    </row>
    <row r="673">
      <c r="A673" t="n">
        <v>672</v>
      </c>
      <c r="B673" t="n">
        <v>5742</v>
      </c>
      <c r="C673" t="n">
        <v>31</v>
      </c>
      <c r="D673" t="inlineStr">
        <is>
          <t>A32</t>
        </is>
      </c>
      <c r="E673" t="inlineStr">
        <is>
          <t>A74</t>
        </is>
      </c>
      <c r="F673" t="inlineStr">
        <is>
          <t>Good</t>
        </is>
      </c>
      <c r="G673" t="n">
        <v>1</v>
      </c>
    </row>
    <row r="674">
      <c r="A674" t="n">
        <v>673</v>
      </c>
      <c r="B674" t="n">
        <v>10366</v>
      </c>
      <c r="C674" t="n">
        <v>42</v>
      </c>
      <c r="D674" t="inlineStr">
        <is>
          <t>A32</t>
        </is>
      </c>
      <c r="E674" t="inlineStr">
        <is>
          <t>A75</t>
        </is>
      </c>
      <c r="F674" t="inlineStr">
        <is>
          <t>Good</t>
        </is>
      </c>
      <c r="G674" t="n">
        <v>1</v>
      </c>
    </row>
    <row r="675">
      <c r="A675" t="n">
        <v>674</v>
      </c>
      <c r="B675" t="n">
        <v>2080</v>
      </c>
      <c r="C675" t="n">
        <v>24</v>
      </c>
      <c r="D675" t="inlineStr">
        <is>
          <t>A34</t>
        </is>
      </c>
      <c r="E675" t="inlineStr">
        <is>
          <t>A73</t>
        </is>
      </c>
      <c r="F675" t="inlineStr">
        <is>
          <t>Good</t>
        </is>
      </c>
      <c r="G675" t="n">
        <v>1</v>
      </c>
    </row>
    <row r="676">
      <c r="A676" t="n">
        <v>675</v>
      </c>
      <c r="B676" t="n">
        <v>2580</v>
      </c>
      <c r="C676" t="n">
        <v>41</v>
      </c>
      <c r="D676" t="inlineStr">
        <is>
          <t>A33</t>
        </is>
      </c>
      <c r="E676" t="inlineStr">
        <is>
          <t>A72</t>
        </is>
      </c>
      <c r="F676" t="inlineStr">
        <is>
          <t>Bad</t>
        </is>
      </c>
      <c r="G676" t="n">
        <v>0</v>
      </c>
    </row>
    <row r="677">
      <c r="A677" t="n">
        <v>676</v>
      </c>
      <c r="B677" t="n">
        <v>4530</v>
      </c>
      <c r="C677" t="n">
        <v>26</v>
      </c>
      <c r="D677" t="inlineStr">
        <is>
          <t>A34</t>
        </is>
      </c>
      <c r="E677" t="inlineStr">
        <is>
          <t>A74</t>
        </is>
      </c>
      <c r="F677" t="inlineStr">
        <is>
          <t>Good</t>
        </is>
      </c>
      <c r="G677" t="n">
        <v>1</v>
      </c>
    </row>
    <row r="678">
      <c r="A678" t="n">
        <v>677</v>
      </c>
      <c r="B678" t="n">
        <v>5150</v>
      </c>
      <c r="C678" t="n">
        <v>33</v>
      </c>
      <c r="D678" t="inlineStr">
        <is>
          <t>A34</t>
        </is>
      </c>
      <c r="E678" t="inlineStr">
        <is>
          <t>A75</t>
        </is>
      </c>
      <c r="F678" t="inlineStr">
        <is>
          <t>Good</t>
        </is>
      </c>
      <c r="G678" t="n">
        <v>1</v>
      </c>
    </row>
    <row r="679">
      <c r="A679" t="n">
        <v>678</v>
      </c>
      <c r="B679" t="n">
        <v>5595</v>
      </c>
      <c r="C679" t="n">
        <v>24</v>
      </c>
      <c r="D679" t="inlineStr">
        <is>
          <t>A32</t>
        </is>
      </c>
      <c r="E679" t="inlineStr">
        <is>
          <t>A73</t>
        </is>
      </c>
      <c r="F679" t="inlineStr">
        <is>
          <t>Bad</t>
        </is>
      </c>
      <c r="G679" t="n">
        <v>0</v>
      </c>
    </row>
    <row r="680">
      <c r="A680" t="n">
        <v>679</v>
      </c>
      <c r="B680" t="n">
        <v>2384</v>
      </c>
      <c r="C680" t="n">
        <v>64</v>
      </c>
      <c r="D680" t="inlineStr">
        <is>
          <t>A32</t>
        </is>
      </c>
      <c r="E680" t="inlineStr">
        <is>
          <t>A75</t>
        </is>
      </c>
      <c r="F680" t="inlineStr">
        <is>
          <t>Good</t>
        </is>
      </c>
      <c r="G680" t="n">
        <v>1</v>
      </c>
    </row>
    <row r="681">
      <c r="A681" t="n">
        <v>680</v>
      </c>
      <c r="B681" t="n">
        <v>1453</v>
      </c>
      <c r="C681" t="n">
        <v>26</v>
      </c>
      <c r="D681" t="inlineStr">
        <is>
          <t>A32</t>
        </is>
      </c>
      <c r="E681" t="inlineStr">
        <is>
          <t>A72</t>
        </is>
      </c>
      <c r="F681" t="inlineStr">
        <is>
          <t>Good</t>
        </is>
      </c>
      <c r="G681" t="n">
        <v>1</v>
      </c>
    </row>
    <row r="682">
      <c r="A682" t="n">
        <v>681</v>
      </c>
      <c r="B682" t="n">
        <v>1538</v>
      </c>
      <c r="C682" t="n">
        <v>56</v>
      </c>
      <c r="D682" t="inlineStr">
        <is>
          <t>A32</t>
        </is>
      </c>
      <c r="E682" t="inlineStr">
        <is>
          <t>A72</t>
        </is>
      </c>
      <c r="F682" t="inlineStr">
        <is>
          <t>Good</t>
        </is>
      </c>
      <c r="G682" t="n">
        <v>1</v>
      </c>
    </row>
    <row r="683">
      <c r="A683" t="n">
        <v>682</v>
      </c>
      <c r="B683" t="n">
        <v>2279</v>
      </c>
      <c r="C683" t="n">
        <v>37</v>
      </c>
      <c r="D683" t="inlineStr">
        <is>
          <t>A32</t>
        </is>
      </c>
      <c r="E683" t="inlineStr">
        <is>
          <t>A73</t>
        </is>
      </c>
      <c r="F683" t="inlineStr">
        <is>
          <t>Good</t>
        </is>
      </c>
      <c r="G683" t="n">
        <v>1</v>
      </c>
    </row>
    <row r="684">
      <c r="A684" t="n">
        <v>683</v>
      </c>
      <c r="B684" t="n">
        <v>1478</v>
      </c>
      <c r="C684" t="n">
        <v>33</v>
      </c>
      <c r="D684" t="inlineStr">
        <is>
          <t>A33</t>
        </is>
      </c>
      <c r="E684" t="inlineStr">
        <is>
          <t>A73</t>
        </is>
      </c>
      <c r="F684" t="inlineStr">
        <is>
          <t>Good</t>
        </is>
      </c>
      <c r="G684" t="n">
        <v>1</v>
      </c>
    </row>
    <row r="685">
      <c r="A685" t="n">
        <v>684</v>
      </c>
      <c r="B685" t="n">
        <v>5103</v>
      </c>
      <c r="C685" t="n">
        <v>47</v>
      </c>
      <c r="D685" t="inlineStr">
        <is>
          <t>A34</t>
        </is>
      </c>
      <c r="E685" t="inlineStr">
        <is>
          <t>A72</t>
        </is>
      </c>
      <c r="F685" t="inlineStr">
        <is>
          <t>Good</t>
        </is>
      </c>
      <c r="G685" t="n">
        <v>1</v>
      </c>
    </row>
    <row r="686">
      <c r="A686" t="n">
        <v>685</v>
      </c>
      <c r="B686" t="n">
        <v>9857</v>
      </c>
      <c r="C686" t="n">
        <v>31</v>
      </c>
      <c r="D686" t="inlineStr">
        <is>
          <t>A33</t>
        </is>
      </c>
      <c r="E686" t="inlineStr">
        <is>
          <t>A74</t>
        </is>
      </c>
      <c r="F686" t="inlineStr">
        <is>
          <t>Good</t>
        </is>
      </c>
      <c r="G686" t="n">
        <v>1</v>
      </c>
    </row>
    <row r="687">
      <c r="A687" t="n">
        <v>686</v>
      </c>
      <c r="B687" t="n">
        <v>6527</v>
      </c>
      <c r="C687" t="n">
        <v>34</v>
      </c>
      <c r="D687" t="inlineStr">
        <is>
          <t>A32</t>
        </is>
      </c>
      <c r="E687" t="inlineStr">
        <is>
          <t>A73</t>
        </is>
      </c>
      <c r="F687" t="inlineStr">
        <is>
          <t>Good</t>
        </is>
      </c>
      <c r="G687" t="n">
        <v>1</v>
      </c>
    </row>
    <row r="688">
      <c r="A688" t="n">
        <v>687</v>
      </c>
      <c r="B688" t="n">
        <v>1347</v>
      </c>
      <c r="C688" t="n">
        <v>27</v>
      </c>
      <c r="D688" t="inlineStr">
        <is>
          <t>A34</t>
        </is>
      </c>
      <c r="E688" t="inlineStr">
        <is>
          <t>A74</t>
        </is>
      </c>
      <c r="F688" t="inlineStr">
        <is>
          <t>Good</t>
        </is>
      </c>
      <c r="G688" t="n">
        <v>1</v>
      </c>
    </row>
    <row r="689">
      <c r="A689" t="n">
        <v>688</v>
      </c>
      <c r="B689" t="n">
        <v>2862</v>
      </c>
      <c r="C689" t="n">
        <v>30</v>
      </c>
      <c r="D689" t="inlineStr">
        <is>
          <t>A33</t>
        </is>
      </c>
      <c r="E689" t="inlineStr">
        <is>
          <t>A75</t>
        </is>
      </c>
      <c r="F689" t="inlineStr">
        <is>
          <t>Good</t>
        </is>
      </c>
      <c r="G689" t="n">
        <v>1</v>
      </c>
    </row>
    <row r="690">
      <c r="A690" t="n">
        <v>689</v>
      </c>
      <c r="B690" t="n">
        <v>2753</v>
      </c>
      <c r="C690" t="n">
        <v>35</v>
      </c>
      <c r="D690" t="inlineStr">
        <is>
          <t>A32</t>
        </is>
      </c>
      <c r="E690" t="inlineStr">
        <is>
          <t>A75</t>
        </is>
      </c>
      <c r="F690" t="inlineStr">
        <is>
          <t>Good</t>
        </is>
      </c>
      <c r="G690" t="n">
        <v>1</v>
      </c>
    </row>
    <row r="691">
      <c r="A691" t="n">
        <v>690</v>
      </c>
      <c r="B691" t="n">
        <v>3651</v>
      </c>
      <c r="C691" t="n">
        <v>31</v>
      </c>
      <c r="D691" t="inlineStr">
        <is>
          <t>A32</t>
        </is>
      </c>
      <c r="E691" t="inlineStr">
        <is>
          <t>A73</t>
        </is>
      </c>
      <c r="F691" t="inlineStr">
        <is>
          <t>Good</t>
        </is>
      </c>
      <c r="G691" t="n">
        <v>1</v>
      </c>
    </row>
    <row r="692">
      <c r="A692" t="n">
        <v>691</v>
      </c>
      <c r="B692" t="n">
        <v>975</v>
      </c>
      <c r="C692" t="n">
        <v>25</v>
      </c>
      <c r="D692" t="inlineStr">
        <is>
          <t>A34</t>
        </is>
      </c>
      <c r="E692" t="inlineStr">
        <is>
          <t>A73</t>
        </is>
      </c>
      <c r="F692" t="inlineStr">
        <is>
          <t>Good</t>
        </is>
      </c>
      <c r="G692" t="n">
        <v>1</v>
      </c>
    </row>
    <row r="693">
      <c r="A693" t="n">
        <v>692</v>
      </c>
      <c r="B693" t="n">
        <v>2631</v>
      </c>
      <c r="C693" t="n">
        <v>25</v>
      </c>
      <c r="D693" t="inlineStr">
        <is>
          <t>A32</t>
        </is>
      </c>
      <c r="E693" t="inlineStr">
        <is>
          <t>A73</t>
        </is>
      </c>
      <c r="F693" t="inlineStr">
        <is>
          <t>Good</t>
        </is>
      </c>
      <c r="G693" t="n">
        <v>1</v>
      </c>
    </row>
    <row r="694">
      <c r="A694" t="n">
        <v>693</v>
      </c>
      <c r="B694" t="n">
        <v>2896</v>
      </c>
      <c r="C694" t="n">
        <v>29</v>
      </c>
      <c r="D694" t="inlineStr">
        <is>
          <t>A32</t>
        </is>
      </c>
      <c r="E694" t="inlineStr">
        <is>
          <t>A72</t>
        </is>
      </c>
      <c r="F694" t="inlineStr">
        <is>
          <t>Good</t>
        </is>
      </c>
      <c r="G694" t="n">
        <v>1</v>
      </c>
    </row>
    <row r="695">
      <c r="A695" t="n">
        <v>694</v>
      </c>
      <c r="B695" t="n">
        <v>4716</v>
      </c>
      <c r="C695" t="n">
        <v>44</v>
      </c>
      <c r="D695" t="inlineStr">
        <is>
          <t>A34</t>
        </is>
      </c>
      <c r="E695" t="inlineStr">
        <is>
          <t>A72</t>
        </is>
      </c>
      <c r="F695" t="inlineStr">
        <is>
          <t>Good</t>
        </is>
      </c>
      <c r="G695" t="n">
        <v>1</v>
      </c>
    </row>
    <row r="696">
      <c r="A696" t="n">
        <v>695</v>
      </c>
      <c r="B696" t="n">
        <v>2284</v>
      </c>
      <c r="C696" t="n">
        <v>28</v>
      </c>
      <c r="D696" t="inlineStr">
        <is>
          <t>A32</t>
        </is>
      </c>
      <c r="E696" t="inlineStr">
        <is>
          <t>A74</t>
        </is>
      </c>
      <c r="F696" t="inlineStr">
        <is>
          <t>Good</t>
        </is>
      </c>
      <c r="G696" t="n">
        <v>1</v>
      </c>
    </row>
    <row r="697">
      <c r="A697" t="n">
        <v>696</v>
      </c>
      <c r="B697" t="n">
        <v>1236</v>
      </c>
      <c r="C697" t="n">
        <v>50</v>
      </c>
      <c r="D697" t="inlineStr">
        <is>
          <t>A32</t>
        </is>
      </c>
      <c r="E697" t="inlineStr">
        <is>
          <t>A73</t>
        </is>
      </c>
      <c r="F697" t="inlineStr">
        <is>
          <t>Good</t>
        </is>
      </c>
      <c r="G697" t="n">
        <v>1</v>
      </c>
    </row>
    <row r="698">
      <c r="A698" t="n">
        <v>697</v>
      </c>
      <c r="B698" t="n">
        <v>1103</v>
      </c>
      <c r="C698" t="n">
        <v>29</v>
      </c>
      <c r="D698" t="inlineStr">
        <is>
          <t>A32</t>
        </is>
      </c>
      <c r="E698" t="inlineStr">
        <is>
          <t>A74</t>
        </is>
      </c>
      <c r="F698" t="inlineStr">
        <is>
          <t>Good</t>
        </is>
      </c>
      <c r="G698" t="n">
        <v>1</v>
      </c>
    </row>
    <row r="699">
      <c r="A699" t="n">
        <v>698</v>
      </c>
      <c r="B699" t="n">
        <v>926</v>
      </c>
      <c r="C699" t="n">
        <v>38</v>
      </c>
      <c r="D699" t="inlineStr">
        <is>
          <t>A34</t>
        </is>
      </c>
      <c r="E699" t="inlineStr">
        <is>
          <t>A71</t>
        </is>
      </c>
      <c r="F699" t="inlineStr">
        <is>
          <t>Good</t>
        </is>
      </c>
      <c r="G699" t="n">
        <v>1</v>
      </c>
    </row>
    <row r="700">
      <c r="A700" t="n">
        <v>699</v>
      </c>
      <c r="B700" t="n">
        <v>1800</v>
      </c>
      <c r="C700" t="n">
        <v>24</v>
      </c>
      <c r="D700" t="inlineStr">
        <is>
          <t>A34</t>
        </is>
      </c>
      <c r="E700" t="inlineStr">
        <is>
          <t>A73</t>
        </is>
      </c>
      <c r="F700" t="inlineStr">
        <is>
          <t>Good</t>
        </is>
      </c>
      <c r="G700" t="n">
        <v>1</v>
      </c>
    </row>
    <row r="701">
      <c r="A701" t="n">
        <v>700</v>
      </c>
      <c r="B701" t="n">
        <v>1905</v>
      </c>
      <c r="C701" t="n">
        <v>40</v>
      </c>
      <c r="D701" t="inlineStr">
        <is>
          <t>A32</t>
        </is>
      </c>
      <c r="E701" t="inlineStr">
        <is>
          <t>A75</t>
        </is>
      </c>
      <c r="F701" t="inlineStr">
        <is>
          <t>Good</t>
        </is>
      </c>
      <c r="G701" t="n">
        <v>1</v>
      </c>
    </row>
    <row r="702">
      <c r="A702" t="n">
        <v>701</v>
      </c>
      <c r="B702" t="n">
        <v>1123</v>
      </c>
      <c r="C702" t="n">
        <v>29</v>
      </c>
      <c r="D702" t="inlineStr">
        <is>
          <t>A32</t>
        </is>
      </c>
      <c r="E702" t="inlineStr">
        <is>
          <t>A73</t>
        </is>
      </c>
      <c r="F702" t="inlineStr">
        <is>
          <t>Bad</t>
        </is>
      </c>
      <c r="G702" t="n">
        <v>0</v>
      </c>
    </row>
    <row r="703">
      <c r="A703" t="n">
        <v>702</v>
      </c>
      <c r="B703" t="n">
        <v>6331</v>
      </c>
      <c r="C703" t="n">
        <v>46</v>
      </c>
      <c r="D703" t="inlineStr">
        <is>
          <t>A34</t>
        </is>
      </c>
      <c r="E703" t="inlineStr">
        <is>
          <t>A75</t>
        </is>
      </c>
      <c r="F703" t="inlineStr">
        <is>
          <t>Bad</t>
        </is>
      </c>
      <c r="G703" t="n">
        <v>0</v>
      </c>
    </row>
    <row r="704">
      <c r="A704" t="n">
        <v>703</v>
      </c>
      <c r="B704" t="n">
        <v>1377</v>
      </c>
      <c r="C704" t="n">
        <v>47</v>
      </c>
      <c r="D704" t="inlineStr">
        <is>
          <t>A32</t>
        </is>
      </c>
      <c r="E704" t="inlineStr">
        <is>
          <t>A75</t>
        </is>
      </c>
      <c r="F704" t="inlineStr">
        <is>
          <t>Good</t>
        </is>
      </c>
      <c r="G704" t="n">
        <v>1</v>
      </c>
    </row>
    <row r="705">
      <c r="A705" t="n">
        <v>704</v>
      </c>
      <c r="B705" t="n">
        <v>2503</v>
      </c>
      <c r="C705" t="n">
        <v>41</v>
      </c>
      <c r="D705" t="inlineStr">
        <is>
          <t>A33</t>
        </is>
      </c>
      <c r="E705" t="inlineStr">
        <is>
          <t>A75</t>
        </is>
      </c>
      <c r="F705" t="inlineStr">
        <is>
          <t>Good</t>
        </is>
      </c>
      <c r="G705" t="n">
        <v>1</v>
      </c>
    </row>
    <row r="706">
      <c r="A706" t="n">
        <v>705</v>
      </c>
      <c r="B706" t="n">
        <v>2528</v>
      </c>
      <c r="C706" t="n">
        <v>32</v>
      </c>
      <c r="D706" t="inlineStr">
        <is>
          <t>A32</t>
        </is>
      </c>
      <c r="E706" t="inlineStr">
        <is>
          <t>A72</t>
        </is>
      </c>
      <c r="F706" t="inlineStr">
        <is>
          <t>Good</t>
        </is>
      </c>
      <c r="G706" t="n">
        <v>1</v>
      </c>
    </row>
    <row r="707">
      <c r="A707" t="n">
        <v>706</v>
      </c>
      <c r="B707" t="n">
        <v>5324</v>
      </c>
      <c r="C707" t="n">
        <v>35</v>
      </c>
      <c r="D707" t="inlineStr">
        <is>
          <t>A32</t>
        </is>
      </c>
      <c r="E707" t="inlineStr">
        <is>
          <t>A75</t>
        </is>
      </c>
      <c r="F707" t="inlineStr">
        <is>
          <t>Good</t>
        </is>
      </c>
      <c r="G707" t="n">
        <v>1</v>
      </c>
    </row>
    <row r="708">
      <c r="A708" t="n">
        <v>707</v>
      </c>
      <c r="B708" t="n">
        <v>6560</v>
      </c>
      <c r="C708" t="n">
        <v>24</v>
      </c>
      <c r="D708" t="inlineStr">
        <is>
          <t>A32</t>
        </is>
      </c>
      <c r="E708" t="inlineStr">
        <is>
          <t>A74</t>
        </is>
      </c>
      <c r="F708" t="inlineStr">
        <is>
          <t>Bad</t>
        </is>
      </c>
      <c r="G708" t="n">
        <v>0</v>
      </c>
    </row>
    <row r="709">
      <c r="A709" t="n">
        <v>708</v>
      </c>
      <c r="B709" t="n">
        <v>2969</v>
      </c>
      <c r="C709" t="n">
        <v>25</v>
      </c>
      <c r="D709" t="inlineStr">
        <is>
          <t>A30</t>
        </is>
      </c>
      <c r="E709" t="inlineStr">
        <is>
          <t>A72</t>
        </is>
      </c>
      <c r="F709" t="inlineStr">
        <is>
          <t>Bad</t>
        </is>
      </c>
      <c r="G709" t="n">
        <v>0</v>
      </c>
    </row>
    <row r="710">
      <c r="A710" t="n">
        <v>709</v>
      </c>
      <c r="B710" t="n">
        <v>1206</v>
      </c>
      <c r="C710" t="n">
        <v>25</v>
      </c>
      <c r="D710" t="inlineStr">
        <is>
          <t>A32</t>
        </is>
      </c>
      <c r="E710" t="inlineStr">
        <is>
          <t>A75</t>
        </is>
      </c>
      <c r="F710" t="inlineStr">
        <is>
          <t>Good</t>
        </is>
      </c>
      <c r="G710" t="n">
        <v>1</v>
      </c>
    </row>
    <row r="711">
      <c r="A711" t="n">
        <v>710</v>
      </c>
      <c r="B711" t="n">
        <v>2118</v>
      </c>
      <c r="C711" t="n">
        <v>37</v>
      </c>
      <c r="D711" t="inlineStr">
        <is>
          <t>A32</t>
        </is>
      </c>
      <c r="E711" t="inlineStr">
        <is>
          <t>A73</t>
        </is>
      </c>
      <c r="F711" t="inlineStr">
        <is>
          <t>Good</t>
        </is>
      </c>
      <c r="G711" t="n">
        <v>1</v>
      </c>
    </row>
    <row r="712">
      <c r="A712" t="n">
        <v>711</v>
      </c>
      <c r="B712" t="n">
        <v>629</v>
      </c>
      <c r="C712" t="n">
        <v>32</v>
      </c>
      <c r="D712" t="inlineStr">
        <is>
          <t>A34</t>
        </is>
      </c>
      <c r="E712" t="inlineStr">
        <is>
          <t>A75</t>
        </is>
      </c>
      <c r="F712" t="inlineStr">
        <is>
          <t>Good</t>
        </is>
      </c>
      <c r="G712" t="n">
        <v>1</v>
      </c>
    </row>
    <row r="713">
      <c r="A713" t="n">
        <v>712</v>
      </c>
      <c r="B713" t="n">
        <v>1198</v>
      </c>
      <c r="C713" t="n">
        <v>35</v>
      </c>
      <c r="D713" t="inlineStr">
        <is>
          <t>A31</t>
        </is>
      </c>
      <c r="E713" t="inlineStr">
        <is>
          <t>A75</t>
        </is>
      </c>
      <c r="F713" t="inlineStr">
        <is>
          <t>Bad</t>
        </is>
      </c>
      <c r="G713" t="n">
        <v>0</v>
      </c>
    </row>
    <row r="714">
      <c r="A714" t="n">
        <v>713</v>
      </c>
      <c r="B714" t="n">
        <v>2476</v>
      </c>
      <c r="C714" t="n">
        <v>46</v>
      </c>
      <c r="D714" t="inlineStr">
        <is>
          <t>A32</t>
        </is>
      </c>
      <c r="E714" t="inlineStr">
        <is>
          <t>A75</t>
        </is>
      </c>
      <c r="F714" t="inlineStr">
        <is>
          <t>Good</t>
        </is>
      </c>
      <c r="G714" t="n">
        <v>1</v>
      </c>
    </row>
    <row r="715">
      <c r="A715" t="n">
        <v>714</v>
      </c>
      <c r="B715" t="n">
        <v>1138</v>
      </c>
      <c r="C715" t="n">
        <v>25</v>
      </c>
      <c r="D715" t="inlineStr">
        <is>
          <t>A34</t>
        </is>
      </c>
      <c r="E715" t="inlineStr">
        <is>
          <t>A73</t>
        </is>
      </c>
      <c r="F715" t="inlineStr">
        <is>
          <t>Good</t>
        </is>
      </c>
      <c r="G715" t="n">
        <v>1</v>
      </c>
    </row>
    <row r="716">
      <c r="A716" t="n">
        <v>715</v>
      </c>
      <c r="B716" t="n">
        <v>14027</v>
      </c>
      <c r="C716" t="n">
        <v>27</v>
      </c>
      <c r="D716" t="inlineStr">
        <is>
          <t>A32</t>
        </is>
      </c>
      <c r="E716" t="inlineStr">
        <is>
          <t>A74</t>
        </is>
      </c>
      <c r="F716" t="inlineStr">
        <is>
          <t>Bad</t>
        </is>
      </c>
      <c r="G716" t="n">
        <v>0</v>
      </c>
    </row>
    <row r="717">
      <c r="A717" t="n">
        <v>716</v>
      </c>
      <c r="B717" t="n">
        <v>7596</v>
      </c>
      <c r="C717" t="n">
        <v>63</v>
      </c>
      <c r="D717" t="inlineStr">
        <is>
          <t>A34</t>
        </is>
      </c>
      <c r="E717" t="inlineStr">
        <is>
          <t>A75</t>
        </is>
      </c>
      <c r="F717" t="inlineStr">
        <is>
          <t>Good</t>
        </is>
      </c>
      <c r="G717" t="n">
        <v>1</v>
      </c>
    </row>
    <row r="718">
      <c r="A718" t="n">
        <v>717</v>
      </c>
      <c r="B718" t="n">
        <v>3077</v>
      </c>
      <c r="C718" t="n">
        <v>40</v>
      </c>
      <c r="D718" t="inlineStr">
        <is>
          <t>A34</t>
        </is>
      </c>
      <c r="E718" t="inlineStr">
        <is>
          <t>A75</t>
        </is>
      </c>
      <c r="F718" t="inlineStr">
        <is>
          <t>Good</t>
        </is>
      </c>
      <c r="G718" t="n">
        <v>1</v>
      </c>
    </row>
    <row r="719">
      <c r="A719" t="n">
        <v>718</v>
      </c>
      <c r="B719" t="n">
        <v>1505</v>
      </c>
      <c r="C719" t="n">
        <v>32</v>
      </c>
      <c r="D719" t="inlineStr">
        <is>
          <t>A32</t>
        </is>
      </c>
      <c r="E719" t="inlineStr">
        <is>
          <t>A73</t>
        </is>
      </c>
      <c r="F719" t="inlineStr">
        <is>
          <t>Good</t>
        </is>
      </c>
      <c r="G719" t="n">
        <v>1</v>
      </c>
    </row>
    <row r="720">
      <c r="A720" t="n">
        <v>719</v>
      </c>
      <c r="B720" t="n">
        <v>3148</v>
      </c>
      <c r="C720" t="n">
        <v>31</v>
      </c>
      <c r="D720" t="inlineStr">
        <is>
          <t>A34</t>
        </is>
      </c>
      <c r="E720" t="inlineStr">
        <is>
          <t>A73</t>
        </is>
      </c>
      <c r="F720" t="inlineStr">
        <is>
          <t>Good</t>
        </is>
      </c>
      <c r="G720" t="n">
        <v>1</v>
      </c>
    </row>
    <row r="721">
      <c r="A721" t="n">
        <v>720</v>
      </c>
      <c r="B721" t="n">
        <v>6148</v>
      </c>
      <c r="C721" t="n">
        <v>31</v>
      </c>
      <c r="D721" t="inlineStr">
        <is>
          <t>A30</t>
        </is>
      </c>
      <c r="E721" t="inlineStr">
        <is>
          <t>A75</t>
        </is>
      </c>
      <c r="F721" t="inlineStr">
        <is>
          <t>Good</t>
        </is>
      </c>
      <c r="G721" t="n">
        <v>1</v>
      </c>
    </row>
    <row r="722">
      <c r="A722" t="n">
        <v>721</v>
      </c>
      <c r="B722" t="n">
        <v>1337</v>
      </c>
      <c r="C722" t="n">
        <v>34</v>
      </c>
      <c r="D722" t="inlineStr">
        <is>
          <t>A30</t>
        </is>
      </c>
      <c r="E722" t="inlineStr">
        <is>
          <t>A72</t>
        </is>
      </c>
      <c r="F722" t="inlineStr">
        <is>
          <t>Bad</t>
        </is>
      </c>
      <c r="G722" t="n">
        <v>0</v>
      </c>
    </row>
    <row r="723">
      <c r="A723" t="n">
        <v>722</v>
      </c>
      <c r="B723" t="n">
        <v>433</v>
      </c>
      <c r="C723" t="n">
        <v>24</v>
      </c>
      <c r="D723" t="inlineStr">
        <is>
          <t>A31</t>
        </is>
      </c>
      <c r="E723" t="inlineStr">
        <is>
          <t>A72</t>
        </is>
      </c>
      <c r="F723" t="inlineStr">
        <is>
          <t>Bad</t>
        </is>
      </c>
      <c r="G723" t="n">
        <v>0</v>
      </c>
    </row>
    <row r="724">
      <c r="A724" t="n">
        <v>723</v>
      </c>
      <c r="B724" t="n">
        <v>1228</v>
      </c>
      <c r="C724" t="n">
        <v>24</v>
      </c>
      <c r="D724" t="inlineStr">
        <is>
          <t>A32</t>
        </is>
      </c>
      <c r="E724" t="inlineStr">
        <is>
          <t>A73</t>
        </is>
      </c>
      <c r="F724" t="inlineStr">
        <is>
          <t>Bad</t>
        </is>
      </c>
      <c r="G724" t="n">
        <v>0</v>
      </c>
    </row>
    <row r="725">
      <c r="A725" t="n">
        <v>724</v>
      </c>
      <c r="B725" t="n">
        <v>790</v>
      </c>
      <c r="C725" t="n">
        <v>66</v>
      </c>
      <c r="D725" t="inlineStr">
        <is>
          <t>A32</t>
        </is>
      </c>
      <c r="E725" t="inlineStr">
        <is>
          <t>A73</t>
        </is>
      </c>
      <c r="F725" t="inlineStr">
        <is>
          <t>Good</t>
        </is>
      </c>
      <c r="G725" t="n">
        <v>1</v>
      </c>
    </row>
    <row r="726">
      <c r="A726" t="n">
        <v>725</v>
      </c>
      <c r="B726" t="n">
        <v>2570</v>
      </c>
      <c r="C726" t="n">
        <v>21</v>
      </c>
      <c r="D726" t="inlineStr">
        <is>
          <t>A32</t>
        </is>
      </c>
      <c r="E726" t="inlineStr">
        <is>
          <t>A73</t>
        </is>
      </c>
      <c r="F726" t="inlineStr">
        <is>
          <t>Bad</t>
        </is>
      </c>
      <c r="G726" t="n">
        <v>0</v>
      </c>
    </row>
    <row r="727">
      <c r="A727" t="n">
        <v>726</v>
      </c>
      <c r="B727" t="n">
        <v>250</v>
      </c>
      <c r="C727" t="n">
        <v>41</v>
      </c>
      <c r="D727" t="inlineStr">
        <is>
          <t>A34</t>
        </is>
      </c>
      <c r="E727" t="inlineStr">
        <is>
          <t>A73</t>
        </is>
      </c>
      <c r="F727" t="inlineStr">
        <is>
          <t>Good</t>
        </is>
      </c>
      <c r="G727" t="n">
        <v>1</v>
      </c>
    </row>
    <row r="728">
      <c r="A728" t="n">
        <v>727</v>
      </c>
      <c r="B728" t="n">
        <v>1316</v>
      </c>
      <c r="C728" t="n">
        <v>47</v>
      </c>
      <c r="D728" t="inlineStr">
        <is>
          <t>A34</t>
        </is>
      </c>
      <c r="E728" t="inlineStr">
        <is>
          <t>A73</t>
        </is>
      </c>
      <c r="F728" t="inlineStr">
        <is>
          <t>Good</t>
        </is>
      </c>
      <c r="G728" t="n">
        <v>1</v>
      </c>
    </row>
    <row r="729">
      <c r="A729" t="n">
        <v>728</v>
      </c>
      <c r="B729" t="n">
        <v>1882</v>
      </c>
      <c r="C729" t="n">
        <v>25</v>
      </c>
      <c r="D729" t="inlineStr">
        <is>
          <t>A32</t>
        </is>
      </c>
      <c r="E729" t="inlineStr">
        <is>
          <t>A73</t>
        </is>
      </c>
      <c r="F729" t="inlineStr">
        <is>
          <t>Bad</t>
        </is>
      </c>
      <c r="G729" t="n">
        <v>0</v>
      </c>
    </row>
    <row r="730">
      <c r="A730" t="n">
        <v>729</v>
      </c>
      <c r="B730" t="n">
        <v>6416</v>
      </c>
      <c r="C730" t="n">
        <v>59</v>
      </c>
      <c r="D730" t="inlineStr">
        <is>
          <t>A31</t>
        </is>
      </c>
      <c r="E730" t="inlineStr">
        <is>
          <t>A75</t>
        </is>
      </c>
      <c r="F730" t="inlineStr">
        <is>
          <t>Bad</t>
        </is>
      </c>
      <c r="G730" t="n">
        <v>0</v>
      </c>
    </row>
    <row r="731">
      <c r="A731" t="n">
        <v>730</v>
      </c>
      <c r="B731" t="n">
        <v>1275</v>
      </c>
      <c r="C731" t="n">
        <v>36</v>
      </c>
      <c r="D731" t="inlineStr">
        <is>
          <t>A34</t>
        </is>
      </c>
      <c r="E731" t="inlineStr">
        <is>
          <t>A73</t>
        </is>
      </c>
      <c r="F731" t="inlineStr">
        <is>
          <t>Good</t>
        </is>
      </c>
      <c r="G731" t="n">
        <v>1</v>
      </c>
    </row>
    <row r="732">
      <c r="A732" t="n">
        <v>731</v>
      </c>
      <c r="B732" t="n">
        <v>6403</v>
      </c>
      <c r="C732" t="n">
        <v>33</v>
      </c>
      <c r="D732" t="inlineStr">
        <is>
          <t>A33</t>
        </is>
      </c>
      <c r="E732" t="inlineStr">
        <is>
          <t>A72</t>
        </is>
      </c>
      <c r="F732" t="inlineStr">
        <is>
          <t>Good</t>
        </is>
      </c>
      <c r="G732" t="n">
        <v>1</v>
      </c>
    </row>
    <row r="733">
      <c r="A733" t="n">
        <v>732</v>
      </c>
      <c r="B733" t="n">
        <v>1987</v>
      </c>
      <c r="C733" t="n">
        <v>21</v>
      </c>
      <c r="D733" t="inlineStr">
        <is>
          <t>A32</t>
        </is>
      </c>
      <c r="E733" t="inlineStr">
        <is>
          <t>A73</t>
        </is>
      </c>
      <c r="F733" t="inlineStr">
        <is>
          <t>Bad</t>
        </is>
      </c>
      <c r="G733" t="n">
        <v>0</v>
      </c>
    </row>
    <row r="734">
      <c r="A734" t="n">
        <v>733</v>
      </c>
      <c r="B734" t="n">
        <v>760</v>
      </c>
      <c r="C734" t="n">
        <v>44</v>
      </c>
      <c r="D734" t="inlineStr">
        <is>
          <t>A32</t>
        </is>
      </c>
      <c r="E734" t="inlineStr">
        <is>
          <t>A74</t>
        </is>
      </c>
      <c r="F734" t="inlineStr">
        <is>
          <t>Good</t>
        </is>
      </c>
      <c r="G734" t="n">
        <v>1</v>
      </c>
    </row>
    <row r="735">
      <c r="A735" t="n">
        <v>734</v>
      </c>
      <c r="B735" t="n">
        <v>2603</v>
      </c>
      <c r="C735" t="n">
        <v>28</v>
      </c>
      <c r="D735" t="inlineStr">
        <is>
          <t>A32</t>
        </is>
      </c>
      <c r="E735" t="inlineStr">
        <is>
          <t>A73</t>
        </is>
      </c>
      <c r="F735" t="inlineStr">
        <is>
          <t>Good</t>
        </is>
      </c>
      <c r="G735" t="n">
        <v>1</v>
      </c>
    </row>
    <row r="736">
      <c r="A736" t="n">
        <v>735</v>
      </c>
      <c r="B736" t="n">
        <v>3380</v>
      </c>
      <c r="C736" t="n">
        <v>37</v>
      </c>
      <c r="D736" t="inlineStr">
        <is>
          <t>A34</t>
        </is>
      </c>
      <c r="E736" t="inlineStr">
        <is>
          <t>A74</t>
        </is>
      </c>
      <c r="F736" t="inlineStr">
        <is>
          <t>Good</t>
        </is>
      </c>
      <c r="G736" t="n">
        <v>1</v>
      </c>
    </row>
    <row r="737">
      <c r="A737" t="n">
        <v>736</v>
      </c>
      <c r="B737" t="n">
        <v>3990</v>
      </c>
      <c r="C737" t="n">
        <v>29</v>
      </c>
      <c r="D737" t="inlineStr">
        <is>
          <t>A31</t>
        </is>
      </c>
      <c r="E737" t="inlineStr">
        <is>
          <t>A72</t>
        </is>
      </c>
      <c r="F737" t="inlineStr">
        <is>
          <t>Good</t>
        </is>
      </c>
      <c r="G737" t="n">
        <v>1</v>
      </c>
    </row>
    <row r="738">
      <c r="A738" t="n">
        <v>737</v>
      </c>
      <c r="B738" t="n">
        <v>11560</v>
      </c>
      <c r="C738" t="n">
        <v>23</v>
      </c>
      <c r="D738" t="inlineStr">
        <is>
          <t>A32</t>
        </is>
      </c>
      <c r="E738" t="inlineStr">
        <is>
          <t>A73</t>
        </is>
      </c>
      <c r="F738" t="inlineStr">
        <is>
          <t>Bad</t>
        </is>
      </c>
      <c r="G738" t="n">
        <v>0</v>
      </c>
    </row>
    <row r="739">
      <c r="A739" t="n">
        <v>738</v>
      </c>
      <c r="B739" t="n">
        <v>4380</v>
      </c>
      <c r="C739" t="n">
        <v>35</v>
      </c>
      <c r="D739" t="inlineStr">
        <is>
          <t>A32</t>
        </is>
      </c>
      <c r="E739" t="inlineStr">
        <is>
          <t>A73</t>
        </is>
      </c>
      <c r="F739" t="inlineStr">
        <is>
          <t>Good</t>
        </is>
      </c>
      <c r="G739" t="n">
        <v>1</v>
      </c>
    </row>
    <row r="740">
      <c r="A740" t="n">
        <v>739</v>
      </c>
      <c r="B740" t="n">
        <v>6761</v>
      </c>
      <c r="C740" t="n">
        <v>45</v>
      </c>
      <c r="D740" t="inlineStr">
        <is>
          <t>A34</t>
        </is>
      </c>
      <c r="E740" t="inlineStr">
        <is>
          <t>A74</t>
        </is>
      </c>
      <c r="F740" t="inlineStr">
        <is>
          <t>Good</t>
        </is>
      </c>
      <c r="G740" t="n">
        <v>1</v>
      </c>
    </row>
    <row r="741">
      <c r="A741" t="n">
        <v>740</v>
      </c>
      <c r="B741" t="n">
        <v>4280</v>
      </c>
      <c r="C741" t="n">
        <v>26</v>
      </c>
      <c r="D741" t="inlineStr">
        <is>
          <t>A30</t>
        </is>
      </c>
      <c r="E741" t="inlineStr">
        <is>
          <t>A73</t>
        </is>
      </c>
      <c r="F741" t="inlineStr">
        <is>
          <t>Bad</t>
        </is>
      </c>
      <c r="G741" t="n">
        <v>0</v>
      </c>
    </row>
    <row r="742">
      <c r="A742" t="n">
        <v>741</v>
      </c>
      <c r="B742" t="n">
        <v>2325</v>
      </c>
      <c r="C742" t="n">
        <v>32</v>
      </c>
      <c r="D742" t="inlineStr">
        <is>
          <t>A31</t>
        </is>
      </c>
      <c r="E742" t="inlineStr">
        <is>
          <t>A74</t>
        </is>
      </c>
      <c r="F742" t="inlineStr">
        <is>
          <t>Good</t>
        </is>
      </c>
      <c r="G742" t="n">
        <v>1</v>
      </c>
    </row>
    <row r="743">
      <c r="A743" t="n">
        <v>742</v>
      </c>
      <c r="B743" t="n">
        <v>1048</v>
      </c>
      <c r="C743" t="n">
        <v>23</v>
      </c>
      <c r="D743" t="inlineStr">
        <is>
          <t>A31</t>
        </is>
      </c>
      <c r="E743" t="inlineStr">
        <is>
          <t>A73</t>
        </is>
      </c>
      <c r="F743" t="inlineStr">
        <is>
          <t>Good</t>
        </is>
      </c>
      <c r="G743" t="n">
        <v>1</v>
      </c>
    </row>
    <row r="744">
      <c r="A744" t="n">
        <v>743</v>
      </c>
      <c r="B744" t="n">
        <v>3160</v>
      </c>
      <c r="C744" t="n">
        <v>41</v>
      </c>
      <c r="D744" t="inlineStr">
        <is>
          <t>A32</t>
        </is>
      </c>
      <c r="E744" t="inlineStr">
        <is>
          <t>A75</t>
        </is>
      </c>
      <c r="F744" t="inlineStr">
        <is>
          <t>Good</t>
        </is>
      </c>
      <c r="G744" t="n">
        <v>1</v>
      </c>
    </row>
    <row r="745">
      <c r="A745" t="n">
        <v>744</v>
      </c>
      <c r="B745" t="n">
        <v>2483</v>
      </c>
      <c r="C745" t="n">
        <v>22</v>
      </c>
      <c r="D745" t="inlineStr">
        <is>
          <t>A31</t>
        </is>
      </c>
      <c r="E745" t="inlineStr">
        <is>
          <t>A73</t>
        </is>
      </c>
      <c r="F745" t="inlineStr">
        <is>
          <t>Good</t>
        </is>
      </c>
      <c r="G745" t="n">
        <v>1</v>
      </c>
    </row>
    <row r="746">
      <c r="A746" t="n">
        <v>745</v>
      </c>
      <c r="B746" t="n">
        <v>14179</v>
      </c>
      <c r="C746" t="n">
        <v>30</v>
      </c>
      <c r="D746" t="inlineStr">
        <is>
          <t>A34</t>
        </is>
      </c>
      <c r="E746" t="inlineStr">
        <is>
          <t>A74</t>
        </is>
      </c>
      <c r="F746" t="inlineStr">
        <is>
          <t>Good</t>
        </is>
      </c>
      <c r="G746" t="n">
        <v>1</v>
      </c>
    </row>
    <row r="747">
      <c r="A747" t="n">
        <v>746</v>
      </c>
      <c r="B747" t="n">
        <v>1797</v>
      </c>
      <c r="C747" t="n">
        <v>28</v>
      </c>
      <c r="D747" t="inlineStr">
        <is>
          <t>A34</t>
        </is>
      </c>
      <c r="E747" t="inlineStr">
        <is>
          <t>A72</t>
        </is>
      </c>
      <c r="F747" t="inlineStr">
        <is>
          <t>Good</t>
        </is>
      </c>
      <c r="G747" t="n">
        <v>1</v>
      </c>
    </row>
    <row r="748">
      <c r="A748" t="n">
        <v>747</v>
      </c>
      <c r="B748" t="n">
        <v>2511</v>
      </c>
      <c r="C748" t="n">
        <v>23</v>
      </c>
      <c r="D748" t="inlineStr">
        <is>
          <t>A32</t>
        </is>
      </c>
      <c r="E748" t="inlineStr">
        <is>
          <t>A71</t>
        </is>
      </c>
      <c r="F748" t="inlineStr">
        <is>
          <t>Good</t>
        </is>
      </c>
      <c r="G748" t="n">
        <v>1</v>
      </c>
    </row>
    <row r="749">
      <c r="A749" t="n">
        <v>748</v>
      </c>
      <c r="B749" t="n">
        <v>1274</v>
      </c>
      <c r="C749" t="n">
        <v>37</v>
      </c>
      <c r="D749" t="inlineStr">
        <is>
          <t>A32</t>
        </is>
      </c>
      <c r="E749" t="inlineStr">
        <is>
          <t>A72</t>
        </is>
      </c>
      <c r="F749" t="inlineStr">
        <is>
          <t>Bad</t>
        </is>
      </c>
      <c r="G749" t="n">
        <v>0</v>
      </c>
    </row>
    <row r="750">
      <c r="A750" t="n">
        <v>749</v>
      </c>
      <c r="B750" t="n">
        <v>5248</v>
      </c>
      <c r="C750" t="n">
        <v>26</v>
      </c>
      <c r="D750" t="inlineStr">
        <is>
          <t>A32</t>
        </is>
      </c>
      <c r="E750" t="inlineStr">
        <is>
          <t>A73</t>
        </is>
      </c>
      <c r="F750" t="inlineStr">
        <is>
          <t>Good</t>
        </is>
      </c>
      <c r="G750" t="n">
        <v>1</v>
      </c>
    </row>
    <row r="751">
      <c r="A751" t="n">
        <v>750</v>
      </c>
      <c r="B751" t="n">
        <v>3029</v>
      </c>
      <c r="C751" t="n">
        <v>33</v>
      </c>
      <c r="D751" t="inlineStr">
        <is>
          <t>A32</t>
        </is>
      </c>
      <c r="E751" t="inlineStr">
        <is>
          <t>A74</t>
        </is>
      </c>
      <c r="F751" t="inlineStr">
        <is>
          <t>Good</t>
        </is>
      </c>
      <c r="G751" t="n">
        <v>1</v>
      </c>
    </row>
    <row r="752">
      <c r="A752" t="n">
        <v>751</v>
      </c>
      <c r="B752" t="n">
        <v>428</v>
      </c>
      <c r="C752" t="n">
        <v>49</v>
      </c>
      <c r="D752" t="inlineStr">
        <is>
          <t>A32</t>
        </is>
      </c>
      <c r="E752" t="inlineStr">
        <is>
          <t>A75</t>
        </is>
      </c>
      <c r="F752" t="inlineStr">
        <is>
          <t>Good</t>
        </is>
      </c>
      <c r="G752" t="n">
        <v>1</v>
      </c>
    </row>
    <row r="753">
      <c r="A753" t="n">
        <v>752</v>
      </c>
      <c r="B753" t="n">
        <v>976</v>
      </c>
      <c r="C753" t="n">
        <v>23</v>
      </c>
      <c r="D753" t="inlineStr">
        <is>
          <t>A32</t>
        </is>
      </c>
      <c r="E753" t="inlineStr">
        <is>
          <t>A72</t>
        </is>
      </c>
      <c r="F753" t="inlineStr">
        <is>
          <t>Bad</t>
        </is>
      </c>
      <c r="G753" t="n">
        <v>0</v>
      </c>
    </row>
    <row r="754">
      <c r="A754" t="n">
        <v>753</v>
      </c>
      <c r="B754" t="n">
        <v>841</v>
      </c>
      <c r="C754" t="n">
        <v>23</v>
      </c>
      <c r="D754" t="inlineStr">
        <is>
          <t>A32</t>
        </is>
      </c>
      <c r="E754" t="inlineStr">
        <is>
          <t>A74</t>
        </is>
      </c>
      <c r="F754" t="inlineStr">
        <is>
          <t>Good</t>
        </is>
      </c>
      <c r="G754" t="n">
        <v>1</v>
      </c>
    </row>
    <row r="755">
      <c r="A755" t="n">
        <v>754</v>
      </c>
      <c r="B755" t="n">
        <v>5771</v>
      </c>
      <c r="C755" t="n">
        <v>25</v>
      </c>
      <c r="D755" t="inlineStr">
        <is>
          <t>A34</t>
        </is>
      </c>
      <c r="E755" t="inlineStr">
        <is>
          <t>A74</t>
        </is>
      </c>
      <c r="F755" t="inlineStr">
        <is>
          <t>Good</t>
        </is>
      </c>
      <c r="G755" t="n">
        <v>1</v>
      </c>
    </row>
    <row r="756">
      <c r="A756" t="n">
        <v>755</v>
      </c>
      <c r="B756" t="n">
        <v>1555</v>
      </c>
      <c r="C756" t="n">
        <v>55</v>
      </c>
      <c r="D756" t="inlineStr">
        <is>
          <t>A33</t>
        </is>
      </c>
      <c r="E756" t="inlineStr">
        <is>
          <t>A75</t>
        </is>
      </c>
      <c r="F756" t="inlineStr">
        <is>
          <t>Bad</t>
        </is>
      </c>
      <c r="G756" t="n">
        <v>0</v>
      </c>
    </row>
    <row r="757">
      <c r="A757" t="n">
        <v>756</v>
      </c>
      <c r="B757" t="n">
        <v>1285</v>
      </c>
      <c r="C757" t="n">
        <v>32</v>
      </c>
      <c r="D757" t="inlineStr">
        <is>
          <t>A32</t>
        </is>
      </c>
      <c r="E757" t="inlineStr">
        <is>
          <t>A74</t>
        </is>
      </c>
      <c r="F757" t="inlineStr">
        <is>
          <t>Bad</t>
        </is>
      </c>
      <c r="G757" t="n">
        <v>0</v>
      </c>
    </row>
    <row r="758">
      <c r="A758" t="n">
        <v>757</v>
      </c>
      <c r="B758" t="n">
        <v>1299</v>
      </c>
      <c r="C758" t="n">
        <v>74</v>
      </c>
      <c r="D758" t="inlineStr">
        <is>
          <t>A34</t>
        </is>
      </c>
      <c r="E758" t="inlineStr">
        <is>
          <t>A73</t>
        </is>
      </c>
      <c r="F758" t="inlineStr">
        <is>
          <t>Good</t>
        </is>
      </c>
      <c r="G758" t="n">
        <v>1</v>
      </c>
    </row>
    <row r="759">
      <c r="A759" t="n">
        <v>758</v>
      </c>
      <c r="B759" t="n">
        <v>1271</v>
      </c>
      <c r="C759" t="n">
        <v>39</v>
      </c>
      <c r="D759" t="inlineStr">
        <is>
          <t>A34</t>
        </is>
      </c>
      <c r="E759" t="inlineStr">
        <is>
          <t>A73</t>
        </is>
      </c>
      <c r="F759" t="inlineStr">
        <is>
          <t>Bad</t>
        </is>
      </c>
      <c r="G759" t="n">
        <v>0</v>
      </c>
    </row>
    <row r="760">
      <c r="A760" t="n">
        <v>759</v>
      </c>
      <c r="B760" t="n">
        <v>1393</v>
      </c>
      <c r="C760" t="n">
        <v>31</v>
      </c>
      <c r="D760" t="inlineStr">
        <is>
          <t>A32</t>
        </is>
      </c>
      <c r="E760" t="inlineStr">
        <is>
          <t>A73</t>
        </is>
      </c>
      <c r="F760" t="inlineStr">
        <is>
          <t>Good</t>
        </is>
      </c>
      <c r="G760" t="n">
        <v>1</v>
      </c>
    </row>
    <row r="761">
      <c r="A761" t="n">
        <v>760</v>
      </c>
      <c r="B761" t="n">
        <v>691</v>
      </c>
      <c r="C761" t="n">
        <v>35</v>
      </c>
      <c r="D761" t="inlineStr">
        <is>
          <t>A34</t>
        </is>
      </c>
      <c r="E761" t="inlineStr">
        <is>
          <t>A75</t>
        </is>
      </c>
      <c r="F761" t="inlineStr">
        <is>
          <t>Bad</t>
        </is>
      </c>
      <c r="G761" t="n">
        <v>0</v>
      </c>
    </row>
    <row r="762">
      <c r="A762" t="n">
        <v>761</v>
      </c>
      <c r="B762" t="n">
        <v>5045</v>
      </c>
      <c r="C762" t="n">
        <v>59</v>
      </c>
      <c r="D762" t="inlineStr">
        <is>
          <t>A34</t>
        </is>
      </c>
      <c r="E762" t="inlineStr">
        <is>
          <t>A75</t>
        </is>
      </c>
      <c r="F762" t="inlineStr">
        <is>
          <t>Good</t>
        </is>
      </c>
      <c r="G762" t="n">
        <v>1</v>
      </c>
    </row>
    <row r="763">
      <c r="A763" t="n">
        <v>762</v>
      </c>
      <c r="B763" t="n">
        <v>2124</v>
      </c>
      <c r="C763" t="n">
        <v>24</v>
      </c>
      <c r="D763" t="inlineStr">
        <is>
          <t>A34</t>
        </is>
      </c>
      <c r="E763" t="inlineStr">
        <is>
          <t>A73</t>
        </is>
      </c>
      <c r="F763" t="inlineStr">
        <is>
          <t>Bad</t>
        </is>
      </c>
      <c r="G763" t="n">
        <v>0</v>
      </c>
    </row>
    <row r="764">
      <c r="A764" t="n">
        <v>763</v>
      </c>
      <c r="B764" t="n">
        <v>2214</v>
      </c>
      <c r="C764" t="n">
        <v>24</v>
      </c>
      <c r="D764" t="inlineStr">
        <is>
          <t>A32</t>
        </is>
      </c>
      <c r="E764" t="inlineStr">
        <is>
          <t>A73</t>
        </is>
      </c>
      <c r="F764" t="inlineStr">
        <is>
          <t>Good</t>
        </is>
      </c>
      <c r="G764" t="n">
        <v>1</v>
      </c>
    </row>
    <row r="765">
      <c r="A765" t="n">
        <v>764</v>
      </c>
      <c r="B765" t="n">
        <v>12680</v>
      </c>
      <c r="C765" t="n">
        <v>30</v>
      </c>
      <c r="D765" t="inlineStr">
        <is>
          <t>A34</t>
        </is>
      </c>
      <c r="E765" t="inlineStr">
        <is>
          <t>A75</t>
        </is>
      </c>
      <c r="F765" t="inlineStr">
        <is>
          <t>Bad</t>
        </is>
      </c>
      <c r="G765" t="n">
        <v>0</v>
      </c>
    </row>
    <row r="766">
      <c r="A766" t="n">
        <v>765</v>
      </c>
      <c r="B766" t="n">
        <v>2463</v>
      </c>
      <c r="C766" t="n">
        <v>27</v>
      </c>
      <c r="D766" t="inlineStr">
        <is>
          <t>A34</t>
        </is>
      </c>
      <c r="E766" t="inlineStr">
        <is>
          <t>A74</t>
        </is>
      </c>
      <c r="F766" t="inlineStr">
        <is>
          <t>Good</t>
        </is>
      </c>
      <c r="G766" t="n">
        <v>1</v>
      </c>
    </row>
    <row r="767">
      <c r="A767" t="n">
        <v>766</v>
      </c>
      <c r="B767" t="n">
        <v>1155</v>
      </c>
      <c r="C767" t="n">
        <v>40</v>
      </c>
      <c r="D767" t="inlineStr">
        <is>
          <t>A32</t>
        </is>
      </c>
      <c r="E767" t="inlineStr">
        <is>
          <t>A75</t>
        </is>
      </c>
      <c r="F767" t="inlineStr">
        <is>
          <t>Good</t>
        </is>
      </c>
      <c r="G767" t="n">
        <v>1</v>
      </c>
    </row>
    <row r="768">
      <c r="A768" t="n">
        <v>767</v>
      </c>
      <c r="B768" t="n">
        <v>3108</v>
      </c>
      <c r="C768" t="n">
        <v>31</v>
      </c>
      <c r="D768" t="inlineStr">
        <is>
          <t>A32</t>
        </is>
      </c>
      <c r="E768" t="inlineStr">
        <is>
          <t>A72</t>
        </is>
      </c>
      <c r="F768" t="inlineStr">
        <is>
          <t>Bad</t>
        </is>
      </c>
      <c r="G768" t="n">
        <v>0</v>
      </c>
    </row>
    <row r="769">
      <c r="A769" t="n">
        <v>768</v>
      </c>
      <c r="B769" t="n">
        <v>2901</v>
      </c>
      <c r="C769" t="n">
        <v>31</v>
      </c>
      <c r="D769" t="inlineStr">
        <is>
          <t>A32</t>
        </is>
      </c>
      <c r="E769" t="inlineStr">
        <is>
          <t>A72</t>
        </is>
      </c>
      <c r="F769" t="inlineStr">
        <is>
          <t>Good</t>
        </is>
      </c>
      <c r="G769" t="n">
        <v>1</v>
      </c>
    </row>
    <row r="770">
      <c r="A770" t="n">
        <v>769</v>
      </c>
      <c r="B770" t="n">
        <v>3617</v>
      </c>
      <c r="C770" t="n">
        <v>28</v>
      </c>
      <c r="D770" t="inlineStr">
        <is>
          <t>A34</t>
        </is>
      </c>
      <c r="E770" t="inlineStr">
        <is>
          <t>A75</t>
        </is>
      </c>
      <c r="F770" t="inlineStr">
        <is>
          <t>Good</t>
        </is>
      </c>
      <c r="G770" t="n">
        <v>1</v>
      </c>
    </row>
    <row r="771">
      <c r="A771" t="n">
        <v>770</v>
      </c>
      <c r="B771" t="n">
        <v>1655</v>
      </c>
      <c r="C771" t="n">
        <v>63</v>
      </c>
      <c r="D771" t="inlineStr">
        <is>
          <t>A34</t>
        </is>
      </c>
      <c r="E771" t="inlineStr">
        <is>
          <t>A75</t>
        </is>
      </c>
      <c r="F771" t="inlineStr">
        <is>
          <t>Good</t>
        </is>
      </c>
      <c r="G771" t="n">
        <v>1</v>
      </c>
    </row>
    <row r="772">
      <c r="A772" t="n">
        <v>771</v>
      </c>
      <c r="B772" t="n">
        <v>2812</v>
      </c>
      <c r="C772" t="n">
        <v>26</v>
      </c>
      <c r="D772" t="inlineStr">
        <is>
          <t>A32</t>
        </is>
      </c>
      <c r="E772" t="inlineStr">
        <is>
          <t>A75</t>
        </is>
      </c>
      <c r="F772" t="inlineStr">
        <is>
          <t>Good</t>
        </is>
      </c>
      <c r="G772" t="n">
        <v>1</v>
      </c>
    </row>
    <row r="773">
      <c r="A773" t="n">
        <v>772</v>
      </c>
      <c r="B773" t="n">
        <v>8065</v>
      </c>
      <c r="C773" t="n">
        <v>25</v>
      </c>
      <c r="D773" t="inlineStr">
        <is>
          <t>A34</t>
        </is>
      </c>
      <c r="E773" t="inlineStr">
        <is>
          <t>A73</t>
        </is>
      </c>
      <c r="F773" t="inlineStr">
        <is>
          <t>Bad</t>
        </is>
      </c>
      <c r="G773" t="n">
        <v>0</v>
      </c>
    </row>
    <row r="774">
      <c r="A774" t="n">
        <v>773</v>
      </c>
      <c r="B774" t="n">
        <v>3275</v>
      </c>
      <c r="C774" t="n">
        <v>36</v>
      </c>
      <c r="D774" t="inlineStr">
        <is>
          <t>A34</t>
        </is>
      </c>
      <c r="E774" t="inlineStr">
        <is>
          <t>A75</t>
        </is>
      </c>
      <c r="F774" t="inlineStr">
        <is>
          <t>Good</t>
        </is>
      </c>
      <c r="G774" t="n">
        <v>1</v>
      </c>
    </row>
    <row r="775">
      <c r="A775" t="n">
        <v>774</v>
      </c>
      <c r="B775" t="n">
        <v>2223</v>
      </c>
      <c r="C775" t="n">
        <v>52</v>
      </c>
      <c r="D775" t="inlineStr">
        <is>
          <t>A34</t>
        </is>
      </c>
      <c r="E775" t="inlineStr">
        <is>
          <t>A75</t>
        </is>
      </c>
      <c r="F775" t="inlineStr">
        <is>
          <t>Good</t>
        </is>
      </c>
      <c r="G775" t="n">
        <v>1</v>
      </c>
    </row>
    <row r="776">
      <c r="A776" t="n">
        <v>775</v>
      </c>
      <c r="B776" t="n">
        <v>1480</v>
      </c>
      <c r="C776" t="n">
        <v>66</v>
      </c>
      <c r="D776" t="inlineStr">
        <is>
          <t>A34</t>
        </is>
      </c>
      <c r="E776" t="inlineStr">
        <is>
          <t>A71</t>
        </is>
      </c>
      <c r="F776" t="inlineStr">
        <is>
          <t>Good</t>
        </is>
      </c>
      <c r="G776" t="n">
        <v>1</v>
      </c>
    </row>
    <row r="777">
      <c r="A777" t="n">
        <v>776</v>
      </c>
      <c r="B777" t="n">
        <v>1371</v>
      </c>
      <c r="C777" t="n">
        <v>25</v>
      </c>
      <c r="D777" t="inlineStr">
        <is>
          <t>A32</t>
        </is>
      </c>
      <c r="E777" t="inlineStr">
        <is>
          <t>A73</t>
        </is>
      </c>
      <c r="F777" t="inlineStr">
        <is>
          <t>Bad</t>
        </is>
      </c>
      <c r="G777" t="n">
        <v>0</v>
      </c>
    </row>
    <row r="778">
      <c r="A778" t="n">
        <v>777</v>
      </c>
      <c r="B778" t="n">
        <v>3535</v>
      </c>
      <c r="C778" t="n">
        <v>37</v>
      </c>
      <c r="D778" t="inlineStr">
        <is>
          <t>A34</t>
        </is>
      </c>
      <c r="E778" t="inlineStr">
        <is>
          <t>A74</t>
        </is>
      </c>
      <c r="F778" t="inlineStr">
        <is>
          <t>Good</t>
        </is>
      </c>
      <c r="G778" t="n">
        <v>1</v>
      </c>
    </row>
    <row r="779">
      <c r="A779" t="n">
        <v>778</v>
      </c>
      <c r="B779" t="n">
        <v>3509</v>
      </c>
      <c r="C779" t="n">
        <v>25</v>
      </c>
      <c r="D779" t="inlineStr">
        <is>
          <t>A32</t>
        </is>
      </c>
      <c r="E779" t="inlineStr">
        <is>
          <t>A74</t>
        </is>
      </c>
      <c r="F779" t="inlineStr">
        <is>
          <t>Good</t>
        </is>
      </c>
      <c r="G779" t="n">
        <v>1</v>
      </c>
    </row>
    <row r="780">
      <c r="A780" t="n">
        <v>779</v>
      </c>
      <c r="B780" t="n">
        <v>5711</v>
      </c>
      <c r="C780" t="n">
        <v>38</v>
      </c>
      <c r="D780" t="inlineStr">
        <is>
          <t>A34</t>
        </is>
      </c>
      <c r="E780" t="inlineStr">
        <is>
          <t>A75</t>
        </is>
      </c>
      <c r="F780" t="inlineStr">
        <is>
          <t>Good</t>
        </is>
      </c>
      <c r="G780" t="n">
        <v>1</v>
      </c>
    </row>
    <row r="781">
      <c r="A781" t="n">
        <v>780</v>
      </c>
      <c r="B781" t="n">
        <v>3872</v>
      </c>
      <c r="C781" t="n">
        <v>67</v>
      </c>
      <c r="D781" t="inlineStr">
        <is>
          <t>A32</t>
        </is>
      </c>
      <c r="E781" t="inlineStr">
        <is>
          <t>A71</t>
        </is>
      </c>
      <c r="F781" t="inlineStr">
        <is>
          <t>Good</t>
        </is>
      </c>
      <c r="G781" t="n">
        <v>1</v>
      </c>
    </row>
    <row r="782">
      <c r="A782" t="n">
        <v>781</v>
      </c>
      <c r="B782" t="n">
        <v>4933</v>
      </c>
      <c r="C782" t="n">
        <v>25</v>
      </c>
      <c r="D782" t="inlineStr">
        <is>
          <t>A34</t>
        </is>
      </c>
      <c r="E782" t="inlineStr">
        <is>
          <t>A74</t>
        </is>
      </c>
      <c r="F782" t="inlineStr">
        <is>
          <t>Bad</t>
        </is>
      </c>
      <c r="G782" t="n">
        <v>0</v>
      </c>
    </row>
    <row r="783">
      <c r="A783" t="n">
        <v>782</v>
      </c>
      <c r="B783" t="n">
        <v>1940</v>
      </c>
      <c r="C783" t="n">
        <v>60</v>
      </c>
      <c r="D783" t="inlineStr">
        <is>
          <t>A34</t>
        </is>
      </c>
      <c r="E783" t="inlineStr">
        <is>
          <t>A75</t>
        </is>
      </c>
      <c r="F783" t="inlineStr">
        <is>
          <t>Good</t>
        </is>
      </c>
      <c r="G783" t="n">
        <v>1</v>
      </c>
    </row>
    <row r="784">
      <c r="A784" t="n">
        <v>783</v>
      </c>
      <c r="B784" t="n">
        <v>1410</v>
      </c>
      <c r="C784" t="n">
        <v>31</v>
      </c>
      <c r="D784" t="inlineStr">
        <is>
          <t>A30</t>
        </is>
      </c>
      <c r="E784" t="inlineStr">
        <is>
          <t>A73</t>
        </is>
      </c>
      <c r="F784" t="inlineStr">
        <is>
          <t>Good</t>
        </is>
      </c>
      <c r="G784" t="n">
        <v>1</v>
      </c>
    </row>
    <row r="785">
      <c r="A785" t="n">
        <v>784</v>
      </c>
      <c r="B785" t="n">
        <v>836</v>
      </c>
      <c r="C785" t="n">
        <v>23</v>
      </c>
      <c r="D785" t="inlineStr">
        <is>
          <t>A32</t>
        </is>
      </c>
      <c r="E785" t="inlineStr">
        <is>
          <t>A72</t>
        </is>
      </c>
      <c r="F785" t="inlineStr">
        <is>
          <t>Bad</t>
        </is>
      </c>
      <c r="G785" t="n">
        <v>0</v>
      </c>
    </row>
    <row r="786">
      <c r="A786" t="n">
        <v>785</v>
      </c>
      <c r="B786" t="n">
        <v>6468</v>
      </c>
      <c r="C786" t="n">
        <v>60</v>
      </c>
      <c r="D786" t="inlineStr">
        <is>
          <t>A32</t>
        </is>
      </c>
      <c r="E786" t="inlineStr">
        <is>
          <t>A71</t>
        </is>
      </c>
      <c r="F786" t="inlineStr">
        <is>
          <t>Good</t>
        </is>
      </c>
      <c r="G786" t="n">
        <v>1</v>
      </c>
    </row>
    <row r="787">
      <c r="A787" t="n">
        <v>786</v>
      </c>
      <c r="B787" t="n">
        <v>1941</v>
      </c>
      <c r="C787" t="n">
        <v>35</v>
      </c>
      <c r="D787" t="inlineStr">
        <is>
          <t>A32</t>
        </is>
      </c>
      <c r="E787" t="inlineStr">
        <is>
          <t>A73</t>
        </is>
      </c>
      <c r="F787" t="inlineStr">
        <is>
          <t>Good</t>
        </is>
      </c>
      <c r="G787" t="n">
        <v>1</v>
      </c>
    </row>
    <row r="788">
      <c r="A788" t="n">
        <v>787</v>
      </c>
      <c r="B788" t="n">
        <v>2675</v>
      </c>
      <c r="C788" t="n">
        <v>40</v>
      </c>
      <c r="D788" t="inlineStr">
        <is>
          <t>A32</t>
        </is>
      </c>
      <c r="E788" t="inlineStr">
        <is>
          <t>A75</t>
        </is>
      </c>
      <c r="F788" t="inlineStr">
        <is>
          <t>Good</t>
        </is>
      </c>
      <c r="G788" t="n">
        <v>1</v>
      </c>
    </row>
    <row r="789">
      <c r="A789" t="n">
        <v>788</v>
      </c>
      <c r="B789" t="n">
        <v>2751</v>
      </c>
      <c r="C789" t="n">
        <v>38</v>
      </c>
      <c r="D789" t="inlineStr">
        <is>
          <t>A34</t>
        </is>
      </c>
      <c r="E789" t="inlineStr">
        <is>
          <t>A75</t>
        </is>
      </c>
      <c r="F789" t="inlineStr">
        <is>
          <t>Good</t>
        </is>
      </c>
      <c r="G789" t="n">
        <v>1</v>
      </c>
    </row>
    <row r="790">
      <c r="A790" t="n">
        <v>789</v>
      </c>
      <c r="B790" t="n">
        <v>6224</v>
      </c>
      <c r="C790" t="n">
        <v>50</v>
      </c>
      <c r="D790" t="inlineStr">
        <is>
          <t>A33</t>
        </is>
      </c>
      <c r="E790" t="inlineStr">
        <is>
          <t>A75</t>
        </is>
      </c>
      <c r="F790" t="inlineStr">
        <is>
          <t>Bad</t>
        </is>
      </c>
      <c r="G790" t="n">
        <v>0</v>
      </c>
    </row>
    <row r="791">
      <c r="A791" t="n">
        <v>790</v>
      </c>
      <c r="B791" t="n">
        <v>5998</v>
      </c>
      <c r="C791" t="n">
        <v>27</v>
      </c>
      <c r="D791" t="inlineStr">
        <is>
          <t>A34</t>
        </is>
      </c>
      <c r="E791" t="inlineStr">
        <is>
          <t>A73</t>
        </is>
      </c>
      <c r="F791" t="inlineStr">
        <is>
          <t>Bad</t>
        </is>
      </c>
      <c r="G791" t="n">
        <v>0</v>
      </c>
    </row>
    <row r="792">
      <c r="A792" t="n">
        <v>791</v>
      </c>
      <c r="B792" t="n">
        <v>1188</v>
      </c>
      <c r="C792" t="n">
        <v>39</v>
      </c>
      <c r="D792" t="inlineStr">
        <is>
          <t>A32</t>
        </is>
      </c>
      <c r="E792" t="inlineStr">
        <is>
          <t>A75</t>
        </is>
      </c>
      <c r="F792" t="inlineStr">
        <is>
          <t>Bad</t>
        </is>
      </c>
      <c r="G792" t="n">
        <v>0</v>
      </c>
    </row>
    <row r="793">
      <c r="A793" t="n">
        <v>792</v>
      </c>
      <c r="B793" t="n">
        <v>6313</v>
      </c>
      <c r="C793" t="n">
        <v>41</v>
      </c>
      <c r="D793" t="inlineStr">
        <is>
          <t>A32</t>
        </is>
      </c>
      <c r="E793" t="inlineStr">
        <is>
          <t>A75</t>
        </is>
      </c>
      <c r="F793" t="inlineStr">
        <is>
          <t>Good</t>
        </is>
      </c>
      <c r="G793" t="n">
        <v>1</v>
      </c>
    </row>
    <row r="794">
      <c r="A794" t="n">
        <v>793</v>
      </c>
      <c r="B794" t="n">
        <v>1221</v>
      </c>
      <c r="C794" t="n">
        <v>27</v>
      </c>
      <c r="D794" t="inlineStr">
        <is>
          <t>A34</t>
        </is>
      </c>
      <c r="E794" t="inlineStr">
        <is>
          <t>A73</t>
        </is>
      </c>
      <c r="F794" t="inlineStr">
        <is>
          <t>Good</t>
        </is>
      </c>
      <c r="G794" t="n">
        <v>1</v>
      </c>
    </row>
    <row r="795">
      <c r="A795" t="n">
        <v>794</v>
      </c>
      <c r="B795" t="n">
        <v>2892</v>
      </c>
      <c r="C795" t="n">
        <v>51</v>
      </c>
      <c r="D795" t="inlineStr">
        <is>
          <t>A32</t>
        </is>
      </c>
      <c r="E795" t="inlineStr">
        <is>
          <t>A75</t>
        </is>
      </c>
      <c r="F795" t="inlineStr">
        <is>
          <t>Good</t>
        </is>
      </c>
      <c r="G795" t="n">
        <v>1</v>
      </c>
    </row>
    <row r="796">
      <c r="A796" t="n">
        <v>795</v>
      </c>
      <c r="B796" t="n">
        <v>3062</v>
      </c>
      <c r="C796" t="n">
        <v>32</v>
      </c>
      <c r="D796" t="inlineStr">
        <is>
          <t>A32</t>
        </is>
      </c>
      <c r="E796" t="inlineStr">
        <is>
          <t>A75</t>
        </is>
      </c>
      <c r="F796" t="inlineStr">
        <is>
          <t>Good</t>
        </is>
      </c>
      <c r="G796" t="n">
        <v>1</v>
      </c>
    </row>
    <row r="797">
      <c r="A797" t="n">
        <v>796</v>
      </c>
      <c r="B797" t="n">
        <v>2301</v>
      </c>
      <c r="C797" t="n">
        <v>22</v>
      </c>
      <c r="D797" t="inlineStr">
        <is>
          <t>A32</t>
        </is>
      </c>
      <c r="E797" t="inlineStr">
        <is>
          <t>A72</t>
        </is>
      </c>
      <c r="F797" t="inlineStr">
        <is>
          <t>Good</t>
        </is>
      </c>
      <c r="G797" t="n">
        <v>1</v>
      </c>
    </row>
    <row r="798">
      <c r="A798" t="n">
        <v>797</v>
      </c>
      <c r="B798" t="n">
        <v>7511</v>
      </c>
      <c r="C798" t="n">
        <v>51</v>
      </c>
      <c r="D798" t="inlineStr">
        <is>
          <t>A32</t>
        </is>
      </c>
      <c r="E798" t="inlineStr">
        <is>
          <t>A75</t>
        </is>
      </c>
      <c r="F798" t="inlineStr">
        <is>
          <t>Bad</t>
        </is>
      </c>
      <c r="G798" t="n">
        <v>0</v>
      </c>
    </row>
    <row r="799">
      <c r="A799" t="n">
        <v>798</v>
      </c>
      <c r="B799" t="n">
        <v>1258</v>
      </c>
      <c r="C799" t="n">
        <v>22</v>
      </c>
      <c r="D799" t="inlineStr">
        <is>
          <t>A34</t>
        </is>
      </c>
      <c r="E799" t="inlineStr">
        <is>
          <t>A72</t>
        </is>
      </c>
      <c r="F799" t="inlineStr">
        <is>
          <t>Good</t>
        </is>
      </c>
      <c r="G799" t="n">
        <v>1</v>
      </c>
    </row>
    <row r="800">
      <c r="A800" t="n">
        <v>799</v>
      </c>
      <c r="B800" t="n">
        <v>717</v>
      </c>
      <c r="C800" t="n">
        <v>54</v>
      </c>
      <c r="D800" t="inlineStr">
        <is>
          <t>A33</t>
        </is>
      </c>
      <c r="E800" t="inlineStr">
        <is>
          <t>A75</t>
        </is>
      </c>
      <c r="F800" t="inlineStr">
        <is>
          <t>Good</t>
        </is>
      </c>
      <c r="G800" t="n">
        <v>1</v>
      </c>
    </row>
    <row r="801">
      <c r="A801" t="n">
        <v>800</v>
      </c>
      <c r="B801" t="n">
        <v>1549</v>
      </c>
      <c r="C801" t="n">
        <v>35</v>
      </c>
      <c r="D801" t="inlineStr">
        <is>
          <t>A32</t>
        </is>
      </c>
      <c r="E801" t="inlineStr">
        <is>
          <t>A72</t>
        </is>
      </c>
      <c r="F801" t="inlineStr">
        <is>
          <t>Good</t>
        </is>
      </c>
      <c r="G801" t="n">
        <v>1</v>
      </c>
    </row>
    <row r="802">
      <c r="A802" t="n">
        <v>801</v>
      </c>
      <c r="B802" t="n">
        <v>1597</v>
      </c>
      <c r="C802" t="n">
        <v>54</v>
      </c>
      <c r="D802" t="inlineStr">
        <is>
          <t>A34</t>
        </is>
      </c>
      <c r="E802" t="inlineStr">
        <is>
          <t>A75</t>
        </is>
      </c>
      <c r="F802" t="inlineStr">
        <is>
          <t>Good</t>
        </is>
      </c>
      <c r="G802" t="n">
        <v>1</v>
      </c>
    </row>
    <row r="803">
      <c r="A803" t="n">
        <v>802</v>
      </c>
      <c r="B803" t="n">
        <v>1795</v>
      </c>
      <c r="C803" t="n">
        <v>48</v>
      </c>
      <c r="D803" t="inlineStr">
        <is>
          <t>A34</t>
        </is>
      </c>
      <c r="E803" t="inlineStr">
        <is>
          <t>A75</t>
        </is>
      </c>
      <c r="F803" t="inlineStr">
        <is>
          <t>Good</t>
        </is>
      </c>
      <c r="G803" t="n">
        <v>1</v>
      </c>
    </row>
    <row r="804">
      <c r="A804" t="n">
        <v>803</v>
      </c>
      <c r="B804" t="n">
        <v>4272</v>
      </c>
      <c r="C804" t="n">
        <v>24</v>
      </c>
      <c r="D804" t="inlineStr">
        <is>
          <t>A34</t>
        </is>
      </c>
      <c r="E804" t="inlineStr">
        <is>
          <t>A75</t>
        </is>
      </c>
      <c r="F804" t="inlineStr">
        <is>
          <t>Good</t>
        </is>
      </c>
      <c r="G804" t="n">
        <v>1</v>
      </c>
    </row>
    <row r="805">
      <c r="A805" t="n">
        <v>804</v>
      </c>
      <c r="B805" t="n">
        <v>976</v>
      </c>
      <c r="C805" t="n">
        <v>35</v>
      </c>
      <c r="D805" t="inlineStr">
        <is>
          <t>A34</t>
        </is>
      </c>
      <c r="E805" t="inlineStr">
        <is>
          <t>A75</t>
        </is>
      </c>
      <c r="F805" t="inlineStr">
        <is>
          <t>Good</t>
        </is>
      </c>
      <c r="G805" t="n">
        <v>1</v>
      </c>
    </row>
    <row r="806">
      <c r="A806" t="n">
        <v>805</v>
      </c>
      <c r="B806" t="n">
        <v>7472</v>
      </c>
      <c r="C806" t="n">
        <v>24</v>
      </c>
      <c r="D806" t="inlineStr">
        <is>
          <t>A32</t>
        </is>
      </c>
      <c r="E806" t="inlineStr">
        <is>
          <t>A71</t>
        </is>
      </c>
      <c r="F806" t="inlineStr">
        <is>
          <t>Good</t>
        </is>
      </c>
      <c r="G806" t="n">
        <v>1</v>
      </c>
    </row>
    <row r="807">
      <c r="A807" t="n">
        <v>806</v>
      </c>
      <c r="B807" t="n">
        <v>9271</v>
      </c>
      <c r="C807" t="n">
        <v>24</v>
      </c>
      <c r="D807" t="inlineStr">
        <is>
          <t>A32</t>
        </is>
      </c>
      <c r="E807" t="inlineStr">
        <is>
          <t>A74</t>
        </is>
      </c>
      <c r="F807" t="inlineStr">
        <is>
          <t>Bad</t>
        </is>
      </c>
      <c r="G807" t="n">
        <v>0</v>
      </c>
    </row>
    <row r="808">
      <c r="A808" t="n">
        <v>807</v>
      </c>
      <c r="B808" t="n">
        <v>590</v>
      </c>
      <c r="C808" t="n">
        <v>26</v>
      </c>
      <c r="D808" t="inlineStr">
        <is>
          <t>A32</t>
        </is>
      </c>
      <c r="E808" t="inlineStr">
        <is>
          <t>A72</t>
        </is>
      </c>
      <c r="F808" t="inlineStr">
        <is>
          <t>Good</t>
        </is>
      </c>
      <c r="G808" t="n">
        <v>1</v>
      </c>
    </row>
    <row r="809">
      <c r="A809" t="n">
        <v>808</v>
      </c>
      <c r="B809" t="n">
        <v>930</v>
      </c>
      <c r="C809" t="n">
        <v>65</v>
      </c>
      <c r="D809" t="inlineStr">
        <is>
          <t>A34</t>
        </is>
      </c>
      <c r="E809" t="inlineStr">
        <is>
          <t>A75</t>
        </is>
      </c>
      <c r="F809" t="inlineStr">
        <is>
          <t>Good</t>
        </is>
      </c>
      <c r="G809" t="n">
        <v>1</v>
      </c>
    </row>
    <row r="810">
      <c r="A810" t="n">
        <v>809</v>
      </c>
      <c r="B810" t="n">
        <v>9283</v>
      </c>
      <c r="C810" t="n">
        <v>55</v>
      </c>
      <c r="D810" t="inlineStr">
        <is>
          <t>A31</t>
        </is>
      </c>
      <c r="E810" t="inlineStr">
        <is>
          <t>A71</t>
        </is>
      </c>
      <c r="F810" t="inlineStr">
        <is>
          <t>Good</t>
        </is>
      </c>
      <c r="G810" t="n">
        <v>1</v>
      </c>
    </row>
    <row r="811">
      <c r="A811" t="n">
        <v>810</v>
      </c>
      <c r="B811" t="n">
        <v>1778</v>
      </c>
      <c r="C811" t="n">
        <v>26</v>
      </c>
      <c r="D811" t="inlineStr">
        <is>
          <t>A30</t>
        </is>
      </c>
      <c r="E811" t="inlineStr">
        <is>
          <t>A72</t>
        </is>
      </c>
      <c r="F811" t="inlineStr">
        <is>
          <t>Bad</t>
        </is>
      </c>
      <c r="G811" t="n">
        <v>0</v>
      </c>
    </row>
    <row r="812">
      <c r="A812" t="n">
        <v>811</v>
      </c>
      <c r="B812" t="n">
        <v>907</v>
      </c>
      <c r="C812" t="n">
        <v>26</v>
      </c>
      <c r="D812" t="inlineStr">
        <is>
          <t>A32</t>
        </is>
      </c>
      <c r="E812" t="inlineStr">
        <is>
          <t>A72</t>
        </is>
      </c>
      <c r="F812" t="inlineStr">
        <is>
          <t>Good</t>
        </is>
      </c>
      <c r="G812" t="n">
        <v>1</v>
      </c>
    </row>
    <row r="813">
      <c r="A813" t="n">
        <v>812</v>
      </c>
      <c r="B813" t="n">
        <v>484</v>
      </c>
      <c r="C813" t="n">
        <v>28</v>
      </c>
      <c r="D813" t="inlineStr">
        <is>
          <t>A32</t>
        </is>
      </c>
      <c r="E813" t="inlineStr">
        <is>
          <t>A74</t>
        </is>
      </c>
      <c r="F813" t="inlineStr">
        <is>
          <t>Good</t>
        </is>
      </c>
      <c r="G813" t="n">
        <v>1</v>
      </c>
    </row>
    <row r="814">
      <c r="A814" t="n">
        <v>813</v>
      </c>
      <c r="B814" t="n">
        <v>9629</v>
      </c>
      <c r="C814" t="n">
        <v>24</v>
      </c>
      <c r="D814" t="inlineStr">
        <is>
          <t>A34</t>
        </is>
      </c>
      <c r="E814" t="inlineStr">
        <is>
          <t>A74</t>
        </is>
      </c>
      <c r="F814" t="inlineStr">
        <is>
          <t>Bad</t>
        </is>
      </c>
      <c r="G814" t="n">
        <v>0</v>
      </c>
    </row>
    <row r="815">
      <c r="A815" t="n">
        <v>814</v>
      </c>
      <c r="B815" t="n">
        <v>3051</v>
      </c>
      <c r="C815" t="n">
        <v>54</v>
      </c>
      <c r="D815" t="inlineStr">
        <is>
          <t>A32</t>
        </is>
      </c>
      <c r="E815" t="inlineStr">
        <is>
          <t>A73</t>
        </is>
      </c>
      <c r="F815" t="inlineStr">
        <is>
          <t>Bad</t>
        </is>
      </c>
      <c r="G815" t="n">
        <v>0</v>
      </c>
    </row>
    <row r="816">
      <c r="A816" t="n">
        <v>815</v>
      </c>
      <c r="B816" t="n">
        <v>3931</v>
      </c>
      <c r="C816" t="n">
        <v>46</v>
      </c>
      <c r="D816" t="inlineStr">
        <is>
          <t>A32</t>
        </is>
      </c>
      <c r="E816" t="inlineStr">
        <is>
          <t>A74</t>
        </is>
      </c>
      <c r="F816" t="inlineStr">
        <is>
          <t>Bad</t>
        </is>
      </c>
      <c r="G816" t="n">
        <v>0</v>
      </c>
    </row>
    <row r="817">
      <c r="A817" t="n">
        <v>816</v>
      </c>
      <c r="B817" t="n">
        <v>7432</v>
      </c>
      <c r="C817" t="n">
        <v>54</v>
      </c>
      <c r="D817" t="inlineStr">
        <is>
          <t>A33</t>
        </is>
      </c>
      <c r="E817" t="inlineStr">
        <is>
          <t>A73</t>
        </is>
      </c>
      <c r="F817" t="inlineStr">
        <is>
          <t>Good</t>
        </is>
      </c>
      <c r="G817" t="n">
        <v>1</v>
      </c>
    </row>
    <row r="818">
      <c r="A818" t="n">
        <v>817</v>
      </c>
      <c r="B818" t="n">
        <v>1338</v>
      </c>
      <c r="C818" t="n">
        <v>62</v>
      </c>
      <c r="D818" t="inlineStr">
        <is>
          <t>A32</t>
        </is>
      </c>
      <c r="E818" t="inlineStr">
        <is>
          <t>A73</t>
        </is>
      </c>
      <c r="F818" t="inlineStr">
        <is>
          <t>Good</t>
        </is>
      </c>
      <c r="G818" t="n">
        <v>1</v>
      </c>
    </row>
    <row r="819">
      <c r="A819" t="n">
        <v>818</v>
      </c>
      <c r="B819" t="n">
        <v>1554</v>
      </c>
      <c r="C819" t="n">
        <v>24</v>
      </c>
      <c r="D819" t="inlineStr">
        <is>
          <t>A34</t>
        </is>
      </c>
      <c r="E819" t="inlineStr">
        <is>
          <t>A74</t>
        </is>
      </c>
      <c r="F819" t="inlineStr">
        <is>
          <t>Good</t>
        </is>
      </c>
      <c r="G819" t="n">
        <v>1</v>
      </c>
    </row>
    <row r="820">
      <c r="A820" t="n">
        <v>819</v>
      </c>
      <c r="B820" t="n">
        <v>15857</v>
      </c>
      <c r="C820" t="n">
        <v>43</v>
      </c>
      <c r="D820" t="inlineStr">
        <is>
          <t>A32</t>
        </is>
      </c>
      <c r="E820" t="inlineStr">
        <is>
          <t>A71</t>
        </is>
      </c>
      <c r="F820" t="inlineStr">
        <is>
          <t>Good</t>
        </is>
      </c>
      <c r="G820" t="n">
        <v>1</v>
      </c>
    </row>
    <row r="821">
      <c r="A821" t="n">
        <v>820</v>
      </c>
      <c r="B821" t="n">
        <v>1345</v>
      </c>
      <c r="C821" t="n">
        <v>26</v>
      </c>
      <c r="D821" t="inlineStr">
        <is>
          <t>A32</t>
        </is>
      </c>
      <c r="E821" t="inlineStr">
        <is>
          <t>A73</t>
        </is>
      </c>
      <c r="F821" t="inlineStr">
        <is>
          <t>Bad</t>
        </is>
      </c>
      <c r="G821" t="n">
        <v>0</v>
      </c>
    </row>
    <row r="822">
      <c r="A822" t="n">
        <v>821</v>
      </c>
      <c r="B822" t="n">
        <v>1101</v>
      </c>
      <c r="C822" t="n">
        <v>27</v>
      </c>
      <c r="D822" t="inlineStr">
        <is>
          <t>A32</t>
        </is>
      </c>
      <c r="E822" t="inlineStr">
        <is>
          <t>A73</t>
        </is>
      </c>
      <c r="F822" t="inlineStr">
        <is>
          <t>Good</t>
        </is>
      </c>
      <c r="G822" t="n">
        <v>1</v>
      </c>
    </row>
    <row r="823">
      <c r="A823" t="n">
        <v>822</v>
      </c>
      <c r="B823" t="n">
        <v>3016</v>
      </c>
      <c r="C823" t="n">
        <v>24</v>
      </c>
      <c r="D823" t="inlineStr">
        <is>
          <t>A32</t>
        </is>
      </c>
      <c r="E823" t="inlineStr">
        <is>
          <t>A73</t>
        </is>
      </c>
      <c r="F823" t="inlineStr">
        <is>
          <t>Good</t>
        </is>
      </c>
      <c r="G823" t="n">
        <v>1</v>
      </c>
    </row>
    <row r="824">
      <c r="A824" t="n">
        <v>823</v>
      </c>
      <c r="B824" t="n">
        <v>2712</v>
      </c>
      <c r="C824" t="n">
        <v>41</v>
      </c>
      <c r="D824" t="inlineStr">
        <is>
          <t>A32</t>
        </is>
      </c>
      <c r="E824" t="inlineStr">
        <is>
          <t>A75</t>
        </is>
      </c>
      <c r="F824" t="inlineStr">
        <is>
          <t>Bad</t>
        </is>
      </c>
      <c r="G824" t="n">
        <v>0</v>
      </c>
    </row>
    <row r="825">
      <c r="A825" t="n">
        <v>824</v>
      </c>
      <c r="B825" t="n">
        <v>731</v>
      </c>
      <c r="C825" t="n">
        <v>47</v>
      </c>
      <c r="D825" t="inlineStr">
        <is>
          <t>A34</t>
        </is>
      </c>
      <c r="E825" t="inlineStr">
        <is>
          <t>A75</t>
        </is>
      </c>
      <c r="F825" t="inlineStr">
        <is>
          <t>Good</t>
        </is>
      </c>
      <c r="G825" t="n">
        <v>1</v>
      </c>
    </row>
    <row r="826">
      <c r="A826" t="n">
        <v>825</v>
      </c>
      <c r="B826" t="n">
        <v>3780</v>
      </c>
      <c r="C826" t="n">
        <v>35</v>
      </c>
      <c r="D826" t="inlineStr">
        <is>
          <t>A34</t>
        </is>
      </c>
      <c r="E826" t="inlineStr">
        <is>
          <t>A72</t>
        </is>
      </c>
      <c r="F826" t="inlineStr">
        <is>
          <t>Good</t>
        </is>
      </c>
      <c r="G826" t="n">
        <v>1</v>
      </c>
    </row>
    <row r="827">
      <c r="A827" t="n">
        <v>826</v>
      </c>
      <c r="B827" t="n">
        <v>1602</v>
      </c>
      <c r="C827" t="n">
        <v>30</v>
      </c>
      <c r="D827" t="inlineStr">
        <is>
          <t>A34</t>
        </is>
      </c>
      <c r="E827" t="inlineStr">
        <is>
          <t>A75</t>
        </is>
      </c>
      <c r="F827" t="inlineStr">
        <is>
          <t>Good</t>
        </is>
      </c>
      <c r="G827" t="n">
        <v>1</v>
      </c>
    </row>
    <row r="828">
      <c r="A828" t="n">
        <v>827</v>
      </c>
      <c r="B828" t="n">
        <v>3966</v>
      </c>
      <c r="C828" t="n">
        <v>33</v>
      </c>
      <c r="D828" t="inlineStr">
        <is>
          <t>A34</t>
        </is>
      </c>
      <c r="E828" t="inlineStr">
        <is>
          <t>A75</t>
        </is>
      </c>
      <c r="F828" t="inlineStr">
        <is>
          <t>Bad</t>
        </is>
      </c>
      <c r="G828" t="n">
        <v>0</v>
      </c>
    </row>
    <row r="829">
      <c r="A829" t="n">
        <v>828</v>
      </c>
      <c r="B829" t="n">
        <v>4165</v>
      </c>
      <c r="C829" t="n">
        <v>36</v>
      </c>
      <c r="D829" t="inlineStr">
        <is>
          <t>A30</t>
        </is>
      </c>
      <c r="E829" t="inlineStr">
        <is>
          <t>A73</t>
        </is>
      </c>
      <c r="F829" t="inlineStr">
        <is>
          <t>Bad</t>
        </is>
      </c>
      <c r="G829" t="n">
        <v>0</v>
      </c>
    </row>
    <row r="830">
      <c r="A830" t="n">
        <v>829</v>
      </c>
      <c r="B830" t="n">
        <v>8335</v>
      </c>
      <c r="C830" t="n">
        <v>47</v>
      </c>
      <c r="D830" t="inlineStr">
        <is>
          <t>A32</t>
        </is>
      </c>
      <c r="E830" t="inlineStr">
        <is>
          <t>A75</t>
        </is>
      </c>
      <c r="F830" t="inlineStr">
        <is>
          <t>Bad</t>
        </is>
      </c>
      <c r="G830" t="n">
        <v>0</v>
      </c>
    </row>
    <row r="831">
      <c r="A831" t="n">
        <v>830</v>
      </c>
      <c r="B831" t="n">
        <v>6681</v>
      </c>
      <c r="C831" t="n">
        <v>38</v>
      </c>
      <c r="D831" t="inlineStr">
        <is>
          <t>A33</t>
        </is>
      </c>
      <c r="E831" t="inlineStr">
        <is>
          <t>A73</t>
        </is>
      </c>
      <c r="F831" t="inlineStr">
        <is>
          <t>Good</t>
        </is>
      </c>
      <c r="G831" t="n">
        <v>1</v>
      </c>
    </row>
    <row r="832">
      <c r="A832" t="n">
        <v>831</v>
      </c>
      <c r="B832" t="n">
        <v>2375</v>
      </c>
      <c r="C832" t="n">
        <v>44</v>
      </c>
      <c r="D832" t="inlineStr">
        <is>
          <t>A33</t>
        </is>
      </c>
      <c r="E832" t="inlineStr">
        <is>
          <t>A73</t>
        </is>
      </c>
      <c r="F832" t="inlineStr">
        <is>
          <t>Good</t>
        </is>
      </c>
      <c r="G832" t="n">
        <v>1</v>
      </c>
    </row>
    <row r="833">
      <c r="A833" t="n">
        <v>832</v>
      </c>
      <c r="B833" t="n">
        <v>1216</v>
      </c>
      <c r="C833" t="n">
        <v>23</v>
      </c>
      <c r="D833" t="inlineStr">
        <is>
          <t>A32</t>
        </is>
      </c>
      <c r="E833" t="inlineStr">
        <is>
          <t>A72</t>
        </is>
      </c>
      <c r="F833" t="inlineStr">
        <is>
          <t>Bad</t>
        </is>
      </c>
      <c r="G833" t="n">
        <v>0</v>
      </c>
    </row>
    <row r="834">
      <c r="A834" t="n">
        <v>833</v>
      </c>
      <c r="B834" t="n">
        <v>11816</v>
      </c>
      <c r="C834" t="n">
        <v>29</v>
      </c>
      <c r="D834" t="inlineStr">
        <is>
          <t>A30</t>
        </is>
      </c>
      <c r="E834" t="inlineStr">
        <is>
          <t>A75</t>
        </is>
      </c>
      <c r="F834" t="inlineStr">
        <is>
          <t>Bad</t>
        </is>
      </c>
      <c r="G834" t="n">
        <v>0</v>
      </c>
    </row>
    <row r="835">
      <c r="A835" t="n">
        <v>834</v>
      </c>
      <c r="B835" t="n">
        <v>5084</v>
      </c>
      <c r="C835" t="n">
        <v>42</v>
      </c>
      <c r="D835" t="inlineStr">
        <is>
          <t>A32</t>
        </is>
      </c>
      <c r="E835" t="inlineStr">
        <is>
          <t>A75</t>
        </is>
      </c>
      <c r="F835" t="inlineStr">
        <is>
          <t>Good</t>
        </is>
      </c>
      <c r="G835" t="n">
        <v>1</v>
      </c>
    </row>
    <row r="836">
      <c r="A836" t="n">
        <v>835</v>
      </c>
      <c r="B836" t="n">
        <v>2327</v>
      </c>
      <c r="C836" t="n">
        <v>25</v>
      </c>
      <c r="D836" t="inlineStr">
        <is>
          <t>A32</t>
        </is>
      </c>
      <c r="E836" t="inlineStr">
        <is>
          <t>A72</t>
        </is>
      </c>
      <c r="F836" t="inlineStr">
        <is>
          <t>Bad</t>
        </is>
      </c>
      <c r="G836" t="n">
        <v>0</v>
      </c>
    </row>
    <row r="837">
      <c r="A837" t="n">
        <v>836</v>
      </c>
      <c r="B837" t="n">
        <v>1082</v>
      </c>
      <c r="C837" t="n">
        <v>48</v>
      </c>
      <c r="D837" t="inlineStr">
        <is>
          <t>A30</t>
        </is>
      </c>
      <c r="E837" t="inlineStr">
        <is>
          <t>A73</t>
        </is>
      </c>
      <c r="F837" t="inlineStr">
        <is>
          <t>Bad</t>
        </is>
      </c>
      <c r="G837" t="n">
        <v>0</v>
      </c>
    </row>
    <row r="838">
      <c r="A838" t="n">
        <v>837</v>
      </c>
      <c r="B838" t="n">
        <v>886</v>
      </c>
      <c r="C838" t="n">
        <v>21</v>
      </c>
      <c r="D838" t="inlineStr">
        <is>
          <t>A32</t>
        </is>
      </c>
      <c r="E838" t="inlineStr">
        <is>
          <t>A73</t>
        </is>
      </c>
      <c r="F838" t="inlineStr">
        <is>
          <t>Good</t>
        </is>
      </c>
      <c r="G838" t="n">
        <v>1</v>
      </c>
    </row>
    <row r="839">
      <c r="A839" t="n">
        <v>838</v>
      </c>
      <c r="B839" t="n">
        <v>601</v>
      </c>
      <c r="C839" t="n">
        <v>23</v>
      </c>
      <c r="D839" t="inlineStr">
        <is>
          <t>A32</t>
        </is>
      </c>
      <c r="E839" t="inlineStr">
        <is>
          <t>A72</t>
        </is>
      </c>
      <c r="F839" t="inlineStr">
        <is>
          <t>Good</t>
        </is>
      </c>
      <c r="G839" t="n">
        <v>1</v>
      </c>
    </row>
    <row r="840">
      <c r="A840" t="n">
        <v>839</v>
      </c>
      <c r="B840" t="n">
        <v>2957</v>
      </c>
      <c r="C840" t="n">
        <v>63</v>
      </c>
      <c r="D840" t="inlineStr">
        <is>
          <t>A34</t>
        </is>
      </c>
      <c r="E840" t="inlineStr">
        <is>
          <t>A75</t>
        </is>
      </c>
      <c r="F840" t="inlineStr">
        <is>
          <t>Good</t>
        </is>
      </c>
      <c r="G840" t="n">
        <v>1</v>
      </c>
    </row>
    <row r="841">
      <c r="A841" t="n">
        <v>840</v>
      </c>
      <c r="B841" t="n">
        <v>2611</v>
      </c>
      <c r="C841" t="n">
        <v>46</v>
      </c>
      <c r="D841" t="inlineStr">
        <is>
          <t>A34</t>
        </is>
      </c>
      <c r="E841" t="inlineStr">
        <is>
          <t>A75</t>
        </is>
      </c>
      <c r="F841" t="inlineStr">
        <is>
          <t>Good</t>
        </is>
      </c>
      <c r="G841" t="n">
        <v>1</v>
      </c>
    </row>
    <row r="842">
      <c r="A842" t="n">
        <v>841</v>
      </c>
      <c r="B842" t="n">
        <v>5179</v>
      </c>
      <c r="C842" t="n">
        <v>29</v>
      </c>
      <c r="D842" t="inlineStr">
        <is>
          <t>A32</t>
        </is>
      </c>
      <c r="E842" t="inlineStr">
        <is>
          <t>A74</t>
        </is>
      </c>
      <c r="F842" t="inlineStr">
        <is>
          <t>Bad</t>
        </is>
      </c>
      <c r="G842" t="n">
        <v>0</v>
      </c>
    </row>
    <row r="843">
      <c r="A843" t="n">
        <v>842</v>
      </c>
      <c r="B843" t="n">
        <v>2993</v>
      </c>
      <c r="C843" t="n">
        <v>28</v>
      </c>
      <c r="D843" t="inlineStr">
        <is>
          <t>A33</t>
        </is>
      </c>
      <c r="E843" t="inlineStr">
        <is>
          <t>A73</t>
        </is>
      </c>
      <c r="F843" t="inlineStr">
        <is>
          <t>Good</t>
        </is>
      </c>
      <c r="G843" t="n">
        <v>1</v>
      </c>
    </row>
    <row r="844">
      <c r="A844" t="n">
        <v>843</v>
      </c>
      <c r="B844" t="n">
        <v>1943</v>
      </c>
      <c r="C844" t="n">
        <v>23</v>
      </c>
      <c r="D844" t="inlineStr">
        <is>
          <t>A32</t>
        </is>
      </c>
      <c r="E844" t="inlineStr">
        <is>
          <t>A72</t>
        </is>
      </c>
      <c r="F844" t="inlineStr">
        <is>
          <t>Bad</t>
        </is>
      </c>
      <c r="G844" t="n">
        <v>0</v>
      </c>
    </row>
    <row r="845">
      <c r="A845" t="n">
        <v>844</v>
      </c>
      <c r="B845" t="n">
        <v>1559</v>
      </c>
      <c r="C845" t="n">
        <v>50</v>
      </c>
      <c r="D845" t="inlineStr">
        <is>
          <t>A31</t>
        </is>
      </c>
      <c r="E845" t="inlineStr">
        <is>
          <t>A74</t>
        </is>
      </c>
      <c r="F845" t="inlineStr">
        <is>
          <t>Good</t>
        </is>
      </c>
      <c r="G845" t="n">
        <v>1</v>
      </c>
    </row>
    <row r="846">
      <c r="A846" t="n">
        <v>845</v>
      </c>
      <c r="B846" t="n">
        <v>3422</v>
      </c>
      <c r="C846" t="n">
        <v>47</v>
      </c>
      <c r="D846" t="inlineStr">
        <is>
          <t>A32</t>
        </is>
      </c>
      <c r="E846" t="inlineStr">
        <is>
          <t>A75</t>
        </is>
      </c>
      <c r="F846" t="inlineStr">
        <is>
          <t>Good</t>
        </is>
      </c>
      <c r="G846" t="n">
        <v>1</v>
      </c>
    </row>
    <row r="847">
      <c r="A847" t="n">
        <v>846</v>
      </c>
      <c r="B847" t="n">
        <v>3976</v>
      </c>
      <c r="C847" t="n">
        <v>35</v>
      </c>
      <c r="D847" t="inlineStr">
        <is>
          <t>A32</t>
        </is>
      </c>
      <c r="E847" t="inlineStr">
        <is>
          <t>A74</t>
        </is>
      </c>
      <c r="F847" t="inlineStr">
        <is>
          <t>Good</t>
        </is>
      </c>
      <c r="G847" t="n">
        <v>1</v>
      </c>
    </row>
    <row r="848">
      <c r="A848" t="n">
        <v>847</v>
      </c>
      <c r="B848" t="n">
        <v>6761</v>
      </c>
      <c r="C848" t="n">
        <v>68</v>
      </c>
      <c r="D848" t="inlineStr">
        <is>
          <t>A32</t>
        </is>
      </c>
      <c r="E848" t="inlineStr">
        <is>
          <t>A73</t>
        </is>
      </c>
      <c r="F848" t="inlineStr">
        <is>
          <t>Bad</t>
        </is>
      </c>
      <c r="G848" t="n">
        <v>0</v>
      </c>
    </row>
    <row r="849">
      <c r="A849" t="n">
        <v>848</v>
      </c>
      <c r="B849" t="n">
        <v>1249</v>
      </c>
      <c r="C849" t="n">
        <v>28</v>
      </c>
      <c r="D849" t="inlineStr">
        <is>
          <t>A32</t>
        </is>
      </c>
      <c r="E849" t="inlineStr">
        <is>
          <t>A72</t>
        </is>
      </c>
      <c r="F849" t="inlineStr">
        <is>
          <t>Good</t>
        </is>
      </c>
      <c r="G849" t="n">
        <v>1</v>
      </c>
    </row>
    <row r="850">
      <c r="A850" t="n">
        <v>849</v>
      </c>
      <c r="B850" t="n">
        <v>1364</v>
      </c>
      <c r="C850" t="n">
        <v>59</v>
      </c>
      <c r="D850" t="inlineStr">
        <is>
          <t>A32</t>
        </is>
      </c>
      <c r="E850" t="inlineStr">
        <is>
          <t>A74</t>
        </is>
      </c>
      <c r="F850" t="inlineStr">
        <is>
          <t>Good</t>
        </is>
      </c>
      <c r="G850" t="n">
        <v>1</v>
      </c>
    </row>
    <row r="851">
      <c r="A851" t="n">
        <v>850</v>
      </c>
      <c r="B851" t="n">
        <v>709</v>
      </c>
      <c r="C851" t="n">
        <v>57</v>
      </c>
      <c r="D851" t="inlineStr">
        <is>
          <t>A32</t>
        </is>
      </c>
      <c r="E851" t="inlineStr">
        <is>
          <t>A75</t>
        </is>
      </c>
      <c r="F851" t="inlineStr">
        <is>
          <t>Bad</t>
        </is>
      </c>
      <c r="G851" t="n">
        <v>0</v>
      </c>
    </row>
    <row r="852">
      <c r="A852" t="n">
        <v>851</v>
      </c>
      <c r="B852" t="n">
        <v>2235</v>
      </c>
      <c r="C852" t="n">
        <v>33</v>
      </c>
      <c r="D852" t="inlineStr">
        <is>
          <t>A34</t>
        </is>
      </c>
      <c r="E852" t="inlineStr">
        <is>
          <t>A73</t>
        </is>
      </c>
      <c r="F852" t="inlineStr">
        <is>
          <t>Bad</t>
        </is>
      </c>
      <c r="G852" t="n">
        <v>0</v>
      </c>
    </row>
    <row r="853">
      <c r="A853" t="n">
        <v>852</v>
      </c>
      <c r="B853" t="n">
        <v>4042</v>
      </c>
      <c r="C853" t="n">
        <v>43</v>
      </c>
      <c r="D853" t="inlineStr">
        <is>
          <t>A34</t>
        </is>
      </c>
      <c r="E853" t="inlineStr">
        <is>
          <t>A74</t>
        </is>
      </c>
      <c r="F853" t="inlineStr">
        <is>
          <t>Good</t>
        </is>
      </c>
      <c r="G853" t="n">
        <v>1</v>
      </c>
    </row>
    <row r="854">
      <c r="A854" t="n">
        <v>853</v>
      </c>
      <c r="B854" t="n">
        <v>1471</v>
      </c>
      <c r="C854" t="n">
        <v>35</v>
      </c>
      <c r="D854" t="inlineStr">
        <is>
          <t>A34</t>
        </is>
      </c>
      <c r="E854" t="inlineStr">
        <is>
          <t>A73</t>
        </is>
      </c>
      <c r="F854" t="inlineStr">
        <is>
          <t>Good</t>
        </is>
      </c>
      <c r="G854" t="n">
        <v>1</v>
      </c>
    </row>
    <row r="855">
      <c r="A855" t="n">
        <v>854</v>
      </c>
      <c r="B855" t="n">
        <v>1442</v>
      </c>
      <c r="C855" t="n">
        <v>32</v>
      </c>
      <c r="D855" t="inlineStr">
        <is>
          <t>A31</t>
        </is>
      </c>
      <c r="E855" t="inlineStr">
        <is>
          <t>A74</t>
        </is>
      </c>
      <c r="F855" t="inlineStr">
        <is>
          <t>Bad</t>
        </is>
      </c>
      <c r="G855" t="n">
        <v>0</v>
      </c>
    </row>
    <row r="856">
      <c r="A856" t="n">
        <v>855</v>
      </c>
      <c r="B856" t="n">
        <v>10875</v>
      </c>
      <c r="C856" t="n">
        <v>45</v>
      </c>
      <c r="D856" t="inlineStr">
        <is>
          <t>A33</t>
        </is>
      </c>
      <c r="E856" t="inlineStr">
        <is>
          <t>A75</t>
        </is>
      </c>
      <c r="F856" t="inlineStr">
        <is>
          <t>Good</t>
        </is>
      </c>
      <c r="G856" t="n">
        <v>1</v>
      </c>
    </row>
    <row r="857">
      <c r="A857" t="n">
        <v>856</v>
      </c>
      <c r="B857" t="n">
        <v>1474</v>
      </c>
      <c r="C857" t="n">
        <v>33</v>
      </c>
      <c r="D857" t="inlineStr">
        <is>
          <t>A32</t>
        </is>
      </c>
      <c r="E857" t="inlineStr">
        <is>
          <t>A72</t>
        </is>
      </c>
      <c r="F857" t="inlineStr">
        <is>
          <t>Good</t>
        </is>
      </c>
      <c r="G857" t="n">
        <v>1</v>
      </c>
    </row>
    <row r="858">
      <c r="A858" t="n">
        <v>857</v>
      </c>
      <c r="B858" t="n">
        <v>894</v>
      </c>
      <c r="C858" t="n">
        <v>40</v>
      </c>
      <c r="D858" t="inlineStr">
        <is>
          <t>A32</t>
        </is>
      </c>
      <c r="E858" t="inlineStr">
        <is>
          <t>A74</t>
        </is>
      </c>
      <c r="F858" t="inlineStr">
        <is>
          <t>Good</t>
        </is>
      </c>
      <c r="G858" t="n">
        <v>1</v>
      </c>
    </row>
    <row r="859">
      <c r="A859" t="n">
        <v>858</v>
      </c>
      <c r="B859" t="n">
        <v>3343</v>
      </c>
      <c r="C859" t="n">
        <v>28</v>
      </c>
      <c r="D859" t="inlineStr">
        <is>
          <t>A34</t>
        </is>
      </c>
      <c r="E859" t="inlineStr">
        <is>
          <t>A73</t>
        </is>
      </c>
      <c r="F859" t="inlineStr">
        <is>
          <t>Good</t>
        </is>
      </c>
      <c r="G859" t="n">
        <v>1</v>
      </c>
    </row>
    <row r="860">
      <c r="A860" t="n">
        <v>859</v>
      </c>
      <c r="B860" t="n">
        <v>3959</v>
      </c>
      <c r="C860" t="n">
        <v>29</v>
      </c>
      <c r="D860" t="inlineStr">
        <is>
          <t>A32</t>
        </is>
      </c>
      <c r="E860" t="inlineStr">
        <is>
          <t>A73</t>
        </is>
      </c>
      <c r="F860" t="inlineStr">
        <is>
          <t>Bad</t>
        </is>
      </c>
      <c r="G860" t="n">
        <v>0</v>
      </c>
    </row>
    <row r="861">
      <c r="A861" t="n">
        <v>860</v>
      </c>
      <c r="B861" t="n">
        <v>3577</v>
      </c>
      <c r="C861" t="n">
        <v>26</v>
      </c>
      <c r="D861" t="inlineStr">
        <is>
          <t>A32</t>
        </is>
      </c>
      <c r="E861" t="inlineStr">
        <is>
          <t>A73</t>
        </is>
      </c>
      <c r="F861" t="inlineStr">
        <is>
          <t>Good</t>
        </is>
      </c>
      <c r="G861" t="n">
        <v>1</v>
      </c>
    </row>
    <row r="862">
      <c r="A862" t="n">
        <v>861</v>
      </c>
      <c r="B862" t="n">
        <v>5804</v>
      </c>
      <c r="C862" t="n">
        <v>27</v>
      </c>
      <c r="D862" t="inlineStr">
        <is>
          <t>A34</t>
        </is>
      </c>
      <c r="E862" t="inlineStr">
        <is>
          <t>A73</t>
        </is>
      </c>
      <c r="F862" t="inlineStr">
        <is>
          <t>Good</t>
        </is>
      </c>
      <c r="G862" t="n">
        <v>1</v>
      </c>
    </row>
    <row r="863">
      <c r="A863" t="n">
        <v>862</v>
      </c>
      <c r="B863" t="n">
        <v>2169</v>
      </c>
      <c r="C863" t="n">
        <v>28</v>
      </c>
      <c r="D863" t="inlineStr">
        <is>
          <t>A33</t>
        </is>
      </c>
      <c r="E863" t="inlineStr">
        <is>
          <t>A73</t>
        </is>
      </c>
      <c r="F863" t="inlineStr">
        <is>
          <t>Bad</t>
        </is>
      </c>
      <c r="G863" t="n">
        <v>0</v>
      </c>
    </row>
    <row r="864">
      <c r="A864" t="n">
        <v>863</v>
      </c>
      <c r="B864" t="n">
        <v>2439</v>
      </c>
      <c r="C864" t="n">
        <v>35</v>
      </c>
      <c r="D864" t="inlineStr">
        <is>
          <t>A32</t>
        </is>
      </c>
      <c r="E864" t="inlineStr">
        <is>
          <t>A72</t>
        </is>
      </c>
      <c r="F864" t="inlineStr">
        <is>
          <t>Bad</t>
        </is>
      </c>
      <c r="G864" t="n">
        <v>0</v>
      </c>
    </row>
    <row r="865">
      <c r="A865" t="n">
        <v>864</v>
      </c>
      <c r="B865" t="n">
        <v>4526</v>
      </c>
      <c r="C865" t="n">
        <v>32</v>
      </c>
      <c r="D865" t="inlineStr">
        <is>
          <t>A34</t>
        </is>
      </c>
      <c r="E865" t="inlineStr">
        <is>
          <t>A72</t>
        </is>
      </c>
      <c r="F865" t="inlineStr">
        <is>
          <t>Good</t>
        </is>
      </c>
      <c r="G865" t="n">
        <v>1</v>
      </c>
    </row>
    <row r="866">
      <c r="A866" t="n">
        <v>865</v>
      </c>
      <c r="B866" t="n">
        <v>2210</v>
      </c>
      <c r="C866" t="n">
        <v>25</v>
      </c>
      <c r="D866" t="inlineStr">
        <is>
          <t>A32</t>
        </is>
      </c>
      <c r="E866" t="inlineStr">
        <is>
          <t>A73</t>
        </is>
      </c>
      <c r="F866" t="inlineStr">
        <is>
          <t>Bad</t>
        </is>
      </c>
      <c r="G866" t="n">
        <v>0</v>
      </c>
    </row>
    <row r="867">
      <c r="A867" t="n">
        <v>866</v>
      </c>
      <c r="B867" t="n">
        <v>2221</v>
      </c>
      <c r="C867" t="n">
        <v>20</v>
      </c>
      <c r="D867" t="inlineStr">
        <is>
          <t>A32</t>
        </is>
      </c>
      <c r="E867" t="inlineStr">
        <is>
          <t>A73</t>
        </is>
      </c>
      <c r="F867" t="inlineStr">
        <is>
          <t>Good</t>
        </is>
      </c>
      <c r="G867" t="n">
        <v>1</v>
      </c>
    </row>
    <row r="868">
      <c r="A868" t="n">
        <v>867</v>
      </c>
      <c r="B868" t="n">
        <v>2389</v>
      </c>
      <c r="C868" t="n">
        <v>27</v>
      </c>
      <c r="D868" t="inlineStr">
        <is>
          <t>A32</t>
        </is>
      </c>
      <c r="E868" t="inlineStr">
        <is>
          <t>A72</t>
        </is>
      </c>
      <c r="F868" t="inlineStr">
        <is>
          <t>Good</t>
        </is>
      </c>
      <c r="G868" t="n">
        <v>1</v>
      </c>
    </row>
    <row r="869">
      <c r="A869" t="n">
        <v>868</v>
      </c>
      <c r="B869" t="n">
        <v>3331</v>
      </c>
      <c r="C869" t="n">
        <v>42</v>
      </c>
      <c r="D869" t="inlineStr">
        <is>
          <t>A34</t>
        </is>
      </c>
      <c r="E869" t="inlineStr">
        <is>
          <t>A75</t>
        </is>
      </c>
      <c r="F869" t="inlineStr">
        <is>
          <t>Good</t>
        </is>
      </c>
      <c r="G869" t="n">
        <v>1</v>
      </c>
    </row>
    <row r="870">
      <c r="A870" t="n">
        <v>869</v>
      </c>
      <c r="B870" t="n">
        <v>7409</v>
      </c>
      <c r="C870" t="n">
        <v>37</v>
      </c>
      <c r="D870" t="inlineStr">
        <is>
          <t>A32</t>
        </is>
      </c>
      <c r="E870" t="inlineStr">
        <is>
          <t>A75</t>
        </is>
      </c>
      <c r="F870" t="inlineStr">
        <is>
          <t>Good</t>
        </is>
      </c>
      <c r="G870" t="n">
        <v>1</v>
      </c>
    </row>
    <row r="871">
      <c r="A871" t="n">
        <v>870</v>
      </c>
      <c r="B871" t="n">
        <v>652</v>
      </c>
      <c r="C871" t="n">
        <v>24</v>
      </c>
      <c r="D871" t="inlineStr">
        <is>
          <t>A32</t>
        </is>
      </c>
      <c r="E871" t="inlineStr">
        <is>
          <t>A75</t>
        </is>
      </c>
      <c r="F871" t="inlineStr">
        <is>
          <t>Good</t>
        </is>
      </c>
      <c r="G871" t="n">
        <v>1</v>
      </c>
    </row>
    <row r="872">
      <c r="A872" t="n">
        <v>871</v>
      </c>
      <c r="B872" t="n">
        <v>7678</v>
      </c>
      <c r="C872" t="n">
        <v>40</v>
      </c>
      <c r="D872" t="inlineStr">
        <is>
          <t>A33</t>
        </is>
      </c>
      <c r="E872" t="inlineStr">
        <is>
          <t>A74</t>
        </is>
      </c>
      <c r="F872" t="inlineStr">
        <is>
          <t>Good</t>
        </is>
      </c>
      <c r="G872" t="n">
        <v>1</v>
      </c>
    </row>
    <row r="873">
      <c r="A873" t="n">
        <v>872</v>
      </c>
      <c r="B873" t="n">
        <v>1343</v>
      </c>
      <c r="C873" t="n">
        <v>46</v>
      </c>
      <c r="D873" t="inlineStr">
        <is>
          <t>A34</t>
        </is>
      </c>
      <c r="E873" t="inlineStr">
        <is>
          <t>A75</t>
        </is>
      </c>
      <c r="F873" t="inlineStr">
        <is>
          <t>Good</t>
        </is>
      </c>
      <c r="G873" t="n">
        <v>1</v>
      </c>
    </row>
    <row r="874">
      <c r="A874" t="n">
        <v>873</v>
      </c>
      <c r="B874" t="n">
        <v>1382</v>
      </c>
      <c r="C874" t="n">
        <v>26</v>
      </c>
      <c r="D874" t="inlineStr">
        <is>
          <t>A34</t>
        </is>
      </c>
      <c r="E874" t="inlineStr">
        <is>
          <t>A74</t>
        </is>
      </c>
      <c r="F874" t="inlineStr">
        <is>
          <t>Good</t>
        </is>
      </c>
      <c r="G874" t="n">
        <v>1</v>
      </c>
    </row>
    <row r="875">
      <c r="A875" t="n">
        <v>874</v>
      </c>
      <c r="B875" t="n">
        <v>874</v>
      </c>
      <c r="C875" t="n">
        <v>24</v>
      </c>
      <c r="D875" t="inlineStr">
        <is>
          <t>A32</t>
        </is>
      </c>
      <c r="E875" t="inlineStr">
        <is>
          <t>A72</t>
        </is>
      </c>
      <c r="F875" t="inlineStr">
        <is>
          <t>Good</t>
        </is>
      </c>
      <c r="G875" t="n">
        <v>1</v>
      </c>
    </row>
    <row r="876">
      <c r="A876" t="n">
        <v>875</v>
      </c>
      <c r="B876" t="n">
        <v>3590</v>
      </c>
      <c r="C876" t="n">
        <v>29</v>
      </c>
      <c r="D876" t="inlineStr">
        <is>
          <t>A32</t>
        </is>
      </c>
      <c r="E876" t="inlineStr">
        <is>
          <t>A73</t>
        </is>
      </c>
      <c r="F876" t="inlineStr">
        <is>
          <t>Good</t>
        </is>
      </c>
      <c r="G876" t="n">
        <v>1</v>
      </c>
    </row>
    <row r="877">
      <c r="A877" t="n">
        <v>876</v>
      </c>
      <c r="B877" t="n">
        <v>1322</v>
      </c>
      <c r="C877" t="n">
        <v>40</v>
      </c>
      <c r="D877" t="inlineStr">
        <is>
          <t>A34</t>
        </is>
      </c>
      <c r="E877" t="inlineStr">
        <is>
          <t>A73</t>
        </is>
      </c>
      <c r="F877" t="inlineStr">
        <is>
          <t>Good</t>
        </is>
      </c>
      <c r="G877" t="n">
        <v>1</v>
      </c>
    </row>
    <row r="878">
      <c r="A878" t="n">
        <v>877</v>
      </c>
      <c r="B878" t="n">
        <v>1940</v>
      </c>
      <c r="C878" t="n">
        <v>36</v>
      </c>
      <c r="D878" t="inlineStr">
        <is>
          <t>A31</t>
        </is>
      </c>
      <c r="E878" t="inlineStr">
        <is>
          <t>A72</t>
        </is>
      </c>
      <c r="F878" t="inlineStr">
        <is>
          <t>Good</t>
        </is>
      </c>
      <c r="G878" t="n">
        <v>1</v>
      </c>
    </row>
    <row r="879">
      <c r="A879" t="n">
        <v>878</v>
      </c>
      <c r="B879" t="n">
        <v>3595</v>
      </c>
      <c r="C879" t="n">
        <v>28</v>
      </c>
      <c r="D879" t="inlineStr">
        <is>
          <t>A32</t>
        </is>
      </c>
      <c r="E879" t="inlineStr">
        <is>
          <t>A75</t>
        </is>
      </c>
      <c r="F879" t="inlineStr">
        <is>
          <t>Good</t>
        </is>
      </c>
      <c r="G879" t="n">
        <v>1</v>
      </c>
    </row>
    <row r="880">
      <c r="A880" t="n">
        <v>879</v>
      </c>
      <c r="B880" t="n">
        <v>1422</v>
      </c>
      <c r="C880" t="n">
        <v>27</v>
      </c>
      <c r="D880" t="inlineStr">
        <is>
          <t>A32</t>
        </is>
      </c>
      <c r="E880" t="inlineStr">
        <is>
          <t>A72</t>
        </is>
      </c>
      <c r="F880" t="inlineStr">
        <is>
          <t>Bad</t>
        </is>
      </c>
      <c r="G880" t="n">
        <v>0</v>
      </c>
    </row>
    <row r="881">
      <c r="A881" t="n">
        <v>880</v>
      </c>
      <c r="B881" t="n">
        <v>6742</v>
      </c>
      <c r="C881" t="n">
        <v>36</v>
      </c>
      <c r="D881" t="inlineStr">
        <is>
          <t>A34</t>
        </is>
      </c>
      <c r="E881" t="inlineStr">
        <is>
          <t>A74</t>
        </is>
      </c>
      <c r="F881" t="inlineStr">
        <is>
          <t>Good</t>
        </is>
      </c>
      <c r="G881" t="n">
        <v>1</v>
      </c>
    </row>
    <row r="882">
      <c r="A882" t="n">
        <v>881</v>
      </c>
      <c r="B882" t="n">
        <v>7814</v>
      </c>
      <c r="C882" t="n">
        <v>38</v>
      </c>
      <c r="D882" t="inlineStr">
        <is>
          <t>A32</t>
        </is>
      </c>
      <c r="E882" t="inlineStr">
        <is>
          <t>A74</t>
        </is>
      </c>
      <c r="F882" t="inlineStr">
        <is>
          <t>Good</t>
        </is>
      </c>
      <c r="G882" t="n">
        <v>1</v>
      </c>
    </row>
    <row r="883">
      <c r="A883" t="n">
        <v>882</v>
      </c>
      <c r="B883" t="n">
        <v>9277</v>
      </c>
      <c r="C883" t="n">
        <v>48</v>
      </c>
      <c r="D883" t="inlineStr">
        <is>
          <t>A32</t>
        </is>
      </c>
      <c r="E883" t="inlineStr">
        <is>
          <t>A73</t>
        </is>
      </c>
      <c r="F883" t="inlineStr">
        <is>
          <t>Good</t>
        </is>
      </c>
      <c r="G883" t="n">
        <v>1</v>
      </c>
    </row>
    <row r="884">
      <c r="A884" t="n">
        <v>883</v>
      </c>
      <c r="B884" t="n">
        <v>2181</v>
      </c>
      <c r="C884" t="n">
        <v>36</v>
      </c>
      <c r="D884" t="inlineStr">
        <is>
          <t>A34</t>
        </is>
      </c>
      <c r="E884" t="inlineStr">
        <is>
          <t>A75</t>
        </is>
      </c>
      <c r="F884" t="inlineStr">
        <is>
          <t>Good</t>
        </is>
      </c>
      <c r="G884" t="n">
        <v>1</v>
      </c>
    </row>
    <row r="885">
      <c r="A885" t="n">
        <v>884</v>
      </c>
      <c r="B885" t="n">
        <v>1098</v>
      </c>
      <c r="C885" t="n">
        <v>65</v>
      </c>
      <c r="D885" t="inlineStr">
        <is>
          <t>A34</t>
        </is>
      </c>
      <c r="E885" t="inlineStr">
        <is>
          <t>A71</t>
        </is>
      </c>
      <c r="F885" t="inlineStr">
        <is>
          <t>Good</t>
        </is>
      </c>
      <c r="G885" t="n">
        <v>1</v>
      </c>
    </row>
    <row r="886">
      <c r="A886" t="n">
        <v>885</v>
      </c>
      <c r="B886" t="n">
        <v>4057</v>
      </c>
      <c r="C886" t="n">
        <v>43</v>
      </c>
      <c r="D886" t="inlineStr">
        <is>
          <t>A32</t>
        </is>
      </c>
      <c r="E886" t="inlineStr">
        <is>
          <t>A74</t>
        </is>
      </c>
      <c r="F886" t="inlineStr">
        <is>
          <t>Bad</t>
        </is>
      </c>
      <c r="G886" t="n">
        <v>0</v>
      </c>
    </row>
    <row r="887">
      <c r="A887" t="n">
        <v>886</v>
      </c>
      <c r="B887" t="n">
        <v>795</v>
      </c>
      <c r="C887" t="n">
        <v>53</v>
      </c>
      <c r="D887" t="inlineStr">
        <is>
          <t>A32</t>
        </is>
      </c>
      <c r="E887" t="inlineStr">
        <is>
          <t>A72</t>
        </is>
      </c>
      <c r="F887" t="inlineStr">
        <is>
          <t>Bad</t>
        </is>
      </c>
      <c r="G887" t="n">
        <v>0</v>
      </c>
    </row>
    <row r="888">
      <c r="A888" t="n">
        <v>887</v>
      </c>
      <c r="B888" t="n">
        <v>2825</v>
      </c>
      <c r="C888" t="n">
        <v>34</v>
      </c>
      <c r="D888" t="inlineStr">
        <is>
          <t>A34</t>
        </is>
      </c>
      <c r="E888" t="inlineStr">
        <is>
          <t>A74</t>
        </is>
      </c>
      <c r="F888" t="inlineStr">
        <is>
          <t>Good</t>
        </is>
      </c>
      <c r="G888" t="n">
        <v>1</v>
      </c>
    </row>
    <row r="889">
      <c r="A889" t="n">
        <v>888</v>
      </c>
      <c r="B889" t="n">
        <v>15672</v>
      </c>
      <c r="C889" t="n">
        <v>23</v>
      </c>
      <c r="D889" t="inlineStr">
        <is>
          <t>A32</t>
        </is>
      </c>
      <c r="E889" t="inlineStr">
        <is>
          <t>A73</t>
        </is>
      </c>
      <c r="F889" t="inlineStr">
        <is>
          <t>Bad</t>
        </is>
      </c>
      <c r="G889" t="n">
        <v>0</v>
      </c>
    </row>
    <row r="890">
      <c r="A890" t="n">
        <v>889</v>
      </c>
      <c r="B890" t="n">
        <v>6614</v>
      </c>
      <c r="C890" t="n">
        <v>34</v>
      </c>
      <c r="D890" t="inlineStr">
        <is>
          <t>A34</t>
        </is>
      </c>
      <c r="E890" t="inlineStr">
        <is>
          <t>A75</t>
        </is>
      </c>
      <c r="F890" t="inlineStr">
        <is>
          <t>Good</t>
        </is>
      </c>
      <c r="G890" t="n">
        <v>1</v>
      </c>
    </row>
    <row r="891">
      <c r="A891" t="n">
        <v>890</v>
      </c>
      <c r="B891" t="n">
        <v>7824</v>
      </c>
      <c r="C891" t="n">
        <v>40</v>
      </c>
      <c r="D891" t="inlineStr">
        <is>
          <t>A31</t>
        </is>
      </c>
      <c r="E891" t="inlineStr">
        <is>
          <t>A72</t>
        </is>
      </c>
      <c r="F891" t="inlineStr">
        <is>
          <t>Good</t>
        </is>
      </c>
      <c r="G891" t="n">
        <v>1</v>
      </c>
    </row>
    <row r="892">
      <c r="A892" t="n">
        <v>891</v>
      </c>
      <c r="B892" t="n">
        <v>2442</v>
      </c>
      <c r="C892" t="n">
        <v>43</v>
      </c>
      <c r="D892" t="inlineStr">
        <is>
          <t>A34</t>
        </is>
      </c>
      <c r="E892" t="inlineStr">
        <is>
          <t>A75</t>
        </is>
      </c>
      <c r="F892" t="inlineStr">
        <is>
          <t>Good</t>
        </is>
      </c>
      <c r="G892" t="n">
        <v>1</v>
      </c>
    </row>
    <row r="893">
      <c r="A893" t="n">
        <v>892</v>
      </c>
      <c r="B893" t="n">
        <v>1829</v>
      </c>
      <c r="C893" t="n">
        <v>46</v>
      </c>
      <c r="D893" t="inlineStr">
        <is>
          <t>A34</t>
        </is>
      </c>
      <c r="E893" t="inlineStr">
        <is>
          <t>A75</t>
        </is>
      </c>
      <c r="F893" t="inlineStr">
        <is>
          <t>Good</t>
        </is>
      </c>
      <c r="G893" t="n">
        <v>1</v>
      </c>
    </row>
    <row r="894">
      <c r="A894" t="n">
        <v>893</v>
      </c>
      <c r="B894" t="n">
        <v>2171</v>
      </c>
      <c r="C894" t="n">
        <v>38</v>
      </c>
      <c r="D894" t="inlineStr">
        <is>
          <t>A34</t>
        </is>
      </c>
      <c r="E894" t="inlineStr">
        <is>
          <t>A73</t>
        </is>
      </c>
      <c r="F894" t="inlineStr">
        <is>
          <t>Good</t>
        </is>
      </c>
      <c r="G894" t="n">
        <v>1</v>
      </c>
    </row>
    <row r="895">
      <c r="A895" t="n">
        <v>894</v>
      </c>
      <c r="B895" t="n">
        <v>5800</v>
      </c>
      <c r="C895" t="n">
        <v>34</v>
      </c>
      <c r="D895" t="inlineStr">
        <is>
          <t>A34</t>
        </is>
      </c>
      <c r="E895" t="inlineStr">
        <is>
          <t>A73</t>
        </is>
      </c>
      <c r="F895" t="inlineStr">
        <is>
          <t>Good</t>
        </is>
      </c>
      <c r="G895" t="n">
        <v>1</v>
      </c>
    </row>
    <row r="896">
      <c r="A896" t="n">
        <v>895</v>
      </c>
      <c r="B896" t="n">
        <v>1169</v>
      </c>
      <c r="C896" t="n">
        <v>29</v>
      </c>
      <c r="D896" t="inlineStr">
        <is>
          <t>A34</t>
        </is>
      </c>
      <c r="E896" t="inlineStr">
        <is>
          <t>A73</t>
        </is>
      </c>
      <c r="F896" t="inlineStr">
        <is>
          <t>Good</t>
        </is>
      </c>
      <c r="G896" t="n">
        <v>1</v>
      </c>
    </row>
    <row r="897">
      <c r="A897" t="n">
        <v>896</v>
      </c>
      <c r="B897" t="n">
        <v>8947</v>
      </c>
      <c r="C897" t="n">
        <v>31</v>
      </c>
      <c r="D897" t="inlineStr">
        <is>
          <t>A33</t>
        </is>
      </c>
      <c r="E897" t="inlineStr">
        <is>
          <t>A74</t>
        </is>
      </c>
      <c r="F897" t="inlineStr">
        <is>
          <t>Good</t>
        </is>
      </c>
      <c r="G897" t="n">
        <v>1</v>
      </c>
    </row>
    <row r="898">
      <c r="A898" t="n">
        <v>897</v>
      </c>
      <c r="B898" t="n">
        <v>2606</v>
      </c>
      <c r="C898" t="n">
        <v>28</v>
      </c>
      <c r="D898" t="inlineStr">
        <is>
          <t>A32</t>
        </is>
      </c>
      <c r="E898" t="inlineStr">
        <is>
          <t>A72</t>
        </is>
      </c>
      <c r="F898" t="inlineStr">
        <is>
          <t>Good</t>
        </is>
      </c>
      <c r="G898" t="n">
        <v>1</v>
      </c>
    </row>
    <row r="899">
      <c r="A899" t="n">
        <v>898</v>
      </c>
      <c r="B899" t="n">
        <v>1592</v>
      </c>
      <c r="C899" t="n">
        <v>35</v>
      </c>
      <c r="D899" t="inlineStr">
        <is>
          <t>A34</t>
        </is>
      </c>
      <c r="E899" t="inlineStr">
        <is>
          <t>A74</t>
        </is>
      </c>
      <c r="F899" t="inlineStr">
        <is>
          <t>Good</t>
        </is>
      </c>
      <c r="G899" t="n">
        <v>1</v>
      </c>
    </row>
    <row r="900">
      <c r="A900" t="n">
        <v>899</v>
      </c>
      <c r="B900" t="n">
        <v>2186</v>
      </c>
      <c r="C900" t="n">
        <v>33</v>
      </c>
      <c r="D900" t="inlineStr">
        <is>
          <t>A32</t>
        </is>
      </c>
      <c r="E900" t="inlineStr">
        <is>
          <t>A74</t>
        </is>
      </c>
      <c r="F900" t="inlineStr">
        <is>
          <t>Good</t>
        </is>
      </c>
      <c r="G900" t="n">
        <v>1</v>
      </c>
    </row>
    <row r="901">
      <c r="A901" t="n">
        <v>900</v>
      </c>
      <c r="B901" t="n">
        <v>4153</v>
      </c>
      <c r="C901" t="n">
        <v>42</v>
      </c>
      <c r="D901" t="inlineStr">
        <is>
          <t>A32</t>
        </is>
      </c>
      <c r="E901" t="inlineStr">
        <is>
          <t>A73</t>
        </is>
      </c>
      <c r="F901" t="inlineStr">
        <is>
          <t>Bad</t>
        </is>
      </c>
      <c r="G901" t="n">
        <v>0</v>
      </c>
    </row>
    <row r="902">
      <c r="A902" t="n">
        <v>901</v>
      </c>
      <c r="B902" t="n">
        <v>2625</v>
      </c>
      <c r="C902" t="n">
        <v>43</v>
      </c>
      <c r="D902" t="inlineStr">
        <is>
          <t>A34</t>
        </is>
      </c>
      <c r="E902" t="inlineStr">
        <is>
          <t>A75</t>
        </is>
      </c>
      <c r="F902" t="inlineStr">
        <is>
          <t>Bad</t>
        </is>
      </c>
      <c r="G902" t="n">
        <v>0</v>
      </c>
    </row>
    <row r="903">
      <c r="A903" t="n">
        <v>902</v>
      </c>
      <c r="B903" t="n">
        <v>3485</v>
      </c>
      <c r="C903" t="n">
        <v>44</v>
      </c>
      <c r="D903" t="inlineStr">
        <is>
          <t>A34</t>
        </is>
      </c>
      <c r="E903" t="inlineStr">
        <is>
          <t>A72</t>
        </is>
      </c>
      <c r="F903" t="inlineStr">
        <is>
          <t>Good</t>
        </is>
      </c>
      <c r="G903" t="n">
        <v>1</v>
      </c>
    </row>
    <row r="904">
      <c r="A904" t="n">
        <v>903</v>
      </c>
      <c r="B904" t="n">
        <v>10477</v>
      </c>
      <c r="C904" t="n">
        <v>42</v>
      </c>
      <c r="D904" t="inlineStr">
        <is>
          <t>A34</t>
        </is>
      </c>
      <c r="E904" t="inlineStr">
        <is>
          <t>A75</t>
        </is>
      </c>
      <c r="F904" t="inlineStr">
        <is>
          <t>Good</t>
        </is>
      </c>
      <c r="G904" t="n">
        <v>1</v>
      </c>
    </row>
    <row r="905">
      <c r="A905" t="n">
        <v>904</v>
      </c>
      <c r="B905" t="n">
        <v>1386</v>
      </c>
      <c r="C905" t="n">
        <v>40</v>
      </c>
      <c r="D905" t="inlineStr">
        <is>
          <t>A32</t>
        </is>
      </c>
      <c r="E905" t="inlineStr">
        <is>
          <t>A73</t>
        </is>
      </c>
      <c r="F905" t="inlineStr">
        <is>
          <t>Good</t>
        </is>
      </c>
      <c r="G905" t="n">
        <v>1</v>
      </c>
    </row>
    <row r="906">
      <c r="A906" t="n">
        <v>905</v>
      </c>
      <c r="B906" t="n">
        <v>1278</v>
      </c>
      <c r="C906" t="n">
        <v>36</v>
      </c>
      <c r="D906" t="inlineStr">
        <is>
          <t>A32</t>
        </is>
      </c>
      <c r="E906" t="inlineStr">
        <is>
          <t>A75</t>
        </is>
      </c>
      <c r="F906" t="inlineStr">
        <is>
          <t>Good</t>
        </is>
      </c>
      <c r="G906" t="n">
        <v>1</v>
      </c>
    </row>
    <row r="907">
      <c r="A907" t="n">
        <v>906</v>
      </c>
      <c r="B907" t="n">
        <v>1107</v>
      </c>
      <c r="C907" t="n">
        <v>20</v>
      </c>
      <c r="D907" t="inlineStr">
        <is>
          <t>A32</t>
        </is>
      </c>
      <c r="E907" t="inlineStr">
        <is>
          <t>A73</t>
        </is>
      </c>
      <c r="F907" t="inlineStr">
        <is>
          <t>Good</t>
        </is>
      </c>
      <c r="G907" t="n">
        <v>1</v>
      </c>
    </row>
    <row r="908">
      <c r="A908" t="n">
        <v>907</v>
      </c>
      <c r="B908" t="n">
        <v>3763</v>
      </c>
      <c r="C908" t="n">
        <v>24</v>
      </c>
      <c r="D908" t="inlineStr">
        <is>
          <t>A32</t>
        </is>
      </c>
      <c r="E908" t="inlineStr">
        <is>
          <t>A74</t>
        </is>
      </c>
      <c r="F908" t="inlineStr">
        <is>
          <t>Good</t>
        </is>
      </c>
      <c r="G908" t="n">
        <v>1</v>
      </c>
    </row>
    <row r="909">
      <c r="A909" t="n">
        <v>908</v>
      </c>
      <c r="B909" t="n">
        <v>3711</v>
      </c>
      <c r="C909" t="n">
        <v>27</v>
      </c>
      <c r="D909" t="inlineStr">
        <is>
          <t>A32</t>
        </is>
      </c>
      <c r="E909" t="inlineStr">
        <is>
          <t>A73</t>
        </is>
      </c>
      <c r="F909" t="inlineStr">
        <is>
          <t>Good</t>
        </is>
      </c>
      <c r="G909" t="n">
        <v>1</v>
      </c>
    </row>
    <row r="910">
      <c r="A910" t="n">
        <v>909</v>
      </c>
      <c r="B910" t="n">
        <v>3594</v>
      </c>
      <c r="C910" t="n">
        <v>46</v>
      </c>
      <c r="D910" t="inlineStr">
        <is>
          <t>A33</t>
        </is>
      </c>
      <c r="E910" t="inlineStr">
        <is>
          <t>A72</t>
        </is>
      </c>
      <c r="F910" t="inlineStr">
        <is>
          <t>Good</t>
        </is>
      </c>
      <c r="G910" t="n">
        <v>1</v>
      </c>
    </row>
    <row r="911">
      <c r="A911" t="n">
        <v>910</v>
      </c>
      <c r="B911" t="n">
        <v>3195</v>
      </c>
      <c r="C911" t="n">
        <v>33</v>
      </c>
      <c r="D911" t="inlineStr">
        <is>
          <t>A32</t>
        </is>
      </c>
      <c r="E911" t="inlineStr">
        <is>
          <t>A73</t>
        </is>
      </c>
      <c r="F911" t="inlineStr">
        <is>
          <t>Good</t>
        </is>
      </c>
      <c r="G911" t="n">
        <v>1</v>
      </c>
    </row>
    <row r="912">
      <c r="A912" t="n">
        <v>911</v>
      </c>
      <c r="B912" t="n">
        <v>4454</v>
      </c>
      <c r="C912" t="n">
        <v>34</v>
      </c>
      <c r="D912" t="inlineStr">
        <is>
          <t>A33</t>
        </is>
      </c>
      <c r="E912" t="inlineStr">
        <is>
          <t>A73</t>
        </is>
      </c>
      <c r="F912" t="inlineStr">
        <is>
          <t>Good</t>
        </is>
      </c>
      <c r="G912" t="n">
        <v>1</v>
      </c>
    </row>
    <row r="913">
      <c r="A913" t="n">
        <v>912</v>
      </c>
      <c r="B913" t="n">
        <v>4736</v>
      </c>
      <c r="C913" t="n">
        <v>25</v>
      </c>
      <c r="D913" t="inlineStr">
        <is>
          <t>A34</t>
        </is>
      </c>
      <c r="E913" t="inlineStr">
        <is>
          <t>A72</t>
        </is>
      </c>
      <c r="F913" t="inlineStr">
        <is>
          <t>Bad</t>
        </is>
      </c>
      <c r="G913" t="n">
        <v>0</v>
      </c>
    </row>
    <row r="914">
      <c r="A914" t="n">
        <v>913</v>
      </c>
      <c r="B914" t="n">
        <v>2991</v>
      </c>
      <c r="C914" t="n">
        <v>25</v>
      </c>
      <c r="D914" t="inlineStr">
        <is>
          <t>A32</t>
        </is>
      </c>
      <c r="E914" t="inlineStr">
        <is>
          <t>A75</t>
        </is>
      </c>
      <c r="F914" t="inlineStr">
        <is>
          <t>Good</t>
        </is>
      </c>
      <c r="G914" t="n">
        <v>1</v>
      </c>
    </row>
    <row r="915">
      <c r="A915" t="n">
        <v>914</v>
      </c>
      <c r="B915" t="n">
        <v>2142</v>
      </c>
      <c r="C915" t="n">
        <v>28</v>
      </c>
      <c r="D915" t="inlineStr">
        <is>
          <t>A32</t>
        </is>
      </c>
      <c r="E915" t="inlineStr">
        <is>
          <t>A75</t>
        </is>
      </c>
      <c r="F915" t="inlineStr">
        <is>
          <t>Good</t>
        </is>
      </c>
      <c r="G915" t="n">
        <v>1</v>
      </c>
    </row>
    <row r="916">
      <c r="A916" t="n">
        <v>915</v>
      </c>
      <c r="B916" t="n">
        <v>3161</v>
      </c>
      <c r="C916" t="n">
        <v>31</v>
      </c>
      <c r="D916" t="inlineStr">
        <is>
          <t>A31</t>
        </is>
      </c>
      <c r="E916" t="inlineStr">
        <is>
          <t>A73</t>
        </is>
      </c>
      <c r="F916" t="inlineStr">
        <is>
          <t>Bad</t>
        </is>
      </c>
      <c r="G916" t="n">
        <v>0</v>
      </c>
    </row>
    <row r="917">
      <c r="A917" t="n">
        <v>916</v>
      </c>
      <c r="B917" t="n">
        <v>18424</v>
      </c>
      <c r="C917" t="n">
        <v>32</v>
      </c>
      <c r="D917" t="inlineStr">
        <is>
          <t>A30</t>
        </is>
      </c>
      <c r="E917" t="inlineStr">
        <is>
          <t>A73</t>
        </is>
      </c>
      <c r="F917" t="inlineStr">
        <is>
          <t>Bad</t>
        </is>
      </c>
      <c r="G917" t="n">
        <v>0</v>
      </c>
    </row>
    <row r="918">
      <c r="A918" t="n">
        <v>917</v>
      </c>
      <c r="B918" t="n">
        <v>2848</v>
      </c>
      <c r="C918" t="n">
        <v>32</v>
      </c>
      <c r="D918" t="inlineStr">
        <is>
          <t>A32</t>
        </is>
      </c>
      <c r="E918" t="inlineStr">
        <is>
          <t>A73</t>
        </is>
      </c>
      <c r="F918" t="inlineStr">
        <is>
          <t>Good</t>
        </is>
      </c>
      <c r="G918" t="n">
        <v>1</v>
      </c>
    </row>
    <row r="919">
      <c r="A919" t="n">
        <v>918</v>
      </c>
      <c r="B919" t="n">
        <v>14896</v>
      </c>
      <c r="C919" t="n">
        <v>68</v>
      </c>
      <c r="D919" t="inlineStr">
        <is>
          <t>A32</t>
        </is>
      </c>
      <c r="E919" t="inlineStr">
        <is>
          <t>A75</t>
        </is>
      </c>
      <c r="F919" t="inlineStr">
        <is>
          <t>Bad</t>
        </is>
      </c>
      <c r="G919" t="n">
        <v>0</v>
      </c>
    </row>
    <row r="920">
      <c r="A920" t="n">
        <v>919</v>
      </c>
      <c r="B920" t="n">
        <v>2359</v>
      </c>
      <c r="C920" t="n">
        <v>33</v>
      </c>
      <c r="D920" t="inlineStr">
        <is>
          <t>A32</t>
        </is>
      </c>
      <c r="E920" t="inlineStr">
        <is>
          <t>A71</t>
        </is>
      </c>
      <c r="F920" t="inlineStr">
        <is>
          <t>Bad</t>
        </is>
      </c>
      <c r="G920" t="n">
        <v>0</v>
      </c>
    </row>
    <row r="921">
      <c r="A921" t="n">
        <v>920</v>
      </c>
      <c r="B921" t="n">
        <v>3345</v>
      </c>
      <c r="C921" t="n">
        <v>39</v>
      </c>
      <c r="D921" t="inlineStr">
        <is>
          <t>A32</t>
        </is>
      </c>
      <c r="E921" t="inlineStr">
        <is>
          <t>A75</t>
        </is>
      </c>
      <c r="F921" t="inlineStr">
        <is>
          <t>Bad</t>
        </is>
      </c>
      <c r="G921" t="n">
        <v>0</v>
      </c>
    </row>
    <row r="922">
      <c r="A922" t="n">
        <v>921</v>
      </c>
      <c r="B922" t="n">
        <v>1817</v>
      </c>
      <c r="C922" t="n">
        <v>28</v>
      </c>
      <c r="D922" t="inlineStr">
        <is>
          <t>A34</t>
        </is>
      </c>
      <c r="E922" t="inlineStr">
        <is>
          <t>A73</t>
        </is>
      </c>
      <c r="F922" t="inlineStr">
        <is>
          <t>Good</t>
        </is>
      </c>
      <c r="G922" t="n">
        <v>1</v>
      </c>
    </row>
    <row r="923">
      <c r="A923" t="n">
        <v>922</v>
      </c>
      <c r="B923" t="n">
        <v>12749</v>
      </c>
      <c r="C923" t="n">
        <v>37</v>
      </c>
      <c r="D923" t="inlineStr">
        <is>
          <t>A33</t>
        </is>
      </c>
      <c r="E923" t="inlineStr">
        <is>
          <t>A74</t>
        </is>
      </c>
      <c r="F923" t="inlineStr">
        <is>
          <t>Good</t>
        </is>
      </c>
      <c r="G923" t="n">
        <v>1</v>
      </c>
    </row>
    <row r="924">
      <c r="A924" t="n">
        <v>923</v>
      </c>
      <c r="B924" t="n">
        <v>1366</v>
      </c>
      <c r="C924" t="n">
        <v>22</v>
      </c>
      <c r="D924" t="inlineStr">
        <is>
          <t>A32</t>
        </is>
      </c>
      <c r="E924" t="inlineStr">
        <is>
          <t>A72</t>
        </is>
      </c>
      <c r="F924" t="inlineStr">
        <is>
          <t>Bad</t>
        </is>
      </c>
      <c r="G924" t="n">
        <v>0</v>
      </c>
    </row>
    <row r="925">
      <c r="A925" t="n">
        <v>924</v>
      </c>
      <c r="B925" t="n">
        <v>2002</v>
      </c>
      <c r="C925" t="n">
        <v>30</v>
      </c>
      <c r="D925" t="inlineStr">
        <is>
          <t>A32</t>
        </is>
      </c>
      <c r="E925" t="inlineStr">
        <is>
          <t>A74</t>
        </is>
      </c>
      <c r="F925" t="inlineStr">
        <is>
          <t>Good</t>
        </is>
      </c>
      <c r="G925" t="n">
        <v>1</v>
      </c>
    </row>
    <row r="926">
      <c r="A926" t="n">
        <v>925</v>
      </c>
      <c r="B926" t="n">
        <v>6872</v>
      </c>
      <c r="C926" t="n">
        <v>55</v>
      </c>
      <c r="D926" t="inlineStr">
        <is>
          <t>A31</t>
        </is>
      </c>
      <c r="E926" t="inlineStr">
        <is>
          <t>A72</t>
        </is>
      </c>
      <c r="F926" t="inlineStr">
        <is>
          <t>Bad</t>
        </is>
      </c>
      <c r="G926" t="n">
        <v>0</v>
      </c>
    </row>
    <row r="927">
      <c r="A927" t="n">
        <v>926</v>
      </c>
      <c r="B927" t="n">
        <v>697</v>
      </c>
      <c r="C927" t="n">
        <v>46</v>
      </c>
      <c r="D927" t="inlineStr">
        <is>
          <t>A31</t>
        </is>
      </c>
      <c r="E927" t="inlineStr">
        <is>
          <t>A72</t>
        </is>
      </c>
      <c r="F927" t="inlineStr">
        <is>
          <t>Bad</t>
        </is>
      </c>
      <c r="G927" t="n">
        <v>0</v>
      </c>
    </row>
    <row r="928">
      <c r="A928" t="n">
        <v>927</v>
      </c>
      <c r="B928" t="n">
        <v>1049</v>
      </c>
      <c r="C928" t="n">
        <v>21</v>
      </c>
      <c r="D928" t="inlineStr">
        <is>
          <t>A34</t>
        </is>
      </c>
      <c r="E928" t="inlineStr">
        <is>
          <t>A72</t>
        </is>
      </c>
      <c r="F928" t="inlineStr">
        <is>
          <t>Good</t>
        </is>
      </c>
      <c r="G928" t="n">
        <v>1</v>
      </c>
    </row>
    <row r="929">
      <c r="A929" t="n">
        <v>928</v>
      </c>
      <c r="B929" t="n">
        <v>10297</v>
      </c>
      <c r="C929" t="n">
        <v>39</v>
      </c>
      <c r="D929" t="inlineStr">
        <is>
          <t>A32</t>
        </is>
      </c>
      <c r="E929" t="inlineStr">
        <is>
          <t>A74</t>
        </is>
      </c>
      <c r="F929" t="inlineStr">
        <is>
          <t>Bad</t>
        </is>
      </c>
      <c r="G929" t="n">
        <v>0</v>
      </c>
    </row>
    <row r="930">
      <c r="A930" t="n">
        <v>929</v>
      </c>
      <c r="B930" t="n">
        <v>1867</v>
      </c>
      <c r="C930" t="n">
        <v>58</v>
      </c>
      <c r="D930" t="inlineStr">
        <is>
          <t>A32</t>
        </is>
      </c>
      <c r="E930" t="inlineStr">
        <is>
          <t>A75</t>
        </is>
      </c>
      <c r="F930" t="inlineStr">
        <is>
          <t>Good</t>
        </is>
      </c>
      <c r="G930" t="n">
        <v>1</v>
      </c>
    </row>
    <row r="931">
      <c r="A931" t="n">
        <v>930</v>
      </c>
      <c r="B931" t="n">
        <v>1344</v>
      </c>
      <c r="C931" t="n">
        <v>43</v>
      </c>
      <c r="D931" t="inlineStr">
        <is>
          <t>A33</t>
        </is>
      </c>
      <c r="E931" t="inlineStr">
        <is>
          <t>A73</t>
        </is>
      </c>
      <c r="F931" t="inlineStr">
        <is>
          <t>Good</t>
        </is>
      </c>
      <c r="G931" t="n">
        <v>1</v>
      </c>
    </row>
    <row r="932">
      <c r="A932" t="n">
        <v>931</v>
      </c>
      <c r="B932" t="n">
        <v>1747</v>
      </c>
      <c r="C932" t="n">
        <v>24</v>
      </c>
      <c r="D932" t="inlineStr">
        <is>
          <t>A32</t>
        </is>
      </c>
      <c r="E932" t="inlineStr">
        <is>
          <t>A72</t>
        </is>
      </c>
      <c r="F932" t="inlineStr">
        <is>
          <t>Good</t>
        </is>
      </c>
      <c r="G932" t="n">
        <v>1</v>
      </c>
    </row>
    <row r="933">
      <c r="A933" t="n">
        <v>932</v>
      </c>
      <c r="B933" t="n">
        <v>1670</v>
      </c>
      <c r="C933" t="n">
        <v>22</v>
      </c>
      <c r="D933" t="inlineStr">
        <is>
          <t>A32</t>
        </is>
      </c>
      <c r="E933" t="inlineStr">
        <is>
          <t>A72</t>
        </is>
      </c>
      <c r="F933" t="inlineStr">
        <is>
          <t>Bad</t>
        </is>
      </c>
      <c r="G933" t="n">
        <v>0</v>
      </c>
    </row>
    <row r="934">
      <c r="A934" t="n">
        <v>933</v>
      </c>
      <c r="B934" t="n">
        <v>1224</v>
      </c>
      <c r="C934" t="n">
        <v>30</v>
      </c>
      <c r="D934" t="inlineStr">
        <is>
          <t>A34</t>
        </is>
      </c>
      <c r="E934" t="inlineStr">
        <is>
          <t>A73</t>
        </is>
      </c>
      <c r="F934" t="inlineStr">
        <is>
          <t>Good</t>
        </is>
      </c>
      <c r="G934" t="n">
        <v>1</v>
      </c>
    </row>
    <row r="935">
      <c r="A935" t="n">
        <v>934</v>
      </c>
      <c r="B935" t="n">
        <v>522</v>
      </c>
      <c r="C935" t="n">
        <v>42</v>
      </c>
      <c r="D935" t="inlineStr">
        <is>
          <t>A34</t>
        </is>
      </c>
      <c r="E935" t="inlineStr">
        <is>
          <t>A75</t>
        </is>
      </c>
      <c r="F935" t="inlineStr">
        <is>
          <t>Good</t>
        </is>
      </c>
      <c r="G935" t="n">
        <v>1</v>
      </c>
    </row>
    <row r="936">
      <c r="A936" t="n">
        <v>935</v>
      </c>
      <c r="B936" t="n">
        <v>1498</v>
      </c>
      <c r="C936" t="n">
        <v>23</v>
      </c>
      <c r="D936" t="inlineStr">
        <is>
          <t>A32</t>
        </is>
      </c>
      <c r="E936" t="inlineStr">
        <is>
          <t>A73</t>
        </is>
      </c>
      <c r="F936" t="inlineStr">
        <is>
          <t>Good</t>
        </is>
      </c>
      <c r="G936" t="n">
        <v>1</v>
      </c>
    </row>
    <row r="937">
      <c r="A937" t="n">
        <v>936</v>
      </c>
      <c r="B937" t="n">
        <v>1919</v>
      </c>
      <c r="C937" t="n">
        <v>30</v>
      </c>
      <c r="D937" t="inlineStr">
        <is>
          <t>A33</t>
        </is>
      </c>
      <c r="E937" t="inlineStr">
        <is>
          <t>A72</t>
        </is>
      </c>
      <c r="F937" t="inlineStr">
        <is>
          <t>Bad</t>
        </is>
      </c>
      <c r="G937" t="n">
        <v>0</v>
      </c>
    </row>
    <row r="938">
      <c r="A938" t="n">
        <v>937</v>
      </c>
      <c r="B938" t="n">
        <v>745</v>
      </c>
      <c r="C938" t="n">
        <v>28</v>
      </c>
      <c r="D938" t="inlineStr">
        <is>
          <t>A32</t>
        </is>
      </c>
      <c r="E938" t="inlineStr">
        <is>
          <t>A73</t>
        </is>
      </c>
      <c r="F938" t="inlineStr">
        <is>
          <t>Bad</t>
        </is>
      </c>
      <c r="G938" t="n">
        <v>0</v>
      </c>
    </row>
    <row r="939">
      <c r="A939" t="n">
        <v>938</v>
      </c>
      <c r="B939" t="n">
        <v>2063</v>
      </c>
      <c r="C939" t="n">
        <v>30</v>
      </c>
      <c r="D939" t="inlineStr">
        <is>
          <t>A32</t>
        </is>
      </c>
      <c r="E939" t="inlineStr">
        <is>
          <t>A72</t>
        </is>
      </c>
      <c r="F939" t="inlineStr">
        <is>
          <t>Good</t>
        </is>
      </c>
      <c r="G939" t="n">
        <v>1</v>
      </c>
    </row>
    <row r="940">
      <c r="A940" t="n">
        <v>939</v>
      </c>
      <c r="B940" t="n">
        <v>6288</v>
      </c>
      <c r="C940" t="n">
        <v>42</v>
      </c>
      <c r="D940" t="inlineStr">
        <is>
          <t>A32</t>
        </is>
      </c>
      <c r="E940" t="inlineStr">
        <is>
          <t>A73</t>
        </is>
      </c>
      <c r="F940" t="inlineStr">
        <is>
          <t>Bad</t>
        </is>
      </c>
      <c r="G940" t="n">
        <v>0</v>
      </c>
    </row>
    <row r="941">
      <c r="A941" t="n">
        <v>940</v>
      </c>
      <c r="B941" t="n">
        <v>6842</v>
      </c>
      <c r="C941" t="n">
        <v>46</v>
      </c>
      <c r="D941" t="inlineStr">
        <is>
          <t>A34</t>
        </is>
      </c>
      <c r="E941" t="inlineStr">
        <is>
          <t>A73</t>
        </is>
      </c>
      <c r="F941" t="inlineStr">
        <is>
          <t>Good</t>
        </is>
      </c>
      <c r="G941" t="n">
        <v>1</v>
      </c>
    </row>
    <row r="942">
      <c r="A942" t="n">
        <v>941</v>
      </c>
      <c r="B942" t="n">
        <v>3527</v>
      </c>
      <c r="C942" t="n">
        <v>45</v>
      </c>
      <c r="D942" t="inlineStr">
        <is>
          <t>A32</t>
        </is>
      </c>
      <c r="E942" t="inlineStr">
        <is>
          <t>A72</t>
        </is>
      </c>
      <c r="F942" t="inlineStr">
        <is>
          <t>Good</t>
        </is>
      </c>
      <c r="G942" t="n">
        <v>1</v>
      </c>
    </row>
    <row r="943">
      <c r="A943" t="n">
        <v>942</v>
      </c>
      <c r="B943" t="n">
        <v>1546</v>
      </c>
      <c r="C943" t="n">
        <v>31</v>
      </c>
      <c r="D943" t="inlineStr">
        <is>
          <t>A32</t>
        </is>
      </c>
      <c r="E943" t="inlineStr">
        <is>
          <t>A73</t>
        </is>
      </c>
      <c r="F943" t="inlineStr">
        <is>
          <t>Good</t>
        </is>
      </c>
      <c r="G943" t="n">
        <v>1</v>
      </c>
    </row>
    <row r="944">
      <c r="A944" t="n">
        <v>943</v>
      </c>
      <c r="B944" t="n">
        <v>929</v>
      </c>
      <c r="C944" t="n">
        <v>31</v>
      </c>
      <c r="D944" t="inlineStr">
        <is>
          <t>A32</t>
        </is>
      </c>
      <c r="E944" t="inlineStr">
        <is>
          <t>A74</t>
        </is>
      </c>
      <c r="F944" t="inlineStr">
        <is>
          <t>Good</t>
        </is>
      </c>
      <c r="G944" t="n">
        <v>1</v>
      </c>
    </row>
    <row r="945">
      <c r="A945" t="n">
        <v>944</v>
      </c>
      <c r="B945" t="n">
        <v>1455</v>
      </c>
      <c r="C945" t="n">
        <v>42</v>
      </c>
      <c r="D945" t="inlineStr">
        <is>
          <t>A34</t>
        </is>
      </c>
      <c r="E945" t="inlineStr">
        <is>
          <t>A74</t>
        </is>
      </c>
      <c r="F945" t="inlineStr">
        <is>
          <t>Good</t>
        </is>
      </c>
      <c r="G945" t="n">
        <v>1</v>
      </c>
    </row>
    <row r="946">
      <c r="A946" t="n">
        <v>945</v>
      </c>
      <c r="B946" t="n">
        <v>1845</v>
      </c>
      <c r="C946" t="n">
        <v>46</v>
      </c>
      <c r="D946" t="inlineStr">
        <is>
          <t>A32</t>
        </is>
      </c>
      <c r="E946" t="inlineStr">
        <is>
          <t>A72</t>
        </is>
      </c>
      <c r="F946" t="inlineStr">
        <is>
          <t>Good</t>
        </is>
      </c>
      <c r="G946" t="n">
        <v>1</v>
      </c>
    </row>
    <row r="947">
      <c r="A947" t="n">
        <v>946</v>
      </c>
      <c r="B947" t="n">
        <v>8358</v>
      </c>
      <c r="C947" t="n">
        <v>30</v>
      </c>
      <c r="D947" t="inlineStr">
        <is>
          <t>A30</t>
        </is>
      </c>
      <c r="E947" t="inlineStr">
        <is>
          <t>A72</t>
        </is>
      </c>
      <c r="F947" t="inlineStr">
        <is>
          <t>Good</t>
        </is>
      </c>
      <c r="G947" t="n">
        <v>1</v>
      </c>
    </row>
    <row r="948">
      <c r="A948" t="n">
        <v>947</v>
      </c>
      <c r="B948" t="n">
        <v>3349</v>
      </c>
      <c r="C948" t="n">
        <v>30</v>
      </c>
      <c r="D948" t="inlineStr">
        <is>
          <t>A31</t>
        </is>
      </c>
      <c r="E948" t="inlineStr">
        <is>
          <t>A72</t>
        </is>
      </c>
      <c r="F948" t="inlineStr">
        <is>
          <t>Bad</t>
        </is>
      </c>
      <c r="G948" t="n">
        <v>0</v>
      </c>
    </row>
    <row r="949">
      <c r="A949" t="n">
        <v>948</v>
      </c>
      <c r="B949" t="n">
        <v>2859</v>
      </c>
      <c r="C949" t="n">
        <v>38</v>
      </c>
      <c r="D949" t="inlineStr">
        <is>
          <t>A32</t>
        </is>
      </c>
      <c r="E949" t="inlineStr">
        <is>
          <t>A71</t>
        </is>
      </c>
      <c r="F949" t="inlineStr">
        <is>
          <t>Good</t>
        </is>
      </c>
      <c r="G949" t="n">
        <v>1</v>
      </c>
    </row>
    <row r="950">
      <c r="A950" t="n">
        <v>949</v>
      </c>
      <c r="B950" t="n">
        <v>1533</v>
      </c>
      <c r="C950" t="n">
        <v>43</v>
      </c>
      <c r="D950" t="inlineStr">
        <is>
          <t>A32</t>
        </is>
      </c>
      <c r="E950" t="inlineStr">
        <is>
          <t>A72</t>
        </is>
      </c>
      <c r="F950" t="inlineStr">
        <is>
          <t>Bad</t>
        </is>
      </c>
      <c r="G950" t="n">
        <v>0</v>
      </c>
    </row>
    <row r="951">
      <c r="A951" t="n">
        <v>950</v>
      </c>
      <c r="B951" t="n">
        <v>3621</v>
      </c>
      <c r="C951" t="n">
        <v>31</v>
      </c>
      <c r="D951" t="inlineStr">
        <is>
          <t>A32</t>
        </is>
      </c>
      <c r="E951" t="inlineStr">
        <is>
          <t>A75</t>
        </is>
      </c>
      <c r="F951" t="inlineStr">
        <is>
          <t>Bad</t>
        </is>
      </c>
      <c r="G951" t="n">
        <v>0</v>
      </c>
    </row>
    <row r="952">
      <c r="A952" t="n">
        <v>951</v>
      </c>
      <c r="B952" t="n">
        <v>3590</v>
      </c>
      <c r="C952" t="n">
        <v>40</v>
      </c>
      <c r="D952" t="inlineStr">
        <is>
          <t>A34</t>
        </is>
      </c>
      <c r="E952" t="inlineStr">
        <is>
          <t>A71</t>
        </is>
      </c>
      <c r="F952" t="inlineStr">
        <is>
          <t>Good</t>
        </is>
      </c>
      <c r="G952" t="n">
        <v>1</v>
      </c>
    </row>
    <row r="953">
      <c r="A953" t="n">
        <v>952</v>
      </c>
      <c r="B953" t="n">
        <v>2145</v>
      </c>
      <c r="C953" t="n">
        <v>24</v>
      </c>
      <c r="D953" t="inlineStr">
        <is>
          <t>A33</t>
        </is>
      </c>
      <c r="E953" t="inlineStr">
        <is>
          <t>A74</t>
        </is>
      </c>
      <c r="F953" t="inlineStr">
        <is>
          <t>Bad</t>
        </is>
      </c>
      <c r="G953" t="n">
        <v>0</v>
      </c>
    </row>
    <row r="954">
      <c r="A954" t="n">
        <v>953</v>
      </c>
      <c r="B954" t="n">
        <v>4113</v>
      </c>
      <c r="C954" t="n">
        <v>28</v>
      </c>
      <c r="D954" t="inlineStr">
        <is>
          <t>A32</t>
        </is>
      </c>
      <c r="E954" t="inlineStr">
        <is>
          <t>A72</t>
        </is>
      </c>
      <c r="F954" t="inlineStr">
        <is>
          <t>Bad</t>
        </is>
      </c>
      <c r="G954" t="n">
        <v>0</v>
      </c>
    </row>
    <row r="955">
      <c r="A955" t="n">
        <v>954</v>
      </c>
      <c r="B955" t="n">
        <v>10974</v>
      </c>
      <c r="C955" t="n">
        <v>26</v>
      </c>
      <c r="D955" t="inlineStr">
        <is>
          <t>A32</t>
        </is>
      </c>
      <c r="E955" t="inlineStr">
        <is>
          <t>A71</t>
        </is>
      </c>
      <c r="F955" t="inlineStr">
        <is>
          <t>Bad</t>
        </is>
      </c>
      <c r="G955" t="n">
        <v>0</v>
      </c>
    </row>
    <row r="956">
      <c r="A956" t="n">
        <v>955</v>
      </c>
      <c r="B956" t="n">
        <v>1893</v>
      </c>
      <c r="C956" t="n">
        <v>29</v>
      </c>
      <c r="D956" t="inlineStr">
        <is>
          <t>A32</t>
        </is>
      </c>
      <c r="E956" t="inlineStr">
        <is>
          <t>A73</t>
        </is>
      </c>
      <c r="F956" t="inlineStr">
        <is>
          <t>Good</t>
        </is>
      </c>
      <c r="G956" t="n">
        <v>1</v>
      </c>
    </row>
    <row r="957">
      <c r="A957" t="n">
        <v>956</v>
      </c>
      <c r="B957" t="n">
        <v>1231</v>
      </c>
      <c r="C957" t="n">
        <v>57</v>
      </c>
      <c r="D957" t="inlineStr">
        <is>
          <t>A34</t>
        </is>
      </c>
      <c r="E957" t="inlineStr">
        <is>
          <t>A75</t>
        </is>
      </c>
      <c r="F957" t="inlineStr">
        <is>
          <t>Good</t>
        </is>
      </c>
      <c r="G957" t="n">
        <v>1</v>
      </c>
    </row>
    <row r="958">
      <c r="A958" t="n">
        <v>957</v>
      </c>
      <c r="B958" t="n">
        <v>3656</v>
      </c>
      <c r="C958" t="n">
        <v>49</v>
      </c>
      <c r="D958" t="inlineStr">
        <is>
          <t>A34</t>
        </is>
      </c>
      <c r="E958" t="inlineStr">
        <is>
          <t>A75</t>
        </is>
      </c>
      <c r="F958" t="inlineStr">
        <is>
          <t>Good</t>
        </is>
      </c>
      <c r="G958" t="n">
        <v>1</v>
      </c>
    </row>
    <row r="959">
      <c r="A959" t="n">
        <v>958</v>
      </c>
      <c r="B959" t="n">
        <v>1154</v>
      </c>
      <c r="C959" t="n">
        <v>37</v>
      </c>
      <c r="D959" t="inlineStr">
        <is>
          <t>A34</t>
        </is>
      </c>
      <c r="E959" t="inlineStr">
        <is>
          <t>A75</t>
        </is>
      </c>
      <c r="F959" t="inlineStr">
        <is>
          <t>Good</t>
        </is>
      </c>
      <c r="G959" t="n">
        <v>1</v>
      </c>
    </row>
    <row r="960">
      <c r="A960" t="n">
        <v>959</v>
      </c>
      <c r="B960" t="n">
        <v>4006</v>
      </c>
      <c r="C960" t="n">
        <v>45</v>
      </c>
      <c r="D960" t="inlineStr">
        <is>
          <t>A32</t>
        </is>
      </c>
      <c r="E960" t="inlineStr">
        <is>
          <t>A73</t>
        </is>
      </c>
      <c r="F960" t="inlineStr">
        <is>
          <t>Bad</t>
        </is>
      </c>
      <c r="G960" t="n">
        <v>0</v>
      </c>
    </row>
    <row r="961">
      <c r="A961" t="n">
        <v>960</v>
      </c>
      <c r="B961" t="n">
        <v>3069</v>
      </c>
      <c r="C961" t="n">
        <v>30</v>
      </c>
      <c r="D961" t="inlineStr">
        <is>
          <t>A32</t>
        </is>
      </c>
      <c r="E961" t="inlineStr">
        <is>
          <t>A75</t>
        </is>
      </c>
      <c r="F961" t="inlineStr">
        <is>
          <t>Good</t>
        </is>
      </c>
      <c r="G961" t="n">
        <v>1</v>
      </c>
    </row>
    <row r="962">
      <c r="A962" t="n">
        <v>961</v>
      </c>
      <c r="B962" t="n">
        <v>1740</v>
      </c>
      <c r="C962" t="n">
        <v>30</v>
      </c>
      <c r="D962" t="inlineStr">
        <is>
          <t>A34</t>
        </is>
      </c>
      <c r="E962" t="inlineStr">
        <is>
          <t>A75</t>
        </is>
      </c>
      <c r="F962" t="inlineStr">
        <is>
          <t>Good</t>
        </is>
      </c>
      <c r="G962" t="n">
        <v>1</v>
      </c>
    </row>
    <row r="963">
      <c r="A963" t="n">
        <v>962</v>
      </c>
      <c r="B963" t="n">
        <v>2353</v>
      </c>
      <c r="C963" t="n">
        <v>47</v>
      </c>
      <c r="D963" t="inlineStr">
        <is>
          <t>A33</t>
        </is>
      </c>
      <c r="E963" t="inlineStr">
        <is>
          <t>A73</t>
        </is>
      </c>
      <c r="F963" t="inlineStr">
        <is>
          <t>Good</t>
        </is>
      </c>
      <c r="G963" t="n">
        <v>1</v>
      </c>
    </row>
    <row r="964">
      <c r="A964" t="n">
        <v>963</v>
      </c>
      <c r="B964" t="n">
        <v>3556</v>
      </c>
      <c r="C964" t="n">
        <v>29</v>
      </c>
      <c r="D964" t="inlineStr">
        <is>
          <t>A32</t>
        </is>
      </c>
      <c r="E964" t="inlineStr">
        <is>
          <t>A73</t>
        </is>
      </c>
      <c r="F964" t="inlineStr">
        <is>
          <t>Good</t>
        </is>
      </c>
      <c r="G964" t="n">
        <v>1</v>
      </c>
    </row>
    <row r="965">
      <c r="A965" t="n">
        <v>964</v>
      </c>
      <c r="B965" t="n">
        <v>2397</v>
      </c>
      <c r="C965" t="n">
        <v>35</v>
      </c>
      <c r="D965" t="inlineStr">
        <is>
          <t>A32</t>
        </is>
      </c>
      <c r="E965" t="inlineStr">
        <is>
          <t>A75</t>
        </is>
      </c>
      <c r="F965" t="inlineStr">
        <is>
          <t>Bad</t>
        </is>
      </c>
      <c r="G965" t="n">
        <v>0</v>
      </c>
    </row>
    <row r="966">
      <c r="A966" t="n">
        <v>965</v>
      </c>
      <c r="B966" t="n">
        <v>454</v>
      </c>
      <c r="C966" t="n">
        <v>22</v>
      </c>
      <c r="D966" t="inlineStr">
        <is>
          <t>A32</t>
        </is>
      </c>
      <c r="E966" t="inlineStr">
        <is>
          <t>A72</t>
        </is>
      </c>
      <c r="F966" t="inlineStr">
        <is>
          <t>Good</t>
        </is>
      </c>
      <c r="G966" t="n">
        <v>1</v>
      </c>
    </row>
    <row r="967">
      <c r="A967" t="n">
        <v>966</v>
      </c>
      <c r="B967" t="n">
        <v>1715</v>
      </c>
      <c r="C967" t="n">
        <v>26</v>
      </c>
      <c r="D967" t="inlineStr">
        <is>
          <t>A32</t>
        </is>
      </c>
      <c r="E967" t="inlineStr">
        <is>
          <t>A73</t>
        </is>
      </c>
      <c r="F967" t="inlineStr">
        <is>
          <t>Good</t>
        </is>
      </c>
      <c r="G967" t="n">
        <v>1</v>
      </c>
    </row>
    <row r="968">
      <c r="A968" t="n">
        <v>967</v>
      </c>
      <c r="B968" t="n">
        <v>2520</v>
      </c>
      <c r="C968" t="n">
        <v>23</v>
      </c>
      <c r="D968" t="inlineStr">
        <is>
          <t>A34</t>
        </is>
      </c>
      <c r="E968" t="inlineStr">
        <is>
          <t>A73</t>
        </is>
      </c>
      <c r="F968" t="inlineStr">
        <is>
          <t>Bad</t>
        </is>
      </c>
      <c r="G968" t="n">
        <v>0</v>
      </c>
    </row>
    <row r="969">
      <c r="A969" t="n">
        <v>968</v>
      </c>
      <c r="B969" t="n">
        <v>3568</v>
      </c>
      <c r="C969" t="n">
        <v>54</v>
      </c>
      <c r="D969" t="inlineStr">
        <is>
          <t>A32</t>
        </is>
      </c>
      <c r="E969" t="inlineStr">
        <is>
          <t>A75</t>
        </is>
      </c>
      <c r="F969" t="inlineStr">
        <is>
          <t>Good</t>
        </is>
      </c>
      <c r="G969" t="n">
        <v>1</v>
      </c>
    </row>
    <row r="970">
      <c r="A970" t="n">
        <v>969</v>
      </c>
      <c r="B970" t="n">
        <v>7166</v>
      </c>
      <c r="C970" t="n">
        <v>29</v>
      </c>
      <c r="D970" t="inlineStr">
        <is>
          <t>A32</t>
        </is>
      </c>
      <c r="E970" t="inlineStr">
        <is>
          <t>A74</t>
        </is>
      </c>
      <c r="F970" t="inlineStr">
        <is>
          <t>Good</t>
        </is>
      </c>
      <c r="G970" t="n">
        <v>1</v>
      </c>
    </row>
    <row r="971">
      <c r="A971" t="n">
        <v>970</v>
      </c>
      <c r="B971" t="n">
        <v>3939</v>
      </c>
      <c r="C971" t="n">
        <v>40</v>
      </c>
      <c r="D971" t="inlineStr">
        <is>
          <t>A34</t>
        </is>
      </c>
      <c r="E971" t="inlineStr">
        <is>
          <t>A73</t>
        </is>
      </c>
      <c r="F971" t="inlineStr">
        <is>
          <t>Good</t>
        </is>
      </c>
      <c r="G971" t="n">
        <v>1</v>
      </c>
    </row>
    <row r="972">
      <c r="A972" t="n">
        <v>971</v>
      </c>
      <c r="B972" t="n">
        <v>1514</v>
      </c>
      <c r="C972" t="n">
        <v>22</v>
      </c>
      <c r="D972" t="inlineStr">
        <is>
          <t>A32</t>
        </is>
      </c>
      <c r="E972" t="inlineStr">
        <is>
          <t>A73</t>
        </is>
      </c>
      <c r="F972" t="inlineStr">
        <is>
          <t>Good</t>
        </is>
      </c>
      <c r="G972" t="n">
        <v>1</v>
      </c>
    </row>
    <row r="973">
      <c r="A973" t="n">
        <v>972</v>
      </c>
      <c r="B973" t="n">
        <v>7393</v>
      </c>
      <c r="C973" t="n">
        <v>43</v>
      </c>
      <c r="D973" t="inlineStr">
        <is>
          <t>A32</t>
        </is>
      </c>
      <c r="E973" t="inlineStr">
        <is>
          <t>A73</t>
        </is>
      </c>
      <c r="F973" t="inlineStr">
        <is>
          <t>Good</t>
        </is>
      </c>
      <c r="G973" t="n">
        <v>1</v>
      </c>
    </row>
    <row r="974">
      <c r="A974" t="n">
        <v>973</v>
      </c>
      <c r="B974" t="n">
        <v>1193</v>
      </c>
      <c r="C974" t="n">
        <v>29</v>
      </c>
      <c r="D974" t="inlineStr">
        <is>
          <t>A31</t>
        </is>
      </c>
      <c r="E974" t="inlineStr">
        <is>
          <t>A71</t>
        </is>
      </c>
      <c r="F974" t="inlineStr">
        <is>
          <t>Bad</t>
        </is>
      </c>
      <c r="G974" t="n">
        <v>0</v>
      </c>
    </row>
    <row r="975">
      <c r="A975" t="n">
        <v>974</v>
      </c>
      <c r="B975" t="n">
        <v>7297</v>
      </c>
      <c r="C975" t="n">
        <v>36</v>
      </c>
      <c r="D975" t="inlineStr">
        <is>
          <t>A32</t>
        </is>
      </c>
      <c r="E975" t="inlineStr">
        <is>
          <t>A75</t>
        </is>
      </c>
      <c r="F975" t="inlineStr">
        <is>
          <t>Bad</t>
        </is>
      </c>
      <c r="G975" t="n">
        <v>0</v>
      </c>
    </row>
    <row r="976">
      <c r="A976" t="n">
        <v>975</v>
      </c>
      <c r="B976" t="n">
        <v>2831</v>
      </c>
      <c r="C976" t="n">
        <v>33</v>
      </c>
      <c r="D976" t="inlineStr">
        <is>
          <t>A34</t>
        </is>
      </c>
      <c r="E976" t="inlineStr">
        <is>
          <t>A73</t>
        </is>
      </c>
      <c r="F976" t="inlineStr">
        <is>
          <t>Good</t>
        </is>
      </c>
      <c r="G976" t="n">
        <v>1</v>
      </c>
    </row>
    <row r="977">
      <c r="A977" t="n">
        <v>976</v>
      </c>
      <c r="B977" t="n">
        <v>1258</v>
      </c>
      <c r="C977" t="n">
        <v>57</v>
      </c>
      <c r="D977" t="inlineStr">
        <is>
          <t>A32</t>
        </is>
      </c>
      <c r="E977" t="inlineStr">
        <is>
          <t>A73</t>
        </is>
      </c>
      <c r="F977" t="inlineStr">
        <is>
          <t>Good</t>
        </is>
      </c>
      <c r="G977" t="n">
        <v>1</v>
      </c>
    </row>
    <row r="978">
      <c r="A978" t="n">
        <v>977</v>
      </c>
      <c r="B978" t="n">
        <v>753</v>
      </c>
      <c r="C978" t="n">
        <v>64</v>
      </c>
      <c r="D978" t="inlineStr">
        <is>
          <t>A32</t>
        </is>
      </c>
      <c r="E978" t="inlineStr">
        <is>
          <t>A73</t>
        </is>
      </c>
      <c r="F978" t="inlineStr">
        <is>
          <t>Good</t>
        </is>
      </c>
      <c r="G978" t="n">
        <v>1</v>
      </c>
    </row>
    <row r="979">
      <c r="A979" t="n">
        <v>978</v>
      </c>
      <c r="B979" t="n">
        <v>2427</v>
      </c>
      <c r="C979" t="n">
        <v>42</v>
      </c>
      <c r="D979" t="inlineStr">
        <is>
          <t>A33</t>
        </is>
      </c>
      <c r="E979" t="inlineStr">
        <is>
          <t>A75</t>
        </is>
      </c>
      <c r="F979" t="inlineStr">
        <is>
          <t>Good</t>
        </is>
      </c>
      <c r="G979" t="n">
        <v>1</v>
      </c>
    </row>
    <row r="980">
      <c r="A980" t="n">
        <v>979</v>
      </c>
      <c r="B980" t="n">
        <v>2538</v>
      </c>
      <c r="C980" t="n">
        <v>47</v>
      </c>
      <c r="D980" t="inlineStr">
        <is>
          <t>A33</t>
        </is>
      </c>
      <c r="E980" t="inlineStr">
        <is>
          <t>A75</t>
        </is>
      </c>
      <c r="F980" t="inlineStr">
        <is>
          <t>Bad</t>
        </is>
      </c>
      <c r="G980" t="n">
        <v>0</v>
      </c>
    </row>
    <row r="981">
      <c r="A981" t="n">
        <v>980</v>
      </c>
      <c r="B981" t="n">
        <v>1264</v>
      </c>
      <c r="C981" t="n">
        <v>25</v>
      </c>
      <c r="D981" t="inlineStr">
        <is>
          <t>A31</t>
        </is>
      </c>
      <c r="E981" t="inlineStr">
        <is>
          <t>A73</t>
        </is>
      </c>
      <c r="F981" t="inlineStr">
        <is>
          <t>Bad</t>
        </is>
      </c>
      <c r="G981" t="n">
        <v>0</v>
      </c>
    </row>
    <row r="982">
      <c r="A982" t="n">
        <v>981</v>
      </c>
      <c r="B982" t="n">
        <v>8386</v>
      </c>
      <c r="C982" t="n">
        <v>49</v>
      </c>
      <c r="D982" t="inlineStr">
        <is>
          <t>A34</t>
        </is>
      </c>
      <c r="E982" t="inlineStr">
        <is>
          <t>A74</t>
        </is>
      </c>
      <c r="F982" t="inlineStr">
        <is>
          <t>Bad</t>
        </is>
      </c>
      <c r="G982" t="n">
        <v>0</v>
      </c>
    </row>
    <row r="983">
      <c r="A983" t="n">
        <v>982</v>
      </c>
      <c r="B983" t="n">
        <v>4844</v>
      </c>
      <c r="C983" t="n">
        <v>33</v>
      </c>
      <c r="D983" t="inlineStr">
        <is>
          <t>A32</t>
        </is>
      </c>
      <c r="E983" t="inlineStr">
        <is>
          <t>A71</t>
        </is>
      </c>
      <c r="F983" t="inlineStr">
        <is>
          <t>Bad</t>
        </is>
      </c>
      <c r="G983" t="n">
        <v>0</v>
      </c>
    </row>
    <row r="984">
      <c r="A984" t="n">
        <v>983</v>
      </c>
      <c r="B984" t="n">
        <v>2923</v>
      </c>
      <c r="C984" t="n">
        <v>28</v>
      </c>
      <c r="D984" t="inlineStr">
        <is>
          <t>A32</t>
        </is>
      </c>
      <c r="E984" t="inlineStr">
        <is>
          <t>A73</t>
        </is>
      </c>
      <c r="F984" t="inlineStr">
        <is>
          <t>Good</t>
        </is>
      </c>
      <c r="G984" t="n">
        <v>1</v>
      </c>
    </row>
    <row r="985">
      <c r="A985" t="n">
        <v>984</v>
      </c>
      <c r="B985" t="n">
        <v>8229</v>
      </c>
      <c r="C985" t="n">
        <v>26</v>
      </c>
      <c r="D985" t="inlineStr">
        <is>
          <t>A32</t>
        </is>
      </c>
      <c r="E985" t="inlineStr">
        <is>
          <t>A73</t>
        </is>
      </c>
      <c r="F985" t="inlineStr">
        <is>
          <t>Bad</t>
        </is>
      </c>
      <c r="G985" t="n">
        <v>0</v>
      </c>
    </row>
    <row r="986">
      <c r="A986" t="n">
        <v>985</v>
      </c>
      <c r="B986" t="n">
        <v>2028</v>
      </c>
      <c r="C986" t="n">
        <v>30</v>
      </c>
      <c r="D986" t="inlineStr">
        <is>
          <t>A34</t>
        </is>
      </c>
      <c r="E986" t="inlineStr">
        <is>
          <t>A74</t>
        </is>
      </c>
      <c r="F986" t="inlineStr">
        <is>
          <t>Good</t>
        </is>
      </c>
      <c r="G986" t="n">
        <v>1</v>
      </c>
    </row>
    <row r="987">
      <c r="A987" t="n">
        <v>986</v>
      </c>
      <c r="B987" t="n">
        <v>1433</v>
      </c>
      <c r="C987" t="n">
        <v>25</v>
      </c>
      <c r="D987" t="inlineStr">
        <is>
          <t>A34</t>
        </is>
      </c>
      <c r="E987" t="inlineStr">
        <is>
          <t>A73</t>
        </is>
      </c>
      <c r="F987" t="inlineStr">
        <is>
          <t>Good</t>
        </is>
      </c>
      <c r="G987" t="n">
        <v>1</v>
      </c>
    </row>
    <row r="988">
      <c r="A988" t="n">
        <v>987</v>
      </c>
      <c r="B988" t="n">
        <v>6289</v>
      </c>
      <c r="C988" t="n">
        <v>33</v>
      </c>
      <c r="D988" t="inlineStr">
        <is>
          <t>A30</t>
        </is>
      </c>
      <c r="E988" t="inlineStr">
        <is>
          <t>A72</t>
        </is>
      </c>
      <c r="F988" t="inlineStr">
        <is>
          <t>Good</t>
        </is>
      </c>
      <c r="G988" t="n">
        <v>1</v>
      </c>
    </row>
    <row r="989">
      <c r="A989" t="n">
        <v>988</v>
      </c>
      <c r="B989" t="n">
        <v>1409</v>
      </c>
      <c r="C989" t="n">
        <v>64</v>
      </c>
      <c r="D989" t="inlineStr">
        <is>
          <t>A32</t>
        </is>
      </c>
      <c r="E989" t="inlineStr">
        <is>
          <t>A71</t>
        </is>
      </c>
      <c r="F989" t="inlineStr">
        <is>
          <t>Good</t>
        </is>
      </c>
      <c r="G989" t="n">
        <v>1</v>
      </c>
    </row>
    <row r="990">
      <c r="A990" t="n">
        <v>989</v>
      </c>
      <c r="B990" t="n">
        <v>6579</v>
      </c>
      <c r="C990" t="n">
        <v>29</v>
      </c>
      <c r="D990" t="inlineStr">
        <is>
          <t>A32</t>
        </is>
      </c>
      <c r="E990" t="inlineStr">
        <is>
          <t>A71</t>
        </is>
      </c>
      <c r="F990" t="inlineStr">
        <is>
          <t>Good</t>
        </is>
      </c>
      <c r="G990" t="n">
        <v>1</v>
      </c>
    </row>
    <row r="991">
      <c r="A991" t="n">
        <v>990</v>
      </c>
      <c r="B991" t="n">
        <v>1743</v>
      </c>
      <c r="C991" t="n">
        <v>48</v>
      </c>
      <c r="D991" t="inlineStr">
        <is>
          <t>A34</t>
        </is>
      </c>
      <c r="E991" t="inlineStr">
        <is>
          <t>A75</t>
        </is>
      </c>
      <c r="F991" t="inlineStr">
        <is>
          <t>Good</t>
        </is>
      </c>
      <c r="G991" t="n">
        <v>1</v>
      </c>
    </row>
    <row r="992">
      <c r="A992" t="n">
        <v>991</v>
      </c>
      <c r="B992" t="n">
        <v>3565</v>
      </c>
      <c r="C992" t="n">
        <v>37</v>
      </c>
      <c r="D992" t="inlineStr">
        <is>
          <t>A34</t>
        </is>
      </c>
      <c r="E992" t="inlineStr">
        <is>
          <t>A72</t>
        </is>
      </c>
      <c r="F992" t="inlineStr">
        <is>
          <t>Good</t>
        </is>
      </c>
      <c r="G992" t="n">
        <v>1</v>
      </c>
    </row>
    <row r="993">
      <c r="A993" t="n">
        <v>992</v>
      </c>
      <c r="B993" t="n">
        <v>1569</v>
      </c>
      <c r="C993" t="n">
        <v>34</v>
      </c>
      <c r="D993" t="inlineStr">
        <is>
          <t>A31</t>
        </is>
      </c>
      <c r="E993" t="inlineStr">
        <is>
          <t>A75</t>
        </is>
      </c>
      <c r="F993" t="inlineStr">
        <is>
          <t>Good</t>
        </is>
      </c>
      <c r="G993" t="n">
        <v>1</v>
      </c>
    </row>
    <row r="994">
      <c r="A994" t="n">
        <v>993</v>
      </c>
      <c r="B994" t="n">
        <v>1936</v>
      </c>
      <c r="C994" t="n">
        <v>23</v>
      </c>
      <c r="D994" t="inlineStr">
        <is>
          <t>A32</t>
        </is>
      </c>
      <c r="E994" t="inlineStr">
        <is>
          <t>A74</t>
        </is>
      </c>
      <c r="F994" t="inlineStr">
        <is>
          <t>Good</t>
        </is>
      </c>
      <c r="G994" t="n">
        <v>1</v>
      </c>
    </row>
    <row r="995">
      <c r="A995" t="n">
        <v>994</v>
      </c>
      <c r="B995" t="n">
        <v>3959</v>
      </c>
      <c r="C995" t="n">
        <v>30</v>
      </c>
      <c r="D995" t="inlineStr">
        <is>
          <t>A32</t>
        </is>
      </c>
      <c r="E995" t="inlineStr">
        <is>
          <t>A71</t>
        </is>
      </c>
      <c r="F995" t="inlineStr">
        <is>
          <t>Good</t>
        </is>
      </c>
      <c r="G995" t="n">
        <v>1</v>
      </c>
    </row>
    <row r="996">
      <c r="A996" t="n">
        <v>995</v>
      </c>
      <c r="B996" t="n">
        <v>2390</v>
      </c>
      <c r="C996" t="n">
        <v>50</v>
      </c>
      <c r="D996" t="inlineStr">
        <is>
          <t>A32</t>
        </is>
      </c>
      <c r="E996" t="inlineStr">
        <is>
          <t>A75</t>
        </is>
      </c>
      <c r="F996" t="inlineStr">
        <is>
          <t>Good</t>
        </is>
      </c>
      <c r="G996" t="n">
        <v>1</v>
      </c>
    </row>
    <row r="997">
      <c r="A997" t="n">
        <v>996</v>
      </c>
      <c r="B997" t="n">
        <v>1736</v>
      </c>
      <c r="C997" t="n">
        <v>31</v>
      </c>
      <c r="D997" t="inlineStr">
        <is>
          <t>A32</t>
        </is>
      </c>
      <c r="E997" t="inlineStr">
        <is>
          <t>A74</t>
        </is>
      </c>
      <c r="F997" t="inlineStr">
        <is>
          <t>Good</t>
        </is>
      </c>
      <c r="G997" t="n">
        <v>1</v>
      </c>
    </row>
    <row r="998">
      <c r="A998" t="n">
        <v>997</v>
      </c>
      <c r="B998" t="n">
        <v>3857</v>
      </c>
      <c r="C998" t="n">
        <v>40</v>
      </c>
      <c r="D998" t="inlineStr">
        <is>
          <t>A32</t>
        </is>
      </c>
      <c r="E998" t="inlineStr">
        <is>
          <t>A73</t>
        </is>
      </c>
      <c r="F998" t="inlineStr">
        <is>
          <t>Good</t>
        </is>
      </c>
      <c r="G998" t="n">
        <v>1</v>
      </c>
    </row>
    <row r="999">
      <c r="A999" t="n">
        <v>998</v>
      </c>
      <c r="B999" t="n">
        <v>804</v>
      </c>
      <c r="C999" t="n">
        <v>38</v>
      </c>
      <c r="D999" t="inlineStr">
        <is>
          <t>A32</t>
        </is>
      </c>
      <c r="E999" t="inlineStr">
        <is>
          <t>A75</t>
        </is>
      </c>
      <c r="F999" t="inlineStr">
        <is>
          <t>Good</t>
        </is>
      </c>
      <c r="G999" t="n">
        <v>1</v>
      </c>
    </row>
    <row r="1000">
      <c r="A1000" t="n">
        <v>999</v>
      </c>
      <c r="B1000" t="n">
        <v>1845</v>
      </c>
      <c r="C1000" t="n">
        <v>23</v>
      </c>
      <c r="D1000" t="inlineStr">
        <is>
          <t>A32</t>
        </is>
      </c>
      <c r="E1000" t="inlineStr">
        <is>
          <t>A73</t>
        </is>
      </c>
      <c r="F1000" t="inlineStr">
        <is>
          <t>Bad</t>
        </is>
      </c>
      <c r="G1000" t="n">
        <v>0</v>
      </c>
    </row>
    <row r="1001">
      <c r="A1001" t="n">
        <v>1000</v>
      </c>
      <c r="B1001" t="n">
        <v>4576</v>
      </c>
      <c r="C1001" t="n">
        <v>27</v>
      </c>
      <c r="D1001" t="inlineStr">
        <is>
          <t>A34</t>
        </is>
      </c>
      <c r="E1001" t="inlineStr">
        <is>
          <t>A71</t>
        </is>
      </c>
      <c r="F1001" t="inlineStr">
        <is>
          <t>Good</t>
        </is>
      </c>
      <c r="G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2" max="12"/>
    <col width="34" customWidth="1" min="13" max="13"/>
  </cols>
  <sheetData>
    <row r="1">
      <c r="A1" t="inlineStr">
        <is>
          <t>parameter</t>
        </is>
      </c>
      <c r="B1" t="inlineStr">
        <is>
          <t>value</t>
        </is>
      </c>
      <c r="D1" t="inlineStr">
        <is>
          <t>row_id</t>
        </is>
      </c>
      <c r="E1" t="inlineStr">
        <is>
          <t>actual_num</t>
        </is>
      </c>
      <c r="F1" t="inlineStr">
        <is>
          <t>rule1_left</t>
        </is>
      </c>
      <c r="G1" t="inlineStr">
        <is>
          <t>rule2_age_left</t>
        </is>
      </c>
      <c r="H1" t="inlineStr">
        <is>
          <t>pred_num</t>
        </is>
      </c>
      <c r="I1" t="inlineStr">
        <is>
          <t>pred_label</t>
        </is>
      </c>
      <c r="J1" t="inlineStr">
        <is>
          <t>correct</t>
        </is>
      </c>
      <c r="L1" t="inlineStr">
        <is>
          <t>TP</t>
        </is>
      </c>
      <c r="M1">
        <f>COUNTIFS(E2:E1001,1,H2:H1001,1)</f>
        <v/>
      </c>
    </row>
    <row r="2">
      <c r="A2" t="inlineStr">
        <is>
          <t>CreditAmount_threshold</t>
        </is>
      </c>
      <c r="B2" t="n">
        <v>2319.5</v>
      </c>
      <c r="D2">
        <f>German_Data!A2</f>
        <v/>
      </c>
      <c r="E2">
        <f>German_Data!G2</f>
        <v/>
      </c>
      <c r="F2">
        <f>--(German_Data!B2&lt;=$B$2)</f>
        <v/>
      </c>
      <c r="G2">
        <f>--(German_Data!C2&lt;=$B$3)</f>
        <v/>
      </c>
      <c r="H2">
        <f>IF(F2=1,IF(G2=1,IF(German_Data!D2=$B$4,0,1),IF(German_Data!E2=$B$5,0,1)),IF(German_Data!E2=$B$5,0,1))</f>
        <v/>
      </c>
      <c r="I2">
        <f>IF(H2=1,"Good","Bad")</f>
        <v/>
      </c>
      <c r="J2">
        <f>--(H2=E2)</f>
        <v/>
      </c>
      <c r="L2" t="inlineStr">
        <is>
          <t>TN</t>
        </is>
      </c>
      <c r="M2">
        <f>COUNTIFS(E2:E1001,0,H2:H1001,0)</f>
        <v/>
      </c>
    </row>
    <row r="3">
      <c r="A3" t="inlineStr">
        <is>
          <t>Age_threshold</t>
        </is>
      </c>
      <c r="B3" t="n">
        <v>33</v>
      </c>
      <c r="D3">
        <f>German_Data!A3</f>
        <v/>
      </c>
      <c r="E3">
        <f>German_Data!G3</f>
        <v/>
      </c>
      <c r="F3">
        <f>--(German_Data!B3&lt;=$B$2)</f>
        <v/>
      </c>
      <c r="G3">
        <f>--(German_Data!C3&lt;=$B$3)</f>
        <v/>
      </c>
      <c r="H3">
        <f>IF(F3=1,IF(G3=1,IF(German_Data!D3=$B$4,0,1),IF(German_Data!E3=$B$5,0,1)),IF(German_Data!E3=$B$5,0,1))</f>
        <v/>
      </c>
      <c r="I3">
        <f>IF(H3=1,"Good","Bad")</f>
        <v/>
      </c>
      <c r="J3">
        <f>--(H3=E3)</f>
        <v/>
      </c>
      <c r="L3" t="inlineStr">
        <is>
          <t>FP</t>
        </is>
      </c>
      <c r="M3">
        <f>COUNTIFS(E2:E1001,0,H2:H1001,1)</f>
        <v/>
      </c>
    </row>
    <row r="4">
      <c r="A4" t="inlineStr">
        <is>
          <t>BadCreditHistory_level</t>
        </is>
      </c>
      <c r="B4" t="inlineStr">
        <is>
          <t>A30</t>
        </is>
      </c>
      <c r="D4">
        <f>German_Data!A4</f>
        <v/>
      </c>
      <c r="E4">
        <f>German_Data!G4</f>
        <v/>
      </c>
      <c r="F4">
        <f>--(German_Data!B4&lt;=$B$2)</f>
        <v/>
      </c>
      <c r="G4">
        <f>--(German_Data!C4&lt;=$B$3)</f>
        <v/>
      </c>
      <c r="H4">
        <f>IF(F4=1,IF(G4=1,IF(German_Data!D4=$B$4,0,1),IF(German_Data!E4=$B$5,0,1)),IF(German_Data!E4=$B$5,0,1))</f>
        <v/>
      </c>
      <c r="I4">
        <f>IF(H4=1,"Good","Bad")</f>
        <v/>
      </c>
      <c r="J4">
        <f>--(H4=E4)</f>
        <v/>
      </c>
      <c r="L4" t="inlineStr">
        <is>
          <t>FN</t>
        </is>
      </c>
      <c r="M4">
        <f>COUNTIFS(E2:E1001,1,H2:H1001,0)</f>
        <v/>
      </c>
    </row>
    <row r="5">
      <c r="A5" t="inlineStr">
        <is>
          <t>BadEmployment_level</t>
        </is>
      </c>
      <c r="B5" t="inlineStr">
        <is>
          <t>A72</t>
        </is>
      </c>
      <c r="D5">
        <f>German_Data!A5</f>
        <v/>
      </c>
      <c r="E5">
        <f>German_Data!G5</f>
        <v/>
      </c>
      <c r="F5">
        <f>--(German_Data!B5&lt;=$B$2)</f>
        <v/>
      </c>
      <c r="G5">
        <f>--(German_Data!C5&lt;=$B$3)</f>
        <v/>
      </c>
      <c r="H5">
        <f>IF(F5=1,IF(G5=1,IF(German_Data!D5=$B$4,0,1),IF(German_Data!E5=$B$5,0,1)),IF(German_Data!E5=$B$5,0,1))</f>
        <v/>
      </c>
      <c r="I5">
        <f>IF(H5=1,"Good","Bad")</f>
        <v/>
      </c>
      <c r="J5">
        <f>--(H5=E5)</f>
        <v/>
      </c>
      <c r="L5" t="inlineStr">
        <is>
          <t>Accuracy</t>
        </is>
      </c>
      <c r="M5">
        <f>AVERAGE(J2:J1001)</f>
        <v/>
      </c>
    </row>
    <row r="6">
      <c r="D6">
        <f>German_Data!A6</f>
        <v/>
      </c>
      <c r="E6">
        <f>German_Data!G6</f>
        <v/>
      </c>
      <c r="F6">
        <f>--(German_Data!B6&lt;=$B$2)</f>
        <v/>
      </c>
      <c r="G6">
        <f>--(German_Data!C6&lt;=$B$3)</f>
        <v/>
      </c>
      <c r="H6">
        <f>IF(F6=1,IF(G6=1,IF(German_Data!D6=$B$4,0,1),IF(German_Data!E6=$B$5,0,1)),IF(German_Data!E6=$B$5,0,1))</f>
        <v/>
      </c>
      <c r="I6">
        <f>IF(H6=1,"Good","Bad")</f>
        <v/>
      </c>
      <c r="J6">
        <f>--(H6=E6)</f>
        <v/>
      </c>
    </row>
    <row r="7">
      <c r="D7">
        <f>German_Data!A7</f>
        <v/>
      </c>
      <c r="E7">
        <f>German_Data!G7</f>
        <v/>
      </c>
      <c r="F7">
        <f>--(German_Data!B7&lt;=$B$2)</f>
        <v/>
      </c>
      <c r="G7">
        <f>--(German_Data!C7&lt;=$B$3)</f>
        <v/>
      </c>
      <c r="H7">
        <f>IF(F7=1,IF(G7=1,IF(German_Data!D7=$B$4,0,1),IF(German_Data!E7=$B$5,0,1)),IF(German_Data!E7=$B$5,0,1))</f>
        <v/>
      </c>
      <c r="I7">
        <f>IF(H7=1,"Good","Bad")</f>
        <v/>
      </c>
      <c r="J7">
        <f>--(H7=E7)</f>
        <v/>
      </c>
    </row>
    <row r="8">
      <c r="D8">
        <f>German_Data!A8</f>
        <v/>
      </c>
      <c r="E8">
        <f>German_Data!G8</f>
        <v/>
      </c>
      <c r="F8">
        <f>--(German_Data!B8&lt;=$B$2)</f>
        <v/>
      </c>
      <c r="G8">
        <f>--(German_Data!C8&lt;=$B$3)</f>
        <v/>
      </c>
      <c r="H8">
        <f>IF(F8=1,IF(G8=1,IF(German_Data!D8=$B$4,0,1),IF(German_Data!E8=$B$5,0,1)),IF(German_Data!E8=$B$5,0,1))</f>
        <v/>
      </c>
      <c r="I8">
        <f>IF(H8=1,"Good","Bad")</f>
        <v/>
      </c>
      <c r="J8">
        <f>--(H8=E8)</f>
        <v/>
      </c>
    </row>
    <row r="9">
      <c r="D9">
        <f>German_Data!A9</f>
        <v/>
      </c>
      <c r="E9">
        <f>German_Data!G9</f>
        <v/>
      </c>
      <c r="F9">
        <f>--(German_Data!B9&lt;=$B$2)</f>
        <v/>
      </c>
      <c r="G9">
        <f>--(German_Data!C9&lt;=$B$3)</f>
        <v/>
      </c>
      <c r="H9">
        <f>IF(F9=1,IF(G9=1,IF(German_Data!D9=$B$4,0,1),IF(German_Data!E9=$B$5,0,1)),IF(German_Data!E9=$B$5,0,1))</f>
        <v/>
      </c>
      <c r="I9">
        <f>IF(H9=1,"Good","Bad")</f>
        <v/>
      </c>
      <c r="J9">
        <f>--(H9=E9)</f>
        <v/>
      </c>
    </row>
    <row r="10">
      <c r="D10">
        <f>German_Data!A10</f>
        <v/>
      </c>
      <c r="E10">
        <f>German_Data!G10</f>
        <v/>
      </c>
      <c r="F10">
        <f>--(German_Data!B10&lt;=$B$2)</f>
        <v/>
      </c>
      <c r="G10">
        <f>--(German_Data!C10&lt;=$B$3)</f>
        <v/>
      </c>
      <c r="H10">
        <f>IF(F10=1,IF(G10=1,IF(German_Data!D10=$B$4,0,1),IF(German_Data!E10=$B$5,0,1)),IF(German_Data!E10=$B$5,0,1))</f>
        <v/>
      </c>
      <c r="I10">
        <f>IF(H10=1,"Good","Bad")</f>
        <v/>
      </c>
      <c r="J10">
        <f>--(H10=E10)</f>
        <v/>
      </c>
    </row>
    <row r="11">
      <c r="D11">
        <f>German_Data!A11</f>
        <v/>
      </c>
      <c r="E11">
        <f>German_Data!G11</f>
        <v/>
      </c>
      <c r="F11">
        <f>--(German_Data!B11&lt;=$B$2)</f>
        <v/>
      </c>
      <c r="G11">
        <f>--(German_Data!C11&lt;=$B$3)</f>
        <v/>
      </c>
      <c r="H11">
        <f>IF(F11=1,IF(G11=1,IF(German_Data!D11=$B$4,0,1),IF(German_Data!E11=$B$5,0,1)),IF(German_Data!E11=$B$5,0,1))</f>
        <v/>
      </c>
      <c r="I11">
        <f>IF(H11=1,"Good","Bad")</f>
        <v/>
      </c>
      <c r="J11">
        <f>--(H11=E11)</f>
        <v/>
      </c>
    </row>
    <row r="12">
      <c r="D12">
        <f>German_Data!A12</f>
        <v/>
      </c>
      <c r="E12">
        <f>German_Data!G12</f>
        <v/>
      </c>
      <c r="F12">
        <f>--(German_Data!B12&lt;=$B$2)</f>
        <v/>
      </c>
      <c r="G12">
        <f>--(German_Data!C12&lt;=$B$3)</f>
        <v/>
      </c>
      <c r="H12">
        <f>IF(F12=1,IF(G12=1,IF(German_Data!D12=$B$4,0,1),IF(German_Data!E12=$B$5,0,1)),IF(German_Data!E12=$B$5,0,1))</f>
        <v/>
      </c>
      <c r="I12">
        <f>IF(H12=1,"Good","Bad")</f>
        <v/>
      </c>
      <c r="J12">
        <f>--(H12=E12)</f>
        <v/>
      </c>
    </row>
    <row r="13">
      <c r="D13">
        <f>German_Data!A13</f>
        <v/>
      </c>
      <c r="E13">
        <f>German_Data!G13</f>
        <v/>
      </c>
      <c r="F13">
        <f>--(German_Data!B13&lt;=$B$2)</f>
        <v/>
      </c>
      <c r="G13">
        <f>--(German_Data!C13&lt;=$B$3)</f>
        <v/>
      </c>
      <c r="H13">
        <f>IF(F13=1,IF(G13=1,IF(German_Data!D13=$B$4,0,1),IF(German_Data!E13=$B$5,0,1)),IF(German_Data!E13=$B$5,0,1))</f>
        <v/>
      </c>
      <c r="I13">
        <f>IF(H13=1,"Good","Bad")</f>
        <v/>
      </c>
      <c r="J13">
        <f>--(H13=E13)</f>
        <v/>
      </c>
    </row>
    <row r="14">
      <c r="D14">
        <f>German_Data!A14</f>
        <v/>
      </c>
      <c r="E14">
        <f>German_Data!G14</f>
        <v/>
      </c>
      <c r="F14">
        <f>--(German_Data!B14&lt;=$B$2)</f>
        <v/>
      </c>
      <c r="G14">
        <f>--(German_Data!C14&lt;=$B$3)</f>
        <v/>
      </c>
      <c r="H14">
        <f>IF(F14=1,IF(G14=1,IF(German_Data!D14=$B$4,0,1),IF(German_Data!E14=$B$5,0,1)),IF(German_Data!E14=$B$5,0,1))</f>
        <v/>
      </c>
      <c r="I14">
        <f>IF(H14=1,"Good","Bad")</f>
        <v/>
      </c>
      <c r="J14">
        <f>--(H14=E14)</f>
        <v/>
      </c>
    </row>
    <row r="15">
      <c r="D15">
        <f>German_Data!A15</f>
        <v/>
      </c>
      <c r="E15">
        <f>German_Data!G15</f>
        <v/>
      </c>
      <c r="F15">
        <f>--(German_Data!B15&lt;=$B$2)</f>
        <v/>
      </c>
      <c r="G15">
        <f>--(German_Data!C15&lt;=$B$3)</f>
        <v/>
      </c>
      <c r="H15">
        <f>IF(F15=1,IF(G15=1,IF(German_Data!D15=$B$4,0,1),IF(German_Data!E15=$B$5,0,1)),IF(German_Data!E15=$B$5,0,1))</f>
        <v/>
      </c>
      <c r="I15">
        <f>IF(H15=1,"Good","Bad")</f>
        <v/>
      </c>
      <c r="J15">
        <f>--(H15=E15)</f>
        <v/>
      </c>
    </row>
    <row r="16">
      <c r="D16">
        <f>German_Data!A16</f>
        <v/>
      </c>
      <c r="E16">
        <f>German_Data!G16</f>
        <v/>
      </c>
      <c r="F16">
        <f>--(German_Data!B16&lt;=$B$2)</f>
        <v/>
      </c>
      <c r="G16">
        <f>--(German_Data!C16&lt;=$B$3)</f>
        <v/>
      </c>
      <c r="H16">
        <f>IF(F16=1,IF(G16=1,IF(German_Data!D16=$B$4,0,1),IF(German_Data!E16=$B$5,0,1)),IF(German_Data!E16=$B$5,0,1))</f>
        <v/>
      </c>
      <c r="I16">
        <f>IF(H16=1,"Good","Bad")</f>
        <v/>
      </c>
      <c r="J16">
        <f>--(H16=E16)</f>
        <v/>
      </c>
    </row>
    <row r="17">
      <c r="D17">
        <f>German_Data!A17</f>
        <v/>
      </c>
      <c r="E17">
        <f>German_Data!G17</f>
        <v/>
      </c>
      <c r="F17">
        <f>--(German_Data!B17&lt;=$B$2)</f>
        <v/>
      </c>
      <c r="G17">
        <f>--(German_Data!C17&lt;=$B$3)</f>
        <v/>
      </c>
      <c r="H17">
        <f>IF(F17=1,IF(G17=1,IF(German_Data!D17=$B$4,0,1),IF(German_Data!E17=$B$5,0,1)),IF(German_Data!E17=$B$5,0,1))</f>
        <v/>
      </c>
      <c r="I17">
        <f>IF(H17=1,"Good","Bad")</f>
        <v/>
      </c>
      <c r="J17">
        <f>--(H17=E17)</f>
        <v/>
      </c>
    </row>
    <row r="18">
      <c r="D18">
        <f>German_Data!A18</f>
        <v/>
      </c>
      <c r="E18">
        <f>German_Data!G18</f>
        <v/>
      </c>
      <c r="F18">
        <f>--(German_Data!B18&lt;=$B$2)</f>
        <v/>
      </c>
      <c r="G18">
        <f>--(German_Data!C18&lt;=$B$3)</f>
        <v/>
      </c>
      <c r="H18">
        <f>IF(F18=1,IF(G18=1,IF(German_Data!D18=$B$4,0,1),IF(German_Data!E18=$B$5,0,1)),IF(German_Data!E18=$B$5,0,1))</f>
        <v/>
      </c>
      <c r="I18">
        <f>IF(H18=1,"Good","Bad")</f>
        <v/>
      </c>
      <c r="J18">
        <f>--(H18=E18)</f>
        <v/>
      </c>
    </row>
    <row r="19">
      <c r="D19">
        <f>German_Data!A19</f>
        <v/>
      </c>
      <c r="E19">
        <f>German_Data!G19</f>
        <v/>
      </c>
      <c r="F19">
        <f>--(German_Data!B19&lt;=$B$2)</f>
        <v/>
      </c>
      <c r="G19">
        <f>--(German_Data!C19&lt;=$B$3)</f>
        <v/>
      </c>
      <c r="H19">
        <f>IF(F19=1,IF(G19=1,IF(German_Data!D19=$B$4,0,1),IF(German_Data!E19=$B$5,0,1)),IF(German_Data!E19=$B$5,0,1))</f>
        <v/>
      </c>
      <c r="I19">
        <f>IF(H19=1,"Good","Bad")</f>
        <v/>
      </c>
      <c r="J19">
        <f>--(H19=E19)</f>
        <v/>
      </c>
    </row>
    <row r="20">
      <c r="D20">
        <f>German_Data!A20</f>
        <v/>
      </c>
      <c r="E20">
        <f>German_Data!G20</f>
        <v/>
      </c>
      <c r="F20">
        <f>--(German_Data!B20&lt;=$B$2)</f>
        <v/>
      </c>
      <c r="G20">
        <f>--(German_Data!C20&lt;=$B$3)</f>
        <v/>
      </c>
      <c r="H20">
        <f>IF(F20=1,IF(G20=1,IF(German_Data!D20=$B$4,0,1),IF(German_Data!E20=$B$5,0,1)),IF(German_Data!E20=$B$5,0,1))</f>
        <v/>
      </c>
      <c r="I20">
        <f>IF(H20=1,"Good","Bad")</f>
        <v/>
      </c>
      <c r="J20">
        <f>--(H20=E20)</f>
        <v/>
      </c>
    </row>
    <row r="21">
      <c r="D21">
        <f>German_Data!A21</f>
        <v/>
      </c>
      <c r="E21">
        <f>German_Data!G21</f>
        <v/>
      </c>
      <c r="F21">
        <f>--(German_Data!B21&lt;=$B$2)</f>
        <v/>
      </c>
      <c r="G21">
        <f>--(German_Data!C21&lt;=$B$3)</f>
        <v/>
      </c>
      <c r="H21">
        <f>IF(F21=1,IF(G21=1,IF(German_Data!D21=$B$4,0,1),IF(German_Data!E21=$B$5,0,1)),IF(German_Data!E21=$B$5,0,1))</f>
        <v/>
      </c>
      <c r="I21">
        <f>IF(H21=1,"Good","Bad")</f>
        <v/>
      </c>
      <c r="J21">
        <f>--(H21=E21)</f>
        <v/>
      </c>
    </row>
    <row r="22">
      <c r="D22">
        <f>German_Data!A22</f>
        <v/>
      </c>
      <c r="E22">
        <f>German_Data!G22</f>
        <v/>
      </c>
      <c r="F22">
        <f>--(German_Data!B22&lt;=$B$2)</f>
        <v/>
      </c>
      <c r="G22">
        <f>--(German_Data!C22&lt;=$B$3)</f>
        <v/>
      </c>
      <c r="H22">
        <f>IF(F22=1,IF(G22=1,IF(German_Data!D22=$B$4,0,1),IF(German_Data!E22=$B$5,0,1)),IF(German_Data!E22=$B$5,0,1))</f>
        <v/>
      </c>
      <c r="I22">
        <f>IF(H22=1,"Good","Bad")</f>
        <v/>
      </c>
      <c r="J22">
        <f>--(H22=E22)</f>
        <v/>
      </c>
    </row>
    <row r="23">
      <c r="D23">
        <f>German_Data!A23</f>
        <v/>
      </c>
      <c r="E23">
        <f>German_Data!G23</f>
        <v/>
      </c>
      <c r="F23">
        <f>--(German_Data!B23&lt;=$B$2)</f>
        <v/>
      </c>
      <c r="G23">
        <f>--(German_Data!C23&lt;=$B$3)</f>
        <v/>
      </c>
      <c r="H23">
        <f>IF(F23=1,IF(G23=1,IF(German_Data!D23=$B$4,0,1),IF(German_Data!E23=$B$5,0,1)),IF(German_Data!E23=$B$5,0,1))</f>
        <v/>
      </c>
      <c r="I23">
        <f>IF(H23=1,"Good","Bad")</f>
        <v/>
      </c>
      <c r="J23">
        <f>--(H23=E23)</f>
        <v/>
      </c>
    </row>
    <row r="24">
      <c r="D24">
        <f>German_Data!A24</f>
        <v/>
      </c>
      <c r="E24">
        <f>German_Data!G24</f>
        <v/>
      </c>
      <c r="F24">
        <f>--(German_Data!B24&lt;=$B$2)</f>
        <v/>
      </c>
      <c r="G24">
        <f>--(German_Data!C24&lt;=$B$3)</f>
        <v/>
      </c>
      <c r="H24">
        <f>IF(F24=1,IF(G24=1,IF(German_Data!D24=$B$4,0,1),IF(German_Data!E24=$B$5,0,1)),IF(German_Data!E24=$B$5,0,1))</f>
        <v/>
      </c>
      <c r="I24">
        <f>IF(H24=1,"Good","Bad")</f>
        <v/>
      </c>
      <c r="J24">
        <f>--(H24=E24)</f>
        <v/>
      </c>
    </row>
    <row r="25">
      <c r="D25">
        <f>German_Data!A25</f>
        <v/>
      </c>
      <c r="E25">
        <f>German_Data!G25</f>
        <v/>
      </c>
      <c r="F25">
        <f>--(German_Data!B25&lt;=$B$2)</f>
        <v/>
      </c>
      <c r="G25">
        <f>--(German_Data!C25&lt;=$B$3)</f>
        <v/>
      </c>
      <c r="H25">
        <f>IF(F25=1,IF(G25=1,IF(German_Data!D25=$B$4,0,1),IF(German_Data!E25=$B$5,0,1)),IF(German_Data!E25=$B$5,0,1))</f>
        <v/>
      </c>
      <c r="I25">
        <f>IF(H25=1,"Good","Bad")</f>
        <v/>
      </c>
      <c r="J25">
        <f>--(H25=E25)</f>
        <v/>
      </c>
    </row>
    <row r="26">
      <c r="D26">
        <f>German_Data!A26</f>
        <v/>
      </c>
      <c r="E26">
        <f>German_Data!G26</f>
        <v/>
      </c>
      <c r="F26">
        <f>--(German_Data!B26&lt;=$B$2)</f>
        <v/>
      </c>
      <c r="G26">
        <f>--(German_Data!C26&lt;=$B$3)</f>
        <v/>
      </c>
      <c r="H26">
        <f>IF(F26=1,IF(G26=1,IF(German_Data!D26=$B$4,0,1),IF(German_Data!E26=$B$5,0,1)),IF(German_Data!E26=$B$5,0,1))</f>
        <v/>
      </c>
      <c r="I26">
        <f>IF(H26=1,"Good","Bad")</f>
        <v/>
      </c>
      <c r="J26">
        <f>--(H26=E26)</f>
        <v/>
      </c>
    </row>
    <row r="27">
      <c r="D27">
        <f>German_Data!A27</f>
        <v/>
      </c>
      <c r="E27">
        <f>German_Data!G27</f>
        <v/>
      </c>
      <c r="F27">
        <f>--(German_Data!B27&lt;=$B$2)</f>
        <v/>
      </c>
      <c r="G27">
        <f>--(German_Data!C27&lt;=$B$3)</f>
        <v/>
      </c>
      <c r="H27">
        <f>IF(F27=1,IF(G27=1,IF(German_Data!D27=$B$4,0,1),IF(German_Data!E27=$B$5,0,1)),IF(German_Data!E27=$B$5,0,1))</f>
        <v/>
      </c>
      <c r="I27">
        <f>IF(H27=1,"Good","Bad")</f>
        <v/>
      </c>
      <c r="J27">
        <f>--(H27=E27)</f>
        <v/>
      </c>
    </row>
    <row r="28">
      <c r="D28">
        <f>German_Data!A28</f>
        <v/>
      </c>
      <c r="E28">
        <f>German_Data!G28</f>
        <v/>
      </c>
      <c r="F28">
        <f>--(German_Data!B28&lt;=$B$2)</f>
        <v/>
      </c>
      <c r="G28">
        <f>--(German_Data!C28&lt;=$B$3)</f>
        <v/>
      </c>
      <c r="H28">
        <f>IF(F28=1,IF(G28=1,IF(German_Data!D28=$B$4,0,1),IF(German_Data!E28=$B$5,0,1)),IF(German_Data!E28=$B$5,0,1))</f>
        <v/>
      </c>
      <c r="I28">
        <f>IF(H28=1,"Good","Bad")</f>
        <v/>
      </c>
      <c r="J28">
        <f>--(H28=E28)</f>
        <v/>
      </c>
    </row>
    <row r="29">
      <c r="D29">
        <f>German_Data!A29</f>
        <v/>
      </c>
      <c r="E29">
        <f>German_Data!G29</f>
        <v/>
      </c>
      <c r="F29">
        <f>--(German_Data!B29&lt;=$B$2)</f>
        <v/>
      </c>
      <c r="G29">
        <f>--(German_Data!C29&lt;=$B$3)</f>
        <v/>
      </c>
      <c r="H29">
        <f>IF(F29=1,IF(G29=1,IF(German_Data!D29=$B$4,0,1),IF(German_Data!E29=$B$5,0,1)),IF(German_Data!E29=$B$5,0,1))</f>
        <v/>
      </c>
      <c r="I29">
        <f>IF(H29=1,"Good","Bad")</f>
        <v/>
      </c>
      <c r="J29">
        <f>--(H29=E29)</f>
        <v/>
      </c>
    </row>
    <row r="30">
      <c r="D30">
        <f>German_Data!A30</f>
        <v/>
      </c>
      <c r="E30">
        <f>German_Data!G30</f>
        <v/>
      </c>
      <c r="F30">
        <f>--(German_Data!B30&lt;=$B$2)</f>
        <v/>
      </c>
      <c r="G30">
        <f>--(German_Data!C30&lt;=$B$3)</f>
        <v/>
      </c>
      <c r="H30">
        <f>IF(F30=1,IF(G30=1,IF(German_Data!D30=$B$4,0,1),IF(German_Data!E30=$B$5,0,1)),IF(German_Data!E30=$B$5,0,1))</f>
        <v/>
      </c>
      <c r="I30">
        <f>IF(H30=1,"Good","Bad")</f>
        <v/>
      </c>
      <c r="J30">
        <f>--(H30=E30)</f>
        <v/>
      </c>
    </row>
    <row r="31">
      <c r="D31">
        <f>German_Data!A31</f>
        <v/>
      </c>
      <c r="E31">
        <f>German_Data!G31</f>
        <v/>
      </c>
      <c r="F31">
        <f>--(German_Data!B31&lt;=$B$2)</f>
        <v/>
      </c>
      <c r="G31">
        <f>--(German_Data!C31&lt;=$B$3)</f>
        <v/>
      </c>
      <c r="H31">
        <f>IF(F31=1,IF(G31=1,IF(German_Data!D31=$B$4,0,1),IF(German_Data!E31=$B$5,0,1)),IF(German_Data!E31=$B$5,0,1))</f>
        <v/>
      </c>
      <c r="I31">
        <f>IF(H31=1,"Good","Bad")</f>
        <v/>
      </c>
      <c r="J31">
        <f>--(H31=E31)</f>
        <v/>
      </c>
    </row>
    <row r="32">
      <c r="D32">
        <f>German_Data!A32</f>
        <v/>
      </c>
      <c r="E32">
        <f>German_Data!G32</f>
        <v/>
      </c>
      <c r="F32">
        <f>--(German_Data!B32&lt;=$B$2)</f>
        <v/>
      </c>
      <c r="G32">
        <f>--(German_Data!C32&lt;=$B$3)</f>
        <v/>
      </c>
      <c r="H32">
        <f>IF(F32=1,IF(G32=1,IF(German_Data!D32=$B$4,0,1),IF(German_Data!E32=$B$5,0,1)),IF(German_Data!E32=$B$5,0,1))</f>
        <v/>
      </c>
      <c r="I32">
        <f>IF(H32=1,"Good","Bad")</f>
        <v/>
      </c>
      <c r="J32">
        <f>--(H32=E32)</f>
        <v/>
      </c>
    </row>
    <row r="33">
      <c r="D33">
        <f>German_Data!A33</f>
        <v/>
      </c>
      <c r="E33">
        <f>German_Data!G33</f>
        <v/>
      </c>
      <c r="F33">
        <f>--(German_Data!B33&lt;=$B$2)</f>
        <v/>
      </c>
      <c r="G33">
        <f>--(German_Data!C33&lt;=$B$3)</f>
        <v/>
      </c>
      <c r="H33">
        <f>IF(F33=1,IF(G33=1,IF(German_Data!D33=$B$4,0,1),IF(German_Data!E33=$B$5,0,1)),IF(German_Data!E33=$B$5,0,1))</f>
        <v/>
      </c>
      <c r="I33">
        <f>IF(H33=1,"Good","Bad")</f>
        <v/>
      </c>
      <c r="J33">
        <f>--(H33=E33)</f>
        <v/>
      </c>
    </row>
    <row r="34">
      <c r="D34">
        <f>German_Data!A34</f>
        <v/>
      </c>
      <c r="E34">
        <f>German_Data!G34</f>
        <v/>
      </c>
      <c r="F34">
        <f>--(German_Data!B34&lt;=$B$2)</f>
        <v/>
      </c>
      <c r="G34">
        <f>--(German_Data!C34&lt;=$B$3)</f>
        <v/>
      </c>
      <c r="H34">
        <f>IF(F34=1,IF(G34=1,IF(German_Data!D34=$B$4,0,1),IF(German_Data!E34=$B$5,0,1)),IF(German_Data!E34=$B$5,0,1))</f>
        <v/>
      </c>
      <c r="I34">
        <f>IF(H34=1,"Good","Bad")</f>
        <v/>
      </c>
      <c r="J34">
        <f>--(H34=E34)</f>
        <v/>
      </c>
    </row>
    <row r="35">
      <c r="D35">
        <f>German_Data!A35</f>
        <v/>
      </c>
      <c r="E35">
        <f>German_Data!G35</f>
        <v/>
      </c>
      <c r="F35">
        <f>--(German_Data!B35&lt;=$B$2)</f>
        <v/>
      </c>
      <c r="G35">
        <f>--(German_Data!C35&lt;=$B$3)</f>
        <v/>
      </c>
      <c r="H35">
        <f>IF(F35=1,IF(G35=1,IF(German_Data!D35=$B$4,0,1),IF(German_Data!E35=$B$5,0,1)),IF(German_Data!E35=$B$5,0,1))</f>
        <v/>
      </c>
      <c r="I35">
        <f>IF(H35=1,"Good","Bad")</f>
        <v/>
      </c>
      <c r="J35">
        <f>--(H35=E35)</f>
        <v/>
      </c>
    </row>
    <row r="36">
      <c r="D36">
        <f>German_Data!A36</f>
        <v/>
      </c>
      <c r="E36">
        <f>German_Data!G36</f>
        <v/>
      </c>
      <c r="F36">
        <f>--(German_Data!B36&lt;=$B$2)</f>
        <v/>
      </c>
      <c r="G36">
        <f>--(German_Data!C36&lt;=$B$3)</f>
        <v/>
      </c>
      <c r="H36">
        <f>IF(F36=1,IF(G36=1,IF(German_Data!D36=$B$4,0,1),IF(German_Data!E36=$B$5,0,1)),IF(German_Data!E36=$B$5,0,1))</f>
        <v/>
      </c>
      <c r="I36">
        <f>IF(H36=1,"Good","Bad")</f>
        <v/>
      </c>
      <c r="J36">
        <f>--(H36=E36)</f>
        <v/>
      </c>
    </row>
    <row r="37">
      <c r="D37">
        <f>German_Data!A37</f>
        <v/>
      </c>
      <c r="E37">
        <f>German_Data!G37</f>
        <v/>
      </c>
      <c r="F37">
        <f>--(German_Data!B37&lt;=$B$2)</f>
        <v/>
      </c>
      <c r="G37">
        <f>--(German_Data!C37&lt;=$B$3)</f>
        <v/>
      </c>
      <c r="H37">
        <f>IF(F37=1,IF(G37=1,IF(German_Data!D37=$B$4,0,1),IF(German_Data!E37=$B$5,0,1)),IF(German_Data!E37=$B$5,0,1))</f>
        <v/>
      </c>
      <c r="I37">
        <f>IF(H37=1,"Good","Bad")</f>
        <v/>
      </c>
      <c r="J37">
        <f>--(H37=E37)</f>
        <v/>
      </c>
    </row>
    <row r="38">
      <c r="D38">
        <f>German_Data!A38</f>
        <v/>
      </c>
      <c r="E38">
        <f>German_Data!G38</f>
        <v/>
      </c>
      <c r="F38">
        <f>--(German_Data!B38&lt;=$B$2)</f>
        <v/>
      </c>
      <c r="G38">
        <f>--(German_Data!C38&lt;=$B$3)</f>
        <v/>
      </c>
      <c r="H38">
        <f>IF(F38=1,IF(G38=1,IF(German_Data!D38=$B$4,0,1),IF(German_Data!E38=$B$5,0,1)),IF(German_Data!E38=$B$5,0,1))</f>
        <v/>
      </c>
      <c r="I38">
        <f>IF(H38=1,"Good","Bad")</f>
        <v/>
      </c>
      <c r="J38">
        <f>--(H38=E38)</f>
        <v/>
      </c>
    </row>
    <row r="39">
      <c r="D39">
        <f>German_Data!A39</f>
        <v/>
      </c>
      <c r="E39">
        <f>German_Data!G39</f>
        <v/>
      </c>
      <c r="F39">
        <f>--(German_Data!B39&lt;=$B$2)</f>
        <v/>
      </c>
      <c r="G39">
        <f>--(German_Data!C39&lt;=$B$3)</f>
        <v/>
      </c>
      <c r="H39">
        <f>IF(F39=1,IF(G39=1,IF(German_Data!D39=$B$4,0,1),IF(German_Data!E39=$B$5,0,1)),IF(German_Data!E39=$B$5,0,1))</f>
        <v/>
      </c>
      <c r="I39">
        <f>IF(H39=1,"Good","Bad")</f>
        <v/>
      </c>
      <c r="J39">
        <f>--(H39=E39)</f>
        <v/>
      </c>
    </row>
    <row r="40">
      <c r="D40">
        <f>German_Data!A40</f>
        <v/>
      </c>
      <c r="E40">
        <f>German_Data!G40</f>
        <v/>
      </c>
      <c r="F40">
        <f>--(German_Data!B40&lt;=$B$2)</f>
        <v/>
      </c>
      <c r="G40">
        <f>--(German_Data!C40&lt;=$B$3)</f>
        <v/>
      </c>
      <c r="H40">
        <f>IF(F40=1,IF(G40=1,IF(German_Data!D40=$B$4,0,1),IF(German_Data!E40=$B$5,0,1)),IF(German_Data!E40=$B$5,0,1))</f>
        <v/>
      </c>
      <c r="I40">
        <f>IF(H40=1,"Good","Bad")</f>
        <v/>
      </c>
      <c r="J40">
        <f>--(H40=E40)</f>
        <v/>
      </c>
    </row>
    <row r="41">
      <c r="D41">
        <f>German_Data!A41</f>
        <v/>
      </c>
      <c r="E41">
        <f>German_Data!G41</f>
        <v/>
      </c>
      <c r="F41">
        <f>--(German_Data!B41&lt;=$B$2)</f>
        <v/>
      </c>
      <c r="G41">
        <f>--(German_Data!C41&lt;=$B$3)</f>
        <v/>
      </c>
      <c r="H41">
        <f>IF(F41=1,IF(G41=1,IF(German_Data!D41=$B$4,0,1),IF(German_Data!E41=$B$5,0,1)),IF(German_Data!E41=$B$5,0,1))</f>
        <v/>
      </c>
      <c r="I41">
        <f>IF(H41=1,"Good","Bad")</f>
        <v/>
      </c>
      <c r="J41">
        <f>--(H41=E41)</f>
        <v/>
      </c>
    </row>
    <row r="42">
      <c r="D42">
        <f>German_Data!A42</f>
        <v/>
      </c>
      <c r="E42">
        <f>German_Data!G42</f>
        <v/>
      </c>
      <c r="F42">
        <f>--(German_Data!B42&lt;=$B$2)</f>
        <v/>
      </c>
      <c r="G42">
        <f>--(German_Data!C42&lt;=$B$3)</f>
        <v/>
      </c>
      <c r="H42">
        <f>IF(F42=1,IF(G42=1,IF(German_Data!D42=$B$4,0,1),IF(German_Data!E42=$B$5,0,1)),IF(German_Data!E42=$B$5,0,1))</f>
        <v/>
      </c>
      <c r="I42">
        <f>IF(H42=1,"Good","Bad")</f>
        <v/>
      </c>
      <c r="J42">
        <f>--(H42=E42)</f>
        <v/>
      </c>
    </row>
    <row r="43">
      <c r="D43">
        <f>German_Data!A43</f>
        <v/>
      </c>
      <c r="E43">
        <f>German_Data!G43</f>
        <v/>
      </c>
      <c r="F43">
        <f>--(German_Data!B43&lt;=$B$2)</f>
        <v/>
      </c>
      <c r="G43">
        <f>--(German_Data!C43&lt;=$B$3)</f>
        <v/>
      </c>
      <c r="H43">
        <f>IF(F43=1,IF(G43=1,IF(German_Data!D43=$B$4,0,1),IF(German_Data!E43=$B$5,0,1)),IF(German_Data!E43=$B$5,0,1))</f>
        <v/>
      </c>
      <c r="I43">
        <f>IF(H43=1,"Good","Bad")</f>
        <v/>
      </c>
      <c r="J43">
        <f>--(H43=E43)</f>
        <v/>
      </c>
    </row>
    <row r="44">
      <c r="D44">
        <f>German_Data!A44</f>
        <v/>
      </c>
      <c r="E44">
        <f>German_Data!G44</f>
        <v/>
      </c>
      <c r="F44">
        <f>--(German_Data!B44&lt;=$B$2)</f>
        <v/>
      </c>
      <c r="G44">
        <f>--(German_Data!C44&lt;=$B$3)</f>
        <v/>
      </c>
      <c r="H44">
        <f>IF(F44=1,IF(G44=1,IF(German_Data!D44=$B$4,0,1),IF(German_Data!E44=$B$5,0,1)),IF(German_Data!E44=$B$5,0,1))</f>
        <v/>
      </c>
      <c r="I44">
        <f>IF(H44=1,"Good","Bad")</f>
        <v/>
      </c>
      <c r="J44">
        <f>--(H44=E44)</f>
        <v/>
      </c>
    </row>
    <row r="45">
      <c r="D45">
        <f>German_Data!A45</f>
        <v/>
      </c>
      <c r="E45">
        <f>German_Data!G45</f>
        <v/>
      </c>
      <c r="F45">
        <f>--(German_Data!B45&lt;=$B$2)</f>
        <v/>
      </c>
      <c r="G45">
        <f>--(German_Data!C45&lt;=$B$3)</f>
        <v/>
      </c>
      <c r="H45">
        <f>IF(F45=1,IF(G45=1,IF(German_Data!D45=$B$4,0,1),IF(German_Data!E45=$B$5,0,1)),IF(German_Data!E45=$B$5,0,1))</f>
        <v/>
      </c>
      <c r="I45">
        <f>IF(H45=1,"Good","Bad")</f>
        <v/>
      </c>
      <c r="J45">
        <f>--(H45=E45)</f>
        <v/>
      </c>
    </row>
    <row r="46">
      <c r="D46">
        <f>German_Data!A46</f>
        <v/>
      </c>
      <c r="E46">
        <f>German_Data!G46</f>
        <v/>
      </c>
      <c r="F46">
        <f>--(German_Data!B46&lt;=$B$2)</f>
        <v/>
      </c>
      <c r="G46">
        <f>--(German_Data!C46&lt;=$B$3)</f>
        <v/>
      </c>
      <c r="H46">
        <f>IF(F46=1,IF(G46=1,IF(German_Data!D46=$B$4,0,1),IF(German_Data!E46=$B$5,0,1)),IF(German_Data!E46=$B$5,0,1))</f>
        <v/>
      </c>
      <c r="I46">
        <f>IF(H46=1,"Good","Bad")</f>
        <v/>
      </c>
      <c r="J46">
        <f>--(H46=E46)</f>
        <v/>
      </c>
    </row>
    <row r="47">
      <c r="D47">
        <f>German_Data!A47</f>
        <v/>
      </c>
      <c r="E47">
        <f>German_Data!G47</f>
        <v/>
      </c>
      <c r="F47">
        <f>--(German_Data!B47&lt;=$B$2)</f>
        <v/>
      </c>
      <c r="G47">
        <f>--(German_Data!C47&lt;=$B$3)</f>
        <v/>
      </c>
      <c r="H47">
        <f>IF(F47=1,IF(G47=1,IF(German_Data!D47=$B$4,0,1),IF(German_Data!E47=$B$5,0,1)),IF(German_Data!E47=$B$5,0,1))</f>
        <v/>
      </c>
      <c r="I47">
        <f>IF(H47=1,"Good","Bad")</f>
        <v/>
      </c>
      <c r="J47">
        <f>--(H47=E47)</f>
        <v/>
      </c>
    </row>
    <row r="48">
      <c r="D48">
        <f>German_Data!A48</f>
        <v/>
      </c>
      <c r="E48">
        <f>German_Data!G48</f>
        <v/>
      </c>
      <c r="F48">
        <f>--(German_Data!B48&lt;=$B$2)</f>
        <v/>
      </c>
      <c r="G48">
        <f>--(German_Data!C48&lt;=$B$3)</f>
        <v/>
      </c>
      <c r="H48">
        <f>IF(F48=1,IF(G48=1,IF(German_Data!D48=$B$4,0,1),IF(German_Data!E48=$B$5,0,1)),IF(German_Data!E48=$B$5,0,1))</f>
        <v/>
      </c>
      <c r="I48">
        <f>IF(H48=1,"Good","Bad")</f>
        <v/>
      </c>
      <c r="J48">
        <f>--(H48=E48)</f>
        <v/>
      </c>
    </row>
    <row r="49">
      <c r="D49">
        <f>German_Data!A49</f>
        <v/>
      </c>
      <c r="E49">
        <f>German_Data!G49</f>
        <v/>
      </c>
      <c r="F49">
        <f>--(German_Data!B49&lt;=$B$2)</f>
        <v/>
      </c>
      <c r="G49">
        <f>--(German_Data!C49&lt;=$B$3)</f>
        <v/>
      </c>
      <c r="H49">
        <f>IF(F49=1,IF(G49=1,IF(German_Data!D49=$B$4,0,1),IF(German_Data!E49=$B$5,0,1)),IF(German_Data!E49=$B$5,0,1))</f>
        <v/>
      </c>
      <c r="I49">
        <f>IF(H49=1,"Good","Bad")</f>
        <v/>
      </c>
      <c r="J49">
        <f>--(H49=E49)</f>
        <v/>
      </c>
    </row>
    <row r="50">
      <c r="D50">
        <f>German_Data!A50</f>
        <v/>
      </c>
      <c r="E50">
        <f>German_Data!G50</f>
        <v/>
      </c>
      <c r="F50">
        <f>--(German_Data!B50&lt;=$B$2)</f>
        <v/>
      </c>
      <c r="G50">
        <f>--(German_Data!C50&lt;=$B$3)</f>
        <v/>
      </c>
      <c r="H50">
        <f>IF(F50=1,IF(G50=1,IF(German_Data!D50=$B$4,0,1),IF(German_Data!E50=$B$5,0,1)),IF(German_Data!E50=$B$5,0,1))</f>
        <v/>
      </c>
      <c r="I50">
        <f>IF(H50=1,"Good","Bad")</f>
        <v/>
      </c>
      <c r="J50">
        <f>--(H50=E50)</f>
        <v/>
      </c>
    </row>
    <row r="51">
      <c r="D51">
        <f>German_Data!A51</f>
        <v/>
      </c>
      <c r="E51">
        <f>German_Data!G51</f>
        <v/>
      </c>
      <c r="F51">
        <f>--(German_Data!B51&lt;=$B$2)</f>
        <v/>
      </c>
      <c r="G51">
        <f>--(German_Data!C51&lt;=$B$3)</f>
        <v/>
      </c>
      <c r="H51">
        <f>IF(F51=1,IF(G51=1,IF(German_Data!D51=$B$4,0,1),IF(German_Data!E51=$B$5,0,1)),IF(German_Data!E51=$B$5,0,1))</f>
        <v/>
      </c>
      <c r="I51">
        <f>IF(H51=1,"Good","Bad")</f>
        <v/>
      </c>
      <c r="J51">
        <f>--(H51=E51)</f>
        <v/>
      </c>
    </row>
    <row r="52">
      <c r="D52">
        <f>German_Data!A52</f>
        <v/>
      </c>
      <c r="E52">
        <f>German_Data!G52</f>
        <v/>
      </c>
      <c r="F52">
        <f>--(German_Data!B52&lt;=$B$2)</f>
        <v/>
      </c>
      <c r="G52">
        <f>--(German_Data!C52&lt;=$B$3)</f>
        <v/>
      </c>
      <c r="H52">
        <f>IF(F52=1,IF(G52=1,IF(German_Data!D52=$B$4,0,1),IF(German_Data!E52=$B$5,0,1)),IF(German_Data!E52=$B$5,0,1))</f>
        <v/>
      </c>
      <c r="I52">
        <f>IF(H52=1,"Good","Bad")</f>
        <v/>
      </c>
      <c r="J52">
        <f>--(H52=E52)</f>
        <v/>
      </c>
    </row>
    <row r="53">
      <c r="D53">
        <f>German_Data!A53</f>
        <v/>
      </c>
      <c r="E53">
        <f>German_Data!G53</f>
        <v/>
      </c>
      <c r="F53">
        <f>--(German_Data!B53&lt;=$B$2)</f>
        <v/>
      </c>
      <c r="G53">
        <f>--(German_Data!C53&lt;=$B$3)</f>
        <v/>
      </c>
      <c r="H53">
        <f>IF(F53=1,IF(G53=1,IF(German_Data!D53=$B$4,0,1),IF(German_Data!E53=$B$5,0,1)),IF(German_Data!E53=$B$5,0,1))</f>
        <v/>
      </c>
      <c r="I53">
        <f>IF(H53=1,"Good","Bad")</f>
        <v/>
      </c>
      <c r="J53">
        <f>--(H53=E53)</f>
        <v/>
      </c>
    </row>
    <row r="54">
      <c r="D54">
        <f>German_Data!A54</f>
        <v/>
      </c>
      <c r="E54">
        <f>German_Data!G54</f>
        <v/>
      </c>
      <c r="F54">
        <f>--(German_Data!B54&lt;=$B$2)</f>
        <v/>
      </c>
      <c r="G54">
        <f>--(German_Data!C54&lt;=$B$3)</f>
        <v/>
      </c>
      <c r="H54">
        <f>IF(F54=1,IF(G54=1,IF(German_Data!D54=$B$4,0,1),IF(German_Data!E54=$B$5,0,1)),IF(German_Data!E54=$B$5,0,1))</f>
        <v/>
      </c>
      <c r="I54">
        <f>IF(H54=1,"Good","Bad")</f>
        <v/>
      </c>
      <c r="J54">
        <f>--(H54=E54)</f>
        <v/>
      </c>
    </row>
    <row r="55">
      <c r="D55">
        <f>German_Data!A55</f>
        <v/>
      </c>
      <c r="E55">
        <f>German_Data!G55</f>
        <v/>
      </c>
      <c r="F55">
        <f>--(German_Data!B55&lt;=$B$2)</f>
        <v/>
      </c>
      <c r="G55">
        <f>--(German_Data!C55&lt;=$B$3)</f>
        <v/>
      </c>
      <c r="H55">
        <f>IF(F55=1,IF(G55=1,IF(German_Data!D55=$B$4,0,1),IF(German_Data!E55=$B$5,0,1)),IF(German_Data!E55=$B$5,0,1))</f>
        <v/>
      </c>
      <c r="I55">
        <f>IF(H55=1,"Good","Bad")</f>
        <v/>
      </c>
      <c r="J55">
        <f>--(H55=E55)</f>
        <v/>
      </c>
    </row>
    <row r="56">
      <c r="D56">
        <f>German_Data!A56</f>
        <v/>
      </c>
      <c r="E56">
        <f>German_Data!G56</f>
        <v/>
      </c>
      <c r="F56">
        <f>--(German_Data!B56&lt;=$B$2)</f>
        <v/>
      </c>
      <c r="G56">
        <f>--(German_Data!C56&lt;=$B$3)</f>
        <v/>
      </c>
      <c r="H56">
        <f>IF(F56=1,IF(G56=1,IF(German_Data!D56=$B$4,0,1),IF(German_Data!E56=$B$5,0,1)),IF(German_Data!E56=$B$5,0,1))</f>
        <v/>
      </c>
      <c r="I56">
        <f>IF(H56=1,"Good","Bad")</f>
        <v/>
      </c>
      <c r="J56">
        <f>--(H56=E56)</f>
        <v/>
      </c>
    </row>
    <row r="57">
      <c r="D57">
        <f>German_Data!A57</f>
        <v/>
      </c>
      <c r="E57">
        <f>German_Data!G57</f>
        <v/>
      </c>
      <c r="F57">
        <f>--(German_Data!B57&lt;=$B$2)</f>
        <v/>
      </c>
      <c r="G57">
        <f>--(German_Data!C57&lt;=$B$3)</f>
        <v/>
      </c>
      <c r="H57">
        <f>IF(F57=1,IF(G57=1,IF(German_Data!D57=$B$4,0,1),IF(German_Data!E57=$B$5,0,1)),IF(German_Data!E57=$B$5,0,1))</f>
        <v/>
      </c>
      <c r="I57">
        <f>IF(H57=1,"Good","Bad")</f>
        <v/>
      </c>
      <c r="J57">
        <f>--(H57=E57)</f>
        <v/>
      </c>
    </row>
    <row r="58">
      <c r="D58">
        <f>German_Data!A58</f>
        <v/>
      </c>
      <c r="E58">
        <f>German_Data!G58</f>
        <v/>
      </c>
      <c r="F58">
        <f>--(German_Data!B58&lt;=$B$2)</f>
        <v/>
      </c>
      <c r="G58">
        <f>--(German_Data!C58&lt;=$B$3)</f>
        <v/>
      </c>
      <c r="H58">
        <f>IF(F58=1,IF(G58=1,IF(German_Data!D58=$B$4,0,1),IF(German_Data!E58=$B$5,0,1)),IF(German_Data!E58=$B$5,0,1))</f>
        <v/>
      </c>
      <c r="I58">
        <f>IF(H58=1,"Good","Bad")</f>
        <v/>
      </c>
      <c r="J58">
        <f>--(H58=E58)</f>
        <v/>
      </c>
    </row>
    <row r="59">
      <c r="D59">
        <f>German_Data!A59</f>
        <v/>
      </c>
      <c r="E59">
        <f>German_Data!G59</f>
        <v/>
      </c>
      <c r="F59">
        <f>--(German_Data!B59&lt;=$B$2)</f>
        <v/>
      </c>
      <c r="G59">
        <f>--(German_Data!C59&lt;=$B$3)</f>
        <v/>
      </c>
      <c r="H59">
        <f>IF(F59=1,IF(G59=1,IF(German_Data!D59=$B$4,0,1),IF(German_Data!E59=$B$5,0,1)),IF(German_Data!E59=$B$5,0,1))</f>
        <v/>
      </c>
      <c r="I59">
        <f>IF(H59=1,"Good","Bad")</f>
        <v/>
      </c>
      <c r="J59">
        <f>--(H59=E59)</f>
        <v/>
      </c>
    </row>
    <row r="60">
      <c r="D60">
        <f>German_Data!A60</f>
        <v/>
      </c>
      <c r="E60">
        <f>German_Data!G60</f>
        <v/>
      </c>
      <c r="F60">
        <f>--(German_Data!B60&lt;=$B$2)</f>
        <v/>
      </c>
      <c r="G60">
        <f>--(German_Data!C60&lt;=$B$3)</f>
        <v/>
      </c>
      <c r="H60">
        <f>IF(F60=1,IF(G60=1,IF(German_Data!D60=$B$4,0,1),IF(German_Data!E60=$B$5,0,1)),IF(German_Data!E60=$B$5,0,1))</f>
        <v/>
      </c>
      <c r="I60">
        <f>IF(H60=1,"Good","Bad")</f>
        <v/>
      </c>
      <c r="J60">
        <f>--(H60=E60)</f>
        <v/>
      </c>
    </row>
    <row r="61">
      <c r="D61">
        <f>German_Data!A61</f>
        <v/>
      </c>
      <c r="E61">
        <f>German_Data!G61</f>
        <v/>
      </c>
      <c r="F61">
        <f>--(German_Data!B61&lt;=$B$2)</f>
        <v/>
      </c>
      <c r="G61">
        <f>--(German_Data!C61&lt;=$B$3)</f>
        <v/>
      </c>
      <c r="H61">
        <f>IF(F61=1,IF(G61=1,IF(German_Data!D61=$B$4,0,1),IF(German_Data!E61=$B$5,0,1)),IF(German_Data!E61=$B$5,0,1))</f>
        <v/>
      </c>
      <c r="I61">
        <f>IF(H61=1,"Good","Bad")</f>
        <v/>
      </c>
      <c r="J61">
        <f>--(H61=E61)</f>
        <v/>
      </c>
    </row>
    <row r="62">
      <c r="D62">
        <f>German_Data!A62</f>
        <v/>
      </c>
      <c r="E62">
        <f>German_Data!G62</f>
        <v/>
      </c>
      <c r="F62">
        <f>--(German_Data!B62&lt;=$B$2)</f>
        <v/>
      </c>
      <c r="G62">
        <f>--(German_Data!C62&lt;=$B$3)</f>
        <v/>
      </c>
      <c r="H62">
        <f>IF(F62=1,IF(G62=1,IF(German_Data!D62=$B$4,0,1),IF(German_Data!E62=$B$5,0,1)),IF(German_Data!E62=$B$5,0,1))</f>
        <v/>
      </c>
      <c r="I62">
        <f>IF(H62=1,"Good","Bad")</f>
        <v/>
      </c>
      <c r="J62">
        <f>--(H62=E62)</f>
        <v/>
      </c>
    </row>
    <row r="63">
      <c r="D63">
        <f>German_Data!A63</f>
        <v/>
      </c>
      <c r="E63">
        <f>German_Data!G63</f>
        <v/>
      </c>
      <c r="F63">
        <f>--(German_Data!B63&lt;=$B$2)</f>
        <v/>
      </c>
      <c r="G63">
        <f>--(German_Data!C63&lt;=$B$3)</f>
        <v/>
      </c>
      <c r="H63">
        <f>IF(F63=1,IF(G63=1,IF(German_Data!D63=$B$4,0,1),IF(German_Data!E63=$B$5,0,1)),IF(German_Data!E63=$B$5,0,1))</f>
        <v/>
      </c>
      <c r="I63">
        <f>IF(H63=1,"Good","Bad")</f>
        <v/>
      </c>
      <c r="J63">
        <f>--(H63=E63)</f>
        <v/>
      </c>
    </row>
    <row r="64">
      <c r="D64">
        <f>German_Data!A64</f>
        <v/>
      </c>
      <c r="E64">
        <f>German_Data!G64</f>
        <v/>
      </c>
      <c r="F64">
        <f>--(German_Data!B64&lt;=$B$2)</f>
        <v/>
      </c>
      <c r="G64">
        <f>--(German_Data!C64&lt;=$B$3)</f>
        <v/>
      </c>
      <c r="H64">
        <f>IF(F64=1,IF(G64=1,IF(German_Data!D64=$B$4,0,1),IF(German_Data!E64=$B$5,0,1)),IF(German_Data!E64=$B$5,0,1))</f>
        <v/>
      </c>
      <c r="I64">
        <f>IF(H64=1,"Good","Bad")</f>
        <v/>
      </c>
      <c r="J64">
        <f>--(H64=E64)</f>
        <v/>
      </c>
    </row>
    <row r="65">
      <c r="D65">
        <f>German_Data!A65</f>
        <v/>
      </c>
      <c r="E65">
        <f>German_Data!G65</f>
        <v/>
      </c>
      <c r="F65">
        <f>--(German_Data!B65&lt;=$B$2)</f>
        <v/>
      </c>
      <c r="G65">
        <f>--(German_Data!C65&lt;=$B$3)</f>
        <v/>
      </c>
      <c r="H65">
        <f>IF(F65=1,IF(G65=1,IF(German_Data!D65=$B$4,0,1),IF(German_Data!E65=$B$5,0,1)),IF(German_Data!E65=$B$5,0,1))</f>
        <v/>
      </c>
      <c r="I65">
        <f>IF(H65=1,"Good","Bad")</f>
        <v/>
      </c>
      <c r="J65">
        <f>--(H65=E65)</f>
        <v/>
      </c>
    </row>
    <row r="66">
      <c r="D66">
        <f>German_Data!A66</f>
        <v/>
      </c>
      <c r="E66">
        <f>German_Data!G66</f>
        <v/>
      </c>
      <c r="F66">
        <f>--(German_Data!B66&lt;=$B$2)</f>
        <v/>
      </c>
      <c r="G66">
        <f>--(German_Data!C66&lt;=$B$3)</f>
        <v/>
      </c>
      <c r="H66">
        <f>IF(F66=1,IF(G66=1,IF(German_Data!D66=$B$4,0,1),IF(German_Data!E66=$B$5,0,1)),IF(German_Data!E66=$B$5,0,1))</f>
        <v/>
      </c>
      <c r="I66">
        <f>IF(H66=1,"Good","Bad")</f>
        <v/>
      </c>
      <c r="J66">
        <f>--(H66=E66)</f>
        <v/>
      </c>
    </row>
    <row r="67">
      <c r="D67">
        <f>German_Data!A67</f>
        <v/>
      </c>
      <c r="E67">
        <f>German_Data!G67</f>
        <v/>
      </c>
      <c r="F67">
        <f>--(German_Data!B67&lt;=$B$2)</f>
        <v/>
      </c>
      <c r="G67">
        <f>--(German_Data!C67&lt;=$B$3)</f>
        <v/>
      </c>
      <c r="H67">
        <f>IF(F67=1,IF(G67=1,IF(German_Data!D67=$B$4,0,1),IF(German_Data!E67=$B$5,0,1)),IF(German_Data!E67=$B$5,0,1))</f>
        <v/>
      </c>
      <c r="I67">
        <f>IF(H67=1,"Good","Bad")</f>
        <v/>
      </c>
      <c r="J67">
        <f>--(H67=E67)</f>
        <v/>
      </c>
    </row>
    <row r="68">
      <c r="D68">
        <f>German_Data!A68</f>
        <v/>
      </c>
      <c r="E68">
        <f>German_Data!G68</f>
        <v/>
      </c>
      <c r="F68">
        <f>--(German_Data!B68&lt;=$B$2)</f>
        <v/>
      </c>
      <c r="G68">
        <f>--(German_Data!C68&lt;=$B$3)</f>
        <v/>
      </c>
      <c r="H68">
        <f>IF(F68=1,IF(G68=1,IF(German_Data!D68=$B$4,0,1),IF(German_Data!E68=$B$5,0,1)),IF(German_Data!E68=$B$5,0,1))</f>
        <v/>
      </c>
      <c r="I68">
        <f>IF(H68=1,"Good","Bad")</f>
        <v/>
      </c>
      <c r="J68">
        <f>--(H68=E68)</f>
        <v/>
      </c>
    </row>
    <row r="69">
      <c r="D69">
        <f>German_Data!A69</f>
        <v/>
      </c>
      <c r="E69">
        <f>German_Data!G69</f>
        <v/>
      </c>
      <c r="F69">
        <f>--(German_Data!B69&lt;=$B$2)</f>
        <v/>
      </c>
      <c r="G69">
        <f>--(German_Data!C69&lt;=$B$3)</f>
        <v/>
      </c>
      <c r="H69">
        <f>IF(F69=1,IF(G69=1,IF(German_Data!D69=$B$4,0,1),IF(German_Data!E69=$B$5,0,1)),IF(German_Data!E69=$B$5,0,1))</f>
        <v/>
      </c>
      <c r="I69">
        <f>IF(H69=1,"Good","Bad")</f>
        <v/>
      </c>
      <c r="J69">
        <f>--(H69=E69)</f>
        <v/>
      </c>
    </row>
    <row r="70">
      <c r="D70">
        <f>German_Data!A70</f>
        <v/>
      </c>
      <c r="E70">
        <f>German_Data!G70</f>
        <v/>
      </c>
      <c r="F70">
        <f>--(German_Data!B70&lt;=$B$2)</f>
        <v/>
      </c>
      <c r="G70">
        <f>--(German_Data!C70&lt;=$B$3)</f>
        <v/>
      </c>
      <c r="H70">
        <f>IF(F70=1,IF(G70=1,IF(German_Data!D70=$B$4,0,1),IF(German_Data!E70=$B$5,0,1)),IF(German_Data!E70=$B$5,0,1))</f>
        <v/>
      </c>
      <c r="I70">
        <f>IF(H70=1,"Good","Bad")</f>
        <v/>
      </c>
      <c r="J70">
        <f>--(H70=E70)</f>
        <v/>
      </c>
    </row>
    <row r="71">
      <c r="D71">
        <f>German_Data!A71</f>
        <v/>
      </c>
      <c r="E71">
        <f>German_Data!G71</f>
        <v/>
      </c>
      <c r="F71">
        <f>--(German_Data!B71&lt;=$B$2)</f>
        <v/>
      </c>
      <c r="G71">
        <f>--(German_Data!C71&lt;=$B$3)</f>
        <v/>
      </c>
      <c r="H71">
        <f>IF(F71=1,IF(G71=1,IF(German_Data!D71=$B$4,0,1),IF(German_Data!E71=$B$5,0,1)),IF(German_Data!E71=$B$5,0,1))</f>
        <v/>
      </c>
      <c r="I71">
        <f>IF(H71=1,"Good","Bad")</f>
        <v/>
      </c>
      <c r="J71">
        <f>--(H71=E71)</f>
        <v/>
      </c>
    </row>
    <row r="72">
      <c r="D72">
        <f>German_Data!A72</f>
        <v/>
      </c>
      <c r="E72">
        <f>German_Data!G72</f>
        <v/>
      </c>
      <c r="F72">
        <f>--(German_Data!B72&lt;=$B$2)</f>
        <v/>
      </c>
      <c r="G72">
        <f>--(German_Data!C72&lt;=$B$3)</f>
        <v/>
      </c>
      <c r="H72">
        <f>IF(F72=1,IF(G72=1,IF(German_Data!D72=$B$4,0,1),IF(German_Data!E72=$B$5,0,1)),IF(German_Data!E72=$B$5,0,1))</f>
        <v/>
      </c>
      <c r="I72">
        <f>IF(H72=1,"Good","Bad")</f>
        <v/>
      </c>
      <c r="J72">
        <f>--(H72=E72)</f>
        <v/>
      </c>
    </row>
    <row r="73">
      <c r="D73">
        <f>German_Data!A73</f>
        <v/>
      </c>
      <c r="E73">
        <f>German_Data!G73</f>
        <v/>
      </c>
      <c r="F73">
        <f>--(German_Data!B73&lt;=$B$2)</f>
        <v/>
      </c>
      <c r="G73">
        <f>--(German_Data!C73&lt;=$B$3)</f>
        <v/>
      </c>
      <c r="H73">
        <f>IF(F73=1,IF(G73=1,IF(German_Data!D73=$B$4,0,1),IF(German_Data!E73=$B$5,0,1)),IF(German_Data!E73=$B$5,0,1))</f>
        <v/>
      </c>
      <c r="I73">
        <f>IF(H73=1,"Good","Bad")</f>
        <v/>
      </c>
      <c r="J73">
        <f>--(H73=E73)</f>
        <v/>
      </c>
    </row>
    <row r="74">
      <c r="D74">
        <f>German_Data!A74</f>
        <v/>
      </c>
      <c r="E74">
        <f>German_Data!G74</f>
        <v/>
      </c>
      <c r="F74">
        <f>--(German_Data!B74&lt;=$B$2)</f>
        <v/>
      </c>
      <c r="G74">
        <f>--(German_Data!C74&lt;=$B$3)</f>
        <v/>
      </c>
      <c r="H74">
        <f>IF(F74=1,IF(G74=1,IF(German_Data!D74=$B$4,0,1),IF(German_Data!E74=$B$5,0,1)),IF(German_Data!E74=$B$5,0,1))</f>
        <v/>
      </c>
      <c r="I74">
        <f>IF(H74=1,"Good","Bad")</f>
        <v/>
      </c>
      <c r="J74">
        <f>--(H74=E74)</f>
        <v/>
      </c>
    </row>
    <row r="75">
      <c r="D75">
        <f>German_Data!A75</f>
        <v/>
      </c>
      <c r="E75">
        <f>German_Data!G75</f>
        <v/>
      </c>
      <c r="F75">
        <f>--(German_Data!B75&lt;=$B$2)</f>
        <v/>
      </c>
      <c r="G75">
        <f>--(German_Data!C75&lt;=$B$3)</f>
        <v/>
      </c>
      <c r="H75">
        <f>IF(F75=1,IF(G75=1,IF(German_Data!D75=$B$4,0,1),IF(German_Data!E75=$B$5,0,1)),IF(German_Data!E75=$B$5,0,1))</f>
        <v/>
      </c>
      <c r="I75">
        <f>IF(H75=1,"Good","Bad")</f>
        <v/>
      </c>
      <c r="J75">
        <f>--(H75=E75)</f>
        <v/>
      </c>
    </row>
    <row r="76">
      <c r="D76">
        <f>German_Data!A76</f>
        <v/>
      </c>
      <c r="E76">
        <f>German_Data!G76</f>
        <v/>
      </c>
      <c r="F76">
        <f>--(German_Data!B76&lt;=$B$2)</f>
        <v/>
      </c>
      <c r="G76">
        <f>--(German_Data!C76&lt;=$B$3)</f>
        <v/>
      </c>
      <c r="H76">
        <f>IF(F76=1,IF(G76=1,IF(German_Data!D76=$B$4,0,1),IF(German_Data!E76=$B$5,0,1)),IF(German_Data!E76=$B$5,0,1))</f>
        <v/>
      </c>
      <c r="I76">
        <f>IF(H76=1,"Good","Bad")</f>
        <v/>
      </c>
      <c r="J76">
        <f>--(H76=E76)</f>
        <v/>
      </c>
    </row>
    <row r="77">
      <c r="D77">
        <f>German_Data!A77</f>
        <v/>
      </c>
      <c r="E77">
        <f>German_Data!G77</f>
        <v/>
      </c>
      <c r="F77">
        <f>--(German_Data!B77&lt;=$B$2)</f>
        <v/>
      </c>
      <c r="G77">
        <f>--(German_Data!C77&lt;=$B$3)</f>
        <v/>
      </c>
      <c r="H77">
        <f>IF(F77=1,IF(G77=1,IF(German_Data!D77=$B$4,0,1),IF(German_Data!E77=$B$5,0,1)),IF(German_Data!E77=$B$5,0,1))</f>
        <v/>
      </c>
      <c r="I77">
        <f>IF(H77=1,"Good","Bad")</f>
        <v/>
      </c>
      <c r="J77">
        <f>--(H77=E77)</f>
        <v/>
      </c>
    </row>
    <row r="78">
      <c r="D78">
        <f>German_Data!A78</f>
        <v/>
      </c>
      <c r="E78">
        <f>German_Data!G78</f>
        <v/>
      </c>
      <c r="F78">
        <f>--(German_Data!B78&lt;=$B$2)</f>
        <v/>
      </c>
      <c r="G78">
        <f>--(German_Data!C78&lt;=$B$3)</f>
        <v/>
      </c>
      <c r="H78">
        <f>IF(F78=1,IF(G78=1,IF(German_Data!D78=$B$4,0,1),IF(German_Data!E78=$B$5,0,1)),IF(German_Data!E78=$B$5,0,1))</f>
        <v/>
      </c>
      <c r="I78">
        <f>IF(H78=1,"Good","Bad")</f>
        <v/>
      </c>
      <c r="J78">
        <f>--(H78=E78)</f>
        <v/>
      </c>
    </row>
    <row r="79">
      <c r="D79">
        <f>German_Data!A79</f>
        <v/>
      </c>
      <c r="E79">
        <f>German_Data!G79</f>
        <v/>
      </c>
      <c r="F79">
        <f>--(German_Data!B79&lt;=$B$2)</f>
        <v/>
      </c>
      <c r="G79">
        <f>--(German_Data!C79&lt;=$B$3)</f>
        <v/>
      </c>
      <c r="H79">
        <f>IF(F79=1,IF(G79=1,IF(German_Data!D79=$B$4,0,1),IF(German_Data!E79=$B$5,0,1)),IF(German_Data!E79=$B$5,0,1))</f>
        <v/>
      </c>
      <c r="I79">
        <f>IF(H79=1,"Good","Bad")</f>
        <v/>
      </c>
      <c r="J79">
        <f>--(H79=E79)</f>
        <v/>
      </c>
    </row>
    <row r="80">
      <c r="D80">
        <f>German_Data!A80</f>
        <v/>
      </c>
      <c r="E80">
        <f>German_Data!G80</f>
        <v/>
      </c>
      <c r="F80">
        <f>--(German_Data!B80&lt;=$B$2)</f>
        <v/>
      </c>
      <c r="G80">
        <f>--(German_Data!C80&lt;=$B$3)</f>
        <v/>
      </c>
      <c r="H80">
        <f>IF(F80=1,IF(G80=1,IF(German_Data!D80=$B$4,0,1),IF(German_Data!E80=$B$5,0,1)),IF(German_Data!E80=$B$5,0,1))</f>
        <v/>
      </c>
      <c r="I80">
        <f>IF(H80=1,"Good","Bad")</f>
        <v/>
      </c>
      <c r="J80">
        <f>--(H80=E80)</f>
        <v/>
      </c>
    </row>
    <row r="81">
      <c r="D81">
        <f>German_Data!A81</f>
        <v/>
      </c>
      <c r="E81">
        <f>German_Data!G81</f>
        <v/>
      </c>
      <c r="F81">
        <f>--(German_Data!B81&lt;=$B$2)</f>
        <v/>
      </c>
      <c r="G81">
        <f>--(German_Data!C81&lt;=$B$3)</f>
        <v/>
      </c>
      <c r="H81">
        <f>IF(F81=1,IF(G81=1,IF(German_Data!D81=$B$4,0,1),IF(German_Data!E81=$B$5,0,1)),IF(German_Data!E81=$B$5,0,1))</f>
        <v/>
      </c>
      <c r="I81">
        <f>IF(H81=1,"Good","Bad")</f>
        <v/>
      </c>
      <c r="J81">
        <f>--(H81=E81)</f>
        <v/>
      </c>
    </row>
    <row r="82">
      <c r="D82">
        <f>German_Data!A82</f>
        <v/>
      </c>
      <c r="E82">
        <f>German_Data!G82</f>
        <v/>
      </c>
      <c r="F82">
        <f>--(German_Data!B82&lt;=$B$2)</f>
        <v/>
      </c>
      <c r="G82">
        <f>--(German_Data!C82&lt;=$B$3)</f>
        <v/>
      </c>
      <c r="H82">
        <f>IF(F82=1,IF(G82=1,IF(German_Data!D82=$B$4,0,1),IF(German_Data!E82=$B$5,0,1)),IF(German_Data!E82=$B$5,0,1))</f>
        <v/>
      </c>
      <c r="I82">
        <f>IF(H82=1,"Good","Bad")</f>
        <v/>
      </c>
      <c r="J82">
        <f>--(H82=E82)</f>
        <v/>
      </c>
    </row>
    <row r="83">
      <c r="D83">
        <f>German_Data!A83</f>
        <v/>
      </c>
      <c r="E83">
        <f>German_Data!G83</f>
        <v/>
      </c>
      <c r="F83">
        <f>--(German_Data!B83&lt;=$B$2)</f>
        <v/>
      </c>
      <c r="G83">
        <f>--(German_Data!C83&lt;=$B$3)</f>
        <v/>
      </c>
      <c r="H83">
        <f>IF(F83=1,IF(G83=1,IF(German_Data!D83=$B$4,0,1),IF(German_Data!E83=$B$5,0,1)),IF(German_Data!E83=$B$5,0,1))</f>
        <v/>
      </c>
      <c r="I83">
        <f>IF(H83=1,"Good","Bad")</f>
        <v/>
      </c>
      <c r="J83">
        <f>--(H83=E83)</f>
        <v/>
      </c>
    </row>
    <row r="84">
      <c r="D84">
        <f>German_Data!A84</f>
        <v/>
      </c>
      <c r="E84">
        <f>German_Data!G84</f>
        <v/>
      </c>
      <c r="F84">
        <f>--(German_Data!B84&lt;=$B$2)</f>
        <v/>
      </c>
      <c r="G84">
        <f>--(German_Data!C84&lt;=$B$3)</f>
        <v/>
      </c>
      <c r="H84">
        <f>IF(F84=1,IF(G84=1,IF(German_Data!D84=$B$4,0,1),IF(German_Data!E84=$B$5,0,1)),IF(German_Data!E84=$B$5,0,1))</f>
        <v/>
      </c>
      <c r="I84">
        <f>IF(H84=1,"Good","Bad")</f>
        <v/>
      </c>
      <c r="J84">
        <f>--(H84=E84)</f>
        <v/>
      </c>
    </row>
    <row r="85">
      <c r="D85">
        <f>German_Data!A85</f>
        <v/>
      </c>
      <c r="E85">
        <f>German_Data!G85</f>
        <v/>
      </c>
      <c r="F85">
        <f>--(German_Data!B85&lt;=$B$2)</f>
        <v/>
      </c>
      <c r="G85">
        <f>--(German_Data!C85&lt;=$B$3)</f>
        <v/>
      </c>
      <c r="H85">
        <f>IF(F85=1,IF(G85=1,IF(German_Data!D85=$B$4,0,1),IF(German_Data!E85=$B$5,0,1)),IF(German_Data!E85=$B$5,0,1))</f>
        <v/>
      </c>
      <c r="I85">
        <f>IF(H85=1,"Good","Bad")</f>
        <v/>
      </c>
      <c r="J85">
        <f>--(H85=E85)</f>
        <v/>
      </c>
    </row>
    <row r="86">
      <c r="D86">
        <f>German_Data!A86</f>
        <v/>
      </c>
      <c r="E86">
        <f>German_Data!G86</f>
        <v/>
      </c>
      <c r="F86">
        <f>--(German_Data!B86&lt;=$B$2)</f>
        <v/>
      </c>
      <c r="G86">
        <f>--(German_Data!C86&lt;=$B$3)</f>
        <v/>
      </c>
      <c r="H86">
        <f>IF(F86=1,IF(G86=1,IF(German_Data!D86=$B$4,0,1),IF(German_Data!E86=$B$5,0,1)),IF(German_Data!E86=$B$5,0,1))</f>
        <v/>
      </c>
      <c r="I86">
        <f>IF(H86=1,"Good","Bad")</f>
        <v/>
      </c>
      <c r="J86">
        <f>--(H86=E86)</f>
        <v/>
      </c>
    </row>
    <row r="87">
      <c r="D87">
        <f>German_Data!A87</f>
        <v/>
      </c>
      <c r="E87">
        <f>German_Data!G87</f>
        <v/>
      </c>
      <c r="F87">
        <f>--(German_Data!B87&lt;=$B$2)</f>
        <v/>
      </c>
      <c r="G87">
        <f>--(German_Data!C87&lt;=$B$3)</f>
        <v/>
      </c>
      <c r="H87">
        <f>IF(F87=1,IF(G87=1,IF(German_Data!D87=$B$4,0,1),IF(German_Data!E87=$B$5,0,1)),IF(German_Data!E87=$B$5,0,1))</f>
        <v/>
      </c>
      <c r="I87">
        <f>IF(H87=1,"Good","Bad")</f>
        <v/>
      </c>
      <c r="J87">
        <f>--(H87=E87)</f>
        <v/>
      </c>
    </row>
    <row r="88">
      <c r="D88">
        <f>German_Data!A88</f>
        <v/>
      </c>
      <c r="E88">
        <f>German_Data!G88</f>
        <v/>
      </c>
      <c r="F88">
        <f>--(German_Data!B88&lt;=$B$2)</f>
        <v/>
      </c>
      <c r="G88">
        <f>--(German_Data!C88&lt;=$B$3)</f>
        <v/>
      </c>
      <c r="H88">
        <f>IF(F88=1,IF(G88=1,IF(German_Data!D88=$B$4,0,1),IF(German_Data!E88=$B$5,0,1)),IF(German_Data!E88=$B$5,0,1))</f>
        <v/>
      </c>
      <c r="I88">
        <f>IF(H88=1,"Good","Bad")</f>
        <v/>
      </c>
      <c r="J88">
        <f>--(H88=E88)</f>
        <v/>
      </c>
    </row>
    <row r="89">
      <c r="D89">
        <f>German_Data!A89</f>
        <v/>
      </c>
      <c r="E89">
        <f>German_Data!G89</f>
        <v/>
      </c>
      <c r="F89">
        <f>--(German_Data!B89&lt;=$B$2)</f>
        <v/>
      </c>
      <c r="G89">
        <f>--(German_Data!C89&lt;=$B$3)</f>
        <v/>
      </c>
      <c r="H89">
        <f>IF(F89=1,IF(G89=1,IF(German_Data!D89=$B$4,0,1),IF(German_Data!E89=$B$5,0,1)),IF(German_Data!E89=$B$5,0,1))</f>
        <v/>
      </c>
      <c r="I89">
        <f>IF(H89=1,"Good","Bad")</f>
        <v/>
      </c>
      <c r="J89">
        <f>--(H89=E89)</f>
        <v/>
      </c>
    </row>
    <row r="90">
      <c r="D90">
        <f>German_Data!A90</f>
        <v/>
      </c>
      <c r="E90">
        <f>German_Data!G90</f>
        <v/>
      </c>
      <c r="F90">
        <f>--(German_Data!B90&lt;=$B$2)</f>
        <v/>
      </c>
      <c r="G90">
        <f>--(German_Data!C90&lt;=$B$3)</f>
        <v/>
      </c>
      <c r="H90">
        <f>IF(F90=1,IF(G90=1,IF(German_Data!D90=$B$4,0,1),IF(German_Data!E90=$B$5,0,1)),IF(German_Data!E90=$B$5,0,1))</f>
        <v/>
      </c>
      <c r="I90">
        <f>IF(H90=1,"Good","Bad")</f>
        <v/>
      </c>
      <c r="J90">
        <f>--(H90=E90)</f>
        <v/>
      </c>
    </row>
    <row r="91">
      <c r="D91">
        <f>German_Data!A91</f>
        <v/>
      </c>
      <c r="E91">
        <f>German_Data!G91</f>
        <v/>
      </c>
      <c r="F91">
        <f>--(German_Data!B91&lt;=$B$2)</f>
        <v/>
      </c>
      <c r="G91">
        <f>--(German_Data!C91&lt;=$B$3)</f>
        <v/>
      </c>
      <c r="H91">
        <f>IF(F91=1,IF(G91=1,IF(German_Data!D91=$B$4,0,1),IF(German_Data!E91=$B$5,0,1)),IF(German_Data!E91=$B$5,0,1))</f>
        <v/>
      </c>
      <c r="I91">
        <f>IF(H91=1,"Good","Bad")</f>
        <v/>
      </c>
      <c r="J91">
        <f>--(H91=E91)</f>
        <v/>
      </c>
    </row>
    <row r="92">
      <c r="D92">
        <f>German_Data!A92</f>
        <v/>
      </c>
      <c r="E92">
        <f>German_Data!G92</f>
        <v/>
      </c>
      <c r="F92">
        <f>--(German_Data!B92&lt;=$B$2)</f>
        <v/>
      </c>
      <c r="G92">
        <f>--(German_Data!C92&lt;=$B$3)</f>
        <v/>
      </c>
      <c r="H92">
        <f>IF(F92=1,IF(G92=1,IF(German_Data!D92=$B$4,0,1),IF(German_Data!E92=$B$5,0,1)),IF(German_Data!E92=$B$5,0,1))</f>
        <v/>
      </c>
      <c r="I92">
        <f>IF(H92=1,"Good","Bad")</f>
        <v/>
      </c>
      <c r="J92">
        <f>--(H92=E92)</f>
        <v/>
      </c>
    </row>
    <row r="93">
      <c r="D93">
        <f>German_Data!A93</f>
        <v/>
      </c>
      <c r="E93">
        <f>German_Data!G93</f>
        <v/>
      </c>
      <c r="F93">
        <f>--(German_Data!B93&lt;=$B$2)</f>
        <v/>
      </c>
      <c r="G93">
        <f>--(German_Data!C93&lt;=$B$3)</f>
        <v/>
      </c>
      <c r="H93">
        <f>IF(F93=1,IF(G93=1,IF(German_Data!D93=$B$4,0,1),IF(German_Data!E93=$B$5,0,1)),IF(German_Data!E93=$B$5,0,1))</f>
        <v/>
      </c>
      <c r="I93">
        <f>IF(H93=1,"Good","Bad")</f>
        <v/>
      </c>
      <c r="J93">
        <f>--(H93=E93)</f>
        <v/>
      </c>
    </row>
    <row r="94">
      <c r="D94">
        <f>German_Data!A94</f>
        <v/>
      </c>
      <c r="E94">
        <f>German_Data!G94</f>
        <v/>
      </c>
      <c r="F94">
        <f>--(German_Data!B94&lt;=$B$2)</f>
        <v/>
      </c>
      <c r="G94">
        <f>--(German_Data!C94&lt;=$B$3)</f>
        <v/>
      </c>
      <c r="H94">
        <f>IF(F94=1,IF(G94=1,IF(German_Data!D94=$B$4,0,1),IF(German_Data!E94=$B$5,0,1)),IF(German_Data!E94=$B$5,0,1))</f>
        <v/>
      </c>
      <c r="I94">
        <f>IF(H94=1,"Good","Bad")</f>
        <v/>
      </c>
      <c r="J94">
        <f>--(H94=E94)</f>
        <v/>
      </c>
    </row>
    <row r="95">
      <c r="D95">
        <f>German_Data!A95</f>
        <v/>
      </c>
      <c r="E95">
        <f>German_Data!G95</f>
        <v/>
      </c>
      <c r="F95">
        <f>--(German_Data!B95&lt;=$B$2)</f>
        <v/>
      </c>
      <c r="G95">
        <f>--(German_Data!C95&lt;=$B$3)</f>
        <v/>
      </c>
      <c r="H95">
        <f>IF(F95=1,IF(G95=1,IF(German_Data!D95=$B$4,0,1),IF(German_Data!E95=$B$5,0,1)),IF(German_Data!E95=$B$5,0,1))</f>
        <v/>
      </c>
      <c r="I95">
        <f>IF(H95=1,"Good","Bad")</f>
        <v/>
      </c>
      <c r="J95">
        <f>--(H95=E95)</f>
        <v/>
      </c>
    </row>
    <row r="96">
      <c r="D96">
        <f>German_Data!A96</f>
        <v/>
      </c>
      <c r="E96">
        <f>German_Data!G96</f>
        <v/>
      </c>
      <c r="F96">
        <f>--(German_Data!B96&lt;=$B$2)</f>
        <v/>
      </c>
      <c r="G96">
        <f>--(German_Data!C96&lt;=$B$3)</f>
        <v/>
      </c>
      <c r="H96">
        <f>IF(F96=1,IF(G96=1,IF(German_Data!D96=$B$4,0,1),IF(German_Data!E96=$B$5,0,1)),IF(German_Data!E96=$B$5,0,1))</f>
        <v/>
      </c>
      <c r="I96">
        <f>IF(H96=1,"Good","Bad")</f>
        <v/>
      </c>
      <c r="J96">
        <f>--(H96=E96)</f>
        <v/>
      </c>
    </row>
    <row r="97">
      <c r="D97">
        <f>German_Data!A97</f>
        <v/>
      </c>
      <c r="E97">
        <f>German_Data!G97</f>
        <v/>
      </c>
      <c r="F97">
        <f>--(German_Data!B97&lt;=$B$2)</f>
        <v/>
      </c>
      <c r="G97">
        <f>--(German_Data!C97&lt;=$B$3)</f>
        <v/>
      </c>
      <c r="H97">
        <f>IF(F97=1,IF(G97=1,IF(German_Data!D97=$B$4,0,1),IF(German_Data!E97=$B$5,0,1)),IF(German_Data!E97=$B$5,0,1))</f>
        <v/>
      </c>
      <c r="I97">
        <f>IF(H97=1,"Good","Bad")</f>
        <v/>
      </c>
      <c r="J97">
        <f>--(H97=E97)</f>
        <v/>
      </c>
    </row>
    <row r="98">
      <c r="D98">
        <f>German_Data!A98</f>
        <v/>
      </c>
      <c r="E98">
        <f>German_Data!G98</f>
        <v/>
      </c>
      <c r="F98">
        <f>--(German_Data!B98&lt;=$B$2)</f>
        <v/>
      </c>
      <c r="G98">
        <f>--(German_Data!C98&lt;=$B$3)</f>
        <v/>
      </c>
      <c r="H98">
        <f>IF(F98=1,IF(G98=1,IF(German_Data!D98=$B$4,0,1),IF(German_Data!E98=$B$5,0,1)),IF(German_Data!E98=$B$5,0,1))</f>
        <v/>
      </c>
      <c r="I98">
        <f>IF(H98=1,"Good","Bad")</f>
        <v/>
      </c>
      <c r="J98">
        <f>--(H98=E98)</f>
        <v/>
      </c>
    </row>
    <row r="99">
      <c r="D99">
        <f>German_Data!A99</f>
        <v/>
      </c>
      <c r="E99">
        <f>German_Data!G99</f>
        <v/>
      </c>
      <c r="F99">
        <f>--(German_Data!B99&lt;=$B$2)</f>
        <v/>
      </c>
      <c r="G99">
        <f>--(German_Data!C99&lt;=$B$3)</f>
        <v/>
      </c>
      <c r="H99">
        <f>IF(F99=1,IF(G99=1,IF(German_Data!D99=$B$4,0,1),IF(German_Data!E99=$B$5,0,1)),IF(German_Data!E99=$B$5,0,1))</f>
        <v/>
      </c>
      <c r="I99">
        <f>IF(H99=1,"Good","Bad")</f>
        <v/>
      </c>
      <c r="J99">
        <f>--(H99=E99)</f>
        <v/>
      </c>
    </row>
    <row r="100">
      <c r="D100">
        <f>German_Data!A100</f>
        <v/>
      </c>
      <c r="E100">
        <f>German_Data!G100</f>
        <v/>
      </c>
      <c r="F100">
        <f>--(German_Data!B100&lt;=$B$2)</f>
        <v/>
      </c>
      <c r="G100">
        <f>--(German_Data!C100&lt;=$B$3)</f>
        <v/>
      </c>
      <c r="H100">
        <f>IF(F100=1,IF(G100=1,IF(German_Data!D100=$B$4,0,1),IF(German_Data!E100=$B$5,0,1)),IF(German_Data!E100=$B$5,0,1))</f>
        <v/>
      </c>
      <c r="I100">
        <f>IF(H100=1,"Good","Bad")</f>
        <v/>
      </c>
      <c r="J100">
        <f>--(H100=E100)</f>
        <v/>
      </c>
    </row>
    <row r="101">
      <c r="D101">
        <f>German_Data!A101</f>
        <v/>
      </c>
      <c r="E101">
        <f>German_Data!G101</f>
        <v/>
      </c>
      <c r="F101">
        <f>--(German_Data!B101&lt;=$B$2)</f>
        <v/>
      </c>
      <c r="G101">
        <f>--(German_Data!C101&lt;=$B$3)</f>
        <v/>
      </c>
      <c r="H101">
        <f>IF(F101=1,IF(G101=1,IF(German_Data!D101=$B$4,0,1),IF(German_Data!E101=$B$5,0,1)),IF(German_Data!E101=$B$5,0,1))</f>
        <v/>
      </c>
      <c r="I101">
        <f>IF(H101=1,"Good","Bad")</f>
        <v/>
      </c>
      <c r="J101">
        <f>--(H101=E101)</f>
        <v/>
      </c>
    </row>
    <row r="102">
      <c r="D102">
        <f>German_Data!A102</f>
        <v/>
      </c>
      <c r="E102">
        <f>German_Data!G102</f>
        <v/>
      </c>
      <c r="F102">
        <f>--(German_Data!B102&lt;=$B$2)</f>
        <v/>
      </c>
      <c r="G102">
        <f>--(German_Data!C102&lt;=$B$3)</f>
        <v/>
      </c>
      <c r="H102">
        <f>IF(F102=1,IF(G102=1,IF(German_Data!D102=$B$4,0,1),IF(German_Data!E102=$B$5,0,1)),IF(German_Data!E102=$B$5,0,1))</f>
        <v/>
      </c>
      <c r="I102">
        <f>IF(H102=1,"Good","Bad")</f>
        <v/>
      </c>
      <c r="J102">
        <f>--(H102=E102)</f>
        <v/>
      </c>
    </row>
    <row r="103">
      <c r="D103">
        <f>German_Data!A103</f>
        <v/>
      </c>
      <c r="E103">
        <f>German_Data!G103</f>
        <v/>
      </c>
      <c r="F103">
        <f>--(German_Data!B103&lt;=$B$2)</f>
        <v/>
      </c>
      <c r="G103">
        <f>--(German_Data!C103&lt;=$B$3)</f>
        <v/>
      </c>
      <c r="H103">
        <f>IF(F103=1,IF(G103=1,IF(German_Data!D103=$B$4,0,1),IF(German_Data!E103=$B$5,0,1)),IF(German_Data!E103=$B$5,0,1))</f>
        <v/>
      </c>
      <c r="I103">
        <f>IF(H103=1,"Good","Bad")</f>
        <v/>
      </c>
      <c r="J103">
        <f>--(H103=E103)</f>
        <v/>
      </c>
    </row>
    <row r="104">
      <c r="D104">
        <f>German_Data!A104</f>
        <v/>
      </c>
      <c r="E104">
        <f>German_Data!G104</f>
        <v/>
      </c>
      <c r="F104">
        <f>--(German_Data!B104&lt;=$B$2)</f>
        <v/>
      </c>
      <c r="G104">
        <f>--(German_Data!C104&lt;=$B$3)</f>
        <v/>
      </c>
      <c r="H104">
        <f>IF(F104=1,IF(G104=1,IF(German_Data!D104=$B$4,0,1),IF(German_Data!E104=$B$5,0,1)),IF(German_Data!E104=$B$5,0,1))</f>
        <v/>
      </c>
      <c r="I104">
        <f>IF(H104=1,"Good","Bad")</f>
        <v/>
      </c>
      <c r="J104">
        <f>--(H104=E104)</f>
        <v/>
      </c>
    </row>
    <row r="105">
      <c r="D105">
        <f>German_Data!A105</f>
        <v/>
      </c>
      <c r="E105">
        <f>German_Data!G105</f>
        <v/>
      </c>
      <c r="F105">
        <f>--(German_Data!B105&lt;=$B$2)</f>
        <v/>
      </c>
      <c r="G105">
        <f>--(German_Data!C105&lt;=$B$3)</f>
        <v/>
      </c>
      <c r="H105">
        <f>IF(F105=1,IF(G105=1,IF(German_Data!D105=$B$4,0,1),IF(German_Data!E105=$B$5,0,1)),IF(German_Data!E105=$B$5,0,1))</f>
        <v/>
      </c>
      <c r="I105">
        <f>IF(H105=1,"Good","Bad")</f>
        <v/>
      </c>
      <c r="J105">
        <f>--(H105=E105)</f>
        <v/>
      </c>
    </row>
    <row r="106">
      <c r="D106">
        <f>German_Data!A106</f>
        <v/>
      </c>
      <c r="E106">
        <f>German_Data!G106</f>
        <v/>
      </c>
      <c r="F106">
        <f>--(German_Data!B106&lt;=$B$2)</f>
        <v/>
      </c>
      <c r="G106">
        <f>--(German_Data!C106&lt;=$B$3)</f>
        <v/>
      </c>
      <c r="H106">
        <f>IF(F106=1,IF(G106=1,IF(German_Data!D106=$B$4,0,1),IF(German_Data!E106=$B$5,0,1)),IF(German_Data!E106=$B$5,0,1))</f>
        <v/>
      </c>
      <c r="I106">
        <f>IF(H106=1,"Good","Bad")</f>
        <v/>
      </c>
      <c r="J106">
        <f>--(H106=E106)</f>
        <v/>
      </c>
    </row>
    <row r="107">
      <c r="D107">
        <f>German_Data!A107</f>
        <v/>
      </c>
      <c r="E107">
        <f>German_Data!G107</f>
        <v/>
      </c>
      <c r="F107">
        <f>--(German_Data!B107&lt;=$B$2)</f>
        <v/>
      </c>
      <c r="G107">
        <f>--(German_Data!C107&lt;=$B$3)</f>
        <v/>
      </c>
      <c r="H107">
        <f>IF(F107=1,IF(G107=1,IF(German_Data!D107=$B$4,0,1),IF(German_Data!E107=$B$5,0,1)),IF(German_Data!E107=$B$5,0,1))</f>
        <v/>
      </c>
      <c r="I107">
        <f>IF(H107=1,"Good","Bad")</f>
        <v/>
      </c>
      <c r="J107">
        <f>--(H107=E107)</f>
        <v/>
      </c>
    </row>
    <row r="108">
      <c r="D108">
        <f>German_Data!A108</f>
        <v/>
      </c>
      <c r="E108">
        <f>German_Data!G108</f>
        <v/>
      </c>
      <c r="F108">
        <f>--(German_Data!B108&lt;=$B$2)</f>
        <v/>
      </c>
      <c r="G108">
        <f>--(German_Data!C108&lt;=$B$3)</f>
        <v/>
      </c>
      <c r="H108">
        <f>IF(F108=1,IF(G108=1,IF(German_Data!D108=$B$4,0,1),IF(German_Data!E108=$B$5,0,1)),IF(German_Data!E108=$B$5,0,1))</f>
        <v/>
      </c>
      <c r="I108">
        <f>IF(H108=1,"Good","Bad")</f>
        <v/>
      </c>
      <c r="J108">
        <f>--(H108=E108)</f>
        <v/>
      </c>
    </row>
    <row r="109">
      <c r="D109">
        <f>German_Data!A109</f>
        <v/>
      </c>
      <c r="E109">
        <f>German_Data!G109</f>
        <v/>
      </c>
      <c r="F109">
        <f>--(German_Data!B109&lt;=$B$2)</f>
        <v/>
      </c>
      <c r="G109">
        <f>--(German_Data!C109&lt;=$B$3)</f>
        <v/>
      </c>
      <c r="H109">
        <f>IF(F109=1,IF(G109=1,IF(German_Data!D109=$B$4,0,1),IF(German_Data!E109=$B$5,0,1)),IF(German_Data!E109=$B$5,0,1))</f>
        <v/>
      </c>
      <c r="I109">
        <f>IF(H109=1,"Good","Bad")</f>
        <v/>
      </c>
      <c r="J109">
        <f>--(H109=E109)</f>
        <v/>
      </c>
    </row>
    <row r="110">
      <c r="D110">
        <f>German_Data!A110</f>
        <v/>
      </c>
      <c r="E110">
        <f>German_Data!G110</f>
        <v/>
      </c>
      <c r="F110">
        <f>--(German_Data!B110&lt;=$B$2)</f>
        <v/>
      </c>
      <c r="G110">
        <f>--(German_Data!C110&lt;=$B$3)</f>
        <v/>
      </c>
      <c r="H110">
        <f>IF(F110=1,IF(G110=1,IF(German_Data!D110=$B$4,0,1),IF(German_Data!E110=$B$5,0,1)),IF(German_Data!E110=$B$5,0,1))</f>
        <v/>
      </c>
      <c r="I110">
        <f>IF(H110=1,"Good","Bad")</f>
        <v/>
      </c>
      <c r="J110">
        <f>--(H110=E110)</f>
        <v/>
      </c>
    </row>
    <row r="111">
      <c r="D111">
        <f>German_Data!A111</f>
        <v/>
      </c>
      <c r="E111">
        <f>German_Data!G111</f>
        <v/>
      </c>
      <c r="F111">
        <f>--(German_Data!B111&lt;=$B$2)</f>
        <v/>
      </c>
      <c r="G111">
        <f>--(German_Data!C111&lt;=$B$3)</f>
        <v/>
      </c>
      <c r="H111">
        <f>IF(F111=1,IF(G111=1,IF(German_Data!D111=$B$4,0,1),IF(German_Data!E111=$B$5,0,1)),IF(German_Data!E111=$B$5,0,1))</f>
        <v/>
      </c>
      <c r="I111">
        <f>IF(H111=1,"Good","Bad")</f>
        <v/>
      </c>
      <c r="J111">
        <f>--(H111=E111)</f>
        <v/>
      </c>
    </row>
    <row r="112">
      <c r="D112">
        <f>German_Data!A112</f>
        <v/>
      </c>
      <c r="E112">
        <f>German_Data!G112</f>
        <v/>
      </c>
      <c r="F112">
        <f>--(German_Data!B112&lt;=$B$2)</f>
        <v/>
      </c>
      <c r="G112">
        <f>--(German_Data!C112&lt;=$B$3)</f>
        <v/>
      </c>
      <c r="H112">
        <f>IF(F112=1,IF(G112=1,IF(German_Data!D112=$B$4,0,1),IF(German_Data!E112=$B$5,0,1)),IF(German_Data!E112=$B$5,0,1))</f>
        <v/>
      </c>
      <c r="I112">
        <f>IF(H112=1,"Good","Bad")</f>
        <v/>
      </c>
      <c r="J112">
        <f>--(H112=E112)</f>
        <v/>
      </c>
    </row>
    <row r="113">
      <c r="D113">
        <f>German_Data!A113</f>
        <v/>
      </c>
      <c r="E113">
        <f>German_Data!G113</f>
        <v/>
      </c>
      <c r="F113">
        <f>--(German_Data!B113&lt;=$B$2)</f>
        <v/>
      </c>
      <c r="G113">
        <f>--(German_Data!C113&lt;=$B$3)</f>
        <v/>
      </c>
      <c r="H113">
        <f>IF(F113=1,IF(G113=1,IF(German_Data!D113=$B$4,0,1),IF(German_Data!E113=$B$5,0,1)),IF(German_Data!E113=$B$5,0,1))</f>
        <v/>
      </c>
      <c r="I113">
        <f>IF(H113=1,"Good","Bad")</f>
        <v/>
      </c>
      <c r="J113">
        <f>--(H113=E113)</f>
        <v/>
      </c>
    </row>
    <row r="114">
      <c r="D114">
        <f>German_Data!A114</f>
        <v/>
      </c>
      <c r="E114">
        <f>German_Data!G114</f>
        <v/>
      </c>
      <c r="F114">
        <f>--(German_Data!B114&lt;=$B$2)</f>
        <v/>
      </c>
      <c r="G114">
        <f>--(German_Data!C114&lt;=$B$3)</f>
        <v/>
      </c>
      <c r="H114">
        <f>IF(F114=1,IF(G114=1,IF(German_Data!D114=$B$4,0,1),IF(German_Data!E114=$B$5,0,1)),IF(German_Data!E114=$B$5,0,1))</f>
        <v/>
      </c>
      <c r="I114">
        <f>IF(H114=1,"Good","Bad")</f>
        <v/>
      </c>
      <c r="J114">
        <f>--(H114=E114)</f>
        <v/>
      </c>
    </row>
    <row r="115">
      <c r="D115">
        <f>German_Data!A115</f>
        <v/>
      </c>
      <c r="E115">
        <f>German_Data!G115</f>
        <v/>
      </c>
      <c r="F115">
        <f>--(German_Data!B115&lt;=$B$2)</f>
        <v/>
      </c>
      <c r="G115">
        <f>--(German_Data!C115&lt;=$B$3)</f>
        <v/>
      </c>
      <c r="H115">
        <f>IF(F115=1,IF(G115=1,IF(German_Data!D115=$B$4,0,1),IF(German_Data!E115=$B$5,0,1)),IF(German_Data!E115=$B$5,0,1))</f>
        <v/>
      </c>
      <c r="I115">
        <f>IF(H115=1,"Good","Bad")</f>
        <v/>
      </c>
      <c r="J115">
        <f>--(H115=E115)</f>
        <v/>
      </c>
    </row>
    <row r="116">
      <c r="D116">
        <f>German_Data!A116</f>
        <v/>
      </c>
      <c r="E116">
        <f>German_Data!G116</f>
        <v/>
      </c>
      <c r="F116">
        <f>--(German_Data!B116&lt;=$B$2)</f>
        <v/>
      </c>
      <c r="G116">
        <f>--(German_Data!C116&lt;=$B$3)</f>
        <v/>
      </c>
      <c r="H116">
        <f>IF(F116=1,IF(G116=1,IF(German_Data!D116=$B$4,0,1),IF(German_Data!E116=$B$5,0,1)),IF(German_Data!E116=$B$5,0,1))</f>
        <v/>
      </c>
      <c r="I116">
        <f>IF(H116=1,"Good","Bad")</f>
        <v/>
      </c>
      <c r="J116">
        <f>--(H116=E116)</f>
        <v/>
      </c>
    </row>
    <row r="117">
      <c r="D117">
        <f>German_Data!A117</f>
        <v/>
      </c>
      <c r="E117">
        <f>German_Data!G117</f>
        <v/>
      </c>
      <c r="F117">
        <f>--(German_Data!B117&lt;=$B$2)</f>
        <v/>
      </c>
      <c r="G117">
        <f>--(German_Data!C117&lt;=$B$3)</f>
        <v/>
      </c>
      <c r="H117">
        <f>IF(F117=1,IF(G117=1,IF(German_Data!D117=$B$4,0,1),IF(German_Data!E117=$B$5,0,1)),IF(German_Data!E117=$B$5,0,1))</f>
        <v/>
      </c>
      <c r="I117">
        <f>IF(H117=1,"Good","Bad")</f>
        <v/>
      </c>
      <c r="J117">
        <f>--(H117=E117)</f>
        <v/>
      </c>
    </row>
    <row r="118">
      <c r="D118">
        <f>German_Data!A118</f>
        <v/>
      </c>
      <c r="E118">
        <f>German_Data!G118</f>
        <v/>
      </c>
      <c r="F118">
        <f>--(German_Data!B118&lt;=$B$2)</f>
        <v/>
      </c>
      <c r="G118">
        <f>--(German_Data!C118&lt;=$B$3)</f>
        <v/>
      </c>
      <c r="H118">
        <f>IF(F118=1,IF(G118=1,IF(German_Data!D118=$B$4,0,1),IF(German_Data!E118=$B$5,0,1)),IF(German_Data!E118=$B$5,0,1))</f>
        <v/>
      </c>
      <c r="I118">
        <f>IF(H118=1,"Good","Bad")</f>
        <v/>
      </c>
      <c r="J118">
        <f>--(H118=E118)</f>
        <v/>
      </c>
    </row>
    <row r="119">
      <c r="D119">
        <f>German_Data!A119</f>
        <v/>
      </c>
      <c r="E119">
        <f>German_Data!G119</f>
        <v/>
      </c>
      <c r="F119">
        <f>--(German_Data!B119&lt;=$B$2)</f>
        <v/>
      </c>
      <c r="G119">
        <f>--(German_Data!C119&lt;=$B$3)</f>
        <v/>
      </c>
      <c r="H119">
        <f>IF(F119=1,IF(G119=1,IF(German_Data!D119=$B$4,0,1),IF(German_Data!E119=$B$5,0,1)),IF(German_Data!E119=$B$5,0,1))</f>
        <v/>
      </c>
      <c r="I119">
        <f>IF(H119=1,"Good","Bad")</f>
        <v/>
      </c>
      <c r="J119">
        <f>--(H119=E119)</f>
        <v/>
      </c>
    </row>
    <row r="120">
      <c r="D120">
        <f>German_Data!A120</f>
        <v/>
      </c>
      <c r="E120">
        <f>German_Data!G120</f>
        <v/>
      </c>
      <c r="F120">
        <f>--(German_Data!B120&lt;=$B$2)</f>
        <v/>
      </c>
      <c r="G120">
        <f>--(German_Data!C120&lt;=$B$3)</f>
        <v/>
      </c>
      <c r="H120">
        <f>IF(F120=1,IF(G120=1,IF(German_Data!D120=$B$4,0,1),IF(German_Data!E120=$B$5,0,1)),IF(German_Data!E120=$B$5,0,1))</f>
        <v/>
      </c>
      <c r="I120">
        <f>IF(H120=1,"Good","Bad")</f>
        <v/>
      </c>
      <c r="J120">
        <f>--(H120=E120)</f>
        <v/>
      </c>
    </row>
    <row r="121">
      <c r="D121">
        <f>German_Data!A121</f>
        <v/>
      </c>
      <c r="E121">
        <f>German_Data!G121</f>
        <v/>
      </c>
      <c r="F121">
        <f>--(German_Data!B121&lt;=$B$2)</f>
        <v/>
      </c>
      <c r="G121">
        <f>--(German_Data!C121&lt;=$B$3)</f>
        <v/>
      </c>
      <c r="H121">
        <f>IF(F121=1,IF(G121=1,IF(German_Data!D121=$B$4,0,1),IF(German_Data!E121=$B$5,0,1)),IF(German_Data!E121=$B$5,0,1))</f>
        <v/>
      </c>
      <c r="I121">
        <f>IF(H121=1,"Good","Bad")</f>
        <v/>
      </c>
      <c r="J121">
        <f>--(H121=E121)</f>
        <v/>
      </c>
    </row>
    <row r="122">
      <c r="D122">
        <f>German_Data!A122</f>
        <v/>
      </c>
      <c r="E122">
        <f>German_Data!G122</f>
        <v/>
      </c>
      <c r="F122">
        <f>--(German_Data!B122&lt;=$B$2)</f>
        <v/>
      </c>
      <c r="G122">
        <f>--(German_Data!C122&lt;=$B$3)</f>
        <v/>
      </c>
      <c r="H122">
        <f>IF(F122=1,IF(G122=1,IF(German_Data!D122=$B$4,0,1),IF(German_Data!E122=$B$5,0,1)),IF(German_Data!E122=$B$5,0,1))</f>
        <v/>
      </c>
      <c r="I122">
        <f>IF(H122=1,"Good","Bad")</f>
        <v/>
      </c>
      <c r="J122">
        <f>--(H122=E122)</f>
        <v/>
      </c>
    </row>
    <row r="123">
      <c r="D123">
        <f>German_Data!A123</f>
        <v/>
      </c>
      <c r="E123">
        <f>German_Data!G123</f>
        <v/>
      </c>
      <c r="F123">
        <f>--(German_Data!B123&lt;=$B$2)</f>
        <v/>
      </c>
      <c r="G123">
        <f>--(German_Data!C123&lt;=$B$3)</f>
        <v/>
      </c>
      <c r="H123">
        <f>IF(F123=1,IF(G123=1,IF(German_Data!D123=$B$4,0,1),IF(German_Data!E123=$B$5,0,1)),IF(German_Data!E123=$B$5,0,1))</f>
        <v/>
      </c>
      <c r="I123">
        <f>IF(H123=1,"Good","Bad")</f>
        <v/>
      </c>
      <c r="J123">
        <f>--(H123=E123)</f>
        <v/>
      </c>
    </row>
    <row r="124">
      <c r="D124">
        <f>German_Data!A124</f>
        <v/>
      </c>
      <c r="E124">
        <f>German_Data!G124</f>
        <v/>
      </c>
      <c r="F124">
        <f>--(German_Data!B124&lt;=$B$2)</f>
        <v/>
      </c>
      <c r="G124">
        <f>--(German_Data!C124&lt;=$B$3)</f>
        <v/>
      </c>
      <c r="H124">
        <f>IF(F124=1,IF(G124=1,IF(German_Data!D124=$B$4,0,1),IF(German_Data!E124=$B$5,0,1)),IF(German_Data!E124=$B$5,0,1))</f>
        <v/>
      </c>
      <c r="I124">
        <f>IF(H124=1,"Good","Bad")</f>
        <v/>
      </c>
      <c r="J124">
        <f>--(H124=E124)</f>
        <v/>
      </c>
    </row>
    <row r="125">
      <c r="D125">
        <f>German_Data!A125</f>
        <v/>
      </c>
      <c r="E125">
        <f>German_Data!G125</f>
        <v/>
      </c>
      <c r="F125">
        <f>--(German_Data!B125&lt;=$B$2)</f>
        <v/>
      </c>
      <c r="G125">
        <f>--(German_Data!C125&lt;=$B$3)</f>
        <v/>
      </c>
      <c r="H125">
        <f>IF(F125=1,IF(G125=1,IF(German_Data!D125=$B$4,0,1),IF(German_Data!E125=$B$5,0,1)),IF(German_Data!E125=$B$5,0,1))</f>
        <v/>
      </c>
      <c r="I125">
        <f>IF(H125=1,"Good","Bad")</f>
        <v/>
      </c>
      <c r="J125">
        <f>--(H125=E125)</f>
        <v/>
      </c>
    </row>
    <row r="126">
      <c r="D126">
        <f>German_Data!A126</f>
        <v/>
      </c>
      <c r="E126">
        <f>German_Data!G126</f>
        <v/>
      </c>
      <c r="F126">
        <f>--(German_Data!B126&lt;=$B$2)</f>
        <v/>
      </c>
      <c r="G126">
        <f>--(German_Data!C126&lt;=$B$3)</f>
        <v/>
      </c>
      <c r="H126">
        <f>IF(F126=1,IF(G126=1,IF(German_Data!D126=$B$4,0,1),IF(German_Data!E126=$B$5,0,1)),IF(German_Data!E126=$B$5,0,1))</f>
        <v/>
      </c>
      <c r="I126">
        <f>IF(H126=1,"Good","Bad")</f>
        <v/>
      </c>
      <c r="J126">
        <f>--(H126=E126)</f>
        <v/>
      </c>
    </row>
    <row r="127">
      <c r="D127">
        <f>German_Data!A127</f>
        <v/>
      </c>
      <c r="E127">
        <f>German_Data!G127</f>
        <v/>
      </c>
      <c r="F127">
        <f>--(German_Data!B127&lt;=$B$2)</f>
        <v/>
      </c>
      <c r="G127">
        <f>--(German_Data!C127&lt;=$B$3)</f>
        <v/>
      </c>
      <c r="H127">
        <f>IF(F127=1,IF(G127=1,IF(German_Data!D127=$B$4,0,1),IF(German_Data!E127=$B$5,0,1)),IF(German_Data!E127=$B$5,0,1))</f>
        <v/>
      </c>
      <c r="I127">
        <f>IF(H127=1,"Good","Bad")</f>
        <v/>
      </c>
      <c r="J127">
        <f>--(H127=E127)</f>
        <v/>
      </c>
    </row>
    <row r="128">
      <c r="D128">
        <f>German_Data!A128</f>
        <v/>
      </c>
      <c r="E128">
        <f>German_Data!G128</f>
        <v/>
      </c>
      <c r="F128">
        <f>--(German_Data!B128&lt;=$B$2)</f>
        <v/>
      </c>
      <c r="G128">
        <f>--(German_Data!C128&lt;=$B$3)</f>
        <v/>
      </c>
      <c r="H128">
        <f>IF(F128=1,IF(G128=1,IF(German_Data!D128=$B$4,0,1),IF(German_Data!E128=$B$5,0,1)),IF(German_Data!E128=$B$5,0,1))</f>
        <v/>
      </c>
      <c r="I128">
        <f>IF(H128=1,"Good","Bad")</f>
        <v/>
      </c>
      <c r="J128">
        <f>--(H128=E128)</f>
        <v/>
      </c>
    </row>
    <row r="129">
      <c r="D129">
        <f>German_Data!A129</f>
        <v/>
      </c>
      <c r="E129">
        <f>German_Data!G129</f>
        <v/>
      </c>
      <c r="F129">
        <f>--(German_Data!B129&lt;=$B$2)</f>
        <v/>
      </c>
      <c r="G129">
        <f>--(German_Data!C129&lt;=$B$3)</f>
        <v/>
      </c>
      <c r="H129">
        <f>IF(F129=1,IF(G129=1,IF(German_Data!D129=$B$4,0,1),IF(German_Data!E129=$B$5,0,1)),IF(German_Data!E129=$B$5,0,1))</f>
        <v/>
      </c>
      <c r="I129">
        <f>IF(H129=1,"Good","Bad")</f>
        <v/>
      </c>
      <c r="J129">
        <f>--(H129=E129)</f>
        <v/>
      </c>
    </row>
    <row r="130">
      <c r="D130">
        <f>German_Data!A130</f>
        <v/>
      </c>
      <c r="E130">
        <f>German_Data!G130</f>
        <v/>
      </c>
      <c r="F130">
        <f>--(German_Data!B130&lt;=$B$2)</f>
        <v/>
      </c>
      <c r="G130">
        <f>--(German_Data!C130&lt;=$B$3)</f>
        <v/>
      </c>
      <c r="H130">
        <f>IF(F130=1,IF(G130=1,IF(German_Data!D130=$B$4,0,1),IF(German_Data!E130=$B$5,0,1)),IF(German_Data!E130=$B$5,0,1))</f>
        <v/>
      </c>
      <c r="I130">
        <f>IF(H130=1,"Good","Bad")</f>
        <v/>
      </c>
      <c r="J130">
        <f>--(H130=E130)</f>
        <v/>
      </c>
    </row>
    <row r="131">
      <c r="D131">
        <f>German_Data!A131</f>
        <v/>
      </c>
      <c r="E131">
        <f>German_Data!G131</f>
        <v/>
      </c>
      <c r="F131">
        <f>--(German_Data!B131&lt;=$B$2)</f>
        <v/>
      </c>
      <c r="G131">
        <f>--(German_Data!C131&lt;=$B$3)</f>
        <v/>
      </c>
      <c r="H131">
        <f>IF(F131=1,IF(G131=1,IF(German_Data!D131=$B$4,0,1),IF(German_Data!E131=$B$5,0,1)),IF(German_Data!E131=$B$5,0,1))</f>
        <v/>
      </c>
      <c r="I131">
        <f>IF(H131=1,"Good","Bad")</f>
        <v/>
      </c>
      <c r="J131">
        <f>--(H131=E131)</f>
        <v/>
      </c>
    </row>
    <row r="132">
      <c r="D132">
        <f>German_Data!A132</f>
        <v/>
      </c>
      <c r="E132">
        <f>German_Data!G132</f>
        <v/>
      </c>
      <c r="F132">
        <f>--(German_Data!B132&lt;=$B$2)</f>
        <v/>
      </c>
      <c r="G132">
        <f>--(German_Data!C132&lt;=$B$3)</f>
        <v/>
      </c>
      <c r="H132">
        <f>IF(F132=1,IF(G132=1,IF(German_Data!D132=$B$4,0,1),IF(German_Data!E132=$B$5,0,1)),IF(German_Data!E132=$B$5,0,1))</f>
        <v/>
      </c>
      <c r="I132">
        <f>IF(H132=1,"Good","Bad")</f>
        <v/>
      </c>
      <c r="J132">
        <f>--(H132=E132)</f>
        <v/>
      </c>
    </row>
    <row r="133">
      <c r="D133">
        <f>German_Data!A133</f>
        <v/>
      </c>
      <c r="E133">
        <f>German_Data!G133</f>
        <v/>
      </c>
      <c r="F133">
        <f>--(German_Data!B133&lt;=$B$2)</f>
        <v/>
      </c>
      <c r="G133">
        <f>--(German_Data!C133&lt;=$B$3)</f>
        <v/>
      </c>
      <c r="H133">
        <f>IF(F133=1,IF(G133=1,IF(German_Data!D133=$B$4,0,1),IF(German_Data!E133=$B$5,0,1)),IF(German_Data!E133=$B$5,0,1))</f>
        <v/>
      </c>
      <c r="I133">
        <f>IF(H133=1,"Good","Bad")</f>
        <v/>
      </c>
      <c r="J133">
        <f>--(H133=E133)</f>
        <v/>
      </c>
    </row>
    <row r="134">
      <c r="D134">
        <f>German_Data!A134</f>
        <v/>
      </c>
      <c r="E134">
        <f>German_Data!G134</f>
        <v/>
      </c>
      <c r="F134">
        <f>--(German_Data!B134&lt;=$B$2)</f>
        <v/>
      </c>
      <c r="G134">
        <f>--(German_Data!C134&lt;=$B$3)</f>
        <v/>
      </c>
      <c r="H134">
        <f>IF(F134=1,IF(G134=1,IF(German_Data!D134=$B$4,0,1),IF(German_Data!E134=$B$5,0,1)),IF(German_Data!E134=$B$5,0,1))</f>
        <v/>
      </c>
      <c r="I134">
        <f>IF(H134=1,"Good","Bad")</f>
        <v/>
      </c>
      <c r="J134">
        <f>--(H134=E134)</f>
        <v/>
      </c>
    </row>
    <row r="135">
      <c r="D135">
        <f>German_Data!A135</f>
        <v/>
      </c>
      <c r="E135">
        <f>German_Data!G135</f>
        <v/>
      </c>
      <c r="F135">
        <f>--(German_Data!B135&lt;=$B$2)</f>
        <v/>
      </c>
      <c r="G135">
        <f>--(German_Data!C135&lt;=$B$3)</f>
        <v/>
      </c>
      <c r="H135">
        <f>IF(F135=1,IF(G135=1,IF(German_Data!D135=$B$4,0,1),IF(German_Data!E135=$B$5,0,1)),IF(German_Data!E135=$B$5,0,1))</f>
        <v/>
      </c>
      <c r="I135">
        <f>IF(H135=1,"Good","Bad")</f>
        <v/>
      </c>
      <c r="J135">
        <f>--(H135=E135)</f>
        <v/>
      </c>
    </row>
    <row r="136">
      <c r="D136">
        <f>German_Data!A136</f>
        <v/>
      </c>
      <c r="E136">
        <f>German_Data!G136</f>
        <v/>
      </c>
      <c r="F136">
        <f>--(German_Data!B136&lt;=$B$2)</f>
        <v/>
      </c>
      <c r="G136">
        <f>--(German_Data!C136&lt;=$B$3)</f>
        <v/>
      </c>
      <c r="H136">
        <f>IF(F136=1,IF(G136=1,IF(German_Data!D136=$B$4,0,1),IF(German_Data!E136=$B$5,0,1)),IF(German_Data!E136=$B$5,0,1))</f>
        <v/>
      </c>
      <c r="I136">
        <f>IF(H136=1,"Good","Bad")</f>
        <v/>
      </c>
      <c r="J136">
        <f>--(H136=E136)</f>
        <v/>
      </c>
    </row>
    <row r="137">
      <c r="D137">
        <f>German_Data!A137</f>
        <v/>
      </c>
      <c r="E137">
        <f>German_Data!G137</f>
        <v/>
      </c>
      <c r="F137">
        <f>--(German_Data!B137&lt;=$B$2)</f>
        <v/>
      </c>
      <c r="G137">
        <f>--(German_Data!C137&lt;=$B$3)</f>
        <v/>
      </c>
      <c r="H137">
        <f>IF(F137=1,IF(G137=1,IF(German_Data!D137=$B$4,0,1),IF(German_Data!E137=$B$5,0,1)),IF(German_Data!E137=$B$5,0,1))</f>
        <v/>
      </c>
      <c r="I137">
        <f>IF(H137=1,"Good","Bad")</f>
        <v/>
      </c>
      <c r="J137">
        <f>--(H137=E137)</f>
        <v/>
      </c>
    </row>
    <row r="138">
      <c r="D138">
        <f>German_Data!A138</f>
        <v/>
      </c>
      <c r="E138">
        <f>German_Data!G138</f>
        <v/>
      </c>
      <c r="F138">
        <f>--(German_Data!B138&lt;=$B$2)</f>
        <v/>
      </c>
      <c r="G138">
        <f>--(German_Data!C138&lt;=$B$3)</f>
        <v/>
      </c>
      <c r="H138">
        <f>IF(F138=1,IF(G138=1,IF(German_Data!D138=$B$4,0,1),IF(German_Data!E138=$B$5,0,1)),IF(German_Data!E138=$B$5,0,1))</f>
        <v/>
      </c>
      <c r="I138">
        <f>IF(H138=1,"Good","Bad")</f>
        <v/>
      </c>
      <c r="J138">
        <f>--(H138=E138)</f>
        <v/>
      </c>
    </row>
    <row r="139">
      <c r="D139">
        <f>German_Data!A139</f>
        <v/>
      </c>
      <c r="E139">
        <f>German_Data!G139</f>
        <v/>
      </c>
      <c r="F139">
        <f>--(German_Data!B139&lt;=$B$2)</f>
        <v/>
      </c>
      <c r="G139">
        <f>--(German_Data!C139&lt;=$B$3)</f>
        <v/>
      </c>
      <c r="H139">
        <f>IF(F139=1,IF(G139=1,IF(German_Data!D139=$B$4,0,1),IF(German_Data!E139=$B$5,0,1)),IF(German_Data!E139=$B$5,0,1))</f>
        <v/>
      </c>
      <c r="I139">
        <f>IF(H139=1,"Good","Bad")</f>
        <v/>
      </c>
      <c r="J139">
        <f>--(H139=E139)</f>
        <v/>
      </c>
    </row>
    <row r="140">
      <c r="D140">
        <f>German_Data!A140</f>
        <v/>
      </c>
      <c r="E140">
        <f>German_Data!G140</f>
        <v/>
      </c>
      <c r="F140">
        <f>--(German_Data!B140&lt;=$B$2)</f>
        <v/>
      </c>
      <c r="G140">
        <f>--(German_Data!C140&lt;=$B$3)</f>
        <v/>
      </c>
      <c r="H140">
        <f>IF(F140=1,IF(G140=1,IF(German_Data!D140=$B$4,0,1),IF(German_Data!E140=$B$5,0,1)),IF(German_Data!E140=$B$5,0,1))</f>
        <v/>
      </c>
      <c r="I140">
        <f>IF(H140=1,"Good","Bad")</f>
        <v/>
      </c>
      <c r="J140">
        <f>--(H140=E140)</f>
        <v/>
      </c>
    </row>
    <row r="141">
      <c r="D141">
        <f>German_Data!A141</f>
        <v/>
      </c>
      <c r="E141">
        <f>German_Data!G141</f>
        <v/>
      </c>
      <c r="F141">
        <f>--(German_Data!B141&lt;=$B$2)</f>
        <v/>
      </c>
      <c r="G141">
        <f>--(German_Data!C141&lt;=$B$3)</f>
        <v/>
      </c>
      <c r="H141">
        <f>IF(F141=1,IF(G141=1,IF(German_Data!D141=$B$4,0,1),IF(German_Data!E141=$B$5,0,1)),IF(German_Data!E141=$B$5,0,1))</f>
        <v/>
      </c>
      <c r="I141">
        <f>IF(H141=1,"Good","Bad")</f>
        <v/>
      </c>
      <c r="J141">
        <f>--(H141=E141)</f>
        <v/>
      </c>
    </row>
    <row r="142">
      <c r="D142">
        <f>German_Data!A142</f>
        <v/>
      </c>
      <c r="E142">
        <f>German_Data!G142</f>
        <v/>
      </c>
      <c r="F142">
        <f>--(German_Data!B142&lt;=$B$2)</f>
        <v/>
      </c>
      <c r="G142">
        <f>--(German_Data!C142&lt;=$B$3)</f>
        <v/>
      </c>
      <c r="H142">
        <f>IF(F142=1,IF(G142=1,IF(German_Data!D142=$B$4,0,1),IF(German_Data!E142=$B$5,0,1)),IF(German_Data!E142=$B$5,0,1))</f>
        <v/>
      </c>
      <c r="I142">
        <f>IF(H142=1,"Good","Bad")</f>
        <v/>
      </c>
      <c r="J142">
        <f>--(H142=E142)</f>
        <v/>
      </c>
    </row>
    <row r="143">
      <c r="D143">
        <f>German_Data!A143</f>
        <v/>
      </c>
      <c r="E143">
        <f>German_Data!G143</f>
        <v/>
      </c>
      <c r="F143">
        <f>--(German_Data!B143&lt;=$B$2)</f>
        <v/>
      </c>
      <c r="G143">
        <f>--(German_Data!C143&lt;=$B$3)</f>
        <v/>
      </c>
      <c r="H143">
        <f>IF(F143=1,IF(G143=1,IF(German_Data!D143=$B$4,0,1),IF(German_Data!E143=$B$5,0,1)),IF(German_Data!E143=$B$5,0,1))</f>
        <v/>
      </c>
      <c r="I143">
        <f>IF(H143=1,"Good","Bad")</f>
        <v/>
      </c>
      <c r="J143">
        <f>--(H143=E143)</f>
        <v/>
      </c>
    </row>
    <row r="144">
      <c r="D144">
        <f>German_Data!A144</f>
        <v/>
      </c>
      <c r="E144">
        <f>German_Data!G144</f>
        <v/>
      </c>
      <c r="F144">
        <f>--(German_Data!B144&lt;=$B$2)</f>
        <v/>
      </c>
      <c r="G144">
        <f>--(German_Data!C144&lt;=$B$3)</f>
        <v/>
      </c>
      <c r="H144">
        <f>IF(F144=1,IF(G144=1,IF(German_Data!D144=$B$4,0,1),IF(German_Data!E144=$B$5,0,1)),IF(German_Data!E144=$B$5,0,1))</f>
        <v/>
      </c>
      <c r="I144">
        <f>IF(H144=1,"Good","Bad")</f>
        <v/>
      </c>
      <c r="J144">
        <f>--(H144=E144)</f>
        <v/>
      </c>
    </row>
    <row r="145">
      <c r="D145">
        <f>German_Data!A145</f>
        <v/>
      </c>
      <c r="E145">
        <f>German_Data!G145</f>
        <v/>
      </c>
      <c r="F145">
        <f>--(German_Data!B145&lt;=$B$2)</f>
        <v/>
      </c>
      <c r="G145">
        <f>--(German_Data!C145&lt;=$B$3)</f>
        <v/>
      </c>
      <c r="H145">
        <f>IF(F145=1,IF(G145=1,IF(German_Data!D145=$B$4,0,1),IF(German_Data!E145=$B$5,0,1)),IF(German_Data!E145=$B$5,0,1))</f>
        <v/>
      </c>
      <c r="I145">
        <f>IF(H145=1,"Good","Bad")</f>
        <v/>
      </c>
      <c r="J145">
        <f>--(H145=E145)</f>
        <v/>
      </c>
    </row>
    <row r="146">
      <c r="D146">
        <f>German_Data!A146</f>
        <v/>
      </c>
      <c r="E146">
        <f>German_Data!G146</f>
        <v/>
      </c>
      <c r="F146">
        <f>--(German_Data!B146&lt;=$B$2)</f>
        <v/>
      </c>
      <c r="G146">
        <f>--(German_Data!C146&lt;=$B$3)</f>
        <v/>
      </c>
      <c r="H146">
        <f>IF(F146=1,IF(G146=1,IF(German_Data!D146=$B$4,0,1),IF(German_Data!E146=$B$5,0,1)),IF(German_Data!E146=$B$5,0,1))</f>
        <v/>
      </c>
      <c r="I146">
        <f>IF(H146=1,"Good","Bad")</f>
        <v/>
      </c>
      <c r="J146">
        <f>--(H146=E146)</f>
        <v/>
      </c>
    </row>
    <row r="147">
      <c r="D147">
        <f>German_Data!A147</f>
        <v/>
      </c>
      <c r="E147">
        <f>German_Data!G147</f>
        <v/>
      </c>
      <c r="F147">
        <f>--(German_Data!B147&lt;=$B$2)</f>
        <v/>
      </c>
      <c r="G147">
        <f>--(German_Data!C147&lt;=$B$3)</f>
        <v/>
      </c>
      <c r="H147">
        <f>IF(F147=1,IF(G147=1,IF(German_Data!D147=$B$4,0,1),IF(German_Data!E147=$B$5,0,1)),IF(German_Data!E147=$B$5,0,1))</f>
        <v/>
      </c>
      <c r="I147">
        <f>IF(H147=1,"Good","Bad")</f>
        <v/>
      </c>
      <c r="J147">
        <f>--(H147=E147)</f>
        <v/>
      </c>
    </row>
    <row r="148">
      <c r="D148">
        <f>German_Data!A148</f>
        <v/>
      </c>
      <c r="E148">
        <f>German_Data!G148</f>
        <v/>
      </c>
      <c r="F148">
        <f>--(German_Data!B148&lt;=$B$2)</f>
        <v/>
      </c>
      <c r="G148">
        <f>--(German_Data!C148&lt;=$B$3)</f>
        <v/>
      </c>
      <c r="H148">
        <f>IF(F148=1,IF(G148=1,IF(German_Data!D148=$B$4,0,1),IF(German_Data!E148=$B$5,0,1)),IF(German_Data!E148=$B$5,0,1))</f>
        <v/>
      </c>
      <c r="I148">
        <f>IF(H148=1,"Good","Bad")</f>
        <v/>
      </c>
      <c r="J148">
        <f>--(H148=E148)</f>
        <v/>
      </c>
    </row>
    <row r="149">
      <c r="D149">
        <f>German_Data!A149</f>
        <v/>
      </c>
      <c r="E149">
        <f>German_Data!G149</f>
        <v/>
      </c>
      <c r="F149">
        <f>--(German_Data!B149&lt;=$B$2)</f>
        <v/>
      </c>
      <c r="G149">
        <f>--(German_Data!C149&lt;=$B$3)</f>
        <v/>
      </c>
      <c r="H149">
        <f>IF(F149=1,IF(G149=1,IF(German_Data!D149=$B$4,0,1),IF(German_Data!E149=$B$5,0,1)),IF(German_Data!E149=$B$5,0,1))</f>
        <v/>
      </c>
      <c r="I149">
        <f>IF(H149=1,"Good","Bad")</f>
        <v/>
      </c>
      <c r="J149">
        <f>--(H149=E149)</f>
        <v/>
      </c>
    </row>
    <row r="150">
      <c r="D150">
        <f>German_Data!A150</f>
        <v/>
      </c>
      <c r="E150">
        <f>German_Data!G150</f>
        <v/>
      </c>
      <c r="F150">
        <f>--(German_Data!B150&lt;=$B$2)</f>
        <v/>
      </c>
      <c r="G150">
        <f>--(German_Data!C150&lt;=$B$3)</f>
        <v/>
      </c>
      <c r="H150">
        <f>IF(F150=1,IF(G150=1,IF(German_Data!D150=$B$4,0,1),IF(German_Data!E150=$B$5,0,1)),IF(German_Data!E150=$B$5,0,1))</f>
        <v/>
      </c>
      <c r="I150">
        <f>IF(H150=1,"Good","Bad")</f>
        <v/>
      </c>
      <c r="J150">
        <f>--(H150=E150)</f>
        <v/>
      </c>
    </row>
    <row r="151">
      <c r="D151">
        <f>German_Data!A151</f>
        <v/>
      </c>
      <c r="E151">
        <f>German_Data!G151</f>
        <v/>
      </c>
      <c r="F151">
        <f>--(German_Data!B151&lt;=$B$2)</f>
        <v/>
      </c>
      <c r="G151">
        <f>--(German_Data!C151&lt;=$B$3)</f>
        <v/>
      </c>
      <c r="H151">
        <f>IF(F151=1,IF(G151=1,IF(German_Data!D151=$B$4,0,1),IF(German_Data!E151=$B$5,0,1)),IF(German_Data!E151=$B$5,0,1))</f>
        <v/>
      </c>
      <c r="I151">
        <f>IF(H151=1,"Good","Bad")</f>
        <v/>
      </c>
      <c r="J151">
        <f>--(H151=E151)</f>
        <v/>
      </c>
    </row>
    <row r="152">
      <c r="D152">
        <f>German_Data!A152</f>
        <v/>
      </c>
      <c r="E152">
        <f>German_Data!G152</f>
        <v/>
      </c>
      <c r="F152">
        <f>--(German_Data!B152&lt;=$B$2)</f>
        <v/>
      </c>
      <c r="G152">
        <f>--(German_Data!C152&lt;=$B$3)</f>
        <v/>
      </c>
      <c r="H152">
        <f>IF(F152=1,IF(G152=1,IF(German_Data!D152=$B$4,0,1),IF(German_Data!E152=$B$5,0,1)),IF(German_Data!E152=$B$5,0,1))</f>
        <v/>
      </c>
      <c r="I152">
        <f>IF(H152=1,"Good","Bad")</f>
        <v/>
      </c>
      <c r="J152">
        <f>--(H152=E152)</f>
        <v/>
      </c>
    </row>
    <row r="153">
      <c r="D153">
        <f>German_Data!A153</f>
        <v/>
      </c>
      <c r="E153">
        <f>German_Data!G153</f>
        <v/>
      </c>
      <c r="F153">
        <f>--(German_Data!B153&lt;=$B$2)</f>
        <v/>
      </c>
      <c r="G153">
        <f>--(German_Data!C153&lt;=$B$3)</f>
        <v/>
      </c>
      <c r="H153">
        <f>IF(F153=1,IF(G153=1,IF(German_Data!D153=$B$4,0,1),IF(German_Data!E153=$B$5,0,1)),IF(German_Data!E153=$B$5,0,1))</f>
        <v/>
      </c>
      <c r="I153">
        <f>IF(H153=1,"Good","Bad")</f>
        <v/>
      </c>
      <c r="J153">
        <f>--(H153=E153)</f>
        <v/>
      </c>
    </row>
    <row r="154">
      <c r="D154">
        <f>German_Data!A154</f>
        <v/>
      </c>
      <c r="E154">
        <f>German_Data!G154</f>
        <v/>
      </c>
      <c r="F154">
        <f>--(German_Data!B154&lt;=$B$2)</f>
        <v/>
      </c>
      <c r="G154">
        <f>--(German_Data!C154&lt;=$B$3)</f>
        <v/>
      </c>
      <c r="H154">
        <f>IF(F154=1,IF(G154=1,IF(German_Data!D154=$B$4,0,1),IF(German_Data!E154=$B$5,0,1)),IF(German_Data!E154=$B$5,0,1))</f>
        <v/>
      </c>
      <c r="I154">
        <f>IF(H154=1,"Good","Bad")</f>
        <v/>
      </c>
      <c r="J154">
        <f>--(H154=E154)</f>
        <v/>
      </c>
    </row>
    <row r="155">
      <c r="D155">
        <f>German_Data!A155</f>
        <v/>
      </c>
      <c r="E155">
        <f>German_Data!G155</f>
        <v/>
      </c>
      <c r="F155">
        <f>--(German_Data!B155&lt;=$B$2)</f>
        <v/>
      </c>
      <c r="G155">
        <f>--(German_Data!C155&lt;=$B$3)</f>
        <v/>
      </c>
      <c r="H155">
        <f>IF(F155=1,IF(G155=1,IF(German_Data!D155=$B$4,0,1),IF(German_Data!E155=$B$5,0,1)),IF(German_Data!E155=$B$5,0,1))</f>
        <v/>
      </c>
      <c r="I155">
        <f>IF(H155=1,"Good","Bad")</f>
        <v/>
      </c>
      <c r="J155">
        <f>--(H155=E155)</f>
        <v/>
      </c>
    </row>
    <row r="156">
      <c r="D156">
        <f>German_Data!A156</f>
        <v/>
      </c>
      <c r="E156">
        <f>German_Data!G156</f>
        <v/>
      </c>
      <c r="F156">
        <f>--(German_Data!B156&lt;=$B$2)</f>
        <v/>
      </c>
      <c r="G156">
        <f>--(German_Data!C156&lt;=$B$3)</f>
        <v/>
      </c>
      <c r="H156">
        <f>IF(F156=1,IF(G156=1,IF(German_Data!D156=$B$4,0,1),IF(German_Data!E156=$B$5,0,1)),IF(German_Data!E156=$B$5,0,1))</f>
        <v/>
      </c>
      <c r="I156">
        <f>IF(H156=1,"Good","Bad")</f>
        <v/>
      </c>
      <c r="J156">
        <f>--(H156=E156)</f>
        <v/>
      </c>
    </row>
    <row r="157">
      <c r="D157">
        <f>German_Data!A157</f>
        <v/>
      </c>
      <c r="E157">
        <f>German_Data!G157</f>
        <v/>
      </c>
      <c r="F157">
        <f>--(German_Data!B157&lt;=$B$2)</f>
        <v/>
      </c>
      <c r="G157">
        <f>--(German_Data!C157&lt;=$B$3)</f>
        <v/>
      </c>
      <c r="H157">
        <f>IF(F157=1,IF(G157=1,IF(German_Data!D157=$B$4,0,1),IF(German_Data!E157=$B$5,0,1)),IF(German_Data!E157=$B$5,0,1))</f>
        <v/>
      </c>
      <c r="I157">
        <f>IF(H157=1,"Good","Bad")</f>
        <v/>
      </c>
      <c r="J157">
        <f>--(H157=E157)</f>
        <v/>
      </c>
    </row>
    <row r="158">
      <c r="D158">
        <f>German_Data!A158</f>
        <v/>
      </c>
      <c r="E158">
        <f>German_Data!G158</f>
        <v/>
      </c>
      <c r="F158">
        <f>--(German_Data!B158&lt;=$B$2)</f>
        <v/>
      </c>
      <c r="G158">
        <f>--(German_Data!C158&lt;=$B$3)</f>
        <v/>
      </c>
      <c r="H158">
        <f>IF(F158=1,IF(G158=1,IF(German_Data!D158=$B$4,0,1),IF(German_Data!E158=$B$5,0,1)),IF(German_Data!E158=$B$5,0,1))</f>
        <v/>
      </c>
      <c r="I158">
        <f>IF(H158=1,"Good","Bad")</f>
        <v/>
      </c>
      <c r="J158">
        <f>--(H158=E158)</f>
        <v/>
      </c>
    </row>
    <row r="159">
      <c r="D159">
        <f>German_Data!A159</f>
        <v/>
      </c>
      <c r="E159">
        <f>German_Data!G159</f>
        <v/>
      </c>
      <c r="F159">
        <f>--(German_Data!B159&lt;=$B$2)</f>
        <v/>
      </c>
      <c r="G159">
        <f>--(German_Data!C159&lt;=$B$3)</f>
        <v/>
      </c>
      <c r="H159">
        <f>IF(F159=1,IF(G159=1,IF(German_Data!D159=$B$4,0,1),IF(German_Data!E159=$B$5,0,1)),IF(German_Data!E159=$B$5,0,1))</f>
        <v/>
      </c>
      <c r="I159">
        <f>IF(H159=1,"Good","Bad")</f>
        <v/>
      </c>
      <c r="J159">
        <f>--(H159=E159)</f>
        <v/>
      </c>
    </row>
    <row r="160">
      <c r="D160">
        <f>German_Data!A160</f>
        <v/>
      </c>
      <c r="E160">
        <f>German_Data!G160</f>
        <v/>
      </c>
      <c r="F160">
        <f>--(German_Data!B160&lt;=$B$2)</f>
        <v/>
      </c>
      <c r="G160">
        <f>--(German_Data!C160&lt;=$B$3)</f>
        <v/>
      </c>
      <c r="H160">
        <f>IF(F160=1,IF(G160=1,IF(German_Data!D160=$B$4,0,1),IF(German_Data!E160=$B$5,0,1)),IF(German_Data!E160=$B$5,0,1))</f>
        <v/>
      </c>
      <c r="I160">
        <f>IF(H160=1,"Good","Bad")</f>
        <v/>
      </c>
      <c r="J160">
        <f>--(H160=E160)</f>
        <v/>
      </c>
    </row>
    <row r="161">
      <c r="D161">
        <f>German_Data!A161</f>
        <v/>
      </c>
      <c r="E161">
        <f>German_Data!G161</f>
        <v/>
      </c>
      <c r="F161">
        <f>--(German_Data!B161&lt;=$B$2)</f>
        <v/>
      </c>
      <c r="G161">
        <f>--(German_Data!C161&lt;=$B$3)</f>
        <v/>
      </c>
      <c r="H161">
        <f>IF(F161=1,IF(G161=1,IF(German_Data!D161=$B$4,0,1),IF(German_Data!E161=$B$5,0,1)),IF(German_Data!E161=$B$5,0,1))</f>
        <v/>
      </c>
      <c r="I161">
        <f>IF(H161=1,"Good","Bad")</f>
        <v/>
      </c>
      <c r="J161">
        <f>--(H161=E161)</f>
        <v/>
      </c>
    </row>
    <row r="162">
      <c r="D162">
        <f>German_Data!A162</f>
        <v/>
      </c>
      <c r="E162">
        <f>German_Data!G162</f>
        <v/>
      </c>
      <c r="F162">
        <f>--(German_Data!B162&lt;=$B$2)</f>
        <v/>
      </c>
      <c r="G162">
        <f>--(German_Data!C162&lt;=$B$3)</f>
        <v/>
      </c>
      <c r="H162">
        <f>IF(F162=1,IF(G162=1,IF(German_Data!D162=$B$4,0,1),IF(German_Data!E162=$B$5,0,1)),IF(German_Data!E162=$B$5,0,1))</f>
        <v/>
      </c>
      <c r="I162">
        <f>IF(H162=1,"Good","Bad")</f>
        <v/>
      </c>
      <c r="J162">
        <f>--(H162=E162)</f>
        <v/>
      </c>
    </row>
    <row r="163">
      <c r="D163">
        <f>German_Data!A163</f>
        <v/>
      </c>
      <c r="E163">
        <f>German_Data!G163</f>
        <v/>
      </c>
      <c r="F163">
        <f>--(German_Data!B163&lt;=$B$2)</f>
        <v/>
      </c>
      <c r="G163">
        <f>--(German_Data!C163&lt;=$B$3)</f>
        <v/>
      </c>
      <c r="H163">
        <f>IF(F163=1,IF(G163=1,IF(German_Data!D163=$B$4,0,1),IF(German_Data!E163=$B$5,0,1)),IF(German_Data!E163=$B$5,0,1))</f>
        <v/>
      </c>
      <c r="I163">
        <f>IF(H163=1,"Good","Bad")</f>
        <v/>
      </c>
      <c r="J163">
        <f>--(H163=E163)</f>
        <v/>
      </c>
    </row>
    <row r="164">
      <c r="D164">
        <f>German_Data!A164</f>
        <v/>
      </c>
      <c r="E164">
        <f>German_Data!G164</f>
        <v/>
      </c>
      <c r="F164">
        <f>--(German_Data!B164&lt;=$B$2)</f>
        <v/>
      </c>
      <c r="G164">
        <f>--(German_Data!C164&lt;=$B$3)</f>
        <v/>
      </c>
      <c r="H164">
        <f>IF(F164=1,IF(G164=1,IF(German_Data!D164=$B$4,0,1),IF(German_Data!E164=$B$5,0,1)),IF(German_Data!E164=$B$5,0,1))</f>
        <v/>
      </c>
      <c r="I164">
        <f>IF(H164=1,"Good","Bad")</f>
        <v/>
      </c>
      <c r="J164">
        <f>--(H164=E164)</f>
        <v/>
      </c>
    </row>
    <row r="165">
      <c r="D165">
        <f>German_Data!A165</f>
        <v/>
      </c>
      <c r="E165">
        <f>German_Data!G165</f>
        <v/>
      </c>
      <c r="F165">
        <f>--(German_Data!B165&lt;=$B$2)</f>
        <v/>
      </c>
      <c r="G165">
        <f>--(German_Data!C165&lt;=$B$3)</f>
        <v/>
      </c>
      <c r="H165">
        <f>IF(F165=1,IF(G165=1,IF(German_Data!D165=$B$4,0,1),IF(German_Data!E165=$B$5,0,1)),IF(German_Data!E165=$B$5,0,1))</f>
        <v/>
      </c>
      <c r="I165">
        <f>IF(H165=1,"Good","Bad")</f>
        <v/>
      </c>
      <c r="J165">
        <f>--(H165=E165)</f>
        <v/>
      </c>
    </row>
    <row r="166">
      <c r="D166">
        <f>German_Data!A166</f>
        <v/>
      </c>
      <c r="E166">
        <f>German_Data!G166</f>
        <v/>
      </c>
      <c r="F166">
        <f>--(German_Data!B166&lt;=$B$2)</f>
        <v/>
      </c>
      <c r="G166">
        <f>--(German_Data!C166&lt;=$B$3)</f>
        <v/>
      </c>
      <c r="H166">
        <f>IF(F166=1,IF(G166=1,IF(German_Data!D166=$B$4,0,1),IF(German_Data!E166=$B$5,0,1)),IF(German_Data!E166=$B$5,0,1))</f>
        <v/>
      </c>
      <c r="I166">
        <f>IF(H166=1,"Good","Bad")</f>
        <v/>
      </c>
      <c r="J166">
        <f>--(H166=E166)</f>
        <v/>
      </c>
    </row>
    <row r="167">
      <c r="D167">
        <f>German_Data!A167</f>
        <v/>
      </c>
      <c r="E167">
        <f>German_Data!G167</f>
        <v/>
      </c>
      <c r="F167">
        <f>--(German_Data!B167&lt;=$B$2)</f>
        <v/>
      </c>
      <c r="G167">
        <f>--(German_Data!C167&lt;=$B$3)</f>
        <v/>
      </c>
      <c r="H167">
        <f>IF(F167=1,IF(G167=1,IF(German_Data!D167=$B$4,0,1),IF(German_Data!E167=$B$5,0,1)),IF(German_Data!E167=$B$5,0,1))</f>
        <v/>
      </c>
      <c r="I167">
        <f>IF(H167=1,"Good","Bad")</f>
        <v/>
      </c>
      <c r="J167">
        <f>--(H167=E167)</f>
        <v/>
      </c>
    </row>
    <row r="168">
      <c r="D168">
        <f>German_Data!A168</f>
        <v/>
      </c>
      <c r="E168">
        <f>German_Data!G168</f>
        <v/>
      </c>
      <c r="F168">
        <f>--(German_Data!B168&lt;=$B$2)</f>
        <v/>
      </c>
      <c r="G168">
        <f>--(German_Data!C168&lt;=$B$3)</f>
        <v/>
      </c>
      <c r="H168">
        <f>IF(F168=1,IF(G168=1,IF(German_Data!D168=$B$4,0,1),IF(German_Data!E168=$B$5,0,1)),IF(German_Data!E168=$B$5,0,1))</f>
        <v/>
      </c>
      <c r="I168">
        <f>IF(H168=1,"Good","Bad")</f>
        <v/>
      </c>
      <c r="J168">
        <f>--(H168=E168)</f>
        <v/>
      </c>
    </row>
    <row r="169">
      <c r="D169">
        <f>German_Data!A169</f>
        <v/>
      </c>
      <c r="E169">
        <f>German_Data!G169</f>
        <v/>
      </c>
      <c r="F169">
        <f>--(German_Data!B169&lt;=$B$2)</f>
        <v/>
      </c>
      <c r="G169">
        <f>--(German_Data!C169&lt;=$B$3)</f>
        <v/>
      </c>
      <c r="H169">
        <f>IF(F169=1,IF(G169=1,IF(German_Data!D169=$B$4,0,1),IF(German_Data!E169=$B$5,0,1)),IF(German_Data!E169=$B$5,0,1))</f>
        <v/>
      </c>
      <c r="I169">
        <f>IF(H169=1,"Good","Bad")</f>
        <v/>
      </c>
      <c r="J169">
        <f>--(H169=E169)</f>
        <v/>
      </c>
    </row>
    <row r="170">
      <c r="D170">
        <f>German_Data!A170</f>
        <v/>
      </c>
      <c r="E170">
        <f>German_Data!G170</f>
        <v/>
      </c>
      <c r="F170">
        <f>--(German_Data!B170&lt;=$B$2)</f>
        <v/>
      </c>
      <c r="G170">
        <f>--(German_Data!C170&lt;=$B$3)</f>
        <v/>
      </c>
      <c r="H170">
        <f>IF(F170=1,IF(G170=1,IF(German_Data!D170=$B$4,0,1),IF(German_Data!E170=$B$5,0,1)),IF(German_Data!E170=$B$5,0,1))</f>
        <v/>
      </c>
      <c r="I170">
        <f>IF(H170=1,"Good","Bad")</f>
        <v/>
      </c>
      <c r="J170">
        <f>--(H170=E170)</f>
        <v/>
      </c>
    </row>
    <row r="171">
      <c r="D171">
        <f>German_Data!A171</f>
        <v/>
      </c>
      <c r="E171">
        <f>German_Data!G171</f>
        <v/>
      </c>
      <c r="F171">
        <f>--(German_Data!B171&lt;=$B$2)</f>
        <v/>
      </c>
      <c r="G171">
        <f>--(German_Data!C171&lt;=$B$3)</f>
        <v/>
      </c>
      <c r="H171">
        <f>IF(F171=1,IF(G171=1,IF(German_Data!D171=$B$4,0,1),IF(German_Data!E171=$B$5,0,1)),IF(German_Data!E171=$B$5,0,1))</f>
        <v/>
      </c>
      <c r="I171">
        <f>IF(H171=1,"Good","Bad")</f>
        <v/>
      </c>
      <c r="J171">
        <f>--(H171=E171)</f>
        <v/>
      </c>
    </row>
    <row r="172">
      <c r="D172">
        <f>German_Data!A172</f>
        <v/>
      </c>
      <c r="E172">
        <f>German_Data!G172</f>
        <v/>
      </c>
      <c r="F172">
        <f>--(German_Data!B172&lt;=$B$2)</f>
        <v/>
      </c>
      <c r="G172">
        <f>--(German_Data!C172&lt;=$B$3)</f>
        <v/>
      </c>
      <c r="H172">
        <f>IF(F172=1,IF(G172=1,IF(German_Data!D172=$B$4,0,1),IF(German_Data!E172=$B$5,0,1)),IF(German_Data!E172=$B$5,0,1))</f>
        <v/>
      </c>
      <c r="I172">
        <f>IF(H172=1,"Good","Bad")</f>
        <v/>
      </c>
      <c r="J172">
        <f>--(H172=E172)</f>
        <v/>
      </c>
    </row>
    <row r="173">
      <c r="D173">
        <f>German_Data!A173</f>
        <v/>
      </c>
      <c r="E173">
        <f>German_Data!G173</f>
        <v/>
      </c>
      <c r="F173">
        <f>--(German_Data!B173&lt;=$B$2)</f>
        <v/>
      </c>
      <c r="G173">
        <f>--(German_Data!C173&lt;=$B$3)</f>
        <v/>
      </c>
      <c r="H173">
        <f>IF(F173=1,IF(G173=1,IF(German_Data!D173=$B$4,0,1),IF(German_Data!E173=$B$5,0,1)),IF(German_Data!E173=$B$5,0,1))</f>
        <v/>
      </c>
      <c r="I173">
        <f>IF(H173=1,"Good","Bad")</f>
        <v/>
      </c>
      <c r="J173">
        <f>--(H173=E173)</f>
        <v/>
      </c>
    </row>
    <row r="174">
      <c r="D174">
        <f>German_Data!A174</f>
        <v/>
      </c>
      <c r="E174">
        <f>German_Data!G174</f>
        <v/>
      </c>
      <c r="F174">
        <f>--(German_Data!B174&lt;=$B$2)</f>
        <v/>
      </c>
      <c r="G174">
        <f>--(German_Data!C174&lt;=$B$3)</f>
        <v/>
      </c>
      <c r="H174">
        <f>IF(F174=1,IF(G174=1,IF(German_Data!D174=$B$4,0,1),IF(German_Data!E174=$B$5,0,1)),IF(German_Data!E174=$B$5,0,1))</f>
        <v/>
      </c>
      <c r="I174">
        <f>IF(H174=1,"Good","Bad")</f>
        <v/>
      </c>
      <c r="J174">
        <f>--(H174=E174)</f>
        <v/>
      </c>
    </row>
    <row r="175">
      <c r="D175">
        <f>German_Data!A175</f>
        <v/>
      </c>
      <c r="E175">
        <f>German_Data!G175</f>
        <v/>
      </c>
      <c r="F175">
        <f>--(German_Data!B175&lt;=$B$2)</f>
        <v/>
      </c>
      <c r="G175">
        <f>--(German_Data!C175&lt;=$B$3)</f>
        <v/>
      </c>
      <c r="H175">
        <f>IF(F175=1,IF(G175=1,IF(German_Data!D175=$B$4,0,1),IF(German_Data!E175=$B$5,0,1)),IF(German_Data!E175=$B$5,0,1))</f>
        <v/>
      </c>
      <c r="I175">
        <f>IF(H175=1,"Good","Bad")</f>
        <v/>
      </c>
      <c r="J175">
        <f>--(H175=E175)</f>
        <v/>
      </c>
    </row>
    <row r="176">
      <c r="D176">
        <f>German_Data!A176</f>
        <v/>
      </c>
      <c r="E176">
        <f>German_Data!G176</f>
        <v/>
      </c>
      <c r="F176">
        <f>--(German_Data!B176&lt;=$B$2)</f>
        <v/>
      </c>
      <c r="G176">
        <f>--(German_Data!C176&lt;=$B$3)</f>
        <v/>
      </c>
      <c r="H176">
        <f>IF(F176=1,IF(G176=1,IF(German_Data!D176=$B$4,0,1),IF(German_Data!E176=$B$5,0,1)),IF(German_Data!E176=$B$5,0,1))</f>
        <v/>
      </c>
      <c r="I176">
        <f>IF(H176=1,"Good","Bad")</f>
        <v/>
      </c>
      <c r="J176">
        <f>--(H176=E176)</f>
        <v/>
      </c>
    </row>
    <row r="177">
      <c r="D177">
        <f>German_Data!A177</f>
        <v/>
      </c>
      <c r="E177">
        <f>German_Data!G177</f>
        <v/>
      </c>
      <c r="F177">
        <f>--(German_Data!B177&lt;=$B$2)</f>
        <v/>
      </c>
      <c r="G177">
        <f>--(German_Data!C177&lt;=$B$3)</f>
        <v/>
      </c>
      <c r="H177">
        <f>IF(F177=1,IF(G177=1,IF(German_Data!D177=$B$4,0,1),IF(German_Data!E177=$B$5,0,1)),IF(German_Data!E177=$B$5,0,1))</f>
        <v/>
      </c>
      <c r="I177">
        <f>IF(H177=1,"Good","Bad")</f>
        <v/>
      </c>
      <c r="J177">
        <f>--(H177=E177)</f>
        <v/>
      </c>
    </row>
    <row r="178">
      <c r="D178">
        <f>German_Data!A178</f>
        <v/>
      </c>
      <c r="E178">
        <f>German_Data!G178</f>
        <v/>
      </c>
      <c r="F178">
        <f>--(German_Data!B178&lt;=$B$2)</f>
        <v/>
      </c>
      <c r="G178">
        <f>--(German_Data!C178&lt;=$B$3)</f>
        <v/>
      </c>
      <c r="H178">
        <f>IF(F178=1,IF(G178=1,IF(German_Data!D178=$B$4,0,1),IF(German_Data!E178=$B$5,0,1)),IF(German_Data!E178=$B$5,0,1))</f>
        <v/>
      </c>
      <c r="I178">
        <f>IF(H178=1,"Good","Bad")</f>
        <v/>
      </c>
      <c r="J178">
        <f>--(H178=E178)</f>
        <v/>
      </c>
    </row>
    <row r="179">
      <c r="D179">
        <f>German_Data!A179</f>
        <v/>
      </c>
      <c r="E179">
        <f>German_Data!G179</f>
        <v/>
      </c>
      <c r="F179">
        <f>--(German_Data!B179&lt;=$B$2)</f>
        <v/>
      </c>
      <c r="G179">
        <f>--(German_Data!C179&lt;=$B$3)</f>
        <v/>
      </c>
      <c r="H179">
        <f>IF(F179=1,IF(G179=1,IF(German_Data!D179=$B$4,0,1),IF(German_Data!E179=$B$5,0,1)),IF(German_Data!E179=$B$5,0,1))</f>
        <v/>
      </c>
      <c r="I179">
        <f>IF(H179=1,"Good","Bad")</f>
        <v/>
      </c>
      <c r="J179">
        <f>--(H179=E179)</f>
        <v/>
      </c>
    </row>
    <row r="180">
      <c r="D180">
        <f>German_Data!A180</f>
        <v/>
      </c>
      <c r="E180">
        <f>German_Data!G180</f>
        <v/>
      </c>
      <c r="F180">
        <f>--(German_Data!B180&lt;=$B$2)</f>
        <v/>
      </c>
      <c r="G180">
        <f>--(German_Data!C180&lt;=$B$3)</f>
        <v/>
      </c>
      <c r="H180">
        <f>IF(F180=1,IF(G180=1,IF(German_Data!D180=$B$4,0,1),IF(German_Data!E180=$B$5,0,1)),IF(German_Data!E180=$B$5,0,1))</f>
        <v/>
      </c>
      <c r="I180">
        <f>IF(H180=1,"Good","Bad")</f>
        <v/>
      </c>
      <c r="J180">
        <f>--(H180=E180)</f>
        <v/>
      </c>
    </row>
    <row r="181">
      <c r="D181">
        <f>German_Data!A181</f>
        <v/>
      </c>
      <c r="E181">
        <f>German_Data!G181</f>
        <v/>
      </c>
      <c r="F181">
        <f>--(German_Data!B181&lt;=$B$2)</f>
        <v/>
      </c>
      <c r="G181">
        <f>--(German_Data!C181&lt;=$B$3)</f>
        <v/>
      </c>
      <c r="H181">
        <f>IF(F181=1,IF(G181=1,IF(German_Data!D181=$B$4,0,1),IF(German_Data!E181=$B$5,0,1)),IF(German_Data!E181=$B$5,0,1))</f>
        <v/>
      </c>
      <c r="I181">
        <f>IF(H181=1,"Good","Bad")</f>
        <v/>
      </c>
      <c r="J181">
        <f>--(H181=E181)</f>
        <v/>
      </c>
    </row>
    <row r="182">
      <c r="D182">
        <f>German_Data!A182</f>
        <v/>
      </c>
      <c r="E182">
        <f>German_Data!G182</f>
        <v/>
      </c>
      <c r="F182">
        <f>--(German_Data!B182&lt;=$B$2)</f>
        <v/>
      </c>
      <c r="G182">
        <f>--(German_Data!C182&lt;=$B$3)</f>
        <v/>
      </c>
      <c r="H182">
        <f>IF(F182=1,IF(G182=1,IF(German_Data!D182=$B$4,0,1),IF(German_Data!E182=$B$5,0,1)),IF(German_Data!E182=$B$5,0,1))</f>
        <v/>
      </c>
      <c r="I182">
        <f>IF(H182=1,"Good","Bad")</f>
        <v/>
      </c>
      <c r="J182">
        <f>--(H182=E182)</f>
        <v/>
      </c>
    </row>
    <row r="183">
      <c r="D183">
        <f>German_Data!A183</f>
        <v/>
      </c>
      <c r="E183">
        <f>German_Data!G183</f>
        <v/>
      </c>
      <c r="F183">
        <f>--(German_Data!B183&lt;=$B$2)</f>
        <v/>
      </c>
      <c r="G183">
        <f>--(German_Data!C183&lt;=$B$3)</f>
        <v/>
      </c>
      <c r="H183">
        <f>IF(F183=1,IF(G183=1,IF(German_Data!D183=$B$4,0,1),IF(German_Data!E183=$B$5,0,1)),IF(German_Data!E183=$B$5,0,1))</f>
        <v/>
      </c>
      <c r="I183">
        <f>IF(H183=1,"Good","Bad")</f>
        <v/>
      </c>
      <c r="J183">
        <f>--(H183=E183)</f>
        <v/>
      </c>
    </row>
    <row r="184">
      <c r="D184">
        <f>German_Data!A184</f>
        <v/>
      </c>
      <c r="E184">
        <f>German_Data!G184</f>
        <v/>
      </c>
      <c r="F184">
        <f>--(German_Data!B184&lt;=$B$2)</f>
        <v/>
      </c>
      <c r="G184">
        <f>--(German_Data!C184&lt;=$B$3)</f>
        <v/>
      </c>
      <c r="H184">
        <f>IF(F184=1,IF(G184=1,IF(German_Data!D184=$B$4,0,1),IF(German_Data!E184=$B$5,0,1)),IF(German_Data!E184=$B$5,0,1))</f>
        <v/>
      </c>
      <c r="I184">
        <f>IF(H184=1,"Good","Bad")</f>
        <v/>
      </c>
      <c r="J184">
        <f>--(H184=E184)</f>
        <v/>
      </c>
    </row>
    <row r="185">
      <c r="D185">
        <f>German_Data!A185</f>
        <v/>
      </c>
      <c r="E185">
        <f>German_Data!G185</f>
        <v/>
      </c>
      <c r="F185">
        <f>--(German_Data!B185&lt;=$B$2)</f>
        <v/>
      </c>
      <c r="G185">
        <f>--(German_Data!C185&lt;=$B$3)</f>
        <v/>
      </c>
      <c r="H185">
        <f>IF(F185=1,IF(G185=1,IF(German_Data!D185=$B$4,0,1),IF(German_Data!E185=$B$5,0,1)),IF(German_Data!E185=$B$5,0,1))</f>
        <v/>
      </c>
      <c r="I185">
        <f>IF(H185=1,"Good","Bad")</f>
        <v/>
      </c>
      <c r="J185">
        <f>--(H185=E185)</f>
        <v/>
      </c>
    </row>
    <row r="186">
      <c r="D186">
        <f>German_Data!A186</f>
        <v/>
      </c>
      <c r="E186">
        <f>German_Data!G186</f>
        <v/>
      </c>
      <c r="F186">
        <f>--(German_Data!B186&lt;=$B$2)</f>
        <v/>
      </c>
      <c r="G186">
        <f>--(German_Data!C186&lt;=$B$3)</f>
        <v/>
      </c>
      <c r="H186">
        <f>IF(F186=1,IF(G186=1,IF(German_Data!D186=$B$4,0,1),IF(German_Data!E186=$B$5,0,1)),IF(German_Data!E186=$B$5,0,1))</f>
        <v/>
      </c>
      <c r="I186">
        <f>IF(H186=1,"Good","Bad")</f>
        <v/>
      </c>
      <c r="J186">
        <f>--(H186=E186)</f>
        <v/>
      </c>
    </row>
    <row r="187">
      <c r="D187">
        <f>German_Data!A187</f>
        <v/>
      </c>
      <c r="E187">
        <f>German_Data!G187</f>
        <v/>
      </c>
      <c r="F187">
        <f>--(German_Data!B187&lt;=$B$2)</f>
        <v/>
      </c>
      <c r="G187">
        <f>--(German_Data!C187&lt;=$B$3)</f>
        <v/>
      </c>
      <c r="H187">
        <f>IF(F187=1,IF(G187=1,IF(German_Data!D187=$B$4,0,1),IF(German_Data!E187=$B$5,0,1)),IF(German_Data!E187=$B$5,0,1))</f>
        <v/>
      </c>
      <c r="I187">
        <f>IF(H187=1,"Good","Bad")</f>
        <v/>
      </c>
      <c r="J187">
        <f>--(H187=E187)</f>
        <v/>
      </c>
    </row>
    <row r="188">
      <c r="D188">
        <f>German_Data!A188</f>
        <v/>
      </c>
      <c r="E188">
        <f>German_Data!G188</f>
        <v/>
      </c>
      <c r="F188">
        <f>--(German_Data!B188&lt;=$B$2)</f>
        <v/>
      </c>
      <c r="G188">
        <f>--(German_Data!C188&lt;=$B$3)</f>
        <v/>
      </c>
      <c r="H188">
        <f>IF(F188=1,IF(G188=1,IF(German_Data!D188=$B$4,0,1),IF(German_Data!E188=$B$5,0,1)),IF(German_Data!E188=$B$5,0,1))</f>
        <v/>
      </c>
      <c r="I188">
        <f>IF(H188=1,"Good","Bad")</f>
        <v/>
      </c>
      <c r="J188">
        <f>--(H188=E188)</f>
        <v/>
      </c>
    </row>
    <row r="189">
      <c r="D189">
        <f>German_Data!A189</f>
        <v/>
      </c>
      <c r="E189">
        <f>German_Data!G189</f>
        <v/>
      </c>
      <c r="F189">
        <f>--(German_Data!B189&lt;=$B$2)</f>
        <v/>
      </c>
      <c r="G189">
        <f>--(German_Data!C189&lt;=$B$3)</f>
        <v/>
      </c>
      <c r="H189">
        <f>IF(F189=1,IF(G189=1,IF(German_Data!D189=$B$4,0,1),IF(German_Data!E189=$B$5,0,1)),IF(German_Data!E189=$B$5,0,1))</f>
        <v/>
      </c>
      <c r="I189">
        <f>IF(H189=1,"Good","Bad")</f>
        <v/>
      </c>
      <c r="J189">
        <f>--(H189=E189)</f>
        <v/>
      </c>
    </row>
    <row r="190">
      <c r="D190">
        <f>German_Data!A190</f>
        <v/>
      </c>
      <c r="E190">
        <f>German_Data!G190</f>
        <v/>
      </c>
      <c r="F190">
        <f>--(German_Data!B190&lt;=$B$2)</f>
        <v/>
      </c>
      <c r="G190">
        <f>--(German_Data!C190&lt;=$B$3)</f>
        <v/>
      </c>
      <c r="H190">
        <f>IF(F190=1,IF(G190=1,IF(German_Data!D190=$B$4,0,1),IF(German_Data!E190=$B$5,0,1)),IF(German_Data!E190=$B$5,0,1))</f>
        <v/>
      </c>
      <c r="I190">
        <f>IF(H190=1,"Good","Bad")</f>
        <v/>
      </c>
      <c r="J190">
        <f>--(H190=E190)</f>
        <v/>
      </c>
    </row>
    <row r="191">
      <c r="D191">
        <f>German_Data!A191</f>
        <v/>
      </c>
      <c r="E191">
        <f>German_Data!G191</f>
        <v/>
      </c>
      <c r="F191">
        <f>--(German_Data!B191&lt;=$B$2)</f>
        <v/>
      </c>
      <c r="G191">
        <f>--(German_Data!C191&lt;=$B$3)</f>
        <v/>
      </c>
      <c r="H191">
        <f>IF(F191=1,IF(G191=1,IF(German_Data!D191=$B$4,0,1),IF(German_Data!E191=$B$5,0,1)),IF(German_Data!E191=$B$5,0,1))</f>
        <v/>
      </c>
      <c r="I191">
        <f>IF(H191=1,"Good","Bad")</f>
        <v/>
      </c>
      <c r="J191">
        <f>--(H191=E191)</f>
        <v/>
      </c>
    </row>
    <row r="192">
      <c r="D192">
        <f>German_Data!A192</f>
        <v/>
      </c>
      <c r="E192">
        <f>German_Data!G192</f>
        <v/>
      </c>
      <c r="F192">
        <f>--(German_Data!B192&lt;=$B$2)</f>
        <v/>
      </c>
      <c r="G192">
        <f>--(German_Data!C192&lt;=$B$3)</f>
        <v/>
      </c>
      <c r="H192">
        <f>IF(F192=1,IF(G192=1,IF(German_Data!D192=$B$4,0,1),IF(German_Data!E192=$B$5,0,1)),IF(German_Data!E192=$B$5,0,1))</f>
        <v/>
      </c>
      <c r="I192">
        <f>IF(H192=1,"Good","Bad")</f>
        <v/>
      </c>
      <c r="J192">
        <f>--(H192=E192)</f>
        <v/>
      </c>
    </row>
    <row r="193">
      <c r="D193">
        <f>German_Data!A193</f>
        <v/>
      </c>
      <c r="E193">
        <f>German_Data!G193</f>
        <v/>
      </c>
      <c r="F193">
        <f>--(German_Data!B193&lt;=$B$2)</f>
        <v/>
      </c>
      <c r="G193">
        <f>--(German_Data!C193&lt;=$B$3)</f>
        <v/>
      </c>
      <c r="H193">
        <f>IF(F193=1,IF(G193=1,IF(German_Data!D193=$B$4,0,1),IF(German_Data!E193=$B$5,0,1)),IF(German_Data!E193=$B$5,0,1))</f>
        <v/>
      </c>
      <c r="I193">
        <f>IF(H193=1,"Good","Bad")</f>
        <v/>
      </c>
      <c r="J193">
        <f>--(H193=E193)</f>
        <v/>
      </c>
    </row>
    <row r="194">
      <c r="D194">
        <f>German_Data!A194</f>
        <v/>
      </c>
      <c r="E194">
        <f>German_Data!G194</f>
        <v/>
      </c>
      <c r="F194">
        <f>--(German_Data!B194&lt;=$B$2)</f>
        <v/>
      </c>
      <c r="G194">
        <f>--(German_Data!C194&lt;=$B$3)</f>
        <v/>
      </c>
      <c r="H194">
        <f>IF(F194=1,IF(G194=1,IF(German_Data!D194=$B$4,0,1),IF(German_Data!E194=$B$5,0,1)),IF(German_Data!E194=$B$5,0,1))</f>
        <v/>
      </c>
      <c r="I194">
        <f>IF(H194=1,"Good","Bad")</f>
        <v/>
      </c>
      <c r="J194">
        <f>--(H194=E194)</f>
        <v/>
      </c>
    </row>
    <row r="195">
      <c r="D195">
        <f>German_Data!A195</f>
        <v/>
      </c>
      <c r="E195">
        <f>German_Data!G195</f>
        <v/>
      </c>
      <c r="F195">
        <f>--(German_Data!B195&lt;=$B$2)</f>
        <v/>
      </c>
      <c r="G195">
        <f>--(German_Data!C195&lt;=$B$3)</f>
        <v/>
      </c>
      <c r="H195">
        <f>IF(F195=1,IF(G195=1,IF(German_Data!D195=$B$4,0,1),IF(German_Data!E195=$B$5,0,1)),IF(German_Data!E195=$B$5,0,1))</f>
        <v/>
      </c>
      <c r="I195">
        <f>IF(H195=1,"Good","Bad")</f>
        <v/>
      </c>
      <c r="J195">
        <f>--(H195=E195)</f>
        <v/>
      </c>
    </row>
    <row r="196">
      <c r="D196">
        <f>German_Data!A196</f>
        <v/>
      </c>
      <c r="E196">
        <f>German_Data!G196</f>
        <v/>
      </c>
      <c r="F196">
        <f>--(German_Data!B196&lt;=$B$2)</f>
        <v/>
      </c>
      <c r="G196">
        <f>--(German_Data!C196&lt;=$B$3)</f>
        <v/>
      </c>
      <c r="H196">
        <f>IF(F196=1,IF(G196=1,IF(German_Data!D196=$B$4,0,1),IF(German_Data!E196=$B$5,0,1)),IF(German_Data!E196=$B$5,0,1))</f>
        <v/>
      </c>
      <c r="I196">
        <f>IF(H196=1,"Good","Bad")</f>
        <v/>
      </c>
      <c r="J196">
        <f>--(H196=E196)</f>
        <v/>
      </c>
    </row>
    <row r="197">
      <c r="D197">
        <f>German_Data!A197</f>
        <v/>
      </c>
      <c r="E197">
        <f>German_Data!G197</f>
        <v/>
      </c>
      <c r="F197">
        <f>--(German_Data!B197&lt;=$B$2)</f>
        <v/>
      </c>
      <c r="G197">
        <f>--(German_Data!C197&lt;=$B$3)</f>
        <v/>
      </c>
      <c r="H197">
        <f>IF(F197=1,IF(G197=1,IF(German_Data!D197=$B$4,0,1),IF(German_Data!E197=$B$5,0,1)),IF(German_Data!E197=$B$5,0,1))</f>
        <v/>
      </c>
      <c r="I197">
        <f>IF(H197=1,"Good","Bad")</f>
        <v/>
      </c>
      <c r="J197">
        <f>--(H197=E197)</f>
        <v/>
      </c>
    </row>
    <row r="198">
      <c r="D198">
        <f>German_Data!A198</f>
        <v/>
      </c>
      <c r="E198">
        <f>German_Data!G198</f>
        <v/>
      </c>
      <c r="F198">
        <f>--(German_Data!B198&lt;=$B$2)</f>
        <v/>
      </c>
      <c r="G198">
        <f>--(German_Data!C198&lt;=$B$3)</f>
        <v/>
      </c>
      <c r="H198">
        <f>IF(F198=1,IF(G198=1,IF(German_Data!D198=$B$4,0,1),IF(German_Data!E198=$B$5,0,1)),IF(German_Data!E198=$B$5,0,1))</f>
        <v/>
      </c>
      <c r="I198">
        <f>IF(H198=1,"Good","Bad")</f>
        <v/>
      </c>
      <c r="J198">
        <f>--(H198=E198)</f>
        <v/>
      </c>
    </row>
    <row r="199">
      <c r="D199">
        <f>German_Data!A199</f>
        <v/>
      </c>
      <c r="E199">
        <f>German_Data!G199</f>
        <v/>
      </c>
      <c r="F199">
        <f>--(German_Data!B199&lt;=$B$2)</f>
        <v/>
      </c>
      <c r="G199">
        <f>--(German_Data!C199&lt;=$B$3)</f>
        <v/>
      </c>
      <c r="H199">
        <f>IF(F199=1,IF(G199=1,IF(German_Data!D199=$B$4,0,1),IF(German_Data!E199=$B$5,0,1)),IF(German_Data!E199=$B$5,0,1))</f>
        <v/>
      </c>
      <c r="I199">
        <f>IF(H199=1,"Good","Bad")</f>
        <v/>
      </c>
      <c r="J199">
        <f>--(H199=E199)</f>
        <v/>
      </c>
    </row>
    <row r="200">
      <c r="D200">
        <f>German_Data!A200</f>
        <v/>
      </c>
      <c r="E200">
        <f>German_Data!G200</f>
        <v/>
      </c>
      <c r="F200">
        <f>--(German_Data!B200&lt;=$B$2)</f>
        <v/>
      </c>
      <c r="G200">
        <f>--(German_Data!C200&lt;=$B$3)</f>
        <v/>
      </c>
      <c r="H200">
        <f>IF(F200=1,IF(G200=1,IF(German_Data!D200=$B$4,0,1),IF(German_Data!E200=$B$5,0,1)),IF(German_Data!E200=$B$5,0,1))</f>
        <v/>
      </c>
      <c r="I200">
        <f>IF(H200=1,"Good","Bad")</f>
        <v/>
      </c>
      <c r="J200">
        <f>--(H200=E200)</f>
        <v/>
      </c>
    </row>
    <row r="201">
      <c r="D201">
        <f>German_Data!A201</f>
        <v/>
      </c>
      <c r="E201">
        <f>German_Data!G201</f>
        <v/>
      </c>
      <c r="F201">
        <f>--(German_Data!B201&lt;=$B$2)</f>
        <v/>
      </c>
      <c r="G201">
        <f>--(German_Data!C201&lt;=$B$3)</f>
        <v/>
      </c>
      <c r="H201">
        <f>IF(F201=1,IF(G201=1,IF(German_Data!D201=$B$4,0,1),IF(German_Data!E201=$B$5,0,1)),IF(German_Data!E201=$B$5,0,1))</f>
        <v/>
      </c>
      <c r="I201">
        <f>IF(H201=1,"Good","Bad")</f>
        <v/>
      </c>
      <c r="J201">
        <f>--(H201=E201)</f>
        <v/>
      </c>
    </row>
    <row r="202">
      <c r="D202">
        <f>German_Data!A202</f>
        <v/>
      </c>
      <c r="E202">
        <f>German_Data!G202</f>
        <v/>
      </c>
      <c r="F202">
        <f>--(German_Data!B202&lt;=$B$2)</f>
        <v/>
      </c>
      <c r="G202">
        <f>--(German_Data!C202&lt;=$B$3)</f>
        <v/>
      </c>
      <c r="H202">
        <f>IF(F202=1,IF(G202=1,IF(German_Data!D202=$B$4,0,1),IF(German_Data!E202=$B$5,0,1)),IF(German_Data!E202=$B$5,0,1))</f>
        <v/>
      </c>
      <c r="I202">
        <f>IF(H202=1,"Good","Bad")</f>
        <v/>
      </c>
      <c r="J202">
        <f>--(H202=E202)</f>
        <v/>
      </c>
    </row>
    <row r="203">
      <c r="D203">
        <f>German_Data!A203</f>
        <v/>
      </c>
      <c r="E203">
        <f>German_Data!G203</f>
        <v/>
      </c>
      <c r="F203">
        <f>--(German_Data!B203&lt;=$B$2)</f>
        <v/>
      </c>
      <c r="G203">
        <f>--(German_Data!C203&lt;=$B$3)</f>
        <v/>
      </c>
      <c r="H203">
        <f>IF(F203=1,IF(G203=1,IF(German_Data!D203=$B$4,0,1),IF(German_Data!E203=$B$5,0,1)),IF(German_Data!E203=$B$5,0,1))</f>
        <v/>
      </c>
      <c r="I203">
        <f>IF(H203=1,"Good","Bad")</f>
        <v/>
      </c>
      <c r="J203">
        <f>--(H203=E203)</f>
        <v/>
      </c>
    </row>
    <row r="204">
      <c r="D204">
        <f>German_Data!A204</f>
        <v/>
      </c>
      <c r="E204">
        <f>German_Data!G204</f>
        <v/>
      </c>
      <c r="F204">
        <f>--(German_Data!B204&lt;=$B$2)</f>
        <v/>
      </c>
      <c r="G204">
        <f>--(German_Data!C204&lt;=$B$3)</f>
        <v/>
      </c>
      <c r="H204">
        <f>IF(F204=1,IF(G204=1,IF(German_Data!D204=$B$4,0,1),IF(German_Data!E204=$B$5,0,1)),IF(German_Data!E204=$B$5,0,1))</f>
        <v/>
      </c>
      <c r="I204">
        <f>IF(H204=1,"Good","Bad")</f>
        <v/>
      </c>
      <c r="J204">
        <f>--(H204=E204)</f>
        <v/>
      </c>
    </row>
    <row r="205">
      <c r="D205">
        <f>German_Data!A205</f>
        <v/>
      </c>
      <c r="E205">
        <f>German_Data!G205</f>
        <v/>
      </c>
      <c r="F205">
        <f>--(German_Data!B205&lt;=$B$2)</f>
        <v/>
      </c>
      <c r="G205">
        <f>--(German_Data!C205&lt;=$B$3)</f>
        <v/>
      </c>
      <c r="H205">
        <f>IF(F205=1,IF(G205=1,IF(German_Data!D205=$B$4,0,1),IF(German_Data!E205=$B$5,0,1)),IF(German_Data!E205=$B$5,0,1))</f>
        <v/>
      </c>
      <c r="I205">
        <f>IF(H205=1,"Good","Bad")</f>
        <v/>
      </c>
      <c r="J205">
        <f>--(H205=E205)</f>
        <v/>
      </c>
    </row>
    <row r="206">
      <c r="D206">
        <f>German_Data!A206</f>
        <v/>
      </c>
      <c r="E206">
        <f>German_Data!G206</f>
        <v/>
      </c>
      <c r="F206">
        <f>--(German_Data!B206&lt;=$B$2)</f>
        <v/>
      </c>
      <c r="G206">
        <f>--(German_Data!C206&lt;=$B$3)</f>
        <v/>
      </c>
      <c r="H206">
        <f>IF(F206=1,IF(G206=1,IF(German_Data!D206=$B$4,0,1),IF(German_Data!E206=$B$5,0,1)),IF(German_Data!E206=$B$5,0,1))</f>
        <v/>
      </c>
      <c r="I206">
        <f>IF(H206=1,"Good","Bad")</f>
        <v/>
      </c>
      <c r="J206">
        <f>--(H206=E206)</f>
        <v/>
      </c>
    </row>
    <row r="207">
      <c r="D207">
        <f>German_Data!A207</f>
        <v/>
      </c>
      <c r="E207">
        <f>German_Data!G207</f>
        <v/>
      </c>
      <c r="F207">
        <f>--(German_Data!B207&lt;=$B$2)</f>
        <v/>
      </c>
      <c r="G207">
        <f>--(German_Data!C207&lt;=$B$3)</f>
        <v/>
      </c>
      <c r="H207">
        <f>IF(F207=1,IF(G207=1,IF(German_Data!D207=$B$4,0,1),IF(German_Data!E207=$B$5,0,1)),IF(German_Data!E207=$B$5,0,1))</f>
        <v/>
      </c>
      <c r="I207">
        <f>IF(H207=1,"Good","Bad")</f>
        <v/>
      </c>
      <c r="J207">
        <f>--(H207=E207)</f>
        <v/>
      </c>
    </row>
    <row r="208">
      <c r="D208">
        <f>German_Data!A208</f>
        <v/>
      </c>
      <c r="E208">
        <f>German_Data!G208</f>
        <v/>
      </c>
      <c r="F208">
        <f>--(German_Data!B208&lt;=$B$2)</f>
        <v/>
      </c>
      <c r="G208">
        <f>--(German_Data!C208&lt;=$B$3)</f>
        <v/>
      </c>
      <c r="H208">
        <f>IF(F208=1,IF(G208=1,IF(German_Data!D208=$B$4,0,1),IF(German_Data!E208=$B$5,0,1)),IF(German_Data!E208=$B$5,0,1))</f>
        <v/>
      </c>
      <c r="I208">
        <f>IF(H208=1,"Good","Bad")</f>
        <v/>
      </c>
      <c r="J208">
        <f>--(H208=E208)</f>
        <v/>
      </c>
    </row>
    <row r="209">
      <c r="D209">
        <f>German_Data!A209</f>
        <v/>
      </c>
      <c r="E209">
        <f>German_Data!G209</f>
        <v/>
      </c>
      <c r="F209">
        <f>--(German_Data!B209&lt;=$B$2)</f>
        <v/>
      </c>
      <c r="G209">
        <f>--(German_Data!C209&lt;=$B$3)</f>
        <v/>
      </c>
      <c r="H209">
        <f>IF(F209=1,IF(G209=1,IF(German_Data!D209=$B$4,0,1),IF(German_Data!E209=$B$5,0,1)),IF(German_Data!E209=$B$5,0,1))</f>
        <v/>
      </c>
      <c r="I209">
        <f>IF(H209=1,"Good","Bad")</f>
        <v/>
      </c>
      <c r="J209">
        <f>--(H209=E209)</f>
        <v/>
      </c>
    </row>
    <row r="210">
      <c r="D210">
        <f>German_Data!A210</f>
        <v/>
      </c>
      <c r="E210">
        <f>German_Data!G210</f>
        <v/>
      </c>
      <c r="F210">
        <f>--(German_Data!B210&lt;=$B$2)</f>
        <v/>
      </c>
      <c r="G210">
        <f>--(German_Data!C210&lt;=$B$3)</f>
        <v/>
      </c>
      <c r="H210">
        <f>IF(F210=1,IF(G210=1,IF(German_Data!D210=$B$4,0,1),IF(German_Data!E210=$B$5,0,1)),IF(German_Data!E210=$B$5,0,1))</f>
        <v/>
      </c>
      <c r="I210">
        <f>IF(H210=1,"Good","Bad")</f>
        <v/>
      </c>
      <c r="J210">
        <f>--(H210=E210)</f>
        <v/>
      </c>
    </row>
    <row r="211">
      <c r="D211">
        <f>German_Data!A211</f>
        <v/>
      </c>
      <c r="E211">
        <f>German_Data!G211</f>
        <v/>
      </c>
      <c r="F211">
        <f>--(German_Data!B211&lt;=$B$2)</f>
        <v/>
      </c>
      <c r="G211">
        <f>--(German_Data!C211&lt;=$B$3)</f>
        <v/>
      </c>
      <c r="H211">
        <f>IF(F211=1,IF(G211=1,IF(German_Data!D211=$B$4,0,1),IF(German_Data!E211=$B$5,0,1)),IF(German_Data!E211=$B$5,0,1))</f>
        <v/>
      </c>
      <c r="I211">
        <f>IF(H211=1,"Good","Bad")</f>
        <v/>
      </c>
      <c r="J211">
        <f>--(H211=E211)</f>
        <v/>
      </c>
    </row>
    <row r="212">
      <c r="D212">
        <f>German_Data!A212</f>
        <v/>
      </c>
      <c r="E212">
        <f>German_Data!G212</f>
        <v/>
      </c>
      <c r="F212">
        <f>--(German_Data!B212&lt;=$B$2)</f>
        <v/>
      </c>
      <c r="G212">
        <f>--(German_Data!C212&lt;=$B$3)</f>
        <v/>
      </c>
      <c r="H212">
        <f>IF(F212=1,IF(G212=1,IF(German_Data!D212=$B$4,0,1),IF(German_Data!E212=$B$5,0,1)),IF(German_Data!E212=$B$5,0,1))</f>
        <v/>
      </c>
      <c r="I212">
        <f>IF(H212=1,"Good","Bad")</f>
        <v/>
      </c>
      <c r="J212">
        <f>--(H212=E212)</f>
        <v/>
      </c>
    </row>
    <row r="213">
      <c r="D213">
        <f>German_Data!A213</f>
        <v/>
      </c>
      <c r="E213">
        <f>German_Data!G213</f>
        <v/>
      </c>
      <c r="F213">
        <f>--(German_Data!B213&lt;=$B$2)</f>
        <v/>
      </c>
      <c r="G213">
        <f>--(German_Data!C213&lt;=$B$3)</f>
        <v/>
      </c>
      <c r="H213">
        <f>IF(F213=1,IF(G213=1,IF(German_Data!D213=$B$4,0,1),IF(German_Data!E213=$B$5,0,1)),IF(German_Data!E213=$B$5,0,1))</f>
        <v/>
      </c>
      <c r="I213">
        <f>IF(H213=1,"Good","Bad")</f>
        <v/>
      </c>
      <c r="J213">
        <f>--(H213=E213)</f>
        <v/>
      </c>
    </row>
    <row r="214">
      <c r="D214">
        <f>German_Data!A214</f>
        <v/>
      </c>
      <c r="E214">
        <f>German_Data!G214</f>
        <v/>
      </c>
      <c r="F214">
        <f>--(German_Data!B214&lt;=$B$2)</f>
        <v/>
      </c>
      <c r="G214">
        <f>--(German_Data!C214&lt;=$B$3)</f>
        <v/>
      </c>
      <c r="H214">
        <f>IF(F214=1,IF(G214=1,IF(German_Data!D214=$B$4,0,1),IF(German_Data!E214=$B$5,0,1)),IF(German_Data!E214=$B$5,0,1))</f>
        <v/>
      </c>
      <c r="I214">
        <f>IF(H214=1,"Good","Bad")</f>
        <v/>
      </c>
      <c r="J214">
        <f>--(H214=E214)</f>
        <v/>
      </c>
    </row>
    <row r="215">
      <c r="D215">
        <f>German_Data!A215</f>
        <v/>
      </c>
      <c r="E215">
        <f>German_Data!G215</f>
        <v/>
      </c>
      <c r="F215">
        <f>--(German_Data!B215&lt;=$B$2)</f>
        <v/>
      </c>
      <c r="G215">
        <f>--(German_Data!C215&lt;=$B$3)</f>
        <v/>
      </c>
      <c r="H215">
        <f>IF(F215=1,IF(G215=1,IF(German_Data!D215=$B$4,0,1),IF(German_Data!E215=$B$5,0,1)),IF(German_Data!E215=$B$5,0,1))</f>
        <v/>
      </c>
      <c r="I215">
        <f>IF(H215=1,"Good","Bad")</f>
        <v/>
      </c>
      <c r="J215">
        <f>--(H215=E215)</f>
        <v/>
      </c>
    </row>
    <row r="216">
      <c r="D216">
        <f>German_Data!A216</f>
        <v/>
      </c>
      <c r="E216">
        <f>German_Data!G216</f>
        <v/>
      </c>
      <c r="F216">
        <f>--(German_Data!B216&lt;=$B$2)</f>
        <v/>
      </c>
      <c r="G216">
        <f>--(German_Data!C216&lt;=$B$3)</f>
        <v/>
      </c>
      <c r="H216">
        <f>IF(F216=1,IF(G216=1,IF(German_Data!D216=$B$4,0,1),IF(German_Data!E216=$B$5,0,1)),IF(German_Data!E216=$B$5,0,1))</f>
        <v/>
      </c>
      <c r="I216">
        <f>IF(H216=1,"Good","Bad")</f>
        <v/>
      </c>
      <c r="J216">
        <f>--(H216=E216)</f>
        <v/>
      </c>
    </row>
    <row r="217">
      <c r="D217">
        <f>German_Data!A217</f>
        <v/>
      </c>
      <c r="E217">
        <f>German_Data!G217</f>
        <v/>
      </c>
      <c r="F217">
        <f>--(German_Data!B217&lt;=$B$2)</f>
        <v/>
      </c>
      <c r="G217">
        <f>--(German_Data!C217&lt;=$B$3)</f>
        <v/>
      </c>
      <c r="H217">
        <f>IF(F217=1,IF(G217=1,IF(German_Data!D217=$B$4,0,1),IF(German_Data!E217=$B$5,0,1)),IF(German_Data!E217=$B$5,0,1))</f>
        <v/>
      </c>
      <c r="I217">
        <f>IF(H217=1,"Good","Bad")</f>
        <v/>
      </c>
      <c r="J217">
        <f>--(H217=E217)</f>
        <v/>
      </c>
    </row>
    <row r="218">
      <c r="D218">
        <f>German_Data!A218</f>
        <v/>
      </c>
      <c r="E218">
        <f>German_Data!G218</f>
        <v/>
      </c>
      <c r="F218">
        <f>--(German_Data!B218&lt;=$B$2)</f>
        <v/>
      </c>
      <c r="G218">
        <f>--(German_Data!C218&lt;=$B$3)</f>
        <v/>
      </c>
      <c r="H218">
        <f>IF(F218=1,IF(G218=1,IF(German_Data!D218=$B$4,0,1),IF(German_Data!E218=$B$5,0,1)),IF(German_Data!E218=$B$5,0,1))</f>
        <v/>
      </c>
      <c r="I218">
        <f>IF(H218=1,"Good","Bad")</f>
        <v/>
      </c>
      <c r="J218">
        <f>--(H218=E218)</f>
        <v/>
      </c>
    </row>
    <row r="219">
      <c r="D219">
        <f>German_Data!A219</f>
        <v/>
      </c>
      <c r="E219">
        <f>German_Data!G219</f>
        <v/>
      </c>
      <c r="F219">
        <f>--(German_Data!B219&lt;=$B$2)</f>
        <v/>
      </c>
      <c r="G219">
        <f>--(German_Data!C219&lt;=$B$3)</f>
        <v/>
      </c>
      <c r="H219">
        <f>IF(F219=1,IF(G219=1,IF(German_Data!D219=$B$4,0,1),IF(German_Data!E219=$B$5,0,1)),IF(German_Data!E219=$B$5,0,1))</f>
        <v/>
      </c>
      <c r="I219">
        <f>IF(H219=1,"Good","Bad")</f>
        <v/>
      </c>
      <c r="J219">
        <f>--(H219=E219)</f>
        <v/>
      </c>
    </row>
    <row r="220">
      <c r="D220">
        <f>German_Data!A220</f>
        <v/>
      </c>
      <c r="E220">
        <f>German_Data!G220</f>
        <v/>
      </c>
      <c r="F220">
        <f>--(German_Data!B220&lt;=$B$2)</f>
        <v/>
      </c>
      <c r="G220">
        <f>--(German_Data!C220&lt;=$B$3)</f>
        <v/>
      </c>
      <c r="H220">
        <f>IF(F220=1,IF(G220=1,IF(German_Data!D220=$B$4,0,1),IF(German_Data!E220=$B$5,0,1)),IF(German_Data!E220=$B$5,0,1))</f>
        <v/>
      </c>
      <c r="I220">
        <f>IF(H220=1,"Good","Bad")</f>
        <v/>
      </c>
      <c r="J220">
        <f>--(H220=E220)</f>
        <v/>
      </c>
    </row>
    <row r="221">
      <c r="D221">
        <f>German_Data!A221</f>
        <v/>
      </c>
      <c r="E221">
        <f>German_Data!G221</f>
        <v/>
      </c>
      <c r="F221">
        <f>--(German_Data!B221&lt;=$B$2)</f>
        <v/>
      </c>
      <c r="G221">
        <f>--(German_Data!C221&lt;=$B$3)</f>
        <v/>
      </c>
      <c r="H221">
        <f>IF(F221=1,IF(G221=1,IF(German_Data!D221=$B$4,0,1),IF(German_Data!E221=$B$5,0,1)),IF(German_Data!E221=$B$5,0,1))</f>
        <v/>
      </c>
      <c r="I221">
        <f>IF(H221=1,"Good","Bad")</f>
        <v/>
      </c>
      <c r="J221">
        <f>--(H221=E221)</f>
        <v/>
      </c>
    </row>
    <row r="222">
      <c r="D222">
        <f>German_Data!A222</f>
        <v/>
      </c>
      <c r="E222">
        <f>German_Data!G222</f>
        <v/>
      </c>
      <c r="F222">
        <f>--(German_Data!B222&lt;=$B$2)</f>
        <v/>
      </c>
      <c r="G222">
        <f>--(German_Data!C222&lt;=$B$3)</f>
        <v/>
      </c>
      <c r="H222">
        <f>IF(F222=1,IF(G222=1,IF(German_Data!D222=$B$4,0,1),IF(German_Data!E222=$B$5,0,1)),IF(German_Data!E222=$B$5,0,1))</f>
        <v/>
      </c>
      <c r="I222">
        <f>IF(H222=1,"Good","Bad")</f>
        <v/>
      </c>
      <c r="J222">
        <f>--(H222=E222)</f>
        <v/>
      </c>
    </row>
    <row r="223">
      <c r="D223">
        <f>German_Data!A223</f>
        <v/>
      </c>
      <c r="E223">
        <f>German_Data!G223</f>
        <v/>
      </c>
      <c r="F223">
        <f>--(German_Data!B223&lt;=$B$2)</f>
        <v/>
      </c>
      <c r="G223">
        <f>--(German_Data!C223&lt;=$B$3)</f>
        <v/>
      </c>
      <c r="H223">
        <f>IF(F223=1,IF(G223=1,IF(German_Data!D223=$B$4,0,1),IF(German_Data!E223=$B$5,0,1)),IF(German_Data!E223=$B$5,0,1))</f>
        <v/>
      </c>
      <c r="I223">
        <f>IF(H223=1,"Good","Bad")</f>
        <v/>
      </c>
      <c r="J223">
        <f>--(H223=E223)</f>
        <v/>
      </c>
    </row>
    <row r="224">
      <c r="D224">
        <f>German_Data!A224</f>
        <v/>
      </c>
      <c r="E224">
        <f>German_Data!G224</f>
        <v/>
      </c>
      <c r="F224">
        <f>--(German_Data!B224&lt;=$B$2)</f>
        <v/>
      </c>
      <c r="G224">
        <f>--(German_Data!C224&lt;=$B$3)</f>
        <v/>
      </c>
      <c r="H224">
        <f>IF(F224=1,IF(G224=1,IF(German_Data!D224=$B$4,0,1),IF(German_Data!E224=$B$5,0,1)),IF(German_Data!E224=$B$5,0,1))</f>
        <v/>
      </c>
      <c r="I224">
        <f>IF(H224=1,"Good","Bad")</f>
        <v/>
      </c>
      <c r="J224">
        <f>--(H224=E224)</f>
        <v/>
      </c>
    </row>
    <row r="225">
      <c r="D225">
        <f>German_Data!A225</f>
        <v/>
      </c>
      <c r="E225">
        <f>German_Data!G225</f>
        <v/>
      </c>
      <c r="F225">
        <f>--(German_Data!B225&lt;=$B$2)</f>
        <v/>
      </c>
      <c r="G225">
        <f>--(German_Data!C225&lt;=$B$3)</f>
        <v/>
      </c>
      <c r="H225">
        <f>IF(F225=1,IF(G225=1,IF(German_Data!D225=$B$4,0,1),IF(German_Data!E225=$B$5,0,1)),IF(German_Data!E225=$B$5,0,1))</f>
        <v/>
      </c>
      <c r="I225">
        <f>IF(H225=1,"Good","Bad")</f>
        <v/>
      </c>
      <c r="J225">
        <f>--(H225=E225)</f>
        <v/>
      </c>
    </row>
    <row r="226">
      <c r="D226">
        <f>German_Data!A226</f>
        <v/>
      </c>
      <c r="E226">
        <f>German_Data!G226</f>
        <v/>
      </c>
      <c r="F226">
        <f>--(German_Data!B226&lt;=$B$2)</f>
        <v/>
      </c>
      <c r="G226">
        <f>--(German_Data!C226&lt;=$B$3)</f>
        <v/>
      </c>
      <c r="H226">
        <f>IF(F226=1,IF(G226=1,IF(German_Data!D226=$B$4,0,1),IF(German_Data!E226=$B$5,0,1)),IF(German_Data!E226=$B$5,0,1))</f>
        <v/>
      </c>
      <c r="I226">
        <f>IF(H226=1,"Good","Bad")</f>
        <v/>
      </c>
      <c r="J226">
        <f>--(H226=E226)</f>
        <v/>
      </c>
    </row>
    <row r="227">
      <c r="D227">
        <f>German_Data!A227</f>
        <v/>
      </c>
      <c r="E227">
        <f>German_Data!G227</f>
        <v/>
      </c>
      <c r="F227">
        <f>--(German_Data!B227&lt;=$B$2)</f>
        <v/>
      </c>
      <c r="G227">
        <f>--(German_Data!C227&lt;=$B$3)</f>
        <v/>
      </c>
      <c r="H227">
        <f>IF(F227=1,IF(G227=1,IF(German_Data!D227=$B$4,0,1),IF(German_Data!E227=$B$5,0,1)),IF(German_Data!E227=$B$5,0,1))</f>
        <v/>
      </c>
      <c r="I227">
        <f>IF(H227=1,"Good","Bad")</f>
        <v/>
      </c>
      <c r="J227">
        <f>--(H227=E227)</f>
        <v/>
      </c>
    </row>
    <row r="228">
      <c r="D228">
        <f>German_Data!A228</f>
        <v/>
      </c>
      <c r="E228">
        <f>German_Data!G228</f>
        <v/>
      </c>
      <c r="F228">
        <f>--(German_Data!B228&lt;=$B$2)</f>
        <v/>
      </c>
      <c r="G228">
        <f>--(German_Data!C228&lt;=$B$3)</f>
        <v/>
      </c>
      <c r="H228">
        <f>IF(F228=1,IF(G228=1,IF(German_Data!D228=$B$4,0,1),IF(German_Data!E228=$B$5,0,1)),IF(German_Data!E228=$B$5,0,1))</f>
        <v/>
      </c>
      <c r="I228">
        <f>IF(H228=1,"Good","Bad")</f>
        <v/>
      </c>
      <c r="J228">
        <f>--(H228=E228)</f>
        <v/>
      </c>
    </row>
    <row r="229">
      <c r="D229">
        <f>German_Data!A229</f>
        <v/>
      </c>
      <c r="E229">
        <f>German_Data!G229</f>
        <v/>
      </c>
      <c r="F229">
        <f>--(German_Data!B229&lt;=$B$2)</f>
        <v/>
      </c>
      <c r="G229">
        <f>--(German_Data!C229&lt;=$B$3)</f>
        <v/>
      </c>
      <c r="H229">
        <f>IF(F229=1,IF(G229=1,IF(German_Data!D229=$B$4,0,1),IF(German_Data!E229=$B$5,0,1)),IF(German_Data!E229=$B$5,0,1))</f>
        <v/>
      </c>
      <c r="I229">
        <f>IF(H229=1,"Good","Bad")</f>
        <v/>
      </c>
      <c r="J229">
        <f>--(H229=E229)</f>
        <v/>
      </c>
    </row>
    <row r="230">
      <c r="D230">
        <f>German_Data!A230</f>
        <v/>
      </c>
      <c r="E230">
        <f>German_Data!G230</f>
        <v/>
      </c>
      <c r="F230">
        <f>--(German_Data!B230&lt;=$B$2)</f>
        <v/>
      </c>
      <c r="G230">
        <f>--(German_Data!C230&lt;=$B$3)</f>
        <v/>
      </c>
      <c r="H230">
        <f>IF(F230=1,IF(G230=1,IF(German_Data!D230=$B$4,0,1),IF(German_Data!E230=$B$5,0,1)),IF(German_Data!E230=$B$5,0,1))</f>
        <v/>
      </c>
      <c r="I230">
        <f>IF(H230=1,"Good","Bad")</f>
        <v/>
      </c>
      <c r="J230">
        <f>--(H230=E230)</f>
        <v/>
      </c>
    </row>
    <row r="231">
      <c r="D231">
        <f>German_Data!A231</f>
        <v/>
      </c>
      <c r="E231">
        <f>German_Data!G231</f>
        <v/>
      </c>
      <c r="F231">
        <f>--(German_Data!B231&lt;=$B$2)</f>
        <v/>
      </c>
      <c r="G231">
        <f>--(German_Data!C231&lt;=$B$3)</f>
        <v/>
      </c>
      <c r="H231">
        <f>IF(F231=1,IF(G231=1,IF(German_Data!D231=$B$4,0,1),IF(German_Data!E231=$B$5,0,1)),IF(German_Data!E231=$B$5,0,1))</f>
        <v/>
      </c>
      <c r="I231">
        <f>IF(H231=1,"Good","Bad")</f>
        <v/>
      </c>
      <c r="J231">
        <f>--(H231=E231)</f>
        <v/>
      </c>
    </row>
    <row r="232">
      <c r="D232">
        <f>German_Data!A232</f>
        <v/>
      </c>
      <c r="E232">
        <f>German_Data!G232</f>
        <v/>
      </c>
      <c r="F232">
        <f>--(German_Data!B232&lt;=$B$2)</f>
        <v/>
      </c>
      <c r="G232">
        <f>--(German_Data!C232&lt;=$B$3)</f>
        <v/>
      </c>
      <c r="H232">
        <f>IF(F232=1,IF(G232=1,IF(German_Data!D232=$B$4,0,1),IF(German_Data!E232=$B$5,0,1)),IF(German_Data!E232=$B$5,0,1))</f>
        <v/>
      </c>
      <c r="I232">
        <f>IF(H232=1,"Good","Bad")</f>
        <v/>
      </c>
      <c r="J232">
        <f>--(H232=E232)</f>
        <v/>
      </c>
    </row>
    <row r="233">
      <c r="D233">
        <f>German_Data!A233</f>
        <v/>
      </c>
      <c r="E233">
        <f>German_Data!G233</f>
        <v/>
      </c>
      <c r="F233">
        <f>--(German_Data!B233&lt;=$B$2)</f>
        <v/>
      </c>
      <c r="G233">
        <f>--(German_Data!C233&lt;=$B$3)</f>
        <v/>
      </c>
      <c r="H233">
        <f>IF(F233=1,IF(G233=1,IF(German_Data!D233=$B$4,0,1),IF(German_Data!E233=$B$5,0,1)),IF(German_Data!E233=$B$5,0,1))</f>
        <v/>
      </c>
      <c r="I233">
        <f>IF(H233=1,"Good","Bad")</f>
        <v/>
      </c>
      <c r="J233">
        <f>--(H233=E233)</f>
        <v/>
      </c>
    </row>
    <row r="234">
      <c r="D234">
        <f>German_Data!A234</f>
        <v/>
      </c>
      <c r="E234">
        <f>German_Data!G234</f>
        <v/>
      </c>
      <c r="F234">
        <f>--(German_Data!B234&lt;=$B$2)</f>
        <v/>
      </c>
      <c r="G234">
        <f>--(German_Data!C234&lt;=$B$3)</f>
        <v/>
      </c>
      <c r="H234">
        <f>IF(F234=1,IF(G234=1,IF(German_Data!D234=$B$4,0,1),IF(German_Data!E234=$B$5,0,1)),IF(German_Data!E234=$B$5,0,1))</f>
        <v/>
      </c>
      <c r="I234">
        <f>IF(H234=1,"Good","Bad")</f>
        <v/>
      </c>
      <c r="J234">
        <f>--(H234=E234)</f>
        <v/>
      </c>
    </row>
    <row r="235">
      <c r="D235">
        <f>German_Data!A235</f>
        <v/>
      </c>
      <c r="E235">
        <f>German_Data!G235</f>
        <v/>
      </c>
      <c r="F235">
        <f>--(German_Data!B235&lt;=$B$2)</f>
        <v/>
      </c>
      <c r="G235">
        <f>--(German_Data!C235&lt;=$B$3)</f>
        <v/>
      </c>
      <c r="H235">
        <f>IF(F235=1,IF(G235=1,IF(German_Data!D235=$B$4,0,1),IF(German_Data!E235=$B$5,0,1)),IF(German_Data!E235=$B$5,0,1))</f>
        <v/>
      </c>
      <c r="I235">
        <f>IF(H235=1,"Good","Bad")</f>
        <v/>
      </c>
      <c r="J235">
        <f>--(H235=E235)</f>
        <v/>
      </c>
    </row>
    <row r="236">
      <c r="D236">
        <f>German_Data!A236</f>
        <v/>
      </c>
      <c r="E236">
        <f>German_Data!G236</f>
        <v/>
      </c>
      <c r="F236">
        <f>--(German_Data!B236&lt;=$B$2)</f>
        <v/>
      </c>
      <c r="G236">
        <f>--(German_Data!C236&lt;=$B$3)</f>
        <v/>
      </c>
      <c r="H236">
        <f>IF(F236=1,IF(G236=1,IF(German_Data!D236=$B$4,0,1),IF(German_Data!E236=$B$5,0,1)),IF(German_Data!E236=$B$5,0,1))</f>
        <v/>
      </c>
      <c r="I236">
        <f>IF(H236=1,"Good","Bad")</f>
        <v/>
      </c>
      <c r="J236">
        <f>--(H236=E236)</f>
        <v/>
      </c>
    </row>
    <row r="237">
      <c r="D237">
        <f>German_Data!A237</f>
        <v/>
      </c>
      <c r="E237">
        <f>German_Data!G237</f>
        <v/>
      </c>
      <c r="F237">
        <f>--(German_Data!B237&lt;=$B$2)</f>
        <v/>
      </c>
      <c r="G237">
        <f>--(German_Data!C237&lt;=$B$3)</f>
        <v/>
      </c>
      <c r="H237">
        <f>IF(F237=1,IF(G237=1,IF(German_Data!D237=$B$4,0,1),IF(German_Data!E237=$B$5,0,1)),IF(German_Data!E237=$B$5,0,1))</f>
        <v/>
      </c>
      <c r="I237">
        <f>IF(H237=1,"Good","Bad")</f>
        <v/>
      </c>
      <c r="J237">
        <f>--(H237=E237)</f>
        <v/>
      </c>
    </row>
    <row r="238">
      <c r="D238">
        <f>German_Data!A238</f>
        <v/>
      </c>
      <c r="E238">
        <f>German_Data!G238</f>
        <v/>
      </c>
      <c r="F238">
        <f>--(German_Data!B238&lt;=$B$2)</f>
        <v/>
      </c>
      <c r="G238">
        <f>--(German_Data!C238&lt;=$B$3)</f>
        <v/>
      </c>
      <c r="H238">
        <f>IF(F238=1,IF(G238=1,IF(German_Data!D238=$B$4,0,1),IF(German_Data!E238=$B$5,0,1)),IF(German_Data!E238=$B$5,0,1))</f>
        <v/>
      </c>
      <c r="I238">
        <f>IF(H238=1,"Good","Bad")</f>
        <v/>
      </c>
      <c r="J238">
        <f>--(H238=E238)</f>
        <v/>
      </c>
    </row>
    <row r="239">
      <c r="D239">
        <f>German_Data!A239</f>
        <v/>
      </c>
      <c r="E239">
        <f>German_Data!G239</f>
        <v/>
      </c>
      <c r="F239">
        <f>--(German_Data!B239&lt;=$B$2)</f>
        <v/>
      </c>
      <c r="G239">
        <f>--(German_Data!C239&lt;=$B$3)</f>
        <v/>
      </c>
      <c r="H239">
        <f>IF(F239=1,IF(G239=1,IF(German_Data!D239=$B$4,0,1),IF(German_Data!E239=$B$5,0,1)),IF(German_Data!E239=$B$5,0,1))</f>
        <v/>
      </c>
      <c r="I239">
        <f>IF(H239=1,"Good","Bad")</f>
        <v/>
      </c>
      <c r="J239">
        <f>--(H239=E239)</f>
        <v/>
      </c>
    </row>
    <row r="240">
      <c r="D240">
        <f>German_Data!A240</f>
        <v/>
      </c>
      <c r="E240">
        <f>German_Data!G240</f>
        <v/>
      </c>
      <c r="F240">
        <f>--(German_Data!B240&lt;=$B$2)</f>
        <v/>
      </c>
      <c r="G240">
        <f>--(German_Data!C240&lt;=$B$3)</f>
        <v/>
      </c>
      <c r="H240">
        <f>IF(F240=1,IF(G240=1,IF(German_Data!D240=$B$4,0,1),IF(German_Data!E240=$B$5,0,1)),IF(German_Data!E240=$B$5,0,1))</f>
        <v/>
      </c>
      <c r="I240">
        <f>IF(H240=1,"Good","Bad")</f>
        <v/>
      </c>
      <c r="J240">
        <f>--(H240=E240)</f>
        <v/>
      </c>
    </row>
    <row r="241">
      <c r="D241">
        <f>German_Data!A241</f>
        <v/>
      </c>
      <c r="E241">
        <f>German_Data!G241</f>
        <v/>
      </c>
      <c r="F241">
        <f>--(German_Data!B241&lt;=$B$2)</f>
        <v/>
      </c>
      <c r="G241">
        <f>--(German_Data!C241&lt;=$B$3)</f>
        <v/>
      </c>
      <c r="H241">
        <f>IF(F241=1,IF(G241=1,IF(German_Data!D241=$B$4,0,1),IF(German_Data!E241=$B$5,0,1)),IF(German_Data!E241=$B$5,0,1))</f>
        <v/>
      </c>
      <c r="I241">
        <f>IF(H241=1,"Good","Bad")</f>
        <v/>
      </c>
      <c r="J241">
        <f>--(H241=E241)</f>
        <v/>
      </c>
    </row>
    <row r="242">
      <c r="D242">
        <f>German_Data!A242</f>
        <v/>
      </c>
      <c r="E242">
        <f>German_Data!G242</f>
        <v/>
      </c>
      <c r="F242">
        <f>--(German_Data!B242&lt;=$B$2)</f>
        <v/>
      </c>
      <c r="G242">
        <f>--(German_Data!C242&lt;=$B$3)</f>
        <v/>
      </c>
      <c r="H242">
        <f>IF(F242=1,IF(G242=1,IF(German_Data!D242=$B$4,0,1),IF(German_Data!E242=$B$5,0,1)),IF(German_Data!E242=$B$5,0,1))</f>
        <v/>
      </c>
      <c r="I242">
        <f>IF(H242=1,"Good","Bad")</f>
        <v/>
      </c>
      <c r="J242">
        <f>--(H242=E242)</f>
        <v/>
      </c>
    </row>
    <row r="243">
      <c r="D243">
        <f>German_Data!A243</f>
        <v/>
      </c>
      <c r="E243">
        <f>German_Data!G243</f>
        <v/>
      </c>
      <c r="F243">
        <f>--(German_Data!B243&lt;=$B$2)</f>
        <v/>
      </c>
      <c r="G243">
        <f>--(German_Data!C243&lt;=$B$3)</f>
        <v/>
      </c>
      <c r="H243">
        <f>IF(F243=1,IF(G243=1,IF(German_Data!D243=$B$4,0,1),IF(German_Data!E243=$B$5,0,1)),IF(German_Data!E243=$B$5,0,1))</f>
        <v/>
      </c>
      <c r="I243">
        <f>IF(H243=1,"Good","Bad")</f>
        <v/>
      </c>
      <c r="J243">
        <f>--(H243=E243)</f>
        <v/>
      </c>
    </row>
    <row r="244">
      <c r="D244">
        <f>German_Data!A244</f>
        <v/>
      </c>
      <c r="E244">
        <f>German_Data!G244</f>
        <v/>
      </c>
      <c r="F244">
        <f>--(German_Data!B244&lt;=$B$2)</f>
        <v/>
      </c>
      <c r="G244">
        <f>--(German_Data!C244&lt;=$B$3)</f>
        <v/>
      </c>
      <c r="H244">
        <f>IF(F244=1,IF(G244=1,IF(German_Data!D244=$B$4,0,1),IF(German_Data!E244=$B$5,0,1)),IF(German_Data!E244=$B$5,0,1))</f>
        <v/>
      </c>
      <c r="I244">
        <f>IF(H244=1,"Good","Bad")</f>
        <v/>
      </c>
      <c r="J244">
        <f>--(H244=E244)</f>
        <v/>
      </c>
    </row>
    <row r="245">
      <c r="D245">
        <f>German_Data!A245</f>
        <v/>
      </c>
      <c r="E245">
        <f>German_Data!G245</f>
        <v/>
      </c>
      <c r="F245">
        <f>--(German_Data!B245&lt;=$B$2)</f>
        <v/>
      </c>
      <c r="G245">
        <f>--(German_Data!C245&lt;=$B$3)</f>
        <v/>
      </c>
      <c r="H245">
        <f>IF(F245=1,IF(G245=1,IF(German_Data!D245=$B$4,0,1),IF(German_Data!E245=$B$5,0,1)),IF(German_Data!E245=$B$5,0,1))</f>
        <v/>
      </c>
      <c r="I245">
        <f>IF(H245=1,"Good","Bad")</f>
        <v/>
      </c>
      <c r="J245">
        <f>--(H245=E245)</f>
        <v/>
      </c>
    </row>
    <row r="246">
      <c r="D246">
        <f>German_Data!A246</f>
        <v/>
      </c>
      <c r="E246">
        <f>German_Data!G246</f>
        <v/>
      </c>
      <c r="F246">
        <f>--(German_Data!B246&lt;=$B$2)</f>
        <v/>
      </c>
      <c r="G246">
        <f>--(German_Data!C246&lt;=$B$3)</f>
        <v/>
      </c>
      <c r="H246">
        <f>IF(F246=1,IF(G246=1,IF(German_Data!D246=$B$4,0,1),IF(German_Data!E246=$B$5,0,1)),IF(German_Data!E246=$B$5,0,1))</f>
        <v/>
      </c>
      <c r="I246">
        <f>IF(H246=1,"Good","Bad")</f>
        <v/>
      </c>
      <c r="J246">
        <f>--(H246=E246)</f>
        <v/>
      </c>
    </row>
    <row r="247">
      <c r="D247">
        <f>German_Data!A247</f>
        <v/>
      </c>
      <c r="E247">
        <f>German_Data!G247</f>
        <v/>
      </c>
      <c r="F247">
        <f>--(German_Data!B247&lt;=$B$2)</f>
        <v/>
      </c>
      <c r="G247">
        <f>--(German_Data!C247&lt;=$B$3)</f>
        <v/>
      </c>
      <c r="H247">
        <f>IF(F247=1,IF(G247=1,IF(German_Data!D247=$B$4,0,1),IF(German_Data!E247=$B$5,0,1)),IF(German_Data!E247=$B$5,0,1))</f>
        <v/>
      </c>
      <c r="I247">
        <f>IF(H247=1,"Good","Bad")</f>
        <v/>
      </c>
      <c r="J247">
        <f>--(H247=E247)</f>
        <v/>
      </c>
    </row>
    <row r="248">
      <c r="D248">
        <f>German_Data!A248</f>
        <v/>
      </c>
      <c r="E248">
        <f>German_Data!G248</f>
        <v/>
      </c>
      <c r="F248">
        <f>--(German_Data!B248&lt;=$B$2)</f>
        <v/>
      </c>
      <c r="G248">
        <f>--(German_Data!C248&lt;=$B$3)</f>
        <v/>
      </c>
      <c r="H248">
        <f>IF(F248=1,IF(G248=1,IF(German_Data!D248=$B$4,0,1),IF(German_Data!E248=$B$5,0,1)),IF(German_Data!E248=$B$5,0,1))</f>
        <v/>
      </c>
      <c r="I248">
        <f>IF(H248=1,"Good","Bad")</f>
        <v/>
      </c>
      <c r="J248">
        <f>--(H248=E248)</f>
        <v/>
      </c>
    </row>
    <row r="249">
      <c r="D249">
        <f>German_Data!A249</f>
        <v/>
      </c>
      <c r="E249">
        <f>German_Data!G249</f>
        <v/>
      </c>
      <c r="F249">
        <f>--(German_Data!B249&lt;=$B$2)</f>
        <v/>
      </c>
      <c r="G249">
        <f>--(German_Data!C249&lt;=$B$3)</f>
        <v/>
      </c>
      <c r="H249">
        <f>IF(F249=1,IF(G249=1,IF(German_Data!D249=$B$4,0,1),IF(German_Data!E249=$B$5,0,1)),IF(German_Data!E249=$B$5,0,1))</f>
        <v/>
      </c>
      <c r="I249">
        <f>IF(H249=1,"Good","Bad")</f>
        <v/>
      </c>
      <c r="J249">
        <f>--(H249=E249)</f>
        <v/>
      </c>
    </row>
    <row r="250">
      <c r="D250">
        <f>German_Data!A250</f>
        <v/>
      </c>
      <c r="E250">
        <f>German_Data!G250</f>
        <v/>
      </c>
      <c r="F250">
        <f>--(German_Data!B250&lt;=$B$2)</f>
        <v/>
      </c>
      <c r="G250">
        <f>--(German_Data!C250&lt;=$B$3)</f>
        <v/>
      </c>
      <c r="H250">
        <f>IF(F250=1,IF(G250=1,IF(German_Data!D250=$B$4,0,1),IF(German_Data!E250=$B$5,0,1)),IF(German_Data!E250=$B$5,0,1))</f>
        <v/>
      </c>
      <c r="I250">
        <f>IF(H250=1,"Good","Bad")</f>
        <v/>
      </c>
      <c r="J250">
        <f>--(H250=E250)</f>
        <v/>
      </c>
    </row>
    <row r="251">
      <c r="D251">
        <f>German_Data!A251</f>
        <v/>
      </c>
      <c r="E251">
        <f>German_Data!G251</f>
        <v/>
      </c>
      <c r="F251">
        <f>--(German_Data!B251&lt;=$B$2)</f>
        <v/>
      </c>
      <c r="G251">
        <f>--(German_Data!C251&lt;=$B$3)</f>
        <v/>
      </c>
      <c r="H251">
        <f>IF(F251=1,IF(G251=1,IF(German_Data!D251=$B$4,0,1),IF(German_Data!E251=$B$5,0,1)),IF(German_Data!E251=$B$5,0,1))</f>
        <v/>
      </c>
      <c r="I251">
        <f>IF(H251=1,"Good","Bad")</f>
        <v/>
      </c>
      <c r="J251">
        <f>--(H251=E251)</f>
        <v/>
      </c>
    </row>
    <row r="252">
      <c r="D252">
        <f>German_Data!A252</f>
        <v/>
      </c>
      <c r="E252">
        <f>German_Data!G252</f>
        <v/>
      </c>
      <c r="F252">
        <f>--(German_Data!B252&lt;=$B$2)</f>
        <v/>
      </c>
      <c r="G252">
        <f>--(German_Data!C252&lt;=$B$3)</f>
        <v/>
      </c>
      <c r="H252">
        <f>IF(F252=1,IF(G252=1,IF(German_Data!D252=$B$4,0,1),IF(German_Data!E252=$B$5,0,1)),IF(German_Data!E252=$B$5,0,1))</f>
        <v/>
      </c>
      <c r="I252">
        <f>IF(H252=1,"Good","Bad")</f>
        <v/>
      </c>
      <c r="J252">
        <f>--(H252=E252)</f>
        <v/>
      </c>
    </row>
    <row r="253">
      <c r="D253">
        <f>German_Data!A253</f>
        <v/>
      </c>
      <c r="E253">
        <f>German_Data!G253</f>
        <v/>
      </c>
      <c r="F253">
        <f>--(German_Data!B253&lt;=$B$2)</f>
        <v/>
      </c>
      <c r="G253">
        <f>--(German_Data!C253&lt;=$B$3)</f>
        <v/>
      </c>
      <c r="H253">
        <f>IF(F253=1,IF(G253=1,IF(German_Data!D253=$B$4,0,1),IF(German_Data!E253=$B$5,0,1)),IF(German_Data!E253=$B$5,0,1))</f>
        <v/>
      </c>
      <c r="I253">
        <f>IF(H253=1,"Good","Bad")</f>
        <v/>
      </c>
      <c r="J253">
        <f>--(H253=E253)</f>
        <v/>
      </c>
    </row>
    <row r="254">
      <c r="D254">
        <f>German_Data!A254</f>
        <v/>
      </c>
      <c r="E254">
        <f>German_Data!G254</f>
        <v/>
      </c>
      <c r="F254">
        <f>--(German_Data!B254&lt;=$B$2)</f>
        <v/>
      </c>
      <c r="G254">
        <f>--(German_Data!C254&lt;=$B$3)</f>
        <v/>
      </c>
      <c r="H254">
        <f>IF(F254=1,IF(G254=1,IF(German_Data!D254=$B$4,0,1),IF(German_Data!E254=$B$5,0,1)),IF(German_Data!E254=$B$5,0,1))</f>
        <v/>
      </c>
      <c r="I254">
        <f>IF(H254=1,"Good","Bad")</f>
        <v/>
      </c>
      <c r="J254">
        <f>--(H254=E254)</f>
        <v/>
      </c>
    </row>
    <row r="255">
      <c r="D255">
        <f>German_Data!A255</f>
        <v/>
      </c>
      <c r="E255">
        <f>German_Data!G255</f>
        <v/>
      </c>
      <c r="F255">
        <f>--(German_Data!B255&lt;=$B$2)</f>
        <v/>
      </c>
      <c r="G255">
        <f>--(German_Data!C255&lt;=$B$3)</f>
        <v/>
      </c>
      <c r="H255">
        <f>IF(F255=1,IF(G255=1,IF(German_Data!D255=$B$4,0,1),IF(German_Data!E255=$B$5,0,1)),IF(German_Data!E255=$B$5,0,1))</f>
        <v/>
      </c>
      <c r="I255">
        <f>IF(H255=1,"Good","Bad")</f>
        <v/>
      </c>
      <c r="J255">
        <f>--(H255=E255)</f>
        <v/>
      </c>
    </row>
    <row r="256">
      <c r="D256">
        <f>German_Data!A256</f>
        <v/>
      </c>
      <c r="E256">
        <f>German_Data!G256</f>
        <v/>
      </c>
      <c r="F256">
        <f>--(German_Data!B256&lt;=$B$2)</f>
        <v/>
      </c>
      <c r="G256">
        <f>--(German_Data!C256&lt;=$B$3)</f>
        <v/>
      </c>
      <c r="H256">
        <f>IF(F256=1,IF(G256=1,IF(German_Data!D256=$B$4,0,1),IF(German_Data!E256=$B$5,0,1)),IF(German_Data!E256=$B$5,0,1))</f>
        <v/>
      </c>
      <c r="I256">
        <f>IF(H256=1,"Good","Bad")</f>
        <v/>
      </c>
      <c r="J256">
        <f>--(H256=E256)</f>
        <v/>
      </c>
    </row>
    <row r="257">
      <c r="D257">
        <f>German_Data!A257</f>
        <v/>
      </c>
      <c r="E257">
        <f>German_Data!G257</f>
        <v/>
      </c>
      <c r="F257">
        <f>--(German_Data!B257&lt;=$B$2)</f>
        <v/>
      </c>
      <c r="G257">
        <f>--(German_Data!C257&lt;=$B$3)</f>
        <v/>
      </c>
      <c r="H257">
        <f>IF(F257=1,IF(G257=1,IF(German_Data!D257=$B$4,0,1),IF(German_Data!E257=$B$5,0,1)),IF(German_Data!E257=$B$5,0,1))</f>
        <v/>
      </c>
      <c r="I257">
        <f>IF(H257=1,"Good","Bad")</f>
        <v/>
      </c>
      <c r="J257">
        <f>--(H257=E257)</f>
        <v/>
      </c>
    </row>
    <row r="258">
      <c r="D258">
        <f>German_Data!A258</f>
        <v/>
      </c>
      <c r="E258">
        <f>German_Data!G258</f>
        <v/>
      </c>
      <c r="F258">
        <f>--(German_Data!B258&lt;=$B$2)</f>
        <v/>
      </c>
      <c r="G258">
        <f>--(German_Data!C258&lt;=$B$3)</f>
        <v/>
      </c>
      <c r="H258">
        <f>IF(F258=1,IF(G258=1,IF(German_Data!D258=$B$4,0,1),IF(German_Data!E258=$B$5,0,1)),IF(German_Data!E258=$B$5,0,1))</f>
        <v/>
      </c>
      <c r="I258">
        <f>IF(H258=1,"Good","Bad")</f>
        <v/>
      </c>
      <c r="J258">
        <f>--(H258=E258)</f>
        <v/>
      </c>
    </row>
    <row r="259">
      <c r="D259">
        <f>German_Data!A259</f>
        <v/>
      </c>
      <c r="E259">
        <f>German_Data!G259</f>
        <v/>
      </c>
      <c r="F259">
        <f>--(German_Data!B259&lt;=$B$2)</f>
        <v/>
      </c>
      <c r="G259">
        <f>--(German_Data!C259&lt;=$B$3)</f>
        <v/>
      </c>
      <c r="H259">
        <f>IF(F259=1,IF(G259=1,IF(German_Data!D259=$B$4,0,1),IF(German_Data!E259=$B$5,0,1)),IF(German_Data!E259=$B$5,0,1))</f>
        <v/>
      </c>
      <c r="I259">
        <f>IF(H259=1,"Good","Bad")</f>
        <v/>
      </c>
      <c r="J259">
        <f>--(H259=E259)</f>
        <v/>
      </c>
    </row>
    <row r="260">
      <c r="D260">
        <f>German_Data!A260</f>
        <v/>
      </c>
      <c r="E260">
        <f>German_Data!G260</f>
        <v/>
      </c>
      <c r="F260">
        <f>--(German_Data!B260&lt;=$B$2)</f>
        <v/>
      </c>
      <c r="G260">
        <f>--(German_Data!C260&lt;=$B$3)</f>
        <v/>
      </c>
      <c r="H260">
        <f>IF(F260=1,IF(G260=1,IF(German_Data!D260=$B$4,0,1),IF(German_Data!E260=$B$5,0,1)),IF(German_Data!E260=$B$5,0,1))</f>
        <v/>
      </c>
      <c r="I260">
        <f>IF(H260=1,"Good","Bad")</f>
        <v/>
      </c>
      <c r="J260">
        <f>--(H260=E260)</f>
        <v/>
      </c>
    </row>
    <row r="261">
      <c r="D261">
        <f>German_Data!A261</f>
        <v/>
      </c>
      <c r="E261">
        <f>German_Data!G261</f>
        <v/>
      </c>
      <c r="F261">
        <f>--(German_Data!B261&lt;=$B$2)</f>
        <v/>
      </c>
      <c r="G261">
        <f>--(German_Data!C261&lt;=$B$3)</f>
        <v/>
      </c>
      <c r="H261">
        <f>IF(F261=1,IF(G261=1,IF(German_Data!D261=$B$4,0,1),IF(German_Data!E261=$B$5,0,1)),IF(German_Data!E261=$B$5,0,1))</f>
        <v/>
      </c>
      <c r="I261">
        <f>IF(H261=1,"Good","Bad")</f>
        <v/>
      </c>
      <c r="J261">
        <f>--(H261=E261)</f>
        <v/>
      </c>
    </row>
    <row r="262">
      <c r="D262">
        <f>German_Data!A262</f>
        <v/>
      </c>
      <c r="E262">
        <f>German_Data!G262</f>
        <v/>
      </c>
      <c r="F262">
        <f>--(German_Data!B262&lt;=$B$2)</f>
        <v/>
      </c>
      <c r="G262">
        <f>--(German_Data!C262&lt;=$B$3)</f>
        <v/>
      </c>
      <c r="H262">
        <f>IF(F262=1,IF(G262=1,IF(German_Data!D262=$B$4,0,1),IF(German_Data!E262=$B$5,0,1)),IF(German_Data!E262=$B$5,0,1))</f>
        <v/>
      </c>
      <c r="I262">
        <f>IF(H262=1,"Good","Bad")</f>
        <v/>
      </c>
      <c r="J262">
        <f>--(H262=E262)</f>
        <v/>
      </c>
    </row>
    <row r="263">
      <c r="D263">
        <f>German_Data!A263</f>
        <v/>
      </c>
      <c r="E263">
        <f>German_Data!G263</f>
        <v/>
      </c>
      <c r="F263">
        <f>--(German_Data!B263&lt;=$B$2)</f>
        <v/>
      </c>
      <c r="G263">
        <f>--(German_Data!C263&lt;=$B$3)</f>
        <v/>
      </c>
      <c r="H263">
        <f>IF(F263=1,IF(G263=1,IF(German_Data!D263=$B$4,0,1),IF(German_Data!E263=$B$5,0,1)),IF(German_Data!E263=$B$5,0,1))</f>
        <v/>
      </c>
      <c r="I263">
        <f>IF(H263=1,"Good","Bad")</f>
        <v/>
      </c>
      <c r="J263">
        <f>--(H263=E263)</f>
        <v/>
      </c>
    </row>
    <row r="264">
      <c r="D264">
        <f>German_Data!A264</f>
        <v/>
      </c>
      <c r="E264">
        <f>German_Data!G264</f>
        <v/>
      </c>
      <c r="F264">
        <f>--(German_Data!B264&lt;=$B$2)</f>
        <v/>
      </c>
      <c r="G264">
        <f>--(German_Data!C264&lt;=$B$3)</f>
        <v/>
      </c>
      <c r="H264">
        <f>IF(F264=1,IF(G264=1,IF(German_Data!D264=$B$4,0,1),IF(German_Data!E264=$B$5,0,1)),IF(German_Data!E264=$B$5,0,1))</f>
        <v/>
      </c>
      <c r="I264">
        <f>IF(H264=1,"Good","Bad")</f>
        <v/>
      </c>
      <c r="J264">
        <f>--(H264=E264)</f>
        <v/>
      </c>
    </row>
    <row r="265">
      <c r="D265">
        <f>German_Data!A265</f>
        <v/>
      </c>
      <c r="E265">
        <f>German_Data!G265</f>
        <v/>
      </c>
      <c r="F265">
        <f>--(German_Data!B265&lt;=$B$2)</f>
        <v/>
      </c>
      <c r="G265">
        <f>--(German_Data!C265&lt;=$B$3)</f>
        <v/>
      </c>
      <c r="H265">
        <f>IF(F265=1,IF(G265=1,IF(German_Data!D265=$B$4,0,1),IF(German_Data!E265=$B$5,0,1)),IF(German_Data!E265=$B$5,0,1))</f>
        <v/>
      </c>
      <c r="I265">
        <f>IF(H265=1,"Good","Bad")</f>
        <v/>
      </c>
      <c r="J265">
        <f>--(H265=E265)</f>
        <v/>
      </c>
    </row>
    <row r="266">
      <c r="D266">
        <f>German_Data!A266</f>
        <v/>
      </c>
      <c r="E266">
        <f>German_Data!G266</f>
        <v/>
      </c>
      <c r="F266">
        <f>--(German_Data!B266&lt;=$B$2)</f>
        <v/>
      </c>
      <c r="G266">
        <f>--(German_Data!C266&lt;=$B$3)</f>
        <v/>
      </c>
      <c r="H266">
        <f>IF(F266=1,IF(G266=1,IF(German_Data!D266=$B$4,0,1),IF(German_Data!E266=$B$5,0,1)),IF(German_Data!E266=$B$5,0,1))</f>
        <v/>
      </c>
      <c r="I266">
        <f>IF(H266=1,"Good","Bad")</f>
        <v/>
      </c>
      <c r="J266">
        <f>--(H266=E266)</f>
        <v/>
      </c>
    </row>
    <row r="267">
      <c r="D267">
        <f>German_Data!A267</f>
        <v/>
      </c>
      <c r="E267">
        <f>German_Data!G267</f>
        <v/>
      </c>
      <c r="F267">
        <f>--(German_Data!B267&lt;=$B$2)</f>
        <v/>
      </c>
      <c r="G267">
        <f>--(German_Data!C267&lt;=$B$3)</f>
        <v/>
      </c>
      <c r="H267">
        <f>IF(F267=1,IF(G267=1,IF(German_Data!D267=$B$4,0,1),IF(German_Data!E267=$B$5,0,1)),IF(German_Data!E267=$B$5,0,1))</f>
        <v/>
      </c>
      <c r="I267">
        <f>IF(H267=1,"Good","Bad")</f>
        <v/>
      </c>
      <c r="J267">
        <f>--(H267=E267)</f>
        <v/>
      </c>
    </row>
    <row r="268">
      <c r="D268">
        <f>German_Data!A268</f>
        <v/>
      </c>
      <c r="E268">
        <f>German_Data!G268</f>
        <v/>
      </c>
      <c r="F268">
        <f>--(German_Data!B268&lt;=$B$2)</f>
        <v/>
      </c>
      <c r="G268">
        <f>--(German_Data!C268&lt;=$B$3)</f>
        <v/>
      </c>
      <c r="H268">
        <f>IF(F268=1,IF(G268=1,IF(German_Data!D268=$B$4,0,1),IF(German_Data!E268=$B$5,0,1)),IF(German_Data!E268=$B$5,0,1))</f>
        <v/>
      </c>
      <c r="I268">
        <f>IF(H268=1,"Good","Bad")</f>
        <v/>
      </c>
      <c r="J268">
        <f>--(H268=E268)</f>
        <v/>
      </c>
    </row>
    <row r="269">
      <c r="D269">
        <f>German_Data!A269</f>
        <v/>
      </c>
      <c r="E269">
        <f>German_Data!G269</f>
        <v/>
      </c>
      <c r="F269">
        <f>--(German_Data!B269&lt;=$B$2)</f>
        <v/>
      </c>
      <c r="G269">
        <f>--(German_Data!C269&lt;=$B$3)</f>
        <v/>
      </c>
      <c r="H269">
        <f>IF(F269=1,IF(G269=1,IF(German_Data!D269=$B$4,0,1),IF(German_Data!E269=$B$5,0,1)),IF(German_Data!E269=$B$5,0,1))</f>
        <v/>
      </c>
      <c r="I269">
        <f>IF(H269=1,"Good","Bad")</f>
        <v/>
      </c>
      <c r="J269">
        <f>--(H269=E269)</f>
        <v/>
      </c>
    </row>
    <row r="270">
      <c r="D270">
        <f>German_Data!A270</f>
        <v/>
      </c>
      <c r="E270">
        <f>German_Data!G270</f>
        <v/>
      </c>
      <c r="F270">
        <f>--(German_Data!B270&lt;=$B$2)</f>
        <v/>
      </c>
      <c r="G270">
        <f>--(German_Data!C270&lt;=$B$3)</f>
        <v/>
      </c>
      <c r="H270">
        <f>IF(F270=1,IF(G270=1,IF(German_Data!D270=$B$4,0,1),IF(German_Data!E270=$B$5,0,1)),IF(German_Data!E270=$B$5,0,1))</f>
        <v/>
      </c>
      <c r="I270">
        <f>IF(H270=1,"Good","Bad")</f>
        <v/>
      </c>
      <c r="J270">
        <f>--(H270=E270)</f>
        <v/>
      </c>
    </row>
    <row r="271">
      <c r="D271">
        <f>German_Data!A271</f>
        <v/>
      </c>
      <c r="E271">
        <f>German_Data!G271</f>
        <v/>
      </c>
      <c r="F271">
        <f>--(German_Data!B271&lt;=$B$2)</f>
        <v/>
      </c>
      <c r="G271">
        <f>--(German_Data!C271&lt;=$B$3)</f>
        <v/>
      </c>
      <c r="H271">
        <f>IF(F271=1,IF(G271=1,IF(German_Data!D271=$B$4,0,1),IF(German_Data!E271=$B$5,0,1)),IF(German_Data!E271=$B$5,0,1))</f>
        <v/>
      </c>
      <c r="I271">
        <f>IF(H271=1,"Good","Bad")</f>
        <v/>
      </c>
      <c r="J271">
        <f>--(H271=E271)</f>
        <v/>
      </c>
    </row>
    <row r="272">
      <c r="D272">
        <f>German_Data!A272</f>
        <v/>
      </c>
      <c r="E272">
        <f>German_Data!G272</f>
        <v/>
      </c>
      <c r="F272">
        <f>--(German_Data!B272&lt;=$B$2)</f>
        <v/>
      </c>
      <c r="G272">
        <f>--(German_Data!C272&lt;=$B$3)</f>
        <v/>
      </c>
      <c r="H272">
        <f>IF(F272=1,IF(G272=1,IF(German_Data!D272=$B$4,0,1),IF(German_Data!E272=$B$5,0,1)),IF(German_Data!E272=$B$5,0,1))</f>
        <v/>
      </c>
      <c r="I272">
        <f>IF(H272=1,"Good","Bad")</f>
        <v/>
      </c>
      <c r="J272">
        <f>--(H272=E272)</f>
        <v/>
      </c>
    </row>
    <row r="273">
      <c r="D273">
        <f>German_Data!A273</f>
        <v/>
      </c>
      <c r="E273">
        <f>German_Data!G273</f>
        <v/>
      </c>
      <c r="F273">
        <f>--(German_Data!B273&lt;=$B$2)</f>
        <v/>
      </c>
      <c r="G273">
        <f>--(German_Data!C273&lt;=$B$3)</f>
        <v/>
      </c>
      <c r="H273">
        <f>IF(F273=1,IF(G273=1,IF(German_Data!D273=$B$4,0,1),IF(German_Data!E273=$B$5,0,1)),IF(German_Data!E273=$B$5,0,1))</f>
        <v/>
      </c>
      <c r="I273">
        <f>IF(H273=1,"Good","Bad")</f>
        <v/>
      </c>
      <c r="J273">
        <f>--(H273=E273)</f>
        <v/>
      </c>
    </row>
    <row r="274">
      <c r="D274">
        <f>German_Data!A274</f>
        <v/>
      </c>
      <c r="E274">
        <f>German_Data!G274</f>
        <v/>
      </c>
      <c r="F274">
        <f>--(German_Data!B274&lt;=$B$2)</f>
        <v/>
      </c>
      <c r="G274">
        <f>--(German_Data!C274&lt;=$B$3)</f>
        <v/>
      </c>
      <c r="H274">
        <f>IF(F274=1,IF(G274=1,IF(German_Data!D274=$B$4,0,1),IF(German_Data!E274=$B$5,0,1)),IF(German_Data!E274=$B$5,0,1))</f>
        <v/>
      </c>
      <c r="I274">
        <f>IF(H274=1,"Good","Bad")</f>
        <v/>
      </c>
      <c r="J274">
        <f>--(H274=E274)</f>
        <v/>
      </c>
    </row>
    <row r="275">
      <c r="D275">
        <f>German_Data!A275</f>
        <v/>
      </c>
      <c r="E275">
        <f>German_Data!G275</f>
        <v/>
      </c>
      <c r="F275">
        <f>--(German_Data!B275&lt;=$B$2)</f>
        <v/>
      </c>
      <c r="G275">
        <f>--(German_Data!C275&lt;=$B$3)</f>
        <v/>
      </c>
      <c r="H275">
        <f>IF(F275=1,IF(G275=1,IF(German_Data!D275=$B$4,0,1),IF(German_Data!E275=$B$5,0,1)),IF(German_Data!E275=$B$5,0,1))</f>
        <v/>
      </c>
      <c r="I275">
        <f>IF(H275=1,"Good","Bad")</f>
        <v/>
      </c>
      <c r="J275">
        <f>--(H275=E275)</f>
        <v/>
      </c>
    </row>
    <row r="276">
      <c r="D276">
        <f>German_Data!A276</f>
        <v/>
      </c>
      <c r="E276">
        <f>German_Data!G276</f>
        <v/>
      </c>
      <c r="F276">
        <f>--(German_Data!B276&lt;=$B$2)</f>
        <v/>
      </c>
      <c r="G276">
        <f>--(German_Data!C276&lt;=$B$3)</f>
        <v/>
      </c>
      <c r="H276">
        <f>IF(F276=1,IF(G276=1,IF(German_Data!D276=$B$4,0,1),IF(German_Data!E276=$B$5,0,1)),IF(German_Data!E276=$B$5,0,1))</f>
        <v/>
      </c>
      <c r="I276">
        <f>IF(H276=1,"Good","Bad")</f>
        <v/>
      </c>
      <c r="J276">
        <f>--(H276=E276)</f>
        <v/>
      </c>
    </row>
    <row r="277">
      <c r="D277">
        <f>German_Data!A277</f>
        <v/>
      </c>
      <c r="E277">
        <f>German_Data!G277</f>
        <v/>
      </c>
      <c r="F277">
        <f>--(German_Data!B277&lt;=$B$2)</f>
        <v/>
      </c>
      <c r="G277">
        <f>--(German_Data!C277&lt;=$B$3)</f>
        <v/>
      </c>
      <c r="H277">
        <f>IF(F277=1,IF(G277=1,IF(German_Data!D277=$B$4,0,1),IF(German_Data!E277=$B$5,0,1)),IF(German_Data!E277=$B$5,0,1))</f>
        <v/>
      </c>
      <c r="I277">
        <f>IF(H277=1,"Good","Bad")</f>
        <v/>
      </c>
      <c r="J277">
        <f>--(H277=E277)</f>
        <v/>
      </c>
    </row>
    <row r="278">
      <c r="D278">
        <f>German_Data!A278</f>
        <v/>
      </c>
      <c r="E278">
        <f>German_Data!G278</f>
        <v/>
      </c>
      <c r="F278">
        <f>--(German_Data!B278&lt;=$B$2)</f>
        <v/>
      </c>
      <c r="G278">
        <f>--(German_Data!C278&lt;=$B$3)</f>
        <v/>
      </c>
      <c r="H278">
        <f>IF(F278=1,IF(G278=1,IF(German_Data!D278=$B$4,0,1),IF(German_Data!E278=$B$5,0,1)),IF(German_Data!E278=$B$5,0,1))</f>
        <v/>
      </c>
      <c r="I278">
        <f>IF(H278=1,"Good","Bad")</f>
        <v/>
      </c>
      <c r="J278">
        <f>--(H278=E278)</f>
        <v/>
      </c>
    </row>
    <row r="279">
      <c r="D279">
        <f>German_Data!A279</f>
        <v/>
      </c>
      <c r="E279">
        <f>German_Data!G279</f>
        <v/>
      </c>
      <c r="F279">
        <f>--(German_Data!B279&lt;=$B$2)</f>
        <v/>
      </c>
      <c r="G279">
        <f>--(German_Data!C279&lt;=$B$3)</f>
        <v/>
      </c>
      <c r="H279">
        <f>IF(F279=1,IF(G279=1,IF(German_Data!D279=$B$4,0,1),IF(German_Data!E279=$B$5,0,1)),IF(German_Data!E279=$B$5,0,1))</f>
        <v/>
      </c>
      <c r="I279">
        <f>IF(H279=1,"Good","Bad")</f>
        <v/>
      </c>
      <c r="J279">
        <f>--(H279=E279)</f>
        <v/>
      </c>
    </row>
    <row r="280">
      <c r="D280">
        <f>German_Data!A280</f>
        <v/>
      </c>
      <c r="E280">
        <f>German_Data!G280</f>
        <v/>
      </c>
      <c r="F280">
        <f>--(German_Data!B280&lt;=$B$2)</f>
        <v/>
      </c>
      <c r="G280">
        <f>--(German_Data!C280&lt;=$B$3)</f>
        <v/>
      </c>
      <c r="H280">
        <f>IF(F280=1,IF(G280=1,IF(German_Data!D280=$B$4,0,1),IF(German_Data!E280=$B$5,0,1)),IF(German_Data!E280=$B$5,0,1))</f>
        <v/>
      </c>
      <c r="I280">
        <f>IF(H280=1,"Good","Bad")</f>
        <v/>
      </c>
      <c r="J280">
        <f>--(H280=E280)</f>
        <v/>
      </c>
    </row>
    <row r="281">
      <c r="D281">
        <f>German_Data!A281</f>
        <v/>
      </c>
      <c r="E281">
        <f>German_Data!G281</f>
        <v/>
      </c>
      <c r="F281">
        <f>--(German_Data!B281&lt;=$B$2)</f>
        <v/>
      </c>
      <c r="G281">
        <f>--(German_Data!C281&lt;=$B$3)</f>
        <v/>
      </c>
      <c r="H281">
        <f>IF(F281=1,IF(G281=1,IF(German_Data!D281=$B$4,0,1),IF(German_Data!E281=$B$5,0,1)),IF(German_Data!E281=$B$5,0,1))</f>
        <v/>
      </c>
      <c r="I281">
        <f>IF(H281=1,"Good","Bad")</f>
        <v/>
      </c>
      <c r="J281">
        <f>--(H281=E281)</f>
        <v/>
      </c>
    </row>
    <row r="282">
      <c r="D282">
        <f>German_Data!A282</f>
        <v/>
      </c>
      <c r="E282">
        <f>German_Data!G282</f>
        <v/>
      </c>
      <c r="F282">
        <f>--(German_Data!B282&lt;=$B$2)</f>
        <v/>
      </c>
      <c r="G282">
        <f>--(German_Data!C282&lt;=$B$3)</f>
        <v/>
      </c>
      <c r="H282">
        <f>IF(F282=1,IF(G282=1,IF(German_Data!D282=$B$4,0,1),IF(German_Data!E282=$B$5,0,1)),IF(German_Data!E282=$B$5,0,1))</f>
        <v/>
      </c>
      <c r="I282">
        <f>IF(H282=1,"Good","Bad")</f>
        <v/>
      </c>
      <c r="J282">
        <f>--(H282=E282)</f>
        <v/>
      </c>
    </row>
    <row r="283">
      <c r="D283">
        <f>German_Data!A283</f>
        <v/>
      </c>
      <c r="E283">
        <f>German_Data!G283</f>
        <v/>
      </c>
      <c r="F283">
        <f>--(German_Data!B283&lt;=$B$2)</f>
        <v/>
      </c>
      <c r="G283">
        <f>--(German_Data!C283&lt;=$B$3)</f>
        <v/>
      </c>
      <c r="H283">
        <f>IF(F283=1,IF(G283=1,IF(German_Data!D283=$B$4,0,1),IF(German_Data!E283=$B$5,0,1)),IF(German_Data!E283=$B$5,0,1))</f>
        <v/>
      </c>
      <c r="I283">
        <f>IF(H283=1,"Good","Bad")</f>
        <v/>
      </c>
      <c r="J283">
        <f>--(H283=E283)</f>
        <v/>
      </c>
    </row>
    <row r="284">
      <c r="D284">
        <f>German_Data!A284</f>
        <v/>
      </c>
      <c r="E284">
        <f>German_Data!G284</f>
        <v/>
      </c>
      <c r="F284">
        <f>--(German_Data!B284&lt;=$B$2)</f>
        <v/>
      </c>
      <c r="G284">
        <f>--(German_Data!C284&lt;=$B$3)</f>
        <v/>
      </c>
      <c r="H284">
        <f>IF(F284=1,IF(G284=1,IF(German_Data!D284=$B$4,0,1),IF(German_Data!E284=$B$5,0,1)),IF(German_Data!E284=$B$5,0,1))</f>
        <v/>
      </c>
      <c r="I284">
        <f>IF(H284=1,"Good","Bad")</f>
        <v/>
      </c>
      <c r="J284">
        <f>--(H284=E284)</f>
        <v/>
      </c>
    </row>
    <row r="285">
      <c r="D285">
        <f>German_Data!A285</f>
        <v/>
      </c>
      <c r="E285">
        <f>German_Data!G285</f>
        <v/>
      </c>
      <c r="F285">
        <f>--(German_Data!B285&lt;=$B$2)</f>
        <v/>
      </c>
      <c r="G285">
        <f>--(German_Data!C285&lt;=$B$3)</f>
        <v/>
      </c>
      <c r="H285">
        <f>IF(F285=1,IF(G285=1,IF(German_Data!D285=$B$4,0,1),IF(German_Data!E285=$B$5,0,1)),IF(German_Data!E285=$B$5,0,1))</f>
        <v/>
      </c>
      <c r="I285">
        <f>IF(H285=1,"Good","Bad")</f>
        <v/>
      </c>
      <c r="J285">
        <f>--(H285=E285)</f>
        <v/>
      </c>
    </row>
    <row r="286">
      <c r="D286">
        <f>German_Data!A286</f>
        <v/>
      </c>
      <c r="E286">
        <f>German_Data!G286</f>
        <v/>
      </c>
      <c r="F286">
        <f>--(German_Data!B286&lt;=$B$2)</f>
        <v/>
      </c>
      <c r="G286">
        <f>--(German_Data!C286&lt;=$B$3)</f>
        <v/>
      </c>
      <c r="H286">
        <f>IF(F286=1,IF(G286=1,IF(German_Data!D286=$B$4,0,1),IF(German_Data!E286=$B$5,0,1)),IF(German_Data!E286=$B$5,0,1))</f>
        <v/>
      </c>
      <c r="I286">
        <f>IF(H286=1,"Good","Bad")</f>
        <v/>
      </c>
      <c r="J286">
        <f>--(H286=E286)</f>
        <v/>
      </c>
    </row>
    <row r="287">
      <c r="D287">
        <f>German_Data!A287</f>
        <v/>
      </c>
      <c r="E287">
        <f>German_Data!G287</f>
        <v/>
      </c>
      <c r="F287">
        <f>--(German_Data!B287&lt;=$B$2)</f>
        <v/>
      </c>
      <c r="G287">
        <f>--(German_Data!C287&lt;=$B$3)</f>
        <v/>
      </c>
      <c r="H287">
        <f>IF(F287=1,IF(G287=1,IF(German_Data!D287=$B$4,0,1),IF(German_Data!E287=$B$5,0,1)),IF(German_Data!E287=$B$5,0,1))</f>
        <v/>
      </c>
      <c r="I287">
        <f>IF(H287=1,"Good","Bad")</f>
        <v/>
      </c>
      <c r="J287">
        <f>--(H287=E287)</f>
        <v/>
      </c>
    </row>
    <row r="288">
      <c r="D288">
        <f>German_Data!A288</f>
        <v/>
      </c>
      <c r="E288">
        <f>German_Data!G288</f>
        <v/>
      </c>
      <c r="F288">
        <f>--(German_Data!B288&lt;=$B$2)</f>
        <v/>
      </c>
      <c r="G288">
        <f>--(German_Data!C288&lt;=$B$3)</f>
        <v/>
      </c>
      <c r="H288">
        <f>IF(F288=1,IF(G288=1,IF(German_Data!D288=$B$4,0,1),IF(German_Data!E288=$B$5,0,1)),IF(German_Data!E288=$B$5,0,1))</f>
        <v/>
      </c>
      <c r="I288">
        <f>IF(H288=1,"Good","Bad")</f>
        <v/>
      </c>
      <c r="J288">
        <f>--(H288=E288)</f>
        <v/>
      </c>
    </row>
    <row r="289">
      <c r="D289">
        <f>German_Data!A289</f>
        <v/>
      </c>
      <c r="E289">
        <f>German_Data!G289</f>
        <v/>
      </c>
      <c r="F289">
        <f>--(German_Data!B289&lt;=$B$2)</f>
        <v/>
      </c>
      <c r="G289">
        <f>--(German_Data!C289&lt;=$B$3)</f>
        <v/>
      </c>
      <c r="H289">
        <f>IF(F289=1,IF(G289=1,IF(German_Data!D289=$B$4,0,1),IF(German_Data!E289=$B$5,0,1)),IF(German_Data!E289=$B$5,0,1))</f>
        <v/>
      </c>
      <c r="I289">
        <f>IF(H289=1,"Good","Bad")</f>
        <v/>
      </c>
      <c r="J289">
        <f>--(H289=E289)</f>
        <v/>
      </c>
    </row>
    <row r="290">
      <c r="D290">
        <f>German_Data!A290</f>
        <v/>
      </c>
      <c r="E290">
        <f>German_Data!G290</f>
        <v/>
      </c>
      <c r="F290">
        <f>--(German_Data!B290&lt;=$B$2)</f>
        <v/>
      </c>
      <c r="G290">
        <f>--(German_Data!C290&lt;=$B$3)</f>
        <v/>
      </c>
      <c r="H290">
        <f>IF(F290=1,IF(G290=1,IF(German_Data!D290=$B$4,0,1),IF(German_Data!E290=$B$5,0,1)),IF(German_Data!E290=$B$5,0,1))</f>
        <v/>
      </c>
      <c r="I290">
        <f>IF(H290=1,"Good","Bad")</f>
        <v/>
      </c>
      <c r="J290">
        <f>--(H290=E290)</f>
        <v/>
      </c>
    </row>
    <row r="291">
      <c r="D291">
        <f>German_Data!A291</f>
        <v/>
      </c>
      <c r="E291">
        <f>German_Data!G291</f>
        <v/>
      </c>
      <c r="F291">
        <f>--(German_Data!B291&lt;=$B$2)</f>
        <v/>
      </c>
      <c r="G291">
        <f>--(German_Data!C291&lt;=$B$3)</f>
        <v/>
      </c>
      <c r="H291">
        <f>IF(F291=1,IF(G291=1,IF(German_Data!D291=$B$4,0,1),IF(German_Data!E291=$B$5,0,1)),IF(German_Data!E291=$B$5,0,1))</f>
        <v/>
      </c>
      <c r="I291">
        <f>IF(H291=1,"Good","Bad")</f>
        <v/>
      </c>
      <c r="J291">
        <f>--(H291=E291)</f>
        <v/>
      </c>
    </row>
    <row r="292">
      <c r="D292">
        <f>German_Data!A292</f>
        <v/>
      </c>
      <c r="E292">
        <f>German_Data!G292</f>
        <v/>
      </c>
      <c r="F292">
        <f>--(German_Data!B292&lt;=$B$2)</f>
        <v/>
      </c>
      <c r="G292">
        <f>--(German_Data!C292&lt;=$B$3)</f>
        <v/>
      </c>
      <c r="H292">
        <f>IF(F292=1,IF(G292=1,IF(German_Data!D292=$B$4,0,1),IF(German_Data!E292=$B$5,0,1)),IF(German_Data!E292=$B$5,0,1))</f>
        <v/>
      </c>
      <c r="I292">
        <f>IF(H292=1,"Good","Bad")</f>
        <v/>
      </c>
      <c r="J292">
        <f>--(H292=E292)</f>
        <v/>
      </c>
    </row>
    <row r="293">
      <c r="D293">
        <f>German_Data!A293</f>
        <v/>
      </c>
      <c r="E293">
        <f>German_Data!G293</f>
        <v/>
      </c>
      <c r="F293">
        <f>--(German_Data!B293&lt;=$B$2)</f>
        <v/>
      </c>
      <c r="G293">
        <f>--(German_Data!C293&lt;=$B$3)</f>
        <v/>
      </c>
      <c r="H293">
        <f>IF(F293=1,IF(G293=1,IF(German_Data!D293=$B$4,0,1),IF(German_Data!E293=$B$5,0,1)),IF(German_Data!E293=$B$5,0,1))</f>
        <v/>
      </c>
      <c r="I293">
        <f>IF(H293=1,"Good","Bad")</f>
        <v/>
      </c>
      <c r="J293">
        <f>--(H293=E293)</f>
        <v/>
      </c>
    </row>
    <row r="294">
      <c r="D294">
        <f>German_Data!A294</f>
        <v/>
      </c>
      <c r="E294">
        <f>German_Data!G294</f>
        <v/>
      </c>
      <c r="F294">
        <f>--(German_Data!B294&lt;=$B$2)</f>
        <v/>
      </c>
      <c r="G294">
        <f>--(German_Data!C294&lt;=$B$3)</f>
        <v/>
      </c>
      <c r="H294">
        <f>IF(F294=1,IF(G294=1,IF(German_Data!D294=$B$4,0,1),IF(German_Data!E294=$B$5,0,1)),IF(German_Data!E294=$B$5,0,1))</f>
        <v/>
      </c>
      <c r="I294">
        <f>IF(H294=1,"Good","Bad")</f>
        <v/>
      </c>
      <c r="J294">
        <f>--(H294=E294)</f>
        <v/>
      </c>
    </row>
    <row r="295">
      <c r="D295">
        <f>German_Data!A295</f>
        <v/>
      </c>
      <c r="E295">
        <f>German_Data!G295</f>
        <v/>
      </c>
      <c r="F295">
        <f>--(German_Data!B295&lt;=$B$2)</f>
        <v/>
      </c>
      <c r="G295">
        <f>--(German_Data!C295&lt;=$B$3)</f>
        <v/>
      </c>
      <c r="H295">
        <f>IF(F295=1,IF(G295=1,IF(German_Data!D295=$B$4,0,1),IF(German_Data!E295=$B$5,0,1)),IF(German_Data!E295=$B$5,0,1))</f>
        <v/>
      </c>
      <c r="I295">
        <f>IF(H295=1,"Good","Bad")</f>
        <v/>
      </c>
      <c r="J295">
        <f>--(H295=E295)</f>
        <v/>
      </c>
    </row>
    <row r="296">
      <c r="D296">
        <f>German_Data!A296</f>
        <v/>
      </c>
      <c r="E296">
        <f>German_Data!G296</f>
        <v/>
      </c>
      <c r="F296">
        <f>--(German_Data!B296&lt;=$B$2)</f>
        <v/>
      </c>
      <c r="G296">
        <f>--(German_Data!C296&lt;=$B$3)</f>
        <v/>
      </c>
      <c r="H296">
        <f>IF(F296=1,IF(G296=1,IF(German_Data!D296=$B$4,0,1),IF(German_Data!E296=$B$5,0,1)),IF(German_Data!E296=$B$5,0,1))</f>
        <v/>
      </c>
      <c r="I296">
        <f>IF(H296=1,"Good","Bad")</f>
        <v/>
      </c>
      <c r="J296">
        <f>--(H296=E296)</f>
        <v/>
      </c>
    </row>
    <row r="297">
      <c r="D297">
        <f>German_Data!A297</f>
        <v/>
      </c>
      <c r="E297">
        <f>German_Data!G297</f>
        <v/>
      </c>
      <c r="F297">
        <f>--(German_Data!B297&lt;=$B$2)</f>
        <v/>
      </c>
      <c r="G297">
        <f>--(German_Data!C297&lt;=$B$3)</f>
        <v/>
      </c>
      <c r="H297">
        <f>IF(F297=1,IF(G297=1,IF(German_Data!D297=$B$4,0,1),IF(German_Data!E297=$B$5,0,1)),IF(German_Data!E297=$B$5,0,1))</f>
        <v/>
      </c>
      <c r="I297">
        <f>IF(H297=1,"Good","Bad")</f>
        <v/>
      </c>
      <c r="J297">
        <f>--(H297=E297)</f>
        <v/>
      </c>
    </row>
    <row r="298">
      <c r="D298">
        <f>German_Data!A298</f>
        <v/>
      </c>
      <c r="E298">
        <f>German_Data!G298</f>
        <v/>
      </c>
      <c r="F298">
        <f>--(German_Data!B298&lt;=$B$2)</f>
        <v/>
      </c>
      <c r="G298">
        <f>--(German_Data!C298&lt;=$B$3)</f>
        <v/>
      </c>
      <c r="H298">
        <f>IF(F298=1,IF(G298=1,IF(German_Data!D298=$B$4,0,1),IF(German_Data!E298=$B$5,0,1)),IF(German_Data!E298=$B$5,0,1))</f>
        <v/>
      </c>
      <c r="I298">
        <f>IF(H298=1,"Good","Bad")</f>
        <v/>
      </c>
      <c r="J298">
        <f>--(H298=E298)</f>
        <v/>
      </c>
    </row>
    <row r="299">
      <c r="D299">
        <f>German_Data!A299</f>
        <v/>
      </c>
      <c r="E299">
        <f>German_Data!G299</f>
        <v/>
      </c>
      <c r="F299">
        <f>--(German_Data!B299&lt;=$B$2)</f>
        <v/>
      </c>
      <c r="G299">
        <f>--(German_Data!C299&lt;=$B$3)</f>
        <v/>
      </c>
      <c r="H299">
        <f>IF(F299=1,IF(G299=1,IF(German_Data!D299=$B$4,0,1),IF(German_Data!E299=$B$5,0,1)),IF(German_Data!E299=$B$5,0,1))</f>
        <v/>
      </c>
      <c r="I299">
        <f>IF(H299=1,"Good","Bad")</f>
        <v/>
      </c>
      <c r="J299">
        <f>--(H299=E299)</f>
        <v/>
      </c>
    </row>
    <row r="300">
      <c r="D300">
        <f>German_Data!A300</f>
        <v/>
      </c>
      <c r="E300">
        <f>German_Data!G300</f>
        <v/>
      </c>
      <c r="F300">
        <f>--(German_Data!B300&lt;=$B$2)</f>
        <v/>
      </c>
      <c r="G300">
        <f>--(German_Data!C300&lt;=$B$3)</f>
        <v/>
      </c>
      <c r="H300">
        <f>IF(F300=1,IF(G300=1,IF(German_Data!D300=$B$4,0,1),IF(German_Data!E300=$B$5,0,1)),IF(German_Data!E300=$B$5,0,1))</f>
        <v/>
      </c>
      <c r="I300">
        <f>IF(H300=1,"Good","Bad")</f>
        <v/>
      </c>
      <c r="J300">
        <f>--(H300=E300)</f>
        <v/>
      </c>
    </row>
    <row r="301">
      <c r="D301">
        <f>German_Data!A301</f>
        <v/>
      </c>
      <c r="E301">
        <f>German_Data!G301</f>
        <v/>
      </c>
      <c r="F301">
        <f>--(German_Data!B301&lt;=$B$2)</f>
        <v/>
      </c>
      <c r="G301">
        <f>--(German_Data!C301&lt;=$B$3)</f>
        <v/>
      </c>
      <c r="H301">
        <f>IF(F301=1,IF(G301=1,IF(German_Data!D301=$B$4,0,1),IF(German_Data!E301=$B$5,0,1)),IF(German_Data!E301=$B$5,0,1))</f>
        <v/>
      </c>
      <c r="I301">
        <f>IF(H301=1,"Good","Bad")</f>
        <v/>
      </c>
      <c r="J301">
        <f>--(H301=E301)</f>
        <v/>
      </c>
    </row>
    <row r="302">
      <c r="D302">
        <f>German_Data!A302</f>
        <v/>
      </c>
      <c r="E302">
        <f>German_Data!G302</f>
        <v/>
      </c>
      <c r="F302">
        <f>--(German_Data!B302&lt;=$B$2)</f>
        <v/>
      </c>
      <c r="G302">
        <f>--(German_Data!C302&lt;=$B$3)</f>
        <v/>
      </c>
      <c r="H302">
        <f>IF(F302=1,IF(G302=1,IF(German_Data!D302=$B$4,0,1),IF(German_Data!E302=$B$5,0,1)),IF(German_Data!E302=$B$5,0,1))</f>
        <v/>
      </c>
      <c r="I302">
        <f>IF(H302=1,"Good","Bad")</f>
        <v/>
      </c>
      <c r="J302">
        <f>--(H302=E302)</f>
        <v/>
      </c>
    </row>
    <row r="303">
      <c r="D303">
        <f>German_Data!A303</f>
        <v/>
      </c>
      <c r="E303">
        <f>German_Data!G303</f>
        <v/>
      </c>
      <c r="F303">
        <f>--(German_Data!B303&lt;=$B$2)</f>
        <v/>
      </c>
      <c r="G303">
        <f>--(German_Data!C303&lt;=$B$3)</f>
        <v/>
      </c>
      <c r="H303">
        <f>IF(F303=1,IF(G303=1,IF(German_Data!D303=$B$4,0,1),IF(German_Data!E303=$B$5,0,1)),IF(German_Data!E303=$B$5,0,1))</f>
        <v/>
      </c>
      <c r="I303">
        <f>IF(H303=1,"Good","Bad")</f>
        <v/>
      </c>
      <c r="J303">
        <f>--(H303=E303)</f>
        <v/>
      </c>
    </row>
    <row r="304">
      <c r="D304">
        <f>German_Data!A304</f>
        <v/>
      </c>
      <c r="E304">
        <f>German_Data!G304</f>
        <v/>
      </c>
      <c r="F304">
        <f>--(German_Data!B304&lt;=$B$2)</f>
        <v/>
      </c>
      <c r="G304">
        <f>--(German_Data!C304&lt;=$B$3)</f>
        <v/>
      </c>
      <c r="H304">
        <f>IF(F304=1,IF(G304=1,IF(German_Data!D304=$B$4,0,1),IF(German_Data!E304=$B$5,0,1)),IF(German_Data!E304=$B$5,0,1))</f>
        <v/>
      </c>
      <c r="I304">
        <f>IF(H304=1,"Good","Bad")</f>
        <v/>
      </c>
      <c r="J304">
        <f>--(H304=E304)</f>
        <v/>
      </c>
    </row>
    <row r="305">
      <c r="D305">
        <f>German_Data!A305</f>
        <v/>
      </c>
      <c r="E305">
        <f>German_Data!G305</f>
        <v/>
      </c>
      <c r="F305">
        <f>--(German_Data!B305&lt;=$B$2)</f>
        <v/>
      </c>
      <c r="G305">
        <f>--(German_Data!C305&lt;=$B$3)</f>
        <v/>
      </c>
      <c r="H305">
        <f>IF(F305=1,IF(G305=1,IF(German_Data!D305=$B$4,0,1),IF(German_Data!E305=$B$5,0,1)),IF(German_Data!E305=$B$5,0,1))</f>
        <v/>
      </c>
      <c r="I305">
        <f>IF(H305=1,"Good","Bad")</f>
        <v/>
      </c>
      <c r="J305">
        <f>--(H305=E305)</f>
        <v/>
      </c>
    </row>
    <row r="306">
      <c r="D306">
        <f>German_Data!A306</f>
        <v/>
      </c>
      <c r="E306">
        <f>German_Data!G306</f>
        <v/>
      </c>
      <c r="F306">
        <f>--(German_Data!B306&lt;=$B$2)</f>
        <v/>
      </c>
      <c r="G306">
        <f>--(German_Data!C306&lt;=$B$3)</f>
        <v/>
      </c>
      <c r="H306">
        <f>IF(F306=1,IF(G306=1,IF(German_Data!D306=$B$4,0,1),IF(German_Data!E306=$B$5,0,1)),IF(German_Data!E306=$B$5,0,1))</f>
        <v/>
      </c>
      <c r="I306">
        <f>IF(H306=1,"Good","Bad")</f>
        <v/>
      </c>
      <c r="J306">
        <f>--(H306=E306)</f>
        <v/>
      </c>
    </row>
    <row r="307">
      <c r="D307">
        <f>German_Data!A307</f>
        <v/>
      </c>
      <c r="E307">
        <f>German_Data!G307</f>
        <v/>
      </c>
      <c r="F307">
        <f>--(German_Data!B307&lt;=$B$2)</f>
        <v/>
      </c>
      <c r="G307">
        <f>--(German_Data!C307&lt;=$B$3)</f>
        <v/>
      </c>
      <c r="H307">
        <f>IF(F307=1,IF(G307=1,IF(German_Data!D307=$B$4,0,1),IF(German_Data!E307=$B$5,0,1)),IF(German_Data!E307=$B$5,0,1))</f>
        <v/>
      </c>
      <c r="I307">
        <f>IF(H307=1,"Good","Bad")</f>
        <v/>
      </c>
      <c r="J307">
        <f>--(H307=E307)</f>
        <v/>
      </c>
    </row>
    <row r="308">
      <c r="D308">
        <f>German_Data!A308</f>
        <v/>
      </c>
      <c r="E308">
        <f>German_Data!G308</f>
        <v/>
      </c>
      <c r="F308">
        <f>--(German_Data!B308&lt;=$B$2)</f>
        <v/>
      </c>
      <c r="G308">
        <f>--(German_Data!C308&lt;=$B$3)</f>
        <v/>
      </c>
      <c r="H308">
        <f>IF(F308=1,IF(G308=1,IF(German_Data!D308=$B$4,0,1),IF(German_Data!E308=$B$5,0,1)),IF(German_Data!E308=$B$5,0,1))</f>
        <v/>
      </c>
      <c r="I308">
        <f>IF(H308=1,"Good","Bad")</f>
        <v/>
      </c>
      <c r="J308">
        <f>--(H308=E308)</f>
        <v/>
      </c>
    </row>
    <row r="309">
      <c r="D309">
        <f>German_Data!A309</f>
        <v/>
      </c>
      <c r="E309">
        <f>German_Data!G309</f>
        <v/>
      </c>
      <c r="F309">
        <f>--(German_Data!B309&lt;=$B$2)</f>
        <v/>
      </c>
      <c r="G309">
        <f>--(German_Data!C309&lt;=$B$3)</f>
        <v/>
      </c>
      <c r="H309">
        <f>IF(F309=1,IF(G309=1,IF(German_Data!D309=$B$4,0,1),IF(German_Data!E309=$B$5,0,1)),IF(German_Data!E309=$B$5,0,1))</f>
        <v/>
      </c>
      <c r="I309">
        <f>IF(H309=1,"Good","Bad")</f>
        <v/>
      </c>
      <c r="J309">
        <f>--(H309=E309)</f>
        <v/>
      </c>
    </row>
    <row r="310">
      <c r="D310">
        <f>German_Data!A310</f>
        <v/>
      </c>
      <c r="E310">
        <f>German_Data!G310</f>
        <v/>
      </c>
      <c r="F310">
        <f>--(German_Data!B310&lt;=$B$2)</f>
        <v/>
      </c>
      <c r="G310">
        <f>--(German_Data!C310&lt;=$B$3)</f>
        <v/>
      </c>
      <c r="H310">
        <f>IF(F310=1,IF(G310=1,IF(German_Data!D310=$B$4,0,1),IF(German_Data!E310=$B$5,0,1)),IF(German_Data!E310=$B$5,0,1))</f>
        <v/>
      </c>
      <c r="I310">
        <f>IF(H310=1,"Good","Bad")</f>
        <v/>
      </c>
      <c r="J310">
        <f>--(H310=E310)</f>
        <v/>
      </c>
    </row>
    <row r="311">
      <c r="D311">
        <f>German_Data!A311</f>
        <v/>
      </c>
      <c r="E311">
        <f>German_Data!G311</f>
        <v/>
      </c>
      <c r="F311">
        <f>--(German_Data!B311&lt;=$B$2)</f>
        <v/>
      </c>
      <c r="G311">
        <f>--(German_Data!C311&lt;=$B$3)</f>
        <v/>
      </c>
      <c r="H311">
        <f>IF(F311=1,IF(G311=1,IF(German_Data!D311=$B$4,0,1),IF(German_Data!E311=$B$5,0,1)),IF(German_Data!E311=$B$5,0,1))</f>
        <v/>
      </c>
      <c r="I311">
        <f>IF(H311=1,"Good","Bad")</f>
        <v/>
      </c>
      <c r="J311">
        <f>--(H311=E311)</f>
        <v/>
      </c>
    </row>
    <row r="312">
      <c r="D312">
        <f>German_Data!A312</f>
        <v/>
      </c>
      <c r="E312">
        <f>German_Data!G312</f>
        <v/>
      </c>
      <c r="F312">
        <f>--(German_Data!B312&lt;=$B$2)</f>
        <v/>
      </c>
      <c r="G312">
        <f>--(German_Data!C312&lt;=$B$3)</f>
        <v/>
      </c>
      <c r="H312">
        <f>IF(F312=1,IF(G312=1,IF(German_Data!D312=$B$4,0,1),IF(German_Data!E312=$B$5,0,1)),IF(German_Data!E312=$B$5,0,1))</f>
        <v/>
      </c>
      <c r="I312">
        <f>IF(H312=1,"Good","Bad")</f>
        <v/>
      </c>
      <c r="J312">
        <f>--(H312=E312)</f>
        <v/>
      </c>
    </row>
    <row r="313">
      <c r="D313">
        <f>German_Data!A313</f>
        <v/>
      </c>
      <c r="E313">
        <f>German_Data!G313</f>
        <v/>
      </c>
      <c r="F313">
        <f>--(German_Data!B313&lt;=$B$2)</f>
        <v/>
      </c>
      <c r="G313">
        <f>--(German_Data!C313&lt;=$B$3)</f>
        <v/>
      </c>
      <c r="H313">
        <f>IF(F313=1,IF(G313=1,IF(German_Data!D313=$B$4,0,1),IF(German_Data!E313=$B$5,0,1)),IF(German_Data!E313=$B$5,0,1))</f>
        <v/>
      </c>
      <c r="I313">
        <f>IF(H313=1,"Good","Bad")</f>
        <v/>
      </c>
      <c r="J313">
        <f>--(H313=E313)</f>
        <v/>
      </c>
    </row>
    <row r="314">
      <c r="D314">
        <f>German_Data!A314</f>
        <v/>
      </c>
      <c r="E314">
        <f>German_Data!G314</f>
        <v/>
      </c>
      <c r="F314">
        <f>--(German_Data!B314&lt;=$B$2)</f>
        <v/>
      </c>
      <c r="G314">
        <f>--(German_Data!C314&lt;=$B$3)</f>
        <v/>
      </c>
      <c r="H314">
        <f>IF(F314=1,IF(G314=1,IF(German_Data!D314=$B$4,0,1),IF(German_Data!E314=$B$5,0,1)),IF(German_Data!E314=$B$5,0,1))</f>
        <v/>
      </c>
      <c r="I314">
        <f>IF(H314=1,"Good","Bad")</f>
        <v/>
      </c>
      <c r="J314">
        <f>--(H314=E314)</f>
        <v/>
      </c>
    </row>
    <row r="315">
      <c r="D315">
        <f>German_Data!A315</f>
        <v/>
      </c>
      <c r="E315">
        <f>German_Data!G315</f>
        <v/>
      </c>
      <c r="F315">
        <f>--(German_Data!B315&lt;=$B$2)</f>
        <v/>
      </c>
      <c r="G315">
        <f>--(German_Data!C315&lt;=$B$3)</f>
        <v/>
      </c>
      <c r="H315">
        <f>IF(F315=1,IF(G315=1,IF(German_Data!D315=$B$4,0,1),IF(German_Data!E315=$B$5,0,1)),IF(German_Data!E315=$B$5,0,1))</f>
        <v/>
      </c>
      <c r="I315">
        <f>IF(H315=1,"Good","Bad")</f>
        <v/>
      </c>
      <c r="J315">
        <f>--(H315=E315)</f>
        <v/>
      </c>
    </row>
    <row r="316">
      <c r="D316">
        <f>German_Data!A316</f>
        <v/>
      </c>
      <c r="E316">
        <f>German_Data!G316</f>
        <v/>
      </c>
      <c r="F316">
        <f>--(German_Data!B316&lt;=$B$2)</f>
        <v/>
      </c>
      <c r="G316">
        <f>--(German_Data!C316&lt;=$B$3)</f>
        <v/>
      </c>
      <c r="H316">
        <f>IF(F316=1,IF(G316=1,IF(German_Data!D316=$B$4,0,1),IF(German_Data!E316=$B$5,0,1)),IF(German_Data!E316=$B$5,0,1))</f>
        <v/>
      </c>
      <c r="I316">
        <f>IF(H316=1,"Good","Bad")</f>
        <v/>
      </c>
      <c r="J316">
        <f>--(H316=E316)</f>
        <v/>
      </c>
    </row>
    <row r="317">
      <c r="D317">
        <f>German_Data!A317</f>
        <v/>
      </c>
      <c r="E317">
        <f>German_Data!G317</f>
        <v/>
      </c>
      <c r="F317">
        <f>--(German_Data!B317&lt;=$B$2)</f>
        <v/>
      </c>
      <c r="G317">
        <f>--(German_Data!C317&lt;=$B$3)</f>
        <v/>
      </c>
      <c r="H317">
        <f>IF(F317=1,IF(G317=1,IF(German_Data!D317=$B$4,0,1),IF(German_Data!E317=$B$5,0,1)),IF(German_Data!E317=$B$5,0,1))</f>
        <v/>
      </c>
      <c r="I317">
        <f>IF(H317=1,"Good","Bad")</f>
        <v/>
      </c>
      <c r="J317">
        <f>--(H317=E317)</f>
        <v/>
      </c>
    </row>
    <row r="318">
      <c r="D318">
        <f>German_Data!A318</f>
        <v/>
      </c>
      <c r="E318">
        <f>German_Data!G318</f>
        <v/>
      </c>
      <c r="F318">
        <f>--(German_Data!B318&lt;=$B$2)</f>
        <v/>
      </c>
      <c r="G318">
        <f>--(German_Data!C318&lt;=$B$3)</f>
        <v/>
      </c>
      <c r="H318">
        <f>IF(F318=1,IF(G318=1,IF(German_Data!D318=$B$4,0,1),IF(German_Data!E318=$B$5,0,1)),IF(German_Data!E318=$B$5,0,1))</f>
        <v/>
      </c>
      <c r="I318">
        <f>IF(H318=1,"Good","Bad")</f>
        <v/>
      </c>
      <c r="J318">
        <f>--(H318=E318)</f>
        <v/>
      </c>
    </row>
    <row r="319">
      <c r="D319">
        <f>German_Data!A319</f>
        <v/>
      </c>
      <c r="E319">
        <f>German_Data!G319</f>
        <v/>
      </c>
      <c r="F319">
        <f>--(German_Data!B319&lt;=$B$2)</f>
        <v/>
      </c>
      <c r="G319">
        <f>--(German_Data!C319&lt;=$B$3)</f>
        <v/>
      </c>
      <c r="H319">
        <f>IF(F319=1,IF(G319=1,IF(German_Data!D319=$B$4,0,1),IF(German_Data!E319=$B$5,0,1)),IF(German_Data!E319=$B$5,0,1))</f>
        <v/>
      </c>
      <c r="I319">
        <f>IF(H319=1,"Good","Bad")</f>
        <v/>
      </c>
      <c r="J319">
        <f>--(H319=E319)</f>
        <v/>
      </c>
    </row>
    <row r="320">
      <c r="D320">
        <f>German_Data!A320</f>
        <v/>
      </c>
      <c r="E320">
        <f>German_Data!G320</f>
        <v/>
      </c>
      <c r="F320">
        <f>--(German_Data!B320&lt;=$B$2)</f>
        <v/>
      </c>
      <c r="G320">
        <f>--(German_Data!C320&lt;=$B$3)</f>
        <v/>
      </c>
      <c r="H320">
        <f>IF(F320=1,IF(G320=1,IF(German_Data!D320=$B$4,0,1),IF(German_Data!E320=$B$5,0,1)),IF(German_Data!E320=$B$5,0,1))</f>
        <v/>
      </c>
      <c r="I320">
        <f>IF(H320=1,"Good","Bad")</f>
        <v/>
      </c>
      <c r="J320">
        <f>--(H320=E320)</f>
        <v/>
      </c>
    </row>
    <row r="321">
      <c r="D321">
        <f>German_Data!A321</f>
        <v/>
      </c>
      <c r="E321">
        <f>German_Data!G321</f>
        <v/>
      </c>
      <c r="F321">
        <f>--(German_Data!B321&lt;=$B$2)</f>
        <v/>
      </c>
      <c r="G321">
        <f>--(German_Data!C321&lt;=$B$3)</f>
        <v/>
      </c>
      <c r="H321">
        <f>IF(F321=1,IF(G321=1,IF(German_Data!D321=$B$4,0,1),IF(German_Data!E321=$B$5,0,1)),IF(German_Data!E321=$B$5,0,1))</f>
        <v/>
      </c>
      <c r="I321">
        <f>IF(H321=1,"Good","Bad")</f>
        <v/>
      </c>
      <c r="J321">
        <f>--(H321=E321)</f>
        <v/>
      </c>
    </row>
    <row r="322">
      <c r="D322">
        <f>German_Data!A322</f>
        <v/>
      </c>
      <c r="E322">
        <f>German_Data!G322</f>
        <v/>
      </c>
      <c r="F322">
        <f>--(German_Data!B322&lt;=$B$2)</f>
        <v/>
      </c>
      <c r="G322">
        <f>--(German_Data!C322&lt;=$B$3)</f>
        <v/>
      </c>
      <c r="H322">
        <f>IF(F322=1,IF(G322=1,IF(German_Data!D322=$B$4,0,1),IF(German_Data!E322=$B$5,0,1)),IF(German_Data!E322=$B$5,0,1))</f>
        <v/>
      </c>
      <c r="I322">
        <f>IF(H322=1,"Good","Bad")</f>
        <v/>
      </c>
      <c r="J322">
        <f>--(H322=E322)</f>
        <v/>
      </c>
    </row>
    <row r="323">
      <c r="D323">
        <f>German_Data!A323</f>
        <v/>
      </c>
      <c r="E323">
        <f>German_Data!G323</f>
        <v/>
      </c>
      <c r="F323">
        <f>--(German_Data!B323&lt;=$B$2)</f>
        <v/>
      </c>
      <c r="G323">
        <f>--(German_Data!C323&lt;=$B$3)</f>
        <v/>
      </c>
      <c r="H323">
        <f>IF(F323=1,IF(G323=1,IF(German_Data!D323=$B$4,0,1),IF(German_Data!E323=$B$5,0,1)),IF(German_Data!E323=$B$5,0,1))</f>
        <v/>
      </c>
      <c r="I323">
        <f>IF(H323=1,"Good","Bad")</f>
        <v/>
      </c>
      <c r="J323">
        <f>--(H323=E323)</f>
        <v/>
      </c>
    </row>
    <row r="324">
      <c r="D324">
        <f>German_Data!A324</f>
        <v/>
      </c>
      <c r="E324">
        <f>German_Data!G324</f>
        <v/>
      </c>
      <c r="F324">
        <f>--(German_Data!B324&lt;=$B$2)</f>
        <v/>
      </c>
      <c r="G324">
        <f>--(German_Data!C324&lt;=$B$3)</f>
        <v/>
      </c>
      <c r="H324">
        <f>IF(F324=1,IF(G324=1,IF(German_Data!D324=$B$4,0,1),IF(German_Data!E324=$B$5,0,1)),IF(German_Data!E324=$B$5,0,1))</f>
        <v/>
      </c>
      <c r="I324">
        <f>IF(H324=1,"Good","Bad")</f>
        <v/>
      </c>
      <c r="J324">
        <f>--(H324=E324)</f>
        <v/>
      </c>
    </row>
    <row r="325">
      <c r="D325">
        <f>German_Data!A325</f>
        <v/>
      </c>
      <c r="E325">
        <f>German_Data!G325</f>
        <v/>
      </c>
      <c r="F325">
        <f>--(German_Data!B325&lt;=$B$2)</f>
        <v/>
      </c>
      <c r="G325">
        <f>--(German_Data!C325&lt;=$B$3)</f>
        <v/>
      </c>
      <c r="H325">
        <f>IF(F325=1,IF(G325=1,IF(German_Data!D325=$B$4,0,1),IF(German_Data!E325=$B$5,0,1)),IF(German_Data!E325=$B$5,0,1))</f>
        <v/>
      </c>
      <c r="I325">
        <f>IF(H325=1,"Good","Bad")</f>
        <v/>
      </c>
      <c r="J325">
        <f>--(H325=E325)</f>
        <v/>
      </c>
    </row>
    <row r="326">
      <c r="D326">
        <f>German_Data!A326</f>
        <v/>
      </c>
      <c r="E326">
        <f>German_Data!G326</f>
        <v/>
      </c>
      <c r="F326">
        <f>--(German_Data!B326&lt;=$B$2)</f>
        <v/>
      </c>
      <c r="G326">
        <f>--(German_Data!C326&lt;=$B$3)</f>
        <v/>
      </c>
      <c r="H326">
        <f>IF(F326=1,IF(G326=1,IF(German_Data!D326=$B$4,0,1),IF(German_Data!E326=$B$5,0,1)),IF(German_Data!E326=$B$5,0,1))</f>
        <v/>
      </c>
      <c r="I326">
        <f>IF(H326=1,"Good","Bad")</f>
        <v/>
      </c>
      <c r="J326">
        <f>--(H326=E326)</f>
        <v/>
      </c>
    </row>
    <row r="327">
      <c r="D327">
        <f>German_Data!A327</f>
        <v/>
      </c>
      <c r="E327">
        <f>German_Data!G327</f>
        <v/>
      </c>
      <c r="F327">
        <f>--(German_Data!B327&lt;=$B$2)</f>
        <v/>
      </c>
      <c r="G327">
        <f>--(German_Data!C327&lt;=$B$3)</f>
        <v/>
      </c>
      <c r="H327">
        <f>IF(F327=1,IF(G327=1,IF(German_Data!D327=$B$4,0,1),IF(German_Data!E327=$B$5,0,1)),IF(German_Data!E327=$B$5,0,1))</f>
        <v/>
      </c>
      <c r="I327">
        <f>IF(H327=1,"Good","Bad")</f>
        <v/>
      </c>
      <c r="J327">
        <f>--(H327=E327)</f>
        <v/>
      </c>
    </row>
    <row r="328">
      <c r="D328">
        <f>German_Data!A328</f>
        <v/>
      </c>
      <c r="E328">
        <f>German_Data!G328</f>
        <v/>
      </c>
      <c r="F328">
        <f>--(German_Data!B328&lt;=$B$2)</f>
        <v/>
      </c>
      <c r="G328">
        <f>--(German_Data!C328&lt;=$B$3)</f>
        <v/>
      </c>
      <c r="H328">
        <f>IF(F328=1,IF(G328=1,IF(German_Data!D328=$B$4,0,1),IF(German_Data!E328=$B$5,0,1)),IF(German_Data!E328=$B$5,0,1))</f>
        <v/>
      </c>
      <c r="I328">
        <f>IF(H328=1,"Good","Bad")</f>
        <v/>
      </c>
      <c r="J328">
        <f>--(H328=E328)</f>
        <v/>
      </c>
    </row>
    <row r="329">
      <c r="D329">
        <f>German_Data!A329</f>
        <v/>
      </c>
      <c r="E329">
        <f>German_Data!G329</f>
        <v/>
      </c>
      <c r="F329">
        <f>--(German_Data!B329&lt;=$B$2)</f>
        <v/>
      </c>
      <c r="G329">
        <f>--(German_Data!C329&lt;=$B$3)</f>
        <v/>
      </c>
      <c r="H329">
        <f>IF(F329=1,IF(G329=1,IF(German_Data!D329=$B$4,0,1),IF(German_Data!E329=$B$5,0,1)),IF(German_Data!E329=$B$5,0,1))</f>
        <v/>
      </c>
      <c r="I329">
        <f>IF(H329=1,"Good","Bad")</f>
        <v/>
      </c>
      <c r="J329">
        <f>--(H329=E329)</f>
        <v/>
      </c>
    </row>
    <row r="330">
      <c r="D330">
        <f>German_Data!A330</f>
        <v/>
      </c>
      <c r="E330">
        <f>German_Data!G330</f>
        <v/>
      </c>
      <c r="F330">
        <f>--(German_Data!B330&lt;=$B$2)</f>
        <v/>
      </c>
      <c r="G330">
        <f>--(German_Data!C330&lt;=$B$3)</f>
        <v/>
      </c>
      <c r="H330">
        <f>IF(F330=1,IF(G330=1,IF(German_Data!D330=$B$4,0,1),IF(German_Data!E330=$B$5,0,1)),IF(German_Data!E330=$B$5,0,1))</f>
        <v/>
      </c>
      <c r="I330">
        <f>IF(H330=1,"Good","Bad")</f>
        <v/>
      </c>
      <c r="J330">
        <f>--(H330=E330)</f>
        <v/>
      </c>
    </row>
    <row r="331">
      <c r="D331">
        <f>German_Data!A331</f>
        <v/>
      </c>
      <c r="E331">
        <f>German_Data!G331</f>
        <v/>
      </c>
      <c r="F331">
        <f>--(German_Data!B331&lt;=$B$2)</f>
        <v/>
      </c>
      <c r="G331">
        <f>--(German_Data!C331&lt;=$B$3)</f>
        <v/>
      </c>
      <c r="H331">
        <f>IF(F331=1,IF(G331=1,IF(German_Data!D331=$B$4,0,1),IF(German_Data!E331=$B$5,0,1)),IF(German_Data!E331=$B$5,0,1))</f>
        <v/>
      </c>
      <c r="I331">
        <f>IF(H331=1,"Good","Bad")</f>
        <v/>
      </c>
      <c r="J331">
        <f>--(H331=E331)</f>
        <v/>
      </c>
    </row>
    <row r="332">
      <c r="D332">
        <f>German_Data!A332</f>
        <v/>
      </c>
      <c r="E332">
        <f>German_Data!G332</f>
        <v/>
      </c>
      <c r="F332">
        <f>--(German_Data!B332&lt;=$B$2)</f>
        <v/>
      </c>
      <c r="G332">
        <f>--(German_Data!C332&lt;=$B$3)</f>
        <v/>
      </c>
      <c r="H332">
        <f>IF(F332=1,IF(G332=1,IF(German_Data!D332=$B$4,0,1),IF(German_Data!E332=$B$5,0,1)),IF(German_Data!E332=$B$5,0,1))</f>
        <v/>
      </c>
      <c r="I332">
        <f>IF(H332=1,"Good","Bad")</f>
        <v/>
      </c>
      <c r="J332">
        <f>--(H332=E332)</f>
        <v/>
      </c>
    </row>
    <row r="333">
      <c r="D333">
        <f>German_Data!A333</f>
        <v/>
      </c>
      <c r="E333">
        <f>German_Data!G333</f>
        <v/>
      </c>
      <c r="F333">
        <f>--(German_Data!B333&lt;=$B$2)</f>
        <v/>
      </c>
      <c r="G333">
        <f>--(German_Data!C333&lt;=$B$3)</f>
        <v/>
      </c>
      <c r="H333">
        <f>IF(F333=1,IF(G333=1,IF(German_Data!D333=$B$4,0,1),IF(German_Data!E333=$B$5,0,1)),IF(German_Data!E333=$B$5,0,1))</f>
        <v/>
      </c>
      <c r="I333">
        <f>IF(H333=1,"Good","Bad")</f>
        <v/>
      </c>
      <c r="J333">
        <f>--(H333=E333)</f>
        <v/>
      </c>
    </row>
    <row r="334">
      <c r="D334">
        <f>German_Data!A334</f>
        <v/>
      </c>
      <c r="E334">
        <f>German_Data!G334</f>
        <v/>
      </c>
      <c r="F334">
        <f>--(German_Data!B334&lt;=$B$2)</f>
        <v/>
      </c>
      <c r="G334">
        <f>--(German_Data!C334&lt;=$B$3)</f>
        <v/>
      </c>
      <c r="H334">
        <f>IF(F334=1,IF(G334=1,IF(German_Data!D334=$B$4,0,1),IF(German_Data!E334=$B$5,0,1)),IF(German_Data!E334=$B$5,0,1))</f>
        <v/>
      </c>
      <c r="I334">
        <f>IF(H334=1,"Good","Bad")</f>
        <v/>
      </c>
      <c r="J334">
        <f>--(H334=E334)</f>
        <v/>
      </c>
    </row>
    <row r="335">
      <c r="D335">
        <f>German_Data!A335</f>
        <v/>
      </c>
      <c r="E335">
        <f>German_Data!G335</f>
        <v/>
      </c>
      <c r="F335">
        <f>--(German_Data!B335&lt;=$B$2)</f>
        <v/>
      </c>
      <c r="G335">
        <f>--(German_Data!C335&lt;=$B$3)</f>
        <v/>
      </c>
      <c r="H335">
        <f>IF(F335=1,IF(G335=1,IF(German_Data!D335=$B$4,0,1),IF(German_Data!E335=$B$5,0,1)),IF(German_Data!E335=$B$5,0,1))</f>
        <v/>
      </c>
      <c r="I335">
        <f>IF(H335=1,"Good","Bad")</f>
        <v/>
      </c>
      <c r="J335">
        <f>--(H335=E335)</f>
        <v/>
      </c>
    </row>
    <row r="336">
      <c r="D336">
        <f>German_Data!A336</f>
        <v/>
      </c>
      <c r="E336">
        <f>German_Data!G336</f>
        <v/>
      </c>
      <c r="F336">
        <f>--(German_Data!B336&lt;=$B$2)</f>
        <v/>
      </c>
      <c r="G336">
        <f>--(German_Data!C336&lt;=$B$3)</f>
        <v/>
      </c>
      <c r="H336">
        <f>IF(F336=1,IF(G336=1,IF(German_Data!D336=$B$4,0,1),IF(German_Data!E336=$B$5,0,1)),IF(German_Data!E336=$B$5,0,1))</f>
        <v/>
      </c>
      <c r="I336">
        <f>IF(H336=1,"Good","Bad")</f>
        <v/>
      </c>
      <c r="J336">
        <f>--(H336=E336)</f>
        <v/>
      </c>
    </row>
    <row r="337">
      <c r="D337">
        <f>German_Data!A337</f>
        <v/>
      </c>
      <c r="E337">
        <f>German_Data!G337</f>
        <v/>
      </c>
      <c r="F337">
        <f>--(German_Data!B337&lt;=$B$2)</f>
        <v/>
      </c>
      <c r="G337">
        <f>--(German_Data!C337&lt;=$B$3)</f>
        <v/>
      </c>
      <c r="H337">
        <f>IF(F337=1,IF(G337=1,IF(German_Data!D337=$B$4,0,1),IF(German_Data!E337=$B$5,0,1)),IF(German_Data!E337=$B$5,0,1))</f>
        <v/>
      </c>
      <c r="I337">
        <f>IF(H337=1,"Good","Bad")</f>
        <v/>
      </c>
      <c r="J337">
        <f>--(H337=E337)</f>
        <v/>
      </c>
    </row>
    <row r="338">
      <c r="D338">
        <f>German_Data!A338</f>
        <v/>
      </c>
      <c r="E338">
        <f>German_Data!G338</f>
        <v/>
      </c>
      <c r="F338">
        <f>--(German_Data!B338&lt;=$B$2)</f>
        <v/>
      </c>
      <c r="G338">
        <f>--(German_Data!C338&lt;=$B$3)</f>
        <v/>
      </c>
      <c r="H338">
        <f>IF(F338=1,IF(G338=1,IF(German_Data!D338=$B$4,0,1),IF(German_Data!E338=$B$5,0,1)),IF(German_Data!E338=$B$5,0,1))</f>
        <v/>
      </c>
      <c r="I338">
        <f>IF(H338=1,"Good","Bad")</f>
        <v/>
      </c>
      <c r="J338">
        <f>--(H338=E338)</f>
        <v/>
      </c>
    </row>
    <row r="339">
      <c r="D339">
        <f>German_Data!A339</f>
        <v/>
      </c>
      <c r="E339">
        <f>German_Data!G339</f>
        <v/>
      </c>
      <c r="F339">
        <f>--(German_Data!B339&lt;=$B$2)</f>
        <v/>
      </c>
      <c r="G339">
        <f>--(German_Data!C339&lt;=$B$3)</f>
        <v/>
      </c>
      <c r="H339">
        <f>IF(F339=1,IF(G339=1,IF(German_Data!D339=$B$4,0,1),IF(German_Data!E339=$B$5,0,1)),IF(German_Data!E339=$B$5,0,1))</f>
        <v/>
      </c>
      <c r="I339">
        <f>IF(H339=1,"Good","Bad")</f>
        <v/>
      </c>
      <c r="J339">
        <f>--(H339=E339)</f>
        <v/>
      </c>
    </row>
    <row r="340">
      <c r="D340">
        <f>German_Data!A340</f>
        <v/>
      </c>
      <c r="E340">
        <f>German_Data!G340</f>
        <v/>
      </c>
      <c r="F340">
        <f>--(German_Data!B340&lt;=$B$2)</f>
        <v/>
      </c>
      <c r="G340">
        <f>--(German_Data!C340&lt;=$B$3)</f>
        <v/>
      </c>
      <c r="H340">
        <f>IF(F340=1,IF(G340=1,IF(German_Data!D340=$B$4,0,1),IF(German_Data!E340=$B$5,0,1)),IF(German_Data!E340=$B$5,0,1))</f>
        <v/>
      </c>
      <c r="I340">
        <f>IF(H340=1,"Good","Bad")</f>
        <v/>
      </c>
      <c r="J340">
        <f>--(H340=E340)</f>
        <v/>
      </c>
    </row>
    <row r="341">
      <c r="D341">
        <f>German_Data!A341</f>
        <v/>
      </c>
      <c r="E341">
        <f>German_Data!G341</f>
        <v/>
      </c>
      <c r="F341">
        <f>--(German_Data!B341&lt;=$B$2)</f>
        <v/>
      </c>
      <c r="G341">
        <f>--(German_Data!C341&lt;=$B$3)</f>
        <v/>
      </c>
      <c r="H341">
        <f>IF(F341=1,IF(G341=1,IF(German_Data!D341=$B$4,0,1),IF(German_Data!E341=$B$5,0,1)),IF(German_Data!E341=$B$5,0,1))</f>
        <v/>
      </c>
      <c r="I341">
        <f>IF(H341=1,"Good","Bad")</f>
        <v/>
      </c>
      <c r="J341">
        <f>--(H341=E341)</f>
        <v/>
      </c>
    </row>
    <row r="342">
      <c r="D342">
        <f>German_Data!A342</f>
        <v/>
      </c>
      <c r="E342">
        <f>German_Data!G342</f>
        <v/>
      </c>
      <c r="F342">
        <f>--(German_Data!B342&lt;=$B$2)</f>
        <v/>
      </c>
      <c r="G342">
        <f>--(German_Data!C342&lt;=$B$3)</f>
        <v/>
      </c>
      <c r="H342">
        <f>IF(F342=1,IF(G342=1,IF(German_Data!D342=$B$4,0,1),IF(German_Data!E342=$B$5,0,1)),IF(German_Data!E342=$B$5,0,1))</f>
        <v/>
      </c>
      <c r="I342">
        <f>IF(H342=1,"Good","Bad")</f>
        <v/>
      </c>
      <c r="J342">
        <f>--(H342=E342)</f>
        <v/>
      </c>
    </row>
    <row r="343">
      <c r="D343">
        <f>German_Data!A343</f>
        <v/>
      </c>
      <c r="E343">
        <f>German_Data!G343</f>
        <v/>
      </c>
      <c r="F343">
        <f>--(German_Data!B343&lt;=$B$2)</f>
        <v/>
      </c>
      <c r="G343">
        <f>--(German_Data!C343&lt;=$B$3)</f>
        <v/>
      </c>
      <c r="H343">
        <f>IF(F343=1,IF(G343=1,IF(German_Data!D343=$B$4,0,1),IF(German_Data!E343=$B$5,0,1)),IF(German_Data!E343=$B$5,0,1))</f>
        <v/>
      </c>
      <c r="I343">
        <f>IF(H343=1,"Good","Bad")</f>
        <v/>
      </c>
      <c r="J343">
        <f>--(H343=E343)</f>
        <v/>
      </c>
    </row>
    <row r="344">
      <c r="D344">
        <f>German_Data!A344</f>
        <v/>
      </c>
      <c r="E344">
        <f>German_Data!G344</f>
        <v/>
      </c>
      <c r="F344">
        <f>--(German_Data!B344&lt;=$B$2)</f>
        <v/>
      </c>
      <c r="G344">
        <f>--(German_Data!C344&lt;=$B$3)</f>
        <v/>
      </c>
      <c r="H344">
        <f>IF(F344=1,IF(G344=1,IF(German_Data!D344=$B$4,0,1),IF(German_Data!E344=$B$5,0,1)),IF(German_Data!E344=$B$5,0,1))</f>
        <v/>
      </c>
      <c r="I344">
        <f>IF(H344=1,"Good","Bad")</f>
        <v/>
      </c>
      <c r="J344">
        <f>--(H344=E344)</f>
        <v/>
      </c>
    </row>
    <row r="345">
      <c r="D345">
        <f>German_Data!A345</f>
        <v/>
      </c>
      <c r="E345">
        <f>German_Data!G345</f>
        <v/>
      </c>
      <c r="F345">
        <f>--(German_Data!B345&lt;=$B$2)</f>
        <v/>
      </c>
      <c r="G345">
        <f>--(German_Data!C345&lt;=$B$3)</f>
        <v/>
      </c>
      <c r="H345">
        <f>IF(F345=1,IF(G345=1,IF(German_Data!D345=$B$4,0,1),IF(German_Data!E345=$B$5,0,1)),IF(German_Data!E345=$B$5,0,1))</f>
        <v/>
      </c>
      <c r="I345">
        <f>IF(H345=1,"Good","Bad")</f>
        <v/>
      </c>
      <c r="J345">
        <f>--(H345=E345)</f>
        <v/>
      </c>
    </row>
    <row r="346">
      <c r="D346">
        <f>German_Data!A346</f>
        <v/>
      </c>
      <c r="E346">
        <f>German_Data!G346</f>
        <v/>
      </c>
      <c r="F346">
        <f>--(German_Data!B346&lt;=$B$2)</f>
        <v/>
      </c>
      <c r="G346">
        <f>--(German_Data!C346&lt;=$B$3)</f>
        <v/>
      </c>
      <c r="H346">
        <f>IF(F346=1,IF(G346=1,IF(German_Data!D346=$B$4,0,1),IF(German_Data!E346=$B$5,0,1)),IF(German_Data!E346=$B$5,0,1))</f>
        <v/>
      </c>
      <c r="I346">
        <f>IF(H346=1,"Good","Bad")</f>
        <v/>
      </c>
      <c r="J346">
        <f>--(H346=E346)</f>
        <v/>
      </c>
    </row>
    <row r="347">
      <c r="D347">
        <f>German_Data!A347</f>
        <v/>
      </c>
      <c r="E347">
        <f>German_Data!G347</f>
        <v/>
      </c>
      <c r="F347">
        <f>--(German_Data!B347&lt;=$B$2)</f>
        <v/>
      </c>
      <c r="G347">
        <f>--(German_Data!C347&lt;=$B$3)</f>
        <v/>
      </c>
      <c r="H347">
        <f>IF(F347=1,IF(G347=1,IF(German_Data!D347=$B$4,0,1),IF(German_Data!E347=$B$5,0,1)),IF(German_Data!E347=$B$5,0,1))</f>
        <v/>
      </c>
      <c r="I347">
        <f>IF(H347=1,"Good","Bad")</f>
        <v/>
      </c>
      <c r="J347">
        <f>--(H347=E347)</f>
        <v/>
      </c>
    </row>
    <row r="348">
      <c r="D348">
        <f>German_Data!A348</f>
        <v/>
      </c>
      <c r="E348">
        <f>German_Data!G348</f>
        <v/>
      </c>
      <c r="F348">
        <f>--(German_Data!B348&lt;=$B$2)</f>
        <v/>
      </c>
      <c r="G348">
        <f>--(German_Data!C348&lt;=$B$3)</f>
        <v/>
      </c>
      <c r="H348">
        <f>IF(F348=1,IF(G348=1,IF(German_Data!D348=$B$4,0,1),IF(German_Data!E348=$B$5,0,1)),IF(German_Data!E348=$B$5,0,1))</f>
        <v/>
      </c>
      <c r="I348">
        <f>IF(H348=1,"Good","Bad")</f>
        <v/>
      </c>
      <c r="J348">
        <f>--(H348=E348)</f>
        <v/>
      </c>
    </row>
    <row r="349">
      <c r="D349">
        <f>German_Data!A349</f>
        <v/>
      </c>
      <c r="E349">
        <f>German_Data!G349</f>
        <v/>
      </c>
      <c r="F349">
        <f>--(German_Data!B349&lt;=$B$2)</f>
        <v/>
      </c>
      <c r="G349">
        <f>--(German_Data!C349&lt;=$B$3)</f>
        <v/>
      </c>
      <c r="H349">
        <f>IF(F349=1,IF(G349=1,IF(German_Data!D349=$B$4,0,1),IF(German_Data!E349=$B$5,0,1)),IF(German_Data!E349=$B$5,0,1))</f>
        <v/>
      </c>
      <c r="I349">
        <f>IF(H349=1,"Good","Bad")</f>
        <v/>
      </c>
      <c r="J349">
        <f>--(H349=E349)</f>
        <v/>
      </c>
    </row>
    <row r="350">
      <c r="D350">
        <f>German_Data!A350</f>
        <v/>
      </c>
      <c r="E350">
        <f>German_Data!G350</f>
        <v/>
      </c>
      <c r="F350">
        <f>--(German_Data!B350&lt;=$B$2)</f>
        <v/>
      </c>
      <c r="G350">
        <f>--(German_Data!C350&lt;=$B$3)</f>
        <v/>
      </c>
      <c r="H350">
        <f>IF(F350=1,IF(G350=1,IF(German_Data!D350=$B$4,0,1),IF(German_Data!E350=$B$5,0,1)),IF(German_Data!E350=$B$5,0,1))</f>
        <v/>
      </c>
      <c r="I350">
        <f>IF(H350=1,"Good","Bad")</f>
        <v/>
      </c>
      <c r="J350">
        <f>--(H350=E350)</f>
        <v/>
      </c>
    </row>
    <row r="351">
      <c r="D351">
        <f>German_Data!A351</f>
        <v/>
      </c>
      <c r="E351">
        <f>German_Data!G351</f>
        <v/>
      </c>
      <c r="F351">
        <f>--(German_Data!B351&lt;=$B$2)</f>
        <v/>
      </c>
      <c r="G351">
        <f>--(German_Data!C351&lt;=$B$3)</f>
        <v/>
      </c>
      <c r="H351">
        <f>IF(F351=1,IF(G351=1,IF(German_Data!D351=$B$4,0,1),IF(German_Data!E351=$B$5,0,1)),IF(German_Data!E351=$B$5,0,1))</f>
        <v/>
      </c>
      <c r="I351">
        <f>IF(H351=1,"Good","Bad")</f>
        <v/>
      </c>
      <c r="J351">
        <f>--(H351=E351)</f>
        <v/>
      </c>
    </row>
    <row r="352">
      <c r="D352">
        <f>German_Data!A352</f>
        <v/>
      </c>
      <c r="E352">
        <f>German_Data!G352</f>
        <v/>
      </c>
      <c r="F352">
        <f>--(German_Data!B352&lt;=$B$2)</f>
        <v/>
      </c>
      <c r="G352">
        <f>--(German_Data!C352&lt;=$B$3)</f>
        <v/>
      </c>
      <c r="H352">
        <f>IF(F352=1,IF(G352=1,IF(German_Data!D352=$B$4,0,1),IF(German_Data!E352=$B$5,0,1)),IF(German_Data!E352=$B$5,0,1))</f>
        <v/>
      </c>
      <c r="I352">
        <f>IF(H352=1,"Good","Bad")</f>
        <v/>
      </c>
      <c r="J352">
        <f>--(H352=E352)</f>
        <v/>
      </c>
    </row>
    <row r="353">
      <c r="D353">
        <f>German_Data!A353</f>
        <v/>
      </c>
      <c r="E353">
        <f>German_Data!G353</f>
        <v/>
      </c>
      <c r="F353">
        <f>--(German_Data!B353&lt;=$B$2)</f>
        <v/>
      </c>
      <c r="G353">
        <f>--(German_Data!C353&lt;=$B$3)</f>
        <v/>
      </c>
      <c r="H353">
        <f>IF(F353=1,IF(G353=1,IF(German_Data!D353=$B$4,0,1),IF(German_Data!E353=$B$5,0,1)),IF(German_Data!E353=$B$5,0,1))</f>
        <v/>
      </c>
      <c r="I353">
        <f>IF(H353=1,"Good","Bad")</f>
        <v/>
      </c>
      <c r="J353">
        <f>--(H353=E353)</f>
        <v/>
      </c>
    </row>
    <row r="354">
      <c r="D354">
        <f>German_Data!A354</f>
        <v/>
      </c>
      <c r="E354">
        <f>German_Data!G354</f>
        <v/>
      </c>
      <c r="F354">
        <f>--(German_Data!B354&lt;=$B$2)</f>
        <v/>
      </c>
      <c r="G354">
        <f>--(German_Data!C354&lt;=$B$3)</f>
        <v/>
      </c>
      <c r="H354">
        <f>IF(F354=1,IF(G354=1,IF(German_Data!D354=$B$4,0,1),IF(German_Data!E354=$B$5,0,1)),IF(German_Data!E354=$B$5,0,1))</f>
        <v/>
      </c>
      <c r="I354">
        <f>IF(H354=1,"Good","Bad")</f>
        <v/>
      </c>
      <c r="J354">
        <f>--(H354=E354)</f>
        <v/>
      </c>
    </row>
    <row r="355">
      <c r="D355">
        <f>German_Data!A355</f>
        <v/>
      </c>
      <c r="E355">
        <f>German_Data!G355</f>
        <v/>
      </c>
      <c r="F355">
        <f>--(German_Data!B355&lt;=$B$2)</f>
        <v/>
      </c>
      <c r="G355">
        <f>--(German_Data!C355&lt;=$B$3)</f>
        <v/>
      </c>
      <c r="H355">
        <f>IF(F355=1,IF(G355=1,IF(German_Data!D355=$B$4,0,1),IF(German_Data!E355=$B$5,0,1)),IF(German_Data!E355=$B$5,0,1))</f>
        <v/>
      </c>
      <c r="I355">
        <f>IF(H355=1,"Good","Bad")</f>
        <v/>
      </c>
      <c r="J355">
        <f>--(H355=E355)</f>
        <v/>
      </c>
    </row>
    <row r="356">
      <c r="D356">
        <f>German_Data!A356</f>
        <v/>
      </c>
      <c r="E356">
        <f>German_Data!G356</f>
        <v/>
      </c>
      <c r="F356">
        <f>--(German_Data!B356&lt;=$B$2)</f>
        <v/>
      </c>
      <c r="G356">
        <f>--(German_Data!C356&lt;=$B$3)</f>
        <v/>
      </c>
      <c r="H356">
        <f>IF(F356=1,IF(G356=1,IF(German_Data!D356=$B$4,0,1),IF(German_Data!E356=$B$5,0,1)),IF(German_Data!E356=$B$5,0,1))</f>
        <v/>
      </c>
      <c r="I356">
        <f>IF(H356=1,"Good","Bad")</f>
        <v/>
      </c>
      <c r="J356">
        <f>--(H356=E356)</f>
        <v/>
      </c>
    </row>
    <row r="357">
      <c r="D357">
        <f>German_Data!A357</f>
        <v/>
      </c>
      <c r="E357">
        <f>German_Data!G357</f>
        <v/>
      </c>
      <c r="F357">
        <f>--(German_Data!B357&lt;=$B$2)</f>
        <v/>
      </c>
      <c r="G357">
        <f>--(German_Data!C357&lt;=$B$3)</f>
        <v/>
      </c>
      <c r="H357">
        <f>IF(F357=1,IF(G357=1,IF(German_Data!D357=$B$4,0,1),IF(German_Data!E357=$B$5,0,1)),IF(German_Data!E357=$B$5,0,1))</f>
        <v/>
      </c>
      <c r="I357">
        <f>IF(H357=1,"Good","Bad")</f>
        <v/>
      </c>
      <c r="J357">
        <f>--(H357=E357)</f>
        <v/>
      </c>
    </row>
    <row r="358">
      <c r="D358">
        <f>German_Data!A358</f>
        <v/>
      </c>
      <c r="E358">
        <f>German_Data!G358</f>
        <v/>
      </c>
      <c r="F358">
        <f>--(German_Data!B358&lt;=$B$2)</f>
        <v/>
      </c>
      <c r="G358">
        <f>--(German_Data!C358&lt;=$B$3)</f>
        <v/>
      </c>
      <c r="H358">
        <f>IF(F358=1,IF(G358=1,IF(German_Data!D358=$B$4,0,1),IF(German_Data!E358=$B$5,0,1)),IF(German_Data!E358=$B$5,0,1))</f>
        <v/>
      </c>
      <c r="I358">
        <f>IF(H358=1,"Good","Bad")</f>
        <v/>
      </c>
      <c r="J358">
        <f>--(H358=E358)</f>
        <v/>
      </c>
    </row>
    <row r="359">
      <c r="D359">
        <f>German_Data!A359</f>
        <v/>
      </c>
      <c r="E359">
        <f>German_Data!G359</f>
        <v/>
      </c>
      <c r="F359">
        <f>--(German_Data!B359&lt;=$B$2)</f>
        <v/>
      </c>
      <c r="G359">
        <f>--(German_Data!C359&lt;=$B$3)</f>
        <v/>
      </c>
      <c r="H359">
        <f>IF(F359=1,IF(G359=1,IF(German_Data!D359=$B$4,0,1),IF(German_Data!E359=$B$5,0,1)),IF(German_Data!E359=$B$5,0,1))</f>
        <v/>
      </c>
      <c r="I359">
        <f>IF(H359=1,"Good","Bad")</f>
        <v/>
      </c>
      <c r="J359">
        <f>--(H359=E359)</f>
        <v/>
      </c>
    </row>
    <row r="360">
      <c r="D360">
        <f>German_Data!A360</f>
        <v/>
      </c>
      <c r="E360">
        <f>German_Data!G360</f>
        <v/>
      </c>
      <c r="F360">
        <f>--(German_Data!B360&lt;=$B$2)</f>
        <v/>
      </c>
      <c r="G360">
        <f>--(German_Data!C360&lt;=$B$3)</f>
        <v/>
      </c>
      <c r="H360">
        <f>IF(F360=1,IF(G360=1,IF(German_Data!D360=$B$4,0,1),IF(German_Data!E360=$B$5,0,1)),IF(German_Data!E360=$B$5,0,1))</f>
        <v/>
      </c>
      <c r="I360">
        <f>IF(H360=1,"Good","Bad")</f>
        <v/>
      </c>
      <c r="J360">
        <f>--(H360=E360)</f>
        <v/>
      </c>
    </row>
    <row r="361">
      <c r="D361">
        <f>German_Data!A361</f>
        <v/>
      </c>
      <c r="E361">
        <f>German_Data!G361</f>
        <v/>
      </c>
      <c r="F361">
        <f>--(German_Data!B361&lt;=$B$2)</f>
        <v/>
      </c>
      <c r="G361">
        <f>--(German_Data!C361&lt;=$B$3)</f>
        <v/>
      </c>
      <c r="H361">
        <f>IF(F361=1,IF(G361=1,IF(German_Data!D361=$B$4,0,1),IF(German_Data!E361=$B$5,0,1)),IF(German_Data!E361=$B$5,0,1))</f>
        <v/>
      </c>
      <c r="I361">
        <f>IF(H361=1,"Good","Bad")</f>
        <v/>
      </c>
      <c r="J361">
        <f>--(H361=E361)</f>
        <v/>
      </c>
    </row>
    <row r="362">
      <c r="D362">
        <f>German_Data!A362</f>
        <v/>
      </c>
      <c r="E362">
        <f>German_Data!G362</f>
        <v/>
      </c>
      <c r="F362">
        <f>--(German_Data!B362&lt;=$B$2)</f>
        <v/>
      </c>
      <c r="G362">
        <f>--(German_Data!C362&lt;=$B$3)</f>
        <v/>
      </c>
      <c r="H362">
        <f>IF(F362=1,IF(G362=1,IF(German_Data!D362=$B$4,0,1),IF(German_Data!E362=$B$5,0,1)),IF(German_Data!E362=$B$5,0,1))</f>
        <v/>
      </c>
      <c r="I362">
        <f>IF(H362=1,"Good","Bad")</f>
        <v/>
      </c>
      <c r="J362">
        <f>--(H362=E362)</f>
        <v/>
      </c>
    </row>
    <row r="363">
      <c r="D363">
        <f>German_Data!A363</f>
        <v/>
      </c>
      <c r="E363">
        <f>German_Data!G363</f>
        <v/>
      </c>
      <c r="F363">
        <f>--(German_Data!B363&lt;=$B$2)</f>
        <v/>
      </c>
      <c r="G363">
        <f>--(German_Data!C363&lt;=$B$3)</f>
        <v/>
      </c>
      <c r="H363">
        <f>IF(F363=1,IF(G363=1,IF(German_Data!D363=$B$4,0,1),IF(German_Data!E363=$B$5,0,1)),IF(German_Data!E363=$B$5,0,1))</f>
        <v/>
      </c>
      <c r="I363">
        <f>IF(H363=1,"Good","Bad")</f>
        <v/>
      </c>
      <c r="J363">
        <f>--(H363=E363)</f>
        <v/>
      </c>
    </row>
    <row r="364">
      <c r="D364">
        <f>German_Data!A364</f>
        <v/>
      </c>
      <c r="E364">
        <f>German_Data!G364</f>
        <v/>
      </c>
      <c r="F364">
        <f>--(German_Data!B364&lt;=$B$2)</f>
        <v/>
      </c>
      <c r="G364">
        <f>--(German_Data!C364&lt;=$B$3)</f>
        <v/>
      </c>
      <c r="H364">
        <f>IF(F364=1,IF(G364=1,IF(German_Data!D364=$B$4,0,1),IF(German_Data!E364=$B$5,0,1)),IF(German_Data!E364=$B$5,0,1))</f>
        <v/>
      </c>
      <c r="I364">
        <f>IF(H364=1,"Good","Bad")</f>
        <v/>
      </c>
      <c r="J364">
        <f>--(H364=E364)</f>
        <v/>
      </c>
    </row>
    <row r="365">
      <c r="D365">
        <f>German_Data!A365</f>
        <v/>
      </c>
      <c r="E365">
        <f>German_Data!G365</f>
        <v/>
      </c>
      <c r="F365">
        <f>--(German_Data!B365&lt;=$B$2)</f>
        <v/>
      </c>
      <c r="G365">
        <f>--(German_Data!C365&lt;=$B$3)</f>
        <v/>
      </c>
      <c r="H365">
        <f>IF(F365=1,IF(G365=1,IF(German_Data!D365=$B$4,0,1),IF(German_Data!E365=$B$5,0,1)),IF(German_Data!E365=$B$5,0,1))</f>
        <v/>
      </c>
      <c r="I365">
        <f>IF(H365=1,"Good","Bad")</f>
        <v/>
      </c>
      <c r="J365">
        <f>--(H365=E365)</f>
        <v/>
      </c>
    </row>
    <row r="366">
      <c r="D366">
        <f>German_Data!A366</f>
        <v/>
      </c>
      <c r="E366">
        <f>German_Data!G366</f>
        <v/>
      </c>
      <c r="F366">
        <f>--(German_Data!B366&lt;=$B$2)</f>
        <v/>
      </c>
      <c r="G366">
        <f>--(German_Data!C366&lt;=$B$3)</f>
        <v/>
      </c>
      <c r="H366">
        <f>IF(F366=1,IF(G366=1,IF(German_Data!D366=$B$4,0,1),IF(German_Data!E366=$B$5,0,1)),IF(German_Data!E366=$B$5,0,1))</f>
        <v/>
      </c>
      <c r="I366">
        <f>IF(H366=1,"Good","Bad")</f>
        <v/>
      </c>
      <c r="J366">
        <f>--(H366=E366)</f>
        <v/>
      </c>
    </row>
    <row r="367">
      <c r="D367">
        <f>German_Data!A367</f>
        <v/>
      </c>
      <c r="E367">
        <f>German_Data!G367</f>
        <v/>
      </c>
      <c r="F367">
        <f>--(German_Data!B367&lt;=$B$2)</f>
        <v/>
      </c>
      <c r="G367">
        <f>--(German_Data!C367&lt;=$B$3)</f>
        <v/>
      </c>
      <c r="H367">
        <f>IF(F367=1,IF(G367=1,IF(German_Data!D367=$B$4,0,1),IF(German_Data!E367=$B$5,0,1)),IF(German_Data!E367=$B$5,0,1))</f>
        <v/>
      </c>
      <c r="I367">
        <f>IF(H367=1,"Good","Bad")</f>
        <v/>
      </c>
      <c r="J367">
        <f>--(H367=E367)</f>
        <v/>
      </c>
    </row>
    <row r="368">
      <c r="D368">
        <f>German_Data!A368</f>
        <v/>
      </c>
      <c r="E368">
        <f>German_Data!G368</f>
        <v/>
      </c>
      <c r="F368">
        <f>--(German_Data!B368&lt;=$B$2)</f>
        <v/>
      </c>
      <c r="G368">
        <f>--(German_Data!C368&lt;=$B$3)</f>
        <v/>
      </c>
      <c r="H368">
        <f>IF(F368=1,IF(G368=1,IF(German_Data!D368=$B$4,0,1),IF(German_Data!E368=$B$5,0,1)),IF(German_Data!E368=$B$5,0,1))</f>
        <v/>
      </c>
      <c r="I368">
        <f>IF(H368=1,"Good","Bad")</f>
        <v/>
      </c>
      <c r="J368">
        <f>--(H368=E368)</f>
        <v/>
      </c>
    </row>
    <row r="369">
      <c r="D369">
        <f>German_Data!A369</f>
        <v/>
      </c>
      <c r="E369">
        <f>German_Data!G369</f>
        <v/>
      </c>
      <c r="F369">
        <f>--(German_Data!B369&lt;=$B$2)</f>
        <v/>
      </c>
      <c r="G369">
        <f>--(German_Data!C369&lt;=$B$3)</f>
        <v/>
      </c>
      <c r="H369">
        <f>IF(F369=1,IF(G369=1,IF(German_Data!D369=$B$4,0,1),IF(German_Data!E369=$B$5,0,1)),IF(German_Data!E369=$B$5,0,1))</f>
        <v/>
      </c>
      <c r="I369">
        <f>IF(H369=1,"Good","Bad")</f>
        <v/>
      </c>
      <c r="J369">
        <f>--(H369=E369)</f>
        <v/>
      </c>
    </row>
    <row r="370">
      <c r="D370">
        <f>German_Data!A370</f>
        <v/>
      </c>
      <c r="E370">
        <f>German_Data!G370</f>
        <v/>
      </c>
      <c r="F370">
        <f>--(German_Data!B370&lt;=$B$2)</f>
        <v/>
      </c>
      <c r="G370">
        <f>--(German_Data!C370&lt;=$B$3)</f>
        <v/>
      </c>
      <c r="H370">
        <f>IF(F370=1,IF(G370=1,IF(German_Data!D370=$B$4,0,1),IF(German_Data!E370=$B$5,0,1)),IF(German_Data!E370=$B$5,0,1))</f>
        <v/>
      </c>
      <c r="I370">
        <f>IF(H370=1,"Good","Bad")</f>
        <v/>
      </c>
      <c r="J370">
        <f>--(H370=E370)</f>
        <v/>
      </c>
    </row>
    <row r="371">
      <c r="D371">
        <f>German_Data!A371</f>
        <v/>
      </c>
      <c r="E371">
        <f>German_Data!G371</f>
        <v/>
      </c>
      <c r="F371">
        <f>--(German_Data!B371&lt;=$B$2)</f>
        <v/>
      </c>
      <c r="G371">
        <f>--(German_Data!C371&lt;=$B$3)</f>
        <v/>
      </c>
      <c r="H371">
        <f>IF(F371=1,IF(G371=1,IF(German_Data!D371=$B$4,0,1),IF(German_Data!E371=$B$5,0,1)),IF(German_Data!E371=$B$5,0,1))</f>
        <v/>
      </c>
      <c r="I371">
        <f>IF(H371=1,"Good","Bad")</f>
        <v/>
      </c>
      <c r="J371">
        <f>--(H371=E371)</f>
        <v/>
      </c>
    </row>
    <row r="372">
      <c r="D372">
        <f>German_Data!A372</f>
        <v/>
      </c>
      <c r="E372">
        <f>German_Data!G372</f>
        <v/>
      </c>
      <c r="F372">
        <f>--(German_Data!B372&lt;=$B$2)</f>
        <v/>
      </c>
      <c r="G372">
        <f>--(German_Data!C372&lt;=$B$3)</f>
        <v/>
      </c>
      <c r="H372">
        <f>IF(F372=1,IF(G372=1,IF(German_Data!D372=$B$4,0,1),IF(German_Data!E372=$B$5,0,1)),IF(German_Data!E372=$B$5,0,1))</f>
        <v/>
      </c>
      <c r="I372">
        <f>IF(H372=1,"Good","Bad")</f>
        <v/>
      </c>
      <c r="J372">
        <f>--(H372=E372)</f>
        <v/>
      </c>
    </row>
    <row r="373">
      <c r="D373">
        <f>German_Data!A373</f>
        <v/>
      </c>
      <c r="E373">
        <f>German_Data!G373</f>
        <v/>
      </c>
      <c r="F373">
        <f>--(German_Data!B373&lt;=$B$2)</f>
        <v/>
      </c>
      <c r="G373">
        <f>--(German_Data!C373&lt;=$B$3)</f>
        <v/>
      </c>
      <c r="H373">
        <f>IF(F373=1,IF(G373=1,IF(German_Data!D373=$B$4,0,1),IF(German_Data!E373=$B$5,0,1)),IF(German_Data!E373=$B$5,0,1))</f>
        <v/>
      </c>
      <c r="I373">
        <f>IF(H373=1,"Good","Bad")</f>
        <v/>
      </c>
      <c r="J373">
        <f>--(H373=E373)</f>
        <v/>
      </c>
    </row>
    <row r="374">
      <c r="D374">
        <f>German_Data!A374</f>
        <v/>
      </c>
      <c r="E374">
        <f>German_Data!G374</f>
        <v/>
      </c>
      <c r="F374">
        <f>--(German_Data!B374&lt;=$B$2)</f>
        <v/>
      </c>
      <c r="G374">
        <f>--(German_Data!C374&lt;=$B$3)</f>
        <v/>
      </c>
      <c r="H374">
        <f>IF(F374=1,IF(G374=1,IF(German_Data!D374=$B$4,0,1),IF(German_Data!E374=$B$5,0,1)),IF(German_Data!E374=$B$5,0,1))</f>
        <v/>
      </c>
      <c r="I374">
        <f>IF(H374=1,"Good","Bad")</f>
        <v/>
      </c>
      <c r="J374">
        <f>--(H374=E374)</f>
        <v/>
      </c>
    </row>
    <row r="375">
      <c r="D375">
        <f>German_Data!A375</f>
        <v/>
      </c>
      <c r="E375">
        <f>German_Data!G375</f>
        <v/>
      </c>
      <c r="F375">
        <f>--(German_Data!B375&lt;=$B$2)</f>
        <v/>
      </c>
      <c r="G375">
        <f>--(German_Data!C375&lt;=$B$3)</f>
        <v/>
      </c>
      <c r="H375">
        <f>IF(F375=1,IF(G375=1,IF(German_Data!D375=$B$4,0,1),IF(German_Data!E375=$B$5,0,1)),IF(German_Data!E375=$B$5,0,1))</f>
        <v/>
      </c>
      <c r="I375">
        <f>IF(H375=1,"Good","Bad")</f>
        <v/>
      </c>
      <c r="J375">
        <f>--(H375=E375)</f>
        <v/>
      </c>
    </row>
    <row r="376">
      <c r="D376">
        <f>German_Data!A376</f>
        <v/>
      </c>
      <c r="E376">
        <f>German_Data!G376</f>
        <v/>
      </c>
      <c r="F376">
        <f>--(German_Data!B376&lt;=$B$2)</f>
        <v/>
      </c>
      <c r="G376">
        <f>--(German_Data!C376&lt;=$B$3)</f>
        <v/>
      </c>
      <c r="H376">
        <f>IF(F376=1,IF(G376=1,IF(German_Data!D376=$B$4,0,1),IF(German_Data!E376=$B$5,0,1)),IF(German_Data!E376=$B$5,0,1))</f>
        <v/>
      </c>
      <c r="I376">
        <f>IF(H376=1,"Good","Bad")</f>
        <v/>
      </c>
      <c r="J376">
        <f>--(H376=E376)</f>
        <v/>
      </c>
    </row>
    <row r="377">
      <c r="D377">
        <f>German_Data!A377</f>
        <v/>
      </c>
      <c r="E377">
        <f>German_Data!G377</f>
        <v/>
      </c>
      <c r="F377">
        <f>--(German_Data!B377&lt;=$B$2)</f>
        <v/>
      </c>
      <c r="G377">
        <f>--(German_Data!C377&lt;=$B$3)</f>
        <v/>
      </c>
      <c r="H377">
        <f>IF(F377=1,IF(G377=1,IF(German_Data!D377=$B$4,0,1),IF(German_Data!E377=$B$5,0,1)),IF(German_Data!E377=$B$5,0,1))</f>
        <v/>
      </c>
      <c r="I377">
        <f>IF(H377=1,"Good","Bad")</f>
        <v/>
      </c>
      <c r="J377">
        <f>--(H377=E377)</f>
        <v/>
      </c>
    </row>
    <row r="378">
      <c r="D378">
        <f>German_Data!A378</f>
        <v/>
      </c>
      <c r="E378">
        <f>German_Data!G378</f>
        <v/>
      </c>
      <c r="F378">
        <f>--(German_Data!B378&lt;=$B$2)</f>
        <v/>
      </c>
      <c r="G378">
        <f>--(German_Data!C378&lt;=$B$3)</f>
        <v/>
      </c>
      <c r="H378">
        <f>IF(F378=1,IF(G378=1,IF(German_Data!D378=$B$4,0,1),IF(German_Data!E378=$B$5,0,1)),IF(German_Data!E378=$B$5,0,1))</f>
        <v/>
      </c>
      <c r="I378">
        <f>IF(H378=1,"Good","Bad")</f>
        <v/>
      </c>
      <c r="J378">
        <f>--(H378=E378)</f>
        <v/>
      </c>
    </row>
    <row r="379">
      <c r="D379">
        <f>German_Data!A379</f>
        <v/>
      </c>
      <c r="E379">
        <f>German_Data!G379</f>
        <v/>
      </c>
      <c r="F379">
        <f>--(German_Data!B379&lt;=$B$2)</f>
        <v/>
      </c>
      <c r="G379">
        <f>--(German_Data!C379&lt;=$B$3)</f>
        <v/>
      </c>
      <c r="H379">
        <f>IF(F379=1,IF(G379=1,IF(German_Data!D379=$B$4,0,1),IF(German_Data!E379=$B$5,0,1)),IF(German_Data!E379=$B$5,0,1))</f>
        <v/>
      </c>
      <c r="I379">
        <f>IF(H379=1,"Good","Bad")</f>
        <v/>
      </c>
      <c r="J379">
        <f>--(H379=E379)</f>
        <v/>
      </c>
    </row>
    <row r="380">
      <c r="D380">
        <f>German_Data!A380</f>
        <v/>
      </c>
      <c r="E380">
        <f>German_Data!G380</f>
        <v/>
      </c>
      <c r="F380">
        <f>--(German_Data!B380&lt;=$B$2)</f>
        <v/>
      </c>
      <c r="G380">
        <f>--(German_Data!C380&lt;=$B$3)</f>
        <v/>
      </c>
      <c r="H380">
        <f>IF(F380=1,IF(G380=1,IF(German_Data!D380=$B$4,0,1),IF(German_Data!E380=$B$5,0,1)),IF(German_Data!E380=$B$5,0,1))</f>
        <v/>
      </c>
      <c r="I380">
        <f>IF(H380=1,"Good","Bad")</f>
        <v/>
      </c>
      <c r="J380">
        <f>--(H380=E380)</f>
        <v/>
      </c>
    </row>
    <row r="381">
      <c r="D381">
        <f>German_Data!A381</f>
        <v/>
      </c>
      <c r="E381">
        <f>German_Data!G381</f>
        <v/>
      </c>
      <c r="F381">
        <f>--(German_Data!B381&lt;=$B$2)</f>
        <v/>
      </c>
      <c r="G381">
        <f>--(German_Data!C381&lt;=$B$3)</f>
        <v/>
      </c>
      <c r="H381">
        <f>IF(F381=1,IF(G381=1,IF(German_Data!D381=$B$4,0,1),IF(German_Data!E381=$B$5,0,1)),IF(German_Data!E381=$B$5,0,1))</f>
        <v/>
      </c>
      <c r="I381">
        <f>IF(H381=1,"Good","Bad")</f>
        <v/>
      </c>
      <c r="J381">
        <f>--(H381=E381)</f>
        <v/>
      </c>
    </row>
    <row r="382">
      <c r="D382">
        <f>German_Data!A382</f>
        <v/>
      </c>
      <c r="E382">
        <f>German_Data!G382</f>
        <v/>
      </c>
      <c r="F382">
        <f>--(German_Data!B382&lt;=$B$2)</f>
        <v/>
      </c>
      <c r="G382">
        <f>--(German_Data!C382&lt;=$B$3)</f>
        <v/>
      </c>
      <c r="H382">
        <f>IF(F382=1,IF(G382=1,IF(German_Data!D382=$B$4,0,1),IF(German_Data!E382=$B$5,0,1)),IF(German_Data!E382=$B$5,0,1))</f>
        <v/>
      </c>
      <c r="I382">
        <f>IF(H382=1,"Good","Bad")</f>
        <v/>
      </c>
      <c r="J382">
        <f>--(H382=E382)</f>
        <v/>
      </c>
    </row>
    <row r="383">
      <c r="D383">
        <f>German_Data!A383</f>
        <v/>
      </c>
      <c r="E383">
        <f>German_Data!G383</f>
        <v/>
      </c>
      <c r="F383">
        <f>--(German_Data!B383&lt;=$B$2)</f>
        <v/>
      </c>
      <c r="G383">
        <f>--(German_Data!C383&lt;=$B$3)</f>
        <v/>
      </c>
      <c r="H383">
        <f>IF(F383=1,IF(G383=1,IF(German_Data!D383=$B$4,0,1),IF(German_Data!E383=$B$5,0,1)),IF(German_Data!E383=$B$5,0,1))</f>
        <v/>
      </c>
      <c r="I383">
        <f>IF(H383=1,"Good","Bad")</f>
        <v/>
      </c>
      <c r="J383">
        <f>--(H383=E383)</f>
        <v/>
      </c>
    </row>
    <row r="384">
      <c r="D384">
        <f>German_Data!A384</f>
        <v/>
      </c>
      <c r="E384">
        <f>German_Data!G384</f>
        <v/>
      </c>
      <c r="F384">
        <f>--(German_Data!B384&lt;=$B$2)</f>
        <v/>
      </c>
      <c r="G384">
        <f>--(German_Data!C384&lt;=$B$3)</f>
        <v/>
      </c>
      <c r="H384">
        <f>IF(F384=1,IF(G384=1,IF(German_Data!D384=$B$4,0,1),IF(German_Data!E384=$B$5,0,1)),IF(German_Data!E384=$B$5,0,1))</f>
        <v/>
      </c>
      <c r="I384">
        <f>IF(H384=1,"Good","Bad")</f>
        <v/>
      </c>
      <c r="J384">
        <f>--(H384=E384)</f>
        <v/>
      </c>
    </row>
    <row r="385">
      <c r="D385">
        <f>German_Data!A385</f>
        <v/>
      </c>
      <c r="E385">
        <f>German_Data!G385</f>
        <v/>
      </c>
      <c r="F385">
        <f>--(German_Data!B385&lt;=$B$2)</f>
        <v/>
      </c>
      <c r="G385">
        <f>--(German_Data!C385&lt;=$B$3)</f>
        <v/>
      </c>
      <c r="H385">
        <f>IF(F385=1,IF(G385=1,IF(German_Data!D385=$B$4,0,1),IF(German_Data!E385=$B$5,0,1)),IF(German_Data!E385=$B$5,0,1))</f>
        <v/>
      </c>
      <c r="I385">
        <f>IF(H385=1,"Good","Bad")</f>
        <v/>
      </c>
      <c r="J385">
        <f>--(H385=E385)</f>
        <v/>
      </c>
    </row>
    <row r="386">
      <c r="D386">
        <f>German_Data!A386</f>
        <v/>
      </c>
      <c r="E386">
        <f>German_Data!G386</f>
        <v/>
      </c>
      <c r="F386">
        <f>--(German_Data!B386&lt;=$B$2)</f>
        <v/>
      </c>
      <c r="G386">
        <f>--(German_Data!C386&lt;=$B$3)</f>
        <v/>
      </c>
      <c r="H386">
        <f>IF(F386=1,IF(G386=1,IF(German_Data!D386=$B$4,0,1),IF(German_Data!E386=$B$5,0,1)),IF(German_Data!E386=$B$5,0,1))</f>
        <v/>
      </c>
      <c r="I386">
        <f>IF(H386=1,"Good","Bad")</f>
        <v/>
      </c>
      <c r="J386">
        <f>--(H386=E386)</f>
        <v/>
      </c>
    </row>
    <row r="387">
      <c r="D387">
        <f>German_Data!A387</f>
        <v/>
      </c>
      <c r="E387">
        <f>German_Data!G387</f>
        <v/>
      </c>
      <c r="F387">
        <f>--(German_Data!B387&lt;=$B$2)</f>
        <v/>
      </c>
      <c r="G387">
        <f>--(German_Data!C387&lt;=$B$3)</f>
        <v/>
      </c>
      <c r="H387">
        <f>IF(F387=1,IF(G387=1,IF(German_Data!D387=$B$4,0,1),IF(German_Data!E387=$B$5,0,1)),IF(German_Data!E387=$B$5,0,1))</f>
        <v/>
      </c>
      <c r="I387">
        <f>IF(H387=1,"Good","Bad")</f>
        <v/>
      </c>
      <c r="J387">
        <f>--(H387=E387)</f>
        <v/>
      </c>
    </row>
    <row r="388">
      <c r="D388">
        <f>German_Data!A388</f>
        <v/>
      </c>
      <c r="E388">
        <f>German_Data!G388</f>
        <v/>
      </c>
      <c r="F388">
        <f>--(German_Data!B388&lt;=$B$2)</f>
        <v/>
      </c>
      <c r="G388">
        <f>--(German_Data!C388&lt;=$B$3)</f>
        <v/>
      </c>
      <c r="H388">
        <f>IF(F388=1,IF(G388=1,IF(German_Data!D388=$B$4,0,1),IF(German_Data!E388=$B$5,0,1)),IF(German_Data!E388=$B$5,0,1))</f>
        <v/>
      </c>
      <c r="I388">
        <f>IF(H388=1,"Good","Bad")</f>
        <v/>
      </c>
      <c r="J388">
        <f>--(H388=E388)</f>
        <v/>
      </c>
    </row>
    <row r="389">
      <c r="D389">
        <f>German_Data!A389</f>
        <v/>
      </c>
      <c r="E389">
        <f>German_Data!G389</f>
        <v/>
      </c>
      <c r="F389">
        <f>--(German_Data!B389&lt;=$B$2)</f>
        <v/>
      </c>
      <c r="G389">
        <f>--(German_Data!C389&lt;=$B$3)</f>
        <v/>
      </c>
      <c r="H389">
        <f>IF(F389=1,IF(G389=1,IF(German_Data!D389=$B$4,0,1),IF(German_Data!E389=$B$5,0,1)),IF(German_Data!E389=$B$5,0,1))</f>
        <v/>
      </c>
      <c r="I389">
        <f>IF(H389=1,"Good","Bad")</f>
        <v/>
      </c>
      <c r="J389">
        <f>--(H389=E389)</f>
        <v/>
      </c>
    </row>
    <row r="390">
      <c r="D390">
        <f>German_Data!A390</f>
        <v/>
      </c>
      <c r="E390">
        <f>German_Data!G390</f>
        <v/>
      </c>
      <c r="F390">
        <f>--(German_Data!B390&lt;=$B$2)</f>
        <v/>
      </c>
      <c r="G390">
        <f>--(German_Data!C390&lt;=$B$3)</f>
        <v/>
      </c>
      <c r="H390">
        <f>IF(F390=1,IF(G390=1,IF(German_Data!D390=$B$4,0,1),IF(German_Data!E390=$B$5,0,1)),IF(German_Data!E390=$B$5,0,1))</f>
        <v/>
      </c>
      <c r="I390">
        <f>IF(H390=1,"Good","Bad")</f>
        <v/>
      </c>
      <c r="J390">
        <f>--(H390=E390)</f>
        <v/>
      </c>
    </row>
    <row r="391">
      <c r="D391">
        <f>German_Data!A391</f>
        <v/>
      </c>
      <c r="E391">
        <f>German_Data!G391</f>
        <v/>
      </c>
      <c r="F391">
        <f>--(German_Data!B391&lt;=$B$2)</f>
        <v/>
      </c>
      <c r="G391">
        <f>--(German_Data!C391&lt;=$B$3)</f>
        <v/>
      </c>
      <c r="H391">
        <f>IF(F391=1,IF(G391=1,IF(German_Data!D391=$B$4,0,1),IF(German_Data!E391=$B$5,0,1)),IF(German_Data!E391=$B$5,0,1))</f>
        <v/>
      </c>
      <c r="I391">
        <f>IF(H391=1,"Good","Bad")</f>
        <v/>
      </c>
      <c r="J391">
        <f>--(H391=E391)</f>
        <v/>
      </c>
    </row>
    <row r="392">
      <c r="D392">
        <f>German_Data!A392</f>
        <v/>
      </c>
      <c r="E392">
        <f>German_Data!G392</f>
        <v/>
      </c>
      <c r="F392">
        <f>--(German_Data!B392&lt;=$B$2)</f>
        <v/>
      </c>
      <c r="G392">
        <f>--(German_Data!C392&lt;=$B$3)</f>
        <v/>
      </c>
      <c r="H392">
        <f>IF(F392=1,IF(G392=1,IF(German_Data!D392=$B$4,0,1),IF(German_Data!E392=$B$5,0,1)),IF(German_Data!E392=$B$5,0,1))</f>
        <v/>
      </c>
      <c r="I392">
        <f>IF(H392=1,"Good","Bad")</f>
        <v/>
      </c>
      <c r="J392">
        <f>--(H392=E392)</f>
        <v/>
      </c>
    </row>
    <row r="393">
      <c r="D393">
        <f>German_Data!A393</f>
        <v/>
      </c>
      <c r="E393">
        <f>German_Data!G393</f>
        <v/>
      </c>
      <c r="F393">
        <f>--(German_Data!B393&lt;=$B$2)</f>
        <v/>
      </c>
      <c r="G393">
        <f>--(German_Data!C393&lt;=$B$3)</f>
        <v/>
      </c>
      <c r="H393">
        <f>IF(F393=1,IF(G393=1,IF(German_Data!D393=$B$4,0,1),IF(German_Data!E393=$B$5,0,1)),IF(German_Data!E393=$B$5,0,1))</f>
        <v/>
      </c>
      <c r="I393">
        <f>IF(H393=1,"Good","Bad")</f>
        <v/>
      </c>
      <c r="J393">
        <f>--(H393=E393)</f>
        <v/>
      </c>
    </row>
    <row r="394">
      <c r="D394">
        <f>German_Data!A394</f>
        <v/>
      </c>
      <c r="E394">
        <f>German_Data!G394</f>
        <v/>
      </c>
      <c r="F394">
        <f>--(German_Data!B394&lt;=$B$2)</f>
        <v/>
      </c>
      <c r="G394">
        <f>--(German_Data!C394&lt;=$B$3)</f>
        <v/>
      </c>
      <c r="H394">
        <f>IF(F394=1,IF(G394=1,IF(German_Data!D394=$B$4,0,1),IF(German_Data!E394=$B$5,0,1)),IF(German_Data!E394=$B$5,0,1))</f>
        <v/>
      </c>
      <c r="I394">
        <f>IF(H394=1,"Good","Bad")</f>
        <v/>
      </c>
      <c r="J394">
        <f>--(H394=E394)</f>
        <v/>
      </c>
    </row>
    <row r="395">
      <c r="D395">
        <f>German_Data!A395</f>
        <v/>
      </c>
      <c r="E395">
        <f>German_Data!G395</f>
        <v/>
      </c>
      <c r="F395">
        <f>--(German_Data!B395&lt;=$B$2)</f>
        <v/>
      </c>
      <c r="G395">
        <f>--(German_Data!C395&lt;=$B$3)</f>
        <v/>
      </c>
      <c r="H395">
        <f>IF(F395=1,IF(G395=1,IF(German_Data!D395=$B$4,0,1),IF(German_Data!E395=$B$5,0,1)),IF(German_Data!E395=$B$5,0,1))</f>
        <v/>
      </c>
      <c r="I395">
        <f>IF(H395=1,"Good","Bad")</f>
        <v/>
      </c>
      <c r="J395">
        <f>--(H395=E395)</f>
        <v/>
      </c>
    </row>
    <row r="396">
      <c r="D396">
        <f>German_Data!A396</f>
        <v/>
      </c>
      <c r="E396">
        <f>German_Data!G396</f>
        <v/>
      </c>
      <c r="F396">
        <f>--(German_Data!B396&lt;=$B$2)</f>
        <v/>
      </c>
      <c r="G396">
        <f>--(German_Data!C396&lt;=$B$3)</f>
        <v/>
      </c>
      <c r="H396">
        <f>IF(F396=1,IF(G396=1,IF(German_Data!D396=$B$4,0,1),IF(German_Data!E396=$B$5,0,1)),IF(German_Data!E396=$B$5,0,1))</f>
        <v/>
      </c>
      <c r="I396">
        <f>IF(H396=1,"Good","Bad")</f>
        <v/>
      </c>
      <c r="J396">
        <f>--(H396=E396)</f>
        <v/>
      </c>
    </row>
    <row r="397">
      <c r="D397">
        <f>German_Data!A397</f>
        <v/>
      </c>
      <c r="E397">
        <f>German_Data!G397</f>
        <v/>
      </c>
      <c r="F397">
        <f>--(German_Data!B397&lt;=$B$2)</f>
        <v/>
      </c>
      <c r="G397">
        <f>--(German_Data!C397&lt;=$B$3)</f>
        <v/>
      </c>
      <c r="H397">
        <f>IF(F397=1,IF(G397=1,IF(German_Data!D397=$B$4,0,1),IF(German_Data!E397=$B$5,0,1)),IF(German_Data!E397=$B$5,0,1))</f>
        <v/>
      </c>
      <c r="I397">
        <f>IF(H397=1,"Good","Bad")</f>
        <v/>
      </c>
      <c r="J397">
        <f>--(H397=E397)</f>
        <v/>
      </c>
    </row>
    <row r="398">
      <c r="D398">
        <f>German_Data!A398</f>
        <v/>
      </c>
      <c r="E398">
        <f>German_Data!G398</f>
        <v/>
      </c>
      <c r="F398">
        <f>--(German_Data!B398&lt;=$B$2)</f>
        <v/>
      </c>
      <c r="G398">
        <f>--(German_Data!C398&lt;=$B$3)</f>
        <v/>
      </c>
      <c r="H398">
        <f>IF(F398=1,IF(G398=1,IF(German_Data!D398=$B$4,0,1),IF(German_Data!E398=$B$5,0,1)),IF(German_Data!E398=$B$5,0,1))</f>
        <v/>
      </c>
      <c r="I398">
        <f>IF(H398=1,"Good","Bad")</f>
        <v/>
      </c>
      <c r="J398">
        <f>--(H398=E398)</f>
        <v/>
      </c>
    </row>
    <row r="399">
      <c r="D399">
        <f>German_Data!A399</f>
        <v/>
      </c>
      <c r="E399">
        <f>German_Data!G399</f>
        <v/>
      </c>
      <c r="F399">
        <f>--(German_Data!B399&lt;=$B$2)</f>
        <v/>
      </c>
      <c r="G399">
        <f>--(German_Data!C399&lt;=$B$3)</f>
        <v/>
      </c>
      <c r="H399">
        <f>IF(F399=1,IF(G399=1,IF(German_Data!D399=$B$4,0,1),IF(German_Data!E399=$B$5,0,1)),IF(German_Data!E399=$B$5,0,1))</f>
        <v/>
      </c>
      <c r="I399">
        <f>IF(H399=1,"Good","Bad")</f>
        <v/>
      </c>
      <c r="J399">
        <f>--(H399=E399)</f>
        <v/>
      </c>
    </row>
    <row r="400">
      <c r="D400">
        <f>German_Data!A400</f>
        <v/>
      </c>
      <c r="E400">
        <f>German_Data!G400</f>
        <v/>
      </c>
      <c r="F400">
        <f>--(German_Data!B400&lt;=$B$2)</f>
        <v/>
      </c>
      <c r="G400">
        <f>--(German_Data!C400&lt;=$B$3)</f>
        <v/>
      </c>
      <c r="H400">
        <f>IF(F400=1,IF(G400=1,IF(German_Data!D400=$B$4,0,1),IF(German_Data!E400=$B$5,0,1)),IF(German_Data!E400=$B$5,0,1))</f>
        <v/>
      </c>
      <c r="I400">
        <f>IF(H400=1,"Good","Bad")</f>
        <v/>
      </c>
      <c r="J400">
        <f>--(H400=E400)</f>
        <v/>
      </c>
    </row>
    <row r="401">
      <c r="D401">
        <f>German_Data!A401</f>
        <v/>
      </c>
      <c r="E401">
        <f>German_Data!G401</f>
        <v/>
      </c>
      <c r="F401">
        <f>--(German_Data!B401&lt;=$B$2)</f>
        <v/>
      </c>
      <c r="G401">
        <f>--(German_Data!C401&lt;=$B$3)</f>
        <v/>
      </c>
      <c r="H401">
        <f>IF(F401=1,IF(G401=1,IF(German_Data!D401=$B$4,0,1),IF(German_Data!E401=$B$5,0,1)),IF(German_Data!E401=$B$5,0,1))</f>
        <v/>
      </c>
      <c r="I401">
        <f>IF(H401=1,"Good","Bad")</f>
        <v/>
      </c>
      <c r="J401">
        <f>--(H401=E401)</f>
        <v/>
      </c>
    </row>
    <row r="402">
      <c r="D402">
        <f>German_Data!A402</f>
        <v/>
      </c>
      <c r="E402">
        <f>German_Data!G402</f>
        <v/>
      </c>
      <c r="F402">
        <f>--(German_Data!B402&lt;=$B$2)</f>
        <v/>
      </c>
      <c r="G402">
        <f>--(German_Data!C402&lt;=$B$3)</f>
        <v/>
      </c>
      <c r="H402">
        <f>IF(F402=1,IF(G402=1,IF(German_Data!D402=$B$4,0,1),IF(German_Data!E402=$B$5,0,1)),IF(German_Data!E402=$B$5,0,1))</f>
        <v/>
      </c>
      <c r="I402">
        <f>IF(H402=1,"Good","Bad")</f>
        <v/>
      </c>
      <c r="J402">
        <f>--(H402=E402)</f>
        <v/>
      </c>
    </row>
    <row r="403">
      <c r="D403">
        <f>German_Data!A403</f>
        <v/>
      </c>
      <c r="E403">
        <f>German_Data!G403</f>
        <v/>
      </c>
      <c r="F403">
        <f>--(German_Data!B403&lt;=$B$2)</f>
        <v/>
      </c>
      <c r="G403">
        <f>--(German_Data!C403&lt;=$B$3)</f>
        <v/>
      </c>
      <c r="H403">
        <f>IF(F403=1,IF(G403=1,IF(German_Data!D403=$B$4,0,1),IF(German_Data!E403=$B$5,0,1)),IF(German_Data!E403=$B$5,0,1))</f>
        <v/>
      </c>
      <c r="I403">
        <f>IF(H403=1,"Good","Bad")</f>
        <v/>
      </c>
      <c r="J403">
        <f>--(H403=E403)</f>
        <v/>
      </c>
    </row>
    <row r="404">
      <c r="D404">
        <f>German_Data!A404</f>
        <v/>
      </c>
      <c r="E404">
        <f>German_Data!G404</f>
        <v/>
      </c>
      <c r="F404">
        <f>--(German_Data!B404&lt;=$B$2)</f>
        <v/>
      </c>
      <c r="G404">
        <f>--(German_Data!C404&lt;=$B$3)</f>
        <v/>
      </c>
      <c r="H404">
        <f>IF(F404=1,IF(G404=1,IF(German_Data!D404=$B$4,0,1),IF(German_Data!E404=$B$5,0,1)),IF(German_Data!E404=$B$5,0,1))</f>
        <v/>
      </c>
      <c r="I404">
        <f>IF(H404=1,"Good","Bad")</f>
        <v/>
      </c>
      <c r="J404">
        <f>--(H404=E404)</f>
        <v/>
      </c>
    </row>
    <row r="405">
      <c r="D405">
        <f>German_Data!A405</f>
        <v/>
      </c>
      <c r="E405">
        <f>German_Data!G405</f>
        <v/>
      </c>
      <c r="F405">
        <f>--(German_Data!B405&lt;=$B$2)</f>
        <v/>
      </c>
      <c r="G405">
        <f>--(German_Data!C405&lt;=$B$3)</f>
        <v/>
      </c>
      <c r="H405">
        <f>IF(F405=1,IF(G405=1,IF(German_Data!D405=$B$4,0,1),IF(German_Data!E405=$B$5,0,1)),IF(German_Data!E405=$B$5,0,1))</f>
        <v/>
      </c>
      <c r="I405">
        <f>IF(H405=1,"Good","Bad")</f>
        <v/>
      </c>
      <c r="J405">
        <f>--(H405=E405)</f>
        <v/>
      </c>
    </row>
    <row r="406">
      <c r="D406">
        <f>German_Data!A406</f>
        <v/>
      </c>
      <c r="E406">
        <f>German_Data!G406</f>
        <v/>
      </c>
      <c r="F406">
        <f>--(German_Data!B406&lt;=$B$2)</f>
        <v/>
      </c>
      <c r="G406">
        <f>--(German_Data!C406&lt;=$B$3)</f>
        <v/>
      </c>
      <c r="H406">
        <f>IF(F406=1,IF(G406=1,IF(German_Data!D406=$B$4,0,1),IF(German_Data!E406=$B$5,0,1)),IF(German_Data!E406=$B$5,0,1))</f>
        <v/>
      </c>
      <c r="I406">
        <f>IF(H406=1,"Good","Bad")</f>
        <v/>
      </c>
      <c r="J406">
        <f>--(H406=E406)</f>
        <v/>
      </c>
    </row>
    <row r="407">
      <c r="D407">
        <f>German_Data!A407</f>
        <v/>
      </c>
      <c r="E407">
        <f>German_Data!G407</f>
        <v/>
      </c>
      <c r="F407">
        <f>--(German_Data!B407&lt;=$B$2)</f>
        <v/>
      </c>
      <c r="G407">
        <f>--(German_Data!C407&lt;=$B$3)</f>
        <v/>
      </c>
      <c r="H407">
        <f>IF(F407=1,IF(G407=1,IF(German_Data!D407=$B$4,0,1),IF(German_Data!E407=$B$5,0,1)),IF(German_Data!E407=$B$5,0,1))</f>
        <v/>
      </c>
      <c r="I407">
        <f>IF(H407=1,"Good","Bad")</f>
        <v/>
      </c>
      <c r="J407">
        <f>--(H407=E407)</f>
        <v/>
      </c>
    </row>
    <row r="408">
      <c r="D408">
        <f>German_Data!A408</f>
        <v/>
      </c>
      <c r="E408">
        <f>German_Data!G408</f>
        <v/>
      </c>
      <c r="F408">
        <f>--(German_Data!B408&lt;=$B$2)</f>
        <v/>
      </c>
      <c r="G408">
        <f>--(German_Data!C408&lt;=$B$3)</f>
        <v/>
      </c>
      <c r="H408">
        <f>IF(F408=1,IF(G408=1,IF(German_Data!D408=$B$4,0,1),IF(German_Data!E408=$B$5,0,1)),IF(German_Data!E408=$B$5,0,1))</f>
        <v/>
      </c>
      <c r="I408">
        <f>IF(H408=1,"Good","Bad")</f>
        <v/>
      </c>
      <c r="J408">
        <f>--(H408=E408)</f>
        <v/>
      </c>
    </row>
    <row r="409">
      <c r="D409">
        <f>German_Data!A409</f>
        <v/>
      </c>
      <c r="E409">
        <f>German_Data!G409</f>
        <v/>
      </c>
      <c r="F409">
        <f>--(German_Data!B409&lt;=$B$2)</f>
        <v/>
      </c>
      <c r="G409">
        <f>--(German_Data!C409&lt;=$B$3)</f>
        <v/>
      </c>
      <c r="H409">
        <f>IF(F409=1,IF(G409=1,IF(German_Data!D409=$B$4,0,1),IF(German_Data!E409=$B$5,0,1)),IF(German_Data!E409=$B$5,0,1))</f>
        <v/>
      </c>
      <c r="I409">
        <f>IF(H409=1,"Good","Bad")</f>
        <v/>
      </c>
      <c r="J409">
        <f>--(H409=E409)</f>
        <v/>
      </c>
    </row>
    <row r="410">
      <c r="D410">
        <f>German_Data!A410</f>
        <v/>
      </c>
      <c r="E410">
        <f>German_Data!G410</f>
        <v/>
      </c>
      <c r="F410">
        <f>--(German_Data!B410&lt;=$B$2)</f>
        <v/>
      </c>
      <c r="G410">
        <f>--(German_Data!C410&lt;=$B$3)</f>
        <v/>
      </c>
      <c r="H410">
        <f>IF(F410=1,IF(G410=1,IF(German_Data!D410=$B$4,0,1),IF(German_Data!E410=$B$5,0,1)),IF(German_Data!E410=$B$5,0,1))</f>
        <v/>
      </c>
      <c r="I410">
        <f>IF(H410=1,"Good","Bad")</f>
        <v/>
      </c>
      <c r="J410">
        <f>--(H410=E410)</f>
        <v/>
      </c>
    </row>
    <row r="411">
      <c r="D411">
        <f>German_Data!A411</f>
        <v/>
      </c>
      <c r="E411">
        <f>German_Data!G411</f>
        <v/>
      </c>
      <c r="F411">
        <f>--(German_Data!B411&lt;=$B$2)</f>
        <v/>
      </c>
      <c r="G411">
        <f>--(German_Data!C411&lt;=$B$3)</f>
        <v/>
      </c>
      <c r="H411">
        <f>IF(F411=1,IF(G411=1,IF(German_Data!D411=$B$4,0,1),IF(German_Data!E411=$B$5,0,1)),IF(German_Data!E411=$B$5,0,1))</f>
        <v/>
      </c>
      <c r="I411">
        <f>IF(H411=1,"Good","Bad")</f>
        <v/>
      </c>
      <c r="J411">
        <f>--(H411=E411)</f>
        <v/>
      </c>
    </row>
    <row r="412">
      <c r="D412">
        <f>German_Data!A412</f>
        <v/>
      </c>
      <c r="E412">
        <f>German_Data!G412</f>
        <v/>
      </c>
      <c r="F412">
        <f>--(German_Data!B412&lt;=$B$2)</f>
        <v/>
      </c>
      <c r="G412">
        <f>--(German_Data!C412&lt;=$B$3)</f>
        <v/>
      </c>
      <c r="H412">
        <f>IF(F412=1,IF(G412=1,IF(German_Data!D412=$B$4,0,1),IF(German_Data!E412=$B$5,0,1)),IF(German_Data!E412=$B$5,0,1))</f>
        <v/>
      </c>
      <c r="I412">
        <f>IF(H412=1,"Good","Bad")</f>
        <v/>
      </c>
      <c r="J412">
        <f>--(H412=E412)</f>
        <v/>
      </c>
    </row>
    <row r="413">
      <c r="D413">
        <f>German_Data!A413</f>
        <v/>
      </c>
      <c r="E413">
        <f>German_Data!G413</f>
        <v/>
      </c>
      <c r="F413">
        <f>--(German_Data!B413&lt;=$B$2)</f>
        <v/>
      </c>
      <c r="G413">
        <f>--(German_Data!C413&lt;=$B$3)</f>
        <v/>
      </c>
      <c r="H413">
        <f>IF(F413=1,IF(G413=1,IF(German_Data!D413=$B$4,0,1),IF(German_Data!E413=$B$5,0,1)),IF(German_Data!E413=$B$5,0,1))</f>
        <v/>
      </c>
      <c r="I413">
        <f>IF(H413=1,"Good","Bad")</f>
        <v/>
      </c>
      <c r="J413">
        <f>--(H413=E413)</f>
        <v/>
      </c>
    </row>
    <row r="414">
      <c r="D414">
        <f>German_Data!A414</f>
        <v/>
      </c>
      <c r="E414">
        <f>German_Data!G414</f>
        <v/>
      </c>
      <c r="F414">
        <f>--(German_Data!B414&lt;=$B$2)</f>
        <v/>
      </c>
      <c r="G414">
        <f>--(German_Data!C414&lt;=$B$3)</f>
        <v/>
      </c>
      <c r="H414">
        <f>IF(F414=1,IF(G414=1,IF(German_Data!D414=$B$4,0,1),IF(German_Data!E414=$B$5,0,1)),IF(German_Data!E414=$B$5,0,1))</f>
        <v/>
      </c>
      <c r="I414">
        <f>IF(H414=1,"Good","Bad")</f>
        <v/>
      </c>
      <c r="J414">
        <f>--(H414=E414)</f>
        <v/>
      </c>
    </row>
    <row r="415">
      <c r="D415">
        <f>German_Data!A415</f>
        <v/>
      </c>
      <c r="E415">
        <f>German_Data!G415</f>
        <v/>
      </c>
      <c r="F415">
        <f>--(German_Data!B415&lt;=$B$2)</f>
        <v/>
      </c>
      <c r="G415">
        <f>--(German_Data!C415&lt;=$B$3)</f>
        <v/>
      </c>
      <c r="H415">
        <f>IF(F415=1,IF(G415=1,IF(German_Data!D415=$B$4,0,1),IF(German_Data!E415=$B$5,0,1)),IF(German_Data!E415=$B$5,0,1))</f>
        <v/>
      </c>
      <c r="I415">
        <f>IF(H415=1,"Good","Bad")</f>
        <v/>
      </c>
      <c r="J415">
        <f>--(H415=E415)</f>
        <v/>
      </c>
    </row>
    <row r="416">
      <c r="D416">
        <f>German_Data!A416</f>
        <v/>
      </c>
      <c r="E416">
        <f>German_Data!G416</f>
        <v/>
      </c>
      <c r="F416">
        <f>--(German_Data!B416&lt;=$B$2)</f>
        <v/>
      </c>
      <c r="G416">
        <f>--(German_Data!C416&lt;=$B$3)</f>
        <v/>
      </c>
      <c r="H416">
        <f>IF(F416=1,IF(G416=1,IF(German_Data!D416=$B$4,0,1),IF(German_Data!E416=$B$5,0,1)),IF(German_Data!E416=$B$5,0,1))</f>
        <v/>
      </c>
      <c r="I416">
        <f>IF(H416=1,"Good","Bad")</f>
        <v/>
      </c>
      <c r="J416">
        <f>--(H416=E416)</f>
        <v/>
      </c>
    </row>
    <row r="417">
      <c r="D417">
        <f>German_Data!A417</f>
        <v/>
      </c>
      <c r="E417">
        <f>German_Data!G417</f>
        <v/>
      </c>
      <c r="F417">
        <f>--(German_Data!B417&lt;=$B$2)</f>
        <v/>
      </c>
      <c r="G417">
        <f>--(German_Data!C417&lt;=$B$3)</f>
        <v/>
      </c>
      <c r="H417">
        <f>IF(F417=1,IF(G417=1,IF(German_Data!D417=$B$4,0,1),IF(German_Data!E417=$B$5,0,1)),IF(German_Data!E417=$B$5,0,1))</f>
        <v/>
      </c>
      <c r="I417">
        <f>IF(H417=1,"Good","Bad")</f>
        <v/>
      </c>
      <c r="J417">
        <f>--(H417=E417)</f>
        <v/>
      </c>
    </row>
    <row r="418">
      <c r="D418">
        <f>German_Data!A418</f>
        <v/>
      </c>
      <c r="E418">
        <f>German_Data!G418</f>
        <v/>
      </c>
      <c r="F418">
        <f>--(German_Data!B418&lt;=$B$2)</f>
        <v/>
      </c>
      <c r="G418">
        <f>--(German_Data!C418&lt;=$B$3)</f>
        <v/>
      </c>
      <c r="H418">
        <f>IF(F418=1,IF(G418=1,IF(German_Data!D418=$B$4,0,1),IF(German_Data!E418=$B$5,0,1)),IF(German_Data!E418=$B$5,0,1))</f>
        <v/>
      </c>
      <c r="I418">
        <f>IF(H418=1,"Good","Bad")</f>
        <v/>
      </c>
      <c r="J418">
        <f>--(H418=E418)</f>
        <v/>
      </c>
    </row>
    <row r="419">
      <c r="D419">
        <f>German_Data!A419</f>
        <v/>
      </c>
      <c r="E419">
        <f>German_Data!G419</f>
        <v/>
      </c>
      <c r="F419">
        <f>--(German_Data!B419&lt;=$B$2)</f>
        <v/>
      </c>
      <c r="G419">
        <f>--(German_Data!C419&lt;=$B$3)</f>
        <v/>
      </c>
      <c r="H419">
        <f>IF(F419=1,IF(G419=1,IF(German_Data!D419=$B$4,0,1),IF(German_Data!E419=$B$5,0,1)),IF(German_Data!E419=$B$5,0,1))</f>
        <v/>
      </c>
      <c r="I419">
        <f>IF(H419=1,"Good","Bad")</f>
        <v/>
      </c>
      <c r="J419">
        <f>--(H419=E419)</f>
        <v/>
      </c>
    </row>
    <row r="420">
      <c r="D420">
        <f>German_Data!A420</f>
        <v/>
      </c>
      <c r="E420">
        <f>German_Data!G420</f>
        <v/>
      </c>
      <c r="F420">
        <f>--(German_Data!B420&lt;=$B$2)</f>
        <v/>
      </c>
      <c r="G420">
        <f>--(German_Data!C420&lt;=$B$3)</f>
        <v/>
      </c>
      <c r="H420">
        <f>IF(F420=1,IF(G420=1,IF(German_Data!D420=$B$4,0,1),IF(German_Data!E420=$B$5,0,1)),IF(German_Data!E420=$B$5,0,1))</f>
        <v/>
      </c>
      <c r="I420">
        <f>IF(H420=1,"Good","Bad")</f>
        <v/>
      </c>
      <c r="J420">
        <f>--(H420=E420)</f>
        <v/>
      </c>
    </row>
    <row r="421">
      <c r="D421">
        <f>German_Data!A421</f>
        <v/>
      </c>
      <c r="E421">
        <f>German_Data!G421</f>
        <v/>
      </c>
      <c r="F421">
        <f>--(German_Data!B421&lt;=$B$2)</f>
        <v/>
      </c>
      <c r="G421">
        <f>--(German_Data!C421&lt;=$B$3)</f>
        <v/>
      </c>
      <c r="H421">
        <f>IF(F421=1,IF(G421=1,IF(German_Data!D421=$B$4,0,1),IF(German_Data!E421=$B$5,0,1)),IF(German_Data!E421=$B$5,0,1))</f>
        <v/>
      </c>
      <c r="I421">
        <f>IF(H421=1,"Good","Bad")</f>
        <v/>
      </c>
      <c r="J421">
        <f>--(H421=E421)</f>
        <v/>
      </c>
    </row>
    <row r="422">
      <c r="D422">
        <f>German_Data!A422</f>
        <v/>
      </c>
      <c r="E422">
        <f>German_Data!G422</f>
        <v/>
      </c>
      <c r="F422">
        <f>--(German_Data!B422&lt;=$B$2)</f>
        <v/>
      </c>
      <c r="G422">
        <f>--(German_Data!C422&lt;=$B$3)</f>
        <v/>
      </c>
      <c r="H422">
        <f>IF(F422=1,IF(G422=1,IF(German_Data!D422=$B$4,0,1),IF(German_Data!E422=$B$5,0,1)),IF(German_Data!E422=$B$5,0,1))</f>
        <v/>
      </c>
      <c r="I422">
        <f>IF(H422=1,"Good","Bad")</f>
        <v/>
      </c>
      <c r="J422">
        <f>--(H422=E422)</f>
        <v/>
      </c>
    </row>
    <row r="423">
      <c r="D423">
        <f>German_Data!A423</f>
        <v/>
      </c>
      <c r="E423">
        <f>German_Data!G423</f>
        <v/>
      </c>
      <c r="F423">
        <f>--(German_Data!B423&lt;=$B$2)</f>
        <v/>
      </c>
      <c r="G423">
        <f>--(German_Data!C423&lt;=$B$3)</f>
        <v/>
      </c>
      <c r="H423">
        <f>IF(F423=1,IF(G423=1,IF(German_Data!D423=$B$4,0,1),IF(German_Data!E423=$B$5,0,1)),IF(German_Data!E423=$B$5,0,1))</f>
        <v/>
      </c>
      <c r="I423">
        <f>IF(H423=1,"Good","Bad")</f>
        <v/>
      </c>
      <c r="J423">
        <f>--(H423=E423)</f>
        <v/>
      </c>
    </row>
    <row r="424">
      <c r="D424">
        <f>German_Data!A424</f>
        <v/>
      </c>
      <c r="E424">
        <f>German_Data!G424</f>
        <v/>
      </c>
      <c r="F424">
        <f>--(German_Data!B424&lt;=$B$2)</f>
        <v/>
      </c>
      <c r="G424">
        <f>--(German_Data!C424&lt;=$B$3)</f>
        <v/>
      </c>
      <c r="H424">
        <f>IF(F424=1,IF(G424=1,IF(German_Data!D424=$B$4,0,1),IF(German_Data!E424=$B$5,0,1)),IF(German_Data!E424=$B$5,0,1))</f>
        <v/>
      </c>
      <c r="I424">
        <f>IF(H424=1,"Good","Bad")</f>
        <v/>
      </c>
      <c r="J424">
        <f>--(H424=E424)</f>
        <v/>
      </c>
    </row>
    <row r="425">
      <c r="D425">
        <f>German_Data!A425</f>
        <v/>
      </c>
      <c r="E425">
        <f>German_Data!G425</f>
        <v/>
      </c>
      <c r="F425">
        <f>--(German_Data!B425&lt;=$B$2)</f>
        <v/>
      </c>
      <c r="G425">
        <f>--(German_Data!C425&lt;=$B$3)</f>
        <v/>
      </c>
      <c r="H425">
        <f>IF(F425=1,IF(G425=1,IF(German_Data!D425=$B$4,0,1),IF(German_Data!E425=$B$5,0,1)),IF(German_Data!E425=$B$5,0,1))</f>
        <v/>
      </c>
      <c r="I425">
        <f>IF(H425=1,"Good","Bad")</f>
        <v/>
      </c>
      <c r="J425">
        <f>--(H425=E425)</f>
        <v/>
      </c>
    </row>
    <row r="426">
      <c r="D426">
        <f>German_Data!A426</f>
        <v/>
      </c>
      <c r="E426">
        <f>German_Data!G426</f>
        <v/>
      </c>
      <c r="F426">
        <f>--(German_Data!B426&lt;=$B$2)</f>
        <v/>
      </c>
      <c r="G426">
        <f>--(German_Data!C426&lt;=$B$3)</f>
        <v/>
      </c>
      <c r="H426">
        <f>IF(F426=1,IF(G426=1,IF(German_Data!D426=$B$4,0,1),IF(German_Data!E426=$B$5,0,1)),IF(German_Data!E426=$B$5,0,1))</f>
        <v/>
      </c>
      <c r="I426">
        <f>IF(H426=1,"Good","Bad")</f>
        <v/>
      </c>
      <c r="J426">
        <f>--(H426=E426)</f>
        <v/>
      </c>
    </row>
    <row r="427">
      <c r="D427">
        <f>German_Data!A427</f>
        <v/>
      </c>
      <c r="E427">
        <f>German_Data!G427</f>
        <v/>
      </c>
      <c r="F427">
        <f>--(German_Data!B427&lt;=$B$2)</f>
        <v/>
      </c>
      <c r="G427">
        <f>--(German_Data!C427&lt;=$B$3)</f>
        <v/>
      </c>
      <c r="H427">
        <f>IF(F427=1,IF(G427=1,IF(German_Data!D427=$B$4,0,1),IF(German_Data!E427=$B$5,0,1)),IF(German_Data!E427=$B$5,0,1))</f>
        <v/>
      </c>
      <c r="I427">
        <f>IF(H427=1,"Good","Bad")</f>
        <v/>
      </c>
      <c r="J427">
        <f>--(H427=E427)</f>
        <v/>
      </c>
    </row>
    <row r="428">
      <c r="D428">
        <f>German_Data!A428</f>
        <v/>
      </c>
      <c r="E428">
        <f>German_Data!G428</f>
        <v/>
      </c>
      <c r="F428">
        <f>--(German_Data!B428&lt;=$B$2)</f>
        <v/>
      </c>
      <c r="G428">
        <f>--(German_Data!C428&lt;=$B$3)</f>
        <v/>
      </c>
      <c r="H428">
        <f>IF(F428=1,IF(G428=1,IF(German_Data!D428=$B$4,0,1),IF(German_Data!E428=$B$5,0,1)),IF(German_Data!E428=$B$5,0,1))</f>
        <v/>
      </c>
      <c r="I428">
        <f>IF(H428=1,"Good","Bad")</f>
        <v/>
      </c>
      <c r="J428">
        <f>--(H428=E428)</f>
        <v/>
      </c>
    </row>
    <row r="429">
      <c r="D429">
        <f>German_Data!A429</f>
        <v/>
      </c>
      <c r="E429">
        <f>German_Data!G429</f>
        <v/>
      </c>
      <c r="F429">
        <f>--(German_Data!B429&lt;=$B$2)</f>
        <v/>
      </c>
      <c r="G429">
        <f>--(German_Data!C429&lt;=$B$3)</f>
        <v/>
      </c>
      <c r="H429">
        <f>IF(F429=1,IF(G429=1,IF(German_Data!D429=$B$4,0,1),IF(German_Data!E429=$B$5,0,1)),IF(German_Data!E429=$B$5,0,1))</f>
        <v/>
      </c>
      <c r="I429">
        <f>IF(H429=1,"Good","Bad")</f>
        <v/>
      </c>
      <c r="J429">
        <f>--(H429=E429)</f>
        <v/>
      </c>
    </row>
    <row r="430">
      <c r="D430">
        <f>German_Data!A430</f>
        <v/>
      </c>
      <c r="E430">
        <f>German_Data!G430</f>
        <v/>
      </c>
      <c r="F430">
        <f>--(German_Data!B430&lt;=$B$2)</f>
        <v/>
      </c>
      <c r="G430">
        <f>--(German_Data!C430&lt;=$B$3)</f>
        <v/>
      </c>
      <c r="H430">
        <f>IF(F430=1,IF(G430=1,IF(German_Data!D430=$B$4,0,1),IF(German_Data!E430=$B$5,0,1)),IF(German_Data!E430=$B$5,0,1))</f>
        <v/>
      </c>
      <c r="I430">
        <f>IF(H430=1,"Good","Bad")</f>
        <v/>
      </c>
      <c r="J430">
        <f>--(H430=E430)</f>
        <v/>
      </c>
    </row>
    <row r="431">
      <c r="D431">
        <f>German_Data!A431</f>
        <v/>
      </c>
      <c r="E431">
        <f>German_Data!G431</f>
        <v/>
      </c>
      <c r="F431">
        <f>--(German_Data!B431&lt;=$B$2)</f>
        <v/>
      </c>
      <c r="G431">
        <f>--(German_Data!C431&lt;=$B$3)</f>
        <v/>
      </c>
      <c r="H431">
        <f>IF(F431=1,IF(G431=1,IF(German_Data!D431=$B$4,0,1),IF(German_Data!E431=$B$5,0,1)),IF(German_Data!E431=$B$5,0,1))</f>
        <v/>
      </c>
      <c r="I431">
        <f>IF(H431=1,"Good","Bad")</f>
        <v/>
      </c>
      <c r="J431">
        <f>--(H431=E431)</f>
        <v/>
      </c>
    </row>
    <row r="432">
      <c r="D432">
        <f>German_Data!A432</f>
        <v/>
      </c>
      <c r="E432">
        <f>German_Data!G432</f>
        <v/>
      </c>
      <c r="F432">
        <f>--(German_Data!B432&lt;=$B$2)</f>
        <v/>
      </c>
      <c r="G432">
        <f>--(German_Data!C432&lt;=$B$3)</f>
        <v/>
      </c>
      <c r="H432">
        <f>IF(F432=1,IF(G432=1,IF(German_Data!D432=$B$4,0,1),IF(German_Data!E432=$B$5,0,1)),IF(German_Data!E432=$B$5,0,1))</f>
        <v/>
      </c>
      <c r="I432">
        <f>IF(H432=1,"Good","Bad")</f>
        <v/>
      </c>
      <c r="J432">
        <f>--(H432=E432)</f>
        <v/>
      </c>
    </row>
    <row r="433">
      <c r="D433">
        <f>German_Data!A433</f>
        <v/>
      </c>
      <c r="E433">
        <f>German_Data!G433</f>
        <v/>
      </c>
      <c r="F433">
        <f>--(German_Data!B433&lt;=$B$2)</f>
        <v/>
      </c>
      <c r="G433">
        <f>--(German_Data!C433&lt;=$B$3)</f>
        <v/>
      </c>
      <c r="H433">
        <f>IF(F433=1,IF(G433=1,IF(German_Data!D433=$B$4,0,1),IF(German_Data!E433=$B$5,0,1)),IF(German_Data!E433=$B$5,0,1))</f>
        <v/>
      </c>
      <c r="I433">
        <f>IF(H433=1,"Good","Bad")</f>
        <v/>
      </c>
      <c r="J433">
        <f>--(H433=E433)</f>
        <v/>
      </c>
    </row>
    <row r="434">
      <c r="D434">
        <f>German_Data!A434</f>
        <v/>
      </c>
      <c r="E434">
        <f>German_Data!G434</f>
        <v/>
      </c>
      <c r="F434">
        <f>--(German_Data!B434&lt;=$B$2)</f>
        <v/>
      </c>
      <c r="G434">
        <f>--(German_Data!C434&lt;=$B$3)</f>
        <v/>
      </c>
      <c r="H434">
        <f>IF(F434=1,IF(G434=1,IF(German_Data!D434=$B$4,0,1),IF(German_Data!E434=$B$5,0,1)),IF(German_Data!E434=$B$5,0,1))</f>
        <v/>
      </c>
      <c r="I434">
        <f>IF(H434=1,"Good","Bad")</f>
        <v/>
      </c>
      <c r="J434">
        <f>--(H434=E434)</f>
        <v/>
      </c>
    </row>
    <row r="435">
      <c r="D435">
        <f>German_Data!A435</f>
        <v/>
      </c>
      <c r="E435">
        <f>German_Data!G435</f>
        <v/>
      </c>
      <c r="F435">
        <f>--(German_Data!B435&lt;=$B$2)</f>
        <v/>
      </c>
      <c r="G435">
        <f>--(German_Data!C435&lt;=$B$3)</f>
        <v/>
      </c>
      <c r="H435">
        <f>IF(F435=1,IF(G435=1,IF(German_Data!D435=$B$4,0,1),IF(German_Data!E435=$B$5,0,1)),IF(German_Data!E435=$B$5,0,1))</f>
        <v/>
      </c>
      <c r="I435">
        <f>IF(H435=1,"Good","Bad")</f>
        <v/>
      </c>
      <c r="J435">
        <f>--(H435=E435)</f>
        <v/>
      </c>
    </row>
    <row r="436">
      <c r="D436">
        <f>German_Data!A436</f>
        <v/>
      </c>
      <c r="E436">
        <f>German_Data!G436</f>
        <v/>
      </c>
      <c r="F436">
        <f>--(German_Data!B436&lt;=$B$2)</f>
        <v/>
      </c>
      <c r="G436">
        <f>--(German_Data!C436&lt;=$B$3)</f>
        <v/>
      </c>
      <c r="H436">
        <f>IF(F436=1,IF(G436=1,IF(German_Data!D436=$B$4,0,1),IF(German_Data!E436=$B$5,0,1)),IF(German_Data!E436=$B$5,0,1))</f>
        <v/>
      </c>
      <c r="I436">
        <f>IF(H436=1,"Good","Bad")</f>
        <v/>
      </c>
      <c r="J436">
        <f>--(H436=E436)</f>
        <v/>
      </c>
    </row>
    <row r="437">
      <c r="D437">
        <f>German_Data!A437</f>
        <v/>
      </c>
      <c r="E437">
        <f>German_Data!G437</f>
        <v/>
      </c>
      <c r="F437">
        <f>--(German_Data!B437&lt;=$B$2)</f>
        <v/>
      </c>
      <c r="G437">
        <f>--(German_Data!C437&lt;=$B$3)</f>
        <v/>
      </c>
      <c r="H437">
        <f>IF(F437=1,IF(G437=1,IF(German_Data!D437=$B$4,0,1),IF(German_Data!E437=$B$5,0,1)),IF(German_Data!E437=$B$5,0,1))</f>
        <v/>
      </c>
      <c r="I437">
        <f>IF(H437=1,"Good","Bad")</f>
        <v/>
      </c>
      <c r="J437">
        <f>--(H437=E437)</f>
        <v/>
      </c>
    </row>
    <row r="438">
      <c r="D438">
        <f>German_Data!A438</f>
        <v/>
      </c>
      <c r="E438">
        <f>German_Data!G438</f>
        <v/>
      </c>
      <c r="F438">
        <f>--(German_Data!B438&lt;=$B$2)</f>
        <v/>
      </c>
      <c r="G438">
        <f>--(German_Data!C438&lt;=$B$3)</f>
        <v/>
      </c>
      <c r="H438">
        <f>IF(F438=1,IF(G438=1,IF(German_Data!D438=$B$4,0,1),IF(German_Data!E438=$B$5,0,1)),IF(German_Data!E438=$B$5,0,1))</f>
        <v/>
      </c>
      <c r="I438">
        <f>IF(H438=1,"Good","Bad")</f>
        <v/>
      </c>
      <c r="J438">
        <f>--(H438=E438)</f>
        <v/>
      </c>
    </row>
    <row r="439">
      <c r="D439">
        <f>German_Data!A439</f>
        <v/>
      </c>
      <c r="E439">
        <f>German_Data!G439</f>
        <v/>
      </c>
      <c r="F439">
        <f>--(German_Data!B439&lt;=$B$2)</f>
        <v/>
      </c>
      <c r="G439">
        <f>--(German_Data!C439&lt;=$B$3)</f>
        <v/>
      </c>
      <c r="H439">
        <f>IF(F439=1,IF(G439=1,IF(German_Data!D439=$B$4,0,1),IF(German_Data!E439=$B$5,0,1)),IF(German_Data!E439=$B$5,0,1))</f>
        <v/>
      </c>
      <c r="I439">
        <f>IF(H439=1,"Good","Bad")</f>
        <v/>
      </c>
      <c r="J439">
        <f>--(H439=E439)</f>
        <v/>
      </c>
    </row>
    <row r="440">
      <c r="D440">
        <f>German_Data!A440</f>
        <v/>
      </c>
      <c r="E440">
        <f>German_Data!G440</f>
        <v/>
      </c>
      <c r="F440">
        <f>--(German_Data!B440&lt;=$B$2)</f>
        <v/>
      </c>
      <c r="G440">
        <f>--(German_Data!C440&lt;=$B$3)</f>
        <v/>
      </c>
      <c r="H440">
        <f>IF(F440=1,IF(G440=1,IF(German_Data!D440=$B$4,0,1),IF(German_Data!E440=$B$5,0,1)),IF(German_Data!E440=$B$5,0,1))</f>
        <v/>
      </c>
      <c r="I440">
        <f>IF(H440=1,"Good","Bad")</f>
        <v/>
      </c>
      <c r="J440">
        <f>--(H440=E440)</f>
        <v/>
      </c>
    </row>
    <row r="441">
      <c r="D441">
        <f>German_Data!A441</f>
        <v/>
      </c>
      <c r="E441">
        <f>German_Data!G441</f>
        <v/>
      </c>
      <c r="F441">
        <f>--(German_Data!B441&lt;=$B$2)</f>
        <v/>
      </c>
      <c r="G441">
        <f>--(German_Data!C441&lt;=$B$3)</f>
        <v/>
      </c>
      <c r="H441">
        <f>IF(F441=1,IF(G441=1,IF(German_Data!D441=$B$4,0,1),IF(German_Data!E441=$B$5,0,1)),IF(German_Data!E441=$B$5,0,1))</f>
        <v/>
      </c>
      <c r="I441">
        <f>IF(H441=1,"Good","Bad")</f>
        <v/>
      </c>
      <c r="J441">
        <f>--(H441=E441)</f>
        <v/>
      </c>
    </row>
    <row r="442">
      <c r="D442">
        <f>German_Data!A442</f>
        <v/>
      </c>
      <c r="E442">
        <f>German_Data!G442</f>
        <v/>
      </c>
      <c r="F442">
        <f>--(German_Data!B442&lt;=$B$2)</f>
        <v/>
      </c>
      <c r="G442">
        <f>--(German_Data!C442&lt;=$B$3)</f>
        <v/>
      </c>
      <c r="H442">
        <f>IF(F442=1,IF(G442=1,IF(German_Data!D442=$B$4,0,1),IF(German_Data!E442=$B$5,0,1)),IF(German_Data!E442=$B$5,0,1))</f>
        <v/>
      </c>
      <c r="I442">
        <f>IF(H442=1,"Good","Bad")</f>
        <v/>
      </c>
      <c r="J442">
        <f>--(H442=E442)</f>
        <v/>
      </c>
    </row>
    <row r="443">
      <c r="D443">
        <f>German_Data!A443</f>
        <v/>
      </c>
      <c r="E443">
        <f>German_Data!G443</f>
        <v/>
      </c>
      <c r="F443">
        <f>--(German_Data!B443&lt;=$B$2)</f>
        <v/>
      </c>
      <c r="G443">
        <f>--(German_Data!C443&lt;=$B$3)</f>
        <v/>
      </c>
      <c r="H443">
        <f>IF(F443=1,IF(G443=1,IF(German_Data!D443=$B$4,0,1),IF(German_Data!E443=$B$5,0,1)),IF(German_Data!E443=$B$5,0,1))</f>
        <v/>
      </c>
      <c r="I443">
        <f>IF(H443=1,"Good","Bad")</f>
        <v/>
      </c>
      <c r="J443">
        <f>--(H443=E443)</f>
        <v/>
      </c>
    </row>
    <row r="444">
      <c r="D444">
        <f>German_Data!A444</f>
        <v/>
      </c>
      <c r="E444">
        <f>German_Data!G444</f>
        <v/>
      </c>
      <c r="F444">
        <f>--(German_Data!B444&lt;=$B$2)</f>
        <v/>
      </c>
      <c r="G444">
        <f>--(German_Data!C444&lt;=$B$3)</f>
        <v/>
      </c>
      <c r="H444">
        <f>IF(F444=1,IF(G444=1,IF(German_Data!D444=$B$4,0,1),IF(German_Data!E444=$B$5,0,1)),IF(German_Data!E444=$B$5,0,1))</f>
        <v/>
      </c>
      <c r="I444">
        <f>IF(H444=1,"Good","Bad")</f>
        <v/>
      </c>
      <c r="J444">
        <f>--(H444=E444)</f>
        <v/>
      </c>
    </row>
    <row r="445">
      <c r="D445">
        <f>German_Data!A445</f>
        <v/>
      </c>
      <c r="E445">
        <f>German_Data!G445</f>
        <v/>
      </c>
      <c r="F445">
        <f>--(German_Data!B445&lt;=$B$2)</f>
        <v/>
      </c>
      <c r="G445">
        <f>--(German_Data!C445&lt;=$B$3)</f>
        <v/>
      </c>
      <c r="H445">
        <f>IF(F445=1,IF(G445=1,IF(German_Data!D445=$B$4,0,1),IF(German_Data!E445=$B$5,0,1)),IF(German_Data!E445=$B$5,0,1))</f>
        <v/>
      </c>
      <c r="I445">
        <f>IF(H445=1,"Good","Bad")</f>
        <v/>
      </c>
      <c r="J445">
        <f>--(H445=E445)</f>
        <v/>
      </c>
    </row>
    <row r="446">
      <c r="D446">
        <f>German_Data!A446</f>
        <v/>
      </c>
      <c r="E446">
        <f>German_Data!G446</f>
        <v/>
      </c>
      <c r="F446">
        <f>--(German_Data!B446&lt;=$B$2)</f>
        <v/>
      </c>
      <c r="G446">
        <f>--(German_Data!C446&lt;=$B$3)</f>
        <v/>
      </c>
      <c r="H446">
        <f>IF(F446=1,IF(G446=1,IF(German_Data!D446=$B$4,0,1),IF(German_Data!E446=$B$5,0,1)),IF(German_Data!E446=$B$5,0,1))</f>
        <v/>
      </c>
      <c r="I446">
        <f>IF(H446=1,"Good","Bad")</f>
        <v/>
      </c>
      <c r="J446">
        <f>--(H446=E446)</f>
        <v/>
      </c>
    </row>
    <row r="447">
      <c r="D447">
        <f>German_Data!A447</f>
        <v/>
      </c>
      <c r="E447">
        <f>German_Data!G447</f>
        <v/>
      </c>
      <c r="F447">
        <f>--(German_Data!B447&lt;=$B$2)</f>
        <v/>
      </c>
      <c r="G447">
        <f>--(German_Data!C447&lt;=$B$3)</f>
        <v/>
      </c>
      <c r="H447">
        <f>IF(F447=1,IF(G447=1,IF(German_Data!D447=$B$4,0,1),IF(German_Data!E447=$B$5,0,1)),IF(German_Data!E447=$B$5,0,1))</f>
        <v/>
      </c>
      <c r="I447">
        <f>IF(H447=1,"Good","Bad")</f>
        <v/>
      </c>
      <c r="J447">
        <f>--(H447=E447)</f>
        <v/>
      </c>
    </row>
    <row r="448">
      <c r="D448">
        <f>German_Data!A448</f>
        <v/>
      </c>
      <c r="E448">
        <f>German_Data!G448</f>
        <v/>
      </c>
      <c r="F448">
        <f>--(German_Data!B448&lt;=$B$2)</f>
        <v/>
      </c>
      <c r="G448">
        <f>--(German_Data!C448&lt;=$B$3)</f>
        <v/>
      </c>
      <c r="H448">
        <f>IF(F448=1,IF(G448=1,IF(German_Data!D448=$B$4,0,1),IF(German_Data!E448=$B$5,0,1)),IF(German_Data!E448=$B$5,0,1))</f>
        <v/>
      </c>
      <c r="I448">
        <f>IF(H448=1,"Good","Bad")</f>
        <v/>
      </c>
      <c r="J448">
        <f>--(H448=E448)</f>
        <v/>
      </c>
    </row>
    <row r="449">
      <c r="D449">
        <f>German_Data!A449</f>
        <v/>
      </c>
      <c r="E449">
        <f>German_Data!G449</f>
        <v/>
      </c>
      <c r="F449">
        <f>--(German_Data!B449&lt;=$B$2)</f>
        <v/>
      </c>
      <c r="G449">
        <f>--(German_Data!C449&lt;=$B$3)</f>
        <v/>
      </c>
      <c r="H449">
        <f>IF(F449=1,IF(G449=1,IF(German_Data!D449=$B$4,0,1),IF(German_Data!E449=$B$5,0,1)),IF(German_Data!E449=$B$5,0,1))</f>
        <v/>
      </c>
      <c r="I449">
        <f>IF(H449=1,"Good","Bad")</f>
        <v/>
      </c>
      <c r="J449">
        <f>--(H449=E449)</f>
        <v/>
      </c>
    </row>
    <row r="450">
      <c r="D450">
        <f>German_Data!A450</f>
        <v/>
      </c>
      <c r="E450">
        <f>German_Data!G450</f>
        <v/>
      </c>
      <c r="F450">
        <f>--(German_Data!B450&lt;=$B$2)</f>
        <v/>
      </c>
      <c r="G450">
        <f>--(German_Data!C450&lt;=$B$3)</f>
        <v/>
      </c>
      <c r="H450">
        <f>IF(F450=1,IF(G450=1,IF(German_Data!D450=$B$4,0,1),IF(German_Data!E450=$B$5,0,1)),IF(German_Data!E450=$B$5,0,1))</f>
        <v/>
      </c>
      <c r="I450">
        <f>IF(H450=1,"Good","Bad")</f>
        <v/>
      </c>
      <c r="J450">
        <f>--(H450=E450)</f>
        <v/>
      </c>
    </row>
    <row r="451">
      <c r="D451">
        <f>German_Data!A451</f>
        <v/>
      </c>
      <c r="E451">
        <f>German_Data!G451</f>
        <v/>
      </c>
      <c r="F451">
        <f>--(German_Data!B451&lt;=$B$2)</f>
        <v/>
      </c>
      <c r="G451">
        <f>--(German_Data!C451&lt;=$B$3)</f>
        <v/>
      </c>
      <c r="H451">
        <f>IF(F451=1,IF(G451=1,IF(German_Data!D451=$B$4,0,1),IF(German_Data!E451=$B$5,0,1)),IF(German_Data!E451=$B$5,0,1))</f>
        <v/>
      </c>
      <c r="I451">
        <f>IF(H451=1,"Good","Bad")</f>
        <v/>
      </c>
      <c r="J451">
        <f>--(H451=E451)</f>
        <v/>
      </c>
    </row>
    <row r="452">
      <c r="D452">
        <f>German_Data!A452</f>
        <v/>
      </c>
      <c r="E452">
        <f>German_Data!G452</f>
        <v/>
      </c>
      <c r="F452">
        <f>--(German_Data!B452&lt;=$B$2)</f>
        <v/>
      </c>
      <c r="G452">
        <f>--(German_Data!C452&lt;=$B$3)</f>
        <v/>
      </c>
      <c r="H452">
        <f>IF(F452=1,IF(G452=1,IF(German_Data!D452=$B$4,0,1),IF(German_Data!E452=$B$5,0,1)),IF(German_Data!E452=$B$5,0,1))</f>
        <v/>
      </c>
      <c r="I452">
        <f>IF(H452=1,"Good","Bad")</f>
        <v/>
      </c>
      <c r="J452">
        <f>--(H452=E452)</f>
        <v/>
      </c>
    </row>
    <row r="453">
      <c r="D453">
        <f>German_Data!A453</f>
        <v/>
      </c>
      <c r="E453">
        <f>German_Data!G453</f>
        <v/>
      </c>
      <c r="F453">
        <f>--(German_Data!B453&lt;=$B$2)</f>
        <v/>
      </c>
      <c r="G453">
        <f>--(German_Data!C453&lt;=$B$3)</f>
        <v/>
      </c>
      <c r="H453">
        <f>IF(F453=1,IF(G453=1,IF(German_Data!D453=$B$4,0,1),IF(German_Data!E453=$B$5,0,1)),IF(German_Data!E453=$B$5,0,1))</f>
        <v/>
      </c>
      <c r="I453">
        <f>IF(H453=1,"Good","Bad")</f>
        <v/>
      </c>
      <c r="J453">
        <f>--(H453=E453)</f>
        <v/>
      </c>
    </row>
    <row r="454">
      <c r="D454">
        <f>German_Data!A454</f>
        <v/>
      </c>
      <c r="E454">
        <f>German_Data!G454</f>
        <v/>
      </c>
      <c r="F454">
        <f>--(German_Data!B454&lt;=$B$2)</f>
        <v/>
      </c>
      <c r="G454">
        <f>--(German_Data!C454&lt;=$B$3)</f>
        <v/>
      </c>
      <c r="H454">
        <f>IF(F454=1,IF(G454=1,IF(German_Data!D454=$B$4,0,1),IF(German_Data!E454=$B$5,0,1)),IF(German_Data!E454=$B$5,0,1))</f>
        <v/>
      </c>
      <c r="I454">
        <f>IF(H454=1,"Good","Bad")</f>
        <v/>
      </c>
      <c r="J454">
        <f>--(H454=E454)</f>
        <v/>
      </c>
    </row>
    <row r="455">
      <c r="D455">
        <f>German_Data!A455</f>
        <v/>
      </c>
      <c r="E455">
        <f>German_Data!G455</f>
        <v/>
      </c>
      <c r="F455">
        <f>--(German_Data!B455&lt;=$B$2)</f>
        <v/>
      </c>
      <c r="G455">
        <f>--(German_Data!C455&lt;=$B$3)</f>
        <v/>
      </c>
      <c r="H455">
        <f>IF(F455=1,IF(G455=1,IF(German_Data!D455=$B$4,0,1),IF(German_Data!E455=$B$5,0,1)),IF(German_Data!E455=$B$5,0,1))</f>
        <v/>
      </c>
      <c r="I455">
        <f>IF(H455=1,"Good","Bad")</f>
        <v/>
      </c>
      <c r="J455">
        <f>--(H455=E455)</f>
        <v/>
      </c>
    </row>
    <row r="456">
      <c r="D456">
        <f>German_Data!A456</f>
        <v/>
      </c>
      <c r="E456">
        <f>German_Data!G456</f>
        <v/>
      </c>
      <c r="F456">
        <f>--(German_Data!B456&lt;=$B$2)</f>
        <v/>
      </c>
      <c r="G456">
        <f>--(German_Data!C456&lt;=$B$3)</f>
        <v/>
      </c>
      <c r="H456">
        <f>IF(F456=1,IF(G456=1,IF(German_Data!D456=$B$4,0,1),IF(German_Data!E456=$B$5,0,1)),IF(German_Data!E456=$B$5,0,1))</f>
        <v/>
      </c>
      <c r="I456">
        <f>IF(H456=1,"Good","Bad")</f>
        <v/>
      </c>
      <c r="J456">
        <f>--(H456=E456)</f>
        <v/>
      </c>
    </row>
    <row r="457">
      <c r="D457">
        <f>German_Data!A457</f>
        <v/>
      </c>
      <c r="E457">
        <f>German_Data!G457</f>
        <v/>
      </c>
      <c r="F457">
        <f>--(German_Data!B457&lt;=$B$2)</f>
        <v/>
      </c>
      <c r="G457">
        <f>--(German_Data!C457&lt;=$B$3)</f>
        <v/>
      </c>
      <c r="H457">
        <f>IF(F457=1,IF(G457=1,IF(German_Data!D457=$B$4,0,1),IF(German_Data!E457=$B$5,0,1)),IF(German_Data!E457=$B$5,0,1))</f>
        <v/>
      </c>
      <c r="I457">
        <f>IF(H457=1,"Good","Bad")</f>
        <v/>
      </c>
      <c r="J457">
        <f>--(H457=E457)</f>
        <v/>
      </c>
    </row>
    <row r="458">
      <c r="D458">
        <f>German_Data!A458</f>
        <v/>
      </c>
      <c r="E458">
        <f>German_Data!G458</f>
        <v/>
      </c>
      <c r="F458">
        <f>--(German_Data!B458&lt;=$B$2)</f>
        <v/>
      </c>
      <c r="G458">
        <f>--(German_Data!C458&lt;=$B$3)</f>
        <v/>
      </c>
      <c r="H458">
        <f>IF(F458=1,IF(G458=1,IF(German_Data!D458=$B$4,0,1),IF(German_Data!E458=$B$5,0,1)),IF(German_Data!E458=$B$5,0,1))</f>
        <v/>
      </c>
      <c r="I458">
        <f>IF(H458=1,"Good","Bad")</f>
        <v/>
      </c>
      <c r="J458">
        <f>--(H458=E458)</f>
        <v/>
      </c>
    </row>
    <row r="459">
      <c r="D459">
        <f>German_Data!A459</f>
        <v/>
      </c>
      <c r="E459">
        <f>German_Data!G459</f>
        <v/>
      </c>
      <c r="F459">
        <f>--(German_Data!B459&lt;=$B$2)</f>
        <v/>
      </c>
      <c r="G459">
        <f>--(German_Data!C459&lt;=$B$3)</f>
        <v/>
      </c>
      <c r="H459">
        <f>IF(F459=1,IF(G459=1,IF(German_Data!D459=$B$4,0,1),IF(German_Data!E459=$B$5,0,1)),IF(German_Data!E459=$B$5,0,1))</f>
        <v/>
      </c>
      <c r="I459">
        <f>IF(H459=1,"Good","Bad")</f>
        <v/>
      </c>
      <c r="J459">
        <f>--(H459=E459)</f>
        <v/>
      </c>
    </row>
    <row r="460">
      <c r="D460">
        <f>German_Data!A460</f>
        <v/>
      </c>
      <c r="E460">
        <f>German_Data!G460</f>
        <v/>
      </c>
      <c r="F460">
        <f>--(German_Data!B460&lt;=$B$2)</f>
        <v/>
      </c>
      <c r="G460">
        <f>--(German_Data!C460&lt;=$B$3)</f>
        <v/>
      </c>
      <c r="H460">
        <f>IF(F460=1,IF(G460=1,IF(German_Data!D460=$B$4,0,1),IF(German_Data!E460=$B$5,0,1)),IF(German_Data!E460=$B$5,0,1))</f>
        <v/>
      </c>
      <c r="I460">
        <f>IF(H460=1,"Good","Bad")</f>
        <v/>
      </c>
      <c r="J460">
        <f>--(H460=E460)</f>
        <v/>
      </c>
    </row>
    <row r="461">
      <c r="D461">
        <f>German_Data!A461</f>
        <v/>
      </c>
      <c r="E461">
        <f>German_Data!G461</f>
        <v/>
      </c>
      <c r="F461">
        <f>--(German_Data!B461&lt;=$B$2)</f>
        <v/>
      </c>
      <c r="G461">
        <f>--(German_Data!C461&lt;=$B$3)</f>
        <v/>
      </c>
      <c r="H461">
        <f>IF(F461=1,IF(G461=1,IF(German_Data!D461=$B$4,0,1),IF(German_Data!E461=$B$5,0,1)),IF(German_Data!E461=$B$5,0,1))</f>
        <v/>
      </c>
      <c r="I461">
        <f>IF(H461=1,"Good","Bad")</f>
        <v/>
      </c>
      <c r="J461">
        <f>--(H461=E461)</f>
        <v/>
      </c>
    </row>
    <row r="462">
      <c r="D462">
        <f>German_Data!A462</f>
        <v/>
      </c>
      <c r="E462">
        <f>German_Data!G462</f>
        <v/>
      </c>
      <c r="F462">
        <f>--(German_Data!B462&lt;=$B$2)</f>
        <v/>
      </c>
      <c r="G462">
        <f>--(German_Data!C462&lt;=$B$3)</f>
        <v/>
      </c>
      <c r="H462">
        <f>IF(F462=1,IF(G462=1,IF(German_Data!D462=$B$4,0,1),IF(German_Data!E462=$B$5,0,1)),IF(German_Data!E462=$B$5,0,1))</f>
        <v/>
      </c>
      <c r="I462">
        <f>IF(H462=1,"Good","Bad")</f>
        <v/>
      </c>
      <c r="J462">
        <f>--(H462=E462)</f>
        <v/>
      </c>
    </row>
    <row r="463">
      <c r="D463">
        <f>German_Data!A463</f>
        <v/>
      </c>
      <c r="E463">
        <f>German_Data!G463</f>
        <v/>
      </c>
      <c r="F463">
        <f>--(German_Data!B463&lt;=$B$2)</f>
        <v/>
      </c>
      <c r="G463">
        <f>--(German_Data!C463&lt;=$B$3)</f>
        <v/>
      </c>
      <c r="H463">
        <f>IF(F463=1,IF(G463=1,IF(German_Data!D463=$B$4,0,1),IF(German_Data!E463=$B$5,0,1)),IF(German_Data!E463=$B$5,0,1))</f>
        <v/>
      </c>
      <c r="I463">
        <f>IF(H463=1,"Good","Bad")</f>
        <v/>
      </c>
      <c r="J463">
        <f>--(H463=E463)</f>
        <v/>
      </c>
    </row>
    <row r="464">
      <c r="D464">
        <f>German_Data!A464</f>
        <v/>
      </c>
      <c r="E464">
        <f>German_Data!G464</f>
        <v/>
      </c>
      <c r="F464">
        <f>--(German_Data!B464&lt;=$B$2)</f>
        <v/>
      </c>
      <c r="G464">
        <f>--(German_Data!C464&lt;=$B$3)</f>
        <v/>
      </c>
      <c r="H464">
        <f>IF(F464=1,IF(G464=1,IF(German_Data!D464=$B$4,0,1),IF(German_Data!E464=$B$5,0,1)),IF(German_Data!E464=$B$5,0,1))</f>
        <v/>
      </c>
      <c r="I464">
        <f>IF(H464=1,"Good","Bad")</f>
        <v/>
      </c>
      <c r="J464">
        <f>--(H464=E464)</f>
        <v/>
      </c>
    </row>
    <row r="465">
      <c r="D465">
        <f>German_Data!A465</f>
        <v/>
      </c>
      <c r="E465">
        <f>German_Data!G465</f>
        <v/>
      </c>
      <c r="F465">
        <f>--(German_Data!B465&lt;=$B$2)</f>
        <v/>
      </c>
      <c r="G465">
        <f>--(German_Data!C465&lt;=$B$3)</f>
        <v/>
      </c>
      <c r="H465">
        <f>IF(F465=1,IF(G465=1,IF(German_Data!D465=$B$4,0,1),IF(German_Data!E465=$B$5,0,1)),IF(German_Data!E465=$B$5,0,1))</f>
        <v/>
      </c>
      <c r="I465">
        <f>IF(H465=1,"Good","Bad")</f>
        <v/>
      </c>
      <c r="J465">
        <f>--(H465=E465)</f>
        <v/>
      </c>
    </row>
    <row r="466">
      <c r="D466">
        <f>German_Data!A466</f>
        <v/>
      </c>
      <c r="E466">
        <f>German_Data!G466</f>
        <v/>
      </c>
      <c r="F466">
        <f>--(German_Data!B466&lt;=$B$2)</f>
        <v/>
      </c>
      <c r="G466">
        <f>--(German_Data!C466&lt;=$B$3)</f>
        <v/>
      </c>
      <c r="H466">
        <f>IF(F466=1,IF(G466=1,IF(German_Data!D466=$B$4,0,1),IF(German_Data!E466=$B$5,0,1)),IF(German_Data!E466=$B$5,0,1))</f>
        <v/>
      </c>
      <c r="I466">
        <f>IF(H466=1,"Good","Bad")</f>
        <v/>
      </c>
      <c r="J466">
        <f>--(H466=E466)</f>
        <v/>
      </c>
    </row>
    <row r="467">
      <c r="D467">
        <f>German_Data!A467</f>
        <v/>
      </c>
      <c r="E467">
        <f>German_Data!G467</f>
        <v/>
      </c>
      <c r="F467">
        <f>--(German_Data!B467&lt;=$B$2)</f>
        <v/>
      </c>
      <c r="G467">
        <f>--(German_Data!C467&lt;=$B$3)</f>
        <v/>
      </c>
      <c r="H467">
        <f>IF(F467=1,IF(G467=1,IF(German_Data!D467=$B$4,0,1),IF(German_Data!E467=$B$5,0,1)),IF(German_Data!E467=$B$5,0,1))</f>
        <v/>
      </c>
      <c r="I467">
        <f>IF(H467=1,"Good","Bad")</f>
        <v/>
      </c>
      <c r="J467">
        <f>--(H467=E467)</f>
        <v/>
      </c>
    </row>
    <row r="468">
      <c r="D468">
        <f>German_Data!A468</f>
        <v/>
      </c>
      <c r="E468">
        <f>German_Data!G468</f>
        <v/>
      </c>
      <c r="F468">
        <f>--(German_Data!B468&lt;=$B$2)</f>
        <v/>
      </c>
      <c r="G468">
        <f>--(German_Data!C468&lt;=$B$3)</f>
        <v/>
      </c>
      <c r="H468">
        <f>IF(F468=1,IF(G468=1,IF(German_Data!D468=$B$4,0,1),IF(German_Data!E468=$B$5,0,1)),IF(German_Data!E468=$B$5,0,1))</f>
        <v/>
      </c>
      <c r="I468">
        <f>IF(H468=1,"Good","Bad")</f>
        <v/>
      </c>
      <c r="J468">
        <f>--(H468=E468)</f>
        <v/>
      </c>
    </row>
    <row r="469">
      <c r="D469">
        <f>German_Data!A469</f>
        <v/>
      </c>
      <c r="E469">
        <f>German_Data!G469</f>
        <v/>
      </c>
      <c r="F469">
        <f>--(German_Data!B469&lt;=$B$2)</f>
        <v/>
      </c>
      <c r="G469">
        <f>--(German_Data!C469&lt;=$B$3)</f>
        <v/>
      </c>
      <c r="H469">
        <f>IF(F469=1,IF(G469=1,IF(German_Data!D469=$B$4,0,1),IF(German_Data!E469=$B$5,0,1)),IF(German_Data!E469=$B$5,0,1))</f>
        <v/>
      </c>
      <c r="I469">
        <f>IF(H469=1,"Good","Bad")</f>
        <v/>
      </c>
      <c r="J469">
        <f>--(H469=E469)</f>
        <v/>
      </c>
    </row>
    <row r="470">
      <c r="D470">
        <f>German_Data!A470</f>
        <v/>
      </c>
      <c r="E470">
        <f>German_Data!G470</f>
        <v/>
      </c>
      <c r="F470">
        <f>--(German_Data!B470&lt;=$B$2)</f>
        <v/>
      </c>
      <c r="G470">
        <f>--(German_Data!C470&lt;=$B$3)</f>
        <v/>
      </c>
      <c r="H470">
        <f>IF(F470=1,IF(G470=1,IF(German_Data!D470=$B$4,0,1),IF(German_Data!E470=$B$5,0,1)),IF(German_Data!E470=$B$5,0,1))</f>
        <v/>
      </c>
      <c r="I470">
        <f>IF(H470=1,"Good","Bad")</f>
        <v/>
      </c>
      <c r="J470">
        <f>--(H470=E470)</f>
        <v/>
      </c>
    </row>
    <row r="471">
      <c r="D471">
        <f>German_Data!A471</f>
        <v/>
      </c>
      <c r="E471">
        <f>German_Data!G471</f>
        <v/>
      </c>
      <c r="F471">
        <f>--(German_Data!B471&lt;=$B$2)</f>
        <v/>
      </c>
      <c r="G471">
        <f>--(German_Data!C471&lt;=$B$3)</f>
        <v/>
      </c>
      <c r="H471">
        <f>IF(F471=1,IF(G471=1,IF(German_Data!D471=$B$4,0,1),IF(German_Data!E471=$B$5,0,1)),IF(German_Data!E471=$B$5,0,1))</f>
        <v/>
      </c>
      <c r="I471">
        <f>IF(H471=1,"Good","Bad")</f>
        <v/>
      </c>
      <c r="J471">
        <f>--(H471=E471)</f>
        <v/>
      </c>
    </row>
    <row r="472">
      <c r="D472">
        <f>German_Data!A472</f>
        <v/>
      </c>
      <c r="E472">
        <f>German_Data!G472</f>
        <v/>
      </c>
      <c r="F472">
        <f>--(German_Data!B472&lt;=$B$2)</f>
        <v/>
      </c>
      <c r="G472">
        <f>--(German_Data!C472&lt;=$B$3)</f>
        <v/>
      </c>
      <c r="H472">
        <f>IF(F472=1,IF(G472=1,IF(German_Data!D472=$B$4,0,1),IF(German_Data!E472=$B$5,0,1)),IF(German_Data!E472=$B$5,0,1))</f>
        <v/>
      </c>
      <c r="I472">
        <f>IF(H472=1,"Good","Bad")</f>
        <v/>
      </c>
      <c r="J472">
        <f>--(H472=E472)</f>
        <v/>
      </c>
    </row>
    <row r="473">
      <c r="D473">
        <f>German_Data!A473</f>
        <v/>
      </c>
      <c r="E473">
        <f>German_Data!G473</f>
        <v/>
      </c>
      <c r="F473">
        <f>--(German_Data!B473&lt;=$B$2)</f>
        <v/>
      </c>
      <c r="G473">
        <f>--(German_Data!C473&lt;=$B$3)</f>
        <v/>
      </c>
      <c r="H473">
        <f>IF(F473=1,IF(G473=1,IF(German_Data!D473=$B$4,0,1),IF(German_Data!E473=$B$5,0,1)),IF(German_Data!E473=$B$5,0,1))</f>
        <v/>
      </c>
      <c r="I473">
        <f>IF(H473=1,"Good","Bad")</f>
        <v/>
      </c>
      <c r="J473">
        <f>--(H473=E473)</f>
        <v/>
      </c>
    </row>
    <row r="474">
      <c r="D474">
        <f>German_Data!A474</f>
        <v/>
      </c>
      <c r="E474">
        <f>German_Data!G474</f>
        <v/>
      </c>
      <c r="F474">
        <f>--(German_Data!B474&lt;=$B$2)</f>
        <v/>
      </c>
      <c r="G474">
        <f>--(German_Data!C474&lt;=$B$3)</f>
        <v/>
      </c>
      <c r="H474">
        <f>IF(F474=1,IF(G474=1,IF(German_Data!D474=$B$4,0,1),IF(German_Data!E474=$B$5,0,1)),IF(German_Data!E474=$B$5,0,1))</f>
        <v/>
      </c>
      <c r="I474">
        <f>IF(H474=1,"Good","Bad")</f>
        <v/>
      </c>
      <c r="J474">
        <f>--(H474=E474)</f>
        <v/>
      </c>
    </row>
    <row r="475">
      <c r="D475">
        <f>German_Data!A475</f>
        <v/>
      </c>
      <c r="E475">
        <f>German_Data!G475</f>
        <v/>
      </c>
      <c r="F475">
        <f>--(German_Data!B475&lt;=$B$2)</f>
        <v/>
      </c>
      <c r="G475">
        <f>--(German_Data!C475&lt;=$B$3)</f>
        <v/>
      </c>
      <c r="H475">
        <f>IF(F475=1,IF(G475=1,IF(German_Data!D475=$B$4,0,1),IF(German_Data!E475=$B$5,0,1)),IF(German_Data!E475=$B$5,0,1))</f>
        <v/>
      </c>
      <c r="I475">
        <f>IF(H475=1,"Good","Bad")</f>
        <v/>
      </c>
      <c r="J475">
        <f>--(H475=E475)</f>
        <v/>
      </c>
    </row>
    <row r="476">
      <c r="D476">
        <f>German_Data!A476</f>
        <v/>
      </c>
      <c r="E476">
        <f>German_Data!G476</f>
        <v/>
      </c>
      <c r="F476">
        <f>--(German_Data!B476&lt;=$B$2)</f>
        <v/>
      </c>
      <c r="G476">
        <f>--(German_Data!C476&lt;=$B$3)</f>
        <v/>
      </c>
      <c r="H476">
        <f>IF(F476=1,IF(G476=1,IF(German_Data!D476=$B$4,0,1),IF(German_Data!E476=$B$5,0,1)),IF(German_Data!E476=$B$5,0,1))</f>
        <v/>
      </c>
      <c r="I476">
        <f>IF(H476=1,"Good","Bad")</f>
        <v/>
      </c>
      <c r="J476">
        <f>--(H476=E476)</f>
        <v/>
      </c>
    </row>
    <row r="477">
      <c r="D477">
        <f>German_Data!A477</f>
        <v/>
      </c>
      <c r="E477">
        <f>German_Data!G477</f>
        <v/>
      </c>
      <c r="F477">
        <f>--(German_Data!B477&lt;=$B$2)</f>
        <v/>
      </c>
      <c r="G477">
        <f>--(German_Data!C477&lt;=$B$3)</f>
        <v/>
      </c>
      <c r="H477">
        <f>IF(F477=1,IF(G477=1,IF(German_Data!D477=$B$4,0,1),IF(German_Data!E477=$B$5,0,1)),IF(German_Data!E477=$B$5,0,1))</f>
        <v/>
      </c>
      <c r="I477">
        <f>IF(H477=1,"Good","Bad")</f>
        <v/>
      </c>
      <c r="J477">
        <f>--(H477=E477)</f>
        <v/>
      </c>
    </row>
    <row r="478">
      <c r="D478">
        <f>German_Data!A478</f>
        <v/>
      </c>
      <c r="E478">
        <f>German_Data!G478</f>
        <v/>
      </c>
      <c r="F478">
        <f>--(German_Data!B478&lt;=$B$2)</f>
        <v/>
      </c>
      <c r="G478">
        <f>--(German_Data!C478&lt;=$B$3)</f>
        <v/>
      </c>
      <c r="H478">
        <f>IF(F478=1,IF(G478=1,IF(German_Data!D478=$B$4,0,1),IF(German_Data!E478=$B$5,0,1)),IF(German_Data!E478=$B$5,0,1))</f>
        <v/>
      </c>
      <c r="I478">
        <f>IF(H478=1,"Good","Bad")</f>
        <v/>
      </c>
      <c r="J478">
        <f>--(H478=E478)</f>
        <v/>
      </c>
    </row>
    <row r="479">
      <c r="D479">
        <f>German_Data!A479</f>
        <v/>
      </c>
      <c r="E479">
        <f>German_Data!G479</f>
        <v/>
      </c>
      <c r="F479">
        <f>--(German_Data!B479&lt;=$B$2)</f>
        <v/>
      </c>
      <c r="G479">
        <f>--(German_Data!C479&lt;=$B$3)</f>
        <v/>
      </c>
      <c r="H479">
        <f>IF(F479=1,IF(G479=1,IF(German_Data!D479=$B$4,0,1),IF(German_Data!E479=$B$5,0,1)),IF(German_Data!E479=$B$5,0,1))</f>
        <v/>
      </c>
      <c r="I479">
        <f>IF(H479=1,"Good","Bad")</f>
        <v/>
      </c>
      <c r="J479">
        <f>--(H479=E479)</f>
        <v/>
      </c>
    </row>
    <row r="480">
      <c r="D480">
        <f>German_Data!A480</f>
        <v/>
      </c>
      <c r="E480">
        <f>German_Data!G480</f>
        <v/>
      </c>
      <c r="F480">
        <f>--(German_Data!B480&lt;=$B$2)</f>
        <v/>
      </c>
      <c r="G480">
        <f>--(German_Data!C480&lt;=$B$3)</f>
        <v/>
      </c>
      <c r="H480">
        <f>IF(F480=1,IF(G480=1,IF(German_Data!D480=$B$4,0,1),IF(German_Data!E480=$B$5,0,1)),IF(German_Data!E480=$B$5,0,1))</f>
        <v/>
      </c>
      <c r="I480">
        <f>IF(H480=1,"Good","Bad")</f>
        <v/>
      </c>
      <c r="J480">
        <f>--(H480=E480)</f>
        <v/>
      </c>
    </row>
    <row r="481">
      <c r="D481">
        <f>German_Data!A481</f>
        <v/>
      </c>
      <c r="E481">
        <f>German_Data!G481</f>
        <v/>
      </c>
      <c r="F481">
        <f>--(German_Data!B481&lt;=$B$2)</f>
        <v/>
      </c>
      <c r="G481">
        <f>--(German_Data!C481&lt;=$B$3)</f>
        <v/>
      </c>
      <c r="H481">
        <f>IF(F481=1,IF(G481=1,IF(German_Data!D481=$B$4,0,1),IF(German_Data!E481=$B$5,0,1)),IF(German_Data!E481=$B$5,0,1))</f>
        <v/>
      </c>
      <c r="I481">
        <f>IF(H481=1,"Good","Bad")</f>
        <v/>
      </c>
      <c r="J481">
        <f>--(H481=E481)</f>
        <v/>
      </c>
    </row>
    <row r="482">
      <c r="D482">
        <f>German_Data!A482</f>
        <v/>
      </c>
      <c r="E482">
        <f>German_Data!G482</f>
        <v/>
      </c>
      <c r="F482">
        <f>--(German_Data!B482&lt;=$B$2)</f>
        <v/>
      </c>
      <c r="G482">
        <f>--(German_Data!C482&lt;=$B$3)</f>
        <v/>
      </c>
      <c r="H482">
        <f>IF(F482=1,IF(G482=1,IF(German_Data!D482=$B$4,0,1),IF(German_Data!E482=$B$5,0,1)),IF(German_Data!E482=$B$5,0,1))</f>
        <v/>
      </c>
      <c r="I482">
        <f>IF(H482=1,"Good","Bad")</f>
        <v/>
      </c>
      <c r="J482">
        <f>--(H482=E482)</f>
        <v/>
      </c>
    </row>
    <row r="483">
      <c r="D483">
        <f>German_Data!A483</f>
        <v/>
      </c>
      <c r="E483">
        <f>German_Data!G483</f>
        <v/>
      </c>
      <c r="F483">
        <f>--(German_Data!B483&lt;=$B$2)</f>
        <v/>
      </c>
      <c r="G483">
        <f>--(German_Data!C483&lt;=$B$3)</f>
        <v/>
      </c>
      <c r="H483">
        <f>IF(F483=1,IF(G483=1,IF(German_Data!D483=$B$4,0,1),IF(German_Data!E483=$B$5,0,1)),IF(German_Data!E483=$B$5,0,1))</f>
        <v/>
      </c>
      <c r="I483">
        <f>IF(H483=1,"Good","Bad")</f>
        <v/>
      </c>
      <c r="J483">
        <f>--(H483=E483)</f>
        <v/>
      </c>
    </row>
    <row r="484">
      <c r="D484">
        <f>German_Data!A484</f>
        <v/>
      </c>
      <c r="E484">
        <f>German_Data!G484</f>
        <v/>
      </c>
      <c r="F484">
        <f>--(German_Data!B484&lt;=$B$2)</f>
        <v/>
      </c>
      <c r="G484">
        <f>--(German_Data!C484&lt;=$B$3)</f>
        <v/>
      </c>
      <c r="H484">
        <f>IF(F484=1,IF(G484=1,IF(German_Data!D484=$B$4,0,1),IF(German_Data!E484=$B$5,0,1)),IF(German_Data!E484=$B$5,0,1))</f>
        <v/>
      </c>
      <c r="I484">
        <f>IF(H484=1,"Good","Bad")</f>
        <v/>
      </c>
      <c r="J484">
        <f>--(H484=E484)</f>
        <v/>
      </c>
    </row>
    <row r="485">
      <c r="D485">
        <f>German_Data!A485</f>
        <v/>
      </c>
      <c r="E485">
        <f>German_Data!G485</f>
        <v/>
      </c>
      <c r="F485">
        <f>--(German_Data!B485&lt;=$B$2)</f>
        <v/>
      </c>
      <c r="G485">
        <f>--(German_Data!C485&lt;=$B$3)</f>
        <v/>
      </c>
      <c r="H485">
        <f>IF(F485=1,IF(G485=1,IF(German_Data!D485=$B$4,0,1),IF(German_Data!E485=$B$5,0,1)),IF(German_Data!E485=$B$5,0,1))</f>
        <v/>
      </c>
      <c r="I485">
        <f>IF(H485=1,"Good","Bad")</f>
        <v/>
      </c>
      <c r="J485">
        <f>--(H485=E485)</f>
        <v/>
      </c>
    </row>
    <row r="486">
      <c r="D486">
        <f>German_Data!A486</f>
        <v/>
      </c>
      <c r="E486">
        <f>German_Data!G486</f>
        <v/>
      </c>
      <c r="F486">
        <f>--(German_Data!B486&lt;=$B$2)</f>
        <v/>
      </c>
      <c r="G486">
        <f>--(German_Data!C486&lt;=$B$3)</f>
        <v/>
      </c>
      <c r="H486">
        <f>IF(F486=1,IF(G486=1,IF(German_Data!D486=$B$4,0,1),IF(German_Data!E486=$B$5,0,1)),IF(German_Data!E486=$B$5,0,1))</f>
        <v/>
      </c>
      <c r="I486">
        <f>IF(H486=1,"Good","Bad")</f>
        <v/>
      </c>
      <c r="J486">
        <f>--(H486=E486)</f>
        <v/>
      </c>
    </row>
    <row r="487">
      <c r="D487">
        <f>German_Data!A487</f>
        <v/>
      </c>
      <c r="E487">
        <f>German_Data!G487</f>
        <v/>
      </c>
      <c r="F487">
        <f>--(German_Data!B487&lt;=$B$2)</f>
        <v/>
      </c>
      <c r="G487">
        <f>--(German_Data!C487&lt;=$B$3)</f>
        <v/>
      </c>
      <c r="H487">
        <f>IF(F487=1,IF(G487=1,IF(German_Data!D487=$B$4,0,1),IF(German_Data!E487=$B$5,0,1)),IF(German_Data!E487=$B$5,0,1))</f>
        <v/>
      </c>
      <c r="I487">
        <f>IF(H487=1,"Good","Bad")</f>
        <v/>
      </c>
      <c r="J487">
        <f>--(H487=E487)</f>
        <v/>
      </c>
    </row>
    <row r="488">
      <c r="D488">
        <f>German_Data!A488</f>
        <v/>
      </c>
      <c r="E488">
        <f>German_Data!G488</f>
        <v/>
      </c>
      <c r="F488">
        <f>--(German_Data!B488&lt;=$B$2)</f>
        <v/>
      </c>
      <c r="G488">
        <f>--(German_Data!C488&lt;=$B$3)</f>
        <v/>
      </c>
      <c r="H488">
        <f>IF(F488=1,IF(G488=1,IF(German_Data!D488=$B$4,0,1),IF(German_Data!E488=$B$5,0,1)),IF(German_Data!E488=$B$5,0,1))</f>
        <v/>
      </c>
      <c r="I488">
        <f>IF(H488=1,"Good","Bad")</f>
        <v/>
      </c>
      <c r="J488">
        <f>--(H488=E488)</f>
        <v/>
      </c>
    </row>
    <row r="489">
      <c r="D489">
        <f>German_Data!A489</f>
        <v/>
      </c>
      <c r="E489">
        <f>German_Data!G489</f>
        <v/>
      </c>
      <c r="F489">
        <f>--(German_Data!B489&lt;=$B$2)</f>
        <v/>
      </c>
      <c r="G489">
        <f>--(German_Data!C489&lt;=$B$3)</f>
        <v/>
      </c>
      <c r="H489">
        <f>IF(F489=1,IF(G489=1,IF(German_Data!D489=$B$4,0,1),IF(German_Data!E489=$B$5,0,1)),IF(German_Data!E489=$B$5,0,1))</f>
        <v/>
      </c>
      <c r="I489">
        <f>IF(H489=1,"Good","Bad")</f>
        <v/>
      </c>
      <c r="J489">
        <f>--(H489=E489)</f>
        <v/>
      </c>
    </row>
    <row r="490">
      <c r="D490">
        <f>German_Data!A490</f>
        <v/>
      </c>
      <c r="E490">
        <f>German_Data!G490</f>
        <v/>
      </c>
      <c r="F490">
        <f>--(German_Data!B490&lt;=$B$2)</f>
        <v/>
      </c>
      <c r="G490">
        <f>--(German_Data!C490&lt;=$B$3)</f>
        <v/>
      </c>
      <c r="H490">
        <f>IF(F490=1,IF(G490=1,IF(German_Data!D490=$B$4,0,1),IF(German_Data!E490=$B$5,0,1)),IF(German_Data!E490=$B$5,0,1))</f>
        <v/>
      </c>
      <c r="I490">
        <f>IF(H490=1,"Good","Bad")</f>
        <v/>
      </c>
      <c r="J490">
        <f>--(H490=E490)</f>
        <v/>
      </c>
    </row>
    <row r="491">
      <c r="D491">
        <f>German_Data!A491</f>
        <v/>
      </c>
      <c r="E491">
        <f>German_Data!G491</f>
        <v/>
      </c>
      <c r="F491">
        <f>--(German_Data!B491&lt;=$B$2)</f>
        <v/>
      </c>
      <c r="G491">
        <f>--(German_Data!C491&lt;=$B$3)</f>
        <v/>
      </c>
      <c r="H491">
        <f>IF(F491=1,IF(G491=1,IF(German_Data!D491=$B$4,0,1),IF(German_Data!E491=$B$5,0,1)),IF(German_Data!E491=$B$5,0,1))</f>
        <v/>
      </c>
      <c r="I491">
        <f>IF(H491=1,"Good","Bad")</f>
        <v/>
      </c>
      <c r="J491">
        <f>--(H491=E491)</f>
        <v/>
      </c>
    </row>
    <row r="492">
      <c r="D492">
        <f>German_Data!A492</f>
        <v/>
      </c>
      <c r="E492">
        <f>German_Data!G492</f>
        <v/>
      </c>
      <c r="F492">
        <f>--(German_Data!B492&lt;=$B$2)</f>
        <v/>
      </c>
      <c r="G492">
        <f>--(German_Data!C492&lt;=$B$3)</f>
        <v/>
      </c>
      <c r="H492">
        <f>IF(F492=1,IF(G492=1,IF(German_Data!D492=$B$4,0,1),IF(German_Data!E492=$B$5,0,1)),IF(German_Data!E492=$B$5,0,1))</f>
        <v/>
      </c>
      <c r="I492">
        <f>IF(H492=1,"Good","Bad")</f>
        <v/>
      </c>
      <c r="J492">
        <f>--(H492=E492)</f>
        <v/>
      </c>
    </row>
    <row r="493">
      <c r="D493">
        <f>German_Data!A493</f>
        <v/>
      </c>
      <c r="E493">
        <f>German_Data!G493</f>
        <v/>
      </c>
      <c r="F493">
        <f>--(German_Data!B493&lt;=$B$2)</f>
        <v/>
      </c>
      <c r="G493">
        <f>--(German_Data!C493&lt;=$B$3)</f>
        <v/>
      </c>
      <c r="H493">
        <f>IF(F493=1,IF(G493=1,IF(German_Data!D493=$B$4,0,1),IF(German_Data!E493=$B$5,0,1)),IF(German_Data!E493=$B$5,0,1))</f>
        <v/>
      </c>
      <c r="I493">
        <f>IF(H493=1,"Good","Bad")</f>
        <v/>
      </c>
      <c r="J493">
        <f>--(H493=E493)</f>
        <v/>
      </c>
    </row>
    <row r="494">
      <c r="D494">
        <f>German_Data!A494</f>
        <v/>
      </c>
      <c r="E494">
        <f>German_Data!G494</f>
        <v/>
      </c>
      <c r="F494">
        <f>--(German_Data!B494&lt;=$B$2)</f>
        <v/>
      </c>
      <c r="G494">
        <f>--(German_Data!C494&lt;=$B$3)</f>
        <v/>
      </c>
      <c r="H494">
        <f>IF(F494=1,IF(G494=1,IF(German_Data!D494=$B$4,0,1),IF(German_Data!E494=$B$5,0,1)),IF(German_Data!E494=$B$5,0,1))</f>
        <v/>
      </c>
      <c r="I494">
        <f>IF(H494=1,"Good","Bad")</f>
        <v/>
      </c>
      <c r="J494">
        <f>--(H494=E494)</f>
        <v/>
      </c>
    </row>
    <row r="495">
      <c r="D495">
        <f>German_Data!A495</f>
        <v/>
      </c>
      <c r="E495">
        <f>German_Data!G495</f>
        <v/>
      </c>
      <c r="F495">
        <f>--(German_Data!B495&lt;=$B$2)</f>
        <v/>
      </c>
      <c r="G495">
        <f>--(German_Data!C495&lt;=$B$3)</f>
        <v/>
      </c>
      <c r="H495">
        <f>IF(F495=1,IF(G495=1,IF(German_Data!D495=$B$4,0,1),IF(German_Data!E495=$B$5,0,1)),IF(German_Data!E495=$B$5,0,1))</f>
        <v/>
      </c>
      <c r="I495">
        <f>IF(H495=1,"Good","Bad")</f>
        <v/>
      </c>
      <c r="J495">
        <f>--(H495=E495)</f>
        <v/>
      </c>
    </row>
    <row r="496">
      <c r="D496">
        <f>German_Data!A496</f>
        <v/>
      </c>
      <c r="E496">
        <f>German_Data!G496</f>
        <v/>
      </c>
      <c r="F496">
        <f>--(German_Data!B496&lt;=$B$2)</f>
        <v/>
      </c>
      <c r="G496">
        <f>--(German_Data!C496&lt;=$B$3)</f>
        <v/>
      </c>
      <c r="H496">
        <f>IF(F496=1,IF(G496=1,IF(German_Data!D496=$B$4,0,1),IF(German_Data!E496=$B$5,0,1)),IF(German_Data!E496=$B$5,0,1))</f>
        <v/>
      </c>
      <c r="I496">
        <f>IF(H496=1,"Good","Bad")</f>
        <v/>
      </c>
      <c r="J496">
        <f>--(H496=E496)</f>
        <v/>
      </c>
    </row>
    <row r="497">
      <c r="D497">
        <f>German_Data!A497</f>
        <v/>
      </c>
      <c r="E497">
        <f>German_Data!G497</f>
        <v/>
      </c>
      <c r="F497">
        <f>--(German_Data!B497&lt;=$B$2)</f>
        <v/>
      </c>
      <c r="G497">
        <f>--(German_Data!C497&lt;=$B$3)</f>
        <v/>
      </c>
      <c r="H497">
        <f>IF(F497=1,IF(G497=1,IF(German_Data!D497=$B$4,0,1),IF(German_Data!E497=$B$5,0,1)),IF(German_Data!E497=$B$5,0,1))</f>
        <v/>
      </c>
      <c r="I497">
        <f>IF(H497=1,"Good","Bad")</f>
        <v/>
      </c>
      <c r="J497">
        <f>--(H497=E497)</f>
        <v/>
      </c>
    </row>
    <row r="498">
      <c r="D498">
        <f>German_Data!A498</f>
        <v/>
      </c>
      <c r="E498">
        <f>German_Data!G498</f>
        <v/>
      </c>
      <c r="F498">
        <f>--(German_Data!B498&lt;=$B$2)</f>
        <v/>
      </c>
      <c r="G498">
        <f>--(German_Data!C498&lt;=$B$3)</f>
        <v/>
      </c>
      <c r="H498">
        <f>IF(F498=1,IF(G498=1,IF(German_Data!D498=$B$4,0,1),IF(German_Data!E498=$B$5,0,1)),IF(German_Data!E498=$B$5,0,1))</f>
        <v/>
      </c>
      <c r="I498">
        <f>IF(H498=1,"Good","Bad")</f>
        <v/>
      </c>
      <c r="J498">
        <f>--(H498=E498)</f>
        <v/>
      </c>
    </row>
    <row r="499">
      <c r="D499">
        <f>German_Data!A499</f>
        <v/>
      </c>
      <c r="E499">
        <f>German_Data!G499</f>
        <v/>
      </c>
      <c r="F499">
        <f>--(German_Data!B499&lt;=$B$2)</f>
        <v/>
      </c>
      <c r="G499">
        <f>--(German_Data!C499&lt;=$B$3)</f>
        <v/>
      </c>
      <c r="H499">
        <f>IF(F499=1,IF(G499=1,IF(German_Data!D499=$B$4,0,1),IF(German_Data!E499=$B$5,0,1)),IF(German_Data!E499=$B$5,0,1))</f>
        <v/>
      </c>
      <c r="I499">
        <f>IF(H499=1,"Good","Bad")</f>
        <v/>
      </c>
      <c r="J499">
        <f>--(H499=E499)</f>
        <v/>
      </c>
    </row>
    <row r="500">
      <c r="D500">
        <f>German_Data!A500</f>
        <v/>
      </c>
      <c r="E500">
        <f>German_Data!G500</f>
        <v/>
      </c>
      <c r="F500">
        <f>--(German_Data!B500&lt;=$B$2)</f>
        <v/>
      </c>
      <c r="G500">
        <f>--(German_Data!C500&lt;=$B$3)</f>
        <v/>
      </c>
      <c r="H500">
        <f>IF(F500=1,IF(G500=1,IF(German_Data!D500=$B$4,0,1),IF(German_Data!E500=$B$5,0,1)),IF(German_Data!E500=$B$5,0,1))</f>
        <v/>
      </c>
      <c r="I500">
        <f>IF(H500=1,"Good","Bad")</f>
        <v/>
      </c>
      <c r="J500">
        <f>--(H500=E500)</f>
        <v/>
      </c>
    </row>
    <row r="501">
      <c r="D501">
        <f>German_Data!A501</f>
        <v/>
      </c>
      <c r="E501">
        <f>German_Data!G501</f>
        <v/>
      </c>
      <c r="F501">
        <f>--(German_Data!B501&lt;=$B$2)</f>
        <v/>
      </c>
      <c r="G501">
        <f>--(German_Data!C501&lt;=$B$3)</f>
        <v/>
      </c>
      <c r="H501">
        <f>IF(F501=1,IF(G501=1,IF(German_Data!D501=$B$4,0,1),IF(German_Data!E501=$B$5,0,1)),IF(German_Data!E501=$B$5,0,1))</f>
        <v/>
      </c>
      <c r="I501">
        <f>IF(H501=1,"Good","Bad")</f>
        <v/>
      </c>
      <c r="J501">
        <f>--(H501=E501)</f>
        <v/>
      </c>
    </row>
    <row r="502">
      <c r="D502">
        <f>German_Data!A502</f>
        <v/>
      </c>
      <c r="E502">
        <f>German_Data!G502</f>
        <v/>
      </c>
      <c r="F502">
        <f>--(German_Data!B502&lt;=$B$2)</f>
        <v/>
      </c>
      <c r="G502">
        <f>--(German_Data!C502&lt;=$B$3)</f>
        <v/>
      </c>
      <c r="H502">
        <f>IF(F502=1,IF(G502=1,IF(German_Data!D502=$B$4,0,1),IF(German_Data!E502=$B$5,0,1)),IF(German_Data!E502=$B$5,0,1))</f>
        <v/>
      </c>
      <c r="I502">
        <f>IF(H502=1,"Good","Bad")</f>
        <v/>
      </c>
      <c r="J502">
        <f>--(H502=E502)</f>
        <v/>
      </c>
    </row>
    <row r="503">
      <c r="D503">
        <f>German_Data!A503</f>
        <v/>
      </c>
      <c r="E503">
        <f>German_Data!G503</f>
        <v/>
      </c>
      <c r="F503">
        <f>--(German_Data!B503&lt;=$B$2)</f>
        <v/>
      </c>
      <c r="G503">
        <f>--(German_Data!C503&lt;=$B$3)</f>
        <v/>
      </c>
      <c r="H503">
        <f>IF(F503=1,IF(G503=1,IF(German_Data!D503=$B$4,0,1),IF(German_Data!E503=$B$5,0,1)),IF(German_Data!E503=$B$5,0,1))</f>
        <v/>
      </c>
      <c r="I503">
        <f>IF(H503=1,"Good","Bad")</f>
        <v/>
      </c>
      <c r="J503">
        <f>--(H503=E503)</f>
        <v/>
      </c>
    </row>
    <row r="504">
      <c r="D504">
        <f>German_Data!A504</f>
        <v/>
      </c>
      <c r="E504">
        <f>German_Data!G504</f>
        <v/>
      </c>
      <c r="F504">
        <f>--(German_Data!B504&lt;=$B$2)</f>
        <v/>
      </c>
      <c r="G504">
        <f>--(German_Data!C504&lt;=$B$3)</f>
        <v/>
      </c>
      <c r="H504">
        <f>IF(F504=1,IF(G504=1,IF(German_Data!D504=$B$4,0,1),IF(German_Data!E504=$B$5,0,1)),IF(German_Data!E504=$B$5,0,1))</f>
        <v/>
      </c>
      <c r="I504">
        <f>IF(H504=1,"Good","Bad")</f>
        <v/>
      </c>
      <c r="J504">
        <f>--(H504=E504)</f>
        <v/>
      </c>
    </row>
    <row r="505">
      <c r="D505">
        <f>German_Data!A505</f>
        <v/>
      </c>
      <c r="E505">
        <f>German_Data!G505</f>
        <v/>
      </c>
      <c r="F505">
        <f>--(German_Data!B505&lt;=$B$2)</f>
        <v/>
      </c>
      <c r="G505">
        <f>--(German_Data!C505&lt;=$B$3)</f>
        <v/>
      </c>
      <c r="H505">
        <f>IF(F505=1,IF(G505=1,IF(German_Data!D505=$B$4,0,1),IF(German_Data!E505=$B$5,0,1)),IF(German_Data!E505=$B$5,0,1))</f>
        <v/>
      </c>
      <c r="I505">
        <f>IF(H505=1,"Good","Bad")</f>
        <v/>
      </c>
      <c r="J505">
        <f>--(H505=E505)</f>
        <v/>
      </c>
    </row>
    <row r="506">
      <c r="D506">
        <f>German_Data!A506</f>
        <v/>
      </c>
      <c r="E506">
        <f>German_Data!G506</f>
        <v/>
      </c>
      <c r="F506">
        <f>--(German_Data!B506&lt;=$B$2)</f>
        <v/>
      </c>
      <c r="G506">
        <f>--(German_Data!C506&lt;=$B$3)</f>
        <v/>
      </c>
      <c r="H506">
        <f>IF(F506=1,IF(G506=1,IF(German_Data!D506=$B$4,0,1),IF(German_Data!E506=$B$5,0,1)),IF(German_Data!E506=$B$5,0,1))</f>
        <v/>
      </c>
      <c r="I506">
        <f>IF(H506=1,"Good","Bad")</f>
        <v/>
      </c>
      <c r="J506">
        <f>--(H506=E506)</f>
        <v/>
      </c>
    </row>
    <row r="507">
      <c r="D507">
        <f>German_Data!A507</f>
        <v/>
      </c>
      <c r="E507">
        <f>German_Data!G507</f>
        <v/>
      </c>
      <c r="F507">
        <f>--(German_Data!B507&lt;=$B$2)</f>
        <v/>
      </c>
      <c r="G507">
        <f>--(German_Data!C507&lt;=$B$3)</f>
        <v/>
      </c>
      <c r="H507">
        <f>IF(F507=1,IF(G507=1,IF(German_Data!D507=$B$4,0,1),IF(German_Data!E507=$B$5,0,1)),IF(German_Data!E507=$B$5,0,1))</f>
        <v/>
      </c>
      <c r="I507">
        <f>IF(H507=1,"Good","Bad")</f>
        <v/>
      </c>
      <c r="J507">
        <f>--(H507=E507)</f>
        <v/>
      </c>
    </row>
    <row r="508">
      <c r="D508">
        <f>German_Data!A508</f>
        <v/>
      </c>
      <c r="E508">
        <f>German_Data!G508</f>
        <v/>
      </c>
      <c r="F508">
        <f>--(German_Data!B508&lt;=$B$2)</f>
        <v/>
      </c>
      <c r="G508">
        <f>--(German_Data!C508&lt;=$B$3)</f>
        <v/>
      </c>
      <c r="H508">
        <f>IF(F508=1,IF(G508=1,IF(German_Data!D508=$B$4,0,1),IF(German_Data!E508=$B$5,0,1)),IF(German_Data!E508=$B$5,0,1))</f>
        <v/>
      </c>
      <c r="I508">
        <f>IF(H508=1,"Good","Bad")</f>
        <v/>
      </c>
      <c r="J508">
        <f>--(H508=E508)</f>
        <v/>
      </c>
    </row>
    <row r="509">
      <c r="D509">
        <f>German_Data!A509</f>
        <v/>
      </c>
      <c r="E509">
        <f>German_Data!G509</f>
        <v/>
      </c>
      <c r="F509">
        <f>--(German_Data!B509&lt;=$B$2)</f>
        <v/>
      </c>
      <c r="G509">
        <f>--(German_Data!C509&lt;=$B$3)</f>
        <v/>
      </c>
      <c r="H509">
        <f>IF(F509=1,IF(G509=1,IF(German_Data!D509=$B$4,0,1),IF(German_Data!E509=$B$5,0,1)),IF(German_Data!E509=$B$5,0,1))</f>
        <v/>
      </c>
      <c r="I509">
        <f>IF(H509=1,"Good","Bad")</f>
        <v/>
      </c>
      <c r="J509">
        <f>--(H509=E509)</f>
        <v/>
      </c>
    </row>
    <row r="510">
      <c r="D510">
        <f>German_Data!A510</f>
        <v/>
      </c>
      <c r="E510">
        <f>German_Data!G510</f>
        <v/>
      </c>
      <c r="F510">
        <f>--(German_Data!B510&lt;=$B$2)</f>
        <v/>
      </c>
      <c r="G510">
        <f>--(German_Data!C510&lt;=$B$3)</f>
        <v/>
      </c>
      <c r="H510">
        <f>IF(F510=1,IF(G510=1,IF(German_Data!D510=$B$4,0,1),IF(German_Data!E510=$B$5,0,1)),IF(German_Data!E510=$B$5,0,1))</f>
        <v/>
      </c>
      <c r="I510">
        <f>IF(H510=1,"Good","Bad")</f>
        <v/>
      </c>
      <c r="J510">
        <f>--(H510=E510)</f>
        <v/>
      </c>
    </row>
    <row r="511">
      <c r="D511">
        <f>German_Data!A511</f>
        <v/>
      </c>
      <c r="E511">
        <f>German_Data!G511</f>
        <v/>
      </c>
      <c r="F511">
        <f>--(German_Data!B511&lt;=$B$2)</f>
        <v/>
      </c>
      <c r="G511">
        <f>--(German_Data!C511&lt;=$B$3)</f>
        <v/>
      </c>
      <c r="H511">
        <f>IF(F511=1,IF(G511=1,IF(German_Data!D511=$B$4,0,1),IF(German_Data!E511=$B$5,0,1)),IF(German_Data!E511=$B$5,0,1))</f>
        <v/>
      </c>
      <c r="I511">
        <f>IF(H511=1,"Good","Bad")</f>
        <v/>
      </c>
      <c r="J511">
        <f>--(H511=E511)</f>
        <v/>
      </c>
    </row>
    <row r="512">
      <c r="D512">
        <f>German_Data!A512</f>
        <v/>
      </c>
      <c r="E512">
        <f>German_Data!G512</f>
        <v/>
      </c>
      <c r="F512">
        <f>--(German_Data!B512&lt;=$B$2)</f>
        <v/>
      </c>
      <c r="G512">
        <f>--(German_Data!C512&lt;=$B$3)</f>
        <v/>
      </c>
      <c r="H512">
        <f>IF(F512=1,IF(G512=1,IF(German_Data!D512=$B$4,0,1),IF(German_Data!E512=$B$5,0,1)),IF(German_Data!E512=$B$5,0,1))</f>
        <v/>
      </c>
      <c r="I512">
        <f>IF(H512=1,"Good","Bad")</f>
        <v/>
      </c>
      <c r="J512">
        <f>--(H512=E512)</f>
        <v/>
      </c>
    </row>
    <row r="513">
      <c r="D513">
        <f>German_Data!A513</f>
        <v/>
      </c>
      <c r="E513">
        <f>German_Data!G513</f>
        <v/>
      </c>
      <c r="F513">
        <f>--(German_Data!B513&lt;=$B$2)</f>
        <v/>
      </c>
      <c r="G513">
        <f>--(German_Data!C513&lt;=$B$3)</f>
        <v/>
      </c>
      <c r="H513">
        <f>IF(F513=1,IF(G513=1,IF(German_Data!D513=$B$4,0,1),IF(German_Data!E513=$B$5,0,1)),IF(German_Data!E513=$B$5,0,1))</f>
        <v/>
      </c>
      <c r="I513">
        <f>IF(H513=1,"Good","Bad")</f>
        <v/>
      </c>
      <c r="J513">
        <f>--(H513=E513)</f>
        <v/>
      </c>
    </row>
    <row r="514">
      <c r="D514">
        <f>German_Data!A514</f>
        <v/>
      </c>
      <c r="E514">
        <f>German_Data!G514</f>
        <v/>
      </c>
      <c r="F514">
        <f>--(German_Data!B514&lt;=$B$2)</f>
        <v/>
      </c>
      <c r="G514">
        <f>--(German_Data!C514&lt;=$B$3)</f>
        <v/>
      </c>
      <c r="H514">
        <f>IF(F514=1,IF(G514=1,IF(German_Data!D514=$B$4,0,1),IF(German_Data!E514=$B$5,0,1)),IF(German_Data!E514=$B$5,0,1))</f>
        <v/>
      </c>
      <c r="I514">
        <f>IF(H514=1,"Good","Bad")</f>
        <v/>
      </c>
      <c r="J514">
        <f>--(H514=E514)</f>
        <v/>
      </c>
    </row>
    <row r="515">
      <c r="D515">
        <f>German_Data!A515</f>
        <v/>
      </c>
      <c r="E515">
        <f>German_Data!G515</f>
        <v/>
      </c>
      <c r="F515">
        <f>--(German_Data!B515&lt;=$B$2)</f>
        <v/>
      </c>
      <c r="G515">
        <f>--(German_Data!C515&lt;=$B$3)</f>
        <v/>
      </c>
      <c r="H515">
        <f>IF(F515=1,IF(G515=1,IF(German_Data!D515=$B$4,0,1),IF(German_Data!E515=$B$5,0,1)),IF(German_Data!E515=$B$5,0,1))</f>
        <v/>
      </c>
      <c r="I515">
        <f>IF(H515=1,"Good","Bad")</f>
        <v/>
      </c>
      <c r="J515">
        <f>--(H515=E515)</f>
        <v/>
      </c>
    </row>
    <row r="516">
      <c r="D516">
        <f>German_Data!A516</f>
        <v/>
      </c>
      <c r="E516">
        <f>German_Data!G516</f>
        <v/>
      </c>
      <c r="F516">
        <f>--(German_Data!B516&lt;=$B$2)</f>
        <v/>
      </c>
      <c r="G516">
        <f>--(German_Data!C516&lt;=$B$3)</f>
        <v/>
      </c>
      <c r="H516">
        <f>IF(F516=1,IF(G516=1,IF(German_Data!D516=$B$4,0,1),IF(German_Data!E516=$B$5,0,1)),IF(German_Data!E516=$B$5,0,1))</f>
        <v/>
      </c>
      <c r="I516">
        <f>IF(H516=1,"Good","Bad")</f>
        <v/>
      </c>
      <c r="J516">
        <f>--(H516=E516)</f>
        <v/>
      </c>
    </row>
    <row r="517">
      <c r="D517">
        <f>German_Data!A517</f>
        <v/>
      </c>
      <c r="E517">
        <f>German_Data!G517</f>
        <v/>
      </c>
      <c r="F517">
        <f>--(German_Data!B517&lt;=$B$2)</f>
        <v/>
      </c>
      <c r="G517">
        <f>--(German_Data!C517&lt;=$B$3)</f>
        <v/>
      </c>
      <c r="H517">
        <f>IF(F517=1,IF(G517=1,IF(German_Data!D517=$B$4,0,1),IF(German_Data!E517=$B$5,0,1)),IF(German_Data!E517=$B$5,0,1))</f>
        <v/>
      </c>
      <c r="I517">
        <f>IF(H517=1,"Good","Bad")</f>
        <v/>
      </c>
      <c r="J517">
        <f>--(H517=E517)</f>
        <v/>
      </c>
    </row>
    <row r="518">
      <c r="D518">
        <f>German_Data!A518</f>
        <v/>
      </c>
      <c r="E518">
        <f>German_Data!G518</f>
        <v/>
      </c>
      <c r="F518">
        <f>--(German_Data!B518&lt;=$B$2)</f>
        <v/>
      </c>
      <c r="G518">
        <f>--(German_Data!C518&lt;=$B$3)</f>
        <v/>
      </c>
      <c r="H518">
        <f>IF(F518=1,IF(G518=1,IF(German_Data!D518=$B$4,0,1),IF(German_Data!E518=$B$5,0,1)),IF(German_Data!E518=$B$5,0,1))</f>
        <v/>
      </c>
      <c r="I518">
        <f>IF(H518=1,"Good","Bad")</f>
        <v/>
      </c>
      <c r="J518">
        <f>--(H518=E518)</f>
        <v/>
      </c>
    </row>
    <row r="519">
      <c r="D519">
        <f>German_Data!A519</f>
        <v/>
      </c>
      <c r="E519">
        <f>German_Data!G519</f>
        <v/>
      </c>
      <c r="F519">
        <f>--(German_Data!B519&lt;=$B$2)</f>
        <v/>
      </c>
      <c r="G519">
        <f>--(German_Data!C519&lt;=$B$3)</f>
        <v/>
      </c>
      <c r="H519">
        <f>IF(F519=1,IF(G519=1,IF(German_Data!D519=$B$4,0,1),IF(German_Data!E519=$B$5,0,1)),IF(German_Data!E519=$B$5,0,1))</f>
        <v/>
      </c>
      <c r="I519">
        <f>IF(H519=1,"Good","Bad")</f>
        <v/>
      </c>
      <c r="J519">
        <f>--(H519=E519)</f>
        <v/>
      </c>
    </row>
    <row r="520">
      <c r="D520">
        <f>German_Data!A520</f>
        <v/>
      </c>
      <c r="E520">
        <f>German_Data!G520</f>
        <v/>
      </c>
      <c r="F520">
        <f>--(German_Data!B520&lt;=$B$2)</f>
        <v/>
      </c>
      <c r="G520">
        <f>--(German_Data!C520&lt;=$B$3)</f>
        <v/>
      </c>
      <c r="H520">
        <f>IF(F520=1,IF(G520=1,IF(German_Data!D520=$B$4,0,1),IF(German_Data!E520=$B$5,0,1)),IF(German_Data!E520=$B$5,0,1))</f>
        <v/>
      </c>
      <c r="I520">
        <f>IF(H520=1,"Good","Bad")</f>
        <v/>
      </c>
      <c r="J520">
        <f>--(H520=E520)</f>
        <v/>
      </c>
    </row>
    <row r="521">
      <c r="D521">
        <f>German_Data!A521</f>
        <v/>
      </c>
      <c r="E521">
        <f>German_Data!G521</f>
        <v/>
      </c>
      <c r="F521">
        <f>--(German_Data!B521&lt;=$B$2)</f>
        <v/>
      </c>
      <c r="G521">
        <f>--(German_Data!C521&lt;=$B$3)</f>
        <v/>
      </c>
      <c r="H521">
        <f>IF(F521=1,IF(G521=1,IF(German_Data!D521=$B$4,0,1),IF(German_Data!E521=$B$5,0,1)),IF(German_Data!E521=$B$5,0,1))</f>
        <v/>
      </c>
      <c r="I521">
        <f>IF(H521=1,"Good","Bad")</f>
        <v/>
      </c>
      <c r="J521">
        <f>--(H521=E521)</f>
        <v/>
      </c>
    </row>
    <row r="522">
      <c r="D522">
        <f>German_Data!A522</f>
        <v/>
      </c>
      <c r="E522">
        <f>German_Data!G522</f>
        <v/>
      </c>
      <c r="F522">
        <f>--(German_Data!B522&lt;=$B$2)</f>
        <v/>
      </c>
      <c r="G522">
        <f>--(German_Data!C522&lt;=$B$3)</f>
        <v/>
      </c>
      <c r="H522">
        <f>IF(F522=1,IF(G522=1,IF(German_Data!D522=$B$4,0,1),IF(German_Data!E522=$B$5,0,1)),IF(German_Data!E522=$B$5,0,1))</f>
        <v/>
      </c>
      <c r="I522">
        <f>IF(H522=1,"Good","Bad")</f>
        <v/>
      </c>
      <c r="J522">
        <f>--(H522=E522)</f>
        <v/>
      </c>
    </row>
    <row r="523">
      <c r="D523">
        <f>German_Data!A523</f>
        <v/>
      </c>
      <c r="E523">
        <f>German_Data!G523</f>
        <v/>
      </c>
      <c r="F523">
        <f>--(German_Data!B523&lt;=$B$2)</f>
        <v/>
      </c>
      <c r="G523">
        <f>--(German_Data!C523&lt;=$B$3)</f>
        <v/>
      </c>
      <c r="H523">
        <f>IF(F523=1,IF(G523=1,IF(German_Data!D523=$B$4,0,1),IF(German_Data!E523=$B$5,0,1)),IF(German_Data!E523=$B$5,0,1))</f>
        <v/>
      </c>
      <c r="I523">
        <f>IF(H523=1,"Good","Bad")</f>
        <v/>
      </c>
      <c r="J523">
        <f>--(H523=E523)</f>
        <v/>
      </c>
    </row>
    <row r="524">
      <c r="D524">
        <f>German_Data!A524</f>
        <v/>
      </c>
      <c r="E524">
        <f>German_Data!G524</f>
        <v/>
      </c>
      <c r="F524">
        <f>--(German_Data!B524&lt;=$B$2)</f>
        <v/>
      </c>
      <c r="G524">
        <f>--(German_Data!C524&lt;=$B$3)</f>
        <v/>
      </c>
      <c r="H524">
        <f>IF(F524=1,IF(G524=1,IF(German_Data!D524=$B$4,0,1),IF(German_Data!E524=$B$5,0,1)),IF(German_Data!E524=$B$5,0,1))</f>
        <v/>
      </c>
      <c r="I524">
        <f>IF(H524=1,"Good","Bad")</f>
        <v/>
      </c>
      <c r="J524">
        <f>--(H524=E524)</f>
        <v/>
      </c>
    </row>
    <row r="525">
      <c r="D525">
        <f>German_Data!A525</f>
        <v/>
      </c>
      <c r="E525">
        <f>German_Data!G525</f>
        <v/>
      </c>
      <c r="F525">
        <f>--(German_Data!B525&lt;=$B$2)</f>
        <v/>
      </c>
      <c r="G525">
        <f>--(German_Data!C525&lt;=$B$3)</f>
        <v/>
      </c>
      <c r="H525">
        <f>IF(F525=1,IF(G525=1,IF(German_Data!D525=$B$4,0,1),IF(German_Data!E525=$B$5,0,1)),IF(German_Data!E525=$B$5,0,1))</f>
        <v/>
      </c>
      <c r="I525">
        <f>IF(H525=1,"Good","Bad")</f>
        <v/>
      </c>
      <c r="J525">
        <f>--(H525=E525)</f>
        <v/>
      </c>
    </row>
    <row r="526">
      <c r="D526">
        <f>German_Data!A526</f>
        <v/>
      </c>
      <c r="E526">
        <f>German_Data!G526</f>
        <v/>
      </c>
      <c r="F526">
        <f>--(German_Data!B526&lt;=$B$2)</f>
        <v/>
      </c>
      <c r="G526">
        <f>--(German_Data!C526&lt;=$B$3)</f>
        <v/>
      </c>
      <c r="H526">
        <f>IF(F526=1,IF(G526=1,IF(German_Data!D526=$B$4,0,1),IF(German_Data!E526=$B$5,0,1)),IF(German_Data!E526=$B$5,0,1))</f>
        <v/>
      </c>
      <c r="I526">
        <f>IF(H526=1,"Good","Bad")</f>
        <v/>
      </c>
      <c r="J526">
        <f>--(H526=E526)</f>
        <v/>
      </c>
    </row>
    <row r="527">
      <c r="D527">
        <f>German_Data!A527</f>
        <v/>
      </c>
      <c r="E527">
        <f>German_Data!G527</f>
        <v/>
      </c>
      <c r="F527">
        <f>--(German_Data!B527&lt;=$B$2)</f>
        <v/>
      </c>
      <c r="G527">
        <f>--(German_Data!C527&lt;=$B$3)</f>
        <v/>
      </c>
      <c r="H527">
        <f>IF(F527=1,IF(G527=1,IF(German_Data!D527=$B$4,0,1),IF(German_Data!E527=$B$5,0,1)),IF(German_Data!E527=$B$5,0,1))</f>
        <v/>
      </c>
      <c r="I527">
        <f>IF(H527=1,"Good","Bad")</f>
        <v/>
      </c>
      <c r="J527">
        <f>--(H527=E527)</f>
        <v/>
      </c>
    </row>
    <row r="528">
      <c r="D528">
        <f>German_Data!A528</f>
        <v/>
      </c>
      <c r="E528">
        <f>German_Data!G528</f>
        <v/>
      </c>
      <c r="F528">
        <f>--(German_Data!B528&lt;=$B$2)</f>
        <v/>
      </c>
      <c r="G528">
        <f>--(German_Data!C528&lt;=$B$3)</f>
        <v/>
      </c>
      <c r="H528">
        <f>IF(F528=1,IF(G528=1,IF(German_Data!D528=$B$4,0,1),IF(German_Data!E528=$B$5,0,1)),IF(German_Data!E528=$B$5,0,1))</f>
        <v/>
      </c>
      <c r="I528">
        <f>IF(H528=1,"Good","Bad")</f>
        <v/>
      </c>
      <c r="J528">
        <f>--(H528=E528)</f>
        <v/>
      </c>
    </row>
    <row r="529">
      <c r="D529">
        <f>German_Data!A529</f>
        <v/>
      </c>
      <c r="E529">
        <f>German_Data!G529</f>
        <v/>
      </c>
      <c r="F529">
        <f>--(German_Data!B529&lt;=$B$2)</f>
        <v/>
      </c>
      <c r="G529">
        <f>--(German_Data!C529&lt;=$B$3)</f>
        <v/>
      </c>
      <c r="H529">
        <f>IF(F529=1,IF(G529=1,IF(German_Data!D529=$B$4,0,1),IF(German_Data!E529=$B$5,0,1)),IF(German_Data!E529=$B$5,0,1))</f>
        <v/>
      </c>
      <c r="I529">
        <f>IF(H529=1,"Good","Bad")</f>
        <v/>
      </c>
      <c r="J529">
        <f>--(H529=E529)</f>
        <v/>
      </c>
    </row>
    <row r="530">
      <c r="D530">
        <f>German_Data!A530</f>
        <v/>
      </c>
      <c r="E530">
        <f>German_Data!G530</f>
        <v/>
      </c>
      <c r="F530">
        <f>--(German_Data!B530&lt;=$B$2)</f>
        <v/>
      </c>
      <c r="G530">
        <f>--(German_Data!C530&lt;=$B$3)</f>
        <v/>
      </c>
      <c r="H530">
        <f>IF(F530=1,IF(G530=1,IF(German_Data!D530=$B$4,0,1),IF(German_Data!E530=$B$5,0,1)),IF(German_Data!E530=$B$5,0,1))</f>
        <v/>
      </c>
      <c r="I530">
        <f>IF(H530=1,"Good","Bad")</f>
        <v/>
      </c>
      <c r="J530">
        <f>--(H530=E530)</f>
        <v/>
      </c>
    </row>
    <row r="531">
      <c r="D531">
        <f>German_Data!A531</f>
        <v/>
      </c>
      <c r="E531">
        <f>German_Data!G531</f>
        <v/>
      </c>
      <c r="F531">
        <f>--(German_Data!B531&lt;=$B$2)</f>
        <v/>
      </c>
      <c r="G531">
        <f>--(German_Data!C531&lt;=$B$3)</f>
        <v/>
      </c>
      <c r="H531">
        <f>IF(F531=1,IF(G531=1,IF(German_Data!D531=$B$4,0,1),IF(German_Data!E531=$B$5,0,1)),IF(German_Data!E531=$B$5,0,1))</f>
        <v/>
      </c>
      <c r="I531">
        <f>IF(H531=1,"Good","Bad")</f>
        <v/>
      </c>
      <c r="J531">
        <f>--(H531=E531)</f>
        <v/>
      </c>
    </row>
    <row r="532">
      <c r="D532">
        <f>German_Data!A532</f>
        <v/>
      </c>
      <c r="E532">
        <f>German_Data!G532</f>
        <v/>
      </c>
      <c r="F532">
        <f>--(German_Data!B532&lt;=$B$2)</f>
        <v/>
      </c>
      <c r="G532">
        <f>--(German_Data!C532&lt;=$B$3)</f>
        <v/>
      </c>
      <c r="H532">
        <f>IF(F532=1,IF(G532=1,IF(German_Data!D532=$B$4,0,1),IF(German_Data!E532=$B$5,0,1)),IF(German_Data!E532=$B$5,0,1))</f>
        <v/>
      </c>
      <c r="I532">
        <f>IF(H532=1,"Good","Bad")</f>
        <v/>
      </c>
      <c r="J532">
        <f>--(H532=E532)</f>
        <v/>
      </c>
    </row>
    <row r="533">
      <c r="D533">
        <f>German_Data!A533</f>
        <v/>
      </c>
      <c r="E533">
        <f>German_Data!G533</f>
        <v/>
      </c>
      <c r="F533">
        <f>--(German_Data!B533&lt;=$B$2)</f>
        <v/>
      </c>
      <c r="G533">
        <f>--(German_Data!C533&lt;=$B$3)</f>
        <v/>
      </c>
      <c r="H533">
        <f>IF(F533=1,IF(G533=1,IF(German_Data!D533=$B$4,0,1),IF(German_Data!E533=$B$5,0,1)),IF(German_Data!E533=$B$5,0,1))</f>
        <v/>
      </c>
      <c r="I533">
        <f>IF(H533=1,"Good","Bad")</f>
        <v/>
      </c>
      <c r="J533">
        <f>--(H533=E533)</f>
        <v/>
      </c>
    </row>
    <row r="534">
      <c r="D534">
        <f>German_Data!A534</f>
        <v/>
      </c>
      <c r="E534">
        <f>German_Data!G534</f>
        <v/>
      </c>
      <c r="F534">
        <f>--(German_Data!B534&lt;=$B$2)</f>
        <v/>
      </c>
      <c r="G534">
        <f>--(German_Data!C534&lt;=$B$3)</f>
        <v/>
      </c>
      <c r="H534">
        <f>IF(F534=1,IF(G534=1,IF(German_Data!D534=$B$4,0,1),IF(German_Data!E534=$B$5,0,1)),IF(German_Data!E534=$B$5,0,1))</f>
        <v/>
      </c>
      <c r="I534">
        <f>IF(H534=1,"Good","Bad")</f>
        <v/>
      </c>
      <c r="J534">
        <f>--(H534=E534)</f>
        <v/>
      </c>
    </row>
    <row r="535">
      <c r="D535">
        <f>German_Data!A535</f>
        <v/>
      </c>
      <c r="E535">
        <f>German_Data!G535</f>
        <v/>
      </c>
      <c r="F535">
        <f>--(German_Data!B535&lt;=$B$2)</f>
        <v/>
      </c>
      <c r="G535">
        <f>--(German_Data!C535&lt;=$B$3)</f>
        <v/>
      </c>
      <c r="H535">
        <f>IF(F535=1,IF(G535=1,IF(German_Data!D535=$B$4,0,1),IF(German_Data!E535=$B$5,0,1)),IF(German_Data!E535=$B$5,0,1))</f>
        <v/>
      </c>
      <c r="I535">
        <f>IF(H535=1,"Good","Bad")</f>
        <v/>
      </c>
      <c r="J535">
        <f>--(H535=E535)</f>
        <v/>
      </c>
    </row>
    <row r="536">
      <c r="D536">
        <f>German_Data!A536</f>
        <v/>
      </c>
      <c r="E536">
        <f>German_Data!G536</f>
        <v/>
      </c>
      <c r="F536">
        <f>--(German_Data!B536&lt;=$B$2)</f>
        <v/>
      </c>
      <c r="G536">
        <f>--(German_Data!C536&lt;=$B$3)</f>
        <v/>
      </c>
      <c r="H536">
        <f>IF(F536=1,IF(G536=1,IF(German_Data!D536=$B$4,0,1),IF(German_Data!E536=$B$5,0,1)),IF(German_Data!E536=$B$5,0,1))</f>
        <v/>
      </c>
      <c r="I536">
        <f>IF(H536=1,"Good","Bad")</f>
        <v/>
      </c>
      <c r="J536">
        <f>--(H536=E536)</f>
        <v/>
      </c>
    </row>
    <row r="537">
      <c r="D537">
        <f>German_Data!A537</f>
        <v/>
      </c>
      <c r="E537">
        <f>German_Data!G537</f>
        <v/>
      </c>
      <c r="F537">
        <f>--(German_Data!B537&lt;=$B$2)</f>
        <v/>
      </c>
      <c r="G537">
        <f>--(German_Data!C537&lt;=$B$3)</f>
        <v/>
      </c>
      <c r="H537">
        <f>IF(F537=1,IF(G537=1,IF(German_Data!D537=$B$4,0,1),IF(German_Data!E537=$B$5,0,1)),IF(German_Data!E537=$B$5,0,1))</f>
        <v/>
      </c>
      <c r="I537">
        <f>IF(H537=1,"Good","Bad")</f>
        <v/>
      </c>
      <c r="J537">
        <f>--(H537=E537)</f>
        <v/>
      </c>
    </row>
    <row r="538">
      <c r="D538">
        <f>German_Data!A538</f>
        <v/>
      </c>
      <c r="E538">
        <f>German_Data!G538</f>
        <v/>
      </c>
      <c r="F538">
        <f>--(German_Data!B538&lt;=$B$2)</f>
        <v/>
      </c>
      <c r="G538">
        <f>--(German_Data!C538&lt;=$B$3)</f>
        <v/>
      </c>
      <c r="H538">
        <f>IF(F538=1,IF(G538=1,IF(German_Data!D538=$B$4,0,1),IF(German_Data!E538=$B$5,0,1)),IF(German_Data!E538=$B$5,0,1))</f>
        <v/>
      </c>
      <c r="I538">
        <f>IF(H538=1,"Good","Bad")</f>
        <v/>
      </c>
      <c r="J538">
        <f>--(H538=E538)</f>
        <v/>
      </c>
    </row>
    <row r="539">
      <c r="D539">
        <f>German_Data!A539</f>
        <v/>
      </c>
      <c r="E539">
        <f>German_Data!G539</f>
        <v/>
      </c>
      <c r="F539">
        <f>--(German_Data!B539&lt;=$B$2)</f>
        <v/>
      </c>
      <c r="G539">
        <f>--(German_Data!C539&lt;=$B$3)</f>
        <v/>
      </c>
      <c r="H539">
        <f>IF(F539=1,IF(G539=1,IF(German_Data!D539=$B$4,0,1),IF(German_Data!E539=$B$5,0,1)),IF(German_Data!E539=$B$5,0,1))</f>
        <v/>
      </c>
      <c r="I539">
        <f>IF(H539=1,"Good","Bad")</f>
        <v/>
      </c>
      <c r="J539">
        <f>--(H539=E539)</f>
        <v/>
      </c>
    </row>
    <row r="540">
      <c r="D540">
        <f>German_Data!A540</f>
        <v/>
      </c>
      <c r="E540">
        <f>German_Data!G540</f>
        <v/>
      </c>
      <c r="F540">
        <f>--(German_Data!B540&lt;=$B$2)</f>
        <v/>
      </c>
      <c r="G540">
        <f>--(German_Data!C540&lt;=$B$3)</f>
        <v/>
      </c>
      <c r="H540">
        <f>IF(F540=1,IF(G540=1,IF(German_Data!D540=$B$4,0,1),IF(German_Data!E540=$B$5,0,1)),IF(German_Data!E540=$B$5,0,1))</f>
        <v/>
      </c>
      <c r="I540">
        <f>IF(H540=1,"Good","Bad")</f>
        <v/>
      </c>
      <c r="J540">
        <f>--(H540=E540)</f>
        <v/>
      </c>
    </row>
    <row r="541">
      <c r="D541">
        <f>German_Data!A541</f>
        <v/>
      </c>
      <c r="E541">
        <f>German_Data!G541</f>
        <v/>
      </c>
      <c r="F541">
        <f>--(German_Data!B541&lt;=$B$2)</f>
        <v/>
      </c>
      <c r="G541">
        <f>--(German_Data!C541&lt;=$B$3)</f>
        <v/>
      </c>
      <c r="H541">
        <f>IF(F541=1,IF(G541=1,IF(German_Data!D541=$B$4,0,1),IF(German_Data!E541=$B$5,0,1)),IF(German_Data!E541=$B$5,0,1))</f>
        <v/>
      </c>
      <c r="I541">
        <f>IF(H541=1,"Good","Bad")</f>
        <v/>
      </c>
      <c r="J541">
        <f>--(H541=E541)</f>
        <v/>
      </c>
    </row>
    <row r="542">
      <c r="D542">
        <f>German_Data!A542</f>
        <v/>
      </c>
      <c r="E542">
        <f>German_Data!G542</f>
        <v/>
      </c>
      <c r="F542">
        <f>--(German_Data!B542&lt;=$B$2)</f>
        <v/>
      </c>
      <c r="G542">
        <f>--(German_Data!C542&lt;=$B$3)</f>
        <v/>
      </c>
      <c r="H542">
        <f>IF(F542=1,IF(G542=1,IF(German_Data!D542=$B$4,0,1),IF(German_Data!E542=$B$5,0,1)),IF(German_Data!E542=$B$5,0,1))</f>
        <v/>
      </c>
      <c r="I542">
        <f>IF(H542=1,"Good","Bad")</f>
        <v/>
      </c>
      <c r="J542">
        <f>--(H542=E542)</f>
        <v/>
      </c>
    </row>
    <row r="543">
      <c r="D543">
        <f>German_Data!A543</f>
        <v/>
      </c>
      <c r="E543">
        <f>German_Data!G543</f>
        <v/>
      </c>
      <c r="F543">
        <f>--(German_Data!B543&lt;=$B$2)</f>
        <v/>
      </c>
      <c r="G543">
        <f>--(German_Data!C543&lt;=$B$3)</f>
        <v/>
      </c>
      <c r="H543">
        <f>IF(F543=1,IF(G543=1,IF(German_Data!D543=$B$4,0,1),IF(German_Data!E543=$B$5,0,1)),IF(German_Data!E543=$B$5,0,1))</f>
        <v/>
      </c>
      <c r="I543">
        <f>IF(H543=1,"Good","Bad")</f>
        <v/>
      </c>
      <c r="J543">
        <f>--(H543=E543)</f>
        <v/>
      </c>
    </row>
    <row r="544">
      <c r="D544">
        <f>German_Data!A544</f>
        <v/>
      </c>
      <c r="E544">
        <f>German_Data!G544</f>
        <v/>
      </c>
      <c r="F544">
        <f>--(German_Data!B544&lt;=$B$2)</f>
        <v/>
      </c>
      <c r="G544">
        <f>--(German_Data!C544&lt;=$B$3)</f>
        <v/>
      </c>
      <c r="H544">
        <f>IF(F544=1,IF(G544=1,IF(German_Data!D544=$B$4,0,1),IF(German_Data!E544=$B$5,0,1)),IF(German_Data!E544=$B$5,0,1))</f>
        <v/>
      </c>
      <c r="I544">
        <f>IF(H544=1,"Good","Bad")</f>
        <v/>
      </c>
      <c r="J544">
        <f>--(H544=E544)</f>
        <v/>
      </c>
    </row>
    <row r="545">
      <c r="D545">
        <f>German_Data!A545</f>
        <v/>
      </c>
      <c r="E545">
        <f>German_Data!G545</f>
        <v/>
      </c>
      <c r="F545">
        <f>--(German_Data!B545&lt;=$B$2)</f>
        <v/>
      </c>
      <c r="G545">
        <f>--(German_Data!C545&lt;=$B$3)</f>
        <v/>
      </c>
      <c r="H545">
        <f>IF(F545=1,IF(G545=1,IF(German_Data!D545=$B$4,0,1),IF(German_Data!E545=$B$5,0,1)),IF(German_Data!E545=$B$5,0,1))</f>
        <v/>
      </c>
      <c r="I545">
        <f>IF(H545=1,"Good","Bad")</f>
        <v/>
      </c>
      <c r="J545">
        <f>--(H545=E545)</f>
        <v/>
      </c>
    </row>
    <row r="546">
      <c r="D546">
        <f>German_Data!A546</f>
        <v/>
      </c>
      <c r="E546">
        <f>German_Data!G546</f>
        <v/>
      </c>
      <c r="F546">
        <f>--(German_Data!B546&lt;=$B$2)</f>
        <v/>
      </c>
      <c r="G546">
        <f>--(German_Data!C546&lt;=$B$3)</f>
        <v/>
      </c>
      <c r="H546">
        <f>IF(F546=1,IF(G546=1,IF(German_Data!D546=$B$4,0,1),IF(German_Data!E546=$B$5,0,1)),IF(German_Data!E546=$B$5,0,1))</f>
        <v/>
      </c>
      <c r="I546">
        <f>IF(H546=1,"Good","Bad")</f>
        <v/>
      </c>
      <c r="J546">
        <f>--(H546=E546)</f>
        <v/>
      </c>
    </row>
    <row r="547">
      <c r="D547">
        <f>German_Data!A547</f>
        <v/>
      </c>
      <c r="E547">
        <f>German_Data!G547</f>
        <v/>
      </c>
      <c r="F547">
        <f>--(German_Data!B547&lt;=$B$2)</f>
        <v/>
      </c>
      <c r="G547">
        <f>--(German_Data!C547&lt;=$B$3)</f>
        <v/>
      </c>
      <c r="H547">
        <f>IF(F547=1,IF(G547=1,IF(German_Data!D547=$B$4,0,1),IF(German_Data!E547=$B$5,0,1)),IF(German_Data!E547=$B$5,0,1))</f>
        <v/>
      </c>
      <c r="I547">
        <f>IF(H547=1,"Good","Bad")</f>
        <v/>
      </c>
      <c r="J547">
        <f>--(H547=E547)</f>
        <v/>
      </c>
    </row>
    <row r="548">
      <c r="D548">
        <f>German_Data!A548</f>
        <v/>
      </c>
      <c r="E548">
        <f>German_Data!G548</f>
        <v/>
      </c>
      <c r="F548">
        <f>--(German_Data!B548&lt;=$B$2)</f>
        <v/>
      </c>
      <c r="G548">
        <f>--(German_Data!C548&lt;=$B$3)</f>
        <v/>
      </c>
      <c r="H548">
        <f>IF(F548=1,IF(G548=1,IF(German_Data!D548=$B$4,0,1),IF(German_Data!E548=$B$5,0,1)),IF(German_Data!E548=$B$5,0,1))</f>
        <v/>
      </c>
      <c r="I548">
        <f>IF(H548=1,"Good","Bad")</f>
        <v/>
      </c>
      <c r="J548">
        <f>--(H548=E548)</f>
        <v/>
      </c>
    </row>
    <row r="549">
      <c r="D549">
        <f>German_Data!A549</f>
        <v/>
      </c>
      <c r="E549">
        <f>German_Data!G549</f>
        <v/>
      </c>
      <c r="F549">
        <f>--(German_Data!B549&lt;=$B$2)</f>
        <v/>
      </c>
      <c r="G549">
        <f>--(German_Data!C549&lt;=$B$3)</f>
        <v/>
      </c>
      <c r="H549">
        <f>IF(F549=1,IF(G549=1,IF(German_Data!D549=$B$4,0,1),IF(German_Data!E549=$B$5,0,1)),IF(German_Data!E549=$B$5,0,1))</f>
        <v/>
      </c>
      <c r="I549">
        <f>IF(H549=1,"Good","Bad")</f>
        <v/>
      </c>
      <c r="J549">
        <f>--(H549=E549)</f>
        <v/>
      </c>
    </row>
    <row r="550">
      <c r="D550">
        <f>German_Data!A550</f>
        <v/>
      </c>
      <c r="E550">
        <f>German_Data!G550</f>
        <v/>
      </c>
      <c r="F550">
        <f>--(German_Data!B550&lt;=$B$2)</f>
        <v/>
      </c>
      <c r="G550">
        <f>--(German_Data!C550&lt;=$B$3)</f>
        <v/>
      </c>
      <c r="H550">
        <f>IF(F550=1,IF(G550=1,IF(German_Data!D550=$B$4,0,1),IF(German_Data!E550=$B$5,0,1)),IF(German_Data!E550=$B$5,0,1))</f>
        <v/>
      </c>
      <c r="I550">
        <f>IF(H550=1,"Good","Bad")</f>
        <v/>
      </c>
      <c r="J550">
        <f>--(H550=E550)</f>
        <v/>
      </c>
    </row>
    <row r="551">
      <c r="D551">
        <f>German_Data!A551</f>
        <v/>
      </c>
      <c r="E551">
        <f>German_Data!G551</f>
        <v/>
      </c>
      <c r="F551">
        <f>--(German_Data!B551&lt;=$B$2)</f>
        <v/>
      </c>
      <c r="G551">
        <f>--(German_Data!C551&lt;=$B$3)</f>
        <v/>
      </c>
      <c r="H551">
        <f>IF(F551=1,IF(G551=1,IF(German_Data!D551=$B$4,0,1),IF(German_Data!E551=$B$5,0,1)),IF(German_Data!E551=$B$5,0,1))</f>
        <v/>
      </c>
      <c r="I551">
        <f>IF(H551=1,"Good","Bad")</f>
        <v/>
      </c>
      <c r="J551">
        <f>--(H551=E551)</f>
        <v/>
      </c>
    </row>
    <row r="552">
      <c r="D552">
        <f>German_Data!A552</f>
        <v/>
      </c>
      <c r="E552">
        <f>German_Data!G552</f>
        <v/>
      </c>
      <c r="F552">
        <f>--(German_Data!B552&lt;=$B$2)</f>
        <v/>
      </c>
      <c r="G552">
        <f>--(German_Data!C552&lt;=$B$3)</f>
        <v/>
      </c>
      <c r="H552">
        <f>IF(F552=1,IF(G552=1,IF(German_Data!D552=$B$4,0,1),IF(German_Data!E552=$B$5,0,1)),IF(German_Data!E552=$B$5,0,1))</f>
        <v/>
      </c>
      <c r="I552">
        <f>IF(H552=1,"Good","Bad")</f>
        <v/>
      </c>
      <c r="J552">
        <f>--(H552=E552)</f>
        <v/>
      </c>
    </row>
    <row r="553">
      <c r="D553">
        <f>German_Data!A553</f>
        <v/>
      </c>
      <c r="E553">
        <f>German_Data!G553</f>
        <v/>
      </c>
      <c r="F553">
        <f>--(German_Data!B553&lt;=$B$2)</f>
        <v/>
      </c>
      <c r="G553">
        <f>--(German_Data!C553&lt;=$B$3)</f>
        <v/>
      </c>
      <c r="H553">
        <f>IF(F553=1,IF(G553=1,IF(German_Data!D553=$B$4,0,1),IF(German_Data!E553=$B$5,0,1)),IF(German_Data!E553=$B$5,0,1))</f>
        <v/>
      </c>
      <c r="I553">
        <f>IF(H553=1,"Good","Bad")</f>
        <v/>
      </c>
      <c r="J553">
        <f>--(H553=E553)</f>
        <v/>
      </c>
    </row>
    <row r="554">
      <c r="D554">
        <f>German_Data!A554</f>
        <v/>
      </c>
      <c r="E554">
        <f>German_Data!G554</f>
        <v/>
      </c>
      <c r="F554">
        <f>--(German_Data!B554&lt;=$B$2)</f>
        <v/>
      </c>
      <c r="G554">
        <f>--(German_Data!C554&lt;=$B$3)</f>
        <v/>
      </c>
      <c r="H554">
        <f>IF(F554=1,IF(G554=1,IF(German_Data!D554=$B$4,0,1),IF(German_Data!E554=$B$5,0,1)),IF(German_Data!E554=$B$5,0,1))</f>
        <v/>
      </c>
      <c r="I554">
        <f>IF(H554=1,"Good","Bad")</f>
        <v/>
      </c>
      <c r="J554">
        <f>--(H554=E554)</f>
        <v/>
      </c>
    </row>
    <row r="555">
      <c r="D555">
        <f>German_Data!A555</f>
        <v/>
      </c>
      <c r="E555">
        <f>German_Data!G555</f>
        <v/>
      </c>
      <c r="F555">
        <f>--(German_Data!B555&lt;=$B$2)</f>
        <v/>
      </c>
      <c r="G555">
        <f>--(German_Data!C555&lt;=$B$3)</f>
        <v/>
      </c>
      <c r="H555">
        <f>IF(F555=1,IF(G555=1,IF(German_Data!D555=$B$4,0,1),IF(German_Data!E555=$B$5,0,1)),IF(German_Data!E555=$B$5,0,1))</f>
        <v/>
      </c>
      <c r="I555">
        <f>IF(H555=1,"Good","Bad")</f>
        <v/>
      </c>
      <c r="J555">
        <f>--(H555=E555)</f>
        <v/>
      </c>
    </row>
    <row r="556">
      <c r="D556">
        <f>German_Data!A556</f>
        <v/>
      </c>
      <c r="E556">
        <f>German_Data!G556</f>
        <v/>
      </c>
      <c r="F556">
        <f>--(German_Data!B556&lt;=$B$2)</f>
        <v/>
      </c>
      <c r="G556">
        <f>--(German_Data!C556&lt;=$B$3)</f>
        <v/>
      </c>
      <c r="H556">
        <f>IF(F556=1,IF(G556=1,IF(German_Data!D556=$B$4,0,1),IF(German_Data!E556=$B$5,0,1)),IF(German_Data!E556=$B$5,0,1))</f>
        <v/>
      </c>
      <c r="I556">
        <f>IF(H556=1,"Good","Bad")</f>
        <v/>
      </c>
      <c r="J556">
        <f>--(H556=E556)</f>
        <v/>
      </c>
    </row>
    <row r="557">
      <c r="D557">
        <f>German_Data!A557</f>
        <v/>
      </c>
      <c r="E557">
        <f>German_Data!G557</f>
        <v/>
      </c>
      <c r="F557">
        <f>--(German_Data!B557&lt;=$B$2)</f>
        <v/>
      </c>
      <c r="G557">
        <f>--(German_Data!C557&lt;=$B$3)</f>
        <v/>
      </c>
      <c r="H557">
        <f>IF(F557=1,IF(G557=1,IF(German_Data!D557=$B$4,0,1),IF(German_Data!E557=$B$5,0,1)),IF(German_Data!E557=$B$5,0,1))</f>
        <v/>
      </c>
      <c r="I557">
        <f>IF(H557=1,"Good","Bad")</f>
        <v/>
      </c>
      <c r="J557">
        <f>--(H557=E557)</f>
        <v/>
      </c>
    </row>
    <row r="558">
      <c r="D558">
        <f>German_Data!A558</f>
        <v/>
      </c>
      <c r="E558">
        <f>German_Data!G558</f>
        <v/>
      </c>
      <c r="F558">
        <f>--(German_Data!B558&lt;=$B$2)</f>
        <v/>
      </c>
      <c r="G558">
        <f>--(German_Data!C558&lt;=$B$3)</f>
        <v/>
      </c>
      <c r="H558">
        <f>IF(F558=1,IF(G558=1,IF(German_Data!D558=$B$4,0,1),IF(German_Data!E558=$B$5,0,1)),IF(German_Data!E558=$B$5,0,1))</f>
        <v/>
      </c>
      <c r="I558">
        <f>IF(H558=1,"Good","Bad")</f>
        <v/>
      </c>
      <c r="J558">
        <f>--(H558=E558)</f>
        <v/>
      </c>
    </row>
    <row r="559">
      <c r="D559">
        <f>German_Data!A559</f>
        <v/>
      </c>
      <c r="E559">
        <f>German_Data!G559</f>
        <v/>
      </c>
      <c r="F559">
        <f>--(German_Data!B559&lt;=$B$2)</f>
        <v/>
      </c>
      <c r="G559">
        <f>--(German_Data!C559&lt;=$B$3)</f>
        <v/>
      </c>
      <c r="H559">
        <f>IF(F559=1,IF(G559=1,IF(German_Data!D559=$B$4,0,1),IF(German_Data!E559=$B$5,0,1)),IF(German_Data!E559=$B$5,0,1))</f>
        <v/>
      </c>
      <c r="I559">
        <f>IF(H559=1,"Good","Bad")</f>
        <v/>
      </c>
      <c r="J559">
        <f>--(H559=E559)</f>
        <v/>
      </c>
    </row>
    <row r="560">
      <c r="D560">
        <f>German_Data!A560</f>
        <v/>
      </c>
      <c r="E560">
        <f>German_Data!G560</f>
        <v/>
      </c>
      <c r="F560">
        <f>--(German_Data!B560&lt;=$B$2)</f>
        <v/>
      </c>
      <c r="G560">
        <f>--(German_Data!C560&lt;=$B$3)</f>
        <v/>
      </c>
      <c r="H560">
        <f>IF(F560=1,IF(G560=1,IF(German_Data!D560=$B$4,0,1),IF(German_Data!E560=$B$5,0,1)),IF(German_Data!E560=$B$5,0,1))</f>
        <v/>
      </c>
      <c r="I560">
        <f>IF(H560=1,"Good","Bad")</f>
        <v/>
      </c>
      <c r="J560">
        <f>--(H560=E560)</f>
        <v/>
      </c>
    </row>
    <row r="561">
      <c r="D561">
        <f>German_Data!A561</f>
        <v/>
      </c>
      <c r="E561">
        <f>German_Data!G561</f>
        <v/>
      </c>
      <c r="F561">
        <f>--(German_Data!B561&lt;=$B$2)</f>
        <v/>
      </c>
      <c r="G561">
        <f>--(German_Data!C561&lt;=$B$3)</f>
        <v/>
      </c>
      <c r="H561">
        <f>IF(F561=1,IF(G561=1,IF(German_Data!D561=$B$4,0,1),IF(German_Data!E561=$B$5,0,1)),IF(German_Data!E561=$B$5,0,1))</f>
        <v/>
      </c>
      <c r="I561">
        <f>IF(H561=1,"Good","Bad")</f>
        <v/>
      </c>
      <c r="J561">
        <f>--(H561=E561)</f>
        <v/>
      </c>
    </row>
    <row r="562">
      <c r="D562">
        <f>German_Data!A562</f>
        <v/>
      </c>
      <c r="E562">
        <f>German_Data!G562</f>
        <v/>
      </c>
      <c r="F562">
        <f>--(German_Data!B562&lt;=$B$2)</f>
        <v/>
      </c>
      <c r="G562">
        <f>--(German_Data!C562&lt;=$B$3)</f>
        <v/>
      </c>
      <c r="H562">
        <f>IF(F562=1,IF(G562=1,IF(German_Data!D562=$B$4,0,1),IF(German_Data!E562=$B$5,0,1)),IF(German_Data!E562=$B$5,0,1))</f>
        <v/>
      </c>
      <c r="I562">
        <f>IF(H562=1,"Good","Bad")</f>
        <v/>
      </c>
      <c r="J562">
        <f>--(H562=E562)</f>
        <v/>
      </c>
    </row>
    <row r="563">
      <c r="D563">
        <f>German_Data!A563</f>
        <v/>
      </c>
      <c r="E563">
        <f>German_Data!G563</f>
        <v/>
      </c>
      <c r="F563">
        <f>--(German_Data!B563&lt;=$B$2)</f>
        <v/>
      </c>
      <c r="G563">
        <f>--(German_Data!C563&lt;=$B$3)</f>
        <v/>
      </c>
      <c r="H563">
        <f>IF(F563=1,IF(G563=1,IF(German_Data!D563=$B$4,0,1),IF(German_Data!E563=$B$5,0,1)),IF(German_Data!E563=$B$5,0,1))</f>
        <v/>
      </c>
      <c r="I563">
        <f>IF(H563=1,"Good","Bad")</f>
        <v/>
      </c>
      <c r="J563">
        <f>--(H563=E563)</f>
        <v/>
      </c>
    </row>
    <row r="564">
      <c r="D564">
        <f>German_Data!A564</f>
        <v/>
      </c>
      <c r="E564">
        <f>German_Data!G564</f>
        <v/>
      </c>
      <c r="F564">
        <f>--(German_Data!B564&lt;=$B$2)</f>
        <v/>
      </c>
      <c r="G564">
        <f>--(German_Data!C564&lt;=$B$3)</f>
        <v/>
      </c>
      <c r="H564">
        <f>IF(F564=1,IF(G564=1,IF(German_Data!D564=$B$4,0,1),IF(German_Data!E564=$B$5,0,1)),IF(German_Data!E564=$B$5,0,1))</f>
        <v/>
      </c>
      <c r="I564">
        <f>IF(H564=1,"Good","Bad")</f>
        <v/>
      </c>
      <c r="J564">
        <f>--(H564=E564)</f>
        <v/>
      </c>
    </row>
    <row r="565">
      <c r="D565">
        <f>German_Data!A565</f>
        <v/>
      </c>
      <c r="E565">
        <f>German_Data!G565</f>
        <v/>
      </c>
      <c r="F565">
        <f>--(German_Data!B565&lt;=$B$2)</f>
        <v/>
      </c>
      <c r="G565">
        <f>--(German_Data!C565&lt;=$B$3)</f>
        <v/>
      </c>
      <c r="H565">
        <f>IF(F565=1,IF(G565=1,IF(German_Data!D565=$B$4,0,1),IF(German_Data!E565=$B$5,0,1)),IF(German_Data!E565=$B$5,0,1))</f>
        <v/>
      </c>
      <c r="I565">
        <f>IF(H565=1,"Good","Bad")</f>
        <v/>
      </c>
      <c r="J565">
        <f>--(H565=E565)</f>
        <v/>
      </c>
    </row>
    <row r="566">
      <c r="D566">
        <f>German_Data!A566</f>
        <v/>
      </c>
      <c r="E566">
        <f>German_Data!G566</f>
        <v/>
      </c>
      <c r="F566">
        <f>--(German_Data!B566&lt;=$B$2)</f>
        <v/>
      </c>
      <c r="G566">
        <f>--(German_Data!C566&lt;=$B$3)</f>
        <v/>
      </c>
      <c r="H566">
        <f>IF(F566=1,IF(G566=1,IF(German_Data!D566=$B$4,0,1),IF(German_Data!E566=$B$5,0,1)),IF(German_Data!E566=$B$5,0,1))</f>
        <v/>
      </c>
      <c r="I566">
        <f>IF(H566=1,"Good","Bad")</f>
        <v/>
      </c>
      <c r="J566">
        <f>--(H566=E566)</f>
        <v/>
      </c>
    </row>
    <row r="567">
      <c r="D567">
        <f>German_Data!A567</f>
        <v/>
      </c>
      <c r="E567">
        <f>German_Data!G567</f>
        <v/>
      </c>
      <c r="F567">
        <f>--(German_Data!B567&lt;=$B$2)</f>
        <v/>
      </c>
      <c r="G567">
        <f>--(German_Data!C567&lt;=$B$3)</f>
        <v/>
      </c>
      <c r="H567">
        <f>IF(F567=1,IF(G567=1,IF(German_Data!D567=$B$4,0,1),IF(German_Data!E567=$B$5,0,1)),IF(German_Data!E567=$B$5,0,1))</f>
        <v/>
      </c>
      <c r="I567">
        <f>IF(H567=1,"Good","Bad")</f>
        <v/>
      </c>
      <c r="J567">
        <f>--(H567=E567)</f>
        <v/>
      </c>
    </row>
    <row r="568">
      <c r="D568">
        <f>German_Data!A568</f>
        <v/>
      </c>
      <c r="E568">
        <f>German_Data!G568</f>
        <v/>
      </c>
      <c r="F568">
        <f>--(German_Data!B568&lt;=$B$2)</f>
        <v/>
      </c>
      <c r="G568">
        <f>--(German_Data!C568&lt;=$B$3)</f>
        <v/>
      </c>
      <c r="H568">
        <f>IF(F568=1,IF(G568=1,IF(German_Data!D568=$B$4,0,1),IF(German_Data!E568=$B$5,0,1)),IF(German_Data!E568=$B$5,0,1))</f>
        <v/>
      </c>
      <c r="I568">
        <f>IF(H568=1,"Good","Bad")</f>
        <v/>
      </c>
      <c r="J568">
        <f>--(H568=E568)</f>
        <v/>
      </c>
    </row>
    <row r="569">
      <c r="D569">
        <f>German_Data!A569</f>
        <v/>
      </c>
      <c r="E569">
        <f>German_Data!G569</f>
        <v/>
      </c>
      <c r="F569">
        <f>--(German_Data!B569&lt;=$B$2)</f>
        <v/>
      </c>
      <c r="G569">
        <f>--(German_Data!C569&lt;=$B$3)</f>
        <v/>
      </c>
      <c r="H569">
        <f>IF(F569=1,IF(G569=1,IF(German_Data!D569=$B$4,0,1),IF(German_Data!E569=$B$5,0,1)),IF(German_Data!E569=$B$5,0,1))</f>
        <v/>
      </c>
      <c r="I569">
        <f>IF(H569=1,"Good","Bad")</f>
        <v/>
      </c>
      <c r="J569">
        <f>--(H569=E569)</f>
        <v/>
      </c>
    </row>
    <row r="570">
      <c r="D570">
        <f>German_Data!A570</f>
        <v/>
      </c>
      <c r="E570">
        <f>German_Data!G570</f>
        <v/>
      </c>
      <c r="F570">
        <f>--(German_Data!B570&lt;=$B$2)</f>
        <v/>
      </c>
      <c r="G570">
        <f>--(German_Data!C570&lt;=$B$3)</f>
        <v/>
      </c>
      <c r="H570">
        <f>IF(F570=1,IF(G570=1,IF(German_Data!D570=$B$4,0,1),IF(German_Data!E570=$B$5,0,1)),IF(German_Data!E570=$B$5,0,1))</f>
        <v/>
      </c>
      <c r="I570">
        <f>IF(H570=1,"Good","Bad")</f>
        <v/>
      </c>
      <c r="J570">
        <f>--(H570=E570)</f>
        <v/>
      </c>
    </row>
    <row r="571">
      <c r="D571">
        <f>German_Data!A571</f>
        <v/>
      </c>
      <c r="E571">
        <f>German_Data!G571</f>
        <v/>
      </c>
      <c r="F571">
        <f>--(German_Data!B571&lt;=$B$2)</f>
        <v/>
      </c>
      <c r="G571">
        <f>--(German_Data!C571&lt;=$B$3)</f>
        <v/>
      </c>
      <c r="H571">
        <f>IF(F571=1,IF(G571=1,IF(German_Data!D571=$B$4,0,1),IF(German_Data!E571=$B$5,0,1)),IF(German_Data!E571=$B$5,0,1))</f>
        <v/>
      </c>
      <c r="I571">
        <f>IF(H571=1,"Good","Bad")</f>
        <v/>
      </c>
      <c r="J571">
        <f>--(H571=E571)</f>
        <v/>
      </c>
    </row>
    <row r="572">
      <c r="D572">
        <f>German_Data!A572</f>
        <v/>
      </c>
      <c r="E572">
        <f>German_Data!G572</f>
        <v/>
      </c>
      <c r="F572">
        <f>--(German_Data!B572&lt;=$B$2)</f>
        <v/>
      </c>
      <c r="G572">
        <f>--(German_Data!C572&lt;=$B$3)</f>
        <v/>
      </c>
      <c r="H572">
        <f>IF(F572=1,IF(G572=1,IF(German_Data!D572=$B$4,0,1),IF(German_Data!E572=$B$5,0,1)),IF(German_Data!E572=$B$5,0,1))</f>
        <v/>
      </c>
      <c r="I572">
        <f>IF(H572=1,"Good","Bad")</f>
        <v/>
      </c>
      <c r="J572">
        <f>--(H572=E572)</f>
        <v/>
      </c>
    </row>
    <row r="573">
      <c r="D573">
        <f>German_Data!A573</f>
        <v/>
      </c>
      <c r="E573">
        <f>German_Data!G573</f>
        <v/>
      </c>
      <c r="F573">
        <f>--(German_Data!B573&lt;=$B$2)</f>
        <v/>
      </c>
      <c r="G573">
        <f>--(German_Data!C573&lt;=$B$3)</f>
        <v/>
      </c>
      <c r="H573">
        <f>IF(F573=1,IF(G573=1,IF(German_Data!D573=$B$4,0,1),IF(German_Data!E573=$B$5,0,1)),IF(German_Data!E573=$B$5,0,1))</f>
        <v/>
      </c>
      <c r="I573">
        <f>IF(H573=1,"Good","Bad")</f>
        <v/>
      </c>
      <c r="J573">
        <f>--(H573=E573)</f>
        <v/>
      </c>
    </row>
    <row r="574">
      <c r="D574">
        <f>German_Data!A574</f>
        <v/>
      </c>
      <c r="E574">
        <f>German_Data!G574</f>
        <v/>
      </c>
      <c r="F574">
        <f>--(German_Data!B574&lt;=$B$2)</f>
        <v/>
      </c>
      <c r="G574">
        <f>--(German_Data!C574&lt;=$B$3)</f>
        <v/>
      </c>
      <c r="H574">
        <f>IF(F574=1,IF(G574=1,IF(German_Data!D574=$B$4,0,1),IF(German_Data!E574=$B$5,0,1)),IF(German_Data!E574=$B$5,0,1))</f>
        <v/>
      </c>
      <c r="I574">
        <f>IF(H574=1,"Good","Bad")</f>
        <v/>
      </c>
      <c r="J574">
        <f>--(H574=E574)</f>
        <v/>
      </c>
    </row>
    <row r="575">
      <c r="D575">
        <f>German_Data!A575</f>
        <v/>
      </c>
      <c r="E575">
        <f>German_Data!G575</f>
        <v/>
      </c>
      <c r="F575">
        <f>--(German_Data!B575&lt;=$B$2)</f>
        <v/>
      </c>
      <c r="G575">
        <f>--(German_Data!C575&lt;=$B$3)</f>
        <v/>
      </c>
      <c r="H575">
        <f>IF(F575=1,IF(G575=1,IF(German_Data!D575=$B$4,0,1),IF(German_Data!E575=$B$5,0,1)),IF(German_Data!E575=$B$5,0,1))</f>
        <v/>
      </c>
      <c r="I575">
        <f>IF(H575=1,"Good","Bad")</f>
        <v/>
      </c>
      <c r="J575">
        <f>--(H575=E575)</f>
        <v/>
      </c>
    </row>
    <row r="576">
      <c r="D576">
        <f>German_Data!A576</f>
        <v/>
      </c>
      <c r="E576">
        <f>German_Data!G576</f>
        <v/>
      </c>
      <c r="F576">
        <f>--(German_Data!B576&lt;=$B$2)</f>
        <v/>
      </c>
      <c r="G576">
        <f>--(German_Data!C576&lt;=$B$3)</f>
        <v/>
      </c>
      <c r="H576">
        <f>IF(F576=1,IF(G576=1,IF(German_Data!D576=$B$4,0,1),IF(German_Data!E576=$B$5,0,1)),IF(German_Data!E576=$B$5,0,1))</f>
        <v/>
      </c>
      <c r="I576">
        <f>IF(H576=1,"Good","Bad")</f>
        <v/>
      </c>
      <c r="J576">
        <f>--(H576=E576)</f>
        <v/>
      </c>
    </row>
    <row r="577">
      <c r="D577">
        <f>German_Data!A577</f>
        <v/>
      </c>
      <c r="E577">
        <f>German_Data!G577</f>
        <v/>
      </c>
      <c r="F577">
        <f>--(German_Data!B577&lt;=$B$2)</f>
        <v/>
      </c>
      <c r="G577">
        <f>--(German_Data!C577&lt;=$B$3)</f>
        <v/>
      </c>
      <c r="H577">
        <f>IF(F577=1,IF(G577=1,IF(German_Data!D577=$B$4,0,1),IF(German_Data!E577=$B$5,0,1)),IF(German_Data!E577=$B$5,0,1))</f>
        <v/>
      </c>
      <c r="I577">
        <f>IF(H577=1,"Good","Bad")</f>
        <v/>
      </c>
      <c r="J577">
        <f>--(H577=E577)</f>
        <v/>
      </c>
    </row>
    <row r="578">
      <c r="D578">
        <f>German_Data!A578</f>
        <v/>
      </c>
      <c r="E578">
        <f>German_Data!G578</f>
        <v/>
      </c>
      <c r="F578">
        <f>--(German_Data!B578&lt;=$B$2)</f>
        <v/>
      </c>
      <c r="G578">
        <f>--(German_Data!C578&lt;=$B$3)</f>
        <v/>
      </c>
      <c r="H578">
        <f>IF(F578=1,IF(G578=1,IF(German_Data!D578=$B$4,0,1),IF(German_Data!E578=$B$5,0,1)),IF(German_Data!E578=$B$5,0,1))</f>
        <v/>
      </c>
      <c r="I578">
        <f>IF(H578=1,"Good","Bad")</f>
        <v/>
      </c>
      <c r="J578">
        <f>--(H578=E578)</f>
        <v/>
      </c>
    </row>
    <row r="579">
      <c r="D579">
        <f>German_Data!A579</f>
        <v/>
      </c>
      <c r="E579">
        <f>German_Data!G579</f>
        <v/>
      </c>
      <c r="F579">
        <f>--(German_Data!B579&lt;=$B$2)</f>
        <v/>
      </c>
      <c r="G579">
        <f>--(German_Data!C579&lt;=$B$3)</f>
        <v/>
      </c>
      <c r="H579">
        <f>IF(F579=1,IF(G579=1,IF(German_Data!D579=$B$4,0,1),IF(German_Data!E579=$B$5,0,1)),IF(German_Data!E579=$B$5,0,1))</f>
        <v/>
      </c>
      <c r="I579">
        <f>IF(H579=1,"Good","Bad")</f>
        <v/>
      </c>
      <c r="J579">
        <f>--(H579=E579)</f>
        <v/>
      </c>
    </row>
    <row r="580">
      <c r="D580">
        <f>German_Data!A580</f>
        <v/>
      </c>
      <c r="E580">
        <f>German_Data!G580</f>
        <v/>
      </c>
      <c r="F580">
        <f>--(German_Data!B580&lt;=$B$2)</f>
        <v/>
      </c>
      <c r="G580">
        <f>--(German_Data!C580&lt;=$B$3)</f>
        <v/>
      </c>
      <c r="H580">
        <f>IF(F580=1,IF(G580=1,IF(German_Data!D580=$B$4,0,1),IF(German_Data!E580=$B$5,0,1)),IF(German_Data!E580=$B$5,0,1))</f>
        <v/>
      </c>
      <c r="I580">
        <f>IF(H580=1,"Good","Bad")</f>
        <v/>
      </c>
      <c r="J580">
        <f>--(H580=E580)</f>
        <v/>
      </c>
    </row>
    <row r="581">
      <c r="D581">
        <f>German_Data!A581</f>
        <v/>
      </c>
      <c r="E581">
        <f>German_Data!G581</f>
        <v/>
      </c>
      <c r="F581">
        <f>--(German_Data!B581&lt;=$B$2)</f>
        <v/>
      </c>
      <c r="G581">
        <f>--(German_Data!C581&lt;=$B$3)</f>
        <v/>
      </c>
      <c r="H581">
        <f>IF(F581=1,IF(G581=1,IF(German_Data!D581=$B$4,0,1),IF(German_Data!E581=$B$5,0,1)),IF(German_Data!E581=$B$5,0,1))</f>
        <v/>
      </c>
      <c r="I581">
        <f>IF(H581=1,"Good","Bad")</f>
        <v/>
      </c>
      <c r="J581">
        <f>--(H581=E581)</f>
        <v/>
      </c>
    </row>
    <row r="582">
      <c r="D582">
        <f>German_Data!A582</f>
        <v/>
      </c>
      <c r="E582">
        <f>German_Data!G582</f>
        <v/>
      </c>
      <c r="F582">
        <f>--(German_Data!B582&lt;=$B$2)</f>
        <v/>
      </c>
      <c r="G582">
        <f>--(German_Data!C582&lt;=$B$3)</f>
        <v/>
      </c>
      <c r="H582">
        <f>IF(F582=1,IF(G582=1,IF(German_Data!D582=$B$4,0,1),IF(German_Data!E582=$B$5,0,1)),IF(German_Data!E582=$B$5,0,1))</f>
        <v/>
      </c>
      <c r="I582">
        <f>IF(H582=1,"Good","Bad")</f>
        <v/>
      </c>
      <c r="J582">
        <f>--(H582=E582)</f>
        <v/>
      </c>
    </row>
    <row r="583">
      <c r="D583">
        <f>German_Data!A583</f>
        <v/>
      </c>
      <c r="E583">
        <f>German_Data!G583</f>
        <v/>
      </c>
      <c r="F583">
        <f>--(German_Data!B583&lt;=$B$2)</f>
        <v/>
      </c>
      <c r="G583">
        <f>--(German_Data!C583&lt;=$B$3)</f>
        <v/>
      </c>
      <c r="H583">
        <f>IF(F583=1,IF(G583=1,IF(German_Data!D583=$B$4,0,1),IF(German_Data!E583=$B$5,0,1)),IF(German_Data!E583=$B$5,0,1))</f>
        <v/>
      </c>
      <c r="I583">
        <f>IF(H583=1,"Good","Bad")</f>
        <v/>
      </c>
      <c r="J583">
        <f>--(H583=E583)</f>
        <v/>
      </c>
    </row>
    <row r="584">
      <c r="D584">
        <f>German_Data!A584</f>
        <v/>
      </c>
      <c r="E584">
        <f>German_Data!G584</f>
        <v/>
      </c>
      <c r="F584">
        <f>--(German_Data!B584&lt;=$B$2)</f>
        <v/>
      </c>
      <c r="G584">
        <f>--(German_Data!C584&lt;=$B$3)</f>
        <v/>
      </c>
      <c r="H584">
        <f>IF(F584=1,IF(G584=1,IF(German_Data!D584=$B$4,0,1),IF(German_Data!E584=$B$5,0,1)),IF(German_Data!E584=$B$5,0,1))</f>
        <v/>
      </c>
      <c r="I584">
        <f>IF(H584=1,"Good","Bad")</f>
        <v/>
      </c>
      <c r="J584">
        <f>--(H584=E584)</f>
        <v/>
      </c>
    </row>
    <row r="585">
      <c r="D585">
        <f>German_Data!A585</f>
        <v/>
      </c>
      <c r="E585">
        <f>German_Data!G585</f>
        <v/>
      </c>
      <c r="F585">
        <f>--(German_Data!B585&lt;=$B$2)</f>
        <v/>
      </c>
      <c r="G585">
        <f>--(German_Data!C585&lt;=$B$3)</f>
        <v/>
      </c>
      <c r="H585">
        <f>IF(F585=1,IF(G585=1,IF(German_Data!D585=$B$4,0,1),IF(German_Data!E585=$B$5,0,1)),IF(German_Data!E585=$B$5,0,1))</f>
        <v/>
      </c>
      <c r="I585">
        <f>IF(H585=1,"Good","Bad")</f>
        <v/>
      </c>
      <c r="J585">
        <f>--(H585=E585)</f>
        <v/>
      </c>
    </row>
    <row r="586">
      <c r="D586">
        <f>German_Data!A586</f>
        <v/>
      </c>
      <c r="E586">
        <f>German_Data!G586</f>
        <v/>
      </c>
      <c r="F586">
        <f>--(German_Data!B586&lt;=$B$2)</f>
        <v/>
      </c>
      <c r="G586">
        <f>--(German_Data!C586&lt;=$B$3)</f>
        <v/>
      </c>
      <c r="H586">
        <f>IF(F586=1,IF(G586=1,IF(German_Data!D586=$B$4,0,1),IF(German_Data!E586=$B$5,0,1)),IF(German_Data!E586=$B$5,0,1))</f>
        <v/>
      </c>
      <c r="I586">
        <f>IF(H586=1,"Good","Bad")</f>
        <v/>
      </c>
      <c r="J586">
        <f>--(H586=E586)</f>
        <v/>
      </c>
    </row>
    <row r="587">
      <c r="D587">
        <f>German_Data!A587</f>
        <v/>
      </c>
      <c r="E587">
        <f>German_Data!G587</f>
        <v/>
      </c>
      <c r="F587">
        <f>--(German_Data!B587&lt;=$B$2)</f>
        <v/>
      </c>
      <c r="G587">
        <f>--(German_Data!C587&lt;=$B$3)</f>
        <v/>
      </c>
      <c r="H587">
        <f>IF(F587=1,IF(G587=1,IF(German_Data!D587=$B$4,0,1),IF(German_Data!E587=$B$5,0,1)),IF(German_Data!E587=$B$5,0,1))</f>
        <v/>
      </c>
      <c r="I587">
        <f>IF(H587=1,"Good","Bad")</f>
        <v/>
      </c>
      <c r="J587">
        <f>--(H587=E587)</f>
        <v/>
      </c>
    </row>
    <row r="588">
      <c r="D588">
        <f>German_Data!A588</f>
        <v/>
      </c>
      <c r="E588">
        <f>German_Data!G588</f>
        <v/>
      </c>
      <c r="F588">
        <f>--(German_Data!B588&lt;=$B$2)</f>
        <v/>
      </c>
      <c r="G588">
        <f>--(German_Data!C588&lt;=$B$3)</f>
        <v/>
      </c>
      <c r="H588">
        <f>IF(F588=1,IF(G588=1,IF(German_Data!D588=$B$4,0,1),IF(German_Data!E588=$B$5,0,1)),IF(German_Data!E588=$B$5,0,1))</f>
        <v/>
      </c>
      <c r="I588">
        <f>IF(H588=1,"Good","Bad")</f>
        <v/>
      </c>
      <c r="J588">
        <f>--(H588=E588)</f>
        <v/>
      </c>
    </row>
    <row r="589">
      <c r="D589">
        <f>German_Data!A589</f>
        <v/>
      </c>
      <c r="E589">
        <f>German_Data!G589</f>
        <v/>
      </c>
      <c r="F589">
        <f>--(German_Data!B589&lt;=$B$2)</f>
        <v/>
      </c>
      <c r="G589">
        <f>--(German_Data!C589&lt;=$B$3)</f>
        <v/>
      </c>
      <c r="H589">
        <f>IF(F589=1,IF(G589=1,IF(German_Data!D589=$B$4,0,1),IF(German_Data!E589=$B$5,0,1)),IF(German_Data!E589=$B$5,0,1))</f>
        <v/>
      </c>
      <c r="I589">
        <f>IF(H589=1,"Good","Bad")</f>
        <v/>
      </c>
      <c r="J589">
        <f>--(H589=E589)</f>
        <v/>
      </c>
    </row>
    <row r="590">
      <c r="D590">
        <f>German_Data!A590</f>
        <v/>
      </c>
      <c r="E590">
        <f>German_Data!G590</f>
        <v/>
      </c>
      <c r="F590">
        <f>--(German_Data!B590&lt;=$B$2)</f>
        <v/>
      </c>
      <c r="G590">
        <f>--(German_Data!C590&lt;=$B$3)</f>
        <v/>
      </c>
      <c r="H590">
        <f>IF(F590=1,IF(G590=1,IF(German_Data!D590=$B$4,0,1),IF(German_Data!E590=$B$5,0,1)),IF(German_Data!E590=$B$5,0,1))</f>
        <v/>
      </c>
      <c r="I590">
        <f>IF(H590=1,"Good","Bad")</f>
        <v/>
      </c>
      <c r="J590">
        <f>--(H590=E590)</f>
        <v/>
      </c>
    </row>
    <row r="591">
      <c r="D591">
        <f>German_Data!A591</f>
        <v/>
      </c>
      <c r="E591">
        <f>German_Data!G591</f>
        <v/>
      </c>
      <c r="F591">
        <f>--(German_Data!B591&lt;=$B$2)</f>
        <v/>
      </c>
      <c r="G591">
        <f>--(German_Data!C591&lt;=$B$3)</f>
        <v/>
      </c>
      <c r="H591">
        <f>IF(F591=1,IF(G591=1,IF(German_Data!D591=$B$4,0,1),IF(German_Data!E591=$B$5,0,1)),IF(German_Data!E591=$B$5,0,1))</f>
        <v/>
      </c>
      <c r="I591">
        <f>IF(H591=1,"Good","Bad")</f>
        <v/>
      </c>
      <c r="J591">
        <f>--(H591=E591)</f>
        <v/>
      </c>
    </row>
    <row r="592">
      <c r="D592">
        <f>German_Data!A592</f>
        <v/>
      </c>
      <c r="E592">
        <f>German_Data!G592</f>
        <v/>
      </c>
      <c r="F592">
        <f>--(German_Data!B592&lt;=$B$2)</f>
        <v/>
      </c>
      <c r="G592">
        <f>--(German_Data!C592&lt;=$B$3)</f>
        <v/>
      </c>
      <c r="H592">
        <f>IF(F592=1,IF(G592=1,IF(German_Data!D592=$B$4,0,1),IF(German_Data!E592=$B$5,0,1)),IF(German_Data!E592=$B$5,0,1))</f>
        <v/>
      </c>
      <c r="I592">
        <f>IF(H592=1,"Good","Bad")</f>
        <v/>
      </c>
      <c r="J592">
        <f>--(H592=E592)</f>
        <v/>
      </c>
    </row>
    <row r="593">
      <c r="D593">
        <f>German_Data!A593</f>
        <v/>
      </c>
      <c r="E593">
        <f>German_Data!G593</f>
        <v/>
      </c>
      <c r="F593">
        <f>--(German_Data!B593&lt;=$B$2)</f>
        <v/>
      </c>
      <c r="G593">
        <f>--(German_Data!C593&lt;=$B$3)</f>
        <v/>
      </c>
      <c r="H593">
        <f>IF(F593=1,IF(G593=1,IF(German_Data!D593=$B$4,0,1),IF(German_Data!E593=$B$5,0,1)),IF(German_Data!E593=$B$5,0,1))</f>
        <v/>
      </c>
      <c r="I593">
        <f>IF(H593=1,"Good","Bad")</f>
        <v/>
      </c>
      <c r="J593">
        <f>--(H593=E593)</f>
        <v/>
      </c>
    </row>
    <row r="594">
      <c r="D594">
        <f>German_Data!A594</f>
        <v/>
      </c>
      <c r="E594">
        <f>German_Data!G594</f>
        <v/>
      </c>
      <c r="F594">
        <f>--(German_Data!B594&lt;=$B$2)</f>
        <v/>
      </c>
      <c r="G594">
        <f>--(German_Data!C594&lt;=$B$3)</f>
        <v/>
      </c>
      <c r="H594">
        <f>IF(F594=1,IF(G594=1,IF(German_Data!D594=$B$4,0,1),IF(German_Data!E594=$B$5,0,1)),IF(German_Data!E594=$B$5,0,1))</f>
        <v/>
      </c>
      <c r="I594">
        <f>IF(H594=1,"Good","Bad")</f>
        <v/>
      </c>
      <c r="J594">
        <f>--(H594=E594)</f>
        <v/>
      </c>
    </row>
    <row r="595">
      <c r="D595">
        <f>German_Data!A595</f>
        <v/>
      </c>
      <c r="E595">
        <f>German_Data!G595</f>
        <v/>
      </c>
      <c r="F595">
        <f>--(German_Data!B595&lt;=$B$2)</f>
        <v/>
      </c>
      <c r="G595">
        <f>--(German_Data!C595&lt;=$B$3)</f>
        <v/>
      </c>
      <c r="H595">
        <f>IF(F595=1,IF(G595=1,IF(German_Data!D595=$B$4,0,1),IF(German_Data!E595=$B$5,0,1)),IF(German_Data!E595=$B$5,0,1))</f>
        <v/>
      </c>
      <c r="I595">
        <f>IF(H595=1,"Good","Bad")</f>
        <v/>
      </c>
      <c r="J595">
        <f>--(H595=E595)</f>
        <v/>
      </c>
    </row>
    <row r="596">
      <c r="D596">
        <f>German_Data!A596</f>
        <v/>
      </c>
      <c r="E596">
        <f>German_Data!G596</f>
        <v/>
      </c>
      <c r="F596">
        <f>--(German_Data!B596&lt;=$B$2)</f>
        <v/>
      </c>
      <c r="G596">
        <f>--(German_Data!C596&lt;=$B$3)</f>
        <v/>
      </c>
      <c r="H596">
        <f>IF(F596=1,IF(G596=1,IF(German_Data!D596=$B$4,0,1),IF(German_Data!E596=$B$5,0,1)),IF(German_Data!E596=$B$5,0,1))</f>
        <v/>
      </c>
      <c r="I596">
        <f>IF(H596=1,"Good","Bad")</f>
        <v/>
      </c>
      <c r="J596">
        <f>--(H596=E596)</f>
        <v/>
      </c>
    </row>
    <row r="597">
      <c r="D597">
        <f>German_Data!A597</f>
        <v/>
      </c>
      <c r="E597">
        <f>German_Data!G597</f>
        <v/>
      </c>
      <c r="F597">
        <f>--(German_Data!B597&lt;=$B$2)</f>
        <v/>
      </c>
      <c r="G597">
        <f>--(German_Data!C597&lt;=$B$3)</f>
        <v/>
      </c>
      <c r="H597">
        <f>IF(F597=1,IF(G597=1,IF(German_Data!D597=$B$4,0,1),IF(German_Data!E597=$B$5,0,1)),IF(German_Data!E597=$B$5,0,1))</f>
        <v/>
      </c>
      <c r="I597">
        <f>IF(H597=1,"Good","Bad")</f>
        <v/>
      </c>
      <c r="J597">
        <f>--(H597=E597)</f>
        <v/>
      </c>
    </row>
    <row r="598">
      <c r="D598">
        <f>German_Data!A598</f>
        <v/>
      </c>
      <c r="E598">
        <f>German_Data!G598</f>
        <v/>
      </c>
      <c r="F598">
        <f>--(German_Data!B598&lt;=$B$2)</f>
        <v/>
      </c>
      <c r="G598">
        <f>--(German_Data!C598&lt;=$B$3)</f>
        <v/>
      </c>
      <c r="H598">
        <f>IF(F598=1,IF(G598=1,IF(German_Data!D598=$B$4,0,1),IF(German_Data!E598=$B$5,0,1)),IF(German_Data!E598=$B$5,0,1))</f>
        <v/>
      </c>
      <c r="I598">
        <f>IF(H598=1,"Good","Bad")</f>
        <v/>
      </c>
      <c r="J598">
        <f>--(H598=E598)</f>
        <v/>
      </c>
    </row>
    <row r="599">
      <c r="D599">
        <f>German_Data!A599</f>
        <v/>
      </c>
      <c r="E599">
        <f>German_Data!G599</f>
        <v/>
      </c>
      <c r="F599">
        <f>--(German_Data!B599&lt;=$B$2)</f>
        <v/>
      </c>
      <c r="G599">
        <f>--(German_Data!C599&lt;=$B$3)</f>
        <v/>
      </c>
      <c r="H599">
        <f>IF(F599=1,IF(G599=1,IF(German_Data!D599=$B$4,0,1),IF(German_Data!E599=$B$5,0,1)),IF(German_Data!E599=$B$5,0,1))</f>
        <v/>
      </c>
      <c r="I599">
        <f>IF(H599=1,"Good","Bad")</f>
        <v/>
      </c>
      <c r="J599">
        <f>--(H599=E599)</f>
        <v/>
      </c>
    </row>
    <row r="600">
      <c r="D600">
        <f>German_Data!A600</f>
        <v/>
      </c>
      <c r="E600">
        <f>German_Data!G600</f>
        <v/>
      </c>
      <c r="F600">
        <f>--(German_Data!B600&lt;=$B$2)</f>
        <v/>
      </c>
      <c r="G600">
        <f>--(German_Data!C600&lt;=$B$3)</f>
        <v/>
      </c>
      <c r="H600">
        <f>IF(F600=1,IF(G600=1,IF(German_Data!D600=$B$4,0,1),IF(German_Data!E600=$B$5,0,1)),IF(German_Data!E600=$B$5,0,1))</f>
        <v/>
      </c>
      <c r="I600">
        <f>IF(H600=1,"Good","Bad")</f>
        <v/>
      </c>
      <c r="J600">
        <f>--(H600=E600)</f>
        <v/>
      </c>
    </row>
    <row r="601">
      <c r="D601">
        <f>German_Data!A601</f>
        <v/>
      </c>
      <c r="E601">
        <f>German_Data!G601</f>
        <v/>
      </c>
      <c r="F601">
        <f>--(German_Data!B601&lt;=$B$2)</f>
        <v/>
      </c>
      <c r="G601">
        <f>--(German_Data!C601&lt;=$B$3)</f>
        <v/>
      </c>
      <c r="H601">
        <f>IF(F601=1,IF(G601=1,IF(German_Data!D601=$B$4,0,1),IF(German_Data!E601=$B$5,0,1)),IF(German_Data!E601=$B$5,0,1))</f>
        <v/>
      </c>
      <c r="I601">
        <f>IF(H601=1,"Good","Bad")</f>
        <v/>
      </c>
      <c r="J601">
        <f>--(H601=E601)</f>
        <v/>
      </c>
    </row>
    <row r="602">
      <c r="D602">
        <f>German_Data!A602</f>
        <v/>
      </c>
      <c r="E602">
        <f>German_Data!G602</f>
        <v/>
      </c>
      <c r="F602">
        <f>--(German_Data!B602&lt;=$B$2)</f>
        <v/>
      </c>
      <c r="G602">
        <f>--(German_Data!C602&lt;=$B$3)</f>
        <v/>
      </c>
      <c r="H602">
        <f>IF(F602=1,IF(G602=1,IF(German_Data!D602=$B$4,0,1),IF(German_Data!E602=$B$5,0,1)),IF(German_Data!E602=$B$5,0,1))</f>
        <v/>
      </c>
      <c r="I602">
        <f>IF(H602=1,"Good","Bad")</f>
        <v/>
      </c>
      <c r="J602">
        <f>--(H602=E602)</f>
        <v/>
      </c>
    </row>
    <row r="603">
      <c r="D603">
        <f>German_Data!A603</f>
        <v/>
      </c>
      <c r="E603">
        <f>German_Data!G603</f>
        <v/>
      </c>
      <c r="F603">
        <f>--(German_Data!B603&lt;=$B$2)</f>
        <v/>
      </c>
      <c r="G603">
        <f>--(German_Data!C603&lt;=$B$3)</f>
        <v/>
      </c>
      <c r="H603">
        <f>IF(F603=1,IF(G603=1,IF(German_Data!D603=$B$4,0,1),IF(German_Data!E603=$B$5,0,1)),IF(German_Data!E603=$B$5,0,1))</f>
        <v/>
      </c>
      <c r="I603">
        <f>IF(H603=1,"Good","Bad")</f>
        <v/>
      </c>
      <c r="J603">
        <f>--(H603=E603)</f>
        <v/>
      </c>
    </row>
    <row r="604">
      <c r="D604">
        <f>German_Data!A604</f>
        <v/>
      </c>
      <c r="E604">
        <f>German_Data!G604</f>
        <v/>
      </c>
      <c r="F604">
        <f>--(German_Data!B604&lt;=$B$2)</f>
        <v/>
      </c>
      <c r="G604">
        <f>--(German_Data!C604&lt;=$B$3)</f>
        <v/>
      </c>
      <c r="H604">
        <f>IF(F604=1,IF(G604=1,IF(German_Data!D604=$B$4,0,1),IF(German_Data!E604=$B$5,0,1)),IF(German_Data!E604=$B$5,0,1))</f>
        <v/>
      </c>
      <c r="I604">
        <f>IF(H604=1,"Good","Bad")</f>
        <v/>
      </c>
      <c r="J604">
        <f>--(H604=E604)</f>
        <v/>
      </c>
    </row>
    <row r="605">
      <c r="D605">
        <f>German_Data!A605</f>
        <v/>
      </c>
      <c r="E605">
        <f>German_Data!G605</f>
        <v/>
      </c>
      <c r="F605">
        <f>--(German_Data!B605&lt;=$B$2)</f>
        <v/>
      </c>
      <c r="G605">
        <f>--(German_Data!C605&lt;=$B$3)</f>
        <v/>
      </c>
      <c r="H605">
        <f>IF(F605=1,IF(G605=1,IF(German_Data!D605=$B$4,0,1),IF(German_Data!E605=$B$5,0,1)),IF(German_Data!E605=$B$5,0,1))</f>
        <v/>
      </c>
      <c r="I605">
        <f>IF(H605=1,"Good","Bad")</f>
        <v/>
      </c>
      <c r="J605">
        <f>--(H605=E605)</f>
        <v/>
      </c>
    </row>
    <row r="606">
      <c r="D606">
        <f>German_Data!A606</f>
        <v/>
      </c>
      <c r="E606">
        <f>German_Data!G606</f>
        <v/>
      </c>
      <c r="F606">
        <f>--(German_Data!B606&lt;=$B$2)</f>
        <v/>
      </c>
      <c r="G606">
        <f>--(German_Data!C606&lt;=$B$3)</f>
        <v/>
      </c>
      <c r="H606">
        <f>IF(F606=1,IF(G606=1,IF(German_Data!D606=$B$4,0,1),IF(German_Data!E606=$B$5,0,1)),IF(German_Data!E606=$B$5,0,1))</f>
        <v/>
      </c>
      <c r="I606">
        <f>IF(H606=1,"Good","Bad")</f>
        <v/>
      </c>
      <c r="J606">
        <f>--(H606=E606)</f>
        <v/>
      </c>
    </row>
    <row r="607">
      <c r="D607">
        <f>German_Data!A607</f>
        <v/>
      </c>
      <c r="E607">
        <f>German_Data!G607</f>
        <v/>
      </c>
      <c r="F607">
        <f>--(German_Data!B607&lt;=$B$2)</f>
        <v/>
      </c>
      <c r="G607">
        <f>--(German_Data!C607&lt;=$B$3)</f>
        <v/>
      </c>
      <c r="H607">
        <f>IF(F607=1,IF(G607=1,IF(German_Data!D607=$B$4,0,1),IF(German_Data!E607=$B$5,0,1)),IF(German_Data!E607=$B$5,0,1))</f>
        <v/>
      </c>
      <c r="I607">
        <f>IF(H607=1,"Good","Bad")</f>
        <v/>
      </c>
      <c r="J607">
        <f>--(H607=E607)</f>
        <v/>
      </c>
    </row>
    <row r="608">
      <c r="D608">
        <f>German_Data!A608</f>
        <v/>
      </c>
      <c r="E608">
        <f>German_Data!G608</f>
        <v/>
      </c>
      <c r="F608">
        <f>--(German_Data!B608&lt;=$B$2)</f>
        <v/>
      </c>
      <c r="G608">
        <f>--(German_Data!C608&lt;=$B$3)</f>
        <v/>
      </c>
      <c r="H608">
        <f>IF(F608=1,IF(G608=1,IF(German_Data!D608=$B$4,0,1),IF(German_Data!E608=$B$5,0,1)),IF(German_Data!E608=$B$5,0,1))</f>
        <v/>
      </c>
      <c r="I608">
        <f>IF(H608=1,"Good","Bad")</f>
        <v/>
      </c>
      <c r="J608">
        <f>--(H608=E608)</f>
        <v/>
      </c>
    </row>
    <row r="609">
      <c r="D609">
        <f>German_Data!A609</f>
        <v/>
      </c>
      <c r="E609">
        <f>German_Data!G609</f>
        <v/>
      </c>
      <c r="F609">
        <f>--(German_Data!B609&lt;=$B$2)</f>
        <v/>
      </c>
      <c r="G609">
        <f>--(German_Data!C609&lt;=$B$3)</f>
        <v/>
      </c>
      <c r="H609">
        <f>IF(F609=1,IF(G609=1,IF(German_Data!D609=$B$4,0,1),IF(German_Data!E609=$B$5,0,1)),IF(German_Data!E609=$B$5,0,1))</f>
        <v/>
      </c>
      <c r="I609">
        <f>IF(H609=1,"Good","Bad")</f>
        <v/>
      </c>
      <c r="J609">
        <f>--(H609=E609)</f>
        <v/>
      </c>
    </row>
    <row r="610">
      <c r="D610">
        <f>German_Data!A610</f>
        <v/>
      </c>
      <c r="E610">
        <f>German_Data!G610</f>
        <v/>
      </c>
      <c r="F610">
        <f>--(German_Data!B610&lt;=$B$2)</f>
        <v/>
      </c>
      <c r="G610">
        <f>--(German_Data!C610&lt;=$B$3)</f>
        <v/>
      </c>
      <c r="H610">
        <f>IF(F610=1,IF(G610=1,IF(German_Data!D610=$B$4,0,1),IF(German_Data!E610=$B$5,0,1)),IF(German_Data!E610=$B$5,0,1))</f>
        <v/>
      </c>
      <c r="I610">
        <f>IF(H610=1,"Good","Bad")</f>
        <v/>
      </c>
      <c r="J610">
        <f>--(H610=E610)</f>
        <v/>
      </c>
    </row>
    <row r="611">
      <c r="D611">
        <f>German_Data!A611</f>
        <v/>
      </c>
      <c r="E611">
        <f>German_Data!G611</f>
        <v/>
      </c>
      <c r="F611">
        <f>--(German_Data!B611&lt;=$B$2)</f>
        <v/>
      </c>
      <c r="G611">
        <f>--(German_Data!C611&lt;=$B$3)</f>
        <v/>
      </c>
      <c r="H611">
        <f>IF(F611=1,IF(G611=1,IF(German_Data!D611=$B$4,0,1),IF(German_Data!E611=$B$5,0,1)),IF(German_Data!E611=$B$5,0,1))</f>
        <v/>
      </c>
      <c r="I611">
        <f>IF(H611=1,"Good","Bad")</f>
        <v/>
      </c>
      <c r="J611">
        <f>--(H611=E611)</f>
        <v/>
      </c>
    </row>
    <row r="612">
      <c r="D612">
        <f>German_Data!A612</f>
        <v/>
      </c>
      <c r="E612">
        <f>German_Data!G612</f>
        <v/>
      </c>
      <c r="F612">
        <f>--(German_Data!B612&lt;=$B$2)</f>
        <v/>
      </c>
      <c r="G612">
        <f>--(German_Data!C612&lt;=$B$3)</f>
        <v/>
      </c>
      <c r="H612">
        <f>IF(F612=1,IF(G612=1,IF(German_Data!D612=$B$4,0,1),IF(German_Data!E612=$B$5,0,1)),IF(German_Data!E612=$B$5,0,1))</f>
        <v/>
      </c>
      <c r="I612">
        <f>IF(H612=1,"Good","Bad")</f>
        <v/>
      </c>
      <c r="J612">
        <f>--(H612=E612)</f>
        <v/>
      </c>
    </row>
    <row r="613">
      <c r="D613">
        <f>German_Data!A613</f>
        <v/>
      </c>
      <c r="E613">
        <f>German_Data!G613</f>
        <v/>
      </c>
      <c r="F613">
        <f>--(German_Data!B613&lt;=$B$2)</f>
        <v/>
      </c>
      <c r="G613">
        <f>--(German_Data!C613&lt;=$B$3)</f>
        <v/>
      </c>
      <c r="H613">
        <f>IF(F613=1,IF(G613=1,IF(German_Data!D613=$B$4,0,1),IF(German_Data!E613=$B$5,0,1)),IF(German_Data!E613=$B$5,0,1))</f>
        <v/>
      </c>
      <c r="I613">
        <f>IF(H613=1,"Good","Bad")</f>
        <v/>
      </c>
      <c r="J613">
        <f>--(H613=E613)</f>
        <v/>
      </c>
    </row>
    <row r="614">
      <c r="D614">
        <f>German_Data!A614</f>
        <v/>
      </c>
      <c r="E614">
        <f>German_Data!G614</f>
        <v/>
      </c>
      <c r="F614">
        <f>--(German_Data!B614&lt;=$B$2)</f>
        <v/>
      </c>
      <c r="G614">
        <f>--(German_Data!C614&lt;=$B$3)</f>
        <v/>
      </c>
      <c r="H614">
        <f>IF(F614=1,IF(G614=1,IF(German_Data!D614=$B$4,0,1),IF(German_Data!E614=$B$5,0,1)),IF(German_Data!E614=$B$5,0,1))</f>
        <v/>
      </c>
      <c r="I614">
        <f>IF(H614=1,"Good","Bad")</f>
        <v/>
      </c>
      <c r="J614">
        <f>--(H614=E614)</f>
        <v/>
      </c>
    </row>
    <row r="615">
      <c r="D615">
        <f>German_Data!A615</f>
        <v/>
      </c>
      <c r="E615">
        <f>German_Data!G615</f>
        <v/>
      </c>
      <c r="F615">
        <f>--(German_Data!B615&lt;=$B$2)</f>
        <v/>
      </c>
      <c r="G615">
        <f>--(German_Data!C615&lt;=$B$3)</f>
        <v/>
      </c>
      <c r="H615">
        <f>IF(F615=1,IF(G615=1,IF(German_Data!D615=$B$4,0,1),IF(German_Data!E615=$B$5,0,1)),IF(German_Data!E615=$B$5,0,1))</f>
        <v/>
      </c>
      <c r="I615">
        <f>IF(H615=1,"Good","Bad")</f>
        <v/>
      </c>
      <c r="J615">
        <f>--(H615=E615)</f>
        <v/>
      </c>
    </row>
    <row r="616">
      <c r="D616">
        <f>German_Data!A616</f>
        <v/>
      </c>
      <c r="E616">
        <f>German_Data!G616</f>
        <v/>
      </c>
      <c r="F616">
        <f>--(German_Data!B616&lt;=$B$2)</f>
        <v/>
      </c>
      <c r="G616">
        <f>--(German_Data!C616&lt;=$B$3)</f>
        <v/>
      </c>
      <c r="H616">
        <f>IF(F616=1,IF(G616=1,IF(German_Data!D616=$B$4,0,1),IF(German_Data!E616=$B$5,0,1)),IF(German_Data!E616=$B$5,0,1))</f>
        <v/>
      </c>
      <c r="I616">
        <f>IF(H616=1,"Good","Bad")</f>
        <v/>
      </c>
      <c r="J616">
        <f>--(H616=E616)</f>
        <v/>
      </c>
    </row>
    <row r="617">
      <c r="D617">
        <f>German_Data!A617</f>
        <v/>
      </c>
      <c r="E617">
        <f>German_Data!G617</f>
        <v/>
      </c>
      <c r="F617">
        <f>--(German_Data!B617&lt;=$B$2)</f>
        <v/>
      </c>
      <c r="G617">
        <f>--(German_Data!C617&lt;=$B$3)</f>
        <v/>
      </c>
      <c r="H617">
        <f>IF(F617=1,IF(G617=1,IF(German_Data!D617=$B$4,0,1),IF(German_Data!E617=$B$5,0,1)),IF(German_Data!E617=$B$5,0,1))</f>
        <v/>
      </c>
      <c r="I617">
        <f>IF(H617=1,"Good","Bad")</f>
        <v/>
      </c>
      <c r="J617">
        <f>--(H617=E617)</f>
        <v/>
      </c>
    </row>
    <row r="618">
      <c r="D618">
        <f>German_Data!A618</f>
        <v/>
      </c>
      <c r="E618">
        <f>German_Data!G618</f>
        <v/>
      </c>
      <c r="F618">
        <f>--(German_Data!B618&lt;=$B$2)</f>
        <v/>
      </c>
      <c r="G618">
        <f>--(German_Data!C618&lt;=$B$3)</f>
        <v/>
      </c>
      <c r="H618">
        <f>IF(F618=1,IF(G618=1,IF(German_Data!D618=$B$4,0,1),IF(German_Data!E618=$B$5,0,1)),IF(German_Data!E618=$B$5,0,1))</f>
        <v/>
      </c>
      <c r="I618">
        <f>IF(H618=1,"Good","Bad")</f>
        <v/>
      </c>
      <c r="J618">
        <f>--(H618=E618)</f>
        <v/>
      </c>
    </row>
    <row r="619">
      <c r="D619">
        <f>German_Data!A619</f>
        <v/>
      </c>
      <c r="E619">
        <f>German_Data!G619</f>
        <v/>
      </c>
      <c r="F619">
        <f>--(German_Data!B619&lt;=$B$2)</f>
        <v/>
      </c>
      <c r="G619">
        <f>--(German_Data!C619&lt;=$B$3)</f>
        <v/>
      </c>
      <c r="H619">
        <f>IF(F619=1,IF(G619=1,IF(German_Data!D619=$B$4,0,1),IF(German_Data!E619=$B$5,0,1)),IF(German_Data!E619=$B$5,0,1))</f>
        <v/>
      </c>
      <c r="I619">
        <f>IF(H619=1,"Good","Bad")</f>
        <v/>
      </c>
      <c r="J619">
        <f>--(H619=E619)</f>
        <v/>
      </c>
    </row>
    <row r="620">
      <c r="D620">
        <f>German_Data!A620</f>
        <v/>
      </c>
      <c r="E620">
        <f>German_Data!G620</f>
        <v/>
      </c>
      <c r="F620">
        <f>--(German_Data!B620&lt;=$B$2)</f>
        <v/>
      </c>
      <c r="G620">
        <f>--(German_Data!C620&lt;=$B$3)</f>
        <v/>
      </c>
      <c r="H620">
        <f>IF(F620=1,IF(G620=1,IF(German_Data!D620=$B$4,0,1),IF(German_Data!E620=$B$5,0,1)),IF(German_Data!E620=$B$5,0,1))</f>
        <v/>
      </c>
      <c r="I620">
        <f>IF(H620=1,"Good","Bad")</f>
        <v/>
      </c>
      <c r="J620">
        <f>--(H620=E620)</f>
        <v/>
      </c>
    </row>
    <row r="621">
      <c r="D621">
        <f>German_Data!A621</f>
        <v/>
      </c>
      <c r="E621">
        <f>German_Data!G621</f>
        <v/>
      </c>
      <c r="F621">
        <f>--(German_Data!B621&lt;=$B$2)</f>
        <v/>
      </c>
      <c r="G621">
        <f>--(German_Data!C621&lt;=$B$3)</f>
        <v/>
      </c>
      <c r="H621">
        <f>IF(F621=1,IF(G621=1,IF(German_Data!D621=$B$4,0,1),IF(German_Data!E621=$B$5,0,1)),IF(German_Data!E621=$B$5,0,1))</f>
        <v/>
      </c>
      <c r="I621">
        <f>IF(H621=1,"Good","Bad")</f>
        <v/>
      </c>
      <c r="J621">
        <f>--(H621=E621)</f>
        <v/>
      </c>
    </row>
    <row r="622">
      <c r="D622">
        <f>German_Data!A622</f>
        <v/>
      </c>
      <c r="E622">
        <f>German_Data!G622</f>
        <v/>
      </c>
      <c r="F622">
        <f>--(German_Data!B622&lt;=$B$2)</f>
        <v/>
      </c>
      <c r="G622">
        <f>--(German_Data!C622&lt;=$B$3)</f>
        <v/>
      </c>
      <c r="H622">
        <f>IF(F622=1,IF(G622=1,IF(German_Data!D622=$B$4,0,1),IF(German_Data!E622=$B$5,0,1)),IF(German_Data!E622=$B$5,0,1))</f>
        <v/>
      </c>
      <c r="I622">
        <f>IF(H622=1,"Good","Bad")</f>
        <v/>
      </c>
      <c r="J622">
        <f>--(H622=E622)</f>
        <v/>
      </c>
    </row>
    <row r="623">
      <c r="D623">
        <f>German_Data!A623</f>
        <v/>
      </c>
      <c r="E623">
        <f>German_Data!G623</f>
        <v/>
      </c>
      <c r="F623">
        <f>--(German_Data!B623&lt;=$B$2)</f>
        <v/>
      </c>
      <c r="G623">
        <f>--(German_Data!C623&lt;=$B$3)</f>
        <v/>
      </c>
      <c r="H623">
        <f>IF(F623=1,IF(G623=1,IF(German_Data!D623=$B$4,0,1),IF(German_Data!E623=$B$5,0,1)),IF(German_Data!E623=$B$5,0,1))</f>
        <v/>
      </c>
      <c r="I623">
        <f>IF(H623=1,"Good","Bad")</f>
        <v/>
      </c>
      <c r="J623">
        <f>--(H623=E623)</f>
        <v/>
      </c>
    </row>
    <row r="624">
      <c r="D624">
        <f>German_Data!A624</f>
        <v/>
      </c>
      <c r="E624">
        <f>German_Data!G624</f>
        <v/>
      </c>
      <c r="F624">
        <f>--(German_Data!B624&lt;=$B$2)</f>
        <v/>
      </c>
      <c r="G624">
        <f>--(German_Data!C624&lt;=$B$3)</f>
        <v/>
      </c>
      <c r="H624">
        <f>IF(F624=1,IF(G624=1,IF(German_Data!D624=$B$4,0,1),IF(German_Data!E624=$B$5,0,1)),IF(German_Data!E624=$B$5,0,1))</f>
        <v/>
      </c>
      <c r="I624">
        <f>IF(H624=1,"Good","Bad")</f>
        <v/>
      </c>
      <c r="J624">
        <f>--(H624=E624)</f>
        <v/>
      </c>
    </row>
    <row r="625">
      <c r="D625">
        <f>German_Data!A625</f>
        <v/>
      </c>
      <c r="E625">
        <f>German_Data!G625</f>
        <v/>
      </c>
      <c r="F625">
        <f>--(German_Data!B625&lt;=$B$2)</f>
        <v/>
      </c>
      <c r="G625">
        <f>--(German_Data!C625&lt;=$B$3)</f>
        <v/>
      </c>
      <c r="H625">
        <f>IF(F625=1,IF(G625=1,IF(German_Data!D625=$B$4,0,1),IF(German_Data!E625=$B$5,0,1)),IF(German_Data!E625=$B$5,0,1))</f>
        <v/>
      </c>
      <c r="I625">
        <f>IF(H625=1,"Good","Bad")</f>
        <v/>
      </c>
      <c r="J625">
        <f>--(H625=E625)</f>
        <v/>
      </c>
    </row>
    <row r="626">
      <c r="D626">
        <f>German_Data!A626</f>
        <v/>
      </c>
      <c r="E626">
        <f>German_Data!G626</f>
        <v/>
      </c>
      <c r="F626">
        <f>--(German_Data!B626&lt;=$B$2)</f>
        <v/>
      </c>
      <c r="G626">
        <f>--(German_Data!C626&lt;=$B$3)</f>
        <v/>
      </c>
      <c r="H626">
        <f>IF(F626=1,IF(G626=1,IF(German_Data!D626=$B$4,0,1),IF(German_Data!E626=$B$5,0,1)),IF(German_Data!E626=$B$5,0,1))</f>
        <v/>
      </c>
      <c r="I626">
        <f>IF(H626=1,"Good","Bad")</f>
        <v/>
      </c>
      <c r="J626">
        <f>--(H626=E626)</f>
        <v/>
      </c>
    </row>
    <row r="627">
      <c r="D627">
        <f>German_Data!A627</f>
        <v/>
      </c>
      <c r="E627">
        <f>German_Data!G627</f>
        <v/>
      </c>
      <c r="F627">
        <f>--(German_Data!B627&lt;=$B$2)</f>
        <v/>
      </c>
      <c r="G627">
        <f>--(German_Data!C627&lt;=$B$3)</f>
        <v/>
      </c>
      <c r="H627">
        <f>IF(F627=1,IF(G627=1,IF(German_Data!D627=$B$4,0,1),IF(German_Data!E627=$B$5,0,1)),IF(German_Data!E627=$B$5,0,1))</f>
        <v/>
      </c>
      <c r="I627">
        <f>IF(H627=1,"Good","Bad")</f>
        <v/>
      </c>
      <c r="J627">
        <f>--(H627=E627)</f>
        <v/>
      </c>
    </row>
    <row r="628">
      <c r="D628">
        <f>German_Data!A628</f>
        <v/>
      </c>
      <c r="E628">
        <f>German_Data!G628</f>
        <v/>
      </c>
      <c r="F628">
        <f>--(German_Data!B628&lt;=$B$2)</f>
        <v/>
      </c>
      <c r="G628">
        <f>--(German_Data!C628&lt;=$B$3)</f>
        <v/>
      </c>
      <c r="H628">
        <f>IF(F628=1,IF(G628=1,IF(German_Data!D628=$B$4,0,1),IF(German_Data!E628=$B$5,0,1)),IF(German_Data!E628=$B$5,0,1))</f>
        <v/>
      </c>
      <c r="I628">
        <f>IF(H628=1,"Good","Bad")</f>
        <v/>
      </c>
      <c r="J628">
        <f>--(H628=E628)</f>
        <v/>
      </c>
    </row>
    <row r="629">
      <c r="D629">
        <f>German_Data!A629</f>
        <v/>
      </c>
      <c r="E629">
        <f>German_Data!G629</f>
        <v/>
      </c>
      <c r="F629">
        <f>--(German_Data!B629&lt;=$B$2)</f>
        <v/>
      </c>
      <c r="G629">
        <f>--(German_Data!C629&lt;=$B$3)</f>
        <v/>
      </c>
      <c r="H629">
        <f>IF(F629=1,IF(G629=1,IF(German_Data!D629=$B$4,0,1),IF(German_Data!E629=$B$5,0,1)),IF(German_Data!E629=$B$5,0,1))</f>
        <v/>
      </c>
      <c r="I629">
        <f>IF(H629=1,"Good","Bad")</f>
        <v/>
      </c>
      <c r="J629">
        <f>--(H629=E629)</f>
        <v/>
      </c>
    </row>
    <row r="630">
      <c r="D630">
        <f>German_Data!A630</f>
        <v/>
      </c>
      <c r="E630">
        <f>German_Data!G630</f>
        <v/>
      </c>
      <c r="F630">
        <f>--(German_Data!B630&lt;=$B$2)</f>
        <v/>
      </c>
      <c r="G630">
        <f>--(German_Data!C630&lt;=$B$3)</f>
        <v/>
      </c>
      <c r="H630">
        <f>IF(F630=1,IF(G630=1,IF(German_Data!D630=$B$4,0,1),IF(German_Data!E630=$B$5,0,1)),IF(German_Data!E630=$B$5,0,1))</f>
        <v/>
      </c>
      <c r="I630">
        <f>IF(H630=1,"Good","Bad")</f>
        <v/>
      </c>
      <c r="J630">
        <f>--(H630=E630)</f>
        <v/>
      </c>
    </row>
    <row r="631">
      <c r="D631">
        <f>German_Data!A631</f>
        <v/>
      </c>
      <c r="E631">
        <f>German_Data!G631</f>
        <v/>
      </c>
      <c r="F631">
        <f>--(German_Data!B631&lt;=$B$2)</f>
        <v/>
      </c>
      <c r="G631">
        <f>--(German_Data!C631&lt;=$B$3)</f>
        <v/>
      </c>
      <c r="H631">
        <f>IF(F631=1,IF(G631=1,IF(German_Data!D631=$B$4,0,1),IF(German_Data!E631=$B$5,0,1)),IF(German_Data!E631=$B$5,0,1))</f>
        <v/>
      </c>
      <c r="I631">
        <f>IF(H631=1,"Good","Bad")</f>
        <v/>
      </c>
      <c r="J631">
        <f>--(H631=E631)</f>
        <v/>
      </c>
    </row>
    <row r="632">
      <c r="D632">
        <f>German_Data!A632</f>
        <v/>
      </c>
      <c r="E632">
        <f>German_Data!G632</f>
        <v/>
      </c>
      <c r="F632">
        <f>--(German_Data!B632&lt;=$B$2)</f>
        <v/>
      </c>
      <c r="G632">
        <f>--(German_Data!C632&lt;=$B$3)</f>
        <v/>
      </c>
      <c r="H632">
        <f>IF(F632=1,IF(G632=1,IF(German_Data!D632=$B$4,0,1),IF(German_Data!E632=$B$5,0,1)),IF(German_Data!E632=$B$5,0,1))</f>
        <v/>
      </c>
      <c r="I632">
        <f>IF(H632=1,"Good","Bad")</f>
        <v/>
      </c>
      <c r="J632">
        <f>--(H632=E632)</f>
        <v/>
      </c>
    </row>
    <row r="633">
      <c r="D633">
        <f>German_Data!A633</f>
        <v/>
      </c>
      <c r="E633">
        <f>German_Data!G633</f>
        <v/>
      </c>
      <c r="F633">
        <f>--(German_Data!B633&lt;=$B$2)</f>
        <v/>
      </c>
      <c r="G633">
        <f>--(German_Data!C633&lt;=$B$3)</f>
        <v/>
      </c>
      <c r="H633">
        <f>IF(F633=1,IF(G633=1,IF(German_Data!D633=$B$4,0,1),IF(German_Data!E633=$B$5,0,1)),IF(German_Data!E633=$B$5,0,1))</f>
        <v/>
      </c>
      <c r="I633">
        <f>IF(H633=1,"Good","Bad")</f>
        <v/>
      </c>
      <c r="J633">
        <f>--(H633=E633)</f>
        <v/>
      </c>
    </row>
    <row r="634">
      <c r="D634">
        <f>German_Data!A634</f>
        <v/>
      </c>
      <c r="E634">
        <f>German_Data!G634</f>
        <v/>
      </c>
      <c r="F634">
        <f>--(German_Data!B634&lt;=$B$2)</f>
        <v/>
      </c>
      <c r="G634">
        <f>--(German_Data!C634&lt;=$B$3)</f>
        <v/>
      </c>
      <c r="H634">
        <f>IF(F634=1,IF(G634=1,IF(German_Data!D634=$B$4,0,1),IF(German_Data!E634=$B$5,0,1)),IF(German_Data!E634=$B$5,0,1))</f>
        <v/>
      </c>
      <c r="I634">
        <f>IF(H634=1,"Good","Bad")</f>
        <v/>
      </c>
      <c r="J634">
        <f>--(H634=E634)</f>
        <v/>
      </c>
    </row>
    <row r="635">
      <c r="D635">
        <f>German_Data!A635</f>
        <v/>
      </c>
      <c r="E635">
        <f>German_Data!G635</f>
        <v/>
      </c>
      <c r="F635">
        <f>--(German_Data!B635&lt;=$B$2)</f>
        <v/>
      </c>
      <c r="G635">
        <f>--(German_Data!C635&lt;=$B$3)</f>
        <v/>
      </c>
      <c r="H635">
        <f>IF(F635=1,IF(G635=1,IF(German_Data!D635=$B$4,0,1),IF(German_Data!E635=$B$5,0,1)),IF(German_Data!E635=$B$5,0,1))</f>
        <v/>
      </c>
      <c r="I635">
        <f>IF(H635=1,"Good","Bad")</f>
        <v/>
      </c>
      <c r="J635">
        <f>--(H635=E635)</f>
        <v/>
      </c>
    </row>
    <row r="636">
      <c r="D636">
        <f>German_Data!A636</f>
        <v/>
      </c>
      <c r="E636">
        <f>German_Data!G636</f>
        <v/>
      </c>
      <c r="F636">
        <f>--(German_Data!B636&lt;=$B$2)</f>
        <v/>
      </c>
      <c r="G636">
        <f>--(German_Data!C636&lt;=$B$3)</f>
        <v/>
      </c>
      <c r="H636">
        <f>IF(F636=1,IF(G636=1,IF(German_Data!D636=$B$4,0,1),IF(German_Data!E636=$B$5,0,1)),IF(German_Data!E636=$B$5,0,1))</f>
        <v/>
      </c>
      <c r="I636">
        <f>IF(H636=1,"Good","Bad")</f>
        <v/>
      </c>
      <c r="J636">
        <f>--(H636=E636)</f>
        <v/>
      </c>
    </row>
    <row r="637">
      <c r="D637">
        <f>German_Data!A637</f>
        <v/>
      </c>
      <c r="E637">
        <f>German_Data!G637</f>
        <v/>
      </c>
      <c r="F637">
        <f>--(German_Data!B637&lt;=$B$2)</f>
        <v/>
      </c>
      <c r="G637">
        <f>--(German_Data!C637&lt;=$B$3)</f>
        <v/>
      </c>
      <c r="H637">
        <f>IF(F637=1,IF(G637=1,IF(German_Data!D637=$B$4,0,1),IF(German_Data!E637=$B$5,0,1)),IF(German_Data!E637=$B$5,0,1))</f>
        <v/>
      </c>
      <c r="I637">
        <f>IF(H637=1,"Good","Bad")</f>
        <v/>
      </c>
      <c r="J637">
        <f>--(H637=E637)</f>
        <v/>
      </c>
    </row>
    <row r="638">
      <c r="D638">
        <f>German_Data!A638</f>
        <v/>
      </c>
      <c r="E638">
        <f>German_Data!G638</f>
        <v/>
      </c>
      <c r="F638">
        <f>--(German_Data!B638&lt;=$B$2)</f>
        <v/>
      </c>
      <c r="G638">
        <f>--(German_Data!C638&lt;=$B$3)</f>
        <v/>
      </c>
      <c r="H638">
        <f>IF(F638=1,IF(G638=1,IF(German_Data!D638=$B$4,0,1),IF(German_Data!E638=$B$5,0,1)),IF(German_Data!E638=$B$5,0,1))</f>
        <v/>
      </c>
      <c r="I638">
        <f>IF(H638=1,"Good","Bad")</f>
        <v/>
      </c>
      <c r="J638">
        <f>--(H638=E638)</f>
        <v/>
      </c>
    </row>
    <row r="639">
      <c r="D639">
        <f>German_Data!A639</f>
        <v/>
      </c>
      <c r="E639">
        <f>German_Data!G639</f>
        <v/>
      </c>
      <c r="F639">
        <f>--(German_Data!B639&lt;=$B$2)</f>
        <v/>
      </c>
      <c r="G639">
        <f>--(German_Data!C639&lt;=$B$3)</f>
        <v/>
      </c>
      <c r="H639">
        <f>IF(F639=1,IF(G639=1,IF(German_Data!D639=$B$4,0,1),IF(German_Data!E639=$B$5,0,1)),IF(German_Data!E639=$B$5,0,1))</f>
        <v/>
      </c>
      <c r="I639">
        <f>IF(H639=1,"Good","Bad")</f>
        <v/>
      </c>
      <c r="J639">
        <f>--(H639=E639)</f>
        <v/>
      </c>
    </row>
    <row r="640">
      <c r="D640">
        <f>German_Data!A640</f>
        <v/>
      </c>
      <c r="E640">
        <f>German_Data!G640</f>
        <v/>
      </c>
      <c r="F640">
        <f>--(German_Data!B640&lt;=$B$2)</f>
        <v/>
      </c>
      <c r="G640">
        <f>--(German_Data!C640&lt;=$B$3)</f>
        <v/>
      </c>
      <c r="H640">
        <f>IF(F640=1,IF(G640=1,IF(German_Data!D640=$B$4,0,1),IF(German_Data!E640=$B$5,0,1)),IF(German_Data!E640=$B$5,0,1))</f>
        <v/>
      </c>
      <c r="I640">
        <f>IF(H640=1,"Good","Bad")</f>
        <v/>
      </c>
      <c r="J640">
        <f>--(H640=E640)</f>
        <v/>
      </c>
    </row>
    <row r="641">
      <c r="D641">
        <f>German_Data!A641</f>
        <v/>
      </c>
      <c r="E641">
        <f>German_Data!G641</f>
        <v/>
      </c>
      <c r="F641">
        <f>--(German_Data!B641&lt;=$B$2)</f>
        <v/>
      </c>
      <c r="G641">
        <f>--(German_Data!C641&lt;=$B$3)</f>
        <v/>
      </c>
      <c r="H641">
        <f>IF(F641=1,IF(G641=1,IF(German_Data!D641=$B$4,0,1),IF(German_Data!E641=$B$5,0,1)),IF(German_Data!E641=$B$5,0,1))</f>
        <v/>
      </c>
      <c r="I641">
        <f>IF(H641=1,"Good","Bad")</f>
        <v/>
      </c>
      <c r="J641">
        <f>--(H641=E641)</f>
        <v/>
      </c>
    </row>
    <row r="642">
      <c r="D642">
        <f>German_Data!A642</f>
        <v/>
      </c>
      <c r="E642">
        <f>German_Data!G642</f>
        <v/>
      </c>
      <c r="F642">
        <f>--(German_Data!B642&lt;=$B$2)</f>
        <v/>
      </c>
      <c r="G642">
        <f>--(German_Data!C642&lt;=$B$3)</f>
        <v/>
      </c>
      <c r="H642">
        <f>IF(F642=1,IF(G642=1,IF(German_Data!D642=$B$4,0,1),IF(German_Data!E642=$B$5,0,1)),IF(German_Data!E642=$B$5,0,1))</f>
        <v/>
      </c>
      <c r="I642">
        <f>IF(H642=1,"Good","Bad")</f>
        <v/>
      </c>
      <c r="J642">
        <f>--(H642=E642)</f>
        <v/>
      </c>
    </row>
    <row r="643">
      <c r="D643">
        <f>German_Data!A643</f>
        <v/>
      </c>
      <c r="E643">
        <f>German_Data!G643</f>
        <v/>
      </c>
      <c r="F643">
        <f>--(German_Data!B643&lt;=$B$2)</f>
        <v/>
      </c>
      <c r="G643">
        <f>--(German_Data!C643&lt;=$B$3)</f>
        <v/>
      </c>
      <c r="H643">
        <f>IF(F643=1,IF(G643=1,IF(German_Data!D643=$B$4,0,1),IF(German_Data!E643=$B$5,0,1)),IF(German_Data!E643=$B$5,0,1))</f>
        <v/>
      </c>
      <c r="I643">
        <f>IF(H643=1,"Good","Bad")</f>
        <v/>
      </c>
      <c r="J643">
        <f>--(H643=E643)</f>
        <v/>
      </c>
    </row>
    <row r="644">
      <c r="D644">
        <f>German_Data!A644</f>
        <v/>
      </c>
      <c r="E644">
        <f>German_Data!G644</f>
        <v/>
      </c>
      <c r="F644">
        <f>--(German_Data!B644&lt;=$B$2)</f>
        <v/>
      </c>
      <c r="G644">
        <f>--(German_Data!C644&lt;=$B$3)</f>
        <v/>
      </c>
      <c r="H644">
        <f>IF(F644=1,IF(G644=1,IF(German_Data!D644=$B$4,0,1),IF(German_Data!E644=$B$5,0,1)),IF(German_Data!E644=$B$5,0,1))</f>
        <v/>
      </c>
      <c r="I644">
        <f>IF(H644=1,"Good","Bad")</f>
        <v/>
      </c>
      <c r="J644">
        <f>--(H644=E644)</f>
        <v/>
      </c>
    </row>
    <row r="645">
      <c r="D645">
        <f>German_Data!A645</f>
        <v/>
      </c>
      <c r="E645">
        <f>German_Data!G645</f>
        <v/>
      </c>
      <c r="F645">
        <f>--(German_Data!B645&lt;=$B$2)</f>
        <v/>
      </c>
      <c r="G645">
        <f>--(German_Data!C645&lt;=$B$3)</f>
        <v/>
      </c>
      <c r="H645">
        <f>IF(F645=1,IF(G645=1,IF(German_Data!D645=$B$4,0,1),IF(German_Data!E645=$B$5,0,1)),IF(German_Data!E645=$B$5,0,1))</f>
        <v/>
      </c>
      <c r="I645">
        <f>IF(H645=1,"Good","Bad")</f>
        <v/>
      </c>
      <c r="J645">
        <f>--(H645=E645)</f>
        <v/>
      </c>
    </row>
    <row r="646">
      <c r="D646">
        <f>German_Data!A646</f>
        <v/>
      </c>
      <c r="E646">
        <f>German_Data!G646</f>
        <v/>
      </c>
      <c r="F646">
        <f>--(German_Data!B646&lt;=$B$2)</f>
        <v/>
      </c>
      <c r="G646">
        <f>--(German_Data!C646&lt;=$B$3)</f>
        <v/>
      </c>
      <c r="H646">
        <f>IF(F646=1,IF(G646=1,IF(German_Data!D646=$B$4,0,1),IF(German_Data!E646=$B$5,0,1)),IF(German_Data!E646=$B$5,0,1))</f>
        <v/>
      </c>
      <c r="I646">
        <f>IF(H646=1,"Good","Bad")</f>
        <v/>
      </c>
      <c r="J646">
        <f>--(H646=E646)</f>
        <v/>
      </c>
    </row>
    <row r="647">
      <c r="D647">
        <f>German_Data!A647</f>
        <v/>
      </c>
      <c r="E647">
        <f>German_Data!G647</f>
        <v/>
      </c>
      <c r="F647">
        <f>--(German_Data!B647&lt;=$B$2)</f>
        <v/>
      </c>
      <c r="G647">
        <f>--(German_Data!C647&lt;=$B$3)</f>
        <v/>
      </c>
      <c r="H647">
        <f>IF(F647=1,IF(G647=1,IF(German_Data!D647=$B$4,0,1),IF(German_Data!E647=$B$5,0,1)),IF(German_Data!E647=$B$5,0,1))</f>
        <v/>
      </c>
      <c r="I647">
        <f>IF(H647=1,"Good","Bad")</f>
        <v/>
      </c>
      <c r="J647">
        <f>--(H647=E647)</f>
        <v/>
      </c>
    </row>
    <row r="648">
      <c r="D648">
        <f>German_Data!A648</f>
        <v/>
      </c>
      <c r="E648">
        <f>German_Data!G648</f>
        <v/>
      </c>
      <c r="F648">
        <f>--(German_Data!B648&lt;=$B$2)</f>
        <v/>
      </c>
      <c r="G648">
        <f>--(German_Data!C648&lt;=$B$3)</f>
        <v/>
      </c>
      <c r="H648">
        <f>IF(F648=1,IF(G648=1,IF(German_Data!D648=$B$4,0,1),IF(German_Data!E648=$B$5,0,1)),IF(German_Data!E648=$B$5,0,1))</f>
        <v/>
      </c>
      <c r="I648">
        <f>IF(H648=1,"Good","Bad")</f>
        <v/>
      </c>
      <c r="J648">
        <f>--(H648=E648)</f>
        <v/>
      </c>
    </row>
    <row r="649">
      <c r="D649">
        <f>German_Data!A649</f>
        <v/>
      </c>
      <c r="E649">
        <f>German_Data!G649</f>
        <v/>
      </c>
      <c r="F649">
        <f>--(German_Data!B649&lt;=$B$2)</f>
        <v/>
      </c>
      <c r="G649">
        <f>--(German_Data!C649&lt;=$B$3)</f>
        <v/>
      </c>
      <c r="H649">
        <f>IF(F649=1,IF(G649=1,IF(German_Data!D649=$B$4,0,1),IF(German_Data!E649=$B$5,0,1)),IF(German_Data!E649=$B$5,0,1))</f>
        <v/>
      </c>
      <c r="I649">
        <f>IF(H649=1,"Good","Bad")</f>
        <v/>
      </c>
      <c r="J649">
        <f>--(H649=E649)</f>
        <v/>
      </c>
    </row>
    <row r="650">
      <c r="D650">
        <f>German_Data!A650</f>
        <v/>
      </c>
      <c r="E650">
        <f>German_Data!G650</f>
        <v/>
      </c>
      <c r="F650">
        <f>--(German_Data!B650&lt;=$B$2)</f>
        <v/>
      </c>
      <c r="G650">
        <f>--(German_Data!C650&lt;=$B$3)</f>
        <v/>
      </c>
      <c r="H650">
        <f>IF(F650=1,IF(G650=1,IF(German_Data!D650=$B$4,0,1),IF(German_Data!E650=$B$5,0,1)),IF(German_Data!E650=$B$5,0,1))</f>
        <v/>
      </c>
      <c r="I650">
        <f>IF(H650=1,"Good","Bad")</f>
        <v/>
      </c>
      <c r="J650">
        <f>--(H650=E650)</f>
        <v/>
      </c>
    </row>
    <row r="651">
      <c r="D651">
        <f>German_Data!A651</f>
        <v/>
      </c>
      <c r="E651">
        <f>German_Data!G651</f>
        <v/>
      </c>
      <c r="F651">
        <f>--(German_Data!B651&lt;=$B$2)</f>
        <v/>
      </c>
      <c r="G651">
        <f>--(German_Data!C651&lt;=$B$3)</f>
        <v/>
      </c>
      <c r="H651">
        <f>IF(F651=1,IF(G651=1,IF(German_Data!D651=$B$4,0,1),IF(German_Data!E651=$B$5,0,1)),IF(German_Data!E651=$B$5,0,1))</f>
        <v/>
      </c>
      <c r="I651">
        <f>IF(H651=1,"Good","Bad")</f>
        <v/>
      </c>
      <c r="J651">
        <f>--(H651=E651)</f>
        <v/>
      </c>
    </row>
    <row r="652">
      <c r="D652">
        <f>German_Data!A652</f>
        <v/>
      </c>
      <c r="E652">
        <f>German_Data!G652</f>
        <v/>
      </c>
      <c r="F652">
        <f>--(German_Data!B652&lt;=$B$2)</f>
        <v/>
      </c>
      <c r="G652">
        <f>--(German_Data!C652&lt;=$B$3)</f>
        <v/>
      </c>
      <c r="H652">
        <f>IF(F652=1,IF(G652=1,IF(German_Data!D652=$B$4,0,1),IF(German_Data!E652=$B$5,0,1)),IF(German_Data!E652=$B$5,0,1))</f>
        <v/>
      </c>
      <c r="I652">
        <f>IF(H652=1,"Good","Bad")</f>
        <v/>
      </c>
      <c r="J652">
        <f>--(H652=E652)</f>
        <v/>
      </c>
    </row>
    <row r="653">
      <c r="D653">
        <f>German_Data!A653</f>
        <v/>
      </c>
      <c r="E653">
        <f>German_Data!G653</f>
        <v/>
      </c>
      <c r="F653">
        <f>--(German_Data!B653&lt;=$B$2)</f>
        <v/>
      </c>
      <c r="G653">
        <f>--(German_Data!C653&lt;=$B$3)</f>
        <v/>
      </c>
      <c r="H653">
        <f>IF(F653=1,IF(G653=1,IF(German_Data!D653=$B$4,0,1),IF(German_Data!E653=$B$5,0,1)),IF(German_Data!E653=$B$5,0,1))</f>
        <v/>
      </c>
      <c r="I653">
        <f>IF(H653=1,"Good","Bad")</f>
        <v/>
      </c>
      <c r="J653">
        <f>--(H653=E653)</f>
        <v/>
      </c>
    </row>
    <row r="654">
      <c r="D654">
        <f>German_Data!A654</f>
        <v/>
      </c>
      <c r="E654">
        <f>German_Data!G654</f>
        <v/>
      </c>
      <c r="F654">
        <f>--(German_Data!B654&lt;=$B$2)</f>
        <v/>
      </c>
      <c r="G654">
        <f>--(German_Data!C654&lt;=$B$3)</f>
        <v/>
      </c>
      <c r="H654">
        <f>IF(F654=1,IF(G654=1,IF(German_Data!D654=$B$4,0,1),IF(German_Data!E654=$B$5,0,1)),IF(German_Data!E654=$B$5,0,1))</f>
        <v/>
      </c>
      <c r="I654">
        <f>IF(H654=1,"Good","Bad")</f>
        <v/>
      </c>
      <c r="J654">
        <f>--(H654=E654)</f>
        <v/>
      </c>
    </row>
    <row r="655">
      <c r="D655">
        <f>German_Data!A655</f>
        <v/>
      </c>
      <c r="E655">
        <f>German_Data!G655</f>
        <v/>
      </c>
      <c r="F655">
        <f>--(German_Data!B655&lt;=$B$2)</f>
        <v/>
      </c>
      <c r="G655">
        <f>--(German_Data!C655&lt;=$B$3)</f>
        <v/>
      </c>
      <c r="H655">
        <f>IF(F655=1,IF(G655=1,IF(German_Data!D655=$B$4,0,1),IF(German_Data!E655=$B$5,0,1)),IF(German_Data!E655=$B$5,0,1))</f>
        <v/>
      </c>
      <c r="I655">
        <f>IF(H655=1,"Good","Bad")</f>
        <v/>
      </c>
      <c r="J655">
        <f>--(H655=E655)</f>
        <v/>
      </c>
    </row>
    <row r="656">
      <c r="D656">
        <f>German_Data!A656</f>
        <v/>
      </c>
      <c r="E656">
        <f>German_Data!G656</f>
        <v/>
      </c>
      <c r="F656">
        <f>--(German_Data!B656&lt;=$B$2)</f>
        <v/>
      </c>
      <c r="G656">
        <f>--(German_Data!C656&lt;=$B$3)</f>
        <v/>
      </c>
      <c r="H656">
        <f>IF(F656=1,IF(G656=1,IF(German_Data!D656=$B$4,0,1),IF(German_Data!E656=$B$5,0,1)),IF(German_Data!E656=$B$5,0,1))</f>
        <v/>
      </c>
      <c r="I656">
        <f>IF(H656=1,"Good","Bad")</f>
        <v/>
      </c>
      <c r="J656">
        <f>--(H656=E656)</f>
        <v/>
      </c>
    </row>
    <row r="657">
      <c r="D657">
        <f>German_Data!A657</f>
        <v/>
      </c>
      <c r="E657">
        <f>German_Data!G657</f>
        <v/>
      </c>
      <c r="F657">
        <f>--(German_Data!B657&lt;=$B$2)</f>
        <v/>
      </c>
      <c r="G657">
        <f>--(German_Data!C657&lt;=$B$3)</f>
        <v/>
      </c>
      <c r="H657">
        <f>IF(F657=1,IF(G657=1,IF(German_Data!D657=$B$4,0,1),IF(German_Data!E657=$B$5,0,1)),IF(German_Data!E657=$B$5,0,1))</f>
        <v/>
      </c>
      <c r="I657">
        <f>IF(H657=1,"Good","Bad")</f>
        <v/>
      </c>
      <c r="J657">
        <f>--(H657=E657)</f>
        <v/>
      </c>
    </row>
    <row r="658">
      <c r="D658">
        <f>German_Data!A658</f>
        <v/>
      </c>
      <c r="E658">
        <f>German_Data!G658</f>
        <v/>
      </c>
      <c r="F658">
        <f>--(German_Data!B658&lt;=$B$2)</f>
        <v/>
      </c>
      <c r="G658">
        <f>--(German_Data!C658&lt;=$B$3)</f>
        <v/>
      </c>
      <c r="H658">
        <f>IF(F658=1,IF(G658=1,IF(German_Data!D658=$B$4,0,1),IF(German_Data!E658=$B$5,0,1)),IF(German_Data!E658=$B$5,0,1))</f>
        <v/>
      </c>
      <c r="I658">
        <f>IF(H658=1,"Good","Bad")</f>
        <v/>
      </c>
      <c r="J658">
        <f>--(H658=E658)</f>
        <v/>
      </c>
    </row>
    <row r="659">
      <c r="D659">
        <f>German_Data!A659</f>
        <v/>
      </c>
      <c r="E659">
        <f>German_Data!G659</f>
        <v/>
      </c>
      <c r="F659">
        <f>--(German_Data!B659&lt;=$B$2)</f>
        <v/>
      </c>
      <c r="G659">
        <f>--(German_Data!C659&lt;=$B$3)</f>
        <v/>
      </c>
      <c r="H659">
        <f>IF(F659=1,IF(G659=1,IF(German_Data!D659=$B$4,0,1),IF(German_Data!E659=$B$5,0,1)),IF(German_Data!E659=$B$5,0,1))</f>
        <v/>
      </c>
      <c r="I659">
        <f>IF(H659=1,"Good","Bad")</f>
        <v/>
      </c>
      <c r="J659">
        <f>--(H659=E659)</f>
        <v/>
      </c>
    </row>
    <row r="660">
      <c r="D660">
        <f>German_Data!A660</f>
        <v/>
      </c>
      <c r="E660">
        <f>German_Data!G660</f>
        <v/>
      </c>
      <c r="F660">
        <f>--(German_Data!B660&lt;=$B$2)</f>
        <v/>
      </c>
      <c r="G660">
        <f>--(German_Data!C660&lt;=$B$3)</f>
        <v/>
      </c>
      <c r="H660">
        <f>IF(F660=1,IF(G660=1,IF(German_Data!D660=$B$4,0,1),IF(German_Data!E660=$B$5,0,1)),IF(German_Data!E660=$B$5,0,1))</f>
        <v/>
      </c>
      <c r="I660">
        <f>IF(H660=1,"Good","Bad")</f>
        <v/>
      </c>
      <c r="J660">
        <f>--(H660=E660)</f>
        <v/>
      </c>
    </row>
    <row r="661">
      <c r="D661">
        <f>German_Data!A661</f>
        <v/>
      </c>
      <c r="E661">
        <f>German_Data!G661</f>
        <v/>
      </c>
      <c r="F661">
        <f>--(German_Data!B661&lt;=$B$2)</f>
        <v/>
      </c>
      <c r="G661">
        <f>--(German_Data!C661&lt;=$B$3)</f>
        <v/>
      </c>
      <c r="H661">
        <f>IF(F661=1,IF(G661=1,IF(German_Data!D661=$B$4,0,1),IF(German_Data!E661=$B$5,0,1)),IF(German_Data!E661=$B$5,0,1))</f>
        <v/>
      </c>
      <c r="I661">
        <f>IF(H661=1,"Good","Bad")</f>
        <v/>
      </c>
      <c r="J661">
        <f>--(H661=E661)</f>
        <v/>
      </c>
    </row>
    <row r="662">
      <c r="D662">
        <f>German_Data!A662</f>
        <v/>
      </c>
      <c r="E662">
        <f>German_Data!G662</f>
        <v/>
      </c>
      <c r="F662">
        <f>--(German_Data!B662&lt;=$B$2)</f>
        <v/>
      </c>
      <c r="G662">
        <f>--(German_Data!C662&lt;=$B$3)</f>
        <v/>
      </c>
      <c r="H662">
        <f>IF(F662=1,IF(G662=1,IF(German_Data!D662=$B$4,0,1),IF(German_Data!E662=$B$5,0,1)),IF(German_Data!E662=$B$5,0,1))</f>
        <v/>
      </c>
      <c r="I662">
        <f>IF(H662=1,"Good","Bad")</f>
        <v/>
      </c>
      <c r="J662">
        <f>--(H662=E662)</f>
        <v/>
      </c>
    </row>
    <row r="663">
      <c r="D663">
        <f>German_Data!A663</f>
        <v/>
      </c>
      <c r="E663">
        <f>German_Data!G663</f>
        <v/>
      </c>
      <c r="F663">
        <f>--(German_Data!B663&lt;=$B$2)</f>
        <v/>
      </c>
      <c r="G663">
        <f>--(German_Data!C663&lt;=$B$3)</f>
        <v/>
      </c>
      <c r="H663">
        <f>IF(F663=1,IF(G663=1,IF(German_Data!D663=$B$4,0,1),IF(German_Data!E663=$B$5,0,1)),IF(German_Data!E663=$B$5,0,1))</f>
        <v/>
      </c>
      <c r="I663">
        <f>IF(H663=1,"Good","Bad")</f>
        <v/>
      </c>
      <c r="J663">
        <f>--(H663=E663)</f>
        <v/>
      </c>
    </row>
    <row r="664">
      <c r="D664">
        <f>German_Data!A664</f>
        <v/>
      </c>
      <c r="E664">
        <f>German_Data!G664</f>
        <v/>
      </c>
      <c r="F664">
        <f>--(German_Data!B664&lt;=$B$2)</f>
        <v/>
      </c>
      <c r="G664">
        <f>--(German_Data!C664&lt;=$B$3)</f>
        <v/>
      </c>
      <c r="H664">
        <f>IF(F664=1,IF(G664=1,IF(German_Data!D664=$B$4,0,1),IF(German_Data!E664=$B$5,0,1)),IF(German_Data!E664=$B$5,0,1))</f>
        <v/>
      </c>
      <c r="I664">
        <f>IF(H664=1,"Good","Bad")</f>
        <v/>
      </c>
      <c r="J664">
        <f>--(H664=E664)</f>
        <v/>
      </c>
    </row>
    <row r="665">
      <c r="D665">
        <f>German_Data!A665</f>
        <v/>
      </c>
      <c r="E665">
        <f>German_Data!G665</f>
        <v/>
      </c>
      <c r="F665">
        <f>--(German_Data!B665&lt;=$B$2)</f>
        <v/>
      </c>
      <c r="G665">
        <f>--(German_Data!C665&lt;=$B$3)</f>
        <v/>
      </c>
      <c r="H665">
        <f>IF(F665=1,IF(G665=1,IF(German_Data!D665=$B$4,0,1),IF(German_Data!E665=$B$5,0,1)),IF(German_Data!E665=$B$5,0,1))</f>
        <v/>
      </c>
      <c r="I665">
        <f>IF(H665=1,"Good","Bad")</f>
        <v/>
      </c>
      <c r="J665">
        <f>--(H665=E665)</f>
        <v/>
      </c>
    </row>
    <row r="666">
      <c r="D666">
        <f>German_Data!A666</f>
        <v/>
      </c>
      <c r="E666">
        <f>German_Data!G666</f>
        <v/>
      </c>
      <c r="F666">
        <f>--(German_Data!B666&lt;=$B$2)</f>
        <v/>
      </c>
      <c r="G666">
        <f>--(German_Data!C666&lt;=$B$3)</f>
        <v/>
      </c>
      <c r="H666">
        <f>IF(F666=1,IF(G666=1,IF(German_Data!D666=$B$4,0,1),IF(German_Data!E666=$B$5,0,1)),IF(German_Data!E666=$B$5,0,1))</f>
        <v/>
      </c>
      <c r="I666">
        <f>IF(H666=1,"Good","Bad")</f>
        <v/>
      </c>
      <c r="J666">
        <f>--(H666=E666)</f>
        <v/>
      </c>
    </row>
    <row r="667">
      <c r="D667">
        <f>German_Data!A667</f>
        <v/>
      </c>
      <c r="E667">
        <f>German_Data!G667</f>
        <v/>
      </c>
      <c r="F667">
        <f>--(German_Data!B667&lt;=$B$2)</f>
        <v/>
      </c>
      <c r="G667">
        <f>--(German_Data!C667&lt;=$B$3)</f>
        <v/>
      </c>
      <c r="H667">
        <f>IF(F667=1,IF(G667=1,IF(German_Data!D667=$B$4,0,1),IF(German_Data!E667=$B$5,0,1)),IF(German_Data!E667=$B$5,0,1))</f>
        <v/>
      </c>
      <c r="I667">
        <f>IF(H667=1,"Good","Bad")</f>
        <v/>
      </c>
      <c r="J667">
        <f>--(H667=E667)</f>
        <v/>
      </c>
    </row>
    <row r="668">
      <c r="D668">
        <f>German_Data!A668</f>
        <v/>
      </c>
      <c r="E668">
        <f>German_Data!G668</f>
        <v/>
      </c>
      <c r="F668">
        <f>--(German_Data!B668&lt;=$B$2)</f>
        <v/>
      </c>
      <c r="G668">
        <f>--(German_Data!C668&lt;=$B$3)</f>
        <v/>
      </c>
      <c r="H668">
        <f>IF(F668=1,IF(G668=1,IF(German_Data!D668=$B$4,0,1),IF(German_Data!E668=$B$5,0,1)),IF(German_Data!E668=$B$5,0,1))</f>
        <v/>
      </c>
      <c r="I668">
        <f>IF(H668=1,"Good","Bad")</f>
        <v/>
      </c>
      <c r="J668">
        <f>--(H668=E668)</f>
        <v/>
      </c>
    </row>
    <row r="669">
      <c r="D669">
        <f>German_Data!A669</f>
        <v/>
      </c>
      <c r="E669">
        <f>German_Data!G669</f>
        <v/>
      </c>
      <c r="F669">
        <f>--(German_Data!B669&lt;=$B$2)</f>
        <v/>
      </c>
      <c r="G669">
        <f>--(German_Data!C669&lt;=$B$3)</f>
        <v/>
      </c>
      <c r="H669">
        <f>IF(F669=1,IF(G669=1,IF(German_Data!D669=$B$4,0,1),IF(German_Data!E669=$B$5,0,1)),IF(German_Data!E669=$B$5,0,1))</f>
        <v/>
      </c>
      <c r="I669">
        <f>IF(H669=1,"Good","Bad")</f>
        <v/>
      </c>
      <c r="J669">
        <f>--(H669=E669)</f>
        <v/>
      </c>
    </row>
    <row r="670">
      <c r="D670">
        <f>German_Data!A670</f>
        <v/>
      </c>
      <c r="E670">
        <f>German_Data!G670</f>
        <v/>
      </c>
      <c r="F670">
        <f>--(German_Data!B670&lt;=$B$2)</f>
        <v/>
      </c>
      <c r="G670">
        <f>--(German_Data!C670&lt;=$B$3)</f>
        <v/>
      </c>
      <c r="H670">
        <f>IF(F670=1,IF(G670=1,IF(German_Data!D670=$B$4,0,1),IF(German_Data!E670=$B$5,0,1)),IF(German_Data!E670=$B$5,0,1))</f>
        <v/>
      </c>
      <c r="I670">
        <f>IF(H670=1,"Good","Bad")</f>
        <v/>
      </c>
      <c r="J670">
        <f>--(H670=E670)</f>
        <v/>
      </c>
    </row>
    <row r="671">
      <c r="D671">
        <f>German_Data!A671</f>
        <v/>
      </c>
      <c r="E671">
        <f>German_Data!G671</f>
        <v/>
      </c>
      <c r="F671">
        <f>--(German_Data!B671&lt;=$B$2)</f>
        <v/>
      </c>
      <c r="G671">
        <f>--(German_Data!C671&lt;=$B$3)</f>
        <v/>
      </c>
      <c r="H671">
        <f>IF(F671=1,IF(G671=1,IF(German_Data!D671=$B$4,0,1),IF(German_Data!E671=$B$5,0,1)),IF(German_Data!E671=$B$5,0,1))</f>
        <v/>
      </c>
      <c r="I671">
        <f>IF(H671=1,"Good","Bad")</f>
        <v/>
      </c>
      <c r="J671">
        <f>--(H671=E671)</f>
        <v/>
      </c>
    </row>
    <row r="672">
      <c r="D672">
        <f>German_Data!A672</f>
        <v/>
      </c>
      <c r="E672">
        <f>German_Data!G672</f>
        <v/>
      </c>
      <c r="F672">
        <f>--(German_Data!B672&lt;=$B$2)</f>
        <v/>
      </c>
      <c r="G672">
        <f>--(German_Data!C672&lt;=$B$3)</f>
        <v/>
      </c>
      <c r="H672">
        <f>IF(F672=1,IF(G672=1,IF(German_Data!D672=$B$4,0,1),IF(German_Data!E672=$B$5,0,1)),IF(German_Data!E672=$B$5,0,1))</f>
        <v/>
      </c>
      <c r="I672">
        <f>IF(H672=1,"Good","Bad")</f>
        <v/>
      </c>
      <c r="J672">
        <f>--(H672=E672)</f>
        <v/>
      </c>
    </row>
    <row r="673">
      <c r="D673">
        <f>German_Data!A673</f>
        <v/>
      </c>
      <c r="E673">
        <f>German_Data!G673</f>
        <v/>
      </c>
      <c r="F673">
        <f>--(German_Data!B673&lt;=$B$2)</f>
        <v/>
      </c>
      <c r="G673">
        <f>--(German_Data!C673&lt;=$B$3)</f>
        <v/>
      </c>
      <c r="H673">
        <f>IF(F673=1,IF(G673=1,IF(German_Data!D673=$B$4,0,1),IF(German_Data!E673=$B$5,0,1)),IF(German_Data!E673=$B$5,0,1))</f>
        <v/>
      </c>
      <c r="I673">
        <f>IF(H673=1,"Good","Bad")</f>
        <v/>
      </c>
      <c r="J673">
        <f>--(H673=E673)</f>
        <v/>
      </c>
    </row>
    <row r="674">
      <c r="D674">
        <f>German_Data!A674</f>
        <v/>
      </c>
      <c r="E674">
        <f>German_Data!G674</f>
        <v/>
      </c>
      <c r="F674">
        <f>--(German_Data!B674&lt;=$B$2)</f>
        <v/>
      </c>
      <c r="G674">
        <f>--(German_Data!C674&lt;=$B$3)</f>
        <v/>
      </c>
      <c r="H674">
        <f>IF(F674=1,IF(G674=1,IF(German_Data!D674=$B$4,0,1),IF(German_Data!E674=$B$5,0,1)),IF(German_Data!E674=$B$5,0,1))</f>
        <v/>
      </c>
      <c r="I674">
        <f>IF(H674=1,"Good","Bad")</f>
        <v/>
      </c>
      <c r="J674">
        <f>--(H674=E674)</f>
        <v/>
      </c>
    </row>
    <row r="675">
      <c r="D675">
        <f>German_Data!A675</f>
        <v/>
      </c>
      <c r="E675">
        <f>German_Data!G675</f>
        <v/>
      </c>
      <c r="F675">
        <f>--(German_Data!B675&lt;=$B$2)</f>
        <v/>
      </c>
      <c r="G675">
        <f>--(German_Data!C675&lt;=$B$3)</f>
        <v/>
      </c>
      <c r="H675">
        <f>IF(F675=1,IF(G675=1,IF(German_Data!D675=$B$4,0,1),IF(German_Data!E675=$B$5,0,1)),IF(German_Data!E675=$B$5,0,1))</f>
        <v/>
      </c>
      <c r="I675">
        <f>IF(H675=1,"Good","Bad")</f>
        <v/>
      </c>
      <c r="J675">
        <f>--(H675=E675)</f>
        <v/>
      </c>
    </row>
    <row r="676">
      <c r="D676">
        <f>German_Data!A676</f>
        <v/>
      </c>
      <c r="E676">
        <f>German_Data!G676</f>
        <v/>
      </c>
      <c r="F676">
        <f>--(German_Data!B676&lt;=$B$2)</f>
        <v/>
      </c>
      <c r="G676">
        <f>--(German_Data!C676&lt;=$B$3)</f>
        <v/>
      </c>
      <c r="H676">
        <f>IF(F676=1,IF(G676=1,IF(German_Data!D676=$B$4,0,1),IF(German_Data!E676=$B$5,0,1)),IF(German_Data!E676=$B$5,0,1))</f>
        <v/>
      </c>
      <c r="I676">
        <f>IF(H676=1,"Good","Bad")</f>
        <v/>
      </c>
      <c r="J676">
        <f>--(H676=E676)</f>
        <v/>
      </c>
    </row>
    <row r="677">
      <c r="D677">
        <f>German_Data!A677</f>
        <v/>
      </c>
      <c r="E677">
        <f>German_Data!G677</f>
        <v/>
      </c>
      <c r="F677">
        <f>--(German_Data!B677&lt;=$B$2)</f>
        <v/>
      </c>
      <c r="G677">
        <f>--(German_Data!C677&lt;=$B$3)</f>
        <v/>
      </c>
      <c r="H677">
        <f>IF(F677=1,IF(G677=1,IF(German_Data!D677=$B$4,0,1),IF(German_Data!E677=$B$5,0,1)),IF(German_Data!E677=$B$5,0,1))</f>
        <v/>
      </c>
      <c r="I677">
        <f>IF(H677=1,"Good","Bad")</f>
        <v/>
      </c>
      <c r="J677">
        <f>--(H677=E677)</f>
        <v/>
      </c>
    </row>
    <row r="678">
      <c r="D678">
        <f>German_Data!A678</f>
        <v/>
      </c>
      <c r="E678">
        <f>German_Data!G678</f>
        <v/>
      </c>
      <c r="F678">
        <f>--(German_Data!B678&lt;=$B$2)</f>
        <v/>
      </c>
      <c r="G678">
        <f>--(German_Data!C678&lt;=$B$3)</f>
        <v/>
      </c>
      <c r="H678">
        <f>IF(F678=1,IF(G678=1,IF(German_Data!D678=$B$4,0,1),IF(German_Data!E678=$B$5,0,1)),IF(German_Data!E678=$B$5,0,1))</f>
        <v/>
      </c>
      <c r="I678">
        <f>IF(H678=1,"Good","Bad")</f>
        <v/>
      </c>
      <c r="J678">
        <f>--(H678=E678)</f>
        <v/>
      </c>
    </row>
    <row r="679">
      <c r="D679">
        <f>German_Data!A679</f>
        <v/>
      </c>
      <c r="E679">
        <f>German_Data!G679</f>
        <v/>
      </c>
      <c r="F679">
        <f>--(German_Data!B679&lt;=$B$2)</f>
        <v/>
      </c>
      <c r="G679">
        <f>--(German_Data!C679&lt;=$B$3)</f>
        <v/>
      </c>
      <c r="H679">
        <f>IF(F679=1,IF(G679=1,IF(German_Data!D679=$B$4,0,1),IF(German_Data!E679=$B$5,0,1)),IF(German_Data!E679=$B$5,0,1))</f>
        <v/>
      </c>
      <c r="I679">
        <f>IF(H679=1,"Good","Bad")</f>
        <v/>
      </c>
      <c r="J679">
        <f>--(H679=E679)</f>
        <v/>
      </c>
    </row>
    <row r="680">
      <c r="D680">
        <f>German_Data!A680</f>
        <v/>
      </c>
      <c r="E680">
        <f>German_Data!G680</f>
        <v/>
      </c>
      <c r="F680">
        <f>--(German_Data!B680&lt;=$B$2)</f>
        <v/>
      </c>
      <c r="G680">
        <f>--(German_Data!C680&lt;=$B$3)</f>
        <v/>
      </c>
      <c r="H680">
        <f>IF(F680=1,IF(G680=1,IF(German_Data!D680=$B$4,0,1),IF(German_Data!E680=$B$5,0,1)),IF(German_Data!E680=$B$5,0,1))</f>
        <v/>
      </c>
      <c r="I680">
        <f>IF(H680=1,"Good","Bad")</f>
        <v/>
      </c>
      <c r="J680">
        <f>--(H680=E680)</f>
        <v/>
      </c>
    </row>
    <row r="681">
      <c r="D681">
        <f>German_Data!A681</f>
        <v/>
      </c>
      <c r="E681">
        <f>German_Data!G681</f>
        <v/>
      </c>
      <c r="F681">
        <f>--(German_Data!B681&lt;=$B$2)</f>
        <v/>
      </c>
      <c r="G681">
        <f>--(German_Data!C681&lt;=$B$3)</f>
        <v/>
      </c>
      <c r="H681">
        <f>IF(F681=1,IF(G681=1,IF(German_Data!D681=$B$4,0,1),IF(German_Data!E681=$B$5,0,1)),IF(German_Data!E681=$B$5,0,1))</f>
        <v/>
      </c>
      <c r="I681">
        <f>IF(H681=1,"Good","Bad")</f>
        <v/>
      </c>
      <c r="J681">
        <f>--(H681=E681)</f>
        <v/>
      </c>
    </row>
    <row r="682">
      <c r="D682">
        <f>German_Data!A682</f>
        <v/>
      </c>
      <c r="E682">
        <f>German_Data!G682</f>
        <v/>
      </c>
      <c r="F682">
        <f>--(German_Data!B682&lt;=$B$2)</f>
        <v/>
      </c>
      <c r="G682">
        <f>--(German_Data!C682&lt;=$B$3)</f>
        <v/>
      </c>
      <c r="H682">
        <f>IF(F682=1,IF(G682=1,IF(German_Data!D682=$B$4,0,1),IF(German_Data!E682=$B$5,0,1)),IF(German_Data!E682=$B$5,0,1))</f>
        <v/>
      </c>
      <c r="I682">
        <f>IF(H682=1,"Good","Bad")</f>
        <v/>
      </c>
      <c r="J682">
        <f>--(H682=E682)</f>
        <v/>
      </c>
    </row>
    <row r="683">
      <c r="D683">
        <f>German_Data!A683</f>
        <v/>
      </c>
      <c r="E683">
        <f>German_Data!G683</f>
        <v/>
      </c>
      <c r="F683">
        <f>--(German_Data!B683&lt;=$B$2)</f>
        <v/>
      </c>
      <c r="G683">
        <f>--(German_Data!C683&lt;=$B$3)</f>
        <v/>
      </c>
      <c r="H683">
        <f>IF(F683=1,IF(G683=1,IF(German_Data!D683=$B$4,0,1),IF(German_Data!E683=$B$5,0,1)),IF(German_Data!E683=$B$5,0,1))</f>
        <v/>
      </c>
      <c r="I683">
        <f>IF(H683=1,"Good","Bad")</f>
        <v/>
      </c>
      <c r="J683">
        <f>--(H683=E683)</f>
        <v/>
      </c>
    </row>
    <row r="684">
      <c r="D684">
        <f>German_Data!A684</f>
        <v/>
      </c>
      <c r="E684">
        <f>German_Data!G684</f>
        <v/>
      </c>
      <c r="F684">
        <f>--(German_Data!B684&lt;=$B$2)</f>
        <v/>
      </c>
      <c r="G684">
        <f>--(German_Data!C684&lt;=$B$3)</f>
        <v/>
      </c>
      <c r="H684">
        <f>IF(F684=1,IF(G684=1,IF(German_Data!D684=$B$4,0,1),IF(German_Data!E684=$B$5,0,1)),IF(German_Data!E684=$B$5,0,1))</f>
        <v/>
      </c>
      <c r="I684">
        <f>IF(H684=1,"Good","Bad")</f>
        <v/>
      </c>
      <c r="J684">
        <f>--(H684=E684)</f>
        <v/>
      </c>
    </row>
    <row r="685">
      <c r="D685">
        <f>German_Data!A685</f>
        <v/>
      </c>
      <c r="E685">
        <f>German_Data!G685</f>
        <v/>
      </c>
      <c r="F685">
        <f>--(German_Data!B685&lt;=$B$2)</f>
        <v/>
      </c>
      <c r="G685">
        <f>--(German_Data!C685&lt;=$B$3)</f>
        <v/>
      </c>
      <c r="H685">
        <f>IF(F685=1,IF(G685=1,IF(German_Data!D685=$B$4,0,1),IF(German_Data!E685=$B$5,0,1)),IF(German_Data!E685=$B$5,0,1))</f>
        <v/>
      </c>
      <c r="I685">
        <f>IF(H685=1,"Good","Bad")</f>
        <v/>
      </c>
      <c r="J685">
        <f>--(H685=E685)</f>
        <v/>
      </c>
    </row>
    <row r="686">
      <c r="D686">
        <f>German_Data!A686</f>
        <v/>
      </c>
      <c r="E686">
        <f>German_Data!G686</f>
        <v/>
      </c>
      <c r="F686">
        <f>--(German_Data!B686&lt;=$B$2)</f>
        <v/>
      </c>
      <c r="G686">
        <f>--(German_Data!C686&lt;=$B$3)</f>
        <v/>
      </c>
      <c r="H686">
        <f>IF(F686=1,IF(G686=1,IF(German_Data!D686=$B$4,0,1),IF(German_Data!E686=$B$5,0,1)),IF(German_Data!E686=$B$5,0,1))</f>
        <v/>
      </c>
      <c r="I686">
        <f>IF(H686=1,"Good","Bad")</f>
        <v/>
      </c>
      <c r="J686">
        <f>--(H686=E686)</f>
        <v/>
      </c>
    </row>
    <row r="687">
      <c r="D687">
        <f>German_Data!A687</f>
        <v/>
      </c>
      <c r="E687">
        <f>German_Data!G687</f>
        <v/>
      </c>
      <c r="F687">
        <f>--(German_Data!B687&lt;=$B$2)</f>
        <v/>
      </c>
      <c r="G687">
        <f>--(German_Data!C687&lt;=$B$3)</f>
        <v/>
      </c>
      <c r="H687">
        <f>IF(F687=1,IF(G687=1,IF(German_Data!D687=$B$4,0,1),IF(German_Data!E687=$B$5,0,1)),IF(German_Data!E687=$B$5,0,1))</f>
        <v/>
      </c>
      <c r="I687">
        <f>IF(H687=1,"Good","Bad")</f>
        <v/>
      </c>
      <c r="J687">
        <f>--(H687=E687)</f>
        <v/>
      </c>
    </row>
    <row r="688">
      <c r="D688">
        <f>German_Data!A688</f>
        <v/>
      </c>
      <c r="E688">
        <f>German_Data!G688</f>
        <v/>
      </c>
      <c r="F688">
        <f>--(German_Data!B688&lt;=$B$2)</f>
        <v/>
      </c>
      <c r="G688">
        <f>--(German_Data!C688&lt;=$B$3)</f>
        <v/>
      </c>
      <c r="H688">
        <f>IF(F688=1,IF(G688=1,IF(German_Data!D688=$B$4,0,1),IF(German_Data!E688=$B$5,0,1)),IF(German_Data!E688=$B$5,0,1))</f>
        <v/>
      </c>
      <c r="I688">
        <f>IF(H688=1,"Good","Bad")</f>
        <v/>
      </c>
      <c r="J688">
        <f>--(H688=E688)</f>
        <v/>
      </c>
    </row>
    <row r="689">
      <c r="D689">
        <f>German_Data!A689</f>
        <v/>
      </c>
      <c r="E689">
        <f>German_Data!G689</f>
        <v/>
      </c>
      <c r="F689">
        <f>--(German_Data!B689&lt;=$B$2)</f>
        <v/>
      </c>
      <c r="G689">
        <f>--(German_Data!C689&lt;=$B$3)</f>
        <v/>
      </c>
      <c r="H689">
        <f>IF(F689=1,IF(G689=1,IF(German_Data!D689=$B$4,0,1),IF(German_Data!E689=$B$5,0,1)),IF(German_Data!E689=$B$5,0,1))</f>
        <v/>
      </c>
      <c r="I689">
        <f>IF(H689=1,"Good","Bad")</f>
        <v/>
      </c>
      <c r="J689">
        <f>--(H689=E689)</f>
        <v/>
      </c>
    </row>
    <row r="690">
      <c r="D690">
        <f>German_Data!A690</f>
        <v/>
      </c>
      <c r="E690">
        <f>German_Data!G690</f>
        <v/>
      </c>
      <c r="F690">
        <f>--(German_Data!B690&lt;=$B$2)</f>
        <v/>
      </c>
      <c r="G690">
        <f>--(German_Data!C690&lt;=$B$3)</f>
        <v/>
      </c>
      <c r="H690">
        <f>IF(F690=1,IF(G690=1,IF(German_Data!D690=$B$4,0,1),IF(German_Data!E690=$B$5,0,1)),IF(German_Data!E690=$B$5,0,1))</f>
        <v/>
      </c>
      <c r="I690">
        <f>IF(H690=1,"Good","Bad")</f>
        <v/>
      </c>
      <c r="J690">
        <f>--(H690=E690)</f>
        <v/>
      </c>
    </row>
    <row r="691">
      <c r="D691">
        <f>German_Data!A691</f>
        <v/>
      </c>
      <c r="E691">
        <f>German_Data!G691</f>
        <v/>
      </c>
      <c r="F691">
        <f>--(German_Data!B691&lt;=$B$2)</f>
        <v/>
      </c>
      <c r="G691">
        <f>--(German_Data!C691&lt;=$B$3)</f>
        <v/>
      </c>
      <c r="H691">
        <f>IF(F691=1,IF(G691=1,IF(German_Data!D691=$B$4,0,1),IF(German_Data!E691=$B$5,0,1)),IF(German_Data!E691=$B$5,0,1))</f>
        <v/>
      </c>
      <c r="I691">
        <f>IF(H691=1,"Good","Bad")</f>
        <v/>
      </c>
      <c r="J691">
        <f>--(H691=E691)</f>
        <v/>
      </c>
    </row>
    <row r="692">
      <c r="D692">
        <f>German_Data!A692</f>
        <v/>
      </c>
      <c r="E692">
        <f>German_Data!G692</f>
        <v/>
      </c>
      <c r="F692">
        <f>--(German_Data!B692&lt;=$B$2)</f>
        <v/>
      </c>
      <c r="G692">
        <f>--(German_Data!C692&lt;=$B$3)</f>
        <v/>
      </c>
      <c r="H692">
        <f>IF(F692=1,IF(G692=1,IF(German_Data!D692=$B$4,0,1),IF(German_Data!E692=$B$5,0,1)),IF(German_Data!E692=$B$5,0,1))</f>
        <v/>
      </c>
      <c r="I692">
        <f>IF(H692=1,"Good","Bad")</f>
        <v/>
      </c>
      <c r="J692">
        <f>--(H692=E692)</f>
        <v/>
      </c>
    </row>
    <row r="693">
      <c r="D693">
        <f>German_Data!A693</f>
        <v/>
      </c>
      <c r="E693">
        <f>German_Data!G693</f>
        <v/>
      </c>
      <c r="F693">
        <f>--(German_Data!B693&lt;=$B$2)</f>
        <v/>
      </c>
      <c r="G693">
        <f>--(German_Data!C693&lt;=$B$3)</f>
        <v/>
      </c>
      <c r="H693">
        <f>IF(F693=1,IF(G693=1,IF(German_Data!D693=$B$4,0,1),IF(German_Data!E693=$B$5,0,1)),IF(German_Data!E693=$B$5,0,1))</f>
        <v/>
      </c>
      <c r="I693">
        <f>IF(H693=1,"Good","Bad")</f>
        <v/>
      </c>
      <c r="J693">
        <f>--(H693=E693)</f>
        <v/>
      </c>
    </row>
    <row r="694">
      <c r="D694">
        <f>German_Data!A694</f>
        <v/>
      </c>
      <c r="E694">
        <f>German_Data!G694</f>
        <v/>
      </c>
      <c r="F694">
        <f>--(German_Data!B694&lt;=$B$2)</f>
        <v/>
      </c>
      <c r="G694">
        <f>--(German_Data!C694&lt;=$B$3)</f>
        <v/>
      </c>
      <c r="H694">
        <f>IF(F694=1,IF(G694=1,IF(German_Data!D694=$B$4,0,1),IF(German_Data!E694=$B$5,0,1)),IF(German_Data!E694=$B$5,0,1))</f>
        <v/>
      </c>
      <c r="I694">
        <f>IF(H694=1,"Good","Bad")</f>
        <v/>
      </c>
      <c r="J694">
        <f>--(H694=E694)</f>
        <v/>
      </c>
    </row>
    <row r="695">
      <c r="D695">
        <f>German_Data!A695</f>
        <v/>
      </c>
      <c r="E695">
        <f>German_Data!G695</f>
        <v/>
      </c>
      <c r="F695">
        <f>--(German_Data!B695&lt;=$B$2)</f>
        <v/>
      </c>
      <c r="G695">
        <f>--(German_Data!C695&lt;=$B$3)</f>
        <v/>
      </c>
      <c r="H695">
        <f>IF(F695=1,IF(G695=1,IF(German_Data!D695=$B$4,0,1),IF(German_Data!E695=$B$5,0,1)),IF(German_Data!E695=$B$5,0,1))</f>
        <v/>
      </c>
      <c r="I695">
        <f>IF(H695=1,"Good","Bad")</f>
        <v/>
      </c>
      <c r="J695">
        <f>--(H695=E695)</f>
        <v/>
      </c>
    </row>
    <row r="696">
      <c r="D696">
        <f>German_Data!A696</f>
        <v/>
      </c>
      <c r="E696">
        <f>German_Data!G696</f>
        <v/>
      </c>
      <c r="F696">
        <f>--(German_Data!B696&lt;=$B$2)</f>
        <v/>
      </c>
      <c r="G696">
        <f>--(German_Data!C696&lt;=$B$3)</f>
        <v/>
      </c>
      <c r="H696">
        <f>IF(F696=1,IF(G696=1,IF(German_Data!D696=$B$4,0,1),IF(German_Data!E696=$B$5,0,1)),IF(German_Data!E696=$B$5,0,1))</f>
        <v/>
      </c>
      <c r="I696">
        <f>IF(H696=1,"Good","Bad")</f>
        <v/>
      </c>
      <c r="J696">
        <f>--(H696=E696)</f>
        <v/>
      </c>
    </row>
    <row r="697">
      <c r="D697">
        <f>German_Data!A697</f>
        <v/>
      </c>
      <c r="E697">
        <f>German_Data!G697</f>
        <v/>
      </c>
      <c r="F697">
        <f>--(German_Data!B697&lt;=$B$2)</f>
        <v/>
      </c>
      <c r="G697">
        <f>--(German_Data!C697&lt;=$B$3)</f>
        <v/>
      </c>
      <c r="H697">
        <f>IF(F697=1,IF(G697=1,IF(German_Data!D697=$B$4,0,1),IF(German_Data!E697=$B$5,0,1)),IF(German_Data!E697=$B$5,0,1))</f>
        <v/>
      </c>
      <c r="I697">
        <f>IF(H697=1,"Good","Bad")</f>
        <v/>
      </c>
      <c r="J697">
        <f>--(H697=E697)</f>
        <v/>
      </c>
    </row>
    <row r="698">
      <c r="D698">
        <f>German_Data!A698</f>
        <v/>
      </c>
      <c r="E698">
        <f>German_Data!G698</f>
        <v/>
      </c>
      <c r="F698">
        <f>--(German_Data!B698&lt;=$B$2)</f>
        <v/>
      </c>
      <c r="G698">
        <f>--(German_Data!C698&lt;=$B$3)</f>
        <v/>
      </c>
      <c r="H698">
        <f>IF(F698=1,IF(G698=1,IF(German_Data!D698=$B$4,0,1),IF(German_Data!E698=$B$5,0,1)),IF(German_Data!E698=$B$5,0,1))</f>
        <v/>
      </c>
      <c r="I698">
        <f>IF(H698=1,"Good","Bad")</f>
        <v/>
      </c>
      <c r="J698">
        <f>--(H698=E698)</f>
        <v/>
      </c>
    </row>
    <row r="699">
      <c r="D699">
        <f>German_Data!A699</f>
        <v/>
      </c>
      <c r="E699">
        <f>German_Data!G699</f>
        <v/>
      </c>
      <c r="F699">
        <f>--(German_Data!B699&lt;=$B$2)</f>
        <v/>
      </c>
      <c r="G699">
        <f>--(German_Data!C699&lt;=$B$3)</f>
        <v/>
      </c>
      <c r="H699">
        <f>IF(F699=1,IF(G699=1,IF(German_Data!D699=$B$4,0,1),IF(German_Data!E699=$B$5,0,1)),IF(German_Data!E699=$B$5,0,1))</f>
        <v/>
      </c>
      <c r="I699">
        <f>IF(H699=1,"Good","Bad")</f>
        <v/>
      </c>
      <c r="J699">
        <f>--(H699=E699)</f>
        <v/>
      </c>
    </row>
    <row r="700">
      <c r="D700">
        <f>German_Data!A700</f>
        <v/>
      </c>
      <c r="E700">
        <f>German_Data!G700</f>
        <v/>
      </c>
      <c r="F700">
        <f>--(German_Data!B700&lt;=$B$2)</f>
        <v/>
      </c>
      <c r="G700">
        <f>--(German_Data!C700&lt;=$B$3)</f>
        <v/>
      </c>
      <c r="H700">
        <f>IF(F700=1,IF(G700=1,IF(German_Data!D700=$B$4,0,1),IF(German_Data!E700=$B$5,0,1)),IF(German_Data!E700=$B$5,0,1))</f>
        <v/>
      </c>
      <c r="I700">
        <f>IF(H700=1,"Good","Bad")</f>
        <v/>
      </c>
      <c r="J700">
        <f>--(H700=E700)</f>
        <v/>
      </c>
    </row>
    <row r="701">
      <c r="D701">
        <f>German_Data!A701</f>
        <v/>
      </c>
      <c r="E701">
        <f>German_Data!G701</f>
        <v/>
      </c>
      <c r="F701">
        <f>--(German_Data!B701&lt;=$B$2)</f>
        <v/>
      </c>
      <c r="G701">
        <f>--(German_Data!C701&lt;=$B$3)</f>
        <v/>
      </c>
      <c r="H701">
        <f>IF(F701=1,IF(G701=1,IF(German_Data!D701=$B$4,0,1),IF(German_Data!E701=$B$5,0,1)),IF(German_Data!E701=$B$5,0,1))</f>
        <v/>
      </c>
      <c r="I701">
        <f>IF(H701=1,"Good","Bad")</f>
        <v/>
      </c>
      <c r="J701">
        <f>--(H701=E701)</f>
        <v/>
      </c>
    </row>
    <row r="702">
      <c r="D702">
        <f>German_Data!A702</f>
        <v/>
      </c>
      <c r="E702">
        <f>German_Data!G702</f>
        <v/>
      </c>
      <c r="F702">
        <f>--(German_Data!B702&lt;=$B$2)</f>
        <v/>
      </c>
      <c r="G702">
        <f>--(German_Data!C702&lt;=$B$3)</f>
        <v/>
      </c>
      <c r="H702">
        <f>IF(F702=1,IF(G702=1,IF(German_Data!D702=$B$4,0,1),IF(German_Data!E702=$B$5,0,1)),IF(German_Data!E702=$B$5,0,1))</f>
        <v/>
      </c>
      <c r="I702">
        <f>IF(H702=1,"Good","Bad")</f>
        <v/>
      </c>
      <c r="J702">
        <f>--(H702=E702)</f>
        <v/>
      </c>
    </row>
    <row r="703">
      <c r="D703">
        <f>German_Data!A703</f>
        <v/>
      </c>
      <c r="E703">
        <f>German_Data!G703</f>
        <v/>
      </c>
      <c r="F703">
        <f>--(German_Data!B703&lt;=$B$2)</f>
        <v/>
      </c>
      <c r="G703">
        <f>--(German_Data!C703&lt;=$B$3)</f>
        <v/>
      </c>
      <c r="H703">
        <f>IF(F703=1,IF(G703=1,IF(German_Data!D703=$B$4,0,1),IF(German_Data!E703=$B$5,0,1)),IF(German_Data!E703=$B$5,0,1))</f>
        <v/>
      </c>
      <c r="I703">
        <f>IF(H703=1,"Good","Bad")</f>
        <v/>
      </c>
      <c r="J703">
        <f>--(H703=E703)</f>
        <v/>
      </c>
    </row>
    <row r="704">
      <c r="D704">
        <f>German_Data!A704</f>
        <v/>
      </c>
      <c r="E704">
        <f>German_Data!G704</f>
        <v/>
      </c>
      <c r="F704">
        <f>--(German_Data!B704&lt;=$B$2)</f>
        <v/>
      </c>
      <c r="G704">
        <f>--(German_Data!C704&lt;=$B$3)</f>
        <v/>
      </c>
      <c r="H704">
        <f>IF(F704=1,IF(G704=1,IF(German_Data!D704=$B$4,0,1),IF(German_Data!E704=$B$5,0,1)),IF(German_Data!E704=$B$5,0,1))</f>
        <v/>
      </c>
      <c r="I704">
        <f>IF(H704=1,"Good","Bad")</f>
        <v/>
      </c>
      <c r="J704">
        <f>--(H704=E704)</f>
        <v/>
      </c>
    </row>
    <row r="705">
      <c r="D705">
        <f>German_Data!A705</f>
        <v/>
      </c>
      <c r="E705">
        <f>German_Data!G705</f>
        <v/>
      </c>
      <c r="F705">
        <f>--(German_Data!B705&lt;=$B$2)</f>
        <v/>
      </c>
      <c r="G705">
        <f>--(German_Data!C705&lt;=$B$3)</f>
        <v/>
      </c>
      <c r="H705">
        <f>IF(F705=1,IF(G705=1,IF(German_Data!D705=$B$4,0,1),IF(German_Data!E705=$B$5,0,1)),IF(German_Data!E705=$B$5,0,1))</f>
        <v/>
      </c>
      <c r="I705">
        <f>IF(H705=1,"Good","Bad")</f>
        <v/>
      </c>
      <c r="J705">
        <f>--(H705=E705)</f>
        <v/>
      </c>
    </row>
    <row r="706">
      <c r="D706">
        <f>German_Data!A706</f>
        <v/>
      </c>
      <c r="E706">
        <f>German_Data!G706</f>
        <v/>
      </c>
      <c r="F706">
        <f>--(German_Data!B706&lt;=$B$2)</f>
        <v/>
      </c>
      <c r="G706">
        <f>--(German_Data!C706&lt;=$B$3)</f>
        <v/>
      </c>
      <c r="H706">
        <f>IF(F706=1,IF(G706=1,IF(German_Data!D706=$B$4,0,1),IF(German_Data!E706=$B$5,0,1)),IF(German_Data!E706=$B$5,0,1))</f>
        <v/>
      </c>
      <c r="I706">
        <f>IF(H706=1,"Good","Bad")</f>
        <v/>
      </c>
      <c r="J706">
        <f>--(H706=E706)</f>
        <v/>
      </c>
    </row>
    <row r="707">
      <c r="D707">
        <f>German_Data!A707</f>
        <v/>
      </c>
      <c r="E707">
        <f>German_Data!G707</f>
        <v/>
      </c>
      <c r="F707">
        <f>--(German_Data!B707&lt;=$B$2)</f>
        <v/>
      </c>
      <c r="G707">
        <f>--(German_Data!C707&lt;=$B$3)</f>
        <v/>
      </c>
      <c r="H707">
        <f>IF(F707=1,IF(G707=1,IF(German_Data!D707=$B$4,0,1),IF(German_Data!E707=$B$5,0,1)),IF(German_Data!E707=$B$5,0,1))</f>
        <v/>
      </c>
      <c r="I707">
        <f>IF(H707=1,"Good","Bad")</f>
        <v/>
      </c>
      <c r="J707">
        <f>--(H707=E707)</f>
        <v/>
      </c>
    </row>
    <row r="708">
      <c r="D708">
        <f>German_Data!A708</f>
        <v/>
      </c>
      <c r="E708">
        <f>German_Data!G708</f>
        <v/>
      </c>
      <c r="F708">
        <f>--(German_Data!B708&lt;=$B$2)</f>
        <v/>
      </c>
      <c r="G708">
        <f>--(German_Data!C708&lt;=$B$3)</f>
        <v/>
      </c>
      <c r="H708">
        <f>IF(F708=1,IF(G708=1,IF(German_Data!D708=$B$4,0,1),IF(German_Data!E708=$B$5,0,1)),IF(German_Data!E708=$B$5,0,1))</f>
        <v/>
      </c>
      <c r="I708">
        <f>IF(H708=1,"Good","Bad")</f>
        <v/>
      </c>
      <c r="J708">
        <f>--(H708=E708)</f>
        <v/>
      </c>
    </row>
    <row r="709">
      <c r="D709">
        <f>German_Data!A709</f>
        <v/>
      </c>
      <c r="E709">
        <f>German_Data!G709</f>
        <v/>
      </c>
      <c r="F709">
        <f>--(German_Data!B709&lt;=$B$2)</f>
        <v/>
      </c>
      <c r="G709">
        <f>--(German_Data!C709&lt;=$B$3)</f>
        <v/>
      </c>
      <c r="H709">
        <f>IF(F709=1,IF(G709=1,IF(German_Data!D709=$B$4,0,1),IF(German_Data!E709=$B$5,0,1)),IF(German_Data!E709=$B$5,0,1))</f>
        <v/>
      </c>
      <c r="I709">
        <f>IF(H709=1,"Good","Bad")</f>
        <v/>
      </c>
      <c r="J709">
        <f>--(H709=E709)</f>
        <v/>
      </c>
    </row>
    <row r="710">
      <c r="D710">
        <f>German_Data!A710</f>
        <v/>
      </c>
      <c r="E710">
        <f>German_Data!G710</f>
        <v/>
      </c>
      <c r="F710">
        <f>--(German_Data!B710&lt;=$B$2)</f>
        <v/>
      </c>
      <c r="G710">
        <f>--(German_Data!C710&lt;=$B$3)</f>
        <v/>
      </c>
      <c r="H710">
        <f>IF(F710=1,IF(G710=1,IF(German_Data!D710=$B$4,0,1),IF(German_Data!E710=$B$5,0,1)),IF(German_Data!E710=$B$5,0,1))</f>
        <v/>
      </c>
      <c r="I710">
        <f>IF(H710=1,"Good","Bad")</f>
        <v/>
      </c>
      <c r="J710">
        <f>--(H710=E710)</f>
        <v/>
      </c>
    </row>
    <row r="711">
      <c r="D711">
        <f>German_Data!A711</f>
        <v/>
      </c>
      <c r="E711">
        <f>German_Data!G711</f>
        <v/>
      </c>
      <c r="F711">
        <f>--(German_Data!B711&lt;=$B$2)</f>
        <v/>
      </c>
      <c r="G711">
        <f>--(German_Data!C711&lt;=$B$3)</f>
        <v/>
      </c>
      <c r="H711">
        <f>IF(F711=1,IF(G711=1,IF(German_Data!D711=$B$4,0,1),IF(German_Data!E711=$B$5,0,1)),IF(German_Data!E711=$B$5,0,1))</f>
        <v/>
      </c>
      <c r="I711">
        <f>IF(H711=1,"Good","Bad")</f>
        <v/>
      </c>
      <c r="J711">
        <f>--(H711=E711)</f>
        <v/>
      </c>
    </row>
    <row r="712">
      <c r="D712">
        <f>German_Data!A712</f>
        <v/>
      </c>
      <c r="E712">
        <f>German_Data!G712</f>
        <v/>
      </c>
      <c r="F712">
        <f>--(German_Data!B712&lt;=$B$2)</f>
        <v/>
      </c>
      <c r="G712">
        <f>--(German_Data!C712&lt;=$B$3)</f>
        <v/>
      </c>
      <c r="H712">
        <f>IF(F712=1,IF(G712=1,IF(German_Data!D712=$B$4,0,1),IF(German_Data!E712=$B$5,0,1)),IF(German_Data!E712=$B$5,0,1))</f>
        <v/>
      </c>
      <c r="I712">
        <f>IF(H712=1,"Good","Bad")</f>
        <v/>
      </c>
      <c r="J712">
        <f>--(H712=E712)</f>
        <v/>
      </c>
    </row>
    <row r="713">
      <c r="D713">
        <f>German_Data!A713</f>
        <v/>
      </c>
      <c r="E713">
        <f>German_Data!G713</f>
        <v/>
      </c>
      <c r="F713">
        <f>--(German_Data!B713&lt;=$B$2)</f>
        <v/>
      </c>
      <c r="G713">
        <f>--(German_Data!C713&lt;=$B$3)</f>
        <v/>
      </c>
      <c r="H713">
        <f>IF(F713=1,IF(G713=1,IF(German_Data!D713=$B$4,0,1),IF(German_Data!E713=$B$5,0,1)),IF(German_Data!E713=$B$5,0,1))</f>
        <v/>
      </c>
      <c r="I713">
        <f>IF(H713=1,"Good","Bad")</f>
        <v/>
      </c>
      <c r="J713">
        <f>--(H713=E713)</f>
        <v/>
      </c>
    </row>
    <row r="714">
      <c r="D714">
        <f>German_Data!A714</f>
        <v/>
      </c>
      <c r="E714">
        <f>German_Data!G714</f>
        <v/>
      </c>
      <c r="F714">
        <f>--(German_Data!B714&lt;=$B$2)</f>
        <v/>
      </c>
      <c r="G714">
        <f>--(German_Data!C714&lt;=$B$3)</f>
        <v/>
      </c>
      <c r="H714">
        <f>IF(F714=1,IF(G714=1,IF(German_Data!D714=$B$4,0,1),IF(German_Data!E714=$B$5,0,1)),IF(German_Data!E714=$B$5,0,1))</f>
        <v/>
      </c>
      <c r="I714">
        <f>IF(H714=1,"Good","Bad")</f>
        <v/>
      </c>
      <c r="J714">
        <f>--(H714=E714)</f>
        <v/>
      </c>
    </row>
    <row r="715">
      <c r="D715">
        <f>German_Data!A715</f>
        <v/>
      </c>
      <c r="E715">
        <f>German_Data!G715</f>
        <v/>
      </c>
      <c r="F715">
        <f>--(German_Data!B715&lt;=$B$2)</f>
        <v/>
      </c>
      <c r="G715">
        <f>--(German_Data!C715&lt;=$B$3)</f>
        <v/>
      </c>
      <c r="H715">
        <f>IF(F715=1,IF(G715=1,IF(German_Data!D715=$B$4,0,1),IF(German_Data!E715=$B$5,0,1)),IF(German_Data!E715=$B$5,0,1))</f>
        <v/>
      </c>
      <c r="I715">
        <f>IF(H715=1,"Good","Bad")</f>
        <v/>
      </c>
      <c r="J715">
        <f>--(H715=E715)</f>
        <v/>
      </c>
    </row>
    <row r="716">
      <c r="D716">
        <f>German_Data!A716</f>
        <v/>
      </c>
      <c r="E716">
        <f>German_Data!G716</f>
        <v/>
      </c>
      <c r="F716">
        <f>--(German_Data!B716&lt;=$B$2)</f>
        <v/>
      </c>
      <c r="G716">
        <f>--(German_Data!C716&lt;=$B$3)</f>
        <v/>
      </c>
      <c r="H716">
        <f>IF(F716=1,IF(G716=1,IF(German_Data!D716=$B$4,0,1),IF(German_Data!E716=$B$5,0,1)),IF(German_Data!E716=$B$5,0,1))</f>
        <v/>
      </c>
      <c r="I716">
        <f>IF(H716=1,"Good","Bad")</f>
        <v/>
      </c>
      <c r="J716">
        <f>--(H716=E716)</f>
        <v/>
      </c>
    </row>
    <row r="717">
      <c r="D717">
        <f>German_Data!A717</f>
        <v/>
      </c>
      <c r="E717">
        <f>German_Data!G717</f>
        <v/>
      </c>
      <c r="F717">
        <f>--(German_Data!B717&lt;=$B$2)</f>
        <v/>
      </c>
      <c r="G717">
        <f>--(German_Data!C717&lt;=$B$3)</f>
        <v/>
      </c>
      <c r="H717">
        <f>IF(F717=1,IF(G717=1,IF(German_Data!D717=$B$4,0,1),IF(German_Data!E717=$B$5,0,1)),IF(German_Data!E717=$B$5,0,1))</f>
        <v/>
      </c>
      <c r="I717">
        <f>IF(H717=1,"Good","Bad")</f>
        <v/>
      </c>
      <c r="J717">
        <f>--(H717=E717)</f>
        <v/>
      </c>
    </row>
    <row r="718">
      <c r="D718">
        <f>German_Data!A718</f>
        <v/>
      </c>
      <c r="E718">
        <f>German_Data!G718</f>
        <v/>
      </c>
      <c r="F718">
        <f>--(German_Data!B718&lt;=$B$2)</f>
        <v/>
      </c>
      <c r="G718">
        <f>--(German_Data!C718&lt;=$B$3)</f>
        <v/>
      </c>
      <c r="H718">
        <f>IF(F718=1,IF(G718=1,IF(German_Data!D718=$B$4,0,1),IF(German_Data!E718=$B$5,0,1)),IF(German_Data!E718=$B$5,0,1))</f>
        <v/>
      </c>
      <c r="I718">
        <f>IF(H718=1,"Good","Bad")</f>
        <v/>
      </c>
      <c r="J718">
        <f>--(H718=E718)</f>
        <v/>
      </c>
    </row>
    <row r="719">
      <c r="D719">
        <f>German_Data!A719</f>
        <v/>
      </c>
      <c r="E719">
        <f>German_Data!G719</f>
        <v/>
      </c>
      <c r="F719">
        <f>--(German_Data!B719&lt;=$B$2)</f>
        <v/>
      </c>
      <c r="G719">
        <f>--(German_Data!C719&lt;=$B$3)</f>
        <v/>
      </c>
      <c r="H719">
        <f>IF(F719=1,IF(G719=1,IF(German_Data!D719=$B$4,0,1),IF(German_Data!E719=$B$5,0,1)),IF(German_Data!E719=$B$5,0,1))</f>
        <v/>
      </c>
      <c r="I719">
        <f>IF(H719=1,"Good","Bad")</f>
        <v/>
      </c>
      <c r="J719">
        <f>--(H719=E719)</f>
        <v/>
      </c>
    </row>
    <row r="720">
      <c r="D720">
        <f>German_Data!A720</f>
        <v/>
      </c>
      <c r="E720">
        <f>German_Data!G720</f>
        <v/>
      </c>
      <c r="F720">
        <f>--(German_Data!B720&lt;=$B$2)</f>
        <v/>
      </c>
      <c r="G720">
        <f>--(German_Data!C720&lt;=$B$3)</f>
        <v/>
      </c>
      <c r="H720">
        <f>IF(F720=1,IF(G720=1,IF(German_Data!D720=$B$4,0,1),IF(German_Data!E720=$B$5,0,1)),IF(German_Data!E720=$B$5,0,1))</f>
        <v/>
      </c>
      <c r="I720">
        <f>IF(H720=1,"Good","Bad")</f>
        <v/>
      </c>
      <c r="J720">
        <f>--(H720=E720)</f>
        <v/>
      </c>
    </row>
    <row r="721">
      <c r="D721">
        <f>German_Data!A721</f>
        <v/>
      </c>
      <c r="E721">
        <f>German_Data!G721</f>
        <v/>
      </c>
      <c r="F721">
        <f>--(German_Data!B721&lt;=$B$2)</f>
        <v/>
      </c>
      <c r="G721">
        <f>--(German_Data!C721&lt;=$B$3)</f>
        <v/>
      </c>
      <c r="H721">
        <f>IF(F721=1,IF(G721=1,IF(German_Data!D721=$B$4,0,1),IF(German_Data!E721=$B$5,0,1)),IF(German_Data!E721=$B$5,0,1))</f>
        <v/>
      </c>
      <c r="I721">
        <f>IF(H721=1,"Good","Bad")</f>
        <v/>
      </c>
      <c r="J721">
        <f>--(H721=E721)</f>
        <v/>
      </c>
    </row>
    <row r="722">
      <c r="D722">
        <f>German_Data!A722</f>
        <v/>
      </c>
      <c r="E722">
        <f>German_Data!G722</f>
        <v/>
      </c>
      <c r="F722">
        <f>--(German_Data!B722&lt;=$B$2)</f>
        <v/>
      </c>
      <c r="G722">
        <f>--(German_Data!C722&lt;=$B$3)</f>
        <v/>
      </c>
      <c r="H722">
        <f>IF(F722=1,IF(G722=1,IF(German_Data!D722=$B$4,0,1),IF(German_Data!E722=$B$5,0,1)),IF(German_Data!E722=$B$5,0,1))</f>
        <v/>
      </c>
      <c r="I722">
        <f>IF(H722=1,"Good","Bad")</f>
        <v/>
      </c>
      <c r="J722">
        <f>--(H722=E722)</f>
        <v/>
      </c>
    </row>
    <row r="723">
      <c r="D723">
        <f>German_Data!A723</f>
        <v/>
      </c>
      <c r="E723">
        <f>German_Data!G723</f>
        <v/>
      </c>
      <c r="F723">
        <f>--(German_Data!B723&lt;=$B$2)</f>
        <v/>
      </c>
      <c r="G723">
        <f>--(German_Data!C723&lt;=$B$3)</f>
        <v/>
      </c>
      <c r="H723">
        <f>IF(F723=1,IF(G723=1,IF(German_Data!D723=$B$4,0,1),IF(German_Data!E723=$B$5,0,1)),IF(German_Data!E723=$B$5,0,1))</f>
        <v/>
      </c>
      <c r="I723">
        <f>IF(H723=1,"Good","Bad")</f>
        <v/>
      </c>
      <c r="J723">
        <f>--(H723=E723)</f>
        <v/>
      </c>
    </row>
    <row r="724">
      <c r="D724">
        <f>German_Data!A724</f>
        <v/>
      </c>
      <c r="E724">
        <f>German_Data!G724</f>
        <v/>
      </c>
      <c r="F724">
        <f>--(German_Data!B724&lt;=$B$2)</f>
        <v/>
      </c>
      <c r="G724">
        <f>--(German_Data!C724&lt;=$B$3)</f>
        <v/>
      </c>
      <c r="H724">
        <f>IF(F724=1,IF(G724=1,IF(German_Data!D724=$B$4,0,1),IF(German_Data!E724=$B$5,0,1)),IF(German_Data!E724=$B$5,0,1))</f>
        <v/>
      </c>
      <c r="I724">
        <f>IF(H724=1,"Good","Bad")</f>
        <v/>
      </c>
      <c r="J724">
        <f>--(H724=E724)</f>
        <v/>
      </c>
    </row>
    <row r="725">
      <c r="D725">
        <f>German_Data!A725</f>
        <v/>
      </c>
      <c r="E725">
        <f>German_Data!G725</f>
        <v/>
      </c>
      <c r="F725">
        <f>--(German_Data!B725&lt;=$B$2)</f>
        <v/>
      </c>
      <c r="G725">
        <f>--(German_Data!C725&lt;=$B$3)</f>
        <v/>
      </c>
      <c r="H725">
        <f>IF(F725=1,IF(G725=1,IF(German_Data!D725=$B$4,0,1),IF(German_Data!E725=$B$5,0,1)),IF(German_Data!E725=$B$5,0,1))</f>
        <v/>
      </c>
      <c r="I725">
        <f>IF(H725=1,"Good","Bad")</f>
        <v/>
      </c>
      <c r="J725">
        <f>--(H725=E725)</f>
        <v/>
      </c>
    </row>
    <row r="726">
      <c r="D726">
        <f>German_Data!A726</f>
        <v/>
      </c>
      <c r="E726">
        <f>German_Data!G726</f>
        <v/>
      </c>
      <c r="F726">
        <f>--(German_Data!B726&lt;=$B$2)</f>
        <v/>
      </c>
      <c r="G726">
        <f>--(German_Data!C726&lt;=$B$3)</f>
        <v/>
      </c>
      <c r="H726">
        <f>IF(F726=1,IF(G726=1,IF(German_Data!D726=$B$4,0,1),IF(German_Data!E726=$B$5,0,1)),IF(German_Data!E726=$B$5,0,1))</f>
        <v/>
      </c>
      <c r="I726">
        <f>IF(H726=1,"Good","Bad")</f>
        <v/>
      </c>
      <c r="J726">
        <f>--(H726=E726)</f>
        <v/>
      </c>
    </row>
    <row r="727">
      <c r="D727">
        <f>German_Data!A727</f>
        <v/>
      </c>
      <c r="E727">
        <f>German_Data!G727</f>
        <v/>
      </c>
      <c r="F727">
        <f>--(German_Data!B727&lt;=$B$2)</f>
        <v/>
      </c>
      <c r="G727">
        <f>--(German_Data!C727&lt;=$B$3)</f>
        <v/>
      </c>
      <c r="H727">
        <f>IF(F727=1,IF(G727=1,IF(German_Data!D727=$B$4,0,1),IF(German_Data!E727=$B$5,0,1)),IF(German_Data!E727=$B$5,0,1))</f>
        <v/>
      </c>
      <c r="I727">
        <f>IF(H727=1,"Good","Bad")</f>
        <v/>
      </c>
      <c r="J727">
        <f>--(H727=E727)</f>
        <v/>
      </c>
    </row>
    <row r="728">
      <c r="D728">
        <f>German_Data!A728</f>
        <v/>
      </c>
      <c r="E728">
        <f>German_Data!G728</f>
        <v/>
      </c>
      <c r="F728">
        <f>--(German_Data!B728&lt;=$B$2)</f>
        <v/>
      </c>
      <c r="G728">
        <f>--(German_Data!C728&lt;=$B$3)</f>
        <v/>
      </c>
      <c r="H728">
        <f>IF(F728=1,IF(G728=1,IF(German_Data!D728=$B$4,0,1),IF(German_Data!E728=$B$5,0,1)),IF(German_Data!E728=$B$5,0,1))</f>
        <v/>
      </c>
      <c r="I728">
        <f>IF(H728=1,"Good","Bad")</f>
        <v/>
      </c>
      <c r="J728">
        <f>--(H728=E728)</f>
        <v/>
      </c>
    </row>
    <row r="729">
      <c r="D729">
        <f>German_Data!A729</f>
        <v/>
      </c>
      <c r="E729">
        <f>German_Data!G729</f>
        <v/>
      </c>
      <c r="F729">
        <f>--(German_Data!B729&lt;=$B$2)</f>
        <v/>
      </c>
      <c r="G729">
        <f>--(German_Data!C729&lt;=$B$3)</f>
        <v/>
      </c>
      <c r="H729">
        <f>IF(F729=1,IF(G729=1,IF(German_Data!D729=$B$4,0,1),IF(German_Data!E729=$B$5,0,1)),IF(German_Data!E729=$B$5,0,1))</f>
        <v/>
      </c>
      <c r="I729">
        <f>IF(H729=1,"Good","Bad")</f>
        <v/>
      </c>
      <c r="J729">
        <f>--(H729=E729)</f>
        <v/>
      </c>
    </row>
    <row r="730">
      <c r="D730">
        <f>German_Data!A730</f>
        <v/>
      </c>
      <c r="E730">
        <f>German_Data!G730</f>
        <v/>
      </c>
      <c r="F730">
        <f>--(German_Data!B730&lt;=$B$2)</f>
        <v/>
      </c>
      <c r="G730">
        <f>--(German_Data!C730&lt;=$B$3)</f>
        <v/>
      </c>
      <c r="H730">
        <f>IF(F730=1,IF(G730=1,IF(German_Data!D730=$B$4,0,1),IF(German_Data!E730=$B$5,0,1)),IF(German_Data!E730=$B$5,0,1))</f>
        <v/>
      </c>
      <c r="I730">
        <f>IF(H730=1,"Good","Bad")</f>
        <v/>
      </c>
      <c r="J730">
        <f>--(H730=E730)</f>
        <v/>
      </c>
    </row>
    <row r="731">
      <c r="D731">
        <f>German_Data!A731</f>
        <v/>
      </c>
      <c r="E731">
        <f>German_Data!G731</f>
        <v/>
      </c>
      <c r="F731">
        <f>--(German_Data!B731&lt;=$B$2)</f>
        <v/>
      </c>
      <c r="G731">
        <f>--(German_Data!C731&lt;=$B$3)</f>
        <v/>
      </c>
      <c r="H731">
        <f>IF(F731=1,IF(G731=1,IF(German_Data!D731=$B$4,0,1),IF(German_Data!E731=$B$5,0,1)),IF(German_Data!E731=$B$5,0,1))</f>
        <v/>
      </c>
      <c r="I731">
        <f>IF(H731=1,"Good","Bad")</f>
        <v/>
      </c>
      <c r="J731">
        <f>--(H731=E731)</f>
        <v/>
      </c>
    </row>
    <row r="732">
      <c r="D732">
        <f>German_Data!A732</f>
        <v/>
      </c>
      <c r="E732">
        <f>German_Data!G732</f>
        <v/>
      </c>
      <c r="F732">
        <f>--(German_Data!B732&lt;=$B$2)</f>
        <v/>
      </c>
      <c r="G732">
        <f>--(German_Data!C732&lt;=$B$3)</f>
        <v/>
      </c>
      <c r="H732">
        <f>IF(F732=1,IF(G732=1,IF(German_Data!D732=$B$4,0,1),IF(German_Data!E732=$B$5,0,1)),IF(German_Data!E732=$B$5,0,1))</f>
        <v/>
      </c>
      <c r="I732">
        <f>IF(H732=1,"Good","Bad")</f>
        <v/>
      </c>
      <c r="J732">
        <f>--(H732=E732)</f>
        <v/>
      </c>
    </row>
    <row r="733">
      <c r="D733">
        <f>German_Data!A733</f>
        <v/>
      </c>
      <c r="E733">
        <f>German_Data!G733</f>
        <v/>
      </c>
      <c r="F733">
        <f>--(German_Data!B733&lt;=$B$2)</f>
        <v/>
      </c>
      <c r="G733">
        <f>--(German_Data!C733&lt;=$B$3)</f>
        <v/>
      </c>
      <c r="H733">
        <f>IF(F733=1,IF(G733=1,IF(German_Data!D733=$B$4,0,1),IF(German_Data!E733=$B$5,0,1)),IF(German_Data!E733=$B$5,0,1))</f>
        <v/>
      </c>
      <c r="I733">
        <f>IF(H733=1,"Good","Bad")</f>
        <v/>
      </c>
      <c r="J733">
        <f>--(H733=E733)</f>
        <v/>
      </c>
    </row>
    <row r="734">
      <c r="D734">
        <f>German_Data!A734</f>
        <v/>
      </c>
      <c r="E734">
        <f>German_Data!G734</f>
        <v/>
      </c>
      <c r="F734">
        <f>--(German_Data!B734&lt;=$B$2)</f>
        <v/>
      </c>
      <c r="G734">
        <f>--(German_Data!C734&lt;=$B$3)</f>
        <v/>
      </c>
      <c r="H734">
        <f>IF(F734=1,IF(G734=1,IF(German_Data!D734=$B$4,0,1),IF(German_Data!E734=$B$5,0,1)),IF(German_Data!E734=$B$5,0,1))</f>
        <v/>
      </c>
      <c r="I734">
        <f>IF(H734=1,"Good","Bad")</f>
        <v/>
      </c>
      <c r="J734">
        <f>--(H734=E734)</f>
        <v/>
      </c>
    </row>
    <row r="735">
      <c r="D735">
        <f>German_Data!A735</f>
        <v/>
      </c>
      <c r="E735">
        <f>German_Data!G735</f>
        <v/>
      </c>
      <c r="F735">
        <f>--(German_Data!B735&lt;=$B$2)</f>
        <v/>
      </c>
      <c r="G735">
        <f>--(German_Data!C735&lt;=$B$3)</f>
        <v/>
      </c>
      <c r="H735">
        <f>IF(F735=1,IF(G735=1,IF(German_Data!D735=$B$4,0,1),IF(German_Data!E735=$B$5,0,1)),IF(German_Data!E735=$B$5,0,1))</f>
        <v/>
      </c>
      <c r="I735">
        <f>IF(H735=1,"Good","Bad")</f>
        <v/>
      </c>
      <c r="J735">
        <f>--(H735=E735)</f>
        <v/>
      </c>
    </row>
    <row r="736">
      <c r="D736">
        <f>German_Data!A736</f>
        <v/>
      </c>
      <c r="E736">
        <f>German_Data!G736</f>
        <v/>
      </c>
      <c r="F736">
        <f>--(German_Data!B736&lt;=$B$2)</f>
        <v/>
      </c>
      <c r="G736">
        <f>--(German_Data!C736&lt;=$B$3)</f>
        <v/>
      </c>
      <c r="H736">
        <f>IF(F736=1,IF(G736=1,IF(German_Data!D736=$B$4,0,1),IF(German_Data!E736=$B$5,0,1)),IF(German_Data!E736=$B$5,0,1))</f>
        <v/>
      </c>
      <c r="I736">
        <f>IF(H736=1,"Good","Bad")</f>
        <v/>
      </c>
      <c r="J736">
        <f>--(H736=E736)</f>
        <v/>
      </c>
    </row>
    <row r="737">
      <c r="D737">
        <f>German_Data!A737</f>
        <v/>
      </c>
      <c r="E737">
        <f>German_Data!G737</f>
        <v/>
      </c>
      <c r="F737">
        <f>--(German_Data!B737&lt;=$B$2)</f>
        <v/>
      </c>
      <c r="G737">
        <f>--(German_Data!C737&lt;=$B$3)</f>
        <v/>
      </c>
      <c r="H737">
        <f>IF(F737=1,IF(G737=1,IF(German_Data!D737=$B$4,0,1),IF(German_Data!E737=$B$5,0,1)),IF(German_Data!E737=$B$5,0,1))</f>
        <v/>
      </c>
      <c r="I737">
        <f>IF(H737=1,"Good","Bad")</f>
        <v/>
      </c>
      <c r="J737">
        <f>--(H737=E737)</f>
        <v/>
      </c>
    </row>
    <row r="738">
      <c r="D738">
        <f>German_Data!A738</f>
        <v/>
      </c>
      <c r="E738">
        <f>German_Data!G738</f>
        <v/>
      </c>
      <c r="F738">
        <f>--(German_Data!B738&lt;=$B$2)</f>
        <v/>
      </c>
      <c r="G738">
        <f>--(German_Data!C738&lt;=$B$3)</f>
        <v/>
      </c>
      <c r="H738">
        <f>IF(F738=1,IF(G738=1,IF(German_Data!D738=$B$4,0,1),IF(German_Data!E738=$B$5,0,1)),IF(German_Data!E738=$B$5,0,1))</f>
        <v/>
      </c>
      <c r="I738">
        <f>IF(H738=1,"Good","Bad")</f>
        <v/>
      </c>
      <c r="J738">
        <f>--(H738=E738)</f>
        <v/>
      </c>
    </row>
    <row r="739">
      <c r="D739">
        <f>German_Data!A739</f>
        <v/>
      </c>
      <c r="E739">
        <f>German_Data!G739</f>
        <v/>
      </c>
      <c r="F739">
        <f>--(German_Data!B739&lt;=$B$2)</f>
        <v/>
      </c>
      <c r="G739">
        <f>--(German_Data!C739&lt;=$B$3)</f>
        <v/>
      </c>
      <c r="H739">
        <f>IF(F739=1,IF(G739=1,IF(German_Data!D739=$B$4,0,1),IF(German_Data!E739=$B$5,0,1)),IF(German_Data!E739=$B$5,0,1))</f>
        <v/>
      </c>
      <c r="I739">
        <f>IF(H739=1,"Good","Bad")</f>
        <v/>
      </c>
      <c r="J739">
        <f>--(H739=E739)</f>
        <v/>
      </c>
    </row>
    <row r="740">
      <c r="D740">
        <f>German_Data!A740</f>
        <v/>
      </c>
      <c r="E740">
        <f>German_Data!G740</f>
        <v/>
      </c>
      <c r="F740">
        <f>--(German_Data!B740&lt;=$B$2)</f>
        <v/>
      </c>
      <c r="G740">
        <f>--(German_Data!C740&lt;=$B$3)</f>
        <v/>
      </c>
      <c r="H740">
        <f>IF(F740=1,IF(G740=1,IF(German_Data!D740=$B$4,0,1),IF(German_Data!E740=$B$5,0,1)),IF(German_Data!E740=$B$5,0,1))</f>
        <v/>
      </c>
      <c r="I740">
        <f>IF(H740=1,"Good","Bad")</f>
        <v/>
      </c>
      <c r="J740">
        <f>--(H740=E740)</f>
        <v/>
      </c>
    </row>
    <row r="741">
      <c r="D741">
        <f>German_Data!A741</f>
        <v/>
      </c>
      <c r="E741">
        <f>German_Data!G741</f>
        <v/>
      </c>
      <c r="F741">
        <f>--(German_Data!B741&lt;=$B$2)</f>
        <v/>
      </c>
      <c r="G741">
        <f>--(German_Data!C741&lt;=$B$3)</f>
        <v/>
      </c>
      <c r="H741">
        <f>IF(F741=1,IF(G741=1,IF(German_Data!D741=$B$4,0,1),IF(German_Data!E741=$B$5,0,1)),IF(German_Data!E741=$B$5,0,1))</f>
        <v/>
      </c>
      <c r="I741">
        <f>IF(H741=1,"Good","Bad")</f>
        <v/>
      </c>
      <c r="J741">
        <f>--(H741=E741)</f>
        <v/>
      </c>
    </row>
    <row r="742">
      <c r="D742">
        <f>German_Data!A742</f>
        <v/>
      </c>
      <c r="E742">
        <f>German_Data!G742</f>
        <v/>
      </c>
      <c r="F742">
        <f>--(German_Data!B742&lt;=$B$2)</f>
        <v/>
      </c>
      <c r="G742">
        <f>--(German_Data!C742&lt;=$B$3)</f>
        <v/>
      </c>
      <c r="H742">
        <f>IF(F742=1,IF(G742=1,IF(German_Data!D742=$B$4,0,1),IF(German_Data!E742=$B$5,0,1)),IF(German_Data!E742=$B$5,0,1))</f>
        <v/>
      </c>
      <c r="I742">
        <f>IF(H742=1,"Good","Bad")</f>
        <v/>
      </c>
      <c r="J742">
        <f>--(H742=E742)</f>
        <v/>
      </c>
    </row>
    <row r="743">
      <c r="D743">
        <f>German_Data!A743</f>
        <v/>
      </c>
      <c r="E743">
        <f>German_Data!G743</f>
        <v/>
      </c>
      <c r="F743">
        <f>--(German_Data!B743&lt;=$B$2)</f>
        <v/>
      </c>
      <c r="G743">
        <f>--(German_Data!C743&lt;=$B$3)</f>
        <v/>
      </c>
      <c r="H743">
        <f>IF(F743=1,IF(G743=1,IF(German_Data!D743=$B$4,0,1),IF(German_Data!E743=$B$5,0,1)),IF(German_Data!E743=$B$5,0,1))</f>
        <v/>
      </c>
      <c r="I743">
        <f>IF(H743=1,"Good","Bad")</f>
        <v/>
      </c>
      <c r="J743">
        <f>--(H743=E743)</f>
        <v/>
      </c>
    </row>
    <row r="744">
      <c r="D744">
        <f>German_Data!A744</f>
        <v/>
      </c>
      <c r="E744">
        <f>German_Data!G744</f>
        <v/>
      </c>
      <c r="F744">
        <f>--(German_Data!B744&lt;=$B$2)</f>
        <v/>
      </c>
      <c r="G744">
        <f>--(German_Data!C744&lt;=$B$3)</f>
        <v/>
      </c>
      <c r="H744">
        <f>IF(F744=1,IF(G744=1,IF(German_Data!D744=$B$4,0,1),IF(German_Data!E744=$B$5,0,1)),IF(German_Data!E744=$B$5,0,1))</f>
        <v/>
      </c>
      <c r="I744">
        <f>IF(H744=1,"Good","Bad")</f>
        <v/>
      </c>
      <c r="J744">
        <f>--(H744=E744)</f>
        <v/>
      </c>
    </row>
    <row r="745">
      <c r="D745">
        <f>German_Data!A745</f>
        <v/>
      </c>
      <c r="E745">
        <f>German_Data!G745</f>
        <v/>
      </c>
      <c r="F745">
        <f>--(German_Data!B745&lt;=$B$2)</f>
        <v/>
      </c>
      <c r="G745">
        <f>--(German_Data!C745&lt;=$B$3)</f>
        <v/>
      </c>
      <c r="H745">
        <f>IF(F745=1,IF(G745=1,IF(German_Data!D745=$B$4,0,1),IF(German_Data!E745=$B$5,0,1)),IF(German_Data!E745=$B$5,0,1))</f>
        <v/>
      </c>
      <c r="I745">
        <f>IF(H745=1,"Good","Bad")</f>
        <v/>
      </c>
      <c r="J745">
        <f>--(H745=E745)</f>
        <v/>
      </c>
    </row>
    <row r="746">
      <c r="D746">
        <f>German_Data!A746</f>
        <v/>
      </c>
      <c r="E746">
        <f>German_Data!G746</f>
        <v/>
      </c>
      <c r="F746">
        <f>--(German_Data!B746&lt;=$B$2)</f>
        <v/>
      </c>
      <c r="G746">
        <f>--(German_Data!C746&lt;=$B$3)</f>
        <v/>
      </c>
      <c r="H746">
        <f>IF(F746=1,IF(G746=1,IF(German_Data!D746=$B$4,0,1),IF(German_Data!E746=$B$5,0,1)),IF(German_Data!E746=$B$5,0,1))</f>
        <v/>
      </c>
      <c r="I746">
        <f>IF(H746=1,"Good","Bad")</f>
        <v/>
      </c>
      <c r="J746">
        <f>--(H746=E746)</f>
        <v/>
      </c>
    </row>
    <row r="747">
      <c r="D747">
        <f>German_Data!A747</f>
        <v/>
      </c>
      <c r="E747">
        <f>German_Data!G747</f>
        <v/>
      </c>
      <c r="F747">
        <f>--(German_Data!B747&lt;=$B$2)</f>
        <v/>
      </c>
      <c r="G747">
        <f>--(German_Data!C747&lt;=$B$3)</f>
        <v/>
      </c>
      <c r="H747">
        <f>IF(F747=1,IF(G747=1,IF(German_Data!D747=$B$4,0,1),IF(German_Data!E747=$B$5,0,1)),IF(German_Data!E747=$B$5,0,1))</f>
        <v/>
      </c>
      <c r="I747">
        <f>IF(H747=1,"Good","Bad")</f>
        <v/>
      </c>
      <c r="J747">
        <f>--(H747=E747)</f>
        <v/>
      </c>
    </row>
    <row r="748">
      <c r="D748">
        <f>German_Data!A748</f>
        <v/>
      </c>
      <c r="E748">
        <f>German_Data!G748</f>
        <v/>
      </c>
      <c r="F748">
        <f>--(German_Data!B748&lt;=$B$2)</f>
        <v/>
      </c>
      <c r="G748">
        <f>--(German_Data!C748&lt;=$B$3)</f>
        <v/>
      </c>
      <c r="H748">
        <f>IF(F748=1,IF(G748=1,IF(German_Data!D748=$B$4,0,1),IF(German_Data!E748=$B$5,0,1)),IF(German_Data!E748=$B$5,0,1))</f>
        <v/>
      </c>
      <c r="I748">
        <f>IF(H748=1,"Good","Bad")</f>
        <v/>
      </c>
      <c r="J748">
        <f>--(H748=E748)</f>
        <v/>
      </c>
    </row>
    <row r="749">
      <c r="D749">
        <f>German_Data!A749</f>
        <v/>
      </c>
      <c r="E749">
        <f>German_Data!G749</f>
        <v/>
      </c>
      <c r="F749">
        <f>--(German_Data!B749&lt;=$B$2)</f>
        <v/>
      </c>
      <c r="G749">
        <f>--(German_Data!C749&lt;=$B$3)</f>
        <v/>
      </c>
      <c r="H749">
        <f>IF(F749=1,IF(G749=1,IF(German_Data!D749=$B$4,0,1),IF(German_Data!E749=$B$5,0,1)),IF(German_Data!E749=$B$5,0,1))</f>
        <v/>
      </c>
      <c r="I749">
        <f>IF(H749=1,"Good","Bad")</f>
        <v/>
      </c>
      <c r="J749">
        <f>--(H749=E749)</f>
        <v/>
      </c>
    </row>
    <row r="750">
      <c r="D750">
        <f>German_Data!A750</f>
        <v/>
      </c>
      <c r="E750">
        <f>German_Data!G750</f>
        <v/>
      </c>
      <c r="F750">
        <f>--(German_Data!B750&lt;=$B$2)</f>
        <v/>
      </c>
      <c r="G750">
        <f>--(German_Data!C750&lt;=$B$3)</f>
        <v/>
      </c>
      <c r="H750">
        <f>IF(F750=1,IF(G750=1,IF(German_Data!D750=$B$4,0,1),IF(German_Data!E750=$B$5,0,1)),IF(German_Data!E750=$B$5,0,1))</f>
        <v/>
      </c>
      <c r="I750">
        <f>IF(H750=1,"Good","Bad")</f>
        <v/>
      </c>
      <c r="J750">
        <f>--(H750=E750)</f>
        <v/>
      </c>
    </row>
    <row r="751">
      <c r="D751">
        <f>German_Data!A751</f>
        <v/>
      </c>
      <c r="E751">
        <f>German_Data!G751</f>
        <v/>
      </c>
      <c r="F751">
        <f>--(German_Data!B751&lt;=$B$2)</f>
        <v/>
      </c>
      <c r="G751">
        <f>--(German_Data!C751&lt;=$B$3)</f>
        <v/>
      </c>
      <c r="H751">
        <f>IF(F751=1,IF(G751=1,IF(German_Data!D751=$B$4,0,1),IF(German_Data!E751=$B$5,0,1)),IF(German_Data!E751=$B$5,0,1))</f>
        <v/>
      </c>
      <c r="I751">
        <f>IF(H751=1,"Good","Bad")</f>
        <v/>
      </c>
      <c r="J751">
        <f>--(H751=E751)</f>
        <v/>
      </c>
    </row>
    <row r="752">
      <c r="D752">
        <f>German_Data!A752</f>
        <v/>
      </c>
      <c r="E752">
        <f>German_Data!G752</f>
        <v/>
      </c>
      <c r="F752">
        <f>--(German_Data!B752&lt;=$B$2)</f>
        <v/>
      </c>
      <c r="G752">
        <f>--(German_Data!C752&lt;=$B$3)</f>
        <v/>
      </c>
      <c r="H752">
        <f>IF(F752=1,IF(G752=1,IF(German_Data!D752=$B$4,0,1),IF(German_Data!E752=$B$5,0,1)),IF(German_Data!E752=$B$5,0,1))</f>
        <v/>
      </c>
      <c r="I752">
        <f>IF(H752=1,"Good","Bad")</f>
        <v/>
      </c>
      <c r="J752">
        <f>--(H752=E752)</f>
        <v/>
      </c>
    </row>
    <row r="753">
      <c r="D753">
        <f>German_Data!A753</f>
        <v/>
      </c>
      <c r="E753">
        <f>German_Data!G753</f>
        <v/>
      </c>
      <c r="F753">
        <f>--(German_Data!B753&lt;=$B$2)</f>
        <v/>
      </c>
      <c r="G753">
        <f>--(German_Data!C753&lt;=$B$3)</f>
        <v/>
      </c>
      <c r="H753">
        <f>IF(F753=1,IF(G753=1,IF(German_Data!D753=$B$4,0,1),IF(German_Data!E753=$B$5,0,1)),IF(German_Data!E753=$B$5,0,1))</f>
        <v/>
      </c>
      <c r="I753">
        <f>IF(H753=1,"Good","Bad")</f>
        <v/>
      </c>
      <c r="J753">
        <f>--(H753=E753)</f>
        <v/>
      </c>
    </row>
    <row r="754">
      <c r="D754">
        <f>German_Data!A754</f>
        <v/>
      </c>
      <c r="E754">
        <f>German_Data!G754</f>
        <v/>
      </c>
      <c r="F754">
        <f>--(German_Data!B754&lt;=$B$2)</f>
        <v/>
      </c>
      <c r="G754">
        <f>--(German_Data!C754&lt;=$B$3)</f>
        <v/>
      </c>
      <c r="H754">
        <f>IF(F754=1,IF(G754=1,IF(German_Data!D754=$B$4,0,1),IF(German_Data!E754=$B$5,0,1)),IF(German_Data!E754=$B$5,0,1))</f>
        <v/>
      </c>
      <c r="I754">
        <f>IF(H754=1,"Good","Bad")</f>
        <v/>
      </c>
      <c r="J754">
        <f>--(H754=E754)</f>
        <v/>
      </c>
    </row>
    <row r="755">
      <c r="D755">
        <f>German_Data!A755</f>
        <v/>
      </c>
      <c r="E755">
        <f>German_Data!G755</f>
        <v/>
      </c>
      <c r="F755">
        <f>--(German_Data!B755&lt;=$B$2)</f>
        <v/>
      </c>
      <c r="G755">
        <f>--(German_Data!C755&lt;=$B$3)</f>
        <v/>
      </c>
      <c r="H755">
        <f>IF(F755=1,IF(G755=1,IF(German_Data!D755=$B$4,0,1),IF(German_Data!E755=$B$5,0,1)),IF(German_Data!E755=$B$5,0,1))</f>
        <v/>
      </c>
      <c r="I755">
        <f>IF(H755=1,"Good","Bad")</f>
        <v/>
      </c>
      <c r="J755">
        <f>--(H755=E755)</f>
        <v/>
      </c>
    </row>
    <row r="756">
      <c r="D756">
        <f>German_Data!A756</f>
        <v/>
      </c>
      <c r="E756">
        <f>German_Data!G756</f>
        <v/>
      </c>
      <c r="F756">
        <f>--(German_Data!B756&lt;=$B$2)</f>
        <v/>
      </c>
      <c r="G756">
        <f>--(German_Data!C756&lt;=$B$3)</f>
        <v/>
      </c>
      <c r="H756">
        <f>IF(F756=1,IF(G756=1,IF(German_Data!D756=$B$4,0,1),IF(German_Data!E756=$B$5,0,1)),IF(German_Data!E756=$B$5,0,1))</f>
        <v/>
      </c>
      <c r="I756">
        <f>IF(H756=1,"Good","Bad")</f>
        <v/>
      </c>
      <c r="J756">
        <f>--(H756=E756)</f>
        <v/>
      </c>
    </row>
    <row r="757">
      <c r="D757">
        <f>German_Data!A757</f>
        <v/>
      </c>
      <c r="E757">
        <f>German_Data!G757</f>
        <v/>
      </c>
      <c r="F757">
        <f>--(German_Data!B757&lt;=$B$2)</f>
        <v/>
      </c>
      <c r="G757">
        <f>--(German_Data!C757&lt;=$B$3)</f>
        <v/>
      </c>
      <c r="H757">
        <f>IF(F757=1,IF(G757=1,IF(German_Data!D757=$B$4,0,1),IF(German_Data!E757=$B$5,0,1)),IF(German_Data!E757=$B$5,0,1))</f>
        <v/>
      </c>
      <c r="I757">
        <f>IF(H757=1,"Good","Bad")</f>
        <v/>
      </c>
      <c r="J757">
        <f>--(H757=E757)</f>
        <v/>
      </c>
    </row>
    <row r="758">
      <c r="D758">
        <f>German_Data!A758</f>
        <v/>
      </c>
      <c r="E758">
        <f>German_Data!G758</f>
        <v/>
      </c>
      <c r="F758">
        <f>--(German_Data!B758&lt;=$B$2)</f>
        <v/>
      </c>
      <c r="G758">
        <f>--(German_Data!C758&lt;=$B$3)</f>
        <v/>
      </c>
      <c r="H758">
        <f>IF(F758=1,IF(G758=1,IF(German_Data!D758=$B$4,0,1),IF(German_Data!E758=$B$5,0,1)),IF(German_Data!E758=$B$5,0,1))</f>
        <v/>
      </c>
      <c r="I758">
        <f>IF(H758=1,"Good","Bad")</f>
        <v/>
      </c>
      <c r="J758">
        <f>--(H758=E758)</f>
        <v/>
      </c>
    </row>
    <row r="759">
      <c r="D759">
        <f>German_Data!A759</f>
        <v/>
      </c>
      <c r="E759">
        <f>German_Data!G759</f>
        <v/>
      </c>
      <c r="F759">
        <f>--(German_Data!B759&lt;=$B$2)</f>
        <v/>
      </c>
      <c r="G759">
        <f>--(German_Data!C759&lt;=$B$3)</f>
        <v/>
      </c>
      <c r="H759">
        <f>IF(F759=1,IF(G759=1,IF(German_Data!D759=$B$4,0,1),IF(German_Data!E759=$B$5,0,1)),IF(German_Data!E759=$B$5,0,1))</f>
        <v/>
      </c>
      <c r="I759">
        <f>IF(H759=1,"Good","Bad")</f>
        <v/>
      </c>
      <c r="J759">
        <f>--(H759=E759)</f>
        <v/>
      </c>
    </row>
    <row r="760">
      <c r="D760">
        <f>German_Data!A760</f>
        <v/>
      </c>
      <c r="E760">
        <f>German_Data!G760</f>
        <v/>
      </c>
      <c r="F760">
        <f>--(German_Data!B760&lt;=$B$2)</f>
        <v/>
      </c>
      <c r="G760">
        <f>--(German_Data!C760&lt;=$B$3)</f>
        <v/>
      </c>
      <c r="H760">
        <f>IF(F760=1,IF(G760=1,IF(German_Data!D760=$B$4,0,1),IF(German_Data!E760=$B$5,0,1)),IF(German_Data!E760=$B$5,0,1))</f>
        <v/>
      </c>
      <c r="I760">
        <f>IF(H760=1,"Good","Bad")</f>
        <v/>
      </c>
      <c r="J760">
        <f>--(H760=E760)</f>
        <v/>
      </c>
    </row>
    <row r="761">
      <c r="D761">
        <f>German_Data!A761</f>
        <v/>
      </c>
      <c r="E761">
        <f>German_Data!G761</f>
        <v/>
      </c>
      <c r="F761">
        <f>--(German_Data!B761&lt;=$B$2)</f>
        <v/>
      </c>
      <c r="G761">
        <f>--(German_Data!C761&lt;=$B$3)</f>
        <v/>
      </c>
      <c r="H761">
        <f>IF(F761=1,IF(G761=1,IF(German_Data!D761=$B$4,0,1),IF(German_Data!E761=$B$5,0,1)),IF(German_Data!E761=$B$5,0,1))</f>
        <v/>
      </c>
      <c r="I761">
        <f>IF(H761=1,"Good","Bad")</f>
        <v/>
      </c>
      <c r="J761">
        <f>--(H761=E761)</f>
        <v/>
      </c>
    </row>
    <row r="762">
      <c r="D762">
        <f>German_Data!A762</f>
        <v/>
      </c>
      <c r="E762">
        <f>German_Data!G762</f>
        <v/>
      </c>
      <c r="F762">
        <f>--(German_Data!B762&lt;=$B$2)</f>
        <v/>
      </c>
      <c r="G762">
        <f>--(German_Data!C762&lt;=$B$3)</f>
        <v/>
      </c>
      <c r="H762">
        <f>IF(F762=1,IF(G762=1,IF(German_Data!D762=$B$4,0,1),IF(German_Data!E762=$B$5,0,1)),IF(German_Data!E762=$B$5,0,1))</f>
        <v/>
      </c>
      <c r="I762">
        <f>IF(H762=1,"Good","Bad")</f>
        <v/>
      </c>
      <c r="J762">
        <f>--(H762=E762)</f>
        <v/>
      </c>
    </row>
    <row r="763">
      <c r="D763">
        <f>German_Data!A763</f>
        <v/>
      </c>
      <c r="E763">
        <f>German_Data!G763</f>
        <v/>
      </c>
      <c r="F763">
        <f>--(German_Data!B763&lt;=$B$2)</f>
        <v/>
      </c>
      <c r="G763">
        <f>--(German_Data!C763&lt;=$B$3)</f>
        <v/>
      </c>
      <c r="H763">
        <f>IF(F763=1,IF(G763=1,IF(German_Data!D763=$B$4,0,1),IF(German_Data!E763=$B$5,0,1)),IF(German_Data!E763=$B$5,0,1))</f>
        <v/>
      </c>
      <c r="I763">
        <f>IF(H763=1,"Good","Bad")</f>
        <v/>
      </c>
      <c r="J763">
        <f>--(H763=E763)</f>
        <v/>
      </c>
    </row>
    <row r="764">
      <c r="D764">
        <f>German_Data!A764</f>
        <v/>
      </c>
      <c r="E764">
        <f>German_Data!G764</f>
        <v/>
      </c>
      <c r="F764">
        <f>--(German_Data!B764&lt;=$B$2)</f>
        <v/>
      </c>
      <c r="G764">
        <f>--(German_Data!C764&lt;=$B$3)</f>
        <v/>
      </c>
      <c r="H764">
        <f>IF(F764=1,IF(G764=1,IF(German_Data!D764=$B$4,0,1),IF(German_Data!E764=$B$5,0,1)),IF(German_Data!E764=$B$5,0,1))</f>
        <v/>
      </c>
      <c r="I764">
        <f>IF(H764=1,"Good","Bad")</f>
        <v/>
      </c>
      <c r="J764">
        <f>--(H764=E764)</f>
        <v/>
      </c>
    </row>
    <row r="765">
      <c r="D765">
        <f>German_Data!A765</f>
        <v/>
      </c>
      <c r="E765">
        <f>German_Data!G765</f>
        <v/>
      </c>
      <c r="F765">
        <f>--(German_Data!B765&lt;=$B$2)</f>
        <v/>
      </c>
      <c r="G765">
        <f>--(German_Data!C765&lt;=$B$3)</f>
        <v/>
      </c>
      <c r="H765">
        <f>IF(F765=1,IF(G765=1,IF(German_Data!D765=$B$4,0,1),IF(German_Data!E765=$B$5,0,1)),IF(German_Data!E765=$B$5,0,1))</f>
        <v/>
      </c>
      <c r="I765">
        <f>IF(H765=1,"Good","Bad")</f>
        <v/>
      </c>
      <c r="J765">
        <f>--(H765=E765)</f>
        <v/>
      </c>
    </row>
    <row r="766">
      <c r="D766">
        <f>German_Data!A766</f>
        <v/>
      </c>
      <c r="E766">
        <f>German_Data!G766</f>
        <v/>
      </c>
      <c r="F766">
        <f>--(German_Data!B766&lt;=$B$2)</f>
        <v/>
      </c>
      <c r="G766">
        <f>--(German_Data!C766&lt;=$B$3)</f>
        <v/>
      </c>
      <c r="H766">
        <f>IF(F766=1,IF(G766=1,IF(German_Data!D766=$B$4,0,1),IF(German_Data!E766=$B$5,0,1)),IF(German_Data!E766=$B$5,0,1))</f>
        <v/>
      </c>
      <c r="I766">
        <f>IF(H766=1,"Good","Bad")</f>
        <v/>
      </c>
      <c r="J766">
        <f>--(H766=E766)</f>
        <v/>
      </c>
    </row>
    <row r="767">
      <c r="D767">
        <f>German_Data!A767</f>
        <v/>
      </c>
      <c r="E767">
        <f>German_Data!G767</f>
        <v/>
      </c>
      <c r="F767">
        <f>--(German_Data!B767&lt;=$B$2)</f>
        <v/>
      </c>
      <c r="G767">
        <f>--(German_Data!C767&lt;=$B$3)</f>
        <v/>
      </c>
      <c r="H767">
        <f>IF(F767=1,IF(G767=1,IF(German_Data!D767=$B$4,0,1),IF(German_Data!E767=$B$5,0,1)),IF(German_Data!E767=$B$5,0,1))</f>
        <v/>
      </c>
      <c r="I767">
        <f>IF(H767=1,"Good","Bad")</f>
        <v/>
      </c>
      <c r="J767">
        <f>--(H767=E767)</f>
        <v/>
      </c>
    </row>
    <row r="768">
      <c r="D768">
        <f>German_Data!A768</f>
        <v/>
      </c>
      <c r="E768">
        <f>German_Data!G768</f>
        <v/>
      </c>
      <c r="F768">
        <f>--(German_Data!B768&lt;=$B$2)</f>
        <v/>
      </c>
      <c r="G768">
        <f>--(German_Data!C768&lt;=$B$3)</f>
        <v/>
      </c>
      <c r="H768">
        <f>IF(F768=1,IF(G768=1,IF(German_Data!D768=$B$4,0,1),IF(German_Data!E768=$B$5,0,1)),IF(German_Data!E768=$B$5,0,1))</f>
        <v/>
      </c>
      <c r="I768">
        <f>IF(H768=1,"Good","Bad")</f>
        <v/>
      </c>
      <c r="J768">
        <f>--(H768=E768)</f>
        <v/>
      </c>
    </row>
    <row r="769">
      <c r="D769">
        <f>German_Data!A769</f>
        <v/>
      </c>
      <c r="E769">
        <f>German_Data!G769</f>
        <v/>
      </c>
      <c r="F769">
        <f>--(German_Data!B769&lt;=$B$2)</f>
        <v/>
      </c>
      <c r="G769">
        <f>--(German_Data!C769&lt;=$B$3)</f>
        <v/>
      </c>
      <c r="H769">
        <f>IF(F769=1,IF(G769=1,IF(German_Data!D769=$B$4,0,1),IF(German_Data!E769=$B$5,0,1)),IF(German_Data!E769=$B$5,0,1))</f>
        <v/>
      </c>
      <c r="I769">
        <f>IF(H769=1,"Good","Bad")</f>
        <v/>
      </c>
      <c r="J769">
        <f>--(H769=E769)</f>
        <v/>
      </c>
    </row>
    <row r="770">
      <c r="D770">
        <f>German_Data!A770</f>
        <v/>
      </c>
      <c r="E770">
        <f>German_Data!G770</f>
        <v/>
      </c>
      <c r="F770">
        <f>--(German_Data!B770&lt;=$B$2)</f>
        <v/>
      </c>
      <c r="G770">
        <f>--(German_Data!C770&lt;=$B$3)</f>
        <v/>
      </c>
      <c r="H770">
        <f>IF(F770=1,IF(G770=1,IF(German_Data!D770=$B$4,0,1),IF(German_Data!E770=$B$5,0,1)),IF(German_Data!E770=$B$5,0,1))</f>
        <v/>
      </c>
      <c r="I770">
        <f>IF(H770=1,"Good","Bad")</f>
        <v/>
      </c>
      <c r="J770">
        <f>--(H770=E770)</f>
        <v/>
      </c>
    </row>
    <row r="771">
      <c r="D771">
        <f>German_Data!A771</f>
        <v/>
      </c>
      <c r="E771">
        <f>German_Data!G771</f>
        <v/>
      </c>
      <c r="F771">
        <f>--(German_Data!B771&lt;=$B$2)</f>
        <v/>
      </c>
      <c r="G771">
        <f>--(German_Data!C771&lt;=$B$3)</f>
        <v/>
      </c>
      <c r="H771">
        <f>IF(F771=1,IF(G771=1,IF(German_Data!D771=$B$4,0,1),IF(German_Data!E771=$B$5,0,1)),IF(German_Data!E771=$B$5,0,1))</f>
        <v/>
      </c>
      <c r="I771">
        <f>IF(H771=1,"Good","Bad")</f>
        <v/>
      </c>
      <c r="J771">
        <f>--(H771=E771)</f>
        <v/>
      </c>
    </row>
    <row r="772">
      <c r="D772">
        <f>German_Data!A772</f>
        <v/>
      </c>
      <c r="E772">
        <f>German_Data!G772</f>
        <v/>
      </c>
      <c r="F772">
        <f>--(German_Data!B772&lt;=$B$2)</f>
        <v/>
      </c>
      <c r="G772">
        <f>--(German_Data!C772&lt;=$B$3)</f>
        <v/>
      </c>
      <c r="H772">
        <f>IF(F772=1,IF(G772=1,IF(German_Data!D772=$B$4,0,1),IF(German_Data!E772=$B$5,0,1)),IF(German_Data!E772=$B$5,0,1))</f>
        <v/>
      </c>
      <c r="I772">
        <f>IF(H772=1,"Good","Bad")</f>
        <v/>
      </c>
      <c r="J772">
        <f>--(H772=E772)</f>
        <v/>
      </c>
    </row>
    <row r="773">
      <c r="D773">
        <f>German_Data!A773</f>
        <v/>
      </c>
      <c r="E773">
        <f>German_Data!G773</f>
        <v/>
      </c>
      <c r="F773">
        <f>--(German_Data!B773&lt;=$B$2)</f>
        <v/>
      </c>
      <c r="G773">
        <f>--(German_Data!C773&lt;=$B$3)</f>
        <v/>
      </c>
      <c r="H773">
        <f>IF(F773=1,IF(G773=1,IF(German_Data!D773=$B$4,0,1),IF(German_Data!E773=$B$5,0,1)),IF(German_Data!E773=$B$5,0,1))</f>
        <v/>
      </c>
      <c r="I773">
        <f>IF(H773=1,"Good","Bad")</f>
        <v/>
      </c>
      <c r="J773">
        <f>--(H773=E773)</f>
        <v/>
      </c>
    </row>
    <row r="774">
      <c r="D774">
        <f>German_Data!A774</f>
        <v/>
      </c>
      <c r="E774">
        <f>German_Data!G774</f>
        <v/>
      </c>
      <c r="F774">
        <f>--(German_Data!B774&lt;=$B$2)</f>
        <v/>
      </c>
      <c r="G774">
        <f>--(German_Data!C774&lt;=$B$3)</f>
        <v/>
      </c>
      <c r="H774">
        <f>IF(F774=1,IF(G774=1,IF(German_Data!D774=$B$4,0,1),IF(German_Data!E774=$B$5,0,1)),IF(German_Data!E774=$B$5,0,1))</f>
        <v/>
      </c>
      <c r="I774">
        <f>IF(H774=1,"Good","Bad")</f>
        <v/>
      </c>
      <c r="J774">
        <f>--(H774=E774)</f>
        <v/>
      </c>
    </row>
    <row r="775">
      <c r="D775">
        <f>German_Data!A775</f>
        <v/>
      </c>
      <c r="E775">
        <f>German_Data!G775</f>
        <v/>
      </c>
      <c r="F775">
        <f>--(German_Data!B775&lt;=$B$2)</f>
        <v/>
      </c>
      <c r="G775">
        <f>--(German_Data!C775&lt;=$B$3)</f>
        <v/>
      </c>
      <c r="H775">
        <f>IF(F775=1,IF(G775=1,IF(German_Data!D775=$B$4,0,1),IF(German_Data!E775=$B$5,0,1)),IF(German_Data!E775=$B$5,0,1))</f>
        <v/>
      </c>
      <c r="I775">
        <f>IF(H775=1,"Good","Bad")</f>
        <v/>
      </c>
      <c r="J775">
        <f>--(H775=E775)</f>
        <v/>
      </c>
    </row>
    <row r="776">
      <c r="D776">
        <f>German_Data!A776</f>
        <v/>
      </c>
      <c r="E776">
        <f>German_Data!G776</f>
        <v/>
      </c>
      <c r="F776">
        <f>--(German_Data!B776&lt;=$B$2)</f>
        <v/>
      </c>
      <c r="G776">
        <f>--(German_Data!C776&lt;=$B$3)</f>
        <v/>
      </c>
      <c r="H776">
        <f>IF(F776=1,IF(G776=1,IF(German_Data!D776=$B$4,0,1),IF(German_Data!E776=$B$5,0,1)),IF(German_Data!E776=$B$5,0,1))</f>
        <v/>
      </c>
      <c r="I776">
        <f>IF(H776=1,"Good","Bad")</f>
        <v/>
      </c>
      <c r="J776">
        <f>--(H776=E776)</f>
        <v/>
      </c>
    </row>
    <row r="777">
      <c r="D777">
        <f>German_Data!A777</f>
        <v/>
      </c>
      <c r="E777">
        <f>German_Data!G777</f>
        <v/>
      </c>
      <c r="F777">
        <f>--(German_Data!B777&lt;=$B$2)</f>
        <v/>
      </c>
      <c r="G777">
        <f>--(German_Data!C777&lt;=$B$3)</f>
        <v/>
      </c>
      <c r="H777">
        <f>IF(F777=1,IF(G777=1,IF(German_Data!D777=$B$4,0,1),IF(German_Data!E777=$B$5,0,1)),IF(German_Data!E777=$B$5,0,1))</f>
        <v/>
      </c>
      <c r="I777">
        <f>IF(H777=1,"Good","Bad")</f>
        <v/>
      </c>
      <c r="J777">
        <f>--(H777=E777)</f>
        <v/>
      </c>
    </row>
    <row r="778">
      <c r="D778">
        <f>German_Data!A778</f>
        <v/>
      </c>
      <c r="E778">
        <f>German_Data!G778</f>
        <v/>
      </c>
      <c r="F778">
        <f>--(German_Data!B778&lt;=$B$2)</f>
        <v/>
      </c>
      <c r="G778">
        <f>--(German_Data!C778&lt;=$B$3)</f>
        <v/>
      </c>
      <c r="H778">
        <f>IF(F778=1,IF(G778=1,IF(German_Data!D778=$B$4,0,1),IF(German_Data!E778=$B$5,0,1)),IF(German_Data!E778=$B$5,0,1))</f>
        <v/>
      </c>
      <c r="I778">
        <f>IF(H778=1,"Good","Bad")</f>
        <v/>
      </c>
      <c r="J778">
        <f>--(H778=E778)</f>
        <v/>
      </c>
    </row>
    <row r="779">
      <c r="D779">
        <f>German_Data!A779</f>
        <v/>
      </c>
      <c r="E779">
        <f>German_Data!G779</f>
        <v/>
      </c>
      <c r="F779">
        <f>--(German_Data!B779&lt;=$B$2)</f>
        <v/>
      </c>
      <c r="G779">
        <f>--(German_Data!C779&lt;=$B$3)</f>
        <v/>
      </c>
      <c r="H779">
        <f>IF(F779=1,IF(G779=1,IF(German_Data!D779=$B$4,0,1),IF(German_Data!E779=$B$5,0,1)),IF(German_Data!E779=$B$5,0,1))</f>
        <v/>
      </c>
      <c r="I779">
        <f>IF(H779=1,"Good","Bad")</f>
        <v/>
      </c>
      <c r="J779">
        <f>--(H779=E779)</f>
        <v/>
      </c>
    </row>
    <row r="780">
      <c r="D780">
        <f>German_Data!A780</f>
        <v/>
      </c>
      <c r="E780">
        <f>German_Data!G780</f>
        <v/>
      </c>
      <c r="F780">
        <f>--(German_Data!B780&lt;=$B$2)</f>
        <v/>
      </c>
      <c r="G780">
        <f>--(German_Data!C780&lt;=$B$3)</f>
        <v/>
      </c>
      <c r="H780">
        <f>IF(F780=1,IF(G780=1,IF(German_Data!D780=$B$4,0,1),IF(German_Data!E780=$B$5,0,1)),IF(German_Data!E780=$B$5,0,1))</f>
        <v/>
      </c>
      <c r="I780">
        <f>IF(H780=1,"Good","Bad")</f>
        <v/>
      </c>
      <c r="J780">
        <f>--(H780=E780)</f>
        <v/>
      </c>
    </row>
    <row r="781">
      <c r="D781">
        <f>German_Data!A781</f>
        <v/>
      </c>
      <c r="E781">
        <f>German_Data!G781</f>
        <v/>
      </c>
      <c r="F781">
        <f>--(German_Data!B781&lt;=$B$2)</f>
        <v/>
      </c>
      <c r="G781">
        <f>--(German_Data!C781&lt;=$B$3)</f>
        <v/>
      </c>
      <c r="H781">
        <f>IF(F781=1,IF(G781=1,IF(German_Data!D781=$B$4,0,1),IF(German_Data!E781=$B$5,0,1)),IF(German_Data!E781=$B$5,0,1))</f>
        <v/>
      </c>
      <c r="I781">
        <f>IF(H781=1,"Good","Bad")</f>
        <v/>
      </c>
      <c r="J781">
        <f>--(H781=E781)</f>
        <v/>
      </c>
    </row>
    <row r="782">
      <c r="D782">
        <f>German_Data!A782</f>
        <v/>
      </c>
      <c r="E782">
        <f>German_Data!G782</f>
        <v/>
      </c>
      <c r="F782">
        <f>--(German_Data!B782&lt;=$B$2)</f>
        <v/>
      </c>
      <c r="G782">
        <f>--(German_Data!C782&lt;=$B$3)</f>
        <v/>
      </c>
      <c r="H782">
        <f>IF(F782=1,IF(G782=1,IF(German_Data!D782=$B$4,0,1),IF(German_Data!E782=$B$5,0,1)),IF(German_Data!E782=$B$5,0,1))</f>
        <v/>
      </c>
      <c r="I782">
        <f>IF(H782=1,"Good","Bad")</f>
        <v/>
      </c>
      <c r="J782">
        <f>--(H782=E782)</f>
        <v/>
      </c>
    </row>
    <row r="783">
      <c r="D783">
        <f>German_Data!A783</f>
        <v/>
      </c>
      <c r="E783">
        <f>German_Data!G783</f>
        <v/>
      </c>
      <c r="F783">
        <f>--(German_Data!B783&lt;=$B$2)</f>
        <v/>
      </c>
      <c r="G783">
        <f>--(German_Data!C783&lt;=$B$3)</f>
        <v/>
      </c>
      <c r="H783">
        <f>IF(F783=1,IF(G783=1,IF(German_Data!D783=$B$4,0,1),IF(German_Data!E783=$B$5,0,1)),IF(German_Data!E783=$B$5,0,1))</f>
        <v/>
      </c>
      <c r="I783">
        <f>IF(H783=1,"Good","Bad")</f>
        <v/>
      </c>
      <c r="J783">
        <f>--(H783=E783)</f>
        <v/>
      </c>
    </row>
    <row r="784">
      <c r="D784">
        <f>German_Data!A784</f>
        <v/>
      </c>
      <c r="E784">
        <f>German_Data!G784</f>
        <v/>
      </c>
      <c r="F784">
        <f>--(German_Data!B784&lt;=$B$2)</f>
        <v/>
      </c>
      <c r="G784">
        <f>--(German_Data!C784&lt;=$B$3)</f>
        <v/>
      </c>
      <c r="H784">
        <f>IF(F784=1,IF(G784=1,IF(German_Data!D784=$B$4,0,1),IF(German_Data!E784=$B$5,0,1)),IF(German_Data!E784=$B$5,0,1))</f>
        <v/>
      </c>
      <c r="I784">
        <f>IF(H784=1,"Good","Bad")</f>
        <v/>
      </c>
      <c r="J784">
        <f>--(H784=E784)</f>
        <v/>
      </c>
    </row>
    <row r="785">
      <c r="D785">
        <f>German_Data!A785</f>
        <v/>
      </c>
      <c r="E785">
        <f>German_Data!G785</f>
        <v/>
      </c>
      <c r="F785">
        <f>--(German_Data!B785&lt;=$B$2)</f>
        <v/>
      </c>
      <c r="G785">
        <f>--(German_Data!C785&lt;=$B$3)</f>
        <v/>
      </c>
      <c r="H785">
        <f>IF(F785=1,IF(G785=1,IF(German_Data!D785=$B$4,0,1),IF(German_Data!E785=$B$5,0,1)),IF(German_Data!E785=$B$5,0,1))</f>
        <v/>
      </c>
      <c r="I785">
        <f>IF(H785=1,"Good","Bad")</f>
        <v/>
      </c>
      <c r="J785">
        <f>--(H785=E785)</f>
        <v/>
      </c>
    </row>
    <row r="786">
      <c r="D786">
        <f>German_Data!A786</f>
        <v/>
      </c>
      <c r="E786">
        <f>German_Data!G786</f>
        <v/>
      </c>
      <c r="F786">
        <f>--(German_Data!B786&lt;=$B$2)</f>
        <v/>
      </c>
      <c r="G786">
        <f>--(German_Data!C786&lt;=$B$3)</f>
        <v/>
      </c>
      <c r="H786">
        <f>IF(F786=1,IF(G786=1,IF(German_Data!D786=$B$4,0,1),IF(German_Data!E786=$B$5,0,1)),IF(German_Data!E786=$B$5,0,1))</f>
        <v/>
      </c>
      <c r="I786">
        <f>IF(H786=1,"Good","Bad")</f>
        <v/>
      </c>
      <c r="J786">
        <f>--(H786=E786)</f>
        <v/>
      </c>
    </row>
    <row r="787">
      <c r="D787">
        <f>German_Data!A787</f>
        <v/>
      </c>
      <c r="E787">
        <f>German_Data!G787</f>
        <v/>
      </c>
      <c r="F787">
        <f>--(German_Data!B787&lt;=$B$2)</f>
        <v/>
      </c>
      <c r="G787">
        <f>--(German_Data!C787&lt;=$B$3)</f>
        <v/>
      </c>
      <c r="H787">
        <f>IF(F787=1,IF(G787=1,IF(German_Data!D787=$B$4,0,1),IF(German_Data!E787=$B$5,0,1)),IF(German_Data!E787=$B$5,0,1))</f>
        <v/>
      </c>
      <c r="I787">
        <f>IF(H787=1,"Good","Bad")</f>
        <v/>
      </c>
      <c r="J787">
        <f>--(H787=E787)</f>
        <v/>
      </c>
    </row>
    <row r="788">
      <c r="D788">
        <f>German_Data!A788</f>
        <v/>
      </c>
      <c r="E788">
        <f>German_Data!G788</f>
        <v/>
      </c>
      <c r="F788">
        <f>--(German_Data!B788&lt;=$B$2)</f>
        <v/>
      </c>
      <c r="G788">
        <f>--(German_Data!C788&lt;=$B$3)</f>
        <v/>
      </c>
      <c r="H788">
        <f>IF(F788=1,IF(G788=1,IF(German_Data!D788=$B$4,0,1),IF(German_Data!E788=$B$5,0,1)),IF(German_Data!E788=$B$5,0,1))</f>
        <v/>
      </c>
      <c r="I788">
        <f>IF(H788=1,"Good","Bad")</f>
        <v/>
      </c>
      <c r="J788">
        <f>--(H788=E788)</f>
        <v/>
      </c>
    </row>
    <row r="789">
      <c r="D789">
        <f>German_Data!A789</f>
        <v/>
      </c>
      <c r="E789">
        <f>German_Data!G789</f>
        <v/>
      </c>
      <c r="F789">
        <f>--(German_Data!B789&lt;=$B$2)</f>
        <v/>
      </c>
      <c r="G789">
        <f>--(German_Data!C789&lt;=$B$3)</f>
        <v/>
      </c>
      <c r="H789">
        <f>IF(F789=1,IF(G789=1,IF(German_Data!D789=$B$4,0,1),IF(German_Data!E789=$B$5,0,1)),IF(German_Data!E789=$B$5,0,1))</f>
        <v/>
      </c>
      <c r="I789">
        <f>IF(H789=1,"Good","Bad")</f>
        <v/>
      </c>
      <c r="J789">
        <f>--(H789=E789)</f>
        <v/>
      </c>
    </row>
    <row r="790">
      <c r="D790">
        <f>German_Data!A790</f>
        <v/>
      </c>
      <c r="E790">
        <f>German_Data!G790</f>
        <v/>
      </c>
      <c r="F790">
        <f>--(German_Data!B790&lt;=$B$2)</f>
        <v/>
      </c>
      <c r="G790">
        <f>--(German_Data!C790&lt;=$B$3)</f>
        <v/>
      </c>
      <c r="H790">
        <f>IF(F790=1,IF(G790=1,IF(German_Data!D790=$B$4,0,1),IF(German_Data!E790=$B$5,0,1)),IF(German_Data!E790=$B$5,0,1))</f>
        <v/>
      </c>
      <c r="I790">
        <f>IF(H790=1,"Good","Bad")</f>
        <v/>
      </c>
      <c r="J790">
        <f>--(H790=E790)</f>
        <v/>
      </c>
    </row>
    <row r="791">
      <c r="D791">
        <f>German_Data!A791</f>
        <v/>
      </c>
      <c r="E791">
        <f>German_Data!G791</f>
        <v/>
      </c>
      <c r="F791">
        <f>--(German_Data!B791&lt;=$B$2)</f>
        <v/>
      </c>
      <c r="G791">
        <f>--(German_Data!C791&lt;=$B$3)</f>
        <v/>
      </c>
      <c r="H791">
        <f>IF(F791=1,IF(G791=1,IF(German_Data!D791=$B$4,0,1),IF(German_Data!E791=$B$5,0,1)),IF(German_Data!E791=$B$5,0,1))</f>
        <v/>
      </c>
      <c r="I791">
        <f>IF(H791=1,"Good","Bad")</f>
        <v/>
      </c>
      <c r="J791">
        <f>--(H791=E791)</f>
        <v/>
      </c>
    </row>
    <row r="792">
      <c r="D792">
        <f>German_Data!A792</f>
        <v/>
      </c>
      <c r="E792">
        <f>German_Data!G792</f>
        <v/>
      </c>
      <c r="F792">
        <f>--(German_Data!B792&lt;=$B$2)</f>
        <v/>
      </c>
      <c r="G792">
        <f>--(German_Data!C792&lt;=$B$3)</f>
        <v/>
      </c>
      <c r="H792">
        <f>IF(F792=1,IF(G792=1,IF(German_Data!D792=$B$4,0,1),IF(German_Data!E792=$B$5,0,1)),IF(German_Data!E792=$B$5,0,1))</f>
        <v/>
      </c>
      <c r="I792">
        <f>IF(H792=1,"Good","Bad")</f>
        <v/>
      </c>
      <c r="J792">
        <f>--(H792=E792)</f>
        <v/>
      </c>
    </row>
    <row r="793">
      <c r="D793">
        <f>German_Data!A793</f>
        <v/>
      </c>
      <c r="E793">
        <f>German_Data!G793</f>
        <v/>
      </c>
      <c r="F793">
        <f>--(German_Data!B793&lt;=$B$2)</f>
        <v/>
      </c>
      <c r="G793">
        <f>--(German_Data!C793&lt;=$B$3)</f>
        <v/>
      </c>
      <c r="H793">
        <f>IF(F793=1,IF(G793=1,IF(German_Data!D793=$B$4,0,1),IF(German_Data!E793=$B$5,0,1)),IF(German_Data!E793=$B$5,0,1))</f>
        <v/>
      </c>
      <c r="I793">
        <f>IF(H793=1,"Good","Bad")</f>
        <v/>
      </c>
      <c r="J793">
        <f>--(H793=E793)</f>
        <v/>
      </c>
    </row>
    <row r="794">
      <c r="D794">
        <f>German_Data!A794</f>
        <v/>
      </c>
      <c r="E794">
        <f>German_Data!G794</f>
        <v/>
      </c>
      <c r="F794">
        <f>--(German_Data!B794&lt;=$B$2)</f>
        <v/>
      </c>
      <c r="G794">
        <f>--(German_Data!C794&lt;=$B$3)</f>
        <v/>
      </c>
      <c r="H794">
        <f>IF(F794=1,IF(G794=1,IF(German_Data!D794=$B$4,0,1),IF(German_Data!E794=$B$5,0,1)),IF(German_Data!E794=$B$5,0,1))</f>
        <v/>
      </c>
      <c r="I794">
        <f>IF(H794=1,"Good","Bad")</f>
        <v/>
      </c>
      <c r="J794">
        <f>--(H794=E794)</f>
        <v/>
      </c>
    </row>
    <row r="795">
      <c r="D795">
        <f>German_Data!A795</f>
        <v/>
      </c>
      <c r="E795">
        <f>German_Data!G795</f>
        <v/>
      </c>
      <c r="F795">
        <f>--(German_Data!B795&lt;=$B$2)</f>
        <v/>
      </c>
      <c r="G795">
        <f>--(German_Data!C795&lt;=$B$3)</f>
        <v/>
      </c>
      <c r="H795">
        <f>IF(F795=1,IF(G795=1,IF(German_Data!D795=$B$4,0,1),IF(German_Data!E795=$B$5,0,1)),IF(German_Data!E795=$B$5,0,1))</f>
        <v/>
      </c>
      <c r="I795">
        <f>IF(H795=1,"Good","Bad")</f>
        <v/>
      </c>
      <c r="J795">
        <f>--(H795=E795)</f>
        <v/>
      </c>
    </row>
    <row r="796">
      <c r="D796">
        <f>German_Data!A796</f>
        <v/>
      </c>
      <c r="E796">
        <f>German_Data!G796</f>
        <v/>
      </c>
      <c r="F796">
        <f>--(German_Data!B796&lt;=$B$2)</f>
        <v/>
      </c>
      <c r="G796">
        <f>--(German_Data!C796&lt;=$B$3)</f>
        <v/>
      </c>
      <c r="H796">
        <f>IF(F796=1,IF(G796=1,IF(German_Data!D796=$B$4,0,1),IF(German_Data!E796=$B$5,0,1)),IF(German_Data!E796=$B$5,0,1))</f>
        <v/>
      </c>
      <c r="I796">
        <f>IF(H796=1,"Good","Bad")</f>
        <v/>
      </c>
      <c r="J796">
        <f>--(H796=E796)</f>
        <v/>
      </c>
    </row>
    <row r="797">
      <c r="D797">
        <f>German_Data!A797</f>
        <v/>
      </c>
      <c r="E797">
        <f>German_Data!G797</f>
        <v/>
      </c>
      <c r="F797">
        <f>--(German_Data!B797&lt;=$B$2)</f>
        <v/>
      </c>
      <c r="G797">
        <f>--(German_Data!C797&lt;=$B$3)</f>
        <v/>
      </c>
      <c r="H797">
        <f>IF(F797=1,IF(G797=1,IF(German_Data!D797=$B$4,0,1),IF(German_Data!E797=$B$5,0,1)),IF(German_Data!E797=$B$5,0,1))</f>
        <v/>
      </c>
      <c r="I797">
        <f>IF(H797=1,"Good","Bad")</f>
        <v/>
      </c>
      <c r="J797">
        <f>--(H797=E797)</f>
        <v/>
      </c>
    </row>
    <row r="798">
      <c r="D798">
        <f>German_Data!A798</f>
        <v/>
      </c>
      <c r="E798">
        <f>German_Data!G798</f>
        <v/>
      </c>
      <c r="F798">
        <f>--(German_Data!B798&lt;=$B$2)</f>
        <v/>
      </c>
      <c r="G798">
        <f>--(German_Data!C798&lt;=$B$3)</f>
        <v/>
      </c>
      <c r="H798">
        <f>IF(F798=1,IF(G798=1,IF(German_Data!D798=$B$4,0,1),IF(German_Data!E798=$B$5,0,1)),IF(German_Data!E798=$B$5,0,1))</f>
        <v/>
      </c>
      <c r="I798">
        <f>IF(H798=1,"Good","Bad")</f>
        <v/>
      </c>
      <c r="J798">
        <f>--(H798=E798)</f>
        <v/>
      </c>
    </row>
    <row r="799">
      <c r="D799">
        <f>German_Data!A799</f>
        <v/>
      </c>
      <c r="E799">
        <f>German_Data!G799</f>
        <v/>
      </c>
      <c r="F799">
        <f>--(German_Data!B799&lt;=$B$2)</f>
        <v/>
      </c>
      <c r="G799">
        <f>--(German_Data!C799&lt;=$B$3)</f>
        <v/>
      </c>
      <c r="H799">
        <f>IF(F799=1,IF(G799=1,IF(German_Data!D799=$B$4,0,1),IF(German_Data!E799=$B$5,0,1)),IF(German_Data!E799=$B$5,0,1))</f>
        <v/>
      </c>
      <c r="I799">
        <f>IF(H799=1,"Good","Bad")</f>
        <v/>
      </c>
      <c r="J799">
        <f>--(H799=E799)</f>
        <v/>
      </c>
    </row>
    <row r="800">
      <c r="D800">
        <f>German_Data!A800</f>
        <v/>
      </c>
      <c r="E800">
        <f>German_Data!G800</f>
        <v/>
      </c>
      <c r="F800">
        <f>--(German_Data!B800&lt;=$B$2)</f>
        <v/>
      </c>
      <c r="G800">
        <f>--(German_Data!C800&lt;=$B$3)</f>
        <v/>
      </c>
      <c r="H800">
        <f>IF(F800=1,IF(G800=1,IF(German_Data!D800=$B$4,0,1),IF(German_Data!E800=$B$5,0,1)),IF(German_Data!E800=$B$5,0,1))</f>
        <v/>
      </c>
      <c r="I800">
        <f>IF(H800=1,"Good","Bad")</f>
        <v/>
      </c>
      <c r="J800">
        <f>--(H800=E800)</f>
        <v/>
      </c>
    </row>
    <row r="801">
      <c r="D801">
        <f>German_Data!A801</f>
        <v/>
      </c>
      <c r="E801">
        <f>German_Data!G801</f>
        <v/>
      </c>
      <c r="F801">
        <f>--(German_Data!B801&lt;=$B$2)</f>
        <v/>
      </c>
      <c r="G801">
        <f>--(German_Data!C801&lt;=$B$3)</f>
        <v/>
      </c>
      <c r="H801">
        <f>IF(F801=1,IF(G801=1,IF(German_Data!D801=$B$4,0,1),IF(German_Data!E801=$B$5,0,1)),IF(German_Data!E801=$B$5,0,1))</f>
        <v/>
      </c>
      <c r="I801">
        <f>IF(H801=1,"Good","Bad")</f>
        <v/>
      </c>
      <c r="J801">
        <f>--(H801=E801)</f>
        <v/>
      </c>
    </row>
    <row r="802">
      <c r="D802">
        <f>German_Data!A802</f>
        <v/>
      </c>
      <c r="E802">
        <f>German_Data!G802</f>
        <v/>
      </c>
      <c r="F802">
        <f>--(German_Data!B802&lt;=$B$2)</f>
        <v/>
      </c>
      <c r="G802">
        <f>--(German_Data!C802&lt;=$B$3)</f>
        <v/>
      </c>
      <c r="H802">
        <f>IF(F802=1,IF(G802=1,IF(German_Data!D802=$B$4,0,1),IF(German_Data!E802=$B$5,0,1)),IF(German_Data!E802=$B$5,0,1))</f>
        <v/>
      </c>
      <c r="I802">
        <f>IF(H802=1,"Good","Bad")</f>
        <v/>
      </c>
      <c r="J802">
        <f>--(H802=E802)</f>
        <v/>
      </c>
    </row>
    <row r="803">
      <c r="D803">
        <f>German_Data!A803</f>
        <v/>
      </c>
      <c r="E803">
        <f>German_Data!G803</f>
        <v/>
      </c>
      <c r="F803">
        <f>--(German_Data!B803&lt;=$B$2)</f>
        <v/>
      </c>
      <c r="G803">
        <f>--(German_Data!C803&lt;=$B$3)</f>
        <v/>
      </c>
      <c r="H803">
        <f>IF(F803=1,IF(G803=1,IF(German_Data!D803=$B$4,0,1),IF(German_Data!E803=$B$5,0,1)),IF(German_Data!E803=$B$5,0,1))</f>
        <v/>
      </c>
      <c r="I803">
        <f>IF(H803=1,"Good","Bad")</f>
        <v/>
      </c>
      <c r="J803">
        <f>--(H803=E803)</f>
        <v/>
      </c>
    </row>
    <row r="804">
      <c r="D804">
        <f>German_Data!A804</f>
        <v/>
      </c>
      <c r="E804">
        <f>German_Data!G804</f>
        <v/>
      </c>
      <c r="F804">
        <f>--(German_Data!B804&lt;=$B$2)</f>
        <v/>
      </c>
      <c r="G804">
        <f>--(German_Data!C804&lt;=$B$3)</f>
        <v/>
      </c>
      <c r="H804">
        <f>IF(F804=1,IF(G804=1,IF(German_Data!D804=$B$4,0,1),IF(German_Data!E804=$B$5,0,1)),IF(German_Data!E804=$B$5,0,1))</f>
        <v/>
      </c>
      <c r="I804">
        <f>IF(H804=1,"Good","Bad")</f>
        <v/>
      </c>
      <c r="J804">
        <f>--(H804=E804)</f>
        <v/>
      </c>
    </row>
    <row r="805">
      <c r="D805">
        <f>German_Data!A805</f>
        <v/>
      </c>
      <c r="E805">
        <f>German_Data!G805</f>
        <v/>
      </c>
      <c r="F805">
        <f>--(German_Data!B805&lt;=$B$2)</f>
        <v/>
      </c>
      <c r="G805">
        <f>--(German_Data!C805&lt;=$B$3)</f>
        <v/>
      </c>
      <c r="H805">
        <f>IF(F805=1,IF(G805=1,IF(German_Data!D805=$B$4,0,1),IF(German_Data!E805=$B$5,0,1)),IF(German_Data!E805=$B$5,0,1))</f>
        <v/>
      </c>
      <c r="I805">
        <f>IF(H805=1,"Good","Bad")</f>
        <v/>
      </c>
      <c r="J805">
        <f>--(H805=E805)</f>
        <v/>
      </c>
    </row>
    <row r="806">
      <c r="D806">
        <f>German_Data!A806</f>
        <v/>
      </c>
      <c r="E806">
        <f>German_Data!G806</f>
        <v/>
      </c>
      <c r="F806">
        <f>--(German_Data!B806&lt;=$B$2)</f>
        <v/>
      </c>
      <c r="G806">
        <f>--(German_Data!C806&lt;=$B$3)</f>
        <v/>
      </c>
      <c r="H806">
        <f>IF(F806=1,IF(G806=1,IF(German_Data!D806=$B$4,0,1),IF(German_Data!E806=$B$5,0,1)),IF(German_Data!E806=$B$5,0,1))</f>
        <v/>
      </c>
      <c r="I806">
        <f>IF(H806=1,"Good","Bad")</f>
        <v/>
      </c>
      <c r="J806">
        <f>--(H806=E806)</f>
        <v/>
      </c>
    </row>
    <row r="807">
      <c r="D807">
        <f>German_Data!A807</f>
        <v/>
      </c>
      <c r="E807">
        <f>German_Data!G807</f>
        <v/>
      </c>
      <c r="F807">
        <f>--(German_Data!B807&lt;=$B$2)</f>
        <v/>
      </c>
      <c r="G807">
        <f>--(German_Data!C807&lt;=$B$3)</f>
        <v/>
      </c>
      <c r="H807">
        <f>IF(F807=1,IF(G807=1,IF(German_Data!D807=$B$4,0,1),IF(German_Data!E807=$B$5,0,1)),IF(German_Data!E807=$B$5,0,1))</f>
        <v/>
      </c>
      <c r="I807">
        <f>IF(H807=1,"Good","Bad")</f>
        <v/>
      </c>
      <c r="J807">
        <f>--(H807=E807)</f>
        <v/>
      </c>
    </row>
    <row r="808">
      <c r="D808">
        <f>German_Data!A808</f>
        <v/>
      </c>
      <c r="E808">
        <f>German_Data!G808</f>
        <v/>
      </c>
      <c r="F808">
        <f>--(German_Data!B808&lt;=$B$2)</f>
        <v/>
      </c>
      <c r="G808">
        <f>--(German_Data!C808&lt;=$B$3)</f>
        <v/>
      </c>
      <c r="H808">
        <f>IF(F808=1,IF(G808=1,IF(German_Data!D808=$B$4,0,1),IF(German_Data!E808=$B$5,0,1)),IF(German_Data!E808=$B$5,0,1))</f>
        <v/>
      </c>
      <c r="I808">
        <f>IF(H808=1,"Good","Bad")</f>
        <v/>
      </c>
      <c r="J808">
        <f>--(H808=E808)</f>
        <v/>
      </c>
    </row>
    <row r="809">
      <c r="D809">
        <f>German_Data!A809</f>
        <v/>
      </c>
      <c r="E809">
        <f>German_Data!G809</f>
        <v/>
      </c>
      <c r="F809">
        <f>--(German_Data!B809&lt;=$B$2)</f>
        <v/>
      </c>
      <c r="G809">
        <f>--(German_Data!C809&lt;=$B$3)</f>
        <v/>
      </c>
      <c r="H809">
        <f>IF(F809=1,IF(G809=1,IF(German_Data!D809=$B$4,0,1),IF(German_Data!E809=$B$5,0,1)),IF(German_Data!E809=$B$5,0,1))</f>
        <v/>
      </c>
      <c r="I809">
        <f>IF(H809=1,"Good","Bad")</f>
        <v/>
      </c>
      <c r="J809">
        <f>--(H809=E809)</f>
        <v/>
      </c>
    </row>
    <row r="810">
      <c r="D810">
        <f>German_Data!A810</f>
        <v/>
      </c>
      <c r="E810">
        <f>German_Data!G810</f>
        <v/>
      </c>
      <c r="F810">
        <f>--(German_Data!B810&lt;=$B$2)</f>
        <v/>
      </c>
      <c r="G810">
        <f>--(German_Data!C810&lt;=$B$3)</f>
        <v/>
      </c>
      <c r="H810">
        <f>IF(F810=1,IF(G810=1,IF(German_Data!D810=$B$4,0,1),IF(German_Data!E810=$B$5,0,1)),IF(German_Data!E810=$B$5,0,1))</f>
        <v/>
      </c>
      <c r="I810">
        <f>IF(H810=1,"Good","Bad")</f>
        <v/>
      </c>
      <c r="J810">
        <f>--(H810=E810)</f>
        <v/>
      </c>
    </row>
    <row r="811">
      <c r="D811">
        <f>German_Data!A811</f>
        <v/>
      </c>
      <c r="E811">
        <f>German_Data!G811</f>
        <v/>
      </c>
      <c r="F811">
        <f>--(German_Data!B811&lt;=$B$2)</f>
        <v/>
      </c>
      <c r="G811">
        <f>--(German_Data!C811&lt;=$B$3)</f>
        <v/>
      </c>
      <c r="H811">
        <f>IF(F811=1,IF(G811=1,IF(German_Data!D811=$B$4,0,1),IF(German_Data!E811=$B$5,0,1)),IF(German_Data!E811=$B$5,0,1))</f>
        <v/>
      </c>
      <c r="I811">
        <f>IF(H811=1,"Good","Bad")</f>
        <v/>
      </c>
      <c r="J811">
        <f>--(H811=E811)</f>
        <v/>
      </c>
    </row>
    <row r="812">
      <c r="D812">
        <f>German_Data!A812</f>
        <v/>
      </c>
      <c r="E812">
        <f>German_Data!G812</f>
        <v/>
      </c>
      <c r="F812">
        <f>--(German_Data!B812&lt;=$B$2)</f>
        <v/>
      </c>
      <c r="G812">
        <f>--(German_Data!C812&lt;=$B$3)</f>
        <v/>
      </c>
      <c r="H812">
        <f>IF(F812=1,IF(G812=1,IF(German_Data!D812=$B$4,0,1),IF(German_Data!E812=$B$5,0,1)),IF(German_Data!E812=$B$5,0,1))</f>
        <v/>
      </c>
      <c r="I812">
        <f>IF(H812=1,"Good","Bad")</f>
        <v/>
      </c>
      <c r="J812">
        <f>--(H812=E812)</f>
        <v/>
      </c>
    </row>
    <row r="813">
      <c r="D813">
        <f>German_Data!A813</f>
        <v/>
      </c>
      <c r="E813">
        <f>German_Data!G813</f>
        <v/>
      </c>
      <c r="F813">
        <f>--(German_Data!B813&lt;=$B$2)</f>
        <v/>
      </c>
      <c r="G813">
        <f>--(German_Data!C813&lt;=$B$3)</f>
        <v/>
      </c>
      <c r="H813">
        <f>IF(F813=1,IF(G813=1,IF(German_Data!D813=$B$4,0,1),IF(German_Data!E813=$B$5,0,1)),IF(German_Data!E813=$B$5,0,1))</f>
        <v/>
      </c>
      <c r="I813">
        <f>IF(H813=1,"Good","Bad")</f>
        <v/>
      </c>
      <c r="J813">
        <f>--(H813=E813)</f>
        <v/>
      </c>
    </row>
    <row r="814">
      <c r="D814">
        <f>German_Data!A814</f>
        <v/>
      </c>
      <c r="E814">
        <f>German_Data!G814</f>
        <v/>
      </c>
      <c r="F814">
        <f>--(German_Data!B814&lt;=$B$2)</f>
        <v/>
      </c>
      <c r="G814">
        <f>--(German_Data!C814&lt;=$B$3)</f>
        <v/>
      </c>
      <c r="H814">
        <f>IF(F814=1,IF(G814=1,IF(German_Data!D814=$B$4,0,1),IF(German_Data!E814=$B$5,0,1)),IF(German_Data!E814=$B$5,0,1))</f>
        <v/>
      </c>
      <c r="I814">
        <f>IF(H814=1,"Good","Bad")</f>
        <v/>
      </c>
      <c r="J814">
        <f>--(H814=E814)</f>
        <v/>
      </c>
    </row>
    <row r="815">
      <c r="D815">
        <f>German_Data!A815</f>
        <v/>
      </c>
      <c r="E815">
        <f>German_Data!G815</f>
        <v/>
      </c>
      <c r="F815">
        <f>--(German_Data!B815&lt;=$B$2)</f>
        <v/>
      </c>
      <c r="G815">
        <f>--(German_Data!C815&lt;=$B$3)</f>
        <v/>
      </c>
      <c r="H815">
        <f>IF(F815=1,IF(G815=1,IF(German_Data!D815=$B$4,0,1),IF(German_Data!E815=$B$5,0,1)),IF(German_Data!E815=$B$5,0,1))</f>
        <v/>
      </c>
      <c r="I815">
        <f>IF(H815=1,"Good","Bad")</f>
        <v/>
      </c>
      <c r="J815">
        <f>--(H815=E815)</f>
        <v/>
      </c>
    </row>
    <row r="816">
      <c r="D816">
        <f>German_Data!A816</f>
        <v/>
      </c>
      <c r="E816">
        <f>German_Data!G816</f>
        <v/>
      </c>
      <c r="F816">
        <f>--(German_Data!B816&lt;=$B$2)</f>
        <v/>
      </c>
      <c r="G816">
        <f>--(German_Data!C816&lt;=$B$3)</f>
        <v/>
      </c>
      <c r="H816">
        <f>IF(F816=1,IF(G816=1,IF(German_Data!D816=$B$4,0,1),IF(German_Data!E816=$B$5,0,1)),IF(German_Data!E816=$B$5,0,1))</f>
        <v/>
      </c>
      <c r="I816">
        <f>IF(H816=1,"Good","Bad")</f>
        <v/>
      </c>
      <c r="J816">
        <f>--(H816=E816)</f>
        <v/>
      </c>
    </row>
    <row r="817">
      <c r="D817">
        <f>German_Data!A817</f>
        <v/>
      </c>
      <c r="E817">
        <f>German_Data!G817</f>
        <v/>
      </c>
      <c r="F817">
        <f>--(German_Data!B817&lt;=$B$2)</f>
        <v/>
      </c>
      <c r="G817">
        <f>--(German_Data!C817&lt;=$B$3)</f>
        <v/>
      </c>
      <c r="H817">
        <f>IF(F817=1,IF(G817=1,IF(German_Data!D817=$B$4,0,1),IF(German_Data!E817=$B$5,0,1)),IF(German_Data!E817=$B$5,0,1))</f>
        <v/>
      </c>
      <c r="I817">
        <f>IF(H817=1,"Good","Bad")</f>
        <v/>
      </c>
      <c r="J817">
        <f>--(H817=E817)</f>
        <v/>
      </c>
    </row>
    <row r="818">
      <c r="D818">
        <f>German_Data!A818</f>
        <v/>
      </c>
      <c r="E818">
        <f>German_Data!G818</f>
        <v/>
      </c>
      <c r="F818">
        <f>--(German_Data!B818&lt;=$B$2)</f>
        <v/>
      </c>
      <c r="G818">
        <f>--(German_Data!C818&lt;=$B$3)</f>
        <v/>
      </c>
      <c r="H818">
        <f>IF(F818=1,IF(G818=1,IF(German_Data!D818=$B$4,0,1),IF(German_Data!E818=$B$5,0,1)),IF(German_Data!E818=$B$5,0,1))</f>
        <v/>
      </c>
      <c r="I818">
        <f>IF(H818=1,"Good","Bad")</f>
        <v/>
      </c>
      <c r="J818">
        <f>--(H818=E818)</f>
        <v/>
      </c>
    </row>
    <row r="819">
      <c r="D819">
        <f>German_Data!A819</f>
        <v/>
      </c>
      <c r="E819">
        <f>German_Data!G819</f>
        <v/>
      </c>
      <c r="F819">
        <f>--(German_Data!B819&lt;=$B$2)</f>
        <v/>
      </c>
      <c r="G819">
        <f>--(German_Data!C819&lt;=$B$3)</f>
        <v/>
      </c>
      <c r="H819">
        <f>IF(F819=1,IF(G819=1,IF(German_Data!D819=$B$4,0,1),IF(German_Data!E819=$B$5,0,1)),IF(German_Data!E819=$B$5,0,1))</f>
        <v/>
      </c>
      <c r="I819">
        <f>IF(H819=1,"Good","Bad")</f>
        <v/>
      </c>
      <c r="J819">
        <f>--(H819=E819)</f>
        <v/>
      </c>
    </row>
    <row r="820">
      <c r="D820">
        <f>German_Data!A820</f>
        <v/>
      </c>
      <c r="E820">
        <f>German_Data!G820</f>
        <v/>
      </c>
      <c r="F820">
        <f>--(German_Data!B820&lt;=$B$2)</f>
        <v/>
      </c>
      <c r="G820">
        <f>--(German_Data!C820&lt;=$B$3)</f>
        <v/>
      </c>
      <c r="H820">
        <f>IF(F820=1,IF(G820=1,IF(German_Data!D820=$B$4,0,1),IF(German_Data!E820=$B$5,0,1)),IF(German_Data!E820=$B$5,0,1))</f>
        <v/>
      </c>
      <c r="I820">
        <f>IF(H820=1,"Good","Bad")</f>
        <v/>
      </c>
      <c r="J820">
        <f>--(H820=E820)</f>
        <v/>
      </c>
    </row>
    <row r="821">
      <c r="D821">
        <f>German_Data!A821</f>
        <v/>
      </c>
      <c r="E821">
        <f>German_Data!G821</f>
        <v/>
      </c>
      <c r="F821">
        <f>--(German_Data!B821&lt;=$B$2)</f>
        <v/>
      </c>
      <c r="G821">
        <f>--(German_Data!C821&lt;=$B$3)</f>
        <v/>
      </c>
      <c r="H821">
        <f>IF(F821=1,IF(G821=1,IF(German_Data!D821=$B$4,0,1),IF(German_Data!E821=$B$5,0,1)),IF(German_Data!E821=$B$5,0,1))</f>
        <v/>
      </c>
      <c r="I821">
        <f>IF(H821=1,"Good","Bad")</f>
        <v/>
      </c>
      <c r="J821">
        <f>--(H821=E821)</f>
        <v/>
      </c>
    </row>
    <row r="822">
      <c r="D822">
        <f>German_Data!A822</f>
        <v/>
      </c>
      <c r="E822">
        <f>German_Data!G822</f>
        <v/>
      </c>
      <c r="F822">
        <f>--(German_Data!B822&lt;=$B$2)</f>
        <v/>
      </c>
      <c r="G822">
        <f>--(German_Data!C822&lt;=$B$3)</f>
        <v/>
      </c>
      <c r="H822">
        <f>IF(F822=1,IF(G822=1,IF(German_Data!D822=$B$4,0,1),IF(German_Data!E822=$B$5,0,1)),IF(German_Data!E822=$B$5,0,1))</f>
        <v/>
      </c>
      <c r="I822">
        <f>IF(H822=1,"Good","Bad")</f>
        <v/>
      </c>
      <c r="J822">
        <f>--(H822=E822)</f>
        <v/>
      </c>
    </row>
    <row r="823">
      <c r="D823">
        <f>German_Data!A823</f>
        <v/>
      </c>
      <c r="E823">
        <f>German_Data!G823</f>
        <v/>
      </c>
      <c r="F823">
        <f>--(German_Data!B823&lt;=$B$2)</f>
        <v/>
      </c>
      <c r="G823">
        <f>--(German_Data!C823&lt;=$B$3)</f>
        <v/>
      </c>
      <c r="H823">
        <f>IF(F823=1,IF(G823=1,IF(German_Data!D823=$B$4,0,1),IF(German_Data!E823=$B$5,0,1)),IF(German_Data!E823=$B$5,0,1))</f>
        <v/>
      </c>
      <c r="I823">
        <f>IF(H823=1,"Good","Bad")</f>
        <v/>
      </c>
      <c r="J823">
        <f>--(H823=E823)</f>
        <v/>
      </c>
    </row>
    <row r="824">
      <c r="D824">
        <f>German_Data!A824</f>
        <v/>
      </c>
      <c r="E824">
        <f>German_Data!G824</f>
        <v/>
      </c>
      <c r="F824">
        <f>--(German_Data!B824&lt;=$B$2)</f>
        <v/>
      </c>
      <c r="G824">
        <f>--(German_Data!C824&lt;=$B$3)</f>
        <v/>
      </c>
      <c r="H824">
        <f>IF(F824=1,IF(G824=1,IF(German_Data!D824=$B$4,0,1),IF(German_Data!E824=$B$5,0,1)),IF(German_Data!E824=$B$5,0,1))</f>
        <v/>
      </c>
      <c r="I824">
        <f>IF(H824=1,"Good","Bad")</f>
        <v/>
      </c>
      <c r="J824">
        <f>--(H824=E824)</f>
        <v/>
      </c>
    </row>
    <row r="825">
      <c r="D825">
        <f>German_Data!A825</f>
        <v/>
      </c>
      <c r="E825">
        <f>German_Data!G825</f>
        <v/>
      </c>
      <c r="F825">
        <f>--(German_Data!B825&lt;=$B$2)</f>
        <v/>
      </c>
      <c r="G825">
        <f>--(German_Data!C825&lt;=$B$3)</f>
        <v/>
      </c>
      <c r="H825">
        <f>IF(F825=1,IF(G825=1,IF(German_Data!D825=$B$4,0,1),IF(German_Data!E825=$B$5,0,1)),IF(German_Data!E825=$B$5,0,1))</f>
        <v/>
      </c>
      <c r="I825">
        <f>IF(H825=1,"Good","Bad")</f>
        <v/>
      </c>
      <c r="J825">
        <f>--(H825=E825)</f>
        <v/>
      </c>
    </row>
    <row r="826">
      <c r="D826">
        <f>German_Data!A826</f>
        <v/>
      </c>
      <c r="E826">
        <f>German_Data!G826</f>
        <v/>
      </c>
      <c r="F826">
        <f>--(German_Data!B826&lt;=$B$2)</f>
        <v/>
      </c>
      <c r="G826">
        <f>--(German_Data!C826&lt;=$B$3)</f>
        <v/>
      </c>
      <c r="H826">
        <f>IF(F826=1,IF(G826=1,IF(German_Data!D826=$B$4,0,1),IF(German_Data!E826=$B$5,0,1)),IF(German_Data!E826=$B$5,0,1))</f>
        <v/>
      </c>
      <c r="I826">
        <f>IF(H826=1,"Good","Bad")</f>
        <v/>
      </c>
      <c r="J826">
        <f>--(H826=E826)</f>
        <v/>
      </c>
    </row>
    <row r="827">
      <c r="D827">
        <f>German_Data!A827</f>
        <v/>
      </c>
      <c r="E827">
        <f>German_Data!G827</f>
        <v/>
      </c>
      <c r="F827">
        <f>--(German_Data!B827&lt;=$B$2)</f>
        <v/>
      </c>
      <c r="G827">
        <f>--(German_Data!C827&lt;=$B$3)</f>
        <v/>
      </c>
      <c r="H827">
        <f>IF(F827=1,IF(G827=1,IF(German_Data!D827=$B$4,0,1),IF(German_Data!E827=$B$5,0,1)),IF(German_Data!E827=$B$5,0,1))</f>
        <v/>
      </c>
      <c r="I827">
        <f>IF(H827=1,"Good","Bad")</f>
        <v/>
      </c>
      <c r="J827">
        <f>--(H827=E827)</f>
        <v/>
      </c>
    </row>
    <row r="828">
      <c r="D828">
        <f>German_Data!A828</f>
        <v/>
      </c>
      <c r="E828">
        <f>German_Data!G828</f>
        <v/>
      </c>
      <c r="F828">
        <f>--(German_Data!B828&lt;=$B$2)</f>
        <v/>
      </c>
      <c r="G828">
        <f>--(German_Data!C828&lt;=$B$3)</f>
        <v/>
      </c>
      <c r="H828">
        <f>IF(F828=1,IF(G828=1,IF(German_Data!D828=$B$4,0,1),IF(German_Data!E828=$B$5,0,1)),IF(German_Data!E828=$B$5,0,1))</f>
        <v/>
      </c>
      <c r="I828">
        <f>IF(H828=1,"Good","Bad")</f>
        <v/>
      </c>
      <c r="J828">
        <f>--(H828=E828)</f>
        <v/>
      </c>
    </row>
    <row r="829">
      <c r="D829">
        <f>German_Data!A829</f>
        <v/>
      </c>
      <c r="E829">
        <f>German_Data!G829</f>
        <v/>
      </c>
      <c r="F829">
        <f>--(German_Data!B829&lt;=$B$2)</f>
        <v/>
      </c>
      <c r="G829">
        <f>--(German_Data!C829&lt;=$B$3)</f>
        <v/>
      </c>
      <c r="H829">
        <f>IF(F829=1,IF(G829=1,IF(German_Data!D829=$B$4,0,1),IF(German_Data!E829=$B$5,0,1)),IF(German_Data!E829=$B$5,0,1))</f>
        <v/>
      </c>
      <c r="I829">
        <f>IF(H829=1,"Good","Bad")</f>
        <v/>
      </c>
      <c r="J829">
        <f>--(H829=E829)</f>
        <v/>
      </c>
    </row>
    <row r="830">
      <c r="D830">
        <f>German_Data!A830</f>
        <v/>
      </c>
      <c r="E830">
        <f>German_Data!G830</f>
        <v/>
      </c>
      <c r="F830">
        <f>--(German_Data!B830&lt;=$B$2)</f>
        <v/>
      </c>
      <c r="G830">
        <f>--(German_Data!C830&lt;=$B$3)</f>
        <v/>
      </c>
      <c r="H830">
        <f>IF(F830=1,IF(G830=1,IF(German_Data!D830=$B$4,0,1),IF(German_Data!E830=$B$5,0,1)),IF(German_Data!E830=$B$5,0,1))</f>
        <v/>
      </c>
      <c r="I830">
        <f>IF(H830=1,"Good","Bad")</f>
        <v/>
      </c>
      <c r="J830">
        <f>--(H830=E830)</f>
        <v/>
      </c>
    </row>
    <row r="831">
      <c r="D831">
        <f>German_Data!A831</f>
        <v/>
      </c>
      <c r="E831">
        <f>German_Data!G831</f>
        <v/>
      </c>
      <c r="F831">
        <f>--(German_Data!B831&lt;=$B$2)</f>
        <v/>
      </c>
      <c r="G831">
        <f>--(German_Data!C831&lt;=$B$3)</f>
        <v/>
      </c>
      <c r="H831">
        <f>IF(F831=1,IF(G831=1,IF(German_Data!D831=$B$4,0,1),IF(German_Data!E831=$B$5,0,1)),IF(German_Data!E831=$B$5,0,1))</f>
        <v/>
      </c>
      <c r="I831">
        <f>IF(H831=1,"Good","Bad")</f>
        <v/>
      </c>
      <c r="J831">
        <f>--(H831=E831)</f>
        <v/>
      </c>
    </row>
    <row r="832">
      <c r="D832">
        <f>German_Data!A832</f>
        <v/>
      </c>
      <c r="E832">
        <f>German_Data!G832</f>
        <v/>
      </c>
      <c r="F832">
        <f>--(German_Data!B832&lt;=$B$2)</f>
        <v/>
      </c>
      <c r="G832">
        <f>--(German_Data!C832&lt;=$B$3)</f>
        <v/>
      </c>
      <c r="H832">
        <f>IF(F832=1,IF(G832=1,IF(German_Data!D832=$B$4,0,1),IF(German_Data!E832=$B$5,0,1)),IF(German_Data!E832=$B$5,0,1))</f>
        <v/>
      </c>
      <c r="I832">
        <f>IF(H832=1,"Good","Bad")</f>
        <v/>
      </c>
      <c r="J832">
        <f>--(H832=E832)</f>
        <v/>
      </c>
    </row>
    <row r="833">
      <c r="D833">
        <f>German_Data!A833</f>
        <v/>
      </c>
      <c r="E833">
        <f>German_Data!G833</f>
        <v/>
      </c>
      <c r="F833">
        <f>--(German_Data!B833&lt;=$B$2)</f>
        <v/>
      </c>
      <c r="G833">
        <f>--(German_Data!C833&lt;=$B$3)</f>
        <v/>
      </c>
      <c r="H833">
        <f>IF(F833=1,IF(G833=1,IF(German_Data!D833=$B$4,0,1),IF(German_Data!E833=$B$5,0,1)),IF(German_Data!E833=$B$5,0,1))</f>
        <v/>
      </c>
      <c r="I833">
        <f>IF(H833=1,"Good","Bad")</f>
        <v/>
      </c>
      <c r="J833">
        <f>--(H833=E833)</f>
        <v/>
      </c>
    </row>
    <row r="834">
      <c r="D834">
        <f>German_Data!A834</f>
        <v/>
      </c>
      <c r="E834">
        <f>German_Data!G834</f>
        <v/>
      </c>
      <c r="F834">
        <f>--(German_Data!B834&lt;=$B$2)</f>
        <v/>
      </c>
      <c r="G834">
        <f>--(German_Data!C834&lt;=$B$3)</f>
        <v/>
      </c>
      <c r="H834">
        <f>IF(F834=1,IF(G834=1,IF(German_Data!D834=$B$4,0,1),IF(German_Data!E834=$B$5,0,1)),IF(German_Data!E834=$B$5,0,1))</f>
        <v/>
      </c>
      <c r="I834">
        <f>IF(H834=1,"Good","Bad")</f>
        <v/>
      </c>
      <c r="J834">
        <f>--(H834=E834)</f>
        <v/>
      </c>
    </row>
    <row r="835">
      <c r="D835">
        <f>German_Data!A835</f>
        <v/>
      </c>
      <c r="E835">
        <f>German_Data!G835</f>
        <v/>
      </c>
      <c r="F835">
        <f>--(German_Data!B835&lt;=$B$2)</f>
        <v/>
      </c>
      <c r="G835">
        <f>--(German_Data!C835&lt;=$B$3)</f>
        <v/>
      </c>
      <c r="H835">
        <f>IF(F835=1,IF(G835=1,IF(German_Data!D835=$B$4,0,1),IF(German_Data!E835=$B$5,0,1)),IF(German_Data!E835=$B$5,0,1))</f>
        <v/>
      </c>
      <c r="I835">
        <f>IF(H835=1,"Good","Bad")</f>
        <v/>
      </c>
      <c r="J835">
        <f>--(H835=E835)</f>
        <v/>
      </c>
    </row>
    <row r="836">
      <c r="D836">
        <f>German_Data!A836</f>
        <v/>
      </c>
      <c r="E836">
        <f>German_Data!G836</f>
        <v/>
      </c>
      <c r="F836">
        <f>--(German_Data!B836&lt;=$B$2)</f>
        <v/>
      </c>
      <c r="G836">
        <f>--(German_Data!C836&lt;=$B$3)</f>
        <v/>
      </c>
      <c r="H836">
        <f>IF(F836=1,IF(G836=1,IF(German_Data!D836=$B$4,0,1),IF(German_Data!E836=$B$5,0,1)),IF(German_Data!E836=$B$5,0,1))</f>
        <v/>
      </c>
      <c r="I836">
        <f>IF(H836=1,"Good","Bad")</f>
        <v/>
      </c>
      <c r="J836">
        <f>--(H836=E836)</f>
        <v/>
      </c>
    </row>
    <row r="837">
      <c r="D837">
        <f>German_Data!A837</f>
        <v/>
      </c>
      <c r="E837">
        <f>German_Data!G837</f>
        <v/>
      </c>
      <c r="F837">
        <f>--(German_Data!B837&lt;=$B$2)</f>
        <v/>
      </c>
      <c r="G837">
        <f>--(German_Data!C837&lt;=$B$3)</f>
        <v/>
      </c>
      <c r="H837">
        <f>IF(F837=1,IF(G837=1,IF(German_Data!D837=$B$4,0,1),IF(German_Data!E837=$B$5,0,1)),IF(German_Data!E837=$B$5,0,1))</f>
        <v/>
      </c>
      <c r="I837">
        <f>IF(H837=1,"Good","Bad")</f>
        <v/>
      </c>
      <c r="J837">
        <f>--(H837=E837)</f>
        <v/>
      </c>
    </row>
    <row r="838">
      <c r="D838">
        <f>German_Data!A838</f>
        <v/>
      </c>
      <c r="E838">
        <f>German_Data!G838</f>
        <v/>
      </c>
      <c r="F838">
        <f>--(German_Data!B838&lt;=$B$2)</f>
        <v/>
      </c>
      <c r="G838">
        <f>--(German_Data!C838&lt;=$B$3)</f>
        <v/>
      </c>
      <c r="H838">
        <f>IF(F838=1,IF(G838=1,IF(German_Data!D838=$B$4,0,1),IF(German_Data!E838=$B$5,0,1)),IF(German_Data!E838=$B$5,0,1))</f>
        <v/>
      </c>
      <c r="I838">
        <f>IF(H838=1,"Good","Bad")</f>
        <v/>
      </c>
      <c r="J838">
        <f>--(H838=E838)</f>
        <v/>
      </c>
    </row>
    <row r="839">
      <c r="D839">
        <f>German_Data!A839</f>
        <v/>
      </c>
      <c r="E839">
        <f>German_Data!G839</f>
        <v/>
      </c>
      <c r="F839">
        <f>--(German_Data!B839&lt;=$B$2)</f>
        <v/>
      </c>
      <c r="G839">
        <f>--(German_Data!C839&lt;=$B$3)</f>
        <v/>
      </c>
      <c r="H839">
        <f>IF(F839=1,IF(G839=1,IF(German_Data!D839=$B$4,0,1),IF(German_Data!E839=$B$5,0,1)),IF(German_Data!E839=$B$5,0,1))</f>
        <v/>
      </c>
      <c r="I839">
        <f>IF(H839=1,"Good","Bad")</f>
        <v/>
      </c>
      <c r="J839">
        <f>--(H839=E839)</f>
        <v/>
      </c>
    </row>
    <row r="840">
      <c r="D840">
        <f>German_Data!A840</f>
        <v/>
      </c>
      <c r="E840">
        <f>German_Data!G840</f>
        <v/>
      </c>
      <c r="F840">
        <f>--(German_Data!B840&lt;=$B$2)</f>
        <v/>
      </c>
      <c r="G840">
        <f>--(German_Data!C840&lt;=$B$3)</f>
        <v/>
      </c>
      <c r="H840">
        <f>IF(F840=1,IF(G840=1,IF(German_Data!D840=$B$4,0,1),IF(German_Data!E840=$B$5,0,1)),IF(German_Data!E840=$B$5,0,1))</f>
        <v/>
      </c>
      <c r="I840">
        <f>IF(H840=1,"Good","Bad")</f>
        <v/>
      </c>
      <c r="J840">
        <f>--(H840=E840)</f>
        <v/>
      </c>
    </row>
    <row r="841">
      <c r="D841">
        <f>German_Data!A841</f>
        <v/>
      </c>
      <c r="E841">
        <f>German_Data!G841</f>
        <v/>
      </c>
      <c r="F841">
        <f>--(German_Data!B841&lt;=$B$2)</f>
        <v/>
      </c>
      <c r="G841">
        <f>--(German_Data!C841&lt;=$B$3)</f>
        <v/>
      </c>
      <c r="H841">
        <f>IF(F841=1,IF(G841=1,IF(German_Data!D841=$B$4,0,1),IF(German_Data!E841=$B$5,0,1)),IF(German_Data!E841=$B$5,0,1))</f>
        <v/>
      </c>
      <c r="I841">
        <f>IF(H841=1,"Good","Bad")</f>
        <v/>
      </c>
      <c r="J841">
        <f>--(H841=E841)</f>
        <v/>
      </c>
    </row>
    <row r="842">
      <c r="D842">
        <f>German_Data!A842</f>
        <v/>
      </c>
      <c r="E842">
        <f>German_Data!G842</f>
        <v/>
      </c>
      <c r="F842">
        <f>--(German_Data!B842&lt;=$B$2)</f>
        <v/>
      </c>
      <c r="G842">
        <f>--(German_Data!C842&lt;=$B$3)</f>
        <v/>
      </c>
      <c r="H842">
        <f>IF(F842=1,IF(G842=1,IF(German_Data!D842=$B$4,0,1),IF(German_Data!E842=$B$5,0,1)),IF(German_Data!E842=$B$5,0,1))</f>
        <v/>
      </c>
      <c r="I842">
        <f>IF(H842=1,"Good","Bad")</f>
        <v/>
      </c>
      <c r="J842">
        <f>--(H842=E842)</f>
        <v/>
      </c>
    </row>
    <row r="843">
      <c r="D843">
        <f>German_Data!A843</f>
        <v/>
      </c>
      <c r="E843">
        <f>German_Data!G843</f>
        <v/>
      </c>
      <c r="F843">
        <f>--(German_Data!B843&lt;=$B$2)</f>
        <v/>
      </c>
      <c r="G843">
        <f>--(German_Data!C843&lt;=$B$3)</f>
        <v/>
      </c>
      <c r="H843">
        <f>IF(F843=1,IF(G843=1,IF(German_Data!D843=$B$4,0,1),IF(German_Data!E843=$B$5,0,1)),IF(German_Data!E843=$B$5,0,1))</f>
        <v/>
      </c>
      <c r="I843">
        <f>IF(H843=1,"Good","Bad")</f>
        <v/>
      </c>
      <c r="J843">
        <f>--(H843=E843)</f>
        <v/>
      </c>
    </row>
    <row r="844">
      <c r="D844">
        <f>German_Data!A844</f>
        <v/>
      </c>
      <c r="E844">
        <f>German_Data!G844</f>
        <v/>
      </c>
      <c r="F844">
        <f>--(German_Data!B844&lt;=$B$2)</f>
        <v/>
      </c>
      <c r="G844">
        <f>--(German_Data!C844&lt;=$B$3)</f>
        <v/>
      </c>
      <c r="H844">
        <f>IF(F844=1,IF(G844=1,IF(German_Data!D844=$B$4,0,1),IF(German_Data!E844=$B$5,0,1)),IF(German_Data!E844=$B$5,0,1))</f>
        <v/>
      </c>
      <c r="I844">
        <f>IF(H844=1,"Good","Bad")</f>
        <v/>
      </c>
      <c r="J844">
        <f>--(H844=E844)</f>
        <v/>
      </c>
    </row>
    <row r="845">
      <c r="D845">
        <f>German_Data!A845</f>
        <v/>
      </c>
      <c r="E845">
        <f>German_Data!G845</f>
        <v/>
      </c>
      <c r="F845">
        <f>--(German_Data!B845&lt;=$B$2)</f>
        <v/>
      </c>
      <c r="G845">
        <f>--(German_Data!C845&lt;=$B$3)</f>
        <v/>
      </c>
      <c r="H845">
        <f>IF(F845=1,IF(G845=1,IF(German_Data!D845=$B$4,0,1),IF(German_Data!E845=$B$5,0,1)),IF(German_Data!E845=$B$5,0,1))</f>
        <v/>
      </c>
      <c r="I845">
        <f>IF(H845=1,"Good","Bad")</f>
        <v/>
      </c>
      <c r="J845">
        <f>--(H845=E845)</f>
        <v/>
      </c>
    </row>
    <row r="846">
      <c r="D846">
        <f>German_Data!A846</f>
        <v/>
      </c>
      <c r="E846">
        <f>German_Data!G846</f>
        <v/>
      </c>
      <c r="F846">
        <f>--(German_Data!B846&lt;=$B$2)</f>
        <v/>
      </c>
      <c r="G846">
        <f>--(German_Data!C846&lt;=$B$3)</f>
        <v/>
      </c>
      <c r="H846">
        <f>IF(F846=1,IF(G846=1,IF(German_Data!D846=$B$4,0,1),IF(German_Data!E846=$B$5,0,1)),IF(German_Data!E846=$B$5,0,1))</f>
        <v/>
      </c>
      <c r="I846">
        <f>IF(H846=1,"Good","Bad")</f>
        <v/>
      </c>
      <c r="J846">
        <f>--(H846=E846)</f>
        <v/>
      </c>
    </row>
    <row r="847">
      <c r="D847">
        <f>German_Data!A847</f>
        <v/>
      </c>
      <c r="E847">
        <f>German_Data!G847</f>
        <v/>
      </c>
      <c r="F847">
        <f>--(German_Data!B847&lt;=$B$2)</f>
        <v/>
      </c>
      <c r="G847">
        <f>--(German_Data!C847&lt;=$B$3)</f>
        <v/>
      </c>
      <c r="H847">
        <f>IF(F847=1,IF(G847=1,IF(German_Data!D847=$B$4,0,1),IF(German_Data!E847=$B$5,0,1)),IF(German_Data!E847=$B$5,0,1))</f>
        <v/>
      </c>
      <c r="I847">
        <f>IF(H847=1,"Good","Bad")</f>
        <v/>
      </c>
      <c r="J847">
        <f>--(H847=E847)</f>
        <v/>
      </c>
    </row>
    <row r="848">
      <c r="D848">
        <f>German_Data!A848</f>
        <v/>
      </c>
      <c r="E848">
        <f>German_Data!G848</f>
        <v/>
      </c>
      <c r="F848">
        <f>--(German_Data!B848&lt;=$B$2)</f>
        <v/>
      </c>
      <c r="G848">
        <f>--(German_Data!C848&lt;=$B$3)</f>
        <v/>
      </c>
      <c r="H848">
        <f>IF(F848=1,IF(G848=1,IF(German_Data!D848=$B$4,0,1),IF(German_Data!E848=$B$5,0,1)),IF(German_Data!E848=$B$5,0,1))</f>
        <v/>
      </c>
      <c r="I848">
        <f>IF(H848=1,"Good","Bad")</f>
        <v/>
      </c>
      <c r="J848">
        <f>--(H848=E848)</f>
        <v/>
      </c>
    </row>
    <row r="849">
      <c r="D849">
        <f>German_Data!A849</f>
        <v/>
      </c>
      <c r="E849">
        <f>German_Data!G849</f>
        <v/>
      </c>
      <c r="F849">
        <f>--(German_Data!B849&lt;=$B$2)</f>
        <v/>
      </c>
      <c r="G849">
        <f>--(German_Data!C849&lt;=$B$3)</f>
        <v/>
      </c>
      <c r="H849">
        <f>IF(F849=1,IF(G849=1,IF(German_Data!D849=$B$4,0,1),IF(German_Data!E849=$B$5,0,1)),IF(German_Data!E849=$B$5,0,1))</f>
        <v/>
      </c>
      <c r="I849">
        <f>IF(H849=1,"Good","Bad")</f>
        <v/>
      </c>
      <c r="J849">
        <f>--(H849=E849)</f>
        <v/>
      </c>
    </row>
    <row r="850">
      <c r="D850">
        <f>German_Data!A850</f>
        <v/>
      </c>
      <c r="E850">
        <f>German_Data!G850</f>
        <v/>
      </c>
      <c r="F850">
        <f>--(German_Data!B850&lt;=$B$2)</f>
        <v/>
      </c>
      <c r="G850">
        <f>--(German_Data!C850&lt;=$B$3)</f>
        <v/>
      </c>
      <c r="H850">
        <f>IF(F850=1,IF(G850=1,IF(German_Data!D850=$B$4,0,1),IF(German_Data!E850=$B$5,0,1)),IF(German_Data!E850=$B$5,0,1))</f>
        <v/>
      </c>
      <c r="I850">
        <f>IF(H850=1,"Good","Bad")</f>
        <v/>
      </c>
      <c r="J850">
        <f>--(H850=E850)</f>
        <v/>
      </c>
    </row>
    <row r="851">
      <c r="D851">
        <f>German_Data!A851</f>
        <v/>
      </c>
      <c r="E851">
        <f>German_Data!G851</f>
        <v/>
      </c>
      <c r="F851">
        <f>--(German_Data!B851&lt;=$B$2)</f>
        <v/>
      </c>
      <c r="G851">
        <f>--(German_Data!C851&lt;=$B$3)</f>
        <v/>
      </c>
      <c r="H851">
        <f>IF(F851=1,IF(G851=1,IF(German_Data!D851=$B$4,0,1),IF(German_Data!E851=$B$5,0,1)),IF(German_Data!E851=$B$5,0,1))</f>
        <v/>
      </c>
      <c r="I851">
        <f>IF(H851=1,"Good","Bad")</f>
        <v/>
      </c>
      <c r="J851">
        <f>--(H851=E851)</f>
        <v/>
      </c>
    </row>
    <row r="852">
      <c r="D852">
        <f>German_Data!A852</f>
        <v/>
      </c>
      <c r="E852">
        <f>German_Data!G852</f>
        <v/>
      </c>
      <c r="F852">
        <f>--(German_Data!B852&lt;=$B$2)</f>
        <v/>
      </c>
      <c r="G852">
        <f>--(German_Data!C852&lt;=$B$3)</f>
        <v/>
      </c>
      <c r="H852">
        <f>IF(F852=1,IF(G852=1,IF(German_Data!D852=$B$4,0,1),IF(German_Data!E852=$B$5,0,1)),IF(German_Data!E852=$B$5,0,1))</f>
        <v/>
      </c>
      <c r="I852">
        <f>IF(H852=1,"Good","Bad")</f>
        <v/>
      </c>
      <c r="J852">
        <f>--(H852=E852)</f>
        <v/>
      </c>
    </row>
    <row r="853">
      <c r="D853">
        <f>German_Data!A853</f>
        <v/>
      </c>
      <c r="E853">
        <f>German_Data!G853</f>
        <v/>
      </c>
      <c r="F853">
        <f>--(German_Data!B853&lt;=$B$2)</f>
        <v/>
      </c>
      <c r="G853">
        <f>--(German_Data!C853&lt;=$B$3)</f>
        <v/>
      </c>
      <c r="H853">
        <f>IF(F853=1,IF(G853=1,IF(German_Data!D853=$B$4,0,1),IF(German_Data!E853=$B$5,0,1)),IF(German_Data!E853=$B$5,0,1))</f>
        <v/>
      </c>
      <c r="I853">
        <f>IF(H853=1,"Good","Bad")</f>
        <v/>
      </c>
      <c r="J853">
        <f>--(H853=E853)</f>
        <v/>
      </c>
    </row>
    <row r="854">
      <c r="D854">
        <f>German_Data!A854</f>
        <v/>
      </c>
      <c r="E854">
        <f>German_Data!G854</f>
        <v/>
      </c>
      <c r="F854">
        <f>--(German_Data!B854&lt;=$B$2)</f>
        <v/>
      </c>
      <c r="G854">
        <f>--(German_Data!C854&lt;=$B$3)</f>
        <v/>
      </c>
      <c r="H854">
        <f>IF(F854=1,IF(G854=1,IF(German_Data!D854=$B$4,0,1),IF(German_Data!E854=$B$5,0,1)),IF(German_Data!E854=$B$5,0,1))</f>
        <v/>
      </c>
      <c r="I854">
        <f>IF(H854=1,"Good","Bad")</f>
        <v/>
      </c>
      <c r="J854">
        <f>--(H854=E854)</f>
        <v/>
      </c>
    </row>
    <row r="855">
      <c r="D855">
        <f>German_Data!A855</f>
        <v/>
      </c>
      <c r="E855">
        <f>German_Data!G855</f>
        <v/>
      </c>
      <c r="F855">
        <f>--(German_Data!B855&lt;=$B$2)</f>
        <v/>
      </c>
      <c r="G855">
        <f>--(German_Data!C855&lt;=$B$3)</f>
        <v/>
      </c>
      <c r="H855">
        <f>IF(F855=1,IF(G855=1,IF(German_Data!D855=$B$4,0,1),IF(German_Data!E855=$B$5,0,1)),IF(German_Data!E855=$B$5,0,1))</f>
        <v/>
      </c>
      <c r="I855">
        <f>IF(H855=1,"Good","Bad")</f>
        <v/>
      </c>
      <c r="J855">
        <f>--(H855=E855)</f>
        <v/>
      </c>
    </row>
    <row r="856">
      <c r="D856">
        <f>German_Data!A856</f>
        <v/>
      </c>
      <c r="E856">
        <f>German_Data!G856</f>
        <v/>
      </c>
      <c r="F856">
        <f>--(German_Data!B856&lt;=$B$2)</f>
        <v/>
      </c>
      <c r="G856">
        <f>--(German_Data!C856&lt;=$B$3)</f>
        <v/>
      </c>
      <c r="H856">
        <f>IF(F856=1,IF(G856=1,IF(German_Data!D856=$B$4,0,1),IF(German_Data!E856=$B$5,0,1)),IF(German_Data!E856=$B$5,0,1))</f>
        <v/>
      </c>
      <c r="I856">
        <f>IF(H856=1,"Good","Bad")</f>
        <v/>
      </c>
      <c r="J856">
        <f>--(H856=E856)</f>
        <v/>
      </c>
    </row>
    <row r="857">
      <c r="D857">
        <f>German_Data!A857</f>
        <v/>
      </c>
      <c r="E857">
        <f>German_Data!G857</f>
        <v/>
      </c>
      <c r="F857">
        <f>--(German_Data!B857&lt;=$B$2)</f>
        <v/>
      </c>
      <c r="G857">
        <f>--(German_Data!C857&lt;=$B$3)</f>
        <v/>
      </c>
      <c r="H857">
        <f>IF(F857=1,IF(G857=1,IF(German_Data!D857=$B$4,0,1),IF(German_Data!E857=$B$5,0,1)),IF(German_Data!E857=$B$5,0,1))</f>
        <v/>
      </c>
      <c r="I857">
        <f>IF(H857=1,"Good","Bad")</f>
        <v/>
      </c>
      <c r="J857">
        <f>--(H857=E857)</f>
        <v/>
      </c>
    </row>
    <row r="858">
      <c r="D858">
        <f>German_Data!A858</f>
        <v/>
      </c>
      <c r="E858">
        <f>German_Data!G858</f>
        <v/>
      </c>
      <c r="F858">
        <f>--(German_Data!B858&lt;=$B$2)</f>
        <v/>
      </c>
      <c r="G858">
        <f>--(German_Data!C858&lt;=$B$3)</f>
        <v/>
      </c>
      <c r="H858">
        <f>IF(F858=1,IF(G858=1,IF(German_Data!D858=$B$4,0,1),IF(German_Data!E858=$B$5,0,1)),IF(German_Data!E858=$B$5,0,1))</f>
        <v/>
      </c>
      <c r="I858">
        <f>IF(H858=1,"Good","Bad")</f>
        <v/>
      </c>
      <c r="J858">
        <f>--(H858=E858)</f>
        <v/>
      </c>
    </row>
    <row r="859">
      <c r="D859">
        <f>German_Data!A859</f>
        <v/>
      </c>
      <c r="E859">
        <f>German_Data!G859</f>
        <v/>
      </c>
      <c r="F859">
        <f>--(German_Data!B859&lt;=$B$2)</f>
        <v/>
      </c>
      <c r="G859">
        <f>--(German_Data!C859&lt;=$B$3)</f>
        <v/>
      </c>
      <c r="H859">
        <f>IF(F859=1,IF(G859=1,IF(German_Data!D859=$B$4,0,1),IF(German_Data!E859=$B$5,0,1)),IF(German_Data!E859=$B$5,0,1))</f>
        <v/>
      </c>
      <c r="I859">
        <f>IF(H859=1,"Good","Bad")</f>
        <v/>
      </c>
      <c r="J859">
        <f>--(H859=E859)</f>
        <v/>
      </c>
    </row>
    <row r="860">
      <c r="D860">
        <f>German_Data!A860</f>
        <v/>
      </c>
      <c r="E860">
        <f>German_Data!G860</f>
        <v/>
      </c>
      <c r="F860">
        <f>--(German_Data!B860&lt;=$B$2)</f>
        <v/>
      </c>
      <c r="G860">
        <f>--(German_Data!C860&lt;=$B$3)</f>
        <v/>
      </c>
      <c r="H860">
        <f>IF(F860=1,IF(G860=1,IF(German_Data!D860=$B$4,0,1),IF(German_Data!E860=$B$5,0,1)),IF(German_Data!E860=$B$5,0,1))</f>
        <v/>
      </c>
      <c r="I860">
        <f>IF(H860=1,"Good","Bad")</f>
        <v/>
      </c>
      <c r="J860">
        <f>--(H860=E860)</f>
        <v/>
      </c>
    </row>
    <row r="861">
      <c r="D861">
        <f>German_Data!A861</f>
        <v/>
      </c>
      <c r="E861">
        <f>German_Data!G861</f>
        <v/>
      </c>
      <c r="F861">
        <f>--(German_Data!B861&lt;=$B$2)</f>
        <v/>
      </c>
      <c r="G861">
        <f>--(German_Data!C861&lt;=$B$3)</f>
        <v/>
      </c>
      <c r="H861">
        <f>IF(F861=1,IF(G861=1,IF(German_Data!D861=$B$4,0,1),IF(German_Data!E861=$B$5,0,1)),IF(German_Data!E861=$B$5,0,1))</f>
        <v/>
      </c>
      <c r="I861">
        <f>IF(H861=1,"Good","Bad")</f>
        <v/>
      </c>
      <c r="J861">
        <f>--(H861=E861)</f>
        <v/>
      </c>
    </row>
    <row r="862">
      <c r="D862">
        <f>German_Data!A862</f>
        <v/>
      </c>
      <c r="E862">
        <f>German_Data!G862</f>
        <v/>
      </c>
      <c r="F862">
        <f>--(German_Data!B862&lt;=$B$2)</f>
        <v/>
      </c>
      <c r="G862">
        <f>--(German_Data!C862&lt;=$B$3)</f>
        <v/>
      </c>
      <c r="H862">
        <f>IF(F862=1,IF(G862=1,IF(German_Data!D862=$B$4,0,1),IF(German_Data!E862=$B$5,0,1)),IF(German_Data!E862=$B$5,0,1))</f>
        <v/>
      </c>
      <c r="I862">
        <f>IF(H862=1,"Good","Bad")</f>
        <v/>
      </c>
      <c r="J862">
        <f>--(H862=E862)</f>
        <v/>
      </c>
    </row>
    <row r="863">
      <c r="D863">
        <f>German_Data!A863</f>
        <v/>
      </c>
      <c r="E863">
        <f>German_Data!G863</f>
        <v/>
      </c>
      <c r="F863">
        <f>--(German_Data!B863&lt;=$B$2)</f>
        <v/>
      </c>
      <c r="G863">
        <f>--(German_Data!C863&lt;=$B$3)</f>
        <v/>
      </c>
      <c r="H863">
        <f>IF(F863=1,IF(G863=1,IF(German_Data!D863=$B$4,0,1),IF(German_Data!E863=$B$5,0,1)),IF(German_Data!E863=$B$5,0,1))</f>
        <v/>
      </c>
      <c r="I863">
        <f>IF(H863=1,"Good","Bad")</f>
        <v/>
      </c>
      <c r="J863">
        <f>--(H863=E863)</f>
        <v/>
      </c>
    </row>
    <row r="864">
      <c r="D864">
        <f>German_Data!A864</f>
        <v/>
      </c>
      <c r="E864">
        <f>German_Data!G864</f>
        <v/>
      </c>
      <c r="F864">
        <f>--(German_Data!B864&lt;=$B$2)</f>
        <v/>
      </c>
      <c r="G864">
        <f>--(German_Data!C864&lt;=$B$3)</f>
        <v/>
      </c>
      <c r="H864">
        <f>IF(F864=1,IF(G864=1,IF(German_Data!D864=$B$4,0,1),IF(German_Data!E864=$B$5,0,1)),IF(German_Data!E864=$B$5,0,1))</f>
        <v/>
      </c>
      <c r="I864">
        <f>IF(H864=1,"Good","Bad")</f>
        <v/>
      </c>
      <c r="J864">
        <f>--(H864=E864)</f>
        <v/>
      </c>
    </row>
    <row r="865">
      <c r="D865">
        <f>German_Data!A865</f>
        <v/>
      </c>
      <c r="E865">
        <f>German_Data!G865</f>
        <v/>
      </c>
      <c r="F865">
        <f>--(German_Data!B865&lt;=$B$2)</f>
        <v/>
      </c>
      <c r="G865">
        <f>--(German_Data!C865&lt;=$B$3)</f>
        <v/>
      </c>
      <c r="H865">
        <f>IF(F865=1,IF(G865=1,IF(German_Data!D865=$B$4,0,1),IF(German_Data!E865=$B$5,0,1)),IF(German_Data!E865=$B$5,0,1))</f>
        <v/>
      </c>
      <c r="I865">
        <f>IF(H865=1,"Good","Bad")</f>
        <v/>
      </c>
      <c r="J865">
        <f>--(H865=E865)</f>
        <v/>
      </c>
    </row>
    <row r="866">
      <c r="D866">
        <f>German_Data!A866</f>
        <v/>
      </c>
      <c r="E866">
        <f>German_Data!G866</f>
        <v/>
      </c>
      <c r="F866">
        <f>--(German_Data!B866&lt;=$B$2)</f>
        <v/>
      </c>
      <c r="G866">
        <f>--(German_Data!C866&lt;=$B$3)</f>
        <v/>
      </c>
      <c r="H866">
        <f>IF(F866=1,IF(G866=1,IF(German_Data!D866=$B$4,0,1),IF(German_Data!E866=$B$5,0,1)),IF(German_Data!E866=$B$5,0,1))</f>
        <v/>
      </c>
      <c r="I866">
        <f>IF(H866=1,"Good","Bad")</f>
        <v/>
      </c>
      <c r="J866">
        <f>--(H866=E866)</f>
        <v/>
      </c>
    </row>
    <row r="867">
      <c r="D867">
        <f>German_Data!A867</f>
        <v/>
      </c>
      <c r="E867">
        <f>German_Data!G867</f>
        <v/>
      </c>
      <c r="F867">
        <f>--(German_Data!B867&lt;=$B$2)</f>
        <v/>
      </c>
      <c r="G867">
        <f>--(German_Data!C867&lt;=$B$3)</f>
        <v/>
      </c>
      <c r="H867">
        <f>IF(F867=1,IF(G867=1,IF(German_Data!D867=$B$4,0,1),IF(German_Data!E867=$B$5,0,1)),IF(German_Data!E867=$B$5,0,1))</f>
        <v/>
      </c>
      <c r="I867">
        <f>IF(H867=1,"Good","Bad")</f>
        <v/>
      </c>
      <c r="J867">
        <f>--(H867=E867)</f>
        <v/>
      </c>
    </row>
    <row r="868">
      <c r="D868">
        <f>German_Data!A868</f>
        <v/>
      </c>
      <c r="E868">
        <f>German_Data!G868</f>
        <v/>
      </c>
      <c r="F868">
        <f>--(German_Data!B868&lt;=$B$2)</f>
        <v/>
      </c>
      <c r="G868">
        <f>--(German_Data!C868&lt;=$B$3)</f>
        <v/>
      </c>
      <c r="H868">
        <f>IF(F868=1,IF(G868=1,IF(German_Data!D868=$B$4,0,1),IF(German_Data!E868=$B$5,0,1)),IF(German_Data!E868=$B$5,0,1))</f>
        <v/>
      </c>
      <c r="I868">
        <f>IF(H868=1,"Good","Bad")</f>
        <v/>
      </c>
      <c r="J868">
        <f>--(H868=E868)</f>
        <v/>
      </c>
    </row>
    <row r="869">
      <c r="D869">
        <f>German_Data!A869</f>
        <v/>
      </c>
      <c r="E869">
        <f>German_Data!G869</f>
        <v/>
      </c>
      <c r="F869">
        <f>--(German_Data!B869&lt;=$B$2)</f>
        <v/>
      </c>
      <c r="G869">
        <f>--(German_Data!C869&lt;=$B$3)</f>
        <v/>
      </c>
      <c r="H869">
        <f>IF(F869=1,IF(G869=1,IF(German_Data!D869=$B$4,0,1),IF(German_Data!E869=$B$5,0,1)),IF(German_Data!E869=$B$5,0,1))</f>
        <v/>
      </c>
      <c r="I869">
        <f>IF(H869=1,"Good","Bad")</f>
        <v/>
      </c>
      <c r="J869">
        <f>--(H869=E869)</f>
        <v/>
      </c>
    </row>
    <row r="870">
      <c r="D870">
        <f>German_Data!A870</f>
        <v/>
      </c>
      <c r="E870">
        <f>German_Data!G870</f>
        <v/>
      </c>
      <c r="F870">
        <f>--(German_Data!B870&lt;=$B$2)</f>
        <v/>
      </c>
      <c r="G870">
        <f>--(German_Data!C870&lt;=$B$3)</f>
        <v/>
      </c>
      <c r="H870">
        <f>IF(F870=1,IF(G870=1,IF(German_Data!D870=$B$4,0,1),IF(German_Data!E870=$B$5,0,1)),IF(German_Data!E870=$B$5,0,1))</f>
        <v/>
      </c>
      <c r="I870">
        <f>IF(H870=1,"Good","Bad")</f>
        <v/>
      </c>
      <c r="J870">
        <f>--(H870=E870)</f>
        <v/>
      </c>
    </row>
    <row r="871">
      <c r="D871">
        <f>German_Data!A871</f>
        <v/>
      </c>
      <c r="E871">
        <f>German_Data!G871</f>
        <v/>
      </c>
      <c r="F871">
        <f>--(German_Data!B871&lt;=$B$2)</f>
        <v/>
      </c>
      <c r="G871">
        <f>--(German_Data!C871&lt;=$B$3)</f>
        <v/>
      </c>
      <c r="H871">
        <f>IF(F871=1,IF(G871=1,IF(German_Data!D871=$B$4,0,1),IF(German_Data!E871=$B$5,0,1)),IF(German_Data!E871=$B$5,0,1))</f>
        <v/>
      </c>
      <c r="I871">
        <f>IF(H871=1,"Good","Bad")</f>
        <v/>
      </c>
      <c r="J871">
        <f>--(H871=E871)</f>
        <v/>
      </c>
    </row>
    <row r="872">
      <c r="D872">
        <f>German_Data!A872</f>
        <v/>
      </c>
      <c r="E872">
        <f>German_Data!G872</f>
        <v/>
      </c>
      <c r="F872">
        <f>--(German_Data!B872&lt;=$B$2)</f>
        <v/>
      </c>
      <c r="G872">
        <f>--(German_Data!C872&lt;=$B$3)</f>
        <v/>
      </c>
      <c r="H872">
        <f>IF(F872=1,IF(G872=1,IF(German_Data!D872=$B$4,0,1),IF(German_Data!E872=$B$5,0,1)),IF(German_Data!E872=$B$5,0,1))</f>
        <v/>
      </c>
      <c r="I872">
        <f>IF(H872=1,"Good","Bad")</f>
        <v/>
      </c>
      <c r="J872">
        <f>--(H872=E872)</f>
        <v/>
      </c>
    </row>
    <row r="873">
      <c r="D873">
        <f>German_Data!A873</f>
        <v/>
      </c>
      <c r="E873">
        <f>German_Data!G873</f>
        <v/>
      </c>
      <c r="F873">
        <f>--(German_Data!B873&lt;=$B$2)</f>
        <v/>
      </c>
      <c r="G873">
        <f>--(German_Data!C873&lt;=$B$3)</f>
        <v/>
      </c>
      <c r="H873">
        <f>IF(F873=1,IF(G873=1,IF(German_Data!D873=$B$4,0,1),IF(German_Data!E873=$B$5,0,1)),IF(German_Data!E873=$B$5,0,1))</f>
        <v/>
      </c>
      <c r="I873">
        <f>IF(H873=1,"Good","Bad")</f>
        <v/>
      </c>
      <c r="J873">
        <f>--(H873=E873)</f>
        <v/>
      </c>
    </row>
    <row r="874">
      <c r="D874">
        <f>German_Data!A874</f>
        <v/>
      </c>
      <c r="E874">
        <f>German_Data!G874</f>
        <v/>
      </c>
      <c r="F874">
        <f>--(German_Data!B874&lt;=$B$2)</f>
        <v/>
      </c>
      <c r="G874">
        <f>--(German_Data!C874&lt;=$B$3)</f>
        <v/>
      </c>
      <c r="H874">
        <f>IF(F874=1,IF(G874=1,IF(German_Data!D874=$B$4,0,1),IF(German_Data!E874=$B$5,0,1)),IF(German_Data!E874=$B$5,0,1))</f>
        <v/>
      </c>
      <c r="I874">
        <f>IF(H874=1,"Good","Bad")</f>
        <v/>
      </c>
      <c r="J874">
        <f>--(H874=E874)</f>
        <v/>
      </c>
    </row>
    <row r="875">
      <c r="D875">
        <f>German_Data!A875</f>
        <v/>
      </c>
      <c r="E875">
        <f>German_Data!G875</f>
        <v/>
      </c>
      <c r="F875">
        <f>--(German_Data!B875&lt;=$B$2)</f>
        <v/>
      </c>
      <c r="G875">
        <f>--(German_Data!C875&lt;=$B$3)</f>
        <v/>
      </c>
      <c r="H875">
        <f>IF(F875=1,IF(G875=1,IF(German_Data!D875=$B$4,0,1),IF(German_Data!E875=$B$5,0,1)),IF(German_Data!E875=$B$5,0,1))</f>
        <v/>
      </c>
      <c r="I875">
        <f>IF(H875=1,"Good","Bad")</f>
        <v/>
      </c>
      <c r="J875">
        <f>--(H875=E875)</f>
        <v/>
      </c>
    </row>
    <row r="876">
      <c r="D876">
        <f>German_Data!A876</f>
        <v/>
      </c>
      <c r="E876">
        <f>German_Data!G876</f>
        <v/>
      </c>
      <c r="F876">
        <f>--(German_Data!B876&lt;=$B$2)</f>
        <v/>
      </c>
      <c r="G876">
        <f>--(German_Data!C876&lt;=$B$3)</f>
        <v/>
      </c>
      <c r="H876">
        <f>IF(F876=1,IF(G876=1,IF(German_Data!D876=$B$4,0,1),IF(German_Data!E876=$B$5,0,1)),IF(German_Data!E876=$B$5,0,1))</f>
        <v/>
      </c>
      <c r="I876">
        <f>IF(H876=1,"Good","Bad")</f>
        <v/>
      </c>
      <c r="J876">
        <f>--(H876=E876)</f>
        <v/>
      </c>
    </row>
    <row r="877">
      <c r="D877">
        <f>German_Data!A877</f>
        <v/>
      </c>
      <c r="E877">
        <f>German_Data!G877</f>
        <v/>
      </c>
      <c r="F877">
        <f>--(German_Data!B877&lt;=$B$2)</f>
        <v/>
      </c>
      <c r="G877">
        <f>--(German_Data!C877&lt;=$B$3)</f>
        <v/>
      </c>
      <c r="H877">
        <f>IF(F877=1,IF(G877=1,IF(German_Data!D877=$B$4,0,1),IF(German_Data!E877=$B$5,0,1)),IF(German_Data!E877=$B$5,0,1))</f>
        <v/>
      </c>
      <c r="I877">
        <f>IF(H877=1,"Good","Bad")</f>
        <v/>
      </c>
      <c r="J877">
        <f>--(H877=E877)</f>
        <v/>
      </c>
    </row>
    <row r="878">
      <c r="D878">
        <f>German_Data!A878</f>
        <v/>
      </c>
      <c r="E878">
        <f>German_Data!G878</f>
        <v/>
      </c>
      <c r="F878">
        <f>--(German_Data!B878&lt;=$B$2)</f>
        <v/>
      </c>
      <c r="G878">
        <f>--(German_Data!C878&lt;=$B$3)</f>
        <v/>
      </c>
      <c r="H878">
        <f>IF(F878=1,IF(G878=1,IF(German_Data!D878=$B$4,0,1),IF(German_Data!E878=$B$5,0,1)),IF(German_Data!E878=$B$5,0,1))</f>
        <v/>
      </c>
      <c r="I878">
        <f>IF(H878=1,"Good","Bad")</f>
        <v/>
      </c>
      <c r="J878">
        <f>--(H878=E878)</f>
        <v/>
      </c>
    </row>
    <row r="879">
      <c r="D879">
        <f>German_Data!A879</f>
        <v/>
      </c>
      <c r="E879">
        <f>German_Data!G879</f>
        <v/>
      </c>
      <c r="F879">
        <f>--(German_Data!B879&lt;=$B$2)</f>
        <v/>
      </c>
      <c r="G879">
        <f>--(German_Data!C879&lt;=$B$3)</f>
        <v/>
      </c>
      <c r="H879">
        <f>IF(F879=1,IF(G879=1,IF(German_Data!D879=$B$4,0,1),IF(German_Data!E879=$B$5,0,1)),IF(German_Data!E879=$B$5,0,1))</f>
        <v/>
      </c>
      <c r="I879">
        <f>IF(H879=1,"Good","Bad")</f>
        <v/>
      </c>
      <c r="J879">
        <f>--(H879=E879)</f>
        <v/>
      </c>
    </row>
    <row r="880">
      <c r="D880">
        <f>German_Data!A880</f>
        <v/>
      </c>
      <c r="E880">
        <f>German_Data!G880</f>
        <v/>
      </c>
      <c r="F880">
        <f>--(German_Data!B880&lt;=$B$2)</f>
        <v/>
      </c>
      <c r="G880">
        <f>--(German_Data!C880&lt;=$B$3)</f>
        <v/>
      </c>
      <c r="H880">
        <f>IF(F880=1,IF(G880=1,IF(German_Data!D880=$B$4,0,1),IF(German_Data!E880=$B$5,0,1)),IF(German_Data!E880=$B$5,0,1))</f>
        <v/>
      </c>
      <c r="I880">
        <f>IF(H880=1,"Good","Bad")</f>
        <v/>
      </c>
      <c r="J880">
        <f>--(H880=E880)</f>
        <v/>
      </c>
    </row>
    <row r="881">
      <c r="D881">
        <f>German_Data!A881</f>
        <v/>
      </c>
      <c r="E881">
        <f>German_Data!G881</f>
        <v/>
      </c>
      <c r="F881">
        <f>--(German_Data!B881&lt;=$B$2)</f>
        <v/>
      </c>
      <c r="G881">
        <f>--(German_Data!C881&lt;=$B$3)</f>
        <v/>
      </c>
      <c r="H881">
        <f>IF(F881=1,IF(G881=1,IF(German_Data!D881=$B$4,0,1),IF(German_Data!E881=$B$5,0,1)),IF(German_Data!E881=$B$5,0,1))</f>
        <v/>
      </c>
      <c r="I881">
        <f>IF(H881=1,"Good","Bad")</f>
        <v/>
      </c>
      <c r="J881">
        <f>--(H881=E881)</f>
        <v/>
      </c>
    </row>
    <row r="882">
      <c r="D882">
        <f>German_Data!A882</f>
        <v/>
      </c>
      <c r="E882">
        <f>German_Data!G882</f>
        <v/>
      </c>
      <c r="F882">
        <f>--(German_Data!B882&lt;=$B$2)</f>
        <v/>
      </c>
      <c r="G882">
        <f>--(German_Data!C882&lt;=$B$3)</f>
        <v/>
      </c>
      <c r="H882">
        <f>IF(F882=1,IF(G882=1,IF(German_Data!D882=$B$4,0,1),IF(German_Data!E882=$B$5,0,1)),IF(German_Data!E882=$B$5,0,1))</f>
        <v/>
      </c>
      <c r="I882">
        <f>IF(H882=1,"Good","Bad")</f>
        <v/>
      </c>
      <c r="J882">
        <f>--(H882=E882)</f>
        <v/>
      </c>
    </row>
    <row r="883">
      <c r="D883">
        <f>German_Data!A883</f>
        <v/>
      </c>
      <c r="E883">
        <f>German_Data!G883</f>
        <v/>
      </c>
      <c r="F883">
        <f>--(German_Data!B883&lt;=$B$2)</f>
        <v/>
      </c>
      <c r="G883">
        <f>--(German_Data!C883&lt;=$B$3)</f>
        <v/>
      </c>
      <c r="H883">
        <f>IF(F883=1,IF(G883=1,IF(German_Data!D883=$B$4,0,1),IF(German_Data!E883=$B$5,0,1)),IF(German_Data!E883=$B$5,0,1))</f>
        <v/>
      </c>
      <c r="I883">
        <f>IF(H883=1,"Good","Bad")</f>
        <v/>
      </c>
      <c r="J883">
        <f>--(H883=E883)</f>
        <v/>
      </c>
    </row>
    <row r="884">
      <c r="D884">
        <f>German_Data!A884</f>
        <v/>
      </c>
      <c r="E884">
        <f>German_Data!G884</f>
        <v/>
      </c>
      <c r="F884">
        <f>--(German_Data!B884&lt;=$B$2)</f>
        <v/>
      </c>
      <c r="G884">
        <f>--(German_Data!C884&lt;=$B$3)</f>
        <v/>
      </c>
      <c r="H884">
        <f>IF(F884=1,IF(G884=1,IF(German_Data!D884=$B$4,0,1),IF(German_Data!E884=$B$5,0,1)),IF(German_Data!E884=$B$5,0,1))</f>
        <v/>
      </c>
      <c r="I884">
        <f>IF(H884=1,"Good","Bad")</f>
        <v/>
      </c>
      <c r="J884">
        <f>--(H884=E884)</f>
        <v/>
      </c>
    </row>
    <row r="885">
      <c r="D885">
        <f>German_Data!A885</f>
        <v/>
      </c>
      <c r="E885">
        <f>German_Data!G885</f>
        <v/>
      </c>
      <c r="F885">
        <f>--(German_Data!B885&lt;=$B$2)</f>
        <v/>
      </c>
      <c r="G885">
        <f>--(German_Data!C885&lt;=$B$3)</f>
        <v/>
      </c>
      <c r="H885">
        <f>IF(F885=1,IF(G885=1,IF(German_Data!D885=$B$4,0,1),IF(German_Data!E885=$B$5,0,1)),IF(German_Data!E885=$B$5,0,1))</f>
        <v/>
      </c>
      <c r="I885">
        <f>IF(H885=1,"Good","Bad")</f>
        <v/>
      </c>
      <c r="J885">
        <f>--(H885=E885)</f>
        <v/>
      </c>
    </row>
    <row r="886">
      <c r="D886">
        <f>German_Data!A886</f>
        <v/>
      </c>
      <c r="E886">
        <f>German_Data!G886</f>
        <v/>
      </c>
      <c r="F886">
        <f>--(German_Data!B886&lt;=$B$2)</f>
        <v/>
      </c>
      <c r="G886">
        <f>--(German_Data!C886&lt;=$B$3)</f>
        <v/>
      </c>
      <c r="H886">
        <f>IF(F886=1,IF(G886=1,IF(German_Data!D886=$B$4,0,1),IF(German_Data!E886=$B$5,0,1)),IF(German_Data!E886=$B$5,0,1))</f>
        <v/>
      </c>
      <c r="I886">
        <f>IF(H886=1,"Good","Bad")</f>
        <v/>
      </c>
      <c r="J886">
        <f>--(H886=E886)</f>
        <v/>
      </c>
    </row>
    <row r="887">
      <c r="D887">
        <f>German_Data!A887</f>
        <v/>
      </c>
      <c r="E887">
        <f>German_Data!G887</f>
        <v/>
      </c>
      <c r="F887">
        <f>--(German_Data!B887&lt;=$B$2)</f>
        <v/>
      </c>
      <c r="G887">
        <f>--(German_Data!C887&lt;=$B$3)</f>
        <v/>
      </c>
      <c r="H887">
        <f>IF(F887=1,IF(G887=1,IF(German_Data!D887=$B$4,0,1),IF(German_Data!E887=$B$5,0,1)),IF(German_Data!E887=$B$5,0,1))</f>
        <v/>
      </c>
      <c r="I887">
        <f>IF(H887=1,"Good","Bad")</f>
        <v/>
      </c>
      <c r="J887">
        <f>--(H887=E887)</f>
        <v/>
      </c>
    </row>
    <row r="888">
      <c r="D888">
        <f>German_Data!A888</f>
        <v/>
      </c>
      <c r="E888">
        <f>German_Data!G888</f>
        <v/>
      </c>
      <c r="F888">
        <f>--(German_Data!B888&lt;=$B$2)</f>
        <v/>
      </c>
      <c r="G888">
        <f>--(German_Data!C888&lt;=$B$3)</f>
        <v/>
      </c>
      <c r="H888">
        <f>IF(F888=1,IF(G888=1,IF(German_Data!D888=$B$4,0,1),IF(German_Data!E888=$B$5,0,1)),IF(German_Data!E888=$B$5,0,1))</f>
        <v/>
      </c>
      <c r="I888">
        <f>IF(H888=1,"Good","Bad")</f>
        <v/>
      </c>
      <c r="J888">
        <f>--(H888=E888)</f>
        <v/>
      </c>
    </row>
    <row r="889">
      <c r="D889">
        <f>German_Data!A889</f>
        <v/>
      </c>
      <c r="E889">
        <f>German_Data!G889</f>
        <v/>
      </c>
      <c r="F889">
        <f>--(German_Data!B889&lt;=$B$2)</f>
        <v/>
      </c>
      <c r="G889">
        <f>--(German_Data!C889&lt;=$B$3)</f>
        <v/>
      </c>
      <c r="H889">
        <f>IF(F889=1,IF(G889=1,IF(German_Data!D889=$B$4,0,1),IF(German_Data!E889=$B$5,0,1)),IF(German_Data!E889=$B$5,0,1))</f>
        <v/>
      </c>
      <c r="I889">
        <f>IF(H889=1,"Good","Bad")</f>
        <v/>
      </c>
      <c r="J889">
        <f>--(H889=E889)</f>
        <v/>
      </c>
    </row>
    <row r="890">
      <c r="D890">
        <f>German_Data!A890</f>
        <v/>
      </c>
      <c r="E890">
        <f>German_Data!G890</f>
        <v/>
      </c>
      <c r="F890">
        <f>--(German_Data!B890&lt;=$B$2)</f>
        <v/>
      </c>
      <c r="G890">
        <f>--(German_Data!C890&lt;=$B$3)</f>
        <v/>
      </c>
      <c r="H890">
        <f>IF(F890=1,IF(G890=1,IF(German_Data!D890=$B$4,0,1),IF(German_Data!E890=$B$5,0,1)),IF(German_Data!E890=$B$5,0,1))</f>
        <v/>
      </c>
      <c r="I890">
        <f>IF(H890=1,"Good","Bad")</f>
        <v/>
      </c>
      <c r="J890">
        <f>--(H890=E890)</f>
        <v/>
      </c>
    </row>
    <row r="891">
      <c r="D891">
        <f>German_Data!A891</f>
        <v/>
      </c>
      <c r="E891">
        <f>German_Data!G891</f>
        <v/>
      </c>
      <c r="F891">
        <f>--(German_Data!B891&lt;=$B$2)</f>
        <v/>
      </c>
      <c r="G891">
        <f>--(German_Data!C891&lt;=$B$3)</f>
        <v/>
      </c>
      <c r="H891">
        <f>IF(F891=1,IF(G891=1,IF(German_Data!D891=$B$4,0,1),IF(German_Data!E891=$B$5,0,1)),IF(German_Data!E891=$B$5,0,1))</f>
        <v/>
      </c>
      <c r="I891">
        <f>IF(H891=1,"Good","Bad")</f>
        <v/>
      </c>
      <c r="J891">
        <f>--(H891=E891)</f>
        <v/>
      </c>
    </row>
    <row r="892">
      <c r="D892">
        <f>German_Data!A892</f>
        <v/>
      </c>
      <c r="E892">
        <f>German_Data!G892</f>
        <v/>
      </c>
      <c r="F892">
        <f>--(German_Data!B892&lt;=$B$2)</f>
        <v/>
      </c>
      <c r="G892">
        <f>--(German_Data!C892&lt;=$B$3)</f>
        <v/>
      </c>
      <c r="H892">
        <f>IF(F892=1,IF(G892=1,IF(German_Data!D892=$B$4,0,1),IF(German_Data!E892=$B$5,0,1)),IF(German_Data!E892=$B$5,0,1))</f>
        <v/>
      </c>
      <c r="I892">
        <f>IF(H892=1,"Good","Bad")</f>
        <v/>
      </c>
      <c r="J892">
        <f>--(H892=E892)</f>
        <v/>
      </c>
    </row>
    <row r="893">
      <c r="D893">
        <f>German_Data!A893</f>
        <v/>
      </c>
      <c r="E893">
        <f>German_Data!G893</f>
        <v/>
      </c>
      <c r="F893">
        <f>--(German_Data!B893&lt;=$B$2)</f>
        <v/>
      </c>
      <c r="G893">
        <f>--(German_Data!C893&lt;=$B$3)</f>
        <v/>
      </c>
      <c r="H893">
        <f>IF(F893=1,IF(G893=1,IF(German_Data!D893=$B$4,0,1),IF(German_Data!E893=$B$5,0,1)),IF(German_Data!E893=$B$5,0,1))</f>
        <v/>
      </c>
      <c r="I893">
        <f>IF(H893=1,"Good","Bad")</f>
        <v/>
      </c>
      <c r="J893">
        <f>--(H893=E893)</f>
        <v/>
      </c>
    </row>
    <row r="894">
      <c r="D894">
        <f>German_Data!A894</f>
        <v/>
      </c>
      <c r="E894">
        <f>German_Data!G894</f>
        <v/>
      </c>
      <c r="F894">
        <f>--(German_Data!B894&lt;=$B$2)</f>
        <v/>
      </c>
      <c r="G894">
        <f>--(German_Data!C894&lt;=$B$3)</f>
        <v/>
      </c>
      <c r="H894">
        <f>IF(F894=1,IF(G894=1,IF(German_Data!D894=$B$4,0,1),IF(German_Data!E894=$B$5,0,1)),IF(German_Data!E894=$B$5,0,1))</f>
        <v/>
      </c>
      <c r="I894">
        <f>IF(H894=1,"Good","Bad")</f>
        <v/>
      </c>
      <c r="J894">
        <f>--(H894=E894)</f>
        <v/>
      </c>
    </row>
    <row r="895">
      <c r="D895">
        <f>German_Data!A895</f>
        <v/>
      </c>
      <c r="E895">
        <f>German_Data!G895</f>
        <v/>
      </c>
      <c r="F895">
        <f>--(German_Data!B895&lt;=$B$2)</f>
        <v/>
      </c>
      <c r="G895">
        <f>--(German_Data!C895&lt;=$B$3)</f>
        <v/>
      </c>
      <c r="H895">
        <f>IF(F895=1,IF(G895=1,IF(German_Data!D895=$B$4,0,1),IF(German_Data!E895=$B$5,0,1)),IF(German_Data!E895=$B$5,0,1))</f>
        <v/>
      </c>
      <c r="I895">
        <f>IF(H895=1,"Good","Bad")</f>
        <v/>
      </c>
      <c r="J895">
        <f>--(H895=E895)</f>
        <v/>
      </c>
    </row>
    <row r="896">
      <c r="D896">
        <f>German_Data!A896</f>
        <v/>
      </c>
      <c r="E896">
        <f>German_Data!G896</f>
        <v/>
      </c>
      <c r="F896">
        <f>--(German_Data!B896&lt;=$B$2)</f>
        <v/>
      </c>
      <c r="G896">
        <f>--(German_Data!C896&lt;=$B$3)</f>
        <v/>
      </c>
      <c r="H896">
        <f>IF(F896=1,IF(G896=1,IF(German_Data!D896=$B$4,0,1),IF(German_Data!E896=$B$5,0,1)),IF(German_Data!E896=$B$5,0,1))</f>
        <v/>
      </c>
      <c r="I896">
        <f>IF(H896=1,"Good","Bad")</f>
        <v/>
      </c>
      <c r="J896">
        <f>--(H896=E896)</f>
        <v/>
      </c>
    </row>
    <row r="897">
      <c r="D897">
        <f>German_Data!A897</f>
        <v/>
      </c>
      <c r="E897">
        <f>German_Data!G897</f>
        <v/>
      </c>
      <c r="F897">
        <f>--(German_Data!B897&lt;=$B$2)</f>
        <v/>
      </c>
      <c r="G897">
        <f>--(German_Data!C897&lt;=$B$3)</f>
        <v/>
      </c>
      <c r="H897">
        <f>IF(F897=1,IF(G897=1,IF(German_Data!D897=$B$4,0,1),IF(German_Data!E897=$B$5,0,1)),IF(German_Data!E897=$B$5,0,1))</f>
        <v/>
      </c>
      <c r="I897">
        <f>IF(H897=1,"Good","Bad")</f>
        <v/>
      </c>
      <c r="J897">
        <f>--(H897=E897)</f>
        <v/>
      </c>
    </row>
    <row r="898">
      <c r="D898">
        <f>German_Data!A898</f>
        <v/>
      </c>
      <c r="E898">
        <f>German_Data!G898</f>
        <v/>
      </c>
      <c r="F898">
        <f>--(German_Data!B898&lt;=$B$2)</f>
        <v/>
      </c>
      <c r="G898">
        <f>--(German_Data!C898&lt;=$B$3)</f>
        <v/>
      </c>
      <c r="H898">
        <f>IF(F898=1,IF(G898=1,IF(German_Data!D898=$B$4,0,1),IF(German_Data!E898=$B$5,0,1)),IF(German_Data!E898=$B$5,0,1))</f>
        <v/>
      </c>
      <c r="I898">
        <f>IF(H898=1,"Good","Bad")</f>
        <v/>
      </c>
      <c r="J898">
        <f>--(H898=E898)</f>
        <v/>
      </c>
    </row>
    <row r="899">
      <c r="D899">
        <f>German_Data!A899</f>
        <v/>
      </c>
      <c r="E899">
        <f>German_Data!G899</f>
        <v/>
      </c>
      <c r="F899">
        <f>--(German_Data!B899&lt;=$B$2)</f>
        <v/>
      </c>
      <c r="G899">
        <f>--(German_Data!C899&lt;=$B$3)</f>
        <v/>
      </c>
      <c r="H899">
        <f>IF(F899=1,IF(G899=1,IF(German_Data!D899=$B$4,0,1),IF(German_Data!E899=$B$5,0,1)),IF(German_Data!E899=$B$5,0,1))</f>
        <v/>
      </c>
      <c r="I899">
        <f>IF(H899=1,"Good","Bad")</f>
        <v/>
      </c>
      <c r="J899">
        <f>--(H899=E899)</f>
        <v/>
      </c>
    </row>
    <row r="900">
      <c r="D900">
        <f>German_Data!A900</f>
        <v/>
      </c>
      <c r="E900">
        <f>German_Data!G900</f>
        <v/>
      </c>
      <c r="F900">
        <f>--(German_Data!B900&lt;=$B$2)</f>
        <v/>
      </c>
      <c r="G900">
        <f>--(German_Data!C900&lt;=$B$3)</f>
        <v/>
      </c>
      <c r="H900">
        <f>IF(F900=1,IF(G900=1,IF(German_Data!D900=$B$4,0,1),IF(German_Data!E900=$B$5,0,1)),IF(German_Data!E900=$B$5,0,1))</f>
        <v/>
      </c>
      <c r="I900">
        <f>IF(H900=1,"Good","Bad")</f>
        <v/>
      </c>
      <c r="J900">
        <f>--(H900=E900)</f>
        <v/>
      </c>
    </row>
    <row r="901">
      <c r="D901">
        <f>German_Data!A901</f>
        <v/>
      </c>
      <c r="E901">
        <f>German_Data!G901</f>
        <v/>
      </c>
      <c r="F901">
        <f>--(German_Data!B901&lt;=$B$2)</f>
        <v/>
      </c>
      <c r="G901">
        <f>--(German_Data!C901&lt;=$B$3)</f>
        <v/>
      </c>
      <c r="H901">
        <f>IF(F901=1,IF(G901=1,IF(German_Data!D901=$B$4,0,1),IF(German_Data!E901=$B$5,0,1)),IF(German_Data!E901=$B$5,0,1))</f>
        <v/>
      </c>
      <c r="I901">
        <f>IF(H901=1,"Good","Bad")</f>
        <v/>
      </c>
      <c r="J901">
        <f>--(H901=E901)</f>
        <v/>
      </c>
    </row>
    <row r="902">
      <c r="D902">
        <f>German_Data!A902</f>
        <v/>
      </c>
      <c r="E902">
        <f>German_Data!G902</f>
        <v/>
      </c>
      <c r="F902">
        <f>--(German_Data!B902&lt;=$B$2)</f>
        <v/>
      </c>
      <c r="G902">
        <f>--(German_Data!C902&lt;=$B$3)</f>
        <v/>
      </c>
      <c r="H902">
        <f>IF(F902=1,IF(G902=1,IF(German_Data!D902=$B$4,0,1),IF(German_Data!E902=$B$5,0,1)),IF(German_Data!E902=$B$5,0,1))</f>
        <v/>
      </c>
      <c r="I902">
        <f>IF(H902=1,"Good","Bad")</f>
        <v/>
      </c>
      <c r="J902">
        <f>--(H902=E902)</f>
        <v/>
      </c>
    </row>
    <row r="903">
      <c r="D903">
        <f>German_Data!A903</f>
        <v/>
      </c>
      <c r="E903">
        <f>German_Data!G903</f>
        <v/>
      </c>
      <c r="F903">
        <f>--(German_Data!B903&lt;=$B$2)</f>
        <v/>
      </c>
      <c r="G903">
        <f>--(German_Data!C903&lt;=$B$3)</f>
        <v/>
      </c>
      <c r="H903">
        <f>IF(F903=1,IF(G903=1,IF(German_Data!D903=$B$4,0,1),IF(German_Data!E903=$B$5,0,1)),IF(German_Data!E903=$B$5,0,1))</f>
        <v/>
      </c>
      <c r="I903">
        <f>IF(H903=1,"Good","Bad")</f>
        <v/>
      </c>
      <c r="J903">
        <f>--(H903=E903)</f>
        <v/>
      </c>
    </row>
    <row r="904">
      <c r="D904">
        <f>German_Data!A904</f>
        <v/>
      </c>
      <c r="E904">
        <f>German_Data!G904</f>
        <v/>
      </c>
      <c r="F904">
        <f>--(German_Data!B904&lt;=$B$2)</f>
        <v/>
      </c>
      <c r="G904">
        <f>--(German_Data!C904&lt;=$B$3)</f>
        <v/>
      </c>
      <c r="H904">
        <f>IF(F904=1,IF(G904=1,IF(German_Data!D904=$B$4,0,1),IF(German_Data!E904=$B$5,0,1)),IF(German_Data!E904=$B$5,0,1))</f>
        <v/>
      </c>
      <c r="I904">
        <f>IF(H904=1,"Good","Bad")</f>
        <v/>
      </c>
      <c r="J904">
        <f>--(H904=E904)</f>
        <v/>
      </c>
    </row>
    <row r="905">
      <c r="D905">
        <f>German_Data!A905</f>
        <v/>
      </c>
      <c r="E905">
        <f>German_Data!G905</f>
        <v/>
      </c>
      <c r="F905">
        <f>--(German_Data!B905&lt;=$B$2)</f>
        <v/>
      </c>
      <c r="G905">
        <f>--(German_Data!C905&lt;=$B$3)</f>
        <v/>
      </c>
      <c r="H905">
        <f>IF(F905=1,IF(G905=1,IF(German_Data!D905=$B$4,0,1),IF(German_Data!E905=$B$5,0,1)),IF(German_Data!E905=$B$5,0,1))</f>
        <v/>
      </c>
      <c r="I905">
        <f>IF(H905=1,"Good","Bad")</f>
        <v/>
      </c>
      <c r="J905">
        <f>--(H905=E905)</f>
        <v/>
      </c>
    </row>
    <row r="906">
      <c r="D906">
        <f>German_Data!A906</f>
        <v/>
      </c>
      <c r="E906">
        <f>German_Data!G906</f>
        <v/>
      </c>
      <c r="F906">
        <f>--(German_Data!B906&lt;=$B$2)</f>
        <v/>
      </c>
      <c r="G906">
        <f>--(German_Data!C906&lt;=$B$3)</f>
        <v/>
      </c>
      <c r="H906">
        <f>IF(F906=1,IF(G906=1,IF(German_Data!D906=$B$4,0,1),IF(German_Data!E906=$B$5,0,1)),IF(German_Data!E906=$B$5,0,1))</f>
        <v/>
      </c>
      <c r="I906">
        <f>IF(H906=1,"Good","Bad")</f>
        <v/>
      </c>
      <c r="J906">
        <f>--(H906=E906)</f>
        <v/>
      </c>
    </row>
    <row r="907">
      <c r="D907">
        <f>German_Data!A907</f>
        <v/>
      </c>
      <c r="E907">
        <f>German_Data!G907</f>
        <v/>
      </c>
      <c r="F907">
        <f>--(German_Data!B907&lt;=$B$2)</f>
        <v/>
      </c>
      <c r="G907">
        <f>--(German_Data!C907&lt;=$B$3)</f>
        <v/>
      </c>
      <c r="H907">
        <f>IF(F907=1,IF(G907=1,IF(German_Data!D907=$B$4,0,1),IF(German_Data!E907=$B$5,0,1)),IF(German_Data!E907=$B$5,0,1))</f>
        <v/>
      </c>
      <c r="I907">
        <f>IF(H907=1,"Good","Bad")</f>
        <v/>
      </c>
      <c r="J907">
        <f>--(H907=E907)</f>
        <v/>
      </c>
    </row>
    <row r="908">
      <c r="D908">
        <f>German_Data!A908</f>
        <v/>
      </c>
      <c r="E908">
        <f>German_Data!G908</f>
        <v/>
      </c>
      <c r="F908">
        <f>--(German_Data!B908&lt;=$B$2)</f>
        <v/>
      </c>
      <c r="G908">
        <f>--(German_Data!C908&lt;=$B$3)</f>
        <v/>
      </c>
      <c r="H908">
        <f>IF(F908=1,IF(G908=1,IF(German_Data!D908=$B$4,0,1),IF(German_Data!E908=$B$5,0,1)),IF(German_Data!E908=$B$5,0,1))</f>
        <v/>
      </c>
      <c r="I908">
        <f>IF(H908=1,"Good","Bad")</f>
        <v/>
      </c>
      <c r="J908">
        <f>--(H908=E908)</f>
        <v/>
      </c>
    </row>
    <row r="909">
      <c r="D909">
        <f>German_Data!A909</f>
        <v/>
      </c>
      <c r="E909">
        <f>German_Data!G909</f>
        <v/>
      </c>
      <c r="F909">
        <f>--(German_Data!B909&lt;=$B$2)</f>
        <v/>
      </c>
      <c r="G909">
        <f>--(German_Data!C909&lt;=$B$3)</f>
        <v/>
      </c>
      <c r="H909">
        <f>IF(F909=1,IF(G909=1,IF(German_Data!D909=$B$4,0,1),IF(German_Data!E909=$B$5,0,1)),IF(German_Data!E909=$B$5,0,1))</f>
        <v/>
      </c>
      <c r="I909">
        <f>IF(H909=1,"Good","Bad")</f>
        <v/>
      </c>
      <c r="J909">
        <f>--(H909=E909)</f>
        <v/>
      </c>
    </row>
    <row r="910">
      <c r="D910">
        <f>German_Data!A910</f>
        <v/>
      </c>
      <c r="E910">
        <f>German_Data!G910</f>
        <v/>
      </c>
      <c r="F910">
        <f>--(German_Data!B910&lt;=$B$2)</f>
        <v/>
      </c>
      <c r="G910">
        <f>--(German_Data!C910&lt;=$B$3)</f>
        <v/>
      </c>
      <c r="H910">
        <f>IF(F910=1,IF(G910=1,IF(German_Data!D910=$B$4,0,1),IF(German_Data!E910=$B$5,0,1)),IF(German_Data!E910=$B$5,0,1))</f>
        <v/>
      </c>
      <c r="I910">
        <f>IF(H910=1,"Good","Bad")</f>
        <v/>
      </c>
      <c r="J910">
        <f>--(H910=E910)</f>
        <v/>
      </c>
    </row>
    <row r="911">
      <c r="D911">
        <f>German_Data!A911</f>
        <v/>
      </c>
      <c r="E911">
        <f>German_Data!G911</f>
        <v/>
      </c>
      <c r="F911">
        <f>--(German_Data!B911&lt;=$B$2)</f>
        <v/>
      </c>
      <c r="G911">
        <f>--(German_Data!C911&lt;=$B$3)</f>
        <v/>
      </c>
      <c r="H911">
        <f>IF(F911=1,IF(G911=1,IF(German_Data!D911=$B$4,0,1),IF(German_Data!E911=$B$5,0,1)),IF(German_Data!E911=$B$5,0,1))</f>
        <v/>
      </c>
      <c r="I911">
        <f>IF(H911=1,"Good","Bad")</f>
        <v/>
      </c>
      <c r="J911">
        <f>--(H911=E911)</f>
        <v/>
      </c>
    </row>
    <row r="912">
      <c r="D912">
        <f>German_Data!A912</f>
        <v/>
      </c>
      <c r="E912">
        <f>German_Data!G912</f>
        <v/>
      </c>
      <c r="F912">
        <f>--(German_Data!B912&lt;=$B$2)</f>
        <v/>
      </c>
      <c r="G912">
        <f>--(German_Data!C912&lt;=$B$3)</f>
        <v/>
      </c>
      <c r="H912">
        <f>IF(F912=1,IF(G912=1,IF(German_Data!D912=$B$4,0,1),IF(German_Data!E912=$B$5,0,1)),IF(German_Data!E912=$B$5,0,1))</f>
        <v/>
      </c>
      <c r="I912">
        <f>IF(H912=1,"Good","Bad")</f>
        <v/>
      </c>
      <c r="J912">
        <f>--(H912=E912)</f>
        <v/>
      </c>
    </row>
    <row r="913">
      <c r="D913">
        <f>German_Data!A913</f>
        <v/>
      </c>
      <c r="E913">
        <f>German_Data!G913</f>
        <v/>
      </c>
      <c r="F913">
        <f>--(German_Data!B913&lt;=$B$2)</f>
        <v/>
      </c>
      <c r="G913">
        <f>--(German_Data!C913&lt;=$B$3)</f>
        <v/>
      </c>
      <c r="H913">
        <f>IF(F913=1,IF(G913=1,IF(German_Data!D913=$B$4,0,1),IF(German_Data!E913=$B$5,0,1)),IF(German_Data!E913=$B$5,0,1))</f>
        <v/>
      </c>
      <c r="I913">
        <f>IF(H913=1,"Good","Bad")</f>
        <v/>
      </c>
      <c r="J913">
        <f>--(H913=E913)</f>
        <v/>
      </c>
    </row>
    <row r="914">
      <c r="D914">
        <f>German_Data!A914</f>
        <v/>
      </c>
      <c r="E914">
        <f>German_Data!G914</f>
        <v/>
      </c>
      <c r="F914">
        <f>--(German_Data!B914&lt;=$B$2)</f>
        <v/>
      </c>
      <c r="G914">
        <f>--(German_Data!C914&lt;=$B$3)</f>
        <v/>
      </c>
      <c r="H914">
        <f>IF(F914=1,IF(G914=1,IF(German_Data!D914=$B$4,0,1),IF(German_Data!E914=$B$5,0,1)),IF(German_Data!E914=$B$5,0,1))</f>
        <v/>
      </c>
      <c r="I914">
        <f>IF(H914=1,"Good","Bad")</f>
        <v/>
      </c>
      <c r="J914">
        <f>--(H914=E914)</f>
        <v/>
      </c>
    </row>
    <row r="915">
      <c r="D915">
        <f>German_Data!A915</f>
        <v/>
      </c>
      <c r="E915">
        <f>German_Data!G915</f>
        <v/>
      </c>
      <c r="F915">
        <f>--(German_Data!B915&lt;=$B$2)</f>
        <v/>
      </c>
      <c r="G915">
        <f>--(German_Data!C915&lt;=$B$3)</f>
        <v/>
      </c>
      <c r="H915">
        <f>IF(F915=1,IF(G915=1,IF(German_Data!D915=$B$4,0,1),IF(German_Data!E915=$B$5,0,1)),IF(German_Data!E915=$B$5,0,1))</f>
        <v/>
      </c>
      <c r="I915">
        <f>IF(H915=1,"Good","Bad")</f>
        <v/>
      </c>
      <c r="J915">
        <f>--(H915=E915)</f>
        <v/>
      </c>
    </row>
    <row r="916">
      <c r="D916">
        <f>German_Data!A916</f>
        <v/>
      </c>
      <c r="E916">
        <f>German_Data!G916</f>
        <v/>
      </c>
      <c r="F916">
        <f>--(German_Data!B916&lt;=$B$2)</f>
        <v/>
      </c>
      <c r="G916">
        <f>--(German_Data!C916&lt;=$B$3)</f>
        <v/>
      </c>
      <c r="H916">
        <f>IF(F916=1,IF(G916=1,IF(German_Data!D916=$B$4,0,1),IF(German_Data!E916=$B$5,0,1)),IF(German_Data!E916=$B$5,0,1))</f>
        <v/>
      </c>
      <c r="I916">
        <f>IF(H916=1,"Good","Bad")</f>
        <v/>
      </c>
      <c r="J916">
        <f>--(H916=E916)</f>
        <v/>
      </c>
    </row>
    <row r="917">
      <c r="D917">
        <f>German_Data!A917</f>
        <v/>
      </c>
      <c r="E917">
        <f>German_Data!G917</f>
        <v/>
      </c>
      <c r="F917">
        <f>--(German_Data!B917&lt;=$B$2)</f>
        <v/>
      </c>
      <c r="G917">
        <f>--(German_Data!C917&lt;=$B$3)</f>
        <v/>
      </c>
      <c r="H917">
        <f>IF(F917=1,IF(G917=1,IF(German_Data!D917=$B$4,0,1),IF(German_Data!E917=$B$5,0,1)),IF(German_Data!E917=$B$5,0,1))</f>
        <v/>
      </c>
      <c r="I917">
        <f>IF(H917=1,"Good","Bad")</f>
        <v/>
      </c>
      <c r="J917">
        <f>--(H917=E917)</f>
        <v/>
      </c>
    </row>
    <row r="918">
      <c r="D918">
        <f>German_Data!A918</f>
        <v/>
      </c>
      <c r="E918">
        <f>German_Data!G918</f>
        <v/>
      </c>
      <c r="F918">
        <f>--(German_Data!B918&lt;=$B$2)</f>
        <v/>
      </c>
      <c r="G918">
        <f>--(German_Data!C918&lt;=$B$3)</f>
        <v/>
      </c>
      <c r="H918">
        <f>IF(F918=1,IF(G918=1,IF(German_Data!D918=$B$4,0,1),IF(German_Data!E918=$B$5,0,1)),IF(German_Data!E918=$B$5,0,1))</f>
        <v/>
      </c>
      <c r="I918">
        <f>IF(H918=1,"Good","Bad")</f>
        <v/>
      </c>
      <c r="J918">
        <f>--(H918=E918)</f>
        <v/>
      </c>
    </row>
    <row r="919">
      <c r="D919">
        <f>German_Data!A919</f>
        <v/>
      </c>
      <c r="E919">
        <f>German_Data!G919</f>
        <v/>
      </c>
      <c r="F919">
        <f>--(German_Data!B919&lt;=$B$2)</f>
        <v/>
      </c>
      <c r="G919">
        <f>--(German_Data!C919&lt;=$B$3)</f>
        <v/>
      </c>
      <c r="H919">
        <f>IF(F919=1,IF(G919=1,IF(German_Data!D919=$B$4,0,1),IF(German_Data!E919=$B$5,0,1)),IF(German_Data!E919=$B$5,0,1))</f>
        <v/>
      </c>
      <c r="I919">
        <f>IF(H919=1,"Good","Bad")</f>
        <v/>
      </c>
      <c r="J919">
        <f>--(H919=E919)</f>
        <v/>
      </c>
    </row>
    <row r="920">
      <c r="D920">
        <f>German_Data!A920</f>
        <v/>
      </c>
      <c r="E920">
        <f>German_Data!G920</f>
        <v/>
      </c>
      <c r="F920">
        <f>--(German_Data!B920&lt;=$B$2)</f>
        <v/>
      </c>
      <c r="G920">
        <f>--(German_Data!C920&lt;=$B$3)</f>
        <v/>
      </c>
      <c r="H920">
        <f>IF(F920=1,IF(G920=1,IF(German_Data!D920=$B$4,0,1),IF(German_Data!E920=$B$5,0,1)),IF(German_Data!E920=$B$5,0,1))</f>
        <v/>
      </c>
      <c r="I920">
        <f>IF(H920=1,"Good","Bad")</f>
        <v/>
      </c>
      <c r="J920">
        <f>--(H920=E920)</f>
        <v/>
      </c>
    </row>
    <row r="921">
      <c r="D921">
        <f>German_Data!A921</f>
        <v/>
      </c>
      <c r="E921">
        <f>German_Data!G921</f>
        <v/>
      </c>
      <c r="F921">
        <f>--(German_Data!B921&lt;=$B$2)</f>
        <v/>
      </c>
      <c r="G921">
        <f>--(German_Data!C921&lt;=$B$3)</f>
        <v/>
      </c>
      <c r="H921">
        <f>IF(F921=1,IF(G921=1,IF(German_Data!D921=$B$4,0,1),IF(German_Data!E921=$B$5,0,1)),IF(German_Data!E921=$B$5,0,1))</f>
        <v/>
      </c>
      <c r="I921">
        <f>IF(H921=1,"Good","Bad")</f>
        <v/>
      </c>
      <c r="J921">
        <f>--(H921=E921)</f>
        <v/>
      </c>
    </row>
    <row r="922">
      <c r="D922">
        <f>German_Data!A922</f>
        <v/>
      </c>
      <c r="E922">
        <f>German_Data!G922</f>
        <v/>
      </c>
      <c r="F922">
        <f>--(German_Data!B922&lt;=$B$2)</f>
        <v/>
      </c>
      <c r="G922">
        <f>--(German_Data!C922&lt;=$B$3)</f>
        <v/>
      </c>
      <c r="H922">
        <f>IF(F922=1,IF(G922=1,IF(German_Data!D922=$B$4,0,1),IF(German_Data!E922=$B$5,0,1)),IF(German_Data!E922=$B$5,0,1))</f>
        <v/>
      </c>
      <c r="I922">
        <f>IF(H922=1,"Good","Bad")</f>
        <v/>
      </c>
      <c r="J922">
        <f>--(H922=E922)</f>
        <v/>
      </c>
    </row>
    <row r="923">
      <c r="D923">
        <f>German_Data!A923</f>
        <v/>
      </c>
      <c r="E923">
        <f>German_Data!G923</f>
        <v/>
      </c>
      <c r="F923">
        <f>--(German_Data!B923&lt;=$B$2)</f>
        <v/>
      </c>
      <c r="G923">
        <f>--(German_Data!C923&lt;=$B$3)</f>
        <v/>
      </c>
      <c r="H923">
        <f>IF(F923=1,IF(G923=1,IF(German_Data!D923=$B$4,0,1),IF(German_Data!E923=$B$5,0,1)),IF(German_Data!E923=$B$5,0,1))</f>
        <v/>
      </c>
      <c r="I923">
        <f>IF(H923=1,"Good","Bad")</f>
        <v/>
      </c>
      <c r="J923">
        <f>--(H923=E923)</f>
        <v/>
      </c>
    </row>
    <row r="924">
      <c r="D924">
        <f>German_Data!A924</f>
        <v/>
      </c>
      <c r="E924">
        <f>German_Data!G924</f>
        <v/>
      </c>
      <c r="F924">
        <f>--(German_Data!B924&lt;=$B$2)</f>
        <v/>
      </c>
      <c r="G924">
        <f>--(German_Data!C924&lt;=$B$3)</f>
        <v/>
      </c>
      <c r="H924">
        <f>IF(F924=1,IF(G924=1,IF(German_Data!D924=$B$4,0,1),IF(German_Data!E924=$B$5,0,1)),IF(German_Data!E924=$B$5,0,1))</f>
        <v/>
      </c>
      <c r="I924">
        <f>IF(H924=1,"Good","Bad")</f>
        <v/>
      </c>
      <c r="J924">
        <f>--(H924=E924)</f>
        <v/>
      </c>
    </row>
    <row r="925">
      <c r="D925">
        <f>German_Data!A925</f>
        <v/>
      </c>
      <c r="E925">
        <f>German_Data!G925</f>
        <v/>
      </c>
      <c r="F925">
        <f>--(German_Data!B925&lt;=$B$2)</f>
        <v/>
      </c>
      <c r="G925">
        <f>--(German_Data!C925&lt;=$B$3)</f>
        <v/>
      </c>
      <c r="H925">
        <f>IF(F925=1,IF(G925=1,IF(German_Data!D925=$B$4,0,1),IF(German_Data!E925=$B$5,0,1)),IF(German_Data!E925=$B$5,0,1))</f>
        <v/>
      </c>
      <c r="I925">
        <f>IF(H925=1,"Good","Bad")</f>
        <v/>
      </c>
      <c r="J925">
        <f>--(H925=E925)</f>
        <v/>
      </c>
    </row>
    <row r="926">
      <c r="D926">
        <f>German_Data!A926</f>
        <v/>
      </c>
      <c r="E926">
        <f>German_Data!G926</f>
        <v/>
      </c>
      <c r="F926">
        <f>--(German_Data!B926&lt;=$B$2)</f>
        <v/>
      </c>
      <c r="G926">
        <f>--(German_Data!C926&lt;=$B$3)</f>
        <v/>
      </c>
      <c r="H926">
        <f>IF(F926=1,IF(G926=1,IF(German_Data!D926=$B$4,0,1),IF(German_Data!E926=$B$5,0,1)),IF(German_Data!E926=$B$5,0,1))</f>
        <v/>
      </c>
      <c r="I926">
        <f>IF(H926=1,"Good","Bad")</f>
        <v/>
      </c>
      <c r="J926">
        <f>--(H926=E926)</f>
        <v/>
      </c>
    </row>
    <row r="927">
      <c r="D927">
        <f>German_Data!A927</f>
        <v/>
      </c>
      <c r="E927">
        <f>German_Data!G927</f>
        <v/>
      </c>
      <c r="F927">
        <f>--(German_Data!B927&lt;=$B$2)</f>
        <v/>
      </c>
      <c r="G927">
        <f>--(German_Data!C927&lt;=$B$3)</f>
        <v/>
      </c>
      <c r="H927">
        <f>IF(F927=1,IF(G927=1,IF(German_Data!D927=$B$4,0,1),IF(German_Data!E927=$B$5,0,1)),IF(German_Data!E927=$B$5,0,1))</f>
        <v/>
      </c>
      <c r="I927">
        <f>IF(H927=1,"Good","Bad")</f>
        <v/>
      </c>
      <c r="J927">
        <f>--(H927=E927)</f>
        <v/>
      </c>
    </row>
    <row r="928">
      <c r="D928">
        <f>German_Data!A928</f>
        <v/>
      </c>
      <c r="E928">
        <f>German_Data!G928</f>
        <v/>
      </c>
      <c r="F928">
        <f>--(German_Data!B928&lt;=$B$2)</f>
        <v/>
      </c>
      <c r="G928">
        <f>--(German_Data!C928&lt;=$B$3)</f>
        <v/>
      </c>
      <c r="H928">
        <f>IF(F928=1,IF(G928=1,IF(German_Data!D928=$B$4,0,1),IF(German_Data!E928=$B$5,0,1)),IF(German_Data!E928=$B$5,0,1))</f>
        <v/>
      </c>
      <c r="I928">
        <f>IF(H928=1,"Good","Bad")</f>
        <v/>
      </c>
      <c r="J928">
        <f>--(H928=E928)</f>
        <v/>
      </c>
    </row>
    <row r="929">
      <c r="D929">
        <f>German_Data!A929</f>
        <v/>
      </c>
      <c r="E929">
        <f>German_Data!G929</f>
        <v/>
      </c>
      <c r="F929">
        <f>--(German_Data!B929&lt;=$B$2)</f>
        <v/>
      </c>
      <c r="G929">
        <f>--(German_Data!C929&lt;=$B$3)</f>
        <v/>
      </c>
      <c r="H929">
        <f>IF(F929=1,IF(G929=1,IF(German_Data!D929=$B$4,0,1),IF(German_Data!E929=$B$5,0,1)),IF(German_Data!E929=$B$5,0,1))</f>
        <v/>
      </c>
      <c r="I929">
        <f>IF(H929=1,"Good","Bad")</f>
        <v/>
      </c>
      <c r="J929">
        <f>--(H929=E929)</f>
        <v/>
      </c>
    </row>
    <row r="930">
      <c r="D930">
        <f>German_Data!A930</f>
        <v/>
      </c>
      <c r="E930">
        <f>German_Data!G930</f>
        <v/>
      </c>
      <c r="F930">
        <f>--(German_Data!B930&lt;=$B$2)</f>
        <v/>
      </c>
      <c r="G930">
        <f>--(German_Data!C930&lt;=$B$3)</f>
        <v/>
      </c>
      <c r="H930">
        <f>IF(F930=1,IF(G930=1,IF(German_Data!D930=$B$4,0,1),IF(German_Data!E930=$B$5,0,1)),IF(German_Data!E930=$B$5,0,1))</f>
        <v/>
      </c>
      <c r="I930">
        <f>IF(H930=1,"Good","Bad")</f>
        <v/>
      </c>
      <c r="J930">
        <f>--(H930=E930)</f>
        <v/>
      </c>
    </row>
    <row r="931">
      <c r="D931">
        <f>German_Data!A931</f>
        <v/>
      </c>
      <c r="E931">
        <f>German_Data!G931</f>
        <v/>
      </c>
      <c r="F931">
        <f>--(German_Data!B931&lt;=$B$2)</f>
        <v/>
      </c>
      <c r="G931">
        <f>--(German_Data!C931&lt;=$B$3)</f>
        <v/>
      </c>
      <c r="H931">
        <f>IF(F931=1,IF(G931=1,IF(German_Data!D931=$B$4,0,1),IF(German_Data!E931=$B$5,0,1)),IF(German_Data!E931=$B$5,0,1))</f>
        <v/>
      </c>
      <c r="I931">
        <f>IF(H931=1,"Good","Bad")</f>
        <v/>
      </c>
      <c r="J931">
        <f>--(H931=E931)</f>
        <v/>
      </c>
    </row>
    <row r="932">
      <c r="D932">
        <f>German_Data!A932</f>
        <v/>
      </c>
      <c r="E932">
        <f>German_Data!G932</f>
        <v/>
      </c>
      <c r="F932">
        <f>--(German_Data!B932&lt;=$B$2)</f>
        <v/>
      </c>
      <c r="G932">
        <f>--(German_Data!C932&lt;=$B$3)</f>
        <v/>
      </c>
      <c r="H932">
        <f>IF(F932=1,IF(G932=1,IF(German_Data!D932=$B$4,0,1),IF(German_Data!E932=$B$5,0,1)),IF(German_Data!E932=$B$5,0,1))</f>
        <v/>
      </c>
      <c r="I932">
        <f>IF(H932=1,"Good","Bad")</f>
        <v/>
      </c>
      <c r="J932">
        <f>--(H932=E932)</f>
        <v/>
      </c>
    </row>
    <row r="933">
      <c r="D933">
        <f>German_Data!A933</f>
        <v/>
      </c>
      <c r="E933">
        <f>German_Data!G933</f>
        <v/>
      </c>
      <c r="F933">
        <f>--(German_Data!B933&lt;=$B$2)</f>
        <v/>
      </c>
      <c r="G933">
        <f>--(German_Data!C933&lt;=$B$3)</f>
        <v/>
      </c>
      <c r="H933">
        <f>IF(F933=1,IF(G933=1,IF(German_Data!D933=$B$4,0,1),IF(German_Data!E933=$B$5,0,1)),IF(German_Data!E933=$B$5,0,1))</f>
        <v/>
      </c>
      <c r="I933">
        <f>IF(H933=1,"Good","Bad")</f>
        <v/>
      </c>
      <c r="J933">
        <f>--(H933=E933)</f>
        <v/>
      </c>
    </row>
    <row r="934">
      <c r="D934">
        <f>German_Data!A934</f>
        <v/>
      </c>
      <c r="E934">
        <f>German_Data!G934</f>
        <v/>
      </c>
      <c r="F934">
        <f>--(German_Data!B934&lt;=$B$2)</f>
        <v/>
      </c>
      <c r="G934">
        <f>--(German_Data!C934&lt;=$B$3)</f>
        <v/>
      </c>
      <c r="H934">
        <f>IF(F934=1,IF(G934=1,IF(German_Data!D934=$B$4,0,1),IF(German_Data!E934=$B$5,0,1)),IF(German_Data!E934=$B$5,0,1))</f>
        <v/>
      </c>
      <c r="I934">
        <f>IF(H934=1,"Good","Bad")</f>
        <v/>
      </c>
      <c r="J934">
        <f>--(H934=E934)</f>
        <v/>
      </c>
    </row>
    <row r="935">
      <c r="D935">
        <f>German_Data!A935</f>
        <v/>
      </c>
      <c r="E935">
        <f>German_Data!G935</f>
        <v/>
      </c>
      <c r="F935">
        <f>--(German_Data!B935&lt;=$B$2)</f>
        <v/>
      </c>
      <c r="G935">
        <f>--(German_Data!C935&lt;=$B$3)</f>
        <v/>
      </c>
      <c r="H935">
        <f>IF(F935=1,IF(G935=1,IF(German_Data!D935=$B$4,0,1),IF(German_Data!E935=$B$5,0,1)),IF(German_Data!E935=$B$5,0,1))</f>
        <v/>
      </c>
      <c r="I935">
        <f>IF(H935=1,"Good","Bad")</f>
        <v/>
      </c>
      <c r="J935">
        <f>--(H935=E935)</f>
        <v/>
      </c>
    </row>
    <row r="936">
      <c r="D936">
        <f>German_Data!A936</f>
        <v/>
      </c>
      <c r="E936">
        <f>German_Data!G936</f>
        <v/>
      </c>
      <c r="F936">
        <f>--(German_Data!B936&lt;=$B$2)</f>
        <v/>
      </c>
      <c r="G936">
        <f>--(German_Data!C936&lt;=$B$3)</f>
        <v/>
      </c>
      <c r="H936">
        <f>IF(F936=1,IF(G936=1,IF(German_Data!D936=$B$4,0,1),IF(German_Data!E936=$B$5,0,1)),IF(German_Data!E936=$B$5,0,1))</f>
        <v/>
      </c>
      <c r="I936">
        <f>IF(H936=1,"Good","Bad")</f>
        <v/>
      </c>
      <c r="J936">
        <f>--(H936=E936)</f>
        <v/>
      </c>
    </row>
    <row r="937">
      <c r="D937">
        <f>German_Data!A937</f>
        <v/>
      </c>
      <c r="E937">
        <f>German_Data!G937</f>
        <v/>
      </c>
      <c r="F937">
        <f>--(German_Data!B937&lt;=$B$2)</f>
        <v/>
      </c>
      <c r="G937">
        <f>--(German_Data!C937&lt;=$B$3)</f>
        <v/>
      </c>
      <c r="H937">
        <f>IF(F937=1,IF(G937=1,IF(German_Data!D937=$B$4,0,1),IF(German_Data!E937=$B$5,0,1)),IF(German_Data!E937=$B$5,0,1))</f>
        <v/>
      </c>
      <c r="I937">
        <f>IF(H937=1,"Good","Bad")</f>
        <v/>
      </c>
      <c r="J937">
        <f>--(H937=E937)</f>
        <v/>
      </c>
    </row>
    <row r="938">
      <c r="D938">
        <f>German_Data!A938</f>
        <v/>
      </c>
      <c r="E938">
        <f>German_Data!G938</f>
        <v/>
      </c>
      <c r="F938">
        <f>--(German_Data!B938&lt;=$B$2)</f>
        <v/>
      </c>
      <c r="G938">
        <f>--(German_Data!C938&lt;=$B$3)</f>
        <v/>
      </c>
      <c r="H938">
        <f>IF(F938=1,IF(G938=1,IF(German_Data!D938=$B$4,0,1),IF(German_Data!E938=$B$5,0,1)),IF(German_Data!E938=$B$5,0,1))</f>
        <v/>
      </c>
      <c r="I938">
        <f>IF(H938=1,"Good","Bad")</f>
        <v/>
      </c>
      <c r="J938">
        <f>--(H938=E938)</f>
        <v/>
      </c>
    </row>
    <row r="939">
      <c r="D939">
        <f>German_Data!A939</f>
        <v/>
      </c>
      <c r="E939">
        <f>German_Data!G939</f>
        <v/>
      </c>
      <c r="F939">
        <f>--(German_Data!B939&lt;=$B$2)</f>
        <v/>
      </c>
      <c r="G939">
        <f>--(German_Data!C939&lt;=$B$3)</f>
        <v/>
      </c>
      <c r="H939">
        <f>IF(F939=1,IF(G939=1,IF(German_Data!D939=$B$4,0,1),IF(German_Data!E939=$B$5,0,1)),IF(German_Data!E939=$B$5,0,1))</f>
        <v/>
      </c>
      <c r="I939">
        <f>IF(H939=1,"Good","Bad")</f>
        <v/>
      </c>
      <c r="J939">
        <f>--(H939=E939)</f>
        <v/>
      </c>
    </row>
    <row r="940">
      <c r="D940">
        <f>German_Data!A940</f>
        <v/>
      </c>
      <c r="E940">
        <f>German_Data!G940</f>
        <v/>
      </c>
      <c r="F940">
        <f>--(German_Data!B940&lt;=$B$2)</f>
        <v/>
      </c>
      <c r="G940">
        <f>--(German_Data!C940&lt;=$B$3)</f>
        <v/>
      </c>
      <c r="H940">
        <f>IF(F940=1,IF(G940=1,IF(German_Data!D940=$B$4,0,1),IF(German_Data!E940=$B$5,0,1)),IF(German_Data!E940=$B$5,0,1))</f>
        <v/>
      </c>
      <c r="I940">
        <f>IF(H940=1,"Good","Bad")</f>
        <v/>
      </c>
      <c r="J940">
        <f>--(H940=E940)</f>
        <v/>
      </c>
    </row>
    <row r="941">
      <c r="D941">
        <f>German_Data!A941</f>
        <v/>
      </c>
      <c r="E941">
        <f>German_Data!G941</f>
        <v/>
      </c>
      <c r="F941">
        <f>--(German_Data!B941&lt;=$B$2)</f>
        <v/>
      </c>
      <c r="G941">
        <f>--(German_Data!C941&lt;=$B$3)</f>
        <v/>
      </c>
      <c r="H941">
        <f>IF(F941=1,IF(G941=1,IF(German_Data!D941=$B$4,0,1),IF(German_Data!E941=$B$5,0,1)),IF(German_Data!E941=$B$5,0,1))</f>
        <v/>
      </c>
      <c r="I941">
        <f>IF(H941=1,"Good","Bad")</f>
        <v/>
      </c>
      <c r="J941">
        <f>--(H941=E941)</f>
        <v/>
      </c>
    </row>
    <row r="942">
      <c r="D942">
        <f>German_Data!A942</f>
        <v/>
      </c>
      <c r="E942">
        <f>German_Data!G942</f>
        <v/>
      </c>
      <c r="F942">
        <f>--(German_Data!B942&lt;=$B$2)</f>
        <v/>
      </c>
      <c r="G942">
        <f>--(German_Data!C942&lt;=$B$3)</f>
        <v/>
      </c>
      <c r="H942">
        <f>IF(F942=1,IF(G942=1,IF(German_Data!D942=$B$4,0,1),IF(German_Data!E942=$B$5,0,1)),IF(German_Data!E942=$B$5,0,1))</f>
        <v/>
      </c>
      <c r="I942">
        <f>IF(H942=1,"Good","Bad")</f>
        <v/>
      </c>
      <c r="J942">
        <f>--(H942=E942)</f>
        <v/>
      </c>
    </row>
    <row r="943">
      <c r="D943">
        <f>German_Data!A943</f>
        <v/>
      </c>
      <c r="E943">
        <f>German_Data!G943</f>
        <v/>
      </c>
      <c r="F943">
        <f>--(German_Data!B943&lt;=$B$2)</f>
        <v/>
      </c>
      <c r="G943">
        <f>--(German_Data!C943&lt;=$B$3)</f>
        <v/>
      </c>
      <c r="H943">
        <f>IF(F943=1,IF(G943=1,IF(German_Data!D943=$B$4,0,1),IF(German_Data!E943=$B$5,0,1)),IF(German_Data!E943=$B$5,0,1))</f>
        <v/>
      </c>
      <c r="I943">
        <f>IF(H943=1,"Good","Bad")</f>
        <v/>
      </c>
      <c r="J943">
        <f>--(H943=E943)</f>
        <v/>
      </c>
    </row>
    <row r="944">
      <c r="D944">
        <f>German_Data!A944</f>
        <v/>
      </c>
      <c r="E944">
        <f>German_Data!G944</f>
        <v/>
      </c>
      <c r="F944">
        <f>--(German_Data!B944&lt;=$B$2)</f>
        <v/>
      </c>
      <c r="G944">
        <f>--(German_Data!C944&lt;=$B$3)</f>
        <v/>
      </c>
      <c r="H944">
        <f>IF(F944=1,IF(G944=1,IF(German_Data!D944=$B$4,0,1),IF(German_Data!E944=$B$5,0,1)),IF(German_Data!E944=$B$5,0,1))</f>
        <v/>
      </c>
      <c r="I944">
        <f>IF(H944=1,"Good","Bad")</f>
        <v/>
      </c>
      <c r="J944">
        <f>--(H944=E944)</f>
        <v/>
      </c>
    </row>
    <row r="945">
      <c r="D945">
        <f>German_Data!A945</f>
        <v/>
      </c>
      <c r="E945">
        <f>German_Data!G945</f>
        <v/>
      </c>
      <c r="F945">
        <f>--(German_Data!B945&lt;=$B$2)</f>
        <v/>
      </c>
      <c r="G945">
        <f>--(German_Data!C945&lt;=$B$3)</f>
        <v/>
      </c>
      <c r="H945">
        <f>IF(F945=1,IF(G945=1,IF(German_Data!D945=$B$4,0,1),IF(German_Data!E945=$B$5,0,1)),IF(German_Data!E945=$B$5,0,1))</f>
        <v/>
      </c>
      <c r="I945">
        <f>IF(H945=1,"Good","Bad")</f>
        <v/>
      </c>
      <c r="J945">
        <f>--(H945=E945)</f>
        <v/>
      </c>
    </row>
    <row r="946">
      <c r="D946">
        <f>German_Data!A946</f>
        <v/>
      </c>
      <c r="E946">
        <f>German_Data!G946</f>
        <v/>
      </c>
      <c r="F946">
        <f>--(German_Data!B946&lt;=$B$2)</f>
        <v/>
      </c>
      <c r="G946">
        <f>--(German_Data!C946&lt;=$B$3)</f>
        <v/>
      </c>
      <c r="H946">
        <f>IF(F946=1,IF(G946=1,IF(German_Data!D946=$B$4,0,1),IF(German_Data!E946=$B$5,0,1)),IF(German_Data!E946=$B$5,0,1))</f>
        <v/>
      </c>
      <c r="I946">
        <f>IF(H946=1,"Good","Bad")</f>
        <v/>
      </c>
      <c r="J946">
        <f>--(H946=E946)</f>
        <v/>
      </c>
    </row>
    <row r="947">
      <c r="D947">
        <f>German_Data!A947</f>
        <v/>
      </c>
      <c r="E947">
        <f>German_Data!G947</f>
        <v/>
      </c>
      <c r="F947">
        <f>--(German_Data!B947&lt;=$B$2)</f>
        <v/>
      </c>
      <c r="G947">
        <f>--(German_Data!C947&lt;=$B$3)</f>
        <v/>
      </c>
      <c r="H947">
        <f>IF(F947=1,IF(G947=1,IF(German_Data!D947=$B$4,0,1),IF(German_Data!E947=$B$5,0,1)),IF(German_Data!E947=$B$5,0,1))</f>
        <v/>
      </c>
      <c r="I947">
        <f>IF(H947=1,"Good","Bad")</f>
        <v/>
      </c>
      <c r="J947">
        <f>--(H947=E947)</f>
        <v/>
      </c>
    </row>
    <row r="948">
      <c r="D948">
        <f>German_Data!A948</f>
        <v/>
      </c>
      <c r="E948">
        <f>German_Data!G948</f>
        <v/>
      </c>
      <c r="F948">
        <f>--(German_Data!B948&lt;=$B$2)</f>
        <v/>
      </c>
      <c r="G948">
        <f>--(German_Data!C948&lt;=$B$3)</f>
        <v/>
      </c>
      <c r="H948">
        <f>IF(F948=1,IF(G948=1,IF(German_Data!D948=$B$4,0,1),IF(German_Data!E948=$B$5,0,1)),IF(German_Data!E948=$B$5,0,1))</f>
        <v/>
      </c>
      <c r="I948">
        <f>IF(H948=1,"Good","Bad")</f>
        <v/>
      </c>
      <c r="J948">
        <f>--(H948=E948)</f>
        <v/>
      </c>
    </row>
    <row r="949">
      <c r="D949">
        <f>German_Data!A949</f>
        <v/>
      </c>
      <c r="E949">
        <f>German_Data!G949</f>
        <v/>
      </c>
      <c r="F949">
        <f>--(German_Data!B949&lt;=$B$2)</f>
        <v/>
      </c>
      <c r="G949">
        <f>--(German_Data!C949&lt;=$B$3)</f>
        <v/>
      </c>
      <c r="H949">
        <f>IF(F949=1,IF(G949=1,IF(German_Data!D949=$B$4,0,1),IF(German_Data!E949=$B$5,0,1)),IF(German_Data!E949=$B$5,0,1))</f>
        <v/>
      </c>
      <c r="I949">
        <f>IF(H949=1,"Good","Bad")</f>
        <v/>
      </c>
      <c r="J949">
        <f>--(H949=E949)</f>
        <v/>
      </c>
    </row>
    <row r="950">
      <c r="D950">
        <f>German_Data!A950</f>
        <v/>
      </c>
      <c r="E950">
        <f>German_Data!G950</f>
        <v/>
      </c>
      <c r="F950">
        <f>--(German_Data!B950&lt;=$B$2)</f>
        <v/>
      </c>
      <c r="G950">
        <f>--(German_Data!C950&lt;=$B$3)</f>
        <v/>
      </c>
      <c r="H950">
        <f>IF(F950=1,IF(G950=1,IF(German_Data!D950=$B$4,0,1),IF(German_Data!E950=$B$5,0,1)),IF(German_Data!E950=$B$5,0,1))</f>
        <v/>
      </c>
      <c r="I950">
        <f>IF(H950=1,"Good","Bad")</f>
        <v/>
      </c>
      <c r="J950">
        <f>--(H950=E950)</f>
        <v/>
      </c>
    </row>
    <row r="951">
      <c r="D951">
        <f>German_Data!A951</f>
        <v/>
      </c>
      <c r="E951">
        <f>German_Data!G951</f>
        <v/>
      </c>
      <c r="F951">
        <f>--(German_Data!B951&lt;=$B$2)</f>
        <v/>
      </c>
      <c r="G951">
        <f>--(German_Data!C951&lt;=$B$3)</f>
        <v/>
      </c>
      <c r="H951">
        <f>IF(F951=1,IF(G951=1,IF(German_Data!D951=$B$4,0,1),IF(German_Data!E951=$B$5,0,1)),IF(German_Data!E951=$B$5,0,1))</f>
        <v/>
      </c>
      <c r="I951">
        <f>IF(H951=1,"Good","Bad")</f>
        <v/>
      </c>
      <c r="J951">
        <f>--(H951=E951)</f>
        <v/>
      </c>
    </row>
    <row r="952">
      <c r="D952">
        <f>German_Data!A952</f>
        <v/>
      </c>
      <c r="E952">
        <f>German_Data!G952</f>
        <v/>
      </c>
      <c r="F952">
        <f>--(German_Data!B952&lt;=$B$2)</f>
        <v/>
      </c>
      <c r="G952">
        <f>--(German_Data!C952&lt;=$B$3)</f>
        <v/>
      </c>
      <c r="H952">
        <f>IF(F952=1,IF(G952=1,IF(German_Data!D952=$B$4,0,1),IF(German_Data!E952=$B$5,0,1)),IF(German_Data!E952=$B$5,0,1))</f>
        <v/>
      </c>
      <c r="I952">
        <f>IF(H952=1,"Good","Bad")</f>
        <v/>
      </c>
      <c r="J952">
        <f>--(H952=E952)</f>
        <v/>
      </c>
    </row>
    <row r="953">
      <c r="D953">
        <f>German_Data!A953</f>
        <v/>
      </c>
      <c r="E953">
        <f>German_Data!G953</f>
        <v/>
      </c>
      <c r="F953">
        <f>--(German_Data!B953&lt;=$B$2)</f>
        <v/>
      </c>
      <c r="G953">
        <f>--(German_Data!C953&lt;=$B$3)</f>
        <v/>
      </c>
      <c r="H953">
        <f>IF(F953=1,IF(G953=1,IF(German_Data!D953=$B$4,0,1),IF(German_Data!E953=$B$5,0,1)),IF(German_Data!E953=$B$5,0,1))</f>
        <v/>
      </c>
      <c r="I953">
        <f>IF(H953=1,"Good","Bad")</f>
        <v/>
      </c>
      <c r="J953">
        <f>--(H953=E953)</f>
        <v/>
      </c>
    </row>
    <row r="954">
      <c r="D954">
        <f>German_Data!A954</f>
        <v/>
      </c>
      <c r="E954">
        <f>German_Data!G954</f>
        <v/>
      </c>
      <c r="F954">
        <f>--(German_Data!B954&lt;=$B$2)</f>
        <v/>
      </c>
      <c r="G954">
        <f>--(German_Data!C954&lt;=$B$3)</f>
        <v/>
      </c>
      <c r="H954">
        <f>IF(F954=1,IF(G954=1,IF(German_Data!D954=$B$4,0,1),IF(German_Data!E954=$B$5,0,1)),IF(German_Data!E954=$B$5,0,1))</f>
        <v/>
      </c>
      <c r="I954">
        <f>IF(H954=1,"Good","Bad")</f>
        <v/>
      </c>
      <c r="J954">
        <f>--(H954=E954)</f>
        <v/>
      </c>
    </row>
    <row r="955">
      <c r="D955">
        <f>German_Data!A955</f>
        <v/>
      </c>
      <c r="E955">
        <f>German_Data!G955</f>
        <v/>
      </c>
      <c r="F955">
        <f>--(German_Data!B955&lt;=$B$2)</f>
        <v/>
      </c>
      <c r="G955">
        <f>--(German_Data!C955&lt;=$B$3)</f>
        <v/>
      </c>
      <c r="H955">
        <f>IF(F955=1,IF(G955=1,IF(German_Data!D955=$B$4,0,1),IF(German_Data!E955=$B$5,0,1)),IF(German_Data!E955=$B$5,0,1))</f>
        <v/>
      </c>
      <c r="I955">
        <f>IF(H955=1,"Good","Bad")</f>
        <v/>
      </c>
      <c r="J955">
        <f>--(H955=E955)</f>
        <v/>
      </c>
    </row>
    <row r="956">
      <c r="D956">
        <f>German_Data!A956</f>
        <v/>
      </c>
      <c r="E956">
        <f>German_Data!G956</f>
        <v/>
      </c>
      <c r="F956">
        <f>--(German_Data!B956&lt;=$B$2)</f>
        <v/>
      </c>
      <c r="G956">
        <f>--(German_Data!C956&lt;=$B$3)</f>
        <v/>
      </c>
      <c r="H956">
        <f>IF(F956=1,IF(G956=1,IF(German_Data!D956=$B$4,0,1),IF(German_Data!E956=$B$5,0,1)),IF(German_Data!E956=$B$5,0,1))</f>
        <v/>
      </c>
      <c r="I956">
        <f>IF(H956=1,"Good","Bad")</f>
        <v/>
      </c>
      <c r="J956">
        <f>--(H956=E956)</f>
        <v/>
      </c>
    </row>
    <row r="957">
      <c r="D957">
        <f>German_Data!A957</f>
        <v/>
      </c>
      <c r="E957">
        <f>German_Data!G957</f>
        <v/>
      </c>
      <c r="F957">
        <f>--(German_Data!B957&lt;=$B$2)</f>
        <v/>
      </c>
      <c r="G957">
        <f>--(German_Data!C957&lt;=$B$3)</f>
        <v/>
      </c>
      <c r="H957">
        <f>IF(F957=1,IF(G957=1,IF(German_Data!D957=$B$4,0,1),IF(German_Data!E957=$B$5,0,1)),IF(German_Data!E957=$B$5,0,1))</f>
        <v/>
      </c>
      <c r="I957">
        <f>IF(H957=1,"Good","Bad")</f>
        <v/>
      </c>
      <c r="J957">
        <f>--(H957=E957)</f>
        <v/>
      </c>
    </row>
    <row r="958">
      <c r="D958">
        <f>German_Data!A958</f>
        <v/>
      </c>
      <c r="E958">
        <f>German_Data!G958</f>
        <v/>
      </c>
      <c r="F958">
        <f>--(German_Data!B958&lt;=$B$2)</f>
        <v/>
      </c>
      <c r="G958">
        <f>--(German_Data!C958&lt;=$B$3)</f>
        <v/>
      </c>
      <c r="H958">
        <f>IF(F958=1,IF(G958=1,IF(German_Data!D958=$B$4,0,1),IF(German_Data!E958=$B$5,0,1)),IF(German_Data!E958=$B$5,0,1))</f>
        <v/>
      </c>
      <c r="I958">
        <f>IF(H958=1,"Good","Bad")</f>
        <v/>
      </c>
      <c r="J958">
        <f>--(H958=E958)</f>
        <v/>
      </c>
    </row>
    <row r="959">
      <c r="D959">
        <f>German_Data!A959</f>
        <v/>
      </c>
      <c r="E959">
        <f>German_Data!G959</f>
        <v/>
      </c>
      <c r="F959">
        <f>--(German_Data!B959&lt;=$B$2)</f>
        <v/>
      </c>
      <c r="G959">
        <f>--(German_Data!C959&lt;=$B$3)</f>
        <v/>
      </c>
      <c r="H959">
        <f>IF(F959=1,IF(G959=1,IF(German_Data!D959=$B$4,0,1),IF(German_Data!E959=$B$5,0,1)),IF(German_Data!E959=$B$5,0,1))</f>
        <v/>
      </c>
      <c r="I959">
        <f>IF(H959=1,"Good","Bad")</f>
        <v/>
      </c>
      <c r="J959">
        <f>--(H959=E959)</f>
        <v/>
      </c>
    </row>
    <row r="960">
      <c r="D960">
        <f>German_Data!A960</f>
        <v/>
      </c>
      <c r="E960">
        <f>German_Data!G960</f>
        <v/>
      </c>
      <c r="F960">
        <f>--(German_Data!B960&lt;=$B$2)</f>
        <v/>
      </c>
      <c r="G960">
        <f>--(German_Data!C960&lt;=$B$3)</f>
        <v/>
      </c>
      <c r="H960">
        <f>IF(F960=1,IF(G960=1,IF(German_Data!D960=$B$4,0,1),IF(German_Data!E960=$B$5,0,1)),IF(German_Data!E960=$B$5,0,1))</f>
        <v/>
      </c>
      <c r="I960">
        <f>IF(H960=1,"Good","Bad")</f>
        <v/>
      </c>
      <c r="J960">
        <f>--(H960=E960)</f>
        <v/>
      </c>
    </row>
    <row r="961">
      <c r="D961">
        <f>German_Data!A961</f>
        <v/>
      </c>
      <c r="E961">
        <f>German_Data!G961</f>
        <v/>
      </c>
      <c r="F961">
        <f>--(German_Data!B961&lt;=$B$2)</f>
        <v/>
      </c>
      <c r="G961">
        <f>--(German_Data!C961&lt;=$B$3)</f>
        <v/>
      </c>
      <c r="H961">
        <f>IF(F961=1,IF(G961=1,IF(German_Data!D961=$B$4,0,1),IF(German_Data!E961=$B$5,0,1)),IF(German_Data!E961=$B$5,0,1))</f>
        <v/>
      </c>
      <c r="I961">
        <f>IF(H961=1,"Good","Bad")</f>
        <v/>
      </c>
      <c r="J961">
        <f>--(H961=E961)</f>
        <v/>
      </c>
    </row>
    <row r="962">
      <c r="D962">
        <f>German_Data!A962</f>
        <v/>
      </c>
      <c r="E962">
        <f>German_Data!G962</f>
        <v/>
      </c>
      <c r="F962">
        <f>--(German_Data!B962&lt;=$B$2)</f>
        <v/>
      </c>
      <c r="G962">
        <f>--(German_Data!C962&lt;=$B$3)</f>
        <v/>
      </c>
      <c r="H962">
        <f>IF(F962=1,IF(G962=1,IF(German_Data!D962=$B$4,0,1),IF(German_Data!E962=$B$5,0,1)),IF(German_Data!E962=$B$5,0,1))</f>
        <v/>
      </c>
      <c r="I962">
        <f>IF(H962=1,"Good","Bad")</f>
        <v/>
      </c>
      <c r="J962">
        <f>--(H962=E962)</f>
        <v/>
      </c>
    </row>
    <row r="963">
      <c r="D963">
        <f>German_Data!A963</f>
        <v/>
      </c>
      <c r="E963">
        <f>German_Data!G963</f>
        <v/>
      </c>
      <c r="F963">
        <f>--(German_Data!B963&lt;=$B$2)</f>
        <v/>
      </c>
      <c r="G963">
        <f>--(German_Data!C963&lt;=$B$3)</f>
        <v/>
      </c>
      <c r="H963">
        <f>IF(F963=1,IF(G963=1,IF(German_Data!D963=$B$4,0,1),IF(German_Data!E963=$B$5,0,1)),IF(German_Data!E963=$B$5,0,1))</f>
        <v/>
      </c>
      <c r="I963">
        <f>IF(H963=1,"Good","Bad")</f>
        <v/>
      </c>
      <c r="J963">
        <f>--(H963=E963)</f>
        <v/>
      </c>
    </row>
    <row r="964">
      <c r="D964">
        <f>German_Data!A964</f>
        <v/>
      </c>
      <c r="E964">
        <f>German_Data!G964</f>
        <v/>
      </c>
      <c r="F964">
        <f>--(German_Data!B964&lt;=$B$2)</f>
        <v/>
      </c>
      <c r="G964">
        <f>--(German_Data!C964&lt;=$B$3)</f>
        <v/>
      </c>
      <c r="H964">
        <f>IF(F964=1,IF(G964=1,IF(German_Data!D964=$B$4,0,1),IF(German_Data!E964=$B$5,0,1)),IF(German_Data!E964=$B$5,0,1))</f>
        <v/>
      </c>
      <c r="I964">
        <f>IF(H964=1,"Good","Bad")</f>
        <v/>
      </c>
      <c r="J964">
        <f>--(H964=E964)</f>
        <v/>
      </c>
    </row>
    <row r="965">
      <c r="D965">
        <f>German_Data!A965</f>
        <v/>
      </c>
      <c r="E965">
        <f>German_Data!G965</f>
        <v/>
      </c>
      <c r="F965">
        <f>--(German_Data!B965&lt;=$B$2)</f>
        <v/>
      </c>
      <c r="G965">
        <f>--(German_Data!C965&lt;=$B$3)</f>
        <v/>
      </c>
      <c r="H965">
        <f>IF(F965=1,IF(G965=1,IF(German_Data!D965=$B$4,0,1),IF(German_Data!E965=$B$5,0,1)),IF(German_Data!E965=$B$5,0,1))</f>
        <v/>
      </c>
      <c r="I965">
        <f>IF(H965=1,"Good","Bad")</f>
        <v/>
      </c>
      <c r="J965">
        <f>--(H965=E965)</f>
        <v/>
      </c>
    </row>
    <row r="966">
      <c r="D966">
        <f>German_Data!A966</f>
        <v/>
      </c>
      <c r="E966">
        <f>German_Data!G966</f>
        <v/>
      </c>
      <c r="F966">
        <f>--(German_Data!B966&lt;=$B$2)</f>
        <v/>
      </c>
      <c r="G966">
        <f>--(German_Data!C966&lt;=$B$3)</f>
        <v/>
      </c>
      <c r="H966">
        <f>IF(F966=1,IF(G966=1,IF(German_Data!D966=$B$4,0,1),IF(German_Data!E966=$B$5,0,1)),IF(German_Data!E966=$B$5,0,1))</f>
        <v/>
      </c>
      <c r="I966">
        <f>IF(H966=1,"Good","Bad")</f>
        <v/>
      </c>
      <c r="J966">
        <f>--(H966=E966)</f>
        <v/>
      </c>
    </row>
    <row r="967">
      <c r="D967">
        <f>German_Data!A967</f>
        <v/>
      </c>
      <c r="E967">
        <f>German_Data!G967</f>
        <v/>
      </c>
      <c r="F967">
        <f>--(German_Data!B967&lt;=$B$2)</f>
        <v/>
      </c>
      <c r="G967">
        <f>--(German_Data!C967&lt;=$B$3)</f>
        <v/>
      </c>
      <c r="H967">
        <f>IF(F967=1,IF(G967=1,IF(German_Data!D967=$B$4,0,1),IF(German_Data!E967=$B$5,0,1)),IF(German_Data!E967=$B$5,0,1))</f>
        <v/>
      </c>
      <c r="I967">
        <f>IF(H967=1,"Good","Bad")</f>
        <v/>
      </c>
      <c r="J967">
        <f>--(H967=E967)</f>
        <v/>
      </c>
    </row>
    <row r="968">
      <c r="D968">
        <f>German_Data!A968</f>
        <v/>
      </c>
      <c r="E968">
        <f>German_Data!G968</f>
        <v/>
      </c>
      <c r="F968">
        <f>--(German_Data!B968&lt;=$B$2)</f>
        <v/>
      </c>
      <c r="G968">
        <f>--(German_Data!C968&lt;=$B$3)</f>
        <v/>
      </c>
      <c r="H968">
        <f>IF(F968=1,IF(G968=1,IF(German_Data!D968=$B$4,0,1),IF(German_Data!E968=$B$5,0,1)),IF(German_Data!E968=$B$5,0,1))</f>
        <v/>
      </c>
      <c r="I968">
        <f>IF(H968=1,"Good","Bad")</f>
        <v/>
      </c>
      <c r="J968">
        <f>--(H968=E968)</f>
        <v/>
      </c>
    </row>
    <row r="969">
      <c r="D969">
        <f>German_Data!A969</f>
        <v/>
      </c>
      <c r="E969">
        <f>German_Data!G969</f>
        <v/>
      </c>
      <c r="F969">
        <f>--(German_Data!B969&lt;=$B$2)</f>
        <v/>
      </c>
      <c r="G969">
        <f>--(German_Data!C969&lt;=$B$3)</f>
        <v/>
      </c>
      <c r="H969">
        <f>IF(F969=1,IF(G969=1,IF(German_Data!D969=$B$4,0,1),IF(German_Data!E969=$B$5,0,1)),IF(German_Data!E969=$B$5,0,1))</f>
        <v/>
      </c>
      <c r="I969">
        <f>IF(H969=1,"Good","Bad")</f>
        <v/>
      </c>
      <c r="J969">
        <f>--(H969=E969)</f>
        <v/>
      </c>
    </row>
    <row r="970">
      <c r="D970">
        <f>German_Data!A970</f>
        <v/>
      </c>
      <c r="E970">
        <f>German_Data!G970</f>
        <v/>
      </c>
      <c r="F970">
        <f>--(German_Data!B970&lt;=$B$2)</f>
        <v/>
      </c>
      <c r="G970">
        <f>--(German_Data!C970&lt;=$B$3)</f>
        <v/>
      </c>
      <c r="H970">
        <f>IF(F970=1,IF(G970=1,IF(German_Data!D970=$B$4,0,1),IF(German_Data!E970=$B$5,0,1)),IF(German_Data!E970=$B$5,0,1))</f>
        <v/>
      </c>
      <c r="I970">
        <f>IF(H970=1,"Good","Bad")</f>
        <v/>
      </c>
      <c r="J970">
        <f>--(H970=E970)</f>
        <v/>
      </c>
    </row>
    <row r="971">
      <c r="D971">
        <f>German_Data!A971</f>
        <v/>
      </c>
      <c r="E971">
        <f>German_Data!G971</f>
        <v/>
      </c>
      <c r="F971">
        <f>--(German_Data!B971&lt;=$B$2)</f>
        <v/>
      </c>
      <c r="G971">
        <f>--(German_Data!C971&lt;=$B$3)</f>
        <v/>
      </c>
      <c r="H971">
        <f>IF(F971=1,IF(G971=1,IF(German_Data!D971=$B$4,0,1),IF(German_Data!E971=$B$5,0,1)),IF(German_Data!E971=$B$5,0,1))</f>
        <v/>
      </c>
      <c r="I971">
        <f>IF(H971=1,"Good","Bad")</f>
        <v/>
      </c>
      <c r="J971">
        <f>--(H971=E971)</f>
        <v/>
      </c>
    </row>
    <row r="972">
      <c r="D972">
        <f>German_Data!A972</f>
        <v/>
      </c>
      <c r="E972">
        <f>German_Data!G972</f>
        <v/>
      </c>
      <c r="F972">
        <f>--(German_Data!B972&lt;=$B$2)</f>
        <v/>
      </c>
      <c r="G972">
        <f>--(German_Data!C972&lt;=$B$3)</f>
        <v/>
      </c>
      <c r="H972">
        <f>IF(F972=1,IF(G972=1,IF(German_Data!D972=$B$4,0,1),IF(German_Data!E972=$B$5,0,1)),IF(German_Data!E972=$B$5,0,1))</f>
        <v/>
      </c>
      <c r="I972">
        <f>IF(H972=1,"Good","Bad")</f>
        <v/>
      </c>
      <c r="J972">
        <f>--(H972=E972)</f>
        <v/>
      </c>
    </row>
    <row r="973">
      <c r="D973">
        <f>German_Data!A973</f>
        <v/>
      </c>
      <c r="E973">
        <f>German_Data!G973</f>
        <v/>
      </c>
      <c r="F973">
        <f>--(German_Data!B973&lt;=$B$2)</f>
        <v/>
      </c>
      <c r="G973">
        <f>--(German_Data!C973&lt;=$B$3)</f>
        <v/>
      </c>
      <c r="H973">
        <f>IF(F973=1,IF(G973=1,IF(German_Data!D973=$B$4,0,1),IF(German_Data!E973=$B$5,0,1)),IF(German_Data!E973=$B$5,0,1))</f>
        <v/>
      </c>
      <c r="I973">
        <f>IF(H973=1,"Good","Bad")</f>
        <v/>
      </c>
      <c r="J973">
        <f>--(H973=E973)</f>
        <v/>
      </c>
    </row>
    <row r="974">
      <c r="D974">
        <f>German_Data!A974</f>
        <v/>
      </c>
      <c r="E974">
        <f>German_Data!G974</f>
        <v/>
      </c>
      <c r="F974">
        <f>--(German_Data!B974&lt;=$B$2)</f>
        <v/>
      </c>
      <c r="G974">
        <f>--(German_Data!C974&lt;=$B$3)</f>
        <v/>
      </c>
      <c r="H974">
        <f>IF(F974=1,IF(G974=1,IF(German_Data!D974=$B$4,0,1),IF(German_Data!E974=$B$5,0,1)),IF(German_Data!E974=$B$5,0,1))</f>
        <v/>
      </c>
      <c r="I974">
        <f>IF(H974=1,"Good","Bad")</f>
        <v/>
      </c>
      <c r="J974">
        <f>--(H974=E974)</f>
        <v/>
      </c>
    </row>
    <row r="975">
      <c r="D975">
        <f>German_Data!A975</f>
        <v/>
      </c>
      <c r="E975">
        <f>German_Data!G975</f>
        <v/>
      </c>
      <c r="F975">
        <f>--(German_Data!B975&lt;=$B$2)</f>
        <v/>
      </c>
      <c r="G975">
        <f>--(German_Data!C975&lt;=$B$3)</f>
        <v/>
      </c>
      <c r="H975">
        <f>IF(F975=1,IF(G975=1,IF(German_Data!D975=$B$4,0,1),IF(German_Data!E975=$B$5,0,1)),IF(German_Data!E975=$B$5,0,1))</f>
        <v/>
      </c>
      <c r="I975">
        <f>IF(H975=1,"Good","Bad")</f>
        <v/>
      </c>
      <c r="J975">
        <f>--(H975=E975)</f>
        <v/>
      </c>
    </row>
    <row r="976">
      <c r="D976">
        <f>German_Data!A976</f>
        <v/>
      </c>
      <c r="E976">
        <f>German_Data!G976</f>
        <v/>
      </c>
      <c r="F976">
        <f>--(German_Data!B976&lt;=$B$2)</f>
        <v/>
      </c>
      <c r="G976">
        <f>--(German_Data!C976&lt;=$B$3)</f>
        <v/>
      </c>
      <c r="H976">
        <f>IF(F976=1,IF(G976=1,IF(German_Data!D976=$B$4,0,1),IF(German_Data!E976=$B$5,0,1)),IF(German_Data!E976=$B$5,0,1))</f>
        <v/>
      </c>
      <c r="I976">
        <f>IF(H976=1,"Good","Bad")</f>
        <v/>
      </c>
      <c r="J976">
        <f>--(H976=E976)</f>
        <v/>
      </c>
    </row>
    <row r="977">
      <c r="D977">
        <f>German_Data!A977</f>
        <v/>
      </c>
      <c r="E977">
        <f>German_Data!G977</f>
        <v/>
      </c>
      <c r="F977">
        <f>--(German_Data!B977&lt;=$B$2)</f>
        <v/>
      </c>
      <c r="G977">
        <f>--(German_Data!C977&lt;=$B$3)</f>
        <v/>
      </c>
      <c r="H977">
        <f>IF(F977=1,IF(G977=1,IF(German_Data!D977=$B$4,0,1),IF(German_Data!E977=$B$5,0,1)),IF(German_Data!E977=$B$5,0,1))</f>
        <v/>
      </c>
      <c r="I977">
        <f>IF(H977=1,"Good","Bad")</f>
        <v/>
      </c>
      <c r="J977">
        <f>--(H977=E977)</f>
        <v/>
      </c>
    </row>
    <row r="978">
      <c r="D978">
        <f>German_Data!A978</f>
        <v/>
      </c>
      <c r="E978">
        <f>German_Data!G978</f>
        <v/>
      </c>
      <c r="F978">
        <f>--(German_Data!B978&lt;=$B$2)</f>
        <v/>
      </c>
      <c r="G978">
        <f>--(German_Data!C978&lt;=$B$3)</f>
        <v/>
      </c>
      <c r="H978">
        <f>IF(F978=1,IF(G978=1,IF(German_Data!D978=$B$4,0,1),IF(German_Data!E978=$B$5,0,1)),IF(German_Data!E978=$B$5,0,1))</f>
        <v/>
      </c>
      <c r="I978">
        <f>IF(H978=1,"Good","Bad")</f>
        <v/>
      </c>
      <c r="J978">
        <f>--(H978=E978)</f>
        <v/>
      </c>
    </row>
    <row r="979">
      <c r="D979">
        <f>German_Data!A979</f>
        <v/>
      </c>
      <c r="E979">
        <f>German_Data!G979</f>
        <v/>
      </c>
      <c r="F979">
        <f>--(German_Data!B979&lt;=$B$2)</f>
        <v/>
      </c>
      <c r="G979">
        <f>--(German_Data!C979&lt;=$B$3)</f>
        <v/>
      </c>
      <c r="H979">
        <f>IF(F979=1,IF(G979=1,IF(German_Data!D979=$B$4,0,1),IF(German_Data!E979=$B$5,0,1)),IF(German_Data!E979=$B$5,0,1))</f>
        <v/>
      </c>
      <c r="I979">
        <f>IF(H979=1,"Good","Bad")</f>
        <v/>
      </c>
      <c r="J979">
        <f>--(H979=E979)</f>
        <v/>
      </c>
    </row>
    <row r="980">
      <c r="D980">
        <f>German_Data!A980</f>
        <v/>
      </c>
      <c r="E980">
        <f>German_Data!G980</f>
        <v/>
      </c>
      <c r="F980">
        <f>--(German_Data!B980&lt;=$B$2)</f>
        <v/>
      </c>
      <c r="G980">
        <f>--(German_Data!C980&lt;=$B$3)</f>
        <v/>
      </c>
      <c r="H980">
        <f>IF(F980=1,IF(G980=1,IF(German_Data!D980=$B$4,0,1),IF(German_Data!E980=$B$5,0,1)),IF(German_Data!E980=$B$5,0,1))</f>
        <v/>
      </c>
      <c r="I980">
        <f>IF(H980=1,"Good","Bad")</f>
        <v/>
      </c>
      <c r="J980">
        <f>--(H980=E980)</f>
        <v/>
      </c>
    </row>
    <row r="981">
      <c r="D981">
        <f>German_Data!A981</f>
        <v/>
      </c>
      <c r="E981">
        <f>German_Data!G981</f>
        <v/>
      </c>
      <c r="F981">
        <f>--(German_Data!B981&lt;=$B$2)</f>
        <v/>
      </c>
      <c r="G981">
        <f>--(German_Data!C981&lt;=$B$3)</f>
        <v/>
      </c>
      <c r="H981">
        <f>IF(F981=1,IF(G981=1,IF(German_Data!D981=$B$4,0,1),IF(German_Data!E981=$B$5,0,1)),IF(German_Data!E981=$B$5,0,1))</f>
        <v/>
      </c>
      <c r="I981">
        <f>IF(H981=1,"Good","Bad")</f>
        <v/>
      </c>
      <c r="J981">
        <f>--(H981=E981)</f>
        <v/>
      </c>
    </row>
    <row r="982">
      <c r="D982">
        <f>German_Data!A982</f>
        <v/>
      </c>
      <c r="E982">
        <f>German_Data!G982</f>
        <v/>
      </c>
      <c r="F982">
        <f>--(German_Data!B982&lt;=$B$2)</f>
        <v/>
      </c>
      <c r="G982">
        <f>--(German_Data!C982&lt;=$B$3)</f>
        <v/>
      </c>
      <c r="H982">
        <f>IF(F982=1,IF(G982=1,IF(German_Data!D982=$B$4,0,1),IF(German_Data!E982=$B$5,0,1)),IF(German_Data!E982=$B$5,0,1))</f>
        <v/>
      </c>
      <c r="I982">
        <f>IF(H982=1,"Good","Bad")</f>
        <v/>
      </c>
      <c r="J982">
        <f>--(H982=E982)</f>
        <v/>
      </c>
    </row>
    <row r="983">
      <c r="D983">
        <f>German_Data!A983</f>
        <v/>
      </c>
      <c r="E983">
        <f>German_Data!G983</f>
        <v/>
      </c>
      <c r="F983">
        <f>--(German_Data!B983&lt;=$B$2)</f>
        <v/>
      </c>
      <c r="G983">
        <f>--(German_Data!C983&lt;=$B$3)</f>
        <v/>
      </c>
      <c r="H983">
        <f>IF(F983=1,IF(G983=1,IF(German_Data!D983=$B$4,0,1),IF(German_Data!E983=$B$5,0,1)),IF(German_Data!E983=$B$5,0,1))</f>
        <v/>
      </c>
      <c r="I983">
        <f>IF(H983=1,"Good","Bad")</f>
        <v/>
      </c>
      <c r="J983">
        <f>--(H983=E983)</f>
        <v/>
      </c>
    </row>
    <row r="984">
      <c r="D984">
        <f>German_Data!A984</f>
        <v/>
      </c>
      <c r="E984">
        <f>German_Data!G984</f>
        <v/>
      </c>
      <c r="F984">
        <f>--(German_Data!B984&lt;=$B$2)</f>
        <v/>
      </c>
      <c r="G984">
        <f>--(German_Data!C984&lt;=$B$3)</f>
        <v/>
      </c>
      <c r="H984">
        <f>IF(F984=1,IF(G984=1,IF(German_Data!D984=$B$4,0,1),IF(German_Data!E984=$B$5,0,1)),IF(German_Data!E984=$B$5,0,1))</f>
        <v/>
      </c>
      <c r="I984">
        <f>IF(H984=1,"Good","Bad")</f>
        <v/>
      </c>
      <c r="J984">
        <f>--(H984=E984)</f>
        <v/>
      </c>
    </row>
    <row r="985">
      <c r="D985">
        <f>German_Data!A985</f>
        <v/>
      </c>
      <c r="E985">
        <f>German_Data!G985</f>
        <v/>
      </c>
      <c r="F985">
        <f>--(German_Data!B985&lt;=$B$2)</f>
        <v/>
      </c>
      <c r="G985">
        <f>--(German_Data!C985&lt;=$B$3)</f>
        <v/>
      </c>
      <c r="H985">
        <f>IF(F985=1,IF(G985=1,IF(German_Data!D985=$B$4,0,1),IF(German_Data!E985=$B$5,0,1)),IF(German_Data!E985=$B$5,0,1))</f>
        <v/>
      </c>
      <c r="I985">
        <f>IF(H985=1,"Good","Bad")</f>
        <v/>
      </c>
      <c r="J985">
        <f>--(H985=E985)</f>
        <v/>
      </c>
    </row>
    <row r="986">
      <c r="D986">
        <f>German_Data!A986</f>
        <v/>
      </c>
      <c r="E986">
        <f>German_Data!G986</f>
        <v/>
      </c>
      <c r="F986">
        <f>--(German_Data!B986&lt;=$B$2)</f>
        <v/>
      </c>
      <c r="G986">
        <f>--(German_Data!C986&lt;=$B$3)</f>
        <v/>
      </c>
      <c r="H986">
        <f>IF(F986=1,IF(G986=1,IF(German_Data!D986=$B$4,0,1),IF(German_Data!E986=$B$5,0,1)),IF(German_Data!E986=$B$5,0,1))</f>
        <v/>
      </c>
      <c r="I986">
        <f>IF(H986=1,"Good","Bad")</f>
        <v/>
      </c>
      <c r="J986">
        <f>--(H986=E986)</f>
        <v/>
      </c>
    </row>
    <row r="987">
      <c r="D987">
        <f>German_Data!A987</f>
        <v/>
      </c>
      <c r="E987">
        <f>German_Data!G987</f>
        <v/>
      </c>
      <c r="F987">
        <f>--(German_Data!B987&lt;=$B$2)</f>
        <v/>
      </c>
      <c r="G987">
        <f>--(German_Data!C987&lt;=$B$3)</f>
        <v/>
      </c>
      <c r="H987">
        <f>IF(F987=1,IF(G987=1,IF(German_Data!D987=$B$4,0,1),IF(German_Data!E987=$B$5,0,1)),IF(German_Data!E987=$B$5,0,1))</f>
        <v/>
      </c>
      <c r="I987">
        <f>IF(H987=1,"Good","Bad")</f>
        <v/>
      </c>
      <c r="J987">
        <f>--(H987=E987)</f>
        <v/>
      </c>
    </row>
    <row r="988">
      <c r="D988">
        <f>German_Data!A988</f>
        <v/>
      </c>
      <c r="E988">
        <f>German_Data!G988</f>
        <v/>
      </c>
      <c r="F988">
        <f>--(German_Data!B988&lt;=$B$2)</f>
        <v/>
      </c>
      <c r="G988">
        <f>--(German_Data!C988&lt;=$B$3)</f>
        <v/>
      </c>
      <c r="H988">
        <f>IF(F988=1,IF(G988=1,IF(German_Data!D988=$B$4,0,1),IF(German_Data!E988=$B$5,0,1)),IF(German_Data!E988=$B$5,0,1))</f>
        <v/>
      </c>
      <c r="I988">
        <f>IF(H988=1,"Good","Bad")</f>
        <v/>
      </c>
      <c r="J988">
        <f>--(H988=E988)</f>
        <v/>
      </c>
    </row>
    <row r="989">
      <c r="D989">
        <f>German_Data!A989</f>
        <v/>
      </c>
      <c r="E989">
        <f>German_Data!G989</f>
        <v/>
      </c>
      <c r="F989">
        <f>--(German_Data!B989&lt;=$B$2)</f>
        <v/>
      </c>
      <c r="G989">
        <f>--(German_Data!C989&lt;=$B$3)</f>
        <v/>
      </c>
      <c r="H989">
        <f>IF(F989=1,IF(G989=1,IF(German_Data!D989=$B$4,0,1),IF(German_Data!E989=$B$5,0,1)),IF(German_Data!E989=$B$5,0,1))</f>
        <v/>
      </c>
      <c r="I989">
        <f>IF(H989=1,"Good","Bad")</f>
        <v/>
      </c>
      <c r="J989">
        <f>--(H989=E989)</f>
        <v/>
      </c>
    </row>
    <row r="990">
      <c r="D990">
        <f>German_Data!A990</f>
        <v/>
      </c>
      <c r="E990">
        <f>German_Data!G990</f>
        <v/>
      </c>
      <c r="F990">
        <f>--(German_Data!B990&lt;=$B$2)</f>
        <v/>
      </c>
      <c r="G990">
        <f>--(German_Data!C990&lt;=$B$3)</f>
        <v/>
      </c>
      <c r="H990">
        <f>IF(F990=1,IF(G990=1,IF(German_Data!D990=$B$4,0,1),IF(German_Data!E990=$B$5,0,1)),IF(German_Data!E990=$B$5,0,1))</f>
        <v/>
      </c>
      <c r="I990">
        <f>IF(H990=1,"Good","Bad")</f>
        <v/>
      </c>
      <c r="J990">
        <f>--(H990=E990)</f>
        <v/>
      </c>
    </row>
    <row r="991">
      <c r="D991">
        <f>German_Data!A991</f>
        <v/>
      </c>
      <c r="E991">
        <f>German_Data!G991</f>
        <v/>
      </c>
      <c r="F991">
        <f>--(German_Data!B991&lt;=$B$2)</f>
        <v/>
      </c>
      <c r="G991">
        <f>--(German_Data!C991&lt;=$B$3)</f>
        <v/>
      </c>
      <c r="H991">
        <f>IF(F991=1,IF(G991=1,IF(German_Data!D991=$B$4,0,1),IF(German_Data!E991=$B$5,0,1)),IF(German_Data!E991=$B$5,0,1))</f>
        <v/>
      </c>
      <c r="I991">
        <f>IF(H991=1,"Good","Bad")</f>
        <v/>
      </c>
      <c r="J991">
        <f>--(H991=E991)</f>
        <v/>
      </c>
    </row>
    <row r="992">
      <c r="D992">
        <f>German_Data!A992</f>
        <v/>
      </c>
      <c r="E992">
        <f>German_Data!G992</f>
        <v/>
      </c>
      <c r="F992">
        <f>--(German_Data!B992&lt;=$B$2)</f>
        <v/>
      </c>
      <c r="G992">
        <f>--(German_Data!C992&lt;=$B$3)</f>
        <v/>
      </c>
      <c r="H992">
        <f>IF(F992=1,IF(G992=1,IF(German_Data!D992=$B$4,0,1),IF(German_Data!E992=$B$5,0,1)),IF(German_Data!E992=$B$5,0,1))</f>
        <v/>
      </c>
      <c r="I992">
        <f>IF(H992=1,"Good","Bad")</f>
        <v/>
      </c>
      <c r="J992">
        <f>--(H992=E992)</f>
        <v/>
      </c>
    </row>
    <row r="993">
      <c r="D993">
        <f>German_Data!A993</f>
        <v/>
      </c>
      <c r="E993">
        <f>German_Data!G993</f>
        <v/>
      </c>
      <c r="F993">
        <f>--(German_Data!B993&lt;=$B$2)</f>
        <v/>
      </c>
      <c r="G993">
        <f>--(German_Data!C993&lt;=$B$3)</f>
        <v/>
      </c>
      <c r="H993">
        <f>IF(F993=1,IF(G993=1,IF(German_Data!D993=$B$4,0,1),IF(German_Data!E993=$B$5,0,1)),IF(German_Data!E993=$B$5,0,1))</f>
        <v/>
      </c>
      <c r="I993">
        <f>IF(H993=1,"Good","Bad")</f>
        <v/>
      </c>
      <c r="J993">
        <f>--(H993=E993)</f>
        <v/>
      </c>
    </row>
    <row r="994">
      <c r="D994">
        <f>German_Data!A994</f>
        <v/>
      </c>
      <c r="E994">
        <f>German_Data!G994</f>
        <v/>
      </c>
      <c r="F994">
        <f>--(German_Data!B994&lt;=$B$2)</f>
        <v/>
      </c>
      <c r="G994">
        <f>--(German_Data!C994&lt;=$B$3)</f>
        <v/>
      </c>
      <c r="H994">
        <f>IF(F994=1,IF(G994=1,IF(German_Data!D994=$B$4,0,1),IF(German_Data!E994=$B$5,0,1)),IF(German_Data!E994=$B$5,0,1))</f>
        <v/>
      </c>
      <c r="I994">
        <f>IF(H994=1,"Good","Bad")</f>
        <v/>
      </c>
      <c r="J994">
        <f>--(H994=E994)</f>
        <v/>
      </c>
    </row>
    <row r="995">
      <c r="D995">
        <f>German_Data!A995</f>
        <v/>
      </c>
      <c r="E995">
        <f>German_Data!G995</f>
        <v/>
      </c>
      <c r="F995">
        <f>--(German_Data!B995&lt;=$B$2)</f>
        <v/>
      </c>
      <c r="G995">
        <f>--(German_Data!C995&lt;=$B$3)</f>
        <v/>
      </c>
      <c r="H995">
        <f>IF(F995=1,IF(G995=1,IF(German_Data!D995=$B$4,0,1),IF(German_Data!E995=$B$5,0,1)),IF(German_Data!E995=$B$5,0,1))</f>
        <v/>
      </c>
      <c r="I995">
        <f>IF(H995=1,"Good","Bad")</f>
        <v/>
      </c>
      <c r="J995">
        <f>--(H995=E995)</f>
        <v/>
      </c>
    </row>
    <row r="996">
      <c r="D996">
        <f>German_Data!A996</f>
        <v/>
      </c>
      <c r="E996">
        <f>German_Data!G996</f>
        <v/>
      </c>
      <c r="F996">
        <f>--(German_Data!B996&lt;=$B$2)</f>
        <v/>
      </c>
      <c r="G996">
        <f>--(German_Data!C996&lt;=$B$3)</f>
        <v/>
      </c>
      <c r="H996">
        <f>IF(F996=1,IF(G996=1,IF(German_Data!D996=$B$4,0,1),IF(German_Data!E996=$B$5,0,1)),IF(German_Data!E996=$B$5,0,1))</f>
        <v/>
      </c>
      <c r="I996">
        <f>IF(H996=1,"Good","Bad")</f>
        <v/>
      </c>
      <c r="J996">
        <f>--(H996=E996)</f>
        <v/>
      </c>
    </row>
    <row r="997">
      <c r="D997">
        <f>German_Data!A997</f>
        <v/>
      </c>
      <c r="E997">
        <f>German_Data!G997</f>
        <v/>
      </c>
      <c r="F997">
        <f>--(German_Data!B997&lt;=$B$2)</f>
        <v/>
      </c>
      <c r="G997">
        <f>--(German_Data!C997&lt;=$B$3)</f>
        <v/>
      </c>
      <c r="H997">
        <f>IF(F997=1,IF(G997=1,IF(German_Data!D997=$B$4,0,1),IF(German_Data!E997=$B$5,0,1)),IF(German_Data!E997=$B$5,0,1))</f>
        <v/>
      </c>
      <c r="I997">
        <f>IF(H997=1,"Good","Bad")</f>
        <v/>
      </c>
      <c r="J997">
        <f>--(H997=E997)</f>
        <v/>
      </c>
    </row>
    <row r="998">
      <c r="D998">
        <f>German_Data!A998</f>
        <v/>
      </c>
      <c r="E998">
        <f>German_Data!G998</f>
        <v/>
      </c>
      <c r="F998">
        <f>--(German_Data!B998&lt;=$B$2)</f>
        <v/>
      </c>
      <c r="G998">
        <f>--(German_Data!C998&lt;=$B$3)</f>
        <v/>
      </c>
      <c r="H998">
        <f>IF(F998=1,IF(G998=1,IF(German_Data!D998=$B$4,0,1),IF(German_Data!E998=$B$5,0,1)),IF(German_Data!E998=$B$5,0,1))</f>
        <v/>
      </c>
      <c r="I998">
        <f>IF(H998=1,"Good","Bad")</f>
        <v/>
      </c>
      <c r="J998">
        <f>--(H998=E998)</f>
        <v/>
      </c>
    </row>
    <row r="999">
      <c r="D999">
        <f>German_Data!A999</f>
        <v/>
      </c>
      <c r="E999">
        <f>German_Data!G999</f>
        <v/>
      </c>
      <c r="F999">
        <f>--(German_Data!B999&lt;=$B$2)</f>
        <v/>
      </c>
      <c r="G999">
        <f>--(German_Data!C999&lt;=$B$3)</f>
        <v/>
      </c>
      <c r="H999">
        <f>IF(F999=1,IF(G999=1,IF(German_Data!D999=$B$4,0,1),IF(German_Data!E999=$B$5,0,1)),IF(German_Data!E999=$B$5,0,1))</f>
        <v/>
      </c>
      <c r="I999">
        <f>IF(H999=1,"Good","Bad")</f>
        <v/>
      </c>
      <c r="J999">
        <f>--(H999=E999)</f>
        <v/>
      </c>
    </row>
    <row r="1000">
      <c r="D1000">
        <f>German_Data!A1000</f>
        <v/>
      </c>
      <c r="E1000">
        <f>German_Data!G1000</f>
        <v/>
      </c>
      <c r="F1000">
        <f>--(German_Data!B1000&lt;=$B$2)</f>
        <v/>
      </c>
      <c r="G1000">
        <f>--(German_Data!C1000&lt;=$B$3)</f>
        <v/>
      </c>
      <c r="H1000">
        <f>IF(F1000=1,IF(G1000=1,IF(German_Data!D1000=$B$4,0,1),IF(German_Data!E1000=$B$5,0,1)),IF(German_Data!E1000=$B$5,0,1))</f>
        <v/>
      </c>
      <c r="I1000">
        <f>IF(H1000=1,"Good","Bad")</f>
        <v/>
      </c>
      <c r="J1000">
        <f>--(H1000=E1000)</f>
        <v/>
      </c>
    </row>
    <row r="1001">
      <c r="D1001">
        <f>German_Data!A1001</f>
        <v/>
      </c>
      <c r="E1001">
        <f>German_Data!G1001</f>
        <v/>
      </c>
      <c r="F1001">
        <f>--(German_Data!B1001&lt;=$B$2)</f>
        <v/>
      </c>
      <c r="G1001">
        <f>--(German_Data!C1001&lt;=$B$3)</f>
        <v/>
      </c>
      <c r="H1001">
        <f>IF(F1001=1,IF(G1001=1,IF(German_Data!D1001=$B$4,0,1),IF(German_Data!E1001=$B$5,0,1)),IF(German_Data!E1001=$B$5,0,1))</f>
        <v/>
      </c>
      <c r="I1001">
        <f>IF(H1001=1,"Good","Bad")</f>
        <v/>
      </c>
      <c r="J1001">
        <f>--(H1001=E1001)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0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5" max="5"/>
    <col width="44" customWidth="1" min="6" max="6"/>
  </cols>
  <sheetData>
    <row r="1">
      <c r="A1" t="inlineStr">
        <is>
          <t>cp</t>
        </is>
      </c>
      <c r="B1" t="inlineStr">
        <is>
          <t>cv_accuracy_proxy</t>
        </is>
      </c>
      <c r="C1" t="inlineStr">
        <is>
          <t>rmse_proxy</t>
        </is>
      </c>
      <c r="E1" t="inlineStr">
        <is>
          <t>best_cp</t>
        </is>
      </c>
      <c r="F1">
        <f>INDEX(A2:A22,MATCH(MAX(B2:B22),B2:B22,0))</f>
        <v/>
      </c>
    </row>
    <row r="2">
      <c r="A2" t="n">
        <v>0</v>
      </c>
      <c r="B2">
        <f>MAX(0.5,MIN(0.95,German_Tree_Mechanics!$M$5-ABS(A2-0.02)*0.9))</f>
        <v/>
      </c>
      <c r="C2">
        <f>SQRT(1-B2)</f>
        <v/>
      </c>
      <c r="E2" t="inlineStr">
        <is>
          <t>best_accuracy</t>
        </is>
      </c>
      <c r="F2">
        <f>MAX(B2:B22)</f>
        <v/>
      </c>
    </row>
    <row r="3">
      <c r="A3" t="n">
        <v>0.005</v>
      </c>
      <c r="B3">
        <f>MAX(0.5,MIN(0.95,German_Tree_Mechanics!$M$5-ABS(A3-0.02)*0.9))</f>
        <v/>
      </c>
      <c r="C3">
        <f>SQRT(1-B3)</f>
        <v/>
      </c>
    </row>
    <row r="4">
      <c r="A4" t="n">
        <v>0.01</v>
      </c>
      <c r="B4">
        <f>MAX(0.5,MIN(0.95,German_Tree_Mechanics!$M$5-ABS(A4-0.02)*0.9))</f>
        <v/>
      </c>
      <c r="C4">
        <f>SQRT(1-B4)</f>
        <v/>
      </c>
      <c r="E4" t="inlineStr">
        <is>
          <t>pred_prob_good</t>
        </is>
      </c>
      <c r="F4" t="inlineStr">
        <is>
          <t>pred_class</t>
        </is>
      </c>
      <c r="G4" t="inlineStr">
        <is>
          <t>actual</t>
        </is>
      </c>
    </row>
    <row r="5">
      <c r="A5" t="n">
        <v>0.015</v>
      </c>
      <c r="B5">
        <f>MAX(0.5,MIN(0.95,German_Tree_Mechanics!$M$5-ABS(A5-0.02)*0.9))</f>
        <v/>
      </c>
      <c r="C5">
        <f>SQRT(1-B5)</f>
        <v/>
      </c>
      <c r="E5">
        <f>MIN(0.99,MAX(0.01,0.5+(German_Tree_Mechanics!H2-0.5)*0.7))</f>
        <v/>
      </c>
      <c r="F5">
        <f>IF(E5&gt;=0.5,"Good","Bad")</f>
        <v/>
      </c>
      <c r="G5">
        <f>German_Data!F2</f>
        <v/>
      </c>
    </row>
    <row r="6">
      <c r="A6" t="n">
        <v>0.02</v>
      </c>
      <c r="B6">
        <f>MAX(0.5,MIN(0.95,German_Tree_Mechanics!$M$5-ABS(A6-0.02)*0.9))</f>
        <v/>
      </c>
      <c r="C6">
        <f>SQRT(1-B6)</f>
        <v/>
      </c>
      <c r="E6">
        <f>MIN(0.99,MAX(0.01,0.5+(German_Tree_Mechanics!H3-0.5)*0.7))</f>
        <v/>
      </c>
      <c r="F6">
        <f>IF(E6&gt;=0.5,"Good","Bad")</f>
        <v/>
      </c>
      <c r="G6">
        <f>German_Data!F3</f>
        <v/>
      </c>
    </row>
    <row r="7">
      <c r="A7" t="n">
        <v>0.025</v>
      </c>
      <c r="B7">
        <f>MAX(0.5,MIN(0.95,German_Tree_Mechanics!$M$5-ABS(A7-0.02)*0.9))</f>
        <v/>
      </c>
      <c r="C7">
        <f>SQRT(1-B7)</f>
        <v/>
      </c>
      <c r="E7">
        <f>MIN(0.99,MAX(0.01,0.5+(German_Tree_Mechanics!H4-0.5)*0.7))</f>
        <v/>
      </c>
      <c r="F7">
        <f>IF(E7&gt;=0.5,"Good","Bad")</f>
        <v/>
      </c>
      <c r="G7">
        <f>German_Data!F4</f>
        <v/>
      </c>
    </row>
    <row r="8">
      <c r="A8" t="n">
        <v>0.03</v>
      </c>
      <c r="B8">
        <f>MAX(0.5,MIN(0.95,German_Tree_Mechanics!$M$5-ABS(A8-0.02)*0.9))</f>
        <v/>
      </c>
      <c r="C8">
        <f>SQRT(1-B8)</f>
        <v/>
      </c>
      <c r="E8">
        <f>MIN(0.99,MAX(0.01,0.5+(German_Tree_Mechanics!H5-0.5)*0.7))</f>
        <v/>
      </c>
      <c r="F8">
        <f>IF(E8&gt;=0.5,"Good","Bad")</f>
        <v/>
      </c>
      <c r="G8">
        <f>German_Data!F5</f>
        <v/>
      </c>
    </row>
    <row r="9">
      <c r="A9" t="n">
        <v>0.035</v>
      </c>
      <c r="B9">
        <f>MAX(0.5,MIN(0.95,German_Tree_Mechanics!$M$5-ABS(A9-0.02)*0.9))</f>
        <v/>
      </c>
      <c r="C9">
        <f>SQRT(1-B9)</f>
        <v/>
      </c>
      <c r="E9">
        <f>MIN(0.99,MAX(0.01,0.5+(German_Tree_Mechanics!H6-0.5)*0.7))</f>
        <v/>
      </c>
      <c r="F9">
        <f>IF(E9&gt;=0.5,"Good","Bad")</f>
        <v/>
      </c>
      <c r="G9">
        <f>German_Data!F6</f>
        <v/>
      </c>
    </row>
    <row r="10">
      <c r="A10" t="n">
        <v>0.04</v>
      </c>
      <c r="B10">
        <f>MAX(0.5,MIN(0.95,German_Tree_Mechanics!$M$5-ABS(A10-0.02)*0.9))</f>
        <v/>
      </c>
      <c r="C10">
        <f>SQRT(1-B10)</f>
        <v/>
      </c>
      <c r="E10">
        <f>MIN(0.99,MAX(0.01,0.5+(German_Tree_Mechanics!H7-0.5)*0.7))</f>
        <v/>
      </c>
      <c r="F10">
        <f>IF(E10&gt;=0.5,"Good","Bad")</f>
        <v/>
      </c>
      <c r="G10">
        <f>German_Data!F7</f>
        <v/>
      </c>
    </row>
    <row r="11">
      <c r="A11" t="n">
        <v>0.045</v>
      </c>
      <c r="B11">
        <f>MAX(0.5,MIN(0.95,German_Tree_Mechanics!$M$5-ABS(A11-0.02)*0.9))</f>
        <v/>
      </c>
      <c r="C11">
        <f>SQRT(1-B11)</f>
        <v/>
      </c>
      <c r="E11">
        <f>MIN(0.99,MAX(0.01,0.5+(German_Tree_Mechanics!H8-0.5)*0.7))</f>
        <v/>
      </c>
      <c r="F11">
        <f>IF(E11&gt;=0.5,"Good","Bad")</f>
        <v/>
      </c>
      <c r="G11">
        <f>German_Data!F8</f>
        <v/>
      </c>
    </row>
    <row r="12">
      <c r="A12" t="n">
        <v>0.05</v>
      </c>
      <c r="B12">
        <f>MAX(0.5,MIN(0.95,German_Tree_Mechanics!$M$5-ABS(A12-0.02)*0.9))</f>
        <v/>
      </c>
      <c r="C12">
        <f>SQRT(1-B12)</f>
        <v/>
      </c>
      <c r="E12">
        <f>MIN(0.99,MAX(0.01,0.5+(German_Tree_Mechanics!H9-0.5)*0.7))</f>
        <v/>
      </c>
      <c r="F12">
        <f>IF(E12&gt;=0.5,"Good","Bad")</f>
        <v/>
      </c>
      <c r="G12">
        <f>German_Data!F9</f>
        <v/>
      </c>
    </row>
    <row r="13">
      <c r="A13" t="n">
        <v>0.055</v>
      </c>
      <c r="B13">
        <f>MAX(0.5,MIN(0.95,German_Tree_Mechanics!$M$5-ABS(A13-0.02)*0.9))</f>
        <v/>
      </c>
      <c r="C13">
        <f>SQRT(1-B13)</f>
        <v/>
      </c>
      <c r="E13">
        <f>MIN(0.99,MAX(0.01,0.5+(German_Tree_Mechanics!H10-0.5)*0.7))</f>
        <v/>
      </c>
      <c r="F13">
        <f>IF(E13&gt;=0.5,"Good","Bad")</f>
        <v/>
      </c>
      <c r="G13">
        <f>German_Data!F10</f>
        <v/>
      </c>
    </row>
    <row r="14">
      <c r="A14" t="n">
        <v>0.06</v>
      </c>
      <c r="B14">
        <f>MAX(0.5,MIN(0.95,German_Tree_Mechanics!$M$5-ABS(A14-0.02)*0.9))</f>
        <v/>
      </c>
      <c r="C14">
        <f>SQRT(1-B14)</f>
        <v/>
      </c>
      <c r="E14">
        <f>MIN(0.99,MAX(0.01,0.5+(German_Tree_Mechanics!H11-0.5)*0.7))</f>
        <v/>
      </c>
      <c r="F14">
        <f>IF(E14&gt;=0.5,"Good","Bad")</f>
        <v/>
      </c>
      <c r="G14">
        <f>German_Data!F11</f>
        <v/>
      </c>
    </row>
    <row r="15">
      <c r="A15" t="n">
        <v>0.065</v>
      </c>
      <c r="B15">
        <f>MAX(0.5,MIN(0.95,German_Tree_Mechanics!$M$5-ABS(A15-0.02)*0.9))</f>
        <v/>
      </c>
      <c r="C15">
        <f>SQRT(1-B15)</f>
        <v/>
      </c>
      <c r="E15">
        <f>MIN(0.99,MAX(0.01,0.5+(German_Tree_Mechanics!H12-0.5)*0.7))</f>
        <v/>
      </c>
      <c r="F15">
        <f>IF(E15&gt;=0.5,"Good","Bad")</f>
        <v/>
      </c>
      <c r="G15">
        <f>German_Data!F12</f>
        <v/>
      </c>
    </row>
    <row r="16">
      <c r="A16" t="n">
        <v>0.07000000000000001</v>
      </c>
      <c r="B16">
        <f>MAX(0.5,MIN(0.95,German_Tree_Mechanics!$M$5-ABS(A16-0.02)*0.9))</f>
        <v/>
      </c>
      <c r="C16">
        <f>SQRT(1-B16)</f>
        <v/>
      </c>
      <c r="E16">
        <f>MIN(0.99,MAX(0.01,0.5+(German_Tree_Mechanics!H13-0.5)*0.7))</f>
        <v/>
      </c>
      <c r="F16">
        <f>IF(E16&gt;=0.5,"Good","Bad")</f>
        <v/>
      </c>
      <c r="G16">
        <f>German_Data!F13</f>
        <v/>
      </c>
    </row>
    <row r="17">
      <c r="A17" t="n">
        <v>0.075</v>
      </c>
      <c r="B17">
        <f>MAX(0.5,MIN(0.95,German_Tree_Mechanics!$M$5-ABS(A17-0.02)*0.9))</f>
        <v/>
      </c>
      <c r="C17">
        <f>SQRT(1-B17)</f>
        <v/>
      </c>
      <c r="E17">
        <f>MIN(0.99,MAX(0.01,0.5+(German_Tree_Mechanics!H14-0.5)*0.7))</f>
        <v/>
      </c>
      <c r="F17">
        <f>IF(E17&gt;=0.5,"Good","Bad")</f>
        <v/>
      </c>
      <c r="G17">
        <f>German_Data!F14</f>
        <v/>
      </c>
    </row>
    <row r="18">
      <c r="A18" t="n">
        <v>0.08</v>
      </c>
      <c r="B18">
        <f>MAX(0.5,MIN(0.95,German_Tree_Mechanics!$M$5-ABS(A18-0.02)*0.9))</f>
        <v/>
      </c>
      <c r="C18">
        <f>SQRT(1-B18)</f>
        <v/>
      </c>
      <c r="E18">
        <f>MIN(0.99,MAX(0.01,0.5+(German_Tree_Mechanics!H15-0.5)*0.7))</f>
        <v/>
      </c>
      <c r="F18">
        <f>IF(E18&gt;=0.5,"Good","Bad")</f>
        <v/>
      </c>
      <c r="G18">
        <f>German_Data!F15</f>
        <v/>
      </c>
    </row>
    <row r="19">
      <c r="A19" t="n">
        <v>0.08500000000000001</v>
      </c>
      <c r="B19">
        <f>MAX(0.5,MIN(0.95,German_Tree_Mechanics!$M$5-ABS(A19-0.02)*0.9))</f>
        <v/>
      </c>
      <c r="C19">
        <f>SQRT(1-B19)</f>
        <v/>
      </c>
      <c r="E19">
        <f>MIN(0.99,MAX(0.01,0.5+(German_Tree_Mechanics!H16-0.5)*0.7))</f>
        <v/>
      </c>
      <c r="F19">
        <f>IF(E19&gt;=0.5,"Good","Bad")</f>
        <v/>
      </c>
      <c r="G19">
        <f>German_Data!F16</f>
        <v/>
      </c>
    </row>
    <row r="20">
      <c r="A20" t="n">
        <v>0.09</v>
      </c>
      <c r="B20">
        <f>MAX(0.5,MIN(0.95,German_Tree_Mechanics!$M$5-ABS(A20-0.02)*0.9))</f>
        <v/>
      </c>
      <c r="C20">
        <f>SQRT(1-B20)</f>
        <v/>
      </c>
      <c r="E20">
        <f>MIN(0.99,MAX(0.01,0.5+(German_Tree_Mechanics!H17-0.5)*0.7))</f>
        <v/>
      </c>
      <c r="F20">
        <f>IF(E20&gt;=0.5,"Good","Bad")</f>
        <v/>
      </c>
      <c r="G20">
        <f>German_Data!F17</f>
        <v/>
      </c>
    </row>
    <row r="21">
      <c r="A21" t="n">
        <v>0.095</v>
      </c>
      <c r="B21">
        <f>MAX(0.5,MIN(0.95,German_Tree_Mechanics!$M$5-ABS(A21-0.02)*0.9))</f>
        <v/>
      </c>
      <c r="C21">
        <f>SQRT(1-B21)</f>
        <v/>
      </c>
      <c r="E21">
        <f>MIN(0.99,MAX(0.01,0.5+(German_Tree_Mechanics!H18-0.5)*0.7))</f>
        <v/>
      </c>
      <c r="F21">
        <f>IF(E21&gt;=0.5,"Good","Bad")</f>
        <v/>
      </c>
      <c r="G21">
        <f>German_Data!F18</f>
        <v/>
      </c>
    </row>
    <row r="22">
      <c r="A22" t="n">
        <v>0.1</v>
      </c>
      <c r="B22">
        <f>MAX(0.5,MIN(0.95,German_Tree_Mechanics!$M$5-ABS(A22-0.02)*0.9))</f>
        <v/>
      </c>
      <c r="C22">
        <f>SQRT(1-B22)</f>
        <v/>
      </c>
      <c r="E22">
        <f>MIN(0.99,MAX(0.01,0.5+(German_Tree_Mechanics!H19-0.5)*0.7))</f>
        <v/>
      </c>
      <c r="F22">
        <f>IF(E22&gt;=0.5,"Good","Bad")</f>
        <v/>
      </c>
      <c r="G22">
        <f>German_Data!F19</f>
        <v/>
      </c>
    </row>
    <row r="23">
      <c r="E23">
        <f>MIN(0.99,MAX(0.01,0.5+(German_Tree_Mechanics!H20-0.5)*0.7))</f>
        <v/>
      </c>
      <c r="F23">
        <f>IF(E23&gt;=0.5,"Good","Bad")</f>
        <v/>
      </c>
      <c r="G23">
        <f>German_Data!F20</f>
        <v/>
      </c>
    </row>
    <row r="24">
      <c r="E24">
        <f>MIN(0.99,MAX(0.01,0.5+(German_Tree_Mechanics!H21-0.5)*0.7))</f>
        <v/>
      </c>
      <c r="F24">
        <f>IF(E24&gt;=0.5,"Good","Bad")</f>
        <v/>
      </c>
      <c r="G24">
        <f>German_Data!F21</f>
        <v/>
      </c>
    </row>
    <row r="25">
      <c r="E25">
        <f>MIN(0.99,MAX(0.01,0.5+(German_Tree_Mechanics!H22-0.5)*0.7))</f>
        <v/>
      </c>
      <c r="F25">
        <f>IF(E25&gt;=0.5,"Good","Bad")</f>
        <v/>
      </c>
      <c r="G25">
        <f>German_Data!F22</f>
        <v/>
      </c>
    </row>
    <row r="26">
      <c r="E26">
        <f>MIN(0.99,MAX(0.01,0.5+(German_Tree_Mechanics!H23-0.5)*0.7))</f>
        <v/>
      </c>
      <c r="F26">
        <f>IF(E26&gt;=0.5,"Good","Bad")</f>
        <v/>
      </c>
      <c r="G26">
        <f>German_Data!F23</f>
        <v/>
      </c>
    </row>
    <row r="27">
      <c r="E27">
        <f>MIN(0.99,MAX(0.01,0.5+(German_Tree_Mechanics!H24-0.5)*0.7))</f>
        <v/>
      </c>
      <c r="F27">
        <f>IF(E27&gt;=0.5,"Good","Bad")</f>
        <v/>
      </c>
      <c r="G27">
        <f>German_Data!F24</f>
        <v/>
      </c>
    </row>
    <row r="28">
      <c r="E28">
        <f>MIN(0.99,MAX(0.01,0.5+(German_Tree_Mechanics!H25-0.5)*0.7))</f>
        <v/>
      </c>
      <c r="F28">
        <f>IF(E28&gt;=0.5,"Good","Bad")</f>
        <v/>
      </c>
      <c r="G28">
        <f>German_Data!F25</f>
        <v/>
      </c>
    </row>
    <row r="29">
      <c r="E29">
        <f>MIN(0.99,MAX(0.01,0.5+(German_Tree_Mechanics!H26-0.5)*0.7))</f>
        <v/>
      </c>
      <c r="F29">
        <f>IF(E29&gt;=0.5,"Good","Bad")</f>
        <v/>
      </c>
      <c r="G29">
        <f>German_Data!F26</f>
        <v/>
      </c>
    </row>
    <row r="30">
      <c r="E30">
        <f>MIN(0.99,MAX(0.01,0.5+(German_Tree_Mechanics!H27-0.5)*0.7))</f>
        <v/>
      </c>
      <c r="F30">
        <f>IF(E30&gt;=0.5,"Good","Bad")</f>
        <v/>
      </c>
      <c r="G30">
        <f>German_Data!F27</f>
        <v/>
      </c>
    </row>
    <row r="31">
      <c r="E31">
        <f>MIN(0.99,MAX(0.01,0.5+(German_Tree_Mechanics!H28-0.5)*0.7))</f>
        <v/>
      </c>
      <c r="F31">
        <f>IF(E31&gt;=0.5,"Good","Bad")</f>
        <v/>
      </c>
      <c r="G31">
        <f>German_Data!F28</f>
        <v/>
      </c>
    </row>
    <row r="32">
      <c r="E32">
        <f>MIN(0.99,MAX(0.01,0.5+(German_Tree_Mechanics!H29-0.5)*0.7))</f>
        <v/>
      </c>
      <c r="F32">
        <f>IF(E32&gt;=0.5,"Good","Bad")</f>
        <v/>
      </c>
      <c r="G32">
        <f>German_Data!F29</f>
        <v/>
      </c>
    </row>
    <row r="33">
      <c r="E33">
        <f>MIN(0.99,MAX(0.01,0.5+(German_Tree_Mechanics!H30-0.5)*0.7))</f>
        <v/>
      </c>
      <c r="F33">
        <f>IF(E33&gt;=0.5,"Good","Bad")</f>
        <v/>
      </c>
      <c r="G33">
        <f>German_Data!F30</f>
        <v/>
      </c>
    </row>
    <row r="34">
      <c r="E34">
        <f>MIN(0.99,MAX(0.01,0.5+(German_Tree_Mechanics!H31-0.5)*0.7))</f>
        <v/>
      </c>
      <c r="F34">
        <f>IF(E34&gt;=0.5,"Good","Bad")</f>
        <v/>
      </c>
      <c r="G34">
        <f>German_Data!F31</f>
        <v/>
      </c>
    </row>
    <row r="35">
      <c r="E35">
        <f>MIN(0.99,MAX(0.01,0.5+(German_Tree_Mechanics!H32-0.5)*0.7))</f>
        <v/>
      </c>
      <c r="F35">
        <f>IF(E35&gt;=0.5,"Good","Bad")</f>
        <v/>
      </c>
      <c r="G35">
        <f>German_Data!F32</f>
        <v/>
      </c>
    </row>
    <row r="36">
      <c r="E36">
        <f>MIN(0.99,MAX(0.01,0.5+(German_Tree_Mechanics!H33-0.5)*0.7))</f>
        <v/>
      </c>
      <c r="F36">
        <f>IF(E36&gt;=0.5,"Good","Bad")</f>
        <v/>
      </c>
      <c r="G36">
        <f>German_Data!F33</f>
        <v/>
      </c>
    </row>
    <row r="37">
      <c r="E37">
        <f>MIN(0.99,MAX(0.01,0.5+(German_Tree_Mechanics!H34-0.5)*0.7))</f>
        <v/>
      </c>
      <c r="F37">
        <f>IF(E37&gt;=0.5,"Good","Bad")</f>
        <v/>
      </c>
      <c r="G37">
        <f>German_Data!F34</f>
        <v/>
      </c>
    </row>
    <row r="38">
      <c r="E38">
        <f>MIN(0.99,MAX(0.01,0.5+(German_Tree_Mechanics!H35-0.5)*0.7))</f>
        <v/>
      </c>
      <c r="F38">
        <f>IF(E38&gt;=0.5,"Good","Bad")</f>
        <v/>
      </c>
      <c r="G38">
        <f>German_Data!F35</f>
        <v/>
      </c>
    </row>
    <row r="39">
      <c r="E39">
        <f>MIN(0.99,MAX(0.01,0.5+(German_Tree_Mechanics!H36-0.5)*0.7))</f>
        <v/>
      </c>
      <c r="F39">
        <f>IF(E39&gt;=0.5,"Good","Bad")</f>
        <v/>
      </c>
      <c r="G39">
        <f>German_Data!F36</f>
        <v/>
      </c>
    </row>
    <row r="40">
      <c r="E40">
        <f>MIN(0.99,MAX(0.01,0.5+(German_Tree_Mechanics!H37-0.5)*0.7))</f>
        <v/>
      </c>
      <c r="F40">
        <f>IF(E40&gt;=0.5,"Good","Bad")</f>
        <v/>
      </c>
      <c r="G40">
        <f>German_Data!F37</f>
        <v/>
      </c>
    </row>
    <row r="41">
      <c r="E41">
        <f>MIN(0.99,MAX(0.01,0.5+(German_Tree_Mechanics!H38-0.5)*0.7))</f>
        <v/>
      </c>
      <c r="F41">
        <f>IF(E41&gt;=0.5,"Good","Bad")</f>
        <v/>
      </c>
      <c r="G41">
        <f>German_Data!F38</f>
        <v/>
      </c>
    </row>
    <row r="42">
      <c r="E42">
        <f>MIN(0.99,MAX(0.01,0.5+(German_Tree_Mechanics!H39-0.5)*0.7))</f>
        <v/>
      </c>
      <c r="F42">
        <f>IF(E42&gt;=0.5,"Good","Bad")</f>
        <v/>
      </c>
      <c r="G42">
        <f>German_Data!F39</f>
        <v/>
      </c>
    </row>
    <row r="43">
      <c r="E43">
        <f>MIN(0.99,MAX(0.01,0.5+(German_Tree_Mechanics!H40-0.5)*0.7))</f>
        <v/>
      </c>
      <c r="F43">
        <f>IF(E43&gt;=0.5,"Good","Bad")</f>
        <v/>
      </c>
      <c r="G43">
        <f>German_Data!F40</f>
        <v/>
      </c>
    </row>
    <row r="44">
      <c r="E44">
        <f>MIN(0.99,MAX(0.01,0.5+(German_Tree_Mechanics!H41-0.5)*0.7))</f>
        <v/>
      </c>
      <c r="F44">
        <f>IF(E44&gt;=0.5,"Good","Bad")</f>
        <v/>
      </c>
      <c r="G44">
        <f>German_Data!F41</f>
        <v/>
      </c>
    </row>
    <row r="45">
      <c r="E45">
        <f>MIN(0.99,MAX(0.01,0.5+(German_Tree_Mechanics!H42-0.5)*0.7))</f>
        <v/>
      </c>
      <c r="F45">
        <f>IF(E45&gt;=0.5,"Good","Bad")</f>
        <v/>
      </c>
      <c r="G45">
        <f>German_Data!F42</f>
        <v/>
      </c>
    </row>
    <row r="46">
      <c r="E46">
        <f>MIN(0.99,MAX(0.01,0.5+(German_Tree_Mechanics!H43-0.5)*0.7))</f>
        <v/>
      </c>
      <c r="F46">
        <f>IF(E46&gt;=0.5,"Good","Bad")</f>
        <v/>
      </c>
      <c r="G46">
        <f>German_Data!F43</f>
        <v/>
      </c>
    </row>
    <row r="47">
      <c r="E47">
        <f>MIN(0.99,MAX(0.01,0.5+(German_Tree_Mechanics!H44-0.5)*0.7))</f>
        <v/>
      </c>
      <c r="F47">
        <f>IF(E47&gt;=0.5,"Good","Bad")</f>
        <v/>
      </c>
      <c r="G47">
        <f>German_Data!F44</f>
        <v/>
      </c>
    </row>
    <row r="48">
      <c r="E48">
        <f>MIN(0.99,MAX(0.01,0.5+(German_Tree_Mechanics!H45-0.5)*0.7))</f>
        <v/>
      </c>
      <c r="F48">
        <f>IF(E48&gt;=0.5,"Good","Bad")</f>
        <v/>
      </c>
      <c r="G48">
        <f>German_Data!F45</f>
        <v/>
      </c>
    </row>
    <row r="49">
      <c r="E49">
        <f>MIN(0.99,MAX(0.01,0.5+(German_Tree_Mechanics!H46-0.5)*0.7))</f>
        <v/>
      </c>
      <c r="F49">
        <f>IF(E49&gt;=0.5,"Good","Bad")</f>
        <v/>
      </c>
      <c r="G49">
        <f>German_Data!F46</f>
        <v/>
      </c>
    </row>
    <row r="50">
      <c r="E50">
        <f>MIN(0.99,MAX(0.01,0.5+(German_Tree_Mechanics!H47-0.5)*0.7))</f>
        <v/>
      </c>
      <c r="F50">
        <f>IF(E50&gt;=0.5,"Good","Bad")</f>
        <v/>
      </c>
      <c r="G50">
        <f>German_Data!F47</f>
        <v/>
      </c>
    </row>
    <row r="51">
      <c r="E51">
        <f>MIN(0.99,MAX(0.01,0.5+(German_Tree_Mechanics!H48-0.5)*0.7))</f>
        <v/>
      </c>
      <c r="F51">
        <f>IF(E51&gt;=0.5,"Good","Bad")</f>
        <v/>
      </c>
      <c r="G51">
        <f>German_Data!F48</f>
        <v/>
      </c>
    </row>
    <row r="52">
      <c r="E52">
        <f>MIN(0.99,MAX(0.01,0.5+(German_Tree_Mechanics!H49-0.5)*0.7))</f>
        <v/>
      </c>
      <c r="F52">
        <f>IF(E52&gt;=0.5,"Good","Bad")</f>
        <v/>
      </c>
      <c r="G52">
        <f>German_Data!F49</f>
        <v/>
      </c>
    </row>
    <row r="53">
      <c r="E53">
        <f>MIN(0.99,MAX(0.01,0.5+(German_Tree_Mechanics!H50-0.5)*0.7))</f>
        <v/>
      </c>
      <c r="F53">
        <f>IF(E53&gt;=0.5,"Good","Bad")</f>
        <v/>
      </c>
      <c r="G53">
        <f>German_Data!F50</f>
        <v/>
      </c>
    </row>
    <row r="54">
      <c r="E54">
        <f>MIN(0.99,MAX(0.01,0.5+(German_Tree_Mechanics!H51-0.5)*0.7))</f>
        <v/>
      </c>
      <c r="F54">
        <f>IF(E54&gt;=0.5,"Good","Bad")</f>
        <v/>
      </c>
      <c r="G54">
        <f>German_Data!F51</f>
        <v/>
      </c>
    </row>
    <row r="55">
      <c r="E55">
        <f>MIN(0.99,MAX(0.01,0.5+(German_Tree_Mechanics!H52-0.5)*0.7))</f>
        <v/>
      </c>
      <c r="F55">
        <f>IF(E55&gt;=0.5,"Good","Bad")</f>
        <v/>
      </c>
      <c r="G55">
        <f>German_Data!F52</f>
        <v/>
      </c>
    </row>
    <row r="56">
      <c r="E56">
        <f>MIN(0.99,MAX(0.01,0.5+(German_Tree_Mechanics!H53-0.5)*0.7))</f>
        <v/>
      </c>
      <c r="F56">
        <f>IF(E56&gt;=0.5,"Good","Bad")</f>
        <v/>
      </c>
      <c r="G56">
        <f>German_Data!F53</f>
        <v/>
      </c>
    </row>
    <row r="57">
      <c r="E57">
        <f>MIN(0.99,MAX(0.01,0.5+(German_Tree_Mechanics!H54-0.5)*0.7))</f>
        <v/>
      </c>
      <c r="F57">
        <f>IF(E57&gt;=0.5,"Good","Bad")</f>
        <v/>
      </c>
      <c r="G57">
        <f>German_Data!F54</f>
        <v/>
      </c>
    </row>
    <row r="58">
      <c r="E58">
        <f>MIN(0.99,MAX(0.01,0.5+(German_Tree_Mechanics!H55-0.5)*0.7))</f>
        <v/>
      </c>
      <c r="F58">
        <f>IF(E58&gt;=0.5,"Good","Bad")</f>
        <v/>
      </c>
      <c r="G58">
        <f>German_Data!F55</f>
        <v/>
      </c>
    </row>
    <row r="59">
      <c r="E59">
        <f>MIN(0.99,MAX(0.01,0.5+(German_Tree_Mechanics!H56-0.5)*0.7))</f>
        <v/>
      </c>
      <c r="F59">
        <f>IF(E59&gt;=0.5,"Good","Bad")</f>
        <v/>
      </c>
      <c r="G59">
        <f>German_Data!F56</f>
        <v/>
      </c>
    </row>
    <row r="60">
      <c r="E60">
        <f>MIN(0.99,MAX(0.01,0.5+(German_Tree_Mechanics!H57-0.5)*0.7))</f>
        <v/>
      </c>
      <c r="F60">
        <f>IF(E60&gt;=0.5,"Good","Bad")</f>
        <v/>
      </c>
      <c r="G60">
        <f>German_Data!F57</f>
        <v/>
      </c>
    </row>
    <row r="61">
      <c r="E61">
        <f>MIN(0.99,MAX(0.01,0.5+(German_Tree_Mechanics!H58-0.5)*0.7))</f>
        <v/>
      </c>
      <c r="F61">
        <f>IF(E61&gt;=0.5,"Good","Bad")</f>
        <v/>
      </c>
      <c r="G61">
        <f>German_Data!F58</f>
        <v/>
      </c>
    </row>
    <row r="62">
      <c r="E62">
        <f>MIN(0.99,MAX(0.01,0.5+(German_Tree_Mechanics!H59-0.5)*0.7))</f>
        <v/>
      </c>
      <c r="F62">
        <f>IF(E62&gt;=0.5,"Good","Bad")</f>
        <v/>
      </c>
      <c r="G62">
        <f>German_Data!F59</f>
        <v/>
      </c>
    </row>
    <row r="63">
      <c r="E63">
        <f>MIN(0.99,MAX(0.01,0.5+(German_Tree_Mechanics!H60-0.5)*0.7))</f>
        <v/>
      </c>
      <c r="F63">
        <f>IF(E63&gt;=0.5,"Good","Bad")</f>
        <v/>
      </c>
      <c r="G63">
        <f>German_Data!F60</f>
        <v/>
      </c>
    </row>
    <row r="64">
      <c r="E64">
        <f>MIN(0.99,MAX(0.01,0.5+(German_Tree_Mechanics!H61-0.5)*0.7))</f>
        <v/>
      </c>
      <c r="F64">
        <f>IF(E64&gt;=0.5,"Good","Bad")</f>
        <v/>
      </c>
      <c r="G64">
        <f>German_Data!F61</f>
        <v/>
      </c>
    </row>
    <row r="65">
      <c r="E65">
        <f>MIN(0.99,MAX(0.01,0.5+(German_Tree_Mechanics!H62-0.5)*0.7))</f>
        <v/>
      </c>
      <c r="F65">
        <f>IF(E65&gt;=0.5,"Good","Bad")</f>
        <v/>
      </c>
      <c r="G65">
        <f>German_Data!F62</f>
        <v/>
      </c>
    </row>
    <row r="66">
      <c r="E66">
        <f>MIN(0.99,MAX(0.01,0.5+(German_Tree_Mechanics!H63-0.5)*0.7))</f>
        <v/>
      </c>
      <c r="F66">
        <f>IF(E66&gt;=0.5,"Good","Bad")</f>
        <v/>
      </c>
      <c r="G66">
        <f>German_Data!F63</f>
        <v/>
      </c>
    </row>
    <row r="67">
      <c r="E67">
        <f>MIN(0.99,MAX(0.01,0.5+(German_Tree_Mechanics!H64-0.5)*0.7))</f>
        <v/>
      </c>
      <c r="F67">
        <f>IF(E67&gt;=0.5,"Good","Bad")</f>
        <v/>
      </c>
      <c r="G67">
        <f>German_Data!F64</f>
        <v/>
      </c>
    </row>
    <row r="68">
      <c r="E68">
        <f>MIN(0.99,MAX(0.01,0.5+(German_Tree_Mechanics!H65-0.5)*0.7))</f>
        <v/>
      </c>
      <c r="F68">
        <f>IF(E68&gt;=0.5,"Good","Bad")</f>
        <v/>
      </c>
      <c r="G68">
        <f>German_Data!F65</f>
        <v/>
      </c>
    </row>
    <row r="69">
      <c r="E69">
        <f>MIN(0.99,MAX(0.01,0.5+(German_Tree_Mechanics!H66-0.5)*0.7))</f>
        <v/>
      </c>
      <c r="F69">
        <f>IF(E69&gt;=0.5,"Good","Bad")</f>
        <v/>
      </c>
      <c r="G69">
        <f>German_Data!F66</f>
        <v/>
      </c>
    </row>
    <row r="70">
      <c r="E70">
        <f>MIN(0.99,MAX(0.01,0.5+(German_Tree_Mechanics!H67-0.5)*0.7))</f>
        <v/>
      </c>
      <c r="F70">
        <f>IF(E70&gt;=0.5,"Good","Bad")</f>
        <v/>
      </c>
      <c r="G70">
        <f>German_Data!F67</f>
        <v/>
      </c>
    </row>
    <row r="71">
      <c r="E71">
        <f>MIN(0.99,MAX(0.01,0.5+(German_Tree_Mechanics!H68-0.5)*0.7))</f>
        <v/>
      </c>
      <c r="F71">
        <f>IF(E71&gt;=0.5,"Good","Bad")</f>
        <v/>
      </c>
      <c r="G71">
        <f>German_Data!F68</f>
        <v/>
      </c>
    </row>
    <row r="72">
      <c r="E72">
        <f>MIN(0.99,MAX(0.01,0.5+(German_Tree_Mechanics!H69-0.5)*0.7))</f>
        <v/>
      </c>
      <c r="F72">
        <f>IF(E72&gt;=0.5,"Good","Bad")</f>
        <v/>
      </c>
      <c r="G72">
        <f>German_Data!F69</f>
        <v/>
      </c>
    </row>
    <row r="73">
      <c r="E73">
        <f>MIN(0.99,MAX(0.01,0.5+(German_Tree_Mechanics!H70-0.5)*0.7))</f>
        <v/>
      </c>
      <c r="F73">
        <f>IF(E73&gt;=0.5,"Good","Bad")</f>
        <v/>
      </c>
      <c r="G73">
        <f>German_Data!F70</f>
        <v/>
      </c>
    </row>
    <row r="74">
      <c r="E74">
        <f>MIN(0.99,MAX(0.01,0.5+(German_Tree_Mechanics!H71-0.5)*0.7))</f>
        <v/>
      </c>
      <c r="F74">
        <f>IF(E74&gt;=0.5,"Good","Bad")</f>
        <v/>
      </c>
      <c r="G74">
        <f>German_Data!F71</f>
        <v/>
      </c>
    </row>
    <row r="75">
      <c r="E75">
        <f>MIN(0.99,MAX(0.01,0.5+(German_Tree_Mechanics!H72-0.5)*0.7))</f>
        <v/>
      </c>
      <c r="F75">
        <f>IF(E75&gt;=0.5,"Good","Bad")</f>
        <v/>
      </c>
      <c r="G75">
        <f>German_Data!F72</f>
        <v/>
      </c>
    </row>
    <row r="76">
      <c r="E76">
        <f>MIN(0.99,MAX(0.01,0.5+(German_Tree_Mechanics!H73-0.5)*0.7))</f>
        <v/>
      </c>
      <c r="F76">
        <f>IF(E76&gt;=0.5,"Good","Bad")</f>
        <v/>
      </c>
      <c r="G76">
        <f>German_Data!F73</f>
        <v/>
      </c>
    </row>
    <row r="77">
      <c r="E77">
        <f>MIN(0.99,MAX(0.01,0.5+(German_Tree_Mechanics!H74-0.5)*0.7))</f>
        <v/>
      </c>
      <c r="F77">
        <f>IF(E77&gt;=0.5,"Good","Bad")</f>
        <v/>
      </c>
      <c r="G77">
        <f>German_Data!F74</f>
        <v/>
      </c>
    </row>
    <row r="78">
      <c r="E78">
        <f>MIN(0.99,MAX(0.01,0.5+(German_Tree_Mechanics!H75-0.5)*0.7))</f>
        <v/>
      </c>
      <c r="F78">
        <f>IF(E78&gt;=0.5,"Good","Bad")</f>
        <v/>
      </c>
      <c r="G78">
        <f>German_Data!F75</f>
        <v/>
      </c>
    </row>
    <row r="79">
      <c r="E79">
        <f>MIN(0.99,MAX(0.01,0.5+(German_Tree_Mechanics!H76-0.5)*0.7))</f>
        <v/>
      </c>
      <c r="F79">
        <f>IF(E79&gt;=0.5,"Good","Bad")</f>
        <v/>
      </c>
      <c r="G79">
        <f>German_Data!F76</f>
        <v/>
      </c>
    </row>
    <row r="80">
      <c r="E80">
        <f>MIN(0.99,MAX(0.01,0.5+(German_Tree_Mechanics!H77-0.5)*0.7))</f>
        <v/>
      </c>
      <c r="F80">
        <f>IF(E80&gt;=0.5,"Good","Bad")</f>
        <v/>
      </c>
      <c r="G80">
        <f>German_Data!F77</f>
        <v/>
      </c>
    </row>
    <row r="81">
      <c r="E81">
        <f>MIN(0.99,MAX(0.01,0.5+(German_Tree_Mechanics!H78-0.5)*0.7))</f>
        <v/>
      </c>
      <c r="F81">
        <f>IF(E81&gt;=0.5,"Good","Bad")</f>
        <v/>
      </c>
      <c r="G81">
        <f>German_Data!F78</f>
        <v/>
      </c>
    </row>
    <row r="82">
      <c r="E82">
        <f>MIN(0.99,MAX(0.01,0.5+(German_Tree_Mechanics!H79-0.5)*0.7))</f>
        <v/>
      </c>
      <c r="F82">
        <f>IF(E82&gt;=0.5,"Good","Bad")</f>
        <v/>
      </c>
      <c r="G82">
        <f>German_Data!F79</f>
        <v/>
      </c>
    </row>
    <row r="83">
      <c r="E83">
        <f>MIN(0.99,MAX(0.01,0.5+(German_Tree_Mechanics!H80-0.5)*0.7))</f>
        <v/>
      </c>
      <c r="F83">
        <f>IF(E83&gt;=0.5,"Good","Bad")</f>
        <v/>
      </c>
      <c r="G83">
        <f>German_Data!F80</f>
        <v/>
      </c>
    </row>
    <row r="84">
      <c r="E84">
        <f>MIN(0.99,MAX(0.01,0.5+(German_Tree_Mechanics!H81-0.5)*0.7))</f>
        <v/>
      </c>
      <c r="F84">
        <f>IF(E84&gt;=0.5,"Good","Bad")</f>
        <v/>
      </c>
      <c r="G84">
        <f>German_Data!F81</f>
        <v/>
      </c>
    </row>
    <row r="85">
      <c r="E85">
        <f>MIN(0.99,MAX(0.01,0.5+(German_Tree_Mechanics!H82-0.5)*0.7))</f>
        <v/>
      </c>
      <c r="F85">
        <f>IF(E85&gt;=0.5,"Good","Bad")</f>
        <v/>
      </c>
      <c r="G85">
        <f>German_Data!F82</f>
        <v/>
      </c>
    </row>
    <row r="86">
      <c r="E86">
        <f>MIN(0.99,MAX(0.01,0.5+(German_Tree_Mechanics!H83-0.5)*0.7))</f>
        <v/>
      </c>
      <c r="F86">
        <f>IF(E86&gt;=0.5,"Good","Bad")</f>
        <v/>
      </c>
      <c r="G86">
        <f>German_Data!F83</f>
        <v/>
      </c>
    </row>
    <row r="87">
      <c r="E87">
        <f>MIN(0.99,MAX(0.01,0.5+(German_Tree_Mechanics!H84-0.5)*0.7))</f>
        <v/>
      </c>
      <c r="F87">
        <f>IF(E87&gt;=0.5,"Good","Bad")</f>
        <v/>
      </c>
      <c r="G87">
        <f>German_Data!F84</f>
        <v/>
      </c>
    </row>
    <row r="88">
      <c r="E88">
        <f>MIN(0.99,MAX(0.01,0.5+(German_Tree_Mechanics!H85-0.5)*0.7))</f>
        <v/>
      </c>
      <c r="F88">
        <f>IF(E88&gt;=0.5,"Good","Bad")</f>
        <v/>
      </c>
      <c r="G88">
        <f>German_Data!F85</f>
        <v/>
      </c>
    </row>
    <row r="89">
      <c r="E89">
        <f>MIN(0.99,MAX(0.01,0.5+(German_Tree_Mechanics!H86-0.5)*0.7))</f>
        <v/>
      </c>
      <c r="F89">
        <f>IF(E89&gt;=0.5,"Good","Bad")</f>
        <v/>
      </c>
      <c r="G89">
        <f>German_Data!F86</f>
        <v/>
      </c>
    </row>
    <row r="90">
      <c r="E90">
        <f>MIN(0.99,MAX(0.01,0.5+(German_Tree_Mechanics!H87-0.5)*0.7))</f>
        <v/>
      </c>
      <c r="F90">
        <f>IF(E90&gt;=0.5,"Good","Bad")</f>
        <v/>
      </c>
      <c r="G90">
        <f>German_Data!F87</f>
        <v/>
      </c>
    </row>
    <row r="91">
      <c r="E91">
        <f>MIN(0.99,MAX(0.01,0.5+(German_Tree_Mechanics!H88-0.5)*0.7))</f>
        <v/>
      </c>
      <c r="F91">
        <f>IF(E91&gt;=0.5,"Good","Bad")</f>
        <v/>
      </c>
      <c r="G91">
        <f>German_Data!F88</f>
        <v/>
      </c>
    </row>
    <row r="92">
      <c r="E92">
        <f>MIN(0.99,MAX(0.01,0.5+(German_Tree_Mechanics!H89-0.5)*0.7))</f>
        <v/>
      </c>
      <c r="F92">
        <f>IF(E92&gt;=0.5,"Good","Bad")</f>
        <v/>
      </c>
      <c r="G92">
        <f>German_Data!F89</f>
        <v/>
      </c>
    </row>
    <row r="93">
      <c r="E93">
        <f>MIN(0.99,MAX(0.01,0.5+(German_Tree_Mechanics!H90-0.5)*0.7))</f>
        <v/>
      </c>
      <c r="F93">
        <f>IF(E93&gt;=0.5,"Good","Bad")</f>
        <v/>
      </c>
      <c r="G93">
        <f>German_Data!F90</f>
        <v/>
      </c>
    </row>
    <row r="94">
      <c r="E94">
        <f>MIN(0.99,MAX(0.01,0.5+(German_Tree_Mechanics!H91-0.5)*0.7))</f>
        <v/>
      </c>
      <c r="F94">
        <f>IF(E94&gt;=0.5,"Good","Bad")</f>
        <v/>
      </c>
      <c r="G94">
        <f>German_Data!F91</f>
        <v/>
      </c>
    </row>
    <row r="95">
      <c r="E95">
        <f>MIN(0.99,MAX(0.01,0.5+(German_Tree_Mechanics!H92-0.5)*0.7))</f>
        <v/>
      </c>
      <c r="F95">
        <f>IF(E95&gt;=0.5,"Good","Bad")</f>
        <v/>
      </c>
      <c r="G95">
        <f>German_Data!F92</f>
        <v/>
      </c>
    </row>
    <row r="96">
      <c r="E96">
        <f>MIN(0.99,MAX(0.01,0.5+(German_Tree_Mechanics!H93-0.5)*0.7))</f>
        <v/>
      </c>
      <c r="F96">
        <f>IF(E96&gt;=0.5,"Good","Bad")</f>
        <v/>
      </c>
      <c r="G96">
        <f>German_Data!F93</f>
        <v/>
      </c>
    </row>
    <row r="97">
      <c r="E97">
        <f>MIN(0.99,MAX(0.01,0.5+(German_Tree_Mechanics!H94-0.5)*0.7))</f>
        <v/>
      </c>
      <c r="F97">
        <f>IF(E97&gt;=0.5,"Good","Bad")</f>
        <v/>
      </c>
      <c r="G97">
        <f>German_Data!F94</f>
        <v/>
      </c>
    </row>
    <row r="98">
      <c r="E98">
        <f>MIN(0.99,MAX(0.01,0.5+(German_Tree_Mechanics!H95-0.5)*0.7))</f>
        <v/>
      </c>
      <c r="F98">
        <f>IF(E98&gt;=0.5,"Good","Bad")</f>
        <v/>
      </c>
      <c r="G98">
        <f>German_Data!F95</f>
        <v/>
      </c>
    </row>
    <row r="99">
      <c r="E99">
        <f>MIN(0.99,MAX(0.01,0.5+(German_Tree_Mechanics!H96-0.5)*0.7))</f>
        <v/>
      </c>
      <c r="F99">
        <f>IF(E99&gt;=0.5,"Good","Bad")</f>
        <v/>
      </c>
      <c r="G99">
        <f>German_Data!F96</f>
        <v/>
      </c>
    </row>
    <row r="100">
      <c r="E100">
        <f>MIN(0.99,MAX(0.01,0.5+(German_Tree_Mechanics!H97-0.5)*0.7))</f>
        <v/>
      </c>
      <c r="F100">
        <f>IF(E100&gt;=0.5,"Good","Bad")</f>
        <v/>
      </c>
      <c r="G100">
        <f>German_Data!F97</f>
        <v/>
      </c>
    </row>
    <row r="101">
      <c r="E101">
        <f>MIN(0.99,MAX(0.01,0.5+(German_Tree_Mechanics!H98-0.5)*0.7))</f>
        <v/>
      </c>
      <c r="F101">
        <f>IF(E101&gt;=0.5,"Good","Bad")</f>
        <v/>
      </c>
      <c r="G101">
        <f>German_Data!F98</f>
        <v/>
      </c>
    </row>
    <row r="102">
      <c r="E102">
        <f>MIN(0.99,MAX(0.01,0.5+(German_Tree_Mechanics!H99-0.5)*0.7))</f>
        <v/>
      </c>
      <c r="F102">
        <f>IF(E102&gt;=0.5,"Good","Bad")</f>
        <v/>
      </c>
      <c r="G102">
        <f>German_Data!F99</f>
        <v/>
      </c>
    </row>
    <row r="103">
      <c r="E103">
        <f>MIN(0.99,MAX(0.01,0.5+(German_Tree_Mechanics!H100-0.5)*0.7))</f>
        <v/>
      </c>
      <c r="F103">
        <f>IF(E103&gt;=0.5,"Good","Bad")</f>
        <v/>
      </c>
      <c r="G103">
        <f>German_Data!F100</f>
        <v/>
      </c>
    </row>
    <row r="104">
      <c r="E104">
        <f>MIN(0.99,MAX(0.01,0.5+(German_Tree_Mechanics!H101-0.5)*0.7))</f>
        <v/>
      </c>
      <c r="F104">
        <f>IF(E104&gt;=0.5,"Good","Bad")</f>
        <v/>
      </c>
      <c r="G104">
        <f>German_Data!F101</f>
        <v/>
      </c>
    </row>
    <row r="105">
      <c r="E105">
        <f>MIN(0.99,MAX(0.01,0.5+(German_Tree_Mechanics!H102-0.5)*0.7))</f>
        <v/>
      </c>
      <c r="F105">
        <f>IF(E105&gt;=0.5,"Good","Bad")</f>
        <v/>
      </c>
      <c r="G105">
        <f>German_Data!F102</f>
        <v/>
      </c>
    </row>
    <row r="106">
      <c r="E106">
        <f>MIN(0.99,MAX(0.01,0.5+(German_Tree_Mechanics!H103-0.5)*0.7))</f>
        <v/>
      </c>
      <c r="F106">
        <f>IF(E106&gt;=0.5,"Good","Bad")</f>
        <v/>
      </c>
      <c r="G106">
        <f>German_Data!F103</f>
        <v/>
      </c>
    </row>
    <row r="107">
      <c r="E107">
        <f>MIN(0.99,MAX(0.01,0.5+(German_Tree_Mechanics!H104-0.5)*0.7))</f>
        <v/>
      </c>
      <c r="F107">
        <f>IF(E107&gt;=0.5,"Good","Bad")</f>
        <v/>
      </c>
      <c r="G107">
        <f>German_Data!F104</f>
        <v/>
      </c>
    </row>
    <row r="108">
      <c r="E108">
        <f>MIN(0.99,MAX(0.01,0.5+(German_Tree_Mechanics!H105-0.5)*0.7))</f>
        <v/>
      </c>
      <c r="F108">
        <f>IF(E108&gt;=0.5,"Good","Bad")</f>
        <v/>
      </c>
      <c r="G108">
        <f>German_Data!F105</f>
        <v/>
      </c>
    </row>
    <row r="109">
      <c r="E109">
        <f>MIN(0.99,MAX(0.01,0.5+(German_Tree_Mechanics!H106-0.5)*0.7))</f>
        <v/>
      </c>
      <c r="F109">
        <f>IF(E109&gt;=0.5,"Good","Bad")</f>
        <v/>
      </c>
      <c r="G109">
        <f>German_Data!F106</f>
        <v/>
      </c>
    </row>
    <row r="110">
      <c r="E110">
        <f>MIN(0.99,MAX(0.01,0.5+(German_Tree_Mechanics!H107-0.5)*0.7))</f>
        <v/>
      </c>
      <c r="F110">
        <f>IF(E110&gt;=0.5,"Good","Bad")</f>
        <v/>
      </c>
      <c r="G110">
        <f>German_Data!F107</f>
        <v/>
      </c>
    </row>
    <row r="111">
      <c r="E111">
        <f>MIN(0.99,MAX(0.01,0.5+(German_Tree_Mechanics!H108-0.5)*0.7))</f>
        <v/>
      </c>
      <c r="F111">
        <f>IF(E111&gt;=0.5,"Good","Bad")</f>
        <v/>
      </c>
      <c r="G111">
        <f>German_Data!F108</f>
        <v/>
      </c>
    </row>
    <row r="112">
      <c r="E112">
        <f>MIN(0.99,MAX(0.01,0.5+(German_Tree_Mechanics!H109-0.5)*0.7))</f>
        <v/>
      </c>
      <c r="F112">
        <f>IF(E112&gt;=0.5,"Good","Bad")</f>
        <v/>
      </c>
      <c r="G112">
        <f>German_Data!F109</f>
        <v/>
      </c>
    </row>
    <row r="113">
      <c r="E113">
        <f>MIN(0.99,MAX(0.01,0.5+(German_Tree_Mechanics!H110-0.5)*0.7))</f>
        <v/>
      </c>
      <c r="F113">
        <f>IF(E113&gt;=0.5,"Good","Bad")</f>
        <v/>
      </c>
      <c r="G113">
        <f>German_Data!F110</f>
        <v/>
      </c>
    </row>
    <row r="114">
      <c r="E114">
        <f>MIN(0.99,MAX(0.01,0.5+(German_Tree_Mechanics!H111-0.5)*0.7))</f>
        <v/>
      </c>
      <c r="F114">
        <f>IF(E114&gt;=0.5,"Good","Bad")</f>
        <v/>
      </c>
      <c r="G114">
        <f>German_Data!F111</f>
        <v/>
      </c>
    </row>
    <row r="115">
      <c r="E115">
        <f>MIN(0.99,MAX(0.01,0.5+(German_Tree_Mechanics!H112-0.5)*0.7))</f>
        <v/>
      </c>
      <c r="F115">
        <f>IF(E115&gt;=0.5,"Good","Bad")</f>
        <v/>
      </c>
      <c r="G115">
        <f>German_Data!F112</f>
        <v/>
      </c>
    </row>
    <row r="116">
      <c r="E116">
        <f>MIN(0.99,MAX(0.01,0.5+(German_Tree_Mechanics!H113-0.5)*0.7))</f>
        <v/>
      </c>
      <c r="F116">
        <f>IF(E116&gt;=0.5,"Good","Bad")</f>
        <v/>
      </c>
      <c r="G116">
        <f>German_Data!F113</f>
        <v/>
      </c>
    </row>
    <row r="117">
      <c r="E117">
        <f>MIN(0.99,MAX(0.01,0.5+(German_Tree_Mechanics!H114-0.5)*0.7))</f>
        <v/>
      </c>
      <c r="F117">
        <f>IF(E117&gt;=0.5,"Good","Bad")</f>
        <v/>
      </c>
      <c r="G117">
        <f>German_Data!F114</f>
        <v/>
      </c>
    </row>
    <row r="118">
      <c r="E118">
        <f>MIN(0.99,MAX(0.01,0.5+(German_Tree_Mechanics!H115-0.5)*0.7))</f>
        <v/>
      </c>
      <c r="F118">
        <f>IF(E118&gt;=0.5,"Good","Bad")</f>
        <v/>
      </c>
      <c r="G118">
        <f>German_Data!F115</f>
        <v/>
      </c>
    </row>
    <row r="119">
      <c r="E119">
        <f>MIN(0.99,MAX(0.01,0.5+(German_Tree_Mechanics!H116-0.5)*0.7))</f>
        <v/>
      </c>
      <c r="F119">
        <f>IF(E119&gt;=0.5,"Good","Bad")</f>
        <v/>
      </c>
      <c r="G119">
        <f>German_Data!F116</f>
        <v/>
      </c>
    </row>
    <row r="120">
      <c r="E120">
        <f>MIN(0.99,MAX(0.01,0.5+(German_Tree_Mechanics!H117-0.5)*0.7))</f>
        <v/>
      </c>
      <c r="F120">
        <f>IF(E120&gt;=0.5,"Good","Bad")</f>
        <v/>
      </c>
      <c r="G120">
        <f>German_Data!F117</f>
        <v/>
      </c>
    </row>
    <row r="121">
      <c r="E121">
        <f>MIN(0.99,MAX(0.01,0.5+(German_Tree_Mechanics!H118-0.5)*0.7))</f>
        <v/>
      </c>
      <c r="F121">
        <f>IF(E121&gt;=0.5,"Good","Bad")</f>
        <v/>
      </c>
      <c r="G121">
        <f>German_Data!F118</f>
        <v/>
      </c>
    </row>
    <row r="122">
      <c r="E122">
        <f>MIN(0.99,MAX(0.01,0.5+(German_Tree_Mechanics!H119-0.5)*0.7))</f>
        <v/>
      </c>
      <c r="F122">
        <f>IF(E122&gt;=0.5,"Good","Bad")</f>
        <v/>
      </c>
      <c r="G122">
        <f>German_Data!F119</f>
        <v/>
      </c>
    </row>
    <row r="123">
      <c r="E123">
        <f>MIN(0.99,MAX(0.01,0.5+(German_Tree_Mechanics!H120-0.5)*0.7))</f>
        <v/>
      </c>
      <c r="F123">
        <f>IF(E123&gt;=0.5,"Good","Bad")</f>
        <v/>
      </c>
      <c r="G123">
        <f>German_Data!F120</f>
        <v/>
      </c>
    </row>
    <row r="124">
      <c r="E124">
        <f>MIN(0.99,MAX(0.01,0.5+(German_Tree_Mechanics!H121-0.5)*0.7))</f>
        <v/>
      </c>
      <c r="F124">
        <f>IF(E124&gt;=0.5,"Good","Bad")</f>
        <v/>
      </c>
      <c r="G124">
        <f>German_Data!F121</f>
        <v/>
      </c>
    </row>
    <row r="125">
      <c r="E125">
        <f>MIN(0.99,MAX(0.01,0.5+(German_Tree_Mechanics!H122-0.5)*0.7))</f>
        <v/>
      </c>
      <c r="F125">
        <f>IF(E125&gt;=0.5,"Good","Bad")</f>
        <v/>
      </c>
      <c r="G125">
        <f>German_Data!F122</f>
        <v/>
      </c>
    </row>
    <row r="126">
      <c r="E126">
        <f>MIN(0.99,MAX(0.01,0.5+(German_Tree_Mechanics!H123-0.5)*0.7))</f>
        <v/>
      </c>
      <c r="F126">
        <f>IF(E126&gt;=0.5,"Good","Bad")</f>
        <v/>
      </c>
      <c r="G126">
        <f>German_Data!F123</f>
        <v/>
      </c>
    </row>
    <row r="127">
      <c r="E127">
        <f>MIN(0.99,MAX(0.01,0.5+(German_Tree_Mechanics!H124-0.5)*0.7))</f>
        <v/>
      </c>
      <c r="F127">
        <f>IF(E127&gt;=0.5,"Good","Bad")</f>
        <v/>
      </c>
      <c r="G127">
        <f>German_Data!F124</f>
        <v/>
      </c>
    </row>
    <row r="128">
      <c r="E128">
        <f>MIN(0.99,MAX(0.01,0.5+(German_Tree_Mechanics!H125-0.5)*0.7))</f>
        <v/>
      </c>
      <c r="F128">
        <f>IF(E128&gt;=0.5,"Good","Bad")</f>
        <v/>
      </c>
      <c r="G128">
        <f>German_Data!F125</f>
        <v/>
      </c>
    </row>
    <row r="129">
      <c r="E129">
        <f>MIN(0.99,MAX(0.01,0.5+(German_Tree_Mechanics!H126-0.5)*0.7))</f>
        <v/>
      </c>
      <c r="F129">
        <f>IF(E129&gt;=0.5,"Good","Bad")</f>
        <v/>
      </c>
      <c r="G129">
        <f>German_Data!F126</f>
        <v/>
      </c>
    </row>
    <row r="130">
      <c r="E130">
        <f>MIN(0.99,MAX(0.01,0.5+(German_Tree_Mechanics!H127-0.5)*0.7))</f>
        <v/>
      </c>
      <c r="F130">
        <f>IF(E130&gt;=0.5,"Good","Bad")</f>
        <v/>
      </c>
      <c r="G130">
        <f>German_Data!F127</f>
        <v/>
      </c>
    </row>
    <row r="131">
      <c r="E131">
        <f>MIN(0.99,MAX(0.01,0.5+(German_Tree_Mechanics!H128-0.5)*0.7))</f>
        <v/>
      </c>
      <c r="F131">
        <f>IF(E131&gt;=0.5,"Good","Bad")</f>
        <v/>
      </c>
      <c r="G131">
        <f>German_Data!F128</f>
        <v/>
      </c>
    </row>
    <row r="132">
      <c r="E132">
        <f>MIN(0.99,MAX(0.01,0.5+(German_Tree_Mechanics!H129-0.5)*0.7))</f>
        <v/>
      </c>
      <c r="F132">
        <f>IF(E132&gt;=0.5,"Good","Bad")</f>
        <v/>
      </c>
      <c r="G132">
        <f>German_Data!F129</f>
        <v/>
      </c>
    </row>
    <row r="133">
      <c r="E133">
        <f>MIN(0.99,MAX(0.01,0.5+(German_Tree_Mechanics!H130-0.5)*0.7))</f>
        <v/>
      </c>
      <c r="F133">
        <f>IF(E133&gt;=0.5,"Good","Bad")</f>
        <v/>
      </c>
      <c r="G133">
        <f>German_Data!F130</f>
        <v/>
      </c>
    </row>
    <row r="134">
      <c r="E134">
        <f>MIN(0.99,MAX(0.01,0.5+(German_Tree_Mechanics!H131-0.5)*0.7))</f>
        <v/>
      </c>
      <c r="F134">
        <f>IF(E134&gt;=0.5,"Good","Bad")</f>
        <v/>
      </c>
      <c r="G134">
        <f>German_Data!F131</f>
        <v/>
      </c>
    </row>
    <row r="135">
      <c r="E135">
        <f>MIN(0.99,MAX(0.01,0.5+(German_Tree_Mechanics!H132-0.5)*0.7))</f>
        <v/>
      </c>
      <c r="F135">
        <f>IF(E135&gt;=0.5,"Good","Bad")</f>
        <v/>
      </c>
      <c r="G135">
        <f>German_Data!F132</f>
        <v/>
      </c>
    </row>
    <row r="136">
      <c r="E136">
        <f>MIN(0.99,MAX(0.01,0.5+(German_Tree_Mechanics!H133-0.5)*0.7))</f>
        <v/>
      </c>
      <c r="F136">
        <f>IF(E136&gt;=0.5,"Good","Bad")</f>
        <v/>
      </c>
      <c r="G136">
        <f>German_Data!F133</f>
        <v/>
      </c>
    </row>
    <row r="137">
      <c r="E137">
        <f>MIN(0.99,MAX(0.01,0.5+(German_Tree_Mechanics!H134-0.5)*0.7))</f>
        <v/>
      </c>
      <c r="F137">
        <f>IF(E137&gt;=0.5,"Good","Bad")</f>
        <v/>
      </c>
      <c r="G137">
        <f>German_Data!F134</f>
        <v/>
      </c>
    </row>
    <row r="138">
      <c r="E138">
        <f>MIN(0.99,MAX(0.01,0.5+(German_Tree_Mechanics!H135-0.5)*0.7))</f>
        <v/>
      </c>
      <c r="F138">
        <f>IF(E138&gt;=0.5,"Good","Bad")</f>
        <v/>
      </c>
      <c r="G138">
        <f>German_Data!F135</f>
        <v/>
      </c>
    </row>
    <row r="139">
      <c r="E139">
        <f>MIN(0.99,MAX(0.01,0.5+(German_Tree_Mechanics!H136-0.5)*0.7))</f>
        <v/>
      </c>
      <c r="F139">
        <f>IF(E139&gt;=0.5,"Good","Bad")</f>
        <v/>
      </c>
      <c r="G139">
        <f>German_Data!F136</f>
        <v/>
      </c>
    </row>
    <row r="140">
      <c r="E140">
        <f>MIN(0.99,MAX(0.01,0.5+(German_Tree_Mechanics!H137-0.5)*0.7))</f>
        <v/>
      </c>
      <c r="F140">
        <f>IF(E140&gt;=0.5,"Good","Bad")</f>
        <v/>
      </c>
      <c r="G140">
        <f>German_Data!F137</f>
        <v/>
      </c>
    </row>
    <row r="141">
      <c r="E141">
        <f>MIN(0.99,MAX(0.01,0.5+(German_Tree_Mechanics!H138-0.5)*0.7))</f>
        <v/>
      </c>
      <c r="F141">
        <f>IF(E141&gt;=0.5,"Good","Bad")</f>
        <v/>
      </c>
      <c r="G141">
        <f>German_Data!F138</f>
        <v/>
      </c>
    </row>
    <row r="142">
      <c r="E142">
        <f>MIN(0.99,MAX(0.01,0.5+(German_Tree_Mechanics!H139-0.5)*0.7))</f>
        <v/>
      </c>
      <c r="F142">
        <f>IF(E142&gt;=0.5,"Good","Bad")</f>
        <v/>
      </c>
      <c r="G142">
        <f>German_Data!F139</f>
        <v/>
      </c>
    </row>
    <row r="143">
      <c r="E143">
        <f>MIN(0.99,MAX(0.01,0.5+(German_Tree_Mechanics!H140-0.5)*0.7))</f>
        <v/>
      </c>
      <c r="F143">
        <f>IF(E143&gt;=0.5,"Good","Bad")</f>
        <v/>
      </c>
      <c r="G143">
        <f>German_Data!F140</f>
        <v/>
      </c>
    </row>
    <row r="144">
      <c r="E144">
        <f>MIN(0.99,MAX(0.01,0.5+(German_Tree_Mechanics!H141-0.5)*0.7))</f>
        <v/>
      </c>
      <c r="F144">
        <f>IF(E144&gt;=0.5,"Good","Bad")</f>
        <v/>
      </c>
      <c r="G144">
        <f>German_Data!F141</f>
        <v/>
      </c>
    </row>
    <row r="145">
      <c r="E145">
        <f>MIN(0.99,MAX(0.01,0.5+(German_Tree_Mechanics!H142-0.5)*0.7))</f>
        <v/>
      </c>
      <c r="F145">
        <f>IF(E145&gt;=0.5,"Good","Bad")</f>
        <v/>
      </c>
      <c r="G145">
        <f>German_Data!F142</f>
        <v/>
      </c>
    </row>
    <row r="146">
      <c r="E146">
        <f>MIN(0.99,MAX(0.01,0.5+(German_Tree_Mechanics!H143-0.5)*0.7))</f>
        <v/>
      </c>
      <c r="F146">
        <f>IF(E146&gt;=0.5,"Good","Bad")</f>
        <v/>
      </c>
      <c r="G146">
        <f>German_Data!F143</f>
        <v/>
      </c>
    </row>
    <row r="147">
      <c r="E147">
        <f>MIN(0.99,MAX(0.01,0.5+(German_Tree_Mechanics!H144-0.5)*0.7))</f>
        <v/>
      </c>
      <c r="F147">
        <f>IF(E147&gt;=0.5,"Good","Bad")</f>
        <v/>
      </c>
      <c r="G147">
        <f>German_Data!F144</f>
        <v/>
      </c>
    </row>
    <row r="148">
      <c r="E148">
        <f>MIN(0.99,MAX(0.01,0.5+(German_Tree_Mechanics!H145-0.5)*0.7))</f>
        <v/>
      </c>
      <c r="F148">
        <f>IF(E148&gt;=0.5,"Good","Bad")</f>
        <v/>
      </c>
      <c r="G148">
        <f>German_Data!F145</f>
        <v/>
      </c>
    </row>
    <row r="149">
      <c r="E149">
        <f>MIN(0.99,MAX(0.01,0.5+(German_Tree_Mechanics!H146-0.5)*0.7))</f>
        <v/>
      </c>
      <c r="F149">
        <f>IF(E149&gt;=0.5,"Good","Bad")</f>
        <v/>
      </c>
      <c r="G149">
        <f>German_Data!F146</f>
        <v/>
      </c>
    </row>
    <row r="150">
      <c r="E150">
        <f>MIN(0.99,MAX(0.01,0.5+(German_Tree_Mechanics!H147-0.5)*0.7))</f>
        <v/>
      </c>
      <c r="F150">
        <f>IF(E150&gt;=0.5,"Good","Bad")</f>
        <v/>
      </c>
      <c r="G150">
        <f>German_Data!F147</f>
        <v/>
      </c>
    </row>
    <row r="151">
      <c r="E151">
        <f>MIN(0.99,MAX(0.01,0.5+(German_Tree_Mechanics!H148-0.5)*0.7))</f>
        <v/>
      </c>
      <c r="F151">
        <f>IF(E151&gt;=0.5,"Good","Bad")</f>
        <v/>
      </c>
      <c r="G151">
        <f>German_Data!F148</f>
        <v/>
      </c>
    </row>
    <row r="152">
      <c r="E152">
        <f>MIN(0.99,MAX(0.01,0.5+(German_Tree_Mechanics!H149-0.5)*0.7))</f>
        <v/>
      </c>
      <c r="F152">
        <f>IF(E152&gt;=0.5,"Good","Bad")</f>
        <v/>
      </c>
      <c r="G152">
        <f>German_Data!F149</f>
        <v/>
      </c>
    </row>
    <row r="153">
      <c r="E153">
        <f>MIN(0.99,MAX(0.01,0.5+(German_Tree_Mechanics!H150-0.5)*0.7))</f>
        <v/>
      </c>
      <c r="F153">
        <f>IF(E153&gt;=0.5,"Good","Bad")</f>
        <v/>
      </c>
      <c r="G153">
        <f>German_Data!F150</f>
        <v/>
      </c>
    </row>
    <row r="154">
      <c r="E154">
        <f>MIN(0.99,MAX(0.01,0.5+(German_Tree_Mechanics!H151-0.5)*0.7))</f>
        <v/>
      </c>
      <c r="F154">
        <f>IF(E154&gt;=0.5,"Good","Bad")</f>
        <v/>
      </c>
      <c r="G154">
        <f>German_Data!F151</f>
        <v/>
      </c>
    </row>
    <row r="155">
      <c r="E155">
        <f>MIN(0.99,MAX(0.01,0.5+(German_Tree_Mechanics!H152-0.5)*0.7))</f>
        <v/>
      </c>
      <c r="F155">
        <f>IF(E155&gt;=0.5,"Good","Bad")</f>
        <v/>
      </c>
      <c r="G155">
        <f>German_Data!F152</f>
        <v/>
      </c>
    </row>
    <row r="156">
      <c r="E156">
        <f>MIN(0.99,MAX(0.01,0.5+(German_Tree_Mechanics!H153-0.5)*0.7))</f>
        <v/>
      </c>
      <c r="F156">
        <f>IF(E156&gt;=0.5,"Good","Bad")</f>
        <v/>
      </c>
      <c r="G156">
        <f>German_Data!F153</f>
        <v/>
      </c>
    </row>
    <row r="157">
      <c r="E157">
        <f>MIN(0.99,MAX(0.01,0.5+(German_Tree_Mechanics!H154-0.5)*0.7))</f>
        <v/>
      </c>
      <c r="F157">
        <f>IF(E157&gt;=0.5,"Good","Bad")</f>
        <v/>
      </c>
      <c r="G157">
        <f>German_Data!F154</f>
        <v/>
      </c>
    </row>
    <row r="158">
      <c r="E158">
        <f>MIN(0.99,MAX(0.01,0.5+(German_Tree_Mechanics!H155-0.5)*0.7))</f>
        <v/>
      </c>
      <c r="F158">
        <f>IF(E158&gt;=0.5,"Good","Bad")</f>
        <v/>
      </c>
      <c r="G158">
        <f>German_Data!F155</f>
        <v/>
      </c>
    </row>
    <row r="159">
      <c r="E159">
        <f>MIN(0.99,MAX(0.01,0.5+(German_Tree_Mechanics!H156-0.5)*0.7))</f>
        <v/>
      </c>
      <c r="F159">
        <f>IF(E159&gt;=0.5,"Good","Bad")</f>
        <v/>
      </c>
      <c r="G159">
        <f>German_Data!F156</f>
        <v/>
      </c>
    </row>
    <row r="160">
      <c r="E160">
        <f>MIN(0.99,MAX(0.01,0.5+(German_Tree_Mechanics!H157-0.5)*0.7))</f>
        <v/>
      </c>
      <c r="F160">
        <f>IF(E160&gt;=0.5,"Good","Bad")</f>
        <v/>
      </c>
      <c r="G160">
        <f>German_Data!F157</f>
        <v/>
      </c>
    </row>
    <row r="161">
      <c r="E161">
        <f>MIN(0.99,MAX(0.01,0.5+(German_Tree_Mechanics!H158-0.5)*0.7))</f>
        <v/>
      </c>
      <c r="F161">
        <f>IF(E161&gt;=0.5,"Good","Bad")</f>
        <v/>
      </c>
      <c r="G161">
        <f>German_Data!F158</f>
        <v/>
      </c>
    </row>
    <row r="162">
      <c r="E162">
        <f>MIN(0.99,MAX(0.01,0.5+(German_Tree_Mechanics!H159-0.5)*0.7))</f>
        <v/>
      </c>
      <c r="F162">
        <f>IF(E162&gt;=0.5,"Good","Bad")</f>
        <v/>
      </c>
      <c r="G162">
        <f>German_Data!F159</f>
        <v/>
      </c>
    </row>
    <row r="163">
      <c r="E163">
        <f>MIN(0.99,MAX(0.01,0.5+(German_Tree_Mechanics!H160-0.5)*0.7))</f>
        <v/>
      </c>
      <c r="F163">
        <f>IF(E163&gt;=0.5,"Good","Bad")</f>
        <v/>
      </c>
      <c r="G163">
        <f>German_Data!F160</f>
        <v/>
      </c>
    </row>
    <row r="164">
      <c r="E164">
        <f>MIN(0.99,MAX(0.01,0.5+(German_Tree_Mechanics!H161-0.5)*0.7))</f>
        <v/>
      </c>
      <c r="F164">
        <f>IF(E164&gt;=0.5,"Good","Bad")</f>
        <v/>
      </c>
      <c r="G164">
        <f>German_Data!F161</f>
        <v/>
      </c>
    </row>
    <row r="165">
      <c r="E165">
        <f>MIN(0.99,MAX(0.01,0.5+(German_Tree_Mechanics!H162-0.5)*0.7))</f>
        <v/>
      </c>
      <c r="F165">
        <f>IF(E165&gt;=0.5,"Good","Bad")</f>
        <v/>
      </c>
      <c r="G165">
        <f>German_Data!F162</f>
        <v/>
      </c>
    </row>
    <row r="166">
      <c r="E166">
        <f>MIN(0.99,MAX(0.01,0.5+(German_Tree_Mechanics!H163-0.5)*0.7))</f>
        <v/>
      </c>
      <c r="F166">
        <f>IF(E166&gt;=0.5,"Good","Bad")</f>
        <v/>
      </c>
      <c r="G166">
        <f>German_Data!F163</f>
        <v/>
      </c>
    </row>
    <row r="167">
      <c r="E167">
        <f>MIN(0.99,MAX(0.01,0.5+(German_Tree_Mechanics!H164-0.5)*0.7))</f>
        <v/>
      </c>
      <c r="F167">
        <f>IF(E167&gt;=0.5,"Good","Bad")</f>
        <v/>
      </c>
      <c r="G167">
        <f>German_Data!F164</f>
        <v/>
      </c>
    </row>
    <row r="168">
      <c r="E168">
        <f>MIN(0.99,MAX(0.01,0.5+(German_Tree_Mechanics!H165-0.5)*0.7))</f>
        <v/>
      </c>
      <c r="F168">
        <f>IF(E168&gt;=0.5,"Good","Bad")</f>
        <v/>
      </c>
      <c r="G168">
        <f>German_Data!F165</f>
        <v/>
      </c>
    </row>
    <row r="169">
      <c r="E169">
        <f>MIN(0.99,MAX(0.01,0.5+(German_Tree_Mechanics!H166-0.5)*0.7))</f>
        <v/>
      </c>
      <c r="F169">
        <f>IF(E169&gt;=0.5,"Good","Bad")</f>
        <v/>
      </c>
      <c r="G169">
        <f>German_Data!F166</f>
        <v/>
      </c>
    </row>
    <row r="170">
      <c r="E170">
        <f>MIN(0.99,MAX(0.01,0.5+(German_Tree_Mechanics!H167-0.5)*0.7))</f>
        <v/>
      </c>
      <c r="F170">
        <f>IF(E170&gt;=0.5,"Good","Bad")</f>
        <v/>
      </c>
      <c r="G170">
        <f>German_Data!F167</f>
        <v/>
      </c>
    </row>
    <row r="171">
      <c r="E171">
        <f>MIN(0.99,MAX(0.01,0.5+(German_Tree_Mechanics!H168-0.5)*0.7))</f>
        <v/>
      </c>
      <c r="F171">
        <f>IF(E171&gt;=0.5,"Good","Bad")</f>
        <v/>
      </c>
      <c r="G171">
        <f>German_Data!F168</f>
        <v/>
      </c>
    </row>
    <row r="172">
      <c r="E172">
        <f>MIN(0.99,MAX(0.01,0.5+(German_Tree_Mechanics!H169-0.5)*0.7))</f>
        <v/>
      </c>
      <c r="F172">
        <f>IF(E172&gt;=0.5,"Good","Bad")</f>
        <v/>
      </c>
      <c r="G172">
        <f>German_Data!F169</f>
        <v/>
      </c>
    </row>
    <row r="173">
      <c r="E173">
        <f>MIN(0.99,MAX(0.01,0.5+(German_Tree_Mechanics!H170-0.5)*0.7))</f>
        <v/>
      </c>
      <c r="F173">
        <f>IF(E173&gt;=0.5,"Good","Bad")</f>
        <v/>
      </c>
      <c r="G173">
        <f>German_Data!F170</f>
        <v/>
      </c>
    </row>
    <row r="174">
      <c r="E174">
        <f>MIN(0.99,MAX(0.01,0.5+(German_Tree_Mechanics!H171-0.5)*0.7))</f>
        <v/>
      </c>
      <c r="F174">
        <f>IF(E174&gt;=0.5,"Good","Bad")</f>
        <v/>
      </c>
      <c r="G174">
        <f>German_Data!F171</f>
        <v/>
      </c>
    </row>
    <row r="175">
      <c r="E175">
        <f>MIN(0.99,MAX(0.01,0.5+(German_Tree_Mechanics!H172-0.5)*0.7))</f>
        <v/>
      </c>
      <c r="F175">
        <f>IF(E175&gt;=0.5,"Good","Bad")</f>
        <v/>
      </c>
      <c r="G175">
        <f>German_Data!F172</f>
        <v/>
      </c>
    </row>
    <row r="176">
      <c r="E176">
        <f>MIN(0.99,MAX(0.01,0.5+(German_Tree_Mechanics!H173-0.5)*0.7))</f>
        <v/>
      </c>
      <c r="F176">
        <f>IF(E176&gt;=0.5,"Good","Bad")</f>
        <v/>
      </c>
      <c r="G176">
        <f>German_Data!F173</f>
        <v/>
      </c>
    </row>
    <row r="177">
      <c r="E177">
        <f>MIN(0.99,MAX(0.01,0.5+(German_Tree_Mechanics!H174-0.5)*0.7))</f>
        <v/>
      </c>
      <c r="F177">
        <f>IF(E177&gt;=0.5,"Good","Bad")</f>
        <v/>
      </c>
      <c r="G177">
        <f>German_Data!F174</f>
        <v/>
      </c>
    </row>
    <row r="178">
      <c r="E178">
        <f>MIN(0.99,MAX(0.01,0.5+(German_Tree_Mechanics!H175-0.5)*0.7))</f>
        <v/>
      </c>
      <c r="F178">
        <f>IF(E178&gt;=0.5,"Good","Bad")</f>
        <v/>
      </c>
      <c r="G178">
        <f>German_Data!F175</f>
        <v/>
      </c>
    </row>
    <row r="179">
      <c r="E179">
        <f>MIN(0.99,MAX(0.01,0.5+(German_Tree_Mechanics!H176-0.5)*0.7))</f>
        <v/>
      </c>
      <c r="F179">
        <f>IF(E179&gt;=0.5,"Good","Bad")</f>
        <v/>
      </c>
      <c r="G179">
        <f>German_Data!F176</f>
        <v/>
      </c>
    </row>
    <row r="180">
      <c r="E180">
        <f>MIN(0.99,MAX(0.01,0.5+(German_Tree_Mechanics!H177-0.5)*0.7))</f>
        <v/>
      </c>
      <c r="F180">
        <f>IF(E180&gt;=0.5,"Good","Bad")</f>
        <v/>
      </c>
      <c r="G180">
        <f>German_Data!F177</f>
        <v/>
      </c>
    </row>
    <row r="181">
      <c r="E181">
        <f>MIN(0.99,MAX(0.01,0.5+(German_Tree_Mechanics!H178-0.5)*0.7))</f>
        <v/>
      </c>
      <c r="F181">
        <f>IF(E181&gt;=0.5,"Good","Bad")</f>
        <v/>
      </c>
      <c r="G181">
        <f>German_Data!F178</f>
        <v/>
      </c>
    </row>
    <row r="182">
      <c r="E182">
        <f>MIN(0.99,MAX(0.01,0.5+(German_Tree_Mechanics!H179-0.5)*0.7))</f>
        <v/>
      </c>
      <c r="F182">
        <f>IF(E182&gt;=0.5,"Good","Bad")</f>
        <v/>
      </c>
      <c r="G182">
        <f>German_Data!F179</f>
        <v/>
      </c>
    </row>
    <row r="183">
      <c r="E183">
        <f>MIN(0.99,MAX(0.01,0.5+(German_Tree_Mechanics!H180-0.5)*0.7))</f>
        <v/>
      </c>
      <c r="F183">
        <f>IF(E183&gt;=0.5,"Good","Bad")</f>
        <v/>
      </c>
      <c r="G183">
        <f>German_Data!F180</f>
        <v/>
      </c>
    </row>
    <row r="184">
      <c r="E184">
        <f>MIN(0.99,MAX(0.01,0.5+(German_Tree_Mechanics!H181-0.5)*0.7))</f>
        <v/>
      </c>
      <c r="F184">
        <f>IF(E184&gt;=0.5,"Good","Bad")</f>
        <v/>
      </c>
      <c r="G184">
        <f>German_Data!F181</f>
        <v/>
      </c>
    </row>
    <row r="185">
      <c r="E185">
        <f>MIN(0.99,MAX(0.01,0.5+(German_Tree_Mechanics!H182-0.5)*0.7))</f>
        <v/>
      </c>
      <c r="F185">
        <f>IF(E185&gt;=0.5,"Good","Bad")</f>
        <v/>
      </c>
      <c r="G185">
        <f>German_Data!F182</f>
        <v/>
      </c>
    </row>
    <row r="186">
      <c r="E186">
        <f>MIN(0.99,MAX(0.01,0.5+(German_Tree_Mechanics!H183-0.5)*0.7))</f>
        <v/>
      </c>
      <c r="F186">
        <f>IF(E186&gt;=0.5,"Good","Bad")</f>
        <v/>
      </c>
      <c r="G186">
        <f>German_Data!F183</f>
        <v/>
      </c>
    </row>
    <row r="187">
      <c r="E187">
        <f>MIN(0.99,MAX(0.01,0.5+(German_Tree_Mechanics!H184-0.5)*0.7))</f>
        <v/>
      </c>
      <c r="F187">
        <f>IF(E187&gt;=0.5,"Good","Bad")</f>
        <v/>
      </c>
      <c r="G187">
        <f>German_Data!F184</f>
        <v/>
      </c>
    </row>
    <row r="188">
      <c r="E188">
        <f>MIN(0.99,MAX(0.01,0.5+(German_Tree_Mechanics!H185-0.5)*0.7))</f>
        <v/>
      </c>
      <c r="F188">
        <f>IF(E188&gt;=0.5,"Good","Bad")</f>
        <v/>
      </c>
      <c r="G188">
        <f>German_Data!F185</f>
        <v/>
      </c>
    </row>
    <row r="189">
      <c r="E189">
        <f>MIN(0.99,MAX(0.01,0.5+(German_Tree_Mechanics!H186-0.5)*0.7))</f>
        <v/>
      </c>
      <c r="F189">
        <f>IF(E189&gt;=0.5,"Good","Bad")</f>
        <v/>
      </c>
      <c r="G189">
        <f>German_Data!F186</f>
        <v/>
      </c>
    </row>
    <row r="190">
      <c r="E190">
        <f>MIN(0.99,MAX(0.01,0.5+(German_Tree_Mechanics!H187-0.5)*0.7))</f>
        <v/>
      </c>
      <c r="F190">
        <f>IF(E190&gt;=0.5,"Good","Bad")</f>
        <v/>
      </c>
      <c r="G190">
        <f>German_Data!F187</f>
        <v/>
      </c>
    </row>
    <row r="191">
      <c r="E191">
        <f>MIN(0.99,MAX(0.01,0.5+(German_Tree_Mechanics!H188-0.5)*0.7))</f>
        <v/>
      </c>
      <c r="F191">
        <f>IF(E191&gt;=0.5,"Good","Bad")</f>
        <v/>
      </c>
      <c r="G191">
        <f>German_Data!F188</f>
        <v/>
      </c>
    </row>
    <row r="192">
      <c r="E192">
        <f>MIN(0.99,MAX(0.01,0.5+(German_Tree_Mechanics!H189-0.5)*0.7))</f>
        <v/>
      </c>
      <c r="F192">
        <f>IF(E192&gt;=0.5,"Good","Bad")</f>
        <v/>
      </c>
      <c r="G192">
        <f>German_Data!F189</f>
        <v/>
      </c>
    </row>
    <row r="193">
      <c r="E193">
        <f>MIN(0.99,MAX(0.01,0.5+(German_Tree_Mechanics!H190-0.5)*0.7))</f>
        <v/>
      </c>
      <c r="F193">
        <f>IF(E193&gt;=0.5,"Good","Bad")</f>
        <v/>
      </c>
      <c r="G193">
        <f>German_Data!F190</f>
        <v/>
      </c>
    </row>
    <row r="194">
      <c r="E194">
        <f>MIN(0.99,MAX(0.01,0.5+(German_Tree_Mechanics!H191-0.5)*0.7))</f>
        <v/>
      </c>
      <c r="F194">
        <f>IF(E194&gt;=0.5,"Good","Bad")</f>
        <v/>
      </c>
      <c r="G194">
        <f>German_Data!F191</f>
        <v/>
      </c>
    </row>
    <row r="195">
      <c r="E195">
        <f>MIN(0.99,MAX(0.01,0.5+(German_Tree_Mechanics!H192-0.5)*0.7))</f>
        <v/>
      </c>
      <c r="F195">
        <f>IF(E195&gt;=0.5,"Good","Bad")</f>
        <v/>
      </c>
      <c r="G195">
        <f>German_Data!F192</f>
        <v/>
      </c>
    </row>
    <row r="196">
      <c r="E196">
        <f>MIN(0.99,MAX(0.01,0.5+(German_Tree_Mechanics!H193-0.5)*0.7))</f>
        <v/>
      </c>
      <c r="F196">
        <f>IF(E196&gt;=0.5,"Good","Bad")</f>
        <v/>
      </c>
      <c r="G196">
        <f>German_Data!F193</f>
        <v/>
      </c>
    </row>
    <row r="197">
      <c r="E197">
        <f>MIN(0.99,MAX(0.01,0.5+(German_Tree_Mechanics!H194-0.5)*0.7))</f>
        <v/>
      </c>
      <c r="F197">
        <f>IF(E197&gt;=0.5,"Good","Bad")</f>
        <v/>
      </c>
      <c r="G197">
        <f>German_Data!F194</f>
        <v/>
      </c>
    </row>
    <row r="198">
      <c r="E198">
        <f>MIN(0.99,MAX(0.01,0.5+(German_Tree_Mechanics!H195-0.5)*0.7))</f>
        <v/>
      </c>
      <c r="F198">
        <f>IF(E198&gt;=0.5,"Good","Bad")</f>
        <v/>
      </c>
      <c r="G198">
        <f>German_Data!F195</f>
        <v/>
      </c>
    </row>
    <row r="199">
      <c r="E199">
        <f>MIN(0.99,MAX(0.01,0.5+(German_Tree_Mechanics!H196-0.5)*0.7))</f>
        <v/>
      </c>
      <c r="F199">
        <f>IF(E199&gt;=0.5,"Good","Bad")</f>
        <v/>
      </c>
      <c r="G199">
        <f>German_Data!F196</f>
        <v/>
      </c>
    </row>
    <row r="200">
      <c r="E200">
        <f>MIN(0.99,MAX(0.01,0.5+(German_Tree_Mechanics!H197-0.5)*0.7))</f>
        <v/>
      </c>
      <c r="F200">
        <f>IF(E200&gt;=0.5,"Good","Bad")</f>
        <v/>
      </c>
      <c r="G200">
        <f>German_Data!F197</f>
        <v/>
      </c>
    </row>
    <row r="201">
      <c r="E201">
        <f>MIN(0.99,MAX(0.01,0.5+(German_Tree_Mechanics!H198-0.5)*0.7))</f>
        <v/>
      </c>
      <c r="F201">
        <f>IF(E201&gt;=0.5,"Good","Bad")</f>
        <v/>
      </c>
      <c r="G201">
        <f>German_Data!F198</f>
        <v/>
      </c>
    </row>
    <row r="202">
      <c r="E202">
        <f>MIN(0.99,MAX(0.01,0.5+(German_Tree_Mechanics!H199-0.5)*0.7))</f>
        <v/>
      </c>
      <c r="F202">
        <f>IF(E202&gt;=0.5,"Good","Bad")</f>
        <v/>
      </c>
      <c r="G202">
        <f>German_Data!F199</f>
        <v/>
      </c>
    </row>
    <row r="203">
      <c r="E203">
        <f>MIN(0.99,MAX(0.01,0.5+(German_Tree_Mechanics!H200-0.5)*0.7))</f>
        <v/>
      </c>
      <c r="F203">
        <f>IF(E203&gt;=0.5,"Good","Bad")</f>
        <v/>
      </c>
      <c r="G203">
        <f>German_Data!F200</f>
        <v/>
      </c>
    </row>
    <row r="204">
      <c r="E204">
        <f>MIN(0.99,MAX(0.01,0.5+(German_Tree_Mechanics!H201-0.5)*0.7))</f>
        <v/>
      </c>
      <c r="F204">
        <f>IF(E204&gt;=0.5,"Good","Bad")</f>
        <v/>
      </c>
      <c r="G204">
        <f>German_Data!F201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16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row_id</t>
        </is>
      </c>
      <c r="B1" t="inlineStr">
        <is>
          <t>set</t>
        </is>
      </c>
      <c r="C1" t="inlineStr">
        <is>
          <t>CLM_AMT5</t>
        </is>
      </c>
      <c r="D1" t="inlineStr">
        <is>
          <t>BLUEBOOK</t>
        </is>
      </c>
      <c r="E1" t="inlineStr">
        <is>
          <t>AGE</t>
        </is>
      </c>
      <c r="F1" t="inlineStr">
        <is>
          <t>INCOME</t>
        </is>
      </c>
      <c r="G1" t="inlineStr">
        <is>
          <t>MVR_PTS</t>
        </is>
      </c>
      <c r="H1" t="inlineStr">
        <is>
          <t>YOJ</t>
        </is>
      </c>
      <c r="I1" t="inlineStr">
        <is>
          <t>HOME_VAL</t>
        </is>
      </c>
    </row>
    <row r="2">
      <c r="A2" t="n">
        <v>1</v>
      </c>
      <c r="B2" t="inlineStr">
        <is>
          <t>Train</t>
        </is>
      </c>
      <c r="C2" t="n">
        <v>4461</v>
      </c>
      <c r="D2" t="n">
        <v>14230</v>
      </c>
      <c r="E2" t="n">
        <v>60</v>
      </c>
      <c r="F2" t="n">
        <v>67349</v>
      </c>
      <c r="G2" t="n">
        <v>3</v>
      </c>
      <c r="H2" t="n">
        <v>11</v>
      </c>
      <c r="I2" t="n">
        <v>0</v>
      </c>
    </row>
    <row r="3">
      <c r="A3" t="n">
        <v>2</v>
      </c>
      <c r="B3" t="inlineStr">
        <is>
          <t>Train</t>
        </is>
      </c>
      <c r="C3" t="n">
        <v>38690</v>
      </c>
      <c r="D3" t="n">
        <v>4010</v>
      </c>
      <c r="E3" t="n">
        <v>35</v>
      </c>
      <c r="F3" t="n">
        <v>16039</v>
      </c>
      <c r="G3" t="n">
        <v>3</v>
      </c>
      <c r="H3" t="n">
        <v>10</v>
      </c>
      <c r="I3" t="n">
        <v>124191</v>
      </c>
    </row>
    <row r="4">
      <c r="A4" t="n">
        <v>3</v>
      </c>
      <c r="B4" t="inlineStr">
        <is>
          <t>Train</t>
        </is>
      </c>
      <c r="C4" t="n">
        <v>3295</v>
      </c>
      <c r="D4" t="n">
        <v>18930</v>
      </c>
      <c r="E4" t="n">
        <v>40</v>
      </c>
      <c r="F4" t="n">
        <v>50815</v>
      </c>
      <c r="G4" t="n">
        <v>2</v>
      </c>
      <c r="H4" t="n">
        <v>11</v>
      </c>
      <c r="I4" t="n">
        <v>0</v>
      </c>
    </row>
    <row r="5">
      <c r="A5" t="n">
        <v>4</v>
      </c>
      <c r="B5" t="inlineStr">
        <is>
          <t>Train</t>
        </is>
      </c>
      <c r="C5" t="n">
        <v>5028</v>
      </c>
      <c r="D5" t="n">
        <v>17600</v>
      </c>
      <c r="E5" t="n">
        <v>55</v>
      </c>
      <c r="F5" t="n">
        <v>59162</v>
      </c>
      <c r="G5" t="n">
        <v>3</v>
      </c>
      <c r="H5" t="n">
        <v>11</v>
      </c>
      <c r="I5" t="n">
        <v>180232</v>
      </c>
    </row>
    <row r="6">
      <c r="A6" t="n">
        <v>5</v>
      </c>
      <c r="B6" t="inlineStr">
        <is>
          <t>Train</t>
        </is>
      </c>
      <c r="C6" t="n">
        <v>44857</v>
      </c>
      <c r="D6" t="n">
        <v>15420</v>
      </c>
      <c r="E6" t="n">
        <v>59</v>
      </c>
      <c r="F6" t="n">
        <v>87460</v>
      </c>
      <c r="G6" t="n">
        <v>4</v>
      </c>
      <c r="H6" t="n">
        <v>12</v>
      </c>
      <c r="I6" t="n">
        <v>0</v>
      </c>
    </row>
    <row r="7">
      <c r="A7" t="n">
        <v>6</v>
      </c>
      <c r="B7" t="inlineStr">
        <is>
          <t>Train</t>
        </is>
      </c>
      <c r="C7" t="n">
        <v>8935</v>
      </c>
      <c r="D7" t="n">
        <v>8710</v>
      </c>
      <c r="E7" t="n">
        <v>28</v>
      </c>
      <c r="F7" t="n">
        <v>44077</v>
      </c>
      <c r="G7" t="n">
        <v>0</v>
      </c>
      <c r="H7" t="n">
        <v>13</v>
      </c>
      <c r="I7" t="n">
        <v>170598</v>
      </c>
    </row>
    <row r="8">
      <c r="A8" t="n">
        <v>7</v>
      </c>
      <c r="B8" t="inlineStr">
        <is>
          <t>Validation</t>
        </is>
      </c>
      <c r="C8" t="n">
        <v>8250</v>
      </c>
      <c r="D8" t="n">
        <v>11130</v>
      </c>
      <c r="E8" t="n">
        <v>48</v>
      </c>
      <c r="F8" t="n">
        <v>96274</v>
      </c>
      <c r="G8" t="n">
        <v>5</v>
      </c>
      <c r="H8" t="n">
        <v>14</v>
      </c>
      <c r="I8" t="n">
        <v>282904</v>
      </c>
    </row>
    <row r="9">
      <c r="A9" t="n">
        <v>8</v>
      </c>
      <c r="B9" t="inlineStr">
        <is>
          <t>Validation</t>
        </is>
      </c>
      <c r="C9" t="n">
        <v>3338</v>
      </c>
      <c r="D9" t="n">
        <v>5900</v>
      </c>
      <c r="E9" t="n">
        <v>44</v>
      </c>
      <c r="F9" t="n">
        <v>0</v>
      </c>
      <c r="G9" t="n">
        <v>0</v>
      </c>
      <c r="H9" t="n">
        <v>0</v>
      </c>
      <c r="I9" t="n">
        <v>82344</v>
      </c>
    </row>
    <row r="10">
      <c r="A10" t="n">
        <v>9</v>
      </c>
      <c r="B10" t="inlineStr">
        <is>
          <t>Validation</t>
        </is>
      </c>
      <c r="C10" t="n">
        <v>1431</v>
      </c>
      <c r="D10" t="n">
        <v>25810</v>
      </c>
      <c r="E10" t="n">
        <v>41</v>
      </c>
      <c r="F10" t="n">
        <v>92842</v>
      </c>
      <c r="G10" t="n">
        <v>5</v>
      </c>
      <c r="H10" t="n">
        <v>7</v>
      </c>
      <c r="I10" t="n">
        <v>286113</v>
      </c>
    </row>
    <row r="11">
      <c r="A11" t="n">
        <v>10</v>
      </c>
      <c r="B11" t="inlineStr">
        <is>
          <t>Train</t>
        </is>
      </c>
      <c r="C11" t="n">
        <v>26104</v>
      </c>
      <c r="D11" t="n">
        <v>12230</v>
      </c>
      <c r="E11" t="n">
        <v>40</v>
      </c>
      <c r="F11" t="n">
        <v>16989</v>
      </c>
      <c r="G11" t="n">
        <v>13</v>
      </c>
      <c r="H11" t="n">
        <v>11</v>
      </c>
      <c r="I11" t="n">
        <v>0</v>
      </c>
    </row>
    <row r="12">
      <c r="A12" t="n">
        <v>11</v>
      </c>
      <c r="B12" t="inlineStr">
        <is>
          <t>Train</t>
        </is>
      </c>
      <c r="C12" t="n">
        <v>2045</v>
      </c>
      <c r="D12" t="n">
        <v>10700</v>
      </c>
      <c r="E12" t="n">
        <v>36</v>
      </c>
      <c r="F12" t="n">
        <v>56048</v>
      </c>
      <c r="G12" t="n">
        <v>2</v>
      </c>
      <c r="H12" t="n">
        <v>12</v>
      </c>
      <c r="I12" t="n">
        <v>137836</v>
      </c>
    </row>
    <row r="13">
      <c r="A13" t="n">
        <v>12</v>
      </c>
      <c r="B13" t="inlineStr">
        <is>
          <t>Train</t>
        </is>
      </c>
      <c r="C13" t="n">
        <v>7838</v>
      </c>
      <c r="D13" t="n">
        <v>10520</v>
      </c>
      <c r="E13" t="n">
        <v>44</v>
      </c>
      <c r="F13" t="n">
        <v>16352</v>
      </c>
      <c r="G13" t="n">
        <v>1</v>
      </c>
      <c r="H13" t="n">
        <v>15</v>
      </c>
      <c r="I13" t="n">
        <v>134164</v>
      </c>
    </row>
    <row r="14">
      <c r="A14" t="n">
        <v>13</v>
      </c>
      <c r="B14" t="inlineStr">
        <is>
          <t>Train</t>
        </is>
      </c>
      <c r="C14" t="n">
        <v>27877</v>
      </c>
      <c r="D14" t="n">
        <v>32340</v>
      </c>
      <c r="E14" t="n">
        <v>45</v>
      </c>
      <c r="F14" t="n">
        <v>63952</v>
      </c>
      <c r="G14" t="n">
        <v>0</v>
      </c>
      <c r="H14" t="n">
        <v>14</v>
      </c>
      <c r="I14" t="n">
        <v>196368</v>
      </c>
    </row>
    <row r="15">
      <c r="A15" t="n">
        <v>14</v>
      </c>
      <c r="B15" t="inlineStr">
        <is>
          <t>Train</t>
        </is>
      </c>
      <c r="C15" t="n">
        <v>7896</v>
      </c>
      <c r="D15" t="n">
        <v>6880</v>
      </c>
      <c r="E15" t="n">
        <v>33</v>
      </c>
      <c r="F15" t="n">
        <v>20822</v>
      </c>
      <c r="G15" t="n">
        <v>0</v>
      </c>
      <c r="H15" t="n">
        <v>12</v>
      </c>
      <c r="I15" t="n">
        <v>76022</v>
      </c>
    </row>
    <row r="16">
      <c r="A16" t="n">
        <v>15</v>
      </c>
      <c r="B16" t="inlineStr">
        <is>
          <t>Train</t>
        </is>
      </c>
      <c r="C16" t="n">
        <v>24767</v>
      </c>
      <c r="D16" t="n">
        <v>2920</v>
      </c>
      <c r="E16" t="n">
        <v>34</v>
      </c>
      <c r="F16" t="n">
        <v>14194</v>
      </c>
      <c r="G16" t="n">
        <v>2</v>
      </c>
      <c r="H16" t="n">
        <v>8</v>
      </c>
      <c r="I16" t="n">
        <v>87034</v>
      </c>
    </row>
    <row r="17">
      <c r="A17" t="n">
        <v>16</v>
      </c>
      <c r="B17" t="inlineStr">
        <is>
          <t>Train</t>
        </is>
      </c>
      <c r="C17" t="n">
        <v>8890</v>
      </c>
      <c r="D17" t="n">
        <v>19510</v>
      </c>
      <c r="E17" t="n">
        <v>43</v>
      </c>
      <c r="F17" t="n">
        <v>137103</v>
      </c>
      <c r="G17" t="n">
        <v>0</v>
      </c>
      <c r="H17" t="n">
        <v>11</v>
      </c>
      <c r="I17" t="n">
        <v>0</v>
      </c>
    </row>
    <row r="18">
      <c r="A18" t="n">
        <v>17</v>
      </c>
      <c r="B18" t="inlineStr">
        <is>
          <t>Validation</t>
        </is>
      </c>
      <c r="C18" t="n">
        <v>4307</v>
      </c>
      <c r="D18" t="n">
        <v>10250</v>
      </c>
      <c r="E18" t="n">
        <v>45</v>
      </c>
      <c r="F18" t="n">
        <v>185836</v>
      </c>
      <c r="G18" t="n">
        <v>6</v>
      </c>
      <c r="H18" t="n">
        <v>11</v>
      </c>
      <c r="I18" t="n">
        <v>509115</v>
      </c>
    </row>
    <row r="19">
      <c r="A19" t="n">
        <v>18</v>
      </c>
      <c r="B19" t="inlineStr">
        <is>
          <t>Validation</t>
        </is>
      </c>
      <c r="C19" t="n">
        <v>42342</v>
      </c>
      <c r="D19" t="n">
        <v>9170</v>
      </c>
      <c r="E19" t="n">
        <v>62</v>
      </c>
      <c r="F19" t="n">
        <v>40656</v>
      </c>
      <c r="G19" t="n">
        <v>2</v>
      </c>
      <c r="H19" t="n">
        <v>15</v>
      </c>
      <c r="I19" t="n">
        <v>208242</v>
      </c>
    </row>
    <row r="20">
      <c r="A20" t="n">
        <v>19</v>
      </c>
      <c r="B20" t="inlineStr">
        <is>
          <t>Validation</t>
        </is>
      </c>
      <c r="C20" t="n">
        <v>1212</v>
      </c>
      <c r="D20" t="n">
        <v>9640</v>
      </c>
      <c r="E20" t="n">
        <v>48</v>
      </c>
      <c r="F20" t="n">
        <v>31773</v>
      </c>
      <c r="G20" t="n">
        <v>4</v>
      </c>
      <c r="H20" t="n">
        <v>12</v>
      </c>
      <c r="I20" t="n">
        <v>165090</v>
      </c>
    </row>
    <row r="21">
      <c r="A21" t="n">
        <v>20</v>
      </c>
      <c r="B21" t="inlineStr">
        <is>
          <t>Train</t>
        </is>
      </c>
      <c r="C21" t="n">
        <v>8350</v>
      </c>
      <c r="D21" t="n">
        <v>10850</v>
      </c>
      <c r="E21" t="n">
        <v>39</v>
      </c>
      <c r="F21" t="n">
        <v>33727</v>
      </c>
      <c r="G21" t="n">
        <v>2</v>
      </c>
      <c r="H21" t="n">
        <v>11</v>
      </c>
      <c r="I21" t="n">
        <v>0</v>
      </c>
    </row>
    <row r="22">
      <c r="A22" t="n">
        <v>21</v>
      </c>
      <c r="B22" t="inlineStr">
        <is>
          <t>Train</t>
        </is>
      </c>
      <c r="C22" t="n">
        <v>9115</v>
      </c>
      <c r="D22" t="n">
        <v>6400</v>
      </c>
      <c r="E22" t="n">
        <v>49</v>
      </c>
      <c r="F22" t="n">
        <v>0</v>
      </c>
      <c r="G22" t="n">
        <v>6</v>
      </c>
      <c r="H22" t="n">
        <v>0</v>
      </c>
      <c r="I22" t="n">
        <v>159389</v>
      </c>
    </row>
    <row r="23">
      <c r="A23" t="n">
        <v>22</v>
      </c>
      <c r="B23" t="inlineStr">
        <is>
          <t>Train</t>
        </is>
      </c>
      <c r="C23" t="n">
        <v>3157</v>
      </c>
      <c r="D23" t="n">
        <v>17470</v>
      </c>
      <c r="E23" t="n">
        <v>38</v>
      </c>
      <c r="F23" t="n">
        <v>0</v>
      </c>
      <c r="G23" t="n">
        <v>5</v>
      </c>
      <c r="H23" t="n">
        <v>0</v>
      </c>
      <c r="I23" t="n">
        <v>0</v>
      </c>
    </row>
    <row r="24">
      <c r="A24" t="n">
        <v>23</v>
      </c>
      <c r="B24" t="inlineStr">
        <is>
          <t>Train</t>
        </is>
      </c>
      <c r="C24" t="n">
        <v>759</v>
      </c>
      <c r="D24" t="n">
        <v>18110</v>
      </c>
      <c r="E24" t="n">
        <v>34</v>
      </c>
      <c r="F24" t="n">
        <v>51565</v>
      </c>
      <c r="G24" t="n">
        <v>3</v>
      </c>
      <c r="H24" t="n">
        <v>11</v>
      </c>
      <c r="I24" t="n">
        <v>0</v>
      </c>
    </row>
    <row r="25">
      <c r="A25" t="n">
        <v>24</v>
      </c>
      <c r="B25" t="inlineStr">
        <is>
          <t>Train</t>
        </is>
      </c>
      <c r="C25" t="n">
        <v>1800</v>
      </c>
      <c r="D25" t="n">
        <v>11740</v>
      </c>
      <c r="E25" t="n">
        <v>34</v>
      </c>
      <c r="F25" t="n">
        <v>0</v>
      </c>
      <c r="G25" t="n">
        <v>2</v>
      </c>
      <c r="H25" t="n">
        <v>0</v>
      </c>
      <c r="I25" t="n">
        <v>66358</v>
      </c>
    </row>
    <row r="26">
      <c r="A26" t="n">
        <v>25</v>
      </c>
      <c r="B26" t="inlineStr">
        <is>
          <t>Train</t>
        </is>
      </c>
      <c r="C26" t="n">
        <v>31695</v>
      </c>
      <c r="D26" t="n">
        <v>13800</v>
      </c>
      <c r="E26" t="n">
        <v>36</v>
      </c>
      <c r="F26" t="n">
        <v>105384</v>
      </c>
      <c r="G26" t="n">
        <v>4</v>
      </c>
      <c r="H26" t="n">
        <v>11</v>
      </c>
      <c r="I26" t="n">
        <v>267509</v>
      </c>
    </row>
    <row r="27">
      <c r="A27" t="n">
        <v>26</v>
      </c>
      <c r="B27" t="inlineStr">
        <is>
          <t>Train</t>
        </is>
      </c>
      <c r="C27" t="n">
        <v>1631</v>
      </c>
      <c r="D27" t="n">
        <v>15090</v>
      </c>
      <c r="E27" t="n">
        <v>33</v>
      </c>
      <c r="F27" t="n">
        <v>0</v>
      </c>
      <c r="G27" t="n">
        <v>2</v>
      </c>
      <c r="H27" t="n">
        <v>0</v>
      </c>
      <c r="I27" t="n">
        <v>0</v>
      </c>
    </row>
    <row r="28">
      <c r="A28" t="n">
        <v>27</v>
      </c>
      <c r="B28" t="inlineStr">
        <is>
          <t>Validation</t>
        </is>
      </c>
      <c r="C28" t="n">
        <v>1533</v>
      </c>
      <c r="D28" t="n">
        <v>12840</v>
      </c>
      <c r="E28" t="n">
        <v>47</v>
      </c>
      <c r="F28" t="n">
        <v>44705</v>
      </c>
      <c r="G28" t="n">
        <v>0</v>
      </c>
      <c r="H28" t="n">
        <v>11</v>
      </c>
      <c r="I28" t="n">
        <v>217885</v>
      </c>
    </row>
    <row r="29">
      <c r="A29" t="n">
        <v>28</v>
      </c>
      <c r="B29" t="inlineStr">
        <is>
          <t>Validation</t>
        </is>
      </c>
      <c r="C29" t="n">
        <v>12294</v>
      </c>
      <c r="D29" t="n">
        <v>30150</v>
      </c>
      <c r="E29" t="n">
        <v>43</v>
      </c>
      <c r="F29" t="n">
        <v>132561</v>
      </c>
      <c r="G29" t="n">
        <v>0</v>
      </c>
      <c r="H29" t="n">
        <v>11</v>
      </c>
      <c r="I29" t="n">
        <v>314433</v>
      </c>
    </row>
    <row r="30">
      <c r="A30" t="n">
        <v>29</v>
      </c>
      <c r="B30" t="inlineStr">
        <is>
          <t>Validation</t>
        </is>
      </c>
      <c r="C30" t="n">
        <v>3994</v>
      </c>
      <c r="D30" t="n">
        <v>14620</v>
      </c>
      <c r="E30" t="n">
        <v>64</v>
      </c>
      <c r="F30" t="n">
        <v>31738</v>
      </c>
      <c r="G30" t="n">
        <v>0</v>
      </c>
      <c r="H30" t="n">
        <v>15</v>
      </c>
      <c r="I30" t="n">
        <v>197010</v>
      </c>
    </row>
    <row r="31">
      <c r="A31" t="n">
        <v>30</v>
      </c>
      <c r="B31" t="inlineStr">
        <is>
          <t>Train</t>
        </is>
      </c>
      <c r="C31" t="n">
        <v>7278</v>
      </c>
      <c r="D31" t="n">
        <v>7500</v>
      </c>
      <c r="E31" t="n">
        <v>60</v>
      </c>
      <c r="F31" t="n">
        <v>125893</v>
      </c>
      <c r="G31" t="n">
        <v>4</v>
      </c>
      <c r="H31" t="n">
        <v>9</v>
      </c>
      <c r="I31" t="n">
        <v>0</v>
      </c>
    </row>
    <row r="32">
      <c r="A32" t="n">
        <v>31</v>
      </c>
      <c r="B32" t="inlineStr">
        <is>
          <t>Train</t>
        </is>
      </c>
      <c r="C32" t="n">
        <v>4645</v>
      </c>
      <c r="D32" t="n">
        <v>20450</v>
      </c>
      <c r="E32" t="n">
        <v>35</v>
      </c>
      <c r="F32" t="n">
        <v>154577</v>
      </c>
      <c r="G32" t="n">
        <v>3</v>
      </c>
      <c r="H32" t="n">
        <v>6</v>
      </c>
      <c r="I32" t="n">
        <v>397868</v>
      </c>
    </row>
    <row r="33">
      <c r="A33" t="n">
        <v>32</v>
      </c>
      <c r="B33" t="inlineStr">
        <is>
          <t>Train</t>
        </is>
      </c>
      <c r="C33" t="n">
        <v>8882</v>
      </c>
      <c r="D33" t="n">
        <v>7900</v>
      </c>
      <c r="E33" t="n">
        <v>52</v>
      </c>
      <c r="F33" t="n">
        <v>64014</v>
      </c>
      <c r="G33" t="n">
        <v>1</v>
      </c>
      <c r="H33" t="n">
        <v>7</v>
      </c>
      <c r="I33" t="n">
        <v>244863</v>
      </c>
    </row>
    <row r="34">
      <c r="A34" t="n">
        <v>33</v>
      </c>
      <c r="B34" t="inlineStr">
        <is>
          <t>Train</t>
        </is>
      </c>
      <c r="C34" t="n">
        <v>6224</v>
      </c>
      <c r="D34" t="n">
        <v>20920</v>
      </c>
      <c r="E34" t="n">
        <v>26</v>
      </c>
      <c r="F34" t="n">
        <v>53244</v>
      </c>
      <c r="G34" t="n">
        <v>1</v>
      </c>
      <c r="H34" t="n">
        <v>8</v>
      </c>
      <c r="I34" t="n">
        <v>0</v>
      </c>
    </row>
    <row r="35">
      <c r="A35" t="n">
        <v>34</v>
      </c>
      <c r="B35" t="inlineStr">
        <is>
          <t>Train</t>
        </is>
      </c>
      <c r="C35" t="n">
        <v>867</v>
      </c>
      <c r="D35" t="n">
        <v>5260</v>
      </c>
      <c r="E35" t="n">
        <v>38</v>
      </c>
      <c r="F35" t="n">
        <v>37580</v>
      </c>
      <c r="G35" t="n">
        <v>0</v>
      </c>
      <c r="H35" t="n">
        <v>12</v>
      </c>
      <c r="I35" t="n">
        <v>173495</v>
      </c>
    </row>
    <row r="36">
      <c r="A36" t="n">
        <v>35</v>
      </c>
      <c r="B36" t="inlineStr">
        <is>
          <t>Train</t>
        </is>
      </c>
      <c r="C36" t="n">
        <v>9526</v>
      </c>
      <c r="D36" t="n">
        <v>25100</v>
      </c>
      <c r="E36" t="n">
        <v>47</v>
      </c>
      <c r="F36" t="n">
        <v>64259</v>
      </c>
      <c r="G36" t="n">
        <v>3</v>
      </c>
      <c r="H36" t="n">
        <v>12</v>
      </c>
      <c r="I36" t="n">
        <v>202031</v>
      </c>
    </row>
    <row r="37">
      <c r="A37" t="n">
        <v>36</v>
      </c>
      <c r="B37" t="inlineStr">
        <is>
          <t>Train</t>
        </is>
      </c>
      <c r="C37" t="n">
        <v>37163</v>
      </c>
      <c r="D37" t="n">
        <v>19800</v>
      </c>
      <c r="E37" t="n">
        <v>44</v>
      </c>
      <c r="F37" t="n">
        <v>44790</v>
      </c>
      <c r="G37" t="n">
        <v>4</v>
      </c>
      <c r="H37" t="n">
        <v>14</v>
      </c>
      <c r="I37" t="n">
        <v>205463</v>
      </c>
    </row>
    <row r="38">
      <c r="A38" t="n">
        <v>37</v>
      </c>
      <c r="B38" t="inlineStr">
        <is>
          <t>Validation</t>
        </is>
      </c>
      <c r="C38" t="n">
        <v>50701</v>
      </c>
      <c r="D38" t="n">
        <v>11620</v>
      </c>
      <c r="E38" t="n">
        <v>51</v>
      </c>
      <c r="F38" t="n">
        <v>50166</v>
      </c>
      <c r="G38" t="n">
        <v>0</v>
      </c>
      <c r="H38" t="n">
        <v>9</v>
      </c>
      <c r="I38" t="n">
        <v>187297</v>
      </c>
    </row>
    <row r="39">
      <c r="A39" t="n">
        <v>38</v>
      </c>
      <c r="B39" t="inlineStr">
        <is>
          <t>Validation</t>
        </is>
      </c>
      <c r="C39" t="n">
        <v>4179</v>
      </c>
      <c r="D39" t="n">
        <v>20010</v>
      </c>
      <c r="E39" t="n">
        <v>50</v>
      </c>
      <c r="F39" t="n">
        <v>73343</v>
      </c>
      <c r="G39" t="n">
        <v>4</v>
      </c>
      <c r="H39" t="n">
        <v>14</v>
      </c>
      <c r="I39" t="n">
        <v>254600</v>
      </c>
    </row>
    <row r="40">
      <c r="A40" t="n">
        <v>39</v>
      </c>
      <c r="B40" t="inlineStr">
        <is>
          <t>Validation</t>
        </is>
      </c>
      <c r="C40" t="n">
        <v>3622</v>
      </c>
      <c r="D40" t="n">
        <v>13130</v>
      </c>
      <c r="E40" t="n">
        <v>43</v>
      </c>
      <c r="F40" t="n">
        <v>49849</v>
      </c>
      <c r="G40" t="n">
        <v>4</v>
      </c>
      <c r="H40" t="n">
        <v>15</v>
      </c>
      <c r="I40" t="n">
        <v>0</v>
      </c>
    </row>
    <row r="41">
      <c r="A41" t="n">
        <v>40</v>
      </c>
      <c r="B41" t="inlineStr">
        <is>
          <t>Train</t>
        </is>
      </c>
      <c r="C41" t="n">
        <v>1738</v>
      </c>
      <c r="D41" t="n">
        <v>15760</v>
      </c>
      <c r="E41" t="n">
        <v>39</v>
      </c>
      <c r="F41" t="n">
        <v>12054</v>
      </c>
      <c r="G41" t="n">
        <v>4</v>
      </c>
      <c r="H41" t="n">
        <v>16</v>
      </c>
      <c r="I41" t="n">
        <v>0</v>
      </c>
    </row>
    <row r="42">
      <c r="A42" t="n">
        <v>41</v>
      </c>
      <c r="B42" t="inlineStr">
        <is>
          <t>Train</t>
        </is>
      </c>
      <c r="C42" t="n">
        <v>6891</v>
      </c>
      <c r="D42" t="n">
        <v>14530</v>
      </c>
      <c r="E42" t="n">
        <v>43</v>
      </c>
      <c r="F42" t="n">
        <v>48184</v>
      </c>
      <c r="G42" t="n">
        <v>5</v>
      </c>
      <c r="H42" t="n">
        <v>14</v>
      </c>
      <c r="I42" t="n">
        <v>209188</v>
      </c>
    </row>
    <row r="43">
      <c r="A43" t="n">
        <v>42</v>
      </c>
      <c r="B43" t="inlineStr">
        <is>
          <t>Train</t>
        </is>
      </c>
      <c r="C43" t="n">
        <v>6803</v>
      </c>
      <c r="D43" t="n">
        <v>5500</v>
      </c>
      <c r="E43" t="n">
        <v>40</v>
      </c>
      <c r="F43" t="n">
        <v>78914</v>
      </c>
      <c r="G43" t="n">
        <v>6</v>
      </c>
      <c r="H43" t="n">
        <v>10</v>
      </c>
      <c r="I43" t="n">
        <v>229055</v>
      </c>
    </row>
    <row r="44">
      <c r="A44" t="n">
        <v>43</v>
      </c>
      <c r="B44" t="inlineStr">
        <is>
          <t>Train</t>
        </is>
      </c>
      <c r="C44" t="n">
        <v>974</v>
      </c>
      <c r="D44" t="n">
        <v>11940</v>
      </c>
      <c r="E44" t="n">
        <v>42</v>
      </c>
      <c r="F44" t="n">
        <v>47660</v>
      </c>
      <c r="G44" t="n">
        <v>6</v>
      </c>
      <c r="H44" t="n">
        <v>12</v>
      </c>
      <c r="I44" t="n">
        <v>180206</v>
      </c>
    </row>
    <row r="45">
      <c r="A45" t="n">
        <v>44</v>
      </c>
      <c r="B45" t="inlineStr">
        <is>
          <t>Train</t>
        </is>
      </c>
      <c r="C45" t="n">
        <v>5877</v>
      </c>
      <c r="D45" t="n">
        <v>10170</v>
      </c>
      <c r="E45" t="n">
        <v>36</v>
      </c>
      <c r="F45" t="n">
        <v>50750</v>
      </c>
      <c r="G45" t="n">
        <v>7</v>
      </c>
      <c r="H45" t="n">
        <v>12</v>
      </c>
      <c r="I45" t="n">
        <v>0</v>
      </c>
    </row>
    <row r="46">
      <c r="A46" t="n">
        <v>45</v>
      </c>
      <c r="B46" t="inlineStr">
        <is>
          <t>Train</t>
        </is>
      </c>
      <c r="C46" t="n">
        <v>2235</v>
      </c>
      <c r="D46" t="n">
        <v>9740</v>
      </c>
      <c r="E46" t="n">
        <v>40</v>
      </c>
      <c r="F46" t="n">
        <v>35260</v>
      </c>
      <c r="G46" t="n">
        <v>8</v>
      </c>
      <c r="H46" t="n">
        <v>12</v>
      </c>
      <c r="I46" t="n">
        <v>141167</v>
      </c>
    </row>
    <row r="47">
      <c r="A47" t="n">
        <v>46</v>
      </c>
      <c r="B47" t="inlineStr">
        <is>
          <t>Train</t>
        </is>
      </c>
      <c r="C47" t="n">
        <v>7437</v>
      </c>
      <c r="D47" t="n">
        <v>8460</v>
      </c>
      <c r="E47" t="n">
        <v>48</v>
      </c>
      <c r="F47" t="n">
        <v>39613</v>
      </c>
      <c r="G47" t="n">
        <v>6</v>
      </c>
      <c r="H47" t="n">
        <v>10</v>
      </c>
      <c r="I47" t="n">
        <v>159534</v>
      </c>
    </row>
    <row r="48">
      <c r="A48" t="n">
        <v>47</v>
      </c>
      <c r="B48" t="inlineStr">
        <is>
          <t>Validation</t>
        </is>
      </c>
      <c r="C48" t="n">
        <v>7650</v>
      </c>
      <c r="D48" t="n">
        <v>14960</v>
      </c>
      <c r="E48" t="n">
        <v>36</v>
      </c>
      <c r="F48" t="n">
        <v>70313</v>
      </c>
      <c r="G48" t="n">
        <v>5</v>
      </c>
      <c r="H48" t="n">
        <v>7</v>
      </c>
      <c r="I48" t="n">
        <v>211506</v>
      </c>
    </row>
    <row r="49">
      <c r="A49" t="n">
        <v>48</v>
      </c>
      <c r="B49" t="inlineStr">
        <is>
          <t>Validation</t>
        </is>
      </c>
      <c r="C49" t="n">
        <v>19385</v>
      </c>
      <c r="D49" t="n">
        <v>11300</v>
      </c>
      <c r="E49" t="n">
        <v>36</v>
      </c>
      <c r="F49" t="n">
        <v>27693</v>
      </c>
      <c r="G49" t="n">
        <v>4</v>
      </c>
      <c r="H49" t="n">
        <v>14</v>
      </c>
      <c r="I49" t="n">
        <v>130324</v>
      </c>
    </row>
    <row r="50">
      <c r="A50" t="n">
        <v>49</v>
      </c>
      <c r="B50" t="inlineStr">
        <is>
          <t>Validation</t>
        </is>
      </c>
      <c r="C50" t="n">
        <v>25147</v>
      </c>
      <c r="D50" t="n">
        <v>27890</v>
      </c>
      <c r="E50" t="n">
        <v>56</v>
      </c>
      <c r="F50" t="n">
        <v>0</v>
      </c>
      <c r="G50" t="n">
        <v>0</v>
      </c>
      <c r="H50" t="n">
        <v>0</v>
      </c>
      <c r="I50" t="n">
        <v>103058</v>
      </c>
    </row>
    <row r="51">
      <c r="A51" t="n">
        <v>50</v>
      </c>
      <c r="B51" t="inlineStr">
        <is>
          <t>Train</t>
        </is>
      </c>
      <c r="C51" t="n">
        <v>1175</v>
      </c>
      <c r="D51" t="n">
        <v>1500</v>
      </c>
      <c r="E51" t="n">
        <v>53</v>
      </c>
      <c r="F51" t="n">
        <v>0</v>
      </c>
      <c r="G51" t="n">
        <v>2</v>
      </c>
      <c r="H51" t="n">
        <v>0</v>
      </c>
      <c r="I51" t="n">
        <v>0</v>
      </c>
    </row>
    <row r="52">
      <c r="A52" t="n">
        <v>51</v>
      </c>
      <c r="B52" t="inlineStr">
        <is>
          <t>Train</t>
        </is>
      </c>
      <c r="C52" t="n">
        <v>17445</v>
      </c>
      <c r="D52" t="n">
        <v>16510</v>
      </c>
      <c r="E52" t="n">
        <v>45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52</v>
      </c>
      <c r="B53" t="inlineStr">
        <is>
          <t>Train</t>
        </is>
      </c>
      <c r="C53" t="n">
        <v>5537</v>
      </c>
      <c r="D53" t="n">
        <v>18820</v>
      </c>
      <c r="E53" t="n">
        <v>54</v>
      </c>
      <c r="F53" t="n">
        <v>0</v>
      </c>
      <c r="G53" t="n">
        <v>6</v>
      </c>
      <c r="H53" t="n">
        <v>0</v>
      </c>
      <c r="I53" t="n">
        <v>0</v>
      </c>
    </row>
    <row r="54">
      <c r="A54" t="n">
        <v>53</v>
      </c>
      <c r="B54" t="inlineStr">
        <is>
          <t>Train</t>
        </is>
      </c>
      <c r="C54" t="n">
        <v>3573</v>
      </c>
      <c r="D54" t="n">
        <v>13420</v>
      </c>
      <c r="E54" t="n">
        <v>61</v>
      </c>
      <c r="F54" t="n">
        <v>58212</v>
      </c>
      <c r="G54" t="n">
        <v>3</v>
      </c>
      <c r="H54" t="n">
        <v>10</v>
      </c>
      <c r="I54" t="n">
        <v>226638</v>
      </c>
    </row>
    <row r="55">
      <c r="A55" t="n">
        <v>54</v>
      </c>
      <c r="B55" t="inlineStr">
        <is>
          <t>Train</t>
        </is>
      </c>
      <c r="C55" t="n">
        <v>9873</v>
      </c>
      <c r="D55" t="n">
        <v>17880</v>
      </c>
      <c r="E55" t="n">
        <v>62</v>
      </c>
      <c r="F55" t="n">
        <v>22181</v>
      </c>
      <c r="G55" t="n">
        <v>5</v>
      </c>
      <c r="H55" t="n">
        <v>12</v>
      </c>
      <c r="I55" t="n">
        <v>185459</v>
      </c>
    </row>
    <row r="56">
      <c r="A56" t="n">
        <v>55</v>
      </c>
      <c r="B56" t="inlineStr">
        <is>
          <t>Train</t>
        </is>
      </c>
      <c r="C56" t="n">
        <v>1780</v>
      </c>
      <c r="D56" t="n">
        <v>27020</v>
      </c>
      <c r="E56" t="n">
        <v>54</v>
      </c>
      <c r="F56" t="n">
        <v>107808</v>
      </c>
      <c r="G56" t="n">
        <v>0</v>
      </c>
      <c r="H56" t="n">
        <v>15</v>
      </c>
      <c r="I56" t="n">
        <v>278940</v>
      </c>
    </row>
    <row r="57">
      <c r="A57" t="n">
        <v>56</v>
      </c>
      <c r="B57" t="inlineStr">
        <is>
          <t>Train</t>
        </is>
      </c>
      <c r="C57" t="n">
        <v>8450</v>
      </c>
      <c r="D57" t="n">
        <v>13740</v>
      </c>
      <c r="E57" t="n">
        <v>38</v>
      </c>
      <c r="F57" t="n">
        <v>90647</v>
      </c>
      <c r="G57" t="n">
        <v>0</v>
      </c>
      <c r="H57" t="n">
        <v>12</v>
      </c>
      <c r="I57" t="n">
        <v>251629</v>
      </c>
    </row>
    <row r="58">
      <c r="A58" t="n">
        <v>57</v>
      </c>
      <c r="B58" t="inlineStr">
        <is>
          <t>Validation</t>
        </is>
      </c>
      <c r="C58" t="n">
        <v>35666</v>
      </c>
      <c r="D58" t="n">
        <v>12930</v>
      </c>
      <c r="E58" t="n">
        <v>31</v>
      </c>
      <c r="F58" t="n">
        <v>30653</v>
      </c>
      <c r="G58" t="n">
        <v>0</v>
      </c>
      <c r="H58" t="n">
        <v>14</v>
      </c>
      <c r="I58" t="n">
        <v>0</v>
      </c>
    </row>
    <row r="59">
      <c r="A59" t="n">
        <v>58</v>
      </c>
      <c r="B59" t="inlineStr">
        <is>
          <t>Validation</t>
        </is>
      </c>
      <c r="C59" t="n">
        <v>9592</v>
      </c>
      <c r="D59" t="n">
        <v>15060</v>
      </c>
      <c r="E59" t="n">
        <v>48</v>
      </c>
      <c r="F59" t="n">
        <v>84629</v>
      </c>
      <c r="G59" t="n">
        <v>0</v>
      </c>
      <c r="H59" t="n">
        <v>10</v>
      </c>
      <c r="I59" t="n">
        <v>308848</v>
      </c>
    </row>
    <row r="60">
      <c r="A60" t="n">
        <v>59</v>
      </c>
      <c r="B60" t="inlineStr">
        <is>
          <t>Validation</t>
        </is>
      </c>
      <c r="C60" t="n">
        <v>8948</v>
      </c>
      <c r="D60" t="n">
        <v>12310</v>
      </c>
      <c r="E60" t="n">
        <v>49</v>
      </c>
      <c r="F60" t="n">
        <v>59148</v>
      </c>
      <c r="G60" t="n">
        <v>0</v>
      </c>
      <c r="H60" t="n">
        <v>13</v>
      </c>
      <c r="I60" t="n">
        <v>162428</v>
      </c>
    </row>
    <row r="61">
      <c r="A61" t="n">
        <v>60</v>
      </c>
      <c r="B61" t="inlineStr">
        <is>
          <t>Train</t>
        </is>
      </c>
      <c r="C61" t="n">
        <v>28026</v>
      </c>
      <c r="D61" t="n">
        <v>24600</v>
      </c>
      <c r="E61" t="n">
        <v>45</v>
      </c>
      <c r="F61" t="n">
        <v>111268</v>
      </c>
      <c r="G61" t="n">
        <v>2</v>
      </c>
      <c r="H61" t="n">
        <v>17</v>
      </c>
      <c r="I61" t="n">
        <v>288071</v>
      </c>
    </row>
    <row r="62">
      <c r="A62" t="n">
        <v>61</v>
      </c>
      <c r="B62" t="inlineStr">
        <is>
          <t>Train</t>
        </is>
      </c>
      <c r="C62" t="n">
        <v>35879</v>
      </c>
      <c r="D62" t="n">
        <v>42550</v>
      </c>
      <c r="E62" t="n">
        <v>36</v>
      </c>
      <c r="F62" t="n">
        <v>49703</v>
      </c>
      <c r="G62" t="n">
        <v>0</v>
      </c>
      <c r="H62" t="n">
        <v>11</v>
      </c>
      <c r="I62" t="n">
        <v>253132</v>
      </c>
    </row>
    <row r="63">
      <c r="A63" t="n">
        <v>62</v>
      </c>
      <c r="B63" t="inlineStr">
        <is>
          <t>Train</t>
        </is>
      </c>
      <c r="C63" t="n">
        <v>3460</v>
      </c>
      <c r="D63" t="n">
        <v>21070</v>
      </c>
      <c r="E63" t="n">
        <v>47</v>
      </c>
      <c r="F63" t="n">
        <v>94774</v>
      </c>
      <c r="G63" t="n">
        <v>1</v>
      </c>
      <c r="H63" t="n">
        <v>12</v>
      </c>
      <c r="I63" t="n">
        <v>254197</v>
      </c>
    </row>
    <row r="64">
      <c r="A64" t="n">
        <v>63</v>
      </c>
      <c r="B64" t="inlineStr">
        <is>
          <t>Train</t>
        </is>
      </c>
      <c r="C64" t="n">
        <v>8623</v>
      </c>
      <c r="D64" t="n">
        <v>26480</v>
      </c>
      <c r="E64" t="n">
        <v>41</v>
      </c>
      <c r="F64" t="n">
        <v>80718</v>
      </c>
      <c r="G64" t="n">
        <v>5</v>
      </c>
      <c r="H64" t="n">
        <v>12</v>
      </c>
      <c r="I64" t="n">
        <v>0</v>
      </c>
    </row>
    <row r="65">
      <c r="A65" t="n">
        <v>64</v>
      </c>
      <c r="B65" t="inlineStr">
        <is>
          <t>Train</t>
        </is>
      </c>
      <c r="C65" t="n">
        <v>4470</v>
      </c>
      <c r="D65" t="n">
        <v>11380</v>
      </c>
      <c r="E65" t="n">
        <v>60</v>
      </c>
      <c r="F65" t="n">
        <v>89511</v>
      </c>
      <c r="G65" t="n">
        <v>0</v>
      </c>
      <c r="H65" t="n">
        <v>13</v>
      </c>
      <c r="I65" t="n">
        <v>224350</v>
      </c>
    </row>
    <row r="66">
      <c r="A66" t="n">
        <v>65</v>
      </c>
      <c r="B66" t="inlineStr">
        <is>
          <t>Train</t>
        </is>
      </c>
      <c r="C66" t="n">
        <v>722</v>
      </c>
      <c r="D66" t="n">
        <v>15120</v>
      </c>
      <c r="E66" t="n">
        <v>38</v>
      </c>
      <c r="F66" t="n">
        <v>92917</v>
      </c>
      <c r="G66" t="n">
        <v>0</v>
      </c>
      <c r="H66" t="n">
        <v>8</v>
      </c>
      <c r="I66" t="n">
        <v>0</v>
      </c>
    </row>
    <row r="67">
      <c r="A67" t="n">
        <v>66</v>
      </c>
      <c r="B67" t="inlineStr">
        <is>
          <t>Train</t>
        </is>
      </c>
      <c r="C67" t="n">
        <v>2797</v>
      </c>
      <c r="D67" t="n">
        <v>8070</v>
      </c>
      <c r="E67" t="n">
        <v>36</v>
      </c>
      <c r="F67" t="n">
        <v>29741</v>
      </c>
      <c r="G67" t="n">
        <v>0</v>
      </c>
      <c r="H67" t="n">
        <v>7</v>
      </c>
      <c r="I67" t="n">
        <v>0</v>
      </c>
    </row>
    <row r="68">
      <c r="A68" t="n">
        <v>67</v>
      </c>
      <c r="B68" t="inlineStr">
        <is>
          <t>Validation</t>
        </is>
      </c>
      <c r="C68" t="n">
        <v>35577</v>
      </c>
      <c r="D68" t="n">
        <v>21770</v>
      </c>
      <c r="E68" t="n">
        <v>39</v>
      </c>
      <c r="F68" t="n">
        <v>61370</v>
      </c>
      <c r="G68" t="n">
        <v>0</v>
      </c>
      <c r="H68" t="n">
        <v>15</v>
      </c>
      <c r="I68" t="n">
        <v>0</v>
      </c>
    </row>
    <row r="69">
      <c r="A69" t="n">
        <v>68</v>
      </c>
      <c r="B69" t="inlineStr">
        <is>
          <t>Validation</t>
        </is>
      </c>
      <c r="C69" t="n">
        <v>4418</v>
      </c>
      <c r="D69" t="n">
        <v>13000</v>
      </c>
      <c r="E69" t="n">
        <v>41</v>
      </c>
      <c r="F69" t="n">
        <v>74022</v>
      </c>
      <c r="G69" t="n">
        <v>0</v>
      </c>
      <c r="H69" t="n">
        <v>14</v>
      </c>
      <c r="I69" t="n">
        <v>247884</v>
      </c>
    </row>
    <row r="70">
      <c r="A70" t="n">
        <v>69</v>
      </c>
      <c r="B70" t="inlineStr">
        <is>
          <t>Validation</t>
        </is>
      </c>
      <c r="C70" t="n">
        <v>2592</v>
      </c>
      <c r="D70" t="n">
        <v>14860</v>
      </c>
      <c r="E70" t="n">
        <v>36</v>
      </c>
      <c r="F70" t="n">
        <v>80256</v>
      </c>
      <c r="G70" t="n">
        <v>1</v>
      </c>
      <c r="H70" t="n">
        <v>11</v>
      </c>
      <c r="I70" t="n">
        <v>235169</v>
      </c>
    </row>
    <row r="71">
      <c r="A71" t="n">
        <v>70</v>
      </c>
      <c r="B71" t="inlineStr">
        <is>
          <t>Train</t>
        </is>
      </c>
      <c r="C71" t="n">
        <v>2631</v>
      </c>
      <c r="D71" t="n">
        <v>22770</v>
      </c>
      <c r="E71" t="n">
        <v>55</v>
      </c>
      <c r="F71" t="n">
        <v>6094</v>
      </c>
      <c r="G71" t="n">
        <v>1</v>
      </c>
      <c r="H71" t="n">
        <v>14</v>
      </c>
      <c r="I71" t="n">
        <v>0</v>
      </c>
    </row>
    <row r="72">
      <c r="A72" t="n">
        <v>71</v>
      </c>
      <c r="B72" t="inlineStr">
        <is>
          <t>Train</t>
        </is>
      </c>
      <c r="C72" t="n">
        <v>9062</v>
      </c>
      <c r="D72" t="n">
        <v>14300</v>
      </c>
      <c r="E72" t="n">
        <v>45</v>
      </c>
      <c r="F72" t="n">
        <v>0</v>
      </c>
      <c r="G72" t="n">
        <v>1</v>
      </c>
      <c r="H72" t="n">
        <v>0</v>
      </c>
      <c r="I72" t="n">
        <v>69743</v>
      </c>
    </row>
    <row r="73">
      <c r="A73" t="n">
        <v>72</v>
      </c>
      <c r="B73" t="inlineStr">
        <is>
          <t>Train</t>
        </is>
      </c>
      <c r="C73" t="n">
        <v>7628</v>
      </c>
      <c r="D73" t="n">
        <v>14520</v>
      </c>
      <c r="E73" t="n">
        <v>50</v>
      </c>
      <c r="F73" t="n">
        <v>80241</v>
      </c>
      <c r="G73" t="n">
        <v>7</v>
      </c>
      <c r="H73" t="n">
        <v>11</v>
      </c>
      <c r="I73" t="n">
        <v>0</v>
      </c>
    </row>
    <row r="74">
      <c r="A74" t="n">
        <v>73</v>
      </c>
      <c r="B74" t="inlineStr">
        <is>
          <t>Train</t>
        </is>
      </c>
      <c r="C74" t="n">
        <v>4276</v>
      </c>
      <c r="D74" t="n">
        <v>10510</v>
      </c>
      <c r="E74" t="n">
        <v>44</v>
      </c>
      <c r="F74" t="n">
        <v>46140</v>
      </c>
      <c r="G74" t="n">
        <v>7</v>
      </c>
      <c r="H74" t="n">
        <v>15</v>
      </c>
      <c r="I74" t="n">
        <v>169084</v>
      </c>
    </row>
    <row r="75">
      <c r="A75" t="n">
        <v>74</v>
      </c>
      <c r="B75" t="inlineStr">
        <is>
          <t>Train</t>
        </is>
      </c>
      <c r="C75" t="n">
        <v>3738</v>
      </c>
      <c r="D75" t="n">
        <v>22450</v>
      </c>
      <c r="E75" t="n">
        <v>44</v>
      </c>
      <c r="F75" t="n">
        <v>32317</v>
      </c>
      <c r="G75" t="n">
        <v>8</v>
      </c>
      <c r="H75" t="n">
        <v>8</v>
      </c>
      <c r="I75" t="n">
        <v>0</v>
      </c>
    </row>
    <row r="76">
      <c r="A76" t="n">
        <v>75</v>
      </c>
      <c r="B76" t="inlineStr">
        <is>
          <t>Train</t>
        </is>
      </c>
      <c r="C76" t="n">
        <v>5253</v>
      </c>
      <c r="D76" t="n">
        <v>13320</v>
      </c>
      <c r="E76" t="n">
        <v>50</v>
      </c>
      <c r="F76" t="n">
        <v>58762</v>
      </c>
      <c r="G76" t="n">
        <v>0</v>
      </c>
      <c r="H76" t="n">
        <v>9</v>
      </c>
      <c r="I76" t="n">
        <v>0</v>
      </c>
    </row>
    <row r="77">
      <c r="A77" t="n">
        <v>76</v>
      </c>
      <c r="B77" t="inlineStr">
        <is>
          <t>Train</t>
        </is>
      </c>
      <c r="C77" t="n">
        <v>45574</v>
      </c>
      <c r="D77" t="n">
        <v>7900</v>
      </c>
      <c r="E77" t="n">
        <v>60</v>
      </c>
      <c r="F77" t="n">
        <v>76899</v>
      </c>
      <c r="G77" t="n">
        <v>0</v>
      </c>
      <c r="H77" t="n">
        <v>15</v>
      </c>
      <c r="I77" t="n">
        <v>270631</v>
      </c>
    </row>
    <row r="78">
      <c r="A78" t="n">
        <v>77</v>
      </c>
      <c r="B78" t="inlineStr">
        <is>
          <t>Validation</t>
        </is>
      </c>
      <c r="C78" t="n">
        <v>9462</v>
      </c>
      <c r="D78" t="n">
        <v>15760</v>
      </c>
      <c r="E78" t="n">
        <v>57</v>
      </c>
      <c r="F78" t="n">
        <v>78592</v>
      </c>
      <c r="G78" t="n">
        <v>0</v>
      </c>
      <c r="H78" t="n">
        <v>6</v>
      </c>
      <c r="I78" t="n">
        <v>248326</v>
      </c>
    </row>
    <row r="79">
      <c r="A79" t="n">
        <v>78</v>
      </c>
      <c r="B79" t="inlineStr">
        <is>
          <t>Validation</t>
        </is>
      </c>
      <c r="C79" t="n">
        <v>7504</v>
      </c>
      <c r="D79" t="n">
        <v>5300</v>
      </c>
      <c r="E79" t="n">
        <v>34</v>
      </c>
      <c r="F79" t="n">
        <v>105554</v>
      </c>
      <c r="G79" t="n">
        <v>2</v>
      </c>
      <c r="H79" t="n">
        <v>9</v>
      </c>
      <c r="I79" t="n">
        <v>229868</v>
      </c>
    </row>
    <row r="80">
      <c r="A80" t="n">
        <v>79</v>
      </c>
      <c r="B80" t="inlineStr">
        <is>
          <t>Validation</t>
        </is>
      </c>
      <c r="C80" t="n">
        <v>1052</v>
      </c>
      <c r="D80" t="n">
        <v>23900</v>
      </c>
      <c r="E80" t="n">
        <v>42</v>
      </c>
      <c r="F80" t="n">
        <v>69290</v>
      </c>
      <c r="G80" t="n">
        <v>1</v>
      </c>
      <c r="H80" t="n">
        <v>3</v>
      </c>
      <c r="I80" t="n">
        <v>0</v>
      </c>
    </row>
    <row r="81">
      <c r="A81" t="n">
        <v>80</v>
      </c>
      <c r="B81" t="inlineStr">
        <is>
          <t>Train</t>
        </is>
      </c>
      <c r="C81" t="n">
        <v>6689</v>
      </c>
      <c r="D81" t="n">
        <v>13020</v>
      </c>
      <c r="E81" t="n">
        <v>42</v>
      </c>
      <c r="F81" t="n">
        <v>79185</v>
      </c>
      <c r="G81" t="n">
        <v>5</v>
      </c>
      <c r="H81" t="n">
        <v>11</v>
      </c>
      <c r="I81" t="n">
        <v>243880</v>
      </c>
    </row>
    <row r="82">
      <c r="A82" t="n">
        <v>81</v>
      </c>
      <c r="B82" t="inlineStr">
        <is>
          <t>Train</t>
        </is>
      </c>
      <c r="C82" t="n">
        <v>4117</v>
      </c>
      <c r="D82" t="n">
        <v>23370</v>
      </c>
      <c r="E82" t="n">
        <v>50</v>
      </c>
      <c r="F82" t="n">
        <v>219024</v>
      </c>
      <c r="G82" t="n">
        <v>4</v>
      </c>
      <c r="H82" t="n">
        <v>10</v>
      </c>
      <c r="I82" t="n">
        <v>0</v>
      </c>
    </row>
    <row r="83">
      <c r="A83" t="n">
        <v>82</v>
      </c>
      <c r="B83" t="inlineStr">
        <is>
          <t>Train</t>
        </is>
      </c>
      <c r="C83" t="n">
        <v>9768</v>
      </c>
      <c r="D83" t="n">
        <v>12160</v>
      </c>
      <c r="E83" t="n">
        <v>51</v>
      </c>
      <c r="F83" t="n">
        <v>55573</v>
      </c>
      <c r="G83" t="n">
        <v>6</v>
      </c>
      <c r="H83" t="n">
        <v>10</v>
      </c>
      <c r="I83" t="n">
        <v>0</v>
      </c>
    </row>
    <row r="84">
      <c r="A84" t="n">
        <v>83</v>
      </c>
      <c r="B84" t="inlineStr">
        <is>
          <t>Train</t>
        </is>
      </c>
      <c r="C84" t="n">
        <v>10177</v>
      </c>
      <c r="D84" t="n">
        <v>7700</v>
      </c>
      <c r="E84" t="n">
        <v>35</v>
      </c>
      <c r="F84" t="n">
        <v>13760</v>
      </c>
      <c r="G84" t="n">
        <v>3</v>
      </c>
      <c r="H84" t="n">
        <v>11</v>
      </c>
      <c r="I84" t="n">
        <v>0</v>
      </c>
    </row>
    <row r="85">
      <c r="A85" t="n">
        <v>84</v>
      </c>
      <c r="B85" t="inlineStr">
        <is>
          <t>Train</t>
        </is>
      </c>
      <c r="C85" t="n">
        <v>10520</v>
      </c>
      <c r="D85" t="n">
        <v>20090</v>
      </c>
      <c r="E85" t="n">
        <v>54</v>
      </c>
      <c r="F85" t="n">
        <v>88668</v>
      </c>
      <c r="G85" t="n">
        <v>1</v>
      </c>
      <c r="H85" t="n">
        <v>13</v>
      </c>
      <c r="I85" t="n">
        <v>316419</v>
      </c>
    </row>
    <row r="86">
      <c r="A86" t="n">
        <v>85</v>
      </c>
      <c r="B86" t="inlineStr">
        <is>
          <t>Train</t>
        </is>
      </c>
      <c r="C86" t="n">
        <v>20452</v>
      </c>
      <c r="D86" t="n">
        <v>10480</v>
      </c>
      <c r="E86" t="n">
        <v>50</v>
      </c>
      <c r="F86" t="n">
        <v>2657</v>
      </c>
      <c r="G86" t="n">
        <v>2</v>
      </c>
      <c r="H86" t="n">
        <v>13</v>
      </c>
      <c r="I86" t="n">
        <v>109134</v>
      </c>
    </row>
    <row r="87">
      <c r="A87" t="n">
        <v>86</v>
      </c>
      <c r="B87" t="inlineStr">
        <is>
          <t>Train</t>
        </is>
      </c>
      <c r="C87" t="n">
        <v>19030</v>
      </c>
      <c r="D87" t="n">
        <v>10470</v>
      </c>
      <c r="E87" t="n">
        <v>29</v>
      </c>
      <c r="F87" t="n">
        <v>51122</v>
      </c>
      <c r="G87" t="n">
        <v>9</v>
      </c>
      <c r="H87" t="n">
        <v>11</v>
      </c>
      <c r="I87" t="n">
        <v>201650</v>
      </c>
    </row>
    <row r="88">
      <c r="A88" t="n">
        <v>87</v>
      </c>
      <c r="B88" t="inlineStr">
        <is>
          <t>Validation</t>
        </is>
      </c>
      <c r="C88" t="n">
        <v>35430</v>
      </c>
      <c r="D88" t="n">
        <v>14190</v>
      </c>
      <c r="E88" t="n">
        <v>44</v>
      </c>
      <c r="F88" t="n">
        <v>0</v>
      </c>
      <c r="G88" t="n">
        <v>2</v>
      </c>
      <c r="H88" t="n">
        <v>0</v>
      </c>
      <c r="I88" t="n">
        <v>104490</v>
      </c>
    </row>
    <row r="89">
      <c r="A89" t="n">
        <v>88</v>
      </c>
      <c r="B89" t="inlineStr">
        <is>
          <t>Validation</t>
        </is>
      </c>
      <c r="C89" t="n">
        <v>10851</v>
      </c>
      <c r="D89" t="n">
        <v>13800</v>
      </c>
      <c r="E89" t="n">
        <v>38</v>
      </c>
      <c r="F89" t="n">
        <v>83937</v>
      </c>
      <c r="G89" t="n">
        <v>0</v>
      </c>
      <c r="H89" t="n">
        <v>14</v>
      </c>
      <c r="I89" t="n">
        <v>234151</v>
      </c>
    </row>
    <row r="90">
      <c r="A90" t="n">
        <v>89</v>
      </c>
      <c r="B90" t="inlineStr">
        <is>
          <t>Validation</t>
        </is>
      </c>
      <c r="C90" t="n">
        <v>6913</v>
      </c>
      <c r="D90" t="n">
        <v>13340</v>
      </c>
      <c r="E90" t="n">
        <v>55</v>
      </c>
      <c r="F90" t="n">
        <v>17820</v>
      </c>
      <c r="G90" t="n">
        <v>3</v>
      </c>
      <c r="H90" t="n">
        <v>14</v>
      </c>
      <c r="I90" t="n">
        <v>115540</v>
      </c>
    </row>
    <row r="91">
      <c r="A91" t="n">
        <v>90</v>
      </c>
      <c r="B91" t="inlineStr">
        <is>
          <t>Train</t>
        </is>
      </c>
      <c r="C91" t="n">
        <v>9261</v>
      </c>
      <c r="D91" t="n">
        <v>11750</v>
      </c>
      <c r="E91" t="n">
        <v>42</v>
      </c>
      <c r="F91" t="n">
        <v>68090</v>
      </c>
      <c r="G91" t="n">
        <v>3</v>
      </c>
      <c r="H91" t="n">
        <v>12</v>
      </c>
      <c r="I91" t="n">
        <v>169854</v>
      </c>
    </row>
    <row r="92">
      <c r="A92" t="n">
        <v>91</v>
      </c>
      <c r="B92" t="inlineStr">
        <is>
          <t>Train</t>
        </is>
      </c>
      <c r="C92" t="n">
        <v>5771</v>
      </c>
      <c r="D92" t="n">
        <v>6100</v>
      </c>
      <c r="E92" t="n">
        <v>45</v>
      </c>
      <c r="F92" t="n">
        <v>25032</v>
      </c>
      <c r="G92" t="n">
        <v>5</v>
      </c>
      <c r="H92" t="n">
        <v>4</v>
      </c>
      <c r="I92" t="n">
        <v>0</v>
      </c>
    </row>
    <row r="93">
      <c r="A93" t="n">
        <v>92</v>
      </c>
      <c r="B93" t="inlineStr">
        <is>
          <t>Train</t>
        </is>
      </c>
      <c r="C93" t="n">
        <v>5039</v>
      </c>
      <c r="D93" t="n">
        <v>23250</v>
      </c>
      <c r="E93" t="n">
        <v>54</v>
      </c>
      <c r="F93" t="n">
        <v>52078</v>
      </c>
      <c r="G93" t="n">
        <v>4</v>
      </c>
      <c r="H93" t="n">
        <v>12</v>
      </c>
      <c r="I93" t="n">
        <v>194227</v>
      </c>
    </row>
    <row r="94">
      <c r="A94" t="n">
        <v>93</v>
      </c>
      <c r="B94" t="inlineStr">
        <is>
          <t>Train</t>
        </is>
      </c>
      <c r="C94" t="n">
        <v>1316</v>
      </c>
      <c r="D94" t="n">
        <v>17020</v>
      </c>
      <c r="E94" t="n">
        <v>55</v>
      </c>
      <c r="F94" t="n">
        <v>75249</v>
      </c>
      <c r="G94" t="n">
        <v>1</v>
      </c>
      <c r="H94" t="n">
        <v>15</v>
      </c>
      <c r="I94" t="n">
        <v>0</v>
      </c>
    </row>
    <row r="95">
      <c r="A95" t="n">
        <v>94</v>
      </c>
      <c r="B95" t="inlineStr">
        <is>
          <t>Train</t>
        </is>
      </c>
      <c r="C95" t="n">
        <v>8185</v>
      </c>
      <c r="D95" t="n">
        <v>13440</v>
      </c>
      <c r="E95" t="n">
        <v>35</v>
      </c>
      <c r="F95" t="n">
        <v>72389</v>
      </c>
      <c r="G95" t="n">
        <v>2</v>
      </c>
      <c r="H95" t="n">
        <v>9</v>
      </c>
      <c r="I95" t="n">
        <v>213173</v>
      </c>
    </row>
    <row r="96">
      <c r="A96" t="n">
        <v>95</v>
      </c>
      <c r="B96" t="inlineStr">
        <is>
          <t>Train</t>
        </is>
      </c>
      <c r="C96" t="n">
        <v>4769</v>
      </c>
      <c r="D96" t="n">
        <v>22340</v>
      </c>
      <c r="E96" t="n">
        <v>29</v>
      </c>
      <c r="F96" t="n">
        <v>73842</v>
      </c>
      <c r="G96" t="n">
        <v>4</v>
      </c>
      <c r="H96" t="n">
        <v>8</v>
      </c>
      <c r="I96" t="n">
        <v>0</v>
      </c>
    </row>
    <row r="97">
      <c r="A97" t="n">
        <v>96</v>
      </c>
      <c r="B97" t="inlineStr">
        <is>
          <t>Train</t>
        </is>
      </c>
      <c r="C97" t="n">
        <v>41818</v>
      </c>
      <c r="D97" t="n">
        <v>6000</v>
      </c>
      <c r="E97" t="n">
        <v>45</v>
      </c>
      <c r="F97" t="n">
        <v>0</v>
      </c>
      <c r="G97" t="n">
        <v>3</v>
      </c>
      <c r="H97" t="n">
        <v>0</v>
      </c>
      <c r="I97" t="n">
        <v>0</v>
      </c>
    </row>
    <row r="98">
      <c r="A98" t="n">
        <v>97</v>
      </c>
      <c r="B98" t="inlineStr">
        <is>
          <t>Validation</t>
        </is>
      </c>
      <c r="C98" t="n">
        <v>1197</v>
      </c>
      <c r="D98" t="n">
        <v>20320</v>
      </c>
      <c r="E98" t="n">
        <v>51</v>
      </c>
      <c r="F98" t="n">
        <v>117016</v>
      </c>
      <c r="G98" t="n">
        <v>6</v>
      </c>
      <c r="H98" t="n">
        <v>11</v>
      </c>
      <c r="I98" t="n">
        <v>0</v>
      </c>
    </row>
    <row r="99">
      <c r="A99" t="n">
        <v>98</v>
      </c>
      <c r="B99" t="inlineStr">
        <is>
          <t>Validation</t>
        </is>
      </c>
      <c r="C99" t="n">
        <v>1937</v>
      </c>
      <c r="D99" t="n">
        <v>13780</v>
      </c>
      <c r="E99" t="n">
        <v>40</v>
      </c>
      <c r="F99" t="n">
        <v>50224</v>
      </c>
      <c r="G99" t="n">
        <v>6</v>
      </c>
      <c r="H99" t="n">
        <v>7</v>
      </c>
      <c r="I99" t="n">
        <v>0</v>
      </c>
    </row>
    <row r="100">
      <c r="A100" t="n">
        <v>99</v>
      </c>
      <c r="B100" t="inlineStr">
        <is>
          <t>Validation</t>
        </is>
      </c>
      <c r="C100" t="n">
        <v>7401</v>
      </c>
      <c r="D100" t="n">
        <v>5900</v>
      </c>
      <c r="E100" t="n">
        <v>44</v>
      </c>
      <c r="F100" t="n">
        <v>44141</v>
      </c>
      <c r="G100" t="n">
        <v>0</v>
      </c>
      <c r="H100" t="n">
        <v>14</v>
      </c>
      <c r="I100" t="n">
        <v>141312</v>
      </c>
    </row>
    <row r="101">
      <c r="A101" t="n">
        <v>100</v>
      </c>
      <c r="B101" t="inlineStr">
        <is>
          <t>Train</t>
        </is>
      </c>
      <c r="C101" t="n">
        <v>5702</v>
      </c>
      <c r="D101" t="n">
        <v>6350</v>
      </c>
      <c r="E101" t="n">
        <v>38</v>
      </c>
      <c r="F101" t="n">
        <v>10486</v>
      </c>
      <c r="G101" t="n">
        <v>4</v>
      </c>
      <c r="H101" t="n">
        <v>14</v>
      </c>
      <c r="I101" t="n">
        <v>66515</v>
      </c>
    </row>
    <row r="102">
      <c r="A102" t="n">
        <v>101</v>
      </c>
      <c r="B102" t="inlineStr">
        <is>
          <t>Train</t>
        </is>
      </c>
      <c r="C102" t="n">
        <v>41913</v>
      </c>
      <c r="D102" t="n">
        <v>23470</v>
      </c>
      <c r="E102" t="n">
        <v>62</v>
      </c>
      <c r="F102" t="n">
        <v>33713</v>
      </c>
      <c r="G102" t="n">
        <v>0</v>
      </c>
      <c r="H102" t="n">
        <v>12</v>
      </c>
      <c r="I102" t="n">
        <v>171810</v>
      </c>
    </row>
    <row r="103">
      <c r="A103" t="n">
        <v>102</v>
      </c>
      <c r="B103" t="inlineStr">
        <is>
          <t>Train</t>
        </is>
      </c>
      <c r="C103" t="n">
        <v>4263</v>
      </c>
      <c r="D103" t="n">
        <v>6100</v>
      </c>
      <c r="E103" t="n">
        <v>46</v>
      </c>
      <c r="F103" t="n">
        <v>79317</v>
      </c>
      <c r="G103" t="n">
        <v>7</v>
      </c>
      <c r="H103" t="n">
        <v>8</v>
      </c>
      <c r="I103" t="n">
        <v>241733</v>
      </c>
    </row>
    <row r="104">
      <c r="A104" t="n">
        <v>103</v>
      </c>
      <c r="B104" t="inlineStr">
        <is>
          <t>Train</t>
        </is>
      </c>
      <c r="C104" t="n">
        <v>10375</v>
      </c>
      <c r="D104" t="n">
        <v>22560</v>
      </c>
      <c r="E104" t="n">
        <v>42</v>
      </c>
      <c r="F104" t="n">
        <v>64705</v>
      </c>
      <c r="G104" t="n">
        <v>6</v>
      </c>
      <c r="H104" t="n">
        <v>9</v>
      </c>
      <c r="I104" t="n">
        <v>0</v>
      </c>
    </row>
    <row r="105">
      <c r="A105" t="n">
        <v>104</v>
      </c>
      <c r="B105" t="inlineStr">
        <is>
          <t>Train</t>
        </is>
      </c>
      <c r="C105" t="n">
        <v>2949</v>
      </c>
      <c r="D105" t="n">
        <v>5100</v>
      </c>
      <c r="E105" t="n">
        <v>36</v>
      </c>
      <c r="F105" t="n">
        <v>20891</v>
      </c>
      <c r="G105" t="n">
        <v>9</v>
      </c>
      <c r="H105" t="n">
        <v>13</v>
      </c>
      <c r="I105" t="n">
        <v>134406</v>
      </c>
    </row>
    <row r="106">
      <c r="A106" t="n">
        <v>105</v>
      </c>
      <c r="B106" t="inlineStr">
        <is>
          <t>Train</t>
        </is>
      </c>
      <c r="C106" t="n">
        <v>8118</v>
      </c>
      <c r="D106" t="n">
        <v>10160</v>
      </c>
      <c r="E106" t="n">
        <v>33</v>
      </c>
      <c r="F106" t="n">
        <v>0</v>
      </c>
      <c r="G106" t="n">
        <v>3</v>
      </c>
      <c r="H106" t="n">
        <v>0</v>
      </c>
      <c r="I106" t="n">
        <v>0</v>
      </c>
    </row>
    <row r="107">
      <c r="A107" t="n">
        <v>106</v>
      </c>
      <c r="B107" t="inlineStr">
        <is>
          <t>Train</t>
        </is>
      </c>
      <c r="C107" t="n">
        <v>5658</v>
      </c>
      <c r="D107" t="n">
        <v>19340</v>
      </c>
      <c r="E107" t="n">
        <v>35</v>
      </c>
      <c r="F107" t="n">
        <v>17493</v>
      </c>
      <c r="G107" t="n">
        <v>7</v>
      </c>
      <c r="H107" t="n">
        <v>10</v>
      </c>
      <c r="I107" t="n">
        <v>102902</v>
      </c>
    </row>
    <row r="108">
      <c r="A108" t="n">
        <v>107</v>
      </c>
      <c r="B108" t="inlineStr">
        <is>
          <t>Validation</t>
        </is>
      </c>
      <c r="C108" t="n">
        <v>5489</v>
      </c>
      <c r="D108" t="n">
        <v>9960</v>
      </c>
      <c r="E108" t="n">
        <v>40</v>
      </c>
      <c r="F108" t="n">
        <v>5322</v>
      </c>
      <c r="G108" t="n">
        <v>3</v>
      </c>
      <c r="H108" t="n">
        <v>13</v>
      </c>
      <c r="I108" t="n">
        <v>57657</v>
      </c>
    </row>
    <row r="109">
      <c r="A109" t="n">
        <v>108</v>
      </c>
      <c r="B109" t="inlineStr">
        <is>
          <t>Validation</t>
        </is>
      </c>
      <c r="C109" t="n">
        <v>17493</v>
      </c>
      <c r="D109" t="n">
        <v>11480</v>
      </c>
      <c r="E109" t="n">
        <v>32</v>
      </c>
      <c r="F109" t="n">
        <v>60050</v>
      </c>
      <c r="G109" t="n">
        <v>2</v>
      </c>
      <c r="H109" t="n">
        <v>9</v>
      </c>
      <c r="I109" t="n">
        <v>212562</v>
      </c>
    </row>
    <row r="110">
      <c r="A110" t="n">
        <v>109</v>
      </c>
      <c r="B110" t="inlineStr">
        <is>
          <t>Validation</t>
        </is>
      </c>
      <c r="C110" t="n">
        <v>4048</v>
      </c>
      <c r="D110" t="n">
        <v>14930</v>
      </c>
      <c r="E110" t="n">
        <v>37</v>
      </c>
      <c r="F110" t="n">
        <v>97266</v>
      </c>
      <c r="G110" t="n">
        <v>0</v>
      </c>
      <c r="H110" t="n">
        <v>7</v>
      </c>
      <c r="I110" t="n">
        <v>252596</v>
      </c>
    </row>
    <row r="111">
      <c r="A111" t="n">
        <v>110</v>
      </c>
      <c r="B111" t="inlineStr">
        <is>
          <t>Train</t>
        </is>
      </c>
      <c r="C111" t="n">
        <v>3320</v>
      </c>
      <c r="D111" t="n">
        <v>12740</v>
      </c>
      <c r="E111" t="n">
        <v>39</v>
      </c>
      <c r="F111" t="n">
        <v>73367</v>
      </c>
      <c r="G111" t="n">
        <v>4</v>
      </c>
      <c r="H111" t="n">
        <v>14</v>
      </c>
      <c r="I111" t="n">
        <v>0</v>
      </c>
    </row>
    <row r="112">
      <c r="A112" t="n">
        <v>111</v>
      </c>
      <c r="B112" t="inlineStr">
        <is>
          <t>Train</t>
        </is>
      </c>
      <c r="C112" t="n">
        <v>7181</v>
      </c>
      <c r="D112" t="n">
        <v>6780</v>
      </c>
      <c r="E112" t="n">
        <v>32</v>
      </c>
      <c r="F112" t="n">
        <v>4478</v>
      </c>
      <c r="G112" t="n">
        <v>5</v>
      </c>
      <c r="H112" t="n">
        <v>15</v>
      </c>
      <c r="I112" t="n">
        <v>0</v>
      </c>
    </row>
    <row r="113">
      <c r="A113" t="n">
        <v>112</v>
      </c>
      <c r="B113" t="inlineStr">
        <is>
          <t>Train</t>
        </is>
      </c>
      <c r="C113" t="n">
        <v>3913</v>
      </c>
      <c r="D113" t="n">
        <v>16370</v>
      </c>
      <c r="E113" t="n">
        <v>35</v>
      </c>
      <c r="F113" t="n">
        <v>62036</v>
      </c>
      <c r="G113" t="n">
        <v>7</v>
      </c>
      <c r="H113" t="n">
        <v>7</v>
      </c>
      <c r="I113" t="n">
        <v>154297</v>
      </c>
    </row>
    <row r="114">
      <c r="A114" t="n">
        <v>113</v>
      </c>
      <c r="B114" t="inlineStr">
        <is>
          <t>Train</t>
        </is>
      </c>
      <c r="C114" t="n">
        <v>5137</v>
      </c>
      <c r="D114" t="n">
        <v>11950</v>
      </c>
      <c r="E114" t="n">
        <v>64</v>
      </c>
      <c r="F114" t="n">
        <v>40528</v>
      </c>
      <c r="G114" t="n">
        <v>6</v>
      </c>
      <c r="H114" t="n">
        <v>15</v>
      </c>
      <c r="I114" t="n">
        <v>208306</v>
      </c>
    </row>
    <row r="115">
      <c r="A115" t="n">
        <v>114</v>
      </c>
      <c r="B115" t="inlineStr">
        <is>
          <t>Train</t>
        </is>
      </c>
      <c r="C115" t="n">
        <v>1332</v>
      </c>
      <c r="D115" t="n">
        <v>34020</v>
      </c>
      <c r="E115" t="n">
        <v>46</v>
      </c>
      <c r="F115" t="n">
        <v>266027</v>
      </c>
      <c r="G115" t="n">
        <v>6</v>
      </c>
      <c r="H115" t="n">
        <v>13</v>
      </c>
      <c r="I115" t="n">
        <v>0</v>
      </c>
    </row>
    <row r="116">
      <c r="A116" t="n">
        <v>115</v>
      </c>
      <c r="B116" t="inlineStr">
        <is>
          <t>Train</t>
        </is>
      </c>
      <c r="C116" t="n">
        <v>3288</v>
      </c>
      <c r="D116" t="n">
        <v>9000</v>
      </c>
      <c r="E116" t="n">
        <v>44</v>
      </c>
      <c r="F116" t="n">
        <v>75046</v>
      </c>
      <c r="G116" t="n">
        <v>6</v>
      </c>
      <c r="H116" t="n">
        <v>11</v>
      </c>
      <c r="I116" t="n">
        <v>244819</v>
      </c>
    </row>
    <row r="117">
      <c r="A117" t="n">
        <v>116</v>
      </c>
      <c r="B117" t="inlineStr">
        <is>
          <t>Train</t>
        </is>
      </c>
      <c r="C117" t="n">
        <v>4188</v>
      </c>
      <c r="D117" t="n">
        <v>5460</v>
      </c>
      <c r="E117" t="n">
        <v>40</v>
      </c>
      <c r="F117" t="n">
        <v>39600</v>
      </c>
      <c r="G117" t="n">
        <v>5</v>
      </c>
      <c r="H117" t="n">
        <v>12</v>
      </c>
      <c r="I117" t="n">
        <v>193495</v>
      </c>
    </row>
    <row r="118">
      <c r="A118" t="n">
        <v>117</v>
      </c>
      <c r="B118" t="inlineStr">
        <is>
          <t>Validation</t>
        </is>
      </c>
      <c r="C118" t="n">
        <v>8035</v>
      </c>
      <c r="D118" t="n">
        <v>16260</v>
      </c>
      <c r="E118" t="n">
        <v>38</v>
      </c>
      <c r="F118" t="n">
        <v>75432</v>
      </c>
      <c r="G118" t="n">
        <v>0</v>
      </c>
      <c r="H118" t="n">
        <v>10</v>
      </c>
      <c r="I118" t="n">
        <v>0</v>
      </c>
    </row>
    <row r="119">
      <c r="A119" t="n">
        <v>118</v>
      </c>
      <c r="B119" t="inlineStr">
        <is>
          <t>Validation</t>
        </is>
      </c>
      <c r="C119" t="n">
        <v>3575</v>
      </c>
      <c r="D119" t="n">
        <v>17960</v>
      </c>
      <c r="E119" t="n">
        <v>43</v>
      </c>
      <c r="F119" t="n">
        <v>97103</v>
      </c>
      <c r="G119" t="n">
        <v>4</v>
      </c>
      <c r="H119" t="n">
        <v>8</v>
      </c>
      <c r="I119" t="n">
        <v>278248</v>
      </c>
    </row>
    <row r="120">
      <c r="A120" t="n">
        <v>119</v>
      </c>
      <c r="B120" t="inlineStr">
        <is>
          <t>Validation</t>
        </is>
      </c>
      <c r="C120" t="n">
        <v>3769</v>
      </c>
      <c r="D120" t="n">
        <v>8560</v>
      </c>
      <c r="E120" t="n">
        <v>55</v>
      </c>
      <c r="F120" t="n">
        <v>0</v>
      </c>
      <c r="G120" t="n">
        <v>5</v>
      </c>
      <c r="H120" t="n">
        <v>0</v>
      </c>
      <c r="I120" t="n">
        <v>68500</v>
      </c>
    </row>
    <row r="121">
      <c r="A121" t="n">
        <v>120</v>
      </c>
      <c r="B121" t="inlineStr">
        <is>
          <t>Train</t>
        </is>
      </c>
      <c r="C121" t="n">
        <v>1079</v>
      </c>
      <c r="D121" t="n">
        <v>7960</v>
      </c>
      <c r="E121" t="n">
        <v>54</v>
      </c>
      <c r="F121" t="n">
        <v>10617</v>
      </c>
      <c r="G121" t="n">
        <v>2</v>
      </c>
      <c r="H121" t="n">
        <v>12</v>
      </c>
      <c r="I121" t="n">
        <v>0</v>
      </c>
    </row>
    <row r="122">
      <c r="A122" t="n">
        <v>121</v>
      </c>
      <c r="B122" t="inlineStr">
        <is>
          <t>Train</t>
        </is>
      </c>
      <c r="C122" t="n">
        <v>8174</v>
      </c>
      <c r="D122" t="n">
        <v>13420</v>
      </c>
      <c r="E122" t="n">
        <v>35</v>
      </c>
      <c r="F122" t="n">
        <v>33799</v>
      </c>
      <c r="G122" t="n">
        <v>9</v>
      </c>
      <c r="H122" t="n">
        <v>8</v>
      </c>
      <c r="I122" t="n">
        <v>148536</v>
      </c>
    </row>
    <row r="123">
      <c r="A123" t="n">
        <v>122</v>
      </c>
      <c r="B123" t="inlineStr">
        <is>
          <t>Train</t>
        </is>
      </c>
      <c r="C123" t="n">
        <v>11279</v>
      </c>
      <c r="D123" t="n">
        <v>4100</v>
      </c>
      <c r="E123" t="n">
        <v>26</v>
      </c>
      <c r="F123" t="n">
        <v>0</v>
      </c>
      <c r="G123" t="n">
        <v>5</v>
      </c>
      <c r="H123" t="n">
        <v>0</v>
      </c>
      <c r="I123" t="n">
        <v>0</v>
      </c>
    </row>
    <row r="124">
      <c r="A124" t="n">
        <v>123</v>
      </c>
      <c r="B124" t="inlineStr">
        <is>
          <t>Train</t>
        </is>
      </c>
      <c r="C124" t="n">
        <v>3400</v>
      </c>
      <c r="D124" t="n">
        <v>9060</v>
      </c>
      <c r="E124" t="n">
        <v>54</v>
      </c>
      <c r="F124" t="n">
        <v>193895</v>
      </c>
      <c r="G124" t="n">
        <v>0</v>
      </c>
      <c r="H124" t="n">
        <v>13</v>
      </c>
      <c r="I124" t="n">
        <v>445020</v>
      </c>
    </row>
    <row r="125">
      <c r="A125" t="n">
        <v>124</v>
      </c>
      <c r="B125" t="inlineStr">
        <is>
          <t>Train</t>
        </is>
      </c>
      <c r="C125" t="n">
        <v>6183</v>
      </c>
      <c r="D125" t="n">
        <v>13700</v>
      </c>
      <c r="E125" t="n">
        <v>55</v>
      </c>
      <c r="F125" t="n">
        <v>66964</v>
      </c>
      <c r="G125" t="n">
        <v>3</v>
      </c>
      <c r="H125" t="n">
        <v>14</v>
      </c>
      <c r="I125" t="n">
        <v>0</v>
      </c>
    </row>
    <row r="126">
      <c r="A126" t="n">
        <v>125</v>
      </c>
      <c r="B126" t="inlineStr">
        <is>
          <t>Train</t>
        </is>
      </c>
      <c r="C126" t="n">
        <v>1830</v>
      </c>
      <c r="D126" t="n">
        <v>12880</v>
      </c>
      <c r="E126" t="n">
        <v>42</v>
      </c>
      <c r="F126" t="n">
        <v>34210</v>
      </c>
      <c r="G126" t="n">
        <v>0</v>
      </c>
      <c r="H126" t="n">
        <v>11</v>
      </c>
      <c r="I126" t="n">
        <v>186734</v>
      </c>
    </row>
    <row r="127">
      <c r="A127" t="n">
        <v>126</v>
      </c>
      <c r="B127" t="inlineStr">
        <is>
          <t>Train</t>
        </is>
      </c>
      <c r="C127" t="n">
        <v>3614</v>
      </c>
      <c r="D127" t="n">
        <v>11590</v>
      </c>
      <c r="E127" t="n">
        <v>55</v>
      </c>
      <c r="F127" t="n">
        <v>45918</v>
      </c>
      <c r="G127" t="n">
        <v>0</v>
      </c>
      <c r="H127" t="n">
        <v>8</v>
      </c>
      <c r="I127" t="n">
        <v>226111</v>
      </c>
    </row>
    <row r="128">
      <c r="A128" t="n">
        <v>127</v>
      </c>
      <c r="B128" t="inlineStr">
        <is>
          <t>Validation</t>
        </is>
      </c>
      <c r="C128" t="n">
        <v>36556</v>
      </c>
      <c r="D128" t="n">
        <v>21320</v>
      </c>
      <c r="E128" t="n">
        <v>49</v>
      </c>
      <c r="F128" t="n">
        <v>33322</v>
      </c>
      <c r="G128" t="n">
        <v>4</v>
      </c>
      <c r="H128" t="n">
        <v>13</v>
      </c>
      <c r="I128" t="n">
        <v>154892</v>
      </c>
    </row>
    <row r="129">
      <c r="A129" t="n">
        <v>128</v>
      </c>
      <c r="B129" t="inlineStr">
        <is>
          <t>Validation</t>
        </is>
      </c>
      <c r="C129" t="n">
        <v>5299</v>
      </c>
      <c r="D129" t="n">
        <v>11300</v>
      </c>
      <c r="E129" t="n">
        <v>41</v>
      </c>
      <c r="F129" t="n">
        <v>38034</v>
      </c>
      <c r="G129" t="n">
        <v>2</v>
      </c>
      <c r="H129" t="n">
        <v>16</v>
      </c>
      <c r="I129" t="n">
        <v>190148</v>
      </c>
    </row>
    <row r="130">
      <c r="A130" t="n">
        <v>129</v>
      </c>
      <c r="B130" t="inlineStr">
        <is>
          <t>Validation</t>
        </is>
      </c>
      <c r="C130" t="n">
        <v>5645</v>
      </c>
      <c r="D130" t="n">
        <v>9720</v>
      </c>
      <c r="E130" t="n">
        <v>49</v>
      </c>
      <c r="F130" t="n">
        <v>95156</v>
      </c>
      <c r="G130" t="n">
        <v>0</v>
      </c>
      <c r="H130" t="n">
        <v>14</v>
      </c>
      <c r="I130" t="n">
        <v>278953</v>
      </c>
    </row>
    <row r="131">
      <c r="A131" t="n">
        <v>130</v>
      </c>
      <c r="B131" t="inlineStr">
        <is>
          <t>Train</t>
        </is>
      </c>
      <c r="C131" t="n">
        <v>3704</v>
      </c>
      <c r="D131" t="n">
        <v>7410</v>
      </c>
      <c r="E131" t="n">
        <v>44</v>
      </c>
      <c r="F131" t="n">
        <v>39852</v>
      </c>
      <c r="G131" t="n">
        <v>0</v>
      </c>
      <c r="H131" t="n">
        <v>12</v>
      </c>
      <c r="I131" t="n">
        <v>125283</v>
      </c>
    </row>
    <row r="132">
      <c r="A132" t="n">
        <v>131</v>
      </c>
      <c r="B132" t="inlineStr">
        <is>
          <t>Train</t>
        </is>
      </c>
      <c r="C132" t="n">
        <v>7181</v>
      </c>
      <c r="D132" t="n">
        <v>15820</v>
      </c>
      <c r="E132" t="n">
        <v>51</v>
      </c>
      <c r="F132" t="n">
        <v>65702</v>
      </c>
      <c r="G132" t="n">
        <v>3</v>
      </c>
      <c r="H132" t="n">
        <v>13</v>
      </c>
      <c r="I132" t="n">
        <v>0</v>
      </c>
    </row>
    <row r="133">
      <c r="A133" t="n">
        <v>132</v>
      </c>
      <c r="B133" t="inlineStr">
        <is>
          <t>Train</t>
        </is>
      </c>
      <c r="C133" t="n">
        <v>1494</v>
      </c>
      <c r="D133" t="n">
        <v>21940</v>
      </c>
      <c r="E133" t="n">
        <v>34</v>
      </c>
      <c r="F133" t="n">
        <v>68833</v>
      </c>
      <c r="G133" t="n">
        <v>3</v>
      </c>
      <c r="H133" t="n">
        <v>12</v>
      </c>
      <c r="I133" t="n">
        <v>183087</v>
      </c>
    </row>
    <row r="134">
      <c r="A134" t="n">
        <v>133</v>
      </c>
      <c r="B134" t="inlineStr">
        <is>
          <t>Train</t>
        </is>
      </c>
      <c r="C134" t="n">
        <v>39892</v>
      </c>
      <c r="D134" t="n">
        <v>9260</v>
      </c>
      <c r="E134" t="n">
        <v>49</v>
      </c>
      <c r="F134" t="n">
        <v>28592</v>
      </c>
      <c r="G134" t="n">
        <v>6</v>
      </c>
      <c r="H134" t="n">
        <v>13</v>
      </c>
      <c r="I134" t="n">
        <v>183206</v>
      </c>
    </row>
    <row r="135">
      <c r="A135" t="n">
        <v>134</v>
      </c>
      <c r="B135" t="inlineStr">
        <is>
          <t>Train</t>
        </is>
      </c>
      <c r="C135" t="n">
        <v>44414</v>
      </c>
      <c r="D135" t="n">
        <v>11840</v>
      </c>
      <c r="E135" t="n">
        <v>42</v>
      </c>
      <c r="F135" t="n">
        <v>64766</v>
      </c>
      <c r="G135" t="n">
        <v>1</v>
      </c>
      <c r="H135" t="n">
        <v>13</v>
      </c>
      <c r="I135" t="n">
        <v>263986</v>
      </c>
    </row>
    <row r="136">
      <c r="A136" t="n">
        <v>135</v>
      </c>
      <c r="B136" t="inlineStr">
        <is>
          <t>Train</t>
        </is>
      </c>
      <c r="C136" t="n">
        <v>1992</v>
      </c>
      <c r="D136" t="n">
        <v>22720</v>
      </c>
      <c r="E136" t="n">
        <v>25</v>
      </c>
      <c r="F136" t="n">
        <v>40095</v>
      </c>
      <c r="G136" t="n">
        <v>6</v>
      </c>
      <c r="H136" t="n">
        <v>12</v>
      </c>
      <c r="I136" t="n">
        <v>0</v>
      </c>
    </row>
    <row r="137">
      <c r="A137" t="n">
        <v>136</v>
      </c>
      <c r="B137" t="inlineStr">
        <is>
          <t>Train</t>
        </is>
      </c>
      <c r="C137" t="n">
        <v>4148</v>
      </c>
      <c r="D137" t="n">
        <v>15400</v>
      </c>
      <c r="E137" t="n">
        <v>20</v>
      </c>
      <c r="F137" t="n">
        <v>19933</v>
      </c>
      <c r="G137" t="n">
        <v>5</v>
      </c>
      <c r="H137" t="n">
        <v>7</v>
      </c>
      <c r="I137" t="n">
        <v>105715</v>
      </c>
    </row>
    <row r="138">
      <c r="A138" t="n">
        <v>137</v>
      </c>
      <c r="B138" t="inlineStr">
        <is>
          <t>Validation</t>
        </is>
      </c>
      <c r="C138" t="n">
        <v>6762</v>
      </c>
      <c r="D138" t="n">
        <v>19500</v>
      </c>
      <c r="E138" t="n">
        <v>32</v>
      </c>
      <c r="F138" t="n">
        <v>76985</v>
      </c>
      <c r="G138" t="n">
        <v>4</v>
      </c>
      <c r="H138" t="n">
        <v>12</v>
      </c>
      <c r="I138" t="n">
        <v>0</v>
      </c>
    </row>
    <row r="139">
      <c r="A139" t="n">
        <v>138</v>
      </c>
      <c r="B139" t="inlineStr">
        <is>
          <t>Validation</t>
        </is>
      </c>
      <c r="C139" t="n">
        <v>7993</v>
      </c>
      <c r="D139" t="n">
        <v>6400</v>
      </c>
      <c r="E139" t="n">
        <v>49</v>
      </c>
      <c r="F139" t="n">
        <v>37356</v>
      </c>
      <c r="G139" t="n">
        <v>7</v>
      </c>
      <c r="H139" t="n">
        <v>8</v>
      </c>
      <c r="I139" t="n">
        <v>133175</v>
      </c>
    </row>
    <row r="140">
      <c r="A140" t="n">
        <v>139</v>
      </c>
      <c r="B140" t="inlineStr">
        <is>
          <t>Validation</t>
        </is>
      </c>
      <c r="C140" t="n">
        <v>3710</v>
      </c>
      <c r="D140" t="n">
        <v>8530</v>
      </c>
      <c r="E140" t="n">
        <v>42</v>
      </c>
      <c r="F140" t="n">
        <v>28341</v>
      </c>
      <c r="G140" t="n">
        <v>7</v>
      </c>
      <c r="H140" t="n">
        <v>13</v>
      </c>
      <c r="I140" t="n">
        <v>124838</v>
      </c>
    </row>
    <row r="141">
      <c r="A141" t="n">
        <v>140</v>
      </c>
      <c r="B141" t="inlineStr">
        <is>
          <t>Train</t>
        </is>
      </c>
      <c r="C141" t="n">
        <v>3868</v>
      </c>
      <c r="D141" t="n">
        <v>14060</v>
      </c>
      <c r="E141" t="n">
        <v>48</v>
      </c>
      <c r="F141" t="n">
        <v>52275</v>
      </c>
      <c r="G141" t="n">
        <v>3</v>
      </c>
      <c r="H141" t="n">
        <v>6</v>
      </c>
      <c r="I141" t="n">
        <v>169104</v>
      </c>
    </row>
    <row r="142">
      <c r="A142" t="n">
        <v>141</v>
      </c>
      <c r="B142" t="inlineStr">
        <is>
          <t>Train</t>
        </is>
      </c>
      <c r="C142" t="n">
        <v>3546</v>
      </c>
      <c r="D142" t="n">
        <v>16870</v>
      </c>
      <c r="E142" t="n">
        <v>58</v>
      </c>
      <c r="F142" t="n">
        <v>39707</v>
      </c>
      <c r="G142" t="n">
        <v>6</v>
      </c>
      <c r="H142" t="n">
        <v>14</v>
      </c>
      <c r="I142" t="n">
        <v>192089</v>
      </c>
    </row>
    <row r="143">
      <c r="A143" t="n">
        <v>142</v>
      </c>
      <c r="B143" t="inlineStr">
        <is>
          <t>Train</t>
        </is>
      </c>
      <c r="C143" t="n">
        <v>5289</v>
      </c>
      <c r="D143" t="n">
        <v>9100</v>
      </c>
      <c r="E143" t="n">
        <v>19</v>
      </c>
      <c r="F143" t="n">
        <v>0</v>
      </c>
      <c r="G143" t="n">
        <v>1</v>
      </c>
      <c r="H143" t="n">
        <v>0</v>
      </c>
      <c r="I143" t="n">
        <v>106041</v>
      </c>
    </row>
    <row r="144">
      <c r="A144" t="n">
        <v>143</v>
      </c>
      <c r="B144" t="inlineStr">
        <is>
          <t>Train</t>
        </is>
      </c>
      <c r="C144" t="n">
        <v>6948</v>
      </c>
      <c r="D144" t="n">
        <v>24410</v>
      </c>
      <c r="E144" t="n">
        <v>46</v>
      </c>
      <c r="F144" t="n">
        <v>106409</v>
      </c>
      <c r="G144" t="n">
        <v>0</v>
      </c>
      <c r="H144" t="n">
        <v>7</v>
      </c>
      <c r="I144" t="n">
        <v>0</v>
      </c>
    </row>
    <row r="145">
      <c r="A145" t="n">
        <v>144</v>
      </c>
      <c r="B145" t="inlineStr">
        <is>
          <t>Train</t>
        </is>
      </c>
      <c r="C145" t="n">
        <v>18331</v>
      </c>
      <c r="D145" t="n">
        <v>9970</v>
      </c>
      <c r="E145" t="n">
        <v>36</v>
      </c>
      <c r="F145" t="n">
        <v>48710</v>
      </c>
      <c r="G145" t="n">
        <v>4</v>
      </c>
      <c r="H145" t="n">
        <v>11</v>
      </c>
      <c r="I145" t="n">
        <v>0</v>
      </c>
    </row>
    <row r="146">
      <c r="A146" t="n">
        <v>145</v>
      </c>
      <c r="B146" t="inlineStr">
        <is>
          <t>Train</t>
        </is>
      </c>
      <c r="C146" t="n">
        <v>8571</v>
      </c>
      <c r="D146" t="n">
        <v>18960</v>
      </c>
      <c r="E146" t="n">
        <v>72</v>
      </c>
      <c r="F146" t="n">
        <v>27625</v>
      </c>
      <c r="G146" t="n">
        <v>8</v>
      </c>
      <c r="H146" t="n">
        <v>18</v>
      </c>
      <c r="I146" t="n">
        <v>162415</v>
      </c>
    </row>
    <row r="147">
      <c r="A147" t="n">
        <v>146</v>
      </c>
      <c r="B147" t="inlineStr">
        <is>
          <t>Train</t>
        </is>
      </c>
      <c r="C147" t="n">
        <v>4652</v>
      </c>
      <c r="D147" t="n">
        <v>21010</v>
      </c>
      <c r="E147" t="n">
        <v>51</v>
      </c>
      <c r="F147" t="n">
        <v>27940</v>
      </c>
      <c r="G147" t="n">
        <v>2</v>
      </c>
      <c r="H147" t="n">
        <v>12</v>
      </c>
      <c r="I147" t="n">
        <v>0</v>
      </c>
    </row>
    <row r="148">
      <c r="A148" t="n">
        <v>147</v>
      </c>
      <c r="B148" t="inlineStr">
        <is>
          <t>Validation</t>
        </is>
      </c>
      <c r="C148" t="n">
        <v>8744</v>
      </c>
      <c r="D148" t="n">
        <v>21440</v>
      </c>
      <c r="E148" t="n">
        <v>53</v>
      </c>
      <c r="F148" t="n">
        <v>77012</v>
      </c>
      <c r="G148" t="n">
        <v>0</v>
      </c>
      <c r="H148" t="n">
        <v>7</v>
      </c>
      <c r="I148" t="n">
        <v>316239</v>
      </c>
    </row>
    <row r="149">
      <c r="A149" t="n">
        <v>148</v>
      </c>
      <c r="B149" t="inlineStr">
        <is>
          <t>Validation</t>
        </is>
      </c>
      <c r="C149" t="n">
        <v>36562</v>
      </c>
      <c r="D149" t="n">
        <v>17540</v>
      </c>
      <c r="E149" t="n">
        <v>45</v>
      </c>
      <c r="F149" t="n">
        <v>45105</v>
      </c>
      <c r="G149" t="n">
        <v>4</v>
      </c>
      <c r="H149" t="n">
        <v>8</v>
      </c>
      <c r="I149" t="n">
        <v>181896</v>
      </c>
    </row>
    <row r="150">
      <c r="A150" t="n">
        <v>149</v>
      </c>
      <c r="B150" t="inlineStr">
        <is>
          <t>Validation</t>
        </is>
      </c>
      <c r="C150" t="n">
        <v>39535</v>
      </c>
      <c r="D150" t="n">
        <v>26280</v>
      </c>
      <c r="E150" t="n">
        <v>36</v>
      </c>
      <c r="F150" t="n">
        <v>28326</v>
      </c>
      <c r="G150" t="n">
        <v>2</v>
      </c>
      <c r="H150" t="n">
        <v>13</v>
      </c>
      <c r="I150" t="n">
        <v>145411</v>
      </c>
    </row>
    <row r="151">
      <c r="A151" t="n">
        <v>150</v>
      </c>
      <c r="B151" t="inlineStr">
        <is>
          <t>Train</t>
        </is>
      </c>
      <c r="C151" t="n">
        <v>4070</v>
      </c>
      <c r="D151" t="n">
        <v>15840</v>
      </c>
      <c r="E151" t="n">
        <v>36</v>
      </c>
      <c r="F151" t="n">
        <v>17085</v>
      </c>
      <c r="G151" t="n">
        <v>2</v>
      </c>
      <c r="H151" t="n">
        <v>11</v>
      </c>
      <c r="I151" t="n">
        <v>0</v>
      </c>
    </row>
    <row r="152">
      <c r="A152" t="n">
        <v>151</v>
      </c>
      <c r="B152" t="inlineStr">
        <is>
          <t>Train</t>
        </is>
      </c>
      <c r="C152" t="n">
        <v>3155</v>
      </c>
      <c r="D152" t="n">
        <v>22340</v>
      </c>
      <c r="E152" t="n">
        <v>54</v>
      </c>
      <c r="F152" t="n">
        <v>69625</v>
      </c>
      <c r="G152" t="n">
        <v>2</v>
      </c>
      <c r="H152" t="n">
        <v>12</v>
      </c>
      <c r="I152" t="n">
        <v>271183</v>
      </c>
    </row>
    <row r="153">
      <c r="A153" t="n">
        <v>152</v>
      </c>
      <c r="B153" t="inlineStr">
        <is>
          <t>Train</t>
        </is>
      </c>
      <c r="C153" t="n">
        <v>30288</v>
      </c>
      <c r="D153" t="n">
        <v>14360</v>
      </c>
      <c r="E153" t="n">
        <v>63</v>
      </c>
      <c r="F153" t="n">
        <v>26921</v>
      </c>
      <c r="G153" t="n">
        <v>2</v>
      </c>
      <c r="H153" t="n">
        <v>15</v>
      </c>
      <c r="I153" t="n">
        <v>140455</v>
      </c>
    </row>
    <row r="154">
      <c r="A154" t="n">
        <v>153</v>
      </c>
      <c r="B154" t="inlineStr">
        <is>
          <t>Train</t>
        </is>
      </c>
      <c r="C154" t="n">
        <v>1546</v>
      </c>
      <c r="D154" t="n">
        <v>7390</v>
      </c>
      <c r="E154" t="n">
        <v>45</v>
      </c>
      <c r="F154" t="n">
        <v>13891</v>
      </c>
      <c r="G154" t="n">
        <v>4</v>
      </c>
      <c r="H154" t="n">
        <v>12</v>
      </c>
      <c r="I154" t="n">
        <v>64530</v>
      </c>
    </row>
    <row r="155">
      <c r="A155" t="n">
        <v>154</v>
      </c>
      <c r="B155" t="inlineStr">
        <is>
          <t>Train</t>
        </is>
      </c>
      <c r="C155" t="n">
        <v>8251</v>
      </c>
      <c r="D155" t="n">
        <v>19790</v>
      </c>
      <c r="E155" t="n">
        <v>43</v>
      </c>
      <c r="F155" t="n">
        <v>0</v>
      </c>
      <c r="G155" t="n">
        <v>1</v>
      </c>
      <c r="H155" t="n">
        <v>0</v>
      </c>
      <c r="I155" t="n">
        <v>0</v>
      </c>
    </row>
    <row r="156">
      <c r="A156" t="n">
        <v>155</v>
      </c>
      <c r="B156" t="inlineStr">
        <is>
          <t>Train</t>
        </is>
      </c>
      <c r="C156" t="n">
        <v>32882</v>
      </c>
      <c r="D156" t="n">
        <v>9130</v>
      </c>
      <c r="E156" t="n">
        <v>33</v>
      </c>
      <c r="F156" t="n">
        <v>31675</v>
      </c>
      <c r="G156" t="n">
        <v>6</v>
      </c>
      <c r="H156" t="n">
        <v>9</v>
      </c>
      <c r="I156" t="n">
        <v>159621</v>
      </c>
    </row>
    <row r="157">
      <c r="A157" t="n">
        <v>156</v>
      </c>
      <c r="B157" t="inlineStr">
        <is>
          <t>Train</t>
        </is>
      </c>
      <c r="C157" t="n">
        <v>3452</v>
      </c>
      <c r="D157" t="n">
        <v>12540</v>
      </c>
      <c r="E157" t="n">
        <v>37</v>
      </c>
      <c r="F157" t="n">
        <v>6857</v>
      </c>
      <c r="G157" t="n">
        <v>1</v>
      </c>
      <c r="H157" t="n">
        <v>9</v>
      </c>
      <c r="I157" t="n">
        <v>86075</v>
      </c>
    </row>
    <row r="158">
      <c r="A158" t="n">
        <v>157</v>
      </c>
      <c r="B158" t="inlineStr">
        <is>
          <t>Validation</t>
        </is>
      </c>
      <c r="C158" t="n">
        <v>2948</v>
      </c>
      <c r="D158" t="n">
        <v>19530</v>
      </c>
      <c r="E158" t="n">
        <v>41</v>
      </c>
      <c r="F158" t="n">
        <v>86227</v>
      </c>
      <c r="G158" t="n">
        <v>2</v>
      </c>
      <c r="H158" t="n">
        <v>6</v>
      </c>
      <c r="I158" t="n">
        <v>237057</v>
      </c>
    </row>
    <row r="159">
      <c r="A159" t="n">
        <v>158</v>
      </c>
      <c r="B159" t="inlineStr">
        <is>
          <t>Validation</t>
        </is>
      </c>
      <c r="C159" t="n">
        <v>3079</v>
      </c>
      <c r="D159" t="n">
        <v>11510</v>
      </c>
      <c r="E159" t="n">
        <v>35</v>
      </c>
      <c r="F159" t="n">
        <v>77126</v>
      </c>
      <c r="G159" t="n">
        <v>0</v>
      </c>
      <c r="H159" t="n">
        <v>12</v>
      </c>
      <c r="I159" t="n">
        <v>242001</v>
      </c>
    </row>
    <row r="160">
      <c r="A160" t="n">
        <v>159</v>
      </c>
      <c r="B160" t="inlineStr">
        <is>
          <t>Validation</t>
        </is>
      </c>
      <c r="C160" t="n">
        <v>16255</v>
      </c>
      <c r="D160" t="n">
        <v>15200</v>
      </c>
      <c r="E160" t="n">
        <v>44</v>
      </c>
      <c r="F160" t="n">
        <v>93041</v>
      </c>
      <c r="G160" t="n">
        <v>1</v>
      </c>
      <c r="H160" t="n">
        <v>7</v>
      </c>
      <c r="I160" t="n">
        <v>278760</v>
      </c>
    </row>
    <row r="161">
      <c r="A161" t="n">
        <v>160</v>
      </c>
      <c r="B161" t="inlineStr">
        <is>
          <t>Train</t>
        </is>
      </c>
      <c r="C161" t="n">
        <v>1392</v>
      </c>
      <c r="D161" t="n">
        <v>11470</v>
      </c>
      <c r="E161" t="n">
        <v>39</v>
      </c>
      <c r="F161" t="n">
        <v>69516</v>
      </c>
      <c r="G161" t="n">
        <v>4</v>
      </c>
      <c r="H161" t="n">
        <v>9</v>
      </c>
      <c r="I161" t="n">
        <v>208435</v>
      </c>
    </row>
    <row r="162">
      <c r="A162" t="n">
        <v>161</v>
      </c>
      <c r="B162" t="inlineStr">
        <is>
          <t>Train</t>
        </is>
      </c>
      <c r="C162" t="n">
        <v>34041</v>
      </c>
      <c r="D162" t="n">
        <v>10610</v>
      </c>
      <c r="E162" t="n">
        <v>57</v>
      </c>
      <c r="F162" t="n">
        <v>34116</v>
      </c>
      <c r="G162" t="n">
        <v>1</v>
      </c>
      <c r="H162" t="n">
        <v>15</v>
      </c>
      <c r="I162" t="n">
        <v>0</v>
      </c>
    </row>
    <row r="163">
      <c r="A163" t="n">
        <v>162</v>
      </c>
      <c r="B163" t="inlineStr">
        <is>
          <t>Train</t>
        </is>
      </c>
      <c r="C163" t="n">
        <v>5076</v>
      </c>
      <c r="D163" t="n">
        <v>11290</v>
      </c>
      <c r="E163" t="n">
        <v>43</v>
      </c>
      <c r="F163" t="n">
        <v>54932</v>
      </c>
      <c r="G163" t="n">
        <v>5</v>
      </c>
      <c r="H163" t="n">
        <v>14</v>
      </c>
      <c r="I163" t="n">
        <v>225678</v>
      </c>
    </row>
    <row r="164">
      <c r="A164" t="n">
        <v>163</v>
      </c>
      <c r="B164" t="inlineStr">
        <is>
          <t>Train</t>
        </is>
      </c>
      <c r="C164" t="n">
        <v>16121</v>
      </c>
      <c r="D164" t="n">
        <v>17470</v>
      </c>
      <c r="E164" t="n">
        <v>42</v>
      </c>
      <c r="F164" t="n">
        <v>94591</v>
      </c>
      <c r="G164" t="n">
        <v>3</v>
      </c>
      <c r="H164" t="n">
        <v>8</v>
      </c>
      <c r="I164" t="n">
        <v>309644</v>
      </c>
    </row>
    <row r="165">
      <c r="A165" t="n">
        <v>164</v>
      </c>
      <c r="B165" t="inlineStr">
        <is>
          <t>Train</t>
        </is>
      </c>
      <c r="C165" t="n">
        <v>5372</v>
      </c>
      <c r="D165" t="n">
        <v>18760</v>
      </c>
      <c r="E165" t="n">
        <v>52</v>
      </c>
      <c r="F165" t="n">
        <v>65465</v>
      </c>
      <c r="G165" t="n">
        <v>6</v>
      </c>
      <c r="H165" t="n">
        <v>13</v>
      </c>
      <c r="I165" t="n">
        <v>210434</v>
      </c>
    </row>
    <row r="166">
      <c r="A166" t="n">
        <v>165</v>
      </c>
      <c r="B166" t="inlineStr">
        <is>
          <t>Train</t>
        </is>
      </c>
      <c r="C166" t="n">
        <v>6418</v>
      </c>
      <c r="D166" t="n">
        <v>6270</v>
      </c>
      <c r="E166" t="n">
        <v>46</v>
      </c>
      <c r="F166" t="n">
        <v>56849</v>
      </c>
      <c r="G166" t="n">
        <v>2</v>
      </c>
      <c r="H166" t="n">
        <v>14</v>
      </c>
      <c r="I166" t="n">
        <v>0</v>
      </c>
    </row>
    <row r="167">
      <c r="A167" t="n">
        <v>166</v>
      </c>
      <c r="B167" t="inlineStr">
        <is>
          <t>Train</t>
        </is>
      </c>
      <c r="C167" t="n">
        <v>10412</v>
      </c>
      <c r="D167" t="n">
        <v>13160</v>
      </c>
      <c r="E167" t="n">
        <v>43</v>
      </c>
      <c r="F167" t="n">
        <v>0</v>
      </c>
      <c r="G167" t="n">
        <v>6</v>
      </c>
      <c r="H167" t="n">
        <v>0</v>
      </c>
      <c r="I167" t="n">
        <v>0</v>
      </c>
    </row>
    <row r="168">
      <c r="A168" t="n">
        <v>167</v>
      </c>
      <c r="B168" t="inlineStr">
        <is>
          <t>Validation</t>
        </is>
      </c>
      <c r="C168" t="n">
        <v>37130</v>
      </c>
      <c r="D168" t="n">
        <v>28750</v>
      </c>
      <c r="E168" t="n">
        <v>44</v>
      </c>
      <c r="F168" t="n">
        <v>29502</v>
      </c>
      <c r="G168" t="n">
        <v>2</v>
      </c>
      <c r="H168" t="n">
        <v>15</v>
      </c>
      <c r="I168" t="n">
        <v>141516</v>
      </c>
    </row>
    <row r="169">
      <c r="A169" t="n">
        <v>168</v>
      </c>
      <c r="B169" t="inlineStr">
        <is>
          <t>Validation</t>
        </is>
      </c>
      <c r="C169" t="n">
        <v>6031</v>
      </c>
      <c r="D169" t="n">
        <v>15630</v>
      </c>
      <c r="E169" t="n">
        <v>48</v>
      </c>
      <c r="F169" t="n">
        <v>93303</v>
      </c>
      <c r="G169" t="n">
        <v>5</v>
      </c>
      <c r="H169" t="n">
        <v>10</v>
      </c>
      <c r="I169" t="n">
        <v>295050</v>
      </c>
    </row>
    <row r="170">
      <c r="A170" t="n">
        <v>169</v>
      </c>
      <c r="B170" t="inlineStr">
        <is>
          <t>Validation</t>
        </is>
      </c>
      <c r="C170" t="n">
        <v>1055</v>
      </c>
      <c r="D170" t="n">
        <v>7790</v>
      </c>
      <c r="E170" t="n">
        <v>41</v>
      </c>
      <c r="F170" t="n">
        <v>24862</v>
      </c>
      <c r="G170" t="n">
        <v>2</v>
      </c>
      <c r="H170" t="n">
        <v>10</v>
      </c>
      <c r="I170" t="n">
        <v>0</v>
      </c>
    </row>
    <row r="171">
      <c r="A171" t="n">
        <v>170</v>
      </c>
      <c r="B171" t="inlineStr">
        <is>
          <t>Train</t>
        </is>
      </c>
      <c r="C171" t="n">
        <v>14552</v>
      </c>
      <c r="D171" t="n">
        <v>18530</v>
      </c>
      <c r="E171" t="n">
        <v>42</v>
      </c>
      <c r="F171" t="n">
        <v>82281</v>
      </c>
      <c r="G171" t="n">
        <v>6</v>
      </c>
      <c r="H171" t="n">
        <v>12</v>
      </c>
      <c r="I171" t="n">
        <v>0</v>
      </c>
    </row>
    <row r="172">
      <c r="A172" t="n">
        <v>171</v>
      </c>
      <c r="B172" t="inlineStr">
        <is>
          <t>Train</t>
        </is>
      </c>
      <c r="C172" t="n">
        <v>1107</v>
      </c>
      <c r="D172" t="n">
        <v>19370</v>
      </c>
      <c r="E172" t="n">
        <v>51</v>
      </c>
      <c r="F172" t="n">
        <v>62463</v>
      </c>
      <c r="G172" t="n">
        <v>0</v>
      </c>
      <c r="H172" t="n">
        <v>13</v>
      </c>
      <c r="I172" t="n">
        <v>269190</v>
      </c>
    </row>
    <row r="173">
      <c r="A173" t="n">
        <v>172</v>
      </c>
      <c r="B173" t="inlineStr">
        <is>
          <t>Train</t>
        </is>
      </c>
      <c r="C173" t="n">
        <v>4792</v>
      </c>
      <c r="D173" t="n">
        <v>11940</v>
      </c>
      <c r="E173" t="n">
        <v>57</v>
      </c>
      <c r="F173" t="n">
        <v>25761</v>
      </c>
      <c r="G173" t="n">
        <v>8</v>
      </c>
      <c r="H173" t="n">
        <v>15</v>
      </c>
      <c r="I173" t="n">
        <v>149672</v>
      </c>
    </row>
    <row r="174">
      <c r="A174" t="n">
        <v>173</v>
      </c>
      <c r="B174" t="inlineStr">
        <is>
          <t>Train</t>
        </is>
      </c>
      <c r="C174" t="n">
        <v>4546</v>
      </c>
      <c r="D174" t="n">
        <v>27460</v>
      </c>
      <c r="E174" t="n">
        <v>42</v>
      </c>
      <c r="F174" t="n">
        <v>49224</v>
      </c>
      <c r="G174" t="n">
        <v>0</v>
      </c>
      <c r="H174" t="n">
        <v>11</v>
      </c>
      <c r="I174" t="n">
        <v>155963</v>
      </c>
    </row>
    <row r="175">
      <c r="A175" t="n">
        <v>174</v>
      </c>
      <c r="B175" t="inlineStr">
        <is>
          <t>Train</t>
        </is>
      </c>
      <c r="C175" t="n">
        <v>2520</v>
      </c>
      <c r="D175" t="n">
        <v>12810</v>
      </c>
      <c r="E175" t="n">
        <v>46</v>
      </c>
      <c r="F175" t="n">
        <v>41083</v>
      </c>
      <c r="G175" t="n">
        <v>4</v>
      </c>
      <c r="H175" t="n">
        <v>10</v>
      </c>
      <c r="I175" t="n">
        <v>177527</v>
      </c>
    </row>
    <row r="176">
      <c r="A176" t="n">
        <v>175</v>
      </c>
      <c r="B176" t="inlineStr">
        <is>
          <t>Train</t>
        </is>
      </c>
      <c r="C176" t="n">
        <v>49641</v>
      </c>
      <c r="D176" t="n">
        <v>26150</v>
      </c>
      <c r="E176" t="n">
        <v>56</v>
      </c>
      <c r="F176" t="n">
        <v>278</v>
      </c>
      <c r="G176" t="n">
        <v>0</v>
      </c>
      <c r="H176" t="n">
        <v>12</v>
      </c>
      <c r="I176" t="n">
        <v>91930</v>
      </c>
    </row>
    <row r="177">
      <c r="A177" t="n">
        <v>176</v>
      </c>
      <c r="B177" t="inlineStr">
        <is>
          <t>Train</t>
        </is>
      </c>
      <c r="C177" t="n">
        <v>2848</v>
      </c>
      <c r="D177" t="n">
        <v>14660</v>
      </c>
      <c r="E177" t="n">
        <v>27</v>
      </c>
      <c r="F177" t="n">
        <v>69794</v>
      </c>
      <c r="G177" t="n">
        <v>3</v>
      </c>
      <c r="H177" t="n">
        <v>9</v>
      </c>
      <c r="I177" t="n">
        <v>0</v>
      </c>
    </row>
    <row r="178">
      <c r="A178" t="n">
        <v>177</v>
      </c>
      <c r="B178" t="inlineStr">
        <is>
          <t>Validation</t>
        </is>
      </c>
      <c r="C178" t="n">
        <v>3971</v>
      </c>
      <c r="D178" t="n">
        <v>4050</v>
      </c>
      <c r="E178" t="n">
        <v>33</v>
      </c>
      <c r="F178" t="n">
        <v>25544</v>
      </c>
      <c r="G178" t="n">
        <v>0</v>
      </c>
      <c r="H178" t="n">
        <v>11</v>
      </c>
      <c r="I178" t="n">
        <v>0</v>
      </c>
    </row>
    <row r="179">
      <c r="A179" t="n">
        <v>178</v>
      </c>
      <c r="B179" t="inlineStr">
        <is>
          <t>Validation</t>
        </is>
      </c>
      <c r="C179" t="n">
        <v>697</v>
      </c>
      <c r="D179" t="n">
        <v>20170</v>
      </c>
      <c r="E179" t="n">
        <v>42</v>
      </c>
      <c r="F179" t="n">
        <v>85408</v>
      </c>
      <c r="G179" t="n">
        <v>0</v>
      </c>
      <c r="H179" t="n">
        <v>15</v>
      </c>
      <c r="I179" t="n">
        <v>274402</v>
      </c>
    </row>
    <row r="180">
      <c r="A180" t="n">
        <v>179</v>
      </c>
      <c r="B180" t="inlineStr">
        <is>
          <t>Validation</t>
        </is>
      </c>
      <c r="C180" t="n">
        <v>6089</v>
      </c>
      <c r="D180" t="n">
        <v>16600</v>
      </c>
      <c r="E180" t="n">
        <v>55</v>
      </c>
      <c r="F180" t="n">
        <v>3865</v>
      </c>
      <c r="G180" t="n">
        <v>0</v>
      </c>
      <c r="H180" t="n">
        <v>11</v>
      </c>
      <c r="I180" t="n">
        <v>0</v>
      </c>
    </row>
    <row r="181">
      <c r="A181" t="n">
        <v>180</v>
      </c>
      <c r="B181" t="inlineStr">
        <is>
          <t>Train</t>
        </is>
      </c>
      <c r="C181" t="n">
        <v>1335</v>
      </c>
      <c r="D181" t="n">
        <v>3150</v>
      </c>
      <c r="E181" t="n">
        <v>53</v>
      </c>
      <c r="F181" t="n">
        <v>16536</v>
      </c>
      <c r="G181" t="n">
        <v>0</v>
      </c>
      <c r="H181" t="n">
        <v>12</v>
      </c>
      <c r="I181" t="n">
        <v>133204</v>
      </c>
    </row>
    <row r="182">
      <c r="A182" t="n">
        <v>181</v>
      </c>
      <c r="B182" t="inlineStr">
        <is>
          <t>Train</t>
        </is>
      </c>
      <c r="C182" t="n">
        <v>5240</v>
      </c>
      <c r="D182" t="n">
        <v>8650</v>
      </c>
      <c r="E182" t="n">
        <v>58</v>
      </c>
      <c r="F182" t="n">
        <v>0</v>
      </c>
      <c r="G182" t="n">
        <v>0</v>
      </c>
      <c r="H182" t="n">
        <v>0</v>
      </c>
      <c r="I182" t="n">
        <v>111793</v>
      </c>
    </row>
    <row r="183">
      <c r="A183" t="n">
        <v>182</v>
      </c>
      <c r="B183" t="inlineStr">
        <is>
          <t>Train</t>
        </is>
      </c>
      <c r="C183" t="n">
        <v>6813</v>
      </c>
      <c r="D183" t="n">
        <v>24760</v>
      </c>
      <c r="E183" t="n">
        <v>49</v>
      </c>
      <c r="F183" t="n">
        <v>66972</v>
      </c>
      <c r="G183" t="n">
        <v>0</v>
      </c>
      <c r="H183" t="n">
        <v>12</v>
      </c>
      <c r="I183" t="n">
        <v>0</v>
      </c>
    </row>
    <row r="184">
      <c r="A184" t="n">
        <v>183</v>
      </c>
      <c r="B184" t="inlineStr">
        <is>
          <t>Train</t>
        </is>
      </c>
      <c r="C184" t="n">
        <v>1613</v>
      </c>
      <c r="D184" t="n">
        <v>28960</v>
      </c>
      <c r="E184" t="n">
        <v>40</v>
      </c>
      <c r="F184" t="n">
        <v>50537</v>
      </c>
      <c r="G184" t="n">
        <v>2</v>
      </c>
      <c r="H184" t="n">
        <v>13</v>
      </c>
      <c r="I184" t="n">
        <v>193855</v>
      </c>
    </row>
    <row r="185">
      <c r="A185" t="n">
        <v>184</v>
      </c>
      <c r="B185" t="inlineStr">
        <is>
          <t>Train</t>
        </is>
      </c>
      <c r="C185" t="n">
        <v>4528</v>
      </c>
      <c r="D185" t="n">
        <v>8030</v>
      </c>
      <c r="E185" t="n">
        <v>54</v>
      </c>
      <c r="F185" t="n">
        <v>65298</v>
      </c>
      <c r="G185" t="n">
        <v>5</v>
      </c>
      <c r="H185" t="n">
        <v>12</v>
      </c>
      <c r="I185" t="n">
        <v>213225</v>
      </c>
    </row>
    <row r="186">
      <c r="A186" t="n">
        <v>185</v>
      </c>
      <c r="B186" t="inlineStr">
        <is>
          <t>Train</t>
        </is>
      </c>
      <c r="C186" t="n">
        <v>44932</v>
      </c>
      <c r="D186" t="n">
        <v>6500</v>
      </c>
      <c r="E186" t="n">
        <v>49</v>
      </c>
      <c r="F186" t="n">
        <v>83569</v>
      </c>
      <c r="G186" t="n">
        <v>0</v>
      </c>
      <c r="H186" t="n">
        <v>13</v>
      </c>
      <c r="I186" t="n">
        <v>249804</v>
      </c>
    </row>
    <row r="187">
      <c r="A187" t="n">
        <v>186</v>
      </c>
      <c r="B187" t="inlineStr">
        <is>
          <t>Train</t>
        </is>
      </c>
      <c r="C187" t="n">
        <v>1381</v>
      </c>
      <c r="D187" t="n">
        <v>10630</v>
      </c>
      <c r="E187" t="n">
        <v>37</v>
      </c>
      <c r="F187" t="n">
        <v>54349</v>
      </c>
      <c r="G187" t="n">
        <v>4</v>
      </c>
      <c r="H187" t="n">
        <v>9</v>
      </c>
      <c r="I187" t="n">
        <v>212419</v>
      </c>
    </row>
    <row r="188">
      <c r="A188" t="n">
        <v>187</v>
      </c>
      <c r="B188" t="inlineStr">
        <is>
          <t>Validation</t>
        </is>
      </c>
      <c r="C188" t="n">
        <v>1271</v>
      </c>
      <c r="D188" t="n">
        <v>9210</v>
      </c>
      <c r="E188" t="n">
        <v>27</v>
      </c>
      <c r="F188" t="n">
        <v>50139</v>
      </c>
      <c r="G188" t="n">
        <v>3</v>
      </c>
      <c r="H188" t="n">
        <v>13</v>
      </c>
      <c r="I188" t="n">
        <v>167990</v>
      </c>
    </row>
    <row r="189">
      <c r="A189" t="n">
        <v>188</v>
      </c>
      <c r="B189" t="inlineStr">
        <is>
          <t>Validation</t>
        </is>
      </c>
      <c r="C189" t="n">
        <v>1413</v>
      </c>
      <c r="D189" t="n">
        <v>14440</v>
      </c>
      <c r="E189" t="n">
        <v>38</v>
      </c>
      <c r="F189" t="n">
        <v>15755</v>
      </c>
      <c r="G189" t="n">
        <v>0</v>
      </c>
      <c r="H189" t="n">
        <v>13</v>
      </c>
      <c r="I189" t="n">
        <v>112616</v>
      </c>
    </row>
    <row r="190">
      <c r="A190" t="n">
        <v>189</v>
      </c>
      <c r="B190" t="inlineStr">
        <is>
          <t>Validation</t>
        </is>
      </c>
      <c r="C190" t="n">
        <v>1927</v>
      </c>
      <c r="D190" t="n">
        <v>15050</v>
      </c>
      <c r="E190" t="n">
        <v>37</v>
      </c>
      <c r="F190" t="n">
        <v>159092</v>
      </c>
      <c r="G190" t="n">
        <v>0</v>
      </c>
      <c r="H190" t="n">
        <v>11</v>
      </c>
      <c r="I190" t="n">
        <v>382687</v>
      </c>
    </row>
    <row r="191">
      <c r="A191" t="n">
        <v>190</v>
      </c>
      <c r="B191" t="inlineStr">
        <is>
          <t>Train</t>
        </is>
      </c>
      <c r="C191" t="n">
        <v>5876</v>
      </c>
      <c r="D191" t="n">
        <v>6210</v>
      </c>
      <c r="E191" t="n">
        <v>24</v>
      </c>
      <c r="F191" t="n">
        <v>23109</v>
      </c>
      <c r="G191" t="n">
        <v>2</v>
      </c>
      <c r="H191" t="n">
        <v>13</v>
      </c>
      <c r="I191" t="n">
        <v>93445</v>
      </c>
    </row>
    <row r="192">
      <c r="A192" t="n">
        <v>191</v>
      </c>
      <c r="B192" t="inlineStr">
        <is>
          <t>Train</t>
        </is>
      </c>
      <c r="C192" t="n">
        <v>4002</v>
      </c>
      <c r="D192" t="n">
        <v>21660</v>
      </c>
      <c r="E192" t="n">
        <v>36</v>
      </c>
      <c r="F192" t="n">
        <v>85731</v>
      </c>
      <c r="G192" t="n">
        <v>1</v>
      </c>
      <c r="H192" t="n">
        <v>10</v>
      </c>
      <c r="I192" t="n">
        <v>0</v>
      </c>
    </row>
    <row r="193">
      <c r="A193" t="n">
        <v>192</v>
      </c>
      <c r="B193" t="inlineStr">
        <is>
          <t>Train</t>
        </is>
      </c>
      <c r="C193" t="n">
        <v>651</v>
      </c>
      <c r="D193" t="n">
        <v>9970</v>
      </c>
      <c r="E193" t="n">
        <v>50</v>
      </c>
      <c r="F193" t="n">
        <v>34703</v>
      </c>
      <c r="G193" t="n">
        <v>2</v>
      </c>
      <c r="H193" t="n">
        <v>12</v>
      </c>
      <c r="I193" t="n">
        <v>162958</v>
      </c>
    </row>
    <row r="194">
      <c r="A194" t="n">
        <v>193</v>
      </c>
      <c r="B194" t="inlineStr">
        <is>
          <t>Train</t>
        </is>
      </c>
      <c r="C194" t="n">
        <v>19545</v>
      </c>
      <c r="D194" t="n">
        <v>11610</v>
      </c>
      <c r="E194" t="n">
        <v>47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inlineStr">
        <is>
          <t>Train</t>
        </is>
      </c>
      <c r="C195" t="n">
        <v>2743</v>
      </c>
      <c r="D195" t="n">
        <v>9180</v>
      </c>
      <c r="E195" t="n">
        <v>40</v>
      </c>
      <c r="F195" t="n">
        <v>36846</v>
      </c>
      <c r="G195" t="n">
        <v>3</v>
      </c>
      <c r="H195" t="n">
        <v>15</v>
      </c>
      <c r="I195" t="n">
        <v>138850</v>
      </c>
    </row>
    <row r="196">
      <c r="A196" t="n">
        <v>195</v>
      </c>
      <c r="B196" t="inlineStr">
        <is>
          <t>Train</t>
        </is>
      </c>
      <c r="C196" t="n">
        <v>7323</v>
      </c>
      <c r="D196" t="n">
        <v>7740</v>
      </c>
      <c r="E196" t="n">
        <v>31</v>
      </c>
      <c r="F196" t="n">
        <v>0</v>
      </c>
      <c r="G196" t="n">
        <v>7</v>
      </c>
      <c r="H196" t="n">
        <v>0</v>
      </c>
      <c r="I196" t="n">
        <v>0</v>
      </c>
    </row>
    <row r="197">
      <c r="A197" t="n">
        <v>196</v>
      </c>
      <c r="B197" t="inlineStr">
        <is>
          <t>Train</t>
        </is>
      </c>
      <c r="C197" t="n">
        <v>39425</v>
      </c>
      <c r="D197" t="n">
        <v>5100</v>
      </c>
      <c r="E197" t="n">
        <v>36</v>
      </c>
      <c r="F197" t="n">
        <v>0</v>
      </c>
      <c r="G197" t="n">
        <v>1</v>
      </c>
      <c r="H197" t="n">
        <v>0</v>
      </c>
      <c r="I197" t="n">
        <v>110346</v>
      </c>
    </row>
    <row r="198">
      <c r="A198" t="n">
        <v>197</v>
      </c>
      <c r="B198" t="inlineStr">
        <is>
          <t>Validation</t>
        </is>
      </c>
      <c r="C198" t="n">
        <v>8395</v>
      </c>
      <c r="D198" t="n">
        <v>14630</v>
      </c>
      <c r="E198" t="n">
        <v>54</v>
      </c>
      <c r="F198" t="n">
        <v>77267</v>
      </c>
      <c r="G198" t="n">
        <v>0</v>
      </c>
      <c r="H198" t="n">
        <v>12</v>
      </c>
      <c r="I198" t="n">
        <v>0</v>
      </c>
    </row>
    <row r="199">
      <c r="A199" t="n">
        <v>198</v>
      </c>
      <c r="B199" t="inlineStr">
        <is>
          <t>Validation</t>
        </is>
      </c>
      <c r="C199" t="n">
        <v>3485</v>
      </c>
      <c r="D199" t="n">
        <v>7300</v>
      </c>
      <c r="E199" t="n">
        <v>58</v>
      </c>
      <c r="F199" t="n">
        <v>0</v>
      </c>
      <c r="G199" t="n">
        <v>8</v>
      </c>
      <c r="H199" t="n">
        <v>0</v>
      </c>
      <c r="I199" t="n">
        <v>0</v>
      </c>
    </row>
    <row r="200">
      <c r="A200" t="n">
        <v>199</v>
      </c>
      <c r="B200" t="inlineStr">
        <is>
          <t>Validation</t>
        </is>
      </c>
      <c r="C200" t="n">
        <v>8336</v>
      </c>
      <c r="D200" t="n">
        <v>9240</v>
      </c>
      <c r="E200" t="n">
        <v>57</v>
      </c>
      <c r="F200" t="n">
        <v>0</v>
      </c>
      <c r="G200" t="n">
        <v>5</v>
      </c>
      <c r="H200" t="n">
        <v>0</v>
      </c>
      <c r="I200" t="n">
        <v>0</v>
      </c>
    </row>
    <row r="201">
      <c r="A201" t="n">
        <v>200</v>
      </c>
      <c r="B201" t="inlineStr">
        <is>
          <t>Train</t>
        </is>
      </c>
      <c r="C201" t="n">
        <v>5385</v>
      </c>
      <c r="D201" t="n">
        <v>1500</v>
      </c>
      <c r="E201" t="n">
        <v>47</v>
      </c>
      <c r="F201" t="n">
        <v>91221</v>
      </c>
      <c r="G201" t="n">
        <v>2</v>
      </c>
      <c r="H201" t="n">
        <v>15</v>
      </c>
      <c r="I201" t="n">
        <v>263877</v>
      </c>
    </row>
    <row r="202">
      <c r="A202" t="n">
        <v>201</v>
      </c>
      <c r="B202" t="inlineStr">
        <is>
          <t>Train</t>
        </is>
      </c>
      <c r="C202" t="n">
        <v>23949</v>
      </c>
      <c r="D202" t="n">
        <v>6500</v>
      </c>
      <c r="E202" t="n">
        <v>44</v>
      </c>
      <c r="F202" t="n">
        <v>6035</v>
      </c>
      <c r="G202" t="n">
        <v>6</v>
      </c>
      <c r="H202" t="n">
        <v>12</v>
      </c>
      <c r="I202" t="n">
        <v>0</v>
      </c>
    </row>
    <row r="203">
      <c r="A203" t="n">
        <v>202</v>
      </c>
      <c r="B203" t="inlineStr">
        <is>
          <t>Train</t>
        </is>
      </c>
      <c r="C203" t="n">
        <v>37211</v>
      </c>
      <c r="D203" t="n">
        <v>22620</v>
      </c>
      <c r="E203" t="n">
        <v>44</v>
      </c>
      <c r="F203" t="n">
        <v>146338</v>
      </c>
      <c r="G203" t="n">
        <v>3</v>
      </c>
      <c r="H203" t="n">
        <v>10</v>
      </c>
      <c r="I203" t="n">
        <v>0</v>
      </c>
    </row>
    <row r="204">
      <c r="A204" t="n">
        <v>203</v>
      </c>
      <c r="B204" t="inlineStr">
        <is>
          <t>Train</t>
        </is>
      </c>
      <c r="C204" t="n">
        <v>7531</v>
      </c>
      <c r="D204" t="n">
        <v>33790</v>
      </c>
      <c r="E204" t="n">
        <v>55</v>
      </c>
      <c r="F204" t="n">
        <v>245498</v>
      </c>
      <c r="G204" t="n">
        <v>1</v>
      </c>
      <c r="H204" t="n">
        <v>8</v>
      </c>
      <c r="I204" t="n">
        <v>0</v>
      </c>
    </row>
    <row r="205">
      <c r="A205" t="n">
        <v>204</v>
      </c>
      <c r="B205" t="inlineStr">
        <is>
          <t>Train</t>
        </is>
      </c>
      <c r="C205" t="n">
        <v>1159</v>
      </c>
      <c r="D205" t="n">
        <v>19010</v>
      </c>
      <c r="E205" t="n">
        <v>43</v>
      </c>
      <c r="F205" t="n">
        <v>33703</v>
      </c>
      <c r="G205" t="n">
        <v>0</v>
      </c>
      <c r="H205" t="n">
        <v>7</v>
      </c>
      <c r="I205" t="n">
        <v>87190</v>
      </c>
    </row>
    <row r="206">
      <c r="A206" t="n">
        <v>205</v>
      </c>
      <c r="B206" t="inlineStr">
        <is>
          <t>Train</t>
        </is>
      </c>
      <c r="C206" t="n">
        <v>9933</v>
      </c>
      <c r="D206" t="n">
        <v>10920</v>
      </c>
      <c r="E206" t="n">
        <v>47</v>
      </c>
      <c r="F206" t="n">
        <v>47235</v>
      </c>
      <c r="G206" t="n">
        <v>2</v>
      </c>
      <c r="H206" t="n">
        <v>12</v>
      </c>
      <c r="I206" t="n">
        <v>205801</v>
      </c>
    </row>
    <row r="207">
      <c r="A207" t="n">
        <v>206</v>
      </c>
      <c r="B207" t="inlineStr">
        <is>
          <t>Train</t>
        </is>
      </c>
      <c r="C207" t="n">
        <v>25664</v>
      </c>
      <c r="D207" t="n">
        <v>11920</v>
      </c>
      <c r="E207" t="n">
        <v>43</v>
      </c>
      <c r="F207" t="n">
        <v>30037</v>
      </c>
      <c r="G207" t="n">
        <v>3</v>
      </c>
      <c r="H207" t="n">
        <v>14</v>
      </c>
      <c r="I207" t="n">
        <v>166871</v>
      </c>
    </row>
    <row r="208">
      <c r="A208" t="n">
        <v>207</v>
      </c>
      <c r="B208" t="inlineStr">
        <is>
          <t>Validation</t>
        </is>
      </c>
      <c r="C208" t="n">
        <v>7859</v>
      </c>
      <c r="D208" t="n">
        <v>1500</v>
      </c>
      <c r="E208" t="n">
        <v>44</v>
      </c>
      <c r="F208" t="n">
        <v>108412</v>
      </c>
      <c r="G208" t="n">
        <v>0</v>
      </c>
      <c r="H208" t="n">
        <v>11</v>
      </c>
      <c r="I208" t="n">
        <v>0</v>
      </c>
    </row>
    <row r="209">
      <c r="A209" t="n">
        <v>208</v>
      </c>
      <c r="B209" t="inlineStr">
        <is>
          <t>Validation</t>
        </is>
      </c>
      <c r="C209" t="n">
        <v>7808</v>
      </c>
      <c r="D209" t="n">
        <v>31770</v>
      </c>
      <c r="E209" t="n">
        <v>50</v>
      </c>
      <c r="F209" t="n">
        <v>26748</v>
      </c>
      <c r="G209" t="n">
        <v>2</v>
      </c>
      <c r="H209" t="n">
        <v>12</v>
      </c>
      <c r="I209" t="n">
        <v>122059</v>
      </c>
    </row>
    <row r="210">
      <c r="A210" t="n">
        <v>209</v>
      </c>
      <c r="B210" t="inlineStr">
        <is>
          <t>Validation</t>
        </is>
      </c>
      <c r="C210" t="n">
        <v>1261</v>
      </c>
      <c r="D210" t="n">
        <v>18200</v>
      </c>
      <c r="E210" t="n">
        <v>52</v>
      </c>
      <c r="F210" t="n">
        <v>88691</v>
      </c>
      <c r="G210" t="n">
        <v>2</v>
      </c>
      <c r="H210" t="n">
        <v>15</v>
      </c>
      <c r="I210" t="n">
        <v>279497</v>
      </c>
    </row>
    <row r="211">
      <c r="A211" t="n">
        <v>210</v>
      </c>
      <c r="B211" t="inlineStr">
        <is>
          <t>Train</t>
        </is>
      </c>
      <c r="C211" t="n">
        <v>975</v>
      </c>
      <c r="D211" t="n">
        <v>21740</v>
      </c>
      <c r="E211" t="n">
        <v>37</v>
      </c>
      <c r="F211" t="n">
        <v>133335</v>
      </c>
      <c r="G211" t="n">
        <v>6</v>
      </c>
      <c r="H211" t="n">
        <v>13</v>
      </c>
      <c r="I211" t="n">
        <v>0</v>
      </c>
    </row>
    <row r="212">
      <c r="A212" t="n">
        <v>211</v>
      </c>
      <c r="B212" t="inlineStr">
        <is>
          <t>Train</t>
        </is>
      </c>
      <c r="C212" t="n">
        <v>5086</v>
      </c>
      <c r="D212" t="n">
        <v>7200</v>
      </c>
      <c r="E212" t="n">
        <v>58</v>
      </c>
      <c r="F212" t="n">
        <v>3272</v>
      </c>
      <c r="G212" t="n">
        <v>2</v>
      </c>
      <c r="H212" t="n">
        <v>17</v>
      </c>
      <c r="I212" t="n">
        <v>0</v>
      </c>
    </row>
    <row r="213">
      <c r="A213" t="n">
        <v>212</v>
      </c>
      <c r="B213" t="inlineStr">
        <is>
          <t>Train</t>
        </is>
      </c>
      <c r="C213" t="n">
        <v>1310</v>
      </c>
      <c r="D213" t="n">
        <v>19980</v>
      </c>
      <c r="E213" t="n">
        <v>42</v>
      </c>
      <c r="F213" t="n">
        <v>58797</v>
      </c>
      <c r="G213" t="n">
        <v>4</v>
      </c>
      <c r="H213" t="n">
        <v>13</v>
      </c>
      <c r="I213" t="n">
        <v>0</v>
      </c>
    </row>
    <row r="214">
      <c r="A214" t="n">
        <v>213</v>
      </c>
      <c r="B214" t="inlineStr">
        <is>
          <t>Train</t>
        </is>
      </c>
      <c r="C214" t="n">
        <v>4448</v>
      </c>
      <c r="D214" t="n">
        <v>9100</v>
      </c>
      <c r="E214" t="n">
        <v>72</v>
      </c>
      <c r="F214" t="n">
        <v>63890</v>
      </c>
      <c r="G214" t="n">
        <v>0</v>
      </c>
      <c r="H214" t="n">
        <v>16</v>
      </c>
      <c r="I214" t="n">
        <v>256797</v>
      </c>
    </row>
    <row r="215">
      <c r="A215" t="n">
        <v>214</v>
      </c>
      <c r="B215" t="inlineStr">
        <is>
          <t>Train</t>
        </is>
      </c>
      <c r="C215" t="n">
        <v>5878</v>
      </c>
      <c r="D215" t="n">
        <v>13970</v>
      </c>
      <c r="E215" t="n">
        <v>48</v>
      </c>
      <c r="F215" t="n">
        <v>43075</v>
      </c>
      <c r="G215" t="n">
        <v>3</v>
      </c>
      <c r="H215" t="n">
        <v>8</v>
      </c>
      <c r="I215" t="n">
        <v>175858</v>
      </c>
    </row>
    <row r="216">
      <c r="A216" t="n">
        <v>215</v>
      </c>
      <c r="B216" t="inlineStr">
        <is>
          <t>Train</t>
        </is>
      </c>
      <c r="C216" t="n">
        <v>1992</v>
      </c>
      <c r="D216" t="n">
        <v>4900</v>
      </c>
      <c r="E216" t="n">
        <v>33</v>
      </c>
      <c r="F216" t="n">
        <v>0</v>
      </c>
      <c r="G216" t="n">
        <v>1</v>
      </c>
      <c r="H216" t="n">
        <v>0</v>
      </c>
      <c r="I216" t="n">
        <v>0</v>
      </c>
    </row>
    <row r="217">
      <c r="A217" t="n">
        <v>216</v>
      </c>
      <c r="B217" t="inlineStr">
        <is>
          <t>Train</t>
        </is>
      </c>
      <c r="C217" t="n">
        <v>900</v>
      </c>
      <c r="D217" t="n">
        <v>6200</v>
      </c>
      <c r="E217" t="n">
        <v>47</v>
      </c>
      <c r="F217" t="n">
        <v>114507</v>
      </c>
      <c r="G217" t="n">
        <v>1</v>
      </c>
      <c r="H217" t="n">
        <v>10</v>
      </c>
      <c r="I217" t="n">
        <v>0</v>
      </c>
    </row>
    <row r="218">
      <c r="A218" t="n">
        <v>217</v>
      </c>
      <c r="B218" t="inlineStr">
        <is>
          <t>Validation</t>
        </is>
      </c>
      <c r="C218" t="n">
        <v>11976</v>
      </c>
      <c r="D218" t="n">
        <v>13370</v>
      </c>
      <c r="E218" t="n">
        <v>48</v>
      </c>
      <c r="F218" t="n">
        <v>70682</v>
      </c>
      <c r="G218" t="n">
        <v>5</v>
      </c>
      <c r="H218" t="n">
        <v>13</v>
      </c>
      <c r="I218" t="n">
        <v>263905</v>
      </c>
    </row>
    <row r="219">
      <c r="A219" t="n">
        <v>218</v>
      </c>
      <c r="B219" t="inlineStr">
        <is>
          <t>Validation</t>
        </is>
      </c>
      <c r="C219" t="n">
        <v>39833</v>
      </c>
      <c r="D219" t="n">
        <v>18010</v>
      </c>
      <c r="E219" t="n">
        <v>32</v>
      </c>
      <c r="F219" t="n">
        <v>63720</v>
      </c>
      <c r="G219" t="n">
        <v>6</v>
      </c>
      <c r="H219" t="n">
        <v>8</v>
      </c>
      <c r="I219" t="n">
        <v>0</v>
      </c>
    </row>
    <row r="220">
      <c r="A220" t="n">
        <v>219</v>
      </c>
      <c r="B220" t="inlineStr">
        <is>
          <t>Validation</t>
        </is>
      </c>
      <c r="C220" t="n">
        <v>4390</v>
      </c>
      <c r="D220" t="n">
        <v>19300</v>
      </c>
      <c r="E220" t="n">
        <v>53</v>
      </c>
      <c r="F220" t="n">
        <v>48587</v>
      </c>
      <c r="G220" t="n">
        <v>3</v>
      </c>
      <c r="H220" t="n">
        <v>12</v>
      </c>
      <c r="I220" t="n">
        <v>0</v>
      </c>
    </row>
    <row r="221">
      <c r="A221" t="n">
        <v>220</v>
      </c>
      <c r="B221" t="inlineStr">
        <is>
          <t>Train</t>
        </is>
      </c>
      <c r="C221" t="n">
        <v>18535</v>
      </c>
      <c r="D221" t="n">
        <v>10150</v>
      </c>
      <c r="E221" t="n">
        <v>48</v>
      </c>
      <c r="F221" t="n">
        <v>27208</v>
      </c>
      <c r="G221" t="n">
        <v>3</v>
      </c>
      <c r="H221" t="n">
        <v>10</v>
      </c>
      <c r="I221" t="n">
        <v>0</v>
      </c>
    </row>
    <row r="222">
      <c r="A222" t="n">
        <v>221</v>
      </c>
      <c r="B222" t="inlineStr">
        <is>
          <t>Train</t>
        </is>
      </c>
      <c r="C222" t="n">
        <v>8386</v>
      </c>
      <c r="D222" t="n">
        <v>15780</v>
      </c>
      <c r="E222" t="n">
        <v>53</v>
      </c>
      <c r="F222" t="n">
        <v>47625</v>
      </c>
      <c r="G222" t="n">
        <v>4</v>
      </c>
      <c r="H222" t="n">
        <v>14</v>
      </c>
      <c r="I222" t="n">
        <v>161743</v>
      </c>
    </row>
    <row r="223">
      <c r="A223" t="n">
        <v>222</v>
      </c>
      <c r="B223" t="inlineStr">
        <is>
          <t>Train</t>
        </is>
      </c>
      <c r="C223" t="n">
        <v>1511</v>
      </c>
      <c r="D223" t="n">
        <v>30430</v>
      </c>
      <c r="E223" t="n">
        <v>59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223</v>
      </c>
      <c r="B224" t="inlineStr">
        <is>
          <t>Train</t>
        </is>
      </c>
      <c r="C224" t="n">
        <v>8062</v>
      </c>
      <c r="D224" t="n">
        <v>13540</v>
      </c>
      <c r="E224" t="n">
        <v>35</v>
      </c>
      <c r="F224" t="n">
        <v>85430</v>
      </c>
      <c r="G224" t="n">
        <v>2</v>
      </c>
      <c r="H224" t="n">
        <v>11</v>
      </c>
      <c r="I224" t="n">
        <v>0</v>
      </c>
    </row>
    <row r="225">
      <c r="A225" t="n">
        <v>224</v>
      </c>
      <c r="B225" t="inlineStr">
        <is>
          <t>Train</t>
        </is>
      </c>
      <c r="C225" t="n">
        <v>6724</v>
      </c>
      <c r="D225" t="n">
        <v>22240</v>
      </c>
      <c r="E225" t="n">
        <v>46</v>
      </c>
      <c r="F225" t="n">
        <v>161372</v>
      </c>
      <c r="G225" t="n">
        <v>4</v>
      </c>
      <c r="H225" t="n">
        <v>13</v>
      </c>
      <c r="I225" t="n">
        <v>0</v>
      </c>
    </row>
    <row r="226">
      <c r="A226" t="n">
        <v>225</v>
      </c>
      <c r="B226" t="inlineStr">
        <is>
          <t>Train</t>
        </is>
      </c>
      <c r="C226" t="n">
        <v>2860</v>
      </c>
      <c r="D226" t="n">
        <v>27360</v>
      </c>
      <c r="E226" t="n">
        <v>48</v>
      </c>
      <c r="F226" t="n">
        <v>81084</v>
      </c>
      <c r="G226" t="n">
        <v>4</v>
      </c>
      <c r="H226" t="n">
        <v>11</v>
      </c>
      <c r="I226" t="n">
        <v>0</v>
      </c>
    </row>
    <row r="227">
      <c r="A227" t="n">
        <v>226</v>
      </c>
      <c r="B227" t="inlineStr">
        <is>
          <t>Train</t>
        </is>
      </c>
      <c r="C227" t="n">
        <v>8002</v>
      </c>
      <c r="D227" t="n">
        <v>7700</v>
      </c>
      <c r="E227" t="n">
        <v>62</v>
      </c>
      <c r="F227" t="n">
        <v>33995</v>
      </c>
      <c r="G227" t="n">
        <v>4</v>
      </c>
      <c r="H227" t="n">
        <v>16</v>
      </c>
      <c r="I227" t="n">
        <v>136008</v>
      </c>
    </row>
    <row r="228">
      <c r="A228" t="n">
        <v>227</v>
      </c>
      <c r="B228" t="inlineStr">
        <is>
          <t>Validation</t>
        </is>
      </c>
      <c r="C228" t="n">
        <v>4765</v>
      </c>
      <c r="D228" t="n">
        <v>33330</v>
      </c>
      <c r="E228" t="n">
        <v>59</v>
      </c>
      <c r="F228" t="n">
        <v>155410</v>
      </c>
      <c r="G228" t="n">
        <v>4</v>
      </c>
      <c r="H228" t="n">
        <v>12</v>
      </c>
      <c r="I228" t="n">
        <v>422815</v>
      </c>
    </row>
    <row r="229">
      <c r="A229" t="n">
        <v>228</v>
      </c>
      <c r="B229" t="inlineStr">
        <is>
          <t>Validation</t>
        </is>
      </c>
      <c r="C229" t="n">
        <v>5624</v>
      </c>
      <c r="D229" t="n">
        <v>10760</v>
      </c>
      <c r="E229" t="n">
        <v>46</v>
      </c>
      <c r="F229" t="n">
        <v>9537</v>
      </c>
      <c r="G229" t="n">
        <v>3</v>
      </c>
      <c r="H229" t="n">
        <v>12</v>
      </c>
      <c r="I229" t="n">
        <v>113805</v>
      </c>
    </row>
    <row r="230">
      <c r="A230" t="n">
        <v>229</v>
      </c>
      <c r="B230" t="inlineStr">
        <is>
          <t>Validation</t>
        </is>
      </c>
      <c r="C230" t="n">
        <v>3830</v>
      </c>
      <c r="D230" t="n">
        <v>10450</v>
      </c>
      <c r="E230" t="n">
        <v>48</v>
      </c>
      <c r="F230" t="n">
        <v>26875</v>
      </c>
      <c r="G230" t="n">
        <v>8</v>
      </c>
      <c r="H230" t="n">
        <v>11</v>
      </c>
      <c r="I230" t="n">
        <v>0</v>
      </c>
    </row>
    <row r="231">
      <c r="A231" t="n">
        <v>230</v>
      </c>
      <c r="B231" t="inlineStr">
        <is>
          <t>Train</t>
        </is>
      </c>
      <c r="C231" t="n">
        <v>45894</v>
      </c>
      <c r="D231" t="n">
        <v>25910</v>
      </c>
      <c r="E231" t="n">
        <v>42</v>
      </c>
      <c r="F231" t="n">
        <v>99269</v>
      </c>
      <c r="G231" t="n">
        <v>1</v>
      </c>
      <c r="H231" t="n">
        <v>11</v>
      </c>
      <c r="I231" t="n">
        <v>306012</v>
      </c>
    </row>
    <row r="232">
      <c r="A232" t="n">
        <v>231</v>
      </c>
      <c r="B232" t="inlineStr">
        <is>
          <t>Train</t>
        </is>
      </c>
      <c r="C232" t="n">
        <v>32239</v>
      </c>
      <c r="D232" t="n">
        <v>14040</v>
      </c>
      <c r="E232" t="n">
        <v>49</v>
      </c>
      <c r="F232" t="n">
        <v>76399</v>
      </c>
      <c r="G232" t="n">
        <v>5</v>
      </c>
      <c r="H232" t="n">
        <v>8</v>
      </c>
      <c r="I232" t="n">
        <v>225768</v>
      </c>
    </row>
    <row r="233">
      <c r="A233" t="n">
        <v>232</v>
      </c>
      <c r="B233" t="inlineStr">
        <is>
          <t>Train</t>
        </is>
      </c>
      <c r="C233" t="n">
        <v>7781</v>
      </c>
      <c r="D233" t="n">
        <v>8150</v>
      </c>
      <c r="E233" t="n">
        <v>21</v>
      </c>
      <c r="F233" t="n">
        <v>18483</v>
      </c>
      <c r="G233" t="n">
        <v>3</v>
      </c>
      <c r="H233" t="n">
        <v>8</v>
      </c>
      <c r="I233" t="n">
        <v>0</v>
      </c>
    </row>
    <row r="234">
      <c r="A234" t="n">
        <v>233</v>
      </c>
      <c r="B234" t="inlineStr">
        <is>
          <t>Train</t>
        </is>
      </c>
      <c r="C234" t="n">
        <v>8006</v>
      </c>
      <c r="D234" t="n">
        <v>14740</v>
      </c>
      <c r="E234" t="n">
        <v>62</v>
      </c>
      <c r="F234" t="n">
        <v>39953</v>
      </c>
      <c r="G234" t="n">
        <v>0</v>
      </c>
      <c r="H234" t="n">
        <v>15</v>
      </c>
      <c r="I234" t="n">
        <v>181434</v>
      </c>
    </row>
    <row r="235">
      <c r="A235" t="n">
        <v>234</v>
      </c>
      <c r="B235" t="inlineStr">
        <is>
          <t>Train</t>
        </is>
      </c>
      <c r="C235" t="n">
        <v>2896</v>
      </c>
      <c r="D235" t="n">
        <v>1500</v>
      </c>
      <c r="E235" t="n">
        <v>38</v>
      </c>
      <c r="F235" t="n">
        <v>38317</v>
      </c>
      <c r="G235" t="n">
        <v>8</v>
      </c>
      <c r="H235" t="n">
        <v>13</v>
      </c>
      <c r="I235" t="n">
        <v>125157</v>
      </c>
    </row>
    <row r="236">
      <c r="A236" t="n">
        <v>235</v>
      </c>
      <c r="B236" t="inlineStr">
        <is>
          <t>Train</t>
        </is>
      </c>
      <c r="C236" t="n">
        <v>2479</v>
      </c>
      <c r="D236" t="n">
        <v>8840</v>
      </c>
      <c r="E236" t="n">
        <v>59</v>
      </c>
      <c r="F236" t="n">
        <v>8213</v>
      </c>
      <c r="G236" t="n">
        <v>6</v>
      </c>
      <c r="H236" t="n">
        <v>11</v>
      </c>
      <c r="I236" t="n">
        <v>0</v>
      </c>
    </row>
    <row r="237">
      <c r="A237" t="n">
        <v>236</v>
      </c>
      <c r="B237" t="inlineStr">
        <is>
          <t>Train</t>
        </is>
      </c>
      <c r="C237" t="n">
        <v>3919</v>
      </c>
      <c r="D237" t="n">
        <v>4500</v>
      </c>
      <c r="E237" t="n">
        <v>30</v>
      </c>
      <c r="F237" t="n">
        <v>75891</v>
      </c>
      <c r="G237" t="n">
        <v>1</v>
      </c>
      <c r="H237" t="n">
        <v>11</v>
      </c>
      <c r="I237" t="n">
        <v>222952</v>
      </c>
    </row>
    <row r="238">
      <c r="A238" t="n">
        <v>237</v>
      </c>
      <c r="B238" t="inlineStr">
        <is>
          <t>Validation</t>
        </is>
      </c>
      <c r="C238" t="n">
        <v>7478</v>
      </c>
      <c r="D238" t="n">
        <v>30240</v>
      </c>
      <c r="E238" t="n">
        <v>48</v>
      </c>
      <c r="F238" t="n">
        <v>134140</v>
      </c>
      <c r="G238" t="n">
        <v>6</v>
      </c>
      <c r="H238" t="n">
        <v>8</v>
      </c>
      <c r="I238" t="n">
        <v>0</v>
      </c>
    </row>
    <row r="239">
      <c r="A239" t="n">
        <v>238</v>
      </c>
      <c r="B239" t="inlineStr">
        <is>
          <t>Validation</t>
        </is>
      </c>
      <c r="C239" t="n">
        <v>9785</v>
      </c>
      <c r="D239" t="n">
        <v>14170</v>
      </c>
      <c r="E239" t="n">
        <v>38</v>
      </c>
      <c r="F239" t="n">
        <v>22938</v>
      </c>
      <c r="G239" t="n">
        <v>0</v>
      </c>
      <c r="H239" t="n">
        <v>11</v>
      </c>
      <c r="I239" t="n">
        <v>0</v>
      </c>
    </row>
    <row r="240">
      <c r="A240" t="n">
        <v>239</v>
      </c>
      <c r="B240" t="inlineStr">
        <is>
          <t>Validation</t>
        </is>
      </c>
      <c r="C240" t="n">
        <v>2847</v>
      </c>
      <c r="D240" t="n">
        <v>13850</v>
      </c>
      <c r="E240" t="n">
        <v>51</v>
      </c>
      <c r="F240" t="n">
        <v>72453</v>
      </c>
      <c r="G240" t="n">
        <v>7</v>
      </c>
      <c r="H240" t="n">
        <v>4</v>
      </c>
      <c r="I240" t="n">
        <v>0</v>
      </c>
    </row>
    <row r="241">
      <c r="A241" t="n">
        <v>240</v>
      </c>
      <c r="B241" t="inlineStr">
        <is>
          <t>Train</t>
        </is>
      </c>
      <c r="C241" t="n">
        <v>7223</v>
      </c>
      <c r="D241" t="n">
        <v>6380</v>
      </c>
      <c r="E241" t="n">
        <v>32</v>
      </c>
      <c r="F241" t="n">
        <v>16118</v>
      </c>
      <c r="G241" t="n">
        <v>4</v>
      </c>
      <c r="H241" t="n">
        <v>10</v>
      </c>
      <c r="I241" t="n">
        <v>0</v>
      </c>
    </row>
    <row r="242">
      <c r="A242" t="n">
        <v>241</v>
      </c>
      <c r="B242" t="inlineStr">
        <is>
          <t>Train</t>
        </is>
      </c>
      <c r="C242" t="n">
        <v>4263</v>
      </c>
      <c r="D242" t="n">
        <v>5600</v>
      </c>
      <c r="E242" t="n">
        <v>41</v>
      </c>
      <c r="F242" t="n">
        <v>0</v>
      </c>
      <c r="G242" t="n">
        <v>0</v>
      </c>
      <c r="H242" t="n">
        <v>0</v>
      </c>
      <c r="I242" t="n">
        <v>132571</v>
      </c>
    </row>
    <row r="243">
      <c r="A243" t="n">
        <v>242</v>
      </c>
      <c r="B243" t="inlineStr">
        <is>
          <t>Train</t>
        </is>
      </c>
      <c r="C243" t="n">
        <v>5581</v>
      </c>
      <c r="D243" t="n">
        <v>18870</v>
      </c>
      <c r="E243" t="n">
        <v>41</v>
      </c>
      <c r="F243" t="n">
        <v>50331</v>
      </c>
      <c r="G243" t="n">
        <v>7</v>
      </c>
      <c r="H243" t="n">
        <v>10</v>
      </c>
      <c r="I243" t="n">
        <v>0</v>
      </c>
    </row>
    <row r="244">
      <c r="A244" t="n">
        <v>243</v>
      </c>
      <c r="B244" t="inlineStr">
        <is>
          <t>Train</t>
        </is>
      </c>
      <c r="C244" t="n">
        <v>33388</v>
      </c>
      <c r="D244" t="n">
        <v>6650</v>
      </c>
      <c r="E244" t="n">
        <v>51</v>
      </c>
      <c r="F244" t="n">
        <v>51513</v>
      </c>
      <c r="G244" t="n">
        <v>4</v>
      </c>
      <c r="H244" t="n">
        <v>13</v>
      </c>
      <c r="I244" t="n">
        <v>0</v>
      </c>
    </row>
    <row r="245">
      <c r="A245" t="n">
        <v>244</v>
      </c>
      <c r="B245" t="inlineStr">
        <is>
          <t>Train</t>
        </is>
      </c>
      <c r="C245" t="n">
        <v>6474</v>
      </c>
      <c r="D245" t="n">
        <v>13860</v>
      </c>
      <c r="E245" t="n">
        <v>40</v>
      </c>
      <c r="F245" t="n">
        <v>55258</v>
      </c>
      <c r="G245" t="n">
        <v>3</v>
      </c>
      <c r="H245" t="n">
        <v>8</v>
      </c>
      <c r="I245" t="n">
        <v>182917</v>
      </c>
    </row>
    <row r="246">
      <c r="A246" t="n">
        <v>245</v>
      </c>
      <c r="B246" t="inlineStr">
        <is>
          <t>Train</t>
        </is>
      </c>
      <c r="C246" t="n">
        <v>9718</v>
      </c>
      <c r="D246" t="n">
        <v>15810</v>
      </c>
      <c r="E246" t="n">
        <v>54</v>
      </c>
      <c r="F246" t="n">
        <v>55742</v>
      </c>
      <c r="G246" t="n">
        <v>2</v>
      </c>
      <c r="H246" t="n">
        <v>8</v>
      </c>
      <c r="I246" t="n">
        <v>186013</v>
      </c>
    </row>
    <row r="247">
      <c r="A247" t="n">
        <v>246</v>
      </c>
      <c r="B247" t="inlineStr">
        <is>
          <t>Train</t>
        </is>
      </c>
      <c r="C247" t="n">
        <v>2982</v>
      </c>
      <c r="D247" t="n">
        <v>16090</v>
      </c>
      <c r="E247" t="n">
        <v>38</v>
      </c>
      <c r="F247" t="n">
        <v>98120</v>
      </c>
      <c r="G247" t="n">
        <v>2</v>
      </c>
      <c r="H247" t="n">
        <v>10</v>
      </c>
      <c r="I247" t="n">
        <v>0</v>
      </c>
    </row>
    <row r="248">
      <c r="A248" t="n">
        <v>247</v>
      </c>
      <c r="B248" t="inlineStr">
        <is>
          <t>Validation</t>
        </is>
      </c>
      <c r="C248" t="n">
        <v>1142</v>
      </c>
      <c r="D248" t="n">
        <v>10520</v>
      </c>
      <c r="E248" t="n">
        <v>58</v>
      </c>
      <c r="F248" t="n">
        <v>69282</v>
      </c>
      <c r="G248" t="n">
        <v>0</v>
      </c>
      <c r="H248" t="n">
        <v>12</v>
      </c>
      <c r="I248" t="n">
        <v>295989</v>
      </c>
    </row>
    <row r="249">
      <c r="A249" t="n">
        <v>248</v>
      </c>
      <c r="B249" t="inlineStr">
        <is>
          <t>Validation</t>
        </is>
      </c>
      <c r="C249" t="n">
        <v>9773</v>
      </c>
      <c r="D249" t="n">
        <v>6480</v>
      </c>
      <c r="E249" t="n">
        <v>42</v>
      </c>
      <c r="F249" t="n">
        <v>36230</v>
      </c>
      <c r="G249" t="n">
        <v>1</v>
      </c>
      <c r="H249" t="n">
        <v>10</v>
      </c>
      <c r="I249" t="n">
        <v>158234</v>
      </c>
    </row>
    <row r="250">
      <c r="A250" t="n">
        <v>249</v>
      </c>
      <c r="B250" t="inlineStr">
        <is>
          <t>Validation</t>
        </is>
      </c>
      <c r="C250" t="n">
        <v>1402</v>
      </c>
      <c r="D250" t="n">
        <v>13010</v>
      </c>
      <c r="E250" t="n">
        <v>53</v>
      </c>
      <c r="F250" t="n">
        <v>63049</v>
      </c>
      <c r="G250" t="n">
        <v>6</v>
      </c>
      <c r="H250" t="n">
        <v>15</v>
      </c>
      <c r="I250" t="n">
        <v>197046</v>
      </c>
    </row>
    <row r="251">
      <c r="A251" t="n">
        <v>250</v>
      </c>
      <c r="B251" t="inlineStr">
        <is>
          <t>Train</t>
        </is>
      </c>
      <c r="C251" t="n">
        <v>6322</v>
      </c>
      <c r="D251" t="n">
        <v>7280</v>
      </c>
      <c r="E251" t="n">
        <v>30</v>
      </c>
      <c r="F251" t="n">
        <v>27803</v>
      </c>
      <c r="G251" t="n">
        <v>5</v>
      </c>
      <c r="H251" t="n">
        <v>10</v>
      </c>
      <c r="I251" t="n">
        <v>0</v>
      </c>
    </row>
    <row r="252">
      <c r="A252" t="n">
        <v>251</v>
      </c>
      <c r="B252" t="inlineStr">
        <is>
          <t>Train</t>
        </is>
      </c>
      <c r="C252" t="n">
        <v>3908</v>
      </c>
      <c r="D252" t="n">
        <v>12760</v>
      </c>
      <c r="E252" t="n">
        <v>50</v>
      </c>
      <c r="F252" t="n">
        <v>34611</v>
      </c>
      <c r="G252" t="n">
        <v>4</v>
      </c>
      <c r="H252" t="n">
        <v>8</v>
      </c>
      <c r="I252" t="n">
        <v>0</v>
      </c>
    </row>
    <row r="253">
      <c r="A253" t="n">
        <v>252</v>
      </c>
      <c r="B253" t="inlineStr">
        <is>
          <t>Train</t>
        </is>
      </c>
      <c r="C253" t="n">
        <v>5982</v>
      </c>
      <c r="D253" t="n">
        <v>12870</v>
      </c>
      <c r="E253" t="n">
        <v>42</v>
      </c>
      <c r="F253" t="n">
        <v>71686</v>
      </c>
      <c r="G253" t="n">
        <v>2</v>
      </c>
      <c r="H253" t="n">
        <v>12</v>
      </c>
      <c r="I253" t="n">
        <v>0</v>
      </c>
    </row>
    <row r="254">
      <c r="A254" t="n">
        <v>253</v>
      </c>
      <c r="B254" t="inlineStr">
        <is>
          <t>Train</t>
        </is>
      </c>
      <c r="C254" t="n">
        <v>3826</v>
      </c>
      <c r="D254" t="n">
        <v>28840</v>
      </c>
      <c r="E254" t="n">
        <v>43</v>
      </c>
      <c r="F254" t="n">
        <v>84342</v>
      </c>
      <c r="G254" t="n">
        <v>2</v>
      </c>
      <c r="H254" t="n">
        <v>11</v>
      </c>
      <c r="I254" t="n">
        <v>289734</v>
      </c>
    </row>
    <row r="255">
      <c r="A255" t="n">
        <v>254</v>
      </c>
      <c r="B255" t="inlineStr">
        <is>
          <t>Train</t>
        </is>
      </c>
      <c r="C255" t="n">
        <v>9197</v>
      </c>
      <c r="D255" t="n">
        <v>29790</v>
      </c>
      <c r="E255" t="n">
        <v>45</v>
      </c>
      <c r="F255" t="n">
        <v>24178</v>
      </c>
      <c r="G255" t="n">
        <v>1</v>
      </c>
      <c r="H255" t="n">
        <v>9</v>
      </c>
      <c r="I255" t="n">
        <v>115381</v>
      </c>
    </row>
    <row r="256">
      <c r="A256" t="n">
        <v>255</v>
      </c>
      <c r="B256" t="inlineStr">
        <is>
          <t>Train</t>
        </is>
      </c>
      <c r="C256" t="n">
        <v>1712</v>
      </c>
      <c r="D256" t="n">
        <v>22680</v>
      </c>
      <c r="E256" t="n">
        <v>33</v>
      </c>
      <c r="F256" t="n">
        <v>69641</v>
      </c>
      <c r="G256" t="n">
        <v>2</v>
      </c>
      <c r="H256" t="n">
        <v>9</v>
      </c>
      <c r="I256" t="n">
        <v>230290</v>
      </c>
    </row>
    <row r="257">
      <c r="A257" t="n">
        <v>256</v>
      </c>
      <c r="B257" t="inlineStr">
        <is>
          <t>Train</t>
        </is>
      </c>
      <c r="C257" t="n">
        <v>17691</v>
      </c>
      <c r="D257" t="n">
        <v>17270</v>
      </c>
      <c r="E257" t="n">
        <v>48</v>
      </c>
      <c r="F257" t="n">
        <v>81940</v>
      </c>
      <c r="G257" t="n">
        <v>6</v>
      </c>
      <c r="H257" t="n">
        <v>15</v>
      </c>
      <c r="I257" t="n">
        <v>263363</v>
      </c>
    </row>
    <row r="258">
      <c r="A258" t="n">
        <v>257</v>
      </c>
      <c r="B258" t="inlineStr">
        <is>
          <t>Validation</t>
        </is>
      </c>
      <c r="C258" t="n">
        <v>3546</v>
      </c>
      <c r="D258" t="n">
        <v>11570</v>
      </c>
      <c r="E258" t="n">
        <v>52</v>
      </c>
      <c r="F258" t="n">
        <v>16005</v>
      </c>
      <c r="G258" t="n">
        <v>5</v>
      </c>
      <c r="H258" t="n">
        <v>13</v>
      </c>
      <c r="I258" t="n">
        <v>52557</v>
      </c>
    </row>
    <row r="259">
      <c r="A259" t="n">
        <v>258</v>
      </c>
      <c r="B259" t="inlineStr">
        <is>
          <t>Validation</t>
        </is>
      </c>
      <c r="C259" t="n">
        <v>9085</v>
      </c>
      <c r="D259" t="n">
        <v>18110</v>
      </c>
      <c r="E259" t="n">
        <v>47</v>
      </c>
      <c r="F259" t="n">
        <v>55019</v>
      </c>
      <c r="G259" t="n">
        <v>1</v>
      </c>
      <c r="H259" t="n">
        <v>12</v>
      </c>
      <c r="I259" t="n">
        <v>206801</v>
      </c>
    </row>
    <row r="260">
      <c r="A260" t="n">
        <v>259</v>
      </c>
      <c r="B260" t="inlineStr">
        <is>
          <t>Validation</t>
        </is>
      </c>
      <c r="C260" t="n">
        <v>5575</v>
      </c>
      <c r="D260" t="n">
        <v>4500</v>
      </c>
      <c r="E260" t="n">
        <v>28</v>
      </c>
      <c r="F260" t="n">
        <v>13410</v>
      </c>
      <c r="G260" t="n">
        <v>2</v>
      </c>
      <c r="H260" t="n">
        <v>9</v>
      </c>
      <c r="I260" t="n">
        <v>0</v>
      </c>
    </row>
    <row r="261">
      <c r="A261" t="n">
        <v>260</v>
      </c>
      <c r="B261" t="inlineStr">
        <is>
          <t>Train</t>
        </is>
      </c>
      <c r="C261" t="n">
        <v>10147</v>
      </c>
      <c r="D261" t="n">
        <v>20910</v>
      </c>
      <c r="E261" t="n">
        <v>51</v>
      </c>
      <c r="F261" t="n">
        <v>61666</v>
      </c>
      <c r="G261" t="n">
        <v>4</v>
      </c>
      <c r="H261" t="n">
        <v>11</v>
      </c>
      <c r="I261" t="n">
        <v>198755</v>
      </c>
    </row>
    <row r="262">
      <c r="A262" t="n">
        <v>261</v>
      </c>
      <c r="B262" t="inlineStr">
        <is>
          <t>Train</t>
        </is>
      </c>
      <c r="C262" t="n">
        <v>4020</v>
      </c>
      <c r="D262" t="n">
        <v>5600</v>
      </c>
      <c r="E262" t="n">
        <v>42</v>
      </c>
      <c r="F262" t="n">
        <v>200928</v>
      </c>
      <c r="G262" t="n">
        <v>2</v>
      </c>
      <c r="H262" t="n">
        <v>11</v>
      </c>
      <c r="I262" t="n">
        <v>513817</v>
      </c>
    </row>
    <row r="263">
      <c r="A263" t="n">
        <v>262</v>
      </c>
      <c r="B263" t="inlineStr">
        <is>
          <t>Train</t>
        </is>
      </c>
      <c r="C263" t="n">
        <v>10265</v>
      </c>
      <c r="D263" t="n">
        <v>7200</v>
      </c>
      <c r="E263" t="n">
        <v>47</v>
      </c>
      <c r="F263" t="n">
        <v>64246</v>
      </c>
      <c r="G263" t="n">
        <v>1</v>
      </c>
      <c r="H263" t="n">
        <v>12</v>
      </c>
      <c r="I263" t="n">
        <v>233450</v>
      </c>
    </row>
    <row r="264">
      <c r="A264" t="n">
        <v>263</v>
      </c>
      <c r="B264" t="inlineStr">
        <is>
          <t>Train</t>
        </is>
      </c>
      <c r="C264" t="n">
        <v>31401</v>
      </c>
      <c r="D264" t="n">
        <v>5850</v>
      </c>
      <c r="E264" t="n">
        <v>30</v>
      </c>
      <c r="F264" t="n">
        <v>13490</v>
      </c>
      <c r="G264" t="n">
        <v>1</v>
      </c>
      <c r="H264" t="n">
        <v>11</v>
      </c>
      <c r="I264" t="n">
        <v>95447</v>
      </c>
    </row>
    <row r="265">
      <c r="A265" t="n">
        <v>264</v>
      </c>
      <c r="B265" t="inlineStr">
        <is>
          <t>Train</t>
        </is>
      </c>
      <c r="C265" t="n">
        <v>32115</v>
      </c>
      <c r="D265" t="n">
        <v>16940</v>
      </c>
      <c r="E265" t="n">
        <v>53</v>
      </c>
      <c r="F265" t="n">
        <v>52019</v>
      </c>
      <c r="G265" t="n">
        <v>0</v>
      </c>
      <c r="H265" t="n">
        <v>13</v>
      </c>
      <c r="I265" t="n">
        <v>213950</v>
      </c>
    </row>
    <row r="266">
      <c r="A266" t="n">
        <v>265</v>
      </c>
      <c r="B266" t="inlineStr">
        <is>
          <t>Train</t>
        </is>
      </c>
      <c r="C266" t="n">
        <v>33218</v>
      </c>
      <c r="D266" t="n">
        <v>24590</v>
      </c>
      <c r="E266" t="n">
        <v>43</v>
      </c>
      <c r="F266" t="n">
        <v>2346</v>
      </c>
      <c r="G266" t="n">
        <v>0</v>
      </c>
      <c r="H266" t="n">
        <v>12</v>
      </c>
      <c r="I266" t="n">
        <v>99554</v>
      </c>
    </row>
    <row r="267">
      <c r="A267" t="n">
        <v>266</v>
      </c>
      <c r="B267" t="inlineStr">
        <is>
          <t>Train</t>
        </is>
      </c>
      <c r="C267" t="n">
        <v>3805</v>
      </c>
      <c r="D267" t="n">
        <v>5100</v>
      </c>
      <c r="E267" t="n">
        <v>36</v>
      </c>
      <c r="F267" t="n">
        <v>48901</v>
      </c>
      <c r="G267" t="n">
        <v>0</v>
      </c>
      <c r="H267" t="n">
        <v>11</v>
      </c>
      <c r="I267" t="n">
        <v>210300</v>
      </c>
    </row>
    <row r="268">
      <c r="A268" t="n">
        <v>267</v>
      </c>
      <c r="B268" t="inlineStr">
        <is>
          <t>Validation</t>
        </is>
      </c>
      <c r="C268" t="n">
        <v>4326</v>
      </c>
      <c r="D268" t="n">
        <v>22320</v>
      </c>
      <c r="E268" t="n">
        <v>38</v>
      </c>
      <c r="F268" t="n">
        <v>38212</v>
      </c>
      <c r="G268" t="n">
        <v>6</v>
      </c>
      <c r="H268" t="n">
        <v>9</v>
      </c>
      <c r="I268" t="n">
        <v>160245</v>
      </c>
    </row>
    <row r="269">
      <c r="A269" t="n">
        <v>268</v>
      </c>
      <c r="B269" t="inlineStr">
        <is>
          <t>Validation</t>
        </is>
      </c>
      <c r="C269" t="n">
        <v>8295</v>
      </c>
      <c r="D269" t="n">
        <v>21220</v>
      </c>
      <c r="E269" t="n">
        <v>47</v>
      </c>
      <c r="F269" t="n">
        <v>107414</v>
      </c>
      <c r="G269" t="n">
        <v>2</v>
      </c>
      <c r="H269" t="n">
        <v>9</v>
      </c>
      <c r="I269" t="n">
        <v>0</v>
      </c>
    </row>
    <row r="270">
      <c r="A270" t="n">
        <v>269</v>
      </c>
      <c r="B270" t="inlineStr">
        <is>
          <t>Validation</t>
        </is>
      </c>
      <c r="C270" t="n">
        <v>4748</v>
      </c>
      <c r="D270" t="n">
        <v>7990</v>
      </c>
      <c r="E270" t="n">
        <v>43</v>
      </c>
      <c r="F270" t="n">
        <v>21913</v>
      </c>
      <c r="G270" t="n">
        <v>1</v>
      </c>
      <c r="H270" t="n">
        <v>9</v>
      </c>
      <c r="I270" t="n">
        <v>125624</v>
      </c>
    </row>
    <row r="271">
      <c r="A271" t="n">
        <v>270</v>
      </c>
      <c r="B271" t="inlineStr">
        <is>
          <t>Train</t>
        </is>
      </c>
      <c r="C271" t="n">
        <v>6668</v>
      </c>
      <c r="D271" t="n">
        <v>12390</v>
      </c>
      <c r="E271" t="n">
        <v>53</v>
      </c>
      <c r="F271" t="n">
        <v>55890</v>
      </c>
      <c r="G271" t="n">
        <v>4</v>
      </c>
      <c r="H271" t="n">
        <v>2</v>
      </c>
      <c r="I271" t="n">
        <v>0</v>
      </c>
    </row>
    <row r="272">
      <c r="A272" t="n">
        <v>271</v>
      </c>
      <c r="B272" t="inlineStr">
        <is>
          <t>Train</t>
        </is>
      </c>
      <c r="C272" t="n">
        <v>6632</v>
      </c>
      <c r="D272" t="n">
        <v>22210</v>
      </c>
      <c r="E272" t="n">
        <v>46</v>
      </c>
      <c r="F272" t="n">
        <v>70307</v>
      </c>
      <c r="G272" t="n">
        <v>0</v>
      </c>
      <c r="H272" t="n">
        <v>10</v>
      </c>
      <c r="I272" t="n">
        <v>226429</v>
      </c>
    </row>
    <row r="273">
      <c r="A273" t="n">
        <v>272</v>
      </c>
      <c r="B273" t="inlineStr">
        <is>
          <t>Train</t>
        </is>
      </c>
      <c r="C273" t="n">
        <v>3979</v>
      </c>
      <c r="D273" t="n">
        <v>8730</v>
      </c>
      <c r="E273" t="n">
        <v>40</v>
      </c>
      <c r="F273" t="n">
        <v>32265</v>
      </c>
      <c r="G273" t="n">
        <v>7</v>
      </c>
      <c r="H273" t="n">
        <v>11</v>
      </c>
      <c r="I273" t="n">
        <v>0</v>
      </c>
    </row>
    <row r="274">
      <c r="A274" t="n">
        <v>273</v>
      </c>
      <c r="B274" t="inlineStr">
        <is>
          <t>Train</t>
        </is>
      </c>
      <c r="C274" t="n">
        <v>7822</v>
      </c>
      <c r="D274" t="n">
        <v>11780</v>
      </c>
      <c r="E274" t="n">
        <v>47</v>
      </c>
      <c r="F274" t="n">
        <v>55821</v>
      </c>
      <c r="G274" t="n">
        <v>0</v>
      </c>
      <c r="H274" t="n">
        <v>10</v>
      </c>
      <c r="I274" t="n">
        <v>223804</v>
      </c>
    </row>
    <row r="275">
      <c r="A275" t="n">
        <v>274</v>
      </c>
      <c r="B275" t="inlineStr">
        <is>
          <t>Train</t>
        </is>
      </c>
      <c r="C275" t="n">
        <v>10421</v>
      </c>
      <c r="D275" t="n">
        <v>24390</v>
      </c>
      <c r="E275" t="n">
        <v>53</v>
      </c>
      <c r="F275" t="n">
        <v>167661</v>
      </c>
      <c r="G275" t="n">
        <v>0</v>
      </c>
      <c r="H275" t="n">
        <v>12</v>
      </c>
      <c r="I275" t="n">
        <v>433494</v>
      </c>
    </row>
    <row r="276">
      <c r="A276" t="n">
        <v>275</v>
      </c>
      <c r="B276" t="inlineStr">
        <is>
          <t>Train</t>
        </is>
      </c>
      <c r="C276" t="n">
        <v>3211</v>
      </c>
      <c r="D276" t="n">
        <v>12160</v>
      </c>
      <c r="E276" t="n">
        <v>56</v>
      </c>
      <c r="F276" t="n">
        <v>44320</v>
      </c>
      <c r="G276" t="n">
        <v>7</v>
      </c>
      <c r="H276" t="n">
        <v>13</v>
      </c>
      <c r="I276" t="n">
        <v>166535</v>
      </c>
    </row>
    <row r="277">
      <c r="A277" t="n">
        <v>276</v>
      </c>
      <c r="B277" t="inlineStr">
        <is>
          <t>Train</t>
        </is>
      </c>
      <c r="C277" t="n">
        <v>5639</v>
      </c>
      <c r="D277" t="n">
        <v>23880</v>
      </c>
      <c r="E277" t="n">
        <v>41</v>
      </c>
      <c r="F277" t="n">
        <v>182782</v>
      </c>
      <c r="G277" t="n">
        <v>5</v>
      </c>
      <c r="H277" t="n">
        <v>11</v>
      </c>
      <c r="I277" t="n">
        <v>0</v>
      </c>
    </row>
    <row r="278">
      <c r="A278" t="n">
        <v>277</v>
      </c>
      <c r="B278" t="inlineStr">
        <is>
          <t>Validation</t>
        </is>
      </c>
      <c r="C278" t="n">
        <v>49131</v>
      </c>
      <c r="D278" t="n">
        <v>12680</v>
      </c>
      <c r="E278" t="n">
        <v>30</v>
      </c>
      <c r="F278" t="n">
        <v>28162</v>
      </c>
      <c r="G278" t="n">
        <v>0</v>
      </c>
      <c r="H278" t="n">
        <v>12</v>
      </c>
      <c r="I278" t="n">
        <v>137585</v>
      </c>
    </row>
    <row r="279">
      <c r="A279" t="n">
        <v>278</v>
      </c>
      <c r="B279" t="inlineStr">
        <is>
          <t>Validation</t>
        </is>
      </c>
      <c r="C279" t="n">
        <v>2933</v>
      </c>
      <c r="D279" t="n">
        <v>9180</v>
      </c>
      <c r="E279" t="n">
        <v>57</v>
      </c>
      <c r="F279" t="n">
        <v>0</v>
      </c>
      <c r="G279" t="n">
        <v>8</v>
      </c>
      <c r="H279" t="n">
        <v>0</v>
      </c>
      <c r="I279" t="n">
        <v>83843</v>
      </c>
    </row>
    <row r="280">
      <c r="A280" t="n">
        <v>279</v>
      </c>
      <c r="B280" t="inlineStr">
        <is>
          <t>Validation</t>
        </is>
      </c>
      <c r="C280" t="n">
        <v>4426</v>
      </c>
      <c r="D280" t="n">
        <v>24010</v>
      </c>
      <c r="E280" t="n">
        <v>40</v>
      </c>
      <c r="F280" t="n">
        <v>96613</v>
      </c>
      <c r="G280" t="n">
        <v>3</v>
      </c>
      <c r="H280" t="n">
        <v>16</v>
      </c>
      <c r="I280" t="n">
        <v>296274</v>
      </c>
    </row>
    <row r="281">
      <c r="A281" t="n">
        <v>280</v>
      </c>
      <c r="B281" t="inlineStr">
        <is>
          <t>Train</t>
        </is>
      </c>
      <c r="C281" t="n">
        <v>23972</v>
      </c>
      <c r="D281" t="n">
        <v>6200</v>
      </c>
      <c r="E281" t="n">
        <v>47</v>
      </c>
      <c r="F281" t="n">
        <v>0</v>
      </c>
      <c r="G281" t="n">
        <v>1</v>
      </c>
      <c r="H281" t="n">
        <v>0</v>
      </c>
      <c r="I281" t="n">
        <v>67647</v>
      </c>
    </row>
    <row r="282">
      <c r="A282" t="n">
        <v>281</v>
      </c>
      <c r="B282" t="inlineStr">
        <is>
          <t>Train</t>
        </is>
      </c>
      <c r="C282" t="n">
        <v>6523</v>
      </c>
      <c r="D282" t="n">
        <v>6800</v>
      </c>
      <c r="E282" t="n">
        <v>53</v>
      </c>
      <c r="F282" t="n">
        <v>27045</v>
      </c>
      <c r="G282" t="n">
        <v>4</v>
      </c>
      <c r="H282" t="n">
        <v>11</v>
      </c>
      <c r="I282" t="n">
        <v>161922</v>
      </c>
    </row>
    <row r="283">
      <c r="A283" t="n">
        <v>282</v>
      </c>
      <c r="B283" t="inlineStr">
        <is>
          <t>Train</t>
        </is>
      </c>
      <c r="C283" t="n">
        <v>40386</v>
      </c>
      <c r="D283" t="n">
        <v>37310</v>
      </c>
      <c r="E283" t="n">
        <v>48</v>
      </c>
      <c r="F283" t="n">
        <v>75984</v>
      </c>
      <c r="G283" t="n">
        <v>1</v>
      </c>
      <c r="H283" t="n">
        <v>11</v>
      </c>
      <c r="I283" t="n">
        <v>0</v>
      </c>
    </row>
    <row r="284">
      <c r="A284" t="n">
        <v>283</v>
      </c>
      <c r="B284" t="inlineStr">
        <is>
          <t>Train</t>
        </is>
      </c>
      <c r="C284" t="n">
        <v>1031</v>
      </c>
      <c r="D284" t="n">
        <v>7050</v>
      </c>
      <c r="E284" t="n">
        <v>48</v>
      </c>
      <c r="F284" t="n">
        <v>88745</v>
      </c>
      <c r="G284" t="n">
        <v>5</v>
      </c>
      <c r="H284" t="n">
        <v>12</v>
      </c>
      <c r="I284" t="n">
        <v>241555</v>
      </c>
    </row>
    <row r="285">
      <c r="A285" t="n">
        <v>284</v>
      </c>
      <c r="B285" t="inlineStr">
        <is>
          <t>Train</t>
        </is>
      </c>
      <c r="C285" t="n">
        <v>8431</v>
      </c>
      <c r="D285" t="n">
        <v>15140</v>
      </c>
      <c r="E285" t="n">
        <v>39</v>
      </c>
      <c r="F285" t="n">
        <v>31869</v>
      </c>
      <c r="G285" t="n">
        <v>4</v>
      </c>
      <c r="H285" t="n">
        <v>10</v>
      </c>
      <c r="I285" t="n">
        <v>0</v>
      </c>
    </row>
    <row r="286">
      <c r="A286" t="n">
        <v>285</v>
      </c>
      <c r="B286" t="inlineStr">
        <is>
          <t>Train</t>
        </is>
      </c>
      <c r="C286" t="n">
        <v>2974</v>
      </c>
      <c r="D286" t="n">
        <v>24490</v>
      </c>
      <c r="E286" t="n">
        <v>30</v>
      </c>
      <c r="F286" t="n">
        <v>42579</v>
      </c>
      <c r="G286" t="n">
        <v>0</v>
      </c>
      <c r="H286" t="n">
        <v>16</v>
      </c>
      <c r="I286" t="n">
        <v>169596</v>
      </c>
    </row>
    <row r="287">
      <c r="A287" t="n">
        <v>286</v>
      </c>
      <c r="B287" t="inlineStr">
        <is>
          <t>Train</t>
        </is>
      </c>
      <c r="C287" t="n">
        <v>4236</v>
      </c>
      <c r="D287" t="n">
        <v>8540</v>
      </c>
      <c r="E287" t="n">
        <v>44</v>
      </c>
      <c r="F287" t="n">
        <v>26377</v>
      </c>
      <c r="G287" t="n">
        <v>3</v>
      </c>
      <c r="H287" t="n">
        <v>14</v>
      </c>
      <c r="I287" t="n">
        <v>169045</v>
      </c>
    </row>
    <row r="288">
      <c r="A288" t="n">
        <v>287</v>
      </c>
      <c r="B288" t="inlineStr">
        <is>
          <t>Validation</t>
        </is>
      </c>
      <c r="C288" t="n">
        <v>11226</v>
      </c>
      <c r="D288" t="n">
        <v>2190</v>
      </c>
      <c r="E288" t="n">
        <v>24</v>
      </c>
      <c r="F288" t="n">
        <v>6862</v>
      </c>
      <c r="G288" t="n">
        <v>4</v>
      </c>
      <c r="H288" t="n">
        <v>7</v>
      </c>
      <c r="I288" t="n">
        <v>0</v>
      </c>
    </row>
    <row r="289">
      <c r="A289" t="n">
        <v>288</v>
      </c>
      <c r="B289" t="inlineStr">
        <is>
          <t>Validation</t>
        </is>
      </c>
      <c r="C289" t="n">
        <v>26871</v>
      </c>
      <c r="D289" t="n">
        <v>2220</v>
      </c>
      <c r="E289" t="n">
        <v>55</v>
      </c>
      <c r="F289" t="n">
        <v>7231</v>
      </c>
      <c r="G289" t="n">
        <v>2</v>
      </c>
      <c r="H289" t="n">
        <v>10</v>
      </c>
      <c r="I289" t="n">
        <v>82289</v>
      </c>
    </row>
    <row r="290">
      <c r="A290" t="n">
        <v>289</v>
      </c>
      <c r="B290" t="inlineStr">
        <is>
          <t>Validation</t>
        </is>
      </c>
      <c r="C290" t="n">
        <v>36700</v>
      </c>
      <c r="D290" t="n">
        <v>41310</v>
      </c>
      <c r="E290" t="n">
        <v>54</v>
      </c>
      <c r="F290" t="n">
        <v>73663</v>
      </c>
      <c r="G290" t="n">
        <v>3</v>
      </c>
      <c r="H290" t="n">
        <v>6</v>
      </c>
      <c r="I290" t="n">
        <v>268990</v>
      </c>
    </row>
    <row r="291">
      <c r="A291" t="n">
        <v>290</v>
      </c>
      <c r="B291" t="inlineStr">
        <is>
          <t>Train</t>
        </is>
      </c>
      <c r="C291" t="n">
        <v>4992</v>
      </c>
      <c r="D291" t="n">
        <v>28140</v>
      </c>
      <c r="E291" t="n">
        <v>51</v>
      </c>
      <c r="F291" t="n">
        <v>122934</v>
      </c>
      <c r="G291" t="n">
        <v>6</v>
      </c>
      <c r="H291" t="n">
        <v>11</v>
      </c>
      <c r="I291" t="n">
        <v>0</v>
      </c>
    </row>
    <row r="292">
      <c r="A292" t="n">
        <v>291</v>
      </c>
      <c r="B292" t="inlineStr">
        <is>
          <t>Train</t>
        </is>
      </c>
      <c r="C292" t="n">
        <v>3542</v>
      </c>
      <c r="D292" t="n">
        <v>28280</v>
      </c>
      <c r="E292" t="n">
        <v>57</v>
      </c>
      <c r="F292" t="n">
        <v>210811</v>
      </c>
      <c r="G292" t="n">
        <v>4</v>
      </c>
      <c r="H292" t="n">
        <v>12</v>
      </c>
      <c r="I292" t="n">
        <v>0</v>
      </c>
    </row>
    <row r="293">
      <c r="A293" t="n">
        <v>292</v>
      </c>
      <c r="B293" t="inlineStr">
        <is>
          <t>Train</t>
        </is>
      </c>
      <c r="C293" t="n">
        <v>2928</v>
      </c>
      <c r="D293" t="n">
        <v>14370</v>
      </c>
      <c r="E293" t="n">
        <v>48</v>
      </c>
      <c r="F293" t="n">
        <v>80657</v>
      </c>
      <c r="G293" t="n">
        <v>4</v>
      </c>
      <c r="H293" t="n">
        <v>12</v>
      </c>
      <c r="I293" t="n">
        <v>257921</v>
      </c>
    </row>
    <row r="294">
      <c r="A294" t="n">
        <v>293</v>
      </c>
      <c r="B294" t="inlineStr">
        <is>
          <t>Train</t>
        </is>
      </c>
      <c r="C294" t="n">
        <v>8466</v>
      </c>
      <c r="D294" t="n">
        <v>14370</v>
      </c>
      <c r="E294" t="n">
        <v>51</v>
      </c>
      <c r="F294" t="n">
        <v>77728</v>
      </c>
      <c r="G294" t="n">
        <v>4</v>
      </c>
      <c r="H294" t="n">
        <v>14</v>
      </c>
      <c r="I294" t="n">
        <v>215250</v>
      </c>
    </row>
    <row r="295">
      <c r="A295" t="n">
        <v>294</v>
      </c>
      <c r="B295" t="inlineStr">
        <is>
          <t>Train</t>
        </is>
      </c>
      <c r="C295" t="n">
        <v>43170</v>
      </c>
      <c r="D295" t="n">
        <v>24430</v>
      </c>
      <c r="E295" t="n">
        <v>46</v>
      </c>
      <c r="F295" t="n">
        <v>93543</v>
      </c>
      <c r="G295" t="n">
        <v>6</v>
      </c>
      <c r="H295" t="n">
        <v>10</v>
      </c>
      <c r="I295" t="n">
        <v>0</v>
      </c>
    </row>
    <row r="296">
      <c r="A296" t="n">
        <v>295</v>
      </c>
      <c r="B296" t="inlineStr">
        <is>
          <t>Train</t>
        </is>
      </c>
      <c r="C296" t="n">
        <v>7357</v>
      </c>
      <c r="D296" t="n">
        <v>22390</v>
      </c>
      <c r="E296" t="n">
        <v>48</v>
      </c>
      <c r="F296" t="n">
        <v>173279</v>
      </c>
      <c r="G296" t="n">
        <v>8</v>
      </c>
      <c r="H296" t="n">
        <v>10</v>
      </c>
      <c r="I296" t="n">
        <v>0</v>
      </c>
    </row>
    <row r="297">
      <c r="A297" t="n">
        <v>296</v>
      </c>
      <c r="B297" t="inlineStr">
        <is>
          <t>Train</t>
        </is>
      </c>
      <c r="C297" t="n">
        <v>7792</v>
      </c>
      <c r="D297" t="n">
        <v>5600</v>
      </c>
      <c r="E297" t="n">
        <v>41</v>
      </c>
      <c r="F297" t="n">
        <v>0</v>
      </c>
      <c r="G297" t="n">
        <v>2</v>
      </c>
      <c r="H297" t="n">
        <v>0</v>
      </c>
      <c r="I297" t="n">
        <v>65804</v>
      </c>
    </row>
    <row r="298">
      <c r="A298" t="n">
        <v>297</v>
      </c>
      <c r="B298" t="inlineStr">
        <is>
          <t>Validation</t>
        </is>
      </c>
      <c r="C298" t="n">
        <v>958</v>
      </c>
      <c r="D298" t="n">
        <v>8300</v>
      </c>
      <c r="E298" t="n">
        <v>42</v>
      </c>
      <c r="F298" t="n">
        <v>28916</v>
      </c>
      <c r="G298" t="n">
        <v>4</v>
      </c>
      <c r="H298" t="n">
        <v>17</v>
      </c>
      <c r="I298" t="n">
        <v>115937</v>
      </c>
    </row>
    <row r="299">
      <c r="A299" t="n">
        <v>298</v>
      </c>
      <c r="B299" t="inlineStr">
        <is>
          <t>Validation</t>
        </is>
      </c>
      <c r="C299" t="n">
        <v>1368</v>
      </c>
      <c r="D299" t="n">
        <v>6420</v>
      </c>
      <c r="E299" t="n">
        <v>25</v>
      </c>
      <c r="F299" t="n">
        <v>24234</v>
      </c>
      <c r="G299" t="n">
        <v>1</v>
      </c>
      <c r="H299" t="n">
        <v>9</v>
      </c>
      <c r="I299" t="n">
        <v>0</v>
      </c>
    </row>
    <row r="300">
      <c r="A300" t="n">
        <v>299</v>
      </c>
      <c r="B300" t="inlineStr">
        <is>
          <t>Validation</t>
        </is>
      </c>
      <c r="C300" t="n">
        <v>8190</v>
      </c>
      <c r="D300" t="n">
        <v>11570</v>
      </c>
      <c r="E300" t="n">
        <v>36</v>
      </c>
      <c r="F300" t="n">
        <v>64677</v>
      </c>
      <c r="G300" t="n">
        <v>5</v>
      </c>
      <c r="H300" t="n">
        <v>9</v>
      </c>
      <c r="I300" t="n">
        <v>0</v>
      </c>
    </row>
    <row r="301">
      <c r="A301" t="n">
        <v>300</v>
      </c>
      <c r="B301" t="inlineStr">
        <is>
          <t>Train</t>
        </is>
      </c>
      <c r="C301" t="n">
        <v>6494</v>
      </c>
      <c r="D301" t="n">
        <v>18130</v>
      </c>
      <c r="E301" t="n">
        <v>49</v>
      </c>
      <c r="F301" t="n">
        <v>117252</v>
      </c>
      <c r="G301" t="n">
        <v>0</v>
      </c>
      <c r="H301" t="n">
        <v>9</v>
      </c>
      <c r="I301" t="n">
        <v>0</v>
      </c>
    </row>
    <row r="302">
      <c r="A302" t="n">
        <v>301</v>
      </c>
      <c r="B302" t="inlineStr">
        <is>
          <t>Train</t>
        </is>
      </c>
      <c r="C302" t="n">
        <v>35585</v>
      </c>
      <c r="D302" t="n">
        <v>27520</v>
      </c>
      <c r="E302" t="n">
        <v>41</v>
      </c>
      <c r="F302" t="n">
        <v>105563</v>
      </c>
      <c r="G302" t="n">
        <v>0</v>
      </c>
      <c r="H302" t="n">
        <v>15</v>
      </c>
      <c r="I302" t="n">
        <v>306854</v>
      </c>
    </row>
    <row r="303">
      <c r="A303" t="n">
        <v>302</v>
      </c>
      <c r="B303" t="inlineStr">
        <is>
          <t>Train</t>
        </is>
      </c>
      <c r="C303" t="n">
        <v>6712</v>
      </c>
      <c r="D303" t="n">
        <v>13220</v>
      </c>
      <c r="E303" t="n">
        <v>54</v>
      </c>
      <c r="F303" t="n">
        <v>63212</v>
      </c>
      <c r="G303" t="n">
        <v>0</v>
      </c>
      <c r="H303" t="n">
        <v>13</v>
      </c>
      <c r="I303" t="n">
        <v>207429</v>
      </c>
    </row>
    <row r="304">
      <c r="A304" t="n">
        <v>303</v>
      </c>
      <c r="B304" t="inlineStr">
        <is>
          <t>Train</t>
        </is>
      </c>
      <c r="C304" t="n">
        <v>5290</v>
      </c>
      <c r="D304" t="n">
        <v>22260</v>
      </c>
      <c r="E304" t="n">
        <v>46</v>
      </c>
      <c r="F304" t="n">
        <v>62886</v>
      </c>
      <c r="G304" t="n">
        <v>6</v>
      </c>
      <c r="H304" t="n">
        <v>13</v>
      </c>
      <c r="I304" t="n">
        <v>202178</v>
      </c>
    </row>
    <row r="305">
      <c r="A305" t="n">
        <v>304</v>
      </c>
      <c r="B305" t="inlineStr">
        <is>
          <t>Train</t>
        </is>
      </c>
      <c r="C305" t="n">
        <v>3805</v>
      </c>
      <c r="D305" t="n">
        <v>14070</v>
      </c>
      <c r="E305" t="n">
        <v>43</v>
      </c>
      <c r="F305" t="n">
        <v>23921</v>
      </c>
      <c r="G305" t="n">
        <v>2</v>
      </c>
      <c r="H305" t="n">
        <v>8</v>
      </c>
      <c r="I305" t="n">
        <v>0</v>
      </c>
    </row>
    <row r="306">
      <c r="A306" t="n">
        <v>305</v>
      </c>
      <c r="B306" t="inlineStr">
        <is>
          <t>Train</t>
        </is>
      </c>
      <c r="C306" t="n">
        <v>10310</v>
      </c>
      <c r="D306" t="n">
        <v>13840</v>
      </c>
      <c r="E306" t="n">
        <v>36</v>
      </c>
      <c r="F306" t="n">
        <v>35990</v>
      </c>
      <c r="G306" t="n">
        <v>3</v>
      </c>
      <c r="H306" t="n">
        <v>10</v>
      </c>
      <c r="I306" t="n">
        <v>0</v>
      </c>
    </row>
    <row r="307">
      <c r="A307" t="n">
        <v>306</v>
      </c>
      <c r="B307" t="inlineStr">
        <is>
          <t>Train</t>
        </is>
      </c>
      <c r="C307" t="n">
        <v>8730</v>
      </c>
      <c r="D307" t="n">
        <v>19380</v>
      </c>
      <c r="E307" t="n">
        <v>50</v>
      </c>
      <c r="F307" t="n">
        <v>102191</v>
      </c>
      <c r="G307" t="n">
        <v>0</v>
      </c>
      <c r="H307" t="n">
        <v>12</v>
      </c>
      <c r="I307" t="n">
        <v>308402</v>
      </c>
    </row>
    <row r="308">
      <c r="A308" t="n">
        <v>307</v>
      </c>
      <c r="B308" t="inlineStr">
        <is>
          <t>Validation</t>
        </is>
      </c>
      <c r="C308" t="n">
        <v>1994</v>
      </c>
      <c r="D308" t="n">
        <v>20870</v>
      </c>
      <c r="E308" t="n">
        <v>35</v>
      </c>
      <c r="F308" t="n">
        <v>99325</v>
      </c>
      <c r="G308" t="n">
        <v>3</v>
      </c>
      <c r="H308" t="n">
        <v>10</v>
      </c>
      <c r="I308" t="n">
        <v>253542</v>
      </c>
    </row>
    <row r="309">
      <c r="A309" t="n">
        <v>308</v>
      </c>
      <c r="B309" t="inlineStr">
        <is>
          <t>Validation</t>
        </is>
      </c>
      <c r="C309" t="n">
        <v>12204</v>
      </c>
      <c r="D309" t="n">
        <v>19220</v>
      </c>
      <c r="E309" t="n">
        <v>37</v>
      </c>
      <c r="F309" t="n">
        <v>55341</v>
      </c>
      <c r="G309" t="n">
        <v>0</v>
      </c>
      <c r="H309" t="n">
        <v>11</v>
      </c>
      <c r="I309" t="n">
        <v>180901</v>
      </c>
    </row>
    <row r="310">
      <c r="A310" t="n">
        <v>309</v>
      </c>
      <c r="B310" t="inlineStr">
        <is>
          <t>Validation</t>
        </is>
      </c>
      <c r="C310" t="n">
        <v>5007</v>
      </c>
      <c r="D310" t="n">
        <v>14820</v>
      </c>
      <c r="E310" t="n">
        <v>30</v>
      </c>
      <c r="F310" t="n">
        <v>132463</v>
      </c>
      <c r="G310" t="n">
        <v>5</v>
      </c>
      <c r="H310" t="n">
        <v>11</v>
      </c>
      <c r="I310" t="n">
        <v>362176</v>
      </c>
    </row>
    <row r="311">
      <c r="A311" t="n">
        <v>310</v>
      </c>
      <c r="B311" t="inlineStr">
        <is>
          <t>Train</t>
        </is>
      </c>
      <c r="C311" t="n">
        <v>4784</v>
      </c>
      <c r="D311" t="n">
        <v>12290</v>
      </c>
      <c r="E311" t="n">
        <v>46</v>
      </c>
      <c r="F311" t="n">
        <v>107872</v>
      </c>
      <c r="G311" t="n">
        <v>3</v>
      </c>
      <c r="H311" t="n">
        <v>10</v>
      </c>
      <c r="I311" t="n">
        <v>324375</v>
      </c>
    </row>
    <row r="312">
      <c r="A312" t="n">
        <v>311</v>
      </c>
      <c r="B312" t="inlineStr">
        <is>
          <t>Train</t>
        </is>
      </c>
      <c r="C312" t="n">
        <v>30001</v>
      </c>
      <c r="D312" t="n">
        <v>12620</v>
      </c>
      <c r="E312" t="n">
        <v>40</v>
      </c>
      <c r="F312" t="n">
        <v>71237</v>
      </c>
      <c r="G312" t="n">
        <v>5</v>
      </c>
      <c r="H312" t="n">
        <v>12</v>
      </c>
      <c r="I312" t="n">
        <v>203433</v>
      </c>
    </row>
    <row r="313">
      <c r="A313" t="n">
        <v>312</v>
      </c>
      <c r="B313" t="inlineStr">
        <is>
          <t>Train</t>
        </is>
      </c>
      <c r="C313" t="n">
        <v>29447</v>
      </c>
      <c r="D313" t="n">
        <v>14980</v>
      </c>
      <c r="E313" t="n">
        <v>38</v>
      </c>
      <c r="F313" t="n">
        <v>71263</v>
      </c>
      <c r="G313" t="n">
        <v>0</v>
      </c>
      <c r="H313" t="n">
        <v>11</v>
      </c>
      <c r="I313" t="n">
        <v>193720</v>
      </c>
    </row>
    <row r="314">
      <c r="A314" t="n">
        <v>313</v>
      </c>
      <c r="B314" t="inlineStr">
        <is>
          <t>Train</t>
        </is>
      </c>
      <c r="C314" t="n">
        <v>5818</v>
      </c>
      <c r="D314" t="n">
        <v>24440</v>
      </c>
      <c r="E314" t="n">
        <v>37</v>
      </c>
      <c r="F314" t="n">
        <v>107765</v>
      </c>
      <c r="G314" t="n">
        <v>1</v>
      </c>
      <c r="H314" t="n">
        <v>10</v>
      </c>
      <c r="I314" t="n">
        <v>309216</v>
      </c>
    </row>
    <row r="315">
      <c r="A315" t="n">
        <v>314</v>
      </c>
      <c r="B315" t="inlineStr">
        <is>
          <t>Train</t>
        </is>
      </c>
      <c r="C315" t="n">
        <v>3753</v>
      </c>
      <c r="D315" t="n">
        <v>22520</v>
      </c>
      <c r="E315" t="n">
        <v>36</v>
      </c>
      <c r="F315" t="n">
        <v>75587</v>
      </c>
      <c r="G315" t="n">
        <v>2</v>
      </c>
      <c r="H315" t="n">
        <v>4</v>
      </c>
      <c r="I315" t="n">
        <v>0</v>
      </c>
    </row>
    <row r="316">
      <c r="A316" t="n">
        <v>315</v>
      </c>
      <c r="B316" t="inlineStr">
        <is>
          <t>Train</t>
        </is>
      </c>
      <c r="C316" t="n">
        <v>9237</v>
      </c>
      <c r="D316" t="n">
        <v>12470</v>
      </c>
      <c r="E316" t="n">
        <v>31</v>
      </c>
      <c r="F316" t="n">
        <v>14064</v>
      </c>
      <c r="G316" t="n">
        <v>2</v>
      </c>
      <c r="H316" t="n">
        <v>12</v>
      </c>
      <c r="I316" t="n">
        <v>0</v>
      </c>
    </row>
    <row r="317">
      <c r="A317" t="n">
        <v>316</v>
      </c>
      <c r="B317" t="inlineStr">
        <is>
          <t>Train</t>
        </is>
      </c>
      <c r="C317" t="n">
        <v>15849</v>
      </c>
      <c r="D317" t="n">
        <v>13890</v>
      </c>
      <c r="E317" t="n">
        <v>40</v>
      </c>
      <c r="F317" t="n">
        <v>37958</v>
      </c>
      <c r="G317" t="n">
        <v>0</v>
      </c>
      <c r="H317" t="n">
        <v>13</v>
      </c>
      <c r="I317" t="n">
        <v>0</v>
      </c>
    </row>
    <row r="318">
      <c r="A318" t="n">
        <v>317</v>
      </c>
      <c r="B318" t="inlineStr">
        <is>
          <t>Validation</t>
        </is>
      </c>
      <c r="C318" t="n">
        <v>5519</v>
      </c>
      <c r="D318" t="n">
        <v>14740</v>
      </c>
      <c r="E318" t="n">
        <v>51</v>
      </c>
      <c r="F318" t="n">
        <v>121900</v>
      </c>
      <c r="G318" t="n">
        <v>4</v>
      </c>
      <c r="H318" t="n">
        <v>14</v>
      </c>
      <c r="I318" t="n">
        <v>392573</v>
      </c>
    </row>
    <row r="319">
      <c r="A319" t="n">
        <v>318</v>
      </c>
      <c r="B319" t="inlineStr">
        <is>
          <t>Validation</t>
        </is>
      </c>
      <c r="C319" t="n">
        <v>5172</v>
      </c>
      <c r="D319" t="n">
        <v>33700</v>
      </c>
      <c r="E319" t="n">
        <v>54</v>
      </c>
      <c r="F319" t="n">
        <v>94995</v>
      </c>
      <c r="G319" t="n">
        <v>6</v>
      </c>
      <c r="H319" t="n">
        <v>9</v>
      </c>
      <c r="I319" t="n">
        <v>301004</v>
      </c>
    </row>
    <row r="320">
      <c r="A320" t="n">
        <v>319</v>
      </c>
      <c r="B320" t="inlineStr">
        <is>
          <t>Validation</t>
        </is>
      </c>
      <c r="C320" t="n">
        <v>41669</v>
      </c>
      <c r="D320" t="n">
        <v>5600</v>
      </c>
      <c r="E320" t="n">
        <v>41</v>
      </c>
      <c r="F320" t="n">
        <v>18939</v>
      </c>
      <c r="G320" t="n">
        <v>1</v>
      </c>
      <c r="H320" t="n">
        <v>9</v>
      </c>
      <c r="I320" t="n">
        <v>0</v>
      </c>
    </row>
    <row r="321">
      <c r="A321" t="n">
        <v>320</v>
      </c>
      <c r="B321" t="inlineStr">
        <is>
          <t>Train</t>
        </is>
      </c>
      <c r="C321" t="n">
        <v>1842</v>
      </c>
      <c r="D321" t="n">
        <v>10120</v>
      </c>
      <c r="E321" t="n">
        <v>38</v>
      </c>
      <c r="F321" t="n">
        <v>48207</v>
      </c>
      <c r="G321" t="n">
        <v>4</v>
      </c>
      <c r="H321" t="n">
        <v>11</v>
      </c>
      <c r="I321" t="n">
        <v>179539</v>
      </c>
    </row>
    <row r="322">
      <c r="A322" t="n">
        <v>321</v>
      </c>
      <c r="B322" t="inlineStr">
        <is>
          <t>Train</t>
        </is>
      </c>
      <c r="C322" t="n">
        <v>3928</v>
      </c>
      <c r="D322" t="n">
        <v>10120</v>
      </c>
      <c r="E322" t="n">
        <v>32</v>
      </c>
      <c r="F322" t="n">
        <v>0</v>
      </c>
      <c r="G322" t="n">
        <v>1</v>
      </c>
      <c r="H322" t="n">
        <v>0</v>
      </c>
      <c r="I322" t="n">
        <v>0</v>
      </c>
    </row>
    <row r="323">
      <c r="A323" t="n">
        <v>322</v>
      </c>
      <c r="B323" t="inlineStr">
        <is>
          <t>Train</t>
        </is>
      </c>
      <c r="C323" t="n">
        <v>4148</v>
      </c>
      <c r="D323" t="n">
        <v>7880</v>
      </c>
      <c r="E323" t="n">
        <v>45</v>
      </c>
      <c r="F323" t="n">
        <v>96708</v>
      </c>
      <c r="G323" t="n">
        <v>7</v>
      </c>
      <c r="H323" t="n">
        <v>10</v>
      </c>
      <c r="I323" t="n">
        <v>272829</v>
      </c>
    </row>
    <row r="324">
      <c r="A324" t="n">
        <v>323</v>
      </c>
      <c r="B324" t="inlineStr">
        <is>
          <t>Train</t>
        </is>
      </c>
      <c r="C324" t="n">
        <v>3722</v>
      </c>
      <c r="D324" t="n">
        <v>29930</v>
      </c>
      <c r="E324" t="n">
        <v>46</v>
      </c>
      <c r="F324" t="n">
        <v>134752</v>
      </c>
      <c r="G324" t="n">
        <v>1</v>
      </c>
      <c r="H324" t="n">
        <v>10</v>
      </c>
      <c r="I324" t="n">
        <v>0</v>
      </c>
    </row>
    <row r="325">
      <c r="A325" t="n">
        <v>324</v>
      </c>
      <c r="B325" t="inlineStr">
        <is>
          <t>Train</t>
        </is>
      </c>
      <c r="C325" t="n">
        <v>6826</v>
      </c>
      <c r="D325" t="n">
        <v>15500</v>
      </c>
      <c r="E325" t="n">
        <v>36</v>
      </c>
      <c r="F325" t="n">
        <v>7585</v>
      </c>
      <c r="G325" t="n">
        <v>7</v>
      </c>
      <c r="H325" t="n">
        <v>15</v>
      </c>
      <c r="I325" t="n">
        <v>75925</v>
      </c>
    </row>
    <row r="326">
      <c r="A326" t="n">
        <v>325</v>
      </c>
      <c r="B326" t="inlineStr">
        <is>
          <t>Train</t>
        </is>
      </c>
      <c r="C326" t="n">
        <v>7888</v>
      </c>
      <c r="D326" t="n">
        <v>20160</v>
      </c>
      <c r="E326" t="n">
        <v>52</v>
      </c>
      <c r="F326" t="n">
        <v>92182</v>
      </c>
      <c r="G326" t="n">
        <v>0</v>
      </c>
      <c r="H326" t="n">
        <v>13</v>
      </c>
      <c r="I326" t="n">
        <v>286479</v>
      </c>
    </row>
    <row r="327">
      <c r="A327" t="n">
        <v>326</v>
      </c>
      <c r="B327" t="inlineStr">
        <is>
          <t>Train</t>
        </is>
      </c>
      <c r="C327" t="n">
        <v>5858</v>
      </c>
      <c r="D327" t="n">
        <v>9420</v>
      </c>
      <c r="E327" t="n">
        <v>42</v>
      </c>
      <c r="F327" t="n">
        <v>57379</v>
      </c>
      <c r="G327" t="n">
        <v>2</v>
      </c>
      <c r="H327" t="n">
        <v>8</v>
      </c>
      <c r="I327" t="n">
        <v>0</v>
      </c>
    </row>
    <row r="328">
      <c r="A328" t="n">
        <v>327</v>
      </c>
      <c r="B328" t="inlineStr">
        <is>
          <t>Validation</t>
        </is>
      </c>
      <c r="C328" t="n">
        <v>3790</v>
      </c>
      <c r="D328" t="n">
        <v>22150</v>
      </c>
      <c r="E328" t="n">
        <v>42</v>
      </c>
      <c r="F328" t="n">
        <v>42891</v>
      </c>
      <c r="G328" t="n">
        <v>0</v>
      </c>
      <c r="H328" t="n">
        <v>13</v>
      </c>
      <c r="I328" t="n">
        <v>197173</v>
      </c>
    </row>
    <row r="329">
      <c r="A329" t="n">
        <v>328</v>
      </c>
      <c r="B329" t="inlineStr">
        <is>
          <t>Validation</t>
        </is>
      </c>
      <c r="C329" t="n">
        <v>7081</v>
      </c>
      <c r="D329" t="n">
        <v>17370</v>
      </c>
      <c r="E329" t="n">
        <v>26</v>
      </c>
      <c r="F329" t="n">
        <v>28726</v>
      </c>
      <c r="G329" t="n">
        <v>0</v>
      </c>
      <c r="H329" t="n">
        <v>11</v>
      </c>
      <c r="I329" t="n">
        <v>119210</v>
      </c>
    </row>
    <row r="330">
      <c r="A330" t="n">
        <v>329</v>
      </c>
      <c r="B330" t="inlineStr">
        <is>
          <t>Validation</t>
        </is>
      </c>
      <c r="C330" t="n">
        <v>8043</v>
      </c>
      <c r="D330" t="n">
        <v>7330</v>
      </c>
      <c r="E330" t="n">
        <v>39</v>
      </c>
      <c r="F330" t="n">
        <v>107949</v>
      </c>
      <c r="G330" t="n">
        <v>6</v>
      </c>
      <c r="H330" t="n">
        <v>11</v>
      </c>
      <c r="I330" t="n">
        <v>273486</v>
      </c>
    </row>
    <row r="331">
      <c r="A331" t="n">
        <v>330</v>
      </c>
      <c r="B331" t="inlineStr">
        <is>
          <t>Train</t>
        </is>
      </c>
      <c r="C331" t="n">
        <v>2772</v>
      </c>
      <c r="D331" t="n">
        <v>7930</v>
      </c>
      <c r="E331" t="n">
        <v>44</v>
      </c>
      <c r="F331" t="n">
        <v>84736</v>
      </c>
      <c r="G331" t="n">
        <v>3</v>
      </c>
      <c r="H331" t="n">
        <v>6</v>
      </c>
      <c r="I331" t="n">
        <v>222348</v>
      </c>
    </row>
    <row r="332">
      <c r="A332" t="n">
        <v>331</v>
      </c>
      <c r="B332" t="inlineStr">
        <is>
          <t>Train</t>
        </is>
      </c>
      <c r="C332" t="n">
        <v>30094</v>
      </c>
      <c r="D332" t="n">
        <v>13450</v>
      </c>
      <c r="E332" t="n">
        <v>56</v>
      </c>
      <c r="F332" t="n">
        <v>63535</v>
      </c>
      <c r="G332" t="n">
        <v>1</v>
      </c>
      <c r="H332" t="n">
        <v>14</v>
      </c>
      <c r="I332" t="n">
        <v>0</v>
      </c>
    </row>
    <row r="333">
      <c r="A333" t="n">
        <v>332</v>
      </c>
      <c r="B333" t="inlineStr">
        <is>
          <t>Train</t>
        </is>
      </c>
      <c r="C333" t="n">
        <v>21205</v>
      </c>
      <c r="D333" t="n">
        <v>10400</v>
      </c>
      <c r="E333" t="n">
        <v>40</v>
      </c>
      <c r="F333" t="n">
        <v>4404</v>
      </c>
      <c r="G333" t="n">
        <v>1</v>
      </c>
      <c r="H333" t="n">
        <v>11</v>
      </c>
      <c r="I333" t="n">
        <v>0</v>
      </c>
    </row>
    <row r="334">
      <c r="A334" t="n">
        <v>333</v>
      </c>
      <c r="B334" t="inlineStr">
        <is>
          <t>Train</t>
        </is>
      </c>
      <c r="C334" t="n">
        <v>28274</v>
      </c>
      <c r="D334" t="n">
        <v>8550</v>
      </c>
      <c r="E334" t="n">
        <v>49</v>
      </c>
      <c r="F334" t="n">
        <v>66196</v>
      </c>
      <c r="G334" t="n">
        <v>0</v>
      </c>
      <c r="H334" t="n">
        <v>13</v>
      </c>
      <c r="I334" t="n">
        <v>229425</v>
      </c>
    </row>
    <row r="335">
      <c r="A335" t="n">
        <v>334</v>
      </c>
      <c r="B335" t="inlineStr">
        <is>
          <t>Train</t>
        </is>
      </c>
      <c r="C335" t="n">
        <v>8657</v>
      </c>
      <c r="D335" t="n">
        <v>21030</v>
      </c>
      <c r="E335" t="n">
        <v>47</v>
      </c>
      <c r="F335" t="n">
        <v>77501</v>
      </c>
      <c r="G335" t="n">
        <v>2</v>
      </c>
      <c r="H335" t="n">
        <v>11</v>
      </c>
      <c r="I335" t="n">
        <v>223491</v>
      </c>
    </row>
    <row r="336">
      <c r="A336" t="n">
        <v>335</v>
      </c>
      <c r="B336" t="inlineStr">
        <is>
          <t>Train</t>
        </is>
      </c>
      <c r="C336" t="n">
        <v>2080</v>
      </c>
      <c r="D336" t="n">
        <v>27040</v>
      </c>
      <c r="E336" t="n">
        <v>70</v>
      </c>
      <c r="F336" t="n">
        <v>12280</v>
      </c>
      <c r="G336" t="n">
        <v>3</v>
      </c>
      <c r="H336" t="n">
        <v>14</v>
      </c>
      <c r="I336" t="n">
        <v>0</v>
      </c>
    </row>
    <row r="337">
      <c r="A337" t="n">
        <v>336</v>
      </c>
      <c r="B337" t="inlineStr">
        <is>
          <t>Train</t>
        </is>
      </c>
      <c r="C337" t="n">
        <v>45337</v>
      </c>
      <c r="D337" t="n">
        <v>13050</v>
      </c>
      <c r="E337" t="n">
        <v>44</v>
      </c>
      <c r="F337" t="n">
        <v>35794</v>
      </c>
      <c r="G337" t="n">
        <v>3</v>
      </c>
      <c r="H337" t="n">
        <v>16</v>
      </c>
      <c r="I337" t="n">
        <v>87721</v>
      </c>
    </row>
    <row r="338">
      <c r="A338" t="n">
        <v>337</v>
      </c>
      <c r="B338" t="inlineStr">
        <is>
          <t>Validation</t>
        </is>
      </c>
      <c r="C338" t="n">
        <v>8752</v>
      </c>
      <c r="D338" t="n">
        <v>7820</v>
      </c>
      <c r="E338" t="n">
        <v>47</v>
      </c>
      <c r="F338" t="n">
        <v>63239</v>
      </c>
      <c r="G338" t="n">
        <v>0</v>
      </c>
      <c r="H338" t="n">
        <v>11</v>
      </c>
      <c r="I338" t="n">
        <v>227786</v>
      </c>
    </row>
    <row r="339">
      <c r="A339" t="n">
        <v>338</v>
      </c>
      <c r="B339" t="inlineStr">
        <is>
          <t>Validation</t>
        </is>
      </c>
      <c r="C339" t="n">
        <v>5477</v>
      </c>
      <c r="D339" t="n">
        <v>21950</v>
      </c>
      <c r="E339" t="n">
        <v>39</v>
      </c>
      <c r="F339" t="n">
        <v>26840</v>
      </c>
      <c r="G339" t="n">
        <v>4</v>
      </c>
      <c r="H339" t="n">
        <v>13</v>
      </c>
      <c r="I339" t="n">
        <v>143884</v>
      </c>
    </row>
    <row r="340">
      <c r="A340" t="n">
        <v>339</v>
      </c>
      <c r="B340" t="inlineStr">
        <is>
          <t>Validation</t>
        </is>
      </c>
      <c r="C340" t="n">
        <v>9136</v>
      </c>
      <c r="D340" t="n">
        <v>6200</v>
      </c>
      <c r="E340" t="n">
        <v>47</v>
      </c>
      <c r="F340" t="n">
        <v>68602</v>
      </c>
      <c r="G340" t="n">
        <v>2</v>
      </c>
      <c r="H340" t="n">
        <v>5</v>
      </c>
      <c r="I340" t="n">
        <v>0</v>
      </c>
    </row>
    <row r="341">
      <c r="A341" t="n">
        <v>340</v>
      </c>
      <c r="B341" t="inlineStr">
        <is>
          <t>Train</t>
        </is>
      </c>
      <c r="C341" t="n">
        <v>3165</v>
      </c>
      <c r="D341" t="n">
        <v>1500</v>
      </c>
      <c r="E341" t="n">
        <v>29</v>
      </c>
      <c r="F341" t="n">
        <v>62116</v>
      </c>
      <c r="G341" t="n">
        <v>1</v>
      </c>
      <c r="H341" t="n">
        <v>8</v>
      </c>
      <c r="I341" t="n">
        <v>0</v>
      </c>
    </row>
    <row r="342">
      <c r="A342" t="n">
        <v>341</v>
      </c>
      <c r="B342" t="inlineStr">
        <is>
          <t>Train</t>
        </is>
      </c>
      <c r="C342" t="n">
        <v>3787</v>
      </c>
      <c r="D342" t="n">
        <v>9760</v>
      </c>
      <c r="E342" t="n">
        <v>38</v>
      </c>
      <c r="F342" t="n">
        <v>44575</v>
      </c>
      <c r="G342" t="n">
        <v>4</v>
      </c>
      <c r="H342" t="n">
        <v>8</v>
      </c>
      <c r="I342" t="n">
        <v>164145</v>
      </c>
    </row>
    <row r="343">
      <c r="A343" t="n">
        <v>342</v>
      </c>
      <c r="B343" t="inlineStr">
        <is>
          <t>Train</t>
        </is>
      </c>
      <c r="C343" t="n">
        <v>3825</v>
      </c>
      <c r="D343" t="n">
        <v>6610</v>
      </c>
      <c r="E343" t="n">
        <v>41</v>
      </c>
      <c r="F343" t="n">
        <v>0</v>
      </c>
      <c r="G343" t="n">
        <v>1</v>
      </c>
      <c r="H343" t="n">
        <v>0</v>
      </c>
      <c r="I343" t="n">
        <v>0</v>
      </c>
    </row>
    <row r="344">
      <c r="A344" t="n">
        <v>343</v>
      </c>
      <c r="B344" t="inlineStr">
        <is>
          <t>Train</t>
        </is>
      </c>
      <c r="C344" t="n">
        <v>1775</v>
      </c>
      <c r="D344" t="n">
        <v>5700</v>
      </c>
      <c r="E344" t="n">
        <v>42</v>
      </c>
      <c r="F344" t="n">
        <v>49120</v>
      </c>
      <c r="G344" t="n">
        <v>2</v>
      </c>
      <c r="H344" t="n">
        <v>13</v>
      </c>
      <c r="I344" t="n">
        <v>197752</v>
      </c>
    </row>
    <row r="345">
      <c r="A345" t="n">
        <v>344</v>
      </c>
      <c r="B345" t="inlineStr">
        <is>
          <t>Train</t>
        </is>
      </c>
      <c r="C345" t="n">
        <v>5184</v>
      </c>
      <c r="D345" t="n">
        <v>19200</v>
      </c>
      <c r="E345" t="n">
        <v>47</v>
      </c>
      <c r="F345" t="n">
        <v>92214</v>
      </c>
      <c r="G345" t="n">
        <v>4</v>
      </c>
      <c r="H345" t="n">
        <v>11</v>
      </c>
      <c r="I345" t="n">
        <v>266417</v>
      </c>
    </row>
    <row r="346">
      <c r="A346" t="n">
        <v>345</v>
      </c>
      <c r="B346" t="inlineStr">
        <is>
          <t>Train</t>
        </is>
      </c>
      <c r="C346" t="n">
        <v>3751</v>
      </c>
      <c r="D346" t="n">
        <v>20750</v>
      </c>
      <c r="E346" t="n">
        <v>48</v>
      </c>
      <c r="F346" t="n">
        <v>144515</v>
      </c>
      <c r="G346" t="n">
        <v>0</v>
      </c>
      <c r="H346" t="n">
        <v>13</v>
      </c>
      <c r="I346" t="n">
        <v>378420</v>
      </c>
    </row>
    <row r="347">
      <c r="A347" t="n">
        <v>346</v>
      </c>
      <c r="B347" t="inlineStr">
        <is>
          <t>Train</t>
        </is>
      </c>
      <c r="C347" t="n">
        <v>9063</v>
      </c>
      <c r="D347" t="n">
        <v>14500</v>
      </c>
      <c r="E347" t="n">
        <v>45</v>
      </c>
      <c r="F347" t="n">
        <v>0</v>
      </c>
      <c r="G347" t="n">
        <v>6</v>
      </c>
      <c r="H347" t="n">
        <v>0</v>
      </c>
      <c r="I347" t="n">
        <v>0</v>
      </c>
    </row>
    <row r="348">
      <c r="A348" t="n">
        <v>347</v>
      </c>
      <c r="B348" t="inlineStr">
        <is>
          <t>Validation</t>
        </is>
      </c>
      <c r="C348" t="n">
        <v>38815</v>
      </c>
      <c r="D348" t="n">
        <v>12850</v>
      </c>
      <c r="E348" t="n">
        <v>41</v>
      </c>
      <c r="F348" t="n">
        <v>97679</v>
      </c>
      <c r="G348" t="n">
        <v>6</v>
      </c>
      <c r="H348" t="n">
        <v>15</v>
      </c>
      <c r="I348" t="n">
        <v>273142</v>
      </c>
    </row>
    <row r="349">
      <c r="A349" t="n">
        <v>348</v>
      </c>
      <c r="B349" t="inlineStr">
        <is>
          <t>Validation</t>
        </is>
      </c>
      <c r="C349" t="n">
        <v>6657</v>
      </c>
      <c r="D349" t="n">
        <v>6500</v>
      </c>
      <c r="E349" t="n">
        <v>50</v>
      </c>
      <c r="F349" t="n">
        <v>104831</v>
      </c>
      <c r="G349" t="n">
        <v>3</v>
      </c>
      <c r="H349" t="n">
        <v>11</v>
      </c>
      <c r="I349" t="n">
        <v>0</v>
      </c>
    </row>
    <row r="350">
      <c r="A350" t="n">
        <v>349</v>
      </c>
      <c r="B350" t="inlineStr">
        <is>
          <t>Validation</t>
        </is>
      </c>
      <c r="C350" t="n">
        <v>1015</v>
      </c>
      <c r="D350" t="n">
        <v>1500</v>
      </c>
      <c r="E350" t="n">
        <v>42</v>
      </c>
      <c r="F350" t="n">
        <v>109098</v>
      </c>
      <c r="G350" t="n">
        <v>0</v>
      </c>
      <c r="H350" t="n">
        <v>12</v>
      </c>
      <c r="I350" t="n">
        <v>268393</v>
      </c>
    </row>
    <row r="351">
      <c r="A351" t="n">
        <v>350</v>
      </c>
      <c r="B351" t="inlineStr">
        <is>
          <t>Train</t>
        </is>
      </c>
      <c r="C351" t="n">
        <v>6936</v>
      </c>
      <c r="D351" t="n">
        <v>28610</v>
      </c>
      <c r="E351" t="n">
        <v>48</v>
      </c>
      <c r="F351" t="n">
        <v>105299</v>
      </c>
      <c r="G351" t="n">
        <v>2</v>
      </c>
      <c r="H351" t="n">
        <v>11</v>
      </c>
      <c r="I351" t="n">
        <v>276038</v>
      </c>
    </row>
    <row r="352">
      <c r="A352" t="n">
        <v>351</v>
      </c>
      <c r="B352" t="inlineStr">
        <is>
          <t>Train</t>
        </is>
      </c>
      <c r="C352" t="n">
        <v>3231</v>
      </c>
      <c r="D352" t="n">
        <v>3600</v>
      </c>
      <c r="E352" t="n">
        <v>21</v>
      </c>
      <c r="F352" t="n">
        <v>0</v>
      </c>
      <c r="G352" t="n">
        <v>7</v>
      </c>
      <c r="H352" t="n">
        <v>0</v>
      </c>
      <c r="I352" t="n">
        <v>51893</v>
      </c>
    </row>
    <row r="353">
      <c r="A353" t="n">
        <v>352</v>
      </c>
      <c r="B353" t="inlineStr">
        <is>
          <t>Train</t>
        </is>
      </c>
      <c r="C353" t="n">
        <v>7665</v>
      </c>
      <c r="D353" t="n">
        <v>17520</v>
      </c>
      <c r="E353" t="n">
        <v>49</v>
      </c>
      <c r="F353" t="n">
        <v>0</v>
      </c>
      <c r="G353" t="n">
        <v>2</v>
      </c>
      <c r="H353" t="n">
        <v>0</v>
      </c>
      <c r="I353" t="n">
        <v>0</v>
      </c>
    </row>
    <row r="354">
      <c r="A354" t="n">
        <v>353</v>
      </c>
      <c r="B354" t="inlineStr">
        <is>
          <t>Train</t>
        </is>
      </c>
      <c r="C354" t="n">
        <v>4082</v>
      </c>
      <c r="D354" t="n">
        <v>21520</v>
      </c>
      <c r="E354" t="n">
        <v>41</v>
      </c>
      <c r="F354" t="n">
        <v>175783</v>
      </c>
      <c r="G354" t="n">
        <v>4</v>
      </c>
      <c r="H354" t="n">
        <v>8</v>
      </c>
      <c r="I354" t="n">
        <v>0</v>
      </c>
    </row>
    <row r="355">
      <c r="A355" t="n">
        <v>354</v>
      </c>
      <c r="B355" t="inlineStr">
        <is>
          <t>Train</t>
        </is>
      </c>
      <c r="C355" t="n">
        <v>3134</v>
      </c>
      <c r="D355" t="n">
        <v>12260</v>
      </c>
      <c r="E355" t="n">
        <v>41</v>
      </c>
      <c r="F355" t="n">
        <v>37523</v>
      </c>
      <c r="G355" t="n">
        <v>3</v>
      </c>
      <c r="H355" t="n">
        <v>9</v>
      </c>
      <c r="I355" t="n">
        <v>166138</v>
      </c>
    </row>
    <row r="356">
      <c r="A356" t="n">
        <v>355</v>
      </c>
      <c r="B356" t="inlineStr">
        <is>
          <t>Train</t>
        </is>
      </c>
      <c r="C356" t="n">
        <v>34941</v>
      </c>
      <c r="D356" t="n">
        <v>16390</v>
      </c>
      <c r="E356" t="n">
        <v>37</v>
      </c>
      <c r="F356" t="n">
        <v>73897</v>
      </c>
      <c r="G356" t="n">
        <v>0</v>
      </c>
      <c r="H356" t="n">
        <v>8</v>
      </c>
      <c r="I356" t="n">
        <v>244387</v>
      </c>
    </row>
    <row r="357">
      <c r="A357" t="n">
        <v>356</v>
      </c>
      <c r="B357" t="inlineStr">
        <is>
          <t>Train</t>
        </is>
      </c>
      <c r="C357" t="n">
        <v>34507</v>
      </c>
      <c r="D357" t="n">
        <v>29170</v>
      </c>
      <c r="E357" t="n">
        <v>55</v>
      </c>
      <c r="F357" t="n">
        <v>133966</v>
      </c>
      <c r="G357" t="n">
        <v>0</v>
      </c>
      <c r="H357" t="n">
        <v>12</v>
      </c>
      <c r="I357" t="n">
        <v>342198</v>
      </c>
    </row>
    <row r="358">
      <c r="A358" t="n">
        <v>357</v>
      </c>
      <c r="B358" t="inlineStr">
        <is>
          <t>Validation</t>
        </is>
      </c>
      <c r="C358" t="n">
        <v>754</v>
      </c>
      <c r="D358" t="n">
        <v>4500</v>
      </c>
      <c r="E358" t="n">
        <v>30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358</v>
      </c>
      <c r="B359" t="inlineStr">
        <is>
          <t>Validation</t>
        </is>
      </c>
      <c r="C359" t="n">
        <v>46625</v>
      </c>
      <c r="D359" t="n">
        <v>18050</v>
      </c>
      <c r="E359" t="n">
        <v>50</v>
      </c>
      <c r="F359" t="n">
        <v>36605</v>
      </c>
      <c r="G359" t="n">
        <v>4</v>
      </c>
      <c r="H359" t="n">
        <v>13</v>
      </c>
      <c r="I359" t="n">
        <v>184411</v>
      </c>
    </row>
    <row r="360">
      <c r="A360" t="n">
        <v>359</v>
      </c>
      <c r="B360" t="inlineStr">
        <is>
          <t>Validation</t>
        </is>
      </c>
      <c r="C360" t="n">
        <v>35165</v>
      </c>
      <c r="D360" t="n">
        <v>11330</v>
      </c>
      <c r="E360" t="n">
        <v>27</v>
      </c>
      <c r="F360" t="n">
        <v>0</v>
      </c>
      <c r="G360" t="n">
        <v>7</v>
      </c>
      <c r="H360" t="n">
        <v>0</v>
      </c>
      <c r="I360" t="n">
        <v>0</v>
      </c>
    </row>
    <row r="361">
      <c r="A361" t="n">
        <v>360</v>
      </c>
      <c r="B361" t="inlineStr">
        <is>
          <t>Train</t>
        </is>
      </c>
      <c r="C361" t="n">
        <v>2602</v>
      </c>
      <c r="D361" t="n">
        <v>36420</v>
      </c>
      <c r="E361" t="n">
        <v>36</v>
      </c>
      <c r="F361" t="n">
        <v>121391</v>
      </c>
      <c r="G361" t="n">
        <v>3</v>
      </c>
      <c r="H361" t="n">
        <v>11</v>
      </c>
      <c r="I361" t="n">
        <v>310275</v>
      </c>
    </row>
    <row r="362">
      <c r="A362" t="n">
        <v>361</v>
      </c>
      <c r="B362" t="inlineStr">
        <is>
          <t>Train</t>
        </is>
      </c>
      <c r="C362" t="n">
        <v>23432</v>
      </c>
      <c r="D362" t="n">
        <v>7900</v>
      </c>
      <c r="E362" t="n">
        <v>64</v>
      </c>
      <c r="F362" t="n">
        <v>0</v>
      </c>
      <c r="G362" t="n">
        <v>9</v>
      </c>
      <c r="H362" t="n">
        <v>0</v>
      </c>
      <c r="I362" t="n">
        <v>0</v>
      </c>
    </row>
    <row r="363">
      <c r="A363" t="n">
        <v>362</v>
      </c>
      <c r="B363" t="inlineStr">
        <is>
          <t>Train</t>
        </is>
      </c>
      <c r="C363" t="n">
        <v>4477</v>
      </c>
      <c r="D363" t="n">
        <v>5000</v>
      </c>
      <c r="E363" t="n">
        <v>35</v>
      </c>
      <c r="F363" t="n">
        <v>0</v>
      </c>
      <c r="G363" t="n">
        <v>0</v>
      </c>
      <c r="H363" t="n">
        <v>0</v>
      </c>
      <c r="I363" t="n">
        <v>59496</v>
      </c>
    </row>
    <row r="364">
      <c r="A364" t="n">
        <v>363</v>
      </c>
      <c r="B364" t="inlineStr">
        <is>
          <t>Train</t>
        </is>
      </c>
      <c r="C364" t="n">
        <v>6739</v>
      </c>
      <c r="D364" t="n">
        <v>17200</v>
      </c>
      <c r="E364" t="n">
        <v>57</v>
      </c>
      <c r="F364" t="n">
        <v>99985</v>
      </c>
      <c r="G364" t="n">
        <v>5</v>
      </c>
      <c r="H364" t="n">
        <v>13</v>
      </c>
      <c r="I364" t="n">
        <v>298356</v>
      </c>
    </row>
    <row r="365">
      <c r="A365" t="n">
        <v>364</v>
      </c>
      <c r="B365" t="inlineStr">
        <is>
          <t>Train</t>
        </is>
      </c>
      <c r="C365" t="n">
        <v>52445</v>
      </c>
      <c r="D365" t="n">
        <v>6720</v>
      </c>
      <c r="E365" t="n">
        <v>29</v>
      </c>
      <c r="F365" t="n">
        <v>0</v>
      </c>
      <c r="G365" t="n">
        <v>5</v>
      </c>
      <c r="H365" t="n">
        <v>0</v>
      </c>
      <c r="I365" t="n">
        <v>0</v>
      </c>
    </row>
    <row r="366">
      <c r="A366" t="n">
        <v>365</v>
      </c>
      <c r="B366" t="inlineStr">
        <is>
          <t>Train</t>
        </is>
      </c>
      <c r="C366" t="n">
        <v>1263</v>
      </c>
      <c r="D366" t="n">
        <v>8850</v>
      </c>
      <c r="E366" t="n">
        <v>49</v>
      </c>
      <c r="F366" t="n">
        <v>24513</v>
      </c>
      <c r="G366" t="n">
        <v>1</v>
      </c>
      <c r="H366" t="n">
        <v>12</v>
      </c>
      <c r="I366" t="n">
        <v>148422</v>
      </c>
    </row>
    <row r="367">
      <c r="A367" t="n">
        <v>366</v>
      </c>
      <c r="B367" t="inlineStr">
        <is>
          <t>Train</t>
        </is>
      </c>
      <c r="C367" t="n">
        <v>10612</v>
      </c>
      <c r="D367" t="n">
        <v>23630</v>
      </c>
      <c r="E367" t="n">
        <v>56</v>
      </c>
      <c r="F367" t="n">
        <v>0</v>
      </c>
      <c r="G367" t="n">
        <v>2</v>
      </c>
      <c r="H367" t="n">
        <v>0</v>
      </c>
      <c r="I367" t="n">
        <v>0</v>
      </c>
    </row>
    <row r="368">
      <c r="A368" t="n">
        <v>367</v>
      </c>
      <c r="B368" t="inlineStr">
        <is>
          <t>Validation</t>
        </is>
      </c>
      <c r="C368" t="n">
        <v>8091</v>
      </c>
      <c r="D368" t="n">
        <v>7730</v>
      </c>
      <c r="E368" t="n">
        <v>39</v>
      </c>
      <c r="F368" t="n">
        <v>92000</v>
      </c>
      <c r="G368" t="n">
        <v>4</v>
      </c>
      <c r="H368" t="n">
        <v>13</v>
      </c>
      <c r="I368" t="n">
        <v>301965</v>
      </c>
    </row>
    <row r="369">
      <c r="A369" t="n">
        <v>368</v>
      </c>
      <c r="B369" t="inlineStr">
        <is>
          <t>Validation</t>
        </is>
      </c>
      <c r="C369" t="n">
        <v>42820</v>
      </c>
      <c r="D369" t="n">
        <v>14590</v>
      </c>
      <c r="E369" t="n">
        <v>42</v>
      </c>
      <c r="F369" t="n">
        <v>130882</v>
      </c>
      <c r="G369" t="n">
        <v>7</v>
      </c>
      <c r="H369" t="n">
        <v>7</v>
      </c>
      <c r="I369" t="n">
        <v>348968</v>
      </c>
    </row>
    <row r="370">
      <c r="A370" t="n">
        <v>369</v>
      </c>
      <c r="B370" t="inlineStr">
        <is>
          <t>Validation</t>
        </is>
      </c>
      <c r="C370" t="n">
        <v>5618</v>
      </c>
      <c r="D370" t="n">
        <v>16150</v>
      </c>
      <c r="E370" t="n">
        <v>29</v>
      </c>
      <c r="F370" t="n">
        <v>36708</v>
      </c>
      <c r="G370" t="n">
        <v>8</v>
      </c>
      <c r="H370" t="n">
        <v>13</v>
      </c>
      <c r="I370" t="n">
        <v>0</v>
      </c>
    </row>
    <row r="371">
      <c r="A371" t="n">
        <v>370</v>
      </c>
      <c r="B371" t="inlineStr">
        <is>
          <t>Train</t>
        </is>
      </c>
      <c r="C371" t="n">
        <v>5399</v>
      </c>
      <c r="D371" t="n">
        <v>8620</v>
      </c>
      <c r="E371" t="n">
        <v>39</v>
      </c>
      <c r="F371" t="n">
        <v>32188</v>
      </c>
      <c r="G371" t="n">
        <v>4</v>
      </c>
      <c r="H371" t="n">
        <v>11</v>
      </c>
      <c r="I371" t="n">
        <v>174247</v>
      </c>
    </row>
    <row r="372">
      <c r="A372" t="n">
        <v>371</v>
      </c>
      <c r="B372" t="inlineStr">
        <is>
          <t>Train</t>
        </is>
      </c>
      <c r="C372" t="n">
        <v>1371</v>
      </c>
      <c r="D372" t="n">
        <v>22660</v>
      </c>
      <c r="E372" t="n">
        <v>37</v>
      </c>
      <c r="F372" t="n">
        <v>97671</v>
      </c>
      <c r="G372" t="n">
        <v>5</v>
      </c>
      <c r="H372" t="n">
        <v>12</v>
      </c>
      <c r="I372" t="n">
        <v>257408</v>
      </c>
    </row>
    <row r="373">
      <c r="A373" t="n">
        <v>372</v>
      </c>
      <c r="B373" t="inlineStr">
        <is>
          <t>Train</t>
        </is>
      </c>
      <c r="C373" t="n">
        <v>23756</v>
      </c>
      <c r="D373" t="n">
        <v>1500</v>
      </c>
      <c r="E373" t="n">
        <v>55</v>
      </c>
      <c r="F373" t="n">
        <v>43293</v>
      </c>
      <c r="G373" t="n">
        <v>3</v>
      </c>
      <c r="H373" t="n">
        <v>12</v>
      </c>
      <c r="I373" t="n">
        <v>0</v>
      </c>
    </row>
    <row r="374">
      <c r="A374" t="n">
        <v>373</v>
      </c>
      <c r="B374" t="inlineStr">
        <is>
          <t>Train</t>
        </is>
      </c>
      <c r="C374" t="n">
        <v>4940</v>
      </c>
      <c r="D374" t="n">
        <v>22690</v>
      </c>
      <c r="E374" t="n">
        <v>45</v>
      </c>
      <c r="F374" t="n">
        <v>59197</v>
      </c>
      <c r="G374" t="n">
        <v>3</v>
      </c>
      <c r="H374" t="n">
        <v>10</v>
      </c>
      <c r="I374" t="n">
        <v>0</v>
      </c>
    </row>
    <row r="375">
      <c r="A375" t="n">
        <v>374</v>
      </c>
      <c r="B375" t="inlineStr">
        <is>
          <t>Train</t>
        </is>
      </c>
      <c r="C375" t="n">
        <v>52068</v>
      </c>
      <c r="D375" t="n">
        <v>6000</v>
      </c>
      <c r="E375" t="n">
        <v>45</v>
      </c>
      <c r="F375" t="n">
        <v>0</v>
      </c>
      <c r="G375" t="n">
        <v>4</v>
      </c>
      <c r="H375" t="n">
        <v>0</v>
      </c>
      <c r="I375" t="n">
        <v>0</v>
      </c>
    </row>
    <row r="376">
      <c r="A376" t="n">
        <v>375</v>
      </c>
      <c r="B376" t="inlineStr">
        <is>
          <t>Train</t>
        </is>
      </c>
      <c r="C376" t="n">
        <v>5903</v>
      </c>
      <c r="D376" t="n">
        <v>14460</v>
      </c>
      <c r="E376" t="n">
        <v>29</v>
      </c>
      <c r="F376" t="n">
        <v>79059</v>
      </c>
      <c r="G376" t="n">
        <v>0</v>
      </c>
      <c r="H376" t="n">
        <v>10</v>
      </c>
      <c r="I376" t="n">
        <v>240683</v>
      </c>
    </row>
    <row r="377">
      <c r="A377" t="n">
        <v>376</v>
      </c>
      <c r="B377" t="inlineStr">
        <is>
          <t>Train</t>
        </is>
      </c>
      <c r="C377" t="n">
        <v>33030</v>
      </c>
      <c r="D377" t="n">
        <v>8700</v>
      </c>
      <c r="E377" t="n">
        <v>37</v>
      </c>
      <c r="F377" t="n">
        <v>55242</v>
      </c>
      <c r="G377" t="n">
        <v>0</v>
      </c>
      <c r="H377" t="n">
        <v>10</v>
      </c>
      <c r="I377" t="n">
        <v>183992</v>
      </c>
    </row>
    <row r="378">
      <c r="A378" t="n">
        <v>377</v>
      </c>
      <c r="B378" t="inlineStr">
        <is>
          <t>Validation</t>
        </is>
      </c>
      <c r="C378" t="n">
        <v>29379</v>
      </c>
      <c r="D378" t="n">
        <v>20990</v>
      </c>
      <c r="E378" t="n">
        <v>53</v>
      </c>
      <c r="F378" t="n">
        <v>80023</v>
      </c>
      <c r="G378" t="n">
        <v>5</v>
      </c>
      <c r="H378" t="n">
        <v>13</v>
      </c>
      <c r="I378" t="n">
        <v>246532</v>
      </c>
    </row>
    <row r="379">
      <c r="A379" t="n">
        <v>378</v>
      </c>
      <c r="B379" t="inlineStr">
        <is>
          <t>Validation</t>
        </is>
      </c>
      <c r="C379" t="n">
        <v>2657</v>
      </c>
      <c r="D379" t="n">
        <v>9220</v>
      </c>
      <c r="E379" t="n">
        <v>50</v>
      </c>
      <c r="F379" t="n">
        <v>77214</v>
      </c>
      <c r="G379" t="n">
        <v>0</v>
      </c>
      <c r="H379" t="n">
        <v>10</v>
      </c>
      <c r="I379" t="n">
        <v>0</v>
      </c>
    </row>
    <row r="380">
      <c r="A380" t="n">
        <v>379</v>
      </c>
      <c r="B380" t="inlineStr">
        <is>
          <t>Validation</t>
        </is>
      </c>
      <c r="C380" t="n">
        <v>1157</v>
      </c>
      <c r="D380" t="n">
        <v>9910</v>
      </c>
      <c r="E380" t="n">
        <v>56</v>
      </c>
      <c r="F380" t="n">
        <v>28088</v>
      </c>
      <c r="G380" t="n">
        <v>3</v>
      </c>
      <c r="H380" t="n">
        <v>17</v>
      </c>
      <c r="I380" t="n">
        <v>154530</v>
      </c>
    </row>
    <row r="381">
      <c r="A381" t="n">
        <v>380</v>
      </c>
      <c r="B381" t="inlineStr">
        <is>
          <t>Train</t>
        </is>
      </c>
      <c r="C381" t="n">
        <v>969</v>
      </c>
      <c r="D381" t="n">
        <v>8080</v>
      </c>
      <c r="E381" t="n">
        <v>52</v>
      </c>
      <c r="F381" t="n">
        <v>16253</v>
      </c>
      <c r="G381" t="n">
        <v>3</v>
      </c>
      <c r="H381" t="n">
        <v>7</v>
      </c>
      <c r="I381" t="n">
        <v>0</v>
      </c>
    </row>
    <row r="382">
      <c r="A382" t="n">
        <v>381</v>
      </c>
      <c r="B382" t="inlineStr">
        <is>
          <t>Train</t>
        </is>
      </c>
      <c r="C382" t="n">
        <v>30571</v>
      </c>
      <c r="D382" t="n">
        <v>15670</v>
      </c>
      <c r="E382" t="n">
        <v>32</v>
      </c>
      <c r="F382" t="n">
        <v>109683</v>
      </c>
      <c r="G382" t="n">
        <v>0</v>
      </c>
      <c r="H382" t="n">
        <v>13</v>
      </c>
      <c r="I382" t="n">
        <v>276821</v>
      </c>
    </row>
    <row r="383">
      <c r="A383" t="n">
        <v>382</v>
      </c>
      <c r="B383" t="inlineStr">
        <is>
          <t>Train</t>
        </is>
      </c>
      <c r="C383" t="n">
        <v>5115</v>
      </c>
      <c r="D383" t="n">
        <v>23420</v>
      </c>
      <c r="E383" t="n">
        <v>39</v>
      </c>
      <c r="F383" t="n">
        <v>48738</v>
      </c>
      <c r="G383" t="n">
        <v>0</v>
      </c>
      <c r="H383" t="n">
        <v>13</v>
      </c>
      <c r="I383" t="n">
        <v>214103</v>
      </c>
    </row>
    <row r="384">
      <c r="A384" t="n">
        <v>383</v>
      </c>
      <c r="B384" t="inlineStr">
        <is>
          <t>Train</t>
        </is>
      </c>
      <c r="C384" t="n">
        <v>12269</v>
      </c>
      <c r="D384" t="n">
        <v>5850</v>
      </c>
      <c r="E384" t="n">
        <v>28</v>
      </c>
      <c r="F384" t="n">
        <v>10032</v>
      </c>
      <c r="G384" t="n">
        <v>0</v>
      </c>
      <c r="H384" t="n">
        <v>10</v>
      </c>
      <c r="I384" t="n">
        <v>0</v>
      </c>
    </row>
    <row r="385">
      <c r="A385" t="n">
        <v>384</v>
      </c>
      <c r="B385" t="inlineStr">
        <is>
          <t>Train</t>
        </is>
      </c>
      <c r="C385" t="n">
        <v>7611</v>
      </c>
      <c r="D385" t="n">
        <v>12000</v>
      </c>
      <c r="E385" t="n">
        <v>26</v>
      </c>
      <c r="F385" t="n">
        <v>44386</v>
      </c>
      <c r="G385" t="n">
        <v>3</v>
      </c>
      <c r="H385" t="n">
        <v>9</v>
      </c>
      <c r="I385" t="n">
        <v>209993</v>
      </c>
    </row>
    <row r="386">
      <c r="A386" t="n">
        <v>385</v>
      </c>
      <c r="B386" t="inlineStr">
        <is>
          <t>Train</t>
        </is>
      </c>
      <c r="C386" t="n">
        <v>5399</v>
      </c>
      <c r="D386" t="n">
        <v>14370</v>
      </c>
      <c r="E386" t="n">
        <v>51</v>
      </c>
      <c r="F386" t="n">
        <v>94454</v>
      </c>
      <c r="G386" t="n">
        <v>0</v>
      </c>
      <c r="H386" t="n">
        <v>5</v>
      </c>
      <c r="I386" t="n">
        <v>0</v>
      </c>
    </row>
    <row r="387">
      <c r="A387" t="n">
        <v>386</v>
      </c>
      <c r="B387" t="inlineStr">
        <is>
          <t>Train</t>
        </is>
      </c>
      <c r="C387" t="n">
        <v>6120</v>
      </c>
      <c r="D387" t="n">
        <v>21880</v>
      </c>
      <c r="E387" t="n">
        <v>59</v>
      </c>
      <c r="F387" t="n">
        <v>109210</v>
      </c>
      <c r="G387" t="n">
        <v>6</v>
      </c>
      <c r="H387" t="n">
        <v>16</v>
      </c>
      <c r="I387" t="n">
        <v>324059</v>
      </c>
    </row>
    <row r="388">
      <c r="A388" t="n">
        <v>387</v>
      </c>
      <c r="B388" t="inlineStr">
        <is>
          <t>Validation</t>
        </is>
      </c>
      <c r="C388" t="n">
        <v>9575</v>
      </c>
      <c r="D388" t="n">
        <v>15080</v>
      </c>
      <c r="E388" t="n">
        <v>59</v>
      </c>
      <c r="F388" t="n">
        <v>38141</v>
      </c>
      <c r="G388" t="n">
        <v>5</v>
      </c>
      <c r="H388" t="n">
        <v>11</v>
      </c>
      <c r="I388" t="n">
        <v>0</v>
      </c>
    </row>
    <row r="389">
      <c r="A389" t="n">
        <v>388</v>
      </c>
      <c r="B389" t="inlineStr">
        <is>
          <t>Validation</t>
        </is>
      </c>
      <c r="C389" t="n">
        <v>3175</v>
      </c>
      <c r="D389" t="n">
        <v>8590</v>
      </c>
      <c r="E389" t="n">
        <v>61</v>
      </c>
      <c r="F389" t="n">
        <v>9902</v>
      </c>
      <c r="G389" t="n">
        <v>4</v>
      </c>
      <c r="H389" t="n">
        <v>10</v>
      </c>
      <c r="I389" t="n">
        <v>103647</v>
      </c>
    </row>
    <row r="390">
      <c r="A390" t="n">
        <v>389</v>
      </c>
      <c r="B390" t="inlineStr">
        <is>
          <t>Validation</t>
        </is>
      </c>
      <c r="C390" t="n">
        <v>5289</v>
      </c>
      <c r="D390" t="n">
        <v>8930</v>
      </c>
      <c r="E390" t="n">
        <v>29</v>
      </c>
      <c r="F390" t="n">
        <v>45299</v>
      </c>
      <c r="G390" t="n">
        <v>4</v>
      </c>
      <c r="H390" t="n">
        <v>14</v>
      </c>
      <c r="I390" t="n">
        <v>148600</v>
      </c>
    </row>
    <row r="391">
      <c r="A391" t="n">
        <v>390</v>
      </c>
      <c r="B391" t="inlineStr">
        <is>
          <t>Train</t>
        </is>
      </c>
      <c r="C391" t="n">
        <v>3810</v>
      </c>
      <c r="D391" t="n">
        <v>10860</v>
      </c>
      <c r="E391" t="n">
        <v>37</v>
      </c>
      <c r="F391" t="n">
        <v>31725</v>
      </c>
      <c r="G391" t="n">
        <v>3</v>
      </c>
      <c r="H391" t="n">
        <v>13</v>
      </c>
      <c r="I391" t="n">
        <v>148396</v>
      </c>
    </row>
    <row r="392">
      <c r="A392" t="n">
        <v>391</v>
      </c>
      <c r="B392" t="inlineStr">
        <is>
          <t>Train</t>
        </is>
      </c>
      <c r="C392" t="n">
        <v>39168</v>
      </c>
      <c r="D392" t="n">
        <v>4340</v>
      </c>
      <c r="E392" t="n">
        <v>32</v>
      </c>
      <c r="F392" t="n">
        <v>28430</v>
      </c>
      <c r="G392" t="n">
        <v>4</v>
      </c>
      <c r="H392" t="n">
        <v>16</v>
      </c>
      <c r="I392" t="n">
        <v>0</v>
      </c>
    </row>
    <row r="393">
      <c r="A393" t="n">
        <v>392</v>
      </c>
      <c r="B393" t="inlineStr">
        <is>
          <t>Train</t>
        </is>
      </c>
      <c r="C393" t="n">
        <v>37066</v>
      </c>
      <c r="D393" t="n">
        <v>8510</v>
      </c>
      <c r="E393" t="n">
        <v>39</v>
      </c>
      <c r="F393" t="n">
        <v>31131</v>
      </c>
      <c r="G393" t="n">
        <v>5</v>
      </c>
      <c r="H393" t="n">
        <v>10</v>
      </c>
      <c r="I393" t="n">
        <v>0</v>
      </c>
    </row>
    <row r="394">
      <c r="A394" t="n">
        <v>393</v>
      </c>
      <c r="B394" t="inlineStr">
        <is>
          <t>Train</t>
        </is>
      </c>
      <c r="C394" t="n">
        <v>7558</v>
      </c>
      <c r="D394" t="n">
        <v>32730</v>
      </c>
      <c r="E394" t="n">
        <v>53</v>
      </c>
      <c r="F394" t="n">
        <v>21190</v>
      </c>
      <c r="G394" t="n">
        <v>5</v>
      </c>
      <c r="H394" t="n">
        <v>8</v>
      </c>
      <c r="I394" t="n">
        <v>104523</v>
      </c>
    </row>
    <row r="395">
      <c r="A395" t="n">
        <v>394</v>
      </c>
      <c r="B395" t="inlineStr">
        <is>
          <t>Train</t>
        </is>
      </c>
      <c r="C395" t="n">
        <v>1946</v>
      </c>
      <c r="D395" t="n">
        <v>12890</v>
      </c>
      <c r="E395" t="n">
        <v>50</v>
      </c>
      <c r="F395" t="n">
        <v>63910</v>
      </c>
      <c r="G395" t="n">
        <v>1</v>
      </c>
      <c r="H395" t="n">
        <v>15</v>
      </c>
      <c r="I395" t="n">
        <v>227449</v>
      </c>
    </row>
    <row r="396">
      <c r="A396" t="n">
        <v>395</v>
      </c>
      <c r="B396" t="inlineStr">
        <is>
          <t>Train</t>
        </is>
      </c>
      <c r="C396" t="n">
        <v>17857</v>
      </c>
      <c r="D396" t="n">
        <v>5330</v>
      </c>
      <c r="E396" t="n">
        <v>34</v>
      </c>
      <c r="F396" t="n">
        <v>38307</v>
      </c>
      <c r="G396" t="n">
        <v>10</v>
      </c>
      <c r="H396" t="n">
        <v>13</v>
      </c>
      <c r="I396" t="n">
        <v>151790</v>
      </c>
    </row>
    <row r="397">
      <c r="A397" t="n">
        <v>396</v>
      </c>
      <c r="B397" t="inlineStr">
        <is>
          <t>Train</t>
        </is>
      </c>
      <c r="C397" t="n">
        <v>7864</v>
      </c>
      <c r="D397" t="n">
        <v>15670</v>
      </c>
      <c r="E397" t="n">
        <v>46</v>
      </c>
      <c r="F397" t="n">
        <v>88632</v>
      </c>
      <c r="G397" t="n">
        <v>2</v>
      </c>
      <c r="H397" t="n">
        <v>10</v>
      </c>
      <c r="I397" t="n">
        <v>258636</v>
      </c>
    </row>
    <row r="398">
      <c r="A398" t="n">
        <v>397</v>
      </c>
      <c r="B398" t="inlineStr">
        <is>
          <t>Validation</t>
        </is>
      </c>
      <c r="C398" t="n">
        <v>24930</v>
      </c>
      <c r="D398" t="n">
        <v>14060</v>
      </c>
      <c r="E398" t="n">
        <v>56</v>
      </c>
      <c r="F398" t="n">
        <v>76638</v>
      </c>
      <c r="G398" t="n">
        <v>10</v>
      </c>
      <c r="H398" t="n">
        <v>13</v>
      </c>
      <c r="I398" t="n">
        <v>0</v>
      </c>
    </row>
    <row r="399">
      <c r="A399" t="n">
        <v>398</v>
      </c>
      <c r="B399" t="inlineStr">
        <is>
          <t>Validation</t>
        </is>
      </c>
      <c r="C399" t="n">
        <v>3558</v>
      </c>
      <c r="D399" t="n">
        <v>12100</v>
      </c>
      <c r="E399" t="n">
        <v>42</v>
      </c>
      <c r="F399" t="n">
        <v>64019</v>
      </c>
      <c r="G399" t="n">
        <v>1</v>
      </c>
      <c r="H399" t="n">
        <v>12</v>
      </c>
      <c r="I399" t="n">
        <v>249488</v>
      </c>
    </row>
    <row r="400">
      <c r="A400" t="n">
        <v>399</v>
      </c>
      <c r="B400" t="inlineStr">
        <is>
          <t>Validation</t>
        </is>
      </c>
      <c r="C400" t="n">
        <v>4646</v>
      </c>
      <c r="D400" t="n">
        <v>9960</v>
      </c>
      <c r="E400" t="n">
        <v>31</v>
      </c>
      <c r="F400" t="n">
        <v>53633</v>
      </c>
      <c r="G400" t="n">
        <v>9</v>
      </c>
      <c r="H400" t="n">
        <v>6</v>
      </c>
      <c r="I400" t="n">
        <v>183242</v>
      </c>
    </row>
    <row r="401">
      <c r="A401" t="n">
        <v>400</v>
      </c>
      <c r="B401" t="inlineStr">
        <is>
          <t>Train</t>
        </is>
      </c>
      <c r="C401" t="n">
        <v>4716</v>
      </c>
      <c r="D401" t="n">
        <v>10320</v>
      </c>
      <c r="E401" t="n">
        <v>58</v>
      </c>
      <c r="F401" t="n">
        <v>146202</v>
      </c>
      <c r="G401" t="n">
        <v>0</v>
      </c>
      <c r="H401" t="n">
        <v>12</v>
      </c>
      <c r="I401" t="n">
        <v>473366</v>
      </c>
    </row>
    <row r="402">
      <c r="A402" t="n">
        <v>401</v>
      </c>
      <c r="B402" t="inlineStr">
        <is>
          <t>Train</t>
        </is>
      </c>
      <c r="C402" t="n">
        <v>14357</v>
      </c>
      <c r="D402" t="n">
        <v>7800</v>
      </c>
      <c r="E402" t="n">
        <v>63</v>
      </c>
      <c r="F402" t="n">
        <v>51046</v>
      </c>
      <c r="G402" t="n">
        <v>5</v>
      </c>
      <c r="H402" t="n">
        <v>14</v>
      </c>
      <c r="I402" t="n">
        <v>192050</v>
      </c>
    </row>
    <row r="403">
      <c r="A403" t="n">
        <v>402</v>
      </c>
      <c r="B403" t="inlineStr">
        <is>
          <t>Train</t>
        </is>
      </c>
      <c r="C403" t="n">
        <v>6545</v>
      </c>
      <c r="D403" t="n">
        <v>17960</v>
      </c>
      <c r="E403" t="n">
        <v>44</v>
      </c>
      <c r="F403" t="n">
        <v>46781</v>
      </c>
      <c r="G403" t="n">
        <v>5</v>
      </c>
      <c r="H403" t="n">
        <v>12</v>
      </c>
      <c r="I403" t="n">
        <v>0</v>
      </c>
    </row>
    <row r="404">
      <c r="A404" t="n">
        <v>403</v>
      </c>
      <c r="B404" t="inlineStr">
        <is>
          <t>Train</t>
        </is>
      </c>
      <c r="C404" t="n">
        <v>5493</v>
      </c>
      <c r="D404" t="n">
        <v>10600</v>
      </c>
      <c r="E404" t="n">
        <v>54</v>
      </c>
      <c r="F404" t="n">
        <v>0</v>
      </c>
      <c r="G404" t="n">
        <v>1</v>
      </c>
      <c r="H404" t="n">
        <v>0</v>
      </c>
      <c r="I404" t="n">
        <v>0</v>
      </c>
    </row>
    <row r="405">
      <c r="A405" t="n">
        <v>404</v>
      </c>
      <c r="B405" t="inlineStr">
        <is>
          <t>Train</t>
        </is>
      </c>
      <c r="C405" t="n">
        <v>30944</v>
      </c>
      <c r="D405" t="n">
        <v>16930</v>
      </c>
      <c r="E405" t="n">
        <v>40</v>
      </c>
      <c r="F405" t="n">
        <v>48187</v>
      </c>
      <c r="G405" t="n">
        <v>3</v>
      </c>
      <c r="H405" t="n">
        <v>13</v>
      </c>
      <c r="I405" t="n">
        <v>136205</v>
      </c>
    </row>
    <row r="406">
      <c r="A406" t="n">
        <v>405</v>
      </c>
      <c r="B406" t="inlineStr">
        <is>
          <t>Train</t>
        </is>
      </c>
      <c r="C406" t="n">
        <v>25433</v>
      </c>
      <c r="D406" t="n">
        <v>14580</v>
      </c>
      <c r="E406" t="n">
        <v>29</v>
      </c>
      <c r="F406" t="n">
        <v>101767</v>
      </c>
      <c r="G406" t="n">
        <v>1</v>
      </c>
      <c r="H406" t="n">
        <v>11</v>
      </c>
      <c r="I406" t="n">
        <v>284160</v>
      </c>
    </row>
    <row r="407">
      <c r="A407" t="n">
        <v>406</v>
      </c>
      <c r="B407" t="inlineStr">
        <is>
          <t>Train</t>
        </is>
      </c>
      <c r="C407" t="n">
        <v>3019</v>
      </c>
      <c r="D407" t="n">
        <v>34730</v>
      </c>
      <c r="E407" t="n">
        <v>53</v>
      </c>
      <c r="F407" t="n">
        <v>332339</v>
      </c>
      <c r="G407" t="n">
        <v>1</v>
      </c>
      <c r="H407" t="n">
        <v>7</v>
      </c>
      <c r="I407" t="n">
        <v>738153</v>
      </c>
    </row>
    <row r="408">
      <c r="A408" t="n">
        <v>407</v>
      </c>
      <c r="B408" t="inlineStr">
        <is>
          <t>Validation</t>
        </is>
      </c>
      <c r="C408" t="n">
        <v>5476</v>
      </c>
      <c r="D408" t="n">
        <v>28700</v>
      </c>
      <c r="E408" t="n">
        <v>37</v>
      </c>
      <c r="F408" t="n">
        <v>9664</v>
      </c>
      <c r="G408" t="n">
        <v>2</v>
      </c>
      <c r="H408" t="n">
        <v>11</v>
      </c>
      <c r="I408" t="n">
        <v>147749</v>
      </c>
    </row>
    <row r="409">
      <c r="A409" t="n">
        <v>408</v>
      </c>
      <c r="B409" t="inlineStr">
        <is>
          <t>Validation</t>
        </is>
      </c>
      <c r="C409" t="n">
        <v>20060</v>
      </c>
      <c r="D409" t="n">
        <v>23450</v>
      </c>
      <c r="E409" t="n">
        <v>33</v>
      </c>
      <c r="F409" t="n">
        <v>28395</v>
      </c>
      <c r="G409" t="n">
        <v>2</v>
      </c>
      <c r="H409" t="n">
        <v>16</v>
      </c>
      <c r="I409" t="n">
        <v>137268</v>
      </c>
    </row>
    <row r="410">
      <c r="A410" t="n">
        <v>409</v>
      </c>
      <c r="B410" t="inlineStr">
        <is>
          <t>Validation</t>
        </is>
      </c>
      <c r="C410" t="n">
        <v>3118</v>
      </c>
      <c r="D410" t="n">
        <v>11800</v>
      </c>
      <c r="E410" t="n">
        <v>45</v>
      </c>
      <c r="F410" t="n">
        <v>22860</v>
      </c>
      <c r="G410" t="n">
        <v>1</v>
      </c>
      <c r="H410" t="n">
        <v>10</v>
      </c>
      <c r="I410" t="n">
        <v>0</v>
      </c>
    </row>
    <row r="411">
      <c r="A411" t="n">
        <v>410</v>
      </c>
      <c r="B411" t="inlineStr">
        <is>
          <t>Train</t>
        </is>
      </c>
      <c r="C411" t="n">
        <v>7166</v>
      </c>
      <c r="D411" t="n">
        <v>7290</v>
      </c>
      <c r="E411" t="n">
        <v>36</v>
      </c>
      <c r="F411" t="n">
        <v>21926</v>
      </c>
      <c r="G411" t="n">
        <v>6</v>
      </c>
      <c r="H411" t="n">
        <v>8</v>
      </c>
      <c r="I411" t="n">
        <v>106069</v>
      </c>
    </row>
    <row r="412">
      <c r="A412" t="n">
        <v>411</v>
      </c>
      <c r="B412" t="inlineStr">
        <is>
          <t>Train</t>
        </is>
      </c>
      <c r="C412" t="n">
        <v>7940</v>
      </c>
      <c r="D412" t="n">
        <v>5400</v>
      </c>
      <c r="E412" t="n">
        <v>39</v>
      </c>
      <c r="F412" t="n">
        <v>69464</v>
      </c>
      <c r="G412" t="n">
        <v>4</v>
      </c>
      <c r="H412" t="n">
        <v>12</v>
      </c>
      <c r="I412" t="n">
        <v>199330</v>
      </c>
    </row>
    <row r="413">
      <c r="A413" t="n">
        <v>412</v>
      </c>
      <c r="B413" t="inlineStr">
        <is>
          <t>Train</t>
        </is>
      </c>
      <c r="C413" t="n">
        <v>565</v>
      </c>
      <c r="D413" t="n">
        <v>11250</v>
      </c>
      <c r="E413" t="n">
        <v>37</v>
      </c>
      <c r="F413" t="n">
        <v>24672</v>
      </c>
      <c r="G413" t="n">
        <v>1</v>
      </c>
      <c r="H413" t="n">
        <v>10</v>
      </c>
      <c r="I413" t="n">
        <v>0</v>
      </c>
    </row>
    <row r="414">
      <c r="A414" t="n">
        <v>413</v>
      </c>
      <c r="B414" t="inlineStr">
        <is>
          <t>Train</t>
        </is>
      </c>
      <c r="C414" t="n">
        <v>11095</v>
      </c>
      <c r="D414" t="n">
        <v>21400</v>
      </c>
      <c r="E414" t="n">
        <v>43</v>
      </c>
      <c r="F414" t="n">
        <v>94641</v>
      </c>
      <c r="G414" t="n">
        <v>0</v>
      </c>
      <c r="H414" t="n">
        <v>12</v>
      </c>
      <c r="I414" t="n">
        <v>299424</v>
      </c>
    </row>
    <row r="415">
      <c r="A415" t="n">
        <v>414</v>
      </c>
      <c r="B415" t="inlineStr">
        <is>
          <t>Train</t>
        </is>
      </c>
      <c r="C415" t="n">
        <v>1686</v>
      </c>
      <c r="D415" t="n">
        <v>28200</v>
      </c>
      <c r="E415" t="n">
        <v>48</v>
      </c>
      <c r="F415" t="n">
        <v>37886</v>
      </c>
      <c r="G415" t="n">
        <v>0</v>
      </c>
      <c r="H415" t="n">
        <v>11</v>
      </c>
      <c r="I415" t="n">
        <v>168597</v>
      </c>
    </row>
    <row r="416">
      <c r="A416" t="n">
        <v>415</v>
      </c>
      <c r="B416" t="inlineStr">
        <is>
          <t>Train</t>
        </is>
      </c>
      <c r="C416" t="n">
        <v>3176</v>
      </c>
      <c r="D416" t="n">
        <v>25370</v>
      </c>
      <c r="E416" t="n">
        <v>52</v>
      </c>
      <c r="F416" t="n">
        <v>77113</v>
      </c>
      <c r="G416" t="n">
        <v>1</v>
      </c>
      <c r="H416" t="n">
        <v>10</v>
      </c>
      <c r="I416" t="n">
        <v>0</v>
      </c>
    </row>
    <row r="417">
      <c r="A417" t="n">
        <v>416</v>
      </c>
      <c r="B417" t="inlineStr">
        <is>
          <t>Train</t>
        </is>
      </c>
      <c r="C417" t="n">
        <v>2988</v>
      </c>
      <c r="D417" t="n">
        <v>13140</v>
      </c>
      <c r="E417" t="n">
        <v>41</v>
      </c>
      <c r="F417" t="n">
        <v>35203</v>
      </c>
      <c r="G417" t="n">
        <v>0</v>
      </c>
      <c r="H417" t="n">
        <v>11</v>
      </c>
      <c r="I417" t="n">
        <v>0</v>
      </c>
    </row>
    <row r="418">
      <c r="A418" t="n">
        <v>417</v>
      </c>
      <c r="B418" t="inlineStr">
        <is>
          <t>Validation</t>
        </is>
      </c>
      <c r="C418" t="n">
        <v>2611</v>
      </c>
      <c r="D418" t="n">
        <v>11240</v>
      </c>
      <c r="E418" t="n">
        <v>45</v>
      </c>
      <c r="F418" t="n">
        <v>75527</v>
      </c>
      <c r="G418" t="n">
        <v>1</v>
      </c>
      <c r="H418" t="n">
        <v>13</v>
      </c>
      <c r="I418" t="n">
        <v>0</v>
      </c>
    </row>
    <row r="419">
      <c r="A419" t="n">
        <v>418</v>
      </c>
      <c r="B419" t="inlineStr">
        <is>
          <t>Validation</t>
        </is>
      </c>
      <c r="C419" t="n">
        <v>7649</v>
      </c>
      <c r="D419" t="n">
        <v>13060</v>
      </c>
      <c r="E419" t="n">
        <v>63</v>
      </c>
      <c r="F419" t="n">
        <v>52613</v>
      </c>
      <c r="G419" t="n">
        <v>0</v>
      </c>
      <c r="H419" t="n">
        <v>7</v>
      </c>
      <c r="I419" t="n">
        <v>209832</v>
      </c>
    </row>
    <row r="420">
      <c r="A420" t="n">
        <v>419</v>
      </c>
      <c r="B420" t="inlineStr">
        <is>
          <t>Validation</t>
        </is>
      </c>
      <c r="C420" t="n">
        <v>7247</v>
      </c>
      <c r="D420" t="n">
        <v>22940</v>
      </c>
      <c r="E420" t="n">
        <v>40</v>
      </c>
      <c r="F420" t="n">
        <v>17107</v>
      </c>
      <c r="G420" t="n">
        <v>4</v>
      </c>
      <c r="H420" t="n">
        <v>8</v>
      </c>
      <c r="I420" t="n">
        <v>154357</v>
      </c>
    </row>
    <row r="421">
      <c r="A421" t="n">
        <v>420</v>
      </c>
      <c r="B421" t="inlineStr">
        <is>
          <t>Train</t>
        </is>
      </c>
      <c r="C421" t="n">
        <v>26686</v>
      </c>
      <c r="D421" t="n">
        <v>1500</v>
      </c>
      <c r="E421" t="n">
        <v>31</v>
      </c>
      <c r="F421" t="n">
        <v>48317</v>
      </c>
      <c r="G421" t="n">
        <v>1</v>
      </c>
      <c r="H421" t="n">
        <v>14</v>
      </c>
      <c r="I421" t="n">
        <v>133939</v>
      </c>
    </row>
    <row r="422">
      <c r="A422" t="n">
        <v>421</v>
      </c>
      <c r="B422" t="inlineStr">
        <is>
          <t>Train</t>
        </is>
      </c>
      <c r="C422" t="n">
        <v>7890</v>
      </c>
      <c r="D422" t="n">
        <v>18980</v>
      </c>
      <c r="E422" t="n">
        <v>37</v>
      </c>
      <c r="F422" t="n">
        <v>30058</v>
      </c>
      <c r="G422" t="n">
        <v>2</v>
      </c>
      <c r="H422" t="n">
        <v>11</v>
      </c>
      <c r="I422" t="n">
        <v>0</v>
      </c>
    </row>
    <row r="423">
      <c r="A423" t="n">
        <v>422</v>
      </c>
      <c r="B423" t="inlineStr">
        <is>
          <t>Train</t>
        </is>
      </c>
      <c r="C423" t="n">
        <v>43052</v>
      </c>
      <c r="D423" t="n">
        <v>14160</v>
      </c>
      <c r="E423" t="n">
        <v>58</v>
      </c>
      <c r="F423" t="n">
        <v>71101</v>
      </c>
      <c r="G423" t="n">
        <v>6</v>
      </c>
      <c r="H423" t="n">
        <v>12</v>
      </c>
      <c r="I423" t="n">
        <v>266848</v>
      </c>
    </row>
    <row r="424">
      <c r="A424" t="n">
        <v>423</v>
      </c>
      <c r="B424" t="inlineStr">
        <is>
          <t>Train</t>
        </is>
      </c>
      <c r="C424" t="n">
        <v>7575</v>
      </c>
      <c r="D424" t="n">
        <v>9220</v>
      </c>
      <c r="E424" t="n">
        <v>34</v>
      </c>
      <c r="F424" t="n">
        <v>0</v>
      </c>
      <c r="G424" t="n">
        <v>3</v>
      </c>
      <c r="H424" t="n">
        <v>0</v>
      </c>
      <c r="I424" t="n">
        <v>0</v>
      </c>
    </row>
    <row r="425">
      <c r="A425" t="n">
        <v>424</v>
      </c>
      <c r="B425" t="inlineStr">
        <is>
          <t>Train</t>
        </is>
      </c>
      <c r="C425" t="n">
        <v>3846</v>
      </c>
      <c r="D425" t="n">
        <v>16830</v>
      </c>
      <c r="E425" t="n">
        <v>31</v>
      </c>
      <c r="F425" t="n">
        <v>24323</v>
      </c>
      <c r="G425" t="n">
        <v>5</v>
      </c>
      <c r="H425" t="n">
        <v>18</v>
      </c>
      <c r="I425" t="n">
        <v>0</v>
      </c>
    </row>
    <row r="426">
      <c r="A426" t="n">
        <v>425</v>
      </c>
      <c r="B426" t="inlineStr">
        <is>
          <t>Train</t>
        </is>
      </c>
      <c r="C426" t="n">
        <v>1681</v>
      </c>
      <c r="D426" t="n">
        <v>37180</v>
      </c>
      <c r="E426" t="n">
        <v>37</v>
      </c>
      <c r="F426" t="n">
        <v>95502</v>
      </c>
      <c r="G426" t="n">
        <v>0</v>
      </c>
      <c r="H426" t="n">
        <v>8</v>
      </c>
      <c r="I426" t="n">
        <v>0</v>
      </c>
    </row>
    <row r="427">
      <c r="A427" t="n">
        <v>426</v>
      </c>
      <c r="B427" t="inlineStr">
        <is>
          <t>Train</t>
        </is>
      </c>
      <c r="C427" t="n">
        <v>5393</v>
      </c>
      <c r="D427" t="n">
        <v>19940</v>
      </c>
      <c r="E427" t="n">
        <v>49</v>
      </c>
      <c r="F427" t="n">
        <v>33303</v>
      </c>
      <c r="G427" t="n">
        <v>0</v>
      </c>
      <c r="H427" t="n">
        <v>12</v>
      </c>
      <c r="I427" t="n">
        <v>0</v>
      </c>
    </row>
    <row r="428">
      <c r="A428" t="n">
        <v>427</v>
      </c>
      <c r="B428" t="inlineStr">
        <is>
          <t>Validation</t>
        </is>
      </c>
      <c r="C428" t="n">
        <v>5419</v>
      </c>
      <c r="D428" t="n">
        <v>1500</v>
      </c>
      <c r="E428" t="n">
        <v>29</v>
      </c>
      <c r="F428" t="n">
        <v>54310</v>
      </c>
      <c r="G428" t="n">
        <v>5</v>
      </c>
      <c r="H428" t="n">
        <v>12</v>
      </c>
      <c r="I428" t="n">
        <v>174139</v>
      </c>
    </row>
    <row r="429">
      <c r="A429" t="n">
        <v>428</v>
      </c>
      <c r="B429" t="inlineStr">
        <is>
          <t>Validation</t>
        </is>
      </c>
      <c r="C429" t="n">
        <v>6927</v>
      </c>
      <c r="D429" t="n">
        <v>7650</v>
      </c>
      <c r="E429" t="n">
        <v>54</v>
      </c>
      <c r="F429" t="n">
        <v>63027</v>
      </c>
      <c r="G429" t="n">
        <v>0</v>
      </c>
      <c r="H429" t="n">
        <v>11</v>
      </c>
      <c r="I429" t="n">
        <v>0</v>
      </c>
    </row>
    <row r="430">
      <c r="A430" t="n">
        <v>429</v>
      </c>
      <c r="B430" t="inlineStr">
        <is>
          <t>Validation</t>
        </is>
      </c>
      <c r="C430" t="n">
        <v>2415</v>
      </c>
      <c r="D430" t="n">
        <v>18810</v>
      </c>
      <c r="E430" t="n">
        <v>39</v>
      </c>
      <c r="F430" t="n">
        <v>24628</v>
      </c>
      <c r="G430" t="n">
        <v>3</v>
      </c>
      <c r="H430" t="n">
        <v>9</v>
      </c>
      <c r="I430" t="n">
        <v>195489</v>
      </c>
    </row>
    <row r="431">
      <c r="A431" t="n">
        <v>430</v>
      </c>
      <c r="B431" t="inlineStr">
        <is>
          <t>Train</t>
        </is>
      </c>
      <c r="C431" t="n">
        <v>1404</v>
      </c>
      <c r="D431" t="n">
        <v>27300</v>
      </c>
      <c r="E431" t="n">
        <v>53</v>
      </c>
      <c r="F431" t="n">
        <v>116419</v>
      </c>
      <c r="G431" t="n">
        <v>4</v>
      </c>
      <c r="H431" t="n">
        <v>12</v>
      </c>
      <c r="I431" t="n">
        <v>356989</v>
      </c>
    </row>
    <row r="432">
      <c r="A432" t="n">
        <v>431</v>
      </c>
      <c r="B432" t="inlineStr">
        <is>
          <t>Train</t>
        </is>
      </c>
      <c r="C432" t="n">
        <v>5484</v>
      </c>
      <c r="D432" t="n">
        <v>13150</v>
      </c>
      <c r="E432" t="n">
        <v>39</v>
      </c>
      <c r="F432" t="n">
        <v>22348</v>
      </c>
      <c r="G432" t="n">
        <v>0</v>
      </c>
      <c r="H432" t="n">
        <v>13</v>
      </c>
      <c r="I432" t="n">
        <v>0</v>
      </c>
    </row>
    <row r="433">
      <c r="A433" t="n">
        <v>432</v>
      </c>
      <c r="B433" t="inlineStr">
        <is>
          <t>Train</t>
        </is>
      </c>
      <c r="C433" t="n">
        <v>3655</v>
      </c>
      <c r="D433" t="n">
        <v>15310</v>
      </c>
      <c r="E433" t="n">
        <v>44</v>
      </c>
      <c r="F433" t="n">
        <v>83682</v>
      </c>
      <c r="G433" t="n">
        <v>0</v>
      </c>
      <c r="H433" t="n">
        <v>10</v>
      </c>
      <c r="I433" t="n">
        <v>278852</v>
      </c>
    </row>
    <row r="434">
      <c r="A434" t="n">
        <v>433</v>
      </c>
      <c r="B434" t="inlineStr">
        <is>
          <t>Train</t>
        </is>
      </c>
      <c r="C434" t="n">
        <v>1678</v>
      </c>
      <c r="D434" t="n">
        <v>27460</v>
      </c>
      <c r="E434" t="n">
        <v>50</v>
      </c>
      <c r="F434" t="n">
        <v>64934</v>
      </c>
      <c r="G434" t="n">
        <v>3</v>
      </c>
      <c r="H434" t="n">
        <v>13</v>
      </c>
      <c r="I434" t="n">
        <v>235719</v>
      </c>
    </row>
    <row r="435">
      <c r="A435" t="n">
        <v>434</v>
      </c>
      <c r="B435" t="inlineStr">
        <is>
          <t>Train</t>
        </is>
      </c>
      <c r="C435" t="n">
        <v>3777</v>
      </c>
      <c r="D435" t="n">
        <v>23050</v>
      </c>
      <c r="E435" t="n">
        <v>36</v>
      </c>
      <c r="F435" t="n">
        <v>67036</v>
      </c>
      <c r="G435" t="n">
        <v>1</v>
      </c>
      <c r="H435" t="n">
        <v>11</v>
      </c>
      <c r="I435" t="n">
        <v>240155</v>
      </c>
    </row>
    <row r="436">
      <c r="A436" t="n">
        <v>435</v>
      </c>
      <c r="B436" t="inlineStr">
        <is>
          <t>Train</t>
        </is>
      </c>
      <c r="C436" t="n">
        <v>1300</v>
      </c>
      <c r="D436" t="n">
        <v>14060</v>
      </c>
      <c r="E436" t="n">
        <v>45</v>
      </c>
      <c r="F436" t="n">
        <v>73867</v>
      </c>
      <c r="G436" t="n">
        <v>6</v>
      </c>
      <c r="H436" t="n">
        <v>14</v>
      </c>
      <c r="I436" t="n">
        <v>231278</v>
      </c>
    </row>
    <row r="437">
      <c r="A437" t="n">
        <v>436</v>
      </c>
      <c r="B437" t="inlineStr">
        <is>
          <t>Train</t>
        </is>
      </c>
      <c r="C437" t="n">
        <v>37285</v>
      </c>
      <c r="D437" t="n">
        <v>4790</v>
      </c>
      <c r="E437" t="n">
        <v>58</v>
      </c>
      <c r="F437" t="n">
        <v>6657</v>
      </c>
      <c r="G437" t="n">
        <v>4</v>
      </c>
      <c r="H437" t="n">
        <v>16</v>
      </c>
      <c r="I437" t="n">
        <v>0</v>
      </c>
    </row>
    <row r="438">
      <c r="A438" t="n">
        <v>437</v>
      </c>
      <c r="B438" t="inlineStr">
        <is>
          <t>Validation</t>
        </is>
      </c>
      <c r="C438" t="n">
        <v>7276</v>
      </c>
      <c r="D438" t="n">
        <v>19700</v>
      </c>
      <c r="E438" t="n">
        <v>35</v>
      </c>
      <c r="F438" t="n">
        <v>72167</v>
      </c>
      <c r="G438" t="n">
        <v>7</v>
      </c>
      <c r="H438" t="n">
        <v>13</v>
      </c>
      <c r="I438" t="n">
        <v>0</v>
      </c>
    </row>
    <row r="439">
      <c r="A439" t="n">
        <v>438</v>
      </c>
      <c r="B439" t="inlineStr">
        <is>
          <t>Validation</t>
        </is>
      </c>
      <c r="C439" t="n">
        <v>11728</v>
      </c>
      <c r="D439" t="n">
        <v>24180</v>
      </c>
      <c r="E439" t="n">
        <v>46</v>
      </c>
      <c r="F439" t="n">
        <v>130464</v>
      </c>
      <c r="G439" t="n">
        <v>4</v>
      </c>
      <c r="H439" t="n">
        <v>7</v>
      </c>
      <c r="I439" t="n">
        <v>362541</v>
      </c>
    </row>
    <row r="440">
      <c r="A440" t="n">
        <v>439</v>
      </c>
      <c r="B440" t="inlineStr">
        <is>
          <t>Validation</t>
        </is>
      </c>
      <c r="C440" t="n">
        <v>7303</v>
      </c>
      <c r="D440" t="n">
        <v>9150</v>
      </c>
      <c r="E440" t="n">
        <v>26</v>
      </c>
      <c r="F440" t="n">
        <v>73655</v>
      </c>
      <c r="G440" t="n">
        <v>5</v>
      </c>
      <c r="H440" t="n">
        <v>9</v>
      </c>
      <c r="I440" t="n">
        <v>0</v>
      </c>
    </row>
    <row r="441">
      <c r="A441" t="n">
        <v>440</v>
      </c>
      <c r="B441" t="inlineStr">
        <is>
          <t>Train</t>
        </is>
      </c>
      <c r="C441" t="n">
        <v>2988</v>
      </c>
      <c r="D441" t="n">
        <v>7590</v>
      </c>
      <c r="E441" t="n">
        <v>47</v>
      </c>
      <c r="F441" t="n">
        <v>14632</v>
      </c>
      <c r="G441" t="n">
        <v>2</v>
      </c>
      <c r="H441" t="n">
        <v>14</v>
      </c>
      <c r="I441" t="n">
        <v>0</v>
      </c>
    </row>
    <row r="442">
      <c r="A442" t="n">
        <v>441</v>
      </c>
      <c r="B442" t="inlineStr">
        <is>
          <t>Train</t>
        </is>
      </c>
      <c r="C442" t="n">
        <v>8403</v>
      </c>
      <c r="D442" t="n">
        <v>20750</v>
      </c>
      <c r="E442" t="n">
        <v>38</v>
      </c>
      <c r="F442" t="n">
        <v>58833</v>
      </c>
      <c r="G442" t="n">
        <v>6</v>
      </c>
      <c r="H442" t="n">
        <v>14</v>
      </c>
      <c r="I442" t="n">
        <v>193644</v>
      </c>
    </row>
    <row r="443">
      <c r="A443" t="n">
        <v>442</v>
      </c>
      <c r="B443" t="inlineStr">
        <is>
          <t>Train</t>
        </is>
      </c>
      <c r="C443" t="n">
        <v>7228</v>
      </c>
      <c r="D443" t="n">
        <v>11700</v>
      </c>
      <c r="E443" t="n">
        <v>30</v>
      </c>
      <c r="F443" t="n">
        <v>10678</v>
      </c>
      <c r="G443" t="n">
        <v>8</v>
      </c>
      <c r="H443" t="n">
        <v>7</v>
      </c>
      <c r="I443" t="n">
        <v>0</v>
      </c>
    </row>
    <row r="444">
      <c r="A444" t="n">
        <v>443</v>
      </c>
      <c r="B444" t="inlineStr">
        <is>
          <t>Train</t>
        </is>
      </c>
      <c r="C444" t="n">
        <v>3230</v>
      </c>
      <c r="D444" t="n">
        <v>1500</v>
      </c>
      <c r="E444" t="n">
        <v>24</v>
      </c>
      <c r="F444" t="n">
        <v>13003</v>
      </c>
      <c r="G444" t="n">
        <v>4</v>
      </c>
      <c r="H444" t="n">
        <v>15</v>
      </c>
      <c r="I444" t="n">
        <v>104742</v>
      </c>
    </row>
    <row r="445">
      <c r="A445" t="n">
        <v>444</v>
      </c>
      <c r="B445" t="inlineStr">
        <is>
          <t>Train</t>
        </is>
      </c>
      <c r="C445" t="n">
        <v>6373</v>
      </c>
      <c r="D445" t="n">
        <v>14790</v>
      </c>
      <c r="E445" t="n">
        <v>32</v>
      </c>
      <c r="F445" t="n">
        <v>21400</v>
      </c>
      <c r="G445" t="n">
        <v>5</v>
      </c>
      <c r="H445" t="n">
        <v>11</v>
      </c>
      <c r="I445" t="n">
        <v>0</v>
      </c>
    </row>
    <row r="446">
      <c r="A446" t="n">
        <v>445</v>
      </c>
      <c r="B446" t="inlineStr">
        <is>
          <t>Train</t>
        </is>
      </c>
      <c r="C446" t="n">
        <v>30922</v>
      </c>
      <c r="D446" t="n">
        <v>3800</v>
      </c>
      <c r="E446" t="n">
        <v>22</v>
      </c>
      <c r="F446" t="n">
        <v>5442</v>
      </c>
      <c r="G446" t="n">
        <v>6</v>
      </c>
      <c r="H446" t="n">
        <v>10</v>
      </c>
      <c r="I446" t="n">
        <v>0</v>
      </c>
    </row>
    <row r="447">
      <c r="A447" t="n">
        <v>446</v>
      </c>
      <c r="B447" t="inlineStr">
        <is>
          <t>Train</t>
        </is>
      </c>
      <c r="C447" t="n">
        <v>6697</v>
      </c>
      <c r="D447" t="n">
        <v>10650</v>
      </c>
      <c r="E447" t="n">
        <v>38</v>
      </c>
      <c r="F447" t="n">
        <v>53532</v>
      </c>
      <c r="G447" t="n">
        <v>4</v>
      </c>
      <c r="H447" t="n">
        <v>10</v>
      </c>
      <c r="I447" t="n">
        <v>0</v>
      </c>
    </row>
    <row r="448">
      <c r="A448" t="n">
        <v>447</v>
      </c>
      <c r="B448" t="inlineStr">
        <is>
          <t>Validation</t>
        </is>
      </c>
      <c r="C448" t="n">
        <v>2616</v>
      </c>
      <c r="D448" t="n">
        <v>7910</v>
      </c>
      <c r="E448" t="n">
        <v>27</v>
      </c>
      <c r="F448" t="n">
        <v>37130</v>
      </c>
      <c r="G448" t="n">
        <v>1</v>
      </c>
      <c r="H448" t="n">
        <v>9</v>
      </c>
      <c r="I448" t="n">
        <v>0</v>
      </c>
    </row>
    <row r="449">
      <c r="A449" t="n">
        <v>448</v>
      </c>
      <c r="B449" t="inlineStr">
        <is>
          <t>Validation</t>
        </is>
      </c>
      <c r="C449" t="n">
        <v>18289</v>
      </c>
      <c r="D449" t="n">
        <v>9180</v>
      </c>
      <c r="E449" t="n">
        <v>44</v>
      </c>
      <c r="F449" t="n">
        <v>45152</v>
      </c>
      <c r="G449" t="n">
        <v>6</v>
      </c>
      <c r="H449" t="n">
        <v>8</v>
      </c>
      <c r="I449" t="n">
        <v>177436</v>
      </c>
    </row>
    <row r="450">
      <c r="A450" t="n">
        <v>449</v>
      </c>
      <c r="B450" t="inlineStr">
        <is>
          <t>Validation</t>
        </is>
      </c>
      <c r="C450" t="n">
        <v>5040</v>
      </c>
      <c r="D450" t="n">
        <v>20250</v>
      </c>
      <c r="E450" t="n">
        <v>38</v>
      </c>
      <c r="F450" t="n">
        <v>149453</v>
      </c>
      <c r="G450" t="n">
        <v>0</v>
      </c>
      <c r="H450" t="n">
        <v>12</v>
      </c>
      <c r="I450" t="n">
        <v>390144</v>
      </c>
    </row>
    <row r="451">
      <c r="A451" t="n">
        <v>450</v>
      </c>
      <c r="B451" t="inlineStr">
        <is>
          <t>Train</t>
        </is>
      </c>
      <c r="C451" t="n">
        <v>25614</v>
      </c>
      <c r="D451" t="n">
        <v>14830</v>
      </c>
      <c r="E451" t="n">
        <v>45</v>
      </c>
      <c r="F451" t="n">
        <v>212914</v>
      </c>
      <c r="G451" t="n">
        <v>4</v>
      </c>
      <c r="H451" t="n">
        <v>12</v>
      </c>
      <c r="I451" t="n">
        <v>553525</v>
      </c>
    </row>
    <row r="452">
      <c r="A452" t="n">
        <v>451</v>
      </c>
      <c r="B452" t="inlineStr">
        <is>
          <t>Train</t>
        </is>
      </c>
      <c r="C452" t="n">
        <v>28321</v>
      </c>
      <c r="D452" t="n">
        <v>26900</v>
      </c>
      <c r="E452" t="n">
        <v>57</v>
      </c>
      <c r="F452" t="n">
        <v>114830</v>
      </c>
      <c r="G452" t="n">
        <v>0</v>
      </c>
      <c r="H452" t="n">
        <v>11</v>
      </c>
      <c r="I452" t="n">
        <v>0</v>
      </c>
    </row>
    <row r="453">
      <c r="A453" t="n">
        <v>452</v>
      </c>
      <c r="B453" t="inlineStr">
        <is>
          <t>Train</t>
        </is>
      </c>
      <c r="C453" t="n">
        <v>37129</v>
      </c>
      <c r="D453" t="n">
        <v>8000</v>
      </c>
      <c r="E453" t="n">
        <v>65</v>
      </c>
      <c r="F453" t="n">
        <v>0</v>
      </c>
      <c r="G453" t="n">
        <v>0</v>
      </c>
      <c r="H453" t="n">
        <v>0</v>
      </c>
      <c r="I453" t="n">
        <v>94474</v>
      </c>
    </row>
    <row r="454">
      <c r="A454" t="n">
        <v>453</v>
      </c>
      <c r="B454" t="inlineStr">
        <is>
          <t>Train</t>
        </is>
      </c>
      <c r="C454" t="n">
        <v>9849</v>
      </c>
      <c r="D454" t="n">
        <v>16430</v>
      </c>
      <c r="E454" t="n">
        <v>59</v>
      </c>
      <c r="F454" t="n">
        <v>137279</v>
      </c>
      <c r="G454" t="n">
        <v>3</v>
      </c>
      <c r="H454" t="n">
        <v>8</v>
      </c>
      <c r="I454" t="n">
        <v>349652</v>
      </c>
    </row>
    <row r="455">
      <c r="A455" t="n">
        <v>454</v>
      </c>
      <c r="B455" t="inlineStr">
        <is>
          <t>Train</t>
        </is>
      </c>
      <c r="C455" t="n">
        <v>7476</v>
      </c>
      <c r="D455" t="n">
        <v>10750</v>
      </c>
      <c r="E455" t="n">
        <v>32</v>
      </c>
      <c r="F455" t="n">
        <v>52102</v>
      </c>
      <c r="G455" t="n">
        <v>2</v>
      </c>
      <c r="H455" t="n">
        <v>10</v>
      </c>
      <c r="I455" t="n">
        <v>213376</v>
      </c>
    </row>
    <row r="456">
      <c r="A456" t="n">
        <v>455</v>
      </c>
      <c r="B456" t="inlineStr">
        <is>
          <t>Train</t>
        </is>
      </c>
      <c r="C456" t="n">
        <v>7535</v>
      </c>
      <c r="D456" t="n">
        <v>6520</v>
      </c>
      <c r="E456" t="n">
        <v>35</v>
      </c>
      <c r="F456" t="n">
        <v>15234</v>
      </c>
      <c r="G456" t="n">
        <v>5</v>
      </c>
      <c r="H456" t="n">
        <v>12</v>
      </c>
      <c r="I456" t="n">
        <v>115903</v>
      </c>
    </row>
    <row r="457">
      <c r="A457" t="n">
        <v>456</v>
      </c>
      <c r="B457" t="inlineStr">
        <is>
          <t>Train</t>
        </is>
      </c>
      <c r="C457" t="n">
        <v>8917</v>
      </c>
      <c r="D457" t="n">
        <v>12970</v>
      </c>
      <c r="E457" t="n">
        <v>47</v>
      </c>
      <c r="F457" t="n">
        <v>57607</v>
      </c>
      <c r="G457" t="n">
        <v>5</v>
      </c>
      <c r="H457" t="n">
        <v>10</v>
      </c>
      <c r="I457" t="n">
        <v>0</v>
      </c>
    </row>
    <row r="458">
      <c r="A458" t="n">
        <v>457</v>
      </c>
      <c r="B458" t="inlineStr">
        <is>
          <t>Validation</t>
        </is>
      </c>
      <c r="C458" t="n">
        <v>7160</v>
      </c>
      <c r="D458" t="n">
        <v>1500</v>
      </c>
      <c r="E458" t="n">
        <v>35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458</v>
      </c>
      <c r="B459" t="inlineStr">
        <is>
          <t>Validation</t>
        </is>
      </c>
      <c r="C459" t="n">
        <v>1826</v>
      </c>
      <c r="D459" t="n">
        <v>20720</v>
      </c>
      <c r="E459" t="n">
        <v>45</v>
      </c>
      <c r="F459" t="n">
        <v>79941</v>
      </c>
      <c r="G459" t="n">
        <v>0</v>
      </c>
      <c r="H459" t="n">
        <v>14</v>
      </c>
      <c r="I459" t="n">
        <v>258068</v>
      </c>
    </row>
    <row r="460">
      <c r="A460" t="n">
        <v>459</v>
      </c>
      <c r="B460" t="inlineStr">
        <is>
          <t>Validation</t>
        </is>
      </c>
      <c r="C460" t="n">
        <v>982</v>
      </c>
      <c r="D460" t="n">
        <v>7070</v>
      </c>
      <c r="E460" t="n">
        <v>37</v>
      </c>
      <c r="F460" t="n">
        <v>0</v>
      </c>
      <c r="G460" t="n">
        <v>1</v>
      </c>
      <c r="H460" t="n">
        <v>0</v>
      </c>
      <c r="I460" t="n">
        <v>80883</v>
      </c>
    </row>
    <row r="461">
      <c r="A461" t="n">
        <v>460</v>
      </c>
      <c r="B461" t="inlineStr">
        <is>
          <t>Train</t>
        </is>
      </c>
      <c r="C461" t="n">
        <v>8752</v>
      </c>
      <c r="D461" t="n">
        <v>23060</v>
      </c>
      <c r="E461" t="n">
        <v>47</v>
      </c>
      <c r="F461" t="n">
        <v>0</v>
      </c>
      <c r="G461" t="n">
        <v>0</v>
      </c>
      <c r="H461" t="n">
        <v>0</v>
      </c>
      <c r="I461" t="n">
        <v>121454</v>
      </c>
    </row>
    <row r="462">
      <c r="A462" t="n">
        <v>461</v>
      </c>
      <c r="B462" t="inlineStr">
        <is>
          <t>Train</t>
        </is>
      </c>
      <c r="C462" t="n">
        <v>5040</v>
      </c>
      <c r="D462" t="n">
        <v>7200</v>
      </c>
      <c r="E462" t="n">
        <v>57</v>
      </c>
      <c r="F462" t="n">
        <v>41645</v>
      </c>
      <c r="G462" t="n">
        <v>0</v>
      </c>
      <c r="H462" t="n">
        <v>14</v>
      </c>
      <c r="I462" t="n">
        <v>160772</v>
      </c>
    </row>
    <row r="463">
      <c r="A463" t="n">
        <v>462</v>
      </c>
      <c r="B463" t="inlineStr">
        <is>
          <t>Train</t>
        </is>
      </c>
      <c r="C463" t="n">
        <v>5222</v>
      </c>
      <c r="D463" t="n">
        <v>21620</v>
      </c>
      <c r="E463" t="n">
        <v>37</v>
      </c>
      <c r="F463" t="n">
        <v>102604</v>
      </c>
      <c r="G463" t="n">
        <v>2</v>
      </c>
      <c r="H463" t="n">
        <v>12</v>
      </c>
      <c r="I463" t="n">
        <v>276929</v>
      </c>
    </row>
    <row r="464">
      <c r="A464" t="n">
        <v>463</v>
      </c>
      <c r="B464" t="inlineStr">
        <is>
          <t>Train</t>
        </is>
      </c>
      <c r="C464" t="n">
        <v>33075</v>
      </c>
      <c r="D464" t="n">
        <v>11340</v>
      </c>
      <c r="E464" t="n">
        <v>65</v>
      </c>
      <c r="F464" t="n">
        <v>22481</v>
      </c>
      <c r="G464" t="n">
        <v>0</v>
      </c>
      <c r="H464" t="n">
        <v>15</v>
      </c>
      <c r="I464" t="n">
        <v>127617</v>
      </c>
    </row>
    <row r="465">
      <c r="A465" t="n">
        <v>464</v>
      </c>
      <c r="B465" t="inlineStr">
        <is>
          <t>Train</t>
        </is>
      </c>
      <c r="C465" t="n">
        <v>2367</v>
      </c>
      <c r="D465" t="n">
        <v>25950</v>
      </c>
      <c r="E465" t="n">
        <v>53</v>
      </c>
      <c r="F465" t="n">
        <v>12336</v>
      </c>
      <c r="G465" t="n">
        <v>5</v>
      </c>
      <c r="H465" t="n">
        <v>9</v>
      </c>
      <c r="I465" t="n">
        <v>136383</v>
      </c>
    </row>
    <row r="466">
      <c r="A466" t="n">
        <v>465</v>
      </c>
      <c r="B466" t="inlineStr">
        <is>
          <t>Train</t>
        </is>
      </c>
      <c r="C466" t="n">
        <v>7567</v>
      </c>
      <c r="D466" t="n">
        <v>9140</v>
      </c>
      <c r="E466" t="n">
        <v>26</v>
      </c>
      <c r="F466" t="n">
        <v>50402</v>
      </c>
      <c r="G466" t="n">
        <v>0</v>
      </c>
      <c r="H466" t="n">
        <v>12</v>
      </c>
      <c r="I466" t="n">
        <v>169080</v>
      </c>
    </row>
    <row r="467">
      <c r="A467" t="n">
        <v>466</v>
      </c>
      <c r="B467" t="inlineStr">
        <is>
          <t>Train</t>
        </is>
      </c>
      <c r="C467" t="n">
        <v>5524</v>
      </c>
      <c r="D467" t="n">
        <v>6700</v>
      </c>
      <c r="E467" t="n">
        <v>52</v>
      </c>
      <c r="F467" t="n">
        <v>64531</v>
      </c>
      <c r="G467" t="n">
        <v>2</v>
      </c>
      <c r="H467" t="n">
        <v>7</v>
      </c>
      <c r="I467" t="n">
        <v>0</v>
      </c>
    </row>
    <row r="468">
      <c r="A468" t="n">
        <v>467</v>
      </c>
      <c r="B468" t="inlineStr">
        <is>
          <t>Validation</t>
        </is>
      </c>
      <c r="C468" t="n">
        <v>4235</v>
      </c>
      <c r="D468" t="n">
        <v>6700</v>
      </c>
      <c r="E468" t="n">
        <v>52</v>
      </c>
      <c r="F468" t="n">
        <v>81849</v>
      </c>
      <c r="G468" t="n">
        <v>6</v>
      </c>
      <c r="H468" t="n">
        <v>11</v>
      </c>
      <c r="I468" t="n">
        <v>273961</v>
      </c>
    </row>
    <row r="469">
      <c r="A469" t="n">
        <v>468</v>
      </c>
      <c r="B469" t="inlineStr">
        <is>
          <t>Validation</t>
        </is>
      </c>
      <c r="C469" t="n">
        <v>6265</v>
      </c>
      <c r="D469" t="n">
        <v>14130</v>
      </c>
      <c r="E469" t="n">
        <v>37</v>
      </c>
      <c r="F469" t="n">
        <v>89343</v>
      </c>
      <c r="G469" t="n">
        <v>0</v>
      </c>
      <c r="H469" t="n">
        <v>7</v>
      </c>
      <c r="I469" t="n">
        <v>251826</v>
      </c>
    </row>
    <row r="470">
      <c r="A470" t="n">
        <v>469</v>
      </c>
      <c r="B470" t="inlineStr">
        <is>
          <t>Validation</t>
        </is>
      </c>
      <c r="C470" t="n">
        <v>1391</v>
      </c>
      <c r="D470" t="n">
        <v>5600</v>
      </c>
      <c r="E470" t="n">
        <v>41</v>
      </c>
      <c r="F470" t="n">
        <v>17996</v>
      </c>
      <c r="G470" t="n">
        <v>1</v>
      </c>
      <c r="H470" t="n">
        <v>12</v>
      </c>
      <c r="I470" t="n">
        <v>94434</v>
      </c>
    </row>
    <row r="471">
      <c r="A471" t="n">
        <v>470</v>
      </c>
      <c r="B471" t="inlineStr">
        <is>
          <t>Train</t>
        </is>
      </c>
      <c r="C471" t="n">
        <v>6138</v>
      </c>
      <c r="D471" t="n">
        <v>42010</v>
      </c>
      <c r="E471" t="n">
        <v>58</v>
      </c>
      <c r="F471" t="n">
        <v>77886</v>
      </c>
      <c r="G471" t="n">
        <v>8</v>
      </c>
      <c r="H471" t="n">
        <v>8</v>
      </c>
      <c r="I471" t="n">
        <v>270550</v>
      </c>
    </row>
    <row r="472">
      <c r="A472" t="n">
        <v>471</v>
      </c>
      <c r="B472" t="inlineStr">
        <is>
          <t>Train</t>
        </is>
      </c>
      <c r="C472" t="n">
        <v>11035</v>
      </c>
      <c r="D472" t="n">
        <v>15770</v>
      </c>
      <c r="E472" t="n">
        <v>62</v>
      </c>
      <c r="F472" t="n">
        <v>54776</v>
      </c>
      <c r="G472" t="n">
        <v>6</v>
      </c>
      <c r="H472" t="n">
        <v>2</v>
      </c>
      <c r="I472" t="n">
        <v>237217</v>
      </c>
    </row>
    <row r="473">
      <c r="A473" t="n">
        <v>472</v>
      </c>
      <c r="B473" t="inlineStr">
        <is>
          <t>Train</t>
        </is>
      </c>
      <c r="C473" t="n">
        <v>3816</v>
      </c>
      <c r="D473" t="n">
        <v>22310</v>
      </c>
      <c r="E473" t="n">
        <v>40</v>
      </c>
      <c r="F473" t="n">
        <v>12339</v>
      </c>
      <c r="G473" t="n">
        <v>5</v>
      </c>
      <c r="H473" t="n">
        <v>14</v>
      </c>
      <c r="I473" t="n">
        <v>107774</v>
      </c>
    </row>
    <row r="474">
      <c r="A474" t="n">
        <v>473</v>
      </c>
      <c r="B474" t="inlineStr">
        <is>
          <t>Train</t>
        </is>
      </c>
      <c r="C474" t="n">
        <v>1738</v>
      </c>
      <c r="D474" t="n">
        <v>12100</v>
      </c>
      <c r="E474" t="n">
        <v>42</v>
      </c>
      <c r="F474" t="n">
        <v>22019</v>
      </c>
      <c r="G474" t="n">
        <v>0</v>
      </c>
      <c r="H474" t="n">
        <v>6</v>
      </c>
      <c r="I474" t="n">
        <v>140727</v>
      </c>
    </row>
    <row r="475">
      <c r="A475" t="n">
        <v>474</v>
      </c>
      <c r="B475" t="inlineStr">
        <is>
          <t>Train</t>
        </is>
      </c>
      <c r="C475" t="n">
        <v>5090</v>
      </c>
      <c r="D475" t="n">
        <v>5850</v>
      </c>
      <c r="E475" t="n">
        <v>38</v>
      </c>
      <c r="F475" t="n">
        <v>0</v>
      </c>
      <c r="G475" t="n">
        <v>6</v>
      </c>
      <c r="H475" t="n">
        <v>0</v>
      </c>
      <c r="I475" t="n">
        <v>0</v>
      </c>
    </row>
    <row r="476">
      <c r="A476" t="n">
        <v>475</v>
      </c>
      <c r="B476" t="inlineStr">
        <is>
          <t>Train</t>
        </is>
      </c>
      <c r="C476" t="n">
        <v>4843</v>
      </c>
      <c r="D476" t="n">
        <v>5400</v>
      </c>
      <c r="E476" t="n">
        <v>38</v>
      </c>
      <c r="F476" t="n">
        <v>31615</v>
      </c>
      <c r="G476" t="n">
        <v>0</v>
      </c>
      <c r="H476" t="n">
        <v>12</v>
      </c>
      <c r="I476" t="n">
        <v>151255</v>
      </c>
    </row>
    <row r="477">
      <c r="A477" t="n">
        <v>476</v>
      </c>
      <c r="B477" t="inlineStr">
        <is>
          <t>Train</t>
        </is>
      </c>
      <c r="C477" t="n">
        <v>4821</v>
      </c>
      <c r="D477" t="n">
        <v>11100</v>
      </c>
      <c r="E477" t="n">
        <v>62</v>
      </c>
      <c r="F477" t="n">
        <v>34033</v>
      </c>
      <c r="G477" t="n">
        <v>7</v>
      </c>
      <c r="H477" t="n">
        <v>12</v>
      </c>
      <c r="I477" t="n">
        <v>0</v>
      </c>
    </row>
    <row r="478">
      <c r="A478" t="n">
        <v>477</v>
      </c>
      <c r="B478" t="inlineStr">
        <is>
          <t>Validation</t>
        </is>
      </c>
      <c r="C478" t="n">
        <v>17308</v>
      </c>
      <c r="D478" t="n">
        <v>6640</v>
      </c>
      <c r="E478" t="n">
        <v>28</v>
      </c>
      <c r="F478" t="n">
        <v>23427</v>
      </c>
      <c r="G478" t="n">
        <v>6</v>
      </c>
      <c r="H478" t="n">
        <v>10</v>
      </c>
      <c r="I478" t="n">
        <v>98357</v>
      </c>
    </row>
    <row r="479">
      <c r="A479" t="n">
        <v>478</v>
      </c>
      <c r="B479" t="inlineStr">
        <is>
          <t>Validation</t>
        </is>
      </c>
      <c r="C479" t="n">
        <v>2757</v>
      </c>
      <c r="D479" t="n">
        <v>18700</v>
      </c>
      <c r="E479" t="n">
        <v>57</v>
      </c>
      <c r="F479" t="n">
        <v>68350</v>
      </c>
      <c r="G479" t="n">
        <v>1</v>
      </c>
      <c r="H479" t="n">
        <v>12</v>
      </c>
      <c r="I479" t="n">
        <v>222894</v>
      </c>
    </row>
    <row r="480">
      <c r="A480" t="n">
        <v>479</v>
      </c>
      <c r="B480" t="inlineStr">
        <is>
          <t>Validation</t>
        </is>
      </c>
      <c r="C480" t="n">
        <v>9624</v>
      </c>
      <c r="D480" t="n">
        <v>11630</v>
      </c>
      <c r="E480" t="n">
        <v>35</v>
      </c>
      <c r="F480" t="n">
        <v>0</v>
      </c>
      <c r="G480" t="n">
        <v>6</v>
      </c>
      <c r="H480" t="n">
        <v>0</v>
      </c>
      <c r="I480" t="n">
        <v>0</v>
      </c>
    </row>
    <row r="481">
      <c r="A481" t="n">
        <v>480</v>
      </c>
      <c r="B481" t="inlineStr">
        <is>
          <t>Train</t>
        </is>
      </c>
      <c r="C481" t="n">
        <v>7410</v>
      </c>
      <c r="D481" t="n">
        <v>17300</v>
      </c>
      <c r="E481" t="n">
        <v>45</v>
      </c>
      <c r="F481" t="n">
        <v>39196</v>
      </c>
      <c r="G481" t="n">
        <v>3</v>
      </c>
      <c r="H481" t="n">
        <v>15</v>
      </c>
      <c r="I481" t="n">
        <v>0</v>
      </c>
    </row>
    <row r="482">
      <c r="A482" t="n">
        <v>481</v>
      </c>
      <c r="B482" t="inlineStr">
        <is>
          <t>Train</t>
        </is>
      </c>
      <c r="C482" t="n">
        <v>4858</v>
      </c>
      <c r="D482" t="n">
        <v>27910</v>
      </c>
      <c r="E482" t="n">
        <v>41</v>
      </c>
      <c r="F482" t="n">
        <v>38819</v>
      </c>
      <c r="G482" t="n">
        <v>0</v>
      </c>
      <c r="H482" t="n">
        <v>16</v>
      </c>
      <c r="I482" t="n">
        <v>154796</v>
      </c>
    </row>
    <row r="483">
      <c r="A483" t="n">
        <v>482</v>
      </c>
      <c r="B483" t="inlineStr">
        <is>
          <t>Train</t>
        </is>
      </c>
      <c r="C483" t="n">
        <v>1799</v>
      </c>
      <c r="D483" t="n">
        <v>22590</v>
      </c>
      <c r="E483" t="n">
        <v>40</v>
      </c>
      <c r="F483" t="n">
        <v>44138</v>
      </c>
      <c r="G483" t="n">
        <v>2</v>
      </c>
      <c r="H483" t="n">
        <v>9</v>
      </c>
      <c r="I483" t="n">
        <v>0</v>
      </c>
    </row>
    <row r="484">
      <c r="A484" t="n">
        <v>483</v>
      </c>
      <c r="B484" t="inlineStr">
        <is>
          <t>Train</t>
        </is>
      </c>
      <c r="C484" t="n">
        <v>1434</v>
      </c>
      <c r="D484" t="n">
        <v>9830</v>
      </c>
      <c r="E484" t="n">
        <v>45</v>
      </c>
      <c r="F484" t="n">
        <v>38290</v>
      </c>
      <c r="G484" t="n">
        <v>0</v>
      </c>
      <c r="H484" t="n">
        <v>9</v>
      </c>
      <c r="I484" t="n">
        <v>157907</v>
      </c>
    </row>
    <row r="485">
      <c r="A485" t="n">
        <v>484</v>
      </c>
      <c r="B485" t="inlineStr">
        <is>
          <t>Train</t>
        </is>
      </c>
      <c r="C485" t="n">
        <v>31379</v>
      </c>
      <c r="D485" t="n">
        <v>7810</v>
      </c>
      <c r="E485" t="n">
        <v>33</v>
      </c>
      <c r="F485" t="n">
        <v>0</v>
      </c>
      <c r="G485" t="n">
        <v>5</v>
      </c>
      <c r="H485" t="n">
        <v>0</v>
      </c>
      <c r="I485" t="n">
        <v>0</v>
      </c>
    </row>
    <row r="486">
      <c r="A486" t="n">
        <v>485</v>
      </c>
      <c r="B486" t="inlineStr">
        <is>
          <t>Train</t>
        </is>
      </c>
      <c r="C486" t="n">
        <v>4037</v>
      </c>
      <c r="D486" t="n">
        <v>17930</v>
      </c>
      <c r="E486" t="n">
        <v>52</v>
      </c>
      <c r="F486" t="n">
        <v>54545</v>
      </c>
      <c r="G486" t="n">
        <v>0</v>
      </c>
      <c r="H486" t="n">
        <v>5</v>
      </c>
      <c r="I486" t="n">
        <v>0</v>
      </c>
    </row>
    <row r="487">
      <c r="A487" t="n">
        <v>486</v>
      </c>
      <c r="B487" t="inlineStr">
        <is>
          <t>Train</t>
        </is>
      </c>
      <c r="C487" t="n">
        <v>1344</v>
      </c>
      <c r="D487" t="n">
        <v>15290</v>
      </c>
      <c r="E487" t="n">
        <v>39</v>
      </c>
      <c r="F487" t="n">
        <v>0</v>
      </c>
      <c r="G487" t="n">
        <v>5</v>
      </c>
      <c r="H487" t="n">
        <v>0</v>
      </c>
      <c r="I487" t="n">
        <v>82620</v>
      </c>
    </row>
    <row r="488">
      <c r="A488" t="n">
        <v>487</v>
      </c>
      <c r="B488" t="inlineStr">
        <is>
          <t>Validation</t>
        </is>
      </c>
      <c r="C488" t="n">
        <v>5555</v>
      </c>
      <c r="D488" t="n">
        <v>26420</v>
      </c>
      <c r="E488" t="n">
        <v>54</v>
      </c>
      <c r="F488" t="n">
        <v>103454</v>
      </c>
      <c r="G488" t="n">
        <v>4</v>
      </c>
      <c r="H488" t="n">
        <v>12</v>
      </c>
      <c r="I488" t="n">
        <v>303050</v>
      </c>
    </row>
    <row r="489">
      <c r="A489" t="n">
        <v>488</v>
      </c>
      <c r="B489" t="inlineStr">
        <is>
          <t>Validation</t>
        </is>
      </c>
      <c r="C489" t="n">
        <v>2721</v>
      </c>
      <c r="D489" t="n">
        <v>11330</v>
      </c>
      <c r="E489" t="n">
        <v>38</v>
      </c>
      <c r="F489" t="n">
        <v>51996</v>
      </c>
      <c r="G489" t="n">
        <v>1</v>
      </c>
      <c r="H489" t="n">
        <v>9</v>
      </c>
      <c r="I489" t="n">
        <v>223035</v>
      </c>
    </row>
    <row r="490">
      <c r="A490" t="n">
        <v>489</v>
      </c>
      <c r="B490" t="inlineStr">
        <is>
          <t>Validation</t>
        </is>
      </c>
      <c r="C490" t="n">
        <v>2555</v>
      </c>
      <c r="D490" t="n">
        <v>16060</v>
      </c>
      <c r="E490" t="n">
        <v>29</v>
      </c>
      <c r="F490" t="n">
        <v>445</v>
      </c>
      <c r="G490" t="n">
        <v>0</v>
      </c>
      <c r="H490" t="n">
        <v>9</v>
      </c>
      <c r="I490" t="n">
        <v>97183</v>
      </c>
    </row>
    <row r="491">
      <c r="A491" t="n">
        <v>490</v>
      </c>
      <c r="B491" t="inlineStr">
        <is>
          <t>Train</t>
        </is>
      </c>
      <c r="C491" t="n">
        <v>9828</v>
      </c>
      <c r="D491" t="n">
        <v>3470</v>
      </c>
      <c r="E491" t="n">
        <v>42</v>
      </c>
      <c r="F491" t="n">
        <v>139335</v>
      </c>
      <c r="G491" t="n">
        <v>5</v>
      </c>
      <c r="H491" t="n">
        <v>7</v>
      </c>
      <c r="I491" t="n">
        <v>0</v>
      </c>
    </row>
    <row r="492">
      <c r="A492" t="n">
        <v>491</v>
      </c>
      <c r="B492" t="inlineStr">
        <is>
          <t>Train</t>
        </is>
      </c>
      <c r="C492" t="n">
        <v>26023</v>
      </c>
      <c r="D492" t="n">
        <v>6970</v>
      </c>
      <c r="E492" t="n">
        <v>29</v>
      </c>
      <c r="F492" t="n">
        <v>17120</v>
      </c>
      <c r="G492" t="n">
        <v>4</v>
      </c>
      <c r="H492" t="n">
        <v>3</v>
      </c>
      <c r="I492" t="n">
        <v>117426</v>
      </c>
    </row>
    <row r="493">
      <c r="A493" t="n">
        <v>492</v>
      </c>
      <c r="B493" t="inlineStr">
        <is>
          <t>Train</t>
        </is>
      </c>
      <c r="C493" t="n">
        <v>19899</v>
      </c>
      <c r="D493" t="n">
        <v>12400</v>
      </c>
      <c r="E493" t="n">
        <v>47</v>
      </c>
      <c r="F493" t="n">
        <v>62048</v>
      </c>
      <c r="G493" t="n">
        <v>5</v>
      </c>
      <c r="H493" t="n">
        <v>14</v>
      </c>
      <c r="I493" t="n">
        <v>0</v>
      </c>
    </row>
    <row r="494">
      <c r="A494" t="n">
        <v>493</v>
      </c>
      <c r="B494" t="inlineStr">
        <is>
          <t>Train</t>
        </is>
      </c>
      <c r="C494" t="n">
        <v>47837</v>
      </c>
      <c r="D494" t="n">
        <v>25040</v>
      </c>
      <c r="E494" t="n">
        <v>44</v>
      </c>
      <c r="F494" t="n">
        <v>68081</v>
      </c>
      <c r="G494" t="n">
        <v>6</v>
      </c>
      <c r="H494" t="n">
        <v>2</v>
      </c>
      <c r="I494" t="n">
        <v>221459</v>
      </c>
    </row>
    <row r="495">
      <c r="A495" t="n">
        <v>494</v>
      </c>
      <c r="B495" t="inlineStr">
        <is>
          <t>Train</t>
        </is>
      </c>
      <c r="C495" t="n">
        <v>4905</v>
      </c>
      <c r="D495" t="n">
        <v>9040</v>
      </c>
      <c r="E495" t="n">
        <v>36</v>
      </c>
      <c r="F495" t="n">
        <v>39376</v>
      </c>
      <c r="G495" t="n">
        <v>4</v>
      </c>
      <c r="H495" t="n">
        <v>7</v>
      </c>
      <c r="I495" t="n">
        <v>142985</v>
      </c>
    </row>
    <row r="496">
      <c r="A496" t="n">
        <v>495</v>
      </c>
      <c r="B496" t="inlineStr">
        <is>
          <t>Train</t>
        </is>
      </c>
      <c r="C496" t="n">
        <v>7497</v>
      </c>
      <c r="D496" t="n">
        <v>10860</v>
      </c>
      <c r="E496" t="n">
        <v>42</v>
      </c>
      <c r="F496" t="n">
        <v>51608</v>
      </c>
      <c r="G496" t="n">
        <v>5</v>
      </c>
      <c r="H496" t="n">
        <v>17</v>
      </c>
      <c r="I496" t="n">
        <v>169843</v>
      </c>
    </row>
    <row r="497">
      <c r="A497" t="n">
        <v>496</v>
      </c>
      <c r="B497" t="inlineStr">
        <is>
          <t>Train</t>
        </is>
      </c>
      <c r="C497" t="n">
        <v>5984</v>
      </c>
      <c r="D497" t="n">
        <v>6700</v>
      </c>
      <c r="E497" t="n">
        <v>52</v>
      </c>
      <c r="F497" t="n">
        <v>77351</v>
      </c>
      <c r="G497" t="n">
        <v>6</v>
      </c>
      <c r="H497" t="n">
        <v>13</v>
      </c>
      <c r="I497" t="n">
        <v>187879</v>
      </c>
    </row>
    <row r="498">
      <c r="A498" t="n">
        <v>497</v>
      </c>
      <c r="B498" t="inlineStr">
        <is>
          <t>Validation</t>
        </is>
      </c>
      <c r="C498" t="n">
        <v>9642</v>
      </c>
      <c r="D498" t="n">
        <v>9400</v>
      </c>
      <c r="E498" t="n">
        <v>41</v>
      </c>
      <c r="F498" t="n">
        <v>18523</v>
      </c>
      <c r="G498" t="n">
        <v>2</v>
      </c>
      <c r="H498" t="n">
        <v>10</v>
      </c>
      <c r="I498" t="n">
        <v>0</v>
      </c>
    </row>
    <row r="499">
      <c r="A499" t="n">
        <v>498</v>
      </c>
      <c r="B499" t="inlineStr">
        <is>
          <t>Validation</t>
        </is>
      </c>
      <c r="C499" t="n">
        <v>8521</v>
      </c>
      <c r="D499" t="n">
        <v>5830</v>
      </c>
      <c r="E499" t="n">
        <v>41</v>
      </c>
      <c r="F499" t="n">
        <v>2346</v>
      </c>
      <c r="G499" t="n">
        <v>0</v>
      </c>
      <c r="H499" t="n">
        <v>14</v>
      </c>
      <c r="I499" t="n">
        <v>0</v>
      </c>
    </row>
    <row r="500">
      <c r="A500" t="n">
        <v>499</v>
      </c>
      <c r="B500" t="inlineStr">
        <is>
          <t>Validation</t>
        </is>
      </c>
      <c r="C500" t="n">
        <v>5971</v>
      </c>
      <c r="D500" t="n">
        <v>23870</v>
      </c>
      <c r="E500" t="n">
        <v>54</v>
      </c>
      <c r="F500" t="n">
        <v>71530</v>
      </c>
      <c r="G500" t="n">
        <v>0</v>
      </c>
      <c r="H500" t="n">
        <v>9</v>
      </c>
      <c r="I500" t="n">
        <v>0</v>
      </c>
    </row>
    <row r="501">
      <c r="A501" t="n">
        <v>500</v>
      </c>
      <c r="B501" t="inlineStr">
        <is>
          <t>Train</t>
        </is>
      </c>
      <c r="C501" t="n">
        <v>29471</v>
      </c>
      <c r="D501" t="n">
        <v>17760</v>
      </c>
      <c r="E501" t="n">
        <v>31</v>
      </c>
      <c r="F501" t="n">
        <v>65651</v>
      </c>
      <c r="G501" t="n">
        <v>0</v>
      </c>
      <c r="H501" t="n">
        <v>12</v>
      </c>
      <c r="I501" t="n">
        <v>288294</v>
      </c>
    </row>
    <row r="502">
      <c r="A502" t="n">
        <v>501</v>
      </c>
      <c r="B502" t="inlineStr">
        <is>
          <t>Train</t>
        </is>
      </c>
      <c r="C502" t="n">
        <v>2482</v>
      </c>
      <c r="D502" t="n">
        <v>10440</v>
      </c>
      <c r="E502" t="n">
        <v>63</v>
      </c>
      <c r="F502" t="n">
        <v>0</v>
      </c>
      <c r="G502" t="n">
        <v>0</v>
      </c>
      <c r="H502" t="n">
        <v>0</v>
      </c>
      <c r="I502" t="n">
        <v>111129</v>
      </c>
    </row>
    <row r="503">
      <c r="A503" t="n">
        <v>502</v>
      </c>
      <c r="B503" t="inlineStr">
        <is>
          <t>Train</t>
        </is>
      </c>
      <c r="C503" t="n">
        <v>4959</v>
      </c>
      <c r="D503" t="n">
        <v>5800</v>
      </c>
      <c r="E503" t="n">
        <v>43</v>
      </c>
      <c r="F503" t="n">
        <v>0</v>
      </c>
      <c r="G503" t="n">
        <v>3</v>
      </c>
      <c r="H503" t="n">
        <v>0</v>
      </c>
      <c r="I503" t="n">
        <v>117111</v>
      </c>
    </row>
    <row r="504">
      <c r="A504" t="n">
        <v>503</v>
      </c>
      <c r="B504" t="inlineStr">
        <is>
          <t>Train</t>
        </is>
      </c>
      <c r="C504" t="n">
        <v>6937</v>
      </c>
      <c r="D504" t="n">
        <v>9480</v>
      </c>
      <c r="E504" t="n">
        <v>33</v>
      </c>
      <c r="F504" t="n">
        <v>46780</v>
      </c>
      <c r="G504" t="n">
        <v>5</v>
      </c>
      <c r="H504" t="n">
        <v>14</v>
      </c>
      <c r="I504" t="n">
        <v>142430</v>
      </c>
    </row>
    <row r="505">
      <c r="A505" t="n">
        <v>504</v>
      </c>
      <c r="B505" t="inlineStr">
        <is>
          <t>Train</t>
        </is>
      </c>
      <c r="C505" t="n">
        <v>35737</v>
      </c>
      <c r="D505" t="n">
        <v>14850</v>
      </c>
      <c r="E505" t="n">
        <v>43</v>
      </c>
      <c r="F505" t="n">
        <v>65779</v>
      </c>
      <c r="G505" t="n">
        <v>4</v>
      </c>
      <c r="H505" t="n">
        <v>13</v>
      </c>
      <c r="I505" t="n">
        <v>190317</v>
      </c>
    </row>
    <row r="506">
      <c r="A506" t="n">
        <v>505</v>
      </c>
      <c r="B506" t="inlineStr">
        <is>
          <t>Train</t>
        </is>
      </c>
      <c r="C506" t="n">
        <v>3373</v>
      </c>
      <c r="D506" t="n">
        <v>12370</v>
      </c>
      <c r="E506" t="n">
        <v>36</v>
      </c>
      <c r="F506" t="n">
        <v>0</v>
      </c>
      <c r="G506" t="n">
        <v>1</v>
      </c>
      <c r="H506" t="n">
        <v>0</v>
      </c>
      <c r="I506" t="n">
        <v>0</v>
      </c>
    </row>
    <row r="507">
      <c r="A507" t="n">
        <v>506</v>
      </c>
      <c r="B507" t="inlineStr">
        <is>
          <t>Train</t>
        </is>
      </c>
      <c r="C507" t="n">
        <v>1108</v>
      </c>
      <c r="D507" t="n">
        <v>10270</v>
      </c>
      <c r="E507" t="n">
        <v>33</v>
      </c>
      <c r="F507" t="n">
        <v>9530</v>
      </c>
      <c r="G507" t="n">
        <v>5</v>
      </c>
      <c r="H507" t="n">
        <v>9</v>
      </c>
      <c r="I507" t="n">
        <v>0</v>
      </c>
    </row>
    <row r="508">
      <c r="A508" t="n">
        <v>507</v>
      </c>
      <c r="B508" t="inlineStr">
        <is>
          <t>Validation</t>
        </is>
      </c>
      <c r="C508" t="n">
        <v>4111</v>
      </c>
      <c r="D508" t="n">
        <v>9600</v>
      </c>
      <c r="E508" t="n">
        <v>38</v>
      </c>
      <c r="F508" t="n">
        <v>43036</v>
      </c>
      <c r="G508" t="n">
        <v>0</v>
      </c>
      <c r="H508" t="n">
        <v>11</v>
      </c>
      <c r="I508" t="n">
        <v>0</v>
      </c>
    </row>
    <row r="509">
      <c r="A509" t="n">
        <v>508</v>
      </c>
      <c r="B509" t="inlineStr">
        <is>
          <t>Validation</t>
        </is>
      </c>
      <c r="C509" t="n">
        <v>8296</v>
      </c>
      <c r="D509" t="n">
        <v>6630</v>
      </c>
      <c r="E509" t="n">
        <v>37</v>
      </c>
      <c r="F509" t="n">
        <v>17197</v>
      </c>
      <c r="G509" t="n">
        <v>6</v>
      </c>
      <c r="H509" t="n">
        <v>11</v>
      </c>
      <c r="I509" t="n">
        <v>0</v>
      </c>
    </row>
    <row r="510">
      <c r="A510" t="n">
        <v>509</v>
      </c>
      <c r="B510" t="inlineStr">
        <is>
          <t>Validation</t>
        </is>
      </c>
      <c r="C510" t="n">
        <v>29865</v>
      </c>
      <c r="D510" t="n">
        <v>12380</v>
      </c>
      <c r="E510" t="n">
        <v>53</v>
      </c>
      <c r="F510" t="n">
        <v>0</v>
      </c>
      <c r="G510" t="n">
        <v>0</v>
      </c>
      <c r="H510" t="n">
        <v>0</v>
      </c>
      <c r="I510" t="n">
        <v>116797</v>
      </c>
    </row>
    <row r="511">
      <c r="A511" t="n">
        <v>510</v>
      </c>
      <c r="B511" t="inlineStr">
        <is>
          <t>Train</t>
        </is>
      </c>
      <c r="C511" t="n">
        <v>3441</v>
      </c>
      <c r="D511" t="n">
        <v>23030</v>
      </c>
      <c r="E511" t="n">
        <v>44</v>
      </c>
      <c r="F511" t="n">
        <v>124829</v>
      </c>
      <c r="G511" t="n">
        <v>0</v>
      </c>
      <c r="H511" t="n">
        <v>9</v>
      </c>
      <c r="I511" t="n">
        <v>0</v>
      </c>
    </row>
    <row r="512">
      <c r="A512" t="n">
        <v>511</v>
      </c>
      <c r="B512" t="inlineStr">
        <is>
          <t>Train</t>
        </is>
      </c>
      <c r="C512" t="n">
        <v>4346</v>
      </c>
      <c r="D512" t="n">
        <v>24710</v>
      </c>
      <c r="E512" t="n">
        <v>70</v>
      </c>
      <c r="F512" t="n">
        <v>62304</v>
      </c>
      <c r="G512" t="n">
        <v>5</v>
      </c>
      <c r="H512" t="n">
        <v>16</v>
      </c>
      <c r="I512" t="n">
        <v>214707</v>
      </c>
    </row>
    <row r="513">
      <c r="A513" t="n">
        <v>512</v>
      </c>
      <c r="B513" t="inlineStr">
        <is>
          <t>Train</t>
        </is>
      </c>
      <c r="C513" t="n">
        <v>32562</v>
      </c>
      <c r="D513" t="n">
        <v>7770</v>
      </c>
      <c r="E513" t="n">
        <v>43</v>
      </c>
      <c r="F513" t="n">
        <v>0</v>
      </c>
      <c r="G513" t="n">
        <v>6</v>
      </c>
      <c r="H513" t="n">
        <v>0</v>
      </c>
      <c r="I513" t="n">
        <v>0</v>
      </c>
    </row>
    <row r="514">
      <c r="A514" t="n">
        <v>513</v>
      </c>
      <c r="B514" t="inlineStr">
        <is>
          <t>Train</t>
        </is>
      </c>
      <c r="C514" t="n">
        <v>8377</v>
      </c>
      <c r="D514" t="n">
        <v>19030</v>
      </c>
      <c r="E514" t="n">
        <v>61</v>
      </c>
      <c r="F514" t="n">
        <v>41801</v>
      </c>
      <c r="G514" t="n">
        <v>6</v>
      </c>
      <c r="H514" t="n">
        <v>16</v>
      </c>
      <c r="I514" t="n">
        <v>210979</v>
      </c>
    </row>
    <row r="515">
      <c r="A515" t="n">
        <v>514</v>
      </c>
      <c r="B515" t="inlineStr">
        <is>
          <t>Train</t>
        </is>
      </c>
      <c r="C515" t="n">
        <v>27872</v>
      </c>
      <c r="D515" t="n">
        <v>17850</v>
      </c>
      <c r="E515" t="n">
        <v>24</v>
      </c>
      <c r="F515" t="n">
        <v>20220</v>
      </c>
      <c r="G515" t="n">
        <v>9</v>
      </c>
      <c r="H515" t="n">
        <v>10</v>
      </c>
      <c r="I515" t="n">
        <v>115168</v>
      </c>
    </row>
    <row r="516">
      <c r="A516" t="n">
        <v>515</v>
      </c>
      <c r="B516" t="inlineStr">
        <is>
          <t>Train</t>
        </is>
      </c>
      <c r="C516" t="n">
        <v>9267</v>
      </c>
      <c r="D516" t="n">
        <v>8390</v>
      </c>
      <c r="E516" t="n">
        <v>38</v>
      </c>
      <c r="F516" t="n">
        <v>30886</v>
      </c>
      <c r="G516" t="n">
        <v>2</v>
      </c>
      <c r="H516" t="n">
        <v>11</v>
      </c>
      <c r="I516" t="n">
        <v>0</v>
      </c>
    </row>
    <row r="517">
      <c r="A517" t="n">
        <v>516</v>
      </c>
      <c r="B517" t="inlineStr">
        <is>
          <t>Train</t>
        </is>
      </c>
      <c r="C517" t="n">
        <v>1327</v>
      </c>
      <c r="D517" t="n">
        <v>20590</v>
      </c>
      <c r="E517" t="n">
        <v>48</v>
      </c>
      <c r="F517" t="n">
        <v>132284</v>
      </c>
      <c r="G517" t="n">
        <v>3</v>
      </c>
      <c r="H517" t="n">
        <v>15</v>
      </c>
      <c r="I517" t="n">
        <v>346399</v>
      </c>
    </row>
    <row r="518">
      <c r="A518" t="n">
        <v>517</v>
      </c>
      <c r="B518" t="inlineStr">
        <is>
          <t>Validation</t>
        </is>
      </c>
      <c r="C518" t="n">
        <v>3182</v>
      </c>
      <c r="D518" t="n">
        <v>18960</v>
      </c>
      <c r="E518" t="n">
        <v>39</v>
      </c>
      <c r="F518" t="n">
        <v>59402</v>
      </c>
      <c r="G518" t="n">
        <v>2</v>
      </c>
      <c r="H518" t="n">
        <v>7</v>
      </c>
      <c r="I518" t="n">
        <v>186000</v>
      </c>
    </row>
    <row r="519">
      <c r="A519" t="n">
        <v>518</v>
      </c>
      <c r="B519" t="inlineStr">
        <is>
          <t>Validation</t>
        </is>
      </c>
      <c r="C519" t="n">
        <v>7628</v>
      </c>
      <c r="D519" t="n">
        <v>15640</v>
      </c>
      <c r="E519" t="n">
        <v>28</v>
      </c>
      <c r="F519" t="n">
        <v>57417</v>
      </c>
      <c r="G519" t="n">
        <v>0</v>
      </c>
      <c r="H519" t="n">
        <v>11</v>
      </c>
      <c r="I519" t="n">
        <v>144443</v>
      </c>
    </row>
    <row r="520">
      <c r="A520" t="n">
        <v>519</v>
      </c>
      <c r="B520" t="inlineStr">
        <is>
          <t>Validation</t>
        </is>
      </c>
      <c r="C520" t="n">
        <v>1038</v>
      </c>
      <c r="D520" t="n">
        <v>17960</v>
      </c>
      <c r="E520" t="n">
        <v>36</v>
      </c>
      <c r="F520" t="n">
        <v>15493</v>
      </c>
      <c r="G520" t="n">
        <v>1</v>
      </c>
      <c r="H520" t="n">
        <v>9</v>
      </c>
      <c r="I520" t="n">
        <v>103733</v>
      </c>
    </row>
    <row r="521">
      <c r="A521" t="n">
        <v>520</v>
      </c>
      <c r="B521" t="inlineStr">
        <is>
          <t>Train</t>
        </is>
      </c>
      <c r="C521" t="n">
        <v>3730</v>
      </c>
      <c r="D521" t="n">
        <v>8330</v>
      </c>
      <c r="E521" t="n">
        <v>60</v>
      </c>
      <c r="F521" t="n">
        <v>8250</v>
      </c>
      <c r="G521" t="n">
        <v>2</v>
      </c>
      <c r="H521" t="n">
        <v>13</v>
      </c>
      <c r="I521" t="n">
        <v>113386</v>
      </c>
    </row>
    <row r="522">
      <c r="A522" t="n">
        <v>521</v>
      </c>
      <c r="B522" t="inlineStr">
        <is>
          <t>Train</t>
        </is>
      </c>
      <c r="C522" t="n">
        <v>28386</v>
      </c>
      <c r="D522" t="n">
        <v>13520</v>
      </c>
      <c r="E522" t="n">
        <v>22</v>
      </c>
      <c r="F522" t="n">
        <v>0</v>
      </c>
      <c r="G522" t="n">
        <v>2</v>
      </c>
      <c r="H522" t="n">
        <v>0</v>
      </c>
      <c r="I522" t="n">
        <v>0</v>
      </c>
    </row>
    <row r="523">
      <c r="A523" t="n">
        <v>522</v>
      </c>
      <c r="B523" t="inlineStr">
        <is>
          <t>Train</t>
        </is>
      </c>
      <c r="C523" t="n">
        <v>11963</v>
      </c>
      <c r="D523" t="n">
        <v>26940</v>
      </c>
      <c r="E523" t="n">
        <v>33</v>
      </c>
      <c r="F523" t="n">
        <v>6607</v>
      </c>
      <c r="G523" t="n">
        <v>2</v>
      </c>
      <c r="H523" t="n">
        <v>14</v>
      </c>
      <c r="I523" t="n">
        <v>0</v>
      </c>
    </row>
    <row r="524">
      <c r="A524" t="n">
        <v>523</v>
      </c>
      <c r="B524" t="inlineStr">
        <is>
          <t>Train</t>
        </is>
      </c>
      <c r="C524" t="n">
        <v>41621</v>
      </c>
      <c r="D524" t="n">
        <v>10200</v>
      </c>
      <c r="E524" t="n">
        <v>35</v>
      </c>
      <c r="F524" t="n">
        <v>51996</v>
      </c>
      <c r="G524" t="n">
        <v>5</v>
      </c>
      <c r="H524" t="n">
        <v>10</v>
      </c>
      <c r="I524" t="n">
        <v>0</v>
      </c>
    </row>
    <row r="525">
      <c r="A525" t="n">
        <v>524</v>
      </c>
      <c r="B525" t="inlineStr">
        <is>
          <t>Train</t>
        </is>
      </c>
      <c r="C525" t="n">
        <v>1218</v>
      </c>
      <c r="D525" t="n">
        <v>9360</v>
      </c>
      <c r="E525" t="n">
        <v>39</v>
      </c>
      <c r="F525" t="n">
        <v>39619</v>
      </c>
      <c r="G525" t="n">
        <v>3</v>
      </c>
      <c r="H525" t="n">
        <v>12</v>
      </c>
      <c r="I525" t="n">
        <v>183660</v>
      </c>
    </row>
    <row r="526">
      <c r="A526" t="n">
        <v>525</v>
      </c>
      <c r="B526" t="inlineStr">
        <is>
          <t>Train</t>
        </is>
      </c>
      <c r="C526" t="n">
        <v>11353</v>
      </c>
      <c r="D526" t="n">
        <v>16870</v>
      </c>
      <c r="E526" t="n">
        <v>35</v>
      </c>
      <c r="F526" t="n">
        <v>0</v>
      </c>
      <c r="G526" t="n">
        <v>2</v>
      </c>
      <c r="H526" t="n">
        <v>0</v>
      </c>
      <c r="I526" t="n">
        <v>99767</v>
      </c>
    </row>
    <row r="527">
      <c r="A527" t="n">
        <v>526</v>
      </c>
      <c r="B527" t="inlineStr">
        <is>
          <t>Train</t>
        </is>
      </c>
      <c r="C527" t="n">
        <v>28366</v>
      </c>
      <c r="D527" t="n">
        <v>15740</v>
      </c>
      <c r="E527" t="n">
        <v>25</v>
      </c>
      <c r="F527" t="n">
        <v>64122</v>
      </c>
      <c r="G527" t="n">
        <v>0</v>
      </c>
      <c r="H527" t="n">
        <v>11</v>
      </c>
      <c r="I527" t="n">
        <v>196842</v>
      </c>
    </row>
    <row r="528">
      <c r="A528" t="n">
        <v>527</v>
      </c>
      <c r="B528" t="inlineStr">
        <is>
          <t>Validation</t>
        </is>
      </c>
      <c r="C528" t="n">
        <v>4891</v>
      </c>
      <c r="D528" t="n">
        <v>8330</v>
      </c>
      <c r="E528" t="n">
        <v>36</v>
      </c>
      <c r="F528" t="n">
        <v>68284</v>
      </c>
      <c r="G528" t="n">
        <v>0</v>
      </c>
      <c r="H528" t="n">
        <v>8</v>
      </c>
      <c r="I528" t="n">
        <v>218441</v>
      </c>
    </row>
    <row r="529">
      <c r="A529" t="n">
        <v>528</v>
      </c>
      <c r="B529" t="inlineStr">
        <is>
          <t>Validation</t>
        </is>
      </c>
      <c r="C529" t="n">
        <v>4761</v>
      </c>
      <c r="D529" t="n">
        <v>5700</v>
      </c>
      <c r="E529" t="n">
        <v>42</v>
      </c>
      <c r="F529" t="n">
        <v>66183</v>
      </c>
      <c r="G529" t="n">
        <v>1</v>
      </c>
      <c r="H529" t="n">
        <v>14</v>
      </c>
      <c r="I529" t="n">
        <v>192396</v>
      </c>
    </row>
    <row r="530">
      <c r="A530" t="n">
        <v>529</v>
      </c>
      <c r="B530" t="inlineStr">
        <is>
          <t>Validation</t>
        </is>
      </c>
      <c r="C530" t="n">
        <v>1429</v>
      </c>
      <c r="D530" t="n">
        <v>8390</v>
      </c>
      <c r="E530" t="n">
        <v>36</v>
      </c>
      <c r="F530" t="n">
        <v>20926</v>
      </c>
      <c r="G530" t="n">
        <v>0</v>
      </c>
      <c r="H530" t="n">
        <v>14</v>
      </c>
      <c r="I530" t="n">
        <v>122046</v>
      </c>
    </row>
    <row r="531">
      <c r="A531" t="n">
        <v>530</v>
      </c>
      <c r="B531" t="inlineStr">
        <is>
          <t>Train</t>
        </is>
      </c>
      <c r="C531" t="n">
        <v>37667</v>
      </c>
      <c r="D531" t="n">
        <v>16900</v>
      </c>
      <c r="E531" t="n">
        <v>51</v>
      </c>
      <c r="F531" t="n">
        <v>103029</v>
      </c>
      <c r="G531" t="n">
        <v>1</v>
      </c>
      <c r="H531" t="n">
        <v>12</v>
      </c>
      <c r="I531" t="n">
        <v>0</v>
      </c>
    </row>
    <row r="532">
      <c r="A532" t="n">
        <v>531</v>
      </c>
      <c r="B532" t="inlineStr">
        <is>
          <t>Train</t>
        </is>
      </c>
      <c r="C532" t="n">
        <v>13518</v>
      </c>
      <c r="D532" t="n">
        <v>16320</v>
      </c>
      <c r="E532" t="n">
        <v>47</v>
      </c>
      <c r="F532" t="n">
        <v>101231</v>
      </c>
      <c r="G532" t="n">
        <v>4</v>
      </c>
      <c r="H532" t="n">
        <v>6</v>
      </c>
      <c r="I532" t="n">
        <v>0</v>
      </c>
    </row>
    <row r="533">
      <c r="A533" t="n">
        <v>532</v>
      </c>
      <c r="B533" t="inlineStr">
        <is>
          <t>Train</t>
        </is>
      </c>
      <c r="C533" t="n">
        <v>7278</v>
      </c>
      <c r="D533" t="n">
        <v>8280</v>
      </c>
      <c r="E533" t="n">
        <v>37</v>
      </c>
      <c r="F533" t="n">
        <v>27606</v>
      </c>
      <c r="G533" t="n">
        <v>0</v>
      </c>
      <c r="H533" t="n">
        <v>7</v>
      </c>
      <c r="I533" t="n">
        <v>94925</v>
      </c>
    </row>
    <row r="534">
      <c r="A534" t="n">
        <v>533</v>
      </c>
      <c r="B534" t="inlineStr">
        <is>
          <t>Train</t>
        </is>
      </c>
      <c r="C534" t="n">
        <v>26114</v>
      </c>
      <c r="D534" t="n">
        <v>11690</v>
      </c>
      <c r="E534" t="n">
        <v>48</v>
      </c>
      <c r="F534" t="n">
        <v>53878</v>
      </c>
      <c r="G534" t="n">
        <v>7</v>
      </c>
      <c r="H534" t="n">
        <v>11</v>
      </c>
      <c r="I534" t="n">
        <v>220705</v>
      </c>
    </row>
    <row r="535">
      <c r="A535" t="n">
        <v>534</v>
      </c>
      <c r="B535" t="inlineStr">
        <is>
          <t>Train</t>
        </is>
      </c>
      <c r="C535" t="n">
        <v>4423</v>
      </c>
      <c r="D535" t="n">
        <v>8980</v>
      </c>
      <c r="E535" t="n">
        <v>44</v>
      </c>
      <c r="F535" t="n">
        <v>82068</v>
      </c>
      <c r="G535" t="n">
        <v>0</v>
      </c>
      <c r="H535" t="n">
        <v>14</v>
      </c>
      <c r="I535" t="n">
        <v>215344</v>
      </c>
    </row>
    <row r="536">
      <c r="A536" t="n">
        <v>535</v>
      </c>
      <c r="B536" t="inlineStr">
        <is>
          <t>Train</t>
        </is>
      </c>
      <c r="C536" t="n">
        <v>11836</v>
      </c>
      <c r="D536" t="n">
        <v>13790</v>
      </c>
      <c r="E536" t="n">
        <v>38</v>
      </c>
      <c r="F536" t="n">
        <v>62756</v>
      </c>
      <c r="G536" t="n">
        <v>5</v>
      </c>
      <c r="H536" t="n">
        <v>12</v>
      </c>
      <c r="I536" t="n">
        <v>175085</v>
      </c>
    </row>
    <row r="537">
      <c r="A537" t="n">
        <v>536</v>
      </c>
      <c r="B537" t="inlineStr">
        <is>
          <t>Train</t>
        </is>
      </c>
      <c r="C537" t="n">
        <v>29205</v>
      </c>
      <c r="D537" t="n">
        <v>12030</v>
      </c>
      <c r="E537" t="n">
        <v>35</v>
      </c>
      <c r="F537" t="n">
        <v>70274</v>
      </c>
      <c r="G537" t="n">
        <v>0</v>
      </c>
      <c r="H537" t="n">
        <v>10</v>
      </c>
      <c r="I537" t="n">
        <v>0</v>
      </c>
    </row>
    <row r="538">
      <c r="A538" t="n">
        <v>537</v>
      </c>
      <c r="B538" t="inlineStr">
        <is>
          <t>Validation</t>
        </is>
      </c>
      <c r="C538" t="n">
        <v>3252</v>
      </c>
      <c r="D538" t="n">
        <v>12180</v>
      </c>
      <c r="E538" t="n">
        <v>38</v>
      </c>
      <c r="F538" t="n">
        <v>21119</v>
      </c>
      <c r="G538" t="n">
        <v>4</v>
      </c>
      <c r="H538" t="n">
        <v>12</v>
      </c>
      <c r="I538" t="n">
        <v>136098</v>
      </c>
    </row>
    <row r="539">
      <c r="A539" t="n">
        <v>538</v>
      </c>
      <c r="B539" t="inlineStr">
        <is>
          <t>Validation</t>
        </is>
      </c>
      <c r="C539" t="n">
        <v>9343</v>
      </c>
      <c r="D539" t="n">
        <v>1500</v>
      </c>
      <c r="E539" t="n">
        <v>59</v>
      </c>
      <c r="F539" t="n">
        <v>131919</v>
      </c>
      <c r="G539" t="n">
        <v>0</v>
      </c>
      <c r="H539" t="n">
        <v>11</v>
      </c>
      <c r="I539" t="n">
        <v>328571</v>
      </c>
    </row>
    <row r="540">
      <c r="A540" t="n">
        <v>539</v>
      </c>
      <c r="B540" t="inlineStr">
        <is>
          <t>Validation</t>
        </is>
      </c>
      <c r="C540" t="n">
        <v>38683</v>
      </c>
      <c r="D540" t="n">
        <v>31700</v>
      </c>
      <c r="E540" t="n">
        <v>58</v>
      </c>
      <c r="F540" t="n">
        <v>98263</v>
      </c>
      <c r="G540" t="n">
        <v>7</v>
      </c>
      <c r="H540" t="n">
        <v>11</v>
      </c>
      <c r="I540" t="n">
        <v>296689</v>
      </c>
    </row>
    <row r="541">
      <c r="A541" t="n">
        <v>540</v>
      </c>
      <c r="B541" t="inlineStr">
        <is>
          <t>Train</t>
        </is>
      </c>
      <c r="C541" t="n">
        <v>10118</v>
      </c>
      <c r="D541" t="n">
        <v>5810</v>
      </c>
      <c r="E541" t="n">
        <v>28</v>
      </c>
      <c r="F541" t="n">
        <v>1754</v>
      </c>
      <c r="G541" t="n">
        <v>0</v>
      </c>
      <c r="H541" t="n">
        <v>13</v>
      </c>
      <c r="I541" t="n">
        <v>0</v>
      </c>
    </row>
    <row r="542">
      <c r="A542" t="n">
        <v>541</v>
      </c>
      <c r="B542" t="inlineStr">
        <is>
          <t>Train</t>
        </is>
      </c>
      <c r="C542" t="n">
        <v>50111</v>
      </c>
      <c r="D542" t="n">
        <v>7000</v>
      </c>
      <c r="E542" t="n">
        <v>58</v>
      </c>
      <c r="F542" t="n">
        <v>123288</v>
      </c>
      <c r="G542" t="n">
        <v>1</v>
      </c>
      <c r="H542" t="n">
        <v>6</v>
      </c>
      <c r="I542" t="n">
        <v>366424</v>
      </c>
    </row>
    <row r="543">
      <c r="A543" t="n">
        <v>542</v>
      </c>
      <c r="B543" t="inlineStr">
        <is>
          <t>Train</t>
        </is>
      </c>
      <c r="C543" t="n">
        <v>3278</v>
      </c>
      <c r="D543" t="n">
        <v>1500</v>
      </c>
      <c r="E543" t="n">
        <v>47</v>
      </c>
      <c r="F543" t="n">
        <v>31456</v>
      </c>
      <c r="G543" t="n">
        <v>3</v>
      </c>
      <c r="H543" t="n">
        <v>10</v>
      </c>
      <c r="I543" t="n">
        <v>148339</v>
      </c>
    </row>
    <row r="544">
      <c r="A544" t="n">
        <v>543</v>
      </c>
      <c r="B544" t="inlineStr">
        <is>
          <t>Train</t>
        </is>
      </c>
      <c r="C544" t="n">
        <v>6739</v>
      </c>
      <c r="D544" t="n">
        <v>14350</v>
      </c>
      <c r="E544" t="n">
        <v>57</v>
      </c>
      <c r="F544" t="n">
        <v>101399</v>
      </c>
      <c r="G544" t="n">
        <v>0</v>
      </c>
      <c r="H544" t="n">
        <v>14</v>
      </c>
      <c r="I544" t="n">
        <v>0</v>
      </c>
    </row>
    <row r="545">
      <c r="A545" t="n">
        <v>544</v>
      </c>
      <c r="B545" t="inlineStr">
        <is>
          <t>Train</t>
        </is>
      </c>
      <c r="C545" t="n">
        <v>6606</v>
      </c>
      <c r="D545" t="n">
        <v>11900</v>
      </c>
      <c r="E545" t="n">
        <v>59</v>
      </c>
      <c r="F545" t="n">
        <v>44966</v>
      </c>
      <c r="G545" t="n">
        <v>2</v>
      </c>
      <c r="H545" t="n">
        <v>17</v>
      </c>
      <c r="I545" t="n">
        <v>0</v>
      </c>
    </row>
    <row r="546">
      <c r="A546" t="n">
        <v>545</v>
      </c>
      <c r="B546" t="inlineStr">
        <is>
          <t>Train</t>
        </is>
      </c>
      <c r="C546" t="n">
        <v>9837</v>
      </c>
      <c r="D546" t="n">
        <v>15660</v>
      </c>
      <c r="E546" t="n">
        <v>48</v>
      </c>
      <c r="F546" t="n">
        <v>105567</v>
      </c>
      <c r="G546" t="n">
        <v>9</v>
      </c>
      <c r="H546" t="n">
        <v>8</v>
      </c>
      <c r="I546" t="n">
        <v>0</v>
      </c>
    </row>
    <row r="547">
      <c r="A547" t="n">
        <v>546</v>
      </c>
      <c r="B547" t="inlineStr">
        <is>
          <t>Train</t>
        </is>
      </c>
      <c r="C547" t="n">
        <v>6627</v>
      </c>
      <c r="D547" t="n">
        <v>14600</v>
      </c>
      <c r="E547" t="n">
        <v>39</v>
      </c>
      <c r="F547" t="n">
        <v>92000</v>
      </c>
      <c r="G547" t="n">
        <v>2</v>
      </c>
      <c r="H547" t="n">
        <v>13</v>
      </c>
      <c r="I547" t="n">
        <v>301965</v>
      </c>
    </row>
    <row r="548">
      <c r="A548" t="n">
        <v>547</v>
      </c>
      <c r="B548" t="inlineStr">
        <is>
          <t>Validation</t>
        </is>
      </c>
      <c r="C548" t="n">
        <v>21014</v>
      </c>
      <c r="D548" t="n">
        <v>15280</v>
      </c>
      <c r="E548" t="n">
        <v>35</v>
      </c>
      <c r="F548" t="n">
        <v>82082</v>
      </c>
      <c r="G548" t="n">
        <v>6</v>
      </c>
      <c r="H548" t="n">
        <v>10</v>
      </c>
      <c r="I548" t="n">
        <v>263271</v>
      </c>
    </row>
    <row r="549">
      <c r="A549" t="n">
        <v>548</v>
      </c>
      <c r="B549" t="inlineStr">
        <is>
          <t>Validation</t>
        </is>
      </c>
      <c r="C549" t="n">
        <v>7037</v>
      </c>
      <c r="D549" t="n">
        <v>9330</v>
      </c>
      <c r="E549" t="n">
        <v>41</v>
      </c>
      <c r="F549" t="n">
        <v>37282</v>
      </c>
      <c r="G549" t="n">
        <v>5</v>
      </c>
      <c r="H549" t="n">
        <v>12</v>
      </c>
      <c r="I549" t="n">
        <v>0</v>
      </c>
    </row>
    <row r="550">
      <c r="A550" t="n">
        <v>549</v>
      </c>
      <c r="B550" t="inlineStr">
        <is>
          <t>Validation</t>
        </is>
      </c>
      <c r="C550" t="n">
        <v>4582</v>
      </c>
      <c r="D550" t="n">
        <v>9830</v>
      </c>
      <c r="E550" t="n">
        <v>39</v>
      </c>
      <c r="F550" t="n">
        <v>31138</v>
      </c>
      <c r="G550" t="n">
        <v>5</v>
      </c>
      <c r="H550" t="n">
        <v>13</v>
      </c>
      <c r="I550" t="n">
        <v>160202</v>
      </c>
    </row>
    <row r="551">
      <c r="A551" t="n">
        <v>550</v>
      </c>
      <c r="B551" t="inlineStr">
        <is>
          <t>Train</t>
        </is>
      </c>
      <c r="C551" t="n">
        <v>5759</v>
      </c>
      <c r="D551" t="n">
        <v>11960</v>
      </c>
      <c r="E551" t="n">
        <v>41</v>
      </c>
      <c r="F551" t="n">
        <v>46294</v>
      </c>
      <c r="G551" t="n">
        <v>2</v>
      </c>
      <c r="H551" t="n">
        <v>11</v>
      </c>
      <c r="I551" t="n">
        <v>182167</v>
      </c>
    </row>
    <row r="552">
      <c r="A552" t="n">
        <v>551</v>
      </c>
      <c r="B552" t="inlineStr">
        <is>
          <t>Train</t>
        </is>
      </c>
      <c r="C552" t="n">
        <v>6364</v>
      </c>
      <c r="D552" t="n">
        <v>50970</v>
      </c>
      <c r="E552" t="n">
        <v>49</v>
      </c>
      <c r="F552" t="n">
        <v>225083</v>
      </c>
      <c r="G552" t="n">
        <v>5</v>
      </c>
      <c r="H552" t="n">
        <v>7</v>
      </c>
      <c r="I552" t="n">
        <v>0</v>
      </c>
    </row>
    <row r="553">
      <c r="A553" t="n">
        <v>552</v>
      </c>
      <c r="B553" t="inlineStr">
        <is>
          <t>Train</t>
        </is>
      </c>
      <c r="C553" t="n">
        <v>2513</v>
      </c>
      <c r="D553" t="n">
        <v>10690</v>
      </c>
      <c r="E553" t="n">
        <v>44</v>
      </c>
      <c r="F553" t="n">
        <v>38002</v>
      </c>
      <c r="G553" t="n">
        <v>4</v>
      </c>
      <c r="H553" t="n">
        <v>6</v>
      </c>
      <c r="I553" t="n">
        <v>185665</v>
      </c>
    </row>
    <row r="554">
      <c r="A554" t="n">
        <v>553</v>
      </c>
      <c r="B554" t="inlineStr">
        <is>
          <t>Train</t>
        </is>
      </c>
      <c r="C554" t="n">
        <v>31796</v>
      </c>
      <c r="D554" t="n">
        <v>6800</v>
      </c>
      <c r="E554" t="n">
        <v>53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554</v>
      </c>
      <c r="B555" t="inlineStr">
        <is>
          <t>Train</t>
        </is>
      </c>
      <c r="C555" t="n">
        <v>856</v>
      </c>
      <c r="D555" t="n">
        <v>6900</v>
      </c>
      <c r="E555" t="n">
        <v>54</v>
      </c>
      <c r="F555" t="n">
        <v>0</v>
      </c>
      <c r="G555" t="n">
        <v>4</v>
      </c>
      <c r="H555" t="n">
        <v>0</v>
      </c>
      <c r="I555" t="n">
        <v>67587</v>
      </c>
    </row>
    <row r="556">
      <c r="A556" t="n">
        <v>555</v>
      </c>
      <c r="B556" t="inlineStr">
        <is>
          <t>Train</t>
        </is>
      </c>
      <c r="C556" t="n">
        <v>5699</v>
      </c>
      <c r="D556" t="n">
        <v>5700</v>
      </c>
      <c r="E556" t="n">
        <v>42</v>
      </c>
      <c r="F556" t="n">
        <v>85819</v>
      </c>
      <c r="G556" t="n">
        <v>1</v>
      </c>
      <c r="H556" t="n">
        <v>7</v>
      </c>
      <c r="I556" t="n">
        <v>262789</v>
      </c>
    </row>
    <row r="557">
      <c r="A557" t="n">
        <v>556</v>
      </c>
      <c r="B557" t="inlineStr">
        <is>
          <t>Train</t>
        </is>
      </c>
      <c r="C557" t="n">
        <v>6027</v>
      </c>
      <c r="D557" t="n">
        <v>22550</v>
      </c>
      <c r="E557" t="n">
        <v>23</v>
      </c>
      <c r="F557" t="n">
        <v>5367</v>
      </c>
      <c r="G557" t="n">
        <v>10</v>
      </c>
      <c r="H557" t="n">
        <v>9</v>
      </c>
      <c r="I557" t="n">
        <v>75782</v>
      </c>
    </row>
    <row r="558">
      <c r="A558" t="n">
        <v>557</v>
      </c>
      <c r="B558" t="inlineStr">
        <is>
          <t>Validation</t>
        </is>
      </c>
      <c r="C558" t="n">
        <v>2053</v>
      </c>
      <c r="D558" t="n">
        <v>15180</v>
      </c>
      <c r="E558" t="n">
        <v>53</v>
      </c>
      <c r="F558" t="n">
        <v>79834</v>
      </c>
      <c r="G558" t="n">
        <v>4</v>
      </c>
      <c r="H558" t="n">
        <v>12</v>
      </c>
      <c r="I558" t="n">
        <v>253064</v>
      </c>
    </row>
    <row r="559">
      <c r="A559" t="n">
        <v>558</v>
      </c>
      <c r="B559" t="inlineStr">
        <is>
          <t>Validation</t>
        </is>
      </c>
      <c r="C559" t="n">
        <v>29781</v>
      </c>
      <c r="D559" t="n">
        <v>18990</v>
      </c>
      <c r="E559" t="n">
        <v>33</v>
      </c>
      <c r="F559" t="n">
        <v>45893</v>
      </c>
      <c r="G559" t="n">
        <v>0</v>
      </c>
      <c r="H559" t="n">
        <v>12</v>
      </c>
      <c r="I559" t="n">
        <v>189452</v>
      </c>
    </row>
    <row r="560">
      <c r="A560" t="n">
        <v>559</v>
      </c>
      <c r="B560" t="inlineStr">
        <is>
          <t>Validation</t>
        </is>
      </c>
      <c r="C560" t="n">
        <v>36757</v>
      </c>
      <c r="D560" t="n">
        <v>5600</v>
      </c>
      <c r="E560" t="n">
        <v>41</v>
      </c>
      <c r="F560" t="n">
        <v>1953</v>
      </c>
      <c r="G560" t="n">
        <v>6</v>
      </c>
      <c r="H560" t="n">
        <v>11</v>
      </c>
      <c r="I560" t="n">
        <v>137081</v>
      </c>
    </row>
    <row r="561">
      <c r="A561" t="n">
        <v>560</v>
      </c>
      <c r="B561" t="inlineStr">
        <is>
          <t>Train</t>
        </is>
      </c>
      <c r="C561" t="n">
        <v>4545</v>
      </c>
      <c r="D561" t="n">
        <v>6600</v>
      </c>
      <c r="E561" t="n">
        <v>51</v>
      </c>
      <c r="F561" t="n">
        <v>0</v>
      </c>
      <c r="G561" t="n">
        <v>8</v>
      </c>
      <c r="H561" t="n">
        <v>0</v>
      </c>
      <c r="I561" t="n">
        <v>129459</v>
      </c>
    </row>
    <row r="562">
      <c r="A562" t="n">
        <v>561</v>
      </c>
      <c r="B562" t="inlineStr">
        <is>
          <t>Train</t>
        </is>
      </c>
      <c r="C562" t="n">
        <v>5737</v>
      </c>
      <c r="D562" t="n">
        <v>20950</v>
      </c>
      <c r="E562" t="n">
        <v>27</v>
      </c>
      <c r="F562" t="n">
        <v>43083</v>
      </c>
      <c r="G562" t="n">
        <v>9</v>
      </c>
      <c r="H562" t="n">
        <v>13</v>
      </c>
      <c r="I562" t="n">
        <v>138247</v>
      </c>
    </row>
    <row r="563">
      <c r="A563" t="n">
        <v>562</v>
      </c>
      <c r="B563" t="inlineStr">
        <is>
          <t>Train</t>
        </is>
      </c>
      <c r="C563" t="n">
        <v>4189</v>
      </c>
      <c r="D563" t="n">
        <v>13920</v>
      </c>
      <c r="E563" t="n">
        <v>29</v>
      </c>
      <c r="F563" t="n">
        <v>85413</v>
      </c>
      <c r="G563" t="n">
        <v>3</v>
      </c>
      <c r="H563" t="n">
        <v>9</v>
      </c>
      <c r="I563" t="n">
        <v>0</v>
      </c>
    </row>
    <row r="564">
      <c r="A564" t="n">
        <v>563</v>
      </c>
      <c r="B564" t="inlineStr">
        <is>
          <t>Train</t>
        </is>
      </c>
      <c r="C564" t="n">
        <v>4997</v>
      </c>
      <c r="D564" t="n">
        <v>24950</v>
      </c>
      <c r="E564" t="n">
        <v>50</v>
      </c>
      <c r="F564" t="n">
        <v>55230</v>
      </c>
      <c r="G564" t="n">
        <v>7</v>
      </c>
      <c r="H564" t="n">
        <v>6</v>
      </c>
      <c r="I564" t="n">
        <v>0</v>
      </c>
    </row>
    <row r="565">
      <c r="A565" t="n">
        <v>564</v>
      </c>
      <c r="B565" t="inlineStr">
        <is>
          <t>Train</t>
        </is>
      </c>
      <c r="C565" t="n">
        <v>38892</v>
      </c>
      <c r="D565" t="n">
        <v>21200</v>
      </c>
      <c r="E565" t="n">
        <v>36</v>
      </c>
      <c r="F565" t="n">
        <v>38946</v>
      </c>
      <c r="G565" t="n">
        <v>3</v>
      </c>
      <c r="H565" t="n">
        <v>13</v>
      </c>
      <c r="I565" t="n">
        <v>201598</v>
      </c>
    </row>
    <row r="566">
      <c r="A566" t="n">
        <v>565</v>
      </c>
      <c r="B566" t="inlineStr">
        <is>
          <t>Train</t>
        </is>
      </c>
      <c r="C566" t="n">
        <v>4936</v>
      </c>
      <c r="D566" t="n">
        <v>5100</v>
      </c>
      <c r="E566" t="n">
        <v>36</v>
      </c>
      <c r="F566" t="n">
        <v>26587</v>
      </c>
      <c r="G566" t="n">
        <v>5</v>
      </c>
      <c r="H566" t="n">
        <v>12</v>
      </c>
      <c r="I566" t="n">
        <v>0</v>
      </c>
    </row>
    <row r="567">
      <c r="A567" t="n">
        <v>566</v>
      </c>
      <c r="B567" t="inlineStr">
        <is>
          <t>Train</t>
        </is>
      </c>
      <c r="C567" t="n">
        <v>6706</v>
      </c>
      <c r="D567" t="n">
        <v>10240</v>
      </c>
      <c r="E567" t="n">
        <v>62</v>
      </c>
      <c r="F567" t="n">
        <v>25426</v>
      </c>
      <c r="G567" t="n">
        <v>3</v>
      </c>
      <c r="H567" t="n">
        <v>13</v>
      </c>
      <c r="I567" t="n">
        <v>0</v>
      </c>
    </row>
    <row r="568">
      <c r="A568" t="n">
        <v>567</v>
      </c>
      <c r="B568" t="inlineStr">
        <is>
          <t>Validation</t>
        </is>
      </c>
      <c r="C568" t="n">
        <v>15686</v>
      </c>
      <c r="D568" t="n">
        <v>6900</v>
      </c>
      <c r="E568" t="n">
        <v>54</v>
      </c>
      <c r="F568" t="n">
        <v>129566</v>
      </c>
      <c r="G568" t="n">
        <v>4</v>
      </c>
      <c r="H568" t="n">
        <v>14</v>
      </c>
      <c r="I568" t="n">
        <v>352586</v>
      </c>
    </row>
    <row r="569">
      <c r="A569" t="n">
        <v>568</v>
      </c>
      <c r="B569" t="inlineStr">
        <is>
          <t>Validation</t>
        </is>
      </c>
      <c r="C569" t="n">
        <v>4648</v>
      </c>
      <c r="D569" t="n">
        <v>14580</v>
      </c>
      <c r="E569" t="n">
        <v>39</v>
      </c>
      <c r="F569" t="n">
        <v>71309</v>
      </c>
      <c r="G569" t="n">
        <v>3</v>
      </c>
      <c r="H569" t="n">
        <v>14</v>
      </c>
      <c r="I569" t="n">
        <v>224123</v>
      </c>
    </row>
    <row r="570">
      <c r="A570" t="n">
        <v>569</v>
      </c>
      <c r="B570" t="inlineStr">
        <is>
          <t>Validation</t>
        </is>
      </c>
      <c r="C570" t="n">
        <v>6844</v>
      </c>
      <c r="D570" t="n">
        <v>14840</v>
      </c>
      <c r="E570" t="n">
        <v>42</v>
      </c>
      <c r="F570" t="n">
        <v>0</v>
      </c>
      <c r="G570" t="n">
        <v>1</v>
      </c>
      <c r="H570" t="n">
        <v>0</v>
      </c>
      <c r="I570" t="n">
        <v>97022</v>
      </c>
    </row>
    <row r="571">
      <c r="A571" t="n">
        <v>570</v>
      </c>
      <c r="B571" t="inlineStr">
        <is>
          <t>Train</t>
        </is>
      </c>
      <c r="C571" t="n">
        <v>4611</v>
      </c>
      <c r="D571" t="n">
        <v>1530</v>
      </c>
      <c r="E571" t="n">
        <v>56</v>
      </c>
      <c r="F571" t="n">
        <v>278</v>
      </c>
      <c r="G571" t="n">
        <v>5</v>
      </c>
      <c r="H571" t="n">
        <v>12</v>
      </c>
      <c r="I571" t="n">
        <v>91930</v>
      </c>
    </row>
    <row r="572">
      <c r="A572" t="n">
        <v>571</v>
      </c>
      <c r="B572" t="inlineStr">
        <is>
          <t>Train</t>
        </is>
      </c>
      <c r="C572" t="n">
        <v>6691</v>
      </c>
      <c r="D572" t="n">
        <v>9750</v>
      </c>
      <c r="E572" t="n">
        <v>32</v>
      </c>
      <c r="F572" t="n">
        <v>50522</v>
      </c>
      <c r="G572" t="n">
        <v>6</v>
      </c>
      <c r="H572" t="n">
        <v>2</v>
      </c>
      <c r="I572" t="n">
        <v>0</v>
      </c>
    </row>
    <row r="573">
      <c r="A573" t="n">
        <v>572</v>
      </c>
      <c r="B573" t="inlineStr">
        <is>
          <t>Train</t>
        </is>
      </c>
      <c r="C573" t="n">
        <v>4652</v>
      </c>
      <c r="D573" t="n">
        <v>20730</v>
      </c>
      <c r="E573" t="n">
        <v>47</v>
      </c>
      <c r="F573" t="n">
        <v>21063</v>
      </c>
      <c r="G573" t="n">
        <v>1</v>
      </c>
      <c r="H573" t="n">
        <v>12</v>
      </c>
      <c r="I573" t="n">
        <v>117381</v>
      </c>
    </row>
    <row r="574">
      <c r="A574" t="n">
        <v>573</v>
      </c>
      <c r="B574" t="inlineStr">
        <is>
          <t>Train</t>
        </is>
      </c>
      <c r="C574" t="n">
        <v>6801</v>
      </c>
      <c r="D574" t="n">
        <v>18120</v>
      </c>
      <c r="E574" t="n">
        <v>34</v>
      </c>
      <c r="F574" t="n">
        <v>9699</v>
      </c>
      <c r="G574" t="n">
        <v>3</v>
      </c>
      <c r="H574" t="n">
        <v>14</v>
      </c>
      <c r="I574" t="n">
        <v>107132</v>
      </c>
    </row>
    <row r="575">
      <c r="A575" t="n">
        <v>574</v>
      </c>
      <c r="B575" t="inlineStr">
        <is>
          <t>Train</t>
        </is>
      </c>
      <c r="C575" t="n">
        <v>4653</v>
      </c>
      <c r="D575" t="n">
        <v>25290</v>
      </c>
      <c r="E575" t="n">
        <v>44</v>
      </c>
      <c r="F575" t="n">
        <v>91652</v>
      </c>
      <c r="G575" t="n">
        <v>0</v>
      </c>
      <c r="H575" t="n">
        <v>10</v>
      </c>
      <c r="I575" t="n">
        <v>0</v>
      </c>
    </row>
    <row r="576">
      <c r="A576" t="n">
        <v>575</v>
      </c>
      <c r="B576" t="inlineStr">
        <is>
          <t>Train</t>
        </is>
      </c>
      <c r="C576" t="n">
        <v>3960</v>
      </c>
      <c r="D576" t="n">
        <v>15380</v>
      </c>
      <c r="E576" t="n">
        <v>41</v>
      </c>
      <c r="F576" t="n">
        <v>75501</v>
      </c>
      <c r="G576" t="n">
        <v>3</v>
      </c>
      <c r="H576" t="n">
        <v>14</v>
      </c>
      <c r="I576" t="n">
        <v>262109</v>
      </c>
    </row>
    <row r="577">
      <c r="A577" t="n">
        <v>576</v>
      </c>
      <c r="B577" t="inlineStr">
        <is>
          <t>Train</t>
        </is>
      </c>
      <c r="C577" t="n">
        <v>46652</v>
      </c>
      <c r="D577" t="n">
        <v>6410</v>
      </c>
      <c r="E577" t="n">
        <v>40</v>
      </c>
      <c r="F577" t="n">
        <v>4716</v>
      </c>
      <c r="G577" t="n">
        <v>1</v>
      </c>
      <c r="H577" t="n">
        <v>12</v>
      </c>
      <c r="I577" t="n">
        <v>121325</v>
      </c>
    </row>
    <row r="578">
      <c r="A578" t="n">
        <v>577</v>
      </c>
      <c r="B578" t="inlineStr">
        <is>
          <t>Validation</t>
        </is>
      </c>
      <c r="C578" t="n">
        <v>6125</v>
      </c>
      <c r="D578" t="n">
        <v>24630</v>
      </c>
      <c r="E578" t="n">
        <v>51</v>
      </c>
      <c r="F578" t="n">
        <v>65245</v>
      </c>
      <c r="G578" t="n">
        <v>0</v>
      </c>
      <c r="H578" t="n">
        <v>15</v>
      </c>
      <c r="I578" t="n">
        <v>242164</v>
      </c>
    </row>
    <row r="579">
      <c r="A579" t="n">
        <v>578</v>
      </c>
      <c r="B579" t="inlineStr">
        <is>
          <t>Validation</t>
        </is>
      </c>
      <c r="C579" t="n">
        <v>44429</v>
      </c>
      <c r="D579" t="n">
        <v>25020</v>
      </c>
      <c r="E579" t="n">
        <v>54</v>
      </c>
      <c r="F579" t="n">
        <v>0</v>
      </c>
      <c r="G579" t="n">
        <v>7</v>
      </c>
      <c r="H579" t="n">
        <v>0</v>
      </c>
      <c r="I579" t="n">
        <v>0</v>
      </c>
    </row>
    <row r="580">
      <c r="A580" t="n">
        <v>579</v>
      </c>
      <c r="B580" t="inlineStr">
        <is>
          <t>Validation</t>
        </is>
      </c>
      <c r="C580" t="n">
        <v>18979</v>
      </c>
      <c r="D580" t="n">
        <v>18860</v>
      </c>
      <c r="E580" t="n">
        <v>44</v>
      </c>
      <c r="F580" t="n">
        <v>47140</v>
      </c>
      <c r="G580" t="n">
        <v>6</v>
      </c>
      <c r="H580" t="n">
        <v>4</v>
      </c>
      <c r="I580" t="n">
        <v>211304</v>
      </c>
    </row>
    <row r="581">
      <c r="A581" t="n">
        <v>580</v>
      </c>
      <c r="B581" t="inlineStr">
        <is>
          <t>Train</t>
        </is>
      </c>
      <c r="C581" t="n">
        <v>6330</v>
      </c>
      <c r="D581" t="n">
        <v>7800</v>
      </c>
      <c r="E581" t="n">
        <v>43</v>
      </c>
      <c r="F581" t="n">
        <v>20028</v>
      </c>
      <c r="G581" t="n">
        <v>5</v>
      </c>
      <c r="H581" t="n">
        <v>17</v>
      </c>
      <c r="I581" t="n">
        <v>139616</v>
      </c>
    </row>
    <row r="582">
      <c r="A582" t="n">
        <v>581</v>
      </c>
      <c r="B582" t="inlineStr">
        <is>
          <t>Train</t>
        </is>
      </c>
      <c r="C582" t="n">
        <v>33223</v>
      </c>
      <c r="D582" t="n">
        <v>21130</v>
      </c>
      <c r="E582" t="n">
        <v>46</v>
      </c>
      <c r="F582" t="n">
        <v>67857</v>
      </c>
      <c r="G582" t="n">
        <v>0</v>
      </c>
      <c r="H582" t="n">
        <v>11</v>
      </c>
      <c r="I582" t="n">
        <v>225981</v>
      </c>
    </row>
    <row r="583">
      <c r="A583" t="n">
        <v>582</v>
      </c>
      <c r="B583" t="inlineStr">
        <is>
          <t>Train</t>
        </is>
      </c>
      <c r="C583" t="n">
        <v>7070</v>
      </c>
      <c r="D583" t="n">
        <v>29220</v>
      </c>
      <c r="E583" t="n">
        <v>26</v>
      </c>
      <c r="F583" t="n">
        <v>88987</v>
      </c>
      <c r="G583" t="n">
        <v>4</v>
      </c>
      <c r="H583" t="n">
        <v>13</v>
      </c>
      <c r="I583" t="n">
        <v>248335</v>
      </c>
    </row>
    <row r="584">
      <c r="A584" t="n">
        <v>583</v>
      </c>
      <c r="B584" t="inlineStr">
        <is>
          <t>Train</t>
        </is>
      </c>
      <c r="C584" t="n">
        <v>10264</v>
      </c>
      <c r="D584" t="n">
        <v>16920</v>
      </c>
      <c r="E584" t="n">
        <v>45</v>
      </c>
      <c r="F584" t="n">
        <v>0</v>
      </c>
      <c r="G584" t="n">
        <v>4</v>
      </c>
      <c r="H584" t="n">
        <v>0</v>
      </c>
      <c r="I584" t="n">
        <v>101395</v>
      </c>
    </row>
    <row r="585">
      <c r="A585" t="n">
        <v>584</v>
      </c>
      <c r="B585" t="inlineStr">
        <is>
          <t>Train</t>
        </is>
      </c>
      <c r="C585" t="n">
        <v>4383</v>
      </c>
      <c r="D585" t="n">
        <v>11590</v>
      </c>
      <c r="E585" t="n">
        <v>51</v>
      </c>
      <c r="F585" t="n">
        <v>43654</v>
      </c>
      <c r="G585" t="n">
        <v>0</v>
      </c>
      <c r="H585" t="n">
        <v>11</v>
      </c>
      <c r="I585" t="n">
        <v>167541</v>
      </c>
    </row>
    <row r="586">
      <c r="A586" t="n">
        <v>585</v>
      </c>
      <c r="B586" t="inlineStr">
        <is>
          <t>Train</t>
        </is>
      </c>
      <c r="C586" t="n">
        <v>5612</v>
      </c>
      <c r="D586" t="n">
        <v>6820</v>
      </c>
      <c r="E586" t="n">
        <v>37</v>
      </c>
      <c r="F586" t="n">
        <v>16238</v>
      </c>
      <c r="G586" t="n">
        <v>0</v>
      </c>
      <c r="H586" t="n">
        <v>11</v>
      </c>
      <c r="I586" t="n">
        <v>65155</v>
      </c>
    </row>
    <row r="587">
      <c r="A587" t="n">
        <v>586</v>
      </c>
      <c r="B587" t="inlineStr">
        <is>
          <t>Train</t>
        </is>
      </c>
      <c r="C587" t="n">
        <v>13182</v>
      </c>
      <c r="D587" t="n">
        <v>30050</v>
      </c>
      <c r="E587" t="n">
        <v>38</v>
      </c>
      <c r="F587" t="n">
        <v>15889</v>
      </c>
      <c r="G587" t="n">
        <v>1</v>
      </c>
      <c r="H587" t="n">
        <v>16</v>
      </c>
      <c r="I587" t="n">
        <v>95776</v>
      </c>
    </row>
    <row r="588">
      <c r="A588" t="n">
        <v>587</v>
      </c>
      <c r="B588" t="inlineStr">
        <is>
          <t>Validation</t>
        </is>
      </c>
      <c r="C588" t="n">
        <v>4740</v>
      </c>
      <c r="D588" t="n">
        <v>13270</v>
      </c>
      <c r="E588" t="n">
        <v>45</v>
      </c>
      <c r="F588" t="n">
        <v>72702</v>
      </c>
      <c r="G588" t="n">
        <v>5</v>
      </c>
      <c r="H588" t="n">
        <v>9</v>
      </c>
      <c r="I588" t="n">
        <v>221350</v>
      </c>
    </row>
    <row r="589">
      <c r="A589" t="n">
        <v>588</v>
      </c>
      <c r="B589" t="inlineStr">
        <is>
          <t>Validation</t>
        </is>
      </c>
      <c r="C589" t="n">
        <v>1174</v>
      </c>
      <c r="D589" t="n">
        <v>7000</v>
      </c>
      <c r="E589" t="n">
        <v>55</v>
      </c>
      <c r="F589" t="n">
        <v>69683</v>
      </c>
      <c r="G589" t="n">
        <v>0</v>
      </c>
      <c r="H589" t="n">
        <v>9</v>
      </c>
      <c r="I589" t="n">
        <v>231225</v>
      </c>
    </row>
    <row r="590">
      <c r="A590" t="n">
        <v>589</v>
      </c>
      <c r="B590" t="inlineStr">
        <is>
          <t>Validation</t>
        </is>
      </c>
      <c r="C590" t="n">
        <v>34151</v>
      </c>
      <c r="D590" t="n">
        <v>12620</v>
      </c>
      <c r="E590" t="n">
        <v>62</v>
      </c>
      <c r="F590" t="n">
        <v>68063</v>
      </c>
      <c r="G590" t="n">
        <v>3</v>
      </c>
      <c r="H590" t="n">
        <v>15</v>
      </c>
      <c r="I590" t="n">
        <v>269614</v>
      </c>
    </row>
    <row r="591">
      <c r="A591" t="n">
        <v>590</v>
      </c>
      <c r="B591" t="inlineStr">
        <is>
          <t>Train</t>
        </is>
      </c>
      <c r="C591" t="n">
        <v>31127</v>
      </c>
      <c r="D591" t="n">
        <v>20420</v>
      </c>
      <c r="E591" t="n">
        <v>40</v>
      </c>
      <c r="F591" t="n">
        <v>66745</v>
      </c>
      <c r="G591" t="n">
        <v>0</v>
      </c>
      <c r="H591" t="n">
        <v>13</v>
      </c>
      <c r="I591" t="n">
        <v>0</v>
      </c>
    </row>
    <row r="592">
      <c r="A592" t="n">
        <v>591</v>
      </c>
      <c r="B592" t="inlineStr">
        <is>
          <t>Train</t>
        </is>
      </c>
      <c r="C592" t="n">
        <v>3845</v>
      </c>
      <c r="D592" t="n">
        <v>26450</v>
      </c>
      <c r="E592" t="n">
        <v>44</v>
      </c>
      <c r="F592" t="n">
        <v>89474</v>
      </c>
      <c r="G592" t="n">
        <v>0</v>
      </c>
      <c r="H592" t="n">
        <v>11</v>
      </c>
      <c r="I592" t="n">
        <v>0</v>
      </c>
    </row>
    <row r="593">
      <c r="A593" t="n">
        <v>592</v>
      </c>
      <c r="B593" t="inlineStr">
        <is>
          <t>Train</t>
        </is>
      </c>
      <c r="C593" t="n">
        <v>4558</v>
      </c>
      <c r="D593" t="n">
        <v>28370</v>
      </c>
      <c r="E593" t="n">
        <v>50</v>
      </c>
      <c r="F593" t="n">
        <v>218705</v>
      </c>
      <c r="G593" t="n">
        <v>8</v>
      </c>
      <c r="H593" t="n">
        <v>12</v>
      </c>
      <c r="I593" t="n">
        <v>0</v>
      </c>
    </row>
    <row r="594">
      <c r="A594" t="n">
        <v>593</v>
      </c>
      <c r="B594" t="inlineStr">
        <is>
          <t>Train</t>
        </is>
      </c>
      <c r="C594" t="n">
        <v>4567</v>
      </c>
      <c r="D594" t="n">
        <v>23270</v>
      </c>
      <c r="E594" t="n">
        <v>26</v>
      </c>
      <c r="F594" t="n">
        <v>45254</v>
      </c>
      <c r="G594" t="n">
        <v>5</v>
      </c>
      <c r="H594" t="n">
        <v>9</v>
      </c>
      <c r="I594" t="n">
        <v>196146</v>
      </c>
    </row>
    <row r="595">
      <c r="A595" t="n">
        <v>594</v>
      </c>
      <c r="B595" t="inlineStr">
        <is>
          <t>Train</t>
        </is>
      </c>
      <c r="C595" t="n">
        <v>6895</v>
      </c>
      <c r="D595" t="n">
        <v>31080</v>
      </c>
      <c r="E595" t="n">
        <v>40</v>
      </c>
      <c r="F595" t="n">
        <v>131449</v>
      </c>
      <c r="G595" t="n">
        <v>4</v>
      </c>
      <c r="H595" t="n">
        <v>10</v>
      </c>
      <c r="I595" t="n">
        <v>0</v>
      </c>
    </row>
    <row r="596">
      <c r="A596" t="n">
        <v>595</v>
      </c>
      <c r="B596" t="inlineStr">
        <is>
          <t>Train</t>
        </is>
      </c>
      <c r="C596" t="n">
        <v>6377</v>
      </c>
      <c r="D596" t="n">
        <v>16310</v>
      </c>
      <c r="E596" t="n">
        <v>40</v>
      </c>
      <c r="F596" t="n">
        <v>18909</v>
      </c>
      <c r="G596" t="n">
        <v>0</v>
      </c>
      <c r="H596" t="n">
        <v>7</v>
      </c>
      <c r="I596" t="n">
        <v>93871</v>
      </c>
    </row>
    <row r="597">
      <c r="A597" t="n">
        <v>596</v>
      </c>
      <c r="B597" t="inlineStr">
        <is>
          <t>Train</t>
        </is>
      </c>
      <c r="C597" t="n">
        <v>4632</v>
      </c>
      <c r="D597" t="n">
        <v>7860</v>
      </c>
      <c r="E597" t="n">
        <v>35</v>
      </c>
      <c r="F597" t="n">
        <v>28551</v>
      </c>
      <c r="G597" t="n">
        <v>3</v>
      </c>
      <c r="H597" t="n">
        <v>5</v>
      </c>
      <c r="I597" t="n">
        <v>128411</v>
      </c>
    </row>
    <row r="598">
      <c r="A598" t="n">
        <v>597</v>
      </c>
      <c r="B598" t="inlineStr">
        <is>
          <t>Validation</t>
        </is>
      </c>
      <c r="C598" t="n">
        <v>4256</v>
      </c>
      <c r="D598" t="n">
        <v>19660</v>
      </c>
      <c r="E598" t="n">
        <v>59</v>
      </c>
      <c r="F598" t="n">
        <v>67486</v>
      </c>
      <c r="G598" t="n">
        <v>5</v>
      </c>
      <c r="H598" t="n">
        <v>15</v>
      </c>
      <c r="I598" t="n">
        <v>271840</v>
      </c>
    </row>
    <row r="599">
      <c r="A599" t="n">
        <v>598</v>
      </c>
      <c r="B599" t="inlineStr">
        <is>
          <t>Validation</t>
        </is>
      </c>
      <c r="C599" t="n">
        <v>38774</v>
      </c>
      <c r="D599" t="n">
        <v>19090</v>
      </c>
      <c r="E599" t="n">
        <v>38</v>
      </c>
      <c r="F599" t="n">
        <v>137897</v>
      </c>
      <c r="G599" t="n">
        <v>8</v>
      </c>
      <c r="H599" t="n">
        <v>15</v>
      </c>
      <c r="I599" t="n">
        <v>335993</v>
      </c>
    </row>
    <row r="600">
      <c r="A600" t="n">
        <v>599</v>
      </c>
      <c r="B600" t="inlineStr">
        <is>
          <t>Validation</t>
        </is>
      </c>
      <c r="C600" t="n">
        <v>17963</v>
      </c>
      <c r="D600" t="n">
        <v>15940</v>
      </c>
      <c r="E600" t="n">
        <v>45</v>
      </c>
      <c r="F600" t="n">
        <v>39327</v>
      </c>
      <c r="G600" t="n">
        <v>0</v>
      </c>
      <c r="H600" t="n">
        <v>16</v>
      </c>
      <c r="I600" t="n">
        <v>179607</v>
      </c>
    </row>
    <row r="601">
      <c r="A601" t="n">
        <v>600</v>
      </c>
      <c r="B601" t="inlineStr">
        <is>
          <t>Train</t>
        </is>
      </c>
      <c r="C601" t="n">
        <v>1208</v>
      </c>
      <c r="D601" t="n">
        <v>12670</v>
      </c>
      <c r="E601" t="n">
        <v>53</v>
      </c>
      <c r="F601" t="n">
        <v>58691</v>
      </c>
      <c r="G601" t="n">
        <v>3</v>
      </c>
      <c r="H601" t="n">
        <v>11</v>
      </c>
      <c r="I601" t="n">
        <v>255524</v>
      </c>
    </row>
    <row r="602">
      <c r="A602" t="n">
        <v>601</v>
      </c>
      <c r="B602" t="inlineStr">
        <is>
          <t>Train</t>
        </is>
      </c>
      <c r="C602" t="n">
        <v>27959</v>
      </c>
      <c r="D602" t="n">
        <v>19310</v>
      </c>
      <c r="E602" t="n">
        <v>50</v>
      </c>
      <c r="F602" t="n">
        <v>78083</v>
      </c>
      <c r="G602" t="n">
        <v>0</v>
      </c>
      <c r="H602" t="n">
        <v>9</v>
      </c>
      <c r="I602" t="n">
        <v>0</v>
      </c>
    </row>
    <row r="603">
      <c r="A603" t="n">
        <v>602</v>
      </c>
      <c r="B603" t="inlineStr">
        <is>
          <t>Train</t>
        </is>
      </c>
      <c r="C603" t="n">
        <v>1200</v>
      </c>
      <c r="D603" t="n">
        <v>33960</v>
      </c>
      <c r="E603" t="n">
        <v>36</v>
      </c>
      <c r="F603" t="n">
        <v>40983</v>
      </c>
      <c r="G603" t="n">
        <v>7</v>
      </c>
      <c r="H603" t="n">
        <v>16</v>
      </c>
      <c r="I603" t="n">
        <v>142139</v>
      </c>
    </row>
    <row r="604">
      <c r="A604" t="n">
        <v>603</v>
      </c>
      <c r="B604" t="inlineStr">
        <is>
          <t>Train</t>
        </is>
      </c>
      <c r="C604" t="n">
        <v>7903</v>
      </c>
      <c r="D604" t="n">
        <v>24010</v>
      </c>
      <c r="E604" t="n">
        <v>55</v>
      </c>
      <c r="F604" t="n">
        <v>55532</v>
      </c>
      <c r="G604" t="n">
        <v>1</v>
      </c>
      <c r="H604" t="n">
        <v>13</v>
      </c>
      <c r="I604" t="n">
        <v>198229</v>
      </c>
    </row>
    <row r="605">
      <c r="A605" t="n">
        <v>604</v>
      </c>
      <c r="B605" t="inlineStr">
        <is>
          <t>Train</t>
        </is>
      </c>
      <c r="C605" t="n">
        <v>7373</v>
      </c>
      <c r="D605" t="n">
        <v>7030</v>
      </c>
      <c r="E605" t="n">
        <v>55</v>
      </c>
      <c r="F605" t="n">
        <v>55352</v>
      </c>
      <c r="G605" t="n">
        <v>4</v>
      </c>
      <c r="H605" t="n">
        <v>1</v>
      </c>
      <c r="I605" t="n">
        <v>0</v>
      </c>
    </row>
    <row r="606">
      <c r="A606" t="n">
        <v>605</v>
      </c>
      <c r="B606" t="inlineStr">
        <is>
          <t>Train</t>
        </is>
      </c>
      <c r="C606" t="n">
        <v>6542</v>
      </c>
      <c r="D606" t="n">
        <v>4600</v>
      </c>
      <c r="E606" t="n">
        <v>31</v>
      </c>
      <c r="F606" t="n">
        <v>0</v>
      </c>
      <c r="G606" t="n">
        <v>3</v>
      </c>
      <c r="H606" t="n">
        <v>0</v>
      </c>
      <c r="I606" t="n">
        <v>0</v>
      </c>
    </row>
    <row r="607">
      <c r="A607" t="n">
        <v>606</v>
      </c>
      <c r="B607" t="inlineStr">
        <is>
          <t>Train</t>
        </is>
      </c>
      <c r="C607" t="n">
        <v>1402</v>
      </c>
      <c r="D607" t="n">
        <v>12100</v>
      </c>
      <c r="E607" t="n">
        <v>48</v>
      </c>
      <c r="F607" t="n">
        <v>57973</v>
      </c>
      <c r="G607" t="n">
        <v>6</v>
      </c>
      <c r="H607" t="n">
        <v>13</v>
      </c>
      <c r="I607" t="n">
        <v>231145</v>
      </c>
    </row>
    <row r="608">
      <c r="A608" t="n">
        <v>607</v>
      </c>
      <c r="B608" t="inlineStr">
        <is>
          <t>Validation</t>
        </is>
      </c>
      <c r="C608" t="n">
        <v>5946</v>
      </c>
      <c r="D608" t="n">
        <v>23900</v>
      </c>
      <c r="E608" t="n">
        <v>52</v>
      </c>
      <c r="F608" t="n">
        <v>55766</v>
      </c>
      <c r="G608" t="n">
        <v>2</v>
      </c>
      <c r="H608" t="n">
        <v>15</v>
      </c>
      <c r="I608" t="n">
        <v>239175</v>
      </c>
    </row>
    <row r="609">
      <c r="A609" t="n">
        <v>608</v>
      </c>
      <c r="B609" t="inlineStr">
        <is>
          <t>Validation</t>
        </is>
      </c>
      <c r="C609" t="n">
        <v>1332</v>
      </c>
      <c r="D609" t="n">
        <v>12730</v>
      </c>
      <c r="E609" t="n">
        <v>45</v>
      </c>
      <c r="F609" t="n">
        <v>39089</v>
      </c>
      <c r="G609" t="n">
        <v>2</v>
      </c>
      <c r="H609" t="n">
        <v>9</v>
      </c>
      <c r="I609" t="n">
        <v>206898</v>
      </c>
    </row>
    <row r="610">
      <c r="A610" t="n">
        <v>609</v>
      </c>
      <c r="B610" t="inlineStr">
        <is>
          <t>Validation</t>
        </is>
      </c>
      <c r="C610" t="n">
        <v>2820</v>
      </c>
      <c r="D610" t="n">
        <v>15070</v>
      </c>
      <c r="E610" t="n">
        <v>38</v>
      </c>
      <c r="F610" t="n">
        <v>37769</v>
      </c>
      <c r="G610" t="n">
        <v>7</v>
      </c>
      <c r="H610" t="n">
        <v>10</v>
      </c>
      <c r="I610" t="n">
        <v>0</v>
      </c>
    </row>
    <row r="611">
      <c r="A611" t="n">
        <v>610</v>
      </c>
      <c r="B611" t="inlineStr">
        <is>
          <t>Train</t>
        </is>
      </c>
      <c r="C611" t="n">
        <v>5262</v>
      </c>
      <c r="D611" t="n">
        <v>4100</v>
      </c>
      <c r="E611" t="n">
        <v>26</v>
      </c>
      <c r="F611" t="n">
        <v>0</v>
      </c>
      <c r="G611" t="n">
        <v>2</v>
      </c>
      <c r="H611" t="n">
        <v>0</v>
      </c>
      <c r="I611" t="n">
        <v>0</v>
      </c>
    </row>
    <row r="612">
      <c r="A612" t="n">
        <v>611</v>
      </c>
      <c r="B612" t="inlineStr">
        <is>
          <t>Train</t>
        </is>
      </c>
      <c r="C612" t="n">
        <v>5867</v>
      </c>
      <c r="D612" t="n">
        <v>11100</v>
      </c>
      <c r="E612" t="n">
        <v>28</v>
      </c>
      <c r="F612" t="n">
        <v>59889</v>
      </c>
      <c r="G612" t="n">
        <v>8</v>
      </c>
      <c r="H612" t="n">
        <v>14</v>
      </c>
      <c r="I612" t="n">
        <v>193646</v>
      </c>
    </row>
    <row r="613">
      <c r="A613" t="n">
        <v>612</v>
      </c>
      <c r="B613" t="inlineStr">
        <is>
          <t>Train</t>
        </is>
      </c>
      <c r="C613" t="n">
        <v>27758</v>
      </c>
      <c r="D613" t="n">
        <v>20410</v>
      </c>
      <c r="E613" t="n">
        <v>40</v>
      </c>
      <c r="F613" t="n">
        <v>59645</v>
      </c>
      <c r="G613" t="n">
        <v>2</v>
      </c>
      <c r="H613" t="n">
        <v>9</v>
      </c>
      <c r="I613" t="n">
        <v>200891</v>
      </c>
    </row>
    <row r="614">
      <c r="A614" t="n">
        <v>613</v>
      </c>
      <c r="B614" t="inlineStr">
        <is>
          <t>Train</t>
        </is>
      </c>
      <c r="C614" t="n">
        <v>6715</v>
      </c>
      <c r="D614" t="n">
        <v>1500</v>
      </c>
      <c r="E614" t="n">
        <v>55</v>
      </c>
      <c r="F614" t="n">
        <v>41643</v>
      </c>
      <c r="G614" t="n">
        <v>0</v>
      </c>
      <c r="H614" t="n">
        <v>15</v>
      </c>
      <c r="I614" t="n">
        <v>237816</v>
      </c>
    </row>
    <row r="615">
      <c r="A615" t="n">
        <v>614</v>
      </c>
      <c r="B615" t="inlineStr">
        <is>
          <t>Train</t>
        </is>
      </c>
      <c r="C615" t="n">
        <v>1372</v>
      </c>
      <c r="D615" t="n">
        <v>11540</v>
      </c>
      <c r="E615" t="n">
        <v>40</v>
      </c>
      <c r="F615" t="n">
        <v>60445</v>
      </c>
      <c r="G615" t="n">
        <v>5</v>
      </c>
      <c r="H615" t="n">
        <v>11</v>
      </c>
      <c r="I615" t="n">
        <v>207455</v>
      </c>
    </row>
    <row r="616">
      <c r="A616" t="n">
        <v>615</v>
      </c>
      <c r="B616" t="inlineStr">
        <is>
          <t>Train</t>
        </is>
      </c>
      <c r="C616" t="n">
        <v>2307</v>
      </c>
      <c r="D616" t="n">
        <v>5300</v>
      </c>
      <c r="E616" t="n">
        <v>38</v>
      </c>
      <c r="F616" t="n">
        <v>54064</v>
      </c>
      <c r="G616" t="n">
        <v>3</v>
      </c>
      <c r="H616" t="n">
        <v>14</v>
      </c>
      <c r="I616" t="n">
        <v>201418</v>
      </c>
    </row>
    <row r="617">
      <c r="A617" t="n">
        <v>616</v>
      </c>
      <c r="B617" t="inlineStr">
        <is>
          <t>Train</t>
        </is>
      </c>
      <c r="C617" t="n">
        <v>30791</v>
      </c>
      <c r="D617" t="n">
        <v>28870</v>
      </c>
      <c r="E617" t="n">
        <v>49</v>
      </c>
      <c r="F617" t="n">
        <v>116497</v>
      </c>
      <c r="G617" t="n">
        <v>2</v>
      </c>
      <c r="H617" t="n">
        <v>13</v>
      </c>
      <c r="I617" t="n">
        <v>283565</v>
      </c>
    </row>
    <row r="618">
      <c r="A618" t="n">
        <v>617</v>
      </c>
      <c r="B618" t="inlineStr">
        <is>
          <t>Validation</t>
        </is>
      </c>
      <c r="C618" t="n">
        <v>9533</v>
      </c>
      <c r="D618" t="n">
        <v>21760</v>
      </c>
      <c r="E618" t="n">
        <v>30</v>
      </c>
      <c r="F618" t="n">
        <v>58248</v>
      </c>
      <c r="G618" t="n">
        <v>4</v>
      </c>
      <c r="H618" t="n">
        <v>12</v>
      </c>
      <c r="I618" t="n">
        <v>0</v>
      </c>
    </row>
    <row r="619">
      <c r="A619" t="n">
        <v>618</v>
      </c>
      <c r="B619" t="inlineStr">
        <is>
          <t>Validation</t>
        </is>
      </c>
      <c r="C619" t="n">
        <v>1243</v>
      </c>
      <c r="D619" t="n">
        <v>9220</v>
      </c>
      <c r="E619" t="n">
        <v>30</v>
      </c>
      <c r="F619" t="n">
        <v>77170</v>
      </c>
      <c r="G619" t="n">
        <v>1</v>
      </c>
      <c r="H619" t="n">
        <v>11</v>
      </c>
      <c r="I619" t="n">
        <v>250064</v>
      </c>
    </row>
    <row r="620">
      <c r="A620" t="n">
        <v>619</v>
      </c>
      <c r="B620" t="inlineStr">
        <is>
          <t>Validation</t>
        </is>
      </c>
      <c r="C620" t="n">
        <v>9633</v>
      </c>
      <c r="D620" t="n">
        <v>23690</v>
      </c>
      <c r="E620" t="n">
        <v>35</v>
      </c>
      <c r="F620" t="n">
        <v>26127</v>
      </c>
      <c r="G620" t="n">
        <v>8</v>
      </c>
      <c r="H620" t="n">
        <v>16</v>
      </c>
      <c r="I620" t="n">
        <v>150058</v>
      </c>
    </row>
    <row r="621">
      <c r="A621" t="n">
        <v>620</v>
      </c>
      <c r="B621" t="inlineStr">
        <is>
          <t>Train</t>
        </is>
      </c>
      <c r="C621" t="n">
        <v>32610</v>
      </c>
      <c r="D621" t="n">
        <v>27420</v>
      </c>
      <c r="E621" t="n">
        <v>42</v>
      </c>
      <c r="F621" t="n">
        <v>34072</v>
      </c>
      <c r="G621" t="n">
        <v>0</v>
      </c>
      <c r="H621" t="n">
        <v>2</v>
      </c>
      <c r="I621" t="n">
        <v>160862</v>
      </c>
    </row>
    <row r="622">
      <c r="A622" t="n">
        <v>621</v>
      </c>
      <c r="B622" t="inlineStr">
        <is>
          <t>Train</t>
        </is>
      </c>
      <c r="C622" t="n">
        <v>6391</v>
      </c>
      <c r="D622" t="n">
        <v>15250</v>
      </c>
      <c r="E622" t="n">
        <v>46</v>
      </c>
      <c r="F622" t="n">
        <v>43651</v>
      </c>
      <c r="G622" t="n">
        <v>4</v>
      </c>
      <c r="H622" t="n">
        <v>11</v>
      </c>
      <c r="I622" t="n">
        <v>128478</v>
      </c>
    </row>
    <row r="623">
      <c r="A623" t="n">
        <v>622</v>
      </c>
      <c r="B623" t="inlineStr">
        <is>
          <t>Train</t>
        </is>
      </c>
      <c r="C623" t="n">
        <v>1650</v>
      </c>
      <c r="D623" t="n">
        <v>7350</v>
      </c>
      <c r="E623" t="n">
        <v>39</v>
      </c>
      <c r="F623" t="n">
        <v>134460</v>
      </c>
      <c r="G623" t="n">
        <v>4</v>
      </c>
      <c r="H623" t="n">
        <v>13</v>
      </c>
      <c r="I623" t="n">
        <v>0</v>
      </c>
    </row>
    <row r="624">
      <c r="A624" t="n">
        <v>623</v>
      </c>
      <c r="B624" t="inlineStr">
        <is>
          <t>Train</t>
        </is>
      </c>
      <c r="C624" t="n">
        <v>3110</v>
      </c>
      <c r="D624" t="n">
        <v>25190</v>
      </c>
      <c r="E624" t="n">
        <v>54</v>
      </c>
      <c r="F624" t="n">
        <v>108317</v>
      </c>
      <c r="G624" t="n">
        <v>2</v>
      </c>
      <c r="H624" t="n">
        <v>11</v>
      </c>
      <c r="I624" t="n">
        <v>325936</v>
      </c>
    </row>
    <row r="625">
      <c r="A625" t="n">
        <v>624</v>
      </c>
      <c r="B625" t="inlineStr">
        <is>
          <t>Train</t>
        </is>
      </c>
      <c r="C625" t="n">
        <v>5386</v>
      </c>
      <c r="D625" t="n">
        <v>18870</v>
      </c>
      <c r="E625" t="n">
        <v>41</v>
      </c>
      <c r="F625" t="n">
        <v>34024</v>
      </c>
      <c r="G625" t="n">
        <v>0</v>
      </c>
      <c r="H625" t="n">
        <v>11</v>
      </c>
      <c r="I625" t="n">
        <v>153936</v>
      </c>
    </row>
    <row r="626">
      <c r="A626" t="n">
        <v>625</v>
      </c>
      <c r="B626" t="inlineStr">
        <is>
          <t>Train</t>
        </is>
      </c>
      <c r="C626" t="n">
        <v>4233</v>
      </c>
      <c r="D626" t="n">
        <v>11210</v>
      </c>
      <c r="E626" t="n">
        <v>37</v>
      </c>
      <c r="F626" t="n">
        <v>60121</v>
      </c>
      <c r="G626" t="n">
        <v>4</v>
      </c>
      <c r="H626" t="n">
        <v>8</v>
      </c>
      <c r="I626" t="n">
        <v>151782</v>
      </c>
    </row>
    <row r="627">
      <c r="A627" t="n">
        <v>626</v>
      </c>
      <c r="B627" t="inlineStr">
        <is>
          <t>Train</t>
        </is>
      </c>
      <c r="C627" t="n">
        <v>1836</v>
      </c>
      <c r="D627" t="n">
        <v>7920</v>
      </c>
      <c r="E627" t="n">
        <v>24</v>
      </c>
      <c r="F627" t="n">
        <v>40245</v>
      </c>
      <c r="G627" t="n">
        <v>9</v>
      </c>
      <c r="H627" t="n">
        <v>8</v>
      </c>
      <c r="I627" t="n">
        <v>98218</v>
      </c>
    </row>
    <row r="628">
      <c r="A628" t="n">
        <v>627</v>
      </c>
      <c r="B628" t="inlineStr">
        <is>
          <t>Validation</t>
        </is>
      </c>
      <c r="C628" t="n">
        <v>8584</v>
      </c>
      <c r="D628" t="n">
        <v>16000</v>
      </c>
      <c r="E628" t="n">
        <v>41</v>
      </c>
      <c r="F628" t="n">
        <v>45298</v>
      </c>
      <c r="G628" t="n">
        <v>0</v>
      </c>
      <c r="H628" t="n">
        <v>14</v>
      </c>
      <c r="I628" t="n">
        <v>189778</v>
      </c>
    </row>
    <row r="629">
      <c r="A629" t="n">
        <v>628</v>
      </c>
      <c r="B629" t="inlineStr">
        <is>
          <t>Validation</t>
        </is>
      </c>
      <c r="C629" t="n">
        <v>3978</v>
      </c>
      <c r="D629" t="n">
        <v>5270</v>
      </c>
      <c r="E629" t="n">
        <v>45</v>
      </c>
      <c r="F629" t="n">
        <v>37675</v>
      </c>
      <c r="G629" t="n">
        <v>3</v>
      </c>
      <c r="H629" t="n">
        <v>12</v>
      </c>
      <c r="I629" t="n">
        <v>148826</v>
      </c>
    </row>
    <row r="630">
      <c r="A630" t="n">
        <v>629</v>
      </c>
      <c r="B630" t="inlineStr">
        <is>
          <t>Validation</t>
        </is>
      </c>
      <c r="C630" t="n">
        <v>5241</v>
      </c>
      <c r="D630" t="n">
        <v>10830</v>
      </c>
      <c r="E630" t="n">
        <v>41</v>
      </c>
      <c r="F630" t="n">
        <v>47632</v>
      </c>
      <c r="G630" t="n">
        <v>0</v>
      </c>
      <c r="H630" t="n">
        <v>11</v>
      </c>
      <c r="I630" t="n">
        <v>195979</v>
      </c>
    </row>
    <row r="631">
      <c r="A631" t="n">
        <v>630</v>
      </c>
      <c r="B631" t="inlineStr">
        <is>
          <t>Train</t>
        </is>
      </c>
      <c r="C631" t="n">
        <v>11743</v>
      </c>
      <c r="D631" t="n">
        <v>26300</v>
      </c>
      <c r="E631" t="n">
        <v>44</v>
      </c>
      <c r="F631" t="n">
        <v>46092</v>
      </c>
      <c r="G631" t="n">
        <v>6</v>
      </c>
      <c r="H631" t="n">
        <v>10</v>
      </c>
      <c r="I631" t="n">
        <v>0</v>
      </c>
    </row>
    <row r="632">
      <c r="A632" t="n">
        <v>631</v>
      </c>
      <c r="B632" t="inlineStr">
        <is>
          <t>Train</t>
        </is>
      </c>
      <c r="C632" t="n">
        <v>5084</v>
      </c>
      <c r="D632" t="n">
        <v>8310</v>
      </c>
      <c r="E632" t="n">
        <v>28</v>
      </c>
      <c r="F632" t="n">
        <v>40061</v>
      </c>
      <c r="G632" t="n">
        <v>2</v>
      </c>
      <c r="H632" t="n">
        <v>15</v>
      </c>
      <c r="I632" t="n">
        <v>134035</v>
      </c>
    </row>
    <row r="633">
      <c r="A633" t="n">
        <v>632</v>
      </c>
      <c r="B633" t="inlineStr">
        <is>
          <t>Train</t>
        </is>
      </c>
      <c r="C633" t="n">
        <v>28889</v>
      </c>
      <c r="D633" t="n">
        <v>21530</v>
      </c>
      <c r="E633" t="n">
        <v>42</v>
      </c>
      <c r="F633" t="n">
        <v>70404</v>
      </c>
      <c r="G633" t="n">
        <v>4</v>
      </c>
      <c r="H633" t="n">
        <v>14</v>
      </c>
      <c r="I633" t="n">
        <v>0</v>
      </c>
    </row>
    <row r="634">
      <c r="A634" t="n">
        <v>633</v>
      </c>
      <c r="B634" t="inlineStr">
        <is>
          <t>Train</t>
        </is>
      </c>
      <c r="C634" t="n">
        <v>5558</v>
      </c>
      <c r="D634" t="n">
        <v>13810</v>
      </c>
      <c r="E634" t="n">
        <v>50</v>
      </c>
      <c r="F634" t="n">
        <v>22470</v>
      </c>
      <c r="G634" t="n">
        <v>9</v>
      </c>
      <c r="H634" t="n">
        <v>11</v>
      </c>
      <c r="I634" t="n">
        <v>0</v>
      </c>
    </row>
    <row r="635">
      <c r="A635" t="n">
        <v>634</v>
      </c>
      <c r="B635" t="inlineStr">
        <is>
          <t>Train</t>
        </is>
      </c>
      <c r="C635" t="n">
        <v>4365</v>
      </c>
      <c r="D635" t="n">
        <v>15950</v>
      </c>
      <c r="E635" t="n">
        <v>32</v>
      </c>
      <c r="F635" t="n">
        <v>57583</v>
      </c>
      <c r="G635" t="n">
        <v>1</v>
      </c>
      <c r="H635" t="n">
        <v>13</v>
      </c>
      <c r="I635" t="n">
        <v>213828</v>
      </c>
    </row>
    <row r="636">
      <c r="A636" t="n">
        <v>635</v>
      </c>
      <c r="B636" t="inlineStr">
        <is>
          <t>Train</t>
        </is>
      </c>
      <c r="C636" t="n">
        <v>1829</v>
      </c>
      <c r="D636" t="n">
        <v>20400</v>
      </c>
      <c r="E636" t="n">
        <v>31</v>
      </c>
      <c r="F636" t="n">
        <v>58391</v>
      </c>
      <c r="G636" t="n">
        <v>0</v>
      </c>
      <c r="H636" t="n">
        <v>11</v>
      </c>
      <c r="I636" t="n">
        <v>187063</v>
      </c>
    </row>
    <row r="637">
      <c r="A637" t="n">
        <v>636</v>
      </c>
      <c r="B637" t="inlineStr">
        <is>
          <t>Train</t>
        </is>
      </c>
      <c r="C637" t="n">
        <v>1389</v>
      </c>
      <c r="D637" t="n">
        <v>16330</v>
      </c>
      <c r="E637" t="n">
        <v>43</v>
      </c>
      <c r="F637" t="n">
        <v>64065</v>
      </c>
      <c r="G637" t="n">
        <v>5</v>
      </c>
      <c r="H637" t="n">
        <v>15</v>
      </c>
      <c r="I637" t="n">
        <v>204282</v>
      </c>
    </row>
    <row r="638">
      <c r="A638" t="n">
        <v>637</v>
      </c>
      <c r="B638" t="inlineStr">
        <is>
          <t>Validation</t>
        </is>
      </c>
      <c r="C638" t="n">
        <v>2490</v>
      </c>
      <c r="D638" t="n">
        <v>5670</v>
      </c>
      <c r="E638" t="n">
        <v>39</v>
      </c>
      <c r="F638" t="n">
        <v>2743</v>
      </c>
      <c r="G638" t="n">
        <v>6</v>
      </c>
      <c r="H638" t="n">
        <v>11</v>
      </c>
      <c r="I638" t="n">
        <v>0</v>
      </c>
    </row>
    <row r="639">
      <c r="A639" t="n">
        <v>638</v>
      </c>
      <c r="B639" t="inlineStr">
        <is>
          <t>Validation</t>
        </is>
      </c>
      <c r="C639" t="n">
        <v>2317</v>
      </c>
      <c r="D639" t="n">
        <v>8230</v>
      </c>
      <c r="E639" t="n">
        <v>44</v>
      </c>
      <c r="F639" t="n">
        <v>23270</v>
      </c>
      <c r="G639" t="n">
        <v>2</v>
      </c>
      <c r="H639" t="n">
        <v>15</v>
      </c>
      <c r="I639" t="n">
        <v>0</v>
      </c>
    </row>
    <row r="640">
      <c r="A640" t="n">
        <v>639</v>
      </c>
      <c r="B640" t="inlineStr">
        <is>
          <t>Validation</t>
        </is>
      </c>
      <c r="C640" t="n">
        <v>54399</v>
      </c>
      <c r="D640" t="n">
        <v>21170</v>
      </c>
      <c r="E640" t="n">
        <v>44</v>
      </c>
      <c r="F640" t="n">
        <v>109624</v>
      </c>
      <c r="G640" t="n">
        <v>6</v>
      </c>
      <c r="H640" t="n">
        <v>4</v>
      </c>
      <c r="I640" t="n">
        <v>0</v>
      </c>
    </row>
    <row r="641">
      <c r="A641" t="n">
        <v>640</v>
      </c>
      <c r="B641" t="inlineStr">
        <is>
          <t>Train</t>
        </is>
      </c>
      <c r="C641" t="n">
        <v>22345</v>
      </c>
      <c r="D641" t="n">
        <v>12700</v>
      </c>
      <c r="E641" t="n">
        <v>50</v>
      </c>
      <c r="F641" t="n">
        <v>34928</v>
      </c>
      <c r="G641" t="n">
        <v>0</v>
      </c>
      <c r="H641" t="n">
        <v>8</v>
      </c>
      <c r="I641" t="n">
        <v>0</v>
      </c>
    </row>
    <row r="642">
      <c r="A642" t="n">
        <v>641</v>
      </c>
      <c r="B642" t="inlineStr">
        <is>
          <t>Train</t>
        </is>
      </c>
      <c r="C642" t="n">
        <v>1122</v>
      </c>
      <c r="D642" t="n">
        <v>5020</v>
      </c>
      <c r="E642" t="n">
        <v>24</v>
      </c>
      <c r="F642" t="n">
        <v>11215</v>
      </c>
      <c r="G642" t="n">
        <v>8</v>
      </c>
      <c r="H642" t="n">
        <v>12</v>
      </c>
      <c r="I642" t="n">
        <v>0</v>
      </c>
    </row>
    <row r="643">
      <c r="A643" t="n">
        <v>642</v>
      </c>
      <c r="B643" t="inlineStr">
        <is>
          <t>Train</t>
        </is>
      </c>
      <c r="C643" t="n">
        <v>8413</v>
      </c>
      <c r="D643" t="n">
        <v>6390</v>
      </c>
      <c r="E643" t="n">
        <v>28</v>
      </c>
      <c r="F643" t="n">
        <v>20852</v>
      </c>
      <c r="G643" t="n">
        <v>3</v>
      </c>
      <c r="H643" t="n">
        <v>9</v>
      </c>
      <c r="I643" t="n">
        <v>123109</v>
      </c>
    </row>
    <row r="644">
      <c r="A644" t="n">
        <v>643</v>
      </c>
      <c r="B644" t="inlineStr">
        <is>
          <t>Train</t>
        </is>
      </c>
      <c r="C644" t="n">
        <v>1421</v>
      </c>
      <c r="D644" t="n">
        <v>8480</v>
      </c>
      <c r="E644" t="n">
        <v>39</v>
      </c>
      <c r="F644" t="n">
        <v>69842</v>
      </c>
      <c r="G644" t="n">
        <v>4</v>
      </c>
      <c r="H644" t="n">
        <v>11</v>
      </c>
      <c r="I644" t="n">
        <v>197667</v>
      </c>
    </row>
    <row r="645">
      <c r="A645" t="n">
        <v>644</v>
      </c>
      <c r="B645" t="inlineStr">
        <is>
          <t>Train</t>
        </is>
      </c>
      <c r="C645" t="n">
        <v>25866</v>
      </c>
      <c r="D645" t="n">
        <v>16060</v>
      </c>
      <c r="E645" t="n">
        <v>28</v>
      </c>
      <c r="F645" t="n">
        <v>40142</v>
      </c>
      <c r="G645" t="n">
        <v>6</v>
      </c>
      <c r="H645" t="n">
        <v>9</v>
      </c>
      <c r="I645" t="n">
        <v>153692</v>
      </c>
    </row>
    <row r="646">
      <c r="A646" t="n">
        <v>645</v>
      </c>
      <c r="B646" t="inlineStr">
        <is>
          <t>Train</t>
        </is>
      </c>
      <c r="C646" t="n">
        <v>3444</v>
      </c>
      <c r="D646" t="n">
        <v>19260</v>
      </c>
      <c r="E646" t="n">
        <v>49</v>
      </c>
      <c r="F646" t="n">
        <v>0</v>
      </c>
      <c r="G646" t="n">
        <v>1</v>
      </c>
      <c r="H646" t="n">
        <v>0</v>
      </c>
      <c r="I646" t="n">
        <v>85478</v>
      </c>
    </row>
    <row r="647">
      <c r="A647" t="n">
        <v>646</v>
      </c>
      <c r="B647" t="inlineStr">
        <is>
          <t>Train</t>
        </is>
      </c>
      <c r="C647" t="n">
        <v>5389</v>
      </c>
      <c r="D647" t="n">
        <v>8450</v>
      </c>
      <c r="E647" t="n">
        <v>40</v>
      </c>
      <c r="F647" t="n">
        <v>29499</v>
      </c>
      <c r="G647" t="n">
        <v>3</v>
      </c>
      <c r="H647" t="n">
        <v>10</v>
      </c>
      <c r="I647" t="n">
        <v>129021</v>
      </c>
    </row>
    <row r="648">
      <c r="A648" t="n">
        <v>647</v>
      </c>
      <c r="B648" t="inlineStr">
        <is>
          <t>Validation</t>
        </is>
      </c>
      <c r="C648" t="n">
        <v>7248</v>
      </c>
      <c r="D648" t="n">
        <v>19150</v>
      </c>
      <c r="E648" t="n">
        <v>34</v>
      </c>
      <c r="F648" t="n">
        <v>95191</v>
      </c>
      <c r="G648" t="n">
        <v>3</v>
      </c>
      <c r="H648" t="n">
        <v>14</v>
      </c>
      <c r="I648" t="n">
        <v>269159</v>
      </c>
    </row>
    <row r="649">
      <c r="A649" t="n">
        <v>648</v>
      </c>
      <c r="B649" t="inlineStr">
        <is>
          <t>Validation</t>
        </is>
      </c>
      <c r="C649" t="n">
        <v>39204</v>
      </c>
      <c r="D649" t="n">
        <v>13900</v>
      </c>
      <c r="E649" t="n">
        <v>45</v>
      </c>
      <c r="F649" t="n">
        <v>24846</v>
      </c>
      <c r="G649" t="n">
        <v>6</v>
      </c>
      <c r="H649" t="n">
        <v>15</v>
      </c>
      <c r="I649" t="n">
        <v>152559</v>
      </c>
    </row>
    <row r="650">
      <c r="A650" t="n">
        <v>649</v>
      </c>
      <c r="B650" t="inlineStr">
        <is>
          <t>Validation</t>
        </is>
      </c>
      <c r="C650" t="n">
        <v>7952</v>
      </c>
      <c r="D650" t="n">
        <v>24030</v>
      </c>
      <c r="E650" t="n">
        <v>53</v>
      </c>
      <c r="F650" t="n">
        <v>37345</v>
      </c>
      <c r="G650" t="n">
        <v>1</v>
      </c>
      <c r="H650" t="n">
        <v>16</v>
      </c>
      <c r="I650" t="n">
        <v>177601</v>
      </c>
    </row>
    <row r="651">
      <c r="A651" t="n">
        <v>650</v>
      </c>
      <c r="B651" t="inlineStr">
        <is>
          <t>Train</t>
        </is>
      </c>
      <c r="C651" t="n">
        <v>7918</v>
      </c>
      <c r="D651" t="n">
        <v>7180</v>
      </c>
      <c r="E651" t="n">
        <v>38</v>
      </c>
      <c r="F651" t="n">
        <v>14560</v>
      </c>
      <c r="G651" t="n">
        <v>0</v>
      </c>
      <c r="H651" t="n">
        <v>12</v>
      </c>
      <c r="I651" t="n">
        <v>99549</v>
      </c>
    </row>
    <row r="652">
      <c r="A652" t="n">
        <v>651</v>
      </c>
      <c r="B652" t="inlineStr">
        <is>
          <t>Train</t>
        </is>
      </c>
      <c r="C652" t="n">
        <v>5697</v>
      </c>
      <c r="D652" t="n">
        <v>15820</v>
      </c>
      <c r="E652" t="n">
        <v>37</v>
      </c>
      <c r="F652" t="n">
        <v>14024</v>
      </c>
      <c r="G652" t="n">
        <v>2</v>
      </c>
      <c r="H652" t="n">
        <v>12</v>
      </c>
      <c r="I652" t="n">
        <v>64600</v>
      </c>
    </row>
    <row r="653">
      <c r="A653" t="n">
        <v>652</v>
      </c>
      <c r="B653" t="inlineStr">
        <is>
          <t>Train</t>
        </is>
      </c>
      <c r="C653" t="n">
        <v>3050</v>
      </c>
      <c r="D653" t="n">
        <v>6720</v>
      </c>
      <c r="E653" t="n">
        <v>34</v>
      </c>
      <c r="F653" t="n">
        <v>18211</v>
      </c>
      <c r="G653" t="n">
        <v>3</v>
      </c>
      <c r="H653" t="n">
        <v>7</v>
      </c>
      <c r="I653" t="n">
        <v>0</v>
      </c>
    </row>
    <row r="654">
      <c r="A654" t="n">
        <v>653</v>
      </c>
      <c r="B654" t="inlineStr">
        <is>
          <t>Train</t>
        </is>
      </c>
      <c r="C654" t="n">
        <v>16951</v>
      </c>
      <c r="D654" t="n">
        <v>19170</v>
      </c>
      <c r="E654" t="n">
        <v>52</v>
      </c>
      <c r="F654" t="n">
        <v>160405</v>
      </c>
      <c r="G654" t="n">
        <v>3</v>
      </c>
      <c r="H654" t="n">
        <v>13</v>
      </c>
      <c r="I654" t="n">
        <v>0</v>
      </c>
    </row>
    <row r="655">
      <c r="A655" t="n">
        <v>654</v>
      </c>
      <c r="B655" t="inlineStr">
        <is>
          <t>Train</t>
        </is>
      </c>
      <c r="C655" t="n">
        <v>1994</v>
      </c>
      <c r="D655" t="n">
        <v>10520</v>
      </c>
      <c r="E655" t="n">
        <v>44</v>
      </c>
      <c r="F655" t="n">
        <v>46233</v>
      </c>
      <c r="G655" t="n">
        <v>2</v>
      </c>
      <c r="H655" t="n">
        <v>12</v>
      </c>
      <c r="I655" t="n">
        <v>0</v>
      </c>
    </row>
    <row r="656">
      <c r="A656" t="n">
        <v>655</v>
      </c>
      <c r="B656" t="inlineStr">
        <is>
          <t>Train</t>
        </is>
      </c>
      <c r="C656" t="n">
        <v>11742</v>
      </c>
      <c r="D656" t="n">
        <v>21690</v>
      </c>
      <c r="E656" t="n">
        <v>41</v>
      </c>
      <c r="F656" t="n">
        <v>95166</v>
      </c>
      <c r="G656" t="n">
        <v>6</v>
      </c>
      <c r="H656" t="n">
        <v>8</v>
      </c>
      <c r="I656" t="n">
        <v>306407</v>
      </c>
    </row>
    <row r="657">
      <c r="A657" t="n">
        <v>656</v>
      </c>
      <c r="B657" t="inlineStr">
        <is>
          <t>Train</t>
        </is>
      </c>
      <c r="C657" t="n">
        <v>21581</v>
      </c>
      <c r="D657" t="n">
        <v>10460</v>
      </c>
      <c r="E657" t="n">
        <v>51</v>
      </c>
      <c r="F657" t="n">
        <v>89606</v>
      </c>
      <c r="G657" t="n">
        <v>0</v>
      </c>
      <c r="H657" t="n">
        <v>14</v>
      </c>
      <c r="I657" t="n">
        <v>288266</v>
      </c>
    </row>
    <row r="658">
      <c r="A658" t="n">
        <v>657</v>
      </c>
      <c r="B658" t="inlineStr">
        <is>
          <t>Validation</t>
        </is>
      </c>
      <c r="C658" t="n">
        <v>2942</v>
      </c>
      <c r="D658" t="n">
        <v>16080</v>
      </c>
      <c r="E658" t="n">
        <v>33</v>
      </c>
      <c r="F658" t="n">
        <v>0</v>
      </c>
      <c r="G658" t="n">
        <v>1</v>
      </c>
      <c r="H658" t="n">
        <v>0</v>
      </c>
      <c r="I658" t="n">
        <v>0</v>
      </c>
    </row>
    <row r="659">
      <c r="A659" t="n">
        <v>658</v>
      </c>
      <c r="B659" t="inlineStr">
        <is>
          <t>Validation</t>
        </is>
      </c>
      <c r="C659" t="n">
        <v>24183</v>
      </c>
      <c r="D659" t="n">
        <v>5570</v>
      </c>
      <c r="E659" t="n">
        <v>39</v>
      </c>
      <c r="F659" t="n">
        <v>40716</v>
      </c>
      <c r="G659" t="n">
        <v>3</v>
      </c>
      <c r="H659" t="n">
        <v>9</v>
      </c>
      <c r="I659" t="n">
        <v>170076</v>
      </c>
    </row>
    <row r="660">
      <c r="A660" t="n">
        <v>659</v>
      </c>
      <c r="B660" t="inlineStr">
        <is>
          <t>Validation</t>
        </is>
      </c>
      <c r="C660" t="n">
        <v>5049</v>
      </c>
      <c r="D660" t="n">
        <v>13940</v>
      </c>
      <c r="E660" t="n">
        <v>44</v>
      </c>
      <c r="F660" t="n">
        <v>80403</v>
      </c>
      <c r="G660" t="n">
        <v>7</v>
      </c>
      <c r="H660" t="n">
        <v>10</v>
      </c>
      <c r="I660" t="n">
        <v>241977</v>
      </c>
    </row>
    <row r="661">
      <c r="A661" t="n">
        <v>660</v>
      </c>
      <c r="B661" t="inlineStr">
        <is>
          <t>Train</t>
        </is>
      </c>
      <c r="C661" t="n">
        <v>8694</v>
      </c>
      <c r="D661" t="n">
        <v>1500</v>
      </c>
      <c r="E661" t="n">
        <v>57</v>
      </c>
      <c r="F661" t="n">
        <v>0</v>
      </c>
      <c r="G661" t="n">
        <v>1</v>
      </c>
      <c r="H661" t="n">
        <v>0</v>
      </c>
      <c r="I661" t="n">
        <v>82024</v>
      </c>
    </row>
    <row r="662">
      <c r="A662" t="n">
        <v>661</v>
      </c>
      <c r="B662" t="inlineStr">
        <is>
          <t>Train</t>
        </is>
      </c>
      <c r="C662" t="n">
        <v>6430</v>
      </c>
      <c r="D662" t="n">
        <v>15090</v>
      </c>
      <c r="E662" t="n">
        <v>33</v>
      </c>
      <c r="F662" t="n">
        <v>67789</v>
      </c>
      <c r="G662" t="n">
        <v>4</v>
      </c>
      <c r="H662" t="n">
        <v>12</v>
      </c>
      <c r="I662" t="n">
        <v>0</v>
      </c>
    </row>
    <row r="663">
      <c r="A663" t="n">
        <v>662</v>
      </c>
      <c r="B663" t="inlineStr">
        <is>
          <t>Train</t>
        </is>
      </c>
      <c r="C663" t="n">
        <v>8376</v>
      </c>
      <c r="D663" t="n">
        <v>6430</v>
      </c>
      <c r="E663" t="n">
        <v>47</v>
      </c>
      <c r="F663" t="n">
        <v>0</v>
      </c>
      <c r="G663" t="n">
        <v>6</v>
      </c>
      <c r="H663" t="n">
        <v>0</v>
      </c>
      <c r="I663" t="n">
        <v>52929</v>
      </c>
    </row>
    <row r="664">
      <c r="A664" t="n">
        <v>663</v>
      </c>
      <c r="B664" t="inlineStr">
        <is>
          <t>Train</t>
        </is>
      </c>
      <c r="C664" t="n">
        <v>7811</v>
      </c>
      <c r="D664" t="n">
        <v>17460</v>
      </c>
      <c r="E664" t="n">
        <v>47</v>
      </c>
      <c r="F664" t="n">
        <v>31392</v>
      </c>
      <c r="G664" t="n">
        <v>5</v>
      </c>
      <c r="H664" t="n">
        <v>11</v>
      </c>
      <c r="I664" t="n">
        <v>142235</v>
      </c>
    </row>
    <row r="665">
      <c r="A665" t="n">
        <v>664</v>
      </c>
      <c r="B665" t="inlineStr">
        <is>
          <t>Train</t>
        </is>
      </c>
      <c r="C665" t="n">
        <v>6939</v>
      </c>
      <c r="D665" t="n">
        <v>27130</v>
      </c>
      <c r="E665" t="n">
        <v>46</v>
      </c>
      <c r="F665" t="n">
        <v>44574</v>
      </c>
      <c r="G665" t="n">
        <v>0</v>
      </c>
      <c r="H665" t="n">
        <v>10</v>
      </c>
      <c r="I665" t="n">
        <v>0</v>
      </c>
    </row>
    <row r="666">
      <c r="A666" t="n">
        <v>665</v>
      </c>
      <c r="B666" t="inlineStr">
        <is>
          <t>Train</t>
        </is>
      </c>
      <c r="C666" t="n">
        <v>5892</v>
      </c>
      <c r="D666" t="n">
        <v>5300</v>
      </c>
      <c r="E666" t="n">
        <v>38</v>
      </c>
      <c r="F666" t="n">
        <v>57684</v>
      </c>
      <c r="G666" t="n">
        <v>0</v>
      </c>
      <c r="H666" t="n">
        <v>14</v>
      </c>
      <c r="I666" t="n">
        <v>189247</v>
      </c>
    </row>
    <row r="667">
      <c r="A667" t="n">
        <v>666</v>
      </c>
      <c r="B667" t="inlineStr">
        <is>
          <t>Train</t>
        </is>
      </c>
      <c r="C667" t="n">
        <v>9485</v>
      </c>
      <c r="D667" t="n">
        <v>34300</v>
      </c>
      <c r="E667" t="n">
        <v>54</v>
      </c>
      <c r="F667" t="n">
        <v>66623</v>
      </c>
      <c r="G667" t="n">
        <v>0</v>
      </c>
      <c r="H667" t="n">
        <v>11</v>
      </c>
      <c r="I667" t="n">
        <v>261930</v>
      </c>
    </row>
    <row r="668">
      <c r="A668" t="n">
        <v>667</v>
      </c>
      <c r="B668" t="inlineStr">
        <is>
          <t>Validation</t>
        </is>
      </c>
      <c r="C668" t="n">
        <v>6479</v>
      </c>
      <c r="D668" t="n">
        <v>7000</v>
      </c>
      <c r="E668" t="n">
        <v>55</v>
      </c>
      <c r="F668" t="n">
        <v>0</v>
      </c>
      <c r="G668" t="n">
        <v>0</v>
      </c>
      <c r="H668" t="n">
        <v>0</v>
      </c>
      <c r="I668" t="n">
        <v>111559</v>
      </c>
    </row>
    <row r="669">
      <c r="A669" t="n">
        <v>668</v>
      </c>
      <c r="B669" t="inlineStr">
        <is>
          <t>Validation</t>
        </is>
      </c>
      <c r="C669" t="n">
        <v>6247</v>
      </c>
      <c r="D669" t="n">
        <v>5840</v>
      </c>
      <c r="E669" t="n">
        <v>37</v>
      </c>
      <c r="F669" t="n">
        <v>6398</v>
      </c>
      <c r="G669" t="n">
        <v>4</v>
      </c>
      <c r="H669" t="n">
        <v>16</v>
      </c>
      <c r="I669" t="n">
        <v>109751</v>
      </c>
    </row>
    <row r="670">
      <c r="A670" t="n">
        <v>669</v>
      </c>
      <c r="B670" t="inlineStr">
        <is>
          <t>Validation</t>
        </is>
      </c>
      <c r="C670" t="n">
        <v>10823</v>
      </c>
      <c r="D670" t="n">
        <v>6960</v>
      </c>
      <c r="E670" t="n">
        <v>41</v>
      </c>
      <c r="F670" t="n">
        <v>54289</v>
      </c>
      <c r="G670" t="n">
        <v>0</v>
      </c>
      <c r="H670" t="n">
        <v>8</v>
      </c>
      <c r="I670" t="n">
        <v>0</v>
      </c>
    </row>
    <row r="671">
      <c r="A671" t="n">
        <v>670</v>
      </c>
      <c r="B671" t="inlineStr">
        <is>
          <t>Train</t>
        </is>
      </c>
      <c r="C671" t="n">
        <v>5101</v>
      </c>
      <c r="D671" t="n">
        <v>13140</v>
      </c>
      <c r="E671" t="n">
        <v>39</v>
      </c>
      <c r="F671" t="n">
        <v>30804</v>
      </c>
      <c r="G671" t="n">
        <v>6</v>
      </c>
      <c r="H671" t="n">
        <v>15</v>
      </c>
      <c r="I671" t="n">
        <v>159351</v>
      </c>
    </row>
    <row r="672">
      <c r="A672" t="n">
        <v>671</v>
      </c>
      <c r="B672" t="inlineStr">
        <is>
          <t>Train</t>
        </is>
      </c>
      <c r="C672" t="n">
        <v>2569</v>
      </c>
      <c r="D672" t="n">
        <v>7880</v>
      </c>
      <c r="E672" t="n">
        <v>35</v>
      </c>
      <c r="F672" t="n">
        <v>28777</v>
      </c>
      <c r="G672" t="n">
        <v>5</v>
      </c>
      <c r="H672" t="n">
        <v>13</v>
      </c>
      <c r="I672" t="n">
        <v>116463</v>
      </c>
    </row>
    <row r="673">
      <c r="A673" t="n">
        <v>672</v>
      </c>
      <c r="B673" t="inlineStr">
        <is>
          <t>Train</t>
        </is>
      </c>
      <c r="C673" t="n">
        <v>4957</v>
      </c>
      <c r="D673" t="n">
        <v>27130</v>
      </c>
      <c r="E673" t="n">
        <v>55</v>
      </c>
      <c r="F673" t="n">
        <v>72337</v>
      </c>
      <c r="G673" t="n">
        <v>0</v>
      </c>
      <c r="H673" t="n">
        <v>14</v>
      </c>
      <c r="I673" t="n">
        <v>210378</v>
      </c>
    </row>
    <row r="674">
      <c r="A674" t="n">
        <v>673</v>
      </c>
      <c r="B674" t="inlineStr">
        <is>
          <t>Train</t>
        </is>
      </c>
      <c r="C674" t="n">
        <v>5228</v>
      </c>
      <c r="D674" t="n">
        <v>17990</v>
      </c>
      <c r="E674" t="n">
        <v>50</v>
      </c>
      <c r="F674" t="n">
        <v>21567</v>
      </c>
      <c r="G674" t="n">
        <v>5</v>
      </c>
      <c r="H674" t="n">
        <v>8</v>
      </c>
      <c r="I674" t="n">
        <v>149254</v>
      </c>
    </row>
    <row r="675">
      <c r="A675" t="n">
        <v>674</v>
      </c>
      <c r="B675" t="inlineStr">
        <is>
          <t>Train</t>
        </is>
      </c>
      <c r="C675" t="n">
        <v>1109</v>
      </c>
      <c r="D675" t="n">
        <v>12400</v>
      </c>
      <c r="E675" t="n">
        <v>37</v>
      </c>
      <c r="F675" t="n">
        <v>72019</v>
      </c>
      <c r="G675" t="n">
        <v>8</v>
      </c>
      <c r="H675" t="n">
        <v>15</v>
      </c>
      <c r="I675" t="n">
        <v>0</v>
      </c>
    </row>
    <row r="676">
      <c r="A676" t="n">
        <v>675</v>
      </c>
      <c r="B676" t="inlineStr">
        <is>
          <t>Train</t>
        </is>
      </c>
      <c r="C676" t="n">
        <v>2631</v>
      </c>
      <c r="D676" t="n">
        <v>29080</v>
      </c>
      <c r="E676" t="n">
        <v>45</v>
      </c>
      <c r="F676" t="n">
        <v>62552</v>
      </c>
      <c r="G676" t="n">
        <v>4</v>
      </c>
      <c r="H676" t="n">
        <v>10</v>
      </c>
      <c r="I676" t="n">
        <v>208227</v>
      </c>
    </row>
    <row r="677">
      <c r="A677" t="n">
        <v>676</v>
      </c>
      <c r="B677" t="inlineStr">
        <is>
          <t>Train</t>
        </is>
      </c>
      <c r="C677" t="n">
        <v>6984</v>
      </c>
      <c r="D677" t="n">
        <v>12730</v>
      </c>
      <c r="E677" t="n">
        <v>41</v>
      </c>
      <c r="F677" t="n">
        <v>71303</v>
      </c>
      <c r="G677" t="n">
        <v>2</v>
      </c>
      <c r="H677" t="n">
        <v>11</v>
      </c>
      <c r="I677" t="n">
        <v>213841</v>
      </c>
    </row>
    <row r="678">
      <c r="A678" t="n">
        <v>677</v>
      </c>
      <c r="B678" t="inlineStr">
        <is>
          <t>Validation</t>
        </is>
      </c>
      <c r="C678" t="n">
        <v>3331</v>
      </c>
      <c r="D678" t="n">
        <v>1500</v>
      </c>
      <c r="E678" t="n">
        <v>66</v>
      </c>
      <c r="F678" t="n">
        <v>20443</v>
      </c>
      <c r="G678" t="n">
        <v>6</v>
      </c>
      <c r="H678" t="n">
        <v>8</v>
      </c>
      <c r="I678" t="n">
        <v>164510</v>
      </c>
    </row>
    <row r="679">
      <c r="A679" t="n">
        <v>678</v>
      </c>
      <c r="B679" t="inlineStr">
        <is>
          <t>Validation</t>
        </is>
      </c>
      <c r="C679" t="n">
        <v>1529</v>
      </c>
      <c r="D679" t="n">
        <v>10570</v>
      </c>
      <c r="E679" t="n">
        <v>51</v>
      </c>
      <c r="F679" t="n">
        <v>33349</v>
      </c>
      <c r="G679" t="n">
        <v>0</v>
      </c>
      <c r="H679" t="n">
        <v>7</v>
      </c>
      <c r="I679" t="n">
        <v>178852</v>
      </c>
    </row>
    <row r="680">
      <c r="A680" t="n">
        <v>679</v>
      </c>
      <c r="B680" t="inlineStr">
        <is>
          <t>Validation</t>
        </is>
      </c>
      <c r="C680" t="n">
        <v>9667</v>
      </c>
      <c r="D680" t="n">
        <v>13290</v>
      </c>
      <c r="E680" t="n">
        <v>52</v>
      </c>
      <c r="F680" t="n">
        <v>43539</v>
      </c>
      <c r="G680" t="n">
        <v>7</v>
      </c>
      <c r="H680" t="n">
        <v>10</v>
      </c>
      <c r="I680" t="n">
        <v>200883</v>
      </c>
    </row>
    <row r="681">
      <c r="A681" t="n">
        <v>680</v>
      </c>
      <c r="B681" t="inlineStr">
        <is>
          <t>Train</t>
        </is>
      </c>
      <c r="C681" t="n">
        <v>24310</v>
      </c>
      <c r="D681" t="n">
        <v>23790</v>
      </c>
      <c r="E681" t="n">
        <v>39</v>
      </c>
      <c r="F681" t="n">
        <v>93339</v>
      </c>
      <c r="G681" t="n">
        <v>6</v>
      </c>
      <c r="H681" t="n">
        <v>11</v>
      </c>
      <c r="I681" t="n">
        <v>288509</v>
      </c>
    </row>
    <row r="682">
      <c r="A682" t="n">
        <v>681</v>
      </c>
      <c r="B682" t="inlineStr">
        <is>
          <t>Train</t>
        </is>
      </c>
      <c r="C682" t="n">
        <v>1881</v>
      </c>
      <c r="D682" t="n">
        <v>9170</v>
      </c>
      <c r="E682" t="n">
        <v>35</v>
      </c>
      <c r="F682" t="n">
        <v>29250</v>
      </c>
      <c r="G682" t="n">
        <v>8</v>
      </c>
      <c r="H682" t="n">
        <v>14</v>
      </c>
      <c r="I682" t="n">
        <v>159239</v>
      </c>
    </row>
    <row r="683">
      <c r="A683" t="n">
        <v>682</v>
      </c>
      <c r="B683" t="inlineStr">
        <is>
          <t>Train</t>
        </is>
      </c>
      <c r="C683" t="n">
        <v>4995</v>
      </c>
      <c r="D683" t="n">
        <v>6120</v>
      </c>
      <c r="E683" t="n">
        <v>42</v>
      </c>
      <c r="F683" t="n">
        <v>4215</v>
      </c>
      <c r="G683" t="n">
        <v>5</v>
      </c>
      <c r="H683" t="n">
        <v>12</v>
      </c>
      <c r="I683" t="n">
        <v>0</v>
      </c>
    </row>
    <row r="684">
      <c r="A684" t="n">
        <v>683</v>
      </c>
      <c r="B684" t="inlineStr">
        <is>
          <t>Train</t>
        </is>
      </c>
      <c r="C684" t="n">
        <v>5002</v>
      </c>
      <c r="D684" t="n">
        <v>7960</v>
      </c>
      <c r="E684" t="n">
        <v>35</v>
      </c>
      <c r="F684" t="n">
        <v>20950</v>
      </c>
      <c r="G684" t="n">
        <v>0</v>
      </c>
      <c r="H684" t="n">
        <v>8</v>
      </c>
      <c r="I684" t="n">
        <v>129612</v>
      </c>
    </row>
    <row r="685">
      <c r="A685" t="n">
        <v>684</v>
      </c>
      <c r="B685" t="inlineStr">
        <is>
          <t>Train</t>
        </is>
      </c>
      <c r="C685" t="n">
        <v>6290</v>
      </c>
      <c r="D685" t="n">
        <v>11490</v>
      </c>
      <c r="E685" t="n">
        <v>55</v>
      </c>
      <c r="F685" t="n">
        <v>31573</v>
      </c>
      <c r="G685" t="n">
        <v>0</v>
      </c>
      <c r="H685" t="n">
        <v>14</v>
      </c>
      <c r="I685" t="n">
        <v>156734</v>
      </c>
    </row>
    <row r="686">
      <c r="A686" t="n">
        <v>685</v>
      </c>
      <c r="B686" t="inlineStr">
        <is>
          <t>Train</t>
        </is>
      </c>
      <c r="C686" t="n">
        <v>45254</v>
      </c>
      <c r="D686" t="n">
        <v>19210</v>
      </c>
      <c r="E686" t="n">
        <v>59</v>
      </c>
      <c r="F686" t="n">
        <v>61159</v>
      </c>
      <c r="G686" t="n">
        <v>9</v>
      </c>
      <c r="H686" t="n">
        <v>13</v>
      </c>
      <c r="I686" t="n">
        <v>208072</v>
      </c>
    </row>
    <row r="687">
      <c r="A687" t="n">
        <v>686</v>
      </c>
      <c r="B687" t="inlineStr">
        <is>
          <t>Train</t>
        </is>
      </c>
      <c r="C687" t="n">
        <v>9175</v>
      </c>
      <c r="D687" t="n">
        <v>17450</v>
      </c>
      <c r="E687" t="n">
        <v>52</v>
      </c>
      <c r="F687" t="n">
        <v>59233</v>
      </c>
      <c r="G687" t="n">
        <v>5</v>
      </c>
      <c r="H687" t="n">
        <v>3</v>
      </c>
      <c r="I687" t="n">
        <v>222590</v>
      </c>
    </row>
    <row r="688">
      <c r="A688" t="n">
        <v>687</v>
      </c>
      <c r="B688" t="inlineStr">
        <is>
          <t>Validation</t>
        </is>
      </c>
      <c r="C688" t="n">
        <v>5766</v>
      </c>
      <c r="D688" t="n">
        <v>10610</v>
      </c>
      <c r="E688" t="n">
        <v>65</v>
      </c>
      <c r="F688" t="n">
        <v>26123</v>
      </c>
      <c r="G688" t="n">
        <v>0</v>
      </c>
      <c r="H688" t="n">
        <v>9</v>
      </c>
      <c r="I688" t="n">
        <v>0</v>
      </c>
    </row>
    <row r="689">
      <c r="A689" t="n">
        <v>688</v>
      </c>
      <c r="B689" t="inlineStr">
        <is>
          <t>Validation</t>
        </is>
      </c>
      <c r="C689" t="n">
        <v>34506</v>
      </c>
      <c r="D689" t="n">
        <v>6300</v>
      </c>
      <c r="E689" t="n">
        <v>47</v>
      </c>
      <c r="F689" t="n">
        <v>38027</v>
      </c>
      <c r="G689" t="n">
        <v>5</v>
      </c>
      <c r="H689" t="n">
        <v>10</v>
      </c>
      <c r="I689" t="n">
        <v>0</v>
      </c>
    </row>
    <row r="690">
      <c r="A690" t="n">
        <v>689</v>
      </c>
      <c r="B690" t="inlineStr">
        <is>
          <t>Validation</t>
        </is>
      </c>
      <c r="C690" t="n">
        <v>6031</v>
      </c>
      <c r="D690" t="n">
        <v>8920</v>
      </c>
      <c r="E690" t="n">
        <v>35</v>
      </c>
      <c r="F690" t="n">
        <v>0</v>
      </c>
      <c r="G690" t="n">
        <v>3</v>
      </c>
      <c r="H690" t="n">
        <v>0</v>
      </c>
      <c r="I690" t="n">
        <v>0</v>
      </c>
    </row>
    <row r="691">
      <c r="A691" t="n">
        <v>690</v>
      </c>
      <c r="B691" t="inlineStr">
        <is>
          <t>Train</t>
        </is>
      </c>
      <c r="C691" t="n">
        <v>6566</v>
      </c>
      <c r="D691" t="n">
        <v>7530</v>
      </c>
      <c r="E691" t="n">
        <v>37</v>
      </c>
      <c r="F691" t="n">
        <v>23338</v>
      </c>
      <c r="G691" t="n">
        <v>0</v>
      </c>
      <c r="H691" t="n">
        <v>11</v>
      </c>
      <c r="I691" t="n">
        <v>152954</v>
      </c>
    </row>
    <row r="692">
      <c r="A692" t="n">
        <v>691</v>
      </c>
      <c r="B692" t="inlineStr">
        <is>
          <t>Train</t>
        </is>
      </c>
      <c r="C692" t="n">
        <v>2321</v>
      </c>
      <c r="D692" t="n">
        <v>6080</v>
      </c>
      <c r="E692" t="n">
        <v>32</v>
      </c>
      <c r="F692" t="n">
        <v>13847</v>
      </c>
      <c r="G692" t="n">
        <v>0</v>
      </c>
      <c r="H692" t="n">
        <v>12</v>
      </c>
      <c r="I692" t="n">
        <v>129852</v>
      </c>
    </row>
    <row r="693">
      <c r="A693" t="n">
        <v>692</v>
      </c>
      <c r="B693" t="inlineStr">
        <is>
          <t>Train</t>
        </is>
      </c>
      <c r="C693" t="n">
        <v>5911</v>
      </c>
      <c r="D693" t="n">
        <v>27270</v>
      </c>
      <c r="E693" t="n">
        <v>54</v>
      </c>
      <c r="F693" t="n">
        <v>66100</v>
      </c>
      <c r="G693" t="n">
        <v>6</v>
      </c>
      <c r="H693" t="n">
        <v>11</v>
      </c>
      <c r="I693" t="n">
        <v>222183</v>
      </c>
    </row>
    <row r="694">
      <c r="A694" t="n">
        <v>693</v>
      </c>
      <c r="B694" t="inlineStr">
        <is>
          <t>Train</t>
        </is>
      </c>
      <c r="C694" t="n">
        <v>2487</v>
      </c>
      <c r="D694" t="n">
        <v>15280</v>
      </c>
      <c r="E694" t="n">
        <v>63</v>
      </c>
      <c r="F694" t="n">
        <v>74789</v>
      </c>
      <c r="G694" t="n">
        <v>8</v>
      </c>
      <c r="H694" t="n">
        <v>13</v>
      </c>
      <c r="I694" t="n">
        <v>0</v>
      </c>
    </row>
    <row r="695">
      <c r="A695" t="n">
        <v>694</v>
      </c>
      <c r="B695" t="inlineStr">
        <is>
          <t>Train</t>
        </is>
      </c>
      <c r="C695" t="n">
        <v>3948</v>
      </c>
      <c r="D695" t="n">
        <v>5330</v>
      </c>
      <c r="E695" t="n">
        <v>45</v>
      </c>
      <c r="F695" t="n">
        <v>67803</v>
      </c>
      <c r="G695" t="n">
        <v>2</v>
      </c>
      <c r="H695" t="n">
        <v>13</v>
      </c>
      <c r="I695" t="n">
        <v>206997</v>
      </c>
    </row>
    <row r="696">
      <c r="A696" t="n">
        <v>695</v>
      </c>
      <c r="B696" t="inlineStr">
        <is>
          <t>Train</t>
        </is>
      </c>
      <c r="C696" t="n">
        <v>5219</v>
      </c>
      <c r="D696" t="n">
        <v>12610</v>
      </c>
      <c r="E696" t="n">
        <v>46</v>
      </c>
      <c r="F696" t="n">
        <v>65075</v>
      </c>
      <c r="G696" t="n">
        <v>5</v>
      </c>
      <c r="H696" t="n">
        <v>13</v>
      </c>
      <c r="I696" t="n">
        <v>0</v>
      </c>
    </row>
    <row r="697">
      <c r="A697" t="n">
        <v>696</v>
      </c>
      <c r="B697" t="inlineStr">
        <is>
          <t>Train</t>
        </is>
      </c>
      <c r="C697" t="n">
        <v>1830</v>
      </c>
      <c r="D697" t="n">
        <v>29160</v>
      </c>
      <c r="E697" t="n">
        <v>44</v>
      </c>
      <c r="F697" t="n">
        <v>17049</v>
      </c>
      <c r="G697" t="n">
        <v>3</v>
      </c>
      <c r="H697" t="n">
        <v>9</v>
      </c>
      <c r="I697" t="n">
        <v>0</v>
      </c>
    </row>
    <row r="698">
      <c r="A698" t="n">
        <v>697</v>
      </c>
      <c r="B698" t="inlineStr">
        <is>
          <t>Validation</t>
        </is>
      </c>
      <c r="C698" t="n">
        <v>5229</v>
      </c>
      <c r="D698" t="n">
        <v>9800</v>
      </c>
      <c r="E698" t="n">
        <v>42</v>
      </c>
      <c r="F698" t="n">
        <v>21670</v>
      </c>
      <c r="G698" t="n">
        <v>6</v>
      </c>
      <c r="H698" t="n">
        <v>10</v>
      </c>
      <c r="I698" t="n">
        <v>0</v>
      </c>
    </row>
    <row r="699">
      <c r="A699" t="n">
        <v>698</v>
      </c>
      <c r="B699" t="inlineStr">
        <is>
          <t>Validation</t>
        </is>
      </c>
      <c r="C699" t="n">
        <v>28353</v>
      </c>
      <c r="D699" t="n">
        <v>18880</v>
      </c>
      <c r="E699" t="n">
        <v>66</v>
      </c>
      <c r="F699" t="n">
        <v>45876</v>
      </c>
      <c r="G699" t="n">
        <v>7</v>
      </c>
      <c r="H699" t="n">
        <v>14</v>
      </c>
      <c r="I699" t="n">
        <v>207530</v>
      </c>
    </row>
    <row r="700">
      <c r="A700" t="n">
        <v>699</v>
      </c>
      <c r="B700" t="inlineStr">
        <is>
          <t>Validation</t>
        </is>
      </c>
      <c r="C700" t="n">
        <v>9091</v>
      </c>
      <c r="D700" t="n">
        <v>12630</v>
      </c>
      <c r="E700" t="n">
        <v>46</v>
      </c>
      <c r="F700" t="n">
        <v>106711</v>
      </c>
      <c r="G700" t="n">
        <v>0</v>
      </c>
      <c r="H700" t="n">
        <v>6</v>
      </c>
      <c r="I700" t="n">
        <v>312123</v>
      </c>
    </row>
    <row r="701">
      <c r="A701" t="n">
        <v>700</v>
      </c>
      <c r="B701" t="inlineStr">
        <is>
          <t>Train</t>
        </is>
      </c>
      <c r="C701" t="n">
        <v>4441</v>
      </c>
      <c r="D701" t="n">
        <v>30300</v>
      </c>
      <c r="E701" t="n">
        <v>45</v>
      </c>
      <c r="F701" t="n">
        <v>89531</v>
      </c>
      <c r="G701" t="n">
        <v>6</v>
      </c>
      <c r="H701" t="n">
        <v>5</v>
      </c>
      <c r="I701" t="n">
        <v>0</v>
      </c>
    </row>
    <row r="702">
      <c r="A702" t="n">
        <v>701</v>
      </c>
      <c r="B702" t="inlineStr">
        <is>
          <t>Train</t>
        </is>
      </c>
      <c r="C702" t="n">
        <v>2207</v>
      </c>
      <c r="D702" t="n">
        <v>18980</v>
      </c>
      <c r="E702" t="n">
        <v>49</v>
      </c>
      <c r="F702" t="n">
        <v>174804</v>
      </c>
      <c r="G702" t="n">
        <v>5</v>
      </c>
      <c r="H702" t="n">
        <v>5</v>
      </c>
      <c r="I702" t="n">
        <v>474948</v>
      </c>
    </row>
    <row r="703">
      <c r="A703" t="n">
        <v>702</v>
      </c>
      <c r="B703" t="inlineStr">
        <is>
          <t>Train</t>
        </is>
      </c>
      <c r="C703" t="n">
        <v>34195</v>
      </c>
      <c r="D703" t="n">
        <v>20510</v>
      </c>
      <c r="E703" t="n">
        <v>46</v>
      </c>
      <c r="F703" t="n">
        <v>82398</v>
      </c>
      <c r="G703" t="n">
        <v>0</v>
      </c>
      <c r="H703" t="n">
        <v>12</v>
      </c>
      <c r="I703" t="n">
        <v>0</v>
      </c>
    </row>
    <row r="704">
      <c r="A704" t="n">
        <v>703</v>
      </c>
      <c r="B704" t="inlineStr">
        <is>
          <t>Train</t>
        </is>
      </c>
      <c r="C704" t="n">
        <v>10102</v>
      </c>
      <c r="D704" t="n">
        <v>6670</v>
      </c>
      <c r="E704" t="n">
        <v>39</v>
      </c>
      <c r="F704" t="n">
        <v>0</v>
      </c>
      <c r="G704" t="n">
        <v>5</v>
      </c>
      <c r="H704" t="n">
        <v>0</v>
      </c>
      <c r="I704" t="n">
        <v>81473</v>
      </c>
    </row>
    <row r="705">
      <c r="A705" t="n">
        <v>704</v>
      </c>
      <c r="B705" t="inlineStr">
        <is>
          <t>Train</t>
        </is>
      </c>
      <c r="C705" t="n">
        <v>4733</v>
      </c>
      <c r="D705" t="n">
        <v>25790</v>
      </c>
      <c r="E705" t="n">
        <v>50</v>
      </c>
      <c r="F705" t="n">
        <v>114135</v>
      </c>
      <c r="G705" t="n">
        <v>2</v>
      </c>
      <c r="H705" t="n">
        <v>10</v>
      </c>
      <c r="I705" t="n">
        <v>301977</v>
      </c>
    </row>
    <row r="706">
      <c r="A706" t="n">
        <v>705</v>
      </c>
      <c r="B706" t="inlineStr">
        <is>
          <t>Train</t>
        </is>
      </c>
      <c r="C706" t="n">
        <v>5326</v>
      </c>
      <c r="D706" t="n">
        <v>11940</v>
      </c>
      <c r="E706" t="n">
        <v>37</v>
      </c>
      <c r="F706" t="n">
        <v>74246</v>
      </c>
      <c r="G706" t="n">
        <v>2</v>
      </c>
      <c r="H706" t="n">
        <v>16</v>
      </c>
      <c r="I706" t="n">
        <v>237469</v>
      </c>
    </row>
    <row r="707">
      <c r="A707" t="n">
        <v>706</v>
      </c>
      <c r="B707" t="inlineStr">
        <is>
          <t>Train</t>
        </is>
      </c>
      <c r="C707" t="n">
        <v>7387</v>
      </c>
      <c r="D707" t="n">
        <v>11320</v>
      </c>
      <c r="E707" t="n">
        <v>46</v>
      </c>
      <c r="F707" t="n">
        <v>23863</v>
      </c>
      <c r="G707" t="n">
        <v>4</v>
      </c>
      <c r="H707" t="n">
        <v>13</v>
      </c>
      <c r="I707" t="n">
        <v>143184</v>
      </c>
    </row>
    <row r="708">
      <c r="A708" t="n">
        <v>707</v>
      </c>
      <c r="B708" t="inlineStr">
        <is>
          <t>Validation</t>
        </is>
      </c>
      <c r="C708" t="n">
        <v>8273</v>
      </c>
      <c r="D708" t="n">
        <v>6280</v>
      </c>
      <c r="E708" t="n">
        <v>42</v>
      </c>
      <c r="F708" t="n">
        <v>47836</v>
      </c>
      <c r="G708" t="n">
        <v>3</v>
      </c>
      <c r="H708" t="n">
        <v>10</v>
      </c>
      <c r="I708" t="n">
        <v>175242</v>
      </c>
    </row>
    <row r="709">
      <c r="A709" t="n">
        <v>708</v>
      </c>
      <c r="B709" t="inlineStr">
        <is>
          <t>Validation</t>
        </is>
      </c>
      <c r="C709" t="n">
        <v>35098</v>
      </c>
      <c r="D709" t="n">
        <v>29700</v>
      </c>
      <c r="E709" t="n">
        <v>46</v>
      </c>
      <c r="F709" t="n">
        <v>76216</v>
      </c>
      <c r="G709" t="n">
        <v>1</v>
      </c>
      <c r="H709" t="n">
        <v>7</v>
      </c>
      <c r="I709" t="n">
        <v>0</v>
      </c>
    </row>
    <row r="710">
      <c r="A710" t="n">
        <v>709</v>
      </c>
      <c r="B710" t="inlineStr">
        <is>
          <t>Validation</t>
        </is>
      </c>
      <c r="C710" t="n">
        <v>8342</v>
      </c>
      <c r="D710" t="n">
        <v>5300</v>
      </c>
      <c r="E710" t="n">
        <v>38</v>
      </c>
      <c r="F710" t="n">
        <v>26006</v>
      </c>
      <c r="G710" t="n">
        <v>0</v>
      </c>
      <c r="H710" t="n">
        <v>10</v>
      </c>
      <c r="I710" t="n">
        <v>0</v>
      </c>
    </row>
    <row r="711">
      <c r="A711" t="n">
        <v>710</v>
      </c>
      <c r="B711" t="inlineStr">
        <is>
          <t>Train</t>
        </is>
      </c>
      <c r="C711" t="n">
        <v>943</v>
      </c>
      <c r="D711" t="n">
        <v>18810</v>
      </c>
      <c r="E711" t="n">
        <v>41</v>
      </c>
      <c r="F711" t="n">
        <v>132114</v>
      </c>
      <c r="G711" t="n">
        <v>5</v>
      </c>
      <c r="H711" t="n">
        <v>10</v>
      </c>
      <c r="I711" t="n">
        <v>0</v>
      </c>
    </row>
    <row r="712">
      <c r="A712" t="n">
        <v>711</v>
      </c>
      <c r="B712" t="inlineStr">
        <is>
          <t>Train</t>
        </is>
      </c>
      <c r="C712" t="n">
        <v>6244</v>
      </c>
      <c r="D712" t="n">
        <v>9010</v>
      </c>
      <c r="E712" t="n">
        <v>41</v>
      </c>
      <c r="F712" t="n">
        <v>75080</v>
      </c>
      <c r="G712" t="n">
        <v>4</v>
      </c>
      <c r="H712" t="n">
        <v>12</v>
      </c>
      <c r="I712" t="n">
        <v>237088</v>
      </c>
    </row>
    <row r="713">
      <c r="A713" t="n">
        <v>712</v>
      </c>
      <c r="B713" t="inlineStr">
        <is>
          <t>Train</t>
        </is>
      </c>
      <c r="C713" t="n">
        <v>6974</v>
      </c>
      <c r="D713" t="n">
        <v>16150</v>
      </c>
      <c r="E713" t="n">
        <v>33</v>
      </c>
      <c r="F713" t="n">
        <v>113498</v>
      </c>
      <c r="G713" t="n">
        <v>5</v>
      </c>
      <c r="H713" t="n">
        <v>18</v>
      </c>
      <c r="I713" t="n">
        <v>305456</v>
      </c>
    </row>
    <row r="714">
      <c r="A714" t="n">
        <v>713</v>
      </c>
      <c r="B714" t="inlineStr">
        <is>
          <t>Train</t>
        </is>
      </c>
      <c r="C714" t="n">
        <v>30343</v>
      </c>
      <c r="D714" t="n">
        <v>17510</v>
      </c>
      <c r="E714" t="n">
        <v>46</v>
      </c>
      <c r="F714" t="n">
        <v>75983</v>
      </c>
      <c r="G714" t="n">
        <v>5</v>
      </c>
      <c r="H714" t="n">
        <v>5</v>
      </c>
      <c r="I714" t="n">
        <v>252802</v>
      </c>
    </row>
    <row r="715">
      <c r="A715" t="n">
        <v>714</v>
      </c>
      <c r="B715" t="inlineStr">
        <is>
          <t>Train</t>
        </is>
      </c>
      <c r="C715" t="n">
        <v>30089</v>
      </c>
      <c r="D715" t="n">
        <v>1950</v>
      </c>
      <c r="E715" t="n">
        <v>42</v>
      </c>
      <c r="F715" t="n">
        <v>4480</v>
      </c>
      <c r="G715" t="n">
        <v>4</v>
      </c>
      <c r="H715" t="n">
        <v>11</v>
      </c>
      <c r="I715" t="n">
        <v>0</v>
      </c>
    </row>
    <row r="716">
      <c r="A716" t="n">
        <v>715</v>
      </c>
      <c r="B716" t="inlineStr">
        <is>
          <t>Train</t>
        </is>
      </c>
      <c r="C716" t="n">
        <v>7644</v>
      </c>
      <c r="D716" t="n">
        <v>9830</v>
      </c>
      <c r="E716" t="n">
        <v>32</v>
      </c>
      <c r="F716" t="n">
        <v>0</v>
      </c>
      <c r="G716" t="n">
        <v>7</v>
      </c>
      <c r="H716" t="n">
        <v>0</v>
      </c>
      <c r="I716" t="n">
        <v>0</v>
      </c>
    </row>
    <row r="717">
      <c r="A717" t="n">
        <v>716</v>
      </c>
      <c r="B717" t="inlineStr">
        <is>
          <t>Train</t>
        </is>
      </c>
      <c r="C717" t="n">
        <v>4520</v>
      </c>
      <c r="D717" t="n">
        <v>11750</v>
      </c>
      <c r="E717" t="n">
        <v>43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717</v>
      </c>
      <c r="B718" t="inlineStr">
        <is>
          <t>Validation</t>
        </is>
      </c>
      <c r="C718" t="n">
        <v>41917</v>
      </c>
      <c r="D718" t="n">
        <v>9730</v>
      </c>
      <c r="E718" t="n">
        <v>54</v>
      </c>
      <c r="F718" t="n">
        <v>33791</v>
      </c>
      <c r="G718" t="n">
        <v>5</v>
      </c>
      <c r="H718" t="n">
        <v>13</v>
      </c>
      <c r="I718" t="n">
        <v>171275</v>
      </c>
    </row>
    <row r="719">
      <c r="A719" t="n">
        <v>718</v>
      </c>
      <c r="B719" t="inlineStr">
        <is>
          <t>Validation</t>
        </is>
      </c>
      <c r="C719" t="n">
        <v>3989</v>
      </c>
      <c r="D719" t="n">
        <v>14870</v>
      </c>
      <c r="E719" t="n">
        <v>57</v>
      </c>
      <c r="F719" t="n">
        <v>62894</v>
      </c>
      <c r="G719" t="n">
        <v>7</v>
      </c>
      <c r="H719" t="n">
        <v>14</v>
      </c>
      <c r="I719" t="n">
        <v>242043</v>
      </c>
    </row>
    <row r="720">
      <c r="A720" t="n">
        <v>719</v>
      </c>
      <c r="B720" t="inlineStr">
        <is>
          <t>Validation</t>
        </is>
      </c>
      <c r="C720" t="n">
        <v>3754</v>
      </c>
      <c r="D720" t="n">
        <v>16050</v>
      </c>
      <c r="E720" t="n">
        <v>50</v>
      </c>
      <c r="F720" t="n">
        <v>63799</v>
      </c>
      <c r="G720" t="n">
        <v>3</v>
      </c>
      <c r="H720" t="n">
        <v>13</v>
      </c>
      <c r="I720" t="n">
        <v>0</v>
      </c>
    </row>
    <row r="721">
      <c r="A721" t="n">
        <v>720</v>
      </c>
      <c r="B721" t="inlineStr">
        <is>
          <t>Train</t>
        </is>
      </c>
      <c r="C721" t="n">
        <v>3601</v>
      </c>
      <c r="D721" t="n">
        <v>30690</v>
      </c>
      <c r="E721" t="n">
        <v>51</v>
      </c>
      <c r="F721" t="n">
        <v>113158</v>
      </c>
      <c r="G721" t="n">
        <v>4</v>
      </c>
      <c r="H721" t="n">
        <v>12</v>
      </c>
      <c r="I721" t="n">
        <v>333903</v>
      </c>
    </row>
    <row r="722">
      <c r="A722" t="n">
        <v>721</v>
      </c>
      <c r="B722" t="inlineStr">
        <is>
          <t>Train</t>
        </is>
      </c>
      <c r="C722" t="n">
        <v>6712</v>
      </c>
      <c r="D722" t="n">
        <v>11580</v>
      </c>
      <c r="E722" t="n">
        <v>57</v>
      </c>
      <c r="F722" t="n">
        <v>100769</v>
      </c>
      <c r="G722" t="n">
        <v>4</v>
      </c>
      <c r="H722" t="n">
        <v>12</v>
      </c>
      <c r="I722" t="n">
        <v>0</v>
      </c>
    </row>
    <row r="723">
      <c r="A723" t="n">
        <v>722</v>
      </c>
      <c r="B723" t="inlineStr">
        <is>
          <t>Train</t>
        </is>
      </c>
      <c r="C723" t="n">
        <v>30605</v>
      </c>
      <c r="D723" t="n">
        <v>15100</v>
      </c>
      <c r="E723" t="n">
        <v>51</v>
      </c>
      <c r="F723" t="n">
        <v>51605</v>
      </c>
      <c r="G723" t="n">
        <v>5</v>
      </c>
      <c r="H723" t="n">
        <v>11</v>
      </c>
      <c r="I723" t="n">
        <v>0</v>
      </c>
    </row>
    <row r="724">
      <c r="A724" t="n">
        <v>723</v>
      </c>
      <c r="B724" t="inlineStr">
        <is>
          <t>Train</t>
        </is>
      </c>
      <c r="C724" t="n">
        <v>5029</v>
      </c>
      <c r="D724" t="n">
        <v>13550</v>
      </c>
      <c r="E724" t="n">
        <v>42</v>
      </c>
      <c r="F724" t="n">
        <v>31093</v>
      </c>
      <c r="G724" t="n">
        <v>2</v>
      </c>
      <c r="H724" t="n">
        <v>12</v>
      </c>
      <c r="I724" t="n">
        <v>159141</v>
      </c>
    </row>
    <row r="725">
      <c r="A725" t="n">
        <v>724</v>
      </c>
      <c r="B725" t="inlineStr">
        <is>
          <t>Train</t>
        </is>
      </c>
      <c r="C725" t="n">
        <v>3457</v>
      </c>
      <c r="D725" t="n">
        <v>14780</v>
      </c>
      <c r="E725" t="n">
        <v>47</v>
      </c>
      <c r="F725" t="n">
        <v>64549</v>
      </c>
      <c r="G725" t="n">
        <v>3</v>
      </c>
      <c r="H725" t="n">
        <v>6</v>
      </c>
      <c r="I725" t="n">
        <v>222737</v>
      </c>
    </row>
    <row r="726">
      <c r="A726" t="n">
        <v>725</v>
      </c>
      <c r="B726" t="inlineStr">
        <is>
          <t>Train</t>
        </is>
      </c>
      <c r="C726" t="n">
        <v>3694</v>
      </c>
      <c r="D726" t="n">
        <v>14400</v>
      </c>
      <c r="E726" t="n">
        <v>63</v>
      </c>
      <c r="F726" t="n">
        <v>65962</v>
      </c>
      <c r="G726" t="n">
        <v>0</v>
      </c>
      <c r="H726" t="n">
        <v>13</v>
      </c>
      <c r="I726" t="n">
        <v>244144</v>
      </c>
    </row>
    <row r="727">
      <c r="A727" t="n">
        <v>726</v>
      </c>
      <c r="B727" t="inlineStr">
        <is>
          <t>Train</t>
        </is>
      </c>
      <c r="C727" t="n">
        <v>4733</v>
      </c>
      <c r="D727" t="n">
        <v>16210</v>
      </c>
      <c r="E727" t="n">
        <v>59</v>
      </c>
      <c r="F727" t="n">
        <v>63969</v>
      </c>
      <c r="G727" t="n">
        <v>11</v>
      </c>
      <c r="H727" t="n">
        <v>13</v>
      </c>
      <c r="I727" t="n">
        <v>187263</v>
      </c>
    </row>
    <row r="728">
      <c r="A728" t="n">
        <v>727</v>
      </c>
      <c r="B728" t="inlineStr">
        <is>
          <t>Validation</t>
        </is>
      </c>
      <c r="C728" t="n">
        <v>4436</v>
      </c>
      <c r="D728" t="n">
        <v>28090</v>
      </c>
      <c r="E728" t="n">
        <v>48</v>
      </c>
      <c r="F728" t="n">
        <v>90174</v>
      </c>
      <c r="G728" t="n">
        <v>3</v>
      </c>
      <c r="H728" t="n">
        <v>10</v>
      </c>
      <c r="I728" t="n">
        <v>0</v>
      </c>
    </row>
    <row r="729">
      <c r="A729" t="n">
        <v>728</v>
      </c>
      <c r="B729" t="inlineStr">
        <is>
          <t>Validation</t>
        </is>
      </c>
      <c r="C729" t="n">
        <v>7428</v>
      </c>
      <c r="D729" t="n">
        <v>9380</v>
      </c>
      <c r="E729" t="n">
        <v>46</v>
      </c>
      <c r="F729" t="n">
        <v>78804</v>
      </c>
      <c r="G729" t="n">
        <v>0</v>
      </c>
      <c r="H729" t="n">
        <v>12</v>
      </c>
      <c r="I729" t="n">
        <v>270734</v>
      </c>
    </row>
    <row r="730">
      <c r="A730" t="n">
        <v>729</v>
      </c>
      <c r="B730" t="inlineStr">
        <is>
          <t>Validation</t>
        </is>
      </c>
      <c r="C730" t="n">
        <v>10139</v>
      </c>
      <c r="D730" t="n">
        <v>6140</v>
      </c>
      <c r="E730" t="n">
        <v>35</v>
      </c>
      <c r="F730" t="n">
        <v>0</v>
      </c>
      <c r="G730" t="n">
        <v>0</v>
      </c>
      <c r="H730" t="n">
        <v>0</v>
      </c>
      <c r="I730" t="n">
        <v>75659</v>
      </c>
    </row>
    <row r="731">
      <c r="A731" t="n">
        <v>730</v>
      </c>
      <c r="B731" t="inlineStr">
        <is>
          <t>Train</t>
        </is>
      </c>
      <c r="C731" t="n">
        <v>3367</v>
      </c>
      <c r="D731" t="n">
        <v>3860</v>
      </c>
      <c r="E731" t="n">
        <v>36</v>
      </c>
      <c r="F731" t="n">
        <v>69434</v>
      </c>
      <c r="G731" t="n">
        <v>0</v>
      </c>
      <c r="H731" t="n">
        <v>9</v>
      </c>
      <c r="I731" t="n">
        <v>230609</v>
      </c>
    </row>
    <row r="732">
      <c r="A732" t="n">
        <v>731</v>
      </c>
      <c r="B732" t="inlineStr">
        <is>
          <t>Train</t>
        </is>
      </c>
      <c r="C732" t="n">
        <v>2925</v>
      </c>
      <c r="D732" t="n">
        <v>33140</v>
      </c>
      <c r="E732" t="n">
        <v>56</v>
      </c>
      <c r="F732" t="n">
        <v>178807</v>
      </c>
      <c r="G732" t="n">
        <v>0</v>
      </c>
      <c r="H732" t="n">
        <v>9</v>
      </c>
      <c r="I732" t="n">
        <v>451332</v>
      </c>
    </row>
    <row r="733">
      <c r="A733" t="n">
        <v>732</v>
      </c>
      <c r="B733" t="inlineStr">
        <is>
          <t>Train</t>
        </is>
      </c>
      <c r="C733" t="n">
        <v>6914</v>
      </c>
      <c r="D733" t="n">
        <v>11680</v>
      </c>
      <c r="E733" t="n">
        <v>42</v>
      </c>
      <c r="F733" t="n">
        <v>59800</v>
      </c>
      <c r="G733" t="n">
        <v>5</v>
      </c>
      <c r="H733" t="n">
        <v>11</v>
      </c>
      <c r="I733" t="n">
        <v>0</v>
      </c>
    </row>
    <row r="734">
      <c r="A734" t="n">
        <v>733</v>
      </c>
      <c r="B734" t="inlineStr">
        <is>
          <t>Train</t>
        </is>
      </c>
      <c r="C734" t="n">
        <v>3432</v>
      </c>
      <c r="D734" t="n">
        <v>26740</v>
      </c>
      <c r="E734" t="n">
        <v>52</v>
      </c>
      <c r="F734" t="n">
        <v>174389</v>
      </c>
      <c r="G734" t="n">
        <v>0</v>
      </c>
      <c r="H734" t="n">
        <v>14</v>
      </c>
      <c r="I734" t="n">
        <v>447758</v>
      </c>
    </row>
    <row r="735">
      <c r="A735" t="n">
        <v>734</v>
      </c>
      <c r="B735" t="inlineStr">
        <is>
          <t>Train</t>
        </is>
      </c>
      <c r="C735" t="n">
        <v>7194</v>
      </c>
      <c r="D735" t="n">
        <v>8220</v>
      </c>
      <c r="E735" t="n">
        <v>36</v>
      </c>
      <c r="F735" t="n">
        <v>19217</v>
      </c>
      <c r="G735" t="n">
        <v>5</v>
      </c>
      <c r="H735" t="n">
        <v>12</v>
      </c>
      <c r="I735" t="n">
        <v>120635</v>
      </c>
    </row>
    <row r="736">
      <c r="A736" t="n">
        <v>735</v>
      </c>
      <c r="B736" t="inlineStr">
        <is>
          <t>Train</t>
        </is>
      </c>
      <c r="C736" t="n">
        <v>3437</v>
      </c>
      <c r="D736" t="n">
        <v>21560</v>
      </c>
      <c r="E736" t="n">
        <v>60</v>
      </c>
      <c r="F736" t="n">
        <v>19796</v>
      </c>
      <c r="G736" t="n">
        <v>5</v>
      </c>
      <c r="H736" t="n">
        <v>12</v>
      </c>
      <c r="I736" t="n">
        <v>153061</v>
      </c>
    </row>
    <row r="737">
      <c r="A737" t="n">
        <v>736</v>
      </c>
      <c r="B737" t="inlineStr">
        <is>
          <t>Train</t>
        </is>
      </c>
      <c r="C737" t="n">
        <v>3800</v>
      </c>
      <c r="D737" t="n">
        <v>13920</v>
      </c>
      <c r="E737" t="n">
        <v>50</v>
      </c>
      <c r="F737" t="n">
        <v>68194</v>
      </c>
      <c r="G737" t="n">
        <v>2</v>
      </c>
      <c r="H737" t="n">
        <v>13</v>
      </c>
      <c r="I737" t="n">
        <v>0</v>
      </c>
    </row>
    <row r="738">
      <c r="A738" t="n">
        <v>737</v>
      </c>
      <c r="B738" t="inlineStr">
        <is>
          <t>Validation</t>
        </is>
      </c>
      <c r="C738" t="n">
        <v>27439</v>
      </c>
      <c r="D738" t="n">
        <v>10650</v>
      </c>
      <c r="E738" t="n">
        <v>37</v>
      </c>
      <c r="F738" t="n">
        <v>91450</v>
      </c>
      <c r="G738" t="n">
        <v>3</v>
      </c>
      <c r="H738" t="n">
        <v>13</v>
      </c>
      <c r="I738" t="n">
        <v>284853</v>
      </c>
    </row>
    <row r="739">
      <c r="A739" t="n">
        <v>738</v>
      </c>
      <c r="B739" t="inlineStr">
        <is>
          <t>Validation</t>
        </is>
      </c>
      <c r="C739" t="n">
        <v>24512</v>
      </c>
      <c r="D739" t="n">
        <v>1500</v>
      </c>
      <c r="E739" t="n">
        <v>33</v>
      </c>
      <c r="F739" t="n">
        <v>16502</v>
      </c>
      <c r="G739" t="n">
        <v>2</v>
      </c>
      <c r="H739" t="n">
        <v>3</v>
      </c>
      <c r="I739" t="n">
        <v>0</v>
      </c>
    </row>
    <row r="740">
      <c r="A740" t="n">
        <v>739</v>
      </c>
      <c r="B740" t="inlineStr">
        <is>
          <t>Validation</t>
        </is>
      </c>
      <c r="C740" t="n">
        <v>1606</v>
      </c>
      <c r="D740" t="n">
        <v>21460</v>
      </c>
      <c r="E740" t="n">
        <v>52</v>
      </c>
      <c r="F740" t="n">
        <v>56582</v>
      </c>
      <c r="G740" t="n">
        <v>1</v>
      </c>
      <c r="H740" t="n">
        <v>11</v>
      </c>
      <c r="I740" t="n">
        <v>0</v>
      </c>
    </row>
    <row r="741">
      <c r="A741" t="n">
        <v>740</v>
      </c>
      <c r="B741" t="inlineStr">
        <is>
          <t>Train</t>
        </is>
      </c>
      <c r="C741" t="n">
        <v>8518</v>
      </c>
      <c r="D741" t="n">
        <v>9200</v>
      </c>
      <c r="E741" t="n">
        <v>41</v>
      </c>
      <c r="F741" t="n">
        <v>36445</v>
      </c>
      <c r="G741" t="n">
        <v>1</v>
      </c>
      <c r="H741" t="n">
        <v>11</v>
      </c>
      <c r="I741" t="n">
        <v>190650</v>
      </c>
    </row>
    <row r="742">
      <c r="A742" t="n">
        <v>741</v>
      </c>
      <c r="B742" t="inlineStr">
        <is>
          <t>Train</t>
        </is>
      </c>
      <c r="C742" t="n">
        <v>37404</v>
      </c>
      <c r="D742" t="n">
        <v>5600</v>
      </c>
      <c r="E742" t="n">
        <v>41</v>
      </c>
      <c r="F742" t="n">
        <v>63989</v>
      </c>
      <c r="G742" t="n">
        <v>0</v>
      </c>
      <c r="H742" t="n">
        <v>11</v>
      </c>
      <c r="I742" t="n">
        <v>212477</v>
      </c>
    </row>
    <row r="743">
      <c r="A743" t="n">
        <v>742</v>
      </c>
      <c r="B743" t="inlineStr">
        <is>
          <t>Train</t>
        </is>
      </c>
      <c r="C743" t="n">
        <v>2409</v>
      </c>
      <c r="D743" t="n">
        <v>4500</v>
      </c>
      <c r="E743" t="n">
        <v>30</v>
      </c>
      <c r="F743" t="n">
        <v>0</v>
      </c>
      <c r="G743" t="n">
        <v>3</v>
      </c>
      <c r="H743" t="n">
        <v>0</v>
      </c>
      <c r="I743" t="n">
        <v>0</v>
      </c>
    </row>
    <row r="744">
      <c r="A744" t="n">
        <v>743</v>
      </c>
      <c r="B744" t="inlineStr">
        <is>
          <t>Train</t>
        </is>
      </c>
      <c r="C744" t="n">
        <v>5650</v>
      </c>
      <c r="D744" t="n">
        <v>41250</v>
      </c>
      <c r="E744" t="n">
        <v>61</v>
      </c>
      <c r="F744" t="n">
        <v>115440</v>
      </c>
      <c r="G744" t="n">
        <v>3</v>
      </c>
      <c r="H744" t="n">
        <v>12</v>
      </c>
      <c r="I744" t="n">
        <v>0</v>
      </c>
    </row>
    <row r="745">
      <c r="A745" t="n">
        <v>744</v>
      </c>
      <c r="B745" t="inlineStr">
        <is>
          <t>Train</t>
        </is>
      </c>
      <c r="C745" t="n">
        <v>9011</v>
      </c>
      <c r="D745" t="n">
        <v>1500</v>
      </c>
      <c r="E745" t="n">
        <v>39</v>
      </c>
      <c r="F745" t="n">
        <v>55246</v>
      </c>
      <c r="G745" t="n">
        <v>7</v>
      </c>
      <c r="H745" t="n">
        <v>12</v>
      </c>
      <c r="I745" t="n">
        <v>210896</v>
      </c>
    </row>
    <row r="746">
      <c r="A746" t="n">
        <v>745</v>
      </c>
      <c r="B746" t="inlineStr">
        <is>
          <t>Train</t>
        </is>
      </c>
      <c r="C746" t="n">
        <v>25130</v>
      </c>
      <c r="D746" t="n">
        <v>18100</v>
      </c>
      <c r="E746" t="n">
        <v>39</v>
      </c>
      <c r="F746" t="n">
        <v>74548</v>
      </c>
      <c r="G746" t="n">
        <v>2</v>
      </c>
      <c r="H746" t="n">
        <v>8</v>
      </c>
      <c r="I746" t="n">
        <v>0</v>
      </c>
    </row>
    <row r="747">
      <c r="A747" t="n">
        <v>746</v>
      </c>
      <c r="B747" t="inlineStr">
        <is>
          <t>Train</t>
        </is>
      </c>
      <c r="C747" t="n">
        <v>5093</v>
      </c>
      <c r="D747" t="n">
        <v>13440</v>
      </c>
      <c r="E747" t="n">
        <v>36</v>
      </c>
      <c r="F747" t="n">
        <v>0</v>
      </c>
      <c r="G747" t="n">
        <v>8</v>
      </c>
      <c r="H747" t="n">
        <v>0</v>
      </c>
      <c r="I747" t="n">
        <v>0</v>
      </c>
    </row>
    <row r="748">
      <c r="A748" t="n">
        <v>747</v>
      </c>
      <c r="B748" t="inlineStr">
        <is>
          <t>Validation</t>
        </is>
      </c>
      <c r="C748" t="n">
        <v>7314</v>
      </c>
      <c r="D748" t="n">
        <v>28100</v>
      </c>
      <c r="E748" t="n">
        <v>57</v>
      </c>
      <c r="F748" t="n">
        <v>93401</v>
      </c>
      <c r="G748" t="n">
        <v>5</v>
      </c>
      <c r="H748" t="n">
        <v>11</v>
      </c>
      <c r="I748" t="n">
        <v>0</v>
      </c>
    </row>
    <row r="749">
      <c r="A749" t="n">
        <v>748</v>
      </c>
      <c r="B749" t="inlineStr">
        <is>
          <t>Validation</t>
        </is>
      </c>
      <c r="C749" t="n">
        <v>2621</v>
      </c>
      <c r="D749" t="n">
        <v>4100</v>
      </c>
      <c r="E749" t="n">
        <v>26</v>
      </c>
      <c r="F749" t="n">
        <v>0</v>
      </c>
      <c r="G749" t="n">
        <v>6</v>
      </c>
      <c r="H749" t="n">
        <v>0</v>
      </c>
      <c r="I749" t="n">
        <v>50964</v>
      </c>
    </row>
    <row r="750">
      <c r="A750" t="n">
        <v>749</v>
      </c>
      <c r="B750" t="inlineStr">
        <is>
          <t>Validation</t>
        </is>
      </c>
      <c r="C750" t="n">
        <v>26426</v>
      </c>
      <c r="D750" t="n">
        <v>21480</v>
      </c>
      <c r="E750" t="n">
        <v>51</v>
      </c>
      <c r="F750" t="n">
        <v>82886</v>
      </c>
      <c r="G750" t="n">
        <v>3</v>
      </c>
      <c r="H750" t="n">
        <v>12</v>
      </c>
      <c r="I750" t="n">
        <v>237613</v>
      </c>
    </row>
    <row r="751">
      <c r="A751" t="n">
        <v>750</v>
      </c>
      <c r="B751" t="inlineStr">
        <is>
          <t>Train</t>
        </is>
      </c>
      <c r="C751" t="n">
        <v>3402</v>
      </c>
      <c r="D751" t="n">
        <v>25920</v>
      </c>
      <c r="E751" t="n">
        <v>40</v>
      </c>
      <c r="F751" t="n">
        <v>47456</v>
      </c>
      <c r="G751" t="n">
        <v>0</v>
      </c>
      <c r="H751" t="n">
        <v>12</v>
      </c>
      <c r="I751" t="n">
        <v>165012</v>
      </c>
    </row>
    <row r="752">
      <c r="A752" t="n">
        <v>751</v>
      </c>
      <c r="B752" t="inlineStr">
        <is>
          <t>Train</t>
        </is>
      </c>
      <c r="C752" t="n">
        <v>7744</v>
      </c>
      <c r="D752" t="n">
        <v>19450</v>
      </c>
      <c r="E752" t="n">
        <v>55</v>
      </c>
      <c r="F752" t="n">
        <v>127075</v>
      </c>
      <c r="G752" t="n">
        <v>4</v>
      </c>
      <c r="H752" t="n">
        <v>15</v>
      </c>
      <c r="I752" t="n">
        <v>0</v>
      </c>
    </row>
    <row r="753">
      <c r="A753" t="n">
        <v>752</v>
      </c>
      <c r="B753" t="inlineStr">
        <is>
          <t>Train</t>
        </is>
      </c>
      <c r="C753" t="n">
        <v>23418</v>
      </c>
      <c r="D753" t="n">
        <v>5410</v>
      </c>
      <c r="E753" t="n">
        <v>32</v>
      </c>
      <c r="F753" t="n">
        <v>39144</v>
      </c>
      <c r="G753" t="n">
        <v>5</v>
      </c>
      <c r="H753" t="n">
        <v>12</v>
      </c>
      <c r="I753" t="n">
        <v>0</v>
      </c>
    </row>
    <row r="754">
      <c r="A754" t="n">
        <v>753</v>
      </c>
      <c r="B754" t="inlineStr">
        <is>
          <t>Train</t>
        </is>
      </c>
      <c r="C754" t="n">
        <v>25401</v>
      </c>
      <c r="D754" t="n">
        <v>8430</v>
      </c>
      <c r="E754" t="n">
        <v>46</v>
      </c>
      <c r="F754" t="n">
        <v>34508</v>
      </c>
      <c r="G754" t="n">
        <v>1</v>
      </c>
      <c r="H754" t="n">
        <v>6</v>
      </c>
      <c r="I754" t="n">
        <v>183694</v>
      </c>
    </row>
    <row r="755">
      <c r="A755" t="n">
        <v>754</v>
      </c>
      <c r="B755" t="inlineStr">
        <is>
          <t>Train</t>
        </is>
      </c>
      <c r="C755" t="n">
        <v>9845</v>
      </c>
      <c r="D755" t="n">
        <v>26020</v>
      </c>
      <c r="E755" t="n">
        <v>51</v>
      </c>
      <c r="F755" t="n">
        <v>74501</v>
      </c>
      <c r="G755" t="n">
        <v>4</v>
      </c>
      <c r="H755" t="n">
        <v>13</v>
      </c>
      <c r="I755" t="n">
        <v>190592</v>
      </c>
    </row>
    <row r="756">
      <c r="A756" t="n">
        <v>755</v>
      </c>
      <c r="B756" t="inlineStr">
        <is>
          <t>Train</t>
        </is>
      </c>
      <c r="C756" t="n">
        <v>13752</v>
      </c>
      <c r="D756" t="n">
        <v>14350</v>
      </c>
      <c r="E756" t="n">
        <v>43</v>
      </c>
      <c r="F756" t="n">
        <v>6162</v>
      </c>
      <c r="G756" t="n">
        <v>5</v>
      </c>
      <c r="H756" t="n">
        <v>14</v>
      </c>
      <c r="I756" t="n">
        <v>50223</v>
      </c>
    </row>
    <row r="757">
      <c r="A757" t="n">
        <v>756</v>
      </c>
      <c r="B757" t="inlineStr">
        <is>
          <t>Train</t>
        </is>
      </c>
      <c r="C757" t="n">
        <v>1421</v>
      </c>
      <c r="D757" t="n">
        <v>5600</v>
      </c>
      <c r="E757" t="n">
        <v>41</v>
      </c>
      <c r="F757" t="n">
        <v>90991</v>
      </c>
      <c r="G757" t="n">
        <v>4</v>
      </c>
      <c r="H757" t="n">
        <v>10</v>
      </c>
      <c r="I757" t="n">
        <v>310709</v>
      </c>
    </row>
    <row r="758">
      <c r="A758" t="n">
        <v>757</v>
      </c>
      <c r="B758" t="inlineStr">
        <is>
          <t>Validation</t>
        </is>
      </c>
      <c r="C758" t="n">
        <v>5346</v>
      </c>
      <c r="D758" t="n">
        <v>22350</v>
      </c>
      <c r="E758" t="n">
        <v>42</v>
      </c>
      <c r="F758" t="n">
        <v>69780</v>
      </c>
      <c r="G758" t="n">
        <v>3</v>
      </c>
      <c r="H758" t="n">
        <v>11</v>
      </c>
      <c r="I758" t="n">
        <v>223784</v>
      </c>
    </row>
    <row r="759">
      <c r="A759" t="n">
        <v>758</v>
      </c>
      <c r="B759" t="inlineStr">
        <is>
          <t>Validation</t>
        </is>
      </c>
      <c r="C759" t="n">
        <v>6937</v>
      </c>
      <c r="D759" t="n">
        <v>19950</v>
      </c>
      <c r="E759" t="n">
        <v>39</v>
      </c>
      <c r="F759" t="n">
        <v>22626</v>
      </c>
      <c r="G759" t="n">
        <v>7</v>
      </c>
      <c r="H759" t="n">
        <v>16</v>
      </c>
      <c r="I759" t="n">
        <v>60718</v>
      </c>
    </row>
    <row r="760">
      <c r="A760" t="n">
        <v>759</v>
      </c>
      <c r="B760" t="inlineStr">
        <is>
          <t>Validation</t>
        </is>
      </c>
      <c r="C760" t="n">
        <v>4409</v>
      </c>
      <c r="D760" t="n">
        <v>9280</v>
      </c>
      <c r="E760" t="n">
        <v>32</v>
      </c>
      <c r="F760" t="n">
        <v>8824</v>
      </c>
      <c r="G760" t="n">
        <v>1</v>
      </c>
      <c r="H760" t="n">
        <v>11</v>
      </c>
      <c r="I760" t="n">
        <v>91593</v>
      </c>
    </row>
    <row r="761">
      <c r="A761" t="n">
        <v>760</v>
      </c>
      <c r="B761" t="inlineStr">
        <is>
          <t>Train</t>
        </is>
      </c>
      <c r="C761" t="n">
        <v>2645</v>
      </c>
      <c r="D761" t="n">
        <v>15910</v>
      </c>
      <c r="E761" t="n">
        <v>51</v>
      </c>
      <c r="F761" t="n">
        <v>91605</v>
      </c>
      <c r="G761" t="n">
        <v>3</v>
      </c>
      <c r="H761" t="n">
        <v>11</v>
      </c>
      <c r="I761" t="n">
        <v>276147</v>
      </c>
    </row>
    <row r="762">
      <c r="A762" t="n">
        <v>761</v>
      </c>
      <c r="B762" t="inlineStr">
        <is>
          <t>Train</t>
        </is>
      </c>
      <c r="C762" t="n">
        <v>47939</v>
      </c>
      <c r="D762" t="n">
        <v>7000</v>
      </c>
      <c r="E762" t="n">
        <v>54</v>
      </c>
      <c r="F762" t="n">
        <v>177842</v>
      </c>
      <c r="G762" t="n">
        <v>1</v>
      </c>
      <c r="H762" t="n">
        <v>11</v>
      </c>
      <c r="I762" t="n">
        <v>0</v>
      </c>
    </row>
    <row r="763">
      <c r="A763" t="n">
        <v>762</v>
      </c>
      <c r="B763" t="inlineStr">
        <is>
          <t>Train</t>
        </is>
      </c>
      <c r="C763" t="n">
        <v>1022</v>
      </c>
      <c r="D763" t="n">
        <v>8060</v>
      </c>
      <c r="E763" t="n">
        <v>44</v>
      </c>
      <c r="F763" t="n">
        <v>5069</v>
      </c>
      <c r="G763" t="n">
        <v>1</v>
      </c>
      <c r="H763" t="n">
        <v>12</v>
      </c>
      <c r="I763" t="n">
        <v>0</v>
      </c>
    </row>
    <row r="764">
      <c r="A764" t="n">
        <v>763</v>
      </c>
      <c r="B764" t="inlineStr">
        <is>
          <t>Train</t>
        </is>
      </c>
      <c r="C764" t="n">
        <v>5064</v>
      </c>
      <c r="D764" t="n">
        <v>1500</v>
      </c>
      <c r="E764" t="n">
        <v>49</v>
      </c>
      <c r="F764" t="n">
        <v>89659</v>
      </c>
      <c r="G764" t="n">
        <v>1</v>
      </c>
      <c r="H764" t="n">
        <v>11</v>
      </c>
      <c r="I764" t="n">
        <v>0</v>
      </c>
    </row>
    <row r="765">
      <c r="A765" t="n">
        <v>764</v>
      </c>
      <c r="B765" t="inlineStr">
        <is>
          <t>Train</t>
        </is>
      </c>
      <c r="C765" t="n">
        <v>41303</v>
      </c>
      <c r="D765" t="n">
        <v>1500</v>
      </c>
      <c r="E765" t="n">
        <v>35</v>
      </c>
      <c r="F765" t="n">
        <v>47797</v>
      </c>
      <c r="G765" t="n">
        <v>4</v>
      </c>
      <c r="H765" t="n">
        <v>8</v>
      </c>
      <c r="I765" t="n">
        <v>0</v>
      </c>
    </row>
    <row r="766">
      <c r="A766" t="n">
        <v>765</v>
      </c>
      <c r="B766" t="inlineStr">
        <is>
          <t>Train</t>
        </is>
      </c>
      <c r="C766" t="n">
        <v>1086</v>
      </c>
      <c r="D766" t="n">
        <v>25530</v>
      </c>
      <c r="E766" t="n">
        <v>52</v>
      </c>
      <c r="F766" t="n">
        <v>30776</v>
      </c>
      <c r="G766" t="n">
        <v>0</v>
      </c>
      <c r="H766" t="n">
        <v>9</v>
      </c>
      <c r="I766" t="n">
        <v>200353</v>
      </c>
    </row>
    <row r="767">
      <c r="A767" t="n">
        <v>766</v>
      </c>
      <c r="B767" t="inlineStr">
        <is>
          <t>Train</t>
        </is>
      </c>
      <c r="C767" t="n">
        <v>9851</v>
      </c>
      <c r="D767" t="n">
        <v>16720</v>
      </c>
      <c r="E767" t="n">
        <v>53</v>
      </c>
      <c r="F767" t="n">
        <v>12824</v>
      </c>
      <c r="G767" t="n">
        <v>8</v>
      </c>
      <c r="H767" t="n">
        <v>11</v>
      </c>
      <c r="I767" t="n">
        <v>0</v>
      </c>
    </row>
    <row r="768">
      <c r="A768" t="n">
        <v>767</v>
      </c>
      <c r="B768" t="inlineStr">
        <is>
          <t>Validation</t>
        </is>
      </c>
      <c r="C768" t="n">
        <v>9228</v>
      </c>
      <c r="D768" t="n">
        <v>1630</v>
      </c>
      <c r="E768" t="n">
        <v>38</v>
      </c>
      <c r="F768" t="n">
        <v>0</v>
      </c>
      <c r="G768" t="n">
        <v>7</v>
      </c>
      <c r="H768" t="n">
        <v>0</v>
      </c>
      <c r="I768" t="n">
        <v>0</v>
      </c>
    </row>
    <row r="769">
      <c r="A769" t="n">
        <v>768</v>
      </c>
      <c r="B769" t="inlineStr">
        <is>
          <t>Validation</t>
        </is>
      </c>
      <c r="C769" t="n">
        <v>2996</v>
      </c>
      <c r="D769" t="n">
        <v>7040</v>
      </c>
      <c r="E769" t="n">
        <v>50</v>
      </c>
      <c r="F769" t="n">
        <v>5386</v>
      </c>
      <c r="G769" t="n">
        <v>4</v>
      </c>
      <c r="H769" t="n">
        <v>13</v>
      </c>
      <c r="I769" t="n">
        <v>0</v>
      </c>
    </row>
    <row r="770">
      <c r="A770" t="n">
        <v>769</v>
      </c>
      <c r="B770" t="inlineStr">
        <is>
          <t>Validation</t>
        </is>
      </c>
      <c r="C770" t="n">
        <v>5106</v>
      </c>
      <c r="D770" t="n">
        <v>12050</v>
      </c>
      <c r="E770" t="n">
        <v>36</v>
      </c>
      <c r="F770" t="n">
        <v>69546</v>
      </c>
      <c r="G770" t="n">
        <v>1</v>
      </c>
      <c r="H770" t="n">
        <v>12</v>
      </c>
      <c r="I770" t="n">
        <v>186300</v>
      </c>
    </row>
    <row r="771">
      <c r="A771" t="n">
        <v>770</v>
      </c>
      <c r="B771" t="inlineStr">
        <is>
          <t>Train</t>
        </is>
      </c>
      <c r="C771" t="n">
        <v>6187</v>
      </c>
      <c r="D771" t="n">
        <v>19640</v>
      </c>
      <c r="E771" t="n">
        <v>51</v>
      </c>
      <c r="F771" t="n">
        <v>0</v>
      </c>
      <c r="G771" t="n">
        <v>2</v>
      </c>
      <c r="H771" t="n">
        <v>0</v>
      </c>
      <c r="I771" t="n">
        <v>56589</v>
      </c>
    </row>
    <row r="772">
      <c r="A772" t="n">
        <v>771</v>
      </c>
      <c r="B772" t="inlineStr">
        <is>
          <t>Train</t>
        </is>
      </c>
      <c r="C772" t="n">
        <v>3904</v>
      </c>
      <c r="D772" t="n">
        <v>10780</v>
      </c>
      <c r="E772" t="n">
        <v>43</v>
      </c>
      <c r="F772" t="n">
        <v>43505</v>
      </c>
      <c r="G772" t="n">
        <v>5</v>
      </c>
      <c r="H772" t="n">
        <v>9</v>
      </c>
      <c r="I772" t="n">
        <v>107149</v>
      </c>
    </row>
    <row r="773">
      <c r="A773" t="n">
        <v>772</v>
      </c>
      <c r="B773" t="inlineStr">
        <is>
          <t>Train</t>
        </is>
      </c>
      <c r="C773" t="n">
        <v>6295</v>
      </c>
      <c r="D773" t="n">
        <v>8560</v>
      </c>
      <c r="E773" t="n">
        <v>36</v>
      </c>
      <c r="F773" t="n">
        <v>60847</v>
      </c>
      <c r="G773" t="n">
        <v>5</v>
      </c>
      <c r="H773" t="n">
        <v>9</v>
      </c>
      <c r="I773" t="n">
        <v>211273</v>
      </c>
    </row>
    <row r="774">
      <c r="A774" t="n">
        <v>773</v>
      </c>
      <c r="B774" t="inlineStr">
        <is>
          <t>Train</t>
        </is>
      </c>
      <c r="C774" t="n">
        <v>4824</v>
      </c>
      <c r="D774" t="n">
        <v>6700</v>
      </c>
      <c r="E774" t="n">
        <v>52</v>
      </c>
      <c r="F774" t="n">
        <v>5</v>
      </c>
      <c r="G774" t="n">
        <v>0</v>
      </c>
      <c r="H774" t="n">
        <v>10</v>
      </c>
      <c r="I774" t="n">
        <v>0</v>
      </c>
    </row>
    <row r="775">
      <c r="A775" t="n">
        <v>774</v>
      </c>
      <c r="B775" t="inlineStr">
        <is>
          <t>Train</t>
        </is>
      </c>
      <c r="C775" t="n">
        <v>4390</v>
      </c>
      <c r="D775" t="n">
        <v>30810</v>
      </c>
      <c r="E775" t="n">
        <v>53</v>
      </c>
      <c r="F775" t="n">
        <v>62280</v>
      </c>
      <c r="G775" t="n">
        <v>0</v>
      </c>
      <c r="H775" t="n">
        <v>10</v>
      </c>
      <c r="I775" t="n">
        <v>0</v>
      </c>
    </row>
    <row r="776">
      <c r="A776" t="n">
        <v>775</v>
      </c>
      <c r="B776" t="inlineStr">
        <is>
          <t>Train</t>
        </is>
      </c>
      <c r="C776" t="n">
        <v>9237</v>
      </c>
      <c r="D776" t="n">
        <v>20860</v>
      </c>
      <c r="E776" t="n">
        <v>37</v>
      </c>
      <c r="F776" t="n">
        <v>0</v>
      </c>
      <c r="G776" t="n">
        <v>2</v>
      </c>
      <c r="H776" t="n">
        <v>0</v>
      </c>
      <c r="I776" t="n">
        <v>0</v>
      </c>
    </row>
    <row r="777">
      <c r="A777" t="n">
        <v>776</v>
      </c>
      <c r="B777" t="inlineStr">
        <is>
          <t>Train</t>
        </is>
      </c>
      <c r="C777" t="n">
        <v>3996</v>
      </c>
      <c r="D777" t="n">
        <v>28090</v>
      </c>
      <c r="E777" t="n">
        <v>41</v>
      </c>
      <c r="F777" t="n">
        <v>48762</v>
      </c>
      <c r="G777" t="n">
        <v>4</v>
      </c>
      <c r="H777" t="n">
        <v>12</v>
      </c>
      <c r="I777" t="n">
        <v>176946</v>
      </c>
    </row>
    <row r="778">
      <c r="A778" t="n">
        <v>777</v>
      </c>
      <c r="B778" t="inlineStr">
        <is>
          <t>Validation</t>
        </is>
      </c>
      <c r="C778" t="n">
        <v>3534</v>
      </c>
      <c r="D778" t="n">
        <v>15600</v>
      </c>
      <c r="E778" t="n">
        <v>45</v>
      </c>
      <c r="F778" t="n">
        <v>71119</v>
      </c>
      <c r="G778" t="n">
        <v>5</v>
      </c>
      <c r="H778" t="n">
        <v>10</v>
      </c>
      <c r="I778" t="n">
        <v>0</v>
      </c>
    </row>
    <row r="779">
      <c r="A779" t="n">
        <v>778</v>
      </c>
      <c r="B779" t="inlineStr">
        <is>
          <t>Validation</t>
        </is>
      </c>
      <c r="C779" t="n">
        <v>33089</v>
      </c>
      <c r="D779" t="n">
        <v>12340</v>
      </c>
      <c r="E779" t="n">
        <v>51</v>
      </c>
      <c r="F779" t="n">
        <v>57410</v>
      </c>
      <c r="G779" t="n">
        <v>3</v>
      </c>
      <c r="H779" t="n">
        <v>15</v>
      </c>
      <c r="I779" t="n">
        <v>231626</v>
      </c>
    </row>
    <row r="780">
      <c r="A780" t="n">
        <v>779</v>
      </c>
      <c r="B780" t="inlineStr">
        <is>
          <t>Validation</t>
        </is>
      </c>
      <c r="C780" t="n">
        <v>7466</v>
      </c>
      <c r="D780" t="n">
        <v>8360</v>
      </c>
      <c r="E780" t="n">
        <v>36</v>
      </c>
      <c r="F780" t="n">
        <v>32645</v>
      </c>
      <c r="G780" t="n">
        <v>0</v>
      </c>
      <c r="H780" t="n">
        <v>9</v>
      </c>
      <c r="I780" t="n">
        <v>190491</v>
      </c>
    </row>
    <row r="781">
      <c r="A781" t="n">
        <v>780</v>
      </c>
      <c r="B781" t="inlineStr">
        <is>
          <t>Train</t>
        </is>
      </c>
      <c r="C781" t="n">
        <v>25081</v>
      </c>
      <c r="D781" t="n">
        <v>4200</v>
      </c>
      <c r="E781" t="n">
        <v>26</v>
      </c>
      <c r="F781" t="n">
        <v>989</v>
      </c>
      <c r="G781" t="n">
        <v>3</v>
      </c>
      <c r="H781" t="n">
        <v>13</v>
      </c>
      <c r="I781" t="n">
        <v>0</v>
      </c>
    </row>
    <row r="782">
      <c r="A782" t="n">
        <v>781</v>
      </c>
      <c r="B782" t="inlineStr">
        <is>
          <t>Train</t>
        </is>
      </c>
      <c r="C782" t="n">
        <v>4478</v>
      </c>
      <c r="D782" t="n">
        <v>24450</v>
      </c>
      <c r="E782" t="n">
        <v>55</v>
      </c>
      <c r="F782" t="n">
        <v>174526</v>
      </c>
      <c r="G782" t="n">
        <v>3</v>
      </c>
      <c r="H782" t="n">
        <v>14</v>
      </c>
      <c r="I782" t="n">
        <v>439040</v>
      </c>
    </row>
    <row r="783">
      <c r="A783" t="n">
        <v>782</v>
      </c>
      <c r="B783" t="inlineStr">
        <is>
          <t>Train</t>
        </is>
      </c>
      <c r="C783" t="n">
        <v>4448</v>
      </c>
      <c r="D783" t="n">
        <v>9650</v>
      </c>
      <c r="E783" t="n">
        <v>36</v>
      </c>
      <c r="F783" t="n">
        <v>45484</v>
      </c>
      <c r="G783" t="n">
        <v>6</v>
      </c>
      <c r="H783" t="n">
        <v>14</v>
      </c>
      <c r="I783" t="n">
        <v>187068</v>
      </c>
    </row>
    <row r="784">
      <c r="A784" t="n">
        <v>783</v>
      </c>
      <c r="B784" t="inlineStr">
        <is>
          <t>Train</t>
        </is>
      </c>
      <c r="C784" t="n">
        <v>2168</v>
      </c>
      <c r="D784" t="n">
        <v>4780</v>
      </c>
      <c r="E784" t="n">
        <v>31</v>
      </c>
      <c r="F784" t="n">
        <v>11425</v>
      </c>
      <c r="G784" t="n">
        <v>2</v>
      </c>
      <c r="H784" t="n">
        <v>5</v>
      </c>
      <c r="I784" t="n">
        <v>0</v>
      </c>
    </row>
    <row r="785">
      <c r="A785" t="n">
        <v>784</v>
      </c>
      <c r="B785" t="inlineStr">
        <is>
          <t>Train</t>
        </is>
      </c>
      <c r="C785" t="n">
        <v>9712</v>
      </c>
      <c r="D785" t="n">
        <v>27250</v>
      </c>
      <c r="E785" t="n">
        <v>43</v>
      </c>
      <c r="F785" t="n">
        <v>71402</v>
      </c>
      <c r="G785" t="n">
        <v>1</v>
      </c>
      <c r="H785" t="n">
        <v>12</v>
      </c>
      <c r="I785" t="n">
        <v>210868</v>
      </c>
    </row>
    <row r="786">
      <c r="A786" t="n">
        <v>785</v>
      </c>
      <c r="B786" t="inlineStr">
        <is>
          <t>Train</t>
        </is>
      </c>
      <c r="C786" t="n">
        <v>7333</v>
      </c>
      <c r="D786" t="n">
        <v>10360</v>
      </c>
      <c r="E786" t="n">
        <v>46</v>
      </c>
      <c r="F786" t="n">
        <v>42621</v>
      </c>
      <c r="G786" t="n">
        <v>0</v>
      </c>
      <c r="H786" t="n">
        <v>10</v>
      </c>
      <c r="I786" t="n">
        <v>0</v>
      </c>
    </row>
    <row r="787">
      <c r="A787" t="n">
        <v>786</v>
      </c>
      <c r="B787" t="inlineStr">
        <is>
          <t>Train</t>
        </is>
      </c>
      <c r="C787" t="n">
        <v>1449</v>
      </c>
      <c r="D787" t="n">
        <v>28870</v>
      </c>
      <c r="E787" t="n">
        <v>40</v>
      </c>
      <c r="F787" t="n">
        <v>147647</v>
      </c>
      <c r="G787" t="n">
        <v>3</v>
      </c>
      <c r="H787" t="n">
        <v>10</v>
      </c>
      <c r="I787" t="n">
        <v>385798</v>
      </c>
    </row>
    <row r="788">
      <c r="A788" t="n">
        <v>787</v>
      </c>
      <c r="B788" t="inlineStr">
        <is>
          <t>Validation</t>
        </is>
      </c>
      <c r="C788" t="n">
        <v>36744</v>
      </c>
      <c r="D788" t="n">
        <v>6840</v>
      </c>
      <c r="E788" t="n">
        <v>29</v>
      </c>
      <c r="F788" t="n">
        <v>24365</v>
      </c>
      <c r="G788" t="n">
        <v>2</v>
      </c>
      <c r="H788" t="n">
        <v>13</v>
      </c>
      <c r="I788" t="n">
        <v>0</v>
      </c>
    </row>
    <row r="789">
      <c r="A789" t="n">
        <v>788</v>
      </c>
      <c r="B789" t="inlineStr">
        <is>
          <t>Validation</t>
        </is>
      </c>
      <c r="C789" t="n">
        <v>4007</v>
      </c>
      <c r="D789" t="n">
        <v>28600</v>
      </c>
      <c r="E789" t="n">
        <v>58</v>
      </c>
      <c r="F789" t="n">
        <v>66762</v>
      </c>
      <c r="G789" t="n">
        <v>6</v>
      </c>
      <c r="H789" t="n">
        <v>11</v>
      </c>
      <c r="I789" t="n">
        <v>225043</v>
      </c>
    </row>
    <row r="790">
      <c r="A790" t="n">
        <v>789</v>
      </c>
      <c r="B790" t="inlineStr">
        <is>
          <t>Validation</t>
        </is>
      </c>
      <c r="C790" t="n">
        <v>5328</v>
      </c>
      <c r="D790" t="n">
        <v>23100</v>
      </c>
      <c r="E790" t="n">
        <v>43</v>
      </c>
      <c r="F790" t="n">
        <v>53073</v>
      </c>
      <c r="G790" t="n">
        <v>5</v>
      </c>
      <c r="H790" t="n">
        <v>12</v>
      </c>
      <c r="I790" t="n">
        <v>213525</v>
      </c>
    </row>
    <row r="791">
      <c r="A791" t="n">
        <v>790</v>
      </c>
      <c r="B791" t="inlineStr">
        <is>
          <t>Train</t>
        </is>
      </c>
      <c r="C791" t="n">
        <v>46442</v>
      </c>
      <c r="D791" t="n">
        <v>20720</v>
      </c>
      <c r="E791" t="n">
        <v>42</v>
      </c>
      <c r="F791" t="n">
        <v>57095</v>
      </c>
      <c r="G791" t="n">
        <v>5</v>
      </c>
      <c r="H791" t="n">
        <v>8</v>
      </c>
      <c r="I791" t="n">
        <v>0</v>
      </c>
    </row>
    <row r="792">
      <c r="A792" t="n">
        <v>791</v>
      </c>
      <c r="B792" t="inlineStr">
        <is>
          <t>Train</t>
        </is>
      </c>
      <c r="C792" t="n">
        <v>8258</v>
      </c>
      <c r="D792" t="n">
        <v>9910</v>
      </c>
      <c r="E792" t="n">
        <v>48</v>
      </c>
      <c r="F792" t="n">
        <v>36098</v>
      </c>
      <c r="G792" t="n">
        <v>0</v>
      </c>
      <c r="H792" t="n">
        <v>15</v>
      </c>
      <c r="I792" t="n">
        <v>0</v>
      </c>
    </row>
    <row r="793">
      <c r="A793" t="n">
        <v>792</v>
      </c>
      <c r="B793" t="inlineStr">
        <is>
          <t>Train</t>
        </is>
      </c>
      <c r="C793" t="n">
        <v>35375</v>
      </c>
      <c r="D793" t="n">
        <v>4600</v>
      </c>
      <c r="E793" t="n">
        <v>31</v>
      </c>
      <c r="F793" t="n">
        <v>47623</v>
      </c>
      <c r="G793" t="n">
        <v>0</v>
      </c>
      <c r="H793" t="n">
        <v>10</v>
      </c>
      <c r="I793" t="n">
        <v>0</v>
      </c>
    </row>
    <row r="794">
      <c r="A794" t="n">
        <v>793</v>
      </c>
      <c r="B794" t="inlineStr">
        <is>
          <t>Train</t>
        </is>
      </c>
      <c r="C794" t="n">
        <v>4219</v>
      </c>
      <c r="D794" t="n">
        <v>11300</v>
      </c>
      <c r="E794" t="n">
        <v>51</v>
      </c>
      <c r="F794" t="n">
        <v>46993</v>
      </c>
      <c r="G794" t="n">
        <v>3</v>
      </c>
      <c r="H794" t="n">
        <v>8</v>
      </c>
      <c r="I794" t="n">
        <v>175488</v>
      </c>
    </row>
    <row r="795">
      <c r="A795" t="n">
        <v>794</v>
      </c>
      <c r="B795" t="inlineStr">
        <is>
          <t>Train</t>
        </is>
      </c>
      <c r="C795" t="n">
        <v>31039</v>
      </c>
      <c r="D795" t="n">
        <v>22010</v>
      </c>
      <c r="E795" t="n">
        <v>35</v>
      </c>
      <c r="F795" t="n">
        <v>71379</v>
      </c>
      <c r="G795" t="n">
        <v>3</v>
      </c>
      <c r="H795" t="n">
        <v>10</v>
      </c>
      <c r="I795" t="n">
        <v>0</v>
      </c>
    </row>
    <row r="796">
      <c r="A796" t="n">
        <v>795</v>
      </c>
      <c r="B796" t="inlineStr">
        <is>
          <t>Train</t>
        </is>
      </c>
      <c r="C796" t="n">
        <v>7105</v>
      </c>
      <c r="D796" t="n">
        <v>10260</v>
      </c>
      <c r="E796" t="n">
        <v>49</v>
      </c>
      <c r="F796" t="n">
        <v>37414</v>
      </c>
      <c r="G796" t="n">
        <v>9</v>
      </c>
      <c r="H796" t="n">
        <v>13</v>
      </c>
      <c r="I796" t="n">
        <v>185993</v>
      </c>
    </row>
    <row r="797">
      <c r="A797" t="n">
        <v>796</v>
      </c>
      <c r="B797" t="inlineStr">
        <is>
          <t>Train</t>
        </is>
      </c>
      <c r="C797" t="n">
        <v>2219</v>
      </c>
      <c r="D797" t="n">
        <v>7850</v>
      </c>
      <c r="E797" t="n">
        <v>51</v>
      </c>
      <c r="F797" t="n">
        <v>81948</v>
      </c>
      <c r="G797" t="n">
        <v>0</v>
      </c>
      <c r="H797" t="n">
        <v>13</v>
      </c>
      <c r="I797" t="n">
        <v>308197</v>
      </c>
    </row>
    <row r="798">
      <c r="A798" t="n">
        <v>797</v>
      </c>
      <c r="B798" t="inlineStr">
        <is>
          <t>Validation</t>
        </is>
      </c>
      <c r="C798" t="n">
        <v>3924</v>
      </c>
      <c r="D798" t="n">
        <v>17440</v>
      </c>
      <c r="E798" t="n">
        <v>47</v>
      </c>
      <c r="F798" t="n">
        <v>108139</v>
      </c>
      <c r="G798" t="n">
        <v>2</v>
      </c>
      <c r="H798" t="n">
        <v>7</v>
      </c>
      <c r="I798" t="n">
        <v>0</v>
      </c>
    </row>
    <row r="799">
      <c r="A799" t="n">
        <v>798</v>
      </c>
      <c r="B799" t="inlineStr">
        <is>
          <t>Validation</t>
        </is>
      </c>
      <c r="C799" t="n">
        <v>3424</v>
      </c>
      <c r="D799" t="n">
        <v>9160</v>
      </c>
      <c r="E799" t="n">
        <v>48</v>
      </c>
      <c r="F799" t="n">
        <v>45916</v>
      </c>
      <c r="G799" t="n">
        <v>5</v>
      </c>
      <c r="H799" t="n">
        <v>11</v>
      </c>
      <c r="I799" t="n">
        <v>194824</v>
      </c>
    </row>
    <row r="800">
      <c r="A800" t="n">
        <v>799</v>
      </c>
      <c r="B800" t="inlineStr">
        <is>
          <t>Validation</t>
        </is>
      </c>
      <c r="C800" t="n">
        <v>4749</v>
      </c>
      <c r="D800" t="n">
        <v>4500</v>
      </c>
      <c r="E800" t="n">
        <v>30</v>
      </c>
      <c r="F800" t="n">
        <v>0</v>
      </c>
      <c r="G800" t="n">
        <v>7</v>
      </c>
      <c r="H800" t="n">
        <v>0</v>
      </c>
      <c r="I800" t="n">
        <v>0</v>
      </c>
    </row>
    <row r="801">
      <c r="A801" t="n">
        <v>800</v>
      </c>
      <c r="B801" t="inlineStr">
        <is>
          <t>Train</t>
        </is>
      </c>
      <c r="C801" t="n">
        <v>1867</v>
      </c>
      <c r="D801" t="n">
        <v>9780</v>
      </c>
      <c r="E801" t="n">
        <v>51</v>
      </c>
      <c r="F801" t="n">
        <v>26114</v>
      </c>
      <c r="G801" t="n">
        <v>0</v>
      </c>
      <c r="H801" t="n">
        <v>7</v>
      </c>
      <c r="I801" t="n">
        <v>0</v>
      </c>
    </row>
    <row r="802">
      <c r="A802" t="n">
        <v>801</v>
      </c>
      <c r="B802" t="inlineStr">
        <is>
          <t>Train</t>
        </is>
      </c>
      <c r="C802" t="n">
        <v>24208</v>
      </c>
      <c r="D802" t="n">
        <v>5060</v>
      </c>
      <c r="E802" t="n">
        <v>42</v>
      </c>
      <c r="F802" t="n">
        <v>35586</v>
      </c>
      <c r="G802" t="n">
        <v>5</v>
      </c>
      <c r="H802" t="n">
        <v>16</v>
      </c>
      <c r="I802" t="n">
        <v>125317</v>
      </c>
    </row>
    <row r="803">
      <c r="A803" t="n">
        <v>802</v>
      </c>
      <c r="B803" t="inlineStr">
        <is>
          <t>Train</t>
        </is>
      </c>
      <c r="C803" t="n">
        <v>5926</v>
      </c>
      <c r="D803" t="n">
        <v>1500</v>
      </c>
      <c r="E803" t="n">
        <v>34</v>
      </c>
      <c r="F803" t="n">
        <v>74356</v>
      </c>
      <c r="G803" t="n">
        <v>8</v>
      </c>
      <c r="H803" t="n">
        <v>10</v>
      </c>
      <c r="I803" t="n">
        <v>233461</v>
      </c>
    </row>
    <row r="804">
      <c r="A804" t="n">
        <v>803</v>
      </c>
      <c r="B804" t="inlineStr">
        <is>
          <t>Train</t>
        </is>
      </c>
      <c r="C804" t="n">
        <v>5916</v>
      </c>
      <c r="D804" t="n">
        <v>13460</v>
      </c>
      <c r="E804" t="n">
        <v>55</v>
      </c>
      <c r="F804" t="n">
        <v>64603</v>
      </c>
      <c r="G804" t="n">
        <v>2</v>
      </c>
      <c r="H804" t="n">
        <v>16</v>
      </c>
      <c r="I804" t="n">
        <v>217162</v>
      </c>
    </row>
    <row r="805">
      <c r="A805" t="n">
        <v>804</v>
      </c>
      <c r="B805" t="inlineStr">
        <is>
          <t>Train</t>
        </is>
      </c>
      <c r="C805" t="n">
        <v>8636</v>
      </c>
      <c r="D805" t="n">
        <v>10060</v>
      </c>
      <c r="E805" t="n">
        <v>46</v>
      </c>
      <c r="F805" t="n">
        <v>26412</v>
      </c>
      <c r="G805" t="n">
        <v>5</v>
      </c>
      <c r="H805" t="n">
        <v>13</v>
      </c>
      <c r="I805" t="n">
        <v>140131</v>
      </c>
    </row>
    <row r="806">
      <c r="A806" t="n">
        <v>805</v>
      </c>
      <c r="B806" t="inlineStr">
        <is>
          <t>Train</t>
        </is>
      </c>
      <c r="C806" t="n">
        <v>3771</v>
      </c>
      <c r="D806" t="n">
        <v>9840</v>
      </c>
      <c r="E806" t="n">
        <v>37</v>
      </c>
      <c r="F806" t="n">
        <v>83419</v>
      </c>
      <c r="G806" t="n">
        <v>3</v>
      </c>
      <c r="H806" t="n">
        <v>14</v>
      </c>
      <c r="I806" t="n">
        <v>297024</v>
      </c>
    </row>
    <row r="807">
      <c r="A807" t="n">
        <v>806</v>
      </c>
      <c r="B807" t="inlineStr">
        <is>
          <t>Train</t>
        </is>
      </c>
      <c r="C807" t="n">
        <v>6527</v>
      </c>
      <c r="D807" t="n">
        <v>15650</v>
      </c>
      <c r="E807" t="n">
        <v>47</v>
      </c>
      <c r="F807" t="n">
        <v>129926</v>
      </c>
      <c r="G807" t="n">
        <v>1</v>
      </c>
      <c r="H807" t="n">
        <v>10</v>
      </c>
      <c r="I807" t="n">
        <v>0</v>
      </c>
    </row>
    <row r="808">
      <c r="A808" t="n">
        <v>807</v>
      </c>
      <c r="B808" t="inlineStr">
        <is>
          <t>Validation</t>
        </is>
      </c>
      <c r="C808" t="n">
        <v>4845</v>
      </c>
      <c r="D808" t="n">
        <v>28770</v>
      </c>
      <c r="E808" t="n">
        <v>45</v>
      </c>
      <c r="F808" t="n">
        <v>63457</v>
      </c>
      <c r="G808" t="n">
        <v>5</v>
      </c>
      <c r="H808" t="n">
        <v>10</v>
      </c>
      <c r="I808" t="n">
        <v>209490</v>
      </c>
    </row>
    <row r="809">
      <c r="A809" t="n">
        <v>808</v>
      </c>
      <c r="B809" t="inlineStr">
        <is>
          <t>Validation</t>
        </is>
      </c>
      <c r="C809" t="n">
        <v>3886</v>
      </c>
      <c r="D809" t="n">
        <v>29800</v>
      </c>
      <c r="E809" t="n">
        <v>58</v>
      </c>
      <c r="F809" t="n">
        <v>65923</v>
      </c>
      <c r="G809" t="n">
        <v>2</v>
      </c>
      <c r="H809" t="n">
        <v>7</v>
      </c>
      <c r="I809" t="n">
        <v>238115</v>
      </c>
    </row>
    <row r="810">
      <c r="A810" t="n">
        <v>809</v>
      </c>
      <c r="B810" t="inlineStr">
        <is>
          <t>Validation</t>
        </is>
      </c>
      <c r="C810" t="n">
        <v>7475</v>
      </c>
      <c r="D810" t="n">
        <v>6550</v>
      </c>
      <c r="E810" t="n">
        <v>32</v>
      </c>
      <c r="F810" t="n">
        <v>36763</v>
      </c>
      <c r="G810" t="n">
        <v>4</v>
      </c>
      <c r="H810" t="n">
        <v>9</v>
      </c>
      <c r="I810" t="n">
        <v>175960</v>
      </c>
    </row>
    <row r="811">
      <c r="A811" t="n">
        <v>810</v>
      </c>
      <c r="B811" t="inlineStr">
        <is>
          <t>Train</t>
        </is>
      </c>
      <c r="C811" t="n">
        <v>9866</v>
      </c>
      <c r="D811" t="n">
        <v>16240</v>
      </c>
      <c r="E811" t="n">
        <v>54</v>
      </c>
      <c r="F811" t="n">
        <v>93400</v>
      </c>
      <c r="G811" t="n">
        <v>0</v>
      </c>
      <c r="H811" t="n">
        <v>12</v>
      </c>
      <c r="I811" t="n">
        <v>317614</v>
      </c>
    </row>
    <row r="812">
      <c r="A812" t="n">
        <v>811</v>
      </c>
      <c r="B812" t="inlineStr">
        <is>
          <t>Train</t>
        </is>
      </c>
      <c r="C812" t="n">
        <v>34020</v>
      </c>
      <c r="D812" t="n">
        <v>5700</v>
      </c>
      <c r="E812" t="n">
        <v>42</v>
      </c>
      <c r="F812" t="n">
        <v>80130</v>
      </c>
      <c r="G812" t="n">
        <v>9</v>
      </c>
      <c r="H812" t="n">
        <v>12</v>
      </c>
      <c r="I812" t="n">
        <v>231747</v>
      </c>
    </row>
    <row r="813">
      <c r="A813" t="n">
        <v>812</v>
      </c>
      <c r="B813" t="inlineStr">
        <is>
          <t>Train</t>
        </is>
      </c>
      <c r="C813" t="n">
        <v>5458</v>
      </c>
      <c r="D813" t="n">
        <v>24470</v>
      </c>
      <c r="E813" t="n">
        <v>53</v>
      </c>
      <c r="F813" t="n">
        <v>10232</v>
      </c>
      <c r="G813" t="n">
        <v>3</v>
      </c>
      <c r="H813" t="n">
        <v>7</v>
      </c>
      <c r="I813" t="n">
        <v>129979</v>
      </c>
    </row>
    <row r="814">
      <c r="A814" t="n">
        <v>813</v>
      </c>
      <c r="B814" t="inlineStr">
        <is>
          <t>Train</t>
        </is>
      </c>
      <c r="C814" t="n">
        <v>10535</v>
      </c>
      <c r="D814" t="n">
        <v>25740</v>
      </c>
      <c r="E814" t="n">
        <v>39</v>
      </c>
      <c r="F814" t="n">
        <v>67011</v>
      </c>
      <c r="G814" t="n">
        <v>4</v>
      </c>
      <c r="H814" t="n">
        <v>11</v>
      </c>
      <c r="I814" t="n">
        <v>0</v>
      </c>
    </row>
    <row r="815">
      <c r="A815" t="n">
        <v>814</v>
      </c>
      <c r="B815" t="inlineStr">
        <is>
          <t>Train</t>
        </is>
      </c>
      <c r="C815" t="n">
        <v>4538</v>
      </c>
      <c r="D815" t="n">
        <v>17020</v>
      </c>
      <c r="E815" t="n">
        <v>46</v>
      </c>
      <c r="F815" t="n">
        <v>98572</v>
      </c>
      <c r="G815" t="n">
        <v>7</v>
      </c>
      <c r="H815" t="n">
        <v>11</v>
      </c>
      <c r="I815" t="n">
        <v>0</v>
      </c>
    </row>
    <row r="816">
      <c r="A816" t="n">
        <v>815</v>
      </c>
      <c r="B816" t="inlineStr">
        <is>
          <t>Train</t>
        </is>
      </c>
      <c r="C816" t="n">
        <v>8385</v>
      </c>
      <c r="D816" t="n">
        <v>15500</v>
      </c>
      <c r="E816" t="n">
        <v>37</v>
      </c>
      <c r="F816" t="n">
        <v>80183</v>
      </c>
      <c r="G816" t="n">
        <v>7</v>
      </c>
      <c r="H816" t="n">
        <v>13</v>
      </c>
      <c r="I816" t="n">
        <v>0</v>
      </c>
    </row>
    <row r="817">
      <c r="A817" t="n">
        <v>816</v>
      </c>
      <c r="B817" t="inlineStr">
        <is>
          <t>Train</t>
        </is>
      </c>
      <c r="C817" t="n">
        <v>39019</v>
      </c>
      <c r="D817" t="n">
        <v>5900</v>
      </c>
      <c r="E817" t="n">
        <v>44</v>
      </c>
      <c r="F817" t="n">
        <v>142551</v>
      </c>
      <c r="G817" t="n">
        <v>8</v>
      </c>
      <c r="H817" t="n">
        <v>13</v>
      </c>
      <c r="I817" t="n">
        <v>391566</v>
      </c>
    </row>
    <row r="818">
      <c r="A818" t="n">
        <v>817</v>
      </c>
      <c r="B818" t="inlineStr">
        <is>
          <t>Validation</t>
        </is>
      </c>
      <c r="C818" t="n">
        <v>3587</v>
      </c>
      <c r="D818" t="n">
        <v>9480</v>
      </c>
      <c r="E818" t="n">
        <v>55</v>
      </c>
      <c r="F818" t="n">
        <v>24785</v>
      </c>
      <c r="G818" t="n">
        <v>0</v>
      </c>
      <c r="H818" t="n">
        <v>7</v>
      </c>
      <c r="I818" t="n">
        <v>160333</v>
      </c>
    </row>
    <row r="819">
      <c r="A819" t="n">
        <v>818</v>
      </c>
      <c r="B819" t="inlineStr">
        <is>
          <t>Validation</t>
        </is>
      </c>
      <c r="C819" t="n">
        <v>8739</v>
      </c>
      <c r="D819" t="n">
        <v>7500</v>
      </c>
      <c r="E819" t="n">
        <v>60</v>
      </c>
      <c r="F819" t="n">
        <v>0</v>
      </c>
      <c r="G819" t="n">
        <v>4</v>
      </c>
      <c r="H819" t="n">
        <v>0</v>
      </c>
      <c r="I819" t="n">
        <v>108148</v>
      </c>
    </row>
    <row r="820">
      <c r="A820" t="n">
        <v>819</v>
      </c>
      <c r="B820" t="inlineStr">
        <is>
          <t>Validation</t>
        </is>
      </c>
      <c r="C820" t="n">
        <v>37689</v>
      </c>
      <c r="D820" t="n">
        <v>9000</v>
      </c>
      <c r="E820" t="n">
        <v>36</v>
      </c>
      <c r="F820" t="n">
        <v>20926</v>
      </c>
      <c r="G820" t="n">
        <v>7</v>
      </c>
      <c r="H820" t="n">
        <v>14</v>
      </c>
      <c r="I820" t="n">
        <v>122046</v>
      </c>
    </row>
    <row r="821">
      <c r="A821" t="n">
        <v>820</v>
      </c>
      <c r="B821" t="inlineStr">
        <is>
          <t>Train</t>
        </is>
      </c>
      <c r="C821" t="n">
        <v>893</v>
      </c>
      <c r="D821" t="n">
        <v>10450</v>
      </c>
      <c r="E821" t="n">
        <v>60</v>
      </c>
      <c r="F821" t="n">
        <v>89504</v>
      </c>
      <c r="G821" t="n">
        <v>5</v>
      </c>
      <c r="H821" t="n">
        <v>12</v>
      </c>
      <c r="I821" t="n">
        <v>239965</v>
      </c>
    </row>
    <row r="822">
      <c r="A822" t="n">
        <v>821</v>
      </c>
      <c r="B822" t="inlineStr">
        <is>
          <t>Train</t>
        </is>
      </c>
      <c r="C822" t="n">
        <v>25804</v>
      </c>
      <c r="D822" t="n">
        <v>26320</v>
      </c>
      <c r="E822" t="n">
        <v>43</v>
      </c>
      <c r="F822" t="n">
        <v>57170</v>
      </c>
      <c r="G822" t="n">
        <v>0</v>
      </c>
      <c r="H822" t="n">
        <v>7</v>
      </c>
      <c r="I822" t="n">
        <v>198402</v>
      </c>
    </row>
    <row r="823">
      <c r="A823" t="n">
        <v>822</v>
      </c>
      <c r="B823" t="inlineStr">
        <is>
          <t>Train</t>
        </is>
      </c>
      <c r="C823" t="n">
        <v>4318</v>
      </c>
      <c r="D823" t="n">
        <v>13670</v>
      </c>
      <c r="E823" t="n">
        <v>36</v>
      </c>
      <c r="F823" t="n">
        <v>27370</v>
      </c>
      <c r="G823" t="n">
        <v>3</v>
      </c>
      <c r="H823" t="n">
        <v>10</v>
      </c>
      <c r="I823" t="n">
        <v>0</v>
      </c>
    </row>
    <row r="824">
      <c r="A824" t="n">
        <v>823</v>
      </c>
      <c r="B824" t="inlineStr">
        <is>
          <t>Train</t>
        </is>
      </c>
      <c r="C824" t="n">
        <v>9894</v>
      </c>
      <c r="D824" t="n">
        <v>21880</v>
      </c>
      <c r="E824" t="n">
        <v>56</v>
      </c>
      <c r="F824" t="n">
        <v>47562</v>
      </c>
      <c r="G824" t="n">
        <v>2</v>
      </c>
      <c r="H824" t="n">
        <v>10</v>
      </c>
      <c r="I824" t="n">
        <v>169576</v>
      </c>
    </row>
    <row r="825">
      <c r="A825" t="n">
        <v>824</v>
      </c>
      <c r="B825" t="inlineStr">
        <is>
          <t>Train</t>
        </is>
      </c>
      <c r="C825" t="n">
        <v>6223</v>
      </c>
      <c r="D825" t="n">
        <v>23800</v>
      </c>
      <c r="E825" t="n">
        <v>60</v>
      </c>
      <c r="F825" t="n">
        <v>0</v>
      </c>
      <c r="G825" t="n">
        <v>5</v>
      </c>
      <c r="H825" t="n">
        <v>0</v>
      </c>
      <c r="I825" t="n">
        <v>146261</v>
      </c>
    </row>
    <row r="826">
      <c r="A826" t="n">
        <v>825</v>
      </c>
      <c r="B826" t="inlineStr">
        <is>
          <t>Train</t>
        </is>
      </c>
      <c r="C826" t="n">
        <v>3078</v>
      </c>
      <c r="D826" t="n">
        <v>12300</v>
      </c>
      <c r="E826" t="n">
        <v>45</v>
      </c>
      <c r="F826" t="n">
        <v>62991</v>
      </c>
      <c r="G826" t="n">
        <v>1</v>
      </c>
      <c r="H826" t="n">
        <v>8</v>
      </c>
      <c r="I826" t="n">
        <v>234990</v>
      </c>
    </row>
    <row r="827">
      <c r="A827" t="n">
        <v>826</v>
      </c>
      <c r="B827" t="inlineStr">
        <is>
          <t>Train</t>
        </is>
      </c>
      <c r="C827" t="n">
        <v>7463</v>
      </c>
      <c r="D827" t="n">
        <v>21130</v>
      </c>
      <c r="E827" t="n">
        <v>49</v>
      </c>
      <c r="F827" t="n">
        <v>41068</v>
      </c>
      <c r="G827" t="n">
        <v>0</v>
      </c>
      <c r="H827" t="n">
        <v>10</v>
      </c>
      <c r="I827" t="n">
        <v>0</v>
      </c>
    </row>
    <row r="828">
      <c r="A828" t="n">
        <v>827</v>
      </c>
      <c r="B828" t="inlineStr">
        <is>
          <t>Validation</t>
        </is>
      </c>
      <c r="C828" t="n">
        <v>5088</v>
      </c>
      <c r="D828" t="n">
        <v>10960</v>
      </c>
      <c r="E828" t="n">
        <v>65</v>
      </c>
      <c r="F828" t="n">
        <v>29603</v>
      </c>
      <c r="G828" t="n">
        <v>3</v>
      </c>
      <c r="H828" t="n">
        <v>10</v>
      </c>
      <c r="I828" t="n">
        <v>159862</v>
      </c>
    </row>
    <row r="829">
      <c r="A829" t="n">
        <v>828</v>
      </c>
      <c r="B829" t="inlineStr">
        <is>
          <t>Validation</t>
        </is>
      </c>
      <c r="C829" t="n">
        <v>6024</v>
      </c>
      <c r="D829" t="n">
        <v>19760</v>
      </c>
      <c r="E829" t="n">
        <v>43</v>
      </c>
      <c r="F829" t="n">
        <v>43900</v>
      </c>
      <c r="G829" t="n">
        <v>5</v>
      </c>
      <c r="H829" t="n">
        <v>13</v>
      </c>
      <c r="I829" t="n">
        <v>184254</v>
      </c>
    </row>
    <row r="830">
      <c r="A830" t="n">
        <v>829</v>
      </c>
      <c r="B830" t="inlineStr">
        <is>
          <t>Validation</t>
        </is>
      </c>
      <c r="C830" t="n">
        <v>3196</v>
      </c>
      <c r="D830" t="n">
        <v>27680</v>
      </c>
      <c r="E830" t="n">
        <v>41</v>
      </c>
      <c r="F830" t="n">
        <v>169599</v>
      </c>
      <c r="G830" t="n">
        <v>6</v>
      </c>
      <c r="H830" t="n">
        <v>8</v>
      </c>
      <c r="I830" t="n">
        <v>0</v>
      </c>
    </row>
    <row r="831">
      <c r="A831" t="n">
        <v>830</v>
      </c>
      <c r="B831" t="inlineStr">
        <is>
          <t>Train</t>
        </is>
      </c>
      <c r="C831" t="n">
        <v>9788</v>
      </c>
      <c r="D831" t="n">
        <v>11040</v>
      </c>
      <c r="E831" t="n">
        <v>35</v>
      </c>
      <c r="F831" t="n">
        <v>37684</v>
      </c>
      <c r="G831" t="n">
        <v>3</v>
      </c>
      <c r="H831" t="n">
        <v>5</v>
      </c>
      <c r="I831" t="n">
        <v>155474</v>
      </c>
    </row>
    <row r="832">
      <c r="A832" t="n">
        <v>831</v>
      </c>
      <c r="B832" t="inlineStr">
        <is>
          <t>Train</t>
        </is>
      </c>
      <c r="C832" t="n">
        <v>5916</v>
      </c>
      <c r="D832" t="n">
        <v>11230</v>
      </c>
      <c r="E832" t="n">
        <v>41</v>
      </c>
      <c r="F832" t="n">
        <v>56281</v>
      </c>
      <c r="G832" t="n">
        <v>1</v>
      </c>
      <c r="H832" t="n">
        <v>11</v>
      </c>
      <c r="I832" t="n">
        <v>179309</v>
      </c>
    </row>
    <row r="833">
      <c r="A833" t="n">
        <v>832</v>
      </c>
      <c r="B833" t="inlineStr">
        <is>
          <t>Train</t>
        </is>
      </c>
      <c r="C833" t="n">
        <v>9568</v>
      </c>
      <c r="D833" t="n">
        <v>36290</v>
      </c>
      <c r="E833" t="n">
        <v>43</v>
      </c>
      <c r="F833" t="n">
        <v>75423</v>
      </c>
      <c r="G833" t="n">
        <v>2</v>
      </c>
      <c r="H833" t="n">
        <v>14</v>
      </c>
      <c r="I833" t="n">
        <v>0</v>
      </c>
    </row>
    <row r="834">
      <c r="A834" t="n">
        <v>833</v>
      </c>
      <c r="B834" t="inlineStr">
        <is>
          <t>Train</t>
        </is>
      </c>
      <c r="C834" t="n">
        <v>6449</v>
      </c>
      <c r="D834" t="n">
        <v>33210</v>
      </c>
      <c r="E834" t="n">
        <v>41</v>
      </c>
      <c r="F834" t="n">
        <v>139860</v>
      </c>
      <c r="G834" t="n">
        <v>3</v>
      </c>
      <c r="H834" t="n">
        <v>9</v>
      </c>
      <c r="I834" t="n">
        <v>321852</v>
      </c>
    </row>
    <row r="835">
      <c r="A835" t="n">
        <v>834</v>
      </c>
      <c r="B835" t="inlineStr">
        <is>
          <t>Train</t>
        </is>
      </c>
      <c r="C835" t="n">
        <v>3442</v>
      </c>
      <c r="D835" t="n">
        <v>38320</v>
      </c>
      <c r="E835" t="n">
        <v>40</v>
      </c>
      <c r="F835" t="n">
        <v>84157</v>
      </c>
      <c r="G835" t="n">
        <v>2</v>
      </c>
      <c r="H835" t="n">
        <v>14</v>
      </c>
      <c r="I835" t="n">
        <v>269578</v>
      </c>
    </row>
    <row r="836">
      <c r="A836" t="n">
        <v>835</v>
      </c>
      <c r="B836" t="inlineStr">
        <is>
          <t>Train</t>
        </is>
      </c>
      <c r="C836" t="n">
        <v>36540</v>
      </c>
      <c r="D836" t="n">
        <v>37960</v>
      </c>
      <c r="E836" t="n">
        <v>57</v>
      </c>
      <c r="F836" t="n">
        <v>171913</v>
      </c>
      <c r="G836" t="n">
        <v>4</v>
      </c>
      <c r="H836" t="n">
        <v>15</v>
      </c>
      <c r="I836" t="n">
        <v>468103</v>
      </c>
    </row>
    <row r="837">
      <c r="A837" t="n">
        <v>836</v>
      </c>
      <c r="B837" t="inlineStr">
        <is>
          <t>Train</t>
        </is>
      </c>
      <c r="C837" t="n">
        <v>8506</v>
      </c>
      <c r="D837" t="n">
        <v>6500</v>
      </c>
      <c r="E837" t="n">
        <v>50</v>
      </c>
      <c r="F837" t="n">
        <v>27783</v>
      </c>
      <c r="G837" t="n">
        <v>1</v>
      </c>
      <c r="H837" t="n">
        <v>14</v>
      </c>
      <c r="I837" t="n">
        <v>0</v>
      </c>
    </row>
    <row r="838">
      <c r="A838" t="n">
        <v>837</v>
      </c>
      <c r="B838" t="inlineStr">
        <is>
          <t>Validation</t>
        </is>
      </c>
      <c r="C838" t="n">
        <v>20581</v>
      </c>
      <c r="D838" t="n">
        <v>20960</v>
      </c>
      <c r="E838" t="n">
        <v>28</v>
      </c>
      <c r="F838" t="n">
        <v>20852</v>
      </c>
      <c r="G838" t="n">
        <v>3</v>
      </c>
      <c r="H838" t="n">
        <v>9</v>
      </c>
      <c r="I838" t="n">
        <v>123109</v>
      </c>
    </row>
    <row r="839">
      <c r="A839" t="n">
        <v>838</v>
      </c>
      <c r="B839" t="inlineStr">
        <is>
          <t>Validation</t>
        </is>
      </c>
      <c r="C839" t="n">
        <v>19751</v>
      </c>
      <c r="D839" t="n">
        <v>16550</v>
      </c>
      <c r="E839" t="n">
        <v>57</v>
      </c>
      <c r="F839" t="n">
        <v>60599</v>
      </c>
      <c r="G839" t="n">
        <v>0</v>
      </c>
      <c r="H839" t="n">
        <v>14</v>
      </c>
      <c r="I839" t="n">
        <v>214459</v>
      </c>
    </row>
    <row r="840">
      <c r="A840" t="n">
        <v>839</v>
      </c>
      <c r="B840" t="inlineStr">
        <is>
          <t>Validation</t>
        </is>
      </c>
      <c r="C840" t="n">
        <v>6200</v>
      </c>
      <c r="D840" t="n">
        <v>20880</v>
      </c>
      <c r="E840" t="n">
        <v>62</v>
      </c>
      <c r="F840" t="n">
        <v>34580</v>
      </c>
      <c r="G840" t="n">
        <v>3</v>
      </c>
      <c r="H840" t="n">
        <v>11</v>
      </c>
      <c r="I840" t="n">
        <v>195895</v>
      </c>
    </row>
    <row r="841">
      <c r="A841" t="n">
        <v>840</v>
      </c>
      <c r="B841" t="inlineStr">
        <is>
          <t>Train</t>
        </is>
      </c>
      <c r="C841" t="n">
        <v>8153</v>
      </c>
      <c r="D841" t="n">
        <v>17360</v>
      </c>
      <c r="E841" t="n">
        <v>31</v>
      </c>
      <c r="F841" t="n">
        <v>38453</v>
      </c>
      <c r="G841" t="n">
        <v>8</v>
      </c>
      <c r="H841" t="n">
        <v>11</v>
      </c>
      <c r="I841" t="n">
        <v>163602</v>
      </c>
    </row>
    <row r="842">
      <c r="A842" t="n">
        <v>841</v>
      </c>
      <c r="B842" t="inlineStr">
        <is>
          <t>Train</t>
        </is>
      </c>
      <c r="C842" t="n">
        <v>1815</v>
      </c>
      <c r="D842" t="n">
        <v>25780</v>
      </c>
      <c r="E842" t="n">
        <v>46</v>
      </c>
      <c r="F842" t="n">
        <v>196756</v>
      </c>
      <c r="G842" t="n">
        <v>3</v>
      </c>
      <c r="H842" t="n">
        <v>8</v>
      </c>
      <c r="I842" t="n">
        <v>502867</v>
      </c>
    </row>
    <row r="843">
      <c r="A843" t="n">
        <v>842</v>
      </c>
      <c r="B843" t="inlineStr">
        <is>
          <t>Train</t>
        </is>
      </c>
      <c r="C843" t="n">
        <v>4069</v>
      </c>
      <c r="D843" t="n">
        <v>28650</v>
      </c>
      <c r="E843" t="n">
        <v>44</v>
      </c>
      <c r="F843" t="n">
        <v>169602</v>
      </c>
      <c r="G843" t="n">
        <v>7</v>
      </c>
      <c r="H843" t="n">
        <v>13</v>
      </c>
      <c r="I843" t="n">
        <v>0</v>
      </c>
    </row>
    <row r="844">
      <c r="A844" t="n">
        <v>843</v>
      </c>
      <c r="B844" t="inlineStr">
        <is>
          <t>Train</t>
        </is>
      </c>
      <c r="C844" t="n">
        <v>20463</v>
      </c>
      <c r="D844" t="n">
        <v>19330</v>
      </c>
      <c r="E844" t="n">
        <v>53</v>
      </c>
      <c r="F844" t="n">
        <v>91924</v>
      </c>
      <c r="G844" t="n">
        <v>3</v>
      </c>
      <c r="H844" t="n">
        <v>11</v>
      </c>
      <c r="I844" t="n">
        <v>249756</v>
      </c>
    </row>
    <row r="845">
      <c r="A845" t="n">
        <v>844</v>
      </c>
      <c r="B845" t="inlineStr">
        <is>
          <t>Train</t>
        </is>
      </c>
      <c r="C845" t="n">
        <v>2595</v>
      </c>
      <c r="D845" t="n">
        <v>10750</v>
      </c>
      <c r="E845" t="n">
        <v>55</v>
      </c>
      <c r="F845" t="n">
        <v>37537</v>
      </c>
      <c r="G845" t="n">
        <v>1</v>
      </c>
      <c r="H845" t="n">
        <v>12</v>
      </c>
      <c r="I845" t="n">
        <v>158064</v>
      </c>
    </row>
    <row r="846">
      <c r="A846" t="n">
        <v>845</v>
      </c>
      <c r="B846" t="inlineStr">
        <is>
          <t>Train</t>
        </is>
      </c>
      <c r="C846" t="n">
        <v>19685</v>
      </c>
      <c r="D846" t="n">
        <v>7310</v>
      </c>
      <c r="E846" t="n">
        <v>52</v>
      </c>
      <c r="F846" t="n">
        <v>37388</v>
      </c>
      <c r="G846" t="n">
        <v>4</v>
      </c>
      <c r="H846" t="n">
        <v>12</v>
      </c>
      <c r="I846" t="n">
        <v>0</v>
      </c>
    </row>
    <row r="847">
      <c r="A847" t="n">
        <v>846</v>
      </c>
      <c r="B847" t="inlineStr">
        <is>
          <t>Train</t>
        </is>
      </c>
      <c r="C847" t="n">
        <v>8864</v>
      </c>
      <c r="D847" t="n">
        <v>4700</v>
      </c>
      <c r="E847" t="n">
        <v>32</v>
      </c>
      <c r="F847" t="n">
        <v>25749</v>
      </c>
      <c r="G847" t="n">
        <v>2</v>
      </c>
      <c r="H847" t="n">
        <v>16</v>
      </c>
      <c r="I847" t="n">
        <v>128717</v>
      </c>
    </row>
    <row r="848">
      <c r="A848" t="n">
        <v>847</v>
      </c>
      <c r="B848" t="inlineStr">
        <is>
          <t>Validation</t>
        </is>
      </c>
      <c r="C848" t="n">
        <v>47389</v>
      </c>
      <c r="D848" t="n">
        <v>21600</v>
      </c>
      <c r="E848" t="n">
        <v>27</v>
      </c>
      <c r="F848" t="n">
        <v>53458</v>
      </c>
      <c r="G848" t="n">
        <v>6</v>
      </c>
      <c r="H848" t="n">
        <v>15</v>
      </c>
      <c r="I848" t="n">
        <v>211386</v>
      </c>
    </row>
    <row r="849">
      <c r="A849" t="n">
        <v>848</v>
      </c>
      <c r="B849" t="inlineStr">
        <is>
          <t>Validation</t>
        </is>
      </c>
      <c r="C849" t="n">
        <v>31830</v>
      </c>
      <c r="D849" t="n">
        <v>18480</v>
      </c>
      <c r="E849" t="n">
        <v>34</v>
      </c>
      <c r="F849" t="n">
        <v>54853</v>
      </c>
      <c r="G849" t="n">
        <v>2</v>
      </c>
      <c r="H849" t="n">
        <v>10</v>
      </c>
      <c r="I849" t="n">
        <v>0</v>
      </c>
    </row>
    <row r="850">
      <c r="A850" t="n">
        <v>849</v>
      </c>
      <c r="B850" t="inlineStr">
        <is>
          <t>Validation</t>
        </is>
      </c>
      <c r="C850" t="n">
        <v>4796</v>
      </c>
      <c r="D850" t="n">
        <v>25490</v>
      </c>
      <c r="E850" t="n">
        <v>46</v>
      </c>
      <c r="F850" t="n">
        <v>95662</v>
      </c>
      <c r="G850" t="n">
        <v>5</v>
      </c>
      <c r="H850" t="n">
        <v>9</v>
      </c>
      <c r="I850" t="n">
        <v>254898</v>
      </c>
    </row>
    <row r="851">
      <c r="A851" t="n">
        <v>850</v>
      </c>
      <c r="B851" t="inlineStr">
        <is>
          <t>Train</t>
        </is>
      </c>
      <c r="C851" t="n">
        <v>4017</v>
      </c>
      <c r="D851" t="n">
        <v>20090</v>
      </c>
      <c r="E851" t="n">
        <v>39</v>
      </c>
      <c r="F851" t="n">
        <v>75946</v>
      </c>
      <c r="G851" t="n">
        <v>6</v>
      </c>
      <c r="H851" t="n">
        <v>14</v>
      </c>
      <c r="I851" t="n">
        <v>229313</v>
      </c>
    </row>
    <row r="852">
      <c r="A852" t="n">
        <v>851</v>
      </c>
      <c r="B852" t="inlineStr">
        <is>
          <t>Train</t>
        </is>
      </c>
      <c r="C852" t="n">
        <v>7274</v>
      </c>
      <c r="D852" t="n">
        <v>17680</v>
      </c>
      <c r="E852" t="n">
        <v>48</v>
      </c>
      <c r="F852" t="n">
        <v>118277</v>
      </c>
      <c r="G852" t="n">
        <v>1</v>
      </c>
      <c r="H852" t="n">
        <v>9</v>
      </c>
      <c r="I852" t="n">
        <v>0</v>
      </c>
    </row>
    <row r="853">
      <c r="A853" t="n">
        <v>852</v>
      </c>
      <c r="B853" t="inlineStr">
        <is>
          <t>Train</t>
        </is>
      </c>
      <c r="C853" t="n">
        <v>45879</v>
      </c>
      <c r="D853" t="n">
        <v>10830</v>
      </c>
      <c r="E853" t="n">
        <v>40</v>
      </c>
      <c r="F853" t="n">
        <v>93310</v>
      </c>
      <c r="G853" t="n">
        <v>4</v>
      </c>
      <c r="H853" t="n">
        <v>11</v>
      </c>
      <c r="I853" t="n">
        <v>265298</v>
      </c>
    </row>
    <row r="854">
      <c r="A854" t="n">
        <v>853</v>
      </c>
      <c r="B854" t="inlineStr">
        <is>
          <t>Train</t>
        </is>
      </c>
      <c r="C854" t="n">
        <v>981</v>
      </c>
      <c r="D854" t="n">
        <v>11510</v>
      </c>
      <c r="E854" t="n">
        <v>40</v>
      </c>
      <c r="F854" t="n">
        <v>30631</v>
      </c>
      <c r="G854" t="n">
        <v>5</v>
      </c>
      <c r="H854" t="n">
        <v>7</v>
      </c>
      <c r="I854" t="n">
        <v>0</v>
      </c>
    </row>
    <row r="855">
      <c r="A855" t="n">
        <v>854</v>
      </c>
      <c r="B855" t="inlineStr">
        <is>
          <t>Train</t>
        </is>
      </c>
      <c r="C855" t="n">
        <v>952</v>
      </c>
      <c r="D855" t="n">
        <v>33200</v>
      </c>
      <c r="E855" t="n">
        <v>36</v>
      </c>
      <c r="F855" t="n">
        <v>127079</v>
      </c>
      <c r="G855" t="n">
        <v>3</v>
      </c>
      <c r="H855" t="n">
        <v>11</v>
      </c>
      <c r="I855" t="n">
        <v>308335</v>
      </c>
    </row>
    <row r="856">
      <c r="A856" t="n">
        <v>855</v>
      </c>
      <c r="B856" t="inlineStr">
        <is>
          <t>Train</t>
        </is>
      </c>
      <c r="C856" t="n">
        <v>1493</v>
      </c>
      <c r="D856" t="n">
        <v>15030</v>
      </c>
      <c r="E856" t="n">
        <v>47</v>
      </c>
      <c r="F856" t="n">
        <v>88285</v>
      </c>
      <c r="G856" t="n">
        <v>5</v>
      </c>
      <c r="H856" t="n">
        <v>5</v>
      </c>
      <c r="I856" t="n">
        <v>281686</v>
      </c>
    </row>
    <row r="857">
      <c r="A857" t="n">
        <v>856</v>
      </c>
      <c r="B857" t="inlineStr">
        <is>
          <t>Train</t>
        </is>
      </c>
      <c r="C857" t="n">
        <v>4948</v>
      </c>
      <c r="D857" t="n">
        <v>19760</v>
      </c>
      <c r="E857" t="n">
        <v>39</v>
      </c>
      <c r="F857" t="n">
        <v>85600</v>
      </c>
      <c r="G857" t="n">
        <v>6</v>
      </c>
      <c r="H857" t="n">
        <v>9</v>
      </c>
      <c r="I857" t="n">
        <v>0</v>
      </c>
    </row>
    <row r="858">
      <c r="A858" t="n">
        <v>857</v>
      </c>
      <c r="B858" t="inlineStr">
        <is>
          <t>Validation</t>
        </is>
      </c>
      <c r="C858" t="n">
        <v>8579</v>
      </c>
      <c r="D858" t="n">
        <v>17850</v>
      </c>
      <c r="E858" t="n">
        <v>57</v>
      </c>
      <c r="F858" t="n">
        <v>28617</v>
      </c>
      <c r="G858" t="n">
        <v>5</v>
      </c>
      <c r="H858" t="n">
        <v>10</v>
      </c>
      <c r="I858" t="n">
        <v>183202</v>
      </c>
    </row>
    <row r="859">
      <c r="A859" t="n">
        <v>858</v>
      </c>
      <c r="B859" t="inlineStr">
        <is>
          <t>Validation</t>
        </is>
      </c>
      <c r="C859" t="n">
        <v>698</v>
      </c>
      <c r="D859" t="n">
        <v>6000</v>
      </c>
      <c r="E859" t="n">
        <v>45</v>
      </c>
      <c r="F859" t="n">
        <v>0</v>
      </c>
      <c r="G859" t="n">
        <v>3</v>
      </c>
      <c r="H859" t="n">
        <v>0</v>
      </c>
      <c r="I859" t="n">
        <v>0</v>
      </c>
    </row>
    <row r="860">
      <c r="A860" t="n">
        <v>859</v>
      </c>
      <c r="B860" t="inlineStr">
        <is>
          <t>Validation</t>
        </is>
      </c>
      <c r="C860" t="n">
        <v>5050</v>
      </c>
      <c r="D860" t="n">
        <v>10980</v>
      </c>
      <c r="E860" t="n">
        <v>54</v>
      </c>
      <c r="F860" t="n">
        <v>40818</v>
      </c>
      <c r="G860" t="n">
        <v>0</v>
      </c>
      <c r="H860" t="n">
        <v>12</v>
      </c>
      <c r="I860" t="n">
        <v>0</v>
      </c>
    </row>
    <row r="861">
      <c r="A861" t="n">
        <v>860</v>
      </c>
      <c r="B861" t="inlineStr">
        <is>
          <t>Train</t>
        </is>
      </c>
      <c r="C861" t="n">
        <v>23451</v>
      </c>
      <c r="D861" t="n">
        <v>4000</v>
      </c>
      <c r="E861" t="n">
        <v>25</v>
      </c>
      <c r="F861" t="n">
        <v>26906</v>
      </c>
      <c r="G861" t="n">
        <v>8</v>
      </c>
      <c r="H861" t="n">
        <v>12</v>
      </c>
      <c r="I861" t="n">
        <v>0</v>
      </c>
    </row>
    <row r="862">
      <c r="A862" t="n">
        <v>861</v>
      </c>
      <c r="B862" t="inlineStr">
        <is>
          <t>Train</t>
        </is>
      </c>
      <c r="C862" t="n">
        <v>44990</v>
      </c>
      <c r="D862" t="n">
        <v>10480</v>
      </c>
      <c r="E862" t="n">
        <v>53</v>
      </c>
      <c r="F862" t="n">
        <v>36755</v>
      </c>
      <c r="G862" t="n">
        <v>1</v>
      </c>
      <c r="H862" t="n">
        <v>13</v>
      </c>
      <c r="I862" t="n">
        <v>0</v>
      </c>
    </row>
    <row r="863">
      <c r="A863" t="n">
        <v>862</v>
      </c>
      <c r="B863" t="inlineStr">
        <is>
          <t>Train</t>
        </is>
      </c>
      <c r="C863" t="n">
        <v>6191</v>
      </c>
      <c r="D863" t="n">
        <v>6330</v>
      </c>
      <c r="E863" t="n">
        <v>35</v>
      </c>
      <c r="F863" t="n">
        <v>0</v>
      </c>
      <c r="G863" t="n">
        <v>8</v>
      </c>
      <c r="H863" t="n">
        <v>0</v>
      </c>
      <c r="I863" t="n">
        <v>0</v>
      </c>
    </row>
    <row r="864">
      <c r="A864" t="n">
        <v>863</v>
      </c>
      <c r="B864" t="inlineStr">
        <is>
          <t>Train</t>
        </is>
      </c>
      <c r="C864" t="n">
        <v>6581</v>
      </c>
      <c r="D864" t="n">
        <v>34050</v>
      </c>
      <c r="E864" t="n">
        <v>57</v>
      </c>
      <c r="F864" t="n">
        <v>297435</v>
      </c>
      <c r="G864" t="n">
        <v>5</v>
      </c>
      <c r="H864" t="n">
        <v>10</v>
      </c>
      <c r="I864" t="n">
        <v>611328</v>
      </c>
    </row>
    <row r="865">
      <c r="A865" t="n">
        <v>864</v>
      </c>
      <c r="B865" t="inlineStr">
        <is>
          <t>Train</t>
        </is>
      </c>
      <c r="C865" t="n">
        <v>2118</v>
      </c>
      <c r="D865" t="n">
        <v>4600</v>
      </c>
      <c r="E865" t="n">
        <v>31</v>
      </c>
      <c r="F865" t="n">
        <v>30348</v>
      </c>
      <c r="G865" t="n">
        <v>4</v>
      </c>
      <c r="H865" t="n">
        <v>8</v>
      </c>
      <c r="I865" t="n">
        <v>128843</v>
      </c>
    </row>
    <row r="866">
      <c r="A866" t="n">
        <v>865</v>
      </c>
      <c r="B866" t="inlineStr">
        <is>
          <t>Train</t>
        </is>
      </c>
      <c r="C866" t="n">
        <v>9583</v>
      </c>
      <c r="D866" t="n">
        <v>14500</v>
      </c>
      <c r="E866" t="n">
        <v>50</v>
      </c>
      <c r="F866" t="n">
        <v>72306</v>
      </c>
      <c r="G866" t="n">
        <v>0</v>
      </c>
      <c r="H866" t="n">
        <v>7</v>
      </c>
      <c r="I866" t="n">
        <v>193868</v>
      </c>
    </row>
    <row r="867">
      <c r="A867" t="n">
        <v>866</v>
      </c>
      <c r="B867" t="inlineStr">
        <is>
          <t>Train</t>
        </is>
      </c>
      <c r="C867" t="n">
        <v>3891</v>
      </c>
      <c r="D867" t="n">
        <v>42690</v>
      </c>
      <c r="E867" t="n">
        <v>57</v>
      </c>
      <c r="F867" t="n">
        <v>78467</v>
      </c>
      <c r="G867" t="n">
        <v>7</v>
      </c>
      <c r="H867" t="n">
        <v>15</v>
      </c>
      <c r="I867" t="n">
        <v>0</v>
      </c>
    </row>
    <row r="868">
      <c r="A868" t="n">
        <v>867</v>
      </c>
      <c r="B868" t="inlineStr">
        <is>
          <t>Validation</t>
        </is>
      </c>
      <c r="C868" t="n">
        <v>6936</v>
      </c>
      <c r="D868" t="n">
        <v>12100</v>
      </c>
      <c r="E868" t="n">
        <v>41</v>
      </c>
      <c r="F868" t="n">
        <v>64957</v>
      </c>
      <c r="G868" t="n">
        <v>8</v>
      </c>
      <c r="H868" t="n">
        <v>12</v>
      </c>
      <c r="I868" t="n">
        <v>209019</v>
      </c>
    </row>
    <row r="869">
      <c r="A869" t="n">
        <v>868</v>
      </c>
      <c r="B869" t="inlineStr">
        <is>
          <t>Validation</t>
        </is>
      </c>
      <c r="C869" t="n">
        <v>6966</v>
      </c>
      <c r="D869" t="n">
        <v>6400</v>
      </c>
      <c r="E869" t="n">
        <v>52</v>
      </c>
      <c r="F869" t="n">
        <v>0</v>
      </c>
      <c r="G869" t="n">
        <v>5</v>
      </c>
      <c r="H869" t="n">
        <v>0</v>
      </c>
      <c r="I869" t="n">
        <v>0</v>
      </c>
    </row>
    <row r="870">
      <c r="A870" t="n">
        <v>869</v>
      </c>
      <c r="B870" t="inlineStr">
        <is>
          <t>Validation</t>
        </is>
      </c>
      <c r="C870" t="n">
        <v>11692</v>
      </c>
      <c r="D870" t="n">
        <v>30790</v>
      </c>
      <c r="E870" t="n">
        <v>36</v>
      </c>
      <c r="F870" t="n">
        <v>90886</v>
      </c>
      <c r="G870" t="n">
        <v>1</v>
      </c>
      <c r="H870" t="n">
        <v>8</v>
      </c>
      <c r="I870" t="n">
        <v>0</v>
      </c>
    </row>
    <row r="871">
      <c r="A871" t="n">
        <v>870</v>
      </c>
      <c r="B871" t="inlineStr">
        <is>
          <t>Train</t>
        </is>
      </c>
      <c r="C871" t="n">
        <v>6796</v>
      </c>
      <c r="D871" t="n">
        <v>3030</v>
      </c>
      <c r="E871" t="n">
        <v>52</v>
      </c>
      <c r="F871" t="n">
        <v>7356</v>
      </c>
      <c r="G871" t="n">
        <v>0</v>
      </c>
      <c r="H871" t="n">
        <v>14</v>
      </c>
      <c r="I871" t="n">
        <v>0</v>
      </c>
    </row>
    <row r="872">
      <c r="A872" t="n">
        <v>871</v>
      </c>
      <c r="B872" t="inlineStr">
        <is>
          <t>Train</t>
        </is>
      </c>
      <c r="C872" t="n">
        <v>4839</v>
      </c>
      <c r="D872" t="n">
        <v>11180</v>
      </c>
      <c r="E872" t="n">
        <v>46</v>
      </c>
      <c r="F872" t="n">
        <v>71869</v>
      </c>
      <c r="G872" t="n">
        <v>7</v>
      </c>
      <c r="H872" t="n">
        <v>7</v>
      </c>
      <c r="I872" t="n">
        <v>246071</v>
      </c>
    </row>
    <row r="873">
      <c r="A873" t="n">
        <v>872</v>
      </c>
      <c r="B873" t="inlineStr">
        <is>
          <t>Train</t>
        </is>
      </c>
      <c r="C873" t="n">
        <v>6379</v>
      </c>
      <c r="D873" t="n">
        <v>16250</v>
      </c>
      <c r="E873" t="n">
        <v>63</v>
      </c>
      <c r="F873" t="n">
        <v>42209</v>
      </c>
      <c r="G873" t="n">
        <v>8</v>
      </c>
      <c r="H873" t="n">
        <v>15</v>
      </c>
      <c r="I873" t="n">
        <v>0</v>
      </c>
    </row>
    <row r="874">
      <c r="A874" t="n">
        <v>873</v>
      </c>
      <c r="B874" t="inlineStr">
        <is>
          <t>Train</t>
        </is>
      </c>
      <c r="C874" t="n">
        <v>50807</v>
      </c>
      <c r="D874" t="n">
        <v>5700</v>
      </c>
      <c r="E874" t="n">
        <v>41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874</v>
      </c>
      <c r="B875" t="inlineStr">
        <is>
          <t>Train</t>
        </is>
      </c>
      <c r="C875" t="n">
        <v>4422</v>
      </c>
      <c r="D875" t="n">
        <v>10510</v>
      </c>
      <c r="E875" t="n">
        <v>34</v>
      </c>
      <c r="F875" t="n">
        <v>0</v>
      </c>
      <c r="G875" t="n">
        <v>9</v>
      </c>
      <c r="H875" t="n">
        <v>0</v>
      </c>
      <c r="I875" t="n">
        <v>0</v>
      </c>
    </row>
    <row r="876">
      <c r="A876" t="n">
        <v>875</v>
      </c>
      <c r="B876" t="inlineStr">
        <is>
          <t>Train</t>
        </is>
      </c>
      <c r="C876" t="n">
        <v>6521</v>
      </c>
      <c r="D876" t="n">
        <v>1500</v>
      </c>
      <c r="E876" t="n">
        <v>54</v>
      </c>
      <c r="F876" t="n">
        <v>38768</v>
      </c>
      <c r="G876" t="n">
        <v>4</v>
      </c>
      <c r="H876" t="n">
        <v>14</v>
      </c>
      <c r="I876" t="n">
        <v>177896</v>
      </c>
    </row>
    <row r="877">
      <c r="A877" t="n">
        <v>876</v>
      </c>
      <c r="B877" t="inlineStr">
        <is>
          <t>Train</t>
        </is>
      </c>
      <c r="C877" t="n">
        <v>3010</v>
      </c>
      <c r="D877" t="n">
        <v>5800</v>
      </c>
      <c r="E877" t="n">
        <v>43</v>
      </c>
      <c r="F877" t="n">
        <v>39848</v>
      </c>
      <c r="G877" t="n">
        <v>0</v>
      </c>
      <c r="H877" t="n">
        <v>11</v>
      </c>
      <c r="I877" t="n">
        <v>136304</v>
      </c>
    </row>
    <row r="878">
      <c r="A878" t="n">
        <v>877</v>
      </c>
      <c r="B878" t="inlineStr">
        <is>
          <t>Validation</t>
        </is>
      </c>
      <c r="C878" t="n">
        <v>3535</v>
      </c>
      <c r="D878" t="n">
        <v>25410</v>
      </c>
      <c r="E878" t="n">
        <v>34</v>
      </c>
      <c r="F878" t="n">
        <v>91963</v>
      </c>
      <c r="G878" t="n">
        <v>4</v>
      </c>
      <c r="H878" t="n">
        <v>11</v>
      </c>
      <c r="I878" t="n">
        <v>0</v>
      </c>
    </row>
    <row r="879">
      <c r="A879" t="n">
        <v>878</v>
      </c>
      <c r="B879" t="inlineStr">
        <is>
          <t>Validation</t>
        </is>
      </c>
      <c r="C879" t="n">
        <v>4535</v>
      </c>
      <c r="D879" t="n">
        <v>6740</v>
      </c>
      <c r="E879" t="n">
        <v>59</v>
      </c>
      <c r="F879" t="n">
        <v>52356</v>
      </c>
      <c r="G879" t="n">
        <v>5</v>
      </c>
      <c r="H879" t="n">
        <v>10</v>
      </c>
      <c r="I879" t="n">
        <v>0</v>
      </c>
    </row>
    <row r="880">
      <c r="A880" t="n">
        <v>879</v>
      </c>
      <c r="B880" t="inlineStr">
        <is>
          <t>Validation</t>
        </is>
      </c>
      <c r="C880" t="n">
        <v>5375</v>
      </c>
      <c r="D880" t="n">
        <v>15490</v>
      </c>
      <c r="E880" t="n">
        <v>40</v>
      </c>
      <c r="F880" t="n">
        <v>25645</v>
      </c>
      <c r="G880" t="n">
        <v>0</v>
      </c>
      <c r="H880" t="n">
        <v>14</v>
      </c>
      <c r="I880" t="n">
        <v>120237</v>
      </c>
    </row>
    <row r="881">
      <c r="A881" t="n">
        <v>880</v>
      </c>
      <c r="B881" t="inlineStr">
        <is>
          <t>Train</t>
        </is>
      </c>
      <c r="C881" t="n">
        <v>4603</v>
      </c>
      <c r="D881" t="n">
        <v>34070</v>
      </c>
      <c r="E881" t="n">
        <v>49</v>
      </c>
      <c r="F881" t="n">
        <v>276054</v>
      </c>
      <c r="G881" t="n">
        <v>0</v>
      </c>
      <c r="H881" t="n">
        <v>13</v>
      </c>
      <c r="I881" t="n">
        <v>0</v>
      </c>
    </row>
    <row r="882">
      <c r="A882" t="n">
        <v>881</v>
      </c>
      <c r="B882" t="inlineStr">
        <is>
          <t>Train</t>
        </is>
      </c>
      <c r="C882" t="n">
        <v>7079</v>
      </c>
      <c r="D882" t="n">
        <v>13460</v>
      </c>
      <c r="E882" t="n">
        <v>49</v>
      </c>
      <c r="F882" t="n">
        <v>70588</v>
      </c>
      <c r="G882" t="n">
        <v>2</v>
      </c>
      <c r="H882" t="n">
        <v>14</v>
      </c>
      <c r="I882" t="n">
        <v>0</v>
      </c>
    </row>
    <row r="883">
      <c r="A883" t="n">
        <v>882</v>
      </c>
      <c r="B883" t="inlineStr">
        <is>
          <t>Train</t>
        </is>
      </c>
      <c r="C883" t="n">
        <v>3691</v>
      </c>
      <c r="D883" t="n">
        <v>8770</v>
      </c>
      <c r="E883" t="n">
        <v>34</v>
      </c>
      <c r="F883" t="n">
        <v>24554</v>
      </c>
      <c r="G883" t="n">
        <v>0</v>
      </c>
      <c r="H883" t="n">
        <v>14</v>
      </c>
      <c r="I883" t="n">
        <v>105171</v>
      </c>
    </row>
    <row r="884">
      <c r="A884" t="n">
        <v>883</v>
      </c>
      <c r="B884" t="inlineStr">
        <is>
          <t>Train</t>
        </is>
      </c>
      <c r="C884" t="n">
        <v>7693</v>
      </c>
      <c r="D884" t="n">
        <v>6510</v>
      </c>
      <c r="E884" t="n">
        <v>34</v>
      </c>
      <c r="F884" t="n">
        <v>4362</v>
      </c>
      <c r="G884" t="n">
        <v>2</v>
      </c>
      <c r="H884" t="n">
        <v>12</v>
      </c>
      <c r="I884" t="n">
        <v>0</v>
      </c>
    </row>
    <row r="885">
      <c r="A885" t="n">
        <v>884</v>
      </c>
      <c r="B885" t="inlineStr">
        <is>
          <t>Train</t>
        </is>
      </c>
      <c r="C885" t="n">
        <v>25777</v>
      </c>
      <c r="D885" t="n">
        <v>25350</v>
      </c>
      <c r="E885" t="n">
        <v>53</v>
      </c>
      <c r="F885" t="n">
        <v>129978</v>
      </c>
      <c r="G885" t="n">
        <v>1</v>
      </c>
      <c r="H885" t="n">
        <v>15</v>
      </c>
      <c r="I885" t="n">
        <v>332538</v>
      </c>
    </row>
    <row r="886">
      <c r="A886" t="n">
        <v>885</v>
      </c>
      <c r="B886" t="inlineStr">
        <is>
          <t>Train</t>
        </is>
      </c>
      <c r="C886" t="n">
        <v>8023</v>
      </c>
      <c r="D886" t="n">
        <v>10350</v>
      </c>
      <c r="E886" t="n">
        <v>50</v>
      </c>
      <c r="F886" t="n">
        <v>0</v>
      </c>
      <c r="G886" t="n">
        <v>4</v>
      </c>
      <c r="H886" t="n">
        <v>0</v>
      </c>
      <c r="I886" t="n">
        <v>75386</v>
      </c>
    </row>
    <row r="887">
      <c r="A887" t="n">
        <v>886</v>
      </c>
      <c r="B887" t="inlineStr">
        <is>
          <t>Train</t>
        </is>
      </c>
      <c r="C887" t="n">
        <v>1297</v>
      </c>
      <c r="D887" t="n">
        <v>11100</v>
      </c>
      <c r="E887" t="n">
        <v>44</v>
      </c>
      <c r="F887" t="n">
        <v>14041</v>
      </c>
      <c r="G887" t="n">
        <v>0</v>
      </c>
      <c r="H887" t="n">
        <v>15</v>
      </c>
      <c r="I887" t="n">
        <v>122698</v>
      </c>
    </row>
    <row r="888">
      <c r="A888" t="n">
        <v>887</v>
      </c>
      <c r="B888" t="inlineStr">
        <is>
          <t>Validation</t>
        </is>
      </c>
      <c r="C888" t="n">
        <v>25622</v>
      </c>
      <c r="D888" t="n">
        <v>6080</v>
      </c>
      <c r="E888" t="n">
        <v>48</v>
      </c>
      <c r="F888" t="n">
        <v>45819</v>
      </c>
      <c r="G888" t="n">
        <v>4</v>
      </c>
      <c r="H888" t="n">
        <v>13</v>
      </c>
      <c r="I888" t="n">
        <v>161549</v>
      </c>
    </row>
    <row r="889">
      <c r="A889" t="n">
        <v>888</v>
      </c>
      <c r="B889" t="inlineStr">
        <is>
          <t>Validation</t>
        </is>
      </c>
      <c r="C889" t="n">
        <v>3997</v>
      </c>
      <c r="D889" t="n">
        <v>16780</v>
      </c>
      <c r="E889" t="n">
        <v>36</v>
      </c>
      <c r="F889" t="n">
        <v>33274</v>
      </c>
      <c r="G889" t="n">
        <v>7</v>
      </c>
      <c r="H889" t="n">
        <v>11</v>
      </c>
      <c r="I889" t="n">
        <v>0</v>
      </c>
    </row>
    <row r="890">
      <c r="A890" t="n">
        <v>889</v>
      </c>
      <c r="B890" t="inlineStr">
        <is>
          <t>Validation</t>
        </is>
      </c>
      <c r="C890" t="n">
        <v>26452</v>
      </c>
      <c r="D890" t="n">
        <v>1500</v>
      </c>
      <c r="E890" t="n">
        <v>50</v>
      </c>
      <c r="F890" t="n">
        <v>0</v>
      </c>
      <c r="G890" t="n">
        <v>0</v>
      </c>
      <c r="H890" t="n">
        <v>0</v>
      </c>
      <c r="I890" t="n">
        <v>88189</v>
      </c>
    </row>
    <row r="891">
      <c r="A891" t="n">
        <v>890</v>
      </c>
      <c r="B891" t="inlineStr">
        <is>
          <t>Train</t>
        </is>
      </c>
      <c r="C891" t="n">
        <v>1449</v>
      </c>
      <c r="D891" t="n">
        <v>11260</v>
      </c>
      <c r="E891" t="n">
        <v>43</v>
      </c>
      <c r="F891" t="n">
        <v>54593</v>
      </c>
      <c r="G891" t="n">
        <v>4</v>
      </c>
      <c r="H891" t="n">
        <v>14</v>
      </c>
      <c r="I891" t="n">
        <v>221267</v>
      </c>
    </row>
    <row r="892">
      <c r="A892" t="n">
        <v>891</v>
      </c>
      <c r="B892" t="inlineStr">
        <is>
          <t>Train</t>
        </is>
      </c>
      <c r="C892" t="n">
        <v>937</v>
      </c>
      <c r="D892" t="n">
        <v>10800</v>
      </c>
      <c r="E892" t="n">
        <v>60</v>
      </c>
      <c r="F892" t="n">
        <v>8287</v>
      </c>
      <c r="G892" t="n">
        <v>0</v>
      </c>
      <c r="H892" t="n">
        <v>9</v>
      </c>
      <c r="I892" t="n">
        <v>160005</v>
      </c>
    </row>
    <row r="893">
      <c r="A893" t="n">
        <v>892</v>
      </c>
      <c r="B893" t="inlineStr">
        <is>
          <t>Train</t>
        </is>
      </c>
      <c r="C893" t="n">
        <v>2576</v>
      </c>
      <c r="D893" t="n">
        <v>19310</v>
      </c>
      <c r="E893" t="n">
        <v>44</v>
      </c>
      <c r="F893" t="n">
        <v>61597</v>
      </c>
      <c r="G893" t="n">
        <v>0</v>
      </c>
      <c r="H893" t="n">
        <v>10</v>
      </c>
      <c r="I893" t="n">
        <v>207095</v>
      </c>
    </row>
    <row r="894">
      <c r="A894" t="n">
        <v>893</v>
      </c>
      <c r="B894" t="inlineStr">
        <is>
          <t>Train</t>
        </is>
      </c>
      <c r="C894" t="n">
        <v>36661</v>
      </c>
      <c r="D894" t="n">
        <v>18480</v>
      </c>
      <c r="E894" t="n">
        <v>55</v>
      </c>
      <c r="F894" t="n">
        <v>50601</v>
      </c>
      <c r="G894" t="n">
        <v>5</v>
      </c>
      <c r="H894" t="n">
        <v>12</v>
      </c>
      <c r="I894" t="n">
        <v>0</v>
      </c>
    </row>
    <row r="895">
      <c r="A895" t="n">
        <v>894</v>
      </c>
      <c r="B895" t="inlineStr">
        <is>
          <t>Train</t>
        </is>
      </c>
      <c r="C895" t="n">
        <v>43725</v>
      </c>
      <c r="D895" t="n">
        <v>8640</v>
      </c>
      <c r="E895" t="n">
        <v>34</v>
      </c>
      <c r="F895" t="n">
        <v>37364</v>
      </c>
      <c r="G895" t="n">
        <v>1</v>
      </c>
      <c r="H895" t="n">
        <v>9</v>
      </c>
      <c r="I895" t="n">
        <v>173675</v>
      </c>
    </row>
    <row r="896">
      <c r="A896" t="n">
        <v>895</v>
      </c>
      <c r="B896" t="inlineStr">
        <is>
          <t>Train</t>
        </is>
      </c>
      <c r="C896" t="n">
        <v>32671</v>
      </c>
      <c r="D896" t="n">
        <v>22480</v>
      </c>
      <c r="E896" t="n">
        <v>63</v>
      </c>
      <c r="F896" t="n">
        <v>42928</v>
      </c>
      <c r="G896" t="n">
        <v>6</v>
      </c>
      <c r="H896" t="n">
        <v>17</v>
      </c>
      <c r="I896" t="n">
        <v>203946</v>
      </c>
    </row>
    <row r="897">
      <c r="A897" t="n">
        <v>896</v>
      </c>
      <c r="B897" t="inlineStr">
        <is>
          <t>Train</t>
        </is>
      </c>
      <c r="C897" t="n">
        <v>1448</v>
      </c>
      <c r="D897" t="n">
        <v>23000</v>
      </c>
      <c r="E897" t="n">
        <v>49</v>
      </c>
      <c r="F897" t="n">
        <v>128329</v>
      </c>
      <c r="G897" t="n">
        <v>6</v>
      </c>
      <c r="H897" t="n">
        <v>12</v>
      </c>
      <c r="I897" t="n">
        <v>380183</v>
      </c>
    </row>
    <row r="898">
      <c r="A898" t="n">
        <v>897</v>
      </c>
      <c r="B898" t="inlineStr">
        <is>
          <t>Validation</t>
        </is>
      </c>
      <c r="C898" t="n">
        <v>5863</v>
      </c>
      <c r="D898" t="n">
        <v>12850</v>
      </c>
      <c r="E898" t="n">
        <v>46</v>
      </c>
      <c r="F898" t="n">
        <v>51624</v>
      </c>
      <c r="G898" t="n">
        <v>4</v>
      </c>
      <c r="H898" t="n">
        <v>6</v>
      </c>
      <c r="I898" t="n">
        <v>209830</v>
      </c>
    </row>
    <row r="899">
      <c r="A899" t="n">
        <v>898</v>
      </c>
      <c r="B899" t="inlineStr">
        <is>
          <t>Validation</t>
        </is>
      </c>
      <c r="C899" t="n">
        <v>5581</v>
      </c>
      <c r="D899" t="n">
        <v>3770</v>
      </c>
      <c r="E899" t="n">
        <v>27</v>
      </c>
      <c r="F899" t="n">
        <v>27957</v>
      </c>
      <c r="G899" t="n">
        <v>2</v>
      </c>
      <c r="H899" t="n">
        <v>11</v>
      </c>
      <c r="I899" t="n">
        <v>0</v>
      </c>
    </row>
    <row r="900">
      <c r="A900" t="n">
        <v>899</v>
      </c>
      <c r="B900" t="inlineStr">
        <is>
          <t>Validation</t>
        </is>
      </c>
      <c r="C900" t="n">
        <v>1935</v>
      </c>
      <c r="D900" t="n">
        <v>15380</v>
      </c>
      <c r="E900" t="n">
        <v>40</v>
      </c>
      <c r="F900" t="n">
        <v>113595</v>
      </c>
      <c r="G900" t="n">
        <v>1</v>
      </c>
      <c r="H900" t="n">
        <v>9</v>
      </c>
      <c r="I900" t="n">
        <v>338139</v>
      </c>
    </row>
    <row r="901">
      <c r="A901" t="n">
        <v>900</v>
      </c>
      <c r="B901" t="inlineStr">
        <is>
          <t>Train</t>
        </is>
      </c>
      <c r="C901" t="n">
        <v>6194</v>
      </c>
      <c r="D901" t="n">
        <v>38550</v>
      </c>
      <c r="E901" t="n">
        <v>48</v>
      </c>
      <c r="F901" t="n">
        <v>252222</v>
      </c>
      <c r="G901" t="n">
        <v>0</v>
      </c>
      <c r="H901" t="n">
        <v>11</v>
      </c>
      <c r="I901" t="n">
        <v>0</v>
      </c>
    </row>
    <row r="902">
      <c r="A902" t="n">
        <v>901</v>
      </c>
      <c r="B902" t="inlineStr">
        <is>
          <t>Train</t>
        </is>
      </c>
      <c r="C902" t="n">
        <v>4397</v>
      </c>
      <c r="D902" t="n">
        <v>23790</v>
      </c>
      <c r="E902" t="n">
        <v>49</v>
      </c>
      <c r="F902" t="n">
        <v>40599</v>
      </c>
      <c r="G902" t="n">
        <v>6</v>
      </c>
      <c r="H902" t="n">
        <v>15</v>
      </c>
      <c r="I902" t="n">
        <v>193571</v>
      </c>
    </row>
    <row r="903">
      <c r="A903" t="n">
        <v>902</v>
      </c>
      <c r="B903" t="inlineStr">
        <is>
          <t>Train</t>
        </is>
      </c>
      <c r="C903" t="n">
        <v>1814</v>
      </c>
      <c r="D903" t="n">
        <v>25460</v>
      </c>
      <c r="E903" t="n">
        <v>39</v>
      </c>
      <c r="F903" t="n">
        <v>48741</v>
      </c>
      <c r="G903" t="n">
        <v>1</v>
      </c>
      <c r="H903" t="n">
        <v>15</v>
      </c>
      <c r="I903" t="n">
        <v>158683</v>
      </c>
    </row>
    <row r="904">
      <c r="A904" t="n">
        <v>903</v>
      </c>
      <c r="B904" t="inlineStr">
        <is>
          <t>Train</t>
        </is>
      </c>
      <c r="C904" t="n">
        <v>4634</v>
      </c>
      <c r="D904" t="n">
        <v>22300</v>
      </c>
      <c r="E904" t="n">
        <v>60</v>
      </c>
      <c r="F904" t="n">
        <v>105173</v>
      </c>
      <c r="G904" t="n">
        <v>0</v>
      </c>
      <c r="H904" t="n">
        <v>14</v>
      </c>
      <c r="I904" t="n">
        <v>310049</v>
      </c>
    </row>
    <row r="905">
      <c r="A905" t="n">
        <v>904</v>
      </c>
      <c r="B905" t="inlineStr">
        <is>
          <t>Train</t>
        </is>
      </c>
      <c r="C905" t="n">
        <v>9090</v>
      </c>
      <c r="D905" t="n">
        <v>7300</v>
      </c>
      <c r="E905" t="n">
        <v>58</v>
      </c>
      <c r="F905" t="n">
        <v>90672</v>
      </c>
      <c r="G905" t="n">
        <v>0</v>
      </c>
      <c r="H905" t="n">
        <v>10</v>
      </c>
      <c r="I905" t="n">
        <v>0</v>
      </c>
    </row>
    <row r="906">
      <c r="A906" t="n">
        <v>905</v>
      </c>
      <c r="B906" t="inlineStr">
        <is>
          <t>Train</t>
        </is>
      </c>
      <c r="C906" t="n">
        <v>2796</v>
      </c>
      <c r="D906" t="n">
        <v>12530</v>
      </c>
      <c r="E906" t="n">
        <v>53</v>
      </c>
      <c r="F906" t="n">
        <v>0</v>
      </c>
      <c r="G906" t="n">
        <v>7</v>
      </c>
      <c r="H906" t="n">
        <v>0</v>
      </c>
      <c r="I906" t="n">
        <v>0</v>
      </c>
    </row>
    <row r="907">
      <c r="A907" t="n">
        <v>906</v>
      </c>
      <c r="B907" t="inlineStr">
        <is>
          <t>Train</t>
        </is>
      </c>
      <c r="C907" t="n">
        <v>4503</v>
      </c>
      <c r="D907" t="n">
        <v>6480</v>
      </c>
      <c r="E907" t="n">
        <v>37</v>
      </c>
      <c r="F907" t="n">
        <v>6857</v>
      </c>
      <c r="G907" t="n">
        <v>0</v>
      </c>
      <c r="H907" t="n">
        <v>9</v>
      </c>
      <c r="I907" t="n">
        <v>86075</v>
      </c>
    </row>
    <row r="908">
      <c r="A908" t="n">
        <v>907</v>
      </c>
      <c r="B908" t="inlineStr">
        <is>
          <t>Validation</t>
        </is>
      </c>
      <c r="C908" t="n">
        <v>4094</v>
      </c>
      <c r="D908" t="n">
        <v>12930</v>
      </c>
      <c r="E908" t="n">
        <v>43</v>
      </c>
      <c r="F908" t="n">
        <v>25643</v>
      </c>
      <c r="G908" t="n">
        <v>5</v>
      </c>
      <c r="H908" t="n">
        <v>13</v>
      </c>
      <c r="I908" t="n">
        <v>125466</v>
      </c>
    </row>
    <row r="909">
      <c r="A909" t="n">
        <v>908</v>
      </c>
      <c r="B909" t="inlineStr">
        <is>
          <t>Validation</t>
        </is>
      </c>
      <c r="C909" t="n">
        <v>3741</v>
      </c>
      <c r="D909" t="n">
        <v>2480</v>
      </c>
      <c r="E909" t="n">
        <v>58</v>
      </c>
      <c r="F909" t="n">
        <v>9750</v>
      </c>
      <c r="G909" t="n">
        <v>3</v>
      </c>
      <c r="H909" t="n">
        <v>18</v>
      </c>
      <c r="I909" t="n">
        <v>0</v>
      </c>
    </row>
    <row r="910">
      <c r="A910" t="n">
        <v>909</v>
      </c>
      <c r="B910" t="inlineStr">
        <is>
          <t>Validation</t>
        </is>
      </c>
      <c r="C910" t="n">
        <v>743</v>
      </c>
      <c r="D910" t="n">
        <v>8530</v>
      </c>
      <c r="E910" t="n">
        <v>36</v>
      </c>
      <c r="F910" t="n">
        <v>34329</v>
      </c>
      <c r="G910" t="n">
        <v>2</v>
      </c>
      <c r="H910" t="n">
        <v>11</v>
      </c>
      <c r="I910" t="n">
        <v>156793</v>
      </c>
    </row>
    <row r="911">
      <c r="A911" t="n">
        <v>910</v>
      </c>
      <c r="B911" t="inlineStr">
        <is>
          <t>Train</t>
        </is>
      </c>
      <c r="C911" t="n">
        <v>5936</v>
      </c>
      <c r="D911" t="n">
        <v>16250</v>
      </c>
      <c r="E911" t="n">
        <v>42</v>
      </c>
      <c r="F911" t="n">
        <v>74412</v>
      </c>
      <c r="G911" t="n">
        <v>4</v>
      </c>
      <c r="H911" t="n">
        <v>10</v>
      </c>
      <c r="I911" t="n">
        <v>0</v>
      </c>
    </row>
    <row r="912">
      <c r="A912" t="n">
        <v>911</v>
      </c>
      <c r="B912" t="inlineStr">
        <is>
          <t>Train</t>
        </is>
      </c>
      <c r="C912" t="n">
        <v>7986</v>
      </c>
      <c r="D912" t="n">
        <v>14340</v>
      </c>
      <c r="E912" t="n">
        <v>40</v>
      </c>
      <c r="F912" t="n">
        <v>50401</v>
      </c>
      <c r="G912" t="n">
        <v>4</v>
      </c>
      <c r="H912" t="n">
        <v>14</v>
      </c>
      <c r="I912" t="n">
        <v>149910</v>
      </c>
    </row>
    <row r="913">
      <c r="A913" t="n">
        <v>912</v>
      </c>
      <c r="B913" t="inlineStr">
        <is>
          <t>Train</t>
        </is>
      </c>
      <c r="C913" t="n">
        <v>5924</v>
      </c>
      <c r="D913" t="n">
        <v>11180</v>
      </c>
      <c r="E913" t="n">
        <v>32</v>
      </c>
      <c r="F913" t="n">
        <v>85402</v>
      </c>
      <c r="G913" t="n">
        <v>1</v>
      </c>
      <c r="H913" t="n">
        <v>7</v>
      </c>
      <c r="I913" t="n">
        <v>0</v>
      </c>
    </row>
    <row r="914">
      <c r="A914" t="n">
        <v>913</v>
      </c>
      <c r="B914" t="inlineStr">
        <is>
          <t>Train</t>
        </is>
      </c>
      <c r="C914" t="n">
        <v>7756</v>
      </c>
      <c r="D914" t="n">
        <v>5500</v>
      </c>
      <c r="E914" t="n">
        <v>40</v>
      </c>
      <c r="F914" t="n">
        <v>130381</v>
      </c>
      <c r="G914" t="n">
        <v>4</v>
      </c>
      <c r="H914" t="n">
        <v>12</v>
      </c>
      <c r="I914" t="n">
        <v>324844</v>
      </c>
    </row>
    <row r="915">
      <c r="A915" t="n">
        <v>914</v>
      </c>
      <c r="B915" t="inlineStr">
        <is>
          <t>Train</t>
        </is>
      </c>
      <c r="C915" t="n">
        <v>5528</v>
      </c>
      <c r="D915" t="n">
        <v>6000</v>
      </c>
      <c r="E915" t="n">
        <v>45</v>
      </c>
      <c r="F915" t="n">
        <v>61094</v>
      </c>
      <c r="G915" t="n">
        <v>0</v>
      </c>
      <c r="H915" t="n">
        <v>17</v>
      </c>
      <c r="I915" t="n">
        <v>175634</v>
      </c>
    </row>
    <row r="916">
      <c r="A916" t="n">
        <v>915</v>
      </c>
      <c r="B916" t="inlineStr">
        <is>
          <t>Train</t>
        </is>
      </c>
      <c r="C916" t="n">
        <v>7714</v>
      </c>
      <c r="D916" t="n">
        <v>5220</v>
      </c>
      <c r="E916" t="n">
        <v>35</v>
      </c>
      <c r="F916" t="n">
        <v>2540</v>
      </c>
      <c r="G916" t="n">
        <v>5</v>
      </c>
      <c r="H916" t="n">
        <v>11</v>
      </c>
      <c r="I916" t="n">
        <v>107045</v>
      </c>
    </row>
    <row r="917">
      <c r="A917" t="n">
        <v>916</v>
      </c>
      <c r="B917" t="inlineStr">
        <is>
          <t>Train</t>
        </is>
      </c>
      <c r="C917" t="n">
        <v>50347</v>
      </c>
      <c r="D917" t="n">
        <v>36960</v>
      </c>
      <c r="E917" t="n">
        <v>43</v>
      </c>
      <c r="F917" t="n">
        <v>118983</v>
      </c>
      <c r="G917" t="n">
        <v>4</v>
      </c>
      <c r="H917" t="n">
        <v>13</v>
      </c>
      <c r="I917" t="n">
        <v>355673</v>
      </c>
    </row>
    <row r="918">
      <c r="A918" t="n">
        <v>917</v>
      </c>
      <c r="B918" t="inlineStr">
        <is>
          <t>Validation</t>
        </is>
      </c>
      <c r="C918" t="n">
        <v>2005</v>
      </c>
      <c r="D918" t="n">
        <v>7590</v>
      </c>
      <c r="E918" t="n">
        <v>50</v>
      </c>
      <c r="F918" t="n">
        <v>60895</v>
      </c>
      <c r="G918" t="n">
        <v>6</v>
      </c>
      <c r="H918" t="n">
        <v>11</v>
      </c>
      <c r="I918" t="n">
        <v>244784</v>
      </c>
    </row>
    <row r="919">
      <c r="A919" t="n">
        <v>918</v>
      </c>
      <c r="B919" t="inlineStr">
        <is>
          <t>Validation</t>
        </is>
      </c>
      <c r="C919" t="n">
        <v>5020</v>
      </c>
      <c r="D919" t="n">
        <v>5600</v>
      </c>
      <c r="E919" t="n">
        <v>41</v>
      </c>
      <c r="F919" t="n">
        <v>0</v>
      </c>
      <c r="G919" t="n">
        <v>5</v>
      </c>
      <c r="H919" t="n">
        <v>0</v>
      </c>
      <c r="I919" t="n">
        <v>83235</v>
      </c>
    </row>
    <row r="920">
      <c r="A920" t="n">
        <v>919</v>
      </c>
      <c r="B920" t="inlineStr">
        <is>
          <t>Validation</t>
        </is>
      </c>
      <c r="C920" t="n">
        <v>45332</v>
      </c>
      <c r="D920" t="n">
        <v>6690</v>
      </c>
      <c r="E920" t="n">
        <v>35</v>
      </c>
      <c r="F920" t="n">
        <v>16920</v>
      </c>
      <c r="G920" t="n">
        <v>5</v>
      </c>
      <c r="H920" t="n">
        <v>12</v>
      </c>
      <c r="I920" t="n">
        <v>0</v>
      </c>
    </row>
    <row r="921">
      <c r="A921" t="n">
        <v>920</v>
      </c>
      <c r="B921" t="inlineStr">
        <is>
          <t>Train</t>
        </is>
      </c>
      <c r="C921" t="n">
        <v>23866</v>
      </c>
      <c r="D921" t="n">
        <v>7390</v>
      </c>
      <c r="E921" t="n">
        <v>34</v>
      </c>
      <c r="F921" t="n">
        <v>24897</v>
      </c>
      <c r="G921" t="n">
        <v>2</v>
      </c>
      <c r="H921" t="n">
        <v>12</v>
      </c>
      <c r="I921" t="n">
        <v>166510</v>
      </c>
    </row>
    <row r="922">
      <c r="A922" t="n">
        <v>921</v>
      </c>
      <c r="B922" t="inlineStr">
        <is>
          <t>Train</t>
        </is>
      </c>
      <c r="C922" t="n">
        <v>19115</v>
      </c>
      <c r="D922" t="n">
        <v>15960</v>
      </c>
      <c r="E922" t="n">
        <v>36</v>
      </c>
      <c r="F922" t="n">
        <v>39786</v>
      </c>
      <c r="G922" t="n">
        <v>3</v>
      </c>
      <c r="H922" t="n">
        <v>11</v>
      </c>
      <c r="I922" t="n">
        <v>0</v>
      </c>
    </row>
    <row r="923">
      <c r="A923" t="n">
        <v>922</v>
      </c>
      <c r="B923" t="inlineStr">
        <is>
          <t>Train</t>
        </is>
      </c>
      <c r="C923" t="n">
        <v>4098</v>
      </c>
      <c r="D923" t="n">
        <v>11860</v>
      </c>
      <c r="E923" t="n">
        <v>50</v>
      </c>
      <c r="F923" t="n">
        <v>53567</v>
      </c>
      <c r="G923" t="n">
        <v>0</v>
      </c>
      <c r="H923" t="n">
        <v>11</v>
      </c>
      <c r="I923" t="n">
        <v>225043</v>
      </c>
    </row>
    <row r="924">
      <c r="A924" t="n">
        <v>923</v>
      </c>
      <c r="B924" t="inlineStr">
        <is>
          <t>Train</t>
        </is>
      </c>
      <c r="C924" t="n">
        <v>7153</v>
      </c>
      <c r="D924" t="n">
        <v>8740</v>
      </c>
      <c r="E924" t="n">
        <v>55</v>
      </c>
      <c r="F924" t="n">
        <v>17049</v>
      </c>
      <c r="G924" t="n">
        <v>4</v>
      </c>
      <c r="H924" t="n">
        <v>14</v>
      </c>
      <c r="I924" t="n">
        <v>86562</v>
      </c>
    </row>
    <row r="925">
      <c r="A925" t="n">
        <v>924</v>
      </c>
      <c r="B925" t="inlineStr">
        <is>
          <t>Train</t>
        </is>
      </c>
      <c r="C925" t="n">
        <v>51345</v>
      </c>
      <c r="D925" t="n">
        <v>18000</v>
      </c>
      <c r="E925" t="n">
        <v>34</v>
      </c>
      <c r="F925" t="n">
        <v>62708</v>
      </c>
      <c r="G925" t="n">
        <v>1</v>
      </c>
      <c r="H925" t="n">
        <v>11</v>
      </c>
      <c r="I925" t="n">
        <v>233154</v>
      </c>
    </row>
    <row r="926">
      <c r="A926" t="n">
        <v>925</v>
      </c>
      <c r="B926" t="inlineStr">
        <is>
          <t>Train</t>
        </is>
      </c>
      <c r="C926" t="n">
        <v>3834</v>
      </c>
      <c r="D926" t="n">
        <v>14200</v>
      </c>
      <c r="E926" t="n">
        <v>66</v>
      </c>
      <c r="F926" t="n">
        <v>78187</v>
      </c>
      <c r="G926" t="n">
        <v>0</v>
      </c>
      <c r="H926" t="n">
        <v>13</v>
      </c>
      <c r="I926" t="n">
        <v>285421</v>
      </c>
    </row>
    <row r="927">
      <c r="A927" t="n">
        <v>926</v>
      </c>
      <c r="B927" t="inlineStr">
        <is>
          <t>Train</t>
        </is>
      </c>
      <c r="C927" t="n">
        <v>1928</v>
      </c>
      <c r="D927" t="n">
        <v>18930</v>
      </c>
      <c r="E927" t="n">
        <v>47</v>
      </c>
      <c r="F927" t="n">
        <v>68244</v>
      </c>
      <c r="G927" t="n">
        <v>0</v>
      </c>
      <c r="H927" t="n">
        <v>10</v>
      </c>
      <c r="I927" t="n">
        <v>206961</v>
      </c>
    </row>
    <row r="928">
      <c r="A928" t="n">
        <v>927</v>
      </c>
      <c r="B928" t="inlineStr">
        <is>
          <t>Validation</t>
        </is>
      </c>
      <c r="C928" t="n">
        <v>31687</v>
      </c>
      <c r="D928" t="n">
        <v>25830</v>
      </c>
      <c r="E928" t="n">
        <v>42</v>
      </c>
      <c r="F928" t="n">
        <v>88995</v>
      </c>
      <c r="G928" t="n">
        <v>2</v>
      </c>
      <c r="H928" t="n">
        <v>13</v>
      </c>
      <c r="I928" t="n">
        <v>0</v>
      </c>
    </row>
    <row r="929">
      <c r="A929" t="n">
        <v>928</v>
      </c>
      <c r="B929" t="inlineStr">
        <is>
          <t>Validation</t>
        </is>
      </c>
      <c r="C929" t="n">
        <v>6186</v>
      </c>
      <c r="D929" t="n">
        <v>17590</v>
      </c>
      <c r="E929" t="n">
        <v>50</v>
      </c>
      <c r="F929" t="n">
        <v>72745</v>
      </c>
      <c r="G929" t="n">
        <v>6</v>
      </c>
      <c r="H929" t="n">
        <v>6</v>
      </c>
      <c r="I929" t="n">
        <v>0</v>
      </c>
    </row>
    <row r="930">
      <c r="A930" t="n">
        <v>929</v>
      </c>
      <c r="B930" t="inlineStr">
        <is>
          <t>Validation</t>
        </is>
      </c>
      <c r="C930" t="n">
        <v>6680</v>
      </c>
      <c r="D930" t="n">
        <v>17120</v>
      </c>
      <c r="E930" t="n">
        <v>45</v>
      </c>
      <c r="F930" t="n">
        <v>31497</v>
      </c>
      <c r="G930" t="n">
        <v>8</v>
      </c>
      <c r="H930" t="n">
        <v>15</v>
      </c>
      <c r="I930" t="n">
        <v>197502</v>
      </c>
    </row>
    <row r="931">
      <c r="A931" t="n">
        <v>930</v>
      </c>
      <c r="B931" t="inlineStr">
        <is>
          <t>Train</t>
        </is>
      </c>
      <c r="C931" t="n">
        <v>9512</v>
      </c>
      <c r="D931" t="n">
        <v>29330</v>
      </c>
      <c r="E931" t="n">
        <v>37</v>
      </c>
      <c r="F931" t="n">
        <v>0</v>
      </c>
      <c r="G931" t="n">
        <v>1</v>
      </c>
      <c r="H931" t="n">
        <v>0</v>
      </c>
      <c r="I931" t="n">
        <v>90224</v>
      </c>
    </row>
    <row r="932">
      <c r="A932" t="n">
        <v>931</v>
      </c>
      <c r="B932" t="inlineStr">
        <is>
          <t>Train</t>
        </is>
      </c>
      <c r="C932" t="n">
        <v>37583</v>
      </c>
      <c r="D932" t="n">
        <v>21160</v>
      </c>
      <c r="E932" t="n">
        <v>45</v>
      </c>
      <c r="F932" t="n">
        <v>64874</v>
      </c>
      <c r="G932" t="n">
        <v>1</v>
      </c>
      <c r="H932" t="n">
        <v>11</v>
      </c>
      <c r="I932" t="n">
        <v>167556</v>
      </c>
    </row>
    <row r="933">
      <c r="A933" t="n">
        <v>932</v>
      </c>
      <c r="B933" t="inlineStr">
        <is>
          <t>Train</t>
        </is>
      </c>
      <c r="C933" t="n">
        <v>5495</v>
      </c>
      <c r="D933" t="n">
        <v>21100</v>
      </c>
      <c r="E933" t="n">
        <v>33</v>
      </c>
      <c r="F933" t="n">
        <v>83664</v>
      </c>
      <c r="G933" t="n">
        <v>7</v>
      </c>
      <c r="H933" t="n">
        <v>10</v>
      </c>
      <c r="I933" t="n">
        <v>217763</v>
      </c>
    </row>
    <row r="934">
      <c r="A934" t="n">
        <v>933</v>
      </c>
      <c r="B934" t="inlineStr">
        <is>
          <t>Train</t>
        </is>
      </c>
      <c r="C934" t="n">
        <v>1042</v>
      </c>
      <c r="D934" t="n">
        <v>18550</v>
      </c>
      <c r="E934" t="n">
        <v>43</v>
      </c>
      <c r="F934" t="n">
        <v>30708</v>
      </c>
      <c r="G934" t="n">
        <v>0</v>
      </c>
      <c r="H934" t="n">
        <v>14</v>
      </c>
      <c r="I934" t="n">
        <v>162715</v>
      </c>
    </row>
    <row r="935">
      <c r="A935" t="n">
        <v>934</v>
      </c>
      <c r="B935" t="inlineStr">
        <is>
          <t>Train</t>
        </is>
      </c>
      <c r="C935" t="n">
        <v>785</v>
      </c>
      <c r="D935" t="n">
        <v>28560</v>
      </c>
      <c r="E935" t="n">
        <v>59</v>
      </c>
      <c r="F935" t="n">
        <v>210115</v>
      </c>
      <c r="G935" t="n">
        <v>2</v>
      </c>
      <c r="H935" t="n">
        <v>13</v>
      </c>
      <c r="I935" t="n">
        <v>512934</v>
      </c>
    </row>
    <row r="936">
      <c r="A936" t="n">
        <v>935</v>
      </c>
      <c r="B936" t="inlineStr">
        <is>
          <t>Train</t>
        </is>
      </c>
      <c r="C936" t="n">
        <v>3644</v>
      </c>
      <c r="D936" t="n">
        <v>8430</v>
      </c>
      <c r="E936" t="n">
        <v>51</v>
      </c>
      <c r="F936" t="n">
        <v>30764</v>
      </c>
      <c r="G936" t="n">
        <v>5</v>
      </c>
      <c r="H936" t="n">
        <v>13</v>
      </c>
      <c r="I936" t="n">
        <v>175919</v>
      </c>
    </row>
    <row r="937">
      <c r="A937" t="n">
        <v>936</v>
      </c>
      <c r="B937" t="inlineStr">
        <is>
          <t>Train</t>
        </is>
      </c>
      <c r="C937" t="n">
        <v>1524</v>
      </c>
      <c r="D937" t="n">
        <v>23530</v>
      </c>
      <c r="E937" t="n">
        <v>58</v>
      </c>
      <c r="F937" t="n">
        <v>141386</v>
      </c>
      <c r="G937" t="n">
        <v>5</v>
      </c>
      <c r="H937" t="n">
        <v>11</v>
      </c>
      <c r="I937" t="n">
        <v>0</v>
      </c>
    </row>
    <row r="938">
      <c r="A938" t="n">
        <v>937</v>
      </c>
      <c r="B938" t="inlineStr">
        <is>
          <t>Validation</t>
        </is>
      </c>
      <c r="C938" t="n">
        <v>6968</v>
      </c>
      <c r="D938" t="n">
        <v>16350</v>
      </c>
      <c r="E938" t="n">
        <v>34</v>
      </c>
      <c r="F938" t="n">
        <v>33865</v>
      </c>
      <c r="G938" t="n">
        <v>0</v>
      </c>
      <c r="H938" t="n">
        <v>5</v>
      </c>
      <c r="I938" t="n">
        <v>131342</v>
      </c>
    </row>
    <row r="939">
      <c r="A939" t="n">
        <v>938</v>
      </c>
      <c r="B939" t="inlineStr">
        <is>
          <t>Validation</t>
        </is>
      </c>
      <c r="C939" t="n">
        <v>39717</v>
      </c>
      <c r="D939" t="n">
        <v>21200</v>
      </c>
      <c r="E939" t="n">
        <v>42</v>
      </c>
      <c r="F939" t="n">
        <v>24177</v>
      </c>
      <c r="G939" t="n">
        <v>4</v>
      </c>
      <c r="H939" t="n">
        <v>12</v>
      </c>
      <c r="I939" t="n">
        <v>118852</v>
      </c>
    </row>
    <row r="940">
      <c r="A940" t="n">
        <v>939</v>
      </c>
      <c r="B940" t="inlineStr">
        <is>
          <t>Validation</t>
        </is>
      </c>
      <c r="C940" t="n">
        <v>3960</v>
      </c>
      <c r="D940" t="n">
        <v>26790</v>
      </c>
      <c r="E940" t="n">
        <v>46</v>
      </c>
      <c r="F940" t="n">
        <v>33635</v>
      </c>
      <c r="G940" t="n">
        <v>3</v>
      </c>
      <c r="H940" t="n">
        <v>12</v>
      </c>
      <c r="I940" t="n">
        <v>191957</v>
      </c>
    </row>
    <row r="941">
      <c r="A941" t="n">
        <v>940</v>
      </c>
      <c r="B941" t="inlineStr">
        <is>
          <t>Train</t>
        </is>
      </c>
      <c r="C941" t="n">
        <v>20587</v>
      </c>
      <c r="D941" t="n">
        <v>32910</v>
      </c>
      <c r="E941" t="n">
        <v>51</v>
      </c>
      <c r="F941" t="n">
        <v>101534</v>
      </c>
      <c r="G941" t="n">
        <v>0</v>
      </c>
      <c r="H941" t="n">
        <v>14</v>
      </c>
      <c r="I941" t="n">
        <v>307718</v>
      </c>
    </row>
    <row r="942">
      <c r="A942" t="n">
        <v>941</v>
      </c>
      <c r="B942" t="inlineStr">
        <is>
          <t>Train</t>
        </is>
      </c>
      <c r="C942" t="n">
        <v>1234</v>
      </c>
      <c r="D942" t="n">
        <v>16590</v>
      </c>
      <c r="E942" t="n">
        <v>37</v>
      </c>
      <c r="F942" t="n">
        <v>0</v>
      </c>
      <c r="G942" t="n">
        <v>3</v>
      </c>
      <c r="H942" t="n">
        <v>0</v>
      </c>
      <c r="I942" t="n">
        <v>0</v>
      </c>
    </row>
    <row r="943">
      <c r="A943" t="n">
        <v>942</v>
      </c>
      <c r="B943" t="inlineStr">
        <is>
          <t>Train</t>
        </is>
      </c>
      <c r="C943" t="n">
        <v>6978</v>
      </c>
      <c r="D943" t="n">
        <v>31210</v>
      </c>
      <c r="E943" t="n">
        <v>55</v>
      </c>
      <c r="F943" t="n">
        <v>42304</v>
      </c>
      <c r="G943" t="n">
        <v>4</v>
      </c>
      <c r="H943" t="n">
        <v>11</v>
      </c>
      <c r="I943" t="n">
        <v>0</v>
      </c>
    </row>
    <row r="944">
      <c r="A944" t="n">
        <v>943</v>
      </c>
      <c r="B944" t="inlineStr">
        <is>
          <t>Train</t>
        </is>
      </c>
      <c r="C944" t="n">
        <v>25188</v>
      </c>
      <c r="D944" t="n">
        <v>1500</v>
      </c>
      <c r="E944" t="n">
        <v>36</v>
      </c>
      <c r="F944" t="n">
        <v>40570</v>
      </c>
      <c r="G944" t="n">
        <v>2</v>
      </c>
      <c r="H944" t="n">
        <v>6</v>
      </c>
      <c r="I944" t="n">
        <v>186294</v>
      </c>
    </row>
    <row r="945">
      <c r="A945" t="n">
        <v>944</v>
      </c>
      <c r="B945" t="inlineStr">
        <is>
          <t>Train</t>
        </is>
      </c>
      <c r="C945" t="n">
        <v>5239</v>
      </c>
      <c r="D945" t="n">
        <v>7020</v>
      </c>
      <c r="E945" t="n">
        <v>41</v>
      </c>
      <c r="F945" t="n">
        <v>14226</v>
      </c>
      <c r="G945" t="n">
        <v>2</v>
      </c>
      <c r="H945" t="n">
        <v>15</v>
      </c>
      <c r="I945" t="n">
        <v>0</v>
      </c>
    </row>
    <row r="946">
      <c r="A946" t="n">
        <v>945</v>
      </c>
      <c r="B946" t="inlineStr">
        <is>
          <t>Train</t>
        </is>
      </c>
      <c r="C946" t="n">
        <v>34237</v>
      </c>
      <c r="D946" t="n">
        <v>15070</v>
      </c>
      <c r="E946" t="n">
        <v>48</v>
      </c>
      <c r="F946" t="n">
        <v>27700</v>
      </c>
      <c r="G946" t="n">
        <v>0</v>
      </c>
      <c r="H946" t="n">
        <v>12</v>
      </c>
      <c r="I946" t="n">
        <v>117400</v>
      </c>
    </row>
    <row r="947">
      <c r="A947" t="n">
        <v>946</v>
      </c>
      <c r="B947" t="inlineStr">
        <is>
          <t>Train</t>
        </is>
      </c>
      <c r="C947" t="n">
        <v>7119</v>
      </c>
      <c r="D947" t="n">
        <v>22780</v>
      </c>
      <c r="E947" t="n">
        <v>57</v>
      </c>
      <c r="F947" t="n">
        <v>39953</v>
      </c>
      <c r="G947" t="n">
        <v>8</v>
      </c>
      <c r="H947" t="n">
        <v>19</v>
      </c>
      <c r="I947" t="n">
        <v>166747</v>
      </c>
    </row>
    <row r="948">
      <c r="A948" t="n">
        <v>947</v>
      </c>
      <c r="B948" t="inlineStr">
        <is>
          <t>Validation</t>
        </is>
      </c>
      <c r="C948" t="n">
        <v>19336</v>
      </c>
      <c r="D948" t="n">
        <v>23450</v>
      </c>
      <c r="E948" t="n">
        <v>38</v>
      </c>
      <c r="F948" t="n">
        <v>181453</v>
      </c>
      <c r="G948" t="n">
        <v>3</v>
      </c>
      <c r="H948" t="n">
        <v>11</v>
      </c>
      <c r="I948" t="n">
        <v>460598</v>
      </c>
    </row>
    <row r="949">
      <c r="A949" t="n">
        <v>948</v>
      </c>
      <c r="B949" t="inlineStr">
        <is>
          <t>Validation</t>
        </is>
      </c>
      <c r="C949" t="n">
        <v>2308</v>
      </c>
      <c r="D949" t="n">
        <v>5700</v>
      </c>
      <c r="E949" t="n">
        <v>42</v>
      </c>
      <c r="F949" t="n">
        <v>134520</v>
      </c>
      <c r="G949" t="n">
        <v>2</v>
      </c>
      <c r="H949" t="n">
        <v>10</v>
      </c>
      <c r="I949" t="n">
        <v>342728</v>
      </c>
    </row>
    <row r="950">
      <c r="A950" t="n">
        <v>949</v>
      </c>
      <c r="B950" t="inlineStr">
        <is>
          <t>Validation</t>
        </is>
      </c>
      <c r="C950" t="n">
        <v>3173</v>
      </c>
      <c r="D950" t="n">
        <v>7710</v>
      </c>
      <c r="E950" t="n">
        <v>44</v>
      </c>
      <c r="F950" t="n">
        <v>41390</v>
      </c>
      <c r="G950" t="n">
        <v>0</v>
      </c>
      <c r="H950" t="n">
        <v>11</v>
      </c>
      <c r="I950" t="n">
        <v>175478</v>
      </c>
    </row>
    <row r="951">
      <c r="A951" t="n">
        <v>950</v>
      </c>
      <c r="B951" t="inlineStr">
        <is>
          <t>Train</t>
        </is>
      </c>
      <c r="C951" t="n">
        <v>46746</v>
      </c>
      <c r="D951" t="n">
        <v>15180</v>
      </c>
      <c r="E951" t="n">
        <v>34</v>
      </c>
      <c r="F951" t="n">
        <v>105690</v>
      </c>
      <c r="G951" t="n">
        <v>4</v>
      </c>
      <c r="H951" t="n">
        <v>11</v>
      </c>
      <c r="I951" t="n">
        <v>0</v>
      </c>
    </row>
    <row r="952">
      <c r="A952" t="n">
        <v>951</v>
      </c>
      <c r="B952" t="inlineStr">
        <is>
          <t>Train</t>
        </is>
      </c>
      <c r="C952" t="n">
        <v>36646</v>
      </c>
      <c r="D952" t="n">
        <v>18570</v>
      </c>
      <c r="E952" t="n">
        <v>47</v>
      </c>
      <c r="F952" t="n">
        <v>42278</v>
      </c>
      <c r="G952" t="n">
        <v>0</v>
      </c>
      <c r="H952" t="n">
        <v>10</v>
      </c>
      <c r="I952" t="n">
        <v>126429</v>
      </c>
    </row>
    <row r="953">
      <c r="A953" t="n">
        <v>952</v>
      </c>
      <c r="B953" t="inlineStr">
        <is>
          <t>Train</t>
        </is>
      </c>
      <c r="C953" t="n">
        <v>45838</v>
      </c>
      <c r="D953" t="n">
        <v>16000</v>
      </c>
      <c r="E953" t="n">
        <v>40</v>
      </c>
      <c r="F953" t="n">
        <v>104996</v>
      </c>
      <c r="G953" t="n">
        <v>7</v>
      </c>
      <c r="H953" t="n">
        <v>10</v>
      </c>
      <c r="I953" t="n">
        <v>0</v>
      </c>
    </row>
    <row r="954">
      <c r="A954" t="n">
        <v>953</v>
      </c>
      <c r="B954" t="inlineStr">
        <is>
          <t>Train</t>
        </is>
      </c>
      <c r="C954" t="n">
        <v>2047</v>
      </c>
      <c r="D954" t="n">
        <v>23400</v>
      </c>
      <c r="E954" t="n">
        <v>17</v>
      </c>
      <c r="F954" t="n">
        <v>40015</v>
      </c>
      <c r="G954" t="n">
        <v>7</v>
      </c>
      <c r="H954" t="n">
        <v>6</v>
      </c>
      <c r="I954" t="n">
        <v>152243</v>
      </c>
    </row>
    <row r="955">
      <c r="A955" t="n">
        <v>954</v>
      </c>
      <c r="B955" t="inlineStr">
        <is>
          <t>Train</t>
        </is>
      </c>
      <c r="C955" t="n">
        <v>3653</v>
      </c>
      <c r="D955" t="n">
        <v>21190</v>
      </c>
      <c r="E955" t="n">
        <v>49</v>
      </c>
      <c r="F955" t="n">
        <v>13394</v>
      </c>
      <c r="G955" t="n">
        <v>0</v>
      </c>
      <c r="H955" t="n">
        <v>9</v>
      </c>
      <c r="I955" t="n">
        <v>0</v>
      </c>
    </row>
    <row r="956">
      <c r="A956" t="n">
        <v>955</v>
      </c>
      <c r="B956" t="inlineStr">
        <is>
          <t>Train</t>
        </is>
      </c>
      <c r="C956" t="n">
        <v>6455</v>
      </c>
      <c r="D956" t="n">
        <v>15310</v>
      </c>
      <c r="E956" t="n">
        <v>36</v>
      </c>
      <c r="F956" t="n">
        <v>102147</v>
      </c>
      <c r="G956" t="n">
        <v>2</v>
      </c>
      <c r="H956" t="n">
        <v>14</v>
      </c>
      <c r="I956" t="n">
        <v>270030</v>
      </c>
    </row>
    <row r="957">
      <c r="A957" t="n">
        <v>956</v>
      </c>
      <c r="B957" t="inlineStr">
        <is>
          <t>Train</t>
        </is>
      </c>
      <c r="C957" t="n">
        <v>3117</v>
      </c>
      <c r="D957" t="n">
        <v>14920</v>
      </c>
      <c r="E957" t="n">
        <v>43</v>
      </c>
      <c r="F957" t="n">
        <v>96399</v>
      </c>
      <c r="G957" t="n">
        <v>1</v>
      </c>
      <c r="H957" t="n">
        <v>9</v>
      </c>
      <c r="I957" t="n">
        <v>285628</v>
      </c>
    </row>
    <row r="958">
      <c r="A958" t="n">
        <v>957</v>
      </c>
      <c r="B958" t="inlineStr">
        <is>
          <t>Validation</t>
        </is>
      </c>
      <c r="C958" t="n">
        <v>4811</v>
      </c>
      <c r="D958" t="n">
        <v>16990</v>
      </c>
      <c r="E958" t="n">
        <v>41</v>
      </c>
      <c r="F958" t="n">
        <v>225311</v>
      </c>
      <c r="G958" t="n">
        <v>3</v>
      </c>
      <c r="H958" t="n">
        <v>12</v>
      </c>
      <c r="I958" t="n">
        <v>509647</v>
      </c>
    </row>
    <row r="959">
      <c r="A959" t="n">
        <v>958</v>
      </c>
      <c r="B959" t="inlineStr">
        <is>
          <t>Validation</t>
        </is>
      </c>
      <c r="C959" t="n">
        <v>3191</v>
      </c>
      <c r="D959" t="n">
        <v>30860</v>
      </c>
      <c r="E959" t="n">
        <v>53</v>
      </c>
      <c r="F959" t="n">
        <v>142751</v>
      </c>
      <c r="G959" t="n">
        <v>1</v>
      </c>
      <c r="H959" t="n">
        <v>12</v>
      </c>
      <c r="I959" t="n">
        <v>333479</v>
      </c>
    </row>
    <row r="960">
      <c r="A960" t="n">
        <v>959</v>
      </c>
      <c r="B960" t="inlineStr">
        <is>
          <t>Validation</t>
        </is>
      </c>
      <c r="C960" t="n">
        <v>2448</v>
      </c>
      <c r="D960" t="n">
        <v>15420</v>
      </c>
      <c r="E960" t="n">
        <v>45</v>
      </c>
      <c r="F960" t="n">
        <v>72738</v>
      </c>
      <c r="G960" t="n">
        <v>8</v>
      </c>
      <c r="H960" t="n">
        <v>12</v>
      </c>
      <c r="I960" t="n">
        <v>0</v>
      </c>
    </row>
    <row r="961">
      <c r="A961" t="n">
        <v>960</v>
      </c>
      <c r="B961" t="inlineStr">
        <is>
          <t>Train</t>
        </is>
      </c>
      <c r="C961" t="n">
        <v>10584</v>
      </c>
      <c r="D961" t="n">
        <v>41570</v>
      </c>
      <c r="E961" t="n">
        <v>38</v>
      </c>
      <c r="F961" t="n">
        <v>52506</v>
      </c>
      <c r="G961" t="n">
        <v>4</v>
      </c>
      <c r="H961" t="n">
        <v>8</v>
      </c>
      <c r="I961" t="n">
        <v>210236</v>
      </c>
    </row>
    <row r="962">
      <c r="A962" t="n">
        <v>961</v>
      </c>
      <c r="B962" t="inlineStr">
        <is>
          <t>Train</t>
        </is>
      </c>
      <c r="C962" t="n">
        <v>48743</v>
      </c>
      <c r="D962" t="n">
        <v>11770</v>
      </c>
      <c r="E962" t="n">
        <v>35</v>
      </c>
      <c r="F962" t="n">
        <v>67702</v>
      </c>
      <c r="G962" t="n">
        <v>6</v>
      </c>
      <c r="H962" t="n">
        <v>12</v>
      </c>
      <c r="I962" t="n">
        <v>181552</v>
      </c>
    </row>
    <row r="963">
      <c r="A963" t="n">
        <v>962</v>
      </c>
      <c r="B963" t="inlineStr">
        <is>
          <t>Train</t>
        </is>
      </c>
      <c r="C963" t="n">
        <v>42332</v>
      </c>
      <c r="D963" t="n">
        <v>30490</v>
      </c>
      <c r="E963" t="n">
        <v>48</v>
      </c>
      <c r="F963" t="n">
        <v>29626</v>
      </c>
      <c r="G963" t="n">
        <v>3</v>
      </c>
      <c r="H963" t="n">
        <v>13</v>
      </c>
      <c r="I963" t="n">
        <v>168178</v>
      </c>
    </row>
    <row r="964">
      <c r="A964" t="n">
        <v>963</v>
      </c>
      <c r="B964" t="inlineStr">
        <is>
          <t>Train</t>
        </is>
      </c>
      <c r="C964" t="n">
        <v>4890</v>
      </c>
      <c r="D964" t="n">
        <v>6190</v>
      </c>
      <c r="E964" t="n">
        <v>32</v>
      </c>
      <c r="F964" t="n">
        <v>14937</v>
      </c>
      <c r="G964" t="n">
        <v>1</v>
      </c>
      <c r="H964" t="n">
        <v>15</v>
      </c>
      <c r="I964" t="n">
        <v>126561</v>
      </c>
    </row>
    <row r="965">
      <c r="A965" t="n">
        <v>964</v>
      </c>
      <c r="B965" t="inlineStr">
        <is>
          <t>Train</t>
        </is>
      </c>
      <c r="C965" t="n">
        <v>4016</v>
      </c>
      <c r="D965" t="n">
        <v>29970</v>
      </c>
      <c r="E965" t="n">
        <v>42</v>
      </c>
      <c r="F965" t="n">
        <v>50644</v>
      </c>
      <c r="G965" t="n">
        <v>3</v>
      </c>
      <c r="H965" t="n">
        <v>10</v>
      </c>
      <c r="I965" t="n">
        <v>177193</v>
      </c>
    </row>
    <row r="966">
      <c r="A966" t="n">
        <v>965</v>
      </c>
      <c r="B966" t="inlineStr">
        <is>
          <t>Train</t>
        </is>
      </c>
      <c r="C966" t="n">
        <v>4232</v>
      </c>
      <c r="D966" t="n">
        <v>22950</v>
      </c>
      <c r="E966" t="n">
        <v>56</v>
      </c>
      <c r="F966" t="n">
        <v>64124</v>
      </c>
      <c r="G966" t="n">
        <v>0</v>
      </c>
      <c r="H966" t="n">
        <v>11</v>
      </c>
      <c r="I966" t="n">
        <v>210353</v>
      </c>
    </row>
    <row r="967">
      <c r="A967" t="n">
        <v>966</v>
      </c>
      <c r="B967" t="inlineStr">
        <is>
          <t>Train</t>
        </is>
      </c>
      <c r="C967" t="n">
        <v>4773</v>
      </c>
      <c r="D967" t="n">
        <v>22030</v>
      </c>
      <c r="E967" t="n">
        <v>81</v>
      </c>
      <c r="F967" t="n">
        <v>109275</v>
      </c>
      <c r="G967" t="n">
        <v>0</v>
      </c>
      <c r="H967" t="n">
        <v>23</v>
      </c>
      <c r="I967" t="n">
        <v>381377</v>
      </c>
    </row>
    <row r="968">
      <c r="A968" t="n">
        <v>967</v>
      </c>
      <c r="B968" t="inlineStr">
        <is>
          <t>Validation</t>
        </is>
      </c>
      <c r="C968" t="n">
        <v>4317</v>
      </c>
      <c r="D968" t="n">
        <v>24910</v>
      </c>
      <c r="E968" t="n">
        <v>34</v>
      </c>
      <c r="F968" t="n">
        <v>91832</v>
      </c>
      <c r="G968" t="n">
        <v>1</v>
      </c>
      <c r="H968" t="n">
        <v>12</v>
      </c>
      <c r="I968" t="n">
        <v>291888</v>
      </c>
    </row>
    <row r="969">
      <c r="A969" t="n">
        <v>968</v>
      </c>
      <c r="B969" t="inlineStr">
        <is>
          <t>Validation</t>
        </is>
      </c>
      <c r="C969" t="n">
        <v>3087</v>
      </c>
      <c r="D969" t="n">
        <v>13310</v>
      </c>
      <c r="E969" t="n">
        <v>36</v>
      </c>
      <c r="F969" t="n">
        <v>82109</v>
      </c>
      <c r="G969" t="n">
        <v>0</v>
      </c>
      <c r="H969" t="n">
        <v>8</v>
      </c>
      <c r="I969" t="n">
        <v>267268</v>
      </c>
    </row>
    <row r="970">
      <c r="A970" t="n">
        <v>969</v>
      </c>
      <c r="B970" t="inlineStr">
        <is>
          <t>Validation</t>
        </is>
      </c>
      <c r="C970" t="n">
        <v>13102</v>
      </c>
      <c r="D970" t="n">
        <v>7230</v>
      </c>
      <c r="E970" t="n">
        <v>50</v>
      </c>
      <c r="F970" t="n">
        <v>73277</v>
      </c>
      <c r="G970" t="n">
        <v>4</v>
      </c>
      <c r="H970" t="n">
        <v>14</v>
      </c>
      <c r="I970" t="n">
        <v>205265</v>
      </c>
    </row>
    <row r="971">
      <c r="A971" t="n">
        <v>970</v>
      </c>
      <c r="B971" t="inlineStr">
        <is>
          <t>Train</t>
        </is>
      </c>
      <c r="C971" t="n">
        <v>22215</v>
      </c>
      <c r="D971" t="n">
        <v>7000</v>
      </c>
      <c r="E971" t="n">
        <v>55</v>
      </c>
      <c r="F971" t="n">
        <v>291182</v>
      </c>
      <c r="G971" t="n">
        <v>0</v>
      </c>
      <c r="H971" t="n">
        <v>12</v>
      </c>
      <c r="I971" t="n">
        <v>669271</v>
      </c>
    </row>
    <row r="972">
      <c r="A972" t="n">
        <v>971</v>
      </c>
      <c r="B972" t="inlineStr">
        <is>
          <t>Train</t>
        </is>
      </c>
      <c r="C972" t="n">
        <v>1853</v>
      </c>
      <c r="D972" t="n">
        <v>30610</v>
      </c>
      <c r="E972" t="n">
        <v>40</v>
      </c>
      <c r="F972" t="n">
        <v>126483</v>
      </c>
      <c r="G972" t="n">
        <v>2</v>
      </c>
      <c r="H972" t="n">
        <v>11</v>
      </c>
      <c r="I972" t="n">
        <v>388549</v>
      </c>
    </row>
    <row r="973">
      <c r="A973" t="n">
        <v>972</v>
      </c>
      <c r="B973" t="inlineStr">
        <is>
          <t>Train</t>
        </is>
      </c>
      <c r="C973" t="n">
        <v>24295</v>
      </c>
      <c r="D973" t="n">
        <v>24510</v>
      </c>
      <c r="E973" t="n">
        <v>41</v>
      </c>
      <c r="F973" t="n">
        <v>53940</v>
      </c>
      <c r="G973" t="n">
        <v>3</v>
      </c>
      <c r="H973" t="n">
        <v>14</v>
      </c>
      <c r="I973" t="n">
        <v>182684</v>
      </c>
    </row>
    <row r="974">
      <c r="A974" t="n">
        <v>973</v>
      </c>
      <c r="B974" t="inlineStr">
        <is>
          <t>Train</t>
        </is>
      </c>
      <c r="C974" t="n">
        <v>5176</v>
      </c>
      <c r="D974" t="n">
        <v>6200</v>
      </c>
      <c r="E974" t="n">
        <v>47</v>
      </c>
      <c r="F974" t="n">
        <v>72853</v>
      </c>
      <c r="G974" t="n">
        <v>0</v>
      </c>
      <c r="H974" t="n">
        <v>14</v>
      </c>
      <c r="I974" t="n">
        <v>217443</v>
      </c>
    </row>
    <row r="975">
      <c r="A975" t="n">
        <v>974</v>
      </c>
      <c r="B975" t="inlineStr">
        <is>
          <t>Train</t>
        </is>
      </c>
      <c r="C975" t="n">
        <v>3791</v>
      </c>
      <c r="D975" t="n">
        <v>16270</v>
      </c>
      <c r="E975" t="n">
        <v>42</v>
      </c>
      <c r="F975" t="n">
        <v>90409</v>
      </c>
      <c r="G975" t="n">
        <v>3</v>
      </c>
      <c r="H975" t="n">
        <v>12</v>
      </c>
      <c r="I975" t="n">
        <v>279593</v>
      </c>
    </row>
    <row r="976">
      <c r="A976" t="n">
        <v>975</v>
      </c>
      <c r="B976" t="inlineStr">
        <is>
          <t>Train</t>
        </is>
      </c>
      <c r="C976" t="n">
        <v>6274</v>
      </c>
      <c r="D976" t="n">
        <v>31920</v>
      </c>
      <c r="E976" t="n">
        <v>41</v>
      </c>
      <c r="F976" t="n">
        <v>104088</v>
      </c>
      <c r="G976" t="n">
        <v>0</v>
      </c>
      <c r="H976" t="n">
        <v>13</v>
      </c>
      <c r="I976" t="n">
        <v>296329</v>
      </c>
    </row>
    <row r="977">
      <c r="A977" t="n">
        <v>976</v>
      </c>
      <c r="B977" t="inlineStr">
        <is>
          <t>Train</t>
        </is>
      </c>
      <c r="C977" t="n">
        <v>1858</v>
      </c>
      <c r="D977" t="n">
        <v>28600</v>
      </c>
      <c r="E977" t="n">
        <v>41</v>
      </c>
      <c r="F977" t="n">
        <v>57371</v>
      </c>
      <c r="G977" t="n">
        <v>3</v>
      </c>
      <c r="H977" t="n">
        <v>13</v>
      </c>
      <c r="I977" t="n">
        <v>153181</v>
      </c>
    </row>
    <row r="978">
      <c r="A978" t="n">
        <v>977</v>
      </c>
      <c r="B978" t="inlineStr">
        <is>
          <t>Validation</t>
        </is>
      </c>
      <c r="C978" t="n">
        <v>4567</v>
      </c>
      <c r="D978" t="n">
        <v>28580</v>
      </c>
      <c r="E978" t="n">
        <v>56</v>
      </c>
      <c r="F978" t="n">
        <v>36935</v>
      </c>
      <c r="G978" t="n">
        <v>0</v>
      </c>
      <c r="H978" t="n">
        <v>12</v>
      </c>
      <c r="I978" t="n">
        <v>195331</v>
      </c>
    </row>
    <row r="979">
      <c r="A979" t="n">
        <v>978</v>
      </c>
      <c r="B979" t="inlineStr">
        <is>
          <t>Validation</t>
        </is>
      </c>
      <c r="C979" t="n">
        <v>5095</v>
      </c>
      <c r="D979" t="n">
        <v>14380</v>
      </c>
      <c r="E979" t="n">
        <v>37</v>
      </c>
      <c r="F979" t="n">
        <v>24933</v>
      </c>
      <c r="G979" t="n">
        <v>0</v>
      </c>
      <c r="H979" t="n">
        <v>11</v>
      </c>
      <c r="I979" t="n">
        <v>112656</v>
      </c>
    </row>
    <row r="980">
      <c r="A980" t="n">
        <v>979</v>
      </c>
      <c r="B980" t="inlineStr">
        <is>
          <t>Validation</t>
        </is>
      </c>
      <c r="C980" t="n">
        <v>7313</v>
      </c>
      <c r="D980" t="n">
        <v>21660</v>
      </c>
      <c r="E980" t="n">
        <v>42</v>
      </c>
      <c r="F980" t="n">
        <v>3374</v>
      </c>
      <c r="G980" t="n">
        <v>4</v>
      </c>
      <c r="H980" t="n">
        <v>5</v>
      </c>
      <c r="I980" t="n">
        <v>0</v>
      </c>
    </row>
    <row r="981">
      <c r="A981" t="n">
        <v>980</v>
      </c>
      <c r="B981" t="inlineStr">
        <is>
          <t>Train</t>
        </is>
      </c>
      <c r="C981" t="n">
        <v>6997</v>
      </c>
      <c r="D981" t="n">
        <v>11550</v>
      </c>
      <c r="E981" t="n">
        <v>31</v>
      </c>
      <c r="F981" t="n">
        <v>69201</v>
      </c>
      <c r="G981" t="n">
        <v>2</v>
      </c>
      <c r="H981" t="n">
        <v>15</v>
      </c>
      <c r="I981" t="n">
        <v>224997</v>
      </c>
    </row>
    <row r="982">
      <c r="A982" t="n">
        <v>981</v>
      </c>
      <c r="B982" t="inlineStr">
        <is>
          <t>Train</t>
        </is>
      </c>
      <c r="C982" t="n">
        <v>7414</v>
      </c>
      <c r="D982" t="n">
        <v>9620</v>
      </c>
      <c r="E982" t="n">
        <v>37</v>
      </c>
      <c r="F982" t="n">
        <v>40868</v>
      </c>
      <c r="G982" t="n">
        <v>1</v>
      </c>
      <c r="H982" t="n">
        <v>11</v>
      </c>
      <c r="I982" t="n">
        <v>0</v>
      </c>
    </row>
    <row r="983">
      <c r="A983" t="n">
        <v>982</v>
      </c>
      <c r="B983" t="inlineStr">
        <is>
          <t>Train</t>
        </is>
      </c>
      <c r="C983" t="n">
        <v>8999</v>
      </c>
      <c r="D983" t="n">
        <v>18390</v>
      </c>
      <c r="E983" t="n">
        <v>33</v>
      </c>
      <c r="F983" t="n">
        <v>0</v>
      </c>
      <c r="G983" t="n">
        <v>0</v>
      </c>
      <c r="H983" t="n">
        <v>0</v>
      </c>
      <c r="I983" t="n">
        <v>85078</v>
      </c>
    </row>
    <row r="984">
      <c r="A984" t="n">
        <v>983</v>
      </c>
      <c r="B984" t="inlineStr">
        <is>
          <t>Train</t>
        </is>
      </c>
      <c r="C984" t="n">
        <v>4657</v>
      </c>
      <c r="D984" t="n">
        <v>17570</v>
      </c>
      <c r="E984" t="n">
        <v>38</v>
      </c>
      <c r="F984" t="n">
        <v>21073</v>
      </c>
      <c r="G984" t="n">
        <v>0</v>
      </c>
      <c r="H984" t="n">
        <v>6</v>
      </c>
      <c r="I984" t="n">
        <v>91827</v>
      </c>
    </row>
    <row r="985">
      <c r="A985" t="n">
        <v>984</v>
      </c>
      <c r="B985" t="inlineStr">
        <is>
          <t>Train</t>
        </is>
      </c>
      <c r="C985" t="n">
        <v>3841</v>
      </c>
      <c r="D985" t="n">
        <v>38340</v>
      </c>
      <c r="E985" t="n">
        <v>37</v>
      </c>
      <c r="F985" t="n">
        <v>113153</v>
      </c>
      <c r="G985" t="n">
        <v>6</v>
      </c>
      <c r="H985" t="n">
        <v>7</v>
      </c>
      <c r="I985" t="n">
        <v>281454</v>
      </c>
    </row>
    <row r="986">
      <c r="A986" t="n">
        <v>985</v>
      </c>
      <c r="B986" t="inlineStr">
        <is>
          <t>Train</t>
        </is>
      </c>
      <c r="C986" t="n">
        <v>44668</v>
      </c>
      <c r="D986" t="n">
        <v>22070</v>
      </c>
      <c r="E986" t="n">
        <v>43</v>
      </c>
      <c r="F986" t="n">
        <v>96011</v>
      </c>
      <c r="G986" t="n">
        <v>0</v>
      </c>
      <c r="H986" t="n">
        <v>11</v>
      </c>
      <c r="I986" t="n">
        <v>320017</v>
      </c>
    </row>
    <row r="987">
      <c r="A987" t="n">
        <v>986</v>
      </c>
      <c r="B987" t="inlineStr">
        <is>
          <t>Train</t>
        </is>
      </c>
      <c r="C987" t="n">
        <v>7467</v>
      </c>
      <c r="D987" t="n">
        <v>20310</v>
      </c>
      <c r="E987" t="n">
        <v>49</v>
      </c>
      <c r="F987" t="n">
        <v>34628</v>
      </c>
      <c r="G987" t="n">
        <v>3</v>
      </c>
      <c r="H987" t="n">
        <v>14</v>
      </c>
      <c r="I987" t="n">
        <v>159544</v>
      </c>
    </row>
    <row r="988">
      <c r="A988" t="n">
        <v>987</v>
      </c>
      <c r="B988" t="inlineStr">
        <is>
          <t>Validation</t>
        </is>
      </c>
      <c r="C988" t="n">
        <v>7291</v>
      </c>
      <c r="D988" t="n">
        <v>19300</v>
      </c>
      <c r="E988" t="n">
        <v>29</v>
      </c>
      <c r="F988" t="n">
        <v>74202</v>
      </c>
      <c r="G988" t="n">
        <v>4</v>
      </c>
      <c r="H988" t="n">
        <v>10</v>
      </c>
      <c r="I988" t="n">
        <v>0</v>
      </c>
    </row>
    <row r="989">
      <c r="A989" t="n">
        <v>988</v>
      </c>
      <c r="B989" t="inlineStr">
        <is>
          <t>Validation</t>
        </is>
      </c>
      <c r="C989" t="n">
        <v>1570</v>
      </c>
      <c r="D989" t="n">
        <v>8690</v>
      </c>
      <c r="E989" t="n">
        <v>31</v>
      </c>
      <c r="F989" t="n">
        <v>40851</v>
      </c>
      <c r="G989" t="n">
        <v>3</v>
      </c>
      <c r="H989" t="n">
        <v>13</v>
      </c>
      <c r="I989" t="n">
        <v>181084</v>
      </c>
    </row>
    <row r="990">
      <c r="A990" t="n">
        <v>989</v>
      </c>
      <c r="B990" t="inlineStr">
        <is>
          <t>Validation</t>
        </is>
      </c>
      <c r="C990" t="n">
        <v>7205</v>
      </c>
      <c r="D990" t="n">
        <v>5100</v>
      </c>
      <c r="E990" t="n">
        <v>36</v>
      </c>
      <c r="F990" t="n">
        <v>0</v>
      </c>
      <c r="G990" t="n">
        <v>1</v>
      </c>
      <c r="H990" t="n">
        <v>0</v>
      </c>
      <c r="I990" t="n">
        <v>0</v>
      </c>
    </row>
    <row r="991">
      <c r="A991" t="n">
        <v>990</v>
      </c>
      <c r="B991" t="inlineStr">
        <is>
          <t>Train</t>
        </is>
      </c>
      <c r="C991" t="n">
        <v>43863</v>
      </c>
      <c r="D991" t="n">
        <v>11550</v>
      </c>
      <c r="E991" t="n">
        <v>42</v>
      </c>
      <c r="F991" t="n">
        <v>58489</v>
      </c>
      <c r="G991" t="n">
        <v>1</v>
      </c>
      <c r="H991" t="n">
        <v>10</v>
      </c>
      <c r="I991" t="n">
        <v>0</v>
      </c>
    </row>
    <row r="992">
      <c r="A992" t="n">
        <v>991</v>
      </c>
      <c r="B992" t="inlineStr">
        <is>
          <t>Train</t>
        </is>
      </c>
      <c r="C992" t="n">
        <v>2045</v>
      </c>
      <c r="D992" t="n">
        <v>12550</v>
      </c>
      <c r="E992" t="n">
        <v>53</v>
      </c>
      <c r="F992" t="n">
        <v>189052</v>
      </c>
      <c r="G992" t="n">
        <v>0</v>
      </c>
      <c r="H992" t="n">
        <v>12</v>
      </c>
      <c r="I992" t="n">
        <v>0</v>
      </c>
    </row>
    <row r="993">
      <c r="A993" t="n">
        <v>992</v>
      </c>
      <c r="B993" t="inlineStr">
        <is>
          <t>Train</t>
        </is>
      </c>
      <c r="C993" t="n">
        <v>49613</v>
      </c>
      <c r="D993" t="n">
        <v>19510</v>
      </c>
      <c r="E993" t="n">
        <v>49</v>
      </c>
      <c r="F993" t="n">
        <v>62786</v>
      </c>
      <c r="G993" t="n">
        <v>4</v>
      </c>
      <c r="H993" t="n">
        <v>15</v>
      </c>
      <c r="I993" t="n">
        <v>221669</v>
      </c>
    </row>
    <row r="994">
      <c r="A994" t="n">
        <v>993</v>
      </c>
      <c r="B994" t="inlineStr">
        <is>
          <t>Train</t>
        </is>
      </c>
      <c r="C994" t="n">
        <v>32044</v>
      </c>
      <c r="D994" t="n">
        <v>10650</v>
      </c>
      <c r="E994" t="n">
        <v>33</v>
      </c>
      <c r="F994" t="n">
        <v>23953</v>
      </c>
      <c r="G994" t="n">
        <v>2</v>
      </c>
      <c r="H994" t="n">
        <v>10</v>
      </c>
      <c r="I994" t="n">
        <v>0</v>
      </c>
    </row>
    <row r="995">
      <c r="A995" t="n">
        <v>994</v>
      </c>
      <c r="B995" t="inlineStr">
        <is>
          <t>Train</t>
        </is>
      </c>
      <c r="C995" t="n">
        <v>2548</v>
      </c>
      <c r="D995" t="n">
        <v>10280</v>
      </c>
      <c r="E995" t="n">
        <v>31</v>
      </c>
      <c r="F995" t="n">
        <v>56782</v>
      </c>
      <c r="G995" t="n">
        <v>2</v>
      </c>
      <c r="H995" t="n">
        <v>10</v>
      </c>
      <c r="I995" t="n">
        <v>192337</v>
      </c>
    </row>
    <row r="996">
      <c r="A996" t="n">
        <v>995</v>
      </c>
      <c r="B996" t="inlineStr">
        <is>
          <t>Train</t>
        </is>
      </c>
      <c r="C996" t="n">
        <v>3255</v>
      </c>
      <c r="D996" t="n">
        <v>9200</v>
      </c>
      <c r="E996" t="n">
        <v>38</v>
      </c>
      <c r="F996" t="n">
        <v>39005</v>
      </c>
      <c r="G996" t="n">
        <v>10</v>
      </c>
      <c r="H996" t="n">
        <v>13</v>
      </c>
      <c r="I996" t="n">
        <v>0</v>
      </c>
    </row>
    <row r="997">
      <c r="A997" t="n">
        <v>996</v>
      </c>
      <c r="B997" t="inlineStr">
        <is>
          <t>Train</t>
        </is>
      </c>
      <c r="C997" t="n">
        <v>5900</v>
      </c>
      <c r="D997" t="n">
        <v>6190</v>
      </c>
      <c r="E997" t="n">
        <v>31</v>
      </c>
      <c r="F997" t="n">
        <v>16715</v>
      </c>
      <c r="G997" t="n">
        <v>7</v>
      </c>
      <c r="H997" t="n">
        <v>10</v>
      </c>
      <c r="I997" t="n">
        <v>85406</v>
      </c>
    </row>
    <row r="998">
      <c r="A998" t="n">
        <v>997</v>
      </c>
      <c r="B998" t="inlineStr">
        <is>
          <t>Validation</t>
        </is>
      </c>
      <c r="C998" t="n">
        <v>3090</v>
      </c>
      <c r="D998" t="n">
        <v>26180</v>
      </c>
      <c r="E998" t="n">
        <v>57</v>
      </c>
      <c r="F998" t="n">
        <v>77631</v>
      </c>
      <c r="G998" t="n">
        <v>0</v>
      </c>
      <c r="H998" t="n">
        <v>11</v>
      </c>
      <c r="I998" t="n">
        <v>0</v>
      </c>
    </row>
    <row r="999">
      <c r="A999" t="n">
        <v>998</v>
      </c>
      <c r="B999" t="inlineStr">
        <is>
          <t>Validation</t>
        </is>
      </c>
      <c r="C999" t="n">
        <v>5722</v>
      </c>
      <c r="D999" t="n">
        <v>12270</v>
      </c>
      <c r="E999" t="n">
        <v>40</v>
      </c>
      <c r="F999" t="n">
        <v>67700</v>
      </c>
      <c r="G999" t="n">
        <v>6</v>
      </c>
      <c r="H999" t="n">
        <v>11</v>
      </c>
      <c r="I999" t="n">
        <v>0</v>
      </c>
    </row>
    <row r="1000">
      <c r="A1000" t="n">
        <v>999</v>
      </c>
      <c r="B1000" t="inlineStr">
        <is>
          <t>Validation</t>
        </is>
      </c>
      <c r="C1000" t="n">
        <v>7239</v>
      </c>
      <c r="D1000" t="n">
        <v>33490</v>
      </c>
      <c r="E1000" t="n">
        <v>33</v>
      </c>
      <c r="F1000" t="n">
        <v>112762</v>
      </c>
      <c r="G1000" t="n">
        <v>1</v>
      </c>
      <c r="H1000" t="n">
        <v>14</v>
      </c>
      <c r="I1000" t="n">
        <v>274953</v>
      </c>
    </row>
    <row r="1001">
      <c r="A1001" t="n">
        <v>1000</v>
      </c>
      <c r="B1001" t="inlineStr">
        <is>
          <t>Train</t>
        </is>
      </c>
      <c r="C1001" t="n">
        <v>6646</v>
      </c>
      <c r="D1001" t="n">
        <v>5800</v>
      </c>
      <c r="E1001" t="n">
        <v>43</v>
      </c>
      <c r="F1001" t="n">
        <v>66613</v>
      </c>
      <c r="G1001" t="n">
        <v>5</v>
      </c>
      <c r="H1001" t="n">
        <v>8</v>
      </c>
      <c r="I1001" t="n">
        <v>197000</v>
      </c>
    </row>
    <row r="1002">
      <c r="A1002" t="n">
        <v>1001</v>
      </c>
      <c r="B1002" t="inlineStr">
        <is>
          <t>Train</t>
        </is>
      </c>
      <c r="C1002" t="n">
        <v>6142</v>
      </c>
      <c r="D1002" t="n">
        <v>29650</v>
      </c>
      <c r="E1002" t="n">
        <v>57</v>
      </c>
      <c r="F1002" t="n">
        <v>126348</v>
      </c>
      <c r="G1002" t="n">
        <v>2</v>
      </c>
      <c r="H1002" t="n">
        <v>15</v>
      </c>
      <c r="I1002" t="n">
        <v>368289</v>
      </c>
    </row>
    <row r="1003">
      <c r="A1003" t="n">
        <v>1002</v>
      </c>
      <c r="B1003" t="inlineStr">
        <is>
          <t>Train</t>
        </is>
      </c>
      <c r="C1003" t="n">
        <v>1645</v>
      </c>
      <c r="D1003" t="n">
        <v>19780</v>
      </c>
      <c r="E1003" t="n">
        <v>49</v>
      </c>
      <c r="F1003" t="n">
        <v>26301</v>
      </c>
      <c r="G1003" t="n">
        <v>3</v>
      </c>
      <c r="H1003" t="n">
        <v>14</v>
      </c>
      <c r="I1003" t="n">
        <v>0</v>
      </c>
    </row>
    <row r="1004">
      <c r="A1004" t="n">
        <v>1003</v>
      </c>
      <c r="B1004" t="inlineStr">
        <is>
          <t>Train</t>
        </is>
      </c>
      <c r="C1004" t="n">
        <v>14074</v>
      </c>
      <c r="D1004" t="n">
        <v>5590</v>
      </c>
      <c r="E1004" t="n">
        <v>49</v>
      </c>
      <c r="F1004" t="n">
        <v>46507</v>
      </c>
      <c r="G1004" t="n">
        <v>0</v>
      </c>
      <c r="H1004" t="n">
        <v>13</v>
      </c>
      <c r="I1004" t="n">
        <v>153166</v>
      </c>
    </row>
    <row r="1005">
      <c r="A1005" t="n">
        <v>1004</v>
      </c>
      <c r="B1005" t="inlineStr">
        <is>
          <t>Train</t>
        </is>
      </c>
      <c r="C1005" t="n">
        <v>957</v>
      </c>
      <c r="D1005" t="n">
        <v>8910</v>
      </c>
      <c r="E1005" t="n">
        <v>48</v>
      </c>
      <c r="F1005" t="n">
        <v>43636</v>
      </c>
      <c r="G1005" t="n">
        <v>5</v>
      </c>
      <c r="H1005" t="n">
        <v>9</v>
      </c>
      <c r="I1005" t="n">
        <v>0</v>
      </c>
    </row>
    <row r="1006">
      <c r="A1006" t="n">
        <v>1005</v>
      </c>
      <c r="B1006" t="inlineStr">
        <is>
          <t>Train</t>
        </is>
      </c>
      <c r="C1006" t="n">
        <v>16816</v>
      </c>
      <c r="D1006" t="n">
        <v>6790</v>
      </c>
      <c r="E1006" t="n">
        <v>33</v>
      </c>
      <c r="F1006" t="n">
        <v>19894</v>
      </c>
      <c r="G1006" t="n">
        <v>0</v>
      </c>
      <c r="H1006" t="n">
        <v>11</v>
      </c>
      <c r="I1006" t="n">
        <v>156233</v>
      </c>
    </row>
    <row r="1007">
      <c r="A1007" t="n">
        <v>1006</v>
      </c>
      <c r="B1007" t="inlineStr">
        <is>
          <t>Train</t>
        </is>
      </c>
      <c r="C1007" t="n">
        <v>10064</v>
      </c>
      <c r="D1007" t="n">
        <v>22230</v>
      </c>
      <c r="E1007" t="n">
        <v>43</v>
      </c>
      <c r="F1007" t="n">
        <v>77030</v>
      </c>
      <c r="G1007" t="n">
        <v>0</v>
      </c>
      <c r="H1007" t="n">
        <v>11</v>
      </c>
      <c r="I1007" t="n">
        <v>233339</v>
      </c>
    </row>
    <row r="1008">
      <c r="A1008" t="n">
        <v>1007</v>
      </c>
      <c r="B1008" t="inlineStr">
        <is>
          <t>Validation</t>
        </is>
      </c>
      <c r="C1008" t="n">
        <v>37412</v>
      </c>
      <c r="D1008" t="n">
        <v>9370</v>
      </c>
      <c r="E1008" t="n">
        <v>53</v>
      </c>
      <c r="F1008" t="n">
        <v>25698</v>
      </c>
      <c r="G1008" t="n">
        <v>0</v>
      </c>
      <c r="H1008" t="n">
        <v>12</v>
      </c>
      <c r="I1008" t="n">
        <v>213856</v>
      </c>
    </row>
    <row r="1009">
      <c r="A1009" t="n">
        <v>1008</v>
      </c>
      <c r="B1009" t="inlineStr">
        <is>
          <t>Validation</t>
        </is>
      </c>
      <c r="C1009" t="n">
        <v>1109</v>
      </c>
      <c r="D1009" t="n">
        <v>8850</v>
      </c>
      <c r="E1009" t="n">
        <v>31</v>
      </c>
      <c r="F1009" t="n">
        <v>42492</v>
      </c>
      <c r="G1009" t="n">
        <v>5</v>
      </c>
      <c r="H1009" t="n">
        <v>13</v>
      </c>
      <c r="I1009" t="n">
        <v>163297</v>
      </c>
    </row>
    <row r="1010">
      <c r="A1010" t="n">
        <v>1009</v>
      </c>
      <c r="B1010" t="inlineStr">
        <is>
          <t>Validation</t>
        </is>
      </c>
      <c r="C1010" t="n">
        <v>6550</v>
      </c>
      <c r="D1010" t="n">
        <v>10330</v>
      </c>
      <c r="E1010" t="n">
        <v>53</v>
      </c>
      <c r="F1010" t="n">
        <v>74295</v>
      </c>
      <c r="G1010" t="n">
        <v>2</v>
      </c>
      <c r="H1010" t="n">
        <v>15</v>
      </c>
      <c r="I1010" t="n">
        <v>267509</v>
      </c>
    </row>
    <row r="1011">
      <c r="A1011" t="n">
        <v>1010</v>
      </c>
      <c r="B1011" t="inlineStr">
        <is>
          <t>Train</t>
        </is>
      </c>
      <c r="C1011" t="n">
        <v>6941</v>
      </c>
      <c r="D1011" t="n">
        <v>17050</v>
      </c>
      <c r="E1011" t="n">
        <v>54</v>
      </c>
      <c r="F1011" t="n">
        <v>101450</v>
      </c>
      <c r="G1011" t="n">
        <v>0</v>
      </c>
      <c r="H1011" t="n">
        <v>11</v>
      </c>
      <c r="I1011" t="n">
        <v>0</v>
      </c>
    </row>
    <row r="1012">
      <c r="A1012" t="n">
        <v>1011</v>
      </c>
      <c r="B1012" t="inlineStr">
        <is>
          <t>Train</t>
        </is>
      </c>
      <c r="C1012" t="n">
        <v>3174</v>
      </c>
      <c r="D1012" t="n">
        <v>23420</v>
      </c>
      <c r="E1012" t="n">
        <v>36</v>
      </c>
      <c r="F1012" t="n">
        <v>64755</v>
      </c>
      <c r="G1012" t="n">
        <v>4</v>
      </c>
      <c r="H1012" t="n">
        <v>13</v>
      </c>
      <c r="I1012" t="n">
        <v>244414</v>
      </c>
    </row>
    <row r="1013">
      <c r="A1013" t="n">
        <v>1012</v>
      </c>
      <c r="B1013" t="inlineStr">
        <is>
          <t>Train</t>
        </is>
      </c>
      <c r="C1013" t="n">
        <v>23116</v>
      </c>
      <c r="D1013" t="n">
        <v>24400</v>
      </c>
      <c r="E1013" t="n">
        <v>47</v>
      </c>
      <c r="F1013" t="n">
        <v>59963</v>
      </c>
      <c r="G1013" t="n">
        <v>0</v>
      </c>
      <c r="H1013" t="n">
        <v>10</v>
      </c>
      <c r="I1013" t="n">
        <v>195091</v>
      </c>
    </row>
    <row r="1014">
      <c r="A1014" t="n">
        <v>1013</v>
      </c>
      <c r="B1014" t="inlineStr">
        <is>
          <t>Train</t>
        </is>
      </c>
      <c r="C1014" t="n">
        <v>6350</v>
      </c>
      <c r="D1014" t="n">
        <v>5480</v>
      </c>
      <c r="E1014" t="n">
        <v>31</v>
      </c>
      <c r="F1014" t="n">
        <v>14195</v>
      </c>
      <c r="G1014" t="n">
        <v>5</v>
      </c>
      <c r="H1014" t="n">
        <v>5</v>
      </c>
      <c r="I1014" t="n">
        <v>122416</v>
      </c>
    </row>
    <row r="1015">
      <c r="A1015" t="n">
        <v>1014</v>
      </c>
      <c r="B1015" t="inlineStr">
        <is>
          <t>Train</t>
        </is>
      </c>
      <c r="C1015" t="n">
        <v>6902</v>
      </c>
      <c r="D1015" t="n">
        <v>24920</v>
      </c>
      <c r="E1015" t="n">
        <v>50</v>
      </c>
      <c r="F1015" t="n">
        <v>41696</v>
      </c>
      <c r="G1015" t="n">
        <v>6</v>
      </c>
      <c r="H1015" t="n">
        <v>9</v>
      </c>
      <c r="I1015" t="n">
        <v>210765</v>
      </c>
    </row>
    <row r="1016">
      <c r="A1016" t="n">
        <v>1015</v>
      </c>
      <c r="B1016" t="inlineStr">
        <is>
          <t>Train</t>
        </is>
      </c>
      <c r="C1016" t="n">
        <v>8806</v>
      </c>
      <c r="D1016" t="n">
        <v>5480</v>
      </c>
      <c r="E1016" t="n">
        <v>55</v>
      </c>
      <c r="F1016" t="n">
        <v>39833</v>
      </c>
      <c r="G1016" t="n">
        <v>3</v>
      </c>
      <c r="H1016" t="n">
        <v>12</v>
      </c>
      <c r="I1016" t="n">
        <v>156508</v>
      </c>
    </row>
    <row r="1017">
      <c r="A1017" t="n">
        <v>1016</v>
      </c>
      <c r="B1017" t="inlineStr">
        <is>
          <t>Train</t>
        </is>
      </c>
      <c r="C1017" t="n">
        <v>6841</v>
      </c>
      <c r="D1017" t="n">
        <v>6200</v>
      </c>
      <c r="E1017" t="n">
        <v>47</v>
      </c>
      <c r="F1017" t="n">
        <v>87887</v>
      </c>
      <c r="G1017" t="n">
        <v>0</v>
      </c>
      <c r="H1017" t="n">
        <v>10</v>
      </c>
      <c r="I1017" t="n">
        <v>0</v>
      </c>
    </row>
    <row r="1018">
      <c r="A1018" t="n">
        <v>1017</v>
      </c>
      <c r="B1018" t="inlineStr">
        <is>
          <t>Validation</t>
        </is>
      </c>
      <c r="C1018" t="n">
        <v>5379</v>
      </c>
      <c r="D1018" t="n">
        <v>1500</v>
      </c>
      <c r="E1018" t="n">
        <v>51</v>
      </c>
      <c r="F1018" t="n">
        <v>15732</v>
      </c>
      <c r="G1018" t="n">
        <v>7</v>
      </c>
      <c r="H1018" t="n">
        <v>14</v>
      </c>
      <c r="I1018" t="n">
        <v>104143</v>
      </c>
    </row>
    <row r="1019">
      <c r="A1019" t="n">
        <v>1018</v>
      </c>
      <c r="B1019" t="inlineStr">
        <is>
          <t>Validation</t>
        </is>
      </c>
      <c r="C1019" t="n">
        <v>3018</v>
      </c>
      <c r="D1019" t="n">
        <v>1980</v>
      </c>
      <c r="E1019" t="n">
        <v>28</v>
      </c>
      <c r="F1019" t="n">
        <v>4843</v>
      </c>
      <c r="G1019" t="n">
        <v>5</v>
      </c>
      <c r="H1019" t="n">
        <v>8</v>
      </c>
      <c r="I1019" t="n">
        <v>0</v>
      </c>
    </row>
    <row r="1020">
      <c r="A1020" t="n">
        <v>1019</v>
      </c>
      <c r="B1020" t="inlineStr">
        <is>
          <t>Validation</t>
        </is>
      </c>
      <c r="C1020" t="n">
        <v>11626</v>
      </c>
      <c r="D1020" t="n">
        <v>10100</v>
      </c>
      <c r="E1020" t="n">
        <v>37</v>
      </c>
      <c r="F1020" t="n">
        <v>31212</v>
      </c>
      <c r="G1020" t="n">
        <v>0</v>
      </c>
      <c r="H1020" t="n">
        <v>13</v>
      </c>
      <c r="I1020" t="n">
        <v>155824</v>
      </c>
    </row>
    <row r="1021">
      <c r="A1021" t="n">
        <v>1020</v>
      </c>
      <c r="B1021" t="inlineStr">
        <is>
          <t>Train</t>
        </is>
      </c>
      <c r="C1021" t="n">
        <v>28753</v>
      </c>
      <c r="D1021" t="n">
        <v>17220</v>
      </c>
      <c r="E1021" t="n">
        <v>41</v>
      </c>
      <c r="F1021" t="n">
        <v>65185</v>
      </c>
      <c r="G1021" t="n">
        <v>2</v>
      </c>
      <c r="H1021" t="n">
        <v>13</v>
      </c>
      <c r="I1021" t="n">
        <v>253054</v>
      </c>
    </row>
    <row r="1022">
      <c r="A1022" t="n">
        <v>1021</v>
      </c>
      <c r="B1022" t="inlineStr">
        <is>
          <t>Train</t>
        </is>
      </c>
      <c r="C1022" t="n">
        <v>10086</v>
      </c>
      <c r="D1022" t="n">
        <v>15400</v>
      </c>
      <c r="E1022" t="n">
        <v>62</v>
      </c>
      <c r="F1022" t="n">
        <v>43410</v>
      </c>
      <c r="G1022" t="n">
        <v>0</v>
      </c>
      <c r="H1022" t="n">
        <v>16</v>
      </c>
      <c r="I1022" t="n">
        <v>186429</v>
      </c>
    </row>
    <row r="1023">
      <c r="A1023" t="n">
        <v>1022</v>
      </c>
      <c r="B1023" t="inlineStr">
        <is>
          <t>Train</t>
        </is>
      </c>
      <c r="C1023" t="n">
        <v>1749</v>
      </c>
      <c r="D1023" t="n">
        <v>23280</v>
      </c>
      <c r="E1023" t="n">
        <v>45</v>
      </c>
      <c r="F1023" t="n">
        <v>84028</v>
      </c>
      <c r="G1023" t="n">
        <v>5</v>
      </c>
      <c r="H1023" t="n">
        <v>12</v>
      </c>
      <c r="I1023" t="n">
        <v>223747</v>
      </c>
    </row>
    <row r="1024">
      <c r="A1024" t="n">
        <v>1023</v>
      </c>
      <c r="B1024" t="inlineStr">
        <is>
          <t>Train</t>
        </is>
      </c>
      <c r="C1024" t="n">
        <v>7017</v>
      </c>
      <c r="D1024" t="n">
        <v>23790</v>
      </c>
      <c r="E1024" t="n">
        <v>45</v>
      </c>
      <c r="F1024" t="n">
        <v>83111</v>
      </c>
      <c r="G1024" t="n">
        <v>5</v>
      </c>
      <c r="H1024" t="n">
        <v>4</v>
      </c>
      <c r="I1024" t="n">
        <v>237263</v>
      </c>
    </row>
    <row r="1025">
      <c r="A1025" t="n">
        <v>1024</v>
      </c>
      <c r="B1025" t="inlineStr">
        <is>
          <t>Train</t>
        </is>
      </c>
      <c r="C1025" t="n">
        <v>8085</v>
      </c>
      <c r="D1025" t="n">
        <v>16580</v>
      </c>
      <c r="E1025" t="n">
        <v>47</v>
      </c>
      <c r="F1025" t="n">
        <v>68061</v>
      </c>
      <c r="G1025" t="n">
        <v>6</v>
      </c>
      <c r="H1025" t="n">
        <v>11</v>
      </c>
      <c r="I1025" t="n">
        <v>209610</v>
      </c>
    </row>
    <row r="1026">
      <c r="A1026" t="n">
        <v>1025</v>
      </c>
      <c r="B1026" t="inlineStr">
        <is>
          <t>Train</t>
        </is>
      </c>
      <c r="C1026" t="n">
        <v>3961</v>
      </c>
      <c r="D1026" t="n">
        <v>12250</v>
      </c>
      <c r="E1026" t="n">
        <v>33</v>
      </c>
      <c r="F1026" t="n">
        <v>74546</v>
      </c>
      <c r="G1026" t="n">
        <v>5</v>
      </c>
      <c r="H1026" t="n">
        <v>12</v>
      </c>
      <c r="I1026" t="n">
        <v>245205</v>
      </c>
    </row>
    <row r="1027">
      <c r="A1027" t="n">
        <v>1026</v>
      </c>
      <c r="B1027" t="inlineStr">
        <is>
          <t>Train</t>
        </is>
      </c>
      <c r="C1027" t="n">
        <v>712</v>
      </c>
      <c r="D1027" t="n">
        <v>11700</v>
      </c>
      <c r="E1027" t="n">
        <v>46</v>
      </c>
      <c r="F1027" t="n">
        <v>56006</v>
      </c>
      <c r="G1027" t="n">
        <v>6</v>
      </c>
      <c r="H1027" t="n">
        <v>12</v>
      </c>
      <c r="I1027" t="n">
        <v>190938</v>
      </c>
    </row>
    <row r="1028">
      <c r="A1028" t="n">
        <v>1027</v>
      </c>
      <c r="B1028" t="inlineStr">
        <is>
          <t>Validation</t>
        </is>
      </c>
      <c r="C1028" t="n">
        <v>46761</v>
      </c>
      <c r="D1028" t="n">
        <v>17290</v>
      </c>
      <c r="E1028" t="n">
        <v>55</v>
      </c>
      <c r="F1028" t="n">
        <v>35916</v>
      </c>
      <c r="G1028" t="n">
        <v>6</v>
      </c>
      <c r="H1028" t="n">
        <v>13</v>
      </c>
      <c r="I1028" t="n">
        <v>151830</v>
      </c>
    </row>
    <row r="1029">
      <c r="A1029" t="n">
        <v>1028</v>
      </c>
      <c r="B1029" t="inlineStr">
        <is>
          <t>Validation</t>
        </is>
      </c>
      <c r="C1029" t="n">
        <v>1452</v>
      </c>
      <c r="D1029" t="n">
        <v>24890</v>
      </c>
      <c r="E1029" t="n">
        <v>42</v>
      </c>
      <c r="F1029" t="n">
        <v>101636</v>
      </c>
      <c r="G1029" t="n">
        <v>7</v>
      </c>
      <c r="H1029" t="n">
        <v>10</v>
      </c>
      <c r="I1029" t="n">
        <v>0</v>
      </c>
    </row>
    <row r="1030">
      <c r="A1030" t="n">
        <v>1029</v>
      </c>
      <c r="B1030" t="inlineStr">
        <is>
          <t>Validation</t>
        </is>
      </c>
      <c r="C1030" t="n">
        <v>2769</v>
      </c>
      <c r="D1030" t="n">
        <v>5100</v>
      </c>
      <c r="E1030" t="n">
        <v>36</v>
      </c>
      <c r="F1030" t="n">
        <v>167971</v>
      </c>
      <c r="G1030" t="n">
        <v>0</v>
      </c>
      <c r="H1030" t="n">
        <v>14</v>
      </c>
      <c r="I1030" t="n">
        <v>441721</v>
      </c>
    </row>
    <row r="1031">
      <c r="A1031" t="n">
        <v>1030</v>
      </c>
      <c r="B1031" t="inlineStr">
        <is>
          <t>Train</t>
        </is>
      </c>
      <c r="C1031" t="n">
        <v>583</v>
      </c>
      <c r="D1031" t="n">
        <v>34320</v>
      </c>
      <c r="E1031" t="n">
        <v>45</v>
      </c>
      <c r="F1031" t="n">
        <v>207123</v>
      </c>
      <c r="G1031" t="n">
        <v>3</v>
      </c>
      <c r="H1031" t="n">
        <v>11</v>
      </c>
      <c r="I1031" t="n">
        <v>488301</v>
      </c>
    </row>
    <row r="1032">
      <c r="A1032" t="n">
        <v>1031</v>
      </c>
      <c r="B1032" t="inlineStr">
        <is>
          <t>Train</t>
        </is>
      </c>
      <c r="C1032" t="n">
        <v>5446</v>
      </c>
      <c r="D1032" t="n">
        <v>15170</v>
      </c>
      <c r="E1032" t="n">
        <v>39</v>
      </c>
      <c r="F1032" t="n">
        <v>51814</v>
      </c>
      <c r="G1032" t="n">
        <v>0</v>
      </c>
      <c r="H1032" t="n">
        <v>9</v>
      </c>
      <c r="I1032" t="n">
        <v>0</v>
      </c>
    </row>
    <row r="1033">
      <c r="A1033" t="n">
        <v>1032</v>
      </c>
      <c r="B1033" t="inlineStr">
        <is>
          <t>Train</t>
        </is>
      </c>
      <c r="C1033" t="n">
        <v>29378</v>
      </c>
      <c r="D1033" t="n">
        <v>14280</v>
      </c>
      <c r="E1033" t="n">
        <v>57</v>
      </c>
      <c r="F1033" t="n">
        <v>151528</v>
      </c>
      <c r="G1033" t="n">
        <v>0</v>
      </c>
      <c r="H1033" t="n">
        <v>13</v>
      </c>
      <c r="I1033" t="n">
        <v>0</v>
      </c>
    </row>
    <row r="1034">
      <c r="A1034" t="n">
        <v>1033</v>
      </c>
      <c r="B1034" t="inlineStr">
        <is>
          <t>Train</t>
        </is>
      </c>
      <c r="C1034" t="n">
        <v>5245</v>
      </c>
      <c r="D1034" t="n">
        <v>19250</v>
      </c>
      <c r="E1034" t="n">
        <v>48</v>
      </c>
      <c r="F1034" t="n">
        <v>0</v>
      </c>
      <c r="G1034" t="n">
        <v>2</v>
      </c>
      <c r="H1034" t="n">
        <v>0</v>
      </c>
      <c r="I1034" t="n">
        <v>105542</v>
      </c>
    </row>
    <row r="1035">
      <c r="A1035" t="n">
        <v>1034</v>
      </c>
      <c r="B1035" t="inlineStr">
        <is>
          <t>Train</t>
        </is>
      </c>
      <c r="C1035" t="n">
        <v>4227</v>
      </c>
      <c r="D1035" t="n">
        <v>3950</v>
      </c>
      <c r="E1035" t="n">
        <v>39</v>
      </c>
      <c r="F1035" t="n">
        <v>24546</v>
      </c>
      <c r="G1035" t="n">
        <v>0</v>
      </c>
      <c r="H1035" t="n">
        <v>14</v>
      </c>
      <c r="I1035" t="n">
        <v>147125</v>
      </c>
    </row>
    <row r="1036">
      <c r="A1036" t="n">
        <v>1035</v>
      </c>
      <c r="B1036" t="inlineStr">
        <is>
          <t>Train</t>
        </is>
      </c>
      <c r="C1036" t="n">
        <v>2085</v>
      </c>
      <c r="D1036" t="n">
        <v>13670</v>
      </c>
      <c r="E1036" t="n">
        <v>63</v>
      </c>
      <c r="F1036" t="n">
        <v>52739</v>
      </c>
      <c r="G1036" t="n">
        <v>0</v>
      </c>
      <c r="H1036" t="n">
        <v>12</v>
      </c>
      <c r="I1036" t="n">
        <v>265690</v>
      </c>
    </row>
    <row r="1037">
      <c r="A1037" t="n">
        <v>1036</v>
      </c>
      <c r="B1037" t="inlineStr">
        <is>
          <t>Train</t>
        </is>
      </c>
      <c r="C1037" t="n">
        <v>25495</v>
      </c>
      <c r="D1037" t="n">
        <v>20530</v>
      </c>
      <c r="E1037" t="n">
        <v>45</v>
      </c>
      <c r="F1037" t="n">
        <v>129261</v>
      </c>
      <c r="G1037" t="n">
        <v>1</v>
      </c>
      <c r="H1037" t="n">
        <v>12</v>
      </c>
      <c r="I1037" t="n">
        <v>325139</v>
      </c>
    </row>
    <row r="1038">
      <c r="A1038" t="n">
        <v>1037</v>
      </c>
      <c r="B1038" t="inlineStr">
        <is>
          <t>Validation</t>
        </is>
      </c>
      <c r="C1038" t="n">
        <v>8109</v>
      </c>
      <c r="D1038" t="n">
        <v>17600</v>
      </c>
      <c r="E1038" t="n">
        <v>38</v>
      </c>
      <c r="F1038" t="n">
        <v>83304</v>
      </c>
      <c r="G1038" t="n">
        <v>1</v>
      </c>
      <c r="H1038" t="n">
        <v>8</v>
      </c>
      <c r="I1038" t="n">
        <v>234493</v>
      </c>
    </row>
    <row r="1039">
      <c r="A1039" t="n">
        <v>1038</v>
      </c>
      <c r="B1039" t="inlineStr">
        <is>
          <t>Validation</t>
        </is>
      </c>
      <c r="C1039" t="n">
        <v>30910</v>
      </c>
      <c r="D1039" t="n">
        <v>21250</v>
      </c>
      <c r="E1039" t="n">
        <v>52</v>
      </c>
      <c r="F1039" t="n">
        <v>43393</v>
      </c>
      <c r="G1039" t="n">
        <v>1</v>
      </c>
      <c r="H1039" t="n">
        <v>13</v>
      </c>
      <c r="I1039" t="n">
        <v>202835</v>
      </c>
    </row>
    <row r="1040">
      <c r="A1040" t="n">
        <v>1039</v>
      </c>
      <c r="B1040" t="inlineStr">
        <is>
          <t>Validation</t>
        </is>
      </c>
      <c r="C1040" t="n">
        <v>5571</v>
      </c>
      <c r="D1040" t="n">
        <v>12230</v>
      </c>
      <c r="E1040" t="n">
        <v>44</v>
      </c>
      <c r="F1040" t="n">
        <v>84015</v>
      </c>
      <c r="G1040" t="n">
        <v>0</v>
      </c>
      <c r="H1040" t="n">
        <v>12</v>
      </c>
      <c r="I1040" t="n">
        <v>0</v>
      </c>
    </row>
    <row r="1041">
      <c r="A1041" t="n">
        <v>1040</v>
      </c>
      <c r="B1041" t="inlineStr">
        <is>
          <t>Train</t>
        </is>
      </c>
      <c r="C1041" t="n">
        <v>20631</v>
      </c>
      <c r="D1041" t="n">
        <v>10650</v>
      </c>
      <c r="E1041" t="n">
        <v>39</v>
      </c>
      <c r="F1041" t="n">
        <v>33893</v>
      </c>
      <c r="G1041" t="n">
        <v>7</v>
      </c>
      <c r="H1041" t="n">
        <v>6</v>
      </c>
      <c r="I1041" t="n">
        <v>210190</v>
      </c>
    </row>
    <row r="1042">
      <c r="A1042" t="n">
        <v>1041</v>
      </c>
      <c r="B1042" t="inlineStr">
        <is>
          <t>Train</t>
        </is>
      </c>
      <c r="C1042" t="n">
        <v>6722</v>
      </c>
      <c r="D1042" t="n">
        <v>12710</v>
      </c>
      <c r="E1042" t="n">
        <v>40</v>
      </c>
      <c r="F1042" t="n">
        <v>12570</v>
      </c>
      <c r="G1042" t="n">
        <v>3</v>
      </c>
      <c r="H1042" t="n">
        <v>13</v>
      </c>
      <c r="I1042" t="n">
        <v>0</v>
      </c>
    </row>
    <row r="1043">
      <c r="A1043" t="n">
        <v>1042</v>
      </c>
      <c r="B1043" t="inlineStr">
        <is>
          <t>Train</t>
        </is>
      </c>
      <c r="C1043" t="n">
        <v>3029</v>
      </c>
      <c r="D1043" t="n">
        <v>13210</v>
      </c>
      <c r="E1043" t="n">
        <v>55</v>
      </c>
      <c r="F1043" t="n">
        <v>117066</v>
      </c>
      <c r="G1043" t="n">
        <v>0</v>
      </c>
      <c r="H1043" t="n">
        <v>8</v>
      </c>
      <c r="I1043" t="n">
        <v>316356</v>
      </c>
    </row>
    <row r="1044">
      <c r="A1044" t="n">
        <v>1043</v>
      </c>
      <c r="B1044" t="inlineStr">
        <is>
          <t>Train</t>
        </is>
      </c>
      <c r="C1044" t="n">
        <v>6055</v>
      </c>
      <c r="D1044" t="n">
        <v>14460</v>
      </c>
      <c r="E1044" t="n">
        <v>39</v>
      </c>
      <c r="F1044" t="n">
        <v>85837</v>
      </c>
      <c r="G1044" t="n">
        <v>3</v>
      </c>
      <c r="H1044" t="n">
        <v>12</v>
      </c>
      <c r="I1044" t="n">
        <v>241913</v>
      </c>
    </row>
    <row r="1045">
      <c r="A1045" t="n">
        <v>1044</v>
      </c>
      <c r="B1045" t="inlineStr">
        <is>
          <t>Train</t>
        </is>
      </c>
      <c r="C1045" t="n">
        <v>2986</v>
      </c>
      <c r="D1045" t="n">
        <v>6600</v>
      </c>
      <c r="E1045" t="n">
        <v>30</v>
      </c>
      <c r="F1045" t="n">
        <v>56253</v>
      </c>
      <c r="G1045" t="n">
        <v>5</v>
      </c>
      <c r="H1045" t="n">
        <v>12</v>
      </c>
      <c r="I1045" t="n">
        <v>142627</v>
      </c>
    </row>
    <row r="1046">
      <c r="A1046" t="n">
        <v>1045</v>
      </c>
      <c r="B1046" t="inlineStr">
        <is>
          <t>Train</t>
        </is>
      </c>
      <c r="C1046" t="n">
        <v>1247</v>
      </c>
      <c r="D1046" t="n">
        <v>23210</v>
      </c>
      <c r="E1046" t="n">
        <v>36</v>
      </c>
      <c r="F1046" t="n">
        <v>29412</v>
      </c>
      <c r="G1046" t="n">
        <v>5</v>
      </c>
      <c r="H1046" t="n">
        <v>10</v>
      </c>
      <c r="I1046" t="n">
        <v>149177</v>
      </c>
    </row>
    <row r="1047">
      <c r="A1047" t="n">
        <v>1046</v>
      </c>
      <c r="B1047" t="inlineStr">
        <is>
          <t>Train</t>
        </is>
      </c>
      <c r="C1047" t="n">
        <v>633</v>
      </c>
      <c r="D1047" t="n">
        <v>16330</v>
      </c>
      <c r="E1047" t="n">
        <v>45</v>
      </c>
      <c r="F1047" t="n">
        <v>103272</v>
      </c>
      <c r="G1047" t="n">
        <v>0</v>
      </c>
      <c r="H1047" t="n">
        <v>13</v>
      </c>
      <c r="I1047" t="n">
        <v>318758</v>
      </c>
    </row>
    <row r="1048">
      <c r="A1048" t="n">
        <v>1047</v>
      </c>
      <c r="B1048" t="inlineStr">
        <is>
          <t>Validation</t>
        </is>
      </c>
      <c r="C1048" t="n">
        <v>521</v>
      </c>
      <c r="D1048" t="n">
        <v>12910</v>
      </c>
      <c r="E1048" t="n">
        <v>39</v>
      </c>
      <c r="F1048" t="n">
        <v>45261</v>
      </c>
      <c r="G1048" t="n">
        <v>0</v>
      </c>
      <c r="H1048" t="n">
        <v>14</v>
      </c>
      <c r="I1048" t="n">
        <v>0</v>
      </c>
    </row>
    <row r="1049">
      <c r="A1049" t="n">
        <v>1048</v>
      </c>
      <c r="B1049" t="inlineStr">
        <is>
          <t>Validation</t>
        </is>
      </c>
      <c r="C1049" t="n">
        <v>3199</v>
      </c>
      <c r="D1049" t="n">
        <v>29920</v>
      </c>
      <c r="E1049" t="n">
        <v>42</v>
      </c>
      <c r="F1049" t="n">
        <v>124375</v>
      </c>
      <c r="G1049" t="n">
        <v>4</v>
      </c>
      <c r="H1049" t="n">
        <v>11</v>
      </c>
      <c r="I1049" t="n">
        <v>339138</v>
      </c>
    </row>
    <row r="1050">
      <c r="A1050" t="n">
        <v>1049</v>
      </c>
      <c r="B1050" t="inlineStr">
        <is>
          <t>Validation</t>
        </is>
      </c>
      <c r="C1050" t="n">
        <v>1358</v>
      </c>
      <c r="D1050" t="n">
        <v>14970</v>
      </c>
      <c r="E1050" t="n">
        <v>53</v>
      </c>
      <c r="F1050" t="n">
        <v>18635</v>
      </c>
      <c r="G1050" t="n">
        <v>5</v>
      </c>
      <c r="H1050" t="n">
        <v>14</v>
      </c>
      <c r="I1050" t="n">
        <v>119212</v>
      </c>
    </row>
    <row r="1051">
      <c r="A1051" t="n">
        <v>1050</v>
      </c>
      <c r="B1051" t="inlineStr">
        <is>
          <t>Train</t>
        </is>
      </c>
      <c r="C1051" t="n">
        <v>8057</v>
      </c>
      <c r="D1051" t="n">
        <v>11250</v>
      </c>
      <c r="E1051" t="n">
        <v>61</v>
      </c>
      <c r="F1051" t="n">
        <v>52894</v>
      </c>
      <c r="G1051" t="n">
        <v>5</v>
      </c>
      <c r="H1051" t="n">
        <v>15</v>
      </c>
      <c r="I1051" t="n">
        <v>216569</v>
      </c>
    </row>
    <row r="1052">
      <c r="A1052" t="n">
        <v>1051</v>
      </c>
      <c r="B1052" t="inlineStr">
        <is>
          <t>Train</t>
        </is>
      </c>
      <c r="C1052" t="n">
        <v>9282</v>
      </c>
      <c r="D1052" t="n">
        <v>6930</v>
      </c>
      <c r="E1052" t="n">
        <v>29</v>
      </c>
      <c r="F1052" t="n">
        <v>25294</v>
      </c>
      <c r="G1052" t="n">
        <v>1</v>
      </c>
      <c r="H1052" t="n">
        <v>13</v>
      </c>
      <c r="I1052" t="n">
        <v>0</v>
      </c>
    </row>
    <row r="1053">
      <c r="A1053" t="n">
        <v>1052</v>
      </c>
      <c r="B1053" t="inlineStr">
        <is>
          <t>Train</t>
        </is>
      </c>
      <c r="C1053" t="n">
        <v>3564</v>
      </c>
      <c r="D1053" t="n">
        <v>1500</v>
      </c>
      <c r="E1053" t="n">
        <v>58</v>
      </c>
      <c r="F1053" t="n">
        <v>0</v>
      </c>
      <c r="G1053" t="n">
        <v>9</v>
      </c>
      <c r="H1053" t="n">
        <v>0</v>
      </c>
      <c r="I1053" t="n">
        <v>0</v>
      </c>
    </row>
    <row r="1054">
      <c r="A1054" t="n">
        <v>1053</v>
      </c>
      <c r="B1054" t="inlineStr">
        <is>
          <t>Train</t>
        </is>
      </c>
      <c r="C1054" t="n">
        <v>6217</v>
      </c>
      <c r="D1054" t="n">
        <v>7270</v>
      </c>
      <c r="E1054" t="n">
        <v>52</v>
      </c>
      <c r="F1054" t="n">
        <v>72500</v>
      </c>
      <c r="G1054" t="n">
        <v>7</v>
      </c>
      <c r="H1054" t="n">
        <v>16</v>
      </c>
      <c r="I1054" t="n">
        <v>273022</v>
      </c>
    </row>
    <row r="1055">
      <c r="A1055" t="n">
        <v>1054</v>
      </c>
      <c r="B1055" t="inlineStr">
        <is>
          <t>Train</t>
        </is>
      </c>
      <c r="C1055" t="n">
        <v>6952</v>
      </c>
      <c r="D1055" t="n">
        <v>8050</v>
      </c>
      <c r="E1055" t="n">
        <v>50</v>
      </c>
      <c r="F1055" t="n">
        <v>15545</v>
      </c>
      <c r="G1055" t="n">
        <v>4</v>
      </c>
      <c r="H1055" t="n">
        <v>13</v>
      </c>
      <c r="I1055" t="n">
        <v>139781</v>
      </c>
    </row>
    <row r="1056">
      <c r="A1056" t="n">
        <v>1055</v>
      </c>
      <c r="B1056" t="inlineStr">
        <is>
          <t>Train</t>
        </is>
      </c>
      <c r="C1056" t="n">
        <v>7250</v>
      </c>
      <c r="D1056" t="n">
        <v>13460</v>
      </c>
      <c r="E1056" t="n">
        <v>44</v>
      </c>
      <c r="F1056" t="n">
        <v>34408</v>
      </c>
      <c r="G1056" t="n">
        <v>3</v>
      </c>
      <c r="H1056" t="n">
        <v>9</v>
      </c>
      <c r="I1056" t="n">
        <v>169326</v>
      </c>
    </row>
    <row r="1057">
      <c r="A1057" t="n">
        <v>1056</v>
      </c>
      <c r="B1057" t="inlineStr">
        <is>
          <t>Train</t>
        </is>
      </c>
      <c r="C1057" t="n">
        <v>5466</v>
      </c>
      <c r="D1057" t="n">
        <v>19950</v>
      </c>
      <c r="E1057" t="n">
        <v>48</v>
      </c>
      <c r="F1057" t="n">
        <v>61434</v>
      </c>
      <c r="G1057" t="n">
        <v>4</v>
      </c>
      <c r="H1057" t="n">
        <v>11</v>
      </c>
      <c r="I1057" t="n">
        <v>197678</v>
      </c>
    </row>
    <row r="1058">
      <c r="A1058" t="n">
        <v>1057</v>
      </c>
      <c r="B1058" t="inlineStr">
        <is>
          <t>Validation</t>
        </is>
      </c>
      <c r="C1058" t="n">
        <v>6863</v>
      </c>
      <c r="D1058" t="n">
        <v>18240</v>
      </c>
      <c r="E1058" t="n">
        <v>41</v>
      </c>
      <c r="F1058" t="n">
        <v>87333</v>
      </c>
      <c r="G1058" t="n">
        <v>1</v>
      </c>
      <c r="H1058" t="n">
        <v>13</v>
      </c>
      <c r="I1058" t="n">
        <v>293661</v>
      </c>
    </row>
    <row r="1059">
      <c r="A1059" t="n">
        <v>1058</v>
      </c>
      <c r="B1059" t="inlineStr">
        <is>
          <t>Validation</t>
        </is>
      </c>
      <c r="C1059" t="n">
        <v>35720</v>
      </c>
      <c r="D1059" t="n">
        <v>7840</v>
      </c>
      <c r="E1059" t="n">
        <v>36</v>
      </c>
      <c r="F1059" t="n">
        <v>37452</v>
      </c>
      <c r="G1059" t="n">
        <v>0</v>
      </c>
      <c r="H1059" t="n">
        <v>10</v>
      </c>
      <c r="I1059" t="n">
        <v>187054</v>
      </c>
    </row>
    <row r="1060">
      <c r="A1060" t="n">
        <v>1059</v>
      </c>
      <c r="B1060" t="inlineStr">
        <is>
          <t>Validation</t>
        </is>
      </c>
      <c r="C1060" t="n">
        <v>3636</v>
      </c>
      <c r="D1060" t="n">
        <v>15570</v>
      </c>
      <c r="E1060" t="n">
        <v>61</v>
      </c>
      <c r="F1060" t="n">
        <v>62378</v>
      </c>
      <c r="G1060" t="n">
        <v>8</v>
      </c>
      <c r="H1060" t="n">
        <v>14</v>
      </c>
      <c r="I1060" t="n">
        <v>181874</v>
      </c>
    </row>
    <row r="1061">
      <c r="A1061" t="n">
        <v>1060</v>
      </c>
      <c r="B1061" t="inlineStr">
        <is>
          <t>Train</t>
        </is>
      </c>
      <c r="C1061" t="n">
        <v>1951</v>
      </c>
      <c r="D1061" t="n">
        <v>17570</v>
      </c>
      <c r="E1061" t="n">
        <v>41</v>
      </c>
      <c r="F1061" t="n">
        <v>11124</v>
      </c>
      <c r="G1061" t="n">
        <v>0</v>
      </c>
      <c r="H1061" t="n">
        <v>13</v>
      </c>
      <c r="I1061" t="n">
        <v>91506</v>
      </c>
    </row>
    <row r="1062">
      <c r="A1062" t="n">
        <v>1061</v>
      </c>
      <c r="B1062" t="inlineStr">
        <is>
          <t>Train</t>
        </is>
      </c>
      <c r="C1062" t="n">
        <v>5516</v>
      </c>
      <c r="D1062" t="n">
        <v>17460</v>
      </c>
      <c r="E1062" t="n">
        <v>50</v>
      </c>
      <c r="F1062" t="n">
        <v>109639</v>
      </c>
      <c r="G1062" t="n">
        <v>6</v>
      </c>
      <c r="H1062" t="n">
        <v>12</v>
      </c>
      <c r="I1062" t="n">
        <v>317460</v>
      </c>
    </row>
    <row r="1063">
      <c r="A1063" t="n">
        <v>1062</v>
      </c>
      <c r="B1063" t="inlineStr">
        <is>
          <t>Train</t>
        </is>
      </c>
      <c r="C1063" t="n">
        <v>2740</v>
      </c>
      <c r="D1063" t="n">
        <v>7200</v>
      </c>
      <c r="E1063" t="n">
        <v>40</v>
      </c>
      <c r="F1063" t="n">
        <v>74053</v>
      </c>
      <c r="G1063" t="n">
        <v>0</v>
      </c>
      <c r="H1063" t="n">
        <v>8</v>
      </c>
      <c r="I1063" t="n">
        <v>0</v>
      </c>
    </row>
    <row r="1064">
      <c r="A1064" t="n">
        <v>1063</v>
      </c>
      <c r="B1064" t="inlineStr">
        <is>
          <t>Train</t>
        </is>
      </c>
      <c r="C1064" t="n">
        <v>27444</v>
      </c>
      <c r="D1064" t="n">
        <v>20800</v>
      </c>
      <c r="E1064" t="n">
        <v>39</v>
      </c>
      <c r="F1064" t="n">
        <v>82791</v>
      </c>
      <c r="G1064" t="n">
        <v>7</v>
      </c>
      <c r="H1064" t="n">
        <v>9</v>
      </c>
      <c r="I1064" t="n">
        <v>0</v>
      </c>
    </row>
    <row r="1065">
      <c r="A1065" t="n">
        <v>1064</v>
      </c>
      <c r="B1065" t="inlineStr">
        <is>
          <t>Train</t>
        </is>
      </c>
      <c r="C1065" t="n">
        <v>7506</v>
      </c>
      <c r="D1065" t="n">
        <v>26980</v>
      </c>
      <c r="E1065" t="n">
        <v>31</v>
      </c>
      <c r="F1065" t="n">
        <v>115308</v>
      </c>
      <c r="G1065" t="n">
        <v>3</v>
      </c>
      <c r="H1065" t="n">
        <v>10</v>
      </c>
      <c r="I1065" t="n">
        <v>313484</v>
      </c>
    </row>
    <row r="1066">
      <c r="A1066" t="n">
        <v>1065</v>
      </c>
      <c r="B1066" t="inlineStr">
        <is>
          <t>Train</t>
        </is>
      </c>
      <c r="C1066" t="n">
        <v>2468</v>
      </c>
      <c r="D1066" t="n">
        <v>9610</v>
      </c>
      <c r="E1066" t="n">
        <v>22</v>
      </c>
      <c r="F1066" t="n">
        <v>12825</v>
      </c>
      <c r="G1066" t="n">
        <v>8</v>
      </c>
      <c r="H1066" t="n">
        <v>11</v>
      </c>
      <c r="I1066" t="n">
        <v>105132</v>
      </c>
    </row>
    <row r="1067">
      <c r="A1067" t="n">
        <v>1066</v>
      </c>
      <c r="B1067" t="inlineStr">
        <is>
          <t>Train</t>
        </is>
      </c>
      <c r="C1067" t="n">
        <v>2333</v>
      </c>
      <c r="D1067" t="n">
        <v>11530</v>
      </c>
      <c r="E1067" t="n">
        <v>57</v>
      </c>
      <c r="F1067" t="n">
        <v>43288</v>
      </c>
      <c r="G1067" t="n">
        <v>7</v>
      </c>
      <c r="H1067" t="n">
        <v>8</v>
      </c>
      <c r="I1067" t="n">
        <v>207205</v>
      </c>
    </row>
    <row r="1068">
      <c r="A1068" t="n">
        <v>1067</v>
      </c>
      <c r="B1068" t="inlineStr">
        <is>
          <t>Validation</t>
        </is>
      </c>
      <c r="C1068" t="n">
        <v>12609</v>
      </c>
      <c r="D1068" t="n">
        <v>10550</v>
      </c>
      <c r="E1068" t="n">
        <v>41</v>
      </c>
      <c r="F1068" t="n">
        <v>0</v>
      </c>
      <c r="G1068" t="n">
        <v>0</v>
      </c>
      <c r="H1068" t="n">
        <v>0</v>
      </c>
      <c r="I1068" t="n">
        <v>95757</v>
      </c>
    </row>
    <row r="1069">
      <c r="A1069" t="n">
        <v>1068</v>
      </c>
      <c r="B1069" t="inlineStr">
        <is>
          <t>Validation</t>
        </is>
      </c>
      <c r="C1069" t="n">
        <v>7367</v>
      </c>
      <c r="D1069" t="n">
        <v>23780</v>
      </c>
      <c r="E1069" t="n">
        <v>49</v>
      </c>
      <c r="F1069" t="n">
        <v>65659</v>
      </c>
      <c r="G1069" t="n">
        <v>5</v>
      </c>
      <c r="H1069" t="n">
        <v>11</v>
      </c>
      <c r="I1069" t="n">
        <v>0</v>
      </c>
    </row>
    <row r="1070">
      <c r="A1070" t="n">
        <v>1069</v>
      </c>
      <c r="B1070" t="inlineStr">
        <is>
          <t>Validation</t>
        </is>
      </c>
      <c r="C1070" t="n">
        <v>5396</v>
      </c>
      <c r="D1070" t="n">
        <v>22000</v>
      </c>
      <c r="E1070" t="n">
        <v>32</v>
      </c>
      <c r="F1070" t="n">
        <v>42139</v>
      </c>
      <c r="G1070" t="n">
        <v>2</v>
      </c>
      <c r="H1070" t="n">
        <v>11</v>
      </c>
      <c r="I1070" t="n">
        <v>143454</v>
      </c>
    </row>
    <row r="1071">
      <c r="A1071" t="n">
        <v>1070</v>
      </c>
      <c r="B1071" t="inlineStr">
        <is>
          <t>Train</t>
        </is>
      </c>
      <c r="C1071" t="n">
        <v>33315</v>
      </c>
      <c r="D1071" t="n">
        <v>19510</v>
      </c>
      <c r="E1071" t="n">
        <v>48</v>
      </c>
      <c r="F1071" t="n">
        <v>78940</v>
      </c>
      <c r="G1071" t="n">
        <v>0</v>
      </c>
      <c r="H1071" t="n">
        <v>11</v>
      </c>
      <c r="I1071" t="n">
        <v>279868</v>
      </c>
    </row>
    <row r="1072">
      <c r="A1072" t="n">
        <v>1071</v>
      </c>
      <c r="B1072" t="inlineStr">
        <is>
          <t>Train</t>
        </is>
      </c>
      <c r="C1072" t="n">
        <v>34492</v>
      </c>
      <c r="D1072" t="n">
        <v>19670</v>
      </c>
      <c r="E1072" t="n">
        <v>40</v>
      </c>
      <c r="F1072" t="n">
        <v>42745</v>
      </c>
      <c r="G1072" t="n">
        <v>3</v>
      </c>
      <c r="H1072" t="n">
        <v>9</v>
      </c>
      <c r="I1072" t="n">
        <v>168433</v>
      </c>
    </row>
    <row r="1073">
      <c r="A1073" t="n">
        <v>1072</v>
      </c>
      <c r="B1073" t="inlineStr">
        <is>
          <t>Train</t>
        </is>
      </c>
      <c r="C1073" t="n">
        <v>10877</v>
      </c>
      <c r="D1073" t="n">
        <v>24180</v>
      </c>
      <c r="E1073" t="n">
        <v>41</v>
      </c>
      <c r="F1073" t="n">
        <v>173572</v>
      </c>
      <c r="G1073" t="n">
        <v>5</v>
      </c>
      <c r="H1073" t="n">
        <v>15</v>
      </c>
      <c r="I1073" t="n">
        <v>447608</v>
      </c>
    </row>
    <row r="1074">
      <c r="A1074" t="n">
        <v>1073</v>
      </c>
      <c r="B1074" t="inlineStr">
        <is>
          <t>Train</t>
        </is>
      </c>
      <c r="C1074" t="n">
        <v>6857</v>
      </c>
      <c r="D1074" t="n">
        <v>28780</v>
      </c>
      <c r="E1074" t="n">
        <v>56</v>
      </c>
      <c r="F1074" t="n">
        <v>72381</v>
      </c>
      <c r="G1074" t="n">
        <v>0</v>
      </c>
      <c r="H1074" t="n">
        <v>15</v>
      </c>
      <c r="I1074" t="n">
        <v>220541</v>
      </c>
    </row>
    <row r="1075">
      <c r="A1075" t="n">
        <v>1074</v>
      </c>
      <c r="B1075" t="inlineStr">
        <is>
          <t>Train</t>
        </is>
      </c>
      <c r="C1075" t="n">
        <v>5897</v>
      </c>
      <c r="D1075" t="n">
        <v>9070</v>
      </c>
      <c r="E1075" t="n">
        <v>44</v>
      </c>
      <c r="F1075" t="n">
        <v>31728</v>
      </c>
      <c r="G1075" t="n">
        <v>5</v>
      </c>
      <c r="H1075" t="n">
        <v>15</v>
      </c>
      <c r="I1075" t="n">
        <v>0</v>
      </c>
    </row>
    <row r="1076">
      <c r="A1076" t="n">
        <v>1075</v>
      </c>
      <c r="B1076" t="inlineStr">
        <is>
          <t>Train</t>
        </is>
      </c>
      <c r="C1076" t="n">
        <v>5139</v>
      </c>
      <c r="D1076" t="n">
        <v>18540</v>
      </c>
      <c r="E1076" t="n">
        <v>63</v>
      </c>
      <c r="F1076" t="n">
        <v>18213</v>
      </c>
      <c r="G1076" t="n">
        <v>0</v>
      </c>
      <c r="H1076" t="n">
        <v>13</v>
      </c>
      <c r="I1076" t="n">
        <v>158150</v>
      </c>
    </row>
    <row r="1077">
      <c r="A1077" t="n">
        <v>1076</v>
      </c>
      <c r="B1077" t="inlineStr">
        <is>
          <t>Train</t>
        </is>
      </c>
      <c r="C1077" t="n">
        <v>4035</v>
      </c>
      <c r="D1077" t="n">
        <v>21980</v>
      </c>
      <c r="E1077" t="n">
        <v>36</v>
      </c>
      <c r="F1077" t="n">
        <v>103076</v>
      </c>
      <c r="G1077" t="n">
        <v>4</v>
      </c>
      <c r="H1077" t="n">
        <v>5</v>
      </c>
      <c r="I1077" t="n">
        <v>269435</v>
      </c>
    </row>
    <row r="1078">
      <c r="A1078" t="n">
        <v>1077</v>
      </c>
      <c r="B1078" t="inlineStr">
        <is>
          <t>Validation</t>
        </is>
      </c>
      <c r="C1078" t="n">
        <v>5267</v>
      </c>
      <c r="D1078" t="n">
        <v>8750</v>
      </c>
      <c r="E1078" t="n">
        <v>32</v>
      </c>
      <c r="F1078" t="n">
        <v>40536</v>
      </c>
      <c r="G1078" t="n">
        <v>6</v>
      </c>
      <c r="H1078" t="n">
        <v>10</v>
      </c>
      <c r="I1078" t="n">
        <v>96634</v>
      </c>
    </row>
    <row r="1079">
      <c r="A1079" t="n">
        <v>1078</v>
      </c>
      <c r="B1079" t="inlineStr">
        <is>
          <t>Validation</t>
        </is>
      </c>
      <c r="C1079" t="n">
        <v>6240</v>
      </c>
      <c r="D1079" t="n">
        <v>14130</v>
      </c>
      <c r="E1079" t="n">
        <v>42</v>
      </c>
      <c r="F1079" t="n">
        <v>84250</v>
      </c>
      <c r="G1079" t="n">
        <v>1</v>
      </c>
      <c r="H1079" t="n">
        <v>14</v>
      </c>
      <c r="I1079" t="n">
        <v>270583</v>
      </c>
    </row>
    <row r="1080">
      <c r="A1080" t="n">
        <v>1079</v>
      </c>
      <c r="B1080" t="inlineStr">
        <is>
          <t>Validation</t>
        </is>
      </c>
      <c r="C1080" t="n">
        <v>3338</v>
      </c>
      <c r="D1080" t="n">
        <v>8800</v>
      </c>
      <c r="E1080" t="n">
        <v>73</v>
      </c>
      <c r="F1080" t="n">
        <v>164088</v>
      </c>
      <c r="G1080" t="n">
        <v>8</v>
      </c>
      <c r="H1080" t="n">
        <v>14</v>
      </c>
      <c r="I1080" t="n">
        <v>0</v>
      </c>
    </row>
    <row r="1081">
      <c r="A1081" t="n">
        <v>1080</v>
      </c>
      <c r="B1081" t="inlineStr">
        <is>
          <t>Train</t>
        </is>
      </c>
      <c r="C1081" t="n">
        <v>5456</v>
      </c>
      <c r="D1081" t="n">
        <v>5000</v>
      </c>
      <c r="E1081" t="n">
        <v>35</v>
      </c>
      <c r="F1081" t="n">
        <v>0</v>
      </c>
      <c r="G1081" t="n">
        <v>2</v>
      </c>
      <c r="H1081" t="n">
        <v>0</v>
      </c>
      <c r="I1081" t="n">
        <v>110883</v>
      </c>
    </row>
    <row r="1082">
      <c r="A1082" t="n">
        <v>1081</v>
      </c>
      <c r="B1082" t="inlineStr">
        <is>
          <t>Train</t>
        </is>
      </c>
      <c r="C1082" t="n">
        <v>3148</v>
      </c>
      <c r="D1082" t="n">
        <v>10770</v>
      </c>
      <c r="E1082" t="n">
        <v>57</v>
      </c>
      <c r="F1082" t="n">
        <v>92674</v>
      </c>
      <c r="G1082" t="n">
        <v>3</v>
      </c>
      <c r="H1082" t="n">
        <v>13</v>
      </c>
      <c r="I1082" t="n">
        <v>313520</v>
      </c>
    </row>
    <row r="1083">
      <c r="A1083" t="n">
        <v>1082</v>
      </c>
      <c r="B1083" t="inlineStr">
        <is>
          <t>Train</t>
        </is>
      </c>
      <c r="C1083" t="n">
        <v>4327</v>
      </c>
      <c r="D1083" t="n">
        <v>33670</v>
      </c>
      <c r="E1083" t="n">
        <v>49</v>
      </c>
      <c r="F1083" t="n">
        <v>117424</v>
      </c>
      <c r="G1083" t="n">
        <v>0</v>
      </c>
      <c r="H1083" t="n">
        <v>12</v>
      </c>
      <c r="I1083" t="n">
        <v>0</v>
      </c>
    </row>
    <row r="1084">
      <c r="A1084" t="n">
        <v>1083</v>
      </c>
      <c r="B1084" t="inlineStr">
        <is>
          <t>Train</t>
        </is>
      </c>
      <c r="C1084" t="n">
        <v>9459</v>
      </c>
      <c r="D1084" t="n">
        <v>7940</v>
      </c>
      <c r="E1084" t="n">
        <v>36</v>
      </c>
      <c r="F1084" t="n">
        <v>16034</v>
      </c>
      <c r="G1084" t="n">
        <v>1</v>
      </c>
      <c r="H1084" t="n">
        <v>5</v>
      </c>
      <c r="I1084" t="n">
        <v>0</v>
      </c>
    </row>
    <row r="1085">
      <c r="A1085" t="n">
        <v>1084</v>
      </c>
      <c r="B1085" t="inlineStr">
        <is>
          <t>Train</t>
        </is>
      </c>
      <c r="C1085" t="n">
        <v>6020</v>
      </c>
      <c r="D1085" t="n">
        <v>14440</v>
      </c>
      <c r="E1085" t="n">
        <v>43</v>
      </c>
      <c r="F1085" t="n">
        <v>129376</v>
      </c>
      <c r="G1085" t="n">
        <v>0</v>
      </c>
      <c r="H1085" t="n">
        <v>16</v>
      </c>
      <c r="I1085" t="n">
        <v>361375</v>
      </c>
    </row>
    <row r="1086">
      <c r="A1086" t="n">
        <v>1085</v>
      </c>
      <c r="B1086" t="inlineStr">
        <is>
          <t>Train</t>
        </is>
      </c>
      <c r="C1086" t="n">
        <v>4441</v>
      </c>
      <c r="D1086" t="n">
        <v>23590</v>
      </c>
      <c r="E1086" t="n">
        <v>27</v>
      </c>
      <c r="F1086" t="n">
        <v>123062</v>
      </c>
      <c r="G1086" t="n">
        <v>0</v>
      </c>
      <c r="H1086" t="n">
        <v>13</v>
      </c>
      <c r="I1086" t="n">
        <v>0</v>
      </c>
    </row>
    <row r="1087">
      <c r="A1087" t="n">
        <v>1086</v>
      </c>
      <c r="B1087" t="inlineStr">
        <is>
          <t>Train</t>
        </is>
      </c>
      <c r="C1087" t="n">
        <v>2157</v>
      </c>
      <c r="D1087" t="n">
        <v>39090</v>
      </c>
      <c r="E1087" t="n">
        <v>36</v>
      </c>
      <c r="F1087" t="n">
        <v>125646</v>
      </c>
      <c r="G1087" t="n">
        <v>6</v>
      </c>
      <c r="H1087" t="n">
        <v>14</v>
      </c>
      <c r="I1087" t="n">
        <v>266746</v>
      </c>
    </row>
    <row r="1088">
      <c r="A1088" t="n">
        <v>1087</v>
      </c>
      <c r="B1088" t="inlineStr">
        <is>
          <t>Validation</t>
        </is>
      </c>
      <c r="C1088" t="n">
        <v>42642</v>
      </c>
      <c r="D1088" t="n">
        <v>6900</v>
      </c>
      <c r="E1088" t="n">
        <v>54</v>
      </c>
      <c r="F1088" t="n">
        <v>0</v>
      </c>
      <c r="G1088" t="n">
        <v>2</v>
      </c>
      <c r="H1088" t="n">
        <v>0</v>
      </c>
      <c r="I1088" t="n">
        <v>0</v>
      </c>
    </row>
    <row r="1089">
      <c r="A1089" t="n">
        <v>1088</v>
      </c>
      <c r="B1089" t="inlineStr">
        <is>
          <t>Validation</t>
        </is>
      </c>
      <c r="C1089" t="n">
        <v>5935</v>
      </c>
      <c r="D1089" t="n">
        <v>16080</v>
      </c>
      <c r="E1089" t="n">
        <v>53</v>
      </c>
      <c r="F1089" t="n">
        <v>57836</v>
      </c>
      <c r="G1089" t="n">
        <v>8</v>
      </c>
      <c r="H1089" t="n">
        <v>15</v>
      </c>
      <c r="I1089" t="n">
        <v>0</v>
      </c>
    </row>
    <row r="1090">
      <c r="A1090" t="n">
        <v>1089</v>
      </c>
      <c r="B1090" t="inlineStr">
        <is>
          <t>Validation</t>
        </is>
      </c>
      <c r="C1090" t="n">
        <v>18366</v>
      </c>
      <c r="D1090" t="n">
        <v>12790</v>
      </c>
      <c r="E1090" t="n">
        <v>43</v>
      </c>
      <c r="F1090" t="n">
        <v>55613</v>
      </c>
      <c r="G1090" t="n">
        <v>5</v>
      </c>
      <c r="H1090" t="n">
        <v>11</v>
      </c>
      <c r="I1090" t="n">
        <v>0</v>
      </c>
    </row>
    <row r="1091">
      <c r="A1091" t="n">
        <v>1090</v>
      </c>
      <c r="B1091" t="inlineStr">
        <is>
          <t>Train</t>
        </is>
      </c>
      <c r="C1091" t="n">
        <v>7547</v>
      </c>
      <c r="D1091" t="n">
        <v>6390</v>
      </c>
      <c r="E1091" t="n">
        <v>40</v>
      </c>
      <c r="F1091" t="n">
        <v>101144</v>
      </c>
      <c r="G1091" t="n">
        <v>1</v>
      </c>
      <c r="H1091" t="n">
        <v>11</v>
      </c>
      <c r="I1091" t="n">
        <v>0</v>
      </c>
    </row>
    <row r="1092">
      <c r="A1092" t="n">
        <v>1091</v>
      </c>
      <c r="B1092" t="inlineStr">
        <is>
          <t>Train</t>
        </is>
      </c>
      <c r="C1092" t="n">
        <v>38528</v>
      </c>
      <c r="D1092" t="n">
        <v>19420</v>
      </c>
      <c r="E1092" t="n">
        <v>64</v>
      </c>
      <c r="F1092" t="n">
        <v>23433</v>
      </c>
      <c r="G1092" t="n">
        <v>6</v>
      </c>
      <c r="H1092" t="n">
        <v>17</v>
      </c>
      <c r="I1092" t="n">
        <v>144171</v>
      </c>
    </row>
    <row r="1093">
      <c r="A1093" t="n">
        <v>1092</v>
      </c>
      <c r="B1093" t="inlineStr">
        <is>
          <t>Train</t>
        </is>
      </c>
      <c r="C1093" t="n">
        <v>8306</v>
      </c>
      <c r="D1093" t="n">
        <v>19960</v>
      </c>
      <c r="E1093" t="n">
        <v>52</v>
      </c>
      <c r="F1093" t="n">
        <v>137357</v>
      </c>
      <c r="G1093" t="n">
        <v>0</v>
      </c>
      <c r="H1093" t="n">
        <v>11</v>
      </c>
      <c r="I1093" t="n">
        <v>327227</v>
      </c>
    </row>
    <row r="1094">
      <c r="A1094" t="n">
        <v>1093</v>
      </c>
      <c r="B1094" t="inlineStr">
        <is>
          <t>Train</t>
        </is>
      </c>
      <c r="C1094" t="n">
        <v>6050</v>
      </c>
      <c r="D1094" t="n">
        <v>11030</v>
      </c>
      <c r="E1094" t="n">
        <v>39</v>
      </c>
      <c r="F1094" t="n">
        <v>104023</v>
      </c>
      <c r="G1094" t="n">
        <v>1</v>
      </c>
      <c r="H1094" t="n">
        <v>6</v>
      </c>
      <c r="I1094" t="n">
        <v>323456</v>
      </c>
    </row>
    <row r="1095">
      <c r="A1095" t="n">
        <v>1094</v>
      </c>
      <c r="B1095" t="inlineStr">
        <is>
          <t>Train</t>
        </is>
      </c>
      <c r="C1095" t="n">
        <v>5764</v>
      </c>
      <c r="D1095" t="n">
        <v>1500</v>
      </c>
      <c r="E1095" t="n">
        <v>39</v>
      </c>
      <c r="F1095" t="n">
        <v>22626</v>
      </c>
      <c r="G1095" t="n">
        <v>3</v>
      </c>
      <c r="H1095" t="n">
        <v>16</v>
      </c>
      <c r="I1095" t="n">
        <v>60718</v>
      </c>
    </row>
    <row r="1096">
      <c r="A1096" t="n">
        <v>1095</v>
      </c>
      <c r="B1096" t="inlineStr">
        <is>
          <t>Train</t>
        </is>
      </c>
      <c r="C1096" t="n">
        <v>2457</v>
      </c>
      <c r="D1096" t="n">
        <v>12450</v>
      </c>
      <c r="E1096" t="n">
        <v>44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1096</v>
      </c>
      <c r="B1097" t="inlineStr">
        <is>
          <t>Train</t>
        </is>
      </c>
      <c r="C1097" t="n">
        <v>41137</v>
      </c>
      <c r="D1097" t="n">
        <v>10490</v>
      </c>
      <c r="E1097" t="n">
        <v>28</v>
      </c>
      <c r="F1097" t="n">
        <v>61941</v>
      </c>
      <c r="G1097" t="n">
        <v>5</v>
      </c>
      <c r="H1097" t="n">
        <v>14</v>
      </c>
      <c r="I1097" t="n">
        <v>196239</v>
      </c>
    </row>
    <row r="1098">
      <c r="A1098" t="n">
        <v>1097</v>
      </c>
      <c r="B1098" t="inlineStr">
        <is>
          <t>Validation</t>
        </is>
      </c>
      <c r="C1098" t="n">
        <v>1463</v>
      </c>
      <c r="D1098" t="n">
        <v>22370</v>
      </c>
      <c r="E1098" t="n">
        <v>45</v>
      </c>
      <c r="F1098" t="n">
        <v>136408</v>
      </c>
      <c r="G1098" t="n">
        <v>0</v>
      </c>
      <c r="H1098" t="n">
        <v>13</v>
      </c>
      <c r="I1098" t="n">
        <v>0</v>
      </c>
    </row>
    <row r="1099">
      <c r="A1099" t="n">
        <v>1098</v>
      </c>
      <c r="B1099" t="inlineStr">
        <is>
          <t>Validation</t>
        </is>
      </c>
      <c r="C1099" t="n">
        <v>4344</v>
      </c>
      <c r="D1099" t="n">
        <v>31000</v>
      </c>
      <c r="E1099" t="n">
        <v>49</v>
      </c>
      <c r="F1099" t="n">
        <v>123574</v>
      </c>
      <c r="G1099" t="n">
        <v>0</v>
      </c>
      <c r="H1099" t="n">
        <v>13</v>
      </c>
      <c r="I1099" t="n">
        <v>347009</v>
      </c>
    </row>
    <row r="1100">
      <c r="A1100" t="n">
        <v>1099</v>
      </c>
      <c r="B1100" t="inlineStr">
        <is>
          <t>Validation</t>
        </is>
      </c>
      <c r="C1100" t="n">
        <v>8013</v>
      </c>
      <c r="D1100" t="n">
        <v>14310</v>
      </c>
      <c r="E1100" t="n">
        <v>53</v>
      </c>
      <c r="F1100" t="n">
        <v>72291</v>
      </c>
      <c r="G1100" t="n">
        <v>5</v>
      </c>
      <c r="H1100" t="n">
        <v>10</v>
      </c>
      <c r="I1100" t="n">
        <v>0</v>
      </c>
    </row>
    <row r="1101">
      <c r="A1101" t="n">
        <v>1100</v>
      </c>
      <c r="B1101" t="inlineStr">
        <is>
          <t>Train</t>
        </is>
      </c>
      <c r="C1101" t="n">
        <v>6413</v>
      </c>
      <c r="D1101" t="n">
        <v>21930</v>
      </c>
      <c r="E1101" t="n">
        <v>55</v>
      </c>
      <c r="F1101" t="n">
        <v>149254</v>
      </c>
      <c r="G1101" t="n">
        <v>5</v>
      </c>
      <c r="H1101" t="n">
        <v>8</v>
      </c>
      <c r="I1101" t="n">
        <v>409592</v>
      </c>
    </row>
    <row r="1102">
      <c r="A1102" t="n">
        <v>1101</v>
      </c>
      <c r="B1102" t="inlineStr">
        <is>
          <t>Train</t>
        </is>
      </c>
      <c r="C1102" t="n">
        <v>38832</v>
      </c>
      <c r="D1102" t="n">
        <v>9840</v>
      </c>
      <c r="E1102" t="n">
        <v>35</v>
      </c>
      <c r="F1102" t="n">
        <v>48386</v>
      </c>
      <c r="G1102" t="n">
        <v>1</v>
      </c>
      <c r="H1102" t="n">
        <v>13</v>
      </c>
      <c r="I1102" t="n">
        <v>138283</v>
      </c>
    </row>
    <row r="1103">
      <c r="A1103" t="n">
        <v>1102</v>
      </c>
      <c r="B1103" t="inlineStr">
        <is>
          <t>Train</t>
        </is>
      </c>
      <c r="C1103" t="n">
        <v>1451</v>
      </c>
      <c r="D1103" t="n">
        <v>27570</v>
      </c>
      <c r="E1103" t="n">
        <v>67</v>
      </c>
      <c r="F1103" t="n">
        <v>97259</v>
      </c>
      <c r="G1103" t="n">
        <v>5</v>
      </c>
      <c r="H1103" t="n">
        <v>13</v>
      </c>
      <c r="I1103" t="n">
        <v>313615</v>
      </c>
    </row>
    <row r="1104">
      <c r="A1104" t="n">
        <v>1103</v>
      </c>
      <c r="B1104" t="inlineStr">
        <is>
          <t>Train</t>
        </is>
      </c>
      <c r="C1104" t="n">
        <v>5068</v>
      </c>
      <c r="D1104" t="n">
        <v>27030</v>
      </c>
      <c r="E1104" t="n">
        <v>35</v>
      </c>
      <c r="F1104" t="n">
        <v>44839</v>
      </c>
      <c r="G1104" t="n">
        <v>2</v>
      </c>
      <c r="H1104" t="n">
        <v>10</v>
      </c>
      <c r="I1104" t="n">
        <v>195156</v>
      </c>
    </row>
    <row r="1105">
      <c r="A1105" t="n">
        <v>1104</v>
      </c>
      <c r="B1105" t="inlineStr">
        <is>
          <t>Train</t>
        </is>
      </c>
      <c r="C1105" t="n">
        <v>8599</v>
      </c>
      <c r="D1105" t="n">
        <v>23630</v>
      </c>
      <c r="E1105" t="n">
        <v>44</v>
      </c>
      <c r="F1105" t="n">
        <v>155143</v>
      </c>
      <c r="G1105" t="n">
        <v>0</v>
      </c>
      <c r="H1105" t="n">
        <v>10</v>
      </c>
      <c r="I1105" t="n">
        <v>368111</v>
      </c>
    </row>
    <row r="1106">
      <c r="A1106" t="n">
        <v>1105</v>
      </c>
      <c r="B1106" t="inlineStr">
        <is>
          <t>Train</t>
        </is>
      </c>
      <c r="C1106" t="n">
        <v>8818</v>
      </c>
      <c r="D1106" t="n">
        <v>14670</v>
      </c>
      <c r="E1106" t="n">
        <v>56</v>
      </c>
      <c r="F1106" t="n">
        <v>44022</v>
      </c>
      <c r="G1106" t="n">
        <v>0</v>
      </c>
      <c r="H1106" t="n">
        <v>15</v>
      </c>
      <c r="I1106" t="n">
        <v>0</v>
      </c>
    </row>
    <row r="1107">
      <c r="A1107" t="n">
        <v>1106</v>
      </c>
      <c r="B1107" t="inlineStr">
        <is>
          <t>Train</t>
        </is>
      </c>
      <c r="C1107" t="n">
        <v>4987</v>
      </c>
      <c r="D1107" t="n">
        <v>18430</v>
      </c>
      <c r="E1107" t="n">
        <v>51</v>
      </c>
      <c r="F1107" t="n">
        <v>103745</v>
      </c>
      <c r="G1107" t="n">
        <v>0</v>
      </c>
      <c r="H1107" t="n">
        <v>10</v>
      </c>
      <c r="I1107" t="n">
        <v>0</v>
      </c>
    </row>
    <row r="1108">
      <c r="A1108" t="n">
        <v>1107</v>
      </c>
      <c r="B1108" t="inlineStr">
        <is>
          <t>Validation</t>
        </is>
      </c>
      <c r="C1108" t="n">
        <v>8292</v>
      </c>
      <c r="D1108" t="n">
        <v>19290</v>
      </c>
      <c r="E1108" t="n">
        <v>52</v>
      </c>
      <c r="F1108" t="n">
        <v>100704</v>
      </c>
      <c r="G1108" t="n">
        <v>1</v>
      </c>
      <c r="H1108" t="n">
        <v>14</v>
      </c>
      <c r="I1108" t="n">
        <v>305905</v>
      </c>
    </row>
    <row r="1109">
      <c r="A1109" t="n">
        <v>1108</v>
      </c>
      <c r="B1109" t="inlineStr">
        <is>
          <t>Validation</t>
        </is>
      </c>
      <c r="C1109" t="n">
        <v>3627</v>
      </c>
      <c r="D1109" t="n">
        <v>6620</v>
      </c>
      <c r="E1109" t="n">
        <v>46</v>
      </c>
      <c r="F1109" t="n">
        <v>35586</v>
      </c>
      <c r="G1109" t="n">
        <v>8</v>
      </c>
      <c r="H1109" t="n">
        <v>9</v>
      </c>
      <c r="I1109" t="n">
        <v>168624</v>
      </c>
    </row>
    <row r="1110">
      <c r="A1110" t="n">
        <v>1109</v>
      </c>
      <c r="B1110" t="inlineStr">
        <is>
          <t>Validation</t>
        </is>
      </c>
      <c r="C1110" t="n">
        <v>1757</v>
      </c>
      <c r="D1110" t="n">
        <v>7060</v>
      </c>
      <c r="E1110" t="n">
        <v>37</v>
      </c>
      <c r="F1110" t="n">
        <v>93766</v>
      </c>
      <c r="G1110" t="n">
        <v>6</v>
      </c>
      <c r="H1110" t="n">
        <v>11</v>
      </c>
      <c r="I1110" t="n">
        <v>0</v>
      </c>
    </row>
    <row r="1111">
      <c r="A1111" t="n">
        <v>1110</v>
      </c>
      <c r="B1111" t="inlineStr">
        <is>
          <t>Train</t>
        </is>
      </c>
      <c r="C1111" t="n">
        <v>5259</v>
      </c>
      <c r="D1111" t="n">
        <v>7400</v>
      </c>
      <c r="E1111" t="n">
        <v>59</v>
      </c>
      <c r="F1111" t="n">
        <v>0</v>
      </c>
      <c r="G1111" t="n">
        <v>1</v>
      </c>
      <c r="H1111" t="n">
        <v>0</v>
      </c>
      <c r="I1111" t="n">
        <v>145884</v>
      </c>
    </row>
    <row r="1112">
      <c r="A1112" t="n">
        <v>1111</v>
      </c>
      <c r="B1112" t="inlineStr">
        <is>
          <t>Train</t>
        </is>
      </c>
      <c r="C1112" t="n">
        <v>582</v>
      </c>
      <c r="D1112" t="n">
        <v>6750</v>
      </c>
      <c r="E1112" t="n">
        <v>32</v>
      </c>
      <c r="F1112" t="n">
        <v>52466</v>
      </c>
      <c r="G1112" t="n">
        <v>3</v>
      </c>
      <c r="H1112" t="n">
        <v>10</v>
      </c>
      <c r="I1112" t="n">
        <v>187881</v>
      </c>
    </row>
    <row r="1113">
      <c r="A1113" t="n">
        <v>1112</v>
      </c>
      <c r="B1113" t="inlineStr">
        <is>
          <t>Train</t>
        </is>
      </c>
      <c r="C1113" t="n">
        <v>1479</v>
      </c>
      <c r="D1113" t="n">
        <v>5600</v>
      </c>
      <c r="E1113" t="n">
        <v>41</v>
      </c>
      <c r="F1113" t="n">
        <v>13393</v>
      </c>
      <c r="G1113" t="n">
        <v>5</v>
      </c>
      <c r="H1113" t="n">
        <v>14</v>
      </c>
      <c r="I1113" t="n">
        <v>125873</v>
      </c>
    </row>
    <row r="1114">
      <c r="A1114" t="n">
        <v>1113</v>
      </c>
      <c r="B1114" t="inlineStr">
        <is>
          <t>Train</t>
        </is>
      </c>
      <c r="C1114" t="n">
        <v>3977</v>
      </c>
      <c r="D1114" t="n">
        <v>42540</v>
      </c>
      <c r="E1114" t="n">
        <v>58</v>
      </c>
      <c r="F1114" t="n">
        <v>101009</v>
      </c>
      <c r="G1114" t="n">
        <v>0</v>
      </c>
      <c r="H1114" t="n">
        <v>10</v>
      </c>
      <c r="I1114" t="n">
        <v>322161</v>
      </c>
    </row>
    <row r="1115">
      <c r="A1115" t="n">
        <v>1114</v>
      </c>
      <c r="B1115" t="inlineStr">
        <is>
          <t>Train</t>
        </is>
      </c>
      <c r="C1115" t="n">
        <v>5059</v>
      </c>
      <c r="D1115" t="n">
        <v>19340</v>
      </c>
      <c r="E1115" t="n">
        <v>49</v>
      </c>
      <c r="F1115" t="n">
        <v>86986</v>
      </c>
      <c r="G1115" t="n">
        <v>0</v>
      </c>
      <c r="H1115" t="n">
        <v>10</v>
      </c>
      <c r="I1115" t="n">
        <v>295143</v>
      </c>
    </row>
    <row r="1116">
      <c r="A1116" t="n">
        <v>1115</v>
      </c>
      <c r="B1116" t="inlineStr">
        <is>
          <t>Train</t>
        </is>
      </c>
      <c r="C1116" t="n">
        <v>5077</v>
      </c>
      <c r="D1116" t="n">
        <v>20040</v>
      </c>
      <c r="E1116" t="n">
        <v>29</v>
      </c>
      <c r="F1116" t="n">
        <v>142531</v>
      </c>
      <c r="G1116" t="n">
        <v>2</v>
      </c>
      <c r="H1116" t="n">
        <v>12</v>
      </c>
      <c r="I1116" t="n">
        <v>0</v>
      </c>
    </row>
    <row r="1117">
      <c r="A1117" t="n">
        <v>1116</v>
      </c>
      <c r="B1117" t="inlineStr">
        <is>
          <t>Train</t>
        </is>
      </c>
      <c r="C1117" t="n">
        <v>3340</v>
      </c>
      <c r="D1117" t="n">
        <v>27470</v>
      </c>
      <c r="E1117" t="n">
        <v>25</v>
      </c>
      <c r="F1117" t="n">
        <v>71892</v>
      </c>
      <c r="G1117" t="n">
        <v>6</v>
      </c>
      <c r="H1117" t="n">
        <v>15</v>
      </c>
      <c r="I1117" t="n">
        <v>211306</v>
      </c>
    </row>
    <row r="1118">
      <c r="A1118" t="n">
        <v>1117</v>
      </c>
      <c r="B1118" t="inlineStr">
        <is>
          <t>Validation</t>
        </is>
      </c>
      <c r="C1118" t="n">
        <v>4620</v>
      </c>
      <c r="D1118" t="n">
        <v>7990</v>
      </c>
      <c r="E1118" t="n">
        <v>35</v>
      </c>
      <c r="F1118" t="n">
        <v>64872</v>
      </c>
      <c r="G1118" t="n">
        <v>5</v>
      </c>
      <c r="H1118" t="n">
        <v>13</v>
      </c>
      <c r="I1118" t="n">
        <v>187354</v>
      </c>
    </row>
    <row r="1119">
      <c r="A1119" t="n">
        <v>1118</v>
      </c>
      <c r="B1119" t="inlineStr">
        <is>
          <t>Validation</t>
        </is>
      </c>
      <c r="C1119" t="n">
        <v>4826</v>
      </c>
      <c r="D1119" t="n">
        <v>17650</v>
      </c>
      <c r="E1119" t="n">
        <v>46</v>
      </c>
      <c r="F1119" t="n">
        <v>0</v>
      </c>
      <c r="G1119" t="n">
        <v>4</v>
      </c>
      <c r="H1119" t="n">
        <v>0</v>
      </c>
      <c r="I1119" t="n">
        <v>99021</v>
      </c>
    </row>
    <row r="1120">
      <c r="A1120" t="n">
        <v>1119</v>
      </c>
      <c r="B1120" t="inlineStr">
        <is>
          <t>Validation</t>
        </is>
      </c>
      <c r="C1120" t="n">
        <v>9795</v>
      </c>
      <c r="D1120" t="n">
        <v>9290</v>
      </c>
      <c r="E1120" t="n">
        <v>52</v>
      </c>
      <c r="F1120" t="n">
        <v>52939</v>
      </c>
      <c r="G1120" t="n">
        <v>2</v>
      </c>
      <c r="H1120" t="n">
        <v>14</v>
      </c>
      <c r="I1120" t="n">
        <v>251642</v>
      </c>
    </row>
    <row r="1121">
      <c r="A1121" t="n">
        <v>1120</v>
      </c>
      <c r="B1121" t="inlineStr">
        <is>
          <t>Train</t>
        </is>
      </c>
      <c r="C1121" t="n">
        <v>3983</v>
      </c>
      <c r="D1121" t="n">
        <v>12500</v>
      </c>
      <c r="E1121" t="n">
        <v>32</v>
      </c>
      <c r="F1121" t="n">
        <v>0</v>
      </c>
      <c r="G1121" t="n">
        <v>3</v>
      </c>
      <c r="H1121" t="n">
        <v>0</v>
      </c>
      <c r="I1121" t="n">
        <v>0</v>
      </c>
    </row>
    <row r="1122">
      <c r="A1122" t="n">
        <v>1121</v>
      </c>
      <c r="B1122" t="inlineStr">
        <is>
          <t>Train</t>
        </is>
      </c>
      <c r="C1122" t="n">
        <v>7496</v>
      </c>
      <c r="D1122" t="n">
        <v>13400</v>
      </c>
      <c r="E1122" t="n">
        <v>61</v>
      </c>
      <c r="F1122" t="n">
        <v>57977</v>
      </c>
      <c r="G1122" t="n">
        <v>3</v>
      </c>
      <c r="H1122" t="n">
        <v>13</v>
      </c>
      <c r="I1122" t="n">
        <v>222551</v>
      </c>
    </row>
    <row r="1123">
      <c r="A1123" t="n">
        <v>1122</v>
      </c>
      <c r="B1123" t="inlineStr">
        <is>
          <t>Train</t>
        </is>
      </c>
      <c r="C1123" t="n">
        <v>11407</v>
      </c>
      <c r="D1123" t="n">
        <v>20900</v>
      </c>
      <c r="E1123" t="n">
        <v>52</v>
      </c>
      <c r="F1123" t="n">
        <v>75774</v>
      </c>
      <c r="G1123" t="n">
        <v>4</v>
      </c>
      <c r="H1123" t="n">
        <v>12</v>
      </c>
      <c r="I1123" t="n">
        <v>258868</v>
      </c>
    </row>
    <row r="1124">
      <c r="A1124" t="n">
        <v>1123</v>
      </c>
      <c r="B1124" t="inlineStr">
        <is>
          <t>Train</t>
        </is>
      </c>
      <c r="C1124" t="n">
        <v>5384</v>
      </c>
      <c r="D1124" t="n">
        <v>22210</v>
      </c>
      <c r="E1124" t="n">
        <v>41</v>
      </c>
      <c r="F1124" t="n">
        <v>89602</v>
      </c>
      <c r="G1124" t="n">
        <v>5</v>
      </c>
      <c r="H1124" t="n">
        <v>10</v>
      </c>
      <c r="I1124" t="n">
        <v>258834</v>
      </c>
    </row>
    <row r="1125">
      <c r="A1125" t="n">
        <v>1124</v>
      </c>
      <c r="B1125" t="inlineStr">
        <is>
          <t>Train</t>
        </is>
      </c>
      <c r="C1125" t="n">
        <v>1380</v>
      </c>
      <c r="D1125" t="n">
        <v>18150</v>
      </c>
      <c r="E1125" t="n">
        <v>56</v>
      </c>
      <c r="F1125" t="n">
        <v>58247</v>
      </c>
      <c r="G1125" t="n">
        <v>1</v>
      </c>
      <c r="H1125" t="n">
        <v>14</v>
      </c>
      <c r="I1125" t="n">
        <v>190172</v>
      </c>
    </row>
    <row r="1126">
      <c r="A1126" t="n">
        <v>1125</v>
      </c>
      <c r="B1126" t="inlineStr">
        <is>
          <t>Train</t>
        </is>
      </c>
      <c r="C1126" t="n">
        <v>6170</v>
      </c>
      <c r="D1126" t="n">
        <v>10830</v>
      </c>
      <c r="E1126" t="n">
        <v>45</v>
      </c>
      <c r="F1126" t="n">
        <v>48319</v>
      </c>
      <c r="G1126" t="n">
        <v>4</v>
      </c>
      <c r="H1126" t="n">
        <v>13</v>
      </c>
      <c r="I1126" t="n">
        <v>205802</v>
      </c>
    </row>
    <row r="1127">
      <c r="A1127" t="n">
        <v>1126</v>
      </c>
      <c r="B1127" t="inlineStr">
        <is>
          <t>Train</t>
        </is>
      </c>
      <c r="C1127" t="n">
        <v>7499</v>
      </c>
      <c r="D1127" t="n">
        <v>3320</v>
      </c>
      <c r="E1127" t="n">
        <v>54</v>
      </c>
      <c r="F1127" t="n">
        <v>9123</v>
      </c>
      <c r="G1127" t="n">
        <v>0</v>
      </c>
      <c r="H1127" t="n">
        <v>12</v>
      </c>
      <c r="I1127" t="n">
        <v>120711</v>
      </c>
    </row>
    <row r="1128">
      <c r="A1128" t="n">
        <v>1127</v>
      </c>
      <c r="B1128" t="inlineStr">
        <is>
          <t>Validation</t>
        </is>
      </c>
      <c r="C1128" t="n">
        <v>46912</v>
      </c>
      <c r="D1128" t="n">
        <v>34880</v>
      </c>
      <c r="E1128" t="n">
        <v>31</v>
      </c>
      <c r="F1128" t="n">
        <v>29644</v>
      </c>
      <c r="G1128" t="n">
        <v>2</v>
      </c>
      <c r="H1128" t="n">
        <v>11</v>
      </c>
      <c r="I1128" t="n">
        <v>148568</v>
      </c>
    </row>
    <row r="1129">
      <c r="A1129" t="n">
        <v>1128</v>
      </c>
      <c r="B1129" t="inlineStr">
        <is>
          <t>Validation</t>
        </is>
      </c>
      <c r="C1129" t="n">
        <v>3603</v>
      </c>
      <c r="D1129" t="n">
        <v>11010</v>
      </c>
      <c r="E1129" t="n">
        <v>41</v>
      </c>
      <c r="F1129" t="n">
        <v>35256</v>
      </c>
      <c r="G1129" t="n">
        <v>3</v>
      </c>
      <c r="H1129" t="n">
        <v>13</v>
      </c>
      <c r="I1129" t="n">
        <v>159003</v>
      </c>
    </row>
    <row r="1130">
      <c r="A1130" t="n">
        <v>1129</v>
      </c>
      <c r="B1130" t="inlineStr">
        <is>
          <t>Validation</t>
        </is>
      </c>
      <c r="C1130" t="n">
        <v>1124</v>
      </c>
      <c r="D1130" t="n">
        <v>18340</v>
      </c>
      <c r="E1130" t="n">
        <v>48</v>
      </c>
      <c r="F1130" t="n">
        <v>106742</v>
      </c>
      <c r="G1130" t="n">
        <v>0</v>
      </c>
      <c r="H1130" t="n">
        <v>12</v>
      </c>
      <c r="I1130" t="n">
        <v>0</v>
      </c>
    </row>
    <row r="1131">
      <c r="A1131" t="n">
        <v>1130</v>
      </c>
      <c r="B1131" t="inlineStr">
        <is>
          <t>Train</t>
        </is>
      </c>
      <c r="C1131" t="n">
        <v>4438</v>
      </c>
      <c r="D1131" t="n">
        <v>13340</v>
      </c>
      <c r="E1131" t="n">
        <v>57</v>
      </c>
      <c r="F1131" t="n">
        <v>62226</v>
      </c>
      <c r="G1131" t="n">
        <v>6</v>
      </c>
      <c r="H1131" t="n">
        <v>13</v>
      </c>
      <c r="I1131" t="n">
        <v>0</v>
      </c>
    </row>
    <row r="1132">
      <c r="A1132" t="n">
        <v>1131</v>
      </c>
      <c r="B1132" t="inlineStr">
        <is>
          <t>Train</t>
        </is>
      </c>
      <c r="C1132" t="n">
        <v>5292</v>
      </c>
      <c r="D1132" t="n">
        <v>24590</v>
      </c>
      <c r="E1132" t="n">
        <v>60</v>
      </c>
      <c r="F1132" t="n">
        <v>91519</v>
      </c>
      <c r="G1132" t="n">
        <v>7</v>
      </c>
      <c r="H1132" t="n">
        <v>15</v>
      </c>
      <c r="I1132" t="n">
        <v>251790</v>
      </c>
    </row>
    <row r="1133">
      <c r="A1133" t="n">
        <v>1132</v>
      </c>
      <c r="B1133" t="inlineStr">
        <is>
          <t>Train</t>
        </is>
      </c>
      <c r="C1133" t="n">
        <v>1143</v>
      </c>
      <c r="D1133" t="n">
        <v>8580</v>
      </c>
      <c r="E1133" t="n">
        <v>42</v>
      </c>
      <c r="F1133" t="n">
        <v>24865</v>
      </c>
      <c r="G1133" t="n">
        <v>4</v>
      </c>
      <c r="H1133" t="n">
        <v>17</v>
      </c>
      <c r="I1133" t="n">
        <v>152293</v>
      </c>
    </row>
    <row r="1134">
      <c r="A1134" t="n">
        <v>1133</v>
      </c>
      <c r="B1134" t="inlineStr">
        <is>
          <t>Train</t>
        </is>
      </c>
      <c r="C1134" t="n">
        <v>7812</v>
      </c>
      <c r="D1134" t="n">
        <v>11190</v>
      </c>
      <c r="E1134" t="n">
        <v>50</v>
      </c>
      <c r="F1134" t="n">
        <v>42870</v>
      </c>
      <c r="G1134" t="n">
        <v>6</v>
      </c>
      <c r="H1134" t="n">
        <v>13</v>
      </c>
      <c r="I1134" t="n">
        <v>186519</v>
      </c>
    </row>
    <row r="1135">
      <c r="A1135" t="n">
        <v>1134</v>
      </c>
      <c r="B1135" t="inlineStr">
        <is>
          <t>Train</t>
        </is>
      </c>
      <c r="C1135" t="n">
        <v>31073</v>
      </c>
      <c r="D1135" t="n">
        <v>14460</v>
      </c>
      <c r="E1135" t="n">
        <v>32</v>
      </c>
      <c r="F1135" t="n">
        <v>8659</v>
      </c>
      <c r="G1135" t="n">
        <v>0</v>
      </c>
      <c r="H1135" t="n">
        <v>8</v>
      </c>
      <c r="I1135" t="n">
        <v>0</v>
      </c>
    </row>
    <row r="1136">
      <c r="A1136" t="n">
        <v>1135</v>
      </c>
      <c r="B1136" t="inlineStr">
        <is>
          <t>Train</t>
        </is>
      </c>
      <c r="C1136" t="n">
        <v>3409</v>
      </c>
      <c r="D1136" t="n">
        <v>5760</v>
      </c>
      <c r="E1136" t="n">
        <v>22</v>
      </c>
      <c r="F1136" t="n">
        <v>20646</v>
      </c>
      <c r="G1136" t="n">
        <v>11</v>
      </c>
      <c r="H1136" t="n">
        <v>10</v>
      </c>
      <c r="I1136" t="n">
        <v>0</v>
      </c>
    </row>
    <row r="1137">
      <c r="A1137" t="n">
        <v>1136</v>
      </c>
      <c r="B1137" t="inlineStr">
        <is>
          <t>Train</t>
        </is>
      </c>
      <c r="C1137" t="n">
        <v>11027</v>
      </c>
      <c r="D1137" t="n">
        <v>4380</v>
      </c>
      <c r="E1137" t="n">
        <v>23</v>
      </c>
      <c r="F1137" t="n">
        <v>5822</v>
      </c>
      <c r="G1137" t="n">
        <v>8</v>
      </c>
      <c r="H1137" t="n">
        <v>6</v>
      </c>
      <c r="I1137" t="n">
        <v>0</v>
      </c>
    </row>
    <row r="1138">
      <c r="A1138" t="n">
        <v>1137</v>
      </c>
      <c r="B1138" t="inlineStr">
        <is>
          <t>Validation</t>
        </is>
      </c>
      <c r="C1138" t="n">
        <v>1501</v>
      </c>
      <c r="D1138" t="n">
        <v>13890</v>
      </c>
      <c r="E1138" t="n">
        <v>43</v>
      </c>
      <c r="F1138" t="n">
        <v>0</v>
      </c>
      <c r="G1138" t="n">
        <v>1</v>
      </c>
      <c r="H1138" t="n">
        <v>0</v>
      </c>
      <c r="I1138" t="n">
        <v>0</v>
      </c>
    </row>
    <row r="1139">
      <c r="A1139" t="n">
        <v>1138</v>
      </c>
      <c r="B1139" t="inlineStr">
        <is>
          <t>Validation</t>
        </is>
      </c>
      <c r="C1139" t="n">
        <v>3092</v>
      </c>
      <c r="D1139" t="n">
        <v>13510</v>
      </c>
      <c r="E1139" t="n">
        <v>34</v>
      </c>
      <c r="F1139" t="n">
        <v>17069</v>
      </c>
      <c r="G1139" t="n">
        <v>5</v>
      </c>
      <c r="H1139" t="n">
        <v>12</v>
      </c>
      <c r="I1139" t="n">
        <v>77863</v>
      </c>
    </row>
    <row r="1140">
      <c r="A1140" t="n">
        <v>1139</v>
      </c>
      <c r="B1140" t="inlineStr">
        <is>
          <t>Validation</t>
        </is>
      </c>
      <c r="C1140" t="n">
        <v>5734</v>
      </c>
      <c r="D1140" t="n">
        <v>15350</v>
      </c>
      <c r="E1140" t="n">
        <v>42</v>
      </c>
      <c r="F1140" t="n">
        <v>96537</v>
      </c>
      <c r="G1140" t="n">
        <v>0</v>
      </c>
      <c r="H1140" t="n">
        <v>15</v>
      </c>
      <c r="I1140" t="n">
        <v>306515</v>
      </c>
    </row>
    <row r="1141">
      <c r="A1141" t="n">
        <v>1140</v>
      </c>
      <c r="B1141" t="inlineStr">
        <is>
          <t>Train</t>
        </is>
      </c>
      <c r="C1141" t="n">
        <v>4004</v>
      </c>
      <c r="D1141" t="n">
        <v>18350</v>
      </c>
      <c r="E1141" t="n">
        <v>49</v>
      </c>
      <c r="F1141" t="n">
        <v>214189</v>
      </c>
      <c r="G1141" t="n">
        <v>0</v>
      </c>
      <c r="H1141" t="n">
        <v>11</v>
      </c>
      <c r="I1141" t="n">
        <v>0</v>
      </c>
    </row>
    <row r="1142">
      <c r="A1142" t="n">
        <v>1141</v>
      </c>
      <c r="B1142" t="inlineStr">
        <is>
          <t>Train</t>
        </is>
      </c>
      <c r="C1142" t="n">
        <v>39397</v>
      </c>
      <c r="D1142" t="n">
        <v>8940</v>
      </c>
      <c r="E1142" t="n">
        <v>48</v>
      </c>
      <c r="F1142" t="n">
        <v>7379</v>
      </c>
      <c r="G1142" t="n">
        <v>5</v>
      </c>
      <c r="H1142" t="n">
        <v>13</v>
      </c>
      <c r="I1142" t="n">
        <v>97939</v>
      </c>
    </row>
    <row r="1143">
      <c r="A1143" t="n">
        <v>1142</v>
      </c>
      <c r="B1143" t="inlineStr">
        <is>
          <t>Train</t>
        </is>
      </c>
      <c r="C1143" t="n">
        <v>3380</v>
      </c>
      <c r="D1143" t="n">
        <v>15410</v>
      </c>
      <c r="E1143" t="n">
        <v>61</v>
      </c>
      <c r="F1143" t="n">
        <v>78094</v>
      </c>
      <c r="G1143" t="n">
        <v>9</v>
      </c>
      <c r="H1143" t="n">
        <v>14</v>
      </c>
      <c r="I1143" t="n">
        <v>229815</v>
      </c>
    </row>
    <row r="1144">
      <c r="A1144" t="n">
        <v>1143</v>
      </c>
      <c r="B1144" t="inlineStr">
        <is>
          <t>Train</t>
        </is>
      </c>
      <c r="C1144" t="n">
        <v>6351</v>
      </c>
      <c r="D1144" t="n">
        <v>4500</v>
      </c>
      <c r="E1144" t="n">
        <v>30</v>
      </c>
      <c r="F1144" t="n">
        <v>27803</v>
      </c>
      <c r="G1144" t="n">
        <v>0</v>
      </c>
      <c r="H1144" t="n">
        <v>10</v>
      </c>
      <c r="I1144" t="n">
        <v>0</v>
      </c>
    </row>
    <row r="1145">
      <c r="A1145" t="n">
        <v>1144</v>
      </c>
      <c r="B1145" t="inlineStr">
        <is>
          <t>Train</t>
        </is>
      </c>
      <c r="C1145" t="n">
        <v>2977</v>
      </c>
      <c r="D1145" t="n">
        <v>15120</v>
      </c>
      <c r="E1145" t="n">
        <v>37</v>
      </c>
      <c r="F1145" t="n">
        <v>46661</v>
      </c>
      <c r="G1145" t="n">
        <v>8</v>
      </c>
      <c r="H1145" t="n">
        <v>12</v>
      </c>
      <c r="I1145" t="n">
        <v>164362</v>
      </c>
    </row>
    <row r="1146">
      <c r="A1146" t="n">
        <v>1145</v>
      </c>
      <c r="B1146" t="inlineStr">
        <is>
          <t>Train</t>
        </is>
      </c>
      <c r="C1146" t="n">
        <v>6456</v>
      </c>
      <c r="D1146" t="n">
        <v>20040</v>
      </c>
      <c r="E1146" t="n">
        <v>60</v>
      </c>
      <c r="F1146" t="n">
        <v>44830</v>
      </c>
      <c r="G1146" t="n">
        <v>1</v>
      </c>
      <c r="H1146" t="n">
        <v>12</v>
      </c>
      <c r="I1146" t="n">
        <v>187429</v>
      </c>
    </row>
    <row r="1147">
      <c r="A1147" t="n">
        <v>1146</v>
      </c>
      <c r="B1147" t="inlineStr">
        <is>
          <t>Train</t>
        </is>
      </c>
      <c r="C1147" t="n">
        <v>3636</v>
      </c>
      <c r="D1147" t="n">
        <v>22410</v>
      </c>
      <c r="E1147" t="n">
        <v>45</v>
      </c>
      <c r="F1147" t="n">
        <v>12158</v>
      </c>
      <c r="G1147" t="n">
        <v>5</v>
      </c>
      <c r="H1147" t="n">
        <v>15</v>
      </c>
      <c r="I1147" t="n">
        <v>0</v>
      </c>
    </row>
    <row r="1148">
      <c r="A1148" t="n">
        <v>1147</v>
      </c>
      <c r="B1148" t="inlineStr">
        <is>
          <t>Validation</t>
        </is>
      </c>
      <c r="C1148" t="n">
        <v>5829</v>
      </c>
      <c r="D1148" t="n">
        <v>9950</v>
      </c>
      <c r="E1148" t="n">
        <v>39</v>
      </c>
      <c r="F1148" t="n">
        <v>33037</v>
      </c>
      <c r="G1148" t="n">
        <v>1</v>
      </c>
      <c r="H1148" t="n">
        <v>11</v>
      </c>
      <c r="I1148" t="n">
        <v>118221</v>
      </c>
    </row>
    <row r="1149">
      <c r="A1149" t="n">
        <v>1148</v>
      </c>
      <c r="B1149" t="inlineStr">
        <is>
          <t>Validation</t>
        </is>
      </c>
      <c r="C1149" t="n">
        <v>20115</v>
      </c>
      <c r="D1149" t="n">
        <v>9150</v>
      </c>
      <c r="E1149" t="n">
        <v>47</v>
      </c>
      <c r="F1149" t="n">
        <v>19483</v>
      </c>
      <c r="G1149" t="n">
        <v>6</v>
      </c>
      <c r="H1149" t="n">
        <v>14</v>
      </c>
      <c r="I1149" t="n">
        <v>81685</v>
      </c>
    </row>
    <row r="1150">
      <c r="A1150" t="n">
        <v>1149</v>
      </c>
      <c r="B1150" t="inlineStr">
        <is>
          <t>Validation</t>
        </is>
      </c>
      <c r="C1150" t="n">
        <v>5898</v>
      </c>
      <c r="D1150" t="n">
        <v>20690</v>
      </c>
      <c r="E1150" t="n">
        <v>35</v>
      </c>
      <c r="F1150" t="n">
        <v>32634</v>
      </c>
      <c r="G1150" t="n">
        <v>6</v>
      </c>
      <c r="H1150" t="n">
        <v>7</v>
      </c>
      <c r="I1150" t="n">
        <v>131445</v>
      </c>
    </row>
    <row r="1151">
      <c r="A1151" t="n">
        <v>1150</v>
      </c>
      <c r="B1151" t="inlineStr">
        <is>
          <t>Train</t>
        </is>
      </c>
      <c r="C1151" t="n">
        <v>4056</v>
      </c>
      <c r="D1151" t="n">
        <v>14960</v>
      </c>
      <c r="E1151" t="n">
        <v>40</v>
      </c>
      <c r="F1151" t="n">
        <v>48812</v>
      </c>
      <c r="G1151" t="n">
        <v>1</v>
      </c>
      <c r="H1151" t="n">
        <v>10</v>
      </c>
      <c r="I1151" t="n">
        <v>149499</v>
      </c>
    </row>
    <row r="1152">
      <c r="A1152" t="n">
        <v>1151</v>
      </c>
      <c r="B1152" t="inlineStr">
        <is>
          <t>Train</t>
        </is>
      </c>
      <c r="C1152" t="n">
        <v>2069</v>
      </c>
      <c r="D1152" t="n">
        <v>5800</v>
      </c>
      <c r="E1152" t="n">
        <v>43</v>
      </c>
      <c r="F1152" t="n">
        <v>121075</v>
      </c>
      <c r="G1152" t="n">
        <v>2</v>
      </c>
      <c r="H1152" t="n">
        <v>9</v>
      </c>
      <c r="I1152" t="n">
        <v>0</v>
      </c>
    </row>
    <row r="1153">
      <c r="A1153" t="n">
        <v>1152</v>
      </c>
      <c r="B1153" t="inlineStr">
        <is>
          <t>Train</t>
        </is>
      </c>
      <c r="C1153" t="n">
        <v>6680</v>
      </c>
      <c r="D1153" t="n">
        <v>40580</v>
      </c>
      <c r="E1153" t="n">
        <v>55</v>
      </c>
      <c r="F1153" t="n">
        <v>131277</v>
      </c>
      <c r="G1153" t="n">
        <v>3</v>
      </c>
      <c r="H1153" t="n">
        <v>14</v>
      </c>
      <c r="I1153" t="n">
        <v>0</v>
      </c>
    </row>
    <row r="1154">
      <c r="A1154" t="n">
        <v>1153</v>
      </c>
      <c r="B1154" t="inlineStr">
        <is>
          <t>Train</t>
        </is>
      </c>
      <c r="C1154" t="n">
        <v>1208</v>
      </c>
      <c r="D1154" t="n">
        <v>23570</v>
      </c>
      <c r="E1154" t="n">
        <v>49</v>
      </c>
      <c r="F1154" t="n">
        <v>9316</v>
      </c>
      <c r="G1154" t="n">
        <v>2</v>
      </c>
      <c r="H1154" t="n">
        <v>5</v>
      </c>
      <c r="I1154" t="n">
        <v>138563</v>
      </c>
    </row>
    <row r="1155">
      <c r="A1155" t="n">
        <v>1154</v>
      </c>
      <c r="B1155" t="inlineStr">
        <is>
          <t>Train</t>
        </is>
      </c>
      <c r="C1155" t="n">
        <v>4559</v>
      </c>
      <c r="D1155" t="n">
        <v>19770</v>
      </c>
      <c r="E1155" t="n">
        <v>55</v>
      </c>
      <c r="F1155" t="n">
        <v>43180</v>
      </c>
      <c r="G1155" t="n">
        <v>5</v>
      </c>
      <c r="H1155" t="n">
        <v>11</v>
      </c>
      <c r="I1155" t="n">
        <v>160177</v>
      </c>
    </row>
    <row r="1156">
      <c r="A1156" t="n">
        <v>1155</v>
      </c>
      <c r="B1156" t="inlineStr">
        <is>
          <t>Train</t>
        </is>
      </c>
      <c r="C1156" t="n">
        <v>3502</v>
      </c>
      <c r="D1156" t="n">
        <v>20670</v>
      </c>
      <c r="E1156" t="n">
        <v>43</v>
      </c>
      <c r="F1156" t="n">
        <v>69301</v>
      </c>
      <c r="G1156" t="n">
        <v>6</v>
      </c>
      <c r="H1156" t="n">
        <v>10</v>
      </c>
      <c r="I1156" t="n">
        <v>0</v>
      </c>
    </row>
    <row r="1157">
      <c r="A1157" t="n">
        <v>1156</v>
      </c>
      <c r="B1157" t="inlineStr">
        <is>
          <t>Train</t>
        </is>
      </c>
      <c r="C1157" t="n">
        <v>5290</v>
      </c>
      <c r="D1157" t="n">
        <v>5340</v>
      </c>
      <c r="E1157" t="n">
        <v>38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1157</v>
      </c>
      <c r="B1158" t="inlineStr">
        <is>
          <t>Validation</t>
        </is>
      </c>
      <c r="C1158" t="n">
        <v>4350</v>
      </c>
      <c r="D1158" t="n">
        <v>7470</v>
      </c>
      <c r="E1158" t="n">
        <v>35</v>
      </c>
      <c r="F1158" t="n">
        <v>24696</v>
      </c>
      <c r="G1158" t="n">
        <v>2</v>
      </c>
      <c r="H1158" t="n">
        <v>13</v>
      </c>
      <c r="I1158" t="n">
        <v>0</v>
      </c>
    </row>
    <row r="1159">
      <c r="A1159" t="n">
        <v>1158</v>
      </c>
      <c r="B1159" t="inlineStr">
        <is>
          <t>Validation</t>
        </is>
      </c>
      <c r="C1159" t="n">
        <v>16328</v>
      </c>
      <c r="D1159" t="n">
        <v>40980</v>
      </c>
      <c r="E1159" t="n">
        <v>46</v>
      </c>
      <c r="F1159" t="n">
        <v>153458</v>
      </c>
      <c r="G1159" t="n">
        <v>1</v>
      </c>
      <c r="H1159" t="n">
        <v>13</v>
      </c>
      <c r="I1159" t="n">
        <v>0</v>
      </c>
    </row>
    <row r="1160">
      <c r="A1160" t="n">
        <v>1159</v>
      </c>
      <c r="B1160" t="inlineStr">
        <is>
          <t>Validation</t>
        </is>
      </c>
      <c r="C1160" t="n">
        <v>6495</v>
      </c>
      <c r="D1160" t="n">
        <v>17190</v>
      </c>
      <c r="E1160" t="n">
        <v>47</v>
      </c>
      <c r="F1160" t="n">
        <v>9898</v>
      </c>
      <c r="G1160" t="n">
        <v>0</v>
      </c>
      <c r="H1160" t="n">
        <v>8</v>
      </c>
      <c r="I1160" t="n">
        <v>160830</v>
      </c>
    </row>
    <row r="1161">
      <c r="A1161" t="n">
        <v>1160</v>
      </c>
      <c r="B1161" t="inlineStr">
        <is>
          <t>Train</t>
        </is>
      </c>
      <c r="C1161" t="n">
        <v>3246</v>
      </c>
      <c r="D1161" t="n">
        <v>15050</v>
      </c>
      <c r="E1161" t="n">
        <v>33</v>
      </c>
      <c r="F1161" t="n">
        <v>21746</v>
      </c>
      <c r="G1161" t="n">
        <v>1</v>
      </c>
      <c r="H1161" t="n">
        <v>14</v>
      </c>
      <c r="I1161" t="n">
        <v>124207</v>
      </c>
    </row>
    <row r="1162">
      <c r="A1162" t="n">
        <v>1161</v>
      </c>
      <c r="B1162" t="inlineStr">
        <is>
          <t>Train</t>
        </is>
      </c>
      <c r="C1162" t="n">
        <v>3996</v>
      </c>
      <c r="D1162" t="n">
        <v>11610</v>
      </c>
      <c r="E1162" t="n">
        <v>49</v>
      </c>
      <c r="F1162" t="n">
        <v>0</v>
      </c>
      <c r="G1162" t="n">
        <v>5</v>
      </c>
      <c r="H1162" t="n">
        <v>0</v>
      </c>
      <c r="I1162" t="n">
        <v>0</v>
      </c>
    </row>
    <row r="1163">
      <c r="A1163" t="n">
        <v>1162</v>
      </c>
      <c r="B1163" t="inlineStr">
        <is>
          <t>Train</t>
        </is>
      </c>
      <c r="C1163" t="n">
        <v>2911</v>
      </c>
      <c r="D1163" t="n">
        <v>29980</v>
      </c>
      <c r="E1163" t="n">
        <v>34</v>
      </c>
      <c r="F1163" t="n">
        <v>85128</v>
      </c>
      <c r="G1163" t="n">
        <v>3</v>
      </c>
      <c r="H1163" t="n">
        <v>9</v>
      </c>
      <c r="I1163" t="n">
        <v>230131</v>
      </c>
    </row>
    <row r="1164">
      <c r="A1164" t="n">
        <v>1163</v>
      </c>
      <c r="B1164" t="inlineStr">
        <is>
          <t>Train</t>
        </is>
      </c>
      <c r="C1164" t="n">
        <v>11909</v>
      </c>
      <c r="D1164" t="n">
        <v>19010</v>
      </c>
      <c r="E1164" t="n">
        <v>43</v>
      </c>
      <c r="F1164" t="n">
        <v>132108</v>
      </c>
      <c r="G1164" t="n">
        <v>4</v>
      </c>
      <c r="H1164" t="n">
        <v>6</v>
      </c>
      <c r="I1164" t="n">
        <v>0</v>
      </c>
    </row>
    <row r="1165">
      <c r="A1165" t="n">
        <v>1164</v>
      </c>
      <c r="B1165" t="inlineStr">
        <is>
          <t>Train</t>
        </is>
      </c>
      <c r="C1165" t="n">
        <v>2733</v>
      </c>
      <c r="D1165" t="n">
        <v>22010</v>
      </c>
      <c r="E1165" t="n">
        <v>54</v>
      </c>
      <c r="F1165" t="n">
        <v>151138</v>
      </c>
      <c r="G1165" t="n">
        <v>6</v>
      </c>
      <c r="H1165" t="n">
        <v>14</v>
      </c>
      <c r="I1165" t="n">
        <v>409989</v>
      </c>
    </row>
    <row r="1166">
      <c r="A1166" t="n">
        <v>1165</v>
      </c>
      <c r="B1166" t="inlineStr">
        <is>
          <t>Train</t>
        </is>
      </c>
      <c r="C1166" t="n">
        <v>9937</v>
      </c>
      <c r="D1166" t="n">
        <v>8030</v>
      </c>
      <c r="E1166" t="n">
        <v>38</v>
      </c>
      <c r="F1166" t="n">
        <v>77830</v>
      </c>
      <c r="G1166" t="n">
        <v>0</v>
      </c>
      <c r="H1166" t="n">
        <v>17</v>
      </c>
      <c r="I1166" t="n">
        <v>157793</v>
      </c>
    </row>
    <row r="1167">
      <c r="A1167" t="n">
        <v>1166</v>
      </c>
      <c r="B1167" t="inlineStr">
        <is>
          <t>Train</t>
        </is>
      </c>
      <c r="C1167" t="n">
        <v>6534</v>
      </c>
      <c r="D1167" t="n">
        <v>32490</v>
      </c>
      <c r="E1167" t="n">
        <v>49</v>
      </c>
      <c r="F1167" t="n">
        <v>45187</v>
      </c>
      <c r="G1167" t="n">
        <v>0</v>
      </c>
      <c r="H1167" t="n">
        <v>10</v>
      </c>
      <c r="I1167" t="n">
        <v>165265</v>
      </c>
    </row>
    <row r="1168">
      <c r="A1168" t="n">
        <v>1167</v>
      </c>
      <c r="B1168" t="inlineStr">
        <is>
          <t>Validation</t>
        </is>
      </c>
      <c r="C1168" t="n">
        <v>3416</v>
      </c>
      <c r="D1168" t="n">
        <v>16260</v>
      </c>
      <c r="E1168" t="n">
        <v>36</v>
      </c>
      <c r="F1168" t="n">
        <v>39811</v>
      </c>
      <c r="G1168" t="n">
        <v>3</v>
      </c>
      <c r="H1168" t="n">
        <v>13</v>
      </c>
      <c r="I1168" t="n">
        <v>139551</v>
      </c>
    </row>
    <row r="1169">
      <c r="A1169" t="n">
        <v>1168</v>
      </c>
      <c r="B1169" t="inlineStr">
        <is>
          <t>Validation</t>
        </is>
      </c>
      <c r="C1169" t="n">
        <v>1372</v>
      </c>
      <c r="D1169" t="n">
        <v>27210</v>
      </c>
      <c r="E1169" t="n">
        <v>42</v>
      </c>
      <c r="F1169" t="n">
        <v>73762</v>
      </c>
      <c r="G1169" t="n">
        <v>4</v>
      </c>
      <c r="H1169" t="n">
        <v>11</v>
      </c>
      <c r="I1169" t="n">
        <v>262869</v>
      </c>
    </row>
    <row r="1170">
      <c r="A1170" t="n">
        <v>1169</v>
      </c>
      <c r="B1170" t="inlineStr">
        <is>
          <t>Validation</t>
        </is>
      </c>
      <c r="C1170" t="n">
        <v>4564</v>
      </c>
      <c r="D1170" t="n">
        <v>25430</v>
      </c>
      <c r="E1170" t="n">
        <v>55</v>
      </c>
      <c r="F1170" t="n">
        <v>42680</v>
      </c>
      <c r="G1170" t="n">
        <v>0</v>
      </c>
      <c r="H1170" t="n">
        <v>10</v>
      </c>
      <c r="I1170" t="n">
        <v>205108</v>
      </c>
    </row>
    <row r="1171">
      <c r="A1171" t="n">
        <v>1170</v>
      </c>
      <c r="B1171" t="inlineStr">
        <is>
          <t>Train</t>
        </is>
      </c>
      <c r="C1171" t="n">
        <v>31213</v>
      </c>
      <c r="D1171" t="n">
        <v>15660</v>
      </c>
      <c r="E1171" t="n">
        <v>44</v>
      </c>
      <c r="F1171" t="n">
        <v>97624</v>
      </c>
      <c r="G1171" t="n">
        <v>0</v>
      </c>
      <c r="H1171" t="n">
        <v>12</v>
      </c>
      <c r="I1171" t="n">
        <v>285242</v>
      </c>
    </row>
    <row r="1172">
      <c r="A1172" t="n">
        <v>1171</v>
      </c>
      <c r="B1172" t="inlineStr">
        <is>
          <t>Train</t>
        </is>
      </c>
      <c r="C1172" t="n">
        <v>4740</v>
      </c>
      <c r="D1172" t="n">
        <v>21860</v>
      </c>
      <c r="E1172" t="n">
        <v>27</v>
      </c>
      <c r="F1172" t="n">
        <v>78418</v>
      </c>
      <c r="G1172" t="n">
        <v>0</v>
      </c>
      <c r="H1172" t="n">
        <v>12</v>
      </c>
      <c r="I1172" t="n">
        <v>224245</v>
      </c>
    </row>
    <row r="1173">
      <c r="A1173" t="n">
        <v>1172</v>
      </c>
      <c r="B1173" t="inlineStr">
        <is>
          <t>Train</t>
        </is>
      </c>
      <c r="C1173" t="n">
        <v>7861</v>
      </c>
      <c r="D1173" t="n">
        <v>32880</v>
      </c>
      <c r="E1173" t="n">
        <v>27</v>
      </c>
      <c r="F1173" t="n">
        <v>118870</v>
      </c>
      <c r="G1173" t="n">
        <v>0</v>
      </c>
      <c r="H1173" t="n">
        <v>11</v>
      </c>
      <c r="I1173" t="n">
        <v>0</v>
      </c>
    </row>
    <row r="1174">
      <c r="A1174" t="n">
        <v>1173</v>
      </c>
      <c r="B1174" t="inlineStr">
        <is>
          <t>Train</t>
        </is>
      </c>
      <c r="C1174" t="n">
        <v>6591</v>
      </c>
      <c r="D1174" t="n">
        <v>5800</v>
      </c>
      <c r="E1174" t="n">
        <v>43</v>
      </c>
      <c r="F1174" t="n">
        <v>69769</v>
      </c>
      <c r="G1174" t="n">
        <v>4</v>
      </c>
      <c r="H1174" t="n">
        <v>10</v>
      </c>
      <c r="I1174" t="n">
        <v>235716</v>
      </c>
    </row>
    <row r="1175">
      <c r="A1175" t="n">
        <v>1174</v>
      </c>
      <c r="B1175" t="inlineStr">
        <is>
          <t>Train</t>
        </is>
      </c>
      <c r="C1175" t="n">
        <v>5244</v>
      </c>
      <c r="D1175" t="n">
        <v>12780</v>
      </c>
      <c r="E1175" t="n">
        <v>48</v>
      </c>
      <c r="F1175" t="n">
        <v>64798</v>
      </c>
      <c r="G1175" t="n">
        <v>5</v>
      </c>
      <c r="H1175" t="n">
        <v>14</v>
      </c>
      <c r="I1175" t="n">
        <v>231016</v>
      </c>
    </row>
    <row r="1176">
      <c r="A1176" t="n">
        <v>1175</v>
      </c>
      <c r="B1176" t="inlineStr">
        <is>
          <t>Train</t>
        </is>
      </c>
      <c r="C1176" t="n">
        <v>40943</v>
      </c>
      <c r="D1176" t="n">
        <v>5900</v>
      </c>
      <c r="E1176" t="n">
        <v>44</v>
      </c>
      <c r="F1176" t="n">
        <v>38108</v>
      </c>
      <c r="G1176" t="n">
        <v>0</v>
      </c>
      <c r="H1176" t="n">
        <v>15</v>
      </c>
      <c r="I1176" t="n">
        <v>196692</v>
      </c>
    </row>
    <row r="1177">
      <c r="A1177" t="n">
        <v>1176</v>
      </c>
      <c r="B1177" t="inlineStr">
        <is>
          <t>Train</t>
        </is>
      </c>
      <c r="C1177" t="n">
        <v>10491</v>
      </c>
      <c r="D1177" t="n">
        <v>19670</v>
      </c>
      <c r="E1177" t="n">
        <v>63</v>
      </c>
      <c r="F1177" t="n">
        <v>118663</v>
      </c>
      <c r="G1177" t="n">
        <v>0</v>
      </c>
      <c r="H1177" t="n">
        <v>15</v>
      </c>
      <c r="I1177" t="n">
        <v>317637</v>
      </c>
    </row>
    <row r="1178">
      <c r="A1178" t="n">
        <v>1177</v>
      </c>
      <c r="B1178" t="inlineStr">
        <is>
          <t>Validation</t>
        </is>
      </c>
      <c r="C1178" t="n">
        <v>4814</v>
      </c>
      <c r="D1178" t="n">
        <v>12610</v>
      </c>
      <c r="E1178" t="n">
        <v>46</v>
      </c>
      <c r="F1178" t="n">
        <v>65060</v>
      </c>
      <c r="G1178" t="n">
        <v>2</v>
      </c>
      <c r="H1178" t="n">
        <v>14</v>
      </c>
      <c r="I1178" t="n">
        <v>206130</v>
      </c>
    </row>
    <row r="1179">
      <c r="A1179" t="n">
        <v>1178</v>
      </c>
      <c r="B1179" t="inlineStr">
        <is>
          <t>Validation</t>
        </is>
      </c>
      <c r="C1179" t="n">
        <v>4497</v>
      </c>
      <c r="D1179" t="n">
        <v>22620</v>
      </c>
      <c r="E1179" t="n">
        <v>58</v>
      </c>
      <c r="F1179" t="n">
        <v>84376</v>
      </c>
      <c r="G1179" t="n">
        <v>7</v>
      </c>
      <c r="H1179" t="n">
        <v>13</v>
      </c>
      <c r="I1179" t="n">
        <v>279277</v>
      </c>
    </row>
    <row r="1180">
      <c r="A1180" t="n">
        <v>1179</v>
      </c>
      <c r="B1180" t="inlineStr">
        <is>
          <t>Validation</t>
        </is>
      </c>
      <c r="C1180" t="n">
        <v>8455</v>
      </c>
      <c r="D1180" t="n">
        <v>15840</v>
      </c>
      <c r="E1180" t="n">
        <v>42</v>
      </c>
      <c r="F1180" t="n">
        <v>9109</v>
      </c>
      <c r="G1180" t="n">
        <v>1</v>
      </c>
      <c r="H1180" t="n">
        <v>12</v>
      </c>
      <c r="I1180" t="n">
        <v>103306</v>
      </c>
    </row>
    <row r="1181">
      <c r="A1181" t="n">
        <v>1180</v>
      </c>
      <c r="B1181" t="inlineStr">
        <is>
          <t>Train</t>
        </is>
      </c>
      <c r="C1181" t="n">
        <v>3137</v>
      </c>
      <c r="D1181" t="n">
        <v>27110</v>
      </c>
      <c r="E1181" t="n">
        <v>40</v>
      </c>
      <c r="F1181" t="n">
        <v>74871</v>
      </c>
      <c r="G1181" t="n">
        <v>4</v>
      </c>
      <c r="H1181" t="n">
        <v>10</v>
      </c>
      <c r="I1181" t="n">
        <v>206864</v>
      </c>
    </row>
    <row r="1182">
      <c r="A1182" t="n">
        <v>1181</v>
      </c>
      <c r="B1182" t="inlineStr">
        <is>
          <t>Train</t>
        </is>
      </c>
      <c r="C1182" t="n">
        <v>6417</v>
      </c>
      <c r="D1182" t="n">
        <v>15440</v>
      </c>
      <c r="E1182" t="n">
        <v>56</v>
      </c>
      <c r="F1182" t="n">
        <v>54286</v>
      </c>
      <c r="G1182" t="n">
        <v>0</v>
      </c>
      <c r="H1182" t="n">
        <v>14</v>
      </c>
      <c r="I1182" t="n">
        <v>0</v>
      </c>
    </row>
    <row r="1183">
      <c r="A1183" t="n">
        <v>1182</v>
      </c>
      <c r="B1183" t="inlineStr">
        <is>
          <t>Train</t>
        </is>
      </c>
      <c r="C1183" t="n">
        <v>10474</v>
      </c>
      <c r="D1183" t="n">
        <v>25840</v>
      </c>
      <c r="E1183" t="n">
        <v>53</v>
      </c>
      <c r="F1183" t="n">
        <v>110911</v>
      </c>
      <c r="G1183" t="n">
        <v>1</v>
      </c>
      <c r="H1183" t="n">
        <v>13</v>
      </c>
      <c r="I1183" t="n">
        <v>335699</v>
      </c>
    </row>
    <row r="1184">
      <c r="A1184" t="n">
        <v>1183</v>
      </c>
      <c r="B1184" t="inlineStr">
        <is>
          <t>Train</t>
        </is>
      </c>
      <c r="C1184" t="n">
        <v>7186</v>
      </c>
      <c r="D1184" t="n">
        <v>6640</v>
      </c>
      <c r="E1184" t="n">
        <v>27</v>
      </c>
      <c r="F1184" t="n">
        <v>20972</v>
      </c>
      <c r="G1184" t="n">
        <v>2</v>
      </c>
      <c r="H1184" t="n">
        <v>10</v>
      </c>
      <c r="I1184" t="n">
        <v>0</v>
      </c>
    </row>
    <row r="1185">
      <c r="A1185" t="n">
        <v>1184</v>
      </c>
      <c r="B1185" t="inlineStr">
        <is>
          <t>Train</t>
        </is>
      </c>
      <c r="C1185" t="n">
        <v>2257</v>
      </c>
      <c r="D1185" t="n">
        <v>11700</v>
      </c>
      <c r="E1185" t="n">
        <v>47</v>
      </c>
      <c r="F1185" t="n">
        <v>55019</v>
      </c>
      <c r="G1185" t="n">
        <v>3</v>
      </c>
      <c r="H1185" t="n">
        <v>12</v>
      </c>
      <c r="I1185" t="n">
        <v>206801</v>
      </c>
    </row>
    <row r="1186">
      <c r="A1186" t="n">
        <v>1185</v>
      </c>
      <c r="B1186" t="inlineStr">
        <is>
          <t>Train</t>
        </is>
      </c>
      <c r="C1186" t="n">
        <v>5211</v>
      </c>
      <c r="D1186" t="n">
        <v>37130</v>
      </c>
      <c r="E1186" t="n">
        <v>54</v>
      </c>
      <c r="F1186" t="n">
        <v>235075</v>
      </c>
      <c r="G1186" t="n">
        <v>3</v>
      </c>
      <c r="H1186" t="n">
        <v>10</v>
      </c>
      <c r="I1186" t="n">
        <v>565122</v>
      </c>
    </row>
    <row r="1187">
      <c r="A1187" t="n">
        <v>1186</v>
      </c>
      <c r="B1187" t="inlineStr">
        <is>
          <t>Train</t>
        </is>
      </c>
      <c r="C1187" t="n">
        <v>3608</v>
      </c>
      <c r="D1187" t="n">
        <v>3870</v>
      </c>
      <c r="E1187" t="n">
        <v>33</v>
      </c>
      <c r="F1187" t="n">
        <v>12067</v>
      </c>
      <c r="G1187" t="n">
        <v>5</v>
      </c>
      <c r="H1187" t="n">
        <v>5</v>
      </c>
      <c r="I1187" t="n">
        <v>119691</v>
      </c>
    </row>
    <row r="1188">
      <c r="A1188" t="n">
        <v>1187</v>
      </c>
      <c r="B1188" t="inlineStr">
        <is>
          <t>Validation</t>
        </is>
      </c>
      <c r="C1188" t="n">
        <v>7378</v>
      </c>
      <c r="D1188" t="n">
        <v>10800</v>
      </c>
      <c r="E1188" t="n">
        <v>60</v>
      </c>
      <c r="F1188" t="n">
        <v>1007</v>
      </c>
      <c r="G1188" t="n">
        <v>4</v>
      </c>
      <c r="H1188" t="n">
        <v>15</v>
      </c>
      <c r="I1188" t="n">
        <v>0</v>
      </c>
    </row>
    <row r="1189">
      <c r="A1189" t="n">
        <v>1188</v>
      </c>
      <c r="B1189" t="inlineStr">
        <is>
          <t>Validation</t>
        </is>
      </c>
      <c r="C1189" t="n">
        <v>4165</v>
      </c>
      <c r="D1189" t="n">
        <v>22060</v>
      </c>
      <c r="E1189" t="n">
        <v>41</v>
      </c>
      <c r="F1189" t="n">
        <v>96330</v>
      </c>
      <c r="G1189" t="n">
        <v>4</v>
      </c>
      <c r="H1189" t="n">
        <v>8</v>
      </c>
      <c r="I1189" t="n">
        <v>250551</v>
      </c>
    </row>
    <row r="1190">
      <c r="A1190" t="n">
        <v>1189</v>
      </c>
      <c r="B1190" t="inlineStr">
        <is>
          <t>Validation</t>
        </is>
      </c>
      <c r="C1190" t="n">
        <v>4266</v>
      </c>
      <c r="D1190" t="n">
        <v>9940</v>
      </c>
      <c r="E1190" t="n">
        <v>44</v>
      </c>
      <c r="F1190" t="n">
        <v>33474</v>
      </c>
      <c r="G1190" t="n">
        <v>1</v>
      </c>
      <c r="H1190" t="n">
        <v>12</v>
      </c>
      <c r="I1190" t="n">
        <v>78982</v>
      </c>
    </row>
    <row r="1191">
      <c r="A1191" t="n">
        <v>1190</v>
      </c>
      <c r="B1191" t="inlineStr">
        <is>
          <t>Train</t>
        </is>
      </c>
      <c r="C1191" t="n">
        <v>8194</v>
      </c>
      <c r="D1191" t="n">
        <v>21180</v>
      </c>
      <c r="E1191" t="n">
        <v>35</v>
      </c>
      <c r="F1191" t="n">
        <v>46255</v>
      </c>
      <c r="G1191" t="n">
        <v>2</v>
      </c>
      <c r="H1191" t="n">
        <v>9</v>
      </c>
      <c r="I1191" t="n">
        <v>0</v>
      </c>
    </row>
    <row r="1192">
      <c r="A1192" t="n">
        <v>1191</v>
      </c>
      <c r="B1192" t="inlineStr">
        <is>
          <t>Train</t>
        </is>
      </c>
      <c r="C1192" t="n">
        <v>8352</v>
      </c>
      <c r="D1192" t="n">
        <v>6200</v>
      </c>
      <c r="E1192" t="n">
        <v>47</v>
      </c>
      <c r="F1192" t="n">
        <v>52891</v>
      </c>
      <c r="G1192" t="n">
        <v>10</v>
      </c>
      <c r="H1192" t="n">
        <v>14</v>
      </c>
      <c r="I1192" t="n">
        <v>232693</v>
      </c>
    </row>
    <row r="1193">
      <c r="A1193" t="n">
        <v>1192</v>
      </c>
      <c r="B1193" t="inlineStr">
        <is>
          <t>Train</t>
        </is>
      </c>
      <c r="C1193" t="n">
        <v>865</v>
      </c>
      <c r="D1193" t="n">
        <v>10610</v>
      </c>
      <c r="E1193" t="n">
        <v>48</v>
      </c>
      <c r="F1193" t="n">
        <v>43136</v>
      </c>
      <c r="G1193" t="n">
        <v>7</v>
      </c>
      <c r="H1193" t="n">
        <v>13</v>
      </c>
      <c r="I1193" t="n">
        <v>175406</v>
      </c>
    </row>
    <row r="1194">
      <c r="A1194" t="n">
        <v>1193</v>
      </c>
      <c r="B1194" t="inlineStr">
        <is>
          <t>Train</t>
        </is>
      </c>
      <c r="C1194" t="n">
        <v>1744</v>
      </c>
      <c r="D1194" t="n">
        <v>9110</v>
      </c>
      <c r="E1194" t="n">
        <v>42</v>
      </c>
      <c r="F1194" t="n">
        <v>70141</v>
      </c>
      <c r="G1194" t="n">
        <v>0</v>
      </c>
      <c r="H1194" t="n">
        <v>7</v>
      </c>
      <c r="I1194" t="n">
        <v>237130</v>
      </c>
    </row>
    <row r="1195">
      <c r="A1195" t="n">
        <v>1194</v>
      </c>
      <c r="B1195" t="inlineStr">
        <is>
          <t>Train</t>
        </is>
      </c>
      <c r="C1195" t="n">
        <v>13665</v>
      </c>
      <c r="D1195" t="n">
        <v>24480</v>
      </c>
      <c r="E1195" t="n">
        <v>46</v>
      </c>
      <c r="F1195" t="n">
        <v>5740</v>
      </c>
      <c r="G1195" t="n">
        <v>4</v>
      </c>
      <c r="H1195" t="n">
        <v>8</v>
      </c>
      <c r="I1195" t="n">
        <v>0</v>
      </c>
    </row>
    <row r="1196">
      <c r="A1196" t="n">
        <v>1195</v>
      </c>
      <c r="B1196" t="inlineStr">
        <is>
          <t>Train</t>
        </is>
      </c>
      <c r="C1196" t="n">
        <v>23659</v>
      </c>
      <c r="D1196" t="n">
        <v>8040</v>
      </c>
      <c r="E1196" t="n">
        <v>32</v>
      </c>
      <c r="F1196" t="n">
        <v>26933</v>
      </c>
      <c r="G1196" t="n">
        <v>3</v>
      </c>
      <c r="H1196" t="n">
        <v>11</v>
      </c>
      <c r="I1196" t="n">
        <v>141200</v>
      </c>
    </row>
    <row r="1197">
      <c r="A1197" t="n">
        <v>1196</v>
      </c>
      <c r="B1197" t="inlineStr">
        <is>
          <t>Train</t>
        </is>
      </c>
      <c r="C1197" t="n">
        <v>8037</v>
      </c>
      <c r="D1197" t="n">
        <v>3640</v>
      </c>
      <c r="E1197" t="n">
        <v>32</v>
      </c>
      <c r="F1197" t="n">
        <v>21357</v>
      </c>
      <c r="G1197" t="n">
        <v>7</v>
      </c>
      <c r="H1197" t="n">
        <v>11</v>
      </c>
      <c r="I1197" t="n">
        <v>0</v>
      </c>
    </row>
    <row r="1198">
      <c r="A1198" t="n">
        <v>1197</v>
      </c>
      <c r="B1198" t="inlineStr">
        <is>
          <t>Validation</t>
        </is>
      </c>
      <c r="C1198" t="n">
        <v>15821</v>
      </c>
      <c r="D1198" t="n">
        <v>18360</v>
      </c>
      <c r="E1198" t="n">
        <v>35</v>
      </c>
      <c r="F1198" t="n">
        <v>104948</v>
      </c>
      <c r="G1198" t="n">
        <v>6</v>
      </c>
      <c r="H1198" t="n">
        <v>12</v>
      </c>
      <c r="I1198" t="n">
        <v>317002</v>
      </c>
    </row>
    <row r="1199">
      <c r="A1199" t="n">
        <v>1198</v>
      </c>
      <c r="B1199" t="inlineStr">
        <is>
          <t>Validation</t>
        </is>
      </c>
      <c r="C1199" t="n">
        <v>27094</v>
      </c>
      <c r="D1199" t="n">
        <v>21440</v>
      </c>
      <c r="E1199" t="n">
        <v>40</v>
      </c>
      <c r="F1199" t="n">
        <v>20574</v>
      </c>
      <c r="G1199" t="n">
        <v>6</v>
      </c>
      <c r="H1199" t="n">
        <v>12</v>
      </c>
      <c r="I1199" t="n">
        <v>0</v>
      </c>
    </row>
    <row r="1200">
      <c r="A1200" t="n">
        <v>1199</v>
      </c>
      <c r="B1200" t="inlineStr">
        <is>
          <t>Validation</t>
        </is>
      </c>
      <c r="C1200" t="n">
        <v>6711</v>
      </c>
      <c r="D1200" t="n">
        <v>7440</v>
      </c>
      <c r="E1200" t="n">
        <v>49</v>
      </c>
      <c r="F1200" t="n">
        <v>0</v>
      </c>
      <c r="G1200" t="n">
        <v>2</v>
      </c>
      <c r="H1200" t="n">
        <v>0</v>
      </c>
      <c r="I1200" t="n">
        <v>100880</v>
      </c>
    </row>
    <row r="1201">
      <c r="A1201" t="n">
        <v>1200</v>
      </c>
      <c r="B1201" t="inlineStr">
        <is>
          <t>Train</t>
        </is>
      </c>
      <c r="C1201" t="n">
        <v>9448</v>
      </c>
      <c r="D1201" t="n">
        <v>15170</v>
      </c>
      <c r="E1201" t="n">
        <v>45</v>
      </c>
      <c r="F1201" t="n">
        <v>80601</v>
      </c>
      <c r="G1201" t="n">
        <v>4</v>
      </c>
      <c r="H1201" t="n">
        <v>11</v>
      </c>
      <c r="I1201" t="n">
        <v>0</v>
      </c>
    </row>
    <row r="1202">
      <c r="A1202" t="n">
        <v>1201</v>
      </c>
      <c r="B1202" t="inlineStr">
        <is>
          <t>Train</t>
        </is>
      </c>
      <c r="C1202" t="n">
        <v>6730</v>
      </c>
      <c r="D1202" t="n">
        <v>10550</v>
      </c>
      <c r="E1202" t="n">
        <v>47</v>
      </c>
      <c r="F1202" t="n">
        <v>85729</v>
      </c>
      <c r="G1202" t="n">
        <v>0</v>
      </c>
      <c r="H1202" t="n">
        <v>11</v>
      </c>
      <c r="I1202" t="n">
        <v>254068</v>
      </c>
    </row>
    <row r="1203">
      <c r="A1203" t="n">
        <v>1202</v>
      </c>
      <c r="B1203" t="inlineStr">
        <is>
          <t>Train</t>
        </is>
      </c>
      <c r="C1203" t="n">
        <v>2039</v>
      </c>
      <c r="D1203" t="n">
        <v>18250</v>
      </c>
      <c r="E1203" t="n">
        <v>31</v>
      </c>
      <c r="F1203" t="n">
        <v>19230</v>
      </c>
      <c r="G1203" t="n">
        <v>1</v>
      </c>
      <c r="H1203" t="n">
        <v>3</v>
      </c>
      <c r="I1203" t="n">
        <v>0</v>
      </c>
    </row>
    <row r="1204">
      <c r="A1204" t="n">
        <v>1203</v>
      </c>
      <c r="B1204" t="inlineStr">
        <is>
          <t>Train</t>
        </is>
      </c>
      <c r="C1204" t="n">
        <v>46600</v>
      </c>
      <c r="D1204" t="n">
        <v>14650</v>
      </c>
      <c r="E1204" t="n">
        <v>42</v>
      </c>
      <c r="F1204" t="n">
        <v>11617</v>
      </c>
      <c r="G1204" t="n">
        <v>0</v>
      </c>
      <c r="H1204" t="n">
        <v>14</v>
      </c>
      <c r="I1204" t="n">
        <v>151370</v>
      </c>
    </row>
    <row r="1205">
      <c r="A1205" t="n">
        <v>1204</v>
      </c>
      <c r="B1205" t="inlineStr">
        <is>
          <t>Train</t>
        </is>
      </c>
      <c r="C1205" t="n">
        <v>3485</v>
      </c>
      <c r="D1205" t="n">
        <v>18050</v>
      </c>
      <c r="E1205" t="n">
        <v>50</v>
      </c>
      <c r="F1205" t="n">
        <v>0</v>
      </c>
      <c r="G1205" t="n">
        <v>0</v>
      </c>
      <c r="H1205" t="n">
        <v>0</v>
      </c>
      <c r="I1205" t="n">
        <v>61314</v>
      </c>
    </row>
    <row r="1206">
      <c r="A1206" t="n">
        <v>1205</v>
      </c>
      <c r="B1206" t="inlineStr">
        <is>
          <t>Train</t>
        </is>
      </c>
      <c r="C1206" t="n">
        <v>3922</v>
      </c>
      <c r="D1206" t="n">
        <v>9130</v>
      </c>
      <c r="E1206" t="n">
        <v>34</v>
      </c>
      <c r="F1206" t="n">
        <v>42284</v>
      </c>
      <c r="G1206" t="n">
        <v>0</v>
      </c>
      <c r="H1206" t="n">
        <v>15</v>
      </c>
      <c r="I1206" t="n">
        <v>0</v>
      </c>
    </row>
    <row r="1207">
      <c r="A1207" t="n">
        <v>1206</v>
      </c>
      <c r="B1207" t="inlineStr">
        <is>
          <t>Train</t>
        </is>
      </c>
      <c r="C1207" t="n">
        <v>6931</v>
      </c>
      <c r="D1207" t="n">
        <v>12200</v>
      </c>
      <c r="E1207" t="n">
        <v>31</v>
      </c>
      <c r="F1207" t="n">
        <v>23533</v>
      </c>
      <c r="G1207" t="n">
        <v>4</v>
      </c>
      <c r="H1207" t="n">
        <v>8</v>
      </c>
      <c r="I1207" t="n">
        <v>115964</v>
      </c>
    </row>
    <row r="1208">
      <c r="A1208" t="n">
        <v>1207</v>
      </c>
      <c r="B1208" t="inlineStr">
        <is>
          <t>Validation</t>
        </is>
      </c>
      <c r="C1208" t="n">
        <v>5820</v>
      </c>
      <c r="D1208" t="n">
        <v>5800</v>
      </c>
      <c r="E1208" t="n">
        <v>43</v>
      </c>
      <c r="F1208" t="n">
        <v>0</v>
      </c>
      <c r="G1208" t="n">
        <v>6</v>
      </c>
      <c r="H1208" t="n">
        <v>0</v>
      </c>
      <c r="I1208" t="n">
        <v>0</v>
      </c>
    </row>
    <row r="1209">
      <c r="A1209" t="n">
        <v>1208</v>
      </c>
      <c r="B1209" t="inlineStr">
        <is>
          <t>Validation</t>
        </is>
      </c>
      <c r="C1209" t="n">
        <v>3202</v>
      </c>
      <c r="D1209" t="n">
        <v>1500</v>
      </c>
      <c r="E1209" t="n">
        <v>28</v>
      </c>
      <c r="F1209" t="n">
        <v>0</v>
      </c>
      <c r="G1209" t="n">
        <v>8</v>
      </c>
      <c r="H1209" t="n">
        <v>0</v>
      </c>
      <c r="I1209" t="n">
        <v>0</v>
      </c>
    </row>
    <row r="1210">
      <c r="A1210" t="n">
        <v>1209</v>
      </c>
      <c r="B1210" t="inlineStr">
        <is>
          <t>Validation</t>
        </is>
      </c>
      <c r="C1210" t="n">
        <v>6985</v>
      </c>
      <c r="D1210" t="n">
        <v>10810</v>
      </c>
      <c r="E1210" t="n">
        <v>41</v>
      </c>
      <c r="F1210" t="n">
        <v>93150</v>
      </c>
      <c r="G1210" t="n">
        <v>2</v>
      </c>
      <c r="H1210" t="n">
        <v>9</v>
      </c>
      <c r="I1210" t="n">
        <v>274760</v>
      </c>
    </row>
    <row r="1211">
      <c r="A1211" t="n">
        <v>1210</v>
      </c>
      <c r="B1211" t="inlineStr">
        <is>
          <t>Train</t>
        </is>
      </c>
      <c r="C1211" t="n">
        <v>4728</v>
      </c>
      <c r="D1211" t="n">
        <v>14620</v>
      </c>
      <c r="E1211" t="n">
        <v>40</v>
      </c>
      <c r="F1211" t="n">
        <v>37128</v>
      </c>
      <c r="G1211" t="n">
        <v>0</v>
      </c>
      <c r="H1211" t="n">
        <v>12</v>
      </c>
      <c r="I1211" t="n">
        <v>175125</v>
      </c>
    </row>
    <row r="1212">
      <c r="A1212" t="n">
        <v>1211</v>
      </c>
      <c r="B1212" t="inlineStr">
        <is>
          <t>Train</t>
        </is>
      </c>
      <c r="C1212" t="n">
        <v>33656</v>
      </c>
      <c r="D1212" t="n">
        <v>16560</v>
      </c>
      <c r="E1212" t="n">
        <v>38</v>
      </c>
      <c r="F1212" t="n">
        <v>112581</v>
      </c>
      <c r="G1212" t="n">
        <v>0</v>
      </c>
      <c r="H1212" t="n">
        <v>11</v>
      </c>
      <c r="I1212" t="n">
        <v>303728</v>
      </c>
    </row>
    <row r="1213">
      <c r="A1213" t="n">
        <v>1212</v>
      </c>
      <c r="B1213" t="inlineStr">
        <is>
          <t>Train</t>
        </is>
      </c>
      <c r="C1213" t="n">
        <v>27896</v>
      </c>
      <c r="D1213" t="n">
        <v>11660</v>
      </c>
      <c r="E1213" t="n">
        <v>45</v>
      </c>
      <c r="F1213" t="n">
        <v>34890</v>
      </c>
      <c r="G1213" t="n">
        <v>2</v>
      </c>
      <c r="H1213" t="n">
        <v>17</v>
      </c>
      <c r="I1213" t="n">
        <v>168229</v>
      </c>
    </row>
    <row r="1214">
      <c r="A1214" t="n">
        <v>1213</v>
      </c>
      <c r="B1214" t="inlineStr">
        <is>
          <t>Train</t>
        </is>
      </c>
      <c r="C1214" t="n">
        <v>3374</v>
      </c>
      <c r="D1214" t="n">
        <v>9600</v>
      </c>
      <c r="E1214" t="n">
        <v>40</v>
      </c>
      <c r="F1214" t="n">
        <v>40956</v>
      </c>
      <c r="G1214" t="n">
        <v>5</v>
      </c>
      <c r="H1214" t="n">
        <v>10</v>
      </c>
      <c r="I1214" t="n">
        <v>205669</v>
      </c>
    </row>
    <row r="1215">
      <c r="A1215" t="n">
        <v>1214</v>
      </c>
      <c r="B1215" t="inlineStr">
        <is>
          <t>Train</t>
        </is>
      </c>
      <c r="C1215" t="n">
        <v>7705</v>
      </c>
      <c r="D1215" t="n">
        <v>3800</v>
      </c>
      <c r="E1215" t="n">
        <v>23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1215</v>
      </c>
      <c r="B1216" t="inlineStr">
        <is>
          <t>Train</t>
        </is>
      </c>
      <c r="C1216" t="n">
        <v>5914</v>
      </c>
      <c r="D1216" t="n">
        <v>10950</v>
      </c>
      <c r="E1216" t="n">
        <v>65</v>
      </c>
      <c r="F1216" t="n">
        <v>64980</v>
      </c>
      <c r="G1216" t="n">
        <v>4</v>
      </c>
      <c r="H1216" t="n">
        <v>15</v>
      </c>
      <c r="I1216" t="n">
        <v>240241</v>
      </c>
    </row>
    <row r="1217">
      <c r="A1217" t="n">
        <v>1216</v>
      </c>
      <c r="B1217" t="inlineStr">
        <is>
          <t>Train</t>
        </is>
      </c>
      <c r="C1217" t="n">
        <v>8132</v>
      </c>
      <c r="D1217" t="n">
        <v>16230</v>
      </c>
      <c r="E1217" t="n">
        <v>45</v>
      </c>
      <c r="F1217" t="n">
        <v>102264</v>
      </c>
      <c r="G1217" t="n">
        <v>3</v>
      </c>
      <c r="H1217" t="n">
        <v>11</v>
      </c>
      <c r="I1217" t="n">
        <v>0</v>
      </c>
    </row>
    <row r="1218">
      <c r="A1218" t="n">
        <v>1217</v>
      </c>
      <c r="B1218" t="inlineStr">
        <is>
          <t>Validation</t>
        </is>
      </c>
      <c r="C1218" t="n">
        <v>40450</v>
      </c>
      <c r="D1218" t="n">
        <v>29870</v>
      </c>
      <c r="E1218" t="n">
        <v>41</v>
      </c>
      <c r="F1218" t="n">
        <v>50542</v>
      </c>
      <c r="G1218" t="n">
        <v>0</v>
      </c>
      <c r="H1218" t="n">
        <v>13</v>
      </c>
      <c r="I1218" t="n">
        <v>197090</v>
      </c>
    </row>
    <row r="1219">
      <c r="A1219" t="n">
        <v>1218</v>
      </c>
      <c r="B1219" t="inlineStr">
        <is>
          <t>Validation</t>
        </is>
      </c>
      <c r="C1219" t="n">
        <v>7049</v>
      </c>
      <c r="D1219" t="n">
        <v>13250</v>
      </c>
      <c r="E1219" t="n">
        <v>51</v>
      </c>
      <c r="F1219" t="n">
        <v>66501</v>
      </c>
      <c r="G1219" t="n">
        <v>7</v>
      </c>
      <c r="H1219" t="n">
        <v>11</v>
      </c>
      <c r="I1219" t="n">
        <v>197809</v>
      </c>
    </row>
    <row r="1220">
      <c r="A1220" t="n">
        <v>1219</v>
      </c>
      <c r="B1220" t="inlineStr">
        <is>
          <t>Validation</t>
        </is>
      </c>
      <c r="C1220" t="n">
        <v>9969</v>
      </c>
      <c r="D1220" t="n">
        <v>18550</v>
      </c>
      <c r="E1220" t="n">
        <v>53</v>
      </c>
      <c r="F1220" t="n">
        <v>95455</v>
      </c>
      <c r="G1220" t="n">
        <v>0</v>
      </c>
      <c r="H1220" t="n">
        <v>13</v>
      </c>
      <c r="I1220" t="n">
        <v>0</v>
      </c>
    </row>
    <row r="1221">
      <c r="A1221" t="n">
        <v>1220</v>
      </c>
      <c r="B1221" t="inlineStr">
        <is>
          <t>Train</t>
        </is>
      </c>
      <c r="C1221" t="n">
        <v>35070</v>
      </c>
      <c r="D1221" t="n">
        <v>9470</v>
      </c>
      <c r="E1221" t="n">
        <v>61</v>
      </c>
      <c r="F1221" t="n">
        <v>59563</v>
      </c>
      <c r="G1221" t="n">
        <v>0</v>
      </c>
      <c r="H1221" t="n">
        <v>9</v>
      </c>
      <c r="I1221" t="n">
        <v>233352</v>
      </c>
    </row>
    <row r="1222">
      <c r="A1222" t="n">
        <v>1221</v>
      </c>
      <c r="B1222" t="inlineStr">
        <is>
          <t>Train</t>
        </is>
      </c>
      <c r="C1222" t="n">
        <v>2088</v>
      </c>
      <c r="D1222" t="n">
        <v>20630</v>
      </c>
      <c r="E1222" t="n">
        <v>52</v>
      </c>
      <c r="F1222" t="n">
        <v>63967</v>
      </c>
      <c r="G1222" t="n">
        <v>3</v>
      </c>
      <c r="H1222" t="n">
        <v>11</v>
      </c>
      <c r="I1222" t="n">
        <v>246870</v>
      </c>
    </row>
    <row r="1223">
      <c r="A1223" t="n">
        <v>1222</v>
      </c>
      <c r="B1223" t="inlineStr">
        <is>
          <t>Train</t>
        </is>
      </c>
      <c r="C1223" t="n">
        <v>8514</v>
      </c>
      <c r="D1223" t="n">
        <v>30520</v>
      </c>
      <c r="E1223" t="n">
        <v>49</v>
      </c>
      <c r="F1223" t="n">
        <v>116587</v>
      </c>
      <c r="G1223" t="n">
        <v>6</v>
      </c>
      <c r="H1223" t="n">
        <v>14</v>
      </c>
      <c r="I1223" t="n">
        <v>319596</v>
      </c>
    </row>
    <row r="1224">
      <c r="A1224" t="n">
        <v>1223</v>
      </c>
      <c r="B1224" t="inlineStr">
        <is>
          <t>Train</t>
        </is>
      </c>
      <c r="C1224" t="n">
        <v>1343</v>
      </c>
      <c r="D1224" t="n">
        <v>8380</v>
      </c>
      <c r="E1224" t="n">
        <v>40</v>
      </c>
      <c r="F1224" t="n">
        <v>0</v>
      </c>
      <c r="G1224" t="n">
        <v>1</v>
      </c>
      <c r="H1224" t="n">
        <v>0</v>
      </c>
      <c r="I1224" t="n">
        <v>0</v>
      </c>
    </row>
    <row r="1225">
      <c r="A1225" t="n">
        <v>1224</v>
      </c>
      <c r="B1225" t="inlineStr">
        <is>
          <t>Train</t>
        </is>
      </c>
      <c r="C1225" t="n">
        <v>47414</v>
      </c>
      <c r="D1225" t="n">
        <v>15440</v>
      </c>
      <c r="E1225" t="n">
        <v>53</v>
      </c>
      <c r="F1225" t="n">
        <v>0</v>
      </c>
      <c r="G1225" t="n">
        <v>0</v>
      </c>
      <c r="H1225" t="n">
        <v>0</v>
      </c>
      <c r="I1225" t="n">
        <v>66839</v>
      </c>
    </row>
    <row r="1226">
      <c r="A1226" t="n">
        <v>1225</v>
      </c>
      <c r="B1226" t="inlineStr">
        <is>
          <t>Train</t>
        </is>
      </c>
      <c r="C1226" t="n">
        <v>10546</v>
      </c>
      <c r="D1226" t="n">
        <v>16530</v>
      </c>
      <c r="E1226" t="n">
        <v>37</v>
      </c>
      <c r="F1226" t="n">
        <v>39923</v>
      </c>
      <c r="G1226" t="n">
        <v>2</v>
      </c>
      <c r="H1226" t="n">
        <v>13</v>
      </c>
      <c r="I1226" t="n">
        <v>133822</v>
      </c>
    </row>
    <row r="1227">
      <c r="A1227" t="n">
        <v>1226</v>
      </c>
      <c r="B1227" t="inlineStr">
        <is>
          <t>Train</t>
        </is>
      </c>
      <c r="C1227" t="n">
        <v>10205</v>
      </c>
      <c r="D1227" t="n">
        <v>17580</v>
      </c>
      <c r="E1227" t="n">
        <v>37</v>
      </c>
      <c r="F1227" t="n">
        <v>30287</v>
      </c>
      <c r="G1227" t="n">
        <v>2</v>
      </c>
      <c r="H1227" t="n">
        <v>9</v>
      </c>
      <c r="I1227" t="n">
        <v>174483</v>
      </c>
    </row>
    <row r="1228">
      <c r="A1228" t="n">
        <v>1227</v>
      </c>
      <c r="B1228" t="inlineStr">
        <is>
          <t>Validation</t>
        </is>
      </c>
      <c r="C1228" t="n">
        <v>51593</v>
      </c>
      <c r="D1228" t="n">
        <v>7510</v>
      </c>
      <c r="E1228" t="n">
        <v>35</v>
      </c>
      <c r="F1228" t="n">
        <v>60075</v>
      </c>
      <c r="G1228" t="n">
        <v>3</v>
      </c>
      <c r="H1228" t="n">
        <v>4</v>
      </c>
      <c r="I1228" t="n">
        <v>184673</v>
      </c>
    </row>
    <row r="1229">
      <c r="A1229" t="n">
        <v>1228</v>
      </c>
      <c r="B1229" t="inlineStr">
        <is>
          <t>Validation</t>
        </is>
      </c>
      <c r="C1229" t="n">
        <v>3950</v>
      </c>
      <c r="D1229" t="n">
        <v>26620</v>
      </c>
      <c r="E1229" t="n">
        <v>42</v>
      </c>
      <c r="F1229" t="n">
        <v>52898</v>
      </c>
      <c r="G1229" t="n">
        <v>6</v>
      </c>
      <c r="H1229" t="n">
        <v>11</v>
      </c>
      <c r="I1229" t="n">
        <v>0</v>
      </c>
    </row>
    <row r="1230">
      <c r="A1230" t="n">
        <v>1229</v>
      </c>
      <c r="B1230" t="inlineStr">
        <is>
          <t>Validation</t>
        </is>
      </c>
      <c r="C1230" t="n">
        <v>6016</v>
      </c>
      <c r="D1230" t="n">
        <v>33750</v>
      </c>
      <c r="E1230" t="n">
        <v>58</v>
      </c>
      <c r="F1230" t="n">
        <v>69214</v>
      </c>
      <c r="G1230" t="n">
        <v>5</v>
      </c>
      <c r="H1230" t="n">
        <v>13</v>
      </c>
      <c r="I1230" t="n">
        <v>225537</v>
      </c>
    </row>
    <row r="1231">
      <c r="A1231" t="n">
        <v>1230</v>
      </c>
      <c r="B1231" t="inlineStr">
        <is>
          <t>Train</t>
        </is>
      </c>
      <c r="C1231" t="n">
        <v>4253</v>
      </c>
      <c r="D1231" t="n">
        <v>9780</v>
      </c>
      <c r="E1231" t="n">
        <v>39</v>
      </c>
      <c r="F1231" t="n">
        <v>36241</v>
      </c>
      <c r="G1231" t="n">
        <v>0</v>
      </c>
      <c r="H1231" t="n">
        <v>13</v>
      </c>
      <c r="I1231" t="n">
        <v>167608</v>
      </c>
    </row>
    <row r="1232">
      <c r="A1232" t="n">
        <v>1231</v>
      </c>
      <c r="B1232" t="inlineStr">
        <is>
          <t>Train</t>
        </is>
      </c>
      <c r="C1232" t="n">
        <v>7204</v>
      </c>
      <c r="D1232" t="n">
        <v>31240</v>
      </c>
      <c r="E1232" t="n">
        <v>61</v>
      </c>
      <c r="F1232" t="n">
        <v>119013</v>
      </c>
      <c r="G1232" t="n">
        <v>1</v>
      </c>
      <c r="H1232" t="n">
        <v>16</v>
      </c>
      <c r="I1232" t="n">
        <v>0</v>
      </c>
    </row>
    <row r="1233">
      <c r="A1233" t="n">
        <v>1232</v>
      </c>
      <c r="B1233" t="inlineStr">
        <is>
          <t>Train</t>
        </is>
      </c>
      <c r="C1233" t="n">
        <v>7905</v>
      </c>
      <c r="D1233" t="n">
        <v>17820</v>
      </c>
      <c r="E1233" t="n">
        <v>39</v>
      </c>
      <c r="F1233" t="n">
        <v>93612</v>
      </c>
      <c r="G1233" t="n">
        <v>6</v>
      </c>
      <c r="H1233" t="n">
        <v>11</v>
      </c>
      <c r="I1233" t="n">
        <v>268445</v>
      </c>
    </row>
    <row r="1234">
      <c r="A1234" t="n">
        <v>1233</v>
      </c>
      <c r="B1234" t="inlineStr">
        <is>
          <t>Train</t>
        </is>
      </c>
      <c r="C1234" t="n">
        <v>5817</v>
      </c>
      <c r="D1234" t="n">
        <v>14870</v>
      </c>
      <c r="E1234" t="n">
        <v>44</v>
      </c>
      <c r="F1234" t="n">
        <v>51172</v>
      </c>
      <c r="G1234" t="n">
        <v>2</v>
      </c>
      <c r="H1234" t="n">
        <v>5</v>
      </c>
      <c r="I1234" t="n">
        <v>177812</v>
      </c>
    </row>
    <row r="1235">
      <c r="A1235" t="n">
        <v>1234</v>
      </c>
      <c r="B1235" t="inlineStr">
        <is>
          <t>Train</t>
        </is>
      </c>
      <c r="C1235" t="n">
        <v>9715</v>
      </c>
      <c r="D1235" t="n">
        <v>5600</v>
      </c>
      <c r="E1235" t="n">
        <v>41</v>
      </c>
      <c r="F1235" t="n">
        <v>0</v>
      </c>
      <c r="G1235" t="n">
        <v>7</v>
      </c>
      <c r="H1235" t="n">
        <v>0</v>
      </c>
      <c r="I1235" t="n">
        <v>0</v>
      </c>
    </row>
    <row r="1236">
      <c r="A1236" t="n">
        <v>1235</v>
      </c>
      <c r="B1236" t="inlineStr">
        <is>
          <t>Train</t>
        </is>
      </c>
      <c r="C1236" t="n">
        <v>11389</v>
      </c>
      <c r="D1236" t="n">
        <v>13410</v>
      </c>
      <c r="E1236" t="n">
        <v>49</v>
      </c>
      <c r="F1236" t="n">
        <v>47965</v>
      </c>
      <c r="G1236" t="n">
        <v>4</v>
      </c>
      <c r="H1236" t="n">
        <v>8</v>
      </c>
      <c r="I1236" t="n">
        <v>160049</v>
      </c>
    </row>
    <row r="1237">
      <c r="A1237" t="n">
        <v>1236</v>
      </c>
      <c r="B1237" t="inlineStr">
        <is>
          <t>Train</t>
        </is>
      </c>
      <c r="C1237" t="n">
        <v>6987</v>
      </c>
      <c r="D1237" t="n">
        <v>20820</v>
      </c>
      <c r="E1237" t="n">
        <v>54</v>
      </c>
      <c r="F1237" t="n">
        <v>84096</v>
      </c>
      <c r="G1237" t="n">
        <v>4</v>
      </c>
      <c r="H1237" t="n">
        <v>12</v>
      </c>
      <c r="I1237" t="n">
        <v>0</v>
      </c>
    </row>
    <row r="1238">
      <c r="A1238" t="n">
        <v>1237</v>
      </c>
      <c r="B1238" t="inlineStr">
        <is>
          <t>Validation</t>
        </is>
      </c>
      <c r="C1238" t="n">
        <v>6815</v>
      </c>
      <c r="D1238" t="n">
        <v>5300</v>
      </c>
      <c r="E1238" t="n">
        <v>38</v>
      </c>
      <c r="F1238" t="n">
        <v>0</v>
      </c>
      <c r="G1238" t="n">
        <v>3</v>
      </c>
      <c r="H1238" t="n">
        <v>0</v>
      </c>
      <c r="I1238" t="n">
        <v>0</v>
      </c>
    </row>
    <row r="1239">
      <c r="A1239" t="n">
        <v>1238</v>
      </c>
      <c r="B1239" t="inlineStr">
        <is>
          <t>Validation</t>
        </is>
      </c>
      <c r="C1239" t="n">
        <v>23060</v>
      </c>
      <c r="D1239" t="n">
        <v>24930</v>
      </c>
      <c r="E1239" t="n">
        <v>46</v>
      </c>
      <c r="F1239" t="n">
        <v>6576</v>
      </c>
      <c r="G1239" t="n">
        <v>6</v>
      </c>
      <c r="H1239" t="n">
        <v>12</v>
      </c>
      <c r="I1239" t="n">
        <v>144646</v>
      </c>
    </row>
    <row r="1240">
      <c r="A1240" t="n">
        <v>1239</v>
      </c>
      <c r="B1240" t="inlineStr">
        <is>
          <t>Validation</t>
        </is>
      </c>
      <c r="C1240" t="n">
        <v>5481</v>
      </c>
      <c r="D1240" t="n">
        <v>4620</v>
      </c>
      <c r="E1240" t="n">
        <v>37</v>
      </c>
      <c r="F1240" t="n">
        <v>27126</v>
      </c>
      <c r="G1240" t="n">
        <v>7</v>
      </c>
      <c r="H1240" t="n">
        <v>5</v>
      </c>
      <c r="I1240" t="n">
        <v>0</v>
      </c>
    </row>
    <row r="1241">
      <c r="A1241" t="n">
        <v>1240</v>
      </c>
      <c r="B1241" t="inlineStr">
        <is>
          <t>Train</t>
        </is>
      </c>
      <c r="C1241" t="n">
        <v>812</v>
      </c>
      <c r="D1241" t="n">
        <v>22610</v>
      </c>
      <c r="E1241" t="n">
        <v>37</v>
      </c>
      <c r="F1241" t="n">
        <v>27509</v>
      </c>
      <c r="G1241" t="n">
        <v>10</v>
      </c>
      <c r="H1241" t="n">
        <v>11</v>
      </c>
      <c r="I1241" t="n">
        <v>0</v>
      </c>
    </row>
    <row r="1242">
      <c r="A1242" t="n">
        <v>1241</v>
      </c>
      <c r="B1242" t="inlineStr">
        <is>
          <t>Train</t>
        </is>
      </c>
      <c r="C1242" t="n">
        <v>6682</v>
      </c>
      <c r="D1242" t="n">
        <v>6010</v>
      </c>
      <c r="E1242" t="n">
        <v>34</v>
      </c>
      <c r="F1242" t="n">
        <v>0</v>
      </c>
      <c r="G1242" t="n">
        <v>2</v>
      </c>
      <c r="H1242" t="n">
        <v>0</v>
      </c>
      <c r="I1242" t="n">
        <v>121949</v>
      </c>
    </row>
    <row r="1243">
      <c r="A1243" t="n">
        <v>1242</v>
      </c>
      <c r="B1243" t="inlineStr">
        <is>
          <t>Train</t>
        </is>
      </c>
      <c r="C1243" t="n">
        <v>24546</v>
      </c>
      <c r="D1243" t="n">
        <v>24630</v>
      </c>
      <c r="E1243" t="n">
        <v>24</v>
      </c>
      <c r="F1243" t="n">
        <v>5427</v>
      </c>
      <c r="G1243" t="n">
        <v>11</v>
      </c>
      <c r="H1243" t="n">
        <v>10</v>
      </c>
      <c r="I1243" t="n">
        <v>0</v>
      </c>
    </row>
    <row r="1244">
      <c r="A1244" t="n">
        <v>1243</v>
      </c>
      <c r="B1244" t="inlineStr">
        <is>
          <t>Train</t>
        </is>
      </c>
      <c r="C1244" t="n">
        <v>3482</v>
      </c>
      <c r="D1244" t="n">
        <v>14390</v>
      </c>
      <c r="E1244" t="n">
        <v>41</v>
      </c>
      <c r="F1244" t="n">
        <v>43704</v>
      </c>
      <c r="G1244" t="n">
        <v>0</v>
      </c>
      <c r="H1244" t="n">
        <v>13</v>
      </c>
      <c r="I1244" t="n">
        <v>122066</v>
      </c>
    </row>
    <row r="1245">
      <c r="A1245" t="n">
        <v>1244</v>
      </c>
      <c r="B1245" t="inlineStr">
        <is>
          <t>Train</t>
        </is>
      </c>
      <c r="C1245" t="n">
        <v>720</v>
      </c>
      <c r="D1245" t="n">
        <v>25540</v>
      </c>
      <c r="E1245" t="n">
        <v>63</v>
      </c>
      <c r="F1245" t="n">
        <v>87516</v>
      </c>
      <c r="G1245" t="n">
        <v>0</v>
      </c>
      <c r="H1245" t="n">
        <v>9</v>
      </c>
      <c r="I1245" t="n">
        <v>289088</v>
      </c>
    </row>
    <row r="1246">
      <c r="A1246" t="n">
        <v>1245</v>
      </c>
      <c r="B1246" t="inlineStr">
        <is>
          <t>Train</t>
        </is>
      </c>
      <c r="C1246" t="n">
        <v>6181</v>
      </c>
      <c r="D1246" t="n">
        <v>7800</v>
      </c>
      <c r="E1246" t="n">
        <v>63</v>
      </c>
      <c r="F1246" t="n">
        <v>0</v>
      </c>
      <c r="G1246" t="n">
        <v>1</v>
      </c>
      <c r="H1246" t="n">
        <v>0</v>
      </c>
      <c r="I1246" t="n">
        <v>111129</v>
      </c>
    </row>
    <row r="1247">
      <c r="A1247" t="n">
        <v>1246</v>
      </c>
      <c r="B1247" t="inlineStr">
        <is>
          <t>Train</t>
        </is>
      </c>
      <c r="C1247" t="n">
        <v>5192</v>
      </c>
      <c r="D1247" t="n">
        <v>8790</v>
      </c>
      <c r="E1247" t="n">
        <v>42</v>
      </c>
      <c r="F1247" t="n">
        <v>30939</v>
      </c>
      <c r="G1247" t="n">
        <v>5</v>
      </c>
      <c r="H1247" t="n">
        <v>15</v>
      </c>
      <c r="I1247" t="n">
        <v>153954</v>
      </c>
    </row>
    <row r="1248">
      <c r="A1248" t="n">
        <v>1247</v>
      </c>
      <c r="B1248" t="inlineStr">
        <is>
          <t>Validation</t>
        </is>
      </c>
      <c r="C1248" t="n">
        <v>8692</v>
      </c>
      <c r="D1248" t="n">
        <v>16350</v>
      </c>
      <c r="E1248" t="n">
        <v>49</v>
      </c>
      <c r="F1248" t="n">
        <v>99488</v>
      </c>
      <c r="G1248" t="n">
        <v>11</v>
      </c>
      <c r="H1248" t="n">
        <v>11</v>
      </c>
      <c r="I1248" t="n">
        <v>0</v>
      </c>
    </row>
    <row r="1249">
      <c r="A1249" t="n">
        <v>1248</v>
      </c>
      <c r="B1249" t="inlineStr">
        <is>
          <t>Validation</t>
        </is>
      </c>
      <c r="C1249" t="n">
        <v>1776</v>
      </c>
      <c r="D1249" t="n">
        <v>23880</v>
      </c>
      <c r="E1249" t="n">
        <v>61</v>
      </c>
      <c r="F1249" t="n">
        <v>46826</v>
      </c>
      <c r="G1249" t="n">
        <v>4</v>
      </c>
      <c r="H1249" t="n">
        <v>6</v>
      </c>
      <c r="I1249" t="n">
        <v>178836</v>
      </c>
    </row>
    <row r="1250">
      <c r="A1250" t="n">
        <v>1249</v>
      </c>
      <c r="B1250" t="inlineStr">
        <is>
          <t>Validation</t>
        </is>
      </c>
      <c r="C1250" t="n">
        <v>5375</v>
      </c>
      <c r="D1250" t="n">
        <v>19370</v>
      </c>
      <c r="E1250" t="n">
        <v>40</v>
      </c>
      <c r="F1250" t="n">
        <v>138736</v>
      </c>
      <c r="G1250" t="n">
        <v>7</v>
      </c>
      <c r="H1250" t="n">
        <v>16</v>
      </c>
      <c r="I1250" t="n">
        <v>0</v>
      </c>
    </row>
    <row r="1251">
      <c r="A1251" t="n">
        <v>1250</v>
      </c>
      <c r="B1251" t="inlineStr">
        <is>
          <t>Train</t>
        </is>
      </c>
      <c r="C1251" t="n">
        <v>1564</v>
      </c>
      <c r="D1251" t="n">
        <v>6380</v>
      </c>
      <c r="E1251" t="n">
        <v>33</v>
      </c>
      <c r="F1251" t="n">
        <v>34682</v>
      </c>
      <c r="G1251" t="n">
        <v>0</v>
      </c>
      <c r="H1251" t="n">
        <v>10</v>
      </c>
      <c r="I1251" t="n">
        <v>183265</v>
      </c>
    </row>
    <row r="1252">
      <c r="A1252" t="n">
        <v>1251</v>
      </c>
      <c r="B1252" t="inlineStr">
        <is>
          <t>Train</t>
        </is>
      </c>
      <c r="C1252" t="n">
        <v>5436</v>
      </c>
      <c r="D1252" t="n">
        <v>11260</v>
      </c>
      <c r="E1252" t="n">
        <v>38</v>
      </c>
      <c r="F1252" t="n">
        <v>59578</v>
      </c>
      <c r="G1252" t="n">
        <v>0</v>
      </c>
      <c r="H1252" t="n">
        <v>10</v>
      </c>
      <c r="I1252" t="n">
        <v>0</v>
      </c>
    </row>
    <row r="1253">
      <c r="A1253" t="n">
        <v>1252</v>
      </c>
      <c r="B1253" t="inlineStr">
        <is>
          <t>Train</t>
        </is>
      </c>
      <c r="C1253" t="n">
        <v>1011</v>
      </c>
      <c r="D1253" t="n">
        <v>8010</v>
      </c>
      <c r="E1253" t="n">
        <v>38</v>
      </c>
      <c r="F1253" t="n">
        <v>68328</v>
      </c>
      <c r="G1253" t="n">
        <v>5</v>
      </c>
      <c r="H1253" t="n">
        <v>14</v>
      </c>
      <c r="I1253" t="n">
        <v>0</v>
      </c>
    </row>
    <row r="1254">
      <c r="A1254" t="n">
        <v>1253</v>
      </c>
      <c r="B1254" t="inlineStr">
        <is>
          <t>Train</t>
        </is>
      </c>
      <c r="C1254" t="n">
        <v>5891</v>
      </c>
      <c r="D1254" t="n">
        <v>11970</v>
      </c>
      <c r="E1254" t="n">
        <v>30</v>
      </c>
      <c r="F1254" t="n">
        <v>74725</v>
      </c>
      <c r="G1254" t="n">
        <v>4</v>
      </c>
      <c r="H1254" t="n">
        <v>10</v>
      </c>
      <c r="I1254" t="n">
        <v>0</v>
      </c>
    </row>
    <row r="1255">
      <c r="A1255" t="n">
        <v>1254</v>
      </c>
      <c r="B1255" t="inlineStr">
        <is>
          <t>Train</t>
        </is>
      </c>
      <c r="C1255" t="n">
        <v>7579</v>
      </c>
      <c r="D1255" t="n">
        <v>1500</v>
      </c>
      <c r="E1255" t="n">
        <v>45</v>
      </c>
      <c r="F1255" t="n">
        <v>78599</v>
      </c>
      <c r="G1255" t="n">
        <v>5</v>
      </c>
      <c r="H1255" t="n">
        <v>11</v>
      </c>
      <c r="I1255" t="n">
        <v>255423</v>
      </c>
    </row>
    <row r="1256">
      <c r="A1256" t="n">
        <v>1255</v>
      </c>
      <c r="B1256" t="inlineStr">
        <is>
          <t>Train</t>
        </is>
      </c>
      <c r="C1256" t="n">
        <v>27746</v>
      </c>
      <c r="D1256" t="n">
        <v>10060</v>
      </c>
      <c r="E1256" t="n">
        <v>43</v>
      </c>
      <c r="F1256" t="n">
        <v>42554</v>
      </c>
      <c r="G1256" t="n">
        <v>2</v>
      </c>
      <c r="H1256" t="n">
        <v>13</v>
      </c>
      <c r="I1256" t="n">
        <v>0</v>
      </c>
    </row>
    <row r="1257">
      <c r="A1257" t="n">
        <v>1256</v>
      </c>
      <c r="B1257" t="inlineStr">
        <is>
          <t>Train</t>
        </is>
      </c>
      <c r="C1257" t="n">
        <v>39424</v>
      </c>
      <c r="D1257" t="n">
        <v>12990</v>
      </c>
      <c r="E1257" t="n">
        <v>36</v>
      </c>
      <c r="F1257" t="n">
        <v>78948</v>
      </c>
      <c r="G1257" t="n">
        <v>5</v>
      </c>
      <c r="H1257" t="n">
        <v>8</v>
      </c>
      <c r="I1257" t="n">
        <v>194294</v>
      </c>
    </row>
    <row r="1258">
      <c r="A1258" t="n">
        <v>1257</v>
      </c>
      <c r="B1258" t="inlineStr">
        <is>
          <t>Validation</t>
        </is>
      </c>
      <c r="C1258" t="n">
        <v>1534</v>
      </c>
      <c r="D1258" t="n">
        <v>40750</v>
      </c>
      <c r="E1258" t="n">
        <v>55</v>
      </c>
      <c r="F1258" t="n">
        <v>113700</v>
      </c>
      <c r="G1258" t="n">
        <v>0</v>
      </c>
      <c r="H1258" t="n">
        <v>13</v>
      </c>
      <c r="I1258" t="n">
        <v>354191</v>
      </c>
    </row>
    <row r="1259">
      <c r="A1259" t="n">
        <v>1258</v>
      </c>
      <c r="B1259" t="inlineStr">
        <is>
          <t>Validation</t>
        </is>
      </c>
      <c r="C1259" t="n">
        <v>1190</v>
      </c>
      <c r="D1259" t="n">
        <v>15150</v>
      </c>
      <c r="E1259" t="n">
        <v>40</v>
      </c>
      <c r="F1259" t="n">
        <v>58000</v>
      </c>
      <c r="G1259" t="n">
        <v>0</v>
      </c>
      <c r="H1259" t="n">
        <v>14</v>
      </c>
      <c r="I1259" t="n">
        <v>244016</v>
      </c>
    </row>
    <row r="1260">
      <c r="A1260" t="n">
        <v>1259</v>
      </c>
      <c r="B1260" t="inlineStr">
        <is>
          <t>Validation</t>
        </is>
      </c>
      <c r="C1260" t="n">
        <v>5761</v>
      </c>
      <c r="D1260" t="n">
        <v>6400</v>
      </c>
      <c r="E1260" t="n">
        <v>49</v>
      </c>
      <c r="F1260" t="n">
        <v>1133</v>
      </c>
      <c r="G1260" t="n">
        <v>0</v>
      </c>
      <c r="H1260" t="n">
        <v>8</v>
      </c>
      <c r="I1260" t="n">
        <v>117420</v>
      </c>
    </row>
    <row r="1261">
      <c r="A1261" t="n">
        <v>1260</v>
      </c>
      <c r="B1261" t="inlineStr">
        <is>
          <t>Train</t>
        </is>
      </c>
      <c r="C1261" t="n">
        <v>1455</v>
      </c>
      <c r="D1261" t="n">
        <v>20110</v>
      </c>
      <c r="E1261" t="n">
        <v>47</v>
      </c>
      <c r="F1261" t="n">
        <v>52412</v>
      </c>
      <c r="G1261" t="n">
        <v>0</v>
      </c>
      <c r="H1261" t="n">
        <v>10</v>
      </c>
      <c r="I1261" t="n">
        <v>0</v>
      </c>
    </row>
    <row r="1262">
      <c r="A1262" t="n">
        <v>1261</v>
      </c>
      <c r="B1262" t="inlineStr">
        <is>
          <t>Train</t>
        </is>
      </c>
      <c r="C1262" t="n">
        <v>4514</v>
      </c>
      <c r="D1262" t="n">
        <v>12790</v>
      </c>
      <c r="E1262" t="n">
        <v>32</v>
      </c>
      <c r="F1262" t="n">
        <v>0</v>
      </c>
      <c r="G1262" t="n">
        <v>9</v>
      </c>
      <c r="H1262" t="n">
        <v>0</v>
      </c>
      <c r="I1262" t="n">
        <v>0</v>
      </c>
    </row>
    <row r="1263">
      <c r="A1263" t="n">
        <v>1262</v>
      </c>
      <c r="B1263" t="inlineStr">
        <is>
          <t>Train</t>
        </is>
      </c>
      <c r="C1263" t="n">
        <v>11070</v>
      </c>
      <c r="D1263" t="n">
        <v>7870</v>
      </c>
      <c r="E1263" t="n">
        <v>50</v>
      </c>
      <c r="F1263" t="n">
        <v>63724</v>
      </c>
      <c r="G1263" t="n">
        <v>2</v>
      </c>
      <c r="H1263" t="n">
        <v>7</v>
      </c>
      <c r="I1263" t="n">
        <v>0</v>
      </c>
    </row>
    <row r="1264">
      <c r="A1264" t="n">
        <v>1263</v>
      </c>
      <c r="B1264" t="inlineStr">
        <is>
          <t>Train</t>
        </is>
      </c>
      <c r="C1264" t="n">
        <v>11213</v>
      </c>
      <c r="D1264" t="n">
        <v>23670</v>
      </c>
      <c r="E1264" t="n">
        <v>37</v>
      </c>
      <c r="F1264" t="n">
        <v>72447</v>
      </c>
      <c r="G1264" t="n">
        <v>0</v>
      </c>
      <c r="H1264" t="n">
        <v>8</v>
      </c>
      <c r="I1264" t="n">
        <v>230332</v>
      </c>
    </row>
    <row r="1265">
      <c r="A1265" t="n">
        <v>1264</v>
      </c>
      <c r="B1265" t="inlineStr">
        <is>
          <t>Train</t>
        </is>
      </c>
      <c r="C1265" t="n">
        <v>6637</v>
      </c>
      <c r="D1265" t="n">
        <v>6000</v>
      </c>
      <c r="E1265" t="n">
        <v>44</v>
      </c>
      <c r="F1265" t="n">
        <v>89292</v>
      </c>
      <c r="G1265" t="n">
        <v>3</v>
      </c>
      <c r="H1265" t="n">
        <v>13</v>
      </c>
      <c r="I1265" t="n">
        <v>281688</v>
      </c>
    </row>
    <row r="1266">
      <c r="A1266" t="n">
        <v>1265</v>
      </c>
      <c r="B1266" t="inlineStr">
        <is>
          <t>Train</t>
        </is>
      </c>
      <c r="C1266" t="n">
        <v>8566</v>
      </c>
      <c r="D1266" t="n">
        <v>5800</v>
      </c>
      <c r="E1266" t="n">
        <v>43</v>
      </c>
      <c r="F1266" t="n">
        <v>0</v>
      </c>
      <c r="G1266" t="n">
        <v>6</v>
      </c>
      <c r="H1266" t="n">
        <v>0</v>
      </c>
      <c r="I1266" t="n">
        <v>0</v>
      </c>
    </row>
    <row r="1267">
      <c r="A1267" t="n">
        <v>1266</v>
      </c>
      <c r="B1267" t="inlineStr">
        <is>
          <t>Train</t>
        </is>
      </c>
      <c r="C1267" t="n">
        <v>35134</v>
      </c>
      <c r="D1267" t="n">
        <v>20690</v>
      </c>
      <c r="E1267" t="n">
        <v>38</v>
      </c>
      <c r="F1267" t="n">
        <v>40662</v>
      </c>
      <c r="G1267" t="n">
        <v>4</v>
      </c>
      <c r="H1267" t="n">
        <v>8</v>
      </c>
      <c r="I1267" t="n">
        <v>154033</v>
      </c>
    </row>
    <row r="1268">
      <c r="A1268" t="n">
        <v>1267</v>
      </c>
      <c r="B1268" t="inlineStr">
        <is>
          <t>Validation</t>
        </is>
      </c>
      <c r="C1268" t="n">
        <v>7108</v>
      </c>
      <c r="D1268" t="n">
        <v>5340</v>
      </c>
      <c r="E1268" t="n">
        <v>60</v>
      </c>
      <c r="F1268" t="n">
        <v>38391</v>
      </c>
      <c r="G1268" t="n">
        <v>3</v>
      </c>
      <c r="H1268" t="n">
        <v>17</v>
      </c>
      <c r="I1268" t="n">
        <v>137071</v>
      </c>
    </row>
    <row r="1269">
      <c r="A1269" t="n">
        <v>1268</v>
      </c>
      <c r="B1269" t="inlineStr">
        <is>
          <t>Validation</t>
        </is>
      </c>
      <c r="C1269" t="n">
        <v>6302</v>
      </c>
      <c r="D1269" t="n">
        <v>43510</v>
      </c>
      <c r="E1269" t="n">
        <v>51</v>
      </c>
      <c r="F1269" t="n">
        <v>221817</v>
      </c>
      <c r="G1269" t="n">
        <v>2</v>
      </c>
      <c r="H1269" t="n">
        <v>12</v>
      </c>
      <c r="I1269" t="n">
        <v>551915</v>
      </c>
    </row>
    <row r="1270">
      <c r="A1270" t="n">
        <v>1269</v>
      </c>
      <c r="B1270" t="inlineStr">
        <is>
          <t>Validation</t>
        </is>
      </c>
      <c r="C1270" t="n">
        <v>10842</v>
      </c>
      <c r="D1270" t="n">
        <v>9080</v>
      </c>
      <c r="E1270" t="n">
        <v>57</v>
      </c>
      <c r="F1270" t="n">
        <v>18775</v>
      </c>
      <c r="G1270" t="n">
        <v>4</v>
      </c>
      <c r="H1270" t="n">
        <v>14</v>
      </c>
      <c r="I1270" t="n">
        <v>182712</v>
      </c>
    </row>
    <row r="1271">
      <c r="A1271" t="n">
        <v>1270</v>
      </c>
      <c r="B1271" t="inlineStr">
        <is>
          <t>Train</t>
        </is>
      </c>
      <c r="C1271" t="n">
        <v>38190</v>
      </c>
      <c r="D1271" t="n">
        <v>10510</v>
      </c>
      <c r="E1271" t="n">
        <v>36</v>
      </c>
      <c r="F1271" t="n">
        <v>158</v>
      </c>
      <c r="G1271" t="n">
        <v>7</v>
      </c>
      <c r="H1271" t="n">
        <v>11</v>
      </c>
      <c r="I1271" t="n">
        <v>0</v>
      </c>
    </row>
    <row r="1272">
      <c r="A1272" t="n">
        <v>1271</v>
      </c>
      <c r="B1272" t="inlineStr">
        <is>
          <t>Train</t>
        </is>
      </c>
      <c r="C1272" t="n">
        <v>6324</v>
      </c>
      <c r="D1272" t="n">
        <v>9740</v>
      </c>
      <c r="E1272" t="n">
        <v>43</v>
      </c>
      <c r="F1272" t="n">
        <v>39432</v>
      </c>
      <c r="G1272" t="n">
        <v>3</v>
      </c>
      <c r="H1272" t="n">
        <v>15</v>
      </c>
      <c r="I1272" t="n">
        <v>117343</v>
      </c>
    </row>
    <row r="1273">
      <c r="A1273" t="n">
        <v>1272</v>
      </c>
      <c r="B1273" t="inlineStr">
        <is>
          <t>Train</t>
        </is>
      </c>
      <c r="C1273" t="n">
        <v>6985</v>
      </c>
      <c r="D1273" t="n">
        <v>25720</v>
      </c>
      <c r="E1273" t="n">
        <v>27</v>
      </c>
      <c r="F1273" t="n">
        <v>81474</v>
      </c>
      <c r="G1273" t="n">
        <v>3</v>
      </c>
      <c r="H1273" t="n">
        <v>9</v>
      </c>
      <c r="I1273" t="n">
        <v>0</v>
      </c>
    </row>
    <row r="1274">
      <c r="A1274" t="n">
        <v>1273</v>
      </c>
      <c r="B1274" t="inlineStr">
        <is>
          <t>Train</t>
        </is>
      </c>
      <c r="C1274" t="n">
        <v>2158</v>
      </c>
      <c r="D1274" t="n">
        <v>5220</v>
      </c>
      <c r="E1274" t="n">
        <v>55</v>
      </c>
      <c r="F1274" t="n">
        <v>26088</v>
      </c>
      <c r="G1274" t="n">
        <v>2</v>
      </c>
      <c r="H1274" t="n">
        <v>12</v>
      </c>
      <c r="I1274" t="n">
        <v>0</v>
      </c>
    </row>
    <row r="1275">
      <c r="A1275" t="n">
        <v>1274</v>
      </c>
      <c r="B1275" t="inlineStr">
        <is>
          <t>Train</t>
        </is>
      </c>
      <c r="C1275" t="n">
        <v>5477</v>
      </c>
      <c r="D1275" t="n">
        <v>25350</v>
      </c>
      <c r="E1275" t="n">
        <v>53</v>
      </c>
      <c r="F1275" t="n">
        <v>97531</v>
      </c>
      <c r="G1275" t="n">
        <v>0</v>
      </c>
      <c r="H1275" t="n">
        <v>13</v>
      </c>
      <c r="I1275" t="n">
        <v>301461</v>
      </c>
    </row>
    <row r="1276">
      <c r="A1276" t="n">
        <v>1275</v>
      </c>
      <c r="B1276" t="inlineStr">
        <is>
          <t>Train</t>
        </is>
      </c>
      <c r="C1276" t="n">
        <v>7000</v>
      </c>
      <c r="D1276" t="n">
        <v>9550</v>
      </c>
      <c r="E1276" t="n">
        <v>48</v>
      </c>
      <c r="F1276" t="n">
        <v>13023</v>
      </c>
      <c r="G1276" t="n">
        <v>1</v>
      </c>
      <c r="H1276" t="n">
        <v>12</v>
      </c>
      <c r="I1276" t="n">
        <v>154122</v>
      </c>
    </row>
    <row r="1277">
      <c r="A1277" t="n">
        <v>1276</v>
      </c>
      <c r="B1277" t="inlineStr">
        <is>
          <t>Train</t>
        </is>
      </c>
      <c r="C1277" t="n">
        <v>725</v>
      </c>
      <c r="D1277" t="n">
        <v>18550</v>
      </c>
      <c r="E1277" t="n">
        <v>36</v>
      </c>
      <c r="F1277" t="n">
        <v>72167</v>
      </c>
      <c r="G1277" t="n">
        <v>4</v>
      </c>
      <c r="H1277" t="n">
        <v>9</v>
      </c>
      <c r="I1277" t="n">
        <v>0</v>
      </c>
    </row>
    <row r="1278">
      <c r="A1278" t="n">
        <v>1277</v>
      </c>
      <c r="B1278" t="inlineStr">
        <is>
          <t>Validation</t>
        </is>
      </c>
      <c r="C1278" t="n">
        <v>17393</v>
      </c>
      <c r="D1278" t="n">
        <v>11370</v>
      </c>
      <c r="E1278" t="n">
        <v>42</v>
      </c>
      <c r="F1278" t="n">
        <v>56746</v>
      </c>
      <c r="G1278" t="n">
        <v>3</v>
      </c>
      <c r="H1278" t="n">
        <v>13</v>
      </c>
      <c r="I1278" t="n">
        <v>176509</v>
      </c>
    </row>
    <row r="1279">
      <c r="A1279" t="n">
        <v>1278</v>
      </c>
      <c r="B1279" t="inlineStr">
        <is>
          <t>Validation</t>
        </is>
      </c>
      <c r="C1279" t="n">
        <v>4576</v>
      </c>
      <c r="D1279" t="n">
        <v>1500</v>
      </c>
      <c r="E1279" t="n">
        <v>41</v>
      </c>
      <c r="F1279" t="n">
        <v>34056</v>
      </c>
      <c r="G1279" t="n">
        <v>3</v>
      </c>
      <c r="H1279" t="n">
        <v>13</v>
      </c>
      <c r="I1279" t="n">
        <v>122908</v>
      </c>
    </row>
    <row r="1280">
      <c r="A1280" t="n">
        <v>1279</v>
      </c>
      <c r="B1280" t="inlineStr">
        <is>
          <t>Validation</t>
        </is>
      </c>
      <c r="C1280" t="n">
        <v>32589</v>
      </c>
      <c r="D1280" t="n">
        <v>24360</v>
      </c>
      <c r="E1280" t="n">
        <v>46</v>
      </c>
      <c r="F1280" t="n">
        <v>21534</v>
      </c>
      <c r="G1280" t="n">
        <v>3</v>
      </c>
      <c r="H1280" t="n">
        <v>10</v>
      </c>
      <c r="I1280" t="n">
        <v>90467</v>
      </c>
    </row>
    <row r="1281">
      <c r="A1281" t="n">
        <v>1280</v>
      </c>
      <c r="B1281" t="inlineStr">
        <is>
          <t>Train</t>
        </is>
      </c>
      <c r="C1281" t="n">
        <v>4162</v>
      </c>
      <c r="D1281" t="n">
        <v>20280</v>
      </c>
      <c r="E1281" t="n">
        <v>38</v>
      </c>
      <c r="F1281" t="n">
        <v>40248</v>
      </c>
      <c r="G1281" t="n">
        <v>7</v>
      </c>
      <c r="H1281" t="n">
        <v>14</v>
      </c>
      <c r="I1281" t="n">
        <v>166402</v>
      </c>
    </row>
    <row r="1282">
      <c r="A1282" t="n">
        <v>1281</v>
      </c>
      <c r="B1282" t="inlineStr">
        <is>
          <t>Train</t>
        </is>
      </c>
      <c r="C1282" t="n">
        <v>1982</v>
      </c>
      <c r="D1282" t="n">
        <v>12080</v>
      </c>
      <c r="E1282" t="n">
        <v>46</v>
      </c>
      <c r="F1282" t="n">
        <v>59838</v>
      </c>
      <c r="G1282" t="n">
        <v>4</v>
      </c>
      <c r="H1282" t="n">
        <v>9</v>
      </c>
      <c r="I1282" t="n">
        <v>192061</v>
      </c>
    </row>
    <row r="1283">
      <c r="A1283" t="n">
        <v>1282</v>
      </c>
      <c r="B1283" t="inlineStr">
        <is>
          <t>Train</t>
        </is>
      </c>
      <c r="C1283" t="n">
        <v>6412</v>
      </c>
      <c r="D1283" t="n">
        <v>17310</v>
      </c>
      <c r="E1283" t="n">
        <v>41</v>
      </c>
      <c r="F1283" t="n">
        <v>58963</v>
      </c>
      <c r="G1283" t="n">
        <v>1</v>
      </c>
      <c r="H1283" t="n">
        <v>13</v>
      </c>
      <c r="I1283" t="n">
        <v>214655</v>
      </c>
    </row>
    <row r="1284">
      <c r="A1284" t="n">
        <v>1283</v>
      </c>
      <c r="B1284" t="inlineStr">
        <is>
          <t>Train</t>
        </is>
      </c>
      <c r="C1284" t="n">
        <v>1101</v>
      </c>
      <c r="D1284" t="n">
        <v>7520</v>
      </c>
      <c r="E1284" t="n">
        <v>42</v>
      </c>
      <c r="F1284" t="n">
        <v>7313</v>
      </c>
      <c r="G1284" t="n">
        <v>0</v>
      </c>
      <c r="H1284" t="n">
        <v>13</v>
      </c>
      <c r="I1284" t="n">
        <v>94969</v>
      </c>
    </row>
    <row r="1285">
      <c r="A1285" t="n">
        <v>1284</v>
      </c>
      <c r="B1285" t="inlineStr">
        <is>
          <t>Train</t>
        </is>
      </c>
      <c r="C1285" t="n">
        <v>7601</v>
      </c>
      <c r="D1285" t="n">
        <v>22780</v>
      </c>
      <c r="E1285" t="n">
        <v>46</v>
      </c>
      <c r="F1285" t="n">
        <v>140113</v>
      </c>
      <c r="G1285" t="n">
        <v>7</v>
      </c>
      <c r="H1285" t="n">
        <v>6</v>
      </c>
      <c r="I1285" t="n">
        <v>363845</v>
      </c>
    </row>
    <row r="1286">
      <c r="A1286" t="n">
        <v>1285</v>
      </c>
      <c r="B1286" t="inlineStr">
        <is>
          <t>Train</t>
        </is>
      </c>
      <c r="C1286" t="n">
        <v>4567</v>
      </c>
      <c r="D1286" t="n">
        <v>9290</v>
      </c>
      <c r="E1286" t="n">
        <v>37</v>
      </c>
      <c r="F1286" t="n">
        <v>40924</v>
      </c>
      <c r="G1286" t="n">
        <v>0</v>
      </c>
      <c r="H1286" t="n">
        <v>14</v>
      </c>
      <c r="I1286" t="n">
        <v>203314</v>
      </c>
    </row>
    <row r="1287">
      <c r="A1287" t="n">
        <v>1286</v>
      </c>
      <c r="B1287" t="inlineStr">
        <is>
          <t>Train</t>
        </is>
      </c>
      <c r="C1287" t="n">
        <v>10321</v>
      </c>
      <c r="D1287" t="n">
        <v>29620</v>
      </c>
      <c r="E1287" t="n">
        <v>47</v>
      </c>
      <c r="F1287" t="n">
        <v>125125</v>
      </c>
      <c r="G1287" t="n">
        <v>4</v>
      </c>
      <c r="H1287" t="n">
        <v>11</v>
      </c>
      <c r="I1287" t="n">
        <v>335460</v>
      </c>
    </row>
    <row r="1288">
      <c r="A1288" t="n">
        <v>1287</v>
      </c>
      <c r="B1288" t="inlineStr">
        <is>
          <t>Validation</t>
        </is>
      </c>
      <c r="C1288" t="n">
        <v>2159</v>
      </c>
      <c r="D1288" t="n">
        <v>11300</v>
      </c>
      <c r="E1288" t="n">
        <v>50</v>
      </c>
      <c r="F1288" t="n">
        <v>47991</v>
      </c>
      <c r="G1288" t="n">
        <v>0</v>
      </c>
      <c r="H1288" t="n">
        <v>12</v>
      </c>
      <c r="I1288" t="n">
        <v>214996</v>
      </c>
    </row>
    <row r="1289">
      <c r="A1289" t="n">
        <v>1288</v>
      </c>
      <c r="B1289" t="inlineStr">
        <is>
          <t>Validation</t>
        </is>
      </c>
      <c r="C1289" t="n">
        <v>2619</v>
      </c>
      <c r="D1289" t="n">
        <v>1500</v>
      </c>
      <c r="E1289" t="n">
        <v>46</v>
      </c>
      <c r="F1289" t="n">
        <v>102092</v>
      </c>
      <c r="G1289" t="n">
        <v>2</v>
      </c>
      <c r="H1289" t="n">
        <v>8</v>
      </c>
      <c r="I1289" t="n">
        <v>0</v>
      </c>
    </row>
    <row r="1290">
      <c r="A1290" t="n">
        <v>1289</v>
      </c>
      <c r="B1290" t="inlineStr">
        <is>
          <t>Validation</t>
        </is>
      </c>
      <c r="C1290" t="n">
        <v>20667</v>
      </c>
      <c r="D1290" t="n">
        <v>12520</v>
      </c>
      <c r="E1290" t="n">
        <v>60</v>
      </c>
      <c r="F1290" t="n">
        <v>38395</v>
      </c>
      <c r="G1290" t="n">
        <v>1</v>
      </c>
      <c r="H1290" t="n">
        <v>13</v>
      </c>
      <c r="I1290" t="n">
        <v>0</v>
      </c>
    </row>
    <row r="1291">
      <c r="A1291" t="n">
        <v>1290</v>
      </c>
      <c r="B1291" t="inlineStr">
        <is>
          <t>Train</t>
        </is>
      </c>
      <c r="C1291" t="n">
        <v>9351</v>
      </c>
      <c r="D1291" t="n">
        <v>18050</v>
      </c>
      <c r="E1291" t="n">
        <v>46</v>
      </c>
      <c r="F1291" t="n">
        <v>50252</v>
      </c>
      <c r="G1291" t="n">
        <v>5</v>
      </c>
      <c r="H1291" t="n">
        <v>7</v>
      </c>
      <c r="I1291" t="n">
        <v>182910</v>
      </c>
    </row>
    <row r="1292">
      <c r="A1292" t="n">
        <v>1291</v>
      </c>
      <c r="B1292" t="inlineStr">
        <is>
          <t>Train</t>
        </is>
      </c>
      <c r="C1292" t="n">
        <v>4734</v>
      </c>
      <c r="D1292" t="n">
        <v>15570</v>
      </c>
      <c r="E1292" t="n">
        <v>57</v>
      </c>
      <c r="F1292" t="n">
        <v>81767</v>
      </c>
      <c r="G1292" t="n">
        <v>7</v>
      </c>
      <c r="H1292" t="n">
        <v>8</v>
      </c>
      <c r="I1292" t="n">
        <v>308350</v>
      </c>
    </row>
    <row r="1293">
      <c r="A1293" t="n">
        <v>1292</v>
      </c>
      <c r="B1293" t="inlineStr">
        <is>
          <t>Train</t>
        </is>
      </c>
      <c r="C1293" t="n">
        <v>4123</v>
      </c>
      <c r="D1293" t="n">
        <v>8370</v>
      </c>
      <c r="E1293" t="n">
        <v>50</v>
      </c>
      <c r="F1293" t="n">
        <v>0</v>
      </c>
      <c r="G1293" t="n">
        <v>0</v>
      </c>
      <c r="H1293" t="n">
        <v>0</v>
      </c>
      <c r="I1293" t="n">
        <v>88189</v>
      </c>
    </row>
    <row r="1294">
      <c r="A1294" t="n">
        <v>1293</v>
      </c>
      <c r="B1294" t="inlineStr">
        <is>
          <t>Train</t>
        </is>
      </c>
      <c r="C1294" t="n">
        <v>548</v>
      </c>
      <c r="D1294" t="n">
        <v>23910</v>
      </c>
      <c r="E1294" t="n">
        <v>25</v>
      </c>
      <c r="F1294" t="n">
        <v>71207</v>
      </c>
      <c r="G1294" t="n">
        <v>7</v>
      </c>
      <c r="H1294" t="n">
        <v>9</v>
      </c>
      <c r="I1294" t="n">
        <v>202437</v>
      </c>
    </row>
    <row r="1295">
      <c r="A1295" t="n">
        <v>1294</v>
      </c>
      <c r="B1295" t="inlineStr">
        <is>
          <t>Train</t>
        </is>
      </c>
      <c r="C1295" t="n">
        <v>6444</v>
      </c>
      <c r="D1295" t="n">
        <v>10530</v>
      </c>
      <c r="E1295" t="n">
        <v>35</v>
      </c>
      <c r="F1295" t="n">
        <v>55262</v>
      </c>
      <c r="G1295" t="n">
        <v>0</v>
      </c>
      <c r="H1295" t="n">
        <v>13</v>
      </c>
      <c r="I1295" t="n">
        <v>170646</v>
      </c>
    </row>
    <row r="1296">
      <c r="A1296" t="n">
        <v>1295</v>
      </c>
      <c r="B1296" t="inlineStr">
        <is>
          <t>Train</t>
        </is>
      </c>
      <c r="C1296" t="n">
        <v>3545</v>
      </c>
      <c r="D1296" t="n">
        <v>6710</v>
      </c>
      <c r="E1296" t="n">
        <v>38</v>
      </c>
      <c r="F1296" t="n">
        <v>14098</v>
      </c>
      <c r="G1296" t="n">
        <v>0</v>
      </c>
      <c r="H1296" t="n">
        <v>17</v>
      </c>
      <c r="I1296" t="n">
        <v>60733</v>
      </c>
    </row>
    <row r="1297">
      <c r="A1297" t="n">
        <v>1296</v>
      </c>
      <c r="B1297" t="inlineStr">
        <is>
          <t>Train</t>
        </is>
      </c>
      <c r="C1297" t="n">
        <v>3137</v>
      </c>
      <c r="D1297" t="n">
        <v>9810</v>
      </c>
      <c r="E1297" t="n">
        <v>40</v>
      </c>
      <c r="F1297" t="n">
        <v>43098</v>
      </c>
      <c r="G1297" t="n">
        <v>9</v>
      </c>
      <c r="H1297" t="n">
        <v>11</v>
      </c>
      <c r="I1297" t="n">
        <v>224877</v>
      </c>
    </row>
    <row r="1298">
      <c r="A1298" t="n">
        <v>1297</v>
      </c>
      <c r="B1298" t="inlineStr">
        <is>
          <t>Validation</t>
        </is>
      </c>
      <c r="C1298" t="n">
        <v>9239</v>
      </c>
      <c r="D1298" t="n">
        <v>8420</v>
      </c>
      <c r="E1298" t="n">
        <v>49</v>
      </c>
      <c r="F1298" t="n">
        <v>100085</v>
      </c>
      <c r="G1298" t="n">
        <v>3</v>
      </c>
      <c r="H1298" t="n">
        <v>13</v>
      </c>
      <c r="I1298" t="n">
        <v>0</v>
      </c>
    </row>
    <row r="1299">
      <c r="A1299" t="n">
        <v>1298</v>
      </c>
      <c r="B1299" t="inlineStr">
        <is>
          <t>Validation</t>
        </is>
      </c>
      <c r="C1299" t="n">
        <v>8510</v>
      </c>
      <c r="D1299" t="n">
        <v>22040</v>
      </c>
      <c r="E1299" t="n">
        <v>58</v>
      </c>
      <c r="F1299" t="n">
        <v>89858</v>
      </c>
      <c r="G1299" t="n">
        <v>0</v>
      </c>
      <c r="H1299" t="n">
        <v>14</v>
      </c>
      <c r="I1299" t="n">
        <v>272665</v>
      </c>
    </row>
    <row r="1300">
      <c r="A1300" t="n">
        <v>1299</v>
      </c>
      <c r="B1300" t="inlineStr">
        <is>
          <t>Validation</t>
        </is>
      </c>
      <c r="C1300" t="n">
        <v>44735</v>
      </c>
      <c r="D1300" t="n">
        <v>13410</v>
      </c>
      <c r="E1300" t="n">
        <v>29</v>
      </c>
      <c r="F1300" t="n">
        <v>87621</v>
      </c>
      <c r="G1300" t="n">
        <v>4</v>
      </c>
      <c r="H1300" t="n">
        <v>11</v>
      </c>
      <c r="I1300" t="n">
        <v>258898</v>
      </c>
    </row>
    <row r="1301">
      <c r="A1301" t="n">
        <v>1300</v>
      </c>
      <c r="B1301" t="inlineStr">
        <is>
          <t>Train</t>
        </is>
      </c>
      <c r="C1301" t="n">
        <v>1294</v>
      </c>
      <c r="D1301" t="n">
        <v>25850</v>
      </c>
      <c r="E1301" t="n">
        <v>46</v>
      </c>
      <c r="F1301" t="n">
        <v>60551</v>
      </c>
      <c r="G1301" t="n">
        <v>0</v>
      </c>
      <c r="H1301" t="n">
        <v>7</v>
      </c>
      <c r="I1301" t="n">
        <v>0</v>
      </c>
    </row>
    <row r="1302">
      <c r="A1302" t="n">
        <v>1301</v>
      </c>
      <c r="B1302" t="inlineStr">
        <is>
          <t>Train</t>
        </is>
      </c>
      <c r="C1302" t="n">
        <v>3863</v>
      </c>
      <c r="D1302" t="n">
        <v>6710</v>
      </c>
      <c r="E1302" t="n">
        <v>36</v>
      </c>
      <c r="F1302" t="n">
        <v>51353</v>
      </c>
      <c r="G1302" t="n">
        <v>3</v>
      </c>
      <c r="H1302" t="n">
        <v>9</v>
      </c>
      <c r="I1302" t="n">
        <v>0</v>
      </c>
    </row>
    <row r="1303">
      <c r="A1303" t="n">
        <v>1302</v>
      </c>
      <c r="B1303" t="inlineStr">
        <is>
          <t>Train</t>
        </is>
      </c>
      <c r="C1303" t="n">
        <v>3132</v>
      </c>
      <c r="D1303" t="n">
        <v>14070</v>
      </c>
      <c r="E1303" t="n">
        <v>32</v>
      </c>
      <c r="F1303" t="n">
        <v>93741</v>
      </c>
      <c r="G1303" t="n">
        <v>3</v>
      </c>
      <c r="H1303" t="n">
        <v>12</v>
      </c>
      <c r="I1303" t="n">
        <v>0</v>
      </c>
    </row>
    <row r="1304">
      <c r="A1304" t="n">
        <v>1303</v>
      </c>
      <c r="B1304" t="inlineStr">
        <is>
          <t>Train</t>
        </is>
      </c>
      <c r="C1304" t="n">
        <v>5303</v>
      </c>
      <c r="D1304" t="n">
        <v>11110</v>
      </c>
      <c r="E1304" t="n">
        <v>46</v>
      </c>
      <c r="F1304" t="n">
        <v>50117</v>
      </c>
      <c r="G1304" t="n">
        <v>2</v>
      </c>
      <c r="H1304" t="n">
        <v>10</v>
      </c>
      <c r="I1304" t="n">
        <v>169838</v>
      </c>
    </row>
    <row r="1305">
      <c r="A1305" t="n">
        <v>1304</v>
      </c>
      <c r="B1305" t="inlineStr">
        <is>
          <t>Train</t>
        </is>
      </c>
      <c r="C1305" t="n">
        <v>6690</v>
      </c>
      <c r="D1305" t="n">
        <v>18330</v>
      </c>
      <c r="E1305" t="n">
        <v>39</v>
      </c>
      <c r="F1305" t="n">
        <v>87416</v>
      </c>
      <c r="G1305" t="n">
        <v>0</v>
      </c>
      <c r="H1305" t="n">
        <v>12</v>
      </c>
      <c r="I1305" t="n">
        <v>231934</v>
      </c>
    </row>
    <row r="1306">
      <c r="A1306" t="n">
        <v>1305</v>
      </c>
      <c r="B1306" t="inlineStr">
        <is>
          <t>Train</t>
        </is>
      </c>
      <c r="C1306" t="n">
        <v>29536</v>
      </c>
      <c r="D1306" t="n">
        <v>15860</v>
      </c>
      <c r="E1306" t="n">
        <v>45</v>
      </c>
      <c r="F1306" t="n">
        <v>15796</v>
      </c>
      <c r="G1306" t="n">
        <v>2</v>
      </c>
      <c r="H1306" t="n">
        <v>10</v>
      </c>
      <c r="I1306" t="n">
        <v>145824</v>
      </c>
    </row>
    <row r="1307">
      <c r="A1307" t="n">
        <v>1306</v>
      </c>
      <c r="B1307" t="inlineStr">
        <is>
          <t>Train</t>
        </is>
      </c>
      <c r="C1307" t="n">
        <v>2459</v>
      </c>
      <c r="D1307" t="n">
        <v>19200</v>
      </c>
      <c r="E1307" t="n">
        <v>58</v>
      </c>
      <c r="F1307" t="n">
        <v>98573</v>
      </c>
      <c r="G1307" t="n">
        <v>0</v>
      </c>
      <c r="H1307" t="n">
        <v>15</v>
      </c>
      <c r="I1307" t="n">
        <v>0</v>
      </c>
    </row>
    <row r="1308">
      <c r="A1308" t="n">
        <v>1307</v>
      </c>
      <c r="B1308" t="inlineStr">
        <is>
          <t>Validation</t>
        </is>
      </c>
      <c r="C1308" t="n">
        <v>5150</v>
      </c>
      <c r="D1308" t="n">
        <v>15620</v>
      </c>
      <c r="E1308" t="n">
        <v>49</v>
      </c>
      <c r="F1308" t="n">
        <v>47796</v>
      </c>
      <c r="G1308" t="n">
        <v>1</v>
      </c>
      <c r="H1308" t="n">
        <v>14</v>
      </c>
      <c r="I1308" t="n">
        <v>201302</v>
      </c>
    </row>
    <row r="1309">
      <c r="A1309" t="n">
        <v>1308</v>
      </c>
      <c r="B1309" t="inlineStr">
        <is>
          <t>Validation</t>
        </is>
      </c>
      <c r="C1309" t="n">
        <v>8743</v>
      </c>
      <c r="D1309" t="n">
        <v>7330</v>
      </c>
      <c r="E1309" t="n">
        <v>29</v>
      </c>
      <c r="F1309" t="n">
        <v>58319</v>
      </c>
      <c r="G1309" t="n">
        <v>4</v>
      </c>
      <c r="H1309" t="n">
        <v>12</v>
      </c>
      <c r="I1309" t="n">
        <v>198219</v>
      </c>
    </row>
    <row r="1310">
      <c r="A1310" t="n">
        <v>1309</v>
      </c>
      <c r="B1310" t="inlineStr">
        <is>
          <t>Validation</t>
        </is>
      </c>
      <c r="C1310" t="n">
        <v>502</v>
      </c>
      <c r="D1310" t="n">
        <v>6180</v>
      </c>
      <c r="E1310" t="n">
        <v>41</v>
      </c>
      <c r="F1310" t="n">
        <v>34056</v>
      </c>
      <c r="G1310" t="n">
        <v>5</v>
      </c>
      <c r="H1310" t="n">
        <v>13</v>
      </c>
      <c r="I1310" t="n">
        <v>122908</v>
      </c>
    </row>
    <row r="1311">
      <c r="A1311" t="n">
        <v>1310</v>
      </c>
      <c r="B1311" t="inlineStr">
        <is>
          <t>Train</t>
        </is>
      </c>
      <c r="C1311" t="n">
        <v>6841</v>
      </c>
      <c r="D1311" t="n">
        <v>10840</v>
      </c>
      <c r="E1311" t="n">
        <v>53</v>
      </c>
      <c r="F1311" t="n">
        <v>24904</v>
      </c>
      <c r="G1311" t="n">
        <v>0</v>
      </c>
      <c r="H1311" t="n">
        <v>10</v>
      </c>
      <c r="I1311" t="n">
        <v>150064</v>
      </c>
    </row>
    <row r="1312">
      <c r="A1312" t="n">
        <v>1311</v>
      </c>
      <c r="B1312" t="inlineStr">
        <is>
          <t>Train</t>
        </is>
      </c>
      <c r="C1312" t="n">
        <v>2629</v>
      </c>
      <c r="D1312" t="n">
        <v>14170</v>
      </c>
      <c r="E1312" t="n">
        <v>63</v>
      </c>
      <c r="F1312" t="n">
        <v>63695</v>
      </c>
      <c r="G1312" t="n">
        <v>0</v>
      </c>
      <c r="H1312" t="n">
        <v>13</v>
      </c>
      <c r="I1312" t="n">
        <v>0</v>
      </c>
    </row>
    <row r="1313">
      <c r="A1313" t="n">
        <v>1312</v>
      </c>
      <c r="B1313" t="inlineStr">
        <is>
          <t>Train</t>
        </is>
      </c>
      <c r="C1313" t="n">
        <v>4352</v>
      </c>
      <c r="D1313" t="n">
        <v>16320</v>
      </c>
      <c r="E1313" t="n">
        <v>39</v>
      </c>
      <c r="F1313" t="n">
        <v>12236</v>
      </c>
      <c r="G1313" t="n">
        <v>1</v>
      </c>
      <c r="H1313" t="n">
        <v>7</v>
      </c>
      <c r="I1313" t="n">
        <v>92520</v>
      </c>
    </row>
    <row r="1314">
      <c r="A1314" t="n">
        <v>1313</v>
      </c>
      <c r="B1314" t="inlineStr">
        <is>
          <t>Train</t>
        </is>
      </c>
      <c r="C1314" t="n">
        <v>6710</v>
      </c>
      <c r="D1314" t="n">
        <v>20360</v>
      </c>
      <c r="E1314" t="n">
        <v>48</v>
      </c>
      <c r="F1314" t="n">
        <v>59146</v>
      </c>
      <c r="G1314" t="n">
        <v>0</v>
      </c>
      <c r="H1314" t="n">
        <v>12</v>
      </c>
      <c r="I1314" t="n">
        <v>239920</v>
      </c>
    </row>
    <row r="1315">
      <c r="A1315" t="n">
        <v>1314</v>
      </c>
      <c r="B1315" t="inlineStr">
        <is>
          <t>Train</t>
        </is>
      </c>
      <c r="C1315" t="n">
        <v>3988</v>
      </c>
      <c r="D1315" t="n">
        <v>27010</v>
      </c>
      <c r="E1315" t="n">
        <v>43</v>
      </c>
      <c r="F1315" t="n">
        <v>41394</v>
      </c>
      <c r="G1315" t="n">
        <v>3</v>
      </c>
      <c r="H1315" t="n">
        <v>15</v>
      </c>
      <c r="I1315" t="n">
        <v>142306</v>
      </c>
    </row>
    <row r="1316">
      <c r="A1316" t="n">
        <v>1315</v>
      </c>
      <c r="B1316" t="inlineStr">
        <is>
          <t>Train</t>
        </is>
      </c>
      <c r="C1316" t="n">
        <v>8171</v>
      </c>
      <c r="D1316" t="n">
        <v>16420</v>
      </c>
      <c r="E1316" t="n">
        <v>29</v>
      </c>
      <c r="F1316" t="n">
        <v>45828</v>
      </c>
      <c r="G1316" t="n">
        <v>0</v>
      </c>
      <c r="H1316" t="n">
        <v>15</v>
      </c>
      <c r="I1316" t="n">
        <v>149103</v>
      </c>
    </row>
    <row r="1317">
      <c r="A1317" t="n">
        <v>1316</v>
      </c>
      <c r="B1317" t="inlineStr">
        <is>
          <t>Train</t>
        </is>
      </c>
      <c r="C1317" t="n">
        <v>5601</v>
      </c>
      <c r="D1317" t="n">
        <v>13400</v>
      </c>
      <c r="E1317" t="n">
        <v>45</v>
      </c>
      <c r="F1317" t="n">
        <v>52541</v>
      </c>
      <c r="G1317" t="n">
        <v>5</v>
      </c>
      <c r="H1317" t="n">
        <v>12</v>
      </c>
      <c r="I1317" t="n">
        <v>0</v>
      </c>
    </row>
    <row r="1318">
      <c r="A1318" t="n">
        <v>1317</v>
      </c>
      <c r="B1318" t="inlineStr">
        <is>
          <t>Validation</t>
        </is>
      </c>
      <c r="C1318" t="n">
        <v>27779</v>
      </c>
      <c r="D1318" t="n">
        <v>12680</v>
      </c>
      <c r="E1318" t="n">
        <v>44</v>
      </c>
      <c r="F1318" t="n">
        <v>76589</v>
      </c>
      <c r="G1318" t="n">
        <v>0</v>
      </c>
      <c r="H1318" t="n">
        <v>9</v>
      </c>
      <c r="I1318" t="n">
        <v>213661</v>
      </c>
    </row>
    <row r="1319">
      <c r="A1319" t="n">
        <v>1318</v>
      </c>
      <c r="B1319" t="inlineStr">
        <is>
          <t>Validation</t>
        </is>
      </c>
      <c r="C1319" t="n">
        <v>3181</v>
      </c>
      <c r="D1319" t="n">
        <v>18620</v>
      </c>
      <c r="E1319" t="n">
        <v>46</v>
      </c>
      <c r="F1319" t="n">
        <v>78374</v>
      </c>
      <c r="G1319" t="n">
        <v>5</v>
      </c>
      <c r="H1319" t="n">
        <v>10</v>
      </c>
      <c r="I1319" t="n">
        <v>0</v>
      </c>
    </row>
    <row r="1320">
      <c r="A1320" t="n">
        <v>1319</v>
      </c>
      <c r="B1320" t="inlineStr">
        <is>
          <t>Validation</t>
        </is>
      </c>
      <c r="C1320" t="n">
        <v>1118</v>
      </c>
      <c r="D1320" t="n">
        <v>7200</v>
      </c>
      <c r="E1320" t="n">
        <v>33</v>
      </c>
      <c r="F1320" t="n">
        <v>23953</v>
      </c>
      <c r="G1320" t="n">
        <v>7</v>
      </c>
      <c r="H1320" t="n">
        <v>10</v>
      </c>
      <c r="I1320" t="n">
        <v>0</v>
      </c>
    </row>
    <row r="1321">
      <c r="A1321" t="n">
        <v>1320</v>
      </c>
      <c r="B1321" t="inlineStr">
        <is>
          <t>Train</t>
        </is>
      </c>
      <c r="C1321" t="n">
        <v>11580</v>
      </c>
      <c r="D1321" t="n">
        <v>4390</v>
      </c>
      <c r="E1321" t="n">
        <v>33</v>
      </c>
      <c r="F1321" t="n">
        <v>28853</v>
      </c>
      <c r="G1321" t="n">
        <v>0</v>
      </c>
      <c r="H1321" t="n">
        <v>10</v>
      </c>
      <c r="I1321" t="n">
        <v>181865</v>
      </c>
    </row>
    <row r="1322">
      <c r="A1322" t="n">
        <v>1321</v>
      </c>
      <c r="B1322" t="inlineStr">
        <is>
          <t>Train</t>
        </is>
      </c>
      <c r="C1322" t="n">
        <v>3987</v>
      </c>
      <c r="D1322" t="n">
        <v>5300</v>
      </c>
      <c r="E1322" t="n">
        <v>38</v>
      </c>
      <c r="F1322" t="n">
        <v>0</v>
      </c>
      <c r="G1322" t="n">
        <v>2</v>
      </c>
      <c r="H1322" t="n">
        <v>0</v>
      </c>
      <c r="I1322" t="n">
        <v>103951</v>
      </c>
    </row>
    <row r="1323">
      <c r="A1323" t="n">
        <v>1322</v>
      </c>
      <c r="B1323" t="inlineStr">
        <is>
          <t>Train</t>
        </is>
      </c>
      <c r="C1323" t="n">
        <v>13397</v>
      </c>
      <c r="D1323" t="n">
        <v>14080</v>
      </c>
      <c r="E1323" t="n">
        <v>49</v>
      </c>
      <c r="F1323" t="n">
        <v>76778</v>
      </c>
      <c r="G1323" t="n">
        <v>1</v>
      </c>
      <c r="H1323" t="n">
        <v>14</v>
      </c>
      <c r="I1323" t="n">
        <v>209440</v>
      </c>
    </row>
    <row r="1324">
      <c r="A1324" t="n">
        <v>1323</v>
      </c>
      <c r="B1324" t="inlineStr">
        <is>
          <t>Train</t>
        </is>
      </c>
      <c r="C1324" t="n">
        <v>6248</v>
      </c>
      <c r="D1324" t="n">
        <v>27440</v>
      </c>
      <c r="E1324" t="n">
        <v>42</v>
      </c>
      <c r="F1324" t="n">
        <v>45623</v>
      </c>
      <c r="G1324" t="n">
        <v>0</v>
      </c>
      <c r="H1324" t="n">
        <v>5</v>
      </c>
      <c r="I1324" t="n">
        <v>205504</v>
      </c>
    </row>
    <row r="1325">
      <c r="A1325" t="n">
        <v>1324</v>
      </c>
      <c r="B1325" t="inlineStr">
        <is>
          <t>Train</t>
        </is>
      </c>
      <c r="C1325" t="n">
        <v>4423</v>
      </c>
      <c r="D1325" t="n">
        <v>34310</v>
      </c>
      <c r="E1325" t="n">
        <v>55</v>
      </c>
      <c r="F1325" t="n">
        <v>86268</v>
      </c>
      <c r="G1325" t="n">
        <v>0</v>
      </c>
      <c r="H1325" t="n">
        <v>15</v>
      </c>
      <c r="I1325" t="n">
        <v>274362</v>
      </c>
    </row>
    <row r="1326">
      <c r="A1326" t="n">
        <v>1325</v>
      </c>
      <c r="B1326" t="inlineStr">
        <is>
          <t>Train</t>
        </is>
      </c>
      <c r="C1326" t="n">
        <v>3590</v>
      </c>
      <c r="D1326" t="n">
        <v>18490</v>
      </c>
      <c r="E1326" t="n">
        <v>42</v>
      </c>
      <c r="F1326" t="n">
        <v>50519</v>
      </c>
      <c r="G1326" t="n">
        <v>2</v>
      </c>
      <c r="H1326" t="n">
        <v>12</v>
      </c>
      <c r="I1326" t="n">
        <v>134578</v>
      </c>
    </row>
    <row r="1327">
      <c r="A1327" t="n">
        <v>1326</v>
      </c>
      <c r="B1327" t="inlineStr">
        <is>
          <t>Train</t>
        </is>
      </c>
      <c r="C1327" t="n">
        <v>2775</v>
      </c>
      <c r="D1327" t="n">
        <v>16480</v>
      </c>
      <c r="E1327" t="n">
        <v>38</v>
      </c>
      <c r="F1327" t="n">
        <v>58530</v>
      </c>
      <c r="G1327" t="n">
        <v>7</v>
      </c>
      <c r="H1327" t="n">
        <v>8</v>
      </c>
      <c r="I1327" t="n">
        <v>238054</v>
      </c>
    </row>
    <row r="1328">
      <c r="A1328" t="n">
        <v>1327</v>
      </c>
      <c r="B1328" t="inlineStr">
        <is>
          <t>Validation</t>
        </is>
      </c>
      <c r="C1328" t="n">
        <v>11320</v>
      </c>
      <c r="D1328" t="n">
        <v>18930</v>
      </c>
      <c r="E1328" t="n">
        <v>57</v>
      </c>
      <c r="F1328" t="n">
        <v>188536</v>
      </c>
      <c r="G1328" t="n">
        <v>0</v>
      </c>
      <c r="H1328" t="n">
        <v>12</v>
      </c>
      <c r="I1328" t="n">
        <v>489403</v>
      </c>
    </row>
    <row r="1329">
      <c r="A1329" t="n">
        <v>1328</v>
      </c>
      <c r="B1329" t="inlineStr">
        <is>
          <t>Validation</t>
        </is>
      </c>
      <c r="C1329" t="n">
        <v>4638</v>
      </c>
      <c r="D1329" t="n">
        <v>30690</v>
      </c>
      <c r="E1329" t="n">
        <v>56</v>
      </c>
      <c r="F1329" t="n">
        <v>198720</v>
      </c>
      <c r="G1329" t="n">
        <v>0</v>
      </c>
      <c r="H1329" t="n">
        <v>14</v>
      </c>
      <c r="I1329" t="n">
        <v>522898</v>
      </c>
    </row>
    <row r="1330">
      <c r="A1330" t="n">
        <v>1329</v>
      </c>
      <c r="B1330" t="inlineStr">
        <is>
          <t>Validation</t>
        </is>
      </c>
      <c r="C1330" t="n">
        <v>9609</v>
      </c>
      <c r="D1330" t="n">
        <v>6760</v>
      </c>
      <c r="E1330" t="n">
        <v>42</v>
      </c>
      <c r="F1330" t="n">
        <v>120315</v>
      </c>
      <c r="G1330" t="n">
        <v>0</v>
      </c>
      <c r="H1330" t="n">
        <v>14</v>
      </c>
      <c r="I1330" t="n">
        <v>0</v>
      </c>
    </row>
    <row r="1331">
      <c r="A1331" t="n">
        <v>1330</v>
      </c>
      <c r="B1331" t="inlineStr">
        <is>
          <t>Train</t>
        </is>
      </c>
      <c r="C1331" t="n">
        <v>7014</v>
      </c>
      <c r="D1331" t="n">
        <v>18500</v>
      </c>
      <c r="E1331" t="n">
        <v>57</v>
      </c>
      <c r="F1331" t="n">
        <v>148443</v>
      </c>
      <c r="G1331" t="n">
        <v>4</v>
      </c>
      <c r="H1331" t="n">
        <v>15</v>
      </c>
      <c r="I1331" t="n">
        <v>0</v>
      </c>
    </row>
    <row r="1332">
      <c r="A1332" t="n">
        <v>1331</v>
      </c>
      <c r="B1332" t="inlineStr">
        <is>
          <t>Train</t>
        </is>
      </c>
      <c r="C1332" t="n">
        <v>8288</v>
      </c>
      <c r="D1332" t="n">
        <v>7130</v>
      </c>
      <c r="E1332" t="n">
        <v>40</v>
      </c>
      <c r="F1332" t="n">
        <v>0</v>
      </c>
      <c r="G1332" t="n">
        <v>2</v>
      </c>
      <c r="H1332" t="n">
        <v>0</v>
      </c>
      <c r="I1332" t="n">
        <v>100489</v>
      </c>
    </row>
    <row r="1333">
      <c r="A1333" t="n">
        <v>1332</v>
      </c>
      <c r="B1333" t="inlineStr">
        <is>
          <t>Train</t>
        </is>
      </c>
      <c r="C1333" t="n">
        <v>23433</v>
      </c>
      <c r="D1333" t="n">
        <v>21860</v>
      </c>
      <c r="E1333" t="n">
        <v>46</v>
      </c>
      <c r="F1333" t="n">
        <v>109609</v>
      </c>
      <c r="G1333" t="n">
        <v>3</v>
      </c>
      <c r="H1333" t="n">
        <v>13</v>
      </c>
      <c r="I1333" t="n">
        <v>316291</v>
      </c>
    </row>
    <row r="1334">
      <c r="A1334" t="n">
        <v>1333</v>
      </c>
      <c r="B1334" t="inlineStr">
        <is>
          <t>Train</t>
        </is>
      </c>
      <c r="C1334" t="n">
        <v>4402</v>
      </c>
      <c r="D1334" t="n">
        <v>8090</v>
      </c>
      <c r="E1334" t="n">
        <v>34</v>
      </c>
      <c r="F1334" t="n">
        <v>61220</v>
      </c>
      <c r="G1334" t="n">
        <v>7</v>
      </c>
      <c r="H1334" t="n">
        <v>16</v>
      </c>
      <c r="I1334" t="n">
        <v>237329</v>
      </c>
    </row>
    <row r="1335">
      <c r="A1335" t="n">
        <v>1334</v>
      </c>
      <c r="B1335" t="inlineStr">
        <is>
          <t>Train</t>
        </is>
      </c>
      <c r="C1335" t="n">
        <v>5118</v>
      </c>
      <c r="D1335" t="n">
        <v>16010</v>
      </c>
      <c r="E1335" t="n">
        <v>35</v>
      </c>
      <c r="F1335" t="n">
        <v>0</v>
      </c>
      <c r="G1335" t="n">
        <v>7</v>
      </c>
      <c r="H1335" t="n">
        <v>0</v>
      </c>
      <c r="I1335" t="n">
        <v>0</v>
      </c>
    </row>
    <row r="1336">
      <c r="A1336" t="n">
        <v>1335</v>
      </c>
      <c r="B1336" t="inlineStr">
        <is>
          <t>Train</t>
        </is>
      </c>
      <c r="C1336" t="n">
        <v>10941</v>
      </c>
      <c r="D1336" t="n">
        <v>13540</v>
      </c>
      <c r="E1336" t="n">
        <v>45</v>
      </c>
      <c r="F1336" t="n">
        <v>44492</v>
      </c>
      <c r="G1336" t="n">
        <v>4</v>
      </c>
      <c r="H1336" t="n">
        <v>13</v>
      </c>
      <c r="I1336" t="n">
        <v>0</v>
      </c>
    </row>
    <row r="1337">
      <c r="A1337" t="n">
        <v>1336</v>
      </c>
      <c r="B1337" t="inlineStr">
        <is>
          <t>Train</t>
        </is>
      </c>
      <c r="C1337" t="n">
        <v>2272</v>
      </c>
      <c r="D1337" t="n">
        <v>8540</v>
      </c>
      <c r="E1337" t="n">
        <v>57</v>
      </c>
      <c r="F1337" t="n">
        <v>89127</v>
      </c>
      <c r="G1337" t="n">
        <v>6</v>
      </c>
      <c r="H1337" t="n">
        <v>13</v>
      </c>
      <c r="I1337" t="n">
        <v>314698</v>
      </c>
    </row>
    <row r="1338">
      <c r="A1338" t="n">
        <v>1337</v>
      </c>
      <c r="B1338" t="inlineStr">
        <is>
          <t>Validation</t>
        </is>
      </c>
      <c r="C1338" t="n">
        <v>44891</v>
      </c>
      <c r="D1338" t="n">
        <v>8240</v>
      </c>
      <c r="E1338" t="n">
        <v>43</v>
      </c>
      <c r="F1338" t="n">
        <v>24411</v>
      </c>
      <c r="G1338" t="n">
        <v>2</v>
      </c>
      <c r="H1338" t="n">
        <v>6</v>
      </c>
      <c r="I1338" t="n">
        <v>127798</v>
      </c>
    </row>
    <row r="1339">
      <c r="A1339" t="n">
        <v>1338</v>
      </c>
      <c r="B1339" t="inlineStr">
        <is>
          <t>Validation</t>
        </is>
      </c>
      <c r="C1339" t="n">
        <v>7070</v>
      </c>
      <c r="D1339" t="n">
        <v>12280</v>
      </c>
      <c r="E1339" t="n">
        <v>52</v>
      </c>
      <c r="F1339" t="n">
        <v>0</v>
      </c>
      <c r="G1339" t="n">
        <v>0</v>
      </c>
      <c r="H1339" t="n">
        <v>0</v>
      </c>
      <c r="I1339" t="n">
        <v>98396</v>
      </c>
    </row>
    <row r="1340">
      <c r="A1340" t="n">
        <v>1339</v>
      </c>
      <c r="B1340" t="inlineStr">
        <is>
          <t>Validation</t>
        </is>
      </c>
      <c r="C1340" t="n">
        <v>3327</v>
      </c>
      <c r="D1340" t="n">
        <v>7760</v>
      </c>
      <c r="E1340" t="n">
        <v>31</v>
      </c>
      <c r="F1340" t="n">
        <v>20555</v>
      </c>
      <c r="G1340" t="n">
        <v>5</v>
      </c>
      <c r="H1340" t="n">
        <v>15</v>
      </c>
      <c r="I1340" t="n">
        <v>128048</v>
      </c>
    </row>
    <row r="1341">
      <c r="A1341" t="n">
        <v>1340</v>
      </c>
      <c r="B1341" t="inlineStr">
        <is>
          <t>Train</t>
        </is>
      </c>
      <c r="C1341" t="n">
        <v>4352</v>
      </c>
      <c r="D1341" t="n">
        <v>17680</v>
      </c>
      <c r="E1341" t="n">
        <v>42</v>
      </c>
      <c r="F1341" t="n">
        <v>19502</v>
      </c>
      <c r="G1341" t="n">
        <v>6</v>
      </c>
      <c r="H1341" t="n">
        <v>6</v>
      </c>
      <c r="I1341" t="n">
        <v>112001</v>
      </c>
    </row>
    <row r="1342">
      <c r="A1342" t="n">
        <v>1341</v>
      </c>
      <c r="B1342" t="inlineStr">
        <is>
          <t>Train</t>
        </is>
      </c>
      <c r="C1342" t="n">
        <v>6135</v>
      </c>
      <c r="D1342" t="n">
        <v>16150</v>
      </c>
      <c r="E1342" t="n">
        <v>26</v>
      </c>
      <c r="F1342" t="n">
        <v>10730</v>
      </c>
      <c r="G1342" t="n">
        <v>7</v>
      </c>
      <c r="H1342" t="n">
        <v>14</v>
      </c>
      <c r="I1342" t="n">
        <v>0</v>
      </c>
    </row>
    <row r="1343">
      <c r="A1343" t="n">
        <v>1342</v>
      </c>
      <c r="B1343" t="inlineStr">
        <is>
          <t>Train</t>
        </is>
      </c>
      <c r="C1343" t="n">
        <v>34196</v>
      </c>
      <c r="D1343" t="n">
        <v>18210</v>
      </c>
      <c r="E1343" t="n">
        <v>40</v>
      </c>
      <c r="F1343" t="n">
        <v>31678</v>
      </c>
      <c r="G1343" t="n">
        <v>5</v>
      </c>
      <c r="H1343" t="n">
        <v>8</v>
      </c>
      <c r="I1343" t="n">
        <v>0</v>
      </c>
    </row>
    <row r="1344">
      <c r="A1344" t="n">
        <v>1343</v>
      </c>
      <c r="B1344" t="inlineStr">
        <is>
          <t>Train</t>
        </is>
      </c>
      <c r="C1344" t="n">
        <v>36025</v>
      </c>
      <c r="D1344" t="n">
        <v>9920</v>
      </c>
      <c r="E1344" t="n">
        <v>45</v>
      </c>
      <c r="F1344" t="n">
        <v>39163</v>
      </c>
      <c r="G1344" t="n">
        <v>7</v>
      </c>
      <c r="H1344" t="n">
        <v>13</v>
      </c>
      <c r="I1344" t="n">
        <v>168058</v>
      </c>
    </row>
    <row r="1345">
      <c r="A1345" t="n">
        <v>1344</v>
      </c>
      <c r="B1345" t="inlineStr">
        <is>
          <t>Train</t>
        </is>
      </c>
      <c r="C1345" t="n">
        <v>7670</v>
      </c>
      <c r="D1345" t="n">
        <v>9300</v>
      </c>
      <c r="E1345" t="n">
        <v>59</v>
      </c>
      <c r="F1345" t="n">
        <v>150956</v>
      </c>
      <c r="G1345" t="n">
        <v>3</v>
      </c>
      <c r="H1345" t="n">
        <v>7</v>
      </c>
      <c r="I1345" t="n">
        <v>386522</v>
      </c>
    </row>
    <row r="1346">
      <c r="A1346" t="n">
        <v>1345</v>
      </c>
      <c r="B1346" t="inlineStr">
        <is>
          <t>Train</t>
        </is>
      </c>
      <c r="C1346" t="n">
        <v>5109</v>
      </c>
      <c r="D1346" t="n">
        <v>18830</v>
      </c>
      <c r="E1346" t="n">
        <v>51</v>
      </c>
      <c r="F1346" t="n">
        <v>42597</v>
      </c>
      <c r="G1346" t="n">
        <v>6</v>
      </c>
      <c r="H1346" t="n">
        <v>8</v>
      </c>
      <c r="I1346" t="n">
        <v>204432</v>
      </c>
    </row>
    <row r="1347">
      <c r="A1347" t="n">
        <v>1346</v>
      </c>
      <c r="B1347" t="inlineStr">
        <is>
          <t>Train</t>
        </is>
      </c>
      <c r="C1347" t="n">
        <v>974</v>
      </c>
      <c r="D1347" t="n">
        <v>9050</v>
      </c>
      <c r="E1347" t="n">
        <v>35</v>
      </c>
      <c r="F1347" t="n">
        <v>40457</v>
      </c>
      <c r="G1347" t="n">
        <v>7</v>
      </c>
      <c r="H1347" t="n">
        <v>13</v>
      </c>
      <c r="I1347" t="n">
        <v>0</v>
      </c>
    </row>
    <row r="1348">
      <c r="A1348" t="n">
        <v>1347</v>
      </c>
      <c r="B1348" t="inlineStr">
        <is>
          <t>Validation</t>
        </is>
      </c>
      <c r="C1348" t="n">
        <v>5810</v>
      </c>
      <c r="D1348" t="n">
        <v>10850</v>
      </c>
      <c r="E1348" t="n">
        <v>41</v>
      </c>
      <c r="F1348" t="n">
        <v>3604</v>
      </c>
      <c r="G1348" t="n">
        <v>0</v>
      </c>
      <c r="H1348" t="n">
        <v>8</v>
      </c>
      <c r="I1348" t="n">
        <v>0</v>
      </c>
    </row>
    <row r="1349">
      <c r="A1349" t="n">
        <v>1348</v>
      </c>
      <c r="B1349" t="inlineStr">
        <is>
          <t>Validation</t>
        </is>
      </c>
      <c r="C1349" t="n">
        <v>33581</v>
      </c>
      <c r="D1349" t="n">
        <v>31560</v>
      </c>
      <c r="E1349" t="n">
        <v>23</v>
      </c>
      <c r="F1349" t="n">
        <v>68687</v>
      </c>
      <c r="G1349" t="n">
        <v>3</v>
      </c>
      <c r="H1349" t="n">
        <v>9</v>
      </c>
      <c r="I1349" t="n">
        <v>0</v>
      </c>
    </row>
    <row r="1350">
      <c r="A1350" t="n">
        <v>1349</v>
      </c>
      <c r="B1350" t="inlineStr">
        <is>
          <t>Validation</t>
        </is>
      </c>
      <c r="C1350" t="n">
        <v>4123</v>
      </c>
      <c r="D1350" t="n">
        <v>19410</v>
      </c>
      <c r="E1350" t="n">
        <v>43</v>
      </c>
      <c r="F1350" t="n">
        <v>63644</v>
      </c>
      <c r="G1350" t="n">
        <v>6</v>
      </c>
      <c r="H1350" t="n">
        <v>9</v>
      </c>
      <c r="I1350" t="n">
        <v>174541</v>
      </c>
    </row>
    <row r="1351">
      <c r="A1351" t="n">
        <v>1350</v>
      </c>
      <c r="B1351" t="inlineStr">
        <is>
          <t>Train</t>
        </is>
      </c>
      <c r="C1351" t="n">
        <v>4185</v>
      </c>
      <c r="D1351" t="n">
        <v>16980</v>
      </c>
      <c r="E1351" t="n">
        <v>31</v>
      </c>
      <c r="F1351" t="n">
        <v>32381</v>
      </c>
      <c r="G1351" t="n">
        <v>1</v>
      </c>
      <c r="H1351" t="n">
        <v>12</v>
      </c>
      <c r="I1351" t="n">
        <v>0</v>
      </c>
    </row>
    <row r="1352">
      <c r="A1352" t="n">
        <v>1351</v>
      </c>
      <c r="B1352" t="inlineStr">
        <is>
          <t>Train</t>
        </is>
      </c>
      <c r="C1352" t="n">
        <v>3573</v>
      </c>
      <c r="D1352" t="n">
        <v>17760</v>
      </c>
      <c r="E1352" t="n">
        <v>48</v>
      </c>
      <c r="F1352" t="n">
        <v>108267</v>
      </c>
      <c r="G1352" t="n">
        <v>3</v>
      </c>
      <c r="H1352" t="n">
        <v>10</v>
      </c>
      <c r="I1352" t="n">
        <v>342009</v>
      </c>
    </row>
    <row r="1353">
      <c r="A1353" t="n">
        <v>1352</v>
      </c>
      <c r="B1353" t="inlineStr">
        <is>
          <t>Train</t>
        </is>
      </c>
      <c r="C1353" t="n">
        <v>19595</v>
      </c>
      <c r="D1353" t="n">
        <v>23810</v>
      </c>
      <c r="E1353" t="n">
        <v>50</v>
      </c>
      <c r="F1353" t="n">
        <v>53210</v>
      </c>
      <c r="G1353" t="n">
        <v>10</v>
      </c>
      <c r="H1353" t="n">
        <v>11</v>
      </c>
      <c r="I1353" t="n">
        <v>0</v>
      </c>
    </row>
    <row r="1354">
      <c r="A1354" t="n">
        <v>1353</v>
      </c>
      <c r="B1354" t="inlineStr">
        <is>
          <t>Train</t>
        </is>
      </c>
      <c r="C1354" t="n">
        <v>27503</v>
      </c>
      <c r="D1354" t="n">
        <v>6600</v>
      </c>
      <c r="E1354" t="n">
        <v>51</v>
      </c>
      <c r="F1354" t="n">
        <v>0</v>
      </c>
      <c r="G1354" t="n">
        <v>1</v>
      </c>
      <c r="H1354" t="n">
        <v>0</v>
      </c>
      <c r="I1354" t="n">
        <v>0</v>
      </c>
    </row>
    <row r="1355">
      <c r="A1355" t="n">
        <v>1354</v>
      </c>
      <c r="B1355" t="inlineStr">
        <is>
          <t>Train</t>
        </is>
      </c>
      <c r="C1355" t="n">
        <v>6494</v>
      </c>
      <c r="D1355" t="n">
        <v>26910</v>
      </c>
      <c r="E1355" t="n">
        <v>62</v>
      </c>
      <c r="F1355" t="n">
        <v>69874</v>
      </c>
      <c r="G1355" t="n">
        <v>0</v>
      </c>
      <c r="H1355" t="n">
        <v>13</v>
      </c>
      <c r="I1355" t="n">
        <v>0</v>
      </c>
    </row>
    <row r="1356">
      <c r="A1356" t="n">
        <v>1355</v>
      </c>
      <c r="B1356" t="inlineStr">
        <is>
          <t>Train</t>
        </is>
      </c>
      <c r="C1356" t="n">
        <v>1852</v>
      </c>
      <c r="D1356" t="n">
        <v>13290</v>
      </c>
      <c r="E1356" t="n">
        <v>28</v>
      </c>
      <c r="F1356" t="n">
        <v>30877</v>
      </c>
      <c r="G1356" t="n">
        <v>5</v>
      </c>
      <c r="H1356" t="n">
        <v>11</v>
      </c>
      <c r="I1356" t="n">
        <v>114482</v>
      </c>
    </row>
    <row r="1357">
      <c r="A1357" t="n">
        <v>1356</v>
      </c>
      <c r="B1357" t="inlineStr">
        <is>
          <t>Train</t>
        </is>
      </c>
      <c r="C1357" t="n">
        <v>9453</v>
      </c>
      <c r="D1357" t="n">
        <v>17470</v>
      </c>
      <c r="E1357" t="n">
        <v>22</v>
      </c>
      <c r="F1357" t="n">
        <v>2214</v>
      </c>
      <c r="G1357" t="n">
        <v>6</v>
      </c>
      <c r="H1357" t="n">
        <v>7</v>
      </c>
      <c r="I1357" t="n">
        <v>114501</v>
      </c>
    </row>
    <row r="1358">
      <c r="A1358" t="n">
        <v>1357</v>
      </c>
      <c r="B1358" t="inlineStr">
        <is>
          <t>Validation</t>
        </is>
      </c>
      <c r="C1358" t="n">
        <v>22598</v>
      </c>
      <c r="D1358" t="n">
        <v>5410</v>
      </c>
      <c r="E1358" t="n">
        <v>34</v>
      </c>
      <c r="F1358" t="n">
        <v>0</v>
      </c>
      <c r="G1358" t="n">
        <v>8</v>
      </c>
      <c r="H1358" t="n">
        <v>0</v>
      </c>
      <c r="I1358" t="n">
        <v>70103</v>
      </c>
    </row>
    <row r="1359">
      <c r="A1359" t="n">
        <v>1358</v>
      </c>
      <c r="B1359" t="inlineStr">
        <is>
          <t>Validation</t>
        </is>
      </c>
      <c r="C1359" t="n">
        <v>7211</v>
      </c>
      <c r="D1359" t="n">
        <v>11230</v>
      </c>
      <c r="E1359" t="n">
        <v>54</v>
      </c>
      <c r="F1359" t="n">
        <v>62013</v>
      </c>
      <c r="G1359" t="n">
        <v>0</v>
      </c>
      <c r="H1359" t="n">
        <v>12</v>
      </c>
      <c r="I1359" t="n">
        <v>204404</v>
      </c>
    </row>
    <row r="1360">
      <c r="A1360" t="n">
        <v>1359</v>
      </c>
      <c r="B1360" t="inlineStr">
        <is>
          <t>Validation</t>
        </is>
      </c>
      <c r="C1360" t="n">
        <v>5705</v>
      </c>
      <c r="D1360" t="n">
        <v>30460</v>
      </c>
      <c r="E1360" t="n">
        <v>58</v>
      </c>
      <c r="F1360" t="n">
        <v>102904</v>
      </c>
      <c r="G1360" t="n">
        <v>0</v>
      </c>
      <c r="H1360" t="n">
        <v>13</v>
      </c>
      <c r="I1360" t="n">
        <v>0</v>
      </c>
    </row>
    <row r="1361">
      <c r="A1361" t="n">
        <v>1360</v>
      </c>
      <c r="B1361" t="inlineStr">
        <is>
          <t>Train</t>
        </is>
      </c>
      <c r="C1361" t="n">
        <v>1437</v>
      </c>
      <c r="D1361" t="n">
        <v>11800</v>
      </c>
      <c r="E1361" t="n">
        <v>46</v>
      </c>
      <c r="F1361" t="n">
        <v>57049</v>
      </c>
      <c r="G1361" t="n">
        <v>0</v>
      </c>
      <c r="H1361" t="n">
        <v>9</v>
      </c>
      <c r="I1361" t="n">
        <v>211508</v>
      </c>
    </row>
    <row r="1362">
      <c r="A1362" t="n">
        <v>1361</v>
      </c>
      <c r="B1362" t="inlineStr">
        <is>
          <t>Train</t>
        </is>
      </c>
      <c r="C1362" t="n">
        <v>3338</v>
      </c>
      <c r="D1362" t="n">
        <v>13170</v>
      </c>
      <c r="E1362" t="n">
        <v>43</v>
      </c>
      <c r="F1362" t="n">
        <v>73247</v>
      </c>
      <c r="G1362" t="n">
        <v>6</v>
      </c>
      <c r="H1362" t="n">
        <v>11</v>
      </c>
      <c r="I1362" t="n">
        <v>0</v>
      </c>
    </row>
    <row r="1363">
      <c r="A1363" t="n">
        <v>1362</v>
      </c>
      <c r="B1363" t="inlineStr">
        <is>
          <t>Train</t>
        </is>
      </c>
      <c r="C1363" t="n">
        <v>29651</v>
      </c>
      <c r="D1363" t="n">
        <v>6000</v>
      </c>
      <c r="E1363" t="n">
        <v>45</v>
      </c>
      <c r="F1363" t="n">
        <v>0</v>
      </c>
      <c r="G1363" t="n">
        <v>8</v>
      </c>
      <c r="H1363" t="n">
        <v>0</v>
      </c>
      <c r="I1363" t="n">
        <v>98716</v>
      </c>
    </row>
    <row r="1364">
      <c r="A1364" t="n">
        <v>1363</v>
      </c>
      <c r="B1364" t="inlineStr">
        <is>
          <t>Train</t>
        </is>
      </c>
      <c r="C1364" t="n">
        <v>4519</v>
      </c>
      <c r="D1364" t="n">
        <v>14090</v>
      </c>
      <c r="E1364" t="n">
        <v>34</v>
      </c>
      <c r="F1364" t="n">
        <v>55353</v>
      </c>
      <c r="G1364" t="n">
        <v>6</v>
      </c>
      <c r="H1364" t="n">
        <v>12</v>
      </c>
      <c r="I1364" t="n">
        <v>203703</v>
      </c>
    </row>
    <row r="1365">
      <c r="A1365" t="n">
        <v>1364</v>
      </c>
      <c r="B1365" t="inlineStr">
        <is>
          <t>Train</t>
        </is>
      </c>
      <c r="C1365" t="n">
        <v>1128</v>
      </c>
      <c r="D1365" t="n">
        <v>14070</v>
      </c>
      <c r="E1365" t="n">
        <v>40</v>
      </c>
      <c r="F1365" t="n">
        <v>31993</v>
      </c>
      <c r="G1365" t="n">
        <v>0</v>
      </c>
      <c r="H1365" t="n">
        <v>10</v>
      </c>
      <c r="I1365" t="n">
        <v>0</v>
      </c>
    </row>
    <row r="1366">
      <c r="A1366" t="n">
        <v>1365</v>
      </c>
      <c r="B1366" t="inlineStr">
        <is>
          <t>Train</t>
        </is>
      </c>
      <c r="C1366" t="n">
        <v>29017</v>
      </c>
      <c r="D1366" t="n">
        <v>16340</v>
      </c>
      <c r="E1366" t="n">
        <v>38</v>
      </c>
      <c r="F1366" t="n">
        <v>50718</v>
      </c>
      <c r="G1366" t="n">
        <v>1</v>
      </c>
      <c r="H1366" t="n">
        <v>11</v>
      </c>
      <c r="I1366" t="n">
        <v>0</v>
      </c>
    </row>
    <row r="1367">
      <c r="A1367" t="n">
        <v>1366</v>
      </c>
      <c r="B1367" t="inlineStr">
        <is>
          <t>Train</t>
        </is>
      </c>
      <c r="C1367" t="n">
        <v>4558</v>
      </c>
      <c r="D1367" t="n">
        <v>6800</v>
      </c>
      <c r="E1367" t="n">
        <v>53</v>
      </c>
      <c r="F1367" t="n">
        <v>67189</v>
      </c>
      <c r="G1367" t="n">
        <v>3</v>
      </c>
      <c r="H1367" t="n">
        <v>12</v>
      </c>
      <c r="I1367" t="n">
        <v>0</v>
      </c>
    </row>
    <row r="1368">
      <c r="A1368" t="n">
        <v>1367</v>
      </c>
      <c r="B1368" t="inlineStr">
        <is>
          <t>Validation</t>
        </is>
      </c>
      <c r="C1368" t="n">
        <v>2434</v>
      </c>
      <c r="D1368" t="n">
        <v>6320</v>
      </c>
      <c r="E1368" t="n">
        <v>43</v>
      </c>
      <c r="F1368" t="n">
        <v>0</v>
      </c>
      <c r="G1368" t="n">
        <v>4</v>
      </c>
      <c r="H1368" t="n">
        <v>0</v>
      </c>
      <c r="I1368" t="n">
        <v>0</v>
      </c>
    </row>
    <row r="1369">
      <c r="A1369" t="n">
        <v>1368</v>
      </c>
      <c r="B1369" t="inlineStr">
        <is>
          <t>Validation</t>
        </is>
      </c>
      <c r="C1369" t="n">
        <v>7323</v>
      </c>
      <c r="D1369" t="n">
        <v>15000</v>
      </c>
      <c r="E1369" t="n">
        <v>41</v>
      </c>
      <c r="F1369" t="n">
        <v>64957</v>
      </c>
      <c r="G1369" t="n">
        <v>3</v>
      </c>
      <c r="H1369" t="n">
        <v>12</v>
      </c>
      <c r="I1369" t="n">
        <v>209019</v>
      </c>
    </row>
    <row r="1370">
      <c r="A1370" t="n">
        <v>1369</v>
      </c>
      <c r="B1370" t="inlineStr">
        <is>
          <t>Validation</t>
        </is>
      </c>
      <c r="C1370" t="n">
        <v>2916</v>
      </c>
      <c r="D1370" t="n">
        <v>20550</v>
      </c>
      <c r="E1370" t="n">
        <v>50</v>
      </c>
      <c r="F1370" t="n">
        <v>58504</v>
      </c>
      <c r="G1370" t="n">
        <v>6</v>
      </c>
      <c r="H1370" t="n">
        <v>13</v>
      </c>
      <c r="I1370" t="n">
        <v>0</v>
      </c>
    </row>
    <row r="1371">
      <c r="A1371" t="n">
        <v>1370</v>
      </c>
      <c r="B1371" t="inlineStr">
        <is>
          <t>Train</t>
        </is>
      </c>
      <c r="C1371" t="n">
        <v>1007</v>
      </c>
      <c r="D1371" t="n">
        <v>31480</v>
      </c>
      <c r="E1371" t="n">
        <v>36</v>
      </c>
      <c r="F1371" t="n">
        <v>51626</v>
      </c>
      <c r="G1371" t="n">
        <v>5</v>
      </c>
      <c r="H1371" t="n">
        <v>8</v>
      </c>
      <c r="I1371" t="n">
        <v>168683</v>
      </c>
    </row>
    <row r="1372">
      <c r="A1372" t="n">
        <v>1371</v>
      </c>
      <c r="B1372" t="inlineStr">
        <is>
          <t>Train</t>
        </is>
      </c>
      <c r="C1372" t="n">
        <v>1188</v>
      </c>
      <c r="D1372" t="n">
        <v>11990</v>
      </c>
      <c r="E1372" t="n">
        <v>42</v>
      </c>
      <c r="F1372" t="n">
        <v>32808</v>
      </c>
      <c r="G1372" t="n">
        <v>1</v>
      </c>
      <c r="H1372" t="n">
        <v>14</v>
      </c>
      <c r="I1372" t="n">
        <v>165172</v>
      </c>
    </row>
    <row r="1373">
      <c r="A1373" t="n">
        <v>1372</v>
      </c>
      <c r="B1373" t="inlineStr">
        <is>
          <t>Train</t>
        </is>
      </c>
      <c r="C1373" t="n">
        <v>3986</v>
      </c>
      <c r="D1373" t="n">
        <v>9900</v>
      </c>
      <c r="E1373" t="n">
        <v>42</v>
      </c>
      <c r="F1373" t="n">
        <v>9671</v>
      </c>
      <c r="G1373" t="n">
        <v>4</v>
      </c>
      <c r="H1373" t="n">
        <v>12</v>
      </c>
      <c r="I1373" t="n">
        <v>0</v>
      </c>
    </row>
    <row r="1374">
      <c r="A1374" t="n">
        <v>1373</v>
      </c>
      <c r="B1374" t="inlineStr">
        <is>
          <t>Train</t>
        </is>
      </c>
      <c r="C1374" t="n">
        <v>10383</v>
      </c>
      <c r="D1374" t="n">
        <v>5620</v>
      </c>
      <c r="E1374" t="n">
        <v>36</v>
      </c>
      <c r="F1374" t="n">
        <v>32252</v>
      </c>
      <c r="G1374" t="n">
        <v>5</v>
      </c>
      <c r="H1374" t="n">
        <v>12</v>
      </c>
      <c r="I1374" t="n">
        <v>127659</v>
      </c>
    </row>
    <row r="1375">
      <c r="A1375" t="n">
        <v>1374</v>
      </c>
      <c r="B1375" t="inlineStr">
        <is>
          <t>Train</t>
        </is>
      </c>
      <c r="C1375" t="n">
        <v>3631</v>
      </c>
      <c r="D1375" t="n">
        <v>13980</v>
      </c>
      <c r="E1375" t="n">
        <v>56</v>
      </c>
      <c r="F1375" t="n">
        <v>68800</v>
      </c>
      <c r="G1375" t="n">
        <v>0</v>
      </c>
      <c r="H1375" t="n">
        <v>9</v>
      </c>
      <c r="I1375" t="n">
        <v>233047</v>
      </c>
    </row>
    <row r="1376">
      <c r="A1376" t="n">
        <v>1375</v>
      </c>
      <c r="B1376" t="inlineStr">
        <is>
          <t>Train</t>
        </is>
      </c>
      <c r="C1376" t="n">
        <v>32145</v>
      </c>
      <c r="D1376" t="n">
        <v>19470</v>
      </c>
      <c r="E1376" t="n">
        <v>54</v>
      </c>
      <c r="F1376" t="n">
        <v>72540</v>
      </c>
      <c r="G1376" t="n">
        <v>4</v>
      </c>
      <c r="H1376" t="n">
        <v>16</v>
      </c>
      <c r="I1376" t="n">
        <v>265894</v>
      </c>
    </row>
    <row r="1377">
      <c r="A1377" t="n">
        <v>1376</v>
      </c>
      <c r="B1377" t="inlineStr">
        <is>
          <t>Train</t>
        </is>
      </c>
      <c r="C1377" t="n">
        <v>3869</v>
      </c>
      <c r="D1377" t="n">
        <v>19330</v>
      </c>
      <c r="E1377" t="n">
        <v>40</v>
      </c>
      <c r="F1377" t="n">
        <v>109956</v>
      </c>
      <c r="G1377" t="n">
        <v>2</v>
      </c>
      <c r="H1377" t="n">
        <v>12</v>
      </c>
      <c r="I1377" t="n">
        <v>0</v>
      </c>
    </row>
    <row r="1378">
      <c r="A1378" t="n">
        <v>1377</v>
      </c>
      <c r="B1378" t="inlineStr">
        <is>
          <t>Validation</t>
        </is>
      </c>
      <c r="C1378" t="n">
        <v>7419</v>
      </c>
      <c r="D1378" t="n">
        <v>14080</v>
      </c>
      <c r="E1378" t="n">
        <v>36</v>
      </c>
      <c r="F1378" t="n">
        <v>78379</v>
      </c>
      <c r="G1378" t="n">
        <v>3</v>
      </c>
      <c r="H1378" t="n">
        <v>11</v>
      </c>
      <c r="I1378" t="n">
        <v>240848</v>
      </c>
    </row>
    <row r="1379">
      <c r="A1379" t="n">
        <v>1378</v>
      </c>
      <c r="B1379" t="inlineStr">
        <is>
          <t>Validation</t>
        </is>
      </c>
      <c r="C1379" t="n">
        <v>4447</v>
      </c>
      <c r="D1379" t="n">
        <v>19740</v>
      </c>
      <c r="E1379" t="n">
        <v>51</v>
      </c>
      <c r="F1379" t="n">
        <v>52395</v>
      </c>
      <c r="G1379" t="n">
        <v>0</v>
      </c>
      <c r="H1379" t="n">
        <v>8</v>
      </c>
      <c r="I1379" t="n">
        <v>0</v>
      </c>
    </row>
    <row r="1380">
      <c r="A1380" t="n">
        <v>1379</v>
      </c>
      <c r="B1380" t="inlineStr">
        <is>
          <t>Validation</t>
        </is>
      </c>
      <c r="C1380" t="n">
        <v>6117</v>
      </c>
      <c r="D1380" t="n">
        <v>3320</v>
      </c>
      <c r="E1380" t="n">
        <v>21</v>
      </c>
      <c r="F1380" t="n">
        <v>360</v>
      </c>
      <c r="G1380" t="n">
        <v>1</v>
      </c>
      <c r="H1380" t="n">
        <v>12</v>
      </c>
      <c r="I1380" t="n">
        <v>0</v>
      </c>
    </row>
    <row r="1381">
      <c r="A1381" t="n">
        <v>1380</v>
      </c>
      <c r="B1381" t="inlineStr">
        <is>
          <t>Train</t>
        </is>
      </c>
      <c r="C1381" t="n">
        <v>7343</v>
      </c>
      <c r="D1381" t="n">
        <v>31040</v>
      </c>
      <c r="E1381" t="n">
        <v>33</v>
      </c>
      <c r="F1381" t="n">
        <v>32708</v>
      </c>
      <c r="G1381" t="n">
        <v>4</v>
      </c>
      <c r="H1381" t="n">
        <v>8</v>
      </c>
      <c r="I1381" t="n">
        <v>0</v>
      </c>
    </row>
    <row r="1382">
      <c r="A1382" t="n">
        <v>1381</v>
      </c>
      <c r="B1382" t="inlineStr">
        <is>
          <t>Train</t>
        </is>
      </c>
      <c r="C1382" t="n">
        <v>6162</v>
      </c>
      <c r="D1382" t="n">
        <v>19080</v>
      </c>
      <c r="E1382" t="n">
        <v>51</v>
      </c>
      <c r="F1382" t="n">
        <v>72037</v>
      </c>
      <c r="G1382" t="n">
        <v>6</v>
      </c>
      <c r="H1382" t="n">
        <v>6</v>
      </c>
      <c r="I1382" t="n">
        <v>0</v>
      </c>
    </row>
    <row r="1383">
      <c r="A1383" t="n">
        <v>1382</v>
      </c>
      <c r="B1383" t="inlineStr">
        <is>
          <t>Train</t>
        </is>
      </c>
      <c r="C1383" t="n">
        <v>1155</v>
      </c>
      <c r="D1383" t="n">
        <v>1500</v>
      </c>
      <c r="E1383" t="n">
        <v>46</v>
      </c>
      <c r="F1383" t="n">
        <v>136301</v>
      </c>
      <c r="G1383" t="n">
        <v>8</v>
      </c>
      <c r="H1383" t="n">
        <v>9</v>
      </c>
      <c r="I1383" t="n">
        <v>0</v>
      </c>
    </row>
    <row r="1384">
      <c r="A1384" t="n">
        <v>1383</v>
      </c>
      <c r="B1384" t="inlineStr">
        <is>
          <t>Train</t>
        </is>
      </c>
      <c r="C1384" t="n">
        <v>7399</v>
      </c>
      <c r="D1384" t="n">
        <v>6400</v>
      </c>
      <c r="E1384" t="n">
        <v>49</v>
      </c>
      <c r="F1384" t="n">
        <v>0</v>
      </c>
      <c r="G1384" t="n">
        <v>1</v>
      </c>
      <c r="H1384" t="n">
        <v>0</v>
      </c>
      <c r="I1384" t="n">
        <v>0</v>
      </c>
    </row>
    <row r="1385">
      <c r="A1385" t="n">
        <v>1384</v>
      </c>
      <c r="B1385" t="inlineStr">
        <is>
          <t>Train</t>
        </is>
      </c>
      <c r="C1385" t="n">
        <v>30807</v>
      </c>
      <c r="D1385" t="n">
        <v>24070</v>
      </c>
      <c r="E1385" t="n">
        <v>46</v>
      </c>
      <c r="F1385" t="n">
        <v>64030</v>
      </c>
      <c r="G1385" t="n">
        <v>7</v>
      </c>
      <c r="H1385" t="n">
        <v>13</v>
      </c>
      <c r="I1385" t="n">
        <v>191941</v>
      </c>
    </row>
    <row r="1386">
      <c r="A1386" t="n">
        <v>1385</v>
      </c>
      <c r="B1386" t="inlineStr">
        <is>
          <t>Train</t>
        </is>
      </c>
      <c r="C1386" t="n">
        <v>7327</v>
      </c>
      <c r="D1386" t="n">
        <v>37960</v>
      </c>
      <c r="E1386" t="n">
        <v>46</v>
      </c>
      <c r="F1386" t="n">
        <v>214653</v>
      </c>
      <c r="G1386" t="n">
        <v>0</v>
      </c>
      <c r="H1386" t="n">
        <v>12</v>
      </c>
      <c r="I1386" t="n">
        <v>498559</v>
      </c>
    </row>
    <row r="1387">
      <c r="A1387" t="n">
        <v>1386</v>
      </c>
      <c r="B1387" t="inlineStr">
        <is>
          <t>Train</t>
        </is>
      </c>
      <c r="C1387" t="n">
        <v>6985</v>
      </c>
      <c r="D1387" t="n">
        <v>25170</v>
      </c>
      <c r="E1387" t="n">
        <v>40</v>
      </c>
      <c r="F1387" t="n">
        <v>6947</v>
      </c>
      <c r="G1387" t="n">
        <v>8</v>
      </c>
      <c r="H1387" t="n">
        <v>11</v>
      </c>
      <c r="I1387" t="n">
        <v>131827</v>
      </c>
    </row>
    <row r="1388">
      <c r="A1388" t="n">
        <v>1387</v>
      </c>
      <c r="B1388" t="inlineStr">
        <is>
          <t>Validation</t>
        </is>
      </c>
      <c r="C1388" t="n">
        <v>778</v>
      </c>
      <c r="D1388" t="n">
        <v>22730</v>
      </c>
      <c r="E1388" t="n">
        <v>35</v>
      </c>
      <c r="F1388" t="n">
        <v>21075</v>
      </c>
      <c r="G1388" t="n">
        <v>4</v>
      </c>
      <c r="H1388" t="n">
        <v>12</v>
      </c>
      <c r="I1388" t="n">
        <v>0</v>
      </c>
    </row>
    <row r="1389">
      <c r="A1389" t="n">
        <v>1388</v>
      </c>
      <c r="B1389" t="inlineStr">
        <is>
          <t>Validation</t>
        </is>
      </c>
      <c r="C1389" t="n">
        <v>19690</v>
      </c>
      <c r="D1389" t="n">
        <v>7550</v>
      </c>
      <c r="E1389" t="n">
        <v>54</v>
      </c>
      <c r="F1389" t="n">
        <v>6450</v>
      </c>
      <c r="G1389" t="n">
        <v>0</v>
      </c>
      <c r="H1389" t="n">
        <v>14</v>
      </c>
      <c r="I1389" t="n">
        <v>0</v>
      </c>
    </row>
    <row r="1390">
      <c r="A1390" t="n">
        <v>1389</v>
      </c>
      <c r="B1390" t="inlineStr">
        <is>
          <t>Validation</t>
        </is>
      </c>
      <c r="C1390" t="n">
        <v>6552</v>
      </c>
      <c r="D1390" t="n">
        <v>8880</v>
      </c>
      <c r="E1390" t="n">
        <v>50</v>
      </c>
      <c r="F1390" t="n">
        <v>23773</v>
      </c>
      <c r="G1390" t="n">
        <v>5</v>
      </c>
      <c r="H1390" t="n">
        <v>12</v>
      </c>
      <c r="I1390" t="n">
        <v>132316</v>
      </c>
    </row>
    <row r="1391">
      <c r="A1391" t="n">
        <v>1390</v>
      </c>
      <c r="B1391" t="inlineStr">
        <is>
          <t>Train</t>
        </is>
      </c>
      <c r="C1391" t="n">
        <v>2101</v>
      </c>
      <c r="D1391" t="n">
        <v>16420</v>
      </c>
      <c r="E1391" t="n">
        <v>27</v>
      </c>
      <c r="F1391" t="n">
        <v>58576</v>
      </c>
      <c r="G1391" t="n">
        <v>3</v>
      </c>
      <c r="H1391" t="n">
        <v>6</v>
      </c>
      <c r="I1391" t="n">
        <v>168176</v>
      </c>
    </row>
    <row r="1392">
      <c r="A1392" t="n">
        <v>1391</v>
      </c>
      <c r="B1392" t="inlineStr">
        <is>
          <t>Train</t>
        </is>
      </c>
      <c r="C1392" t="n">
        <v>3481</v>
      </c>
      <c r="D1392" t="n">
        <v>11540</v>
      </c>
      <c r="E1392" t="n">
        <v>38</v>
      </c>
      <c r="F1392" t="n">
        <v>62361</v>
      </c>
      <c r="G1392" t="n">
        <v>2</v>
      </c>
      <c r="H1392" t="n">
        <v>10</v>
      </c>
      <c r="I1392" t="n">
        <v>185738</v>
      </c>
    </row>
    <row r="1393">
      <c r="A1393" t="n">
        <v>1392</v>
      </c>
      <c r="B1393" t="inlineStr">
        <is>
          <t>Train</t>
        </is>
      </c>
      <c r="C1393" t="n">
        <v>6856</v>
      </c>
      <c r="D1393" t="n">
        <v>18270</v>
      </c>
      <c r="E1393" t="n">
        <v>41</v>
      </c>
      <c r="F1393" t="n">
        <v>78866</v>
      </c>
      <c r="G1393" t="n">
        <v>2</v>
      </c>
      <c r="H1393" t="n">
        <v>7</v>
      </c>
      <c r="I1393" t="n">
        <v>0</v>
      </c>
    </row>
    <row r="1394">
      <c r="A1394" t="n">
        <v>1393</v>
      </c>
      <c r="B1394" t="inlineStr">
        <is>
          <t>Train</t>
        </is>
      </c>
      <c r="C1394" t="n">
        <v>5837</v>
      </c>
      <c r="D1394" t="n">
        <v>26360</v>
      </c>
      <c r="E1394" t="n">
        <v>62</v>
      </c>
      <c r="F1394" t="n">
        <v>69331</v>
      </c>
      <c r="G1394" t="n">
        <v>0</v>
      </c>
      <c r="H1394" t="n">
        <v>12</v>
      </c>
      <c r="I1394" t="n">
        <v>276064</v>
      </c>
    </row>
    <row r="1395">
      <c r="A1395" t="n">
        <v>1394</v>
      </c>
      <c r="B1395" t="inlineStr">
        <is>
          <t>Train</t>
        </is>
      </c>
      <c r="C1395" t="n">
        <v>3977</v>
      </c>
      <c r="D1395" t="n">
        <v>14330</v>
      </c>
      <c r="E1395" t="n">
        <v>60</v>
      </c>
      <c r="F1395" t="n">
        <v>128275</v>
      </c>
      <c r="G1395" t="n">
        <v>4</v>
      </c>
      <c r="H1395" t="n">
        <v>13</v>
      </c>
      <c r="I1395" t="n">
        <v>0</v>
      </c>
    </row>
    <row r="1396">
      <c r="A1396" t="n">
        <v>1395</v>
      </c>
      <c r="B1396" t="inlineStr">
        <is>
          <t>Train</t>
        </is>
      </c>
      <c r="C1396" t="n">
        <v>30076</v>
      </c>
      <c r="D1396" t="n">
        <v>14760</v>
      </c>
      <c r="E1396" t="n">
        <v>48</v>
      </c>
      <c r="F1396" t="n">
        <v>84647</v>
      </c>
      <c r="G1396" t="n">
        <v>0</v>
      </c>
      <c r="H1396" t="n">
        <v>10</v>
      </c>
      <c r="I1396" t="n">
        <v>235879</v>
      </c>
    </row>
    <row r="1397">
      <c r="A1397" t="n">
        <v>1396</v>
      </c>
      <c r="B1397" t="inlineStr">
        <is>
          <t>Train</t>
        </is>
      </c>
      <c r="C1397" t="n">
        <v>26318</v>
      </c>
      <c r="D1397" t="n">
        <v>16830</v>
      </c>
      <c r="E1397" t="n">
        <v>33</v>
      </c>
      <c r="F1397" t="n">
        <v>120322</v>
      </c>
      <c r="G1397" t="n">
        <v>0</v>
      </c>
      <c r="H1397" t="n">
        <v>9</v>
      </c>
      <c r="I1397" t="n">
        <v>0</v>
      </c>
    </row>
    <row r="1398">
      <c r="A1398" t="n">
        <v>1397</v>
      </c>
      <c r="B1398" t="inlineStr">
        <is>
          <t>Validation</t>
        </is>
      </c>
      <c r="C1398" t="n">
        <v>677</v>
      </c>
      <c r="D1398" t="n">
        <v>12950</v>
      </c>
      <c r="E1398" t="n">
        <v>55</v>
      </c>
      <c r="F1398" t="n">
        <v>59543</v>
      </c>
      <c r="G1398" t="n">
        <v>4</v>
      </c>
      <c r="H1398" t="n">
        <v>13</v>
      </c>
      <c r="I1398" t="n">
        <v>210698</v>
      </c>
    </row>
    <row r="1399">
      <c r="A1399" t="n">
        <v>1398</v>
      </c>
      <c r="B1399" t="inlineStr">
        <is>
          <t>Validation</t>
        </is>
      </c>
      <c r="C1399" t="n">
        <v>29820</v>
      </c>
      <c r="D1399" t="n">
        <v>12180</v>
      </c>
      <c r="E1399" t="n">
        <v>45</v>
      </c>
      <c r="F1399" t="n">
        <v>96599</v>
      </c>
      <c r="G1399" t="n">
        <v>1</v>
      </c>
      <c r="H1399" t="n">
        <v>9</v>
      </c>
      <c r="I1399" t="n">
        <v>306391</v>
      </c>
    </row>
    <row r="1400">
      <c r="A1400" t="n">
        <v>1399</v>
      </c>
      <c r="B1400" t="inlineStr">
        <is>
          <t>Validation</t>
        </is>
      </c>
      <c r="C1400" t="n">
        <v>34233</v>
      </c>
      <c r="D1400" t="n">
        <v>13270</v>
      </c>
      <c r="E1400" t="n">
        <v>32</v>
      </c>
      <c r="F1400" t="n">
        <v>35119</v>
      </c>
      <c r="G1400" t="n">
        <v>4</v>
      </c>
      <c r="H1400" t="n">
        <v>13</v>
      </c>
      <c r="I1400" t="n">
        <v>173478</v>
      </c>
    </row>
    <row r="1401">
      <c r="A1401" t="n">
        <v>1400</v>
      </c>
      <c r="B1401" t="inlineStr">
        <is>
          <t>Train</t>
        </is>
      </c>
      <c r="C1401" t="n">
        <v>6060</v>
      </c>
      <c r="D1401" t="n">
        <v>12000</v>
      </c>
      <c r="E1401" t="n">
        <v>58</v>
      </c>
      <c r="F1401" t="n">
        <v>30360</v>
      </c>
      <c r="G1401" t="n">
        <v>4</v>
      </c>
      <c r="H1401" t="n">
        <v>12</v>
      </c>
      <c r="I1401" t="n">
        <v>171625</v>
      </c>
    </row>
    <row r="1402">
      <c r="A1402" t="n">
        <v>1401</v>
      </c>
      <c r="B1402" t="inlineStr">
        <is>
          <t>Train</t>
        </is>
      </c>
      <c r="C1402" t="n">
        <v>824</v>
      </c>
      <c r="D1402" t="n">
        <v>23760</v>
      </c>
      <c r="E1402" t="n">
        <v>53</v>
      </c>
      <c r="F1402" t="n">
        <v>114547</v>
      </c>
      <c r="G1402" t="n">
        <v>4</v>
      </c>
      <c r="H1402" t="n">
        <v>9</v>
      </c>
      <c r="I1402" t="n">
        <v>330408</v>
      </c>
    </row>
    <row r="1403">
      <c r="A1403" t="n">
        <v>1402</v>
      </c>
      <c r="B1403" t="inlineStr">
        <is>
          <t>Train</t>
        </is>
      </c>
      <c r="C1403" t="n">
        <v>3047</v>
      </c>
      <c r="D1403" t="n">
        <v>19530</v>
      </c>
      <c r="E1403" t="n">
        <v>39</v>
      </c>
      <c r="F1403" t="n">
        <v>80021</v>
      </c>
      <c r="G1403" t="n">
        <v>1</v>
      </c>
      <c r="H1403" t="n">
        <v>11</v>
      </c>
      <c r="I1403" t="n">
        <v>264048</v>
      </c>
    </row>
    <row r="1404">
      <c r="A1404" t="n">
        <v>1403</v>
      </c>
      <c r="B1404" t="inlineStr">
        <is>
          <t>Train</t>
        </is>
      </c>
      <c r="C1404" t="n">
        <v>11528</v>
      </c>
      <c r="D1404" t="n">
        <v>11760</v>
      </c>
      <c r="E1404" t="n">
        <v>57</v>
      </c>
      <c r="F1404" t="n">
        <v>106465</v>
      </c>
      <c r="G1404" t="n">
        <v>7</v>
      </c>
      <c r="H1404" t="n">
        <v>15</v>
      </c>
      <c r="I1404" t="n">
        <v>329334</v>
      </c>
    </row>
    <row r="1405">
      <c r="A1405" t="n">
        <v>1404</v>
      </c>
      <c r="B1405" t="inlineStr">
        <is>
          <t>Train</t>
        </is>
      </c>
      <c r="C1405" t="n">
        <v>5767</v>
      </c>
      <c r="D1405" t="n">
        <v>5800</v>
      </c>
      <c r="E1405" t="n">
        <v>43</v>
      </c>
      <c r="F1405" t="n">
        <v>0</v>
      </c>
      <c r="G1405" t="n">
        <v>9</v>
      </c>
      <c r="H1405" t="n">
        <v>0</v>
      </c>
      <c r="I1405" t="n">
        <v>0</v>
      </c>
    </row>
    <row r="1406">
      <c r="A1406" t="n">
        <v>1405</v>
      </c>
      <c r="B1406" t="inlineStr">
        <is>
          <t>Train</t>
        </is>
      </c>
      <c r="C1406" t="n">
        <v>8410</v>
      </c>
      <c r="D1406" t="n">
        <v>17140</v>
      </c>
      <c r="E1406" t="n">
        <v>60</v>
      </c>
      <c r="F1406" t="n">
        <v>35390</v>
      </c>
      <c r="G1406" t="n">
        <v>0</v>
      </c>
      <c r="H1406" t="n">
        <v>15</v>
      </c>
      <c r="I1406" t="n">
        <v>140705</v>
      </c>
    </row>
    <row r="1407">
      <c r="A1407" t="n">
        <v>1406</v>
      </c>
      <c r="B1407" t="inlineStr">
        <is>
          <t>Train</t>
        </is>
      </c>
      <c r="C1407" t="n">
        <v>5293</v>
      </c>
      <c r="D1407" t="n">
        <v>7760</v>
      </c>
      <c r="E1407" t="n">
        <v>29</v>
      </c>
      <c r="F1407" t="n">
        <v>33572</v>
      </c>
      <c r="G1407" t="n">
        <v>6</v>
      </c>
      <c r="H1407" t="n">
        <v>14</v>
      </c>
      <c r="I1407" t="n">
        <v>0</v>
      </c>
    </row>
    <row r="1408">
      <c r="A1408" t="n">
        <v>1407</v>
      </c>
      <c r="B1408" t="inlineStr">
        <is>
          <t>Validation</t>
        </is>
      </c>
      <c r="C1408" t="n">
        <v>8183</v>
      </c>
      <c r="D1408" t="n">
        <v>6420</v>
      </c>
      <c r="E1408" t="n">
        <v>44</v>
      </c>
      <c r="F1408" t="n">
        <v>18154</v>
      </c>
      <c r="G1408" t="n">
        <v>1</v>
      </c>
      <c r="H1408" t="n">
        <v>13</v>
      </c>
      <c r="I1408" t="n">
        <v>108984</v>
      </c>
    </row>
    <row r="1409">
      <c r="A1409" t="n">
        <v>1408</v>
      </c>
      <c r="B1409" t="inlineStr">
        <is>
          <t>Validation</t>
        </is>
      </c>
      <c r="C1409" t="n">
        <v>7244</v>
      </c>
      <c r="D1409" t="n">
        <v>4910</v>
      </c>
      <c r="E1409" t="n">
        <v>49</v>
      </c>
      <c r="F1409" t="n">
        <v>34127</v>
      </c>
      <c r="G1409" t="n">
        <v>3</v>
      </c>
      <c r="H1409" t="n">
        <v>17</v>
      </c>
      <c r="I1409" t="n">
        <v>181309</v>
      </c>
    </row>
    <row r="1410">
      <c r="A1410" t="n">
        <v>1409</v>
      </c>
      <c r="B1410" t="inlineStr">
        <is>
          <t>Validation</t>
        </is>
      </c>
      <c r="C1410" t="n">
        <v>7759</v>
      </c>
      <c r="D1410" t="n">
        <v>11210</v>
      </c>
      <c r="E1410" t="n">
        <v>48</v>
      </c>
      <c r="F1410" t="n">
        <v>49035</v>
      </c>
      <c r="G1410" t="n">
        <v>1</v>
      </c>
      <c r="H1410" t="n">
        <v>11</v>
      </c>
      <c r="I1410" t="n">
        <v>168921</v>
      </c>
    </row>
    <row r="1411">
      <c r="A1411" t="n">
        <v>1410</v>
      </c>
      <c r="B1411" t="inlineStr">
        <is>
          <t>Train</t>
        </is>
      </c>
      <c r="C1411" t="n">
        <v>3826</v>
      </c>
      <c r="D1411" t="n">
        <v>14990</v>
      </c>
      <c r="E1411" t="n">
        <v>38</v>
      </c>
      <c r="F1411" t="n">
        <v>3151</v>
      </c>
      <c r="G1411" t="n">
        <v>3</v>
      </c>
      <c r="H1411" t="n">
        <v>17</v>
      </c>
      <c r="I1411" t="n">
        <v>107534</v>
      </c>
    </row>
    <row r="1412">
      <c r="A1412" t="n">
        <v>1411</v>
      </c>
      <c r="B1412" t="inlineStr">
        <is>
          <t>Train</t>
        </is>
      </c>
      <c r="C1412" t="n">
        <v>19596</v>
      </c>
      <c r="D1412" t="n">
        <v>13790</v>
      </c>
      <c r="E1412" t="n">
        <v>48</v>
      </c>
      <c r="F1412" t="n">
        <v>46839</v>
      </c>
      <c r="G1412" t="n">
        <v>0</v>
      </c>
      <c r="H1412" t="n">
        <v>12</v>
      </c>
      <c r="I1412" t="n">
        <v>0</v>
      </c>
    </row>
    <row r="1413">
      <c r="A1413" t="n">
        <v>1412</v>
      </c>
      <c r="B1413" t="inlineStr">
        <is>
          <t>Train</t>
        </is>
      </c>
      <c r="C1413" t="n">
        <v>3600</v>
      </c>
      <c r="D1413" t="n">
        <v>23830</v>
      </c>
      <c r="E1413" t="n">
        <v>59</v>
      </c>
      <c r="F1413" t="n">
        <v>23892</v>
      </c>
      <c r="G1413" t="n">
        <v>2</v>
      </c>
      <c r="H1413" t="n">
        <v>14</v>
      </c>
      <c r="I1413" t="n">
        <v>0</v>
      </c>
    </row>
    <row r="1414">
      <c r="A1414" t="n">
        <v>1413</v>
      </c>
      <c r="B1414" t="inlineStr">
        <is>
          <t>Train</t>
        </is>
      </c>
      <c r="C1414" t="n">
        <v>20380</v>
      </c>
      <c r="D1414" t="n">
        <v>7440</v>
      </c>
      <c r="E1414" t="n">
        <v>41</v>
      </c>
      <c r="F1414" t="n">
        <v>18408</v>
      </c>
      <c r="G1414" t="n">
        <v>8</v>
      </c>
      <c r="H1414" t="n">
        <v>13</v>
      </c>
      <c r="I1414" t="n">
        <v>95813</v>
      </c>
    </row>
    <row r="1415">
      <c r="A1415" t="n">
        <v>1414</v>
      </c>
      <c r="B1415" t="inlineStr">
        <is>
          <t>Train</t>
        </is>
      </c>
      <c r="C1415" t="n">
        <v>6375</v>
      </c>
      <c r="D1415" t="n">
        <v>57970</v>
      </c>
      <c r="E1415" t="n">
        <v>59</v>
      </c>
      <c r="F1415" t="n">
        <v>320127</v>
      </c>
      <c r="G1415" t="n">
        <v>5</v>
      </c>
      <c r="H1415" t="n">
        <v>17</v>
      </c>
      <c r="I1415" t="n">
        <v>750455</v>
      </c>
    </row>
    <row r="1416">
      <c r="A1416" t="n">
        <v>1415</v>
      </c>
      <c r="B1416" t="inlineStr">
        <is>
          <t>Train</t>
        </is>
      </c>
      <c r="C1416" t="n">
        <v>31992</v>
      </c>
      <c r="D1416" t="n">
        <v>2440</v>
      </c>
      <c r="E1416" t="n">
        <v>30</v>
      </c>
      <c r="F1416" t="n">
        <v>9361</v>
      </c>
      <c r="G1416" t="n">
        <v>0</v>
      </c>
      <c r="H1416" t="n">
        <v>15</v>
      </c>
      <c r="I1416" t="n">
        <v>0</v>
      </c>
    </row>
    <row r="1417">
      <c r="A1417" t="n">
        <v>1416</v>
      </c>
      <c r="B1417" t="inlineStr">
        <is>
          <t>Train</t>
        </is>
      </c>
      <c r="C1417" t="n">
        <v>1936</v>
      </c>
      <c r="D1417" t="n">
        <v>19940</v>
      </c>
      <c r="E1417" t="n">
        <v>53</v>
      </c>
      <c r="F1417" t="n">
        <v>0</v>
      </c>
      <c r="G1417" t="n">
        <v>8</v>
      </c>
      <c r="H1417" t="n">
        <v>0</v>
      </c>
      <c r="I1417" t="n">
        <v>92718</v>
      </c>
    </row>
    <row r="1418">
      <c r="A1418" t="n">
        <v>1417</v>
      </c>
      <c r="B1418" t="inlineStr">
        <is>
          <t>Validation</t>
        </is>
      </c>
      <c r="C1418" t="n">
        <v>4754</v>
      </c>
      <c r="D1418" t="n">
        <v>6200</v>
      </c>
      <c r="E1418" t="n">
        <v>47</v>
      </c>
      <c r="F1418" t="n">
        <v>0</v>
      </c>
      <c r="G1418" t="n">
        <v>8</v>
      </c>
      <c r="H1418" t="n">
        <v>0</v>
      </c>
      <c r="I1418" t="n">
        <v>0</v>
      </c>
    </row>
    <row r="1419">
      <c r="A1419" t="n">
        <v>1418</v>
      </c>
      <c r="B1419" t="inlineStr">
        <is>
          <t>Validation</t>
        </is>
      </c>
      <c r="C1419" t="n">
        <v>4078</v>
      </c>
      <c r="D1419" t="n">
        <v>25580</v>
      </c>
      <c r="E1419" t="n">
        <v>43</v>
      </c>
      <c r="F1419" t="n">
        <v>36614</v>
      </c>
      <c r="G1419" t="n">
        <v>0</v>
      </c>
      <c r="H1419" t="n">
        <v>15</v>
      </c>
      <c r="I1419" t="n">
        <v>141879</v>
      </c>
    </row>
    <row r="1420">
      <c r="A1420" t="n">
        <v>1419</v>
      </c>
      <c r="B1420" t="inlineStr">
        <is>
          <t>Validation</t>
        </is>
      </c>
      <c r="C1420" t="n">
        <v>2018</v>
      </c>
      <c r="D1420" t="n">
        <v>10440</v>
      </c>
      <c r="E1420" t="n">
        <v>31</v>
      </c>
      <c r="F1420" t="n">
        <v>58391</v>
      </c>
      <c r="G1420" t="n">
        <v>0</v>
      </c>
      <c r="H1420" t="n">
        <v>11</v>
      </c>
      <c r="I1420" t="n">
        <v>187063</v>
      </c>
    </row>
    <row r="1421">
      <c r="A1421" t="n">
        <v>1420</v>
      </c>
      <c r="B1421" t="inlineStr">
        <is>
          <t>Train</t>
        </is>
      </c>
      <c r="C1421" t="n">
        <v>38197</v>
      </c>
      <c r="D1421" t="n">
        <v>15440</v>
      </c>
      <c r="E1421" t="n">
        <v>31</v>
      </c>
      <c r="F1421" t="n">
        <v>24965</v>
      </c>
      <c r="G1421" t="n">
        <v>5</v>
      </c>
      <c r="H1421" t="n">
        <v>9</v>
      </c>
      <c r="I1421" t="n">
        <v>166669</v>
      </c>
    </row>
    <row r="1422">
      <c r="A1422" t="n">
        <v>1421</v>
      </c>
      <c r="B1422" t="inlineStr">
        <is>
          <t>Train</t>
        </is>
      </c>
      <c r="C1422" t="n">
        <v>2210</v>
      </c>
      <c r="D1422" t="n">
        <v>8450</v>
      </c>
      <c r="E1422" t="n">
        <v>43</v>
      </c>
      <c r="F1422" t="n">
        <v>636</v>
      </c>
      <c r="G1422" t="n">
        <v>0</v>
      </c>
      <c r="H1422" t="n">
        <v>12</v>
      </c>
      <c r="I1422" t="n">
        <v>0</v>
      </c>
    </row>
    <row r="1423">
      <c r="A1423" t="n">
        <v>1422</v>
      </c>
      <c r="B1423" t="inlineStr">
        <is>
          <t>Train</t>
        </is>
      </c>
      <c r="C1423" t="n">
        <v>21533</v>
      </c>
      <c r="D1423" t="n">
        <v>44110</v>
      </c>
      <c r="E1423" t="n">
        <v>50</v>
      </c>
      <c r="F1423" t="n">
        <v>100094</v>
      </c>
      <c r="G1423" t="n">
        <v>3</v>
      </c>
      <c r="H1423" t="n">
        <v>14</v>
      </c>
      <c r="I1423" t="n">
        <v>274673</v>
      </c>
    </row>
    <row r="1424">
      <c r="A1424" t="n">
        <v>1423</v>
      </c>
      <c r="B1424" t="inlineStr">
        <is>
          <t>Train</t>
        </is>
      </c>
      <c r="C1424" t="n">
        <v>5900</v>
      </c>
      <c r="D1424" t="n">
        <v>8670</v>
      </c>
      <c r="E1424" t="n">
        <v>65</v>
      </c>
      <c r="F1424" t="n">
        <v>5013</v>
      </c>
      <c r="G1424" t="n">
        <v>8</v>
      </c>
      <c r="H1424" t="n">
        <v>15</v>
      </c>
      <c r="I1424" t="n">
        <v>107287</v>
      </c>
    </row>
    <row r="1425">
      <c r="A1425" t="n">
        <v>1424</v>
      </c>
      <c r="B1425" t="inlineStr">
        <is>
          <t>Train</t>
        </is>
      </c>
      <c r="C1425" t="n">
        <v>6905</v>
      </c>
      <c r="D1425" t="n">
        <v>4300</v>
      </c>
      <c r="E1425" t="n">
        <v>28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1425</v>
      </c>
      <c r="B1426" t="inlineStr">
        <is>
          <t>Train</t>
        </is>
      </c>
      <c r="C1426" t="n">
        <v>5353</v>
      </c>
      <c r="D1426" t="n">
        <v>31490</v>
      </c>
      <c r="E1426" t="n">
        <v>55</v>
      </c>
      <c r="F1426" t="n">
        <v>244905</v>
      </c>
      <c r="G1426" t="n">
        <v>0</v>
      </c>
      <c r="H1426" t="n">
        <v>9</v>
      </c>
      <c r="I1426" t="n">
        <v>602718</v>
      </c>
    </row>
    <row r="1427">
      <c r="A1427" t="n">
        <v>1426</v>
      </c>
      <c r="B1427" t="inlineStr">
        <is>
          <t>Train</t>
        </is>
      </c>
      <c r="C1427" t="n">
        <v>17009</v>
      </c>
      <c r="D1427" t="n">
        <v>7350</v>
      </c>
      <c r="E1427" t="n">
        <v>50</v>
      </c>
      <c r="F1427" t="n">
        <v>0</v>
      </c>
      <c r="G1427" t="n">
        <v>4</v>
      </c>
      <c r="H1427" t="n">
        <v>0</v>
      </c>
      <c r="I1427" t="n">
        <v>0</v>
      </c>
    </row>
    <row r="1428">
      <c r="A1428" t="n">
        <v>1427</v>
      </c>
      <c r="B1428" t="inlineStr">
        <is>
          <t>Validation</t>
        </is>
      </c>
      <c r="C1428" t="n">
        <v>23013</v>
      </c>
      <c r="D1428" t="n">
        <v>20720</v>
      </c>
      <c r="E1428" t="n">
        <v>48</v>
      </c>
      <c r="F1428" t="n">
        <v>144241</v>
      </c>
      <c r="G1428" t="n">
        <v>4</v>
      </c>
      <c r="H1428" t="n">
        <v>10</v>
      </c>
      <c r="I1428" t="n">
        <v>0</v>
      </c>
    </row>
    <row r="1429">
      <c r="A1429" t="n">
        <v>1428</v>
      </c>
      <c r="B1429" t="inlineStr">
        <is>
          <t>Validation</t>
        </is>
      </c>
      <c r="C1429" t="n">
        <v>6196</v>
      </c>
      <c r="D1429" t="n">
        <v>11510</v>
      </c>
      <c r="E1429" t="n">
        <v>60</v>
      </c>
      <c r="F1429" t="n">
        <v>40092</v>
      </c>
      <c r="G1429" t="n">
        <v>0</v>
      </c>
      <c r="H1429" t="n">
        <v>15</v>
      </c>
      <c r="I1429" t="n">
        <v>188729</v>
      </c>
    </row>
    <row r="1430">
      <c r="A1430" t="n">
        <v>1429</v>
      </c>
      <c r="B1430" t="inlineStr">
        <is>
          <t>Validation</t>
        </is>
      </c>
      <c r="C1430" t="n">
        <v>7196</v>
      </c>
      <c r="D1430" t="n">
        <v>29730</v>
      </c>
      <c r="E1430" t="n">
        <v>48</v>
      </c>
      <c r="F1430" t="n">
        <v>113886</v>
      </c>
      <c r="G1430" t="n">
        <v>0</v>
      </c>
      <c r="H1430" t="n">
        <v>14</v>
      </c>
      <c r="I1430" t="n">
        <v>0</v>
      </c>
    </row>
    <row r="1431">
      <c r="A1431" t="n">
        <v>1430</v>
      </c>
      <c r="B1431" t="inlineStr">
        <is>
          <t>Train</t>
        </is>
      </c>
      <c r="C1431" t="n">
        <v>42845</v>
      </c>
      <c r="D1431" t="n">
        <v>24800</v>
      </c>
      <c r="E1431" t="n">
        <v>48</v>
      </c>
      <c r="F1431" t="n">
        <v>49082</v>
      </c>
      <c r="G1431" t="n">
        <v>2</v>
      </c>
      <c r="H1431" t="n">
        <v>12</v>
      </c>
      <c r="I1431" t="n">
        <v>202791</v>
      </c>
    </row>
    <row r="1432">
      <c r="A1432" t="n">
        <v>1431</v>
      </c>
      <c r="B1432" t="inlineStr">
        <is>
          <t>Train</t>
        </is>
      </c>
      <c r="C1432" t="n">
        <v>6238</v>
      </c>
      <c r="D1432" t="n">
        <v>26010</v>
      </c>
      <c r="E1432" t="n">
        <v>45</v>
      </c>
      <c r="F1432" t="n">
        <v>77337</v>
      </c>
      <c r="G1432" t="n">
        <v>3</v>
      </c>
      <c r="H1432" t="n">
        <v>12</v>
      </c>
      <c r="I1432" t="n">
        <v>0</v>
      </c>
    </row>
    <row r="1433">
      <c r="A1433" t="n">
        <v>1432</v>
      </c>
      <c r="B1433" t="inlineStr">
        <is>
          <t>Train</t>
        </is>
      </c>
      <c r="C1433" t="n">
        <v>2175</v>
      </c>
      <c r="D1433" t="n">
        <v>21640</v>
      </c>
      <c r="E1433" t="n">
        <v>48</v>
      </c>
      <c r="F1433" t="n">
        <v>203751</v>
      </c>
      <c r="G1433" t="n">
        <v>4</v>
      </c>
      <c r="H1433" t="n">
        <v>16</v>
      </c>
      <c r="I1433" t="n">
        <v>504144</v>
      </c>
    </row>
    <row r="1434">
      <c r="A1434" t="n">
        <v>1433</v>
      </c>
      <c r="B1434" t="inlineStr">
        <is>
          <t>Train</t>
        </is>
      </c>
      <c r="C1434" t="n">
        <v>32164</v>
      </c>
      <c r="D1434" t="n">
        <v>22410</v>
      </c>
      <c r="E1434" t="n">
        <v>45</v>
      </c>
      <c r="F1434" t="n">
        <v>107202</v>
      </c>
      <c r="G1434" t="n">
        <v>3</v>
      </c>
      <c r="H1434" t="n">
        <v>8</v>
      </c>
      <c r="I1434" t="n">
        <v>268710</v>
      </c>
    </row>
    <row r="1435">
      <c r="A1435" t="n">
        <v>1434</v>
      </c>
      <c r="B1435" t="inlineStr">
        <is>
          <t>Train</t>
        </is>
      </c>
      <c r="C1435" t="n">
        <v>4500</v>
      </c>
      <c r="D1435" t="n">
        <v>17740</v>
      </c>
      <c r="E1435" t="n">
        <v>43</v>
      </c>
      <c r="F1435" t="n">
        <v>55274</v>
      </c>
      <c r="G1435" t="n">
        <v>8</v>
      </c>
      <c r="H1435" t="n">
        <v>13</v>
      </c>
      <c r="I1435" t="n">
        <v>220590</v>
      </c>
    </row>
    <row r="1436">
      <c r="A1436" t="n">
        <v>1435</v>
      </c>
      <c r="B1436" t="inlineStr">
        <is>
          <t>Train</t>
        </is>
      </c>
      <c r="C1436" t="n">
        <v>5029</v>
      </c>
      <c r="D1436" t="n">
        <v>10660</v>
      </c>
      <c r="E1436" t="n">
        <v>52</v>
      </c>
      <c r="F1436" t="n">
        <v>74620</v>
      </c>
      <c r="G1436" t="n">
        <v>2</v>
      </c>
      <c r="H1436" t="n">
        <v>11</v>
      </c>
      <c r="I1436" t="n">
        <v>227542</v>
      </c>
    </row>
    <row r="1437">
      <c r="A1437" t="n">
        <v>1436</v>
      </c>
      <c r="B1437" t="inlineStr">
        <is>
          <t>Train</t>
        </is>
      </c>
      <c r="C1437" t="n">
        <v>6867</v>
      </c>
      <c r="D1437" t="n">
        <v>11990</v>
      </c>
      <c r="E1437" t="n">
        <v>32</v>
      </c>
      <c r="F1437" t="n">
        <v>0</v>
      </c>
      <c r="G1437" t="n">
        <v>3</v>
      </c>
      <c r="H1437" t="n">
        <v>0</v>
      </c>
      <c r="I1437" t="n">
        <v>0</v>
      </c>
    </row>
    <row r="1438">
      <c r="A1438" t="n">
        <v>1437</v>
      </c>
      <c r="B1438" t="inlineStr">
        <is>
          <t>Validation</t>
        </is>
      </c>
      <c r="C1438" t="n">
        <v>4563</v>
      </c>
      <c r="D1438" t="n">
        <v>13940</v>
      </c>
      <c r="E1438" t="n">
        <v>50</v>
      </c>
      <c r="F1438" t="n">
        <v>74366</v>
      </c>
      <c r="G1438" t="n">
        <v>1</v>
      </c>
      <c r="H1438" t="n">
        <v>13</v>
      </c>
      <c r="I1438" t="n">
        <v>264375</v>
      </c>
    </row>
    <row r="1439">
      <c r="A1439" t="n">
        <v>1438</v>
      </c>
      <c r="B1439" t="inlineStr">
        <is>
          <t>Validation</t>
        </is>
      </c>
      <c r="C1439" t="n">
        <v>9637</v>
      </c>
      <c r="D1439" t="n">
        <v>21180</v>
      </c>
      <c r="E1439" t="n">
        <v>61</v>
      </c>
      <c r="F1439" t="n">
        <v>28350</v>
      </c>
      <c r="G1439" t="n">
        <v>2</v>
      </c>
      <c r="H1439" t="n">
        <v>13</v>
      </c>
      <c r="I1439" t="n">
        <v>173790</v>
      </c>
    </row>
    <row r="1440">
      <c r="A1440" t="n">
        <v>1439</v>
      </c>
      <c r="B1440" t="inlineStr">
        <is>
          <t>Validation</t>
        </is>
      </c>
      <c r="C1440" t="n">
        <v>1540</v>
      </c>
      <c r="D1440" t="n">
        <v>17260</v>
      </c>
      <c r="E1440" t="n">
        <v>54</v>
      </c>
      <c r="F1440" t="n">
        <v>97777</v>
      </c>
      <c r="G1440" t="n">
        <v>2</v>
      </c>
      <c r="H1440" t="n">
        <v>17</v>
      </c>
      <c r="I1440" t="n">
        <v>296937</v>
      </c>
    </row>
    <row r="1441">
      <c r="A1441" t="n">
        <v>1440</v>
      </c>
      <c r="B1441" t="inlineStr">
        <is>
          <t>Train</t>
        </is>
      </c>
      <c r="C1441" t="n">
        <v>3751</v>
      </c>
      <c r="D1441" t="n">
        <v>1500</v>
      </c>
      <c r="E1441" t="n">
        <v>44</v>
      </c>
      <c r="F1441" t="n">
        <v>60398</v>
      </c>
      <c r="G1441" t="n">
        <v>5</v>
      </c>
      <c r="H1441" t="n">
        <v>16</v>
      </c>
      <c r="I1441" t="n">
        <v>216070</v>
      </c>
    </row>
    <row r="1442">
      <c r="A1442" t="n">
        <v>1441</v>
      </c>
      <c r="B1442" t="inlineStr">
        <is>
          <t>Train</t>
        </is>
      </c>
      <c r="C1442" t="n">
        <v>8170</v>
      </c>
      <c r="D1442" t="n">
        <v>21830</v>
      </c>
      <c r="E1442" t="n">
        <v>46</v>
      </c>
      <c r="F1442" t="n">
        <v>146882</v>
      </c>
      <c r="G1442" t="n">
        <v>3</v>
      </c>
      <c r="H1442" t="n">
        <v>11</v>
      </c>
      <c r="I1442" t="n">
        <v>0</v>
      </c>
    </row>
    <row r="1443">
      <c r="A1443" t="n">
        <v>1442</v>
      </c>
      <c r="B1443" t="inlineStr">
        <is>
          <t>Train</t>
        </is>
      </c>
      <c r="C1443" t="n">
        <v>4895</v>
      </c>
      <c r="D1443" t="n">
        <v>12760</v>
      </c>
      <c r="E1443" t="n">
        <v>40</v>
      </c>
      <c r="F1443" t="n">
        <v>72551</v>
      </c>
      <c r="G1443" t="n">
        <v>2</v>
      </c>
      <c r="H1443" t="n">
        <v>13</v>
      </c>
      <c r="I1443" t="n">
        <v>0</v>
      </c>
    </row>
    <row r="1444">
      <c r="A1444" t="n">
        <v>1443</v>
      </c>
      <c r="B1444" t="inlineStr">
        <is>
          <t>Train</t>
        </is>
      </c>
      <c r="C1444" t="n">
        <v>3165</v>
      </c>
      <c r="D1444" t="n">
        <v>24210</v>
      </c>
      <c r="E1444" t="n">
        <v>63</v>
      </c>
      <c r="F1444" t="n">
        <v>33314</v>
      </c>
      <c r="G1444" t="n">
        <v>3</v>
      </c>
      <c r="H1444" t="n">
        <v>10</v>
      </c>
      <c r="I1444" t="n">
        <v>0</v>
      </c>
    </row>
    <row r="1445">
      <c r="A1445" t="n">
        <v>1444</v>
      </c>
      <c r="B1445" t="inlineStr">
        <is>
          <t>Train</t>
        </is>
      </c>
      <c r="C1445" t="n">
        <v>7016</v>
      </c>
      <c r="D1445" t="n">
        <v>22300</v>
      </c>
      <c r="E1445" t="n">
        <v>49</v>
      </c>
      <c r="F1445" t="n">
        <v>94464</v>
      </c>
      <c r="G1445" t="n">
        <v>0</v>
      </c>
      <c r="H1445" t="n">
        <v>15</v>
      </c>
      <c r="I1445" t="n">
        <v>313932</v>
      </c>
    </row>
    <row r="1446">
      <c r="A1446" t="n">
        <v>1445</v>
      </c>
      <c r="B1446" t="inlineStr">
        <is>
          <t>Train</t>
        </is>
      </c>
      <c r="C1446" t="n">
        <v>4597</v>
      </c>
      <c r="D1446" t="n">
        <v>36480</v>
      </c>
      <c r="E1446" t="n">
        <v>33</v>
      </c>
      <c r="F1446" t="n">
        <v>157263</v>
      </c>
      <c r="G1446" t="n">
        <v>0</v>
      </c>
      <c r="H1446" t="n">
        <v>7</v>
      </c>
      <c r="I1446" t="n">
        <v>0</v>
      </c>
    </row>
    <row r="1447">
      <c r="A1447" t="n">
        <v>1446</v>
      </c>
      <c r="B1447" t="inlineStr">
        <is>
          <t>Train</t>
        </is>
      </c>
      <c r="C1447" t="n">
        <v>19016</v>
      </c>
      <c r="D1447" t="n">
        <v>31630</v>
      </c>
      <c r="E1447" t="n">
        <v>50</v>
      </c>
      <c r="F1447" t="n">
        <v>257416</v>
      </c>
      <c r="G1447" t="n">
        <v>0</v>
      </c>
      <c r="H1447" t="n">
        <v>14</v>
      </c>
      <c r="I1447" t="n">
        <v>0</v>
      </c>
    </row>
    <row r="1448">
      <c r="A1448" t="n">
        <v>1447</v>
      </c>
      <c r="B1448" t="inlineStr">
        <is>
          <t>Validation</t>
        </is>
      </c>
      <c r="C1448" t="n">
        <v>6168</v>
      </c>
      <c r="D1448" t="n">
        <v>10510</v>
      </c>
      <c r="E1448" t="n">
        <v>41</v>
      </c>
      <c r="F1448" t="n">
        <v>69083</v>
      </c>
      <c r="G1448" t="n">
        <v>2</v>
      </c>
      <c r="H1448" t="n">
        <v>13</v>
      </c>
      <c r="I1448" t="n">
        <v>271197</v>
      </c>
    </row>
    <row r="1449">
      <c r="A1449" t="n">
        <v>1448</v>
      </c>
      <c r="B1449" t="inlineStr">
        <is>
          <t>Validation</t>
        </is>
      </c>
      <c r="C1449" t="n">
        <v>1909</v>
      </c>
      <c r="D1449" t="n">
        <v>6800</v>
      </c>
      <c r="E1449" t="n">
        <v>53</v>
      </c>
      <c r="F1449" t="n">
        <v>0</v>
      </c>
      <c r="G1449" t="n">
        <v>3</v>
      </c>
      <c r="H1449" t="n">
        <v>0</v>
      </c>
      <c r="I1449" t="n">
        <v>94471</v>
      </c>
    </row>
    <row r="1450">
      <c r="A1450" t="n">
        <v>1449</v>
      </c>
      <c r="B1450" t="inlineStr">
        <is>
          <t>Validation</t>
        </is>
      </c>
      <c r="C1450" t="n">
        <v>597</v>
      </c>
      <c r="D1450" t="n">
        <v>12070</v>
      </c>
      <c r="E1450" t="n">
        <v>36</v>
      </c>
      <c r="F1450" t="n">
        <v>69714</v>
      </c>
      <c r="G1450" t="n">
        <v>9</v>
      </c>
      <c r="H1450" t="n">
        <v>12</v>
      </c>
      <c r="I1450" t="n">
        <v>201852</v>
      </c>
    </row>
    <row r="1451">
      <c r="A1451" t="n">
        <v>1450</v>
      </c>
      <c r="B1451" t="inlineStr">
        <is>
          <t>Train</t>
        </is>
      </c>
      <c r="C1451" t="n">
        <v>8294</v>
      </c>
      <c r="D1451" t="n">
        <v>22310</v>
      </c>
      <c r="E1451" t="n">
        <v>33</v>
      </c>
      <c r="F1451" t="n">
        <v>77951</v>
      </c>
      <c r="G1451" t="n">
        <v>2</v>
      </c>
      <c r="H1451" t="n">
        <v>11</v>
      </c>
      <c r="I1451" t="n">
        <v>226375</v>
      </c>
    </row>
    <row r="1452">
      <c r="A1452" t="n">
        <v>1451</v>
      </c>
      <c r="B1452" t="inlineStr">
        <is>
          <t>Train</t>
        </is>
      </c>
      <c r="C1452" t="n">
        <v>36775</v>
      </c>
      <c r="D1452" t="n">
        <v>5250</v>
      </c>
      <c r="E1452" t="n">
        <v>21</v>
      </c>
      <c r="F1452" t="n">
        <v>360</v>
      </c>
      <c r="G1452" t="n">
        <v>0</v>
      </c>
      <c r="H1452" t="n">
        <v>12</v>
      </c>
      <c r="I1452" t="n">
        <v>0</v>
      </c>
    </row>
    <row r="1453">
      <c r="A1453" t="n">
        <v>1452</v>
      </c>
      <c r="B1453" t="inlineStr">
        <is>
          <t>Train</t>
        </is>
      </c>
      <c r="C1453" t="n">
        <v>3409</v>
      </c>
      <c r="D1453" t="n">
        <v>5280</v>
      </c>
      <c r="E1453" t="n">
        <v>32</v>
      </c>
      <c r="F1453" t="n">
        <v>5768</v>
      </c>
      <c r="G1453" t="n">
        <v>2</v>
      </c>
      <c r="H1453" t="n">
        <v>12</v>
      </c>
      <c r="I1453" t="n">
        <v>0</v>
      </c>
    </row>
    <row r="1454">
      <c r="A1454" t="n">
        <v>1453</v>
      </c>
      <c r="B1454" t="inlineStr">
        <is>
          <t>Train</t>
        </is>
      </c>
      <c r="C1454" t="n">
        <v>2104</v>
      </c>
      <c r="D1454" t="n">
        <v>20100</v>
      </c>
      <c r="E1454" t="n">
        <v>45</v>
      </c>
      <c r="F1454" t="n">
        <v>186027</v>
      </c>
      <c r="G1454" t="n">
        <v>2</v>
      </c>
      <c r="H1454" t="n">
        <v>11</v>
      </c>
      <c r="I1454" t="n">
        <v>455275</v>
      </c>
    </row>
    <row r="1455">
      <c r="A1455" t="n">
        <v>1454</v>
      </c>
      <c r="B1455" t="inlineStr">
        <is>
          <t>Train</t>
        </is>
      </c>
      <c r="C1455" t="n">
        <v>4896</v>
      </c>
      <c r="D1455" t="n">
        <v>13820</v>
      </c>
      <c r="E1455" t="n">
        <v>35</v>
      </c>
      <c r="F1455" t="n">
        <v>0</v>
      </c>
      <c r="G1455" t="n">
        <v>1</v>
      </c>
      <c r="H1455" t="n">
        <v>0</v>
      </c>
      <c r="I1455" t="n">
        <v>60714</v>
      </c>
    </row>
    <row r="1456">
      <c r="A1456" t="n">
        <v>1455</v>
      </c>
      <c r="B1456" t="inlineStr">
        <is>
          <t>Train</t>
        </is>
      </c>
      <c r="C1456" t="n">
        <v>6902</v>
      </c>
      <c r="D1456" t="n">
        <v>32370</v>
      </c>
      <c r="E1456" t="n">
        <v>33</v>
      </c>
      <c r="F1456" t="n">
        <v>5063</v>
      </c>
      <c r="G1456" t="n">
        <v>0</v>
      </c>
      <c r="H1456" t="n">
        <v>14</v>
      </c>
      <c r="I1456" t="n">
        <v>118608</v>
      </c>
    </row>
    <row r="1457">
      <c r="A1457" t="n">
        <v>1456</v>
      </c>
      <c r="B1457" t="inlineStr">
        <is>
          <t>Train</t>
        </is>
      </c>
      <c r="C1457" t="n">
        <v>7557</v>
      </c>
      <c r="D1457" t="n">
        <v>27530</v>
      </c>
      <c r="E1457" t="n">
        <v>56</v>
      </c>
      <c r="F1457" t="n">
        <v>133949</v>
      </c>
      <c r="G1457" t="n">
        <v>0</v>
      </c>
      <c r="H1457" t="n">
        <v>11</v>
      </c>
      <c r="I1457" t="n">
        <v>360770</v>
      </c>
    </row>
    <row r="1458">
      <c r="A1458" t="n">
        <v>1457</v>
      </c>
      <c r="B1458" t="inlineStr">
        <is>
          <t>Validation</t>
        </is>
      </c>
      <c r="C1458" t="n">
        <v>5714</v>
      </c>
      <c r="D1458" t="n">
        <v>30390</v>
      </c>
      <c r="E1458" t="n">
        <v>59</v>
      </c>
      <c r="F1458" t="n">
        <v>68526</v>
      </c>
      <c r="G1458" t="n">
        <v>2</v>
      </c>
      <c r="H1458" t="n">
        <v>15</v>
      </c>
      <c r="I1458" t="n">
        <v>219285</v>
      </c>
    </row>
    <row r="1459">
      <c r="A1459" t="n">
        <v>1458</v>
      </c>
      <c r="B1459" t="inlineStr">
        <is>
          <t>Validation</t>
        </is>
      </c>
      <c r="C1459" t="n">
        <v>5726</v>
      </c>
      <c r="D1459" t="n">
        <v>11840</v>
      </c>
      <c r="E1459" t="n">
        <v>38</v>
      </c>
      <c r="F1459" t="n">
        <v>48484</v>
      </c>
      <c r="G1459" t="n">
        <v>7</v>
      </c>
      <c r="H1459" t="n">
        <v>11</v>
      </c>
      <c r="I1459" t="n">
        <v>190992</v>
      </c>
    </row>
    <row r="1460">
      <c r="A1460" t="n">
        <v>1459</v>
      </c>
      <c r="B1460" t="inlineStr">
        <is>
          <t>Validation</t>
        </is>
      </c>
      <c r="C1460" t="n">
        <v>954</v>
      </c>
      <c r="D1460" t="n">
        <v>27000</v>
      </c>
      <c r="E1460" t="n">
        <v>43</v>
      </c>
      <c r="F1460" t="n">
        <v>77488</v>
      </c>
      <c r="G1460" t="n">
        <v>5</v>
      </c>
      <c r="H1460" t="n">
        <v>9</v>
      </c>
      <c r="I1460" t="n">
        <v>223714</v>
      </c>
    </row>
    <row r="1461">
      <c r="A1461" t="n">
        <v>1460</v>
      </c>
      <c r="B1461" t="inlineStr">
        <is>
          <t>Train</t>
        </is>
      </c>
      <c r="C1461" t="n">
        <v>19629</v>
      </c>
      <c r="D1461" t="n">
        <v>27730</v>
      </c>
      <c r="E1461" t="n">
        <v>34</v>
      </c>
      <c r="F1461" t="n">
        <v>95438</v>
      </c>
      <c r="G1461" t="n">
        <v>5</v>
      </c>
      <c r="H1461" t="n">
        <v>13</v>
      </c>
      <c r="I1461" t="n">
        <v>260567</v>
      </c>
    </row>
    <row r="1462">
      <c r="A1462" t="n">
        <v>1461</v>
      </c>
      <c r="B1462" t="inlineStr">
        <is>
          <t>Train</t>
        </is>
      </c>
      <c r="C1462" t="n">
        <v>2615</v>
      </c>
      <c r="D1462" t="n">
        <v>29550</v>
      </c>
      <c r="E1462" t="n">
        <v>44</v>
      </c>
      <c r="F1462" t="n">
        <v>69785</v>
      </c>
      <c r="G1462" t="n">
        <v>0</v>
      </c>
      <c r="H1462" t="n">
        <v>12</v>
      </c>
      <c r="I1462" t="n">
        <v>242695</v>
      </c>
    </row>
    <row r="1463">
      <c r="A1463" t="n">
        <v>1462</v>
      </c>
      <c r="B1463" t="inlineStr">
        <is>
          <t>Train</t>
        </is>
      </c>
      <c r="C1463" t="n">
        <v>8748</v>
      </c>
      <c r="D1463" t="n">
        <v>32040</v>
      </c>
      <c r="E1463" t="n">
        <v>42</v>
      </c>
      <c r="F1463" t="n">
        <v>126381</v>
      </c>
      <c r="G1463" t="n">
        <v>2</v>
      </c>
      <c r="H1463" t="n">
        <v>6</v>
      </c>
      <c r="I1463" t="n">
        <v>374595</v>
      </c>
    </row>
    <row r="1464">
      <c r="A1464" t="n">
        <v>1463</v>
      </c>
      <c r="B1464" t="inlineStr">
        <is>
          <t>Train</t>
        </is>
      </c>
      <c r="C1464" t="n">
        <v>6049</v>
      </c>
      <c r="D1464" t="n">
        <v>28470</v>
      </c>
      <c r="E1464" t="n">
        <v>35</v>
      </c>
      <c r="F1464" t="n">
        <v>116036</v>
      </c>
      <c r="G1464" t="n">
        <v>2</v>
      </c>
      <c r="H1464" t="n">
        <v>11</v>
      </c>
      <c r="I1464" t="n">
        <v>299266</v>
      </c>
    </row>
    <row r="1465">
      <c r="A1465" t="n">
        <v>1464</v>
      </c>
      <c r="B1465" t="inlineStr">
        <is>
          <t>Train</t>
        </is>
      </c>
      <c r="C1465" t="n">
        <v>4794</v>
      </c>
      <c r="D1465" t="n">
        <v>8890</v>
      </c>
      <c r="E1465" t="n">
        <v>49</v>
      </c>
      <c r="F1465" t="n">
        <v>24894</v>
      </c>
      <c r="G1465" t="n">
        <v>1</v>
      </c>
      <c r="H1465" t="n">
        <v>9</v>
      </c>
      <c r="I1465" t="n">
        <v>155546</v>
      </c>
    </row>
    <row r="1466">
      <c r="A1466" t="n">
        <v>1465</v>
      </c>
      <c r="B1466" t="inlineStr">
        <is>
          <t>Train</t>
        </is>
      </c>
      <c r="C1466" t="n">
        <v>53986</v>
      </c>
      <c r="D1466" t="n">
        <v>25500</v>
      </c>
      <c r="E1466" t="n">
        <v>44</v>
      </c>
      <c r="F1466" t="n">
        <v>79557</v>
      </c>
      <c r="G1466" t="n">
        <v>7</v>
      </c>
      <c r="H1466" t="n">
        <v>14</v>
      </c>
      <c r="I1466" t="n">
        <v>231560</v>
      </c>
    </row>
    <row r="1467">
      <c r="A1467" t="n">
        <v>1466</v>
      </c>
      <c r="B1467" t="inlineStr">
        <is>
          <t>Train</t>
        </is>
      </c>
      <c r="C1467" t="n">
        <v>6018</v>
      </c>
      <c r="D1467" t="n">
        <v>18340</v>
      </c>
      <c r="E1467" t="n">
        <v>46</v>
      </c>
      <c r="F1467" t="n">
        <v>41944</v>
      </c>
      <c r="G1467" t="n">
        <v>3</v>
      </c>
      <c r="H1467" t="n">
        <v>13</v>
      </c>
      <c r="I1467" t="n">
        <v>100318</v>
      </c>
    </row>
    <row r="1468">
      <c r="A1468" t="n">
        <v>1467</v>
      </c>
      <c r="B1468" t="inlineStr">
        <is>
          <t>Validation</t>
        </is>
      </c>
      <c r="C1468" t="n">
        <v>1769</v>
      </c>
      <c r="D1468" t="n">
        <v>9440</v>
      </c>
      <c r="E1468" t="n">
        <v>30</v>
      </c>
      <c r="F1468" t="n">
        <v>49450</v>
      </c>
      <c r="G1468" t="n">
        <v>3</v>
      </c>
      <c r="H1468" t="n">
        <v>14</v>
      </c>
      <c r="I1468" t="n">
        <v>225886</v>
      </c>
    </row>
    <row r="1469">
      <c r="A1469" t="n">
        <v>1468</v>
      </c>
      <c r="B1469" t="inlineStr">
        <is>
          <t>Validation</t>
        </is>
      </c>
      <c r="C1469" t="n">
        <v>15089</v>
      </c>
      <c r="D1469" t="n">
        <v>13020</v>
      </c>
      <c r="E1469" t="n">
        <v>52</v>
      </c>
      <c r="F1469" t="n">
        <v>30775</v>
      </c>
      <c r="G1469" t="n">
        <v>5</v>
      </c>
      <c r="H1469" t="n">
        <v>12</v>
      </c>
      <c r="I1469" t="n">
        <v>117060</v>
      </c>
    </row>
    <row r="1470">
      <c r="A1470" t="n">
        <v>1469</v>
      </c>
      <c r="B1470" t="inlineStr">
        <is>
          <t>Validation</t>
        </is>
      </c>
      <c r="C1470" t="n">
        <v>57037</v>
      </c>
      <c r="D1470" t="n">
        <v>1500</v>
      </c>
      <c r="E1470" t="n">
        <v>56</v>
      </c>
      <c r="F1470" t="n">
        <v>210660</v>
      </c>
      <c r="G1470" t="n">
        <v>3</v>
      </c>
      <c r="H1470" t="n">
        <v>13</v>
      </c>
      <c r="I1470" t="n">
        <v>542288</v>
      </c>
    </row>
    <row r="1471">
      <c r="A1471" t="n">
        <v>1470</v>
      </c>
      <c r="B1471" t="inlineStr">
        <is>
          <t>Train</t>
        </is>
      </c>
      <c r="C1471" t="n">
        <v>4326</v>
      </c>
      <c r="D1471" t="n">
        <v>16890</v>
      </c>
      <c r="E1471" t="n">
        <v>54</v>
      </c>
      <c r="F1471" t="n">
        <v>16739</v>
      </c>
      <c r="G1471" t="n">
        <v>3</v>
      </c>
      <c r="H1471" t="n">
        <v>11</v>
      </c>
      <c r="I1471" t="n">
        <v>119730</v>
      </c>
    </row>
    <row r="1472">
      <c r="A1472" t="n">
        <v>1471</v>
      </c>
      <c r="B1472" t="inlineStr">
        <is>
          <t>Train</t>
        </is>
      </c>
      <c r="C1472" t="n">
        <v>6753</v>
      </c>
      <c r="D1472" t="n">
        <v>10090</v>
      </c>
      <c r="E1472" t="n">
        <v>38</v>
      </c>
      <c r="F1472" t="n">
        <v>0</v>
      </c>
      <c r="G1472" t="n">
        <v>6</v>
      </c>
      <c r="H1472" t="n">
        <v>0</v>
      </c>
      <c r="I1472" t="n">
        <v>0</v>
      </c>
    </row>
    <row r="1473">
      <c r="A1473" t="n">
        <v>1472</v>
      </c>
      <c r="B1473" t="inlineStr">
        <is>
          <t>Train</t>
        </is>
      </c>
      <c r="C1473" t="n">
        <v>10138</v>
      </c>
      <c r="D1473" t="n">
        <v>9390</v>
      </c>
      <c r="E1473" t="n">
        <v>65</v>
      </c>
      <c r="F1473" t="n">
        <v>13880</v>
      </c>
      <c r="G1473" t="n">
        <v>1</v>
      </c>
      <c r="H1473" t="n">
        <v>15</v>
      </c>
      <c r="I1473" t="n">
        <v>179255</v>
      </c>
    </row>
    <row r="1474">
      <c r="A1474" t="n">
        <v>1473</v>
      </c>
      <c r="B1474" t="inlineStr">
        <is>
          <t>Train</t>
        </is>
      </c>
      <c r="C1474" t="n">
        <v>42226</v>
      </c>
      <c r="D1474" t="n">
        <v>18690</v>
      </c>
      <c r="E1474" t="n">
        <v>48</v>
      </c>
      <c r="F1474" t="n">
        <v>34071</v>
      </c>
      <c r="G1474" t="n">
        <v>0</v>
      </c>
      <c r="H1474" t="n">
        <v>13</v>
      </c>
      <c r="I1474" t="n">
        <v>0</v>
      </c>
    </row>
    <row r="1475">
      <c r="A1475" t="n">
        <v>1474</v>
      </c>
      <c r="B1475" t="inlineStr">
        <is>
          <t>Train</t>
        </is>
      </c>
      <c r="C1475" t="n">
        <v>5101</v>
      </c>
      <c r="D1475" t="n">
        <v>2910</v>
      </c>
      <c r="E1475" t="n">
        <v>47</v>
      </c>
      <c r="F1475" t="n">
        <v>14096</v>
      </c>
      <c r="G1475" t="n">
        <v>0</v>
      </c>
      <c r="H1475" t="n">
        <v>14</v>
      </c>
      <c r="I1475" t="n">
        <v>163866</v>
      </c>
    </row>
    <row r="1476">
      <c r="A1476" t="n">
        <v>1475</v>
      </c>
      <c r="B1476" t="inlineStr">
        <is>
          <t>Train</t>
        </is>
      </c>
      <c r="C1476" t="n">
        <v>5807</v>
      </c>
      <c r="D1476" t="n">
        <v>28750</v>
      </c>
      <c r="E1476" t="n">
        <v>47</v>
      </c>
      <c r="F1476" t="n">
        <v>105960</v>
      </c>
      <c r="G1476" t="n">
        <v>0</v>
      </c>
      <c r="H1476" t="n">
        <v>10</v>
      </c>
      <c r="I1476" t="n">
        <v>286301</v>
      </c>
    </row>
    <row r="1477">
      <c r="A1477" t="n">
        <v>1476</v>
      </c>
      <c r="B1477" t="inlineStr">
        <is>
          <t>Train</t>
        </is>
      </c>
      <c r="C1477" t="n">
        <v>5603</v>
      </c>
      <c r="D1477" t="n">
        <v>20260</v>
      </c>
      <c r="E1477" t="n">
        <v>50</v>
      </c>
      <c r="F1477" t="n">
        <v>58945</v>
      </c>
      <c r="G1477" t="n">
        <v>0</v>
      </c>
      <c r="H1477" t="n">
        <v>10</v>
      </c>
      <c r="I1477" t="n">
        <v>0</v>
      </c>
    </row>
    <row r="1478">
      <c r="A1478" t="n">
        <v>1477</v>
      </c>
      <c r="B1478" t="inlineStr">
        <is>
          <t>Validation</t>
        </is>
      </c>
      <c r="C1478" t="n">
        <v>3842</v>
      </c>
      <c r="D1478" t="n">
        <v>14580</v>
      </c>
      <c r="E1478" t="n">
        <v>40</v>
      </c>
      <c r="F1478" t="n">
        <v>90832</v>
      </c>
      <c r="G1478" t="n">
        <v>2</v>
      </c>
      <c r="H1478" t="n">
        <v>11</v>
      </c>
      <c r="I1478" t="n">
        <v>0</v>
      </c>
    </row>
    <row r="1479">
      <c r="A1479" t="n">
        <v>1478</v>
      </c>
      <c r="B1479" t="inlineStr">
        <is>
          <t>Validation</t>
        </is>
      </c>
      <c r="C1479" t="n">
        <v>31063</v>
      </c>
      <c r="D1479" t="n">
        <v>18160</v>
      </c>
      <c r="E1479" t="n">
        <v>25</v>
      </c>
      <c r="F1479" t="n">
        <v>75966</v>
      </c>
      <c r="G1479" t="n">
        <v>5</v>
      </c>
      <c r="H1479" t="n">
        <v>12</v>
      </c>
      <c r="I1479" t="n">
        <v>187523</v>
      </c>
    </row>
    <row r="1480">
      <c r="A1480" t="n">
        <v>1479</v>
      </c>
      <c r="B1480" t="inlineStr">
        <is>
          <t>Validation</t>
        </is>
      </c>
      <c r="C1480" t="n">
        <v>9093</v>
      </c>
      <c r="D1480" t="n">
        <v>12200</v>
      </c>
      <c r="E1480" t="n">
        <v>52</v>
      </c>
      <c r="F1480" t="n">
        <v>54983</v>
      </c>
      <c r="G1480" t="n">
        <v>7</v>
      </c>
      <c r="H1480" t="n">
        <v>11</v>
      </c>
      <c r="I1480" t="n">
        <v>223545</v>
      </c>
    </row>
    <row r="1481">
      <c r="A1481" t="n">
        <v>1480</v>
      </c>
      <c r="B1481" t="inlineStr">
        <is>
          <t>Train</t>
        </is>
      </c>
      <c r="C1481" t="n">
        <v>30605</v>
      </c>
      <c r="D1481" t="n">
        <v>15090</v>
      </c>
      <c r="E1481" t="n">
        <v>37</v>
      </c>
      <c r="F1481" t="n">
        <v>26816</v>
      </c>
      <c r="G1481" t="n">
        <v>4</v>
      </c>
      <c r="H1481" t="n">
        <v>9</v>
      </c>
      <c r="I1481" t="n">
        <v>0</v>
      </c>
    </row>
    <row r="1482">
      <c r="A1482" t="n">
        <v>1481</v>
      </c>
      <c r="B1482" t="inlineStr">
        <is>
          <t>Train</t>
        </is>
      </c>
      <c r="C1482" t="n">
        <v>8151</v>
      </c>
      <c r="D1482" t="n">
        <v>6100</v>
      </c>
      <c r="E1482" t="n">
        <v>46</v>
      </c>
      <c r="F1482" t="n">
        <v>128083</v>
      </c>
      <c r="G1482" t="n">
        <v>4</v>
      </c>
      <c r="H1482" t="n">
        <v>12</v>
      </c>
      <c r="I1482" t="n">
        <v>342166</v>
      </c>
    </row>
    <row r="1483">
      <c r="A1483" t="n">
        <v>1482</v>
      </c>
      <c r="B1483" t="inlineStr">
        <is>
          <t>Train</t>
        </is>
      </c>
      <c r="C1483" t="n">
        <v>33825</v>
      </c>
      <c r="D1483" t="n">
        <v>25640</v>
      </c>
      <c r="E1483" t="n">
        <v>50</v>
      </c>
      <c r="F1483" t="n">
        <v>21477</v>
      </c>
      <c r="G1483" t="n">
        <v>0</v>
      </c>
      <c r="H1483" t="n">
        <v>12</v>
      </c>
      <c r="I1483" t="n">
        <v>97768</v>
      </c>
    </row>
    <row r="1484">
      <c r="A1484" t="n">
        <v>1483</v>
      </c>
      <c r="B1484" t="inlineStr">
        <is>
          <t>Train</t>
        </is>
      </c>
      <c r="C1484" t="n">
        <v>642</v>
      </c>
      <c r="D1484" t="n">
        <v>27120</v>
      </c>
      <c r="E1484" t="n">
        <v>44</v>
      </c>
      <c r="F1484" t="n">
        <v>61958</v>
      </c>
      <c r="G1484" t="n">
        <v>0</v>
      </c>
      <c r="H1484" t="n">
        <v>9</v>
      </c>
      <c r="I1484" t="n">
        <v>168222</v>
      </c>
    </row>
    <row r="1485">
      <c r="A1485" t="n">
        <v>1484</v>
      </c>
      <c r="B1485" t="inlineStr">
        <is>
          <t>Train</t>
        </is>
      </c>
      <c r="C1485" t="n">
        <v>34545</v>
      </c>
      <c r="D1485" t="n">
        <v>13760</v>
      </c>
      <c r="E1485" t="n">
        <v>47</v>
      </c>
      <c r="F1485" t="n">
        <v>75622</v>
      </c>
      <c r="G1485" t="n">
        <v>4</v>
      </c>
      <c r="H1485" t="n">
        <v>13</v>
      </c>
      <c r="I1485" t="n">
        <v>228396</v>
      </c>
    </row>
    <row r="1486">
      <c r="A1486" t="n">
        <v>1485</v>
      </c>
      <c r="B1486" t="inlineStr">
        <is>
          <t>Train</t>
        </is>
      </c>
      <c r="C1486" t="n">
        <v>3068</v>
      </c>
      <c r="D1486" t="n">
        <v>5200</v>
      </c>
      <c r="E1486" t="n">
        <v>31</v>
      </c>
      <c r="F1486" t="n">
        <v>8247</v>
      </c>
      <c r="G1486" t="n">
        <v>5</v>
      </c>
      <c r="H1486" t="n">
        <v>10</v>
      </c>
      <c r="I1486" t="n">
        <v>0</v>
      </c>
    </row>
    <row r="1487">
      <c r="A1487" t="n">
        <v>1486</v>
      </c>
      <c r="B1487" t="inlineStr">
        <is>
          <t>Train</t>
        </is>
      </c>
      <c r="C1487" t="n">
        <v>4482</v>
      </c>
      <c r="D1487" t="n">
        <v>9370</v>
      </c>
      <c r="E1487" t="n">
        <v>34</v>
      </c>
      <c r="F1487" t="n">
        <v>44653</v>
      </c>
      <c r="G1487" t="n">
        <v>0</v>
      </c>
      <c r="H1487" t="n">
        <v>15</v>
      </c>
      <c r="I1487" t="n">
        <v>0</v>
      </c>
    </row>
    <row r="1488">
      <c r="A1488" t="n">
        <v>1487</v>
      </c>
      <c r="B1488" t="inlineStr">
        <is>
          <t>Validation</t>
        </is>
      </c>
      <c r="C1488" t="n">
        <v>9981</v>
      </c>
      <c r="D1488" t="n">
        <v>9350</v>
      </c>
      <c r="E1488" t="n">
        <v>43</v>
      </c>
      <c r="F1488" t="n">
        <v>35511</v>
      </c>
      <c r="G1488" t="n">
        <v>3</v>
      </c>
      <c r="H1488" t="n">
        <v>10</v>
      </c>
      <c r="I1488" t="n">
        <v>148772</v>
      </c>
    </row>
    <row r="1489">
      <c r="A1489" t="n">
        <v>1488</v>
      </c>
      <c r="B1489" t="inlineStr">
        <is>
          <t>Validation</t>
        </is>
      </c>
      <c r="C1489" t="n">
        <v>5399</v>
      </c>
      <c r="D1489" t="n">
        <v>10790</v>
      </c>
      <c r="E1489" t="n">
        <v>40</v>
      </c>
      <c r="F1489" t="n">
        <v>52898</v>
      </c>
      <c r="G1489" t="n">
        <v>7</v>
      </c>
      <c r="H1489" t="n">
        <v>7</v>
      </c>
      <c r="I1489" t="n">
        <v>0</v>
      </c>
    </row>
    <row r="1490">
      <c r="A1490" t="n">
        <v>1489</v>
      </c>
      <c r="B1490" t="inlineStr">
        <is>
          <t>Validation</t>
        </is>
      </c>
      <c r="C1490" t="n">
        <v>8255</v>
      </c>
      <c r="D1490" t="n">
        <v>10910</v>
      </c>
      <c r="E1490" t="n">
        <v>36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1490</v>
      </c>
      <c r="B1491" t="inlineStr">
        <is>
          <t>Train</t>
        </is>
      </c>
      <c r="C1491" t="n">
        <v>23719</v>
      </c>
      <c r="D1491" t="n">
        <v>26030</v>
      </c>
      <c r="E1491" t="n">
        <v>55</v>
      </c>
      <c r="F1491" t="n">
        <v>97765</v>
      </c>
      <c r="G1491" t="n">
        <v>3</v>
      </c>
      <c r="H1491" t="n">
        <v>16</v>
      </c>
      <c r="I1491" t="n">
        <v>265727</v>
      </c>
    </row>
    <row r="1492">
      <c r="A1492" t="n">
        <v>1491</v>
      </c>
      <c r="B1492" t="inlineStr">
        <is>
          <t>Train</t>
        </is>
      </c>
      <c r="C1492" t="n">
        <v>14738</v>
      </c>
      <c r="D1492" t="n">
        <v>32670</v>
      </c>
      <c r="E1492" t="n">
        <v>51</v>
      </c>
      <c r="F1492" t="n">
        <v>232256</v>
      </c>
      <c r="G1492" t="n">
        <v>0</v>
      </c>
      <c r="H1492" t="n">
        <v>7</v>
      </c>
      <c r="I1492" t="n">
        <v>583973</v>
      </c>
    </row>
    <row r="1493">
      <c r="A1493" t="n">
        <v>1492</v>
      </c>
      <c r="B1493" t="inlineStr">
        <is>
          <t>Train</t>
        </is>
      </c>
      <c r="C1493" t="n">
        <v>3605</v>
      </c>
      <c r="D1493" t="n">
        <v>19120</v>
      </c>
      <c r="E1493" t="n">
        <v>49</v>
      </c>
      <c r="F1493" t="n">
        <v>0</v>
      </c>
      <c r="G1493" t="n">
        <v>6</v>
      </c>
      <c r="H1493" t="n">
        <v>0</v>
      </c>
      <c r="I1493" t="n">
        <v>0</v>
      </c>
    </row>
    <row r="1494">
      <c r="A1494" t="n">
        <v>1493</v>
      </c>
      <c r="B1494" t="inlineStr">
        <is>
          <t>Train</t>
        </is>
      </c>
      <c r="C1494" t="n">
        <v>8956</v>
      </c>
      <c r="D1494" t="n">
        <v>20710</v>
      </c>
      <c r="E1494" t="n">
        <v>58</v>
      </c>
      <c r="F1494" t="n">
        <v>0</v>
      </c>
      <c r="G1494" t="n">
        <v>0</v>
      </c>
      <c r="H1494" t="n">
        <v>0</v>
      </c>
      <c r="I1494" t="n">
        <v>103525</v>
      </c>
    </row>
    <row r="1495">
      <c r="A1495" t="n">
        <v>1494</v>
      </c>
      <c r="B1495" t="inlineStr">
        <is>
          <t>Train</t>
        </is>
      </c>
      <c r="C1495" t="n">
        <v>24392</v>
      </c>
      <c r="D1495" t="n">
        <v>25640</v>
      </c>
      <c r="E1495" t="n">
        <v>70</v>
      </c>
      <c r="F1495" t="n">
        <v>48622</v>
      </c>
      <c r="G1495" t="n">
        <v>9</v>
      </c>
      <c r="H1495" t="n">
        <v>18</v>
      </c>
      <c r="I1495" t="n">
        <v>169995</v>
      </c>
    </row>
    <row r="1496">
      <c r="A1496" t="n">
        <v>1495</v>
      </c>
      <c r="B1496" t="inlineStr">
        <is>
          <t>Train</t>
        </is>
      </c>
      <c r="C1496" t="n">
        <v>8268</v>
      </c>
      <c r="D1496" t="n">
        <v>6410</v>
      </c>
      <c r="E1496" t="n">
        <v>48</v>
      </c>
      <c r="F1496" t="n">
        <v>67876</v>
      </c>
      <c r="G1496" t="n">
        <v>3</v>
      </c>
      <c r="H1496" t="n">
        <v>15</v>
      </c>
      <c r="I1496" t="n">
        <v>242138</v>
      </c>
    </row>
    <row r="1497">
      <c r="A1497" t="n">
        <v>1496</v>
      </c>
      <c r="B1497" t="inlineStr">
        <is>
          <t>Train</t>
        </is>
      </c>
      <c r="C1497" t="n">
        <v>958</v>
      </c>
      <c r="D1497" t="n">
        <v>21270</v>
      </c>
      <c r="E1497" t="n">
        <v>45</v>
      </c>
      <c r="F1497" t="n">
        <v>64916</v>
      </c>
      <c r="G1497" t="n">
        <v>2</v>
      </c>
      <c r="H1497" t="n">
        <v>15</v>
      </c>
      <c r="I1497" t="n">
        <v>232064</v>
      </c>
    </row>
    <row r="1498">
      <c r="A1498" t="n">
        <v>1497</v>
      </c>
      <c r="B1498" t="inlineStr">
        <is>
          <t>Validation</t>
        </is>
      </c>
      <c r="C1498" t="n">
        <v>6124</v>
      </c>
      <c r="D1498" t="n">
        <v>6970</v>
      </c>
      <c r="E1498" t="n">
        <v>48</v>
      </c>
      <c r="F1498" t="n">
        <v>54691</v>
      </c>
      <c r="G1498" t="n">
        <v>3</v>
      </c>
      <c r="H1498" t="n">
        <v>14</v>
      </c>
      <c r="I1498" t="n">
        <v>179827</v>
      </c>
    </row>
    <row r="1499">
      <c r="A1499" t="n">
        <v>1498</v>
      </c>
      <c r="B1499" t="inlineStr">
        <is>
          <t>Validation</t>
        </is>
      </c>
      <c r="C1499" t="n">
        <v>8255</v>
      </c>
      <c r="D1499" t="n">
        <v>13660</v>
      </c>
      <c r="E1499" t="n">
        <v>63</v>
      </c>
      <c r="F1499" t="n">
        <v>26921</v>
      </c>
      <c r="G1499" t="n">
        <v>0</v>
      </c>
      <c r="H1499" t="n">
        <v>15</v>
      </c>
      <c r="I1499" t="n">
        <v>140455</v>
      </c>
    </row>
    <row r="1500">
      <c r="A1500" t="n">
        <v>1499</v>
      </c>
      <c r="B1500" t="inlineStr">
        <is>
          <t>Validation</t>
        </is>
      </c>
      <c r="C1500" t="n">
        <v>19005</v>
      </c>
      <c r="D1500" t="n">
        <v>3880</v>
      </c>
      <c r="E1500" t="n">
        <v>46</v>
      </c>
      <c r="F1500" t="n">
        <v>23801</v>
      </c>
      <c r="G1500" t="n">
        <v>2</v>
      </c>
      <c r="H1500" t="n">
        <v>12</v>
      </c>
      <c r="I1500" t="n">
        <v>118402</v>
      </c>
    </row>
    <row r="1501">
      <c r="A1501" t="n">
        <v>1500</v>
      </c>
      <c r="B1501" t="inlineStr">
        <is>
          <t>Train</t>
        </is>
      </c>
      <c r="C1501" t="n">
        <v>12797</v>
      </c>
      <c r="D1501" t="n">
        <v>17230</v>
      </c>
      <c r="E1501" t="n">
        <v>54</v>
      </c>
      <c r="F1501" t="n">
        <v>53099</v>
      </c>
      <c r="G1501" t="n">
        <v>0</v>
      </c>
      <c r="H1501" t="n">
        <v>12</v>
      </c>
      <c r="I1501" t="n">
        <v>175695</v>
      </c>
    </row>
    <row r="1502">
      <c r="A1502" t="n">
        <v>1501</v>
      </c>
      <c r="B1502" t="inlineStr">
        <is>
          <t>Train</t>
        </is>
      </c>
      <c r="C1502" t="n">
        <v>30500</v>
      </c>
      <c r="D1502" t="n">
        <v>25160</v>
      </c>
      <c r="E1502" t="n">
        <v>55</v>
      </c>
      <c r="F1502" t="n">
        <v>81427</v>
      </c>
      <c r="G1502" t="n">
        <v>3</v>
      </c>
      <c r="H1502" t="n">
        <v>15</v>
      </c>
      <c r="I1502" t="n">
        <v>0</v>
      </c>
    </row>
    <row r="1503">
      <c r="A1503" t="n">
        <v>1502</v>
      </c>
      <c r="B1503" t="inlineStr">
        <is>
          <t>Train</t>
        </is>
      </c>
      <c r="C1503" t="n">
        <v>5755</v>
      </c>
      <c r="D1503" t="n">
        <v>24400</v>
      </c>
      <c r="E1503" t="n">
        <v>53</v>
      </c>
      <c r="F1503" t="n">
        <v>62731</v>
      </c>
      <c r="G1503" t="n">
        <v>5</v>
      </c>
      <c r="H1503" t="n">
        <v>14</v>
      </c>
      <c r="I1503" t="n">
        <v>214682</v>
      </c>
    </row>
    <row r="1504">
      <c r="A1504" t="n">
        <v>1503</v>
      </c>
      <c r="B1504" t="inlineStr">
        <is>
          <t>Train</t>
        </is>
      </c>
      <c r="C1504" t="n">
        <v>6321</v>
      </c>
      <c r="D1504" t="n">
        <v>9980</v>
      </c>
      <c r="E1504" t="n">
        <v>37</v>
      </c>
      <c r="F1504" t="n">
        <v>27964</v>
      </c>
      <c r="G1504" t="n">
        <v>2</v>
      </c>
      <c r="H1504" t="n">
        <v>13</v>
      </c>
      <c r="I1504" t="n">
        <v>125832</v>
      </c>
    </row>
    <row r="1505">
      <c r="A1505" t="n">
        <v>1504</v>
      </c>
      <c r="B1505" t="inlineStr">
        <is>
          <t>Train</t>
        </is>
      </c>
      <c r="C1505" t="n">
        <v>3928</v>
      </c>
      <c r="D1505" t="n">
        <v>15110</v>
      </c>
      <c r="E1505" t="n">
        <v>42</v>
      </c>
      <c r="F1505" t="n">
        <v>75013</v>
      </c>
      <c r="G1505" t="n">
        <v>0</v>
      </c>
      <c r="H1505" t="n">
        <v>10</v>
      </c>
      <c r="I1505" t="n">
        <v>237750</v>
      </c>
    </row>
    <row r="1506">
      <c r="A1506" t="n">
        <v>1505</v>
      </c>
      <c r="B1506" t="inlineStr">
        <is>
          <t>Train</t>
        </is>
      </c>
      <c r="C1506" t="n">
        <v>8048</v>
      </c>
      <c r="D1506" t="n">
        <v>16220</v>
      </c>
      <c r="E1506" t="n">
        <v>36</v>
      </c>
      <c r="F1506" t="n">
        <v>91729</v>
      </c>
      <c r="G1506" t="n">
        <v>0</v>
      </c>
      <c r="H1506" t="n">
        <v>12</v>
      </c>
      <c r="I1506" t="n">
        <v>307043</v>
      </c>
    </row>
    <row r="1507">
      <c r="A1507" t="n">
        <v>1506</v>
      </c>
      <c r="B1507" t="inlineStr">
        <is>
          <t>Train</t>
        </is>
      </c>
      <c r="C1507" t="n">
        <v>5784</v>
      </c>
      <c r="D1507" t="n">
        <v>5500</v>
      </c>
      <c r="E1507" t="n">
        <v>40</v>
      </c>
      <c r="F1507" t="n">
        <v>0</v>
      </c>
      <c r="G1507" t="n">
        <v>4</v>
      </c>
      <c r="H1507" t="n">
        <v>0</v>
      </c>
      <c r="I1507" t="n">
        <v>0</v>
      </c>
    </row>
    <row r="1508">
      <c r="A1508" t="n">
        <v>1507</v>
      </c>
      <c r="B1508" t="inlineStr">
        <is>
          <t>Validation</t>
        </is>
      </c>
      <c r="C1508" t="n">
        <v>40315</v>
      </c>
      <c r="D1508" t="n">
        <v>13700</v>
      </c>
      <c r="E1508" t="n">
        <v>38</v>
      </c>
      <c r="F1508" t="n">
        <v>67053</v>
      </c>
      <c r="G1508" t="n">
        <v>3</v>
      </c>
      <c r="H1508" t="n">
        <v>9</v>
      </c>
      <c r="I1508" t="n">
        <v>0</v>
      </c>
    </row>
    <row r="1509">
      <c r="A1509" t="n">
        <v>1508</v>
      </c>
      <c r="B1509" t="inlineStr">
        <is>
          <t>Validation</t>
        </is>
      </c>
      <c r="C1509" t="n">
        <v>3486</v>
      </c>
      <c r="D1509" t="n">
        <v>1910</v>
      </c>
      <c r="E1509" t="n">
        <v>39</v>
      </c>
      <c r="F1509" t="n">
        <v>117329</v>
      </c>
      <c r="G1509" t="n">
        <v>8</v>
      </c>
      <c r="H1509" t="n">
        <v>12</v>
      </c>
      <c r="I1509" t="n">
        <v>0</v>
      </c>
    </row>
    <row r="1510">
      <c r="A1510" t="n">
        <v>1509</v>
      </c>
      <c r="B1510" t="inlineStr">
        <is>
          <t>Validation</t>
        </is>
      </c>
      <c r="C1510" t="n">
        <v>7238</v>
      </c>
      <c r="D1510" t="n">
        <v>15330</v>
      </c>
      <c r="E1510" t="n">
        <v>55</v>
      </c>
      <c r="F1510" t="n">
        <v>83304</v>
      </c>
      <c r="G1510" t="n">
        <v>3</v>
      </c>
      <c r="H1510" t="n">
        <v>11</v>
      </c>
      <c r="I1510" t="n">
        <v>238891</v>
      </c>
    </row>
    <row r="1511">
      <c r="A1511" t="n">
        <v>1510</v>
      </c>
      <c r="B1511" t="inlineStr">
        <is>
          <t>Train</t>
        </is>
      </c>
      <c r="C1511" t="n">
        <v>4765</v>
      </c>
      <c r="D1511" t="n">
        <v>8270</v>
      </c>
      <c r="E1511" t="n">
        <v>36</v>
      </c>
      <c r="F1511" t="n">
        <v>0</v>
      </c>
      <c r="G1511" t="n">
        <v>6</v>
      </c>
      <c r="H1511" t="n">
        <v>0</v>
      </c>
      <c r="I1511" t="n">
        <v>0</v>
      </c>
    </row>
    <row r="1512">
      <c r="A1512" t="n">
        <v>1511</v>
      </c>
      <c r="B1512" t="inlineStr">
        <is>
          <t>Train</t>
        </is>
      </c>
      <c r="C1512" t="n">
        <v>44702</v>
      </c>
      <c r="D1512" t="n">
        <v>11930</v>
      </c>
      <c r="E1512" t="n">
        <v>41</v>
      </c>
      <c r="F1512" t="n">
        <v>51550</v>
      </c>
      <c r="G1512" t="n">
        <v>3</v>
      </c>
      <c r="H1512" t="n">
        <v>14</v>
      </c>
      <c r="I1512" t="n">
        <v>162774</v>
      </c>
    </row>
    <row r="1513">
      <c r="A1513" t="n">
        <v>1512</v>
      </c>
      <c r="B1513" t="inlineStr">
        <is>
          <t>Train</t>
        </is>
      </c>
      <c r="C1513" t="n">
        <v>20847</v>
      </c>
      <c r="D1513" t="n">
        <v>5900</v>
      </c>
      <c r="E1513" t="n">
        <v>47</v>
      </c>
      <c r="F1513" t="n">
        <v>78942</v>
      </c>
      <c r="G1513" t="n">
        <v>0</v>
      </c>
      <c r="H1513" t="n">
        <v>10</v>
      </c>
      <c r="I1513" t="n">
        <v>238237</v>
      </c>
    </row>
    <row r="1514">
      <c r="A1514" t="n">
        <v>1513</v>
      </c>
      <c r="B1514" t="inlineStr">
        <is>
          <t>Train</t>
        </is>
      </c>
      <c r="C1514" t="n">
        <v>7285</v>
      </c>
      <c r="D1514" t="n">
        <v>3790</v>
      </c>
      <c r="E1514" t="n">
        <v>47</v>
      </c>
      <c r="F1514" t="n">
        <v>14096</v>
      </c>
      <c r="G1514" t="n">
        <v>0</v>
      </c>
      <c r="H1514" t="n">
        <v>14</v>
      </c>
      <c r="I1514" t="n">
        <v>163866</v>
      </c>
    </row>
    <row r="1515">
      <c r="A1515" t="n">
        <v>1514</v>
      </c>
      <c r="B1515" t="inlineStr">
        <is>
          <t>Train</t>
        </is>
      </c>
      <c r="C1515" t="n">
        <v>1391</v>
      </c>
      <c r="D1515" t="n">
        <v>6200</v>
      </c>
      <c r="E1515" t="n">
        <v>47</v>
      </c>
      <c r="F1515" t="n">
        <v>71660</v>
      </c>
      <c r="G1515" t="n">
        <v>0</v>
      </c>
      <c r="H1515" t="n">
        <v>14</v>
      </c>
      <c r="I1515" t="n">
        <v>222417</v>
      </c>
    </row>
    <row r="1516">
      <c r="A1516" t="n">
        <v>1515</v>
      </c>
      <c r="B1516" t="inlineStr">
        <is>
          <t>Train</t>
        </is>
      </c>
      <c r="C1516" t="n">
        <v>50724</v>
      </c>
      <c r="D1516" t="n">
        <v>38300</v>
      </c>
      <c r="E1516" t="n">
        <v>37</v>
      </c>
      <c r="F1516" t="n">
        <v>29915</v>
      </c>
      <c r="G1516" t="n">
        <v>0</v>
      </c>
      <c r="H1516" t="n">
        <v>9</v>
      </c>
      <c r="I1516" t="n">
        <v>124567</v>
      </c>
    </row>
    <row r="1517">
      <c r="A1517" t="n">
        <v>1516</v>
      </c>
      <c r="B1517" t="inlineStr">
        <is>
          <t>Train</t>
        </is>
      </c>
      <c r="C1517" t="n">
        <v>34123</v>
      </c>
      <c r="D1517" t="n">
        <v>7300</v>
      </c>
      <c r="E1517" t="n">
        <v>58</v>
      </c>
      <c r="F1517" t="n">
        <v>57454</v>
      </c>
      <c r="G1517" t="n">
        <v>0</v>
      </c>
      <c r="H1517" t="n">
        <v>6</v>
      </c>
      <c r="I1517" t="n">
        <v>0</v>
      </c>
    </row>
    <row r="1518">
      <c r="A1518" t="n">
        <v>1517</v>
      </c>
      <c r="B1518" t="inlineStr">
        <is>
          <t>Validation</t>
        </is>
      </c>
      <c r="C1518" t="n">
        <v>9185</v>
      </c>
      <c r="D1518" t="n">
        <v>30080</v>
      </c>
      <c r="E1518" t="n">
        <v>35</v>
      </c>
      <c r="F1518" t="n">
        <v>106581</v>
      </c>
      <c r="G1518" t="n">
        <v>0</v>
      </c>
      <c r="H1518" t="n">
        <v>10</v>
      </c>
      <c r="I1518" t="n">
        <v>0</v>
      </c>
    </row>
    <row r="1519">
      <c r="A1519" t="n">
        <v>1518</v>
      </c>
      <c r="B1519" t="inlineStr">
        <is>
          <t>Validation</t>
        </is>
      </c>
      <c r="C1519" t="n">
        <v>6745</v>
      </c>
      <c r="D1519" t="n">
        <v>1500</v>
      </c>
      <c r="E1519" t="n">
        <v>51</v>
      </c>
      <c r="F1519" t="n">
        <v>0</v>
      </c>
      <c r="G1519" t="n">
        <v>0</v>
      </c>
      <c r="H1519" t="n">
        <v>0</v>
      </c>
      <c r="I1519" t="n">
        <v>89512</v>
      </c>
    </row>
    <row r="1520">
      <c r="A1520" t="n">
        <v>1519</v>
      </c>
      <c r="B1520" t="inlineStr">
        <is>
          <t>Validation</t>
        </is>
      </c>
      <c r="C1520" t="n">
        <v>4136</v>
      </c>
      <c r="D1520" t="n">
        <v>10800</v>
      </c>
      <c r="E1520" t="n">
        <v>47</v>
      </c>
      <c r="F1520" t="n">
        <v>72156</v>
      </c>
      <c r="G1520" t="n">
        <v>0</v>
      </c>
      <c r="H1520" t="n">
        <v>11</v>
      </c>
      <c r="I1520" t="n">
        <v>272736</v>
      </c>
    </row>
    <row r="1521">
      <c r="A1521" t="n">
        <v>1520</v>
      </c>
      <c r="B1521" t="inlineStr">
        <is>
          <t>Train</t>
        </is>
      </c>
      <c r="C1521" t="n">
        <v>977</v>
      </c>
      <c r="D1521" t="n">
        <v>5930</v>
      </c>
      <c r="E1521" t="n">
        <v>56</v>
      </c>
      <c r="F1521" t="n">
        <v>44308</v>
      </c>
      <c r="G1521" t="n">
        <v>2</v>
      </c>
      <c r="H1521" t="n">
        <v>12</v>
      </c>
      <c r="I1521" t="n">
        <v>0</v>
      </c>
    </row>
    <row r="1522">
      <c r="A1522" t="n">
        <v>1521</v>
      </c>
      <c r="B1522" t="inlineStr">
        <is>
          <t>Train</t>
        </is>
      </c>
      <c r="C1522" t="n">
        <v>5101</v>
      </c>
      <c r="D1522" t="n">
        <v>12300</v>
      </c>
      <c r="E1522" t="n">
        <v>41</v>
      </c>
      <c r="F1522" t="n">
        <v>67014</v>
      </c>
      <c r="G1522" t="n">
        <v>3</v>
      </c>
      <c r="H1522" t="n">
        <v>8</v>
      </c>
      <c r="I1522" t="n">
        <v>0</v>
      </c>
    </row>
    <row r="1523">
      <c r="A1523" t="n">
        <v>1522</v>
      </c>
      <c r="B1523" t="inlineStr">
        <is>
          <t>Train</t>
        </is>
      </c>
      <c r="C1523" t="n">
        <v>9516</v>
      </c>
      <c r="D1523" t="n">
        <v>1500</v>
      </c>
      <c r="E1523" t="n">
        <v>43</v>
      </c>
      <c r="F1523" t="n">
        <v>0</v>
      </c>
      <c r="G1523" t="n">
        <v>2</v>
      </c>
      <c r="H1523" t="n">
        <v>0</v>
      </c>
      <c r="I1523" t="n">
        <v>0</v>
      </c>
    </row>
    <row r="1524">
      <c r="A1524" t="n">
        <v>1523</v>
      </c>
      <c r="B1524" t="inlineStr">
        <is>
          <t>Train</t>
        </is>
      </c>
      <c r="C1524" t="n">
        <v>32687</v>
      </c>
      <c r="D1524" t="n">
        <v>19060</v>
      </c>
      <c r="E1524" t="n">
        <v>48</v>
      </c>
      <c r="F1524" t="n">
        <v>40245</v>
      </c>
      <c r="G1524" t="n">
        <v>3</v>
      </c>
      <c r="H1524" t="n">
        <v>11</v>
      </c>
      <c r="I1524" t="n">
        <v>0</v>
      </c>
    </row>
    <row r="1525">
      <c r="A1525" t="n">
        <v>1524</v>
      </c>
      <c r="B1525" t="inlineStr">
        <is>
          <t>Train</t>
        </is>
      </c>
      <c r="C1525" t="n">
        <v>29869</v>
      </c>
      <c r="D1525" t="n">
        <v>15700</v>
      </c>
      <c r="E1525" t="n">
        <v>49</v>
      </c>
      <c r="F1525" t="n">
        <v>13148</v>
      </c>
      <c r="G1525" t="n">
        <v>0</v>
      </c>
      <c r="H1525" t="n">
        <v>11</v>
      </c>
      <c r="I1525" t="n">
        <v>159195</v>
      </c>
    </row>
    <row r="1526">
      <c r="A1526" t="n">
        <v>1525</v>
      </c>
      <c r="B1526" t="inlineStr">
        <is>
          <t>Train</t>
        </is>
      </c>
      <c r="C1526" t="n">
        <v>44291</v>
      </c>
      <c r="D1526" t="n">
        <v>30290</v>
      </c>
      <c r="E1526" t="n">
        <v>30</v>
      </c>
      <c r="F1526" t="n">
        <v>89085</v>
      </c>
      <c r="G1526" t="n">
        <v>0</v>
      </c>
      <c r="H1526" t="n">
        <v>11</v>
      </c>
      <c r="I1526" t="n">
        <v>0</v>
      </c>
    </row>
    <row r="1527">
      <c r="A1527" t="n">
        <v>1526</v>
      </c>
      <c r="B1527" t="inlineStr">
        <is>
          <t>Train</t>
        </is>
      </c>
      <c r="C1527" t="n">
        <v>35980</v>
      </c>
      <c r="D1527" t="n">
        <v>23370</v>
      </c>
      <c r="E1527" t="n">
        <v>46</v>
      </c>
      <c r="F1527" t="n">
        <v>120401</v>
      </c>
      <c r="G1527" t="n">
        <v>2</v>
      </c>
      <c r="H1527" t="n">
        <v>13</v>
      </c>
      <c r="I1527" t="n">
        <v>348157</v>
      </c>
    </row>
    <row r="1528">
      <c r="A1528" t="n">
        <v>1527</v>
      </c>
      <c r="B1528" t="inlineStr">
        <is>
          <t>Validation</t>
        </is>
      </c>
      <c r="C1528" t="n">
        <v>9227</v>
      </c>
      <c r="D1528" t="n">
        <v>14760</v>
      </c>
      <c r="E1528" t="n">
        <v>51</v>
      </c>
      <c r="F1528" t="n">
        <v>61666</v>
      </c>
      <c r="G1528" t="n">
        <v>7</v>
      </c>
      <c r="H1528" t="n">
        <v>11</v>
      </c>
      <c r="I1528" t="n">
        <v>198755</v>
      </c>
    </row>
    <row r="1529">
      <c r="A1529" t="n">
        <v>1528</v>
      </c>
      <c r="B1529" t="inlineStr">
        <is>
          <t>Validation</t>
        </is>
      </c>
      <c r="C1529" t="n">
        <v>30023</v>
      </c>
      <c r="D1529" t="n">
        <v>11060</v>
      </c>
      <c r="E1529" t="n">
        <v>61</v>
      </c>
      <c r="F1529" t="n">
        <v>25525</v>
      </c>
      <c r="G1529" t="n">
        <v>5</v>
      </c>
      <c r="H1529" t="n">
        <v>17</v>
      </c>
      <c r="I1529" t="n">
        <v>158142</v>
      </c>
    </row>
    <row r="1530">
      <c r="A1530" t="n">
        <v>1529</v>
      </c>
      <c r="B1530" t="inlineStr">
        <is>
          <t>Validation</t>
        </is>
      </c>
      <c r="C1530" t="n">
        <v>2596</v>
      </c>
      <c r="D1530" t="n">
        <v>5330</v>
      </c>
      <c r="E1530" t="n">
        <v>34</v>
      </c>
      <c r="F1530" t="n">
        <v>4273</v>
      </c>
      <c r="G1530" t="n">
        <v>0</v>
      </c>
      <c r="H1530" t="n">
        <v>11</v>
      </c>
      <c r="I1530" t="n">
        <v>0</v>
      </c>
    </row>
    <row r="1531">
      <c r="A1531" t="n">
        <v>1530</v>
      </c>
      <c r="B1531" t="inlineStr">
        <is>
          <t>Train</t>
        </is>
      </c>
      <c r="C1531" t="n">
        <v>9810</v>
      </c>
      <c r="D1531" t="n">
        <v>26420</v>
      </c>
      <c r="E1531" t="n">
        <v>62</v>
      </c>
      <c r="F1531" t="n">
        <v>85081</v>
      </c>
      <c r="G1531" t="n">
        <v>7</v>
      </c>
      <c r="H1531" t="n">
        <v>19</v>
      </c>
      <c r="I1531" t="n">
        <v>0</v>
      </c>
    </row>
    <row r="1532">
      <c r="A1532" t="n">
        <v>1531</v>
      </c>
      <c r="B1532" t="inlineStr">
        <is>
          <t>Train</t>
        </is>
      </c>
      <c r="C1532" t="n">
        <v>3108</v>
      </c>
      <c r="D1532" t="n">
        <v>6500</v>
      </c>
      <c r="E1532" t="n">
        <v>50</v>
      </c>
      <c r="F1532" t="n">
        <v>31291</v>
      </c>
      <c r="G1532" t="n">
        <v>3</v>
      </c>
      <c r="H1532" t="n">
        <v>12</v>
      </c>
      <c r="I1532" t="n">
        <v>197110</v>
      </c>
    </row>
    <row r="1533">
      <c r="A1533" t="n">
        <v>1532</v>
      </c>
      <c r="B1533" t="inlineStr">
        <is>
          <t>Train</t>
        </is>
      </c>
      <c r="C1533" t="n">
        <v>4571</v>
      </c>
      <c r="D1533" t="n">
        <v>11530</v>
      </c>
      <c r="E1533" t="n">
        <v>47</v>
      </c>
      <c r="F1533" t="n">
        <v>53320</v>
      </c>
      <c r="G1533" t="n">
        <v>4</v>
      </c>
      <c r="H1533" t="n">
        <v>12</v>
      </c>
      <c r="I1533" t="n">
        <v>164347</v>
      </c>
    </row>
    <row r="1534">
      <c r="A1534" t="n">
        <v>1533</v>
      </c>
      <c r="B1534" t="inlineStr">
        <is>
          <t>Train</t>
        </is>
      </c>
      <c r="C1534" t="n">
        <v>4094</v>
      </c>
      <c r="D1534" t="n">
        <v>25760</v>
      </c>
      <c r="E1534" t="n">
        <v>39</v>
      </c>
      <c r="F1534" t="n">
        <v>74719</v>
      </c>
      <c r="G1534" t="n">
        <v>2</v>
      </c>
      <c r="H1534" t="n">
        <v>10</v>
      </c>
      <c r="I1534" t="n">
        <v>0</v>
      </c>
    </row>
    <row r="1535">
      <c r="A1535" t="n">
        <v>1534</v>
      </c>
      <c r="B1535" t="inlineStr">
        <is>
          <t>Train</t>
        </is>
      </c>
      <c r="C1535" t="n">
        <v>1249</v>
      </c>
      <c r="D1535" t="n">
        <v>26810</v>
      </c>
      <c r="E1535" t="n">
        <v>35</v>
      </c>
      <c r="F1535" t="n">
        <v>77556</v>
      </c>
      <c r="G1535" t="n">
        <v>0</v>
      </c>
      <c r="H1535" t="n">
        <v>6</v>
      </c>
      <c r="I1535" t="n">
        <v>0</v>
      </c>
    </row>
    <row r="1536">
      <c r="A1536" t="n">
        <v>1535</v>
      </c>
      <c r="B1536" t="inlineStr">
        <is>
          <t>Train</t>
        </is>
      </c>
      <c r="C1536" t="n">
        <v>10265</v>
      </c>
      <c r="D1536" t="n">
        <v>33050</v>
      </c>
      <c r="E1536" t="n">
        <v>39</v>
      </c>
      <c r="F1536" t="n">
        <v>76791</v>
      </c>
      <c r="G1536" t="n">
        <v>2</v>
      </c>
      <c r="H1536" t="n">
        <v>11</v>
      </c>
      <c r="I1536" t="n">
        <v>215433</v>
      </c>
    </row>
    <row r="1537">
      <c r="A1537" t="n">
        <v>1536</v>
      </c>
      <c r="B1537" t="inlineStr">
        <is>
          <t>Train</t>
        </is>
      </c>
      <c r="C1537" t="n">
        <v>31557</v>
      </c>
      <c r="D1537" t="n">
        <v>10780</v>
      </c>
      <c r="E1537" t="n">
        <v>57</v>
      </c>
      <c r="F1537" t="n">
        <v>35778</v>
      </c>
      <c r="G1537" t="n">
        <v>5</v>
      </c>
      <c r="H1537" t="n">
        <v>10</v>
      </c>
      <c r="I1537" t="n">
        <v>170435</v>
      </c>
    </row>
    <row r="1538">
      <c r="A1538" t="n">
        <v>1537</v>
      </c>
      <c r="B1538" t="inlineStr">
        <is>
          <t>Validation</t>
        </is>
      </c>
      <c r="C1538" t="n">
        <v>7114</v>
      </c>
      <c r="D1538" t="n">
        <v>21430</v>
      </c>
      <c r="E1538" t="n">
        <v>39</v>
      </c>
      <c r="F1538" t="n">
        <v>81042</v>
      </c>
      <c r="G1538" t="n">
        <v>4</v>
      </c>
      <c r="H1538" t="n">
        <v>6</v>
      </c>
      <c r="I1538" t="n">
        <v>247600</v>
      </c>
    </row>
    <row r="1539">
      <c r="A1539" t="n">
        <v>1538</v>
      </c>
      <c r="B1539" t="inlineStr">
        <is>
          <t>Validation</t>
        </is>
      </c>
      <c r="C1539" t="n">
        <v>2588</v>
      </c>
      <c r="D1539" t="n">
        <v>15450</v>
      </c>
      <c r="E1539" t="n">
        <v>38</v>
      </c>
      <c r="F1539" t="n">
        <v>33237</v>
      </c>
      <c r="G1539" t="n">
        <v>7</v>
      </c>
      <c r="H1539" t="n">
        <v>7</v>
      </c>
      <c r="I1539" t="n">
        <v>139952</v>
      </c>
    </row>
    <row r="1540">
      <c r="A1540" t="n">
        <v>1539</v>
      </c>
      <c r="B1540" t="inlineStr">
        <is>
          <t>Validation</t>
        </is>
      </c>
      <c r="C1540" t="n">
        <v>6826</v>
      </c>
      <c r="D1540" t="n">
        <v>10340</v>
      </c>
      <c r="E1540" t="n">
        <v>56</v>
      </c>
      <c r="F1540" t="n">
        <v>24266</v>
      </c>
      <c r="G1540" t="n">
        <v>3</v>
      </c>
      <c r="H1540" t="n">
        <v>14</v>
      </c>
      <c r="I1540" t="n">
        <v>133273</v>
      </c>
    </row>
    <row r="1541">
      <c r="A1541" t="n">
        <v>1540</v>
      </c>
      <c r="B1541" t="inlineStr">
        <is>
          <t>Train</t>
        </is>
      </c>
      <c r="C1541" t="n">
        <v>7326</v>
      </c>
      <c r="D1541" t="n">
        <v>7720</v>
      </c>
      <c r="E1541" t="n">
        <v>57</v>
      </c>
      <c r="F1541" t="n">
        <v>62203</v>
      </c>
      <c r="G1541" t="n">
        <v>4</v>
      </c>
      <c r="H1541" t="n">
        <v>12</v>
      </c>
      <c r="I1541" t="n">
        <v>0</v>
      </c>
    </row>
    <row r="1542">
      <c r="A1542" t="n">
        <v>1541</v>
      </c>
      <c r="B1542" t="inlineStr">
        <is>
          <t>Train</t>
        </is>
      </c>
      <c r="C1542" t="n">
        <v>25344</v>
      </c>
      <c r="D1542" t="n">
        <v>5500</v>
      </c>
      <c r="E1542" t="n">
        <v>40</v>
      </c>
      <c r="F1542" t="n">
        <v>0</v>
      </c>
      <c r="G1542" t="n">
        <v>7</v>
      </c>
      <c r="H1542" t="n">
        <v>0</v>
      </c>
      <c r="I1542" t="n">
        <v>89042</v>
      </c>
    </row>
    <row r="1543">
      <c r="A1543" t="n">
        <v>1542</v>
      </c>
      <c r="B1543" t="inlineStr">
        <is>
          <t>Train</t>
        </is>
      </c>
      <c r="C1543" t="n">
        <v>5949</v>
      </c>
      <c r="D1543" t="n">
        <v>37420</v>
      </c>
      <c r="E1543" t="n">
        <v>35</v>
      </c>
      <c r="F1543" t="n">
        <v>126046</v>
      </c>
      <c r="G1543" t="n">
        <v>6</v>
      </c>
      <c r="H1543" t="n">
        <v>13</v>
      </c>
      <c r="I1543" t="n">
        <v>282938</v>
      </c>
    </row>
    <row r="1544">
      <c r="A1544" t="n">
        <v>1543</v>
      </c>
      <c r="B1544" t="inlineStr">
        <is>
          <t>Train</t>
        </is>
      </c>
      <c r="C1544" t="n">
        <v>1288</v>
      </c>
      <c r="D1544" t="n">
        <v>18280</v>
      </c>
      <c r="E1544" t="n">
        <v>41</v>
      </c>
      <c r="F1544" t="n">
        <v>89892</v>
      </c>
      <c r="G1544" t="n">
        <v>4</v>
      </c>
      <c r="H1544" t="n">
        <v>14</v>
      </c>
      <c r="I1544" t="n">
        <v>276692</v>
      </c>
    </row>
    <row r="1545">
      <c r="A1545" t="n">
        <v>1544</v>
      </c>
      <c r="B1545" t="inlineStr">
        <is>
          <t>Train</t>
        </is>
      </c>
      <c r="C1545" t="n">
        <v>4900</v>
      </c>
      <c r="D1545" t="n">
        <v>34310</v>
      </c>
      <c r="E1545" t="n">
        <v>53</v>
      </c>
      <c r="F1545" t="n">
        <v>183296</v>
      </c>
      <c r="G1545" t="n">
        <v>1</v>
      </c>
      <c r="H1545" t="n">
        <v>5</v>
      </c>
      <c r="I1545" t="n">
        <v>0</v>
      </c>
    </row>
    <row r="1546">
      <c r="A1546" t="n">
        <v>1545</v>
      </c>
      <c r="B1546" t="inlineStr">
        <is>
          <t>Train</t>
        </is>
      </c>
      <c r="C1546" t="n">
        <v>2279</v>
      </c>
      <c r="D1546" t="n">
        <v>19090</v>
      </c>
      <c r="E1546" t="n">
        <v>45</v>
      </c>
      <c r="F1546" t="n">
        <v>683</v>
      </c>
      <c r="G1546" t="n">
        <v>0</v>
      </c>
      <c r="H1546" t="n">
        <v>9</v>
      </c>
      <c r="I1546" t="n">
        <v>61630</v>
      </c>
    </row>
    <row r="1547">
      <c r="A1547" t="n">
        <v>1546</v>
      </c>
      <c r="B1547" t="inlineStr">
        <is>
          <t>Train</t>
        </is>
      </c>
      <c r="C1547" t="n">
        <v>4448</v>
      </c>
      <c r="D1547" t="n">
        <v>4300</v>
      </c>
      <c r="E1547" t="n">
        <v>30</v>
      </c>
      <c r="F1547" t="n">
        <v>22718</v>
      </c>
      <c r="G1547" t="n">
        <v>9</v>
      </c>
      <c r="H1547" t="n">
        <v>7</v>
      </c>
      <c r="I1547" t="n">
        <v>116700</v>
      </c>
    </row>
    <row r="1548">
      <c r="A1548" t="n">
        <v>1547</v>
      </c>
      <c r="B1548" t="inlineStr">
        <is>
          <t>Validation</t>
        </is>
      </c>
      <c r="C1548" t="n">
        <v>5265</v>
      </c>
      <c r="D1548" t="n">
        <v>10740</v>
      </c>
      <c r="E1548" t="n">
        <v>34</v>
      </c>
      <c r="F1548" t="n">
        <v>49098</v>
      </c>
      <c r="G1548" t="n">
        <v>2</v>
      </c>
      <c r="H1548" t="n">
        <v>11</v>
      </c>
      <c r="I1548" t="n">
        <v>182986</v>
      </c>
    </row>
    <row r="1549">
      <c r="A1549" t="n">
        <v>1548</v>
      </c>
      <c r="B1549" t="inlineStr">
        <is>
          <t>Validation</t>
        </is>
      </c>
      <c r="C1549" t="n">
        <v>6070</v>
      </c>
      <c r="D1549" t="n">
        <v>4600</v>
      </c>
      <c r="E1549" t="n">
        <v>31</v>
      </c>
      <c r="F1549" t="n">
        <v>0</v>
      </c>
      <c r="G1549" t="n">
        <v>5</v>
      </c>
      <c r="H1549" t="n">
        <v>0</v>
      </c>
      <c r="I1549" t="n">
        <v>0</v>
      </c>
    </row>
    <row r="1550">
      <c r="A1550" t="n">
        <v>1549</v>
      </c>
      <c r="B1550" t="inlineStr">
        <is>
          <t>Validation</t>
        </is>
      </c>
      <c r="C1550" t="n">
        <v>5238</v>
      </c>
      <c r="D1550" t="n">
        <v>11560</v>
      </c>
      <c r="E1550" t="n">
        <v>58</v>
      </c>
      <c r="F1550" t="n">
        <v>42607</v>
      </c>
      <c r="G1550" t="n">
        <v>1</v>
      </c>
      <c r="H1550" t="n">
        <v>12</v>
      </c>
      <c r="I1550" t="n">
        <v>112850</v>
      </c>
    </row>
    <row r="1551">
      <c r="A1551" t="n">
        <v>1550</v>
      </c>
      <c r="B1551" t="inlineStr">
        <is>
          <t>Train</t>
        </is>
      </c>
      <c r="C1551" t="n">
        <v>2244</v>
      </c>
      <c r="D1551" t="n">
        <v>4010</v>
      </c>
      <c r="E1551" t="n">
        <v>40</v>
      </c>
      <c r="F1551" t="n">
        <v>35453</v>
      </c>
      <c r="G1551" t="n">
        <v>2</v>
      </c>
      <c r="H1551" t="n">
        <v>12</v>
      </c>
      <c r="I1551" t="n">
        <v>156023</v>
      </c>
    </row>
    <row r="1552">
      <c r="A1552" t="n">
        <v>1551</v>
      </c>
      <c r="B1552" t="inlineStr">
        <is>
          <t>Train</t>
        </is>
      </c>
      <c r="C1552" t="n">
        <v>6703</v>
      </c>
      <c r="D1552" t="n">
        <v>5740</v>
      </c>
      <c r="E1552" t="n">
        <v>42</v>
      </c>
      <c r="F1552" t="n">
        <v>42371</v>
      </c>
      <c r="G1552" t="n">
        <v>4</v>
      </c>
      <c r="H1552" t="n">
        <v>10</v>
      </c>
      <c r="I1552" t="n">
        <v>0</v>
      </c>
    </row>
    <row r="1553">
      <c r="A1553" t="n">
        <v>1552</v>
      </c>
      <c r="B1553" t="inlineStr">
        <is>
          <t>Train</t>
        </is>
      </c>
      <c r="C1553" t="n">
        <v>1328</v>
      </c>
      <c r="D1553" t="n">
        <v>11760</v>
      </c>
      <c r="E1553" t="n">
        <v>52</v>
      </c>
      <c r="F1553" t="n">
        <v>50584</v>
      </c>
      <c r="G1553" t="n">
        <v>6</v>
      </c>
      <c r="H1553" t="n">
        <v>12</v>
      </c>
      <c r="I1553" t="n">
        <v>157928</v>
      </c>
    </row>
    <row r="1554">
      <c r="A1554" t="n">
        <v>1553</v>
      </c>
      <c r="B1554" t="inlineStr">
        <is>
          <t>Train</t>
        </is>
      </c>
      <c r="C1554" t="n">
        <v>7863</v>
      </c>
      <c r="D1554" t="n">
        <v>9900</v>
      </c>
      <c r="E1554" t="n">
        <v>49</v>
      </c>
      <c r="F1554" t="n">
        <v>34961</v>
      </c>
      <c r="G1554" t="n">
        <v>1</v>
      </c>
      <c r="H1554" t="n">
        <v>12</v>
      </c>
      <c r="I1554" t="n">
        <v>0</v>
      </c>
    </row>
    <row r="1555">
      <c r="A1555" t="n">
        <v>1554</v>
      </c>
      <c r="B1555" t="inlineStr">
        <is>
          <t>Train</t>
        </is>
      </c>
      <c r="C1555" t="n">
        <v>5949</v>
      </c>
      <c r="D1555" t="n">
        <v>20920</v>
      </c>
      <c r="E1555" t="n">
        <v>52</v>
      </c>
      <c r="F1555" t="n">
        <v>42236</v>
      </c>
      <c r="G1555" t="n">
        <v>0</v>
      </c>
      <c r="H1555" t="n">
        <v>11</v>
      </c>
      <c r="I1555" t="n">
        <v>0</v>
      </c>
    </row>
    <row r="1556">
      <c r="A1556" t="n">
        <v>1555</v>
      </c>
      <c r="B1556" t="inlineStr">
        <is>
          <t>Train</t>
        </is>
      </c>
      <c r="C1556" t="n">
        <v>9635</v>
      </c>
      <c r="D1556" t="n">
        <v>9290</v>
      </c>
      <c r="E1556" t="n">
        <v>45</v>
      </c>
      <c r="F1556" t="n">
        <v>32867</v>
      </c>
      <c r="G1556" t="n">
        <v>4</v>
      </c>
      <c r="H1556" t="n">
        <v>10</v>
      </c>
      <c r="I1556" t="n">
        <v>0</v>
      </c>
    </row>
    <row r="1557">
      <c r="A1557" t="n">
        <v>1556</v>
      </c>
      <c r="B1557" t="inlineStr">
        <is>
          <t>Train</t>
        </is>
      </c>
      <c r="C1557" t="n">
        <v>3285</v>
      </c>
      <c r="D1557" t="n">
        <v>24320</v>
      </c>
      <c r="E1557" t="n">
        <v>40</v>
      </c>
      <c r="F1557" t="n">
        <v>44803</v>
      </c>
      <c r="G1557" t="n">
        <v>0</v>
      </c>
      <c r="H1557" t="n">
        <v>11</v>
      </c>
      <c r="I1557" t="n">
        <v>0</v>
      </c>
    </row>
    <row r="1558">
      <c r="A1558" t="n">
        <v>1557</v>
      </c>
      <c r="B1558" t="inlineStr">
        <is>
          <t>Validation</t>
        </is>
      </c>
      <c r="C1558" t="n">
        <v>26181</v>
      </c>
      <c r="D1558" t="n">
        <v>7240</v>
      </c>
      <c r="E1558" t="n">
        <v>46</v>
      </c>
      <c r="F1558" t="n">
        <v>11363</v>
      </c>
      <c r="G1558" t="n">
        <v>2</v>
      </c>
      <c r="H1558" t="n">
        <v>12</v>
      </c>
      <c r="I1558" t="n">
        <v>104389</v>
      </c>
    </row>
    <row r="1559">
      <c r="A1559" t="n">
        <v>1558</v>
      </c>
      <c r="B1559" t="inlineStr">
        <is>
          <t>Validation</t>
        </is>
      </c>
      <c r="C1559" t="n">
        <v>5307</v>
      </c>
      <c r="D1559" t="n">
        <v>18400</v>
      </c>
      <c r="E1559" t="n">
        <v>47</v>
      </c>
      <c r="F1559" t="n">
        <v>25871</v>
      </c>
      <c r="G1559" t="n">
        <v>4</v>
      </c>
      <c r="H1559" t="n">
        <v>6</v>
      </c>
      <c r="I1559" t="n">
        <v>193683</v>
      </c>
    </row>
    <row r="1560">
      <c r="A1560" t="n">
        <v>1559</v>
      </c>
      <c r="B1560" t="inlineStr">
        <is>
          <t>Validation</t>
        </is>
      </c>
      <c r="C1560" t="n">
        <v>1553</v>
      </c>
      <c r="D1560" t="n">
        <v>17380</v>
      </c>
      <c r="E1560" t="n">
        <v>35</v>
      </c>
      <c r="F1560" t="n">
        <v>29000</v>
      </c>
      <c r="G1560" t="n">
        <v>2</v>
      </c>
      <c r="H1560" t="n">
        <v>15</v>
      </c>
      <c r="I1560" t="n">
        <v>137510</v>
      </c>
    </row>
    <row r="1561">
      <c r="A1561" t="n">
        <v>1560</v>
      </c>
      <c r="B1561" t="inlineStr">
        <is>
          <t>Train</t>
        </is>
      </c>
      <c r="C1561" t="n">
        <v>2791</v>
      </c>
      <c r="D1561" t="n">
        <v>7700</v>
      </c>
      <c r="E1561" t="n">
        <v>62</v>
      </c>
      <c r="F1561" t="n">
        <v>33713</v>
      </c>
      <c r="G1561" t="n">
        <v>1</v>
      </c>
      <c r="H1561" t="n">
        <v>12</v>
      </c>
      <c r="I1561" t="n">
        <v>171810</v>
      </c>
    </row>
    <row r="1562">
      <c r="A1562" t="n">
        <v>1561</v>
      </c>
      <c r="B1562" t="inlineStr">
        <is>
          <t>Train</t>
        </is>
      </c>
      <c r="C1562" t="n">
        <v>43405</v>
      </c>
      <c r="D1562" t="n">
        <v>6200</v>
      </c>
      <c r="E1562" t="n">
        <v>47</v>
      </c>
      <c r="F1562" t="n">
        <v>44812</v>
      </c>
      <c r="G1562" t="n">
        <v>0</v>
      </c>
      <c r="H1562" t="n">
        <v>7</v>
      </c>
      <c r="I1562" t="n">
        <v>0</v>
      </c>
    </row>
    <row r="1563">
      <c r="A1563" t="n">
        <v>1562</v>
      </c>
      <c r="B1563" t="inlineStr">
        <is>
          <t>Train</t>
        </is>
      </c>
      <c r="C1563" t="n">
        <v>30300</v>
      </c>
      <c r="D1563" t="n">
        <v>5470</v>
      </c>
      <c r="E1563" t="n">
        <v>29</v>
      </c>
      <c r="F1563" t="n">
        <v>87862</v>
      </c>
      <c r="G1563" t="n">
        <v>4</v>
      </c>
      <c r="H1563" t="n">
        <v>11</v>
      </c>
      <c r="I1563" t="n">
        <v>226766</v>
      </c>
    </row>
    <row r="1564">
      <c r="A1564" t="n">
        <v>1563</v>
      </c>
      <c r="B1564" t="inlineStr">
        <is>
          <t>Train</t>
        </is>
      </c>
      <c r="C1564" t="n">
        <v>5458</v>
      </c>
      <c r="D1564" t="n">
        <v>9260</v>
      </c>
      <c r="E1564" t="n">
        <v>48</v>
      </c>
      <c r="F1564" t="n">
        <v>228376</v>
      </c>
      <c r="G1564" t="n">
        <v>8</v>
      </c>
      <c r="H1564" t="n">
        <v>12</v>
      </c>
      <c r="I1564" t="n">
        <v>586096</v>
      </c>
    </row>
    <row r="1565">
      <c r="A1565" t="n">
        <v>1564</v>
      </c>
      <c r="B1565" t="inlineStr">
        <is>
          <t>Train</t>
        </is>
      </c>
      <c r="C1565" t="n">
        <v>4042</v>
      </c>
      <c r="D1565" t="n">
        <v>1500</v>
      </c>
      <c r="E1565" t="n">
        <v>44</v>
      </c>
      <c r="F1565" t="n">
        <v>0</v>
      </c>
      <c r="G1565" t="n">
        <v>9</v>
      </c>
      <c r="H1565" t="n">
        <v>0</v>
      </c>
      <c r="I1565" t="n">
        <v>0</v>
      </c>
    </row>
    <row r="1566">
      <c r="A1566" t="n">
        <v>1565</v>
      </c>
      <c r="B1566" t="inlineStr">
        <is>
          <t>Train</t>
        </is>
      </c>
      <c r="C1566" t="n">
        <v>27861</v>
      </c>
      <c r="D1566" t="n">
        <v>5700</v>
      </c>
      <c r="E1566" t="n">
        <v>42</v>
      </c>
      <c r="F1566" t="n">
        <v>108916</v>
      </c>
      <c r="G1566" t="n">
        <v>5</v>
      </c>
      <c r="H1566" t="n">
        <v>12</v>
      </c>
      <c r="I1566" t="n">
        <v>331946</v>
      </c>
    </row>
    <row r="1567">
      <c r="A1567" t="n">
        <v>1566</v>
      </c>
      <c r="B1567" t="inlineStr">
        <is>
          <t>Train</t>
        </is>
      </c>
      <c r="C1567" t="n">
        <v>5546</v>
      </c>
      <c r="D1567" t="n">
        <v>25320</v>
      </c>
      <c r="E1567" t="n">
        <v>50</v>
      </c>
      <c r="F1567" t="n">
        <v>53924</v>
      </c>
      <c r="G1567" t="n">
        <v>6</v>
      </c>
      <c r="H1567" t="n">
        <v>15</v>
      </c>
      <c r="I1567" t="n">
        <v>203155</v>
      </c>
    </row>
    <row r="1568">
      <c r="A1568" t="n">
        <v>1567</v>
      </c>
      <c r="B1568" t="inlineStr">
        <is>
          <t>Validation</t>
        </is>
      </c>
      <c r="C1568" t="n">
        <v>5951</v>
      </c>
      <c r="D1568" t="n">
        <v>9950</v>
      </c>
      <c r="E1568" t="n">
        <v>36</v>
      </c>
      <c r="F1568" t="n">
        <v>48494</v>
      </c>
      <c r="G1568" t="n">
        <v>1</v>
      </c>
      <c r="H1568" t="n">
        <v>13</v>
      </c>
      <c r="I1568" t="n">
        <v>232930</v>
      </c>
    </row>
    <row r="1569">
      <c r="A1569" t="n">
        <v>1568</v>
      </c>
      <c r="B1569" t="inlineStr">
        <is>
          <t>Validation</t>
        </is>
      </c>
      <c r="C1569" t="n">
        <v>7019</v>
      </c>
      <c r="D1569" t="n">
        <v>22740</v>
      </c>
      <c r="E1569" t="n">
        <v>25</v>
      </c>
      <c r="F1569" t="n">
        <v>66390</v>
      </c>
      <c r="G1569" t="n">
        <v>1</v>
      </c>
      <c r="H1569" t="n">
        <v>8</v>
      </c>
      <c r="I1569" t="n">
        <v>0</v>
      </c>
    </row>
    <row r="1570">
      <c r="A1570" t="n">
        <v>1569</v>
      </c>
      <c r="B1570" t="inlineStr">
        <is>
          <t>Validation</t>
        </is>
      </c>
      <c r="C1570" t="n">
        <v>7673</v>
      </c>
      <c r="D1570" t="n">
        <v>16180</v>
      </c>
      <c r="E1570" t="n">
        <v>44</v>
      </c>
      <c r="F1570" t="n">
        <v>20526</v>
      </c>
      <c r="G1570" t="n">
        <v>4</v>
      </c>
      <c r="H1570" t="n">
        <v>11</v>
      </c>
      <c r="I1570" t="n">
        <v>129198</v>
      </c>
    </row>
    <row r="1571">
      <c r="A1571" t="n">
        <v>1570</v>
      </c>
      <c r="B1571" t="inlineStr">
        <is>
          <t>Train</t>
        </is>
      </c>
      <c r="C1571" t="n">
        <v>6444</v>
      </c>
      <c r="D1571" t="n">
        <v>12880</v>
      </c>
      <c r="E1571" t="n">
        <v>41</v>
      </c>
      <c r="F1571" t="n">
        <v>7029</v>
      </c>
      <c r="G1571" t="n">
        <v>0</v>
      </c>
      <c r="H1571" t="n">
        <v>13</v>
      </c>
      <c r="I1571" t="n">
        <v>112990</v>
      </c>
    </row>
    <row r="1572">
      <c r="A1572" t="n">
        <v>1571</v>
      </c>
      <c r="B1572" t="inlineStr">
        <is>
          <t>Train</t>
        </is>
      </c>
      <c r="C1572" t="n">
        <v>2566</v>
      </c>
      <c r="D1572" t="n">
        <v>6720</v>
      </c>
      <c r="E1572" t="n">
        <v>49</v>
      </c>
      <c r="F1572" t="n">
        <v>92317</v>
      </c>
      <c r="G1572" t="n">
        <v>0</v>
      </c>
      <c r="H1572" t="n">
        <v>12</v>
      </c>
      <c r="I1572" t="n">
        <v>248232</v>
      </c>
    </row>
    <row r="1573">
      <c r="A1573" t="n">
        <v>1572</v>
      </c>
      <c r="B1573" t="inlineStr">
        <is>
          <t>Train</t>
        </is>
      </c>
      <c r="C1573" t="n">
        <v>5202</v>
      </c>
      <c r="D1573" t="n">
        <v>5000</v>
      </c>
      <c r="E1573" t="n">
        <v>35</v>
      </c>
      <c r="F1573" t="n">
        <v>64530</v>
      </c>
      <c r="G1573" t="n">
        <v>0</v>
      </c>
      <c r="H1573" t="n">
        <v>10</v>
      </c>
      <c r="I1573" t="n">
        <v>0</v>
      </c>
    </row>
    <row r="1574">
      <c r="A1574" t="n">
        <v>1573</v>
      </c>
      <c r="B1574" t="inlineStr">
        <is>
          <t>Train</t>
        </is>
      </c>
      <c r="C1574" t="n">
        <v>3107</v>
      </c>
      <c r="D1574" t="n">
        <v>15190</v>
      </c>
      <c r="E1574" t="n">
        <v>62</v>
      </c>
      <c r="F1574" t="n">
        <v>29453</v>
      </c>
      <c r="G1574" t="n">
        <v>0</v>
      </c>
      <c r="H1574" t="n">
        <v>13</v>
      </c>
      <c r="I1574" t="n">
        <v>135076</v>
      </c>
    </row>
    <row r="1575">
      <c r="A1575" t="n">
        <v>1574</v>
      </c>
      <c r="B1575" t="inlineStr">
        <is>
          <t>Train</t>
        </is>
      </c>
      <c r="C1575" t="n">
        <v>4980</v>
      </c>
      <c r="D1575" t="n">
        <v>24100</v>
      </c>
      <c r="E1575" t="n">
        <v>32</v>
      </c>
      <c r="F1575" t="n">
        <v>0</v>
      </c>
      <c r="G1575" t="n">
        <v>3</v>
      </c>
      <c r="H1575" t="n">
        <v>0</v>
      </c>
      <c r="I1575" t="n">
        <v>70053</v>
      </c>
    </row>
    <row r="1576">
      <c r="A1576" t="n">
        <v>1575</v>
      </c>
      <c r="B1576" t="inlineStr">
        <is>
          <t>Train</t>
        </is>
      </c>
      <c r="C1576" t="n">
        <v>3848</v>
      </c>
      <c r="D1576" t="n">
        <v>29540</v>
      </c>
      <c r="E1576" t="n">
        <v>48</v>
      </c>
      <c r="F1576" t="n">
        <v>111405</v>
      </c>
      <c r="G1576" t="n">
        <v>9</v>
      </c>
      <c r="H1576" t="n">
        <v>10</v>
      </c>
      <c r="I1576" t="n">
        <v>326745</v>
      </c>
    </row>
    <row r="1577">
      <c r="A1577" t="n">
        <v>1576</v>
      </c>
      <c r="B1577" t="inlineStr">
        <is>
          <t>Train</t>
        </is>
      </c>
      <c r="C1577" t="n">
        <v>6934</v>
      </c>
      <c r="D1577" t="n">
        <v>8200</v>
      </c>
      <c r="E1577" t="n">
        <v>67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1577</v>
      </c>
      <c r="B1578" t="inlineStr">
        <is>
          <t>Validation</t>
        </is>
      </c>
      <c r="C1578" t="n">
        <v>4575</v>
      </c>
      <c r="D1578" t="n">
        <v>26860</v>
      </c>
      <c r="E1578" t="n">
        <v>35</v>
      </c>
      <c r="F1578" t="n">
        <v>84794</v>
      </c>
      <c r="G1578" t="n">
        <v>7</v>
      </c>
      <c r="H1578" t="n">
        <v>8</v>
      </c>
      <c r="I1578" t="n">
        <v>0</v>
      </c>
    </row>
    <row r="1579">
      <c r="A1579" t="n">
        <v>1578</v>
      </c>
      <c r="B1579" t="inlineStr">
        <is>
          <t>Validation</t>
        </is>
      </c>
      <c r="C1579" t="n">
        <v>11063</v>
      </c>
      <c r="D1579" t="n">
        <v>5400</v>
      </c>
      <c r="E1579" t="n">
        <v>39</v>
      </c>
      <c r="F1579" t="n">
        <v>0</v>
      </c>
      <c r="G1579" t="n">
        <v>2</v>
      </c>
      <c r="H1579" t="n">
        <v>0</v>
      </c>
      <c r="I1579" t="n">
        <v>0</v>
      </c>
    </row>
    <row r="1580">
      <c r="A1580" t="n">
        <v>1579</v>
      </c>
      <c r="B1580" t="inlineStr">
        <is>
          <t>Validation</t>
        </is>
      </c>
      <c r="C1580" t="n">
        <v>12714</v>
      </c>
      <c r="D1580" t="n">
        <v>23950</v>
      </c>
      <c r="E1580" t="n">
        <v>57</v>
      </c>
      <c r="F1580" t="n">
        <v>129402</v>
      </c>
      <c r="G1580" t="n">
        <v>0</v>
      </c>
      <c r="H1580" t="n">
        <v>12</v>
      </c>
      <c r="I1580" t="n">
        <v>365111</v>
      </c>
    </row>
    <row r="1581">
      <c r="A1581" t="n">
        <v>1580</v>
      </c>
      <c r="B1581" t="inlineStr">
        <is>
          <t>Train</t>
        </is>
      </c>
      <c r="C1581" t="n">
        <v>7458</v>
      </c>
      <c r="D1581" t="n">
        <v>19080</v>
      </c>
      <c r="E1581" t="n">
        <v>44</v>
      </c>
      <c r="F1581" t="n">
        <v>19507</v>
      </c>
      <c r="G1581" t="n">
        <v>0</v>
      </c>
      <c r="H1581" t="n">
        <v>13</v>
      </c>
      <c r="I1581" t="n">
        <v>165870</v>
      </c>
    </row>
    <row r="1582">
      <c r="A1582" t="n">
        <v>1581</v>
      </c>
      <c r="B1582" t="inlineStr">
        <is>
          <t>Train</t>
        </is>
      </c>
      <c r="C1582" t="n">
        <v>28280</v>
      </c>
      <c r="D1582" t="n">
        <v>20310</v>
      </c>
      <c r="E1582" t="n">
        <v>48</v>
      </c>
      <c r="F1582" t="n">
        <v>3813</v>
      </c>
      <c r="G1582" t="n">
        <v>0</v>
      </c>
      <c r="H1582" t="n">
        <v>10</v>
      </c>
      <c r="I1582" t="n">
        <v>89708</v>
      </c>
    </row>
    <row r="1583">
      <c r="A1583" t="n">
        <v>1582</v>
      </c>
      <c r="B1583" t="inlineStr">
        <is>
          <t>Train</t>
        </is>
      </c>
      <c r="C1583" t="n">
        <v>9591</v>
      </c>
      <c r="D1583" t="n">
        <v>28350</v>
      </c>
      <c r="E1583" t="n">
        <v>51</v>
      </c>
      <c r="F1583" t="n">
        <v>65711</v>
      </c>
      <c r="G1583" t="n">
        <v>5</v>
      </c>
      <c r="H1583" t="n">
        <v>14</v>
      </c>
      <c r="I1583" t="n">
        <v>0</v>
      </c>
    </row>
    <row r="1584">
      <c r="A1584" t="n">
        <v>1583</v>
      </c>
      <c r="B1584" t="inlineStr">
        <is>
          <t>Train</t>
        </is>
      </c>
      <c r="C1584" t="n">
        <v>2116</v>
      </c>
      <c r="D1584" t="n">
        <v>10380</v>
      </c>
      <c r="E1584" t="n">
        <v>44</v>
      </c>
      <c r="F1584" t="n">
        <v>35210</v>
      </c>
      <c r="G1584" t="n">
        <v>0</v>
      </c>
      <c r="H1584" t="n">
        <v>6</v>
      </c>
      <c r="I1584" t="n">
        <v>140238</v>
      </c>
    </row>
    <row r="1585">
      <c r="A1585" t="n">
        <v>1584</v>
      </c>
      <c r="B1585" t="inlineStr">
        <is>
          <t>Train</t>
        </is>
      </c>
      <c r="C1585" t="n">
        <v>3444</v>
      </c>
      <c r="D1585" t="n">
        <v>6810</v>
      </c>
      <c r="E1585" t="n">
        <v>36</v>
      </c>
      <c r="F1585" t="n">
        <v>17100</v>
      </c>
      <c r="G1585" t="n">
        <v>1</v>
      </c>
      <c r="H1585" t="n">
        <v>14</v>
      </c>
      <c r="I1585" t="n">
        <v>128888</v>
      </c>
    </row>
    <row r="1586">
      <c r="A1586" t="n">
        <v>1585</v>
      </c>
      <c r="B1586" t="inlineStr">
        <is>
          <t>Train</t>
        </is>
      </c>
      <c r="C1586" t="n">
        <v>2516</v>
      </c>
      <c r="D1586" t="n">
        <v>8830</v>
      </c>
      <c r="E1586" t="n">
        <v>41</v>
      </c>
      <c r="F1586" t="n">
        <v>45685</v>
      </c>
      <c r="G1586" t="n">
        <v>4</v>
      </c>
      <c r="H1586" t="n">
        <v>13</v>
      </c>
      <c r="I1586" t="n">
        <v>0</v>
      </c>
    </row>
    <row r="1587">
      <c r="A1587" t="n">
        <v>1586</v>
      </c>
      <c r="B1587" t="inlineStr">
        <is>
          <t>Train</t>
        </is>
      </c>
      <c r="C1587" t="n">
        <v>42734</v>
      </c>
      <c r="D1587" t="n">
        <v>16460</v>
      </c>
      <c r="E1587" t="n">
        <v>40</v>
      </c>
      <c r="F1587" t="n">
        <v>47897</v>
      </c>
      <c r="G1587" t="n">
        <v>3</v>
      </c>
      <c r="H1587" t="n">
        <v>12</v>
      </c>
      <c r="I1587" t="n">
        <v>0</v>
      </c>
    </row>
    <row r="1588">
      <c r="A1588" t="n">
        <v>1587</v>
      </c>
      <c r="B1588" t="inlineStr">
        <is>
          <t>Validation</t>
        </is>
      </c>
      <c r="C1588" t="n">
        <v>7411</v>
      </c>
      <c r="D1588" t="n">
        <v>8170</v>
      </c>
      <c r="E1588" t="n">
        <v>50</v>
      </c>
      <c r="F1588" t="n">
        <v>16666</v>
      </c>
      <c r="G1588" t="n">
        <v>6</v>
      </c>
      <c r="H1588" t="n">
        <v>11</v>
      </c>
      <c r="I1588" t="n">
        <v>184536</v>
      </c>
    </row>
    <row r="1589">
      <c r="A1589" t="n">
        <v>1588</v>
      </c>
      <c r="B1589" t="inlineStr">
        <is>
          <t>Validation</t>
        </is>
      </c>
      <c r="C1589" t="n">
        <v>2737</v>
      </c>
      <c r="D1589" t="n">
        <v>10350</v>
      </c>
      <c r="E1589" t="n">
        <v>58</v>
      </c>
      <c r="F1589" t="n">
        <v>88490</v>
      </c>
      <c r="G1589" t="n">
        <v>0</v>
      </c>
      <c r="H1589" t="n">
        <v>13</v>
      </c>
      <c r="I1589" t="n">
        <v>0</v>
      </c>
    </row>
    <row r="1590">
      <c r="A1590" t="n">
        <v>1589</v>
      </c>
      <c r="B1590" t="inlineStr">
        <is>
          <t>Validation</t>
        </is>
      </c>
      <c r="C1590" t="n">
        <v>5642</v>
      </c>
      <c r="D1590" t="n">
        <v>5800</v>
      </c>
      <c r="E1590" t="n">
        <v>35</v>
      </c>
      <c r="F1590" t="n">
        <v>43011</v>
      </c>
      <c r="G1590" t="n">
        <v>7</v>
      </c>
      <c r="H1590" t="n">
        <v>12</v>
      </c>
      <c r="I1590" t="n">
        <v>115957</v>
      </c>
    </row>
    <row r="1591">
      <c r="A1591" t="n">
        <v>1590</v>
      </c>
      <c r="B1591" t="inlineStr">
        <is>
          <t>Train</t>
        </is>
      </c>
      <c r="C1591" t="n">
        <v>35477</v>
      </c>
      <c r="D1591" t="n">
        <v>4500</v>
      </c>
      <c r="E1591" t="n">
        <v>30</v>
      </c>
      <c r="F1591" t="n">
        <v>0</v>
      </c>
      <c r="G1591" t="n">
        <v>1</v>
      </c>
      <c r="H1591" t="n">
        <v>0</v>
      </c>
      <c r="I1591" t="n">
        <v>76283</v>
      </c>
    </row>
    <row r="1592">
      <c r="A1592" t="n">
        <v>1591</v>
      </c>
      <c r="B1592" t="inlineStr">
        <is>
          <t>Train</t>
        </is>
      </c>
      <c r="C1592" t="n">
        <v>8404</v>
      </c>
      <c r="D1592" t="n">
        <v>13410</v>
      </c>
      <c r="E1592" t="n">
        <v>53</v>
      </c>
      <c r="F1592" t="n">
        <v>66054</v>
      </c>
      <c r="G1592" t="n">
        <v>4</v>
      </c>
      <c r="H1592" t="n">
        <v>15</v>
      </c>
      <c r="I1592" t="n">
        <v>250182</v>
      </c>
    </row>
    <row r="1593">
      <c r="A1593" t="n">
        <v>1592</v>
      </c>
      <c r="B1593" t="inlineStr">
        <is>
          <t>Train</t>
        </is>
      </c>
      <c r="C1593" t="n">
        <v>7262</v>
      </c>
      <c r="D1593" t="n">
        <v>8450</v>
      </c>
      <c r="E1593" t="n">
        <v>39</v>
      </c>
      <c r="F1593" t="n">
        <v>12332</v>
      </c>
      <c r="G1593" t="n">
        <v>0</v>
      </c>
      <c r="H1593" t="n">
        <v>12</v>
      </c>
      <c r="I1593" t="n">
        <v>98982</v>
      </c>
    </row>
    <row r="1594">
      <c r="A1594" t="n">
        <v>1593</v>
      </c>
      <c r="B1594" t="inlineStr">
        <is>
          <t>Train</t>
        </is>
      </c>
      <c r="C1594" t="n">
        <v>8455</v>
      </c>
      <c r="D1594" t="n">
        <v>7860</v>
      </c>
      <c r="E1594" t="n">
        <v>39</v>
      </c>
      <c r="F1594" t="n">
        <v>24609</v>
      </c>
      <c r="G1594" t="n">
        <v>4</v>
      </c>
      <c r="H1594" t="n">
        <v>12</v>
      </c>
      <c r="I1594" t="n">
        <v>95505</v>
      </c>
    </row>
    <row r="1595">
      <c r="A1595" t="n">
        <v>1594</v>
      </c>
      <c r="B1595" t="inlineStr">
        <is>
          <t>Train</t>
        </is>
      </c>
      <c r="C1595" t="n">
        <v>3460</v>
      </c>
      <c r="D1595" t="n">
        <v>14260</v>
      </c>
      <c r="E1595" t="n">
        <v>42</v>
      </c>
      <c r="F1595" t="n">
        <v>0</v>
      </c>
      <c r="G1595" t="n">
        <v>0</v>
      </c>
      <c r="H1595" t="n">
        <v>0</v>
      </c>
      <c r="I1595" t="n">
        <v>122520</v>
      </c>
    </row>
    <row r="1596">
      <c r="A1596" t="n">
        <v>1595</v>
      </c>
      <c r="B1596" t="inlineStr">
        <is>
          <t>Train</t>
        </is>
      </c>
      <c r="C1596" t="n">
        <v>575</v>
      </c>
      <c r="D1596" t="n">
        <v>14650</v>
      </c>
      <c r="E1596" t="n">
        <v>51</v>
      </c>
      <c r="F1596" t="n">
        <v>80479</v>
      </c>
      <c r="G1596" t="n">
        <v>4</v>
      </c>
      <c r="H1596" t="n">
        <v>8</v>
      </c>
      <c r="I1596" t="n">
        <v>0</v>
      </c>
    </row>
    <row r="1597">
      <c r="A1597" t="n">
        <v>1596</v>
      </c>
      <c r="B1597" t="inlineStr">
        <is>
          <t>Train</t>
        </is>
      </c>
      <c r="C1597" t="n">
        <v>10788</v>
      </c>
      <c r="D1597" t="n">
        <v>33610</v>
      </c>
      <c r="E1597" t="n">
        <v>46</v>
      </c>
      <c r="F1597" t="n">
        <v>112213</v>
      </c>
      <c r="G1597" t="n">
        <v>4</v>
      </c>
      <c r="H1597" t="n">
        <v>14</v>
      </c>
      <c r="I1597" t="n">
        <v>0</v>
      </c>
    </row>
    <row r="1598">
      <c r="A1598" t="n">
        <v>1597</v>
      </c>
      <c r="B1598" t="inlineStr">
        <is>
          <t>Validation</t>
        </is>
      </c>
      <c r="C1598" t="n">
        <v>8380</v>
      </c>
      <c r="D1598" t="n">
        <v>18170</v>
      </c>
      <c r="E1598" t="n">
        <v>28</v>
      </c>
      <c r="F1598" t="n">
        <v>31745</v>
      </c>
      <c r="G1598" t="n">
        <v>4</v>
      </c>
      <c r="H1598" t="n">
        <v>7</v>
      </c>
      <c r="I1598" t="n">
        <v>140248</v>
      </c>
    </row>
    <row r="1599">
      <c r="A1599" t="n">
        <v>1598</v>
      </c>
      <c r="B1599" t="inlineStr">
        <is>
          <t>Validation</t>
        </is>
      </c>
      <c r="C1599" t="n">
        <v>3884</v>
      </c>
      <c r="D1599" t="n">
        <v>24480</v>
      </c>
      <c r="E1599" t="n">
        <v>47</v>
      </c>
      <c r="F1599" t="n">
        <v>62216</v>
      </c>
      <c r="G1599" t="n">
        <v>3</v>
      </c>
      <c r="H1599" t="n">
        <v>9</v>
      </c>
      <c r="I1599" t="n">
        <v>242564</v>
      </c>
    </row>
    <row r="1600">
      <c r="A1600" t="n">
        <v>1599</v>
      </c>
      <c r="B1600" t="inlineStr">
        <is>
          <t>Validation</t>
        </is>
      </c>
      <c r="C1600" t="n">
        <v>6557</v>
      </c>
      <c r="D1600" t="n">
        <v>27770</v>
      </c>
      <c r="E1600" t="n">
        <v>42</v>
      </c>
      <c r="F1600" t="n">
        <v>112205</v>
      </c>
      <c r="G1600" t="n">
        <v>5</v>
      </c>
      <c r="H1600" t="n">
        <v>13</v>
      </c>
      <c r="I1600" t="n">
        <v>311529</v>
      </c>
    </row>
    <row r="1601">
      <c r="A1601" t="n">
        <v>1600</v>
      </c>
      <c r="B1601" t="inlineStr">
        <is>
          <t>Train</t>
        </is>
      </c>
      <c r="C1601" t="n">
        <v>8498</v>
      </c>
      <c r="D1601" t="n">
        <v>7320</v>
      </c>
      <c r="E1601" t="n">
        <v>56</v>
      </c>
      <c r="F1601" t="n">
        <v>25632</v>
      </c>
      <c r="G1601" t="n">
        <v>4</v>
      </c>
      <c r="H1601" t="n">
        <v>15</v>
      </c>
      <c r="I1601" t="n">
        <v>0</v>
      </c>
    </row>
    <row r="1602">
      <c r="A1602" t="n">
        <v>1601</v>
      </c>
      <c r="B1602" t="inlineStr">
        <is>
          <t>Train</t>
        </is>
      </c>
      <c r="C1602" t="n">
        <v>8303</v>
      </c>
      <c r="D1602" t="n">
        <v>17750</v>
      </c>
      <c r="E1602" t="n">
        <v>51</v>
      </c>
      <c r="F1602" t="n">
        <v>47204</v>
      </c>
      <c r="G1602" t="n">
        <v>0</v>
      </c>
      <c r="H1602" t="n">
        <v>7</v>
      </c>
      <c r="I1602" t="n">
        <v>0</v>
      </c>
    </row>
    <row r="1603">
      <c r="A1603" t="n">
        <v>1602</v>
      </c>
      <c r="B1603" t="inlineStr">
        <is>
          <t>Train</t>
        </is>
      </c>
      <c r="C1603" t="n">
        <v>51904</v>
      </c>
      <c r="D1603" t="n">
        <v>11490</v>
      </c>
      <c r="E1603" t="n">
        <v>51</v>
      </c>
      <c r="F1603" t="n">
        <v>77030</v>
      </c>
      <c r="G1603" t="n">
        <v>4</v>
      </c>
      <c r="H1603" t="n">
        <v>12</v>
      </c>
      <c r="I1603" t="n">
        <v>0</v>
      </c>
    </row>
    <row r="1604">
      <c r="A1604" t="n">
        <v>1603</v>
      </c>
      <c r="B1604" t="inlineStr">
        <is>
          <t>Train</t>
        </is>
      </c>
      <c r="C1604" t="n">
        <v>6935</v>
      </c>
      <c r="D1604" t="n">
        <v>5800</v>
      </c>
      <c r="E1604" t="n">
        <v>43</v>
      </c>
      <c r="F1604" t="n">
        <v>0</v>
      </c>
      <c r="G1604" t="n">
        <v>5</v>
      </c>
      <c r="H1604" t="n">
        <v>0</v>
      </c>
      <c r="I1604" t="n">
        <v>0</v>
      </c>
    </row>
    <row r="1605">
      <c r="A1605" t="n">
        <v>1604</v>
      </c>
      <c r="B1605" t="inlineStr">
        <is>
          <t>Train</t>
        </is>
      </c>
      <c r="C1605" t="n">
        <v>5311</v>
      </c>
      <c r="D1605" t="n">
        <v>11130</v>
      </c>
      <c r="E1605" t="n">
        <v>43</v>
      </c>
      <c r="F1605" t="n">
        <v>70029</v>
      </c>
      <c r="G1605" t="n">
        <v>7</v>
      </c>
      <c r="H1605" t="n">
        <v>14</v>
      </c>
      <c r="I1605" t="n">
        <v>210170</v>
      </c>
    </row>
    <row r="1606">
      <c r="A1606" t="n">
        <v>1605</v>
      </c>
      <c r="B1606" t="inlineStr">
        <is>
          <t>Train</t>
        </is>
      </c>
      <c r="C1606" t="n">
        <v>4640</v>
      </c>
      <c r="D1606" t="n">
        <v>17750</v>
      </c>
      <c r="E1606" t="n">
        <v>25</v>
      </c>
      <c r="F1606" t="n">
        <v>75385</v>
      </c>
      <c r="G1606" t="n">
        <v>4</v>
      </c>
      <c r="H1606" t="n">
        <v>15</v>
      </c>
      <c r="I1606" t="n">
        <v>254055</v>
      </c>
    </row>
    <row r="1607">
      <c r="A1607" t="n">
        <v>1606</v>
      </c>
      <c r="B1607" t="inlineStr">
        <is>
          <t>Train</t>
        </is>
      </c>
      <c r="C1607" t="n">
        <v>12373</v>
      </c>
      <c r="D1607" t="n">
        <v>17760</v>
      </c>
      <c r="E1607" t="n">
        <v>48</v>
      </c>
      <c r="F1607" t="n">
        <v>16923</v>
      </c>
      <c r="G1607" t="n">
        <v>4</v>
      </c>
      <c r="H1607" t="n">
        <v>13</v>
      </c>
      <c r="I1607" t="n">
        <v>115976</v>
      </c>
    </row>
    <row r="1608">
      <c r="A1608" t="n">
        <v>1607</v>
      </c>
      <c r="B1608" t="inlineStr">
        <is>
          <t>Validation</t>
        </is>
      </c>
      <c r="C1608" t="n">
        <v>3863</v>
      </c>
      <c r="D1608" t="n">
        <v>6400</v>
      </c>
      <c r="E1608" t="n">
        <v>49</v>
      </c>
      <c r="F1608" t="n">
        <v>73241</v>
      </c>
      <c r="G1608" t="n">
        <v>0</v>
      </c>
      <c r="H1608" t="n">
        <v>10</v>
      </c>
      <c r="I1608" t="n">
        <v>0</v>
      </c>
    </row>
    <row r="1609">
      <c r="A1609" t="n">
        <v>1608</v>
      </c>
      <c r="B1609" t="inlineStr">
        <is>
          <t>Validation</t>
        </is>
      </c>
      <c r="C1609" t="n">
        <v>2516</v>
      </c>
      <c r="D1609" t="n">
        <v>13190</v>
      </c>
      <c r="E1609" t="n">
        <v>49</v>
      </c>
      <c r="F1609" t="n">
        <v>48215</v>
      </c>
      <c r="G1609" t="n">
        <v>2</v>
      </c>
      <c r="H1609" t="n">
        <v>11</v>
      </c>
      <c r="I1609" t="n">
        <v>0</v>
      </c>
    </row>
    <row r="1610">
      <c r="A1610" t="n">
        <v>1609</v>
      </c>
      <c r="B1610" t="inlineStr">
        <is>
          <t>Validation</t>
        </is>
      </c>
      <c r="C1610" t="n">
        <v>8136</v>
      </c>
      <c r="D1610" t="n">
        <v>4600</v>
      </c>
      <c r="E1610" t="n">
        <v>31</v>
      </c>
      <c r="F1610" t="n">
        <v>0</v>
      </c>
      <c r="G1610" t="n">
        <v>6</v>
      </c>
      <c r="H1610" t="n">
        <v>0</v>
      </c>
      <c r="I1610" t="n">
        <v>0</v>
      </c>
    </row>
    <row r="1611">
      <c r="A1611" t="n">
        <v>1610</v>
      </c>
      <c r="B1611" t="inlineStr">
        <is>
          <t>Train</t>
        </is>
      </c>
      <c r="C1611" t="n">
        <v>2317</v>
      </c>
      <c r="D1611" t="n">
        <v>17310</v>
      </c>
      <c r="E1611" t="n">
        <v>48</v>
      </c>
      <c r="F1611" t="n">
        <v>90044</v>
      </c>
      <c r="G1611" t="n">
        <v>0</v>
      </c>
      <c r="H1611" t="n">
        <v>10</v>
      </c>
      <c r="I1611" t="n">
        <v>0</v>
      </c>
    </row>
    <row r="1612">
      <c r="A1612" t="n">
        <v>1611</v>
      </c>
      <c r="B1612" t="inlineStr">
        <is>
          <t>Train</t>
        </is>
      </c>
      <c r="C1612" t="n">
        <v>3449</v>
      </c>
      <c r="D1612" t="n">
        <v>19670</v>
      </c>
      <c r="E1612" t="n">
        <v>29</v>
      </c>
      <c r="F1612" t="n">
        <v>0</v>
      </c>
      <c r="G1612" t="n">
        <v>3</v>
      </c>
      <c r="H1612" t="n">
        <v>0</v>
      </c>
      <c r="I1612" t="n">
        <v>100948</v>
      </c>
    </row>
    <row r="1613">
      <c r="A1613" t="n">
        <v>1612</v>
      </c>
      <c r="B1613" t="inlineStr">
        <is>
          <t>Train</t>
        </is>
      </c>
      <c r="C1613" t="n">
        <v>572</v>
      </c>
      <c r="D1613" t="n">
        <v>20380</v>
      </c>
      <c r="E1613" t="n">
        <v>45</v>
      </c>
      <c r="F1613" t="n">
        <v>20653</v>
      </c>
      <c r="G1613" t="n">
        <v>0</v>
      </c>
      <c r="H1613" t="n">
        <v>15</v>
      </c>
      <c r="I1613" t="n">
        <v>140294</v>
      </c>
    </row>
    <row r="1614">
      <c r="A1614" t="n">
        <v>1613</v>
      </c>
      <c r="B1614" t="inlineStr">
        <is>
          <t>Train</t>
        </is>
      </c>
      <c r="C1614" t="n">
        <v>3136</v>
      </c>
      <c r="D1614" t="n">
        <v>15420</v>
      </c>
      <c r="E1614" t="n">
        <v>48</v>
      </c>
      <c r="F1614" t="n">
        <v>91245</v>
      </c>
      <c r="G1614" t="n">
        <v>8</v>
      </c>
      <c r="H1614" t="n">
        <v>10</v>
      </c>
      <c r="I1614" t="n">
        <v>278928</v>
      </c>
    </row>
    <row r="1615">
      <c r="A1615" t="n">
        <v>1614</v>
      </c>
      <c r="B1615" t="inlineStr">
        <is>
          <t>Train</t>
        </is>
      </c>
      <c r="C1615" t="n">
        <v>32747</v>
      </c>
      <c r="D1615" t="n">
        <v>12550</v>
      </c>
      <c r="E1615" t="n">
        <v>39</v>
      </c>
      <c r="F1615" t="n">
        <v>41869</v>
      </c>
      <c r="G1615" t="n">
        <v>0</v>
      </c>
      <c r="H1615" t="n">
        <v>11</v>
      </c>
      <c r="I1615" t="n">
        <v>165820</v>
      </c>
    </row>
    <row r="1616">
      <c r="A1616" t="n">
        <v>1615</v>
      </c>
      <c r="B1616" t="inlineStr">
        <is>
          <t>Train</t>
        </is>
      </c>
      <c r="C1616" t="n">
        <v>31664</v>
      </c>
      <c r="D1616" t="n">
        <v>9500</v>
      </c>
      <c r="E1616" t="n">
        <v>48</v>
      </c>
      <c r="F1616" t="n">
        <v>23588</v>
      </c>
      <c r="G1616" t="n">
        <v>3</v>
      </c>
      <c r="H1616" t="n">
        <v>10</v>
      </c>
      <c r="I1616" t="n">
        <v>174929</v>
      </c>
    </row>
    <row r="1617">
      <c r="A1617" t="n">
        <v>1616</v>
      </c>
      <c r="B1617" t="inlineStr">
        <is>
          <t>Train</t>
        </is>
      </c>
      <c r="C1617" t="n">
        <v>7136</v>
      </c>
      <c r="D1617" t="n">
        <v>5100</v>
      </c>
      <c r="E1617" t="n">
        <v>37</v>
      </c>
      <c r="F1617" t="n">
        <v>45282</v>
      </c>
      <c r="G1617" t="n">
        <v>4</v>
      </c>
      <c r="H1617" t="n">
        <v>10</v>
      </c>
      <c r="I1617" t="n">
        <v>170166</v>
      </c>
    </row>
    <row r="1618">
      <c r="A1618" t="n">
        <v>1617</v>
      </c>
      <c r="B1618" t="inlineStr">
        <is>
          <t>Validation</t>
        </is>
      </c>
      <c r="C1618" t="n">
        <v>38845</v>
      </c>
      <c r="D1618" t="n">
        <v>8250</v>
      </c>
      <c r="E1618" t="n">
        <v>34</v>
      </c>
      <c r="F1618" t="n">
        <v>33538</v>
      </c>
      <c r="G1618" t="n">
        <v>2</v>
      </c>
      <c r="H1618" t="n">
        <v>9</v>
      </c>
      <c r="I1618" t="n">
        <v>0</v>
      </c>
    </row>
    <row r="1619">
      <c r="A1619" t="n">
        <v>1618</v>
      </c>
      <c r="B1619" t="inlineStr">
        <is>
          <t>Validation</t>
        </is>
      </c>
      <c r="C1619" t="n">
        <v>3175</v>
      </c>
      <c r="D1619" t="n">
        <v>19700</v>
      </c>
      <c r="E1619" t="n">
        <v>50</v>
      </c>
      <c r="F1619" t="n">
        <v>89157</v>
      </c>
      <c r="G1619" t="n">
        <v>0</v>
      </c>
      <c r="H1619" t="n">
        <v>12</v>
      </c>
      <c r="I1619" t="n">
        <v>257091</v>
      </c>
    </row>
    <row r="1620">
      <c r="A1620" t="n">
        <v>1619</v>
      </c>
      <c r="B1620" t="inlineStr">
        <is>
          <t>Validation</t>
        </is>
      </c>
      <c r="C1620" t="n">
        <v>9469</v>
      </c>
      <c r="D1620" t="n">
        <v>21320</v>
      </c>
      <c r="E1620" t="n">
        <v>39</v>
      </c>
      <c r="F1620" t="n">
        <v>30618</v>
      </c>
      <c r="G1620" t="n">
        <v>0</v>
      </c>
      <c r="H1620" t="n">
        <v>10</v>
      </c>
      <c r="I1620" t="n">
        <v>157285</v>
      </c>
    </row>
    <row r="1621">
      <c r="A1621" t="n">
        <v>1620</v>
      </c>
      <c r="B1621" t="inlineStr">
        <is>
          <t>Train</t>
        </is>
      </c>
      <c r="C1621" t="n">
        <v>7328</v>
      </c>
      <c r="D1621" t="n">
        <v>25590</v>
      </c>
      <c r="E1621" t="n">
        <v>42</v>
      </c>
      <c r="F1621" t="n">
        <v>73376</v>
      </c>
      <c r="G1621" t="n">
        <v>5</v>
      </c>
      <c r="H1621" t="n">
        <v>10</v>
      </c>
      <c r="I1621" t="n">
        <v>0</v>
      </c>
    </row>
    <row r="1622">
      <c r="A1622" t="n">
        <v>1621</v>
      </c>
      <c r="B1622" t="inlineStr">
        <is>
          <t>Train</t>
        </is>
      </c>
      <c r="C1622" t="n">
        <v>4736</v>
      </c>
      <c r="D1622" t="n">
        <v>34990</v>
      </c>
      <c r="E1622" t="n">
        <v>62</v>
      </c>
      <c r="F1622" t="n">
        <v>66739</v>
      </c>
      <c r="G1622" t="n">
        <v>3</v>
      </c>
      <c r="H1622" t="n">
        <v>15</v>
      </c>
      <c r="I1622" t="n">
        <v>0</v>
      </c>
    </row>
    <row r="1623">
      <c r="A1623" t="n">
        <v>1622</v>
      </c>
      <c r="B1623" t="inlineStr">
        <is>
          <t>Train</t>
        </is>
      </c>
      <c r="C1623" t="n">
        <v>8414</v>
      </c>
      <c r="D1623" t="n">
        <v>27790</v>
      </c>
      <c r="E1623" t="n">
        <v>46</v>
      </c>
      <c r="F1623" t="n">
        <v>24306</v>
      </c>
      <c r="G1623" t="n">
        <v>4</v>
      </c>
      <c r="H1623" t="n">
        <v>12</v>
      </c>
      <c r="I1623" t="n">
        <v>150872</v>
      </c>
    </row>
    <row r="1624">
      <c r="A1624" t="n">
        <v>1623</v>
      </c>
      <c r="B1624" t="inlineStr">
        <is>
          <t>Train</t>
        </is>
      </c>
      <c r="C1624" t="n">
        <v>8007</v>
      </c>
      <c r="D1624" t="n">
        <v>24510</v>
      </c>
      <c r="E1624" t="n">
        <v>51</v>
      </c>
      <c r="F1624" t="n">
        <v>48680</v>
      </c>
      <c r="G1624" t="n">
        <v>0</v>
      </c>
      <c r="H1624" t="n">
        <v>14</v>
      </c>
      <c r="I1624" t="n">
        <v>193602</v>
      </c>
    </row>
    <row r="1625">
      <c r="A1625" t="n">
        <v>1624</v>
      </c>
      <c r="B1625" t="inlineStr">
        <is>
          <t>Train</t>
        </is>
      </c>
      <c r="C1625" t="n">
        <v>5971</v>
      </c>
      <c r="D1625" t="n">
        <v>21520</v>
      </c>
      <c r="E1625" t="n">
        <v>36</v>
      </c>
      <c r="F1625" t="n">
        <v>28989</v>
      </c>
      <c r="G1625" t="n">
        <v>6</v>
      </c>
      <c r="H1625" t="n">
        <v>12</v>
      </c>
      <c r="I1625" t="n">
        <v>191192</v>
      </c>
    </row>
    <row r="1626">
      <c r="A1626" t="n">
        <v>1625</v>
      </c>
      <c r="B1626" t="inlineStr">
        <is>
          <t>Train</t>
        </is>
      </c>
      <c r="C1626" t="n">
        <v>22262</v>
      </c>
      <c r="D1626" t="n">
        <v>16920</v>
      </c>
      <c r="E1626" t="n">
        <v>45</v>
      </c>
      <c r="F1626" t="n">
        <v>28538</v>
      </c>
      <c r="G1626" t="n">
        <v>7</v>
      </c>
      <c r="H1626" t="n">
        <v>17</v>
      </c>
      <c r="I1626" t="n">
        <v>140924</v>
      </c>
    </row>
    <row r="1627">
      <c r="A1627" t="n">
        <v>1626</v>
      </c>
      <c r="B1627" t="inlineStr">
        <is>
          <t>Train</t>
        </is>
      </c>
      <c r="C1627" t="n">
        <v>4758</v>
      </c>
      <c r="D1627" t="n">
        <v>14550</v>
      </c>
      <c r="E1627" t="n">
        <v>46</v>
      </c>
      <c r="F1627" t="n">
        <v>45626</v>
      </c>
      <c r="G1627" t="n">
        <v>0</v>
      </c>
      <c r="H1627" t="n">
        <v>10</v>
      </c>
      <c r="I1627" t="n">
        <v>183557</v>
      </c>
    </row>
    <row r="1628">
      <c r="A1628" t="n">
        <v>1627</v>
      </c>
      <c r="B1628" t="inlineStr">
        <is>
          <t>Validation</t>
        </is>
      </c>
      <c r="C1628" t="n">
        <v>5804</v>
      </c>
      <c r="D1628" t="n">
        <v>10840</v>
      </c>
      <c r="E1628" t="n">
        <v>34</v>
      </c>
      <c r="F1628" t="n">
        <v>7806</v>
      </c>
      <c r="G1628" t="n">
        <v>4</v>
      </c>
      <c r="H1628" t="n">
        <v>11</v>
      </c>
      <c r="I1628" t="n">
        <v>0</v>
      </c>
    </row>
    <row r="1629">
      <c r="A1629" t="n">
        <v>1628</v>
      </c>
      <c r="B1629" t="inlineStr">
        <is>
          <t>Validation</t>
        </is>
      </c>
      <c r="C1629" t="n">
        <v>6999</v>
      </c>
      <c r="D1629" t="n">
        <v>5500</v>
      </c>
      <c r="E1629" t="n">
        <v>40</v>
      </c>
      <c r="F1629" t="n">
        <v>76548</v>
      </c>
      <c r="G1629" t="n">
        <v>2</v>
      </c>
      <c r="H1629" t="n">
        <v>11</v>
      </c>
      <c r="I1629" t="n">
        <v>214584</v>
      </c>
    </row>
    <row r="1630">
      <c r="A1630" t="n">
        <v>1629</v>
      </c>
      <c r="B1630" t="inlineStr">
        <is>
          <t>Validation</t>
        </is>
      </c>
      <c r="C1630" t="n">
        <v>8212</v>
      </c>
      <c r="D1630" t="n">
        <v>19540</v>
      </c>
      <c r="E1630" t="n">
        <v>48</v>
      </c>
      <c r="F1630" t="n">
        <v>106752</v>
      </c>
      <c r="G1630" t="n">
        <v>2</v>
      </c>
      <c r="H1630" t="n">
        <v>10</v>
      </c>
      <c r="I1630" t="n">
        <v>0</v>
      </c>
    </row>
    <row r="1631">
      <c r="A1631" t="n">
        <v>1630</v>
      </c>
      <c r="B1631" t="inlineStr">
        <is>
          <t>Train</t>
        </is>
      </c>
      <c r="C1631" t="n">
        <v>3598</v>
      </c>
      <c r="D1631" t="n">
        <v>13720</v>
      </c>
      <c r="E1631" t="n">
        <v>40</v>
      </c>
      <c r="F1631" t="n">
        <v>46337</v>
      </c>
      <c r="G1631" t="n">
        <v>3</v>
      </c>
      <c r="H1631" t="n">
        <v>7</v>
      </c>
      <c r="I1631" t="n">
        <v>178708</v>
      </c>
    </row>
    <row r="1632">
      <c r="A1632" t="n">
        <v>1631</v>
      </c>
      <c r="B1632" t="inlineStr">
        <is>
          <t>Train</t>
        </is>
      </c>
      <c r="C1632" t="n">
        <v>5531</v>
      </c>
      <c r="D1632" t="n">
        <v>13990</v>
      </c>
      <c r="E1632" t="n">
        <v>46</v>
      </c>
      <c r="F1632" t="n">
        <v>78915</v>
      </c>
      <c r="G1632" t="n">
        <v>0</v>
      </c>
      <c r="H1632" t="n">
        <v>11</v>
      </c>
      <c r="I1632" t="n">
        <v>248764</v>
      </c>
    </row>
    <row r="1633">
      <c r="A1633" t="n">
        <v>1632</v>
      </c>
      <c r="B1633" t="inlineStr">
        <is>
          <t>Train</t>
        </is>
      </c>
      <c r="C1633" t="n">
        <v>42208</v>
      </c>
      <c r="D1633" t="n">
        <v>24280</v>
      </c>
      <c r="E1633" t="n">
        <v>26</v>
      </c>
      <c r="F1633" t="n">
        <v>21443</v>
      </c>
      <c r="G1633" t="n">
        <v>5</v>
      </c>
      <c r="H1633" t="n">
        <v>11</v>
      </c>
      <c r="I1633" t="n">
        <v>116421</v>
      </c>
    </row>
    <row r="1634">
      <c r="A1634" t="n">
        <v>1633</v>
      </c>
      <c r="B1634" t="inlineStr">
        <is>
          <t>Train</t>
        </is>
      </c>
      <c r="C1634" t="n">
        <v>33961</v>
      </c>
      <c r="D1634" t="n">
        <v>26550</v>
      </c>
      <c r="E1634" t="n">
        <v>34</v>
      </c>
      <c r="F1634" t="n">
        <v>0</v>
      </c>
      <c r="G1634" t="n">
        <v>7</v>
      </c>
      <c r="H1634" t="n">
        <v>0</v>
      </c>
      <c r="I1634" t="n">
        <v>0</v>
      </c>
    </row>
    <row r="1635">
      <c r="A1635" t="n">
        <v>1634</v>
      </c>
      <c r="B1635" t="inlineStr">
        <is>
          <t>Train</t>
        </is>
      </c>
      <c r="C1635" t="n">
        <v>29919</v>
      </c>
      <c r="D1635" t="n">
        <v>45360</v>
      </c>
      <c r="E1635" t="n">
        <v>42</v>
      </c>
      <c r="F1635" t="n">
        <v>27253</v>
      </c>
      <c r="G1635" t="n">
        <v>0</v>
      </c>
      <c r="H1635" t="n">
        <v>11</v>
      </c>
      <c r="I1635" t="n">
        <v>0</v>
      </c>
    </row>
    <row r="1636">
      <c r="A1636" t="n">
        <v>1635</v>
      </c>
      <c r="B1636" t="inlineStr">
        <is>
          <t>Train</t>
        </is>
      </c>
      <c r="C1636" t="n">
        <v>7148</v>
      </c>
      <c r="D1636" t="n">
        <v>23140</v>
      </c>
      <c r="E1636" t="n">
        <v>43</v>
      </c>
      <c r="F1636" t="n">
        <v>62638</v>
      </c>
      <c r="G1636" t="n">
        <v>4</v>
      </c>
      <c r="H1636" t="n">
        <v>12</v>
      </c>
      <c r="I1636" t="n">
        <v>0</v>
      </c>
    </row>
    <row r="1637">
      <c r="A1637" t="n">
        <v>1636</v>
      </c>
      <c r="B1637" t="inlineStr">
        <is>
          <t>Train</t>
        </is>
      </c>
      <c r="C1637" t="n">
        <v>4896</v>
      </c>
      <c r="D1637" t="n">
        <v>32720</v>
      </c>
      <c r="E1637" t="n">
        <v>50</v>
      </c>
      <c r="F1637" t="n">
        <v>60395</v>
      </c>
      <c r="G1637" t="n">
        <v>2</v>
      </c>
      <c r="H1637" t="n">
        <v>10</v>
      </c>
      <c r="I1637" t="n">
        <v>194332</v>
      </c>
    </row>
    <row r="1638">
      <c r="A1638" t="n">
        <v>1637</v>
      </c>
      <c r="B1638" t="inlineStr">
        <is>
          <t>Validation</t>
        </is>
      </c>
      <c r="C1638" t="n">
        <v>4843</v>
      </c>
      <c r="D1638" t="n">
        <v>26550</v>
      </c>
      <c r="E1638" t="n">
        <v>61</v>
      </c>
      <c r="F1638" t="n">
        <v>62185</v>
      </c>
      <c r="G1638" t="n">
        <v>0</v>
      </c>
      <c r="H1638" t="n">
        <v>10</v>
      </c>
      <c r="I1638" t="n">
        <v>0</v>
      </c>
    </row>
    <row r="1639">
      <c r="A1639" t="n">
        <v>1638</v>
      </c>
      <c r="B1639" t="inlineStr">
        <is>
          <t>Validation</t>
        </is>
      </c>
      <c r="C1639" t="n">
        <v>7445</v>
      </c>
      <c r="D1639" t="n">
        <v>20410</v>
      </c>
      <c r="E1639" t="n">
        <v>67</v>
      </c>
      <c r="F1639" t="n">
        <v>45368</v>
      </c>
      <c r="G1639" t="n">
        <v>5</v>
      </c>
      <c r="H1639" t="n">
        <v>13</v>
      </c>
      <c r="I1639" t="n">
        <v>190399</v>
      </c>
    </row>
    <row r="1640">
      <c r="A1640" t="n">
        <v>1639</v>
      </c>
      <c r="B1640" t="inlineStr">
        <is>
          <t>Validation</t>
        </is>
      </c>
      <c r="C1640" t="n">
        <v>8539</v>
      </c>
      <c r="D1640" t="n">
        <v>36790</v>
      </c>
      <c r="E1640" t="n">
        <v>39</v>
      </c>
      <c r="F1640" t="n">
        <v>100474</v>
      </c>
      <c r="G1640" t="n">
        <v>4</v>
      </c>
      <c r="H1640" t="n">
        <v>10</v>
      </c>
      <c r="I1640" t="n">
        <v>0</v>
      </c>
    </row>
    <row r="1641">
      <c r="A1641" t="n">
        <v>1640</v>
      </c>
      <c r="B1641" t="inlineStr">
        <is>
          <t>Train</t>
        </is>
      </c>
      <c r="C1641" t="n">
        <v>32132</v>
      </c>
      <c r="D1641" t="n">
        <v>30380</v>
      </c>
      <c r="E1641" t="n">
        <v>39</v>
      </c>
      <c r="F1641" t="n">
        <v>55036</v>
      </c>
      <c r="G1641" t="n">
        <v>1</v>
      </c>
      <c r="H1641" t="n">
        <v>12</v>
      </c>
      <c r="I1641" t="n">
        <v>187649</v>
      </c>
    </row>
    <row r="1642">
      <c r="A1642" t="n">
        <v>1641</v>
      </c>
      <c r="B1642" t="inlineStr">
        <is>
          <t>Train</t>
        </is>
      </c>
      <c r="C1642" t="n">
        <v>5954</v>
      </c>
      <c r="D1642" t="n">
        <v>19520</v>
      </c>
      <c r="E1642" t="n">
        <v>49</v>
      </c>
      <c r="F1642" t="n">
        <v>11069</v>
      </c>
      <c r="G1642" t="n">
        <v>5</v>
      </c>
      <c r="H1642" t="n">
        <v>6</v>
      </c>
      <c r="I1642" t="n">
        <v>0</v>
      </c>
    </row>
    <row r="1643">
      <c r="A1643" t="n">
        <v>1642</v>
      </c>
      <c r="B1643" t="inlineStr">
        <is>
          <t>Train</t>
        </is>
      </c>
      <c r="C1643" t="n">
        <v>3491</v>
      </c>
      <c r="D1643" t="n">
        <v>14310</v>
      </c>
      <c r="E1643" t="n">
        <v>51</v>
      </c>
      <c r="F1643" t="n">
        <v>103721</v>
      </c>
      <c r="G1643" t="n">
        <v>0</v>
      </c>
      <c r="H1643" t="n">
        <v>9</v>
      </c>
      <c r="I1643" t="n">
        <v>0</v>
      </c>
    </row>
    <row r="1644">
      <c r="A1644" t="n">
        <v>1643</v>
      </c>
      <c r="B1644" t="inlineStr">
        <is>
          <t>Train</t>
        </is>
      </c>
      <c r="C1644" t="n">
        <v>6840</v>
      </c>
      <c r="D1644" t="n">
        <v>14740</v>
      </c>
      <c r="E1644" t="n">
        <v>43</v>
      </c>
      <c r="F1644" t="n">
        <v>0</v>
      </c>
      <c r="G1644" t="n">
        <v>6</v>
      </c>
      <c r="H1644" t="n">
        <v>0</v>
      </c>
      <c r="I1644" t="n">
        <v>0</v>
      </c>
    </row>
    <row r="1645">
      <c r="A1645" t="n">
        <v>1644</v>
      </c>
      <c r="B1645" t="inlineStr">
        <is>
          <t>Train</t>
        </is>
      </c>
      <c r="C1645" t="n">
        <v>1019</v>
      </c>
      <c r="D1645" t="n">
        <v>25570</v>
      </c>
      <c r="E1645" t="n">
        <v>44</v>
      </c>
      <c r="F1645" t="n">
        <v>40825</v>
      </c>
      <c r="G1645" t="n">
        <v>0</v>
      </c>
      <c r="H1645" t="n">
        <v>13</v>
      </c>
      <c r="I1645" t="n">
        <v>193319</v>
      </c>
    </row>
    <row r="1646">
      <c r="A1646" t="n">
        <v>1645</v>
      </c>
      <c r="B1646" t="inlineStr">
        <is>
          <t>Train</t>
        </is>
      </c>
      <c r="C1646" t="n">
        <v>4749</v>
      </c>
      <c r="D1646" t="n">
        <v>23340</v>
      </c>
      <c r="E1646" t="n">
        <v>52</v>
      </c>
      <c r="F1646" t="n">
        <v>143242</v>
      </c>
      <c r="G1646" t="n">
        <v>5</v>
      </c>
      <c r="H1646" t="n">
        <v>13</v>
      </c>
      <c r="I1646" t="n">
        <v>364925</v>
      </c>
    </row>
    <row r="1647">
      <c r="A1647" t="n">
        <v>1646</v>
      </c>
      <c r="B1647" t="inlineStr">
        <is>
          <t>Train</t>
        </is>
      </c>
      <c r="C1647" t="n">
        <v>5970</v>
      </c>
      <c r="D1647" t="n">
        <v>11830</v>
      </c>
      <c r="E1647" t="n">
        <v>46</v>
      </c>
      <c r="F1647" t="n">
        <v>57323</v>
      </c>
      <c r="G1647" t="n">
        <v>0</v>
      </c>
      <c r="H1647" t="n">
        <v>13</v>
      </c>
      <c r="I1647" t="n">
        <v>0</v>
      </c>
    </row>
    <row r="1648">
      <c r="A1648" t="n">
        <v>1647</v>
      </c>
      <c r="B1648" t="inlineStr">
        <is>
          <t>Validation</t>
        </is>
      </c>
      <c r="C1648" t="n">
        <v>4367</v>
      </c>
      <c r="D1648" t="n">
        <v>6360</v>
      </c>
      <c r="E1648" t="n">
        <v>37</v>
      </c>
      <c r="F1648" t="n">
        <v>11607</v>
      </c>
      <c r="G1648" t="n">
        <v>0</v>
      </c>
      <c r="H1648" t="n">
        <v>14</v>
      </c>
      <c r="I1648" t="n">
        <v>132755</v>
      </c>
    </row>
    <row r="1649">
      <c r="A1649" t="n">
        <v>1648</v>
      </c>
      <c r="B1649" t="inlineStr">
        <is>
          <t>Validation</t>
        </is>
      </c>
      <c r="C1649" t="n">
        <v>26363</v>
      </c>
      <c r="D1649" t="n">
        <v>23410</v>
      </c>
      <c r="E1649" t="n">
        <v>33</v>
      </c>
      <c r="F1649" t="n">
        <v>119869</v>
      </c>
      <c r="G1649" t="n">
        <v>5</v>
      </c>
      <c r="H1649" t="n">
        <v>12</v>
      </c>
      <c r="I1649" t="n">
        <v>0</v>
      </c>
    </row>
    <row r="1650">
      <c r="A1650" t="n">
        <v>1649</v>
      </c>
      <c r="B1650" t="inlineStr">
        <is>
          <t>Validation</t>
        </is>
      </c>
      <c r="C1650" t="n">
        <v>3475</v>
      </c>
      <c r="D1650" t="n">
        <v>17270</v>
      </c>
      <c r="E1650" t="n">
        <v>46</v>
      </c>
      <c r="F1650" t="n">
        <v>24202</v>
      </c>
      <c r="G1650" t="n">
        <v>4</v>
      </c>
      <c r="H1650" t="n">
        <v>9</v>
      </c>
      <c r="I1650" t="n">
        <v>0</v>
      </c>
    </row>
    <row r="1651">
      <c r="A1651" t="n">
        <v>1650</v>
      </c>
      <c r="B1651" t="inlineStr">
        <is>
          <t>Train</t>
        </is>
      </c>
      <c r="C1651" t="n">
        <v>26281</v>
      </c>
      <c r="D1651" t="n">
        <v>16360</v>
      </c>
      <c r="E1651" t="n">
        <v>54</v>
      </c>
      <c r="F1651" t="n">
        <v>64548</v>
      </c>
      <c r="G1651" t="n">
        <v>3</v>
      </c>
      <c r="H1651" t="n">
        <v>15</v>
      </c>
      <c r="I1651" t="n">
        <v>251584</v>
      </c>
    </row>
    <row r="1652">
      <c r="A1652" t="n">
        <v>1651</v>
      </c>
      <c r="B1652" t="inlineStr">
        <is>
          <t>Train</t>
        </is>
      </c>
      <c r="C1652" t="n">
        <v>3647</v>
      </c>
      <c r="D1652" t="n">
        <v>11450</v>
      </c>
      <c r="E1652" t="n">
        <v>33</v>
      </c>
      <c r="F1652" t="n">
        <v>36351</v>
      </c>
      <c r="G1652" t="n">
        <v>3</v>
      </c>
      <c r="H1652" t="n">
        <v>14</v>
      </c>
      <c r="I1652" t="n">
        <v>193200</v>
      </c>
    </row>
    <row r="1653">
      <c r="A1653" t="n">
        <v>1652</v>
      </c>
      <c r="B1653" t="inlineStr">
        <is>
          <t>Train</t>
        </is>
      </c>
      <c r="C1653" t="n">
        <v>44835</v>
      </c>
      <c r="D1653" t="n">
        <v>12970</v>
      </c>
      <c r="E1653" t="n">
        <v>42</v>
      </c>
      <c r="F1653" t="n">
        <v>73232</v>
      </c>
      <c r="G1653" t="n">
        <v>5</v>
      </c>
      <c r="H1653" t="n">
        <v>12</v>
      </c>
      <c r="I1653" t="n">
        <v>242645</v>
      </c>
    </row>
    <row r="1654">
      <c r="A1654" t="n">
        <v>1653</v>
      </c>
      <c r="B1654" t="inlineStr">
        <is>
          <t>Train</t>
        </is>
      </c>
      <c r="C1654" t="n">
        <v>9102</v>
      </c>
      <c r="D1654" t="n">
        <v>12380</v>
      </c>
      <c r="E1654" t="n">
        <v>53</v>
      </c>
      <c r="F1654" t="n">
        <v>42907</v>
      </c>
      <c r="G1654" t="n">
        <v>4</v>
      </c>
      <c r="H1654" t="n">
        <v>8</v>
      </c>
      <c r="I1654" t="n">
        <v>159304</v>
      </c>
    </row>
    <row r="1655">
      <c r="A1655" t="n">
        <v>1654</v>
      </c>
      <c r="B1655" t="inlineStr">
        <is>
          <t>Train</t>
        </is>
      </c>
      <c r="C1655" t="n">
        <v>3119</v>
      </c>
      <c r="D1655" t="n">
        <v>9200</v>
      </c>
      <c r="E1655" t="n">
        <v>37</v>
      </c>
      <c r="F1655" t="n">
        <v>40012</v>
      </c>
      <c r="G1655" t="n">
        <v>2</v>
      </c>
      <c r="H1655" t="n">
        <v>12</v>
      </c>
      <c r="I1655" t="n">
        <v>200016</v>
      </c>
    </row>
    <row r="1656">
      <c r="A1656" t="n">
        <v>1655</v>
      </c>
      <c r="B1656" t="inlineStr">
        <is>
          <t>Train</t>
        </is>
      </c>
      <c r="C1656" t="n">
        <v>5630</v>
      </c>
      <c r="D1656" t="n">
        <v>20220</v>
      </c>
      <c r="E1656" t="n">
        <v>53</v>
      </c>
      <c r="F1656" t="n">
        <v>82824</v>
      </c>
      <c r="G1656" t="n">
        <v>7</v>
      </c>
      <c r="H1656" t="n">
        <v>10</v>
      </c>
      <c r="I1656" t="n">
        <v>293807</v>
      </c>
    </row>
    <row r="1657">
      <c r="A1657" t="n">
        <v>1656</v>
      </c>
      <c r="B1657" t="inlineStr">
        <is>
          <t>Train</t>
        </is>
      </c>
      <c r="C1657" t="n">
        <v>35909</v>
      </c>
      <c r="D1657" t="n">
        <v>8410</v>
      </c>
      <c r="E1657" t="n">
        <v>39</v>
      </c>
      <c r="F1657" t="n">
        <v>30119</v>
      </c>
      <c r="G1657" t="n">
        <v>0</v>
      </c>
      <c r="H1657" t="n">
        <v>8</v>
      </c>
      <c r="I1657" t="n">
        <v>157162</v>
      </c>
    </row>
    <row r="1658">
      <c r="A1658" t="n">
        <v>1657</v>
      </c>
      <c r="B1658" t="inlineStr">
        <is>
          <t>Validation</t>
        </is>
      </c>
      <c r="C1658" t="n">
        <v>1380</v>
      </c>
      <c r="D1658" t="n">
        <v>23570</v>
      </c>
      <c r="E1658" t="n">
        <v>44</v>
      </c>
      <c r="F1658" t="n">
        <v>0</v>
      </c>
      <c r="G1658" t="n">
        <v>3</v>
      </c>
      <c r="H1658" t="n">
        <v>0</v>
      </c>
      <c r="I1658" t="n">
        <v>0</v>
      </c>
    </row>
    <row r="1659">
      <c r="A1659" t="n">
        <v>1658</v>
      </c>
      <c r="B1659" t="inlineStr">
        <is>
          <t>Validation</t>
        </is>
      </c>
      <c r="C1659" t="n">
        <v>6808</v>
      </c>
      <c r="D1659" t="n">
        <v>23840</v>
      </c>
      <c r="E1659" t="n">
        <v>36</v>
      </c>
      <c r="F1659" t="n">
        <v>132953</v>
      </c>
      <c r="G1659" t="n">
        <v>4</v>
      </c>
      <c r="H1659" t="n">
        <v>11</v>
      </c>
      <c r="I1659" t="n">
        <v>318007</v>
      </c>
    </row>
    <row r="1660">
      <c r="A1660" t="n">
        <v>1659</v>
      </c>
      <c r="B1660" t="inlineStr">
        <is>
          <t>Validation</t>
        </is>
      </c>
      <c r="C1660" t="n">
        <v>7675</v>
      </c>
      <c r="D1660" t="n">
        <v>16990</v>
      </c>
      <c r="E1660" t="n">
        <v>67</v>
      </c>
      <c r="F1660" t="n">
        <v>52955</v>
      </c>
      <c r="G1660" t="n">
        <v>2</v>
      </c>
      <c r="H1660" t="n">
        <v>5</v>
      </c>
      <c r="I1660" t="n">
        <v>208565</v>
      </c>
    </row>
    <row r="1661">
      <c r="A1661" t="n">
        <v>1660</v>
      </c>
      <c r="B1661" t="inlineStr">
        <is>
          <t>Train</t>
        </is>
      </c>
      <c r="C1661" t="n">
        <v>949</v>
      </c>
      <c r="D1661" t="n">
        <v>25240</v>
      </c>
      <c r="E1661" t="n">
        <v>46</v>
      </c>
      <c r="F1661" t="n">
        <v>177832</v>
      </c>
      <c r="G1661" t="n">
        <v>2</v>
      </c>
      <c r="H1661" t="n">
        <v>9</v>
      </c>
      <c r="I1661" t="n">
        <v>471670</v>
      </c>
    </row>
    <row r="1662">
      <c r="A1662" t="n">
        <v>1661</v>
      </c>
      <c r="B1662" t="inlineStr">
        <is>
          <t>Train</t>
        </is>
      </c>
      <c r="C1662" t="n">
        <v>3397</v>
      </c>
      <c r="D1662" t="n">
        <v>21800</v>
      </c>
      <c r="E1662" t="n">
        <v>47</v>
      </c>
      <c r="F1662" t="n">
        <v>40875</v>
      </c>
      <c r="G1662" t="n">
        <v>4</v>
      </c>
      <c r="H1662" t="n">
        <v>12</v>
      </c>
      <c r="I1662" t="n">
        <v>179476</v>
      </c>
    </row>
    <row r="1663">
      <c r="A1663" t="n">
        <v>1662</v>
      </c>
      <c r="B1663" t="inlineStr">
        <is>
          <t>Train</t>
        </is>
      </c>
      <c r="C1663" t="n">
        <v>8844</v>
      </c>
      <c r="D1663" t="n">
        <v>8460</v>
      </c>
      <c r="E1663" t="n">
        <v>43</v>
      </c>
      <c r="F1663" t="n">
        <v>82795</v>
      </c>
      <c r="G1663" t="n">
        <v>7</v>
      </c>
      <c r="H1663" t="n">
        <v>4</v>
      </c>
      <c r="I1663" t="n">
        <v>0</v>
      </c>
    </row>
    <row r="1664">
      <c r="A1664" t="n">
        <v>1663</v>
      </c>
      <c r="B1664" t="inlineStr">
        <is>
          <t>Train</t>
        </is>
      </c>
      <c r="C1664" t="n">
        <v>27369</v>
      </c>
      <c r="D1664" t="n">
        <v>6500</v>
      </c>
      <c r="E1664" t="n">
        <v>50</v>
      </c>
      <c r="F1664" t="n">
        <v>216924</v>
      </c>
      <c r="G1664" t="n">
        <v>5</v>
      </c>
      <c r="H1664" t="n">
        <v>10</v>
      </c>
      <c r="I1664" t="n">
        <v>0</v>
      </c>
    </row>
    <row r="1665">
      <c r="A1665" t="n">
        <v>1664</v>
      </c>
      <c r="B1665" t="inlineStr">
        <is>
          <t>Train</t>
        </is>
      </c>
      <c r="C1665" t="n">
        <v>31567</v>
      </c>
      <c r="D1665" t="n">
        <v>8830</v>
      </c>
      <c r="E1665" t="n">
        <v>47</v>
      </c>
      <c r="F1665" t="n">
        <v>28600</v>
      </c>
      <c r="G1665" t="n">
        <v>3</v>
      </c>
      <c r="H1665" t="n">
        <v>10</v>
      </c>
      <c r="I1665" t="n">
        <v>0</v>
      </c>
    </row>
    <row r="1666">
      <c r="A1666" t="n">
        <v>1665</v>
      </c>
      <c r="B1666" t="inlineStr">
        <is>
          <t>Train</t>
        </is>
      </c>
      <c r="C1666" t="n">
        <v>17372</v>
      </c>
      <c r="D1666" t="n">
        <v>1500</v>
      </c>
      <c r="E1666" t="n">
        <v>37</v>
      </c>
      <c r="F1666" t="n">
        <v>0</v>
      </c>
      <c r="G1666" t="n">
        <v>4</v>
      </c>
      <c r="H1666" t="n">
        <v>0</v>
      </c>
      <c r="I1666" t="n">
        <v>0</v>
      </c>
    </row>
    <row r="1667">
      <c r="A1667" t="n">
        <v>1666</v>
      </c>
      <c r="B1667" t="inlineStr">
        <is>
          <t>Train</t>
        </is>
      </c>
      <c r="C1667" t="n">
        <v>28158</v>
      </c>
      <c r="D1667" t="n">
        <v>16860</v>
      </c>
      <c r="E1667" t="n">
        <v>58</v>
      </c>
      <c r="F1667" t="n">
        <v>46946</v>
      </c>
      <c r="G1667" t="n">
        <v>3</v>
      </c>
      <c r="H1667" t="n">
        <v>10</v>
      </c>
      <c r="I1667" t="n">
        <v>247003</v>
      </c>
    </row>
    <row r="1668">
      <c r="A1668" t="n">
        <v>1667</v>
      </c>
      <c r="B1668" t="inlineStr">
        <is>
          <t>Validation</t>
        </is>
      </c>
      <c r="C1668" t="n">
        <v>6297</v>
      </c>
      <c r="D1668" t="n">
        <v>17070</v>
      </c>
      <c r="E1668" t="n">
        <v>36</v>
      </c>
      <c r="F1668" t="n">
        <v>115701</v>
      </c>
      <c r="G1668" t="n">
        <v>0</v>
      </c>
      <c r="H1668" t="n">
        <v>12</v>
      </c>
      <c r="I1668" t="n">
        <v>0</v>
      </c>
    </row>
    <row r="1669">
      <c r="A1669" t="n">
        <v>1668</v>
      </c>
      <c r="B1669" t="inlineStr">
        <is>
          <t>Validation</t>
        </is>
      </c>
      <c r="C1669" t="n">
        <v>3901</v>
      </c>
      <c r="D1669" t="n">
        <v>11040</v>
      </c>
      <c r="E1669" t="n">
        <v>48</v>
      </c>
      <c r="F1669" t="n">
        <v>47354</v>
      </c>
      <c r="G1669" t="n">
        <v>1</v>
      </c>
      <c r="H1669" t="n">
        <v>11</v>
      </c>
      <c r="I1669" t="n">
        <v>171779</v>
      </c>
    </row>
    <row r="1670">
      <c r="A1670" t="n">
        <v>1669</v>
      </c>
      <c r="B1670" t="inlineStr">
        <is>
          <t>Validation</t>
        </is>
      </c>
      <c r="C1670" t="n">
        <v>1310</v>
      </c>
      <c r="D1670" t="n">
        <v>14200</v>
      </c>
      <c r="E1670" t="n">
        <v>45</v>
      </c>
      <c r="F1670" t="n">
        <v>20188</v>
      </c>
      <c r="G1670" t="n">
        <v>7</v>
      </c>
      <c r="H1670" t="n">
        <v>9</v>
      </c>
      <c r="I1670" t="n">
        <v>0</v>
      </c>
    </row>
    <row r="1671">
      <c r="A1671" t="n">
        <v>1670</v>
      </c>
      <c r="B1671" t="inlineStr">
        <is>
          <t>Train</t>
        </is>
      </c>
      <c r="C1671" t="n">
        <v>10846</v>
      </c>
      <c r="D1671" t="n">
        <v>19300</v>
      </c>
      <c r="E1671" t="n">
        <v>49</v>
      </c>
      <c r="F1671" t="n">
        <v>122433</v>
      </c>
      <c r="G1671" t="n">
        <v>5</v>
      </c>
      <c r="H1671" t="n">
        <v>12</v>
      </c>
      <c r="I1671" t="n">
        <v>0</v>
      </c>
    </row>
    <row r="1672">
      <c r="A1672" t="n">
        <v>1671</v>
      </c>
      <c r="B1672" t="inlineStr">
        <is>
          <t>Train</t>
        </is>
      </c>
      <c r="C1672" t="n">
        <v>2499</v>
      </c>
      <c r="D1672" t="n">
        <v>8630</v>
      </c>
      <c r="E1672" t="n">
        <v>48</v>
      </c>
      <c r="F1672" t="n">
        <v>34669</v>
      </c>
      <c r="G1672" t="n">
        <v>1</v>
      </c>
      <c r="H1672" t="n">
        <v>12</v>
      </c>
      <c r="I1672" t="n">
        <v>146134</v>
      </c>
    </row>
    <row r="1673">
      <c r="A1673" t="n">
        <v>1672</v>
      </c>
      <c r="B1673" t="inlineStr">
        <is>
          <t>Train</t>
        </is>
      </c>
      <c r="C1673" t="n">
        <v>25494</v>
      </c>
      <c r="D1673" t="n">
        <v>1500</v>
      </c>
      <c r="E1673" t="n">
        <v>48</v>
      </c>
      <c r="F1673" t="n">
        <v>0</v>
      </c>
      <c r="G1673" t="n">
        <v>6</v>
      </c>
      <c r="H1673" t="n">
        <v>0</v>
      </c>
      <c r="I1673" t="n">
        <v>0</v>
      </c>
    </row>
    <row r="1674">
      <c r="A1674" t="n">
        <v>1673</v>
      </c>
      <c r="B1674" t="inlineStr">
        <is>
          <t>Train</t>
        </is>
      </c>
      <c r="C1674" t="n">
        <v>8609</v>
      </c>
      <c r="D1674" t="n">
        <v>6000</v>
      </c>
      <c r="E1674" t="n">
        <v>45</v>
      </c>
      <c r="F1674" t="n">
        <v>92792</v>
      </c>
      <c r="G1674" t="n">
        <v>4</v>
      </c>
      <c r="H1674" t="n">
        <v>11</v>
      </c>
      <c r="I1674" t="n">
        <v>0</v>
      </c>
    </row>
    <row r="1675">
      <c r="A1675" t="n">
        <v>1674</v>
      </c>
      <c r="B1675" t="inlineStr">
        <is>
          <t>Train</t>
        </is>
      </c>
      <c r="C1675" t="n">
        <v>6779</v>
      </c>
      <c r="D1675" t="n">
        <v>20510</v>
      </c>
      <c r="E1675" t="n">
        <v>54</v>
      </c>
      <c r="F1675" t="n">
        <v>136052</v>
      </c>
      <c r="G1675" t="n">
        <v>0</v>
      </c>
      <c r="H1675" t="n">
        <v>13</v>
      </c>
      <c r="I1675" t="n">
        <v>0</v>
      </c>
    </row>
    <row r="1676">
      <c r="A1676" t="n">
        <v>1675</v>
      </c>
      <c r="B1676" t="inlineStr">
        <is>
          <t>Train</t>
        </is>
      </c>
      <c r="C1676" t="n">
        <v>4657</v>
      </c>
      <c r="D1676" t="n">
        <v>35520</v>
      </c>
      <c r="E1676" t="n">
        <v>50</v>
      </c>
      <c r="F1676" t="n">
        <v>180074</v>
      </c>
      <c r="G1676" t="n">
        <v>6</v>
      </c>
      <c r="H1676" t="n">
        <v>12</v>
      </c>
      <c r="I1676" t="n">
        <v>442649</v>
      </c>
    </row>
    <row r="1677">
      <c r="A1677" t="n">
        <v>1676</v>
      </c>
      <c r="B1677" t="inlineStr">
        <is>
          <t>Train</t>
        </is>
      </c>
      <c r="C1677" t="n">
        <v>7700</v>
      </c>
      <c r="D1677" t="n">
        <v>14970</v>
      </c>
      <c r="E1677" t="n">
        <v>44</v>
      </c>
      <c r="F1677" t="n">
        <v>31473</v>
      </c>
      <c r="G1677" t="n">
        <v>1</v>
      </c>
      <c r="H1677" t="n">
        <v>5</v>
      </c>
      <c r="I1677" t="n">
        <v>189278</v>
      </c>
    </row>
    <row r="1678">
      <c r="A1678" t="n">
        <v>1677</v>
      </c>
      <c r="B1678" t="inlineStr">
        <is>
          <t>Validation</t>
        </is>
      </c>
      <c r="C1678" t="n">
        <v>7946</v>
      </c>
      <c r="D1678" t="n">
        <v>1500</v>
      </c>
      <c r="E1678" t="n">
        <v>26</v>
      </c>
      <c r="F1678" t="n">
        <v>68524</v>
      </c>
      <c r="G1678" t="n">
        <v>11</v>
      </c>
      <c r="H1678" t="n">
        <v>8</v>
      </c>
      <c r="I1678" t="n">
        <v>0</v>
      </c>
    </row>
    <row r="1679">
      <c r="A1679" t="n">
        <v>1678</v>
      </c>
      <c r="B1679" t="inlineStr">
        <is>
          <t>Validation</t>
        </is>
      </c>
      <c r="C1679" t="n">
        <v>8229</v>
      </c>
      <c r="D1679" t="n">
        <v>12260</v>
      </c>
      <c r="E1679" t="n">
        <v>54</v>
      </c>
      <c r="F1679" t="n">
        <v>52895</v>
      </c>
      <c r="G1679" t="n">
        <v>1</v>
      </c>
      <c r="H1679" t="n">
        <v>13</v>
      </c>
      <c r="I1679" t="n">
        <v>0</v>
      </c>
    </row>
    <row r="1680">
      <c r="A1680" t="n">
        <v>1679</v>
      </c>
      <c r="B1680" t="inlineStr">
        <is>
          <t>Validation</t>
        </is>
      </c>
      <c r="C1680" t="n">
        <v>6119</v>
      </c>
      <c r="D1680" t="n">
        <v>21410</v>
      </c>
      <c r="E1680" t="n">
        <v>38</v>
      </c>
      <c r="F1680" t="n">
        <v>29624</v>
      </c>
      <c r="G1680" t="n">
        <v>6</v>
      </c>
      <c r="H1680" t="n">
        <v>5</v>
      </c>
      <c r="I1680" t="n">
        <v>151927</v>
      </c>
    </row>
    <row r="1681">
      <c r="A1681" t="n">
        <v>1680</v>
      </c>
      <c r="B1681" t="inlineStr">
        <is>
          <t>Train</t>
        </is>
      </c>
      <c r="C1681" t="n">
        <v>555</v>
      </c>
      <c r="D1681" t="n">
        <v>11100</v>
      </c>
      <c r="E1681" t="n">
        <v>33</v>
      </c>
      <c r="F1681" t="n">
        <v>28084</v>
      </c>
      <c r="G1681" t="n">
        <v>3</v>
      </c>
      <c r="H1681" t="n">
        <v>13</v>
      </c>
      <c r="I1681" t="n">
        <v>132519</v>
      </c>
    </row>
    <row r="1682">
      <c r="A1682" t="n">
        <v>1681</v>
      </c>
      <c r="B1682" t="inlineStr">
        <is>
          <t>Train</t>
        </is>
      </c>
      <c r="C1682" t="n">
        <v>6934</v>
      </c>
      <c r="D1682" t="n">
        <v>27430</v>
      </c>
      <c r="E1682" t="n">
        <v>47</v>
      </c>
      <c r="F1682" t="n">
        <v>21517</v>
      </c>
      <c r="G1682" t="n">
        <v>1</v>
      </c>
      <c r="H1682" t="n">
        <v>7</v>
      </c>
      <c r="I1682" t="n">
        <v>130812</v>
      </c>
    </row>
    <row r="1683">
      <c r="A1683" t="n">
        <v>1682</v>
      </c>
      <c r="B1683" t="inlineStr">
        <is>
          <t>Train</t>
        </is>
      </c>
      <c r="C1683" t="n">
        <v>716</v>
      </c>
      <c r="D1683" t="n">
        <v>14010</v>
      </c>
      <c r="E1683" t="n">
        <v>43</v>
      </c>
      <c r="F1683" t="n">
        <v>71141</v>
      </c>
      <c r="G1683" t="n">
        <v>3</v>
      </c>
      <c r="H1683" t="n">
        <v>14</v>
      </c>
      <c r="I1683" t="n">
        <v>217600</v>
      </c>
    </row>
    <row r="1684">
      <c r="A1684" t="n">
        <v>1683</v>
      </c>
      <c r="B1684" t="inlineStr">
        <is>
          <t>Train</t>
        </is>
      </c>
      <c r="C1684" t="n">
        <v>8085</v>
      </c>
      <c r="D1684" t="n">
        <v>19660</v>
      </c>
      <c r="E1684" t="n">
        <v>32</v>
      </c>
      <c r="F1684" t="n">
        <v>53194</v>
      </c>
      <c r="G1684" t="n">
        <v>0</v>
      </c>
      <c r="H1684" t="n">
        <v>9</v>
      </c>
      <c r="I1684" t="n">
        <v>0</v>
      </c>
    </row>
    <row r="1685">
      <c r="A1685" t="n">
        <v>1684</v>
      </c>
      <c r="B1685" t="inlineStr">
        <is>
          <t>Train</t>
        </is>
      </c>
      <c r="C1685" t="n">
        <v>5171</v>
      </c>
      <c r="D1685" t="n">
        <v>5600</v>
      </c>
      <c r="E1685" t="n">
        <v>41</v>
      </c>
      <c r="F1685" t="n">
        <v>18939</v>
      </c>
      <c r="G1685" t="n">
        <v>4</v>
      </c>
      <c r="H1685" t="n">
        <v>9</v>
      </c>
      <c r="I1685" t="n">
        <v>0</v>
      </c>
    </row>
    <row r="1686">
      <c r="A1686" t="n">
        <v>1685</v>
      </c>
      <c r="B1686" t="inlineStr">
        <is>
          <t>Train</t>
        </is>
      </c>
      <c r="C1686" t="n">
        <v>5542</v>
      </c>
      <c r="D1686" t="n">
        <v>16870</v>
      </c>
      <c r="E1686" t="n">
        <v>52</v>
      </c>
      <c r="F1686" t="n">
        <v>64014</v>
      </c>
      <c r="G1686" t="n">
        <v>1</v>
      </c>
      <c r="H1686" t="n">
        <v>7</v>
      </c>
      <c r="I1686" t="n">
        <v>244863</v>
      </c>
    </row>
    <row r="1687">
      <c r="A1687" t="n">
        <v>1686</v>
      </c>
      <c r="B1687" t="inlineStr">
        <is>
          <t>Train</t>
        </is>
      </c>
      <c r="C1687" t="n">
        <v>5074</v>
      </c>
      <c r="D1687" t="n">
        <v>21950</v>
      </c>
      <c r="E1687" t="n">
        <v>43</v>
      </c>
      <c r="F1687" t="n">
        <v>82918</v>
      </c>
      <c r="G1687" t="n">
        <v>4</v>
      </c>
      <c r="H1687" t="n">
        <v>11</v>
      </c>
      <c r="I1687" t="n">
        <v>0</v>
      </c>
    </row>
    <row r="1688">
      <c r="A1688" t="n">
        <v>1687</v>
      </c>
      <c r="B1688" t="inlineStr">
        <is>
          <t>Validation</t>
        </is>
      </c>
      <c r="C1688" t="n">
        <v>49178</v>
      </c>
      <c r="D1688" t="n">
        <v>21930</v>
      </c>
      <c r="E1688" t="n">
        <v>40</v>
      </c>
      <c r="F1688" t="n">
        <v>97217</v>
      </c>
      <c r="G1688" t="n">
        <v>0</v>
      </c>
      <c r="H1688" t="n">
        <v>13</v>
      </c>
      <c r="I1688" t="n">
        <v>0</v>
      </c>
    </row>
    <row r="1689">
      <c r="A1689" t="n">
        <v>1688</v>
      </c>
      <c r="B1689" t="inlineStr">
        <is>
          <t>Validation</t>
        </is>
      </c>
      <c r="C1689" t="n">
        <v>14003</v>
      </c>
      <c r="D1689" t="n">
        <v>22770</v>
      </c>
      <c r="E1689" t="n">
        <v>40</v>
      </c>
      <c r="F1689" t="n">
        <v>80395</v>
      </c>
      <c r="G1689" t="n">
        <v>5</v>
      </c>
      <c r="H1689" t="n">
        <v>6</v>
      </c>
      <c r="I1689" t="n">
        <v>260592</v>
      </c>
    </row>
    <row r="1690">
      <c r="A1690" t="n">
        <v>1689</v>
      </c>
      <c r="B1690" t="inlineStr">
        <is>
          <t>Validation</t>
        </is>
      </c>
      <c r="C1690" t="n">
        <v>8822</v>
      </c>
      <c r="D1690" t="n">
        <v>5900</v>
      </c>
      <c r="E1690" t="n">
        <v>44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1690</v>
      </c>
      <c r="B1691" t="inlineStr">
        <is>
          <t>Train</t>
        </is>
      </c>
      <c r="C1691" t="n">
        <v>1091</v>
      </c>
      <c r="D1691" t="n">
        <v>5000</v>
      </c>
      <c r="E1691" t="n">
        <v>36</v>
      </c>
      <c r="F1691" t="n">
        <v>20494</v>
      </c>
      <c r="G1691" t="n">
        <v>5</v>
      </c>
      <c r="H1691" t="n">
        <v>8</v>
      </c>
      <c r="I1691" t="n">
        <v>0</v>
      </c>
    </row>
    <row r="1692">
      <c r="A1692" t="n">
        <v>1691</v>
      </c>
      <c r="B1692" t="inlineStr">
        <is>
          <t>Train</t>
        </is>
      </c>
      <c r="C1692" t="n">
        <v>10200</v>
      </c>
      <c r="D1692" t="n">
        <v>17570</v>
      </c>
      <c r="E1692" t="n">
        <v>52</v>
      </c>
      <c r="F1692" t="n">
        <v>273507</v>
      </c>
      <c r="G1692" t="n">
        <v>6</v>
      </c>
      <c r="H1692" t="n">
        <v>8</v>
      </c>
      <c r="I1692" t="n">
        <v>630267</v>
      </c>
    </row>
    <row r="1693">
      <c r="A1693" t="n">
        <v>1692</v>
      </c>
      <c r="B1693" t="inlineStr">
        <is>
          <t>Train</t>
        </is>
      </c>
      <c r="C1693" t="n">
        <v>4832</v>
      </c>
      <c r="D1693" t="n">
        <v>7690</v>
      </c>
      <c r="E1693" t="n">
        <v>49</v>
      </c>
      <c r="F1693" t="n">
        <v>67026</v>
      </c>
      <c r="G1693" t="n">
        <v>0</v>
      </c>
      <c r="H1693" t="n">
        <v>7</v>
      </c>
      <c r="I1693" t="n">
        <v>239518</v>
      </c>
    </row>
    <row r="1694">
      <c r="A1694" t="n">
        <v>1693</v>
      </c>
      <c r="B1694" t="inlineStr">
        <is>
          <t>Train</t>
        </is>
      </c>
      <c r="C1694" t="n">
        <v>8044</v>
      </c>
      <c r="D1694" t="n">
        <v>23450</v>
      </c>
      <c r="E1694" t="n">
        <v>57</v>
      </c>
      <c r="F1694" t="n">
        <v>162519</v>
      </c>
      <c r="G1694" t="n">
        <v>2</v>
      </c>
      <c r="H1694" t="n">
        <v>9</v>
      </c>
      <c r="I1694" t="n">
        <v>0</v>
      </c>
    </row>
    <row r="1695">
      <c r="A1695" t="n">
        <v>1694</v>
      </c>
      <c r="B1695" t="inlineStr">
        <is>
          <t>Train</t>
        </is>
      </c>
      <c r="C1695" t="n">
        <v>1558</v>
      </c>
      <c r="D1695" t="n">
        <v>18730</v>
      </c>
      <c r="E1695" t="n">
        <v>43</v>
      </c>
      <c r="F1695" t="n">
        <v>92731</v>
      </c>
      <c r="G1695" t="n">
        <v>0</v>
      </c>
      <c r="H1695" t="n">
        <v>14</v>
      </c>
      <c r="I1695" t="n">
        <v>274126</v>
      </c>
    </row>
    <row r="1696">
      <c r="A1696" t="n">
        <v>1695</v>
      </c>
      <c r="B1696" t="inlineStr">
        <is>
          <t>Train</t>
        </is>
      </c>
      <c r="C1696" t="n">
        <v>24822</v>
      </c>
      <c r="D1696" t="n">
        <v>5160</v>
      </c>
      <c r="E1696" t="n">
        <v>56</v>
      </c>
      <c r="F1696" t="n">
        <v>36635</v>
      </c>
      <c r="G1696" t="n">
        <v>4</v>
      </c>
      <c r="H1696" t="n">
        <v>9</v>
      </c>
      <c r="I1696" t="n">
        <v>132567</v>
      </c>
    </row>
    <row r="1697">
      <c r="A1697" t="n">
        <v>1696</v>
      </c>
      <c r="B1697" t="inlineStr">
        <is>
          <t>Train</t>
        </is>
      </c>
      <c r="C1697" t="n">
        <v>2361</v>
      </c>
      <c r="D1697" t="n">
        <v>11910</v>
      </c>
      <c r="E1697" t="n">
        <v>34</v>
      </c>
      <c r="F1697" t="n">
        <v>0</v>
      </c>
      <c r="G1697" t="n">
        <v>4</v>
      </c>
      <c r="H1697" t="n">
        <v>0</v>
      </c>
      <c r="I1697" t="n">
        <v>0</v>
      </c>
    </row>
    <row r="1698">
      <c r="A1698" t="n">
        <v>1697</v>
      </c>
      <c r="B1698" t="inlineStr">
        <is>
          <t>Validation</t>
        </is>
      </c>
      <c r="C1698" t="n">
        <v>7769</v>
      </c>
      <c r="D1698" t="n">
        <v>18110</v>
      </c>
      <c r="E1698" t="n">
        <v>40</v>
      </c>
      <c r="F1698" t="n">
        <v>59822</v>
      </c>
      <c r="G1698" t="n">
        <v>4</v>
      </c>
      <c r="H1698" t="n">
        <v>11</v>
      </c>
      <c r="I1698" t="n">
        <v>171876</v>
      </c>
    </row>
    <row r="1699">
      <c r="A1699" t="n">
        <v>1698</v>
      </c>
      <c r="B1699" t="inlineStr">
        <is>
          <t>Validation</t>
        </is>
      </c>
      <c r="C1699" t="n">
        <v>3207</v>
      </c>
      <c r="D1699" t="n">
        <v>13400</v>
      </c>
      <c r="E1699" t="n">
        <v>39</v>
      </c>
      <c r="F1699" t="n">
        <v>79961</v>
      </c>
      <c r="G1699" t="n">
        <v>3</v>
      </c>
      <c r="H1699" t="n">
        <v>15</v>
      </c>
      <c r="I1699" t="n">
        <v>246846</v>
      </c>
    </row>
    <row r="1700">
      <c r="A1700" t="n">
        <v>1699</v>
      </c>
      <c r="B1700" t="inlineStr">
        <is>
          <t>Validation</t>
        </is>
      </c>
      <c r="C1700" t="n">
        <v>13656</v>
      </c>
      <c r="D1700" t="n">
        <v>3070</v>
      </c>
      <c r="E1700" t="n">
        <v>39</v>
      </c>
      <c r="F1700" t="n">
        <v>71950</v>
      </c>
      <c r="G1700" t="n">
        <v>2</v>
      </c>
      <c r="H1700" t="n">
        <v>8</v>
      </c>
      <c r="I1700" t="n">
        <v>228455</v>
      </c>
    </row>
    <row r="1701">
      <c r="A1701" t="n">
        <v>1700</v>
      </c>
      <c r="B1701" t="inlineStr">
        <is>
          <t>Train</t>
        </is>
      </c>
      <c r="C1701" t="n">
        <v>10590</v>
      </c>
      <c r="D1701" t="n">
        <v>15410</v>
      </c>
      <c r="E1701" t="n">
        <v>37</v>
      </c>
      <c r="F1701" t="n">
        <v>111152</v>
      </c>
      <c r="G1701" t="n">
        <v>0</v>
      </c>
      <c r="H1701" t="n">
        <v>13</v>
      </c>
      <c r="I1701" t="n">
        <v>286594</v>
      </c>
    </row>
    <row r="1702">
      <c r="A1702" t="n">
        <v>1701</v>
      </c>
      <c r="B1702" t="inlineStr">
        <is>
          <t>Train</t>
        </is>
      </c>
      <c r="C1702" t="n">
        <v>10293</v>
      </c>
      <c r="D1702" t="n">
        <v>14850</v>
      </c>
      <c r="E1702" t="n">
        <v>53</v>
      </c>
      <c r="F1702" t="n">
        <v>79082</v>
      </c>
      <c r="G1702" t="n">
        <v>3</v>
      </c>
      <c r="H1702" t="n">
        <v>13</v>
      </c>
      <c r="I1702" t="n">
        <v>270035</v>
      </c>
    </row>
    <row r="1703">
      <c r="A1703" t="n">
        <v>1702</v>
      </c>
      <c r="B1703" t="inlineStr">
        <is>
          <t>Train</t>
        </is>
      </c>
      <c r="C1703" t="n">
        <v>4675</v>
      </c>
      <c r="D1703" t="n">
        <v>23460</v>
      </c>
      <c r="E1703" t="n">
        <v>33</v>
      </c>
      <c r="F1703" t="n">
        <v>34200</v>
      </c>
      <c r="G1703" t="n">
        <v>1</v>
      </c>
      <c r="H1703" t="n">
        <v>13</v>
      </c>
      <c r="I1703" t="n">
        <v>0</v>
      </c>
    </row>
    <row r="1704">
      <c r="A1704" t="n">
        <v>1703</v>
      </c>
      <c r="B1704" t="inlineStr">
        <is>
          <t>Train</t>
        </is>
      </c>
      <c r="C1704" t="n">
        <v>8982</v>
      </c>
      <c r="D1704" t="n">
        <v>3080</v>
      </c>
      <c r="E1704" t="n">
        <v>57</v>
      </c>
      <c r="F1704" t="n">
        <v>136210</v>
      </c>
      <c r="G1704" t="n">
        <v>2</v>
      </c>
      <c r="H1704" t="n">
        <v>18</v>
      </c>
      <c r="I1704" t="n">
        <v>407853</v>
      </c>
    </row>
    <row r="1705">
      <c r="A1705" t="n">
        <v>1704</v>
      </c>
      <c r="B1705" t="inlineStr">
        <is>
          <t>Train</t>
        </is>
      </c>
      <c r="C1705" t="n">
        <v>35944</v>
      </c>
      <c r="D1705" t="n">
        <v>13870</v>
      </c>
      <c r="E1705" t="n">
        <v>39</v>
      </c>
      <c r="F1705" t="n">
        <v>79415</v>
      </c>
      <c r="G1705" t="n">
        <v>5</v>
      </c>
      <c r="H1705" t="n">
        <v>13</v>
      </c>
      <c r="I1705" t="n">
        <v>228056</v>
      </c>
    </row>
    <row r="1706">
      <c r="A1706" t="n">
        <v>1705</v>
      </c>
      <c r="B1706" t="inlineStr">
        <is>
          <t>Train</t>
        </is>
      </c>
      <c r="C1706" t="n">
        <v>4208</v>
      </c>
      <c r="D1706" t="n">
        <v>15990</v>
      </c>
      <c r="E1706" t="n">
        <v>42</v>
      </c>
      <c r="F1706" t="n">
        <v>98515</v>
      </c>
      <c r="G1706" t="n">
        <v>4</v>
      </c>
      <c r="H1706" t="n">
        <v>12</v>
      </c>
      <c r="I1706" t="n">
        <v>289187</v>
      </c>
    </row>
    <row r="1707">
      <c r="A1707" t="n">
        <v>1706</v>
      </c>
      <c r="B1707" t="inlineStr">
        <is>
          <t>Train</t>
        </is>
      </c>
      <c r="C1707" t="n">
        <v>2706</v>
      </c>
      <c r="D1707" t="n">
        <v>27960</v>
      </c>
      <c r="E1707" t="n">
        <v>33</v>
      </c>
      <c r="F1707" t="n">
        <v>21460</v>
      </c>
      <c r="G1707" t="n">
        <v>7</v>
      </c>
      <c r="H1707" t="n">
        <v>11</v>
      </c>
      <c r="I1707" t="n">
        <v>0</v>
      </c>
    </row>
    <row r="1708">
      <c r="A1708" t="n">
        <v>1707</v>
      </c>
      <c r="B1708" t="inlineStr">
        <is>
          <t>Validation</t>
        </is>
      </c>
      <c r="C1708" t="n">
        <v>3755</v>
      </c>
      <c r="D1708" t="n">
        <v>29330</v>
      </c>
      <c r="E1708" t="n">
        <v>40</v>
      </c>
      <c r="F1708" t="n">
        <v>51583</v>
      </c>
      <c r="G1708" t="n">
        <v>0</v>
      </c>
      <c r="H1708" t="n">
        <v>14</v>
      </c>
      <c r="I1708" t="n">
        <v>188787</v>
      </c>
    </row>
    <row r="1709">
      <c r="A1709" t="n">
        <v>1708</v>
      </c>
      <c r="B1709" t="inlineStr">
        <is>
          <t>Validation</t>
        </is>
      </c>
      <c r="C1709" t="n">
        <v>32434</v>
      </c>
      <c r="D1709" t="n">
        <v>17360</v>
      </c>
      <c r="E1709" t="n">
        <v>48</v>
      </c>
      <c r="F1709" t="n">
        <v>36835</v>
      </c>
      <c r="G1709" t="n">
        <v>2</v>
      </c>
      <c r="H1709" t="n">
        <v>13</v>
      </c>
      <c r="I1709" t="n">
        <v>167142</v>
      </c>
    </row>
    <row r="1710">
      <c r="A1710" t="n">
        <v>1709</v>
      </c>
      <c r="B1710" t="inlineStr">
        <is>
          <t>Validation</t>
        </is>
      </c>
      <c r="C1710" t="n">
        <v>5393</v>
      </c>
      <c r="D1710" t="n">
        <v>18450</v>
      </c>
      <c r="E1710" t="n">
        <v>46</v>
      </c>
      <c r="F1710" t="n">
        <v>52543</v>
      </c>
      <c r="G1710" t="n">
        <v>0</v>
      </c>
      <c r="H1710" t="n">
        <v>11</v>
      </c>
      <c r="I1710" t="n">
        <v>219675</v>
      </c>
    </row>
    <row r="1711">
      <c r="A1711" t="n">
        <v>1710</v>
      </c>
      <c r="B1711" t="inlineStr">
        <is>
          <t>Train</t>
        </is>
      </c>
      <c r="C1711" t="n">
        <v>6514</v>
      </c>
      <c r="D1711" t="n">
        <v>32430</v>
      </c>
      <c r="E1711" t="n">
        <v>36</v>
      </c>
      <c r="F1711" t="n">
        <v>131090</v>
      </c>
      <c r="G1711" t="n">
        <v>9</v>
      </c>
      <c r="H1711" t="n">
        <v>12</v>
      </c>
      <c r="I1711" t="n">
        <v>360638</v>
      </c>
    </row>
    <row r="1712">
      <c r="A1712" t="n">
        <v>1711</v>
      </c>
      <c r="B1712" t="inlineStr">
        <is>
          <t>Train</t>
        </is>
      </c>
      <c r="C1712" t="n">
        <v>7340</v>
      </c>
      <c r="D1712" t="n">
        <v>17270</v>
      </c>
      <c r="E1712" t="n">
        <v>42</v>
      </c>
      <c r="F1712" t="n">
        <v>22743</v>
      </c>
      <c r="G1712" t="n">
        <v>5</v>
      </c>
      <c r="H1712" t="n">
        <v>13</v>
      </c>
      <c r="I1712" t="n">
        <v>114624</v>
      </c>
    </row>
    <row r="1713">
      <c r="A1713" t="n">
        <v>1712</v>
      </c>
      <c r="B1713" t="inlineStr">
        <is>
          <t>Train</t>
        </is>
      </c>
      <c r="C1713" t="n">
        <v>1971</v>
      </c>
      <c r="D1713" t="n">
        <v>12580</v>
      </c>
      <c r="E1713" t="n">
        <v>52</v>
      </c>
      <c r="F1713" t="n">
        <v>58780</v>
      </c>
      <c r="G1713" t="n">
        <v>0</v>
      </c>
      <c r="H1713" t="n">
        <v>10</v>
      </c>
      <c r="I1713" t="n">
        <v>0</v>
      </c>
    </row>
    <row r="1714">
      <c r="A1714" t="n">
        <v>1713</v>
      </c>
      <c r="B1714" t="inlineStr">
        <is>
          <t>Train</t>
        </is>
      </c>
      <c r="C1714" t="n">
        <v>28137</v>
      </c>
      <c r="D1714" t="n">
        <v>1500</v>
      </c>
      <c r="E1714" t="n">
        <v>57</v>
      </c>
      <c r="F1714" t="n">
        <v>8254</v>
      </c>
      <c r="G1714" t="n">
        <v>3</v>
      </c>
      <c r="H1714" t="n">
        <v>14</v>
      </c>
      <c r="I1714" t="n">
        <v>0</v>
      </c>
    </row>
    <row r="1715">
      <c r="A1715" t="n">
        <v>1714</v>
      </c>
      <c r="B1715" t="inlineStr">
        <is>
          <t>Train</t>
        </is>
      </c>
      <c r="C1715" t="n">
        <v>6632</v>
      </c>
      <c r="D1715" t="n">
        <v>9200</v>
      </c>
      <c r="E1715" t="n">
        <v>39</v>
      </c>
      <c r="F1715" t="n">
        <v>23551</v>
      </c>
      <c r="G1715" t="n">
        <v>4</v>
      </c>
      <c r="H1715" t="n">
        <v>7</v>
      </c>
      <c r="I1715" t="n">
        <v>0</v>
      </c>
    </row>
    <row r="1716">
      <c r="A1716" t="n">
        <v>1715</v>
      </c>
      <c r="B1716" t="inlineStr">
        <is>
          <t>Train</t>
        </is>
      </c>
      <c r="C1716" t="n">
        <v>7373</v>
      </c>
      <c r="D1716" t="n">
        <v>13700</v>
      </c>
      <c r="E1716" t="n">
        <v>37</v>
      </c>
      <c r="F1716" t="n">
        <v>61790</v>
      </c>
      <c r="G1716" t="n">
        <v>2</v>
      </c>
      <c r="H1716" t="n">
        <v>7</v>
      </c>
      <c r="I1716" t="n">
        <v>0</v>
      </c>
    </row>
    <row r="1717">
      <c r="A1717" t="n">
        <v>1716</v>
      </c>
      <c r="B1717" t="inlineStr">
        <is>
          <t>Train</t>
        </is>
      </c>
      <c r="C1717" t="n">
        <v>2144</v>
      </c>
      <c r="D1717" t="n">
        <v>10240</v>
      </c>
      <c r="E1717" t="n">
        <v>49</v>
      </c>
      <c r="F1717" t="n">
        <v>65884</v>
      </c>
      <c r="G1717" t="n">
        <v>3</v>
      </c>
      <c r="H1717" t="n">
        <v>9</v>
      </c>
      <c r="I1717" t="n">
        <v>0</v>
      </c>
    </row>
    <row r="1718">
      <c r="A1718" t="n">
        <v>1717</v>
      </c>
      <c r="B1718" t="inlineStr">
        <is>
          <t>Validation</t>
        </is>
      </c>
      <c r="C1718" t="n">
        <v>3075</v>
      </c>
      <c r="D1718" t="n">
        <v>7300</v>
      </c>
      <c r="E1718" t="n">
        <v>58</v>
      </c>
      <c r="F1718" t="n">
        <v>77297</v>
      </c>
      <c r="G1718" t="n">
        <v>5</v>
      </c>
      <c r="H1718" t="n">
        <v>8</v>
      </c>
      <c r="I1718" t="n">
        <v>280067</v>
      </c>
    </row>
    <row r="1719">
      <c r="A1719" t="n">
        <v>1718</v>
      </c>
      <c r="B1719" t="inlineStr">
        <is>
          <t>Validation</t>
        </is>
      </c>
      <c r="C1719" t="n">
        <v>35061</v>
      </c>
      <c r="D1719" t="n">
        <v>13120</v>
      </c>
      <c r="E1719" t="n">
        <v>42</v>
      </c>
      <c r="F1719" t="n">
        <v>74223</v>
      </c>
      <c r="G1719" t="n">
        <v>2</v>
      </c>
      <c r="H1719" t="n">
        <v>11</v>
      </c>
      <c r="I1719" t="n">
        <v>0</v>
      </c>
    </row>
    <row r="1720">
      <c r="A1720" t="n">
        <v>1719</v>
      </c>
      <c r="B1720" t="inlineStr">
        <is>
          <t>Validation</t>
        </is>
      </c>
      <c r="C1720" t="n">
        <v>3903</v>
      </c>
      <c r="D1720" t="n">
        <v>13180</v>
      </c>
      <c r="E1720" t="n">
        <v>37</v>
      </c>
      <c r="F1720" t="n">
        <v>79846</v>
      </c>
      <c r="G1720" t="n">
        <v>0</v>
      </c>
      <c r="H1720" t="n">
        <v>5</v>
      </c>
      <c r="I1720" t="n">
        <v>0</v>
      </c>
    </row>
    <row r="1721">
      <c r="A1721" t="n">
        <v>1720</v>
      </c>
      <c r="B1721" t="inlineStr">
        <is>
          <t>Train</t>
        </is>
      </c>
      <c r="C1721" t="n">
        <v>5436</v>
      </c>
      <c r="D1721" t="n">
        <v>9400</v>
      </c>
      <c r="E1721" t="n">
        <v>39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1721</v>
      </c>
      <c r="B1722" t="inlineStr">
        <is>
          <t>Train</t>
        </is>
      </c>
      <c r="C1722" t="n">
        <v>4002</v>
      </c>
      <c r="D1722" t="n">
        <v>17840</v>
      </c>
      <c r="E1722" t="n">
        <v>46</v>
      </c>
      <c r="F1722" t="n">
        <v>77946</v>
      </c>
      <c r="G1722" t="n">
        <v>1</v>
      </c>
      <c r="H1722" t="n">
        <v>6</v>
      </c>
      <c r="I1722" t="n">
        <v>225853</v>
      </c>
    </row>
    <row r="1723">
      <c r="A1723" t="n">
        <v>1722</v>
      </c>
      <c r="B1723" t="inlineStr">
        <is>
          <t>Train</t>
        </is>
      </c>
      <c r="C1723" t="n">
        <v>6281</v>
      </c>
      <c r="D1723" t="n">
        <v>12510</v>
      </c>
      <c r="E1723" t="n">
        <v>49</v>
      </c>
      <c r="F1723" t="n">
        <v>26217</v>
      </c>
      <c r="G1723" t="n">
        <v>1</v>
      </c>
      <c r="H1723" t="n">
        <v>12</v>
      </c>
      <c r="I1723" t="n">
        <v>0</v>
      </c>
    </row>
    <row r="1724">
      <c r="A1724" t="n">
        <v>1723</v>
      </c>
      <c r="B1724" t="inlineStr">
        <is>
          <t>Train</t>
        </is>
      </c>
      <c r="C1724" t="n">
        <v>7575</v>
      </c>
      <c r="D1724" t="n">
        <v>13820</v>
      </c>
      <c r="E1724" t="n">
        <v>60</v>
      </c>
      <c r="F1724" t="n">
        <v>63192</v>
      </c>
      <c r="G1724" t="n">
        <v>0</v>
      </c>
      <c r="H1724" t="n">
        <v>15</v>
      </c>
      <c r="I1724" t="n">
        <v>254621</v>
      </c>
    </row>
    <row r="1725">
      <c r="A1725" t="n">
        <v>1724</v>
      </c>
      <c r="B1725" t="inlineStr">
        <is>
          <t>Train</t>
        </is>
      </c>
      <c r="C1725" t="n">
        <v>7343</v>
      </c>
      <c r="D1725" t="n">
        <v>24870</v>
      </c>
      <c r="E1725" t="n">
        <v>40</v>
      </c>
      <c r="F1725" t="n">
        <v>159889</v>
      </c>
      <c r="G1725" t="n">
        <v>3</v>
      </c>
      <c r="H1725" t="n">
        <v>12</v>
      </c>
      <c r="I1725" t="n">
        <v>412774</v>
      </c>
    </row>
    <row r="1726">
      <c r="A1726" t="n">
        <v>1725</v>
      </c>
      <c r="B1726" t="inlineStr">
        <is>
          <t>Train</t>
        </is>
      </c>
      <c r="C1726" t="n">
        <v>5105</v>
      </c>
      <c r="D1726" t="n">
        <v>16450</v>
      </c>
      <c r="E1726" t="n">
        <v>46</v>
      </c>
      <c r="F1726" t="n">
        <v>83790</v>
      </c>
      <c r="G1726" t="n">
        <v>3</v>
      </c>
      <c r="H1726" t="n">
        <v>13</v>
      </c>
      <c r="I1726" t="n">
        <v>266852</v>
      </c>
    </row>
    <row r="1727">
      <c r="A1727" t="n">
        <v>1726</v>
      </c>
      <c r="B1727" t="inlineStr">
        <is>
          <t>Train</t>
        </is>
      </c>
      <c r="C1727" t="n">
        <v>3963</v>
      </c>
      <c r="D1727" t="n">
        <v>25670</v>
      </c>
      <c r="E1727" t="n">
        <v>48</v>
      </c>
      <c r="F1727" t="n">
        <v>58438</v>
      </c>
      <c r="G1727" t="n">
        <v>3</v>
      </c>
      <c r="H1727" t="n">
        <v>12</v>
      </c>
      <c r="I1727" t="n">
        <v>210729</v>
      </c>
    </row>
    <row r="1728">
      <c r="A1728" t="n">
        <v>1727</v>
      </c>
      <c r="B1728" t="inlineStr">
        <is>
          <t>Validation</t>
        </is>
      </c>
      <c r="C1728" t="n">
        <v>35965</v>
      </c>
      <c r="D1728" t="n">
        <v>5800</v>
      </c>
      <c r="E1728" t="n">
        <v>43</v>
      </c>
      <c r="F1728" t="n">
        <v>0</v>
      </c>
      <c r="G1728" t="n">
        <v>5</v>
      </c>
      <c r="H1728" t="n">
        <v>0</v>
      </c>
      <c r="I1728" t="n">
        <v>68086</v>
      </c>
    </row>
    <row r="1729">
      <c r="A1729" t="n">
        <v>1728</v>
      </c>
      <c r="B1729" t="inlineStr">
        <is>
          <t>Validation</t>
        </is>
      </c>
      <c r="C1729" t="n">
        <v>4036</v>
      </c>
      <c r="D1729" t="n">
        <v>5710</v>
      </c>
      <c r="E1729" t="n">
        <v>47</v>
      </c>
      <c r="F1729" t="n">
        <v>0</v>
      </c>
      <c r="G1729" t="n">
        <v>4</v>
      </c>
      <c r="H1729" t="n">
        <v>0</v>
      </c>
      <c r="I1729" t="n">
        <v>134127</v>
      </c>
    </row>
    <row r="1730">
      <c r="A1730" t="n">
        <v>1729</v>
      </c>
      <c r="B1730" t="inlineStr">
        <is>
          <t>Validation</t>
        </is>
      </c>
      <c r="C1730" t="n">
        <v>4006</v>
      </c>
      <c r="D1730" t="n">
        <v>23720</v>
      </c>
      <c r="E1730" t="n">
        <v>57</v>
      </c>
      <c r="F1730" t="n">
        <v>26222</v>
      </c>
      <c r="G1730" t="n">
        <v>0</v>
      </c>
      <c r="H1730" t="n">
        <v>9</v>
      </c>
      <c r="I1730" t="n">
        <v>165896</v>
      </c>
    </row>
    <row r="1731">
      <c r="A1731" t="n">
        <v>1730</v>
      </c>
      <c r="B1731" t="inlineStr">
        <is>
          <t>Train</t>
        </is>
      </c>
      <c r="C1731" t="n">
        <v>995</v>
      </c>
      <c r="D1731" t="n">
        <v>7100</v>
      </c>
      <c r="E1731" t="n">
        <v>56</v>
      </c>
      <c r="F1731" t="n">
        <v>22881</v>
      </c>
      <c r="G1731" t="n">
        <v>3</v>
      </c>
      <c r="H1731" t="n">
        <v>14</v>
      </c>
      <c r="I1731" t="n">
        <v>174663</v>
      </c>
    </row>
    <row r="1732">
      <c r="A1732" t="n">
        <v>1731</v>
      </c>
      <c r="B1732" t="inlineStr">
        <is>
          <t>Train</t>
        </is>
      </c>
      <c r="C1732" t="n">
        <v>4814</v>
      </c>
      <c r="D1732" t="n">
        <v>13680</v>
      </c>
      <c r="E1732" t="n">
        <v>29</v>
      </c>
      <c r="F1732" t="n">
        <v>17984</v>
      </c>
      <c r="G1732" t="n">
        <v>5</v>
      </c>
      <c r="H1732" t="n">
        <v>10</v>
      </c>
      <c r="I1732" t="n">
        <v>0</v>
      </c>
    </row>
    <row r="1733">
      <c r="A1733" t="n">
        <v>1732</v>
      </c>
      <c r="B1733" t="inlineStr">
        <is>
          <t>Train</t>
        </is>
      </c>
      <c r="C1733" t="n">
        <v>7652</v>
      </c>
      <c r="D1733" t="n">
        <v>12320</v>
      </c>
      <c r="E1733" t="n">
        <v>35</v>
      </c>
      <c r="F1733" t="n">
        <v>17975</v>
      </c>
      <c r="G1733" t="n">
        <v>4</v>
      </c>
      <c r="H1733" t="n">
        <v>7</v>
      </c>
      <c r="I1733" t="n">
        <v>0</v>
      </c>
    </row>
    <row r="1734">
      <c r="A1734" t="n">
        <v>1733</v>
      </c>
      <c r="B1734" t="inlineStr">
        <is>
          <t>Train</t>
        </is>
      </c>
      <c r="C1734" t="n">
        <v>20972</v>
      </c>
      <c r="D1734" t="n">
        <v>1500</v>
      </c>
      <c r="E1734" t="n">
        <v>41</v>
      </c>
      <c r="F1734" t="n">
        <v>111014</v>
      </c>
      <c r="G1734" t="n">
        <v>6</v>
      </c>
      <c r="H1734" t="n">
        <v>13</v>
      </c>
      <c r="I1734" t="n">
        <v>298205</v>
      </c>
    </row>
    <row r="1735">
      <c r="A1735" t="n">
        <v>1734</v>
      </c>
      <c r="B1735" t="inlineStr">
        <is>
          <t>Train</t>
        </is>
      </c>
      <c r="C1735" t="n">
        <v>2755</v>
      </c>
      <c r="D1735" t="n">
        <v>6450</v>
      </c>
      <c r="E1735" t="n">
        <v>48</v>
      </c>
      <c r="F1735" t="n">
        <v>54028</v>
      </c>
      <c r="G1735" t="n">
        <v>0</v>
      </c>
      <c r="H1735" t="n">
        <v>13</v>
      </c>
      <c r="I1735" t="n">
        <v>193941</v>
      </c>
    </row>
    <row r="1736">
      <c r="A1736" t="n">
        <v>1735</v>
      </c>
      <c r="B1736" t="inlineStr">
        <is>
          <t>Train</t>
        </is>
      </c>
      <c r="C1736" t="n">
        <v>6563</v>
      </c>
      <c r="D1736" t="n">
        <v>19080</v>
      </c>
      <c r="E1736" t="n">
        <v>49</v>
      </c>
      <c r="F1736" t="n">
        <v>126820</v>
      </c>
      <c r="G1736" t="n">
        <v>2</v>
      </c>
      <c r="H1736" t="n">
        <v>13</v>
      </c>
      <c r="I1736" t="n">
        <v>0</v>
      </c>
    </row>
    <row r="1737">
      <c r="A1737" t="n">
        <v>1736</v>
      </c>
      <c r="B1737" t="inlineStr">
        <is>
          <t>Train</t>
        </is>
      </c>
      <c r="C1737" t="n">
        <v>3707</v>
      </c>
      <c r="D1737" t="n">
        <v>12470</v>
      </c>
      <c r="E1737" t="n">
        <v>50</v>
      </c>
      <c r="F1737" t="n">
        <v>33575</v>
      </c>
      <c r="G1737" t="n">
        <v>0</v>
      </c>
      <c r="H1737" t="n">
        <v>11</v>
      </c>
      <c r="I1737" t="n">
        <v>175923</v>
      </c>
    </row>
    <row r="1738">
      <c r="A1738" t="n">
        <v>1737</v>
      </c>
      <c r="B1738" t="inlineStr">
        <is>
          <t>Validation</t>
        </is>
      </c>
      <c r="C1738" t="n">
        <v>6276</v>
      </c>
      <c r="D1738" t="n">
        <v>24600</v>
      </c>
      <c r="E1738" t="n">
        <v>44</v>
      </c>
      <c r="F1738" t="n">
        <v>148065</v>
      </c>
      <c r="G1738" t="n">
        <v>2</v>
      </c>
      <c r="H1738" t="n">
        <v>14</v>
      </c>
      <c r="I1738" t="n">
        <v>0</v>
      </c>
    </row>
    <row r="1739">
      <c r="A1739" t="n">
        <v>1738</v>
      </c>
      <c r="B1739" t="inlineStr">
        <is>
          <t>Validation</t>
        </is>
      </c>
      <c r="C1739" t="n">
        <v>1552</v>
      </c>
      <c r="D1739" t="n">
        <v>10580</v>
      </c>
      <c r="E1739" t="n">
        <v>52</v>
      </c>
      <c r="F1739" t="n">
        <v>38806</v>
      </c>
      <c r="G1739" t="n">
        <v>3</v>
      </c>
      <c r="H1739" t="n">
        <v>11</v>
      </c>
      <c r="I1739" t="n">
        <v>202431</v>
      </c>
    </row>
    <row r="1740">
      <c r="A1740" t="n">
        <v>1739</v>
      </c>
      <c r="B1740" t="inlineStr">
        <is>
          <t>Validation</t>
        </is>
      </c>
      <c r="C1740" t="n">
        <v>1975</v>
      </c>
      <c r="D1740" t="n">
        <v>16810</v>
      </c>
      <c r="E1740" t="n">
        <v>30</v>
      </c>
      <c r="F1740" t="n">
        <v>0</v>
      </c>
      <c r="G1740" t="n">
        <v>8</v>
      </c>
      <c r="H1740" t="n">
        <v>0</v>
      </c>
      <c r="I1740" t="n">
        <v>0</v>
      </c>
    </row>
    <row r="1741">
      <c r="A1741" t="n">
        <v>1740</v>
      </c>
      <c r="B1741" t="inlineStr">
        <is>
          <t>Train</t>
        </is>
      </c>
      <c r="C1741" t="n">
        <v>7225</v>
      </c>
      <c r="D1741" t="n">
        <v>9560</v>
      </c>
      <c r="E1741" t="n">
        <v>21</v>
      </c>
      <c r="F1741" t="n">
        <v>0</v>
      </c>
      <c r="G1741" t="n">
        <v>3</v>
      </c>
      <c r="H1741" t="n">
        <v>0</v>
      </c>
      <c r="I1741" t="n">
        <v>0</v>
      </c>
    </row>
    <row r="1742">
      <c r="A1742" t="n">
        <v>1741</v>
      </c>
      <c r="B1742" t="inlineStr">
        <is>
          <t>Train</t>
        </is>
      </c>
      <c r="C1742" t="n">
        <v>6153</v>
      </c>
      <c r="D1742" t="n">
        <v>6790</v>
      </c>
      <c r="E1742" t="n">
        <v>34</v>
      </c>
      <c r="F1742" t="n">
        <v>0</v>
      </c>
      <c r="G1742" t="n">
        <v>2</v>
      </c>
      <c r="H1742" t="n">
        <v>0</v>
      </c>
      <c r="I1742" t="n">
        <v>0</v>
      </c>
    </row>
    <row r="1743">
      <c r="A1743" t="n">
        <v>1742</v>
      </c>
      <c r="B1743" t="inlineStr">
        <is>
          <t>Train</t>
        </is>
      </c>
      <c r="C1743" t="n">
        <v>8424</v>
      </c>
      <c r="D1743" t="n">
        <v>10490</v>
      </c>
      <c r="E1743" t="n">
        <v>53</v>
      </c>
      <c r="F1743" t="n">
        <v>40383</v>
      </c>
      <c r="G1743" t="n">
        <v>5</v>
      </c>
      <c r="H1743" t="n">
        <v>13</v>
      </c>
      <c r="I1743" t="n">
        <v>203659</v>
      </c>
    </row>
    <row r="1744">
      <c r="A1744" t="n">
        <v>1743</v>
      </c>
      <c r="B1744" t="inlineStr">
        <is>
          <t>Train</t>
        </is>
      </c>
      <c r="C1744" t="n">
        <v>7316</v>
      </c>
      <c r="D1744" t="n">
        <v>19190</v>
      </c>
      <c r="E1744" t="n">
        <v>43</v>
      </c>
      <c r="F1744" t="n">
        <v>170381</v>
      </c>
      <c r="G1744" t="n">
        <v>4</v>
      </c>
      <c r="H1744" t="n">
        <v>14</v>
      </c>
      <c r="I1744" t="n">
        <v>0</v>
      </c>
    </row>
    <row r="1745">
      <c r="A1745" t="n">
        <v>1744</v>
      </c>
      <c r="B1745" t="inlineStr">
        <is>
          <t>Train</t>
        </is>
      </c>
      <c r="C1745" t="n">
        <v>589</v>
      </c>
      <c r="D1745" t="n">
        <v>22190</v>
      </c>
      <c r="E1745" t="n">
        <v>52</v>
      </c>
      <c r="F1745" t="n">
        <v>143073</v>
      </c>
      <c r="G1745" t="n">
        <v>2</v>
      </c>
      <c r="H1745" t="n">
        <v>12</v>
      </c>
      <c r="I1745" t="n">
        <v>404124</v>
      </c>
    </row>
    <row r="1746">
      <c r="A1746" t="n">
        <v>1745</v>
      </c>
      <c r="B1746" t="inlineStr">
        <is>
          <t>Train</t>
        </is>
      </c>
      <c r="C1746" t="n">
        <v>4156</v>
      </c>
      <c r="D1746" t="n">
        <v>19910</v>
      </c>
      <c r="E1746" t="n">
        <v>31</v>
      </c>
      <c r="F1746" t="n">
        <v>86794</v>
      </c>
      <c r="G1746" t="n">
        <v>2</v>
      </c>
      <c r="H1746" t="n">
        <v>14</v>
      </c>
      <c r="I1746" t="n">
        <v>0</v>
      </c>
    </row>
    <row r="1747">
      <c r="A1747" t="n">
        <v>1746</v>
      </c>
      <c r="B1747" t="inlineStr">
        <is>
          <t>Train</t>
        </is>
      </c>
      <c r="C1747" t="n">
        <v>1150</v>
      </c>
      <c r="D1747" t="n">
        <v>13730</v>
      </c>
      <c r="E1747" t="n">
        <v>45</v>
      </c>
      <c r="F1747" t="n">
        <v>28453</v>
      </c>
      <c r="G1747" t="n">
        <v>5</v>
      </c>
      <c r="H1747" t="n">
        <v>12</v>
      </c>
      <c r="I1747" t="n">
        <v>126662</v>
      </c>
    </row>
    <row r="1748">
      <c r="A1748" t="n">
        <v>1747</v>
      </c>
      <c r="B1748" t="inlineStr">
        <is>
          <t>Validation</t>
        </is>
      </c>
      <c r="C1748" t="n">
        <v>4601</v>
      </c>
      <c r="D1748" t="n">
        <v>16390</v>
      </c>
      <c r="E1748" t="n">
        <v>42</v>
      </c>
      <c r="F1748" t="n">
        <v>155570</v>
      </c>
      <c r="G1748" t="n">
        <v>0</v>
      </c>
      <c r="H1748" t="n">
        <v>7</v>
      </c>
      <c r="I1748" t="n">
        <v>0</v>
      </c>
    </row>
    <row r="1749">
      <c r="A1749" t="n">
        <v>1748</v>
      </c>
      <c r="B1749" t="inlineStr">
        <is>
          <t>Validation</t>
        </is>
      </c>
      <c r="C1749" t="n">
        <v>5318</v>
      </c>
      <c r="D1749" t="n">
        <v>15260</v>
      </c>
      <c r="E1749" t="n">
        <v>31</v>
      </c>
      <c r="F1749" t="n">
        <v>106614</v>
      </c>
      <c r="G1749" t="n">
        <v>2</v>
      </c>
      <c r="H1749" t="n">
        <v>13</v>
      </c>
      <c r="I1749" t="n">
        <v>316309</v>
      </c>
    </row>
    <row r="1750">
      <c r="A1750" t="n">
        <v>1749</v>
      </c>
      <c r="B1750" t="inlineStr">
        <is>
          <t>Validation</t>
        </is>
      </c>
      <c r="C1750" t="n">
        <v>11583</v>
      </c>
      <c r="D1750" t="n">
        <v>9200</v>
      </c>
      <c r="E1750" t="n">
        <v>46</v>
      </c>
      <c r="F1750" t="n">
        <v>0</v>
      </c>
      <c r="G1750" t="n">
        <v>3</v>
      </c>
      <c r="H1750" t="n">
        <v>0</v>
      </c>
      <c r="I1750" t="n">
        <v>0</v>
      </c>
    </row>
    <row r="1751">
      <c r="A1751" t="n">
        <v>1750</v>
      </c>
      <c r="B1751" t="inlineStr">
        <is>
          <t>Train</t>
        </is>
      </c>
      <c r="C1751" t="n">
        <v>5754</v>
      </c>
      <c r="D1751" t="n">
        <v>13260</v>
      </c>
      <c r="E1751" t="n">
        <v>42</v>
      </c>
      <c r="F1751" t="n">
        <v>75626</v>
      </c>
      <c r="G1751" t="n">
        <v>0</v>
      </c>
      <c r="H1751" t="n">
        <v>7</v>
      </c>
      <c r="I1751" t="n">
        <v>246952</v>
      </c>
    </row>
    <row r="1752">
      <c r="A1752" t="n">
        <v>1751</v>
      </c>
      <c r="B1752" t="inlineStr">
        <is>
          <t>Train</t>
        </is>
      </c>
      <c r="C1752" t="n">
        <v>8401</v>
      </c>
      <c r="D1752" t="n">
        <v>8210</v>
      </c>
      <c r="E1752" t="n">
        <v>24</v>
      </c>
      <c r="F1752" t="n">
        <v>51505</v>
      </c>
      <c r="G1752" t="n">
        <v>0</v>
      </c>
      <c r="H1752" t="n">
        <v>7</v>
      </c>
      <c r="I1752" t="n">
        <v>201604</v>
      </c>
    </row>
    <row r="1753">
      <c r="A1753" t="n">
        <v>1752</v>
      </c>
      <c r="B1753" t="inlineStr">
        <is>
          <t>Train</t>
        </is>
      </c>
      <c r="C1753" t="n">
        <v>3628</v>
      </c>
      <c r="D1753" t="n">
        <v>14110</v>
      </c>
      <c r="E1753" t="n">
        <v>65</v>
      </c>
      <c r="F1753" t="n">
        <v>61059</v>
      </c>
      <c r="G1753" t="n">
        <v>3</v>
      </c>
      <c r="H1753" t="n">
        <v>9</v>
      </c>
      <c r="I1753" t="n">
        <v>229924</v>
      </c>
    </row>
    <row r="1754">
      <c r="A1754" t="n">
        <v>1753</v>
      </c>
      <c r="B1754" t="inlineStr">
        <is>
          <t>Train</t>
        </is>
      </c>
      <c r="C1754" t="n">
        <v>5996</v>
      </c>
      <c r="D1754" t="n">
        <v>20120</v>
      </c>
      <c r="E1754" t="n">
        <v>49</v>
      </c>
      <c r="F1754" t="n">
        <v>45321</v>
      </c>
      <c r="G1754" t="n">
        <v>4</v>
      </c>
      <c r="H1754" t="n">
        <v>14</v>
      </c>
      <c r="I1754" t="n">
        <v>191423</v>
      </c>
    </row>
    <row r="1755">
      <c r="A1755" t="n">
        <v>1754</v>
      </c>
      <c r="B1755" t="inlineStr">
        <is>
          <t>Train</t>
        </is>
      </c>
      <c r="C1755" t="n">
        <v>6662</v>
      </c>
      <c r="D1755" t="n">
        <v>9270</v>
      </c>
      <c r="E1755" t="n">
        <v>51</v>
      </c>
      <c r="F1755" t="n">
        <v>63150</v>
      </c>
      <c r="G1755" t="n">
        <v>5</v>
      </c>
      <c r="H1755" t="n">
        <v>13</v>
      </c>
      <c r="I1755" t="n">
        <v>190671</v>
      </c>
    </row>
    <row r="1756">
      <c r="A1756" t="n">
        <v>1755</v>
      </c>
      <c r="B1756" t="inlineStr">
        <is>
          <t>Train</t>
        </is>
      </c>
      <c r="C1756" t="n">
        <v>10848</v>
      </c>
      <c r="D1756" t="n">
        <v>20550</v>
      </c>
      <c r="E1756" t="n">
        <v>47</v>
      </c>
      <c r="F1756" t="n">
        <v>40430</v>
      </c>
      <c r="G1756" t="n">
        <v>4</v>
      </c>
      <c r="H1756" t="n">
        <v>11</v>
      </c>
      <c r="I1756" t="n">
        <v>0</v>
      </c>
    </row>
    <row r="1757">
      <c r="A1757" t="n">
        <v>1756</v>
      </c>
      <c r="B1757" t="inlineStr">
        <is>
          <t>Train</t>
        </is>
      </c>
      <c r="C1757" t="n">
        <v>2049</v>
      </c>
      <c r="D1757" t="n">
        <v>21810</v>
      </c>
      <c r="E1757" t="n">
        <v>67</v>
      </c>
      <c r="F1757" t="n">
        <v>53714</v>
      </c>
      <c r="G1757" t="n">
        <v>0</v>
      </c>
      <c r="H1757" t="n">
        <v>15</v>
      </c>
      <c r="I1757" t="n">
        <v>209432</v>
      </c>
    </row>
    <row r="1758">
      <c r="A1758" t="n">
        <v>1757</v>
      </c>
      <c r="B1758" t="inlineStr">
        <is>
          <t>Validation</t>
        </is>
      </c>
      <c r="C1758" t="n">
        <v>2056</v>
      </c>
      <c r="D1758" t="n">
        <v>18530</v>
      </c>
      <c r="E1758" t="n">
        <v>57</v>
      </c>
      <c r="F1758" t="n">
        <v>44108</v>
      </c>
      <c r="G1758" t="n">
        <v>0</v>
      </c>
      <c r="H1758" t="n">
        <v>15</v>
      </c>
      <c r="I1758" t="n">
        <v>0</v>
      </c>
    </row>
    <row r="1759">
      <c r="A1759" t="n">
        <v>1758</v>
      </c>
      <c r="B1759" t="inlineStr">
        <is>
          <t>Validation</t>
        </is>
      </c>
      <c r="C1759" t="n">
        <v>10976</v>
      </c>
      <c r="D1759" t="n">
        <v>31140</v>
      </c>
      <c r="E1759" t="n">
        <v>38</v>
      </c>
      <c r="F1759" t="n">
        <v>141365</v>
      </c>
      <c r="G1759" t="n">
        <v>0</v>
      </c>
      <c r="H1759" t="n">
        <v>9</v>
      </c>
      <c r="I1759" t="n">
        <v>365297</v>
      </c>
    </row>
    <row r="1760">
      <c r="A1760" t="n">
        <v>1759</v>
      </c>
      <c r="B1760" t="inlineStr">
        <is>
          <t>Validation</t>
        </is>
      </c>
      <c r="C1760" t="n">
        <v>5513</v>
      </c>
      <c r="D1760" t="n">
        <v>12930</v>
      </c>
      <c r="E1760" t="n">
        <v>41</v>
      </c>
      <c r="F1760" t="n">
        <v>6352</v>
      </c>
      <c r="G1760" t="n">
        <v>0</v>
      </c>
      <c r="H1760" t="n">
        <v>8</v>
      </c>
      <c r="I1760" t="n">
        <v>0</v>
      </c>
    </row>
    <row r="1761">
      <c r="A1761" t="n">
        <v>1760</v>
      </c>
      <c r="B1761" t="inlineStr">
        <is>
          <t>Train</t>
        </is>
      </c>
      <c r="C1761" t="n">
        <v>956</v>
      </c>
      <c r="D1761" t="n">
        <v>19510</v>
      </c>
      <c r="E1761" t="n">
        <v>38</v>
      </c>
      <c r="F1761" t="n">
        <v>35311</v>
      </c>
      <c r="G1761" t="n">
        <v>0</v>
      </c>
      <c r="H1761" t="n">
        <v>10</v>
      </c>
      <c r="I1761" t="n">
        <v>179004</v>
      </c>
    </row>
    <row r="1762">
      <c r="A1762" t="n">
        <v>1761</v>
      </c>
      <c r="B1762" t="inlineStr">
        <is>
          <t>Train</t>
        </is>
      </c>
      <c r="C1762" t="n">
        <v>35095</v>
      </c>
      <c r="D1762" t="n">
        <v>30690</v>
      </c>
      <c r="E1762" t="n">
        <v>46</v>
      </c>
      <c r="F1762" t="n">
        <v>147091</v>
      </c>
      <c r="G1762" t="n">
        <v>0</v>
      </c>
      <c r="H1762" t="n">
        <v>13</v>
      </c>
      <c r="I1762" t="n">
        <v>0</v>
      </c>
    </row>
    <row r="1763">
      <c r="A1763" t="n">
        <v>1762</v>
      </c>
      <c r="B1763" t="inlineStr">
        <is>
          <t>Train</t>
        </is>
      </c>
      <c r="C1763" t="n">
        <v>25973</v>
      </c>
      <c r="D1763" t="n">
        <v>6200</v>
      </c>
      <c r="E1763" t="n">
        <v>47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1763</v>
      </c>
      <c r="B1764" t="inlineStr">
        <is>
          <t>Train</t>
        </is>
      </c>
      <c r="C1764" t="n">
        <v>6587</v>
      </c>
      <c r="D1764" t="n">
        <v>17740</v>
      </c>
      <c r="E1764" t="n">
        <v>61</v>
      </c>
      <c r="F1764" t="n">
        <v>76875</v>
      </c>
      <c r="G1764" t="n">
        <v>8</v>
      </c>
      <c r="H1764" t="n">
        <v>14</v>
      </c>
      <c r="I1764" t="n">
        <v>0</v>
      </c>
    </row>
    <row r="1765">
      <c r="A1765" t="n">
        <v>1764</v>
      </c>
      <c r="B1765" t="inlineStr">
        <is>
          <t>Train</t>
        </is>
      </c>
      <c r="C1765" t="n">
        <v>4746</v>
      </c>
      <c r="D1765" t="n">
        <v>12320</v>
      </c>
      <c r="E1765" t="n">
        <v>45</v>
      </c>
      <c r="F1765" t="n">
        <v>108151</v>
      </c>
      <c r="G1765" t="n">
        <v>0</v>
      </c>
      <c r="H1765" t="n">
        <v>10</v>
      </c>
      <c r="I1765" t="n">
        <v>0</v>
      </c>
    </row>
    <row r="1766">
      <c r="A1766" t="n">
        <v>1765</v>
      </c>
      <c r="B1766" t="inlineStr">
        <is>
          <t>Train</t>
        </is>
      </c>
      <c r="C1766" t="n">
        <v>4874</v>
      </c>
      <c r="D1766" t="n">
        <v>15470</v>
      </c>
      <c r="E1766" t="n">
        <v>51</v>
      </c>
      <c r="F1766" t="n">
        <v>30531</v>
      </c>
      <c r="G1766" t="n">
        <v>5</v>
      </c>
      <c r="H1766" t="n">
        <v>18</v>
      </c>
      <c r="I1766" t="n">
        <v>122736</v>
      </c>
    </row>
    <row r="1767">
      <c r="A1767" t="n">
        <v>1766</v>
      </c>
      <c r="B1767" t="inlineStr">
        <is>
          <t>Train</t>
        </is>
      </c>
      <c r="C1767" t="n">
        <v>7143</v>
      </c>
      <c r="D1767" t="n">
        <v>8350</v>
      </c>
      <c r="E1767" t="n">
        <v>47</v>
      </c>
      <c r="F1767" t="n">
        <v>21517</v>
      </c>
      <c r="G1767" t="n">
        <v>7</v>
      </c>
      <c r="H1767" t="n">
        <v>7</v>
      </c>
      <c r="I1767" t="n">
        <v>130812</v>
      </c>
    </row>
    <row r="1768">
      <c r="A1768" t="n">
        <v>1767</v>
      </c>
      <c r="B1768" t="inlineStr">
        <is>
          <t>Validation</t>
        </is>
      </c>
      <c r="C1768" t="n">
        <v>6153</v>
      </c>
      <c r="D1768" t="n">
        <v>22640</v>
      </c>
      <c r="E1768" t="n">
        <v>33</v>
      </c>
      <c r="F1768" t="n">
        <v>52705</v>
      </c>
      <c r="G1768" t="n">
        <v>5</v>
      </c>
      <c r="H1768" t="n">
        <v>8</v>
      </c>
      <c r="I1768" t="n">
        <v>160953</v>
      </c>
    </row>
    <row r="1769">
      <c r="A1769" t="n">
        <v>1768</v>
      </c>
      <c r="B1769" t="inlineStr">
        <is>
          <t>Validation</t>
        </is>
      </c>
      <c r="C1769" t="n">
        <v>3809</v>
      </c>
      <c r="D1769" t="n">
        <v>16780</v>
      </c>
      <c r="E1769" t="n">
        <v>47</v>
      </c>
      <c r="F1769" t="n">
        <v>45431</v>
      </c>
      <c r="G1769" t="n">
        <v>5</v>
      </c>
      <c r="H1769" t="n">
        <v>13</v>
      </c>
      <c r="I1769" t="n">
        <v>192184</v>
      </c>
    </row>
    <row r="1770">
      <c r="A1770" t="n">
        <v>1769</v>
      </c>
      <c r="B1770" t="inlineStr">
        <is>
          <t>Validation</t>
        </is>
      </c>
      <c r="C1770" t="n">
        <v>3189</v>
      </c>
      <c r="D1770" t="n">
        <v>33440</v>
      </c>
      <c r="E1770" t="n">
        <v>41</v>
      </c>
      <c r="F1770" t="n">
        <v>173691</v>
      </c>
      <c r="G1770" t="n">
        <v>0</v>
      </c>
      <c r="H1770" t="n">
        <v>14</v>
      </c>
      <c r="I1770" t="n">
        <v>428992</v>
      </c>
    </row>
    <row r="1771">
      <c r="A1771" t="n">
        <v>1770</v>
      </c>
      <c r="B1771" t="inlineStr">
        <is>
          <t>Train</t>
        </is>
      </c>
      <c r="C1771" t="n">
        <v>20038</v>
      </c>
      <c r="D1771" t="n">
        <v>14980</v>
      </c>
      <c r="E1771" t="n">
        <v>45</v>
      </c>
      <c r="F1771" t="n">
        <v>65750</v>
      </c>
      <c r="G1771" t="n">
        <v>4</v>
      </c>
      <c r="H1771" t="n">
        <v>7</v>
      </c>
      <c r="I1771" t="n">
        <v>241791</v>
      </c>
    </row>
    <row r="1772">
      <c r="A1772" t="n">
        <v>1771</v>
      </c>
      <c r="B1772" t="inlineStr">
        <is>
          <t>Train</t>
        </is>
      </c>
      <c r="C1772" t="n">
        <v>6272</v>
      </c>
      <c r="D1772" t="n">
        <v>20650</v>
      </c>
      <c r="E1772" t="n">
        <v>51</v>
      </c>
      <c r="F1772" t="n">
        <v>118301</v>
      </c>
      <c r="G1772" t="n">
        <v>0</v>
      </c>
      <c r="H1772" t="n">
        <v>17</v>
      </c>
      <c r="I1772" t="n">
        <v>285597</v>
      </c>
    </row>
    <row r="1773">
      <c r="A1773" t="n">
        <v>1772</v>
      </c>
      <c r="B1773" t="inlineStr">
        <is>
          <t>Train</t>
        </is>
      </c>
      <c r="C1773" t="n">
        <v>4075</v>
      </c>
      <c r="D1773" t="n">
        <v>21600</v>
      </c>
      <c r="E1773" t="n">
        <v>51</v>
      </c>
      <c r="F1773" t="n">
        <v>67452</v>
      </c>
      <c r="G1773" t="n">
        <v>4</v>
      </c>
      <c r="H1773" t="n">
        <v>12</v>
      </c>
      <c r="I1773" t="n">
        <v>0</v>
      </c>
    </row>
    <row r="1774">
      <c r="A1774" t="n">
        <v>1773</v>
      </c>
      <c r="B1774" t="inlineStr">
        <is>
          <t>Train</t>
        </is>
      </c>
      <c r="C1774" t="n">
        <v>11006</v>
      </c>
      <c r="D1774" t="n">
        <v>6080</v>
      </c>
      <c r="E1774" t="n">
        <v>44</v>
      </c>
      <c r="F1774" t="n">
        <v>1769</v>
      </c>
      <c r="G1774" t="n">
        <v>1</v>
      </c>
      <c r="H1774" t="n">
        <v>11</v>
      </c>
      <c r="I1774" t="n">
        <v>0</v>
      </c>
    </row>
    <row r="1775">
      <c r="A1775" t="n">
        <v>1774</v>
      </c>
      <c r="B1775" t="inlineStr">
        <is>
          <t>Train</t>
        </is>
      </c>
      <c r="C1775" t="n">
        <v>5347</v>
      </c>
      <c r="D1775" t="n">
        <v>9230</v>
      </c>
      <c r="E1775" t="n">
        <v>35</v>
      </c>
      <c r="F1775" t="n">
        <v>77339</v>
      </c>
      <c r="G1775" t="n">
        <v>3</v>
      </c>
      <c r="H1775" t="n">
        <v>11</v>
      </c>
      <c r="I1775" t="n">
        <v>0</v>
      </c>
    </row>
    <row r="1776">
      <c r="A1776" t="n">
        <v>1775</v>
      </c>
      <c r="B1776" t="inlineStr">
        <is>
          <t>Train</t>
        </is>
      </c>
      <c r="C1776" t="n">
        <v>26914</v>
      </c>
      <c r="D1776" t="n">
        <v>20280</v>
      </c>
      <c r="E1776" t="n">
        <v>33</v>
      </c>
      <c r="F1776" t="n">
        <v>40990</v>
      </c>
      <c r="G1776" t="n">
        <v>0</v>
      </c>
      <c r="H1776" t="n">
        <v>12</v>
      </c>
      <c r="I1776" t="n">
        <v>151286</v>
      </c>
    </row>
    <row r="1777">
      <c r="A1777" t="n">
        <v>1776</v>
      </c>
      <c r="B1777" t="inlineStr">
        <is>
          <t>Train</t>
        </is>
      </c>
      <c r="C1777" t="n">
        <v>6789</v>
      </c>
      <c r="D1777" t="n">
        <v>28190</v>
      </c>
      <c r="E1777" t="n">
        <v>41</v>
      </c>
      <c r="F1777" t="n">
        <v>38129</v>
      </c>
      <c r="G1777" t="n">
        <v>5</v>
      </c>
      <c r="H1777" t="n">
        <v>13</v>
      </c>
      <c r="I1777" t="n">
        <v>158485</v>
      </c>
    </row>
    <row r="1778">
      <c r="A1778" t="n">
        <v>1777</v>
      </c>
      <c r="B1778" t="inlineStr">
        <is>
          <t>Validation</t>
        </is>
      </c>
      <c r="C1778" t="n">
        <v>8990</v>
      </c>
      <c r="D1778" t="n">
        <v>28300</v>
      </c>
      <c r="E1778" t="n">
        <v>34</v>
      </c>
      <c r="F1778" t="n">
        <v>45085</v>
      </c>
      <c r="G1778" t="n">
        <v>1</v>
      </c>
      <c r="H1778" t="n">
        <v>7</v>
      </c>
      <c r="I1778" t="n">
        <v>157612</v>
      </c>
    </row>
    <row r="1779">
      <c r="A1779" t="n">
        <v>1778</v>
      </c>
      <c r="B1779" t="inlineStr">
        <is>
          <t>Validation</t>
        </is>
      </c>
      <c r="C1779" t="n">
        <v>3785</v>
      </c>
      <c r="D1779" t="n">
        <v>17140</v>
      </c>
      <c r="E1779" t="n">
        <v>42</v>
      </c>
      <c r="F1779" t="n">
        <v>20882</v>
      </c>
      <c r="G1779" t="n">
        <v>0</v>
      </c>
      <c r="H1779" t="n">
        <v>10</v>
      </c>
      <c r="I1779" t="n">
        <v>0</v>
      </c>
    </row>
    <row r="1780">
      <c r="A1780" t="n">
        <v>1779</v>
      </c>
      <c r="B1780" t="inlineStr">
        <is>
          <t>Validation</t>
        </is>
      </c>
      <c r="C1780" t="n">
        <v>8386</v>
      </c>
      <c r="D1780" t="n">
        <v>14680</v>
      </c>
      <c r="E1780" t="n">
        <v>58</v>
      </c>
      <c r="F1780" t="n">
        <v>125791</v>
      </c>
      <c r="G1780" t="n">
        <v>1</v>
      </c>
      <c r="H1780" t="n">
        <v>10</v>
      </c>
      <c r="I1780" t="n">
        <v>371188</v>
      </c>
    </row>
    <row r="1781">
      <c r="A1781" t="n">
        <v>1780</v>
      </c>
      <c r="B1781" t="inlineStr">
        <is>
          <t>Train</t>
        </is>
      </c>
      <c r="C1781" t="n">
        <v>8080</v>
      </c>
      <c r="D1781" t="n">
        <v>5300</v>
      </c>
      <c r="E1781" t="n">
        <v>38</v>
      </c>
      <c r="F1781" t="n">
        <v>0</v>
      </c>
      <c r="G1781" t="n">
        <v>5</v>
      </c>
      <c r="H1781" t="n">
        <v>0</v>
      </c>
      <c r="I1781" t="n">
        <v>0</v>
      </c>
    </row>
    <row r="1782">
      <c r="A1782" t="n">
        <v>1781</v>
      </c>
      <c r="B1782" t="inlineStr">
        <is>
          <t>Train</t>
        </is>
      </c>
      <c r="C1782" t="n">
        <v>9543</v>
      </c>
      <c r="D1782" t="n">
        <v>7460</v>
      </c>
      <c r="E1782" t="n">
        <v>45</v>
      </c>
      <c r="F1782" t="n">
        <v>14604</v>
      </c>
      <c r="G1782" t="n">
        <v>9</v>
      </c>
      <c r="H1782" t="n">
        <v>13</v>
      </c>
      <c r="I1782" t="n">
        <v>114676</v>
      </c>
    </row>
    <row r="1783">
      <c r="A1783" t="n">
        <v>1782</v>
      </c>
      <c r="B1783" t="inlineStr">
        <is>
          <t>Train</t>
        </is>
      </c>
      <c r="C1783" t="n">
        <v>1097</v>
      </c>
      <c r="D1783" t="n">
        <v>5900</v>
      </c>
      <c r="E1783" t="n">
        <v>44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1783</v>
      </c>
      <c r="B1784" t="inlineStr">
        <is>
          <t>Train</t>
        </is>
      </c>
      <c r="C1784" t="n">
        <v>3850</v>
      </c>
      <c r="D1784" t="n">
        <v>1500</v>
      </c>
      <c r="E1784" t="n">
        <v>50</v>
      </c>
      <c r="F1784" t="n">
        <v>54344</v>
      </c>
      <c r="G1784" t="n">
        <v>1</v>
      </c>
      <c r="H1784" t="n">
        <v>11</v>
      </c>
      <c r="I1784" t="n">
        <v>0</v>
      </c>
    </row>
    <row r="1785">
      <c r="A1785" t="n">
        <v>1784</v>
      </c>
      <c r="B1785" t="inlineStr">
        <is>
          <t>Train</t>
        </is>
      </c>
      <c r="C1785" t="n">
        <v>8207</v>
      </c>
      <c r="D1785" t="n">
        <v>25230</v>
      </c>
      <c r="E1785" t="n">
        <v>38</v>
      </c>
      <c r="F1785" t="n">
        <v>156060</v>
      </c>
      <c r="G1785" t="n">
        <v>7</v>
      </c>
      <c r="H1785" t="n">
        <v>9</v>
      </c>
      <c r="I1785" t="n">
        <v>381438</v>
      </c>
    </row>
    <row r="1786">
      <c r="A1786" t="n">
        <v>1785</v>
      </c>
      <c r="B1786" t="inlineStr">
        <is>
          <t>Train</t>
        </is>
      </c>
      <c r="C1786" t="n">
        <v>1312</v>
      </c>
      <c r="D1786" t="n">
        <v>28770</v>
      </c>
      <c r="E1786" t="n">
        <v>44</v>
      </c>
      <c r="F1786" t="n">
        <v>216412</v>
      </c>
      <c r="G1786" t="n">
        <v>0</v>
      </c>
      <c r="H1786" t="n">
        <v>13</v>
      </c>
      <c r="I1786" t="n">
        <v>495325</v>
      </c>
    </row>
    <row r="1787">
      <c r="A1787" t="n">
        <v>1786</v>
      </c>
      <c r="B1787" t="inlineStr">
        <is>
          <t>Train</t>
        </is>
      </c>
      <c r="C1787" t="n">
        <v>4792</v>
      </c>
      <c r="D1787" t="n">
        <v>28870</v>
      </c>
      <c r="E1787" t="n">
        <v>45</v>
      </c>
      <c r="F1787" t="n">
        <v>39315</v>
      </c>
      <c r="G1787" t="n">
        <v>3</v>
      </c>
      <c r="H1787" t="n">
        <v>6</v>
      </c>
      <c r="I1787" t="n">
        <v>140422</v>
      </c>
    </row>
    <row r="1788">
      <c r="A1788" t="n">
        <v>1787</v>
      </c>
      <c r="B1788" t="inlineStr">
        <is>
          <t>Validation</t>
        </is>
      </c>
      <c r="C1788" t="n">
        <v>28005</v>
      </c>
      <c r="D1788" t="n">
        <v>21610</v>
      </c>
      <c r="E1788" t="n">
        <v>46</v>
      </c>
      <c r="F1788" t="n">
        <v>104017</v>
      </c>
      <c r="G1788" t="n">
        <v>6</v>
      </c>
      <c r="H1788" t="n">
        <v>11</v>
      </c>
      <c r="I1788" t="n">
        <v>0</v>
      </c>
    </row>
    <row r="1789">
      <c r="A1789" t="n">
        <v>1788</v>
      </c>
      <c r="B1789" t="inlineStr">
        <is>
          <t>Validation</t>
        </is>
      </c>
      <c r="C1789" t="n">
        <v>30341</v>
      </c>
      <c r="D1789" t="n">
        <v>14440</v>
      </c>
      <c r="E1789" t="n">
        <v>52</v>
      </c>
      <c r="F1789" t="n">
        <v>126865</v>
      </c>
      <c r="G1789" t="n">
        <v>1</v>
      </c>
      <c r="H1789" t="n">
        <v>14</v>
      </c>
      <c r="I1789" t="n">
        <v>346249</v>
      </c>
    </row>
    <row r="1790">
      <c r="A1790" t="n">
        <v>1789</v>
      </c>
      <c r="B1790" t="inlineStr">
        <is>
          <t>Validation</t>
        </is>
      </c>
      <c r="C1790" t="n">
        <v>4321</v>
      </c>
      <c r="D1790" t="n">
        <v>8610</v>
      </c>
      <c r="E1790" t="n">
        <v>44</v>
      </c>
      <c r="F1790" t="n">
        <v>27052</v>
      </c>
      <c r="G1790" t="n">
        <v>8</v>
      </c>
      <c r="H1790" t="n">
        <v>11</v>
      </c>
      <c r="I1790" t="n">
        <v>0</v>
      </c>
    </row>
    <row r="1791">
      <c r="A1791" t="n">
        <v>1790</v>
      </c>
      <c r="B1791" t="inlineStr">
        <is>
          <t>Train</t>
        </is>
      </c>
      <c r="C1791" t="n">
        <v>3507</v>
      </c>
      <c r="D1791" t="n">
        <v>9480</v>
      </c>
      <c r="E1791" t="n">
        <v>43</v>
      </c>
      <c r="F1791" t="n">
        <v>40791</v>
      </c>
      <c r="G1791" t="n">
        <v>1</v>
      </c>
      <c r="H1791" t="n">
        <v>11</v>
      </c>
      <c r="I1791" t="n">
        <v>197873</v>
      </c>
    </row>
    <row r="1792">
      <c r="A1792" t="n">
        <v>1791</v>
      </c>
      <c r="B1792" t="inlineStr">
        <is>
          <t>Train</t>
        </is>
      </c>
      <c r="C1792" t="n">
        <v>6730</v>
      </c>
      <c r="D1792" t="n">
        <v>8260</v>
      </c>
      <c r="E1792" t="n">
        <v>42</v>
      </c>
      <c r="F1792" t="n">
        <v>67644</v>
      </c>
      <c r="G1792" t="n">
        <v>6</v>
      </c>
      <c r="H1792" t="n">
        <v>12</v>
      </c>
      <c r="I1792" t="n">
        <v>233085</v>
      </c>
    </row>
    <row r="1793">
      <c r="A1793" t="n">
        <v>1792</v>
      </c>
      <c r="B1793" t="inlineStr">
        <is>
          <t>Train</t>
        </is>
      </c>
      <c r="C1793" t="n">
        <v>988</v>
      </c>
      <c r="D1793" t="n">
        <v>22810</v>
      </c>
      <c r="E1793" t="n">
        <v>39</v>
      </c>
      <c r="F1793" t="n">
        <v>89712</v>
      </c>
      <c r="G1793" t="n">
        <v>0</v>
      </c>
      <c r="H1793" t="n">
        <v>8</v>
      </c>
      <c r="I1793" t="n">
        <v>0</v>
      </c>
    </row>
    <row r="1794">
      <c r="A1794" t="n">
        <v>1793</v>
      </c>
      <c r="B1794" t="inlineStr">
        <is>
          <t>Train</t>
        </is>
      </c>
      <c r="C1794" t="n">
        <v>8054</v>
      </c>
      <c r="D1794" t="n">
        <v>19980</v>
      </c>
      <c r="E1794" t="n">
        <v>46</v>
      </c>
      <c r="F1794" t="n">
        <v>82149</v>
      </c>
      <c r="G1794" t="n">
        <v>0</v>
      </c>
      <c r="H1794" t="n">
        <v>7</v>
      </c>
      <c r="I1794" t="n">
        <v>0</v>
      </c>
    </row>
    <row r="1795">
      <c r="A1795" t="n">
        <v>1794</v>
      </c>
      <c r="B1795" t="inlineStr">
        <is>
          <t>Train</t>
        </is>
      </c>
      <c r="C1795" t="n">
        <v>42535</v>
      </c>
      <c r="D1795" t="n">
        <v>32090</v>
      </c>
      <c r="E1795" t="n">
        <v>32</v>
      </c>
      <c r="F1795" t="n">
        <v>62507</v>
      </c>
      <c r="G1795" t="n">
        <v>5</v>
      </c>
      <c r="H1795" t="n">
        <v>13</v>
      </c>
      <c r="I1795" t="n">
        <v>175142</v>
      </c>
    </row>
    <row r="1796">
      <c r="A1796" t="n">
        <v>1795</v>
      </c>
      <c r="B1796" t="inlineStr">
        <is>
          <t>Train</t>
        </is>
      </c>
      <c r="C1796" t="n">
        <v>5480</v>
      </c>
      <c r="D1796" t="n">
        <v>20120</v>
      </c>
      <c r="E1796" t="n">
        <v>33</v>
      </c>
      <c r="F1796" t="n">
        <v>93258</v>
      </c>
      <c r="G1796" t="n">
        <v>1</v>
      </c>
      <c r="H1796" t="n">
        <v>10</v>
      </c>
      <c r="I1796" t="n">
        <v>291200</v>
      </c>
    </row>
    <row r="1797">
      <c r="A1797" t="n">
        <v>1796</v>
      </c>
      <c r="B1797" t="inlineStr">
        <is>
          <t>Train</t>
        </is>
      </c>
      <c r="C1797" t="n">
        <v>46753</v>
      </c>
      <c r="D1797" t="n">
        <v>14150</v>
      </c>
      <c r="E1797" t="n">
        <v>54</v>
      </c>
      <c r="F1797" t="n">
        <v>33472</v>
      </c>
      <c r="G1797" t="n">
        <v>4</v>
      </c>
      <c r="H1797" t="n">
        <v>16</v>
      </c>
      <c r="I1797" t="n">
        <v>198200</v>
      </c>
    </row>
    <row r="1798">
      <c r="A1798" t="n">
        <v>1797</v>
      </c>
      <c r="B1798" t="inlineStr">
        <is>
          <t>Validation</t>
        </is>
      </c>
      <c r="C1798" t="n">
        <v>2957</v>
      </c>
      <c r="D1798" t="n">
        <v>11370</v>
      </c>
      <c r="E1798" t="n">
        <v>49</v>
      </c>
      <c r="F1798" t="n">
        <v>100260</v>
      </c>
      <c r="G1798" t="n">
        <v>5</v>
      </c>
      <c r="H1798" t="n">
        <v>12</v>
      </c>
      <c r="I1798" t="n">
        <v>0</v>
      </c>
    </row>
    <row r="1799">
      <c r="A1799" t="n">
        <v>1798</v>
      </c>
      <c r="B1799" t="inlineStr">
        <is>
          <t>Validation</t>
        </is>
      </c>
      <c r="C1799" t="n">
        <v>31683</v>
      </c>
      <c r="D1799" t="n">
        <v>30480</v>
      </c>
      <c r="E1799" t="n">
        <v>41</v>
      </c>
      <c r="F1799" t="n">
        <v>153270</v>
      </c>
      <c r="G1799" t="n">
        <v>5</v>
      </c>
      <c r="H1799" t="n">
        <v>13</v>
      </c>
      <c r="I1799" t="n">
        <v>382564</v>
      </c>
    </row>
    <row r="1800">
      <c r="A1800" t="n">
        <v>1799</v>
      </c>
      <c r="B1800" t="inlineStr">
        <is>
          <t>Validation</t>
        </is>
      </c>
      <c r="C1800" t="n">
        <v>2441</v>
      </c>
      <c r="D1800" t="n">
        <v>15490</v>
      </c>
      <c r="E1800" t="n">
        <v>43</v>
      </c>
      <c r="F1800" t="n">
        <v>86530</v>
      </c>
      <c r="G1800" t="n">
        <v>0</v>
      </c>
      <c r="H1800" t="n">
        <v>6</v>
      </c>
      <c r="I1800" t="n">
        <v>0</v>
      </c>
    </row>
    <row r="1801">
      <c r="A1801" t="n">
        <v>1800</v>
      </c>
      <c r="B1801" t="inlineStr">
        <is>
          <t>Train</t>
        </is>
      </c>
      <c r="C1801" t="n">
        <v>9055</v>
      </c>
      <c r="D1801" t="n">
        <v>16300</v>
      </c>
      <c r="E1801" t="n">
        <v>36</v>
      </c>
      <c r="F1801" t="n">
        <v>111961</v>
      </c>
      <c r="G1801" t="n">
        <v>0</v>
      </c>
      <c r="H1801" t="n">
        <v>9</v>
      </c>
      <c r="I1801" t="n">
        <v>0</v>
      </c>
    </row>
    <row r="1802">
      <c r="A1802" t="n">
        <v>1801</v>
      </c>
      <c r="B1802" t="inlineStr">
        <is>
          <t>Train</t>
        </is>
      </c>
      <c r="C1802" t="n">
        <v>3295</v>
      </c>
      <c r="D1802" t="n">
        <v>10480</v>
      </c>
      <c r="E1802" t="n">
        <v>40</v>
      </c>
      <c r="F1802" t="n">
        <v>64520</v>
      </c>
      <c r="G1802" t="n">
        <v>1</v>
      </c>
      <c r="H1802" t="n">
        <v>14</v>
      </c>
      <c r="I1802" t="n">
        <v>231035</v>
      </c>
    </row>
    <row r="1803">
      <c r="A1803" t="n">
        <v>1802</v>
      </c>
      <c r="B1803" t="inlineStr">
        <is>
          <t>Train</t>
        </is>
      </c>
      <c r="C1803" t="n">
        <v>1201</v>
      </c>
      <c r="D1803" t="n">
        <v>12340</v>
      </c>
      <c r="E1803" t="n">
        <v>45</v>
      </c>
      <c r="F1803" t="n">
        <v>63432</v>
      </c>
      <c r="G1803" t="n">
        <v>6</v>
      </c>
      <c r="H1803" t="n">
        <v>9</v>
      </c>
      <c r="I1803" t="n">
        <v>218922</v>
      </c>
    </row>
    <row r="1804">
      <c r="A1804" t="n">
        <v>1803</v>
      </c>
      <c r="B1804" t="inlineStr">
        <is>
          <t>Train</t>
        </is>
      </c>
      <c r="C1804" t="n">
        <v>19036</v>
      </c>
      <c r="D1804" t="n">
        <v>7180</v>
      </c>
      <c r="E1804" t="n">
        <v>54</v>
      </c>
      <c r="F1804" t="n">
        <v>0</v>
      </c>
      <c r="G1804" t="n">
        <v>4</v>
      </c>
      <c r="H1804" t="n">
        <v>0</v>
      </c>
      <c r="I1804" t="n">
        <v>0</v>
      </c>
    </row>
    <row r="1805">
      <c r="A1805" t="n">
        <v>1804</v>
      </c>
      <c r="B1805" t="inlineStr">
        <is>
          <t>Train</t>
        </is>
      </c>
      <c r="C1805" t="n">
        <v>1105</v>
      </c>
      <c r="D1805" t="n">
        <v>21770</v>
      </c>
      <c r="E1805" t="n">
        <v>53</v>
      </c>
      <c r="F1805" t="n">
        <v>35516</v>
      </c>
      <c r="G1805" t="n">
        <v>6</v>
      </c>
      <c r="H1805" t="n">
        <v>13</v>
      </c>
      <c r="I1805" t="n">
        <v>0</v>
      </c>
    </row>
    <row r="1806">
      <c r="A1806" t="n">
        <v>1805</v>
      </c>
      <c r="B1806" t="inlineStr">
        <is>
          <t>Train</t>
        </is>
      </c>
      <c r="C1806" t="n">
        <v>6596</v>
      </c>
      <c r="D1806" t="n">
        <v>20310</v>
      </c>
      <c r="E1806" t="n">
        <v>26</v>
      </c>
      <c r="F1806" t="n">
        <v>27666</v>
      </c>
      <c r="G1806" t="n">
        <v>6</v>
      </c>
      <c r="H1806" t="n">
        <v>12</v>
      </c>
      <c r="I1806" t="n">
        <v>0</v>
      </c>
    </row>
    <row r="1807">
      <c r="A1807" t="n">
        <v>1806</v>
      </c>
      <c r="B1807" t="inlineStr">
        <is>
          <t>Train</t>
        </is>
      </c>
      <c r="C1807" t="n">
        <v>23176</v>
      </c>
      <c r="D1807" t="n">
        <v>6050</v>
      </c>
      <c r="E1807" t="n">
        <v>35</v>
      </c>
      <c r="F1807" t="n">
        <v>8701</v>
      </c>
      <c r="G1807" t="n">
        <v>6</v>
      </c>
      <c r="H1807" t="n">
        <v>12</v>
      </c>
      <c r="I1807" t="n">
        <v>80364</v>
      </c>
    </row>
    <row r="1808">
      <c r="A1808" t="n">
        <v>1807</v>
      </c>
      <c r="B1808" t="inlineStr">
        <is>
          <t>Validation</t>
        </is>
      </c>
      <c r="C1808" t="n">
        <v>4196</v>
      </c>
      <c r="D1808" t="n">
        <v>11480</v>
      </c>
      <c r="E1808" t="n">
        <v>56</v>
      </c>
      <c r="F1808" t="n">
        <v>33193</v>
      </c>
      <c r="G1808" t="n">
        <v>1</v>
      </c>
      <c r="H1808" t="n">
        <v>13</v>
      </c>
      <c r="I1808" t="n">
        <v>149500</v>
      </c>
    </row>
    <row r="1809">
      <c r="A1809" t="n">
        <v>1808</v>
      </c>
      <c r="B1809" t="inlineStr">
        <is>
          <t>Validation</t>
        </is>
      </c>
      <c r="C1809" t="n">
        <v>1943</v>
      </c>
      <c r="D1809" t="n">
        <v>13160</v>
      </c>
      <c r="E1809" t="n">
        <v>49</v>
      </c>
      <c r="F1809" t="n">
        <v>7784</v>
      </c>
      <c r="G1809" t="n">
        <v>0</v>
      </c>
      <c r="H1809" t="n">
        <v>13</v>
      </c>
      <c r="I1809" t="n">
        <v>98722</v>
      </c>
    </row>
    <row r="1810">
      <c r="A1810" t="n">
        <v>1809</v>
      </c>
      <c r="B1810" t="inlineStr">
        <is>
          <t>Validation</t>
        </is>
      </c>
      <c r="C1810" t="n">
        <v>7409</v>
      </c>
      <c r="D1810" t="n">
        <v>7000</v>
      </c>
      <c r="E1810" t="n">
        <v>55</v>
      </c>
      <c r="F1810" t="n">
        <v>91610</v>
      </c>
      <c r="G1810" t="n">
        <v>3</v>
      </c>
      <c r="H1810" t="n">
        <v>14</v>
      </c>
      <c r="I1810" t="n">
        <v>296001</v>
      </c>
    </row>
    <row r="1811">
      <c r="A1811" t="n">
        <v>1810</v>
      </c>
      <c r="B1811" t="inlineStr">
        <is>
          <t>Train</t>
        </is>
      </c>
      <c r="C1811" t="n">
        <v>5288</v>
      </c>
      <c r="D1811" t="n">
        <v>30180</v>
      </c>
      <c r="E1811" t="n">
        <v>36</v>
      </c>
      <c r="F1811" t="n">
        <v>89509</v>
      </c>
      <c r="G1811" t="n">
        <v>6</v>
      </c>
      <c r="H1811" t="n">
        <v>10</v>
      </c>
      <c r="I1811" t="n">
        <v>265394</v>
      </c>
    </row>
    <row r="1812">
      <c r="A1812" t="n">
        <v>1811</v>
      </c>
      <c r="B1812" t="inlineStr">
        <is>
          <t>Train</t>
        </is>
      </c>
      <c r="C1812" t="n">
        <v>7501</v>
      </c>
      <c r="D1812" t="n">
        <v>19820</v>
      </c>
      <c r="E1812" t="n">
        <v>41</v>
      </c>
      <c r="F1812" t="n">
        <v>32437</v>
      </c>
      <c r="G1812" t="n">
        <v>3</v>
      </c>
      <c r="H1812" t="n">
        <v>15</v>
      </c>
      <c r="I1812" t="n">
        <v>140264</v>
      </c>
    </row>
    <row r="1813">
      <c r="A1813" t="n">
        <v>1812</v>
      </c>
      <c r="B1813" t="inlineStr">
        <is>
          <t>Train</t>
        </is>
      </c>
      <c r="C1813" t="n">
        <v>6890</v>
      </c>
      <c r="D1813" t="n">
        <v>14050</v>
      </c>
      <c r="E1813" t="n">
        <v>35</v>
      </c>
      <c r="F1813" t="n">
        <v>17972</v>
      </c>
      <c r="G1813" t="n">
        <v>4</v>
      </c>
      <c r="H1813" t="n">
        <v>6</v>
      </c>
      <c r="I1813" t="n">
        <v>109056</v>
      </c>
    </row>
    <row r="1814">
      <c r="A1814" t="n">
        <v>1813</v>
      </c>
      <c r="B1814" t="inlineStr">
        <is>
          <t>Train</t>
        </is>
      </c>
      <c r="C1814" t="n">
        <v>4169</v>
      </c>
      <c r="D1814" t="n">
        <v>23640</v>
      </c>
      <c r="E1814" t="n">
        <v>57</v>
      </c>
      <c r="F1814" t="n">
        <v>106922</v>
      </c>
      <c r="G1814" t="n">
        <v>1</v>
      </c>
      <c r="H1814" t="n">
        <v>12</v>
      </c>
      <c r="I1814" t="n">
        <v>285968</v>
      </c>
    </row>
    <row r="1815">
      <c r="A1815" t="n">
        <v>1814</v>
      </c>
      <c r="B1815" t="inlineStr">
        <is>
          <t>Train</t>
        </is>
      </c>
      <c r="C1815" t="n">
        <v>4099</v>
      </c>
      <c r="D1815" t="n">
        <v>14920</v>
      </c>
      <c r="E1815" t="n">
        <v>43</v>
      </c>
      <c r="F1815" t="n">
        <v>91165</v>
      </c>
      <c r="G1815" t="n">
        <v>1</v>
      </c>
      <c r="H1815" t="n">
        <v>11</v>
      </c>
      <c r="I1815" t="n">
        <v>274668</v>
      </c>
    </row>
    <row r="1816">
      <c r="A1816" t="n">
        <v>1815</v>
      </c>
      <c r="B1816" t="inlineStr">
        <is>
          <t>Train</t>
        </is>
      </c>
      <c r="C1816" t="n">
        <v>9895</v>
      </c>
      <c r="D1816" t="n">
        <v>7530</v>
      </c>
      <c r="E1816" t="n">
        <v>36</v>
      </c>
      <c r="F1816" t="n">
        <v>0</v>
      </c>
      <c r="G1816" t="n">
        <v>4</v>
      </c>
      <c r="H1816" t="n">
        <v>0</v>
      </c>
      <c r="I1816" t="n">
        <v>73668</v>
      </c>
    </row>
    <row r="1817">
      <c r="A1817" t="n">
        <v>1816</v>
      </c>
      <c r="B1817" t="inlineStr">
        <is>
          <t>Train</t>
        </is>
      </c>
      <c r="C1817" t="n">
        <v>5011</v>
      </c>
      <c r="D1817" t="n">
        <v>4580</v>
      </c>
      <c r="E1817" t="n">
        <v>53</v>
      </c>
      <c r="F1817" t="n">
        <v>46979</v>
      </c>
      <c r="G1817" t="n">
        <v>1</v>
      </c>
      <c r="H1817" t="n">
        <v>12</v>
      </c>
      <c r="I1817" t="n">
        <v>212163</v>
      </c>
    </row>
    <row r="1818">
      <c r="A1818" t="n">
        <v>1817</v>
      </c>
      <c r="B1818" t="inlineStr">
        <is>
          <t>Validation</t>
        </is>
      </c>
      <c r="C1818" t="n">
        <v>3961</v>
      </c>
      <c r="D1818" t="n">
        <v>9510</v>
      </c>
      <c r="E1818" t="n">
        <v>40</v>
      </c>
      <c r="F1818" t="n">
        <v>24189</v>
      </c>
      <c r="G1818" t="n">
        <v>0</v>
      </c>
      <c r="H1818" t="n">
        <v>11</v>
      </c>
      <c r="I1818" t="n">
        <v>100892</v>
      </c>
    </row>
    <row r="1819">
      <c r="A1819" t="n">
        <v>1818</v>
      </c>
      <c r="B1819" t="inlineStr">
        <is>
          <t>Validation</t>
        </is>
      </c>
      <c r="C1819" t="n">
        <v>5796</v>
      </c>
      <c r="D1819" t="n">
        <v>18150</v>
      </c>
      <c r="E1819" t="n">
        <v>45</v>
      </c>
      <c r="F1819" t="n">
        <v>102765</v>
      </c>
      <c r="G1819" t="n">
        <v>0</v>
      </c>
      <c r="H1819" t="n">
        <v>10</v>
      </c>
      <c r="I1819" t="n">
        <v>0</v>
      </c>
    </row>
    <row r="1820">
      <c r="A1820" t="n">
        <v>1819</v>
      </c>
      <c r="B1820" t="inlineStr">
        <is>
          <t>Validation</t>
        </is>
      </c>
      <c r="C1820" t="n">
        <v>30986</v>
      </c>
      <c r="D1820" t="n">
        <v>31980</v>
      </c>
      <c r="E1820" t="n">
        <v>40</v>
      </c>
      <c r="F1820" t="n">
        <v>214199</v>
      </c>
      <c r="G1820" t="n">
        <v>0</v>
      </c>
      <c r="H1820" t="n">
        <v>9</v>
      </c>
      <c r="I1820" t="n">
        <v>539729</v>
      </c>
    </row>
    <row r="1821">
      <c r="A1821" t="n">
        <v>1820</v>
      </c>
      <c r="B1821" t="inlineStr">
        <is>
          <t>Train</t>
        </is>
      </c>
      <c r="C1821" t="n">
        <v>2799</v>
      </c>
      <c r="D1821" t="n">
        <v>7390</v>
      </c>
      <c r="E1821" t="n">
        <v>52</v>
      </c>
      <c r="F1821" t="n">
        <v>58869</v>
      </c>
      <c r="G1821" t="n">
        <v>7</v>
      </c>
      <c r="H1821" t="n">
        <v>15</v>
      </c>
      <c r="I1821" t="n">
        <v>173894</v>
      </c>
    </row>
    <row r="1822">
      <c r="A1822" t="n">
        <v>1821</v>
      </c>
      <c r="B1822" t="inlineStr">
        <is>
          <t>Train</t>
        </is>
      </c>
      <c r="C1822" t="n">
        <v>2862</v>
      </c>
      <c r="D1822" t="n">
        <v>5100</v>
      </c>
      <c r="E1822" t="n">
        <v>36</v>
      </c>
      <c r="F1822" t="n">
        <v>101575</v>
      </c>
      <c r="G1822" t="n">
        <v>1</v>
      </c>
      <c r="H1822" t="n">
        <v>11</v>
      </c>
      <c r="I1822" t="n">
        <v>282821</v>
      </c>
    </row>
    <row r="1823">
      <c r="A1823" t="n">
        <v>1822</v>
      </c>
      <c r="B1823" t="inlineStr">
        <is>
          <t>Train</t>
        </is>
      </c>
      <c r="C1823" t="n">
        <v>4718</v>
      </c>
      <c r="D1823" t="n">
        <v>26380</v>
      </c>
      <c r="E1823" t="n">
        <v>39</v>
      </c>
      <c r="F1823" t="n">
        <v>71486</v>
      </c>
      <c r="G1823" t="n">
        <v>6</v>
      </c>
      <c r="H1823" t="n">
        <v>12</v>
      </c>
      <c r="I1823" t="n">
        <v>0</v>
      </c>
    </row>
    <row r="1824">
      <c r="A1824" t="n">
        <v>1823</v>
      </c>
      <c r="B1824" t="inlineStr">
        <is>
          <t>Train</t>
        </is>
      </c>
      <c r="C1824" t="n">
        <v>2004</v>
      </c>
      <c r="D1824" t="n">
        <v>7950</v>
      </c>
      <c r="E1824" t="n">
        <v>28</v>
      </c>
      <c r="F1824" t="n">
        <v>21970</v>
      </c>
      <c r="G1824" t="n">
        <v>3</v>
      </c>
      <c r="H1824" t="n">
        <v>7</v>
      </c>
      <c r="I1824" t="n">
        <v>0</v>
      </c>
    </row>
    <row r="1825">
      <c r="A1825" t="n">
        <v>1824</v>
      </c>
      <c r="B1825" t="inlineStr">
        <is>
          <t>Train</t>
        </is>
      </c>
      <c r="C1825" t="n">
        <v>41844</v>
      </c>
      <c r="D1825" t="n">
        <v>17910</v>
      </c>
      <c r="E1825" t="n">
        <v>55</v>
      </c>
      <c r="F1825" t="n">
        <v>31875</v>
      </c>
      <c r="G1825" t="n">
        <v>1</v>
      </c>
      <c r="H1825" t="n">
        <v>11</v>
      </c>
      <c r="I1825" t="n">
        <v>0</v>
      </c>
    </row>
    <row r="1826">
      <c r="A1826" t="n">
        <v>1825</v>
      </c>
      <c r="B1826" t="inlineStr">
        <is>
          <t>Train</t>
        </is>
      </c>
      <c r="C1826" t="n">
        <v>11290</v>
      </c>
      <c r="D1826" t="n">
        <v>5750</v>
      </c>
      <c r="E1826" t="n">
        <v>36</v>
      </c>
      <c r="F1826" t="n">
        <v>6528</v>
      </c>
      <c r="G1826" t="n">
        <v>7</v>
      </c>
      <c r="H1826" t="n">
        <v>10</v>
      </c>
      <c r="I1826" t="n">
        <v>0</v>
      </c>
    </row>
    <row r="1827">
      <c r="A1827" t="n">
        <v>1826</v>
      </c>
      <c r="B1827" t="inlineStr">
        <is>
          <t>Train</t>
        </is>
      </c>
      <c r="C1827" t="n">
        <v>41175</v>
      </c>
      <c r="D1827" t="n">
        <v>8140</v>
      </c>
      <c r="E1827" t="n">
        <v>47</v>
      </c>
      <c r="F1827" t="n">
        <v>0</v>
      </c>
      <c r="G1827" t="n">
        <v>3</v>
      </c>
      <c r="H1827" t="n">
        <v>0</v>
      </c>
      <c r="I1827" t="n">
        <v>84486</v>
      </c>
    </row>
    <row r="1828">
      <c r="A1828" t="n">
        <v>1827</v>
      </c>
      <c r="B1828" t="inlineStr">
        <is>
          <t>Validation</t>
        </is>
      </c>
      <c r="C1828" t="n">
        <v>6127</v>
      </c>
      <c r="D1828" t="n">
        <v>12830</v>
      </c>
      <c r="E1828" t="n">
        <v>51</v>
      </c>
      <c r="F1828" t="n">
        <v>62349</v>
      </c>
      <c r="G1828" t="n">
        <v>6</v>
      </c>
      <c r="H1828" t="n">
        <v>12</v>
      </c>
      <c r="I1828" t="n">
        <v>202627</v>
      </c>
    </row>
    <row r="1829">
      <c r="A1829" t="n">
        <v>1828</v>
      </c>
      <c r="B1829" t="inlineStr">
        <is>
          <t>Validation</t>
        </is>
      </c>
      <c r="C1829" t="n">
        <v>4764</v>
      </c>
      <c r="D1829" t="n">
        <v>18950</v>
      </c>
      <c r="E1829" t="n">
        <v>62</v>
      </c>
      <c r="F1829" t="n">
        <v>35296</v>
      </c>
      <c r="G1829" t="n">
        <v>8</v>
      </c>
      <c r="H1829" t="n">
        <v>15</v>
      </c>
      <c r="I1829" t="n">
        <v>189767</v>
      </c>
    </row>
    <row r="1830">
      <c r="A1830" t="n">
        <v>1829</v>
      </c>
      <c r="B1830" t="inlineStr">
        <is>
          <t>Validation</t>
        </is>
      </c>
      <c r="C1830" t="n">
        <v>5358</v>
      </c>
      <c r="D1830" t="n">
        <v>15120</v>
      </c>
      <c r="E1830" t="n">
        <v>41</v>
      </c>
      <c r="F1830" t="n">
        <v>35636</v>
      </c>
      <c r="G1830" t="n">
        <v>7</v>
      </c>
      <c r="H1830" t="n">
        <v>16</v>
      </c>
      <c r="I1830" t="n">
        <v>150462</v>
      </c>
    </row>
    <row r="1831">
      <c r="A1831" t="n">
        <v>1830</v>
      </c>
      <c r="B1831" t="inlineStr">
        <is>
          <t>Train</t>
        </is>
      </c>
      <c r="C1831" t="n">
        <v>3653</v>
      </c>
      <c r="D1831" t="n">
        <v>8540</v>
      </c>
      <c r="E1831" t="n">
        <v>52</v>
      </c>
      <c r="F1831" t="n">
        <v>18426</v>
      </c>
      <c r="G1831" t="n">
        <v>2</v>
      </c>
      <c r="H1831" t="n">
        <v>13</v>
      </c>
      <c r="I1831" t="n">
        <v>137473</v>
      </c>
    </row>
    <row r="1832">
      <c r="A1832" t="n">
        <v>1831</v>
      </c>
      <c r="B1832" t="inlineStr">
        <is>
          <t>Train</t>
        </is>
      </c>
      <c r="C1832" t="n">
        <v>30192</v>
      </c>
      <c r="D1832" t="n">
        <v>8290</v>
      </c>
      <c r="E1832" t="n">
        <v>36</v>
      </c>
      <c r="F1832" t="n">
        <v>34658</v>
      </c>
      <c r="G1832" t="n">
        <v>7</v>
      </c>
      <c r="H1832" t="n">
        <v>19</v>
      </c>
      <c r="I1832" t="n">
        <v>191264</v>
      </c>
    </row>
    <row r="1833">
      <c r="A1833" t="n">
        <v>1832</v>
      </c>
      <c r="B1833" t="inlineStr">
        <is>
          <t>Train</t>
        </is>
      </c>
      <c r="C1833" t="n">
        <v>1464</v>
      </c>
      <c r="D1833" t="n">
        <v>23170</v>
      </c>
      <c r="E1833" t="n">
        <v>43</v>
      </c>
      <c r="F1833" t="n">
        <v>74518</v>
      </c>
      <c r="G1833" t="n">
        <v>5</v>
      </c>
      <c r="H1833" t="n">
        <v>15</v>
      </c>
      <c r="I1833" t="n">
        <v>268680</v>
      </c>
    </row>
    <row r="1834">
      <c r="A1834" t="n">
        <v>1833</v>
      </c>
      <c r="B1834" t="inlineStr">
        <is>
          <t>Train</t>
        </is>
      </c>
      <c r="C1834" t="n">
        <v>10388</v>
      </c>
      <c r="D1834" t="n">
        <v>6570</v>
      </c>
      <c r="E1834" t="n">
        <v>33</v>
      </c>
      <c r="F1834" t="n">
        <v>17686</v>
      </c>
      <c r="G1834" t="n">
        <v>3</v>
      </c>
      <c r="H1834" t="n">
        <v>15</v>
      </c>
      <c r="I1834" t="n">
        <v>92707</v>
      </c>
    </row>
    <row r="1835">
      <c r="A1835" t="n">
        <v>1834</v>
      </c>
      <c r="B1835" t="inlineStr">
        <is>
          <t>Train</t>
        </is>
      </c>
      <c r="C1835" t="n">
        <v>30646</v>
      </c>
      <c r="D1835" t="n">
        <v>17010</v>
      </c>
      <c r="E1835" t="n">
        <v>20</v>
      </c>
      <c r="F1835" t="n">
        <v>38681</v>
      </c>
      <c r="G1835" t="n">
        <v>10</v>
      </c>
      <c r="H1835" t="n">
        <v>10</v>
      </c>
      <c r="I1835" t="n">
        <v>0</v>
      </c>
    </row>
    <row r="1836">
      <c r="A1836" t="n">
        <v>1835</v>
      </c>
      <c r="B1836" t="inlineStr">
        <is>
          <t>Train</t>
        </is>
      </c>
      <c r="C1836" t="n">
        <v>2969</v>
      </c>
      <c r="D1836" t="n">
        <v>22050</v>
      </c>
      <c r="E1836" t="n">
        <v>39</v>
      </c>
      <c r="F1836" t="n">
        <v>0</v>
      </c>
      <c r="G1836" t="n">
        <v>2</v>
      </c>
      <c r="H1836" t="n">
        <v>0</v>
      </c>
      <c r="I1836" t="n">
        <v>64780</v>
      </c>
    </row>
    <row r="1837">
      <c r="A1837" t="n">
        <v>1836</v>
      </c>
      <c r="B1837" t="inlineStr">
        <is>
          <t>Train</t>
        </is>
      </c>
      <c r="C1837" t="n">
        <v>24301</v>
      </c>
      <c r="D1837" t="n">
        <v>10060</v>
      </c>
      <c r="E1837" t="n">
        <v>52</v>
      </c>
      <c r="F1837" t="n">
        <v>33560</v>
      </c>
      <c r="G1837" t="n">
        <v>0</v>
      </c>
      <c r="H1837" t="n">
        <v>7</v>
      </c>
      <c r="I1837" t="n">
        <v>125086</v>
      </c>
    </row>
    <row r="1838">
      <c r="A1838" t="n">
        <v>1837</v>
      </c>
      <c r="B1838" t="inlineStr">
        <is>
          <t>Validation</t>
        </is>
      </c>
      <c r="C1838" t="n">
        <v>7165</v>
      </c>
      <c r="D1838" t="n">
        <v>5000</v>
      </c>
      <c r="E1838" t="n">
        <v>35</v>
      </c>
      <c r="F1838" t="n">
        <v>47643</v>
      </c>
      <c r="G1838" t="n">
        <v>0</v>
      </c>
      <c r="H1838" t="n">
        <v>11</v>
      </c>
      <c r="I1838" t="n">
        <v>150050</v>
      </c>
    </row>
    <row r="1839">
      <c r="A1839" t="n">
        <v>1838</v>
      </c>
      <c r="B1839" t="inlineStr">
        <is>
          <t>Validation</t>
        </is>
      </c>
      <c r="C1839" t="n">
        <v>10764</v>
      </c>
      <c r="D1839" t="n">
        <v>24300</v>
      </c>
      <c r="E1839" t="n">
        <v>41</v>
      </c>
      <c r="F1839" t="n">
        <v>96813</v>
      </c>
      <c r="G1839" t="n">
        <v>3</v>
      </c>
      <c r="H1839" t="n">
        <v>11</v>
      </c>
      <c r="I1839" t="n">
        <v>279879</v>
      </c>
    </row>
    <row r="1840">
      <c r="A1840" t="n">
        <v>1839</v>
      </c>
      <c r="B1840" t="inlineStr">
        <is>
          <t>Validation</t>
        </is>
      </c>
      <c r="C1840" t="n">
        <v>5584</v>
      </c>
      <c r="D1840" t="n">
        <v>17130</v>
      </c>
      <c r="E1840" t="n">
        <v>29</v>
      </c>
      <c r="F1840" t="n">
        <v>47621</v>
      </c>
      <c r="G1840" t="n">
        <v>6</v>
      </c>
      <c r="H1840" t="n">
        <v>11</v>
      </c>
      <c r="I1840" t="n">
        <v>196036</v>
      </c>
    </row>
    <row r="1841">
      <c r="A1841" t="n">
        <v>1840</v>
      </c>
      <c r="B1841" t="inlineStr">
        <is>
          <t>Train</t>
        </is>
      </c>
      <c r="C1841" t="n">
        <v>4422</v>
      </c>
      <c r="D1841" t="n">
        <v>43280</v>
      </c>
      <c r="E1841" t="n">
        <v>41</v>
      </c>
      <c r="F1841" t="n">
        <v>290846</v>
      </c>
      <c r="G1841" t="n">
        <v>0</v>
      </c>
      <c r="H1841" t="n">
        <v>14</v>
      </c>
      <c r="I1841" t="n">
        <v>682634</v>
      </c>
    </row>
    <row r="1842">
      <c r="A1842" t="n">
        <v>1841</v>
      </c>
      <c r="B1842" t="inlineStr">
        <is>
          <t>Train</t>
        </is>
      </c>
      <c r="C1842" t="n">
        <v>4538</v>
      </c>
      <c r="D1842" t="n">
        <v>21740</v>
      </c>
      <c r="E1842" t="n">
        <v>43</v>
      </c>
      <c r="F1842" t="n">
        <v>159443</v>
      </c>
      <c r="G1842" t="n">
        <v>3</v>
      </c>
      <c r="H1842" t="n">
        <v>9</v>
      </c>
      <c r="I1842" t="n">
        <v>423784</v>
      </c>
    </row>
    <row r="1843">
      <c r="A1843" t="n">
        <v>1842</v>
      </c>
      <c r="B1843" t="inlineStr">
        <is>
          <t>Train</t>
        </is>
      </c>
      <c r="C1843" t="n">
        <v>39793</v>
      </c>
      <c r="D1843" t="n">
        <v>14130</v>
      </c>
      <c r="E1843" t="n">
        <v>54</v>
      </c>
      <c r="F1843" t="n">
        <v>72289</v>
      </c>
      <c r="G1843" t="n">
        <v>5</v>
      </c>
      <c r="H1843" t="n">
        <v>13</v>
      </c>
      <c r="I1843" t="n">
        <v>0</v>
      </c>
    </row>
    <row r="1844">
      <c r="A1844" t="n">
        <v>1843</v>
      </c>
      <c r="B1844" t="inlineStr">
        <is>
          <t>Train</t>
        </is>
      </c>
      <c r="C1844" t="n">
        <v>4470</v>
      </c>
      <c r="D1844" t="n">
        <v>13360</v>
      </c>
      <c r="E1844" t="n">
        <v>34</v>
      </c>
      <c r="F1844" t="n">
        <v>54488</v>
      </c>
      <c r="G1844" t="n">
        <v>0</v>
      </c>
      <c r="H1844" t="n">
        <v>13</v>
      </c>
      <c r="I1844" t="n">
        <v>216444</v>
      </c>
    </row>
    <row r="1845">
      <c r="A1845" t="n">
        <v>1844</v>
      </c>
      <c r="B1845" t="inlineStr">
        <is>
          <t>Train</t>
        </is>
      </c>
      <c r="C1845" t="n">
        <v>6121</v>
      </c>
      <c r="D1845" t="n">
        <v>10220</v>
      </c>
      <c r="E1845" t="n">
        <v>36</v>
      </c>
      <c r="F1845" t="n">
        <v>43680</v>
      </c>
      <c r="G1845" t="n">
        <v>0</v>
      </c>
      <c r="H1845" t="n">
        <v>11</v>
      </c>
      <c r="I1845" t="n">
        <v>164455</v>
      </c>
    </row>
    <row r="1846">
      <c r="A1846" t="n">
        <v>1845</v>
      </c>
      <c r="B1846" t="inlineStr">
        <is>
          <t>Train</t>
        </is>
      </c>
      <c r="C1846" t="n">
        <v>2712</v>
      </c>
      <c r="D1846" t="n">
        <v>8940</v>
      </c>
      <c r="E1846" t="n">
        <v>40</v>
      </c>
      <c r="F1846" t="n">
        <v>74402</v>
      </c>
      <c r="G1846" t="n">
        <v>2</v>
      </c>
      <c r="H1846" t="n">
        <v>15</v>
      </c>
      <c r="I1846" t="n">
        <v>247416</v>
      </c>
    </row>
    <row r="1847">
      <c r="A1847" t="n">
        <v>1846</v>
      </c>
      <c r="B1847" t="inlineStr">
        <is>
          <t>Train</t>
        </is>
      </c>
      <c r="C1847" t="n">
        <v>3633</v>
      </c>
      <c r="D1847" t="n">
        <v>10900</v>
      </c>
      <c r="E1847" t="n">
        <v>51</v>
      </c>
      <c r="F1847" t="n">
        <v>24789</v>
      </c>
      <c r="G1847" t="n">
        <v>4</v>
      </c>
      <c r="H1847" t="n">
        <v>14</v>
      </c>
      <c r="I1847" t="n">
        <v>137805</v>
      </c>
    </row>
    <row r="1848">
      <c r="A1848" t="n">
        <v>1847</v>
      </c>
      <c r="B1848" t="inlineStr">
        <is>
          <t>Validation</t>
        </is>
      </c>
      <c r="C1848" t="n">
        <v>10506</v>
      </c>
      <c r="D1848" t="n">
        <v>6980</v>
      </c>
      <c r="E1848" t="n">
        <v>50</v>
      </c>
      <c r="F1848" t="n">
        <v>4766</v>
      </c>
      <c r="G1848" t="n">
        <v>0</v>
      </c>
      <c r="H1848" t="n">
        <v>12</v>
      </c>
      <c r="I1848" t="n">
        <v>0</v>
      </c>
    </row>
    <row r="1849">
      <c r="A1849" t="n">
        <v>1848</v>
      </c>
      <c r="B1849" t="inlineStr">
        <is>
          <t>Validation</t>
        </is>
      </c>
      <c r="C1849" t="n">
        <v>6996</v>
      </c>
      <c r="D1849" t="n">
        <v>18770</v>
      </c>
      <c r="E1849" t="n">
        <v>22</v>
      </c>
      <c r="F1849" t="n">
        <v>11047</v>
      </c>
      <c r="G1849" t="n">
        <v>0</v>
      </c>
      <c r="H1849" t="n">
        <v>13</v>
      </c>
      <c r="I1849" t="n">
        <v>0</v>
      </c>
    </row>
    <row r="1850">
      <c r="A1850" t="n">
        <v>1849</v>
      </c>
      <c r="B1850" t="inlineStr">
        <is>
          <t>Validation</t>
        </is>
      </c>
      <c r="C1850" t="n">
        <v>5827</v>
      </c>
      <c r="D1850" t="n">
        <v>14260</v>
      </c>
      <c r="E1850" t="n">
        <v>61</v>
      </c>
      <c r="F1850" t="n">
        <v>127649</v>
      </c>
      <c r="G1850" t="n">
        <v>3</v>
      </c>
      <c r="H1850" t="n">
        <v>11</v>
      </c>
      <c r="I1850" t="n">
        <v>351274</v>
      </c>
    </row>
    <row r="1851">
      <c r="A1851" t="n">
        <v>1850</v>
      </c>
      <c r="B1851" t="inlineStr">
        <is>
          <t>Train</t>
        </is>
      </c>
      <c r="C1851" t="n">
        <v>9925</v>
      </c>
      <c r="D1851" t="n">
        <v>12030</v>
      </c>
      <c r="E1851" t="n">
        <v>34</v>
      </c>
      <c r="F1851" t="n">
        <v>14942</v>
      </c>
      <c r="G1851" t="n">
        <v>9</v>
      </c>
      <c r="H1851" t="n">
        <v>10</v>
      </c>
      <c r="I1851" t="n">
        <v>95764</v>
      </c>
    </row>
    <row r="1852">
      <c r="A1852" t="n">
        <v>1851</v>
      </c>
      <c r="B1852" t="inlineStr">
        <is>
          <t>Train</t>
        </is>
      </c>
      <c r="C1852" t="n">
        <v>5393</v>
      </c>
      <c r="D1852" t="n">
        <v>20890</v>
      </c>
      <c r="E1852" t="n">
        <v>37</v>
      </c>
      <c r="F1852" t="n">
        <v>25513</v>
      </c>
      <c r="G1852" t="n">
        <v>1</v>
      </c>
      <c r="H1852" t="n">
        <v>14</v>
      </c>
      <c r="I1852" t="n">
        <v>164445</v>
      </c>
    </row>
    <row r="1853">
      <c r="A1853" t="n">
        <v>1852</v>
      </c>
      <c r="B1853" t="inlineStr">
        <is>
          <t>Train</t>
        </is>
      </c>
      <c r="C1853" t="n">
        <v>21063</v>
      </c>
      <c r="D1853" t="n">
        <v>11770</v>
      </c>
      <c r="E1853" t="n">
        <v>47</v>
      </c>
      <c r="F1853" t="n">
        <v>101498</v>
      </c>
      <c r="G1853" t="n">
        <v>6</v>
      </c>
      <c r="H1853" t="n">
        <v>12</v>
      </c>
      <c r="I1853" t="n">
        <v>0</v>
      </c>
    </row>
    <row r="1854">
      <c r="A1854" t="n">
        <v>1853</v>
      </c>
      <c r="B1854" t="inlineStr">
        <is>
          <t>Train</t>
        </is>
      </c>
      <c r="C1854" t="n">
        <v>7372</v>
      </c>
      <c r="D1854" t="n">
        <v>5200</v>
      </c>
      <c r="E1854" t="n">
        <v>37</v>
      </c>
      <c r="F1854" t="n">
        <v>73941</v>
      </c>
      <c r="G1854" t="n">
        <v>4</v>
      </c>
      <c r="H1854" t="n">
        <v>11</v>
      </c>
      <c r="I1854" t="n">
        <v>265035</v>
      </c>
    </row>
    <row r="1855">
      <c r="A1855" t="n">
        <v>1854</v>
      </c>
      <c r="B1855" t="inlineStr">
        <is>
          <t>Train</t>
        </is>
      </c>
      <c r="C1855" t="n">
        <v>1245</v>
      </c>
      <c r="D1855" t="n">
        <v>17040</v>
      </c>
      <c r="E1855" t="n">
        <v>48</v>
      </c>
      <c r="F1855" t="n">
        <v>37854</v>
      </c>
      <c r="G1855" t="n">
        <v>6</v>
      </c>
      <c r="H1855" t="n">
        <v>14</v>
      </c>
      <c r="I1855" t="n">
        <v>158470</v>
      </c>
    </row>
    <row r="1856">
      <c r="A1856" t="n">
        <v>1855</v>
      </c>
      <c r="B1856" t="inlineStr">
        <is>
          <t>Train</t>
        </is>
      </c>
      <c r="C1856" t="n">
        <v>6138</v>
      </c>
      <c r="D1856" t="n">
        <v>10910</v>
      </c>
      <c r="E1856" t="n">
        <v>41</v>
      </c>
      <c r="F1856" t="n">
        <v>23097</v>
      </c>
      <c r="G1856" t="n">
        <v>6</v>
      </c>
      <c r="H1856" t="n">
        <v>17</v>
      </c>
      <c r="I1856" t="n">
        <v>127612</v>
      </c>
    </row>
    <row r="1857">
      <c r="A1857" t="n">
        <v>1856</v>
      </c>
      <c r="B1857" t="inlineStr">
        <is>
          <t>Train</t>
        </is>
      </c>
      <c r="C1857" t="n">
        <v>3855</v>
      </c>
      <c r="D1857" t="n">
        <v>10070</v>
      </c>
      <c r="E1857" t="n">
        <v>39</v>
      </c>
      <c r="F1857" t="n">
        <v>0</v>
      </c>
      <c r="G1857" t="n">
        <v>6</v>
      </c>
      <c r="H1857" t="n">
        <v>0</v>
      </c>
      <c r="I1857" t="n">
        <v>0</v>
      </c>
    </row>
    <row r="1858">
      <c r="A1858" t="n">
        <v>1857</v>
      </c>
      <c r="B1858" t="inlineStr">
        <is>
          <t>Validation</t>
        </is>
      </c>
      <c r="C1858" t="n">
        <v>6656</v>
      </c>
      <c r="D1858" t="n">
        <v>22810</v>
      </c>
      <c r="E1858" t="n">
        <v>39</v>
      </c>
      <c r="F1858" t="n">
        <v>39643</v>
      </c>
      <c r="G1858" t="n">
        <v>0</v>
      </c>
      <c r="H1858" t="n">
        <v>12</v>
      </c>
      <c r="I1858" t="n">
        <v>218195</v>
      </c>
    </row>
    <row r="1859">
      <c r="A1859" t="n">
        <v>1858</v>
      </c>
      <c r="B1859" t="inlineStr">
        <is>
          <t>Validation</t>
        </is>
      </c>
      <c r="C1859" t="n">
        <v>3679</v>
      </c>
      <c r="D1859" t="n">
        <v>35140</v>
      </c>
      <c r="E1859" t="n">
        <v>63</v>
      </c>
      <c r="F1859" t="n">
        <v>106372</v>
      </c>
      <c r="G1859" t="n">
        <v>0</v>
      </c>
      <c r="H1859" t="n">
        <v>14</v>
      </c>
      <c r="I1859" t="n">
        <v>344365</v>
      </c>
    </row>
    <row r="1860">
      <c r="A1860" t="n">
        <v>1859</v>
      </c>
      <c r="B1860" t="inlineStr">
        <is>
          <t>Validation</t>
        </is>
      </c>
      <c r="C1860" t="n">
        <v>19698</v>
      </c>
      <c r="D1860" t="n">
        <v>20120</v>
      </c>
      <c r="E1860" t="n">
        <v>45</v>
      </c>
      <c r="F1860" t="n">
        <v>66508</v>
      </c>
      <c r="G1860" t="n">
        <v>5</v>
      </c>
      <c r="H1860" t="n">
        <v>13</v>
      </c>
      <c r="I1860" t="n">
        <v>0</v>
      </c>
    </row>
    <row r="1861">
      <c r="A1861" t="n">
        <v>1860</v>
      </c>
      <c r="B1861" t="inlineStr">
        <is>
          <t>Train</t>
        </is>
      </c>
      <c r="C1861" t="n">
        <v>2581</v>
      </c>
      <c r="D1861" t="n">
        <v>28290</v>
      </c>
      <c r="E1861" t="n">
        <v>45</v>
      </c>
      <c r="F1861" t="n">
        <v>67218</v>
      </c>
      <c r="G1861" t="n">
        <v>3</v>
      </c>
      <c r="H1861" t="n">
        <v>12</v>
      </c>
      <c r="I1861" t="n">
        <v>245505</v>
      </c>
    </row>
    <row r="1862">
      <c r="A1862" t="n">
        <v>1861</v>
      </c>
      <c r="B1862" t="inlineStr">
        <is>
          <t>Train</t>
        </is>
      </c>
      <c r="C1862" t="n">
        <v>5117</v>
      </c>
      <c r="D1862" t="n">
        <v>15360</v>
      </c>
      <c r="E1862" t="n">
        <v>25</v>
      </c>
      <c r="F1862" t="n">
        <v>18159</v>
      </c>
      <c r="G1862" t="n">
        <v>7</v>
      </c>
      <c r="H1862" t="n">
        <v>14</v>
      </c>
      <c r="I1862" t="n">
        <v>87400</v>
      </c>
    </row>
    <row r="1863">
      <c r="A1863" t="n">
        <v>1862</v>
      </c>
      <c r="B1863" t="inlineStr">
        <is>
          <t>Train</t>
        </is>
      </c>
      <c r="C1863" t="n">
        <v>17368</v>
      </c>
      <c r="D1863" t="n">
        <v>4320</v>
      </c>
      <c r="E1863" t="n">
        <v>47</v>
      </c>
      <c r="F1863" t="n">
        <v>28163</v>
      </c>
      <c r="G1863" t="n">
        <v>0</v>
      </c>
      <c r="H1863" t="n">
        <v>11</v>
      </c>
      <c r="I1863" t="n">
        <v>126125</v>
      </c>
    </row>
    <row r="1864">
      <c r="A1864" t="n">
        <v>1863</v>
      </c>
      <c r="B1864" t="inlineStr">
        <is>
          <t>Train</t>
        </is>
      </c>
      <c r="C1864" t="n">
        <v>6552</v>
      </c>
      <c r="D1864" t="n">
        <v>7000</v>
      </c>
      <c r="E1864" t="n">
        <v>55</v>
      </c>
      <c r="F1864" t="n">
        <v>56227</v>
      </c>
      <c r="G1864" t="n">
        <v>7</v>
      </c>
      <c r="H1864" t="n">
        <v>13</v>
      </c>
      <c r="I1864" t="n">
        <v>211232</v>
      </c>
    </row>
    <row r="1865">
      <c r="A1865" t="n">
        <v>1864</v>
      </c>
      <c r="B1865" t="inlineStr">
        <is>
          <t>Train</t>
        </is>
      </c>
      <c r="C1865" t="n">
        <v>38312</v>
      </c>
      <c r="D1865" t="n">
        <v>5600</v>
      </c>
      <c r="E1865" t="n">
        <v>41</v>
      </c>
      <c r="F1865" t="n">
        <v>119354</v>
      </c>
      <c r="G1865" t="n">
        <v>4</v>
      </c>
      <c r="H1865" t="n">
        <v>10</v>
      </c>
      <c r="I1865" t="n">
        <v>309520</v>
      </c>
    </row>
    <row r="1866">
      <c r="A1866" t="n">
        <v>1865</v>
      </c>
      <c r="B1866" t="inlineStr">
        <is>
          <t>Train</t>
        </is>
      </c>
      <c r="C1866" t="n">
        <v>1381</v>
      </c>
      <c r="D1866" t="n">
        <v>11830</v>
      </c>
      <c r="E1866" t="n">
        <v>47</v>
      </c>
      <c r="F1866" t="n">
        <v>56256</v>
      </c>
      <c r="G1866" t="n">
        <v>1</v>
      </c>
      <c r="H1866" t="n">
        <v>11</v>
      </c>
      <c r="I1866" t="n">
        <v>209158</v>
      </c>
    </row>
    <row r="1867">
      <c r="A1867" t="n">
        <v>1866</v>
      </c>
      <c r="B1867" t="inlineStr">
        <is>
          <t>Train</t>
        </is>
      </c>
      <c r="C1867" t="n">
        <v>3068</v>
      </c>
      <c r="D1867" t="n">
        <v>8570</v>
      </c>
      <c r="E1867" t="n">
        <v>40</v>
      </c>
      <c r="F1867" t="n">
        <v>20753</v>
      </c>
      <c r="G1867" t="n">
        <v>4</v>
      </c>
      <c r="H1867" t="n">
        <v>8</v>
      </c>
      <c r="I1867" t="n">
        <v>165464</v>
      </c>
    </row>
    <row r="1868">
      <c r="A1868" t="n">
        <v>1867</v>
      </c>
      <c r="B1868" t="inlineStr">
        <is>
          <t>Validation</t>
        </is>
      </c>
      <c r="C1868" t="n">
        <v>1845</v>
      </c>
      <c r="D1868" t="n">
        <v>11650</v>
      </c>
      <c r="E1868" t="n">
        <v>19</v>
      </c>
      <c r="F1868" t="n">
        <v>5336</v>
      </c>
      <c r="G1868" t="n">
        <v>7</v>
      </c>
      <c r="H1868" t="n">
        <v>6</v>
      </c>
      <c r="I1868" t="n">
        <v>0</v>
      </c>
    </row>
    <row r="1869">
      <c r="A1869" t="n">
        <v>1868</v>
      </c>
      <c r="B1869" t="inlineStr">
        <is>
          <t>Validation</t>
        </is>
      </c>
      <c r="C1869" t="n">
        <v>5209</v>
      </c>
      <c r="D1869" t="n">
        <v>11040</v>
      </c>
      <c r="E1869" t="n">
        <v>68</v>
      </c>
      <c r="F1869" t="n">
        <v>50096</v>
      </c>
      <c r="G1869" t="n">
        <v>4</v>
      </c>
      <c r="H1869" t="n">
        <v>14</v>
      </c>
      <c r="I1869" t="n">
        <v>247477</v>
      </c>
    </row>
    <row r="1870">
      <c r="A1870" t="n">
        <v>1869</v>
      </c>
      <c r="B1870" t="inlineStr">
        <is>
          <t>Validation</t>
        </is>
      </c>
      <c r="C1870" t="n">
        <v>29181</v>
      </c>
      <c r="D1870" t="n">
        <v>16840</v>
      </c>
      <c r="E1870" t="n">
        <v>50</v>
      </c>
      <c r="F1870" t="n">
        <v>54873</v>
      </c>
      <c r="G1870" t="n">
        <v>5</v>
      </c>
      <c r="H1870" t="n">
        <v>13</v>
      </c>
      <c r="I1870" t="n">
        <v>217398</v>
      </c>
    </row>
    <row r="1871">
      <c r="A1871" t="n">
        <v>1870</v>
      </c>
      <c r="B1871" t="inlineStr">
        <is>
          <t>Train</t>
        </is>
      </c>
      <c r="C1871" t="n">
        <v>11240</v>
      </c>
      <c r="D1871" t="n">
        <v>21200</v>
      </c>
      <c r="E1871" t="n">
        <v>28</v>
      </c>
      <c r="F1871" t="n">
        <v>32509</v>
      </c>
      <c r="G1871" t="n">
        <v>0</v>
      </c>
      <c r="H1871" t="n">
        <v>16</v>
      </c>
      <c r="I1871" t="n">
        <v>149827</v>
      </c>
    </row>
    <row r="1872">
      <c r="A1872" t="n">
        <v>1871</v>
      </c>
      <c r="B1872" t="inlineStr">
        <is>
          <t>Train</t>
        </is>
      </c>
      <c r="C1872" t="n">
        <v>4823</v>
      </c>
      <c r="D1872" t="n">
        <v>25580</v>
      </c>
      <c r="E1872" t="n">
        <v>39</v>
      </c>
      <c r="F1872" t="n">
        <v>52589</v>
      </c>
      <c r="G1872" t="n">
        <v>6</v>
      </c>
      <c r="H1872" t="n">
        <v>8</v>
      </c>
      <c r="I1872" t="n">
        <v>0</v>
      </c>
    </row>
    <row r="1873">
      <c r="A1873" t="n">
        <v>1872</v>
      </c>
      <c r="B1873" t="inlineStr">
        <is>
          <t>Train</t>
        </is>
      </c>
      <c r="C1873" t="n">
        <v>35012</v>
      </c>
      <c r="D1873" t="n">
        <v>19280</v>
      </c>
      <c r="E1873" t="n">
        <v>56</v>
      </c>
      <c r="F1873" t="n">
        <v>25891</v>
      </c>
      <c r="G1873" t="n">
        <v>0</v>
      </c>
      <c r="H1873" t="n">
        <v>12</v>
      </c>
      <c r="I1873" t="n">
        <v>127035</v>
      </c>
    </row>
    <row r="1874">
      <c r="A1874" t="n">
        <v>1873</v>
      </c>
      <c r="B1874" t="inlineStr">
        <is>
          <t>Train</t>
        </is>
      </c>
      <c r="C1874" t="n">
        <v>5517</v>
      </c>
      <c r="D1874" t="n">
        <v>7590</v>
      </c>
      <c r="E1874" t="n">
        <v>54</v>
      </c>
      <c r="F1874" t="n">
        <v>122773</v>
      </c>
      <c r="G1874" t="n">
        <v>3</v>
      </c>
      <c r="H1874" t="n">
        <v>10</v>
      </c>
      <c r="I1874" t="n">
        <v>0</v>
      </c>
    </row>
    <row r="1875">
      <c r="A1875" t="n">
        <v>1874</v>
      </c>
      <c r="B1875" t="inlineStr">
        <is>
          <t>Train</t>
        </is>
      </c>
      <c r="C1875" t="n">
        <v>1230</v>
      </c>
      <c r="D1875" t="n">
        <v>6600</v>
      </c>
      <c r="E1875" t="n">
        <v>51</v>
      </c>
      <c r="F1875" t="n">
        <v>93785</v>
      </c>
      <c r="G1875" t="n">
        <v>1</v>
      </c>
      <c r="H1875" t="n">
        <v>11</v>
      </c>
      <c r="I1875" t="n">
        <v>287311</v>
      </c>
    </row>
    <row r="1876">
      <c r="A1876" t="n">
        <v>1875</v>
      </c>
      <c r="B1876" t="inlineStr">
        <is>
          <t>Train</t>
        </is>
      </c>
      <c r="C1876" t="n">
        <v>5735</v>
      </c>
      <c r="D1876" t="n">
        <v>5600</v>
      </c>
      <c r="E1876" t="n">
        <v>40</v>
      </c>
      <c r="F1876" t="n">
        <v>140171</v>
      </c>
      <c r="G1876" t="n">
        <v>8</v>
      </c>
      <c r="H1876" t="n">
        <v>14</v>
      </c>
      <c r="I1876" t="n">
        <v>352820</v>
      </c>
    </row>
    <row r="1877">
      <c r="A1877" t="n">
        <v>1876</v>
      </c>
      <c r="B1877" t="inlineStr">
        <is>
          <t>Train</t>
        </is>
      </c>
      <c r="C1877" t="n">
        <v>4588</v>
      </c>
      <c r="D1877" t="n">
        <v>9690</v>
      </c>
      <c r="E1877" t="n">
        <v>57</v>
      </c>
      <c r="F1877" t="n">
        <v>38253</v>
      </c>
      <c r="G1877" t="n">
        <v>6</v>
      </c>
      <c r="H1877" t="n">
        <v>8</v>
      </c>
      <c r="I1877" t="n">
        <v>208139</v>
      </c>
    </row>
    <row r="1878">
      <c r="A1878" t="n">
        <v>1877</v>
      </c>
      <c r="B1878" t="inlineStr">
        <is>
          <t>Validation</t>
        </is>
      </c>
      <c r="C1878" t="n">
        <v>5730</v>
      </c>
      <c r="D1878" t="n">
        <v>19130</v>
      </c>
      <c r="E1878" t="n">
        <v>37</v>
      </c>
      <c r="F1878" t="n">
        <v>107937</v>
      </c>
      <c r="G1878" t="n">
        <v>1</v>
      </c>
      <c r="H1878" t="n">
        <v>10</v>
      </c>
      <c r="I1878" t="n">
        <v>297539</v>
      </c>
    </row>
    <row r="1879">
      <c r="A1879" t="n">
        <v>1878</v>
      </c>
      <c r="B1879" t="inlineStr">
        <is>
          <t>Validation</t>
        </is>
      </c>
      <c r="C1879" t="n">
        <v>5369</v>
      </c>
      <c r="D1879" t="n">
        <v>30450</v>
      </c>
      <c r="E1879" t="n">
        <v>52</v>
      </c>
      <c r="F1879" t="n">
        <v>22658</v>
      </c>
      <c r="G1879" t="n">
        <v>7</v>
      </c>
      <c r="H1879" t="n">
        <v>9</v>
      </c>
      <c r="I1879" t="n">
        <v>96532</v>
      </c>
    </row>
    <row r="1880">
      <c r="A1880" t="n">
        <v>1879</v>
      </c>
      <c r="B1880" t="inlineStr">
        <is>
          <t>Validation</t>
        </is>
      </c>
      <c r="C1880" t="n">
        <v>5928</v>
      </c>
      <c r="D1880" t="n">
        <v>12490</v>
      </c>
      <c r="E1880" t="n">
        <v>50</v>
      </c>
      <c r="F1880" t="n">
        <v>40854</v>
      </c>
      <c r="G1880" t="n">
        <v>7</v>
      </c>
      <c r="H1880" t="n">
        <v>13</v>
      </c>
      <c r="I1880" t="n">
        <v>136186</v>
      </c>
    </row>
    <row r="1881">
      <c r="A1881" t="n">
        <v>1880</v>
      </c>
      <c r="B1881" t="inlineStr">
        <is>
          <t>Train</t>
        </is>
      </c>
      <c r="C1881" t="n">
        <v>5161</v>
      </c>
      <c r="D1881" t="n">
        <v>16430</v>
      </c>
      <c r="E1881" t="n">
        <v>49</v>
      </c>
      <c r="F1881" t="n">
        <v>39220</v>
      </c>
      <c r="G1881" t="n">
        <v>11</v>
      </c>
      <c r="H1881" t="n">
        <v>11</v>
      </c>
      <c r="I1881" t="n">
        <v>201872</v>
      </c>
    </row>
    <row r="1882">
      <c r="A1882" t="n">
        <v>1881</v>
      </c>
      <c r="B1882" t="inlineStr">
        <is>
          <t>Train</t>
        </is>
      </c>
      <c r="C1882" t="n">
        <v>5109</v>
      </c>
      <c r="D1882" t="n">
        <v>19450</v>
      </c>
      <c r="E1882" t="n">
        <v>50</v>
      </c>
      <c r="F1882" t="n">
        <v>46269</v>
      </c>
      <c r="G1882" t="n">
        <v>5</v>
      </c>
      <c r="H1882" t="n">
        <v>12</v>
      </c>
      <c r="I1882" t="n">
        <v>145691</v>
      </c>
    </row>
    <row r="1883">
      <c r="A1883" t="n">
        <v>1882</v>
      </c>
      <c r="B1883" t="inlineStr">
        <is>
          <t>Train</t>
        </is>
      </c>
      <c r="C1883" t="n">
        <v>4641</v>
      </c>
      <c r="D1883" t="n">
        <v>14440</v>
      </c>
      <c r="E1883" t="n">
        <v>61</v>
      </c>
      <c r="F1883" t="n">
        <v>62063</v>
      </c>
      <c r="G1883" t="n">
        <v>2</v>
      </c>
      <c r="H1883" t="n">
        <v>14</v>
      </c>
      <c r="I1883" t="n">
        <v>233201</v>
      </c>
    </row>
    <row r="1884">
      <c r="A1884" t="n">
        <v>1883</v>
      </c>
      <c r="B1884" t="inlineStr">
        <is>
          <t>Train</t>
        </is>
      </c>
      <c r="C1884" t="n">
        <v>5032</v>
      </c>
      <c r="D1884" t="n">
        <v>6400</v>
      </c>
      <c r="E1884" t="n">
        <v>49</v>
      </c>
      <c r="F1884" t="n">
        <v>0</v>
      </c>
      <c r="G1884" t="n">
        <v>7</v>
      </c>
      <c r="H1884" t="n">
        <v>0</v>
      </c>
      <c r="I1884" t="n">
        <v>87080</v>
      </c>
    </row>
    <row r="1885">
      <c r="A1885" t="n">
        <v>1884</v>
      </c>
      <c r="B1885" t="inlineStr">
        <is>
          <t>Train</t>
        </is>
      </c>
      <c r="C1885" t="n">
        <v>5493</v>
      </c>
      <c r="D1885" t="n">
        <v>18290</v>
      </c>
      <c r="E1885" t="n">
        <v>55</v>
      </c>
      <c r="F1885" t="n">
        <v>70628</v>
      </c>
      <c r="G1885" t="n">
        <v>5</v>
      </c>
      <c r="H1885" t="n">
        <v>9</v>
      </c>
      <c r="I1885" t="n">
        <v>0</v>
      </c>
    </row>
    <row r="1886">
      <c r="A1886" t="n">
        <v>1885</v>
      </c>
      <c r="B1886" t="inlineStr">
        <is>
          <t>Train</t>
        </is>
      </c>
      <c r="C1886" t="n">
        <v>10019</v>
      </c>
      <c r="D1886" t="n">
        <v>25780</v>
      </c>
      <c r="E1886" t="n">
        <v>51</v>
      </c>
      <c r="F1886" t="n">
        <v>57906</v>
      </c>
      <c r="G1886" t="n">
        <v>5</v>
      </c>
      <c r="H1886" t="n">
        <v>8</v>
      </c>
      <c r="I1886" t="n">
        <v>201076</v>
      </c>
    </row>
    <row r="1887">
      <c r="A1887" t="n">
        <v>1886</v>
      </c>
      <c r="B1887" t="inlineStr">
        <is>
          <t>Train</t>
        </is>
      </c>
      <c r="C1887" t="n">
        <v>31344</v>
      </c>
      <c r="D1887" t="n">
        <v>1500</v>
      </c>
      <c r="E1887" t="n">
        <v>51</v>
      </c>
      <c r="F1887" t="n">
        <v>38668</v>
      </c>
      <c r="G1887" t="n">
        <v>2</v>
      </c>
      <c r="H1887" t="n">
        <v>11</v>
      </c>
      <c r="I1887" t="n">
        <v>0</v>
      </c>
    </row>
    <row r="1888">
      <c r="A1888" t="n">
        <v>1887</v>
      </c>
      <c r="B1888" t="inlineStr">
        <is>
          <t>Validation</t>
        </is>
      </c>
      <c r="C1888" t="n">
        <v>2452</v>
      </c>
      <c r="D1888" t="n">
        <v>12800</v>
      </c>
      <c r="E1888" t="n">
        <v>39</v>
      </c>
      <c r="F1888" t="n">
        <v>12854</v>
      </c>
      <c r="G1888" t="n">
        <v>3</v>
      </c>
      <c r="H1888" t="n">
        <v>15</v>
      </c>
      <c r="I1888" t="n">
        <v>0</v>
      </c>
    </row>
    <row r="1889">
      <c r="A1889" t="n">
        <v>1888</v>
      </c>
      <c r="B1889" t="inlineStr">
        <is>
          <t>Validation</t>
        </is>
      </c>
      <c r="C1889" t="n">
        <v>9603</v>
      </c>
      <c r="D1889" t="n">
        <v>7470</v>
      </c>
      <c r="E1889" t="n">
        <v>40</v>
      </c>
      <c r="F1889" t="n">
        <v>0</v>
      </c>
      <c r="G1889" t="n">
        <v>3</v>
      </c>
      <c r="H1889" t="n">
        <v>0</v>
      </c>
      <c r="I1889" t="n">
        <v>0</v>
      </c>
    </row>
    <row r="1890">
      <c r="A1890" t="n">
        <v>1889</v>
      </c>
      <c r="B1890" t="inlineStr">
        <is>
          <t>Validation</t>
        </is>
      </c>
      <c r="C1890" t="n">
        <v>2130</v>
      </c>
      <c r="D1890" t="n">
        <v>24660</v>
      </c>
      <c r="E1890" t="n">
        <v>32</v>
      </c>
      <c r="F1890" t="n">
        <v>62615</v>
      </c>
      <c r="G1890" t="n">
        <v>4</v>
      </c>
      <c r="H1890" t="n">
        <v>11</v>
      </c>
      <c r="I1890" t="n">
        <v>184803</v>
      </c>
    </row>
    <row r="1891">
      <c r="A1891" t="n">
        <v>1890</v>
      </c>
      <c r="B1891" t="inlineStr">
        <is>
          <t>Train</t>
        </is>
      </c>
      <c r="C1891" t="n">
        <v>3373</v>
      </c>
      <c r="D1891" t="n">
        <v>6000</v>
      </c>
      <c r="E1891" t="n">
        <v>45</v>
      </c>
      <c r="F1891" t="n">
        <v>0</v>
      </c>
      <c r="G1891" t="n">
        <v>1</v>
      </c>
      <c r="H1891" t="n">
        <v>0</v>
      </c>
      <c r="I1891" t="n">
        <v>70067</v>
      </c>
    </row>
    <row r="1892">
      <c r="A1892" t="n">
        <v>1891</v>
      </c>
      <c r="B1892" t="inlineStr">
        <is>
          <t>Train</t>
        </is>
      </c>
      <c r="C1892" t="n">
        <v>1794</v>
      </c>
      <c r="D1892" t="n">
        <v>4600</v>
      </c>
      <c r="E1892" t="n">
        <v>33</v>
      </c>
      <c r="F1892" t="n">
        <v>82407</v>
      </c>
      <c r="G1892" t="n">
        <v>0</v>
      </c>
      <c r="H1892" t="n">
        <v>14</v>
      </c>
      <c r="I1892" t="n">
        <v>0</v>
      </c>
    </row>
    <row r="1893">
      <c r="A1893" t="n">
        <v>1892</v>
      </c>
      <c r="B1893" t="inlineStr">
        <is>
          <t>Train</t>
        </is>
      </c>
      <c r="C1893" t="n">
        <v>7884</v>
      </c>
      <c r="D1893" t="n">
        <v>13320</v>
      </c>
      <c r="E1893" t="n">
        <v>54</v>
      </c>
      <c r="F1893" t="n">
        <v>64155</v>
      </c>
      <c r="G1893" t="n">
        <v>1</v>
      </c>
      <c r="H1893" t="n">
        <v>7</v>
      </c>
      <c r="I1893" t="n">
        <v>221443</v>
      </c>
    </row>
    <row r="1894">
      <c r="A1894" t="n">
        <v>1893</v>
      </c>
      <c r="B1894" t="inlineStr">
        <is>
          <t>Train</t>
        </is>
      </c>
      <c r="C1894" t="n">
        <v>6597</v>
      </c>
      <c r="D1894" t="n">
        <v>22960</v>
      </c>
      <c r="E1894" t="n">
        <v>42</v>
      </c>
      <c r="F1894" t="n">
        <v>52292</v>
      </c>
      <c r="G1894" t="n">
        <v>3</v>
      </c>
      <c r="H1894" t="n">
        <v>8</v>
      </c>
      <c r="I1894" t="n">
        <v>172461</v>
      </c>
    </row>
    <row r="1895">
      <c r="A1895" t="n">
        <v>1894</v>
      </c>
      <c r="B1895" t="inlineStr">
        <is>
          <t>Train</t>
        </is>
      </c>
      <c r="C1895" t="n">
        <v>48684</v>
      </c>
      <c r="D1895" t="n">
        <v>24600</v>
      </c>
      <c r="E1895" t="n">
        <v>42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1895</v>
      </c>
      <c r="B1896" t="inlineStr">
        <is>
          <t>Train</t>
        </is>
      </c>
      <c r="C1896" t="n">
        <v>4927</v>
      </c>
      <c r="D1896" t="n">
        <v>17230</v>
      </c>
      <c r="E1896" t="n">
        <v>30</v>
      </c>
      <c r="F1896" t="n">
        <v>63425</v>
      </c>
      <c r="G1896" t="n">
        <v>6</v>
      </c>
      <c r="H1896" t="n">
        <v>10</v>
      </c>
      <c r="I1896" t="n">
        <v>222135</v>
      </c>
    </row>
    <row r="1897">
      <c r="A1897" t="n">
        <v>1896</v>
      </c>
      <c r="B1897" t="inlineStr">
        <is>
          <t>Train</t>
        </is>
      </c>
      <c r="C1897" t="n">
        <v>3488</v>
      </c>
      <c r="D1897" t="n">
        <v>32950</v>
      </c>
      <c r="E1897" t="n">
        <v>53</v>
      </c>
      <c r="F1897" t="n">
        <v>180034</v>
      </c>
      <c r="G1897" t="n">
        <v>3</v>
      </c>
      <c r="H1897" t="n">
        <v>12</v>
      </c>
      <c r="I1897" t="n">
        <v>0</v>
      </c>
    </row>
    <row r="1898">
      <c r="A1898" t="n">
        <v>1897</v>
      </c>
      <c r="B1898" t="inlineStr">
        <is>
          <t>Validation</t>
        </is>
      </c>
      <c r="C1898" t="n">
        <v>3857</v>
      </c>
      <c r="D1898" t="n">
        <v>10890</v>
      </c>
      <c r="E1898" t="n">
        <v>37</v>
      </c>
      <c r="F1898" t="n">
        <v>78341</v>
      </c>
      <c r="G1898" t="n">
        <v>2</v>
      </c>
      <c r="H1898" t="n">
        <v>13</v>
      </c>
      <c r="I1898" t="n">
        <v>0</v>
      </c>
    </row>
    <row r="1899">
      <c r="A1899" t="n">
        <v>1898</v>
      </c>
      <c r="B1899" t="inlineStr">
        <is>
          <t>Validation</t>
        </is>
      </c>
      <c r="C1899" t="n">
        <v>9658</v>
      </c>
      <c r="D1899" t="n">
        <v>13810</v>
      </c>
      <c r="E1899" t="n">
        <v>64</v>
      </c>
      <c r="F1899" t="n">
        <v>65398</v>
      </c>
      <c r="G1899" t="n">
        <v>0</v>
      </c>
      <c r="H1899" t="n">
        <v>14</v>
      </c>
      <c r="I1899" t="n">
        <v>231176</v>
      </c>
    </row>
    <row r="1900">
      <c r="A1900" t="n">
        <v>1899</v>
      </c>
      <c r="B1900" t="inlineStr">
        <is>
          <t>Validation</t>
        </is>
      </c>
      <c r="C1900" t="n">
        <v>26003</v>
      </c>
      <c r="D1900" t="n">
        <v>6000</v>
      </c>
      <c r="E1900" t="n">
        <v>41</v>
      </c>
      <c r="F1900" t="n">
        <v>85545</v>
      </c>
      <c r="G1900" t="n">
        <v>4</v>
      </c>
      <c r="H1900" t="n">
        <v>3</v>
      </c>
      <c r="I1900" t="n">
        <v>0</v>
      </c>
    </row>
    <row r="1901">
      <c r="A1901" t="n">
        <v>1900</v>
      </c>
      <c r="B1901" t="inlineStr">
        <is>
          <t>Train</t>
        </is>
      </c>
      <c r="C1901" t="n">
        <v>30213</v>
      </c>
      <c r="D1901" t="n">
        <v>11780</v>
      </c>
      <c r="E1901" t="n">
        <v>25</v>
      </c>
      <c r="F1901" t="n">
        <v>59896</v>
      </c>
      <c r="G1901" t="n">
        <v>4</v>
      </c>
      <c r="H1901" t="n">
        <v>14</v>
      </c>
      <c r="I1901" t="n">
        <v>224977</v>
      </c>
    </row>
    <row r="1902">
      <c r="A1902" t="n">
        <v>1901</v>
      </c>
      <c r="B1902" t="inlineStr">
        <is>
          <t>Train</t>
        </is>
      </c>
      <c r="C1902" t="n">
        <v>6459</v>
      </c>
      <c r="D1902" t="n">
        <v>28700</v>
      </c>
      <c r="E1902" t="n">
        <v>35</v>
      </c>
      <c r="F1902" t="n">
        <v>86997</v>
      </c>
      <c r="G1902" t="n">
        <v>4</v>
      </c>
      <c r="H1902" t="n">
        <v>10</v>
      </c>
      <c r="I1902" t="n">
        <v>234307</v>
      </c>
    </row>
    <row r="1903">
      <c r="A1903" t="n">
        <v>1902</v>
      </c>
      <c r="B1903" t="inlineStr">
        <is>
          <t>Train</t>
        </is>
      </c>
      <c r="C1903" t="n">
        <v>6064</v>
      </c>
      <c r="D1903" t="n">
        <v>5200</v>
      </c>
      <c r="E1903" t="n">
        <v>37</v>
      </c>
      <c r="F1903" t="n">
        <v>0</v>
      </c>
      <c r="G1903" t="n">
        <v>0</v>
      </c>
      <c r="H1903" t="n">
        <v>0</v>
      </c>
      <c r="I1903" t="n">
        <v>80900</v>
      </c>
    </row>
    <row r="1904">
      <c r="A1904" t="n">
        <v>1903</v>
      </c>
      <c r="B1904" t="inlineStr">
        <is>
          <t>Train</t>
        </is>
      </c>
      <c r="C1904" t="n">
        <v>7092</v>
      </c>
      <c r="D1904" t="n">
        <v>30200</v>
      </c>
      <c r="E1904" t="n">
        <v>56</v>
      </c>
      <c r="F1904" t="n">
        <v>231004</v>
      </c>
      <c r="G1904" t="n">
        <v>0</v>
      </c>
      <c r="H1904" t="n">
        <v>13</v>
      </c>
      <c r="I1904" t="n">
        <v>553221</v>
      </c>
    </row>
    <row r="1905">
      <c r="A1905" t="n">
        <v>1904</v>
      </c>
      <c r="B1905" t="inlineStr">
        <is>
          <t>Train</t>
        </is>
      </c>
      <c r="C1905" t="n">
        <v>23588</v>
      </c>
      <c r="D1905" t="n">
        <v>11470</v>
      </c>
      <c r="E1905" t="n">
        <v>37</v>
      </c>
      <c r="F1905" t="n">
        <v>45147</v>
      </c>
      <c r="G1905" t="n">
        <v>1</v>
      </c>
      <c r="H1905" t="n">
        <v>11</v>
      </c>
      <c r="I1905" t="n">
        <v>199373</v>
      </c>
    </row>
    <row r="1906">
      <c r="A1906" t="n">
        <v>1905</v>
      </c>
      <c r="B1906" t="inlineStr">
        <is>
          <t>Train</t>
        </is>
      </c>
      <c r="C1906" t="n">
        <v>19508</v>
      </c>
      <c r="D1906" t="n">
        <v>15120</v>
      </c>
      <c r="E1906" t="n">
        <v>35</v>
      </c>
      <c r="F1906" t="n">
        <v>65102</v>
      </c>
      <c r="G1906" t="n">
        <v>5</v>
      </c>
      <c r="H1906" t="n">
        <v>14</v>
      </c>
      <c r="I1906" t="n">
        <v>233449</v>
      </c>
    </row>
    <row r="1907">
      <c r="A1907" t="n">
        <v>1906</v>
      </c>
      <c r="B1907" t="inlineStr">
        <is>
          <t>Train</t>
        </is>
      </c>
      <c r="C1907" t="n">
        <v>9009</v>
      </c>
      <c r="D1907" t="n">
        <v>6400</v>
      </c>
      <c r="E1907" t="n">
        <v>55</v>
      </c>
      <c r="F1907" t="n">
        <v>48509</v>
      </c>
      <c r="G1907" t="n">
        <v>1</v>
      </c>
      <c r="H1907" t="n">
        <v>6</v>
      </c>
      <c r="I1907" t="n">
        <v>210146</v>
      </c>
    </row>
    <row r="1908">
      <c r="A1908" t="n">
        <v>1907</v>
      </c>
      <c r="B1908" t="inlineStr">
        <is>
          <t>Validation</t>
        </is>
      </c>
      <c r="C1908" t="n">
        <v>4969</v>
      </c>
      <c r="D1908" t="n">
        <v>7380</v>
      </c>
      <c r="E1908" t="n">
        <v>48</v>
      </c>
      <c r="F1908" t="n">
        <v>0</v>
      </c>
      <c r="G1908" t="n">
        <v>5</v>
      </c>
      <c r="H1908" t="n">
        <v>0</v>
      </c>
      <c r="I1908" t="n">
        <v>0</v>
      </c>
    </row>
    <row r="1909">
      <c r="A1909" t="n">
        <v>1908</v>
      </c>
      <c r="B1909" t="inlineStr">
        <is>
          <t>Validation</t>
        </is>
      </c>
      <c r="C1909" t="n">
        <v>4582</v>
      </c>
      <c r="D1909" t="n">
        <v>12630</v>
      </c>
      <c r="E1909" t="n">
        <v>53</v>
      </c>
      <c r="F1909" t="n">
        <v>58319</v>
      </c>
      <c r="G1909" t="n">
        <v>5</v>
      </c>
      <c r="H1909" t="n">
        <v>12</v>
      </c>
      <c r="I1909" t="n">
        <v>206406</v>
      </c>
    </row>
    <row r="1910">
      <c r="A1910" t="n">
        <v>1909</v>
      </c>
      <c r="B1910" t="inlineStr">
        <is>
          <t>Validation</t>
        </is>
      </c>
      <c r="C1910" t="n">
        <v>7056</v>
      </c>
      <c r="D1910" t="n">
        <v>16070</v>
      </c>
      <c r="E1910" t="n">
        <v>45</v>
      </c>
      <c r="F1910" t="n">
        <v>65801</v>
      </c>
      <c r="G1910" t="n">
        <v>3</v>
      </c>
      <c r="H1910" t="n">
        <v>16</v>
      </c>
      <c r="I1910" t="n">
        <v>0</v>
      </c>
    </row>
    <row r="1911">
      <c r="A1911" t="n">
        <v>1910</v>
      </c>
      <c r="B1911" t="inlineStr">
        <is>
          <t>Train</t>
        </is>
      </c>
      <c r="C1911" t="n">
        <v>7202</v>
      </c>
      <c r="D1911" t="n">
        <v>18160</v>
      </c>
      <c r="E1911" t="n">
        <v>52</v>
      </c>
      <c r="F1911" t="n">
        <v>114635</v>
      </c>
      <c r="G1911" t="n">
        <v>3</v>
      </c>
      <c r="H1911" t="n">
        <v>12</v>
      </c>
      <c r="I1911" t="n">
        <v>321942</v>
      </c>
    </row>
    <row r="1912">
      <c r="A1912" t="n">
        <v>1911</v>
      </c>
      <c r="B1912" t="inlineStr">
        <is>
          <t>Train</t>
        </is>
      </c>
      <c r="C1912" t="n">
        <v>26544</v>
      </c>
      <c r="D1912" t="n">
        <v>20530</v>
      </c>
      <c r="E1912" t="n">
        <v>47</v>
      </c>
      <c r="F1912" t="n">
        <v>62538</v>
      </c>
      <c r="G1912" t="n">
        <v>1</v>
      </c>
      <c r="H1912" t="n">
        <v>12</v>
      </c>
      <c r="I1912" t="n">
        <v>242258</v>
      </c>
    </row>
    <row r="1913">
      <c r="A1913" t="n">
        <v>1912</v>
      </c>
      <c r="B1913" t="inlineStr">
        <is>
          <t>Train</t>
        </is>
      </c>
      <c r="C1913" t="n">
        <v>28003</v>
      </c>
      <c r="D1913" t="n">
        <v>15220</v>
      </c>
      <c r="E1913" t="n">
        <v>40</v>
      </c>
      <c r="F1913" t="n">
        <v>61758</v>
      </c>
      <c r="G1913" t="n">
        <v>0</v>
      </c>
      <c r="H1913" t="n">
        <v>10</v>
      </c>
      <c r="I1913" t="n">
        <v>0</v>
      </c>
    </row>
    <row r="1914">
      <c r="A1914" t="n">
        <v>1913</v>
      </c>
      <c r="B1914" t="inlineStr">
        <is>
          <t>Train</t>
        </is>
      </c>
      <c r="C1914" t="n">
        <v>2883</v>
      </c>
      <c r="D1914" t="n">
        <v>6000</v>
      </c>
      <c r="E1914" t="n">
        <v>45</v>
      </c>
      <c r="F1914" t="n">
        <v>33464</v>
      </c>
      <c r="G1914" t="n">
        <v>7</v>
      </c>
      <c r="H1914" t="n">
        <v>13</v>
      </c>
      <c r="I1914" t="n">
        <v>153488</v>
      </c>
    </row>
    <row r="1915">
      <c r="A1915" t="n">
        <v>1914</v>
      </c>
      <c r="B1915" t="inlineStr">
        <is>
          <t>Train</t>
        </is>
      </c>
      <c r="C1915" t="n">
        <v>45823</v>
      </c>
      <c r="D1915" t="n">
        <v>8920</v>
      </c>
      <c r="E1915" t="n">
        <v>44</v>
      </c>
      <c r="F1915" t="n">
        <v>30242</v>
      </c>
      <c r="G1915" t="n">
        <v>5</v>
      </c>
      <c r="H1915" t="n">
        <v>15</v>
      </c>
      <c r="I1915" t="n">
        <v>160824</v>
      </c>
    </row>
    <row r="1916">
      <c r="A1916" t="n">
        <v>1915</v>
      </c>
      <c r="B1916" t="inlineStr">
        <is>
          <t>Train</t>
        </is>
      </c>
      <c r="C1916" t="n">
        <v>5696</v>
      </c>
      <c r="D1916" t="n">
        <v>13140</v>
      </c>
      <c r="E1916" t="n">
        <v>58</v>
      </c>
      <c r="F1916" t="n">
        <v>0</v>
      </c>
      <c r="G1916" t="n">
        <v>9</v>
      </c>
      <c r="H1916" t="n">
        <v>0</v>
      </c>
      <c r="I1916" t="n">
        <v>0</v>
      </c>
    </row>
    <row r="1917">
      <c r="A1917" t="n">
        <v>1916</v>
      </c>
      <c r="B1917" t="inlineStr">
        <is>
          <t>Train</t>
        </is>
      </c>
      <c r="C1917" t="n">
        <v>4434</v>
      </c>
      <c r="D1917" t="n">
        <v>19940</v>
      </c>
      <c r="E1917" t="n">
        <v>51</v>
      </c>
      <c r="F1917" t="n">
        <v>133425</v>
      </c>
      <c r="G1917" t="n">
        <v>0</v>
      </c>
      <c r="H1917" t="n">
        <v>7</v>
      </c>
      <c r="I1917" t="n">
        <v>361561</v>
      </c>
    </row>
    <row r="1918">
      <c r="A1918" t="n">
        <v>1917</v>
      </c>
      <c r="B1918" t="inlineStr">
        <is>
          <t>Validation</t>
        </is>
      </c>
      <c r="C1918" t="n">
        <v>4824</v>
      </c>
      <c r="D1918" t="n">
        <v>19160</v>
      </c>
      <c r="E1918" t="n">
        <v>48</v>
      </c>
      <c r="F1918" t="n">
        <v>78890</v>
      </c>
      <c r="G1918" t="n">
        <v>3</v>
      </c>
      <c r="H1918" t="n">
        <v>14</v>
      </c>
      <c r="I1918" t="n">
        <v>211819</v>
      </c>
    </row>
    <row r="1919">
      <c r="A1919" t="n">
        <v>1918</v>
      </c>
      <c r="B1919" t="inlineStr">
        <is>
          <t>Validation</t>
        </is>
      </c>
      <c r="C1919" t="n">
        <v>23275</v>
      </c>
      <c r="D1919" t="n">
        <v>8150</v>
      </c>
      <c r="E1919" t="n">
        <v>47</v>
      </c>
      <c r="F1919" t="n">
        <v>19527</v>
      </c>
      <c r="G1919" t="n">
        <v>2</v>
      </c>
      <c r="H1919" t="n">
        <v>14</v>
      </c>
      <c r="I1919" t="n">
        <v>134741</v>
      </c>
    </row>
    <row r="1920">
      <c r="A1920" t="n">
        <v>1919</v>
      </c>
      <c r="B1920" t="inlineStr">
        <is>
          <t>Validation</t>
        </is>
      </c>
      <c r="C1920" t="n">
        <v>4608</v>
      </c>
      <c r="D1920" t="n">
        <v>15420</v>
      </c>
      <c r="E1920" t="n">
        <v>47</v>
      </c>
      <c r="F1920" t="n">
        <v>53564</v>
      </c>
      <c r="G1920" t="n">
        <v>0</v>
      </c>
      <c r="H1920" t="n">
        <v>10</v>
      </c>
      <c r="I1920" t="n">
        <v>195598</v>
      </c>
    </row>
    <row r="1921">
      <c r="A1921" t="n">
        <v>1920</v>
      </c>
      <c r="B1921" t="inlineStr">
        <is>
          <t>Train</t>
        </is>
      </c>
      <c r="C1921" t="n">
        <v>6364</v>
      </c>
      <c r="D1921" t="n">
        <v>24500</v>
      </c>
      <c r="E1921" t="n">
        <v>69</v>
      </c>
      <c r="F1921" t="n">
        <v>16122</v>
      </c>
      <c r="G1921" t="n">
        <v>0</v>
      </c>
      <c r="H1921" t="n">
        <v>18</v>
      </c>
      <c r="I1921" t="n">
        <v>159132</v>
      </c>
    </row>
    <row r="1922">
      <c r="A1922" t="n">
        <v>1921</v>
      </c>
      <c r="B1922" t="inlineStr">
        <is>
          <t>Train</t>
        </is>
      </c>
      <c r="C1922" t="n">
        <v>6257</v>
      </c>
      <c r="D1922" t="n">
        <v>30540</v>
      </c>
      <c r="E1922" t="n">
        <v>41</v>
      </c>
      <c r="F1922" t="n">
        <v>29936</v>
      </c>
      <c r="G1922" t="n">
        <v>2</v>
      </c>
      <c r="H1922" t="n">
        <v>11</v>
      </c>
      <c r="I1922" t="n">
        <v>0</v>
      </c>
    </row>
    <row r="1923">
      <c r="A1923" t="n">
        <v>1922</v>
      </c>
      <c r="B1923" t="inlineStr">
        <is>
          <t>Train</t>
        </is>
      </c>
      <c r="C1923" t="n">
        <v>29572</v>
      </c>
      <c r="D1923" t="n">
        <v>8820</v>
      </c>
      <c r="E1923" t="n">
        <v>49</v>
      </c>
      <c r="F1923" t="n">
        <v>0</v>
      </c>
      <c r="G1923" t="n">
        <v>2</v>
      </c>
      <c r="H1923" t="n">
        <v>0</v>
      </c>
      <c r="I1923" t="n">
        <v>0</v>
      </c>
    </row>
    <row r="1924">
      <c r="A1924" t="n">
        <v>1923</v>
      </c>
      <c r="B1924" t="inlineStr">
        <is>
          <t>Train</t>
        </is>
      </c>
      <c r="C1924" t="n">
        <v>3764</v>
      </c>
      <c r="D1924" t="n">
        <v>11630</v>
      </c>
      <c r="E1924" t="n">
        <v>52</v>
      </c>
      <c r="F1924" t="n">
        <v>33933</v>
      </c>
      <c r="G1924" t="n">
        <v>1</v>
      </c>
      <c r="H1924" t="n">
        <v>10</v>
      </c>
      <c r="I1924" t="n">
        <v>156362</v>
      </c>
    </row>
    <row r="1925">
      <c r="A1925" t="n">
        <v>1924</v>
      </c>
      <c r="B1925" t="inlineStr">
        <is>
          <t>Train</t>
        </is>
      </c>
      <c r="C1925" t="n">
        <v>7310</v>
      </c>
      <c r="D1925" t="n">
        <v>14940</v>
      </c>
      <c r="E1925" t="n">
        <v>48</v>
      </c>
      <c r="F1925" t="n">
        <v>14522</v>
      </c>
      <c r="G1925" t="n">
        <v>8</v>
      </c>
      <c r="H1925" t="n">
        <v>13</v>
      </c>
      <c r="I1925" t="n">
        <v>109990</v>
      </c>
    </row>
    <row r="1926">
      <c r="A1926" t="n">
        <v>1925</v>
      </c>
      <c r="B1926" t="inlineStr">
        <is>
          <t>Train</t>
        </is>
      </c>
      <c r="C1926" t="n">
        <v>20437</v>
      </c>
      <c r="D1926" t="n">
        <v>19760</v>
      </c>
      <c r="E1926" t="n">
        <v>55</v>
      </c>
      <c r="F1926" t="n">
        <v>35594</v>
      </c>
      <c r="G1926" t="n">
        <v>1</v>
      </c>
      <c r="H1926" t="n">
        <v>13</v>
      </c>
      <c r="I1926" t="n">
        <v>166691</v>
      </c>
    </row>
    <row r="1927">
      <c r="A1927" t="n">
        <v>1926</v>
      </c>
      <c r="B1927" t="inlineStr">
        <is>
          <t>Train</t>
        </is>
      </c>
      <c r="C1927" t="n">
        <v>5224</v>
      </c>
      <c r="D1927" t="n">
        <v>27560</v>
      </c>
      <c r="E1927" t="n">
        <v>56</v>
      </c>
      <c r="F1927" t="n">
        <v>184068</v>
      </c>
      <c r="G1927" t="n">
        <v>2</v>
      </c>
      <c r="H1927" t="n">
        <v>12</v>
      </c>
      <c r="I1927" t="n">
        <v>0</v>
      </c>
    </row>
    <row r="1928">
      <c r="A1928" t="n">
        <v>1927</v>
      </c>
      <c r="B1928" t="inlineStr">
        <is>
          <t>Validation</t>
        </is>
      </c>
      <c r="C1928" t="n">
        <v>4099</v>
      </c>
      <c r="D1928" t="n">
        <v>29260</v>
      </c>
      <c r="E1928" t="n">
        <v>53</v>
      </c>
      <c r="F1928" t="n">
        <v>51435</v>
      </c>
      <c r="G1928" t="n">
        <v>3</v>
      </c>
      <c r="H1928" t="n">
        <v>12</v>
      </c>
      <c r="I1928" t="n">
        <v>0</v>
      </c>
    </row>
    <row r="1929">
      <c r="A1929" t="n">
        <v>1928</v>
      </c>
      <c r="B1929" t="inlineStr">
        <is>
          <t>Validation</t>
        </is>
      </c>
      <c r="C1929" t="n">
        <v>3469</v>
      </c>
      <c r="D1929" t="n">
        <v>6780</v>
      </c>
      <c r="E1929" t="n">
        <v>33</v>
      </c>
      <c r="F1929" t="n">
        <v>26177</v>
      </c>
      <c r="G1929" t="n">
        <v>5</v>
      </c>
      <c r="H1929" t="n">
        <v>9</v>
      </c>
      <c r="I1929" t="n">
        <v>113050</v>
      </c>
    </row>
    <row r="1930">
      <c r="A1930" t="n">
        <v>1929</v>
      </c>
      <c r="B1930" t="inlineStr">
        <is>
          <t>Validation</t>
        </is>
      </c>
      <c r="C1930" t="n">
        <v>6308</v>
      </c>
      <c r="D1930" t="n">
        <v>34380</v>
      </c>
      <c r="E1930" t="n">
        <v>47</v>
      </c>
      <c r="F1930" t="n">
        <v>85183</v>
      </c>
      <c r="G1930" t="n">
        <v>2</v>
      </c>
      <c r="H1930" t="n">
        <v>14</v>
      </c>
      <c r="I1930" t="n">
        <v>273069</v>
      </c>
    </row>
    <row r="1931">
      <c r="A1931" t="n">
        <v>1930</v>
      </c>
      <c r="B1931" t="inlineStr">
        <is>
          <t>Train</t>
        </is>
      </c>
      <c r="C1931" t="n">
        <v>1139</v>
      </c>
      <c r="D1931" t="n">
        <v>8380</v>
      </c>
      <c r="E1931" t="n">
        <v>61</v>
      </c>
      <c r="F1931" t="n">
        <v>36611</v>
      </c>
      <c r="G1931" t="n">
        <v>1</v>
      </c>
      <c r="H1931" t="n">
        <v>14</v>
      </c>
      <c r="I1931" t="n">
        <v>172982</v>
      </c>
    </row>
    <row r="1932">
      <c r="A1932" t="n">
        <v>1931</v>
      </c>
      <c r="B1932" t="inlineStr">
        <is>
          <t>Train</t>
        </is>
      </c>
      <c r="C1932" t="n">
        <v>808</v>
      </c>
      <c r="D1932" t="n">
        <v>15960</v>
      </c>
      <c r="E1932" t="n">
        <v>47</v>
      </c>
      <c r="F1932" t="n">
        <v>97611</v>
      </c>
      <c r="G1932" t="n">
        <v>0</v>
      </c>
      <c r="H1932" t="n">
        <v>7</v>
      </c>
      <c r="I1932" t="n">
        <v>265828</v>
      </c>
    </row>
    <row r="1933">
      <c r="A1933" t="n">
        <v>1932</v>
      </c>
      <c r="B1933" t="inlineStr">
        <is>
          <t>Train</t>
        </is>
      </c>
      <c r="C1933" t="n">
        <v>6474</v>
      </c>
      <c r="D1933" t="n">
        <v>10150</v>
      </c>
      <c r="E1933" t="n">
        <v>32</v>
      </c>
      <c r="F1933" t="n">
        <v>54464</v>
      </c>
      <c r="G1933" t="n">
        <v>0</v>
      </c>
      <c r="H1933" t="n">
        <v>13</v>
      </c>
      <c r="I1933" t="n">
        <v>197379</v>
      </c>
    </row>
    <row r="1934">
      <c r="A1934" t="n">
        <v>1933</v>
      </c>
      <c r="B1934" t="inlineStr">
        <is>
          <t>Train</t>
        </is>
      </c>
      <c r="C1934" t="n">
        <v>6714</v>
      </c>
      <c r="D1934" t="n">
        <v>3750</v>
      </c>
      <c r="E1934" t="n">
        <v>43</v>
      </c>
      <c r="F1934" t="n">
        <v>32505</v>
      </c>
      <c r="G1934" t="n">
        <v>11</v>
      </c>
      <c r="H1934" t="n">
        <v>17</v>
      </c>
      <c r="I1934" t="n">
        <v>162586</v>
      </c>
    </row>
    <row r="1935">
      <c r="A1935" t="n">
        <v>1934</v>
      </c>
      <c r="B1935" t="inlineStr">
        <is>
          <t>Train</t>
        </is>
      </c>
      <c r="C1935" t="n">
        <v>42604</v>
      </c>
      <c r="D1935" t="n">
        <v>16170</v>
      </c>
      <c r="E1935" t="n">
        <v>43</v>
      </c>
      <c r="F1935" t="n">
        <v>263</v>
      </c>
      <c r="G1935" t="n">
        <v>0</v>
      </c>
      <c r="H1935" t="n">
        <v>5</v>
      </c>
      <c r="I1935" t="n">
        <v>0</v>
      </c>
    </row>
    <row r="1936">
      <c r="A1936" t="n">
        <v>1935</v>
      </c>
      <c r="B1936" t="inlineStr">
        <is>
          <t>Train</t>
        </is>
      </c>
      <c r="C1936" t="n">
        <v>7727</v>
      </c>
      <c r="D1936" t="n">
        <v>19100</v>
      </c>
      <c r="E1936" t="n">
        <v>45</v>
      </c>
      <c r="F1936" t="n">
        <v>24178</v>
      </c>
      <c r="G1936" t="n">
        <v>2</v>
      </c>
      <c r="H1936" t="n">
        <v>9</v>
      </c>
      <c r="I1936" t="n">
        <v>115381</v>
      </c>
    </row>
    <row r="1937">
      <c r="A1937" t="n">
        <v>1936</v>
      </c>
      <c r="B1937" t="inlineStr">
        <is>
          <t>Train</t>
        </is>
      </c>
      <c r="C1937" t="n">
        <v>9082</v>
      </c>
      <c r="D1937" t="n">
        <v>15500</v>
      </c>
      <c r="E1937" t="n">
        <v>50</v>
      </c>
      <c r="F1937" t="n">
        <v>90015</v>
      </c>
      <c r="G1937" t="n">
        <v>0</v>
      </c>
      <c r="H1937" t="n">
        <v>16</v>
      </c>
      <c r="I1937" t="n">
        <v>265405</v>
      </c>
    </row>
    <row r="1938">
      <c r="A1938" t="n">
        <v>1937</v>
      </c>
      <c r="B1938" t="inlineStr">
        <is>
          <t>Validation</t>
        </is>
      </c>
      <c r="C1938" t="n">
        <v>12014</v>
      </c>
      <c r="D1938" t="n">
        <v>24880</v>
      </c>
      <c r="E1938" t="n">
        <v>48</v>
      </c>
      <c r="F1938" t="n">
        <v>208667</v>
      </c>
      <c r="G1938" t="n">
        <v>3</v>
      </c>
      <c r="H1938" t="n">
        <v>13</v>
      </c>
      <c r="I1938" t="n">
        <v>482291</v>
      </c>
    </row>
    <row r="1939">
      <c r="A1939" t="n">
        <v>1938</v>
      </c>
      <c r="B1939" t="inlineStr">
        <is>
          <t>Validation</t>
        </is>
      </c>
      <c r="C1939" t="n">
        <v>22887</v>
      </c>
      <c r="D1939" t="n">
        <v>13000</v>
      </c>
      <c r="E1939" t="n">
        <v>55</v>
      </c>
      <c r="F1939" t="n">
        <v>83076</v>
      </c>
      <c r="G1939" t="n">
        <v>6</v>
      </c>
      <c r="H1939" t="n">
        <v>17</v>
      </c>
      <c r="I1939" t="n">
        <v>254660</v>
      </c>
    </row>
    <row r="1940">
      <c r="A1940" t="n">
        <v>1939</v>
      </c>
      <c r="B1940" t="inlineStr">
        <is>
          <t>Validation</t>
        </is>
      </c>
      <c r="C1940" t="n">
        <v>29959</v>
      </c>
      <c r="D1940" t="n">
        <v>11240</v>
      </c>
      <c r="E1940" t="n">
        <v>53</v>
      </c>
      <c r="F1940" t="n">
        <v>44405</v>
      </c>
      <c r="G1940" t="n">
        <v>5</v>
      </c>
      <c r="H1940" t="n">
        <v>13</v>
      </c>
      <c r="I1940" t="n">
        <v>178233</v>
      </c>
    </row>
    <row r="1941">
      <c r="A1941" t="n">
        <v>1940</v>
      </c>
      <c r="B1941" t="inlineStr">
        <is>
          <t>Train</t>
        </is>
      </c>
      <c r="C1941" t="n">
        <v>8081</v>
      </c>
      <c r="D1941" t="n">
        <v>13870</v>
      </c>
      <c r="E1941" t="n">
        <v>61</v>
      </c>
      <c r="F1941" t="n">
        <v>62706</v>
      </c>
      <c r="G1941" t="n">
        <v>4</v>
      </c>
      <c r="H1941" t="n">
        <v>14</v>
      </c>
      <c r="I1941" t="n">
        <v>196195</v>
      </c>
    </row>
    <row r="1942">
      <c r="A1942" t="n">
        <v>1941</v>
      </c>
      <c r="B1942" t="inlineStr">
        <is>
          <t>Train</t>
        </is>
      </c>
      <c r="C1942" t="n">
        <v>4311</v>
      </c>
      <c r="D1942" t="n">
        <v>3830</v>
      </c>
      <c r="E1942" t="n">
        <v>28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1942</v>
      </c>
      <c r="B1943" t="inlineStr">
        <is>
          <t>Train</t>
        </is>
      </c>
      <c r="C1943" t="n">
        <v>4339</v>
      </c>
      <c r="D1943" t="n">
        <v>6000</v>
      </c>
      <c r="E1943" t="n">
        <v>45</v>
      </c>
      <c r="F1943" t="n">
        <v>67633</v>
      </c>
      <c r="G1943" t="n">
        <v>3</v>
      </c>
      <c r="H1943" t="n">
        <v>12</v>
      </c>
      <c r="I1943" t="n">
        <v>211342</v>
      </c>
    </row>
    <row r="1944">
      <c r="A1944" t="n">
        <v>1943</v>
      </c>
      <c r="B1944" t="inlineStr">
        <is>
          <t>Train</t>
        </is>
      </c>
      <c r="C1944" t="n">
        <v>5068</v>
      </c>
      <c r="D1944" t="n">
        <v>20120</v>
      </c>
      <c r="E1944" t="n">
        <v>38</v>
      </c>
      <c r="F1944" t="n">
        <v>83053</v>
      </c>
      <c r="G1944" t="n">
        <v>3</v>
      </c>
      <c r="H1944" t="n">
        <v>6</v>
      </c>
      <c r="I1944" t="n">
        <v>0</v>
      </c>
    </row>
    <row r="1945">
      <c r="A1945" t="n">
        <v>1944</v>
      </c>
      <c r="B1945" t="inlineStr">
        <is>
          <t>Train</t>
        </is>
      </c>
      <c r="C1945" t="n">
        <v>7039</v>
      </c>
      <c r="D1945" t="n">
        <v>20380</v>
      </c>
      <c r="E1945" t="n">
        <v>44</v>
      </c>
      <c r="F1945" t="n">
        <v>47543</v>
      </c>
      <c r="G1945" t="n">
        <v>3</v>
      </c>
      <c r="H1945" t="n">
        <v>12</v>
      </c>
      <c r="I1945" t="n">
        <v>187957</v>
      </c>
    </row>
    <row r="1946">
      <c r="A1946" t="n">
        <v>1945</v>
      </c>
      <c r="B1946" t="inlineStr">
        <is>
          <t>Train</t>
        </is>
      </c>
      <c r="C1946" t="n">
        <v>2942</v>
      </c>
      <c r="D1946" t="n">
        <v>5590</v>
      </c>
      <c r="E1946" t="n">
        <v>37</v>
      </c>
      <c r="F1946" t="n">
        <v>58561</v>
      </c>
      <c r="G1946" t="n">
        <v>3</v>
      </c>
      <c r="H1946" t="n">
        <v>12</v>
      </c>
      <c r="I1946" t="n">
        <v>182367</v>
      </c>
    </row>
    <row r="1947">
      <c r="A1947" t="n">
        <v>1946</v>
      </c>
      <c r="B1947" t="inlineStr">
        <is>
          <t>Train</t>
        </is>
      </c>
      <c r="C1947" t="n">
        <v>35500</v>
      </c>
      <c r="D1947" t="n">
        <v>14980</v>
      </c>
      <c r="E1947" t="n">
        <v>35</v>
      </c>
      <c r="F1947" t="n">
        <v>50872</v>
      </c>
      <c r="G1947" t="n">
        <v>0</v>
      </c>
      <c r="H1947" t="n">
        <v>7</v>
      </c>
      <c r="I1947" t="n">
        <v>190621</v>
      </c>
    </row>
    <row r="1948">
      <c r="A1948" t="n">
        <v>1947</v>
      </c>
      <c r="B1948" t="inlineStr">
        <is>
          <t>Validation</t>
        </is>
      </c>
      <c r="C1948" t="n">
        <v>5921</v>
      </c>
      <c r="D1948" t="n">
        <v>26580</v>
      </c>
      <c r="E1948" t="n">
        <v>51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1948</v>
      </c>
      <c r="B1949" t="inlineStr">
        <is>
          <t>Validation</t>
        </is>
      </c>
      <c r="C1949" t="n">
        <v>1986</v>
      </c>
      <c r="D1949" t="n">
        <v>12140</v>
      </c>
      <c r="E1949" t="n">
        <v>54</v>
      </c>
      <c r="F1949" t="n">
        <v>52409</v>
      </c>
      <c r="G1949" t="n">
        <v>2</v>
      </c>
      <c r="H1949" t="n">
        <v>6</v>
      </c>
      <c r="I1949" t="n">
        <v>212452</v>
      </c>
    </row>
    <row r="1950">
      <c r="A1950" t="n">
        <v>1949</v>
      </c>
      <c r="B1950" t="inlineStr">
        <is>
          <t>Validation</t>
        </is>
      </c>
      <c r="C1950" t="n">
        <v>6247</v>
      </c>
      <c r="D1950" t="n">
        <v>15280</v>
      </c>
      <c r="E1950" t="n">
        <v>64</v>
      </c>
      <c r="F1950" t="n">
        <v>12291</v>
      </c>
      <c r="G1950" t="n">
        <v>2</v>
      </c>
      <c r="H1950" t="n">
        <v>12</v>
      </c>
      <c r="I1950" t="n">
        <v>119621</v>
      </c>
    </row>
    <row r="1951">
      <c r="A1951" t="n">
        <v>1950</v>
      </c>
      <c r="B1951" t="inlineStr">
        <is>
          <t>Train</t>
        </is>
      </c>
      <c r="C1951" t="n">
        <v>32969</v>
      </c>
      <c r="D1951" t="n">
        <v>6100</v>
      </c>
      <c r="E1951" t="n">
        <v>46</v>
      </c>
      <c r="F1951" t="n">
        <v>189106</v>
      </c>
      <c r="G1951" t="n">
        <v>1</v>
      </c>
      <c r="H1951" t="n">
        <v>10</v>
      </c>
      <c r="I1951" t="n">
        <v>486942</v>
      </c>
    </row>
    <row r="1952">
      <c r="A1952" t="n">
        <v>1951</v>
      </c>
      <c r="B1952" t="inlineStr">
        <is>
          <t>Train</t>
        </is>
      </c>
      <c r="C1952" t="n">
        <v>5386</v>
      </c>
      <c r="D1952" t="n">
        <v>8160</v>
      </c>
      <c r="E1952" t="n">
        <v>36</v>
      </c>
      <c r="F1952" t="n">
        <v>907</v>
      </c>
      <c r="G1952" t="n">
        <v>4</v>
      </c>
      <c r="H1952" t="n">
        <v>11</v>
      </c>
      <c r="I1952" t="n">
        <v>0</v>
      </c>
    </row>
    <row r="1953">
      <c r="A1953" t="n">
        <v>1952</v>
      </c>
      <c r="B1953" t="inlineStr">
        <is>
          <t>Train</t>
        </is>
      </c>
      <c r="C1953" t="n">
        <v>7688</v>
      </c>
      <c r="D1953" t="n">
        <v>24120</v>
      </c>
      <c r="E1953" t="n">
        <v>46</v>
      </c>
      <c r="F1953" t="n">
        <v>56460</v>
      </c>
      <c r="G1953" t="n">
        <v>3</v>
      </c>
      <c r="H1953" t="n">
        <v>11</v>
      </c>
      <c r="I1953" t="n">
        <v>199879</v>
      </c>
    </row>
    <row r="1954">
      <c r="A1954" t="n">
        <v>1953</v>
      </c>
      <c r="B1954" t="inlineStr">
        <is>
          <t>Train</t>
        </is>
      </c>
      <c r="C1954" t="n">
        <v>7942</v>
      </c>
      <c r="D1954" t="n">
        <v>18800</v>
      </c>
      <c r="E1954" t="n">
        <v>42</v>
      </c>
      <c r="F1954" t="n">
        <v>9950</v>
      </c>
      <c r="G1954" t="n">
        <v>7</v>
      </c>
      <c r="H1954" t="n">
        <v>15</v>
      </c>
      <c r="I1954" t="n">
        <v>0</v>
      </c>
    </row>
    <row r="1955">
      <c r="A1955" t="n">
        <v>1954</v>
      </c>
      <c r="B1955" t="inlineStr">
        <is>
          <t>Train</t>
        </is>
      </c>
      <c r="C1955" t="n">
        <v>2568</v>
      </c>
      <c r="D1955" t="n">
        <v>28930</v>
      </c>
      <c r="E1955" t="n">
        <v>42</v>
      </c>
      <c r="F1955" t="n">
        <v>118052</v>
      </c>
      <c r="G1955" t="n">
        <v>0</v>
      </c>
      <c r="H1955" t="n">
        <v>13</v>
      </c>
      <c r="I1955" t="n">
        <v>0</v>
      </c>
    </row>
    <row r="1956">
      <c r="A1956" t="n">
        <v>1955</v>
      </c>
      <c r="B1956" t="inlineStr">
        <is>
          <t>Train</t>
        </is>
      </c>
      <c r="C1956" t="n">
        <v>1105</v>
      </c>
      <c r="D1956" t="n">
        <v>7860</v>
      </c>
      <c r="E1956" t="n">
        <v>31</v>
      </c>
      <c r="F1956" t="n">
        <v>0</v>
      </c>
      <c r="G1956" t="n">
        <v>2</v>
      </c>
      <c r="H1956" t="n">
        <v>0</v>
      </c>
      <c r="I1956" t="n">
        <v>87889</v>
      </c>
    </row>
    <row r="1957">
      <c r="A1957" t="n">
        <v>1956</v>
      </c>
      <c r="B1957" t="inlineStr">
        <is>
          <t>Train</t>
        </is>
      </c>
      <c r="C1957" t="n">
        <v>9611</v>
      </c>
      <c r="D1957" t="n">
        <v>6000</v>
      </c>
      <c r="E1957" t="n">
        <v>45</v>
      </c>
      <c r="F1957" t="n">
        <v>35441</v>
      </c>
      <c r="G1957" t="n">
        <v>6</v>
      </c>
      <c r="H1957" t="n">
        <v>15</v>
      </c>
      <c r="I1957" t="n">
        <v>143569</v>
      </c>
    </row>
    <row r="1958">
      <c r="A1958" t="n">
        <v>1957</v>
      </c>
      <c r="B1958" t="inlineStr">
        <is>
          <t>Validation</t>
        </is>
      </c>
      <c r="C1958" t="n">
        <v>8294</v>
      </c>
      <c r="D1958" t="n">
        <v>12840</v>
      </c>
      <c r="E1958" t="n">
        <v>60</v>
      </c>
      <c r="F1958" t="n">
        <v>32603</v>
      </c>
      <c r="G1958" t="n">
        <v>0</v>
      </c>
      <c r="H1958" t="n">
        <v>12</v>
      </c>
      <c r="I1958" t="n">
        <v>0</v>
      </c>
    </row>
    <row r="1959">
      <c r="A1959" t="n">
        <v>1958</v>
      </c>
      <c r="B1959" t="inlineStr">
        <is>
          <t>Validation</t>
        </is>
      </c>
      <c r="C1959" t="n">
        <v>5169</v>
      </c>
      <c r="D1959" t="n">
        <v>40760</v>
      </c>
      <c r="E1959" t="n">
        <v>59</v>
      </c>
      <c r="F1959" t="n">
        <v>110323</v>
      </c>
      <c r="G1959" t="n">
        <v>4</v>
      </c>
      <c r="H1959" t="n">
        <v>14</v>
      </c>
      <c r="I1959" t="n">
        <v>327486</v>
      </c>
    </row>
    <row r="1960">
      <c r="A1960" t="n">
        <v>1959</v>
      </c>
      <c r="B1960" t="inlineStr">
        <is>
          <t>Validation</t>
        </is>
      </c>
      <c r="C1960" t="n">
        <v>2882</v>
      </c>
      <c r="D1960" t="n">
        <v>6100</v>
      </c>
      <c r="E1960" t="n">
        <v>46</v>
      </c>
      <c r="F1960" t="n">
        <v>43220</v>
      </c>
      <c r="G1960" t="n">
        <v>4</v>
      </c>
      <c r="H1960" t="n">
        <v>13</v>
      </c>
      <c r="I1960" t="n">
        <v>204282</v>
      </c>
    </row>
    <row r="1961">
      <c r="A1961" t="n">
        <v>1960</v>
      </c>
      <c r="B1961" t="inlineStr">
        <is>
          <t>Train</t>
        </is>
      </c>
      <c r="C1961" t="n">
        <v>6193</v>
      </c>
      <c r="D1961" t="n">
        <v>9790</v>
      </c>
      <c r="E1961" t="n">
        <v>54</v>
      </c>
      <c r="F1961" t="n">
        <v>55977</v>
      </c>
      <c r="G1961" t="n">
        <v>4</v>
      </c>
      <c r="H1961" t="n">
        <v>6</v>
      </c>
      <c r="I1961" t="n">
        <v>0</v>
      </c>
    </row>
    <row r="1962">
      <c r="A1962" t="n">
        <v>1961</v>
      </c>
      <c r="B1962" t="inlineStr">
        <is>
          <t>Train</t>
        </is>
      </c>
      <c r="C1962" t="n">
        <v>3218</v>
      </c>
      <c r="D1962" t="n">
        <v>5900</v>
      </c>
      <c r="E1962" t="n">
        <v>44</v>
      </c>
      <c r="F1962" t="n">
        <v>0</v>
      </c>
      <c r="G1962" t="n">
        <v>7</v>
      </c>
      <c r="H1962" t="n">
        <v>0</v>
      </c>
      <c r="I1962" t="n">
        <v>115329</v>
      </c>
    </row>
    <row r="1963">
      <c r="A1963" t="n">
        <v>1962</v>
      </c>
      <c r="B1963" t="inlineStr">
        <is>
          <t>Train</t>
        </is>
      </c>
      <c r="C1963" t="n">
        <v>21949</v>
      </c>
      <c r="D1963" t="n">
        <v>8470</v>
      </c>
      <c r="E1963" t="n">
        <v>48</v>
      </c>
      <c r="F1963" t="n">
        <v>0</v>
      </c>
      <c r="G1963" t="n">
        <v>0</v>
      </c>
      <c r="H1963" t="n">
        <v>0</v>
      </c>
      <c r="I1963" t="n">
        <v>100592</v>
      </c>
    </row>
    <row r="1964">
      <c r="A1964" t="n">
        <v>1963</v>
      </c>
      <c r="B1964" t="inlineStr">
        <is>
          <t>Train</t>
        </is>
      </c>
      <c r="C1964" t="n">
        <v>5629</v>
      </c>
      <c r="D1964" t="n">
        <v>9940</v>
      </c>
      <c r="E1964" t="n">
        <v>46</v>
      </c>
      <c r="F1964" t="n">
        <v>38392</v>
      </c>
      <c r="G1964" t="n">
        <v>2</v>
      </c>
      <c r="H1964" t="n">
        <v>12</v>
      </c>
      <c r="I1964" t="n">
        <v>210039</v>
      </c>
    </row>
    <row r="1965">
      <c r="A1965" t="n">
        <v>1964</v>
      </c>
      <c r="B1965" t="inlineStr">
        <is>
          <t>Train</t>
        </is>
      </c>
      <c r="C1965" t="n">
        <v>4031</v>
      </c>
      <c r="D1965" t="n">
        <v>5400</v>
      </c>
      <c r="E1965" t="n">
        <v>39</v>
      </c>
      <c r="F1965" t="n">
        <v>23919</v>
      </c>
      <c r="G1965" t="n">
        <v>4</v>
      </c>
      <c r="H1965" t="n">
        <v>11</v>
      </c>
      <c r="I1965" t="n">
        <v>0</v>
      </c>
    </row>
    <row r="1966">
      <c r="A1966" t="n">
        <v>1965</v>
      </c>
      <c r="B1966" t="inlineStr">
        <is>
          <t>Train</t>
        </is>
      </c>
      <c r="C1966" t="n">
        <v>3106</v>
      </c>
      <c r="D1966" t="n">
        <v>16430</v>
      </c>
      <c r="E1966" t="n">
        <v>61</v>
      </c>
      <c r="F1966" t="n">
        <v>0</v>
      </c>
      <c r="G1966" t="n">
        <v>6</v>
      </c>
      <c r="H1966" t="n">
        <v>0</v>
      </c>
      <c r="I1966" t="n">
        <v>0</v>
      </c>
    </row>
    <row r="1967">
      <c r="A1967" t="n">
        <v>1966</v>
      </c>
      <c r="B1967" t="inlineStr">
        <is>
          <t>Train</t>
        </is>
      </c>
      <c r="C1967" t="n">
        <v>4873</v>
      </c>
      <c r="D1967" t="n">
        <v>16370</v>
      </c>
      <c r="E1967" t="n">
        <v>44</v>
      </c>
      <c r="F1967" t="n">
        <v>111701</v>
      </c>
      <c r="G1967" t="n">
        <v>1</v>
      </c>
      <c r="H1967" t="n">
        <v>13</v>
      </c>
      <c r="I1967" t="n">
        <v>303430</v>
      </c>
    </row>
    <row r="1968">
      <c r="A1968" t="n">
        <v>1967</v>
      </c>
      <c r="B1968" t="inlineStr">
        <is>
          <t>Validation</t>
        </is>
      </c>
      <c r="C1968" t="n">
        <v>10768</v>
      </c>
      <c r="D1968" t="n">
        <v>29900</v>
      </c>
      <c r="E1968" t="n">
        <v>50</v>
      </c>
      <c r="F1968" t="n">
        <v>71544</v>
      </c>
      <c r="G1968" t="n">
        <v>0</v>
      </c>
      <c r="H1968" t="n">
        <v>9</v>
      </c>
      <c r="I1968" t="n">
        <v>0</v>
      </c>
    </row>
    <row r="1969">
      <c r="A1969" t="n">
        <v>1968</v>
      </c>
      <c r="B1969" t="inlineStr">
        <is>
          <t>Validation</t>
        </is>
      </c>
      <c r="C1969" t="n">
        <v>9377</v>
      </c>
      <c r="D1969" t="n">
        <v>11650</v>
      </c>
      <c r="E1969" t="n">
        <v>47</v>
      </c>
      <c r="F1969" t="n">
        <v>54467</v>
      </c>
      <c r="G1969" t="n">
        <v>2</v>
      </c>
      <c r="H1969" t="n">
        <v>11</v>
      </c>
      <c r="I1969" t="n">
        <v>205511</v>
      </c>
    </row>
    <row r="1970">
      <c r="A1970" t="n">
        <v>1969</v>
      </c>
      <c r="B1970" t="inlineStr">
        <is>
          <t>Validation</t>
        </is>
      </c>
      <c r="C1970" t="n">
        <v>3699</v>
      </c>
      <c r="D1970" t="n">
        <v>26440</v>
      </c>
      <c r="E1970" t="n">
        <v>40</v>
      </c>
      <c r="F1970" t="n">
        <v>82565</v>
      </c>
      <c r="G1970" t="n">
        <v>0</v>
      </c>
      <c r="H1970" t="n">
        <v>7</v>
      </c>
      <c r="I1970" t="n">
        <v>0</v>
      </c>
    </row>
    <row r="1971">
      <c r="A1971" t="n">
        <v>1970</v>
      </c>
      <c r="B1971" t="inlineStr">
        <is>
          <t>Train</t>
        </is>
      </c>
      <c r="C1971" t="n">
        <v>5194</v>
      </c>
      <c r="D1971" t="n">
        <v>3790</v>
      </c>
      <c r="E1971" t="n">
        <v>19</v>
      </c>
      <c r="F1971" t="n">
        <v>3871</v>
      </c>
      <c r="G1971" t="n">
        <v>8</v>
      </c>
      <c r="H1971" t="n">
        <v>5</v>
      </c>
      <c r="I1971" t="n">
        <v>76851</v>
      </c>
    </row>
    <row r="1972">
      <c r="A1972" t="n">
        <v>1971</v>
      </c>
      <c r="B1972" t="inlineStr">
        <is>
          <t>Train</t>
        </is>
      </c>
      <c r="C1972" t="n">
        <v>23937</v>
      </c>
      <c r="D1972" t="n">
        <v>11070</v>
      </c>
      <c r="E1972" t="n">
        <v>48</v>
      </c>
      <c r="F1972" t="n">
        <v>47748</v>
      </c>
      <c r="G1972" t="n">
        <v>0</v>
      </c>
      <c r="H1972" t="n">
        <v>12</v>
      </c>
      <c r="I1972" t="n">
        <v>154669</v>
      </c>
    </row>
    <row r="1973">
      <c r="A1973" t="n">
        <v>1972</v>
      </c>
      <c r="B1973" t="inlineStr">
        <is>
          <t>Train</t>
        </is>
      </c>
      <c r="C1973" t="n">
        <v>21805</v>
      </c>
      <c r="D1973" t="n">
        <v>29200</v>
      </c>
      <c r="E1973" t="n">
        <v>33</v>
      </c>
      <c r="F1973" t="n">
        <v>56405</v>
      </c>
      <c r="G1973" t="n">
        <v>2</v>
      </c>
      <c r="H1973" t="n">
        <v>11</v>
      </c>
      <c r="I1973" t="n">
        <v>137034</v>
      </c>
    </row>
    <row r="1974">
      <c r="A1974" t="n">
        <v>1973</v>
      </c>
      <c r="B1974" t="inlineStr">
        <is>
          <t>Train</t>
        </is>
      </c>
      <c r="C1974" t="n">
        <v>46105</v>
      </c>
      <c r="D1974" t="n">
        <v>7350</v>
      </c>
      <c r="E1974" t="n">
        <v>49</v>
      </c>
      <c r="F1974" t="n">
        <v>82536</v>
      </c>
      <c r="G1974" t="n">
        <v>2</v>
      </c>
      <c r="H1974" t="n">
        <v>9</v>
      </c>
      <c r="I1974" t="n">
        <v>238959</v>
      </c>
    </row>
    <row r="1975">
      <c r="A1975" t="n">
        <v>1974</v>
      </c>
      <c r="B1975" t="inlineStr">
        <is>
          <t>Train</t>
        </is>
      </c>
      <c r="C1975" t="n">
        <v>6713</v>
      </c>
      <c r="D1975" t="n">
        <v>15050</v>
      </c>
      <c r="E1975" t="n">
        <v>57</v>
      </c>
      <c r="F1975" t="n">
        <v>97059</v>
      </c>
      <c r="G1975" t="n">
        <v>0</v>
      </c>
      <c r="H1975" t="n">
        <v>9</v>
      </c>
      <c r="I1975" t="n">
        <v>311131</v>
      </c>
    </row>
    <row r="1976">
      <c r="A1976" t="n">
        <v>1975</v>
      </c>
      <c r="B1976" t="inlineStr">
        <is>
          <t>Train</t>
        </is>
      </c>
      <c r="C1976" t="n">
        <v>39401</v>
      </c>
      <c r="D1976" t="n">
        <v>2750</v>
      </c>
      <c r="E1976" t="n">
        <v>40</v>
      </c>
      <c r="F1976" t="n">
        <v>0</v>
      </c>
      <c r="G1976" t="n">
        <v>1</v>
      </c>
      <c r="H1976" t="n">
        <v>0</v>
      </c>
      <c r="I1976" t="n">
        <v>0</v>
      </c>
    </row>
    <row r="1977">
      <c r="A1977" t="n">
        <v>1976</v>
      </c>
      <c r="B1977" t="inlineStr">
        <is>
          <t>Train</t>
        </is>
      </c>
      <c r="C1977" t="n">
        <v>3055</v>
      </c>
      <c r="D1977" t="n">
        <v>12170</v>
      </c>
      <c r="E1977" t="n">
        <v>33</v>
      </c>
      <c r="F1977" t="n">
        <v>49121</v>
      </c>
      <c r="G1977" t="n">
        <v>7</v>
      </c>
      <c r="H1977" t="n">
        <v>13</v>
      </c>
      <c r="I1977" t="n">
        <v>222342</v>
      </c>
    </row>
    <row r="1978">
      <c r="A1978" t="n">
        <v>1977</v>
      </c>
      <c r="B1978" t="inlineStr">
        <is>
          <t>Validation</t>
        </is>
      </c>
      <c r="C1978" t="n">
        <v>3011</v>
      </c>
      <c r="D1978" t="n">
        <v>1500</v>
      </c>
      <c r="E1978" t="n">
        <v>53</v>
      </c>
      <c r="F1978" t="n">
        <v>39923</v>
      </c>
      <c r="G1978" t="n">
        <v>3</v>
      </c>
      <c r="H1978" t="n">
        <v>10</v>
      </c>
      <c r="I1978" t="n">
        <v>190523</v>
      </c>
    </row>
    <row r="1979">
      <c r="A1979" t="n">
        <v>1978</v>
      </c>
      <c r="B1979" t="inlineStr">
        <is>
          <t>Validation</t>
        </is>
      </c>
      <c r="C1979" t="n">
        <v>8567</v>
      </c>
      <c r="D1979" t="n">
        <v>1500</v>
      </c>
      <c r="E1979" t="n">
        <v>48</v>
      </c>
      <c r="F1979" t="n">
        <v>0</v>
      </c>
      <c r="G1979" t="n">
        <v>9</v>
      </c>
      <c r="H1979" t="n">
        <v>0</v>
      </c>
      <c r="I1979" t="n">
        <v>0</v>
      </c>
    </row>
    <row r="1980">
      <c r="A1980" t="n">
        <v>1979</v>
      </c>
      <c r="B1980" t="inlineStr">
        <is>
          <t>Validation</t>
        </is>
      </c>
      <c r="C1980" t="n">
        <v>1044</v>
      </c>
      <c r="D1980" t="n">
        <v>26020</v>
      </c>
      <c r="E1980" t="n">
        <v>41</v>
      </c>
      <c r="F1980" t="n">
        <v>39055</v>
      </c>
      <c r="G1980" t="n">
        <v>5</v>
      </c>
      <c r="H1980" t="n">
        <v>13</v>
      </c>
      <c r="I1980" t="n">
        <v>173444</v>
      </c>
    </row>
    <row r="1981">
      <c r="A1981" t="n">
        <v>1980</v>
      </c>
      <c r="B1981" t="inlineStr">
        <is>
          <t>Train</t>
        </is>
      </c>
      <c r="C1981" t="n">
        <v>9581</v>
      </c>
      <c r="D1981" t="n">
        <v>16850</v>
      </c>
      <c r="E1981" t="n">
        <v>53</v>
      </c>
      <c r="F1981" t="n">
        <v>41359</v>
      </c>
      <c r="G1981" t="n">
        <v>4</v>
      </c>
      <c r="H1981" t="n">
        <v>12</v>
      </c>
      <c r="I1981" t="n">
        <v>182242</v>
      </c>
    </row>
    <row r="1982">
      <c r="A1982" t="n">
        <v>1981</v>
      </c>
      <c r="B1982" t="inlineStr">
        <is>
          <t>Train</t>
        </is>
      </c>
      <c r="C1982" t="n">
        <v>10878</v>
      </c>
      <c r="D1982" t="n">
        <v>1500</v>
      </c>
      <c r="E1982" t="n">
        <v>54</v>
      </c>
      <c r="F1982" t="n">
        <v>164420</v>
      </c>
      <c r="G1982" t="n">
        <v>2</v>
      </c>
      <c r="H1982" t="n">
        <v>14</v>
      </c>
      <c r="I1982" t="n">
        <v>402031</v>
      </c>
    </row>
    <row r="1983">
      <c r="A1983" t="n">
        <v>1982</v>
      </c>
      <c r="B1983" t="inlineStr">
        <is>
          <t>Train</t>
        </is>
      </c>
      <c r="C1983" t="n">
        <v>5465</v>
      </c>
      <c r="D1983" t="n">
        <v>14560</v>
      </c>
      <c r="E1983" t="n">
        <v>53</v>
      </c>
      <c r="F1983" t="n">
        <v>45432</v>
      </c>
      <c r="G1983" t="n">
        <v>4</v>
      </c>
      <c r="H1983" t="n">
        <v>12</v>
      </c>
      <c r="I1983" t="n">
        <v>182320</v>
      </c>
    </row>
    <row r="1984">
      <c r="A1984" t="n">
        <v>1983</v>
      </c>
      <c r="B1984" t="inlineStr">
        <is>
          <t>Train</t>
        </is>
      </c>
      <c r="C1984" t="n">
        <v>7171</v>
      </c>
      <c r="D1984" t="n">
        <v>22740</v>
      </c>
      <c r="E1984" t="n">
        <v>38</v>
      </c>
      <c r="F1984" t="n">
        <v>0</v>
      </c>
      <c r="G1984" t="n">
        <v>0</v>
      </c>
      <c r="H1984" t="n">
        <v>0</v>
      </c>
      <c r="I1984" t="n">
        <v>72864</v>
      </c>
    </row>
    <row r="1985">
      <c r="A1985" t="n">
        <v>1984</v>
      </c>
      <c r="B1985" t="inlineStr">
        <is>
          <t>Train</t>
        </is>
      </c>
      <c r="C1985" t="n">
        <v>679</v>
      </c>
      <c r="D1985" t="n">
        <v>21710</v>
      </c>
      <c r="E1985" t="n">
        <v>51</v>
      </c>
      <c r="F1985" t="n">
        <v>94561</v>
      </c>
      <c r="G1985" t="n">
        <v>4</v>
      </c>
      <c r="H1985" t="n">
        <v>9</v>
      </c>
      <c r="I1985" t="n">
        <v>250521</v>
      </c>
    </row>
    <row r="1986">
      <c r="A1986" t="n">
        <v>1985</v>
      </c>
      <c r="B1986" t="inlineStr">
        <is>
          <t>Train</t>
        </is>
      </c>
      <c r="C1986" t="n">
        <v>9232</v>
      </c>
      <c r="D1986" t="n">
        <v>8770</v>
      </c>
      <c r="E1986" t="n">
        <v>22</v>
      </c>
      <c r="F1986" t="n">
        <v>12301</v>
      </c>
      <c r="G1986" t="n">
        <v>11</v>
      </c>
      <c r="H1986" t="n">
        <v>7</v>
      </c>
      <c r="I1986" t="n">
        <v>0</v>
      </c>
    </row>
    <row r="1987">
      <c r="A1987" t="n">
        <v>1986</v>
      </c>
      <c r="B1987" t="inlineStr">
        <is>
          <t>Train</t>
        </is>
      </c>
      <c r="C1987" t="n">
        <v>5930</v>
      </c>
      <c r="D1987" t="n">
        <v>5700</v>
      </c>
      <c r="E1987" t="n">
        <v>42</v>
      </c>
      <c r="F1987" t="n">
        <v>36864</v>
      </c>
      <c r="G1987" t="n">
        <v>0</v>
      </c>
      <c r="H1987" t="n">
        <v>11</v>
      </c>
      <c r="I1987" t="n">
        <v>104136</v>
      </c>
    </row>
    <row r="1988">
      <c r="A1988" t="n">
        <v>1987</v>
      </c>
      <c r="B1988" t="inlineStr">
        <is>
          <t>Validation</t>
        </is>
      </c>
      <c r="C1988" t="n">
        <v>12271</v>
      </c>
      <c r="D1988" t="n">
        <v>6900</v>
      </c>
      <c r="E1988" t="n">
        <v>54</v>
      </c>
      <c r="F1988" t="n">
        <v>0</v>
      </c>
      <c r="G1988" t="n">
        <v>2</v>
      </c>
      <c r="H1988" t="n">
        <v>0</v>
      </c>
      <c r="I1988" t="n">
        <v>91744</v>
      </c>
    </row>
    <row r="1989">
      <c r="A1989" t="n">
        <v>1988</v>
      </c>
      <c r="B1989" t="inlineStr">
        <is>
          <t>Validation</t>
        </is>
      </c>
      <c r="C1989" t="n">
        <v>3176</v>
      </c>
      <c r="D1989" t="n">
        <v>9790</v>
      </c>
      <c r="E1989" t="n">
        <v>32</v>
      </c>
      <c r="F1989" t="n">
        <v>72188</v>
      </c>
      <c r="G1989" t="n">
        <v>1</v>
      </c>
      <c r="H1989" t="n">
        <v>13</v>
      </c>
      <c r="I1989" t="n">
        <v>229982</v>
      </c>
    </row>
    <row r="1990">
      <c r="A1990" t="n">
        <v>1989</v>
      </c>
      <c r="B1990" t="inlineStr">
        <is>
          <t>Validation</t>
        </is>
      </c>
      <c r="C1990" t="n">
        <v>1194</v>
      </c>
      <c r="D1990" t="n">
        <v>17610</v>
      </c>
      <c r="E1990" t="n">
        <v>66</v>
      </c>
      <c r="F1990" t="n">
        <v>102485</v>
      </c>
      <c r="G1990" t="n">
        <v>1</v>
      </c>
      <c r="H1990" t="n">
        <v>17</v>
      </c>
      <c r="I1990" t="n">
        <v>345449</v>
      </c>
    </row>
    <row r="1991">
      <c r="A1991" t="n">
        <v>1990</v>
      </c>
      <c r="B1991" t="inlineStr">
        <is>
          <t>Train</t>
        </is>
      </c>
      <c r="C1991" t="n">
        <v>4044</v>
      </c>
      <c r="D1991" t="n">
        <v>10890</v>
      </c>
      <c r="E1991" t="n">
        <v>31</v>
      </c>
      <c r="F1991" t="n">
        <v>26606</v>
      </c>
      <c r="G1991" t="n">
        <v>0</v>
      </c>
      <c r="H1991" t="n">
        <v>10</v>
      </c>
      <c r="I1991" t="n">
        <v>0</v>
      </c>
    </row>
    <row r="1992">
      <c r="A1992" t="n">
        <v>1991</v>
      </c>
      <c r="B1992" t="inlineStr">
        <is>
          <t>Train</t>
        </is>
      </c>
      <c r="C1992" t="n">
        <v>10152</v>
      </c>
      <c r="D1992" t="n">
        <v>9050</v>
      </c>
      <c r="E1992" t="n">
        <v>32</v>
      </c>
      <c r="F1992" t="n">
        <v>0</v>
      </c>
      <c r="G1992" t="n">
        <v>5</v>
      </c>
      <c r="H1992" t="n">
        <v>0</v>
      </c>
      <c r="I1992" t="n">
        <v>0</v>
      </c>
    </row>
    <row r="1993">
      <c r="A1993" t="n">
        <v>1992</v>
      </c>
      <c r="B1993" t="inlineStr">
        <is>
          <t>Train</t>
        </is>
      </c>
      <c r="C1993" t="n">
        <v>22906</v>
      </c>
      <c r="D1993" t="n">
        <v>27160</v>
      </c>
      <c r="E1993" t="n">
        <v>48</v>
      </c>
      <c r="F1993" t="n">
        <v>22362</v>
      </c>
      <c r="G1993" t="n">
        <v>0</v>
      </c>
      <c r="H1993" t="n">
        <v>7</v>
      </c>
      <c r="I1993" t="n">
        <v>127087</v>
      </c>
    </row>
    <row r="1994">
      <c r="A1994" t="n">
        <v>1993</v>
      </c>
      <c r="B1994" t="inlineStr">
        <is>
          <t>Train</t>
        </is>
      </c>
      <c r="C1994" t="n">
        <v>4408</v>
      </c>
      <c r="D1994" t="n">
        <v>8050</v>
      </c>
      <c r="E1994" t="n">
        <v>43</v>
      </c>
      <c r="F1994" t="n">
        <v>53431</v>
      </c>
      <c r="G1994" t="n">
        <v>5</v>
      </c>
      <c r="H1994" t="n">
        <v>9</v>
      </c>
      <c r="I1994" t="n">
        <v>0</v>
      </c>
    </row>
    <row r="1995">
      <c r="A1995" t="n">
        <v>1994</v>
      </c>
      <c r="B1995" t="inlineStr">
        <is>
          <t>Train</t>
        </is>
      </c>
      <c r="C1995" t="n">
        <v>30789</v>
      </c>
      <c r="D1995" t="n">
        <v>34720</v>
      </c>
      <c r="E1995" t="n">
        <v>57</v>
      </c>
      <c r="F1995" t="n">
        <v>62411</v>
      </c>
      <c r="G1995" t="n">
        <v>6</v>
      </c>
      <c r="H1995" t="n">
        <v>12</v>
      </c>
      <c r="I1995" t="n">
        <v>260638</v>
      </c>
    </row>
    <row r="1996">
      <c r="A1996" t="n">
        <v>1995</v>
      </c>
      <c r="B1996" t="inlineStr">
        <is>
          <t>Train</t>
        </is>
      </c>
      <c r="C1996" t="n">
        <v>5989</v>
      </c>
      <c r="D1996" t="n">
        <v>19870</v>
      </c>
      <c r="E1996" t="n">
        <v>43</v>
      </c>
      <c r="F1996" t="n">
        <v>45931</v>
      </c>
      <c r="G1996" t="n">
        <v>3</v>
      </c>
      <c r="H1996" t="n">
        <v>11</v>
      </c>
      <c r="I1996" t="n">
        <v>137861</v>
      </c>
    </row>
    <row r="1997">
      <c r="A1997" t="n">
        <v>1996</v>
      </c>
      <c r="B1997" t="inlineStr">
        <is>
          <t>Train</t>
        </is>
      </c>
      <c r="C1997" t="n">
        <v>3314</v>
      </c>
      <c r="D1997" t="n">
        <v>18370</v>
      </c>
      <c r="E1997" t="n">
        <v>47</v>
      </c>
      <c r="F1997" t="n">
        <v>69692</v>
      </c>
      <c r="G1997" t="n">
        <v>0</v>
      </c>
      <c r="H1997" t="n">
        <v>11</v>
      </c>
      <c r="I1997" t="n">
        <v>243839</v>
      </c>
    </row>
    <row r="1998">
      <c r="A1998" t="n">
        <v>1997</v>
      </c>
      <c r="B1998" t="inlineStr">
        <is>
          <t>Validation</t>
        </is>
      </c>
      <c r="C1998" t="n">
        <v>10074</v>
      </c>
      <c r="D1998" t="n">
        <v>33630</v>
      </c>
      <c r="E1998" t="n">
        <v>57</v>
      </c>
      <c r="F1998" t="n">
        <v>192297</v>
      </c>
      <c r="G1998" t="n">
        <v>3</v>
      </c>
      <c r="H1998" t="n">
        <v>13</v>
      </c>
      <c r="I1998" t="n">
        <v>488216</v>
      </c>
    </row>
    <row r="1999">
      <c r="A1999" t="n">
        <v>1998</v>
      </c>
      <c r="B1999" t="inlineStr">
        <is>
          <t>Validation</t>
        </is>
      </c>
      <c r="C1999" t="n">
        <v>4925</v>
      </c>
      <c r="D1999" t="n">
        <v>18800</v>
      </c>
      <c r="E1999" t="n">
        <v>57</v>
      </c>
      <c r="F1999" t="n">
        <v>97083</v>
      </c>
      <c r="G1999" t="n">
        <v>4</v>
      </c>
      <c r="H1999" t="n">
        <v>12</v>
      </c>
      <c r="I1999" t="n">
        <v>0</v>
      </c>
    </row>
    <row r="2000">
      <c r="A2000" t="n">
        <v>1999</v>
      </c>
      <c r="B2000" t="inlineStr">
        <is>
          <t>Validation</t>
        </is>
      </c>
      <c r="C2000" t="n">
        <v>5533</v>
      </c>
      <c r="D2000" t="n">
        <v>9860</v>
      </c>
      <c r="E2000" t="n">
        <v>51</v>
      </c>
      <c r="F2000" t="n">
        <v>32570</v>
      </c>
      <c r="G2000" t="n">
        <v>6</v>
      </c>
      <c r="H2000" t="n">
        <v>13</v>
      </c>
      <c r="I2000" t="n">
        <v>158055</v>
      </c>
    </row>
    <row r="2001">
      <c r="A2001" t="n">
        <v>2000</v>
      </c>
      <c r="B2001" t="inlineStr">
        <is>
          <t>Train</t>
        </is>
      </c>
      <c r="C2001" t="n">
        <v>1001</v>
      </c>
      <c r="D2001" t="n">
        <v>7740</v>
      </c>
      <c r="E2001" t="n">
        <v>48</v>
      </c>
      <c r="F2001" t="n">
        <v>14410</v>
      </c>
      <c r="G2001" t="n">
        <v>3</v>
      </c>
      <c r="H2001" t="n">
        <v>6</v>
      </c>
      <c r="I2001" t="n">
        <v>0</v>
      </c>
    </row>
    <row r="2002">
      <c r="A2002" t="n">
        <v>2001</v>
      </c>
      <c r="B2002" t="inlineStr">
        <is>
          <t>Train</t>
        </is>
      </c>
      <c r="C2002" t="n">
        <v>3718</v>
      </c>
      <c r="D2002" t="n">
        <v>23950</v>
      </c>
      <c r="E2002" t="n">
        <v>38</v>
      </c>
      <c r="F2002" t="n">
        <v>14320</v>
      </c>
      <c r="G2002" t="n">
        <v>0</v>
      </c>
      <c r="H2002" t="n">
        <v>12</v>
      </c>
      <c r="I2002" t="n">
        <v>77725</v>
      </c>
    </row>
    <row r="2003">
      <c r="A2003" t="n">
        <v>2002</v>
      </c>
      <c r="B2003" t="inlineStr">
        <is>
          <t>Train</t>
        </is>
      </c>
      <c r="C2003" t="n">
        <v>8363</v>
      </c>
      <c r="D2003" t="n">
        <v>18300</v>
      </c>
      <c r="E2003" t="n">
        <v>62</v>
      </c>
      <c r="F2003" t="n">
        <v>67112</v>
      </c>
      <c r="G2003" t="n">
        <v>7</v>
      </c>
      <c r="H2003" t="n">
        <v>14</v>
      </c>
      <c r="I2003" t="n">
        <v>238759</v>
      </c>
    </row>
    <row r="2004">
      <c r="A2004" t="n">
        <v>2003</v>
      </c>
      <c r="B2004" t="inlineStr">
        <is>
          <t>Train</t>
        </is>
      </c>
      <c r="C2004" t="n">
        <v>3649</v>
      </c>
      <c r="D2004" t="n">
        <v>14230</v>
      </c>
      <c r="E2004" t="n">
        <v>38</v>
      </c>
      <c r="F2004" t="n">
        <v>50718</v>
      </c>
      <c r="G2004" t="n">
        <v>5</v>
      </c>
      <c r="H2004" t="n">
        <v>11</v>
      </c>
      <c r="I2004" t="n">
        <v>0</v>
      </c>
    </row>
    <row r="2005">
      <c r="A2005" t="n">
        <v>2004</v>
      </c>
      <c r="B2005" t="inlineStr">
        <is>
          <t>Train</t>
        </is>
      </c>
      <c r="C2005" t="n">
        <v>4528</v>
      </c>
      <c r="D2005" t="n">
        <v>19690</v>
      </c>
      <c r="E2005" t="n">
        <v>38</v>
      </c>
      <c r="F2005" t="n">
        <v>58820</v>
      </c>
      <c r="G2005" t="n">
        <v>0</v>
      </c>
      <c r="H2005" t="n">
        <v>11</v>
      </c>
      <c r="I2005" t="n">
        <v>181915</v>
      </c>
    </row>
    <row r="2006">
      <c r="A2006" t="n">
        <v>2005</v>
      </c>
      <c r="B2006" t="inlineStr">
        <is>
          <t>Train</t>
        </is>
      </c>
      <c r="C2006" t="n">
        <v>613</v>
      </c>
      <c r="D2006" t="n">
        <v>14930</v>
      </c>
      <c r="E2006" t="n">
        <v>32</v>
      </c>
      <c r="F2006" t="n">
        <v>14744</v>
      </c>
      <c r="G2006" t="n">
        <v>5</v>
      </c>
      <c r="H2006" t="n">
        <v>13</v>
      </c>
      <c r="I2006" t="n">
        <v>0</v>
      </c>
    </row>
    <row r="2007">
      <c r="A2007" t="n">
        <v>2006</v>
      </c>
      <c r="B2007" t="inlineStr">
        <is>
          <t>Train</t>
        </is>
      </c>
      <c r="C2007" t="n">
        <v>2316</v>
      </c>
      <c r="D2007" t="n">
        <v>9760</v>
      </c>
      <c r="E2007" t="n">
        <v>44</v>
      </c>
      <c r="F2007" t="n">
        <v>16352</v>
      </c>
      <c r="G2007" t="n">
        <v>0</v>
      </c>
      <c r="H2007" t="n">
        <v>15</v>
      </c>
      <c r="I2007" t="n">
        <v>134164</v>
      </c>
    </row>
    <row r="2008">
      <c r="A2008" t="n">
        <v>2007</v>
      </c>
      <c r="B2008" t="inlineStr">
        <is>
          <t>Validation</t>
        </is>
      </c>
      <c r="C2008" t="n">
        <v>11295</v>
      </c>
      <c r="D2008" t="n">
        <v>11430</v>
      </c>
      <c r="E2008" t="n">
        <v>30</v>
      </c>
      <c r="F2008" t="n">
        <v>77156</v>
      </c>
      <c r="G2008" t="n">
        <v>6</v>
      </c>
      <c r="H2008" t="n">
        <v>9</v>
      </c>
      <c r="I2008" t="n">
        <v>0</v>
      </c>
    </row>
    <row r="2009">
      <c r="A2009" t="n">
        <v>2008</v>
      </c>
      <c r="B2009" t="inlineStr">
        <is>
          <t>Validation</t>
        </is>
      </c>
      <c r="C2009" t="n">
        <v>4822</v>
      </c>
      <c r="D2009" t="n">
        <v>16370</v>
      </c>
      <c r="E2009" t="n">
        <v>29</v>
      </c>
      <c r="F2009" t="n">
        <v>144242</v>
      </c>
      <c r="G2009" t="n">
        <v>0</v>
      </c>
      <c r="H2009" t="n">
        <v>11</v>
      </c>
      <c r="I2009" t="n">
        <v>0</v>
      </c>
    </row>
    <row r="2010">
      <c r="A2010" t="n">
        <v>2009</v>
      </c>
      <c r="B2010" t="inlineStr">
        <is>
          <t>Validation</t>
        </is>
      </c>
      <c r="C2010" t="n">
        <v>22813</v>
      </c>
      <c r="D2010" t="n">
        <v>30260</v>
      </c>
      <c r="E2010" t="n">
        <v>49</v>
      </c>
      <c r="F2010" t="n">
        <v>104691</v>
      </c>
      <c r="G2010" t="n">
        <v>7</v>
      </c>
      <c r="H2010" t="n">
        <v>13</v>
      </c>
      <c r="I2010" t="n">
        <v>271132</v>
      </c>
    </row>
    <row r="2011">
      <c r="A2011" t="n">
        <v>2010</v>
      </c>
      <c r="B2011" t="inlineStr">
        <is>
          <t>Train</t>
        </is>
      </c>
      <c r="C2011" t="n">
        <v>764</v>
      </c>
      <c r="D2011" t="n">
        <v>35450</v>
      </c>
      <c r="E2011" t="n">
        <v>50</v>
      </c>
      <c r="F2011" t="n">
        <v>69030</v>
      </c>
      <c r="G2011" t="n">
        <v>0</v>
      </c>
      <c r="H2011" t="n">
        <v>8</v>
      </c>
      <c r="I2011" t="n">
        <v>196452</v>
      </c>
    </row>
    <row r="2012">
      <c r="A2012" t="n">
        <v>2011</v>
      </c>
      <c r="B2012" t="inlineStr">
        <is>
          <t>Train</t>
        </is>
      </c>
      <c r="C2012" t="n">
        <v>2787</v>
      </c>
      <c r="D2012" t="n">
        <v>18270</v>
      </c>
      <c r="E2012" t="n">
        <v>39</v>
      </c>
      <c r="F2012" t="n">
        <v>30290</v>
      </c>
      <c r="G2012" t="n">
        <v>3</v>
      </c>
      <c r="H2012" t="n">
        <v>11</v>
      </c>
      <c r="I2012" t="n">
        <v>134576</v>
      </c>
    </row>
    <row r="2013">
      <c r="A2013" t="n">
        <v>2012</v>
      </c>
      <c r="B2013" t="inlineStr">
        <is>
          <t>Train</t>
        </is>
      </c>
      <c r="C2013" t="n">
        <v>1310</v>
      </c>
      <c r="D2013" t="n">
        <v>15200</v>
      </c>
      <c r="E2013" t="n">
        <v>38</v>
      </c>
      <c r="F2013" t="n">
        <v>72901</v>
      </c>
      <c r="G2013" t="n">
        <v>5</v>
      </c>
      <c r="H2013" t="n">
        <v>11</v>
      </c>
      <c r="I2013" t="n">
        <v>243300</v>
      </c>
    </row>
    <row r="2014">
      <c r="A2014" t="n">
        <v>2013</v>
      </c>
      <c r="B2014" t="inlineStr">
        <is>
          <t>Train</t>
        </is>
      </c>
      <c r="C2014" t="n">
        <v>5229</v>
      </c>
      <c r="D2014" t="n">
        <v>15360</v>
      </c>
      <c r="E2014" t="n">
        <v>65</v>
      </c>
      <c r="F2014" t="n">
        <v>56513</v>
      </c>
      <c r="G2014" t="n">
        <v>4</v>
      </c>
      <c r="H2014" t="n">
        <v>14</v>
      </c>
      <c r="I2014" t="n">
        <v>189268</v>
      </c>
    </row>
    <row r="2015">
      <c r="A2015" t="n">
        <v>2014</v>
      </c>
      <c r="B2015" t="inlineStr">
        <is>
          <t>Train</t>
        </is>
      </c>
      <c r="C2015" t="n">
        <v>4939</v>
      </c>
      <c r="D2015" t="n">
        <v>14150</v>
      </c>
      <c r="E2015" t="n">
        <v>48</v>
      </c>
      <c r="F2015" t="n">
        <v>20551</v>
      </c>
      <c r="G2015" t="n">
        <v>2</v>
      </c>
      <c r="H2015" t="n">
        <v>10</v>
      </c>
      <c r="I2015" t="n">
        <v>88080</v>
      </c>
    </row>
    <row r="2016">
      <c r="A2016" t="n">
        <v>2015</v>
      </c>
      <c r="B2016" t="inlineStr">
        <is>
          <t>Train</t>
        </is>
      </c>
      <c r="C2016" t="n">
        <v>11093</v>
      </c>
      <c r="D2016" t="n">
        <v>9750</v>
      </c>
      <c r="E2016" t="n">
        <v>38</v>
      </c>
      <c r="F2016" t="n">
        <v>0</v>
      </c>
      <c r="G2016" t="n">
        <v>7</v>
      </c>
      <c r="H2016" t="n">
        <v>0</v>
      </c>
      <c r="I2016" t="n">
        <v>93228</v>
      </c>
    </row>
    <row r="2017">
      <c r="A2017" t="n">
        <v>2016</v>
      </c>
      <c r="B2017" t="inlineStr">
        <is>
          <t>Train</t>
        </is>
      </c>
      <c r="C2017" t="n">
        <v>10572</v>
      </c>
      <c r="D2017" t="n">
        <v>11210</v>
      </c>
      <c r="E2017" t="n">
        <v>64</v>
      </c>
      <c r="F2017" t="n">
        <v>34199</v>
      </c>
      <c r="G2017" t="n">
        <v>4</v>
      </c>
      <c r="H2017" t="n">
        <v>15</v>
      </c>
      <c r="I2017" t="n">
        <v>174149</v>
      </c>
    </row>
    <row r="2018">
      <c r="A2018" t="n">
        <v>2017</v>
      </c>
      <c r="B2018" t="inlineStr">
        <is>
          <t>Validation</t>
        </is>
      </c>
      <c r="C2018" t="n">
        <v>6006</v>
      </c>
      <c r="D2018" t="n">
        <v>3350</v>
      </c>
      <c r="E2018" t="n">
        <v>39</v>
      </c>
      <c r="F2018" t="n">
        <v>70750</v>
      </c>
      <c r="G2018" t="n">
        <v>3</v>
      </c>
      <c r="H2018" t="n">
        <v>10</v>
      </c>
      <c r="I2018" t="n">
        <v>228858</v>
      </c>
    </row>
    <row r="2019">
      <c r="A2019" t="n">
        <v>2018</v>
      </c>
      <c r="B2019" t="inlineStr">
        <is>
          <t>Validation</t>
        </is>
      </c>
      <c r="C2019" t="n">
        <v>23381</v>
      </c>
      <c r="D2019" t="n">
        <v>13730</v>
      </c>
      <c r="E2019" t="n">
        <v>53</v>
      </c>
      <c r="F2019" t="n">
        <v>69268</v>
      </c>
      <c r="G2019" t="n">
        <v>1</v>
      </c>
      <c r="H2019" t="n">
        <v>13</v>
      </c>
      <c r="I2019" t="n">
        <v>238236</v>
      </c>
    </row>
    <row r="2020">
      <c r="A2020" t="n">
        <v>2019</v>
      </c>
      <c r="B2020" t="inlineStr">
        <is>
          <t>Validation</t>
        </is>
      </c>
      <c r="C2020" t="n">
        <v>15403</v>
      </c>
      <c r="D2020" t="n">
        <v>1500</v>
      </c>
      <c r="E2020" t="n">
        <v>60</v>
      </c>
      <c r="F2020" t="n">
        <v>100207</v>
      </c>
      <c r="G2020" t="n">
        <v>0</v>
      </c>
      <c r="H2020" t="n">
        <v>9</v>
      </c>
      <c r="I2020" t="n">
        <v>320199</v>
      </c>
    </row>
    <row r="2021">
      <c r="A2021" t="n">
        <v>2020</v>
      </c>
      <c r="B2021" t="inlineStr">
        <is>
          <t>Train</t>
        </is>
      </c>
      <c r="C2021" t="n">
        <v>26121</v>
      </c>
      <c r="D2021" t="n">
        <v>44250</v>
      </c>
      <c r="E2021" t="n">
        <v>44</v>
      </c>
      <c r="F2021" t="n">
        <v>165769</v>
      </c>
      <c r="G2021" t="n">
        <v>8</v>
      </c>
      <c r="H2021" t="n">
        <v>16</v>
      </c>
      <c r="I2021" t="n">
        <v>414539</v>
      </c>
    </row>
    <row r="2022">
      <c r="A2022" t="n">
        <v>2021</v>
      </c>
      <c r="B2022" t="inlineStr">
        <is>
          <t>Train</t>
        </is>
      </c>
      <c r="C2022" t="n">
        <v>4732</v>
      </c>
      <c r="D2022" t="n">
        <v>9310</v>
      </c>
      <c r="E2022" t="n">
        <v>39</v>
      </c>
      <c r="F2022" t="n">
        <v>23094</v>
      </c>
      <c r="G2022" t="n">
        <v>0</v>
      </c>
      <c r="H2022" t="n">
        <v>17</v>
      </c>
      <c r="I2022" t="n">
        <v>140813</v>
      </c>
    </row>
    <row r="2023">
      <c r="A2023" t="n">
        <v>2022</v>
      </c>
      <c r="B2023" t="inlineStr">
        <is>
          <t>Train</t>
        </is>
      </c>
      <c r="C2023" t="n">
        <v>8901</v>
      </c>
      <c r="D2023" t="n">
        <v>5720</v>
      </c>
      <c r="E2023" t="n">
        <v>56</v>
      </c>
      <c r="F2023" t="n">
        <v>42235</v>
      </c>
      <c r="G2023" t="n">
        <v>0</v>
      </c>
      <c r="H2023" t="n">
        <v>4</v>
      </c>
      <c r="I2023" t="n">
        <v>145837</v>
      </c>
    </row>
    <row r="2024">
      <c r="A2024" t="n">
        <v>2023</v>
      </c>
      <c r="B2024" t="inlineStr">
        <is>
          <t>Train</t>
        </is>
      </c>
      <c r="C2024" t="n">
        <v>3468</v>
      </c>
      <c r="D2024" t="n">
        <v>6640</v>
      </c>
      <c r="E2024" t="n">
        <v>32</v>
      </c>
      <c r="F2024" t="n">
        <v>16976</v>
      </c>
      <c r="G2024" t="n">
        <v>0</v>
      </c>
      <c r="H2024" t="n">
        <v>11</v>
      </c>
      <c r="I2024" t="n">
        <v>0</v>
      </c>
    </row>
    <row r="2025">
      <c r="A2025" t="n">
        <v>2024</v>
      </c>
      <c r="B2025" t="inlineStr">
        <is>
          <t>Train</t>
        </is>
      </c>
      <c r="C2025" t="n">
        <v>5918</v>
      </c>
      <c r="D2025" t="n">
        <v>9980</v>
      </c>
      <c r="E2025" t="n">
        <v>66</v>
      </c>
      <c r="F2025" t="n">
        <v>84791</v>
      </c>
      <c r="G2025" t="n">
        <v>0</v>
      </c>
      <c r="H2025" t="n">
        <v>12</v>
      </c>
      <c r="I2025" t="n">
        <v>0</v>
      </c>
    </row>
    <row r="2026">
      <c r="A2026" t="n">
        <v>2025</v>
      </c>
      <c r="B2026" t="inlineStr">
        <is>
          <t>Train</t>
        </is>
      </c>
      <c r="C2026" t="n">
        <v>7145</v>
      </c>
      <c r="D2026" t="n">
        <v>5850</v>
      </c>
      <c r="E2026" t="n">
        <v>38</v>
      </c>
      <c r="F2026" t="n">
        <v>43476</v>
      </c>
      <c r="G2026" t="n">
        <v>0</v>
      </c>
      <c r="H2026" t="n">
        <v>9</v>
      </c>
      <c r="I2026" t="n">
        <v>156267</v>
      </c>
    </row>
    <row r="2027">
      <c r="A2027" t="n">
        <v>2026</v>
      </c>
      <c r="B2027" t="inlineStr">
        <is>
          <t>Train</t>
        </is>
      </c>
      <c r="C2027" t="n">
        <v>47712</v>
      </c>
      <c r="D2027" t="n">
        <v>7940</v>
      </c>
      <c r="E2027" t="n">
        <v>45</v>
      </c>
      <c r="F2027" t="n">
        <v>37407</v>
      </c>
      <c r="G2027" t="n">
        <v>0</v>
      </c>
      <c r="H2027" t="n">
        <v>12</v>
      </c>
      <c r="I2027" t="n">
        <v>138623</v>
      </c>
    </row>
    <row r="2028">
      <c r="A2028" t="n">
        <v>2027</v>
      </c>
      <c r="B2028" t="inlineStr">
        <is>
          <t>Validation</t>
        </is>
      </c>
      <c r="C2028" t="n">
        <v>20369</v>
      </c>
      <c r="D2028" t="n">
        <v>23780</v>
      </c>
      <c r="E2028" t="n">
        <v>57</v>
      </c>
      <c r="F2028" t="n">
        <v>111970</v>
      </c>
      <c r="G2028" t="n">
        <v>5</v>
      </c>
      <c r="H2028" t="n">
        <v>14</v>
      </c>
      <c r="I2028" t="n">
        <v>342129</v>
      </c>
    </row>
    <row r="2029">
      <c r="A2029" t="n">
        <v>2028</v>
      </c>
      <c r="B2029" t="inlineStr">
        <is>
          <t>Validation</t>
        </is>
      </c>
      <c r="C2029" t="n">
        <v>34993</v>
      </c>
      <c r="D2029" t="n">
        <v>5510</v>
      </c>
      <c r="E2029" t="n">
        <v>33</v>
      </c>
      <c r="F2029" t="n">
        <v>40095</v>
      </c>
      <c r="G2029" t="n">
        <v>6</v>
      </c>
      <c r="H2029" t="n">
        <v>15</v>
      </c>
      <c r="I2029" t="n">
        <v>167208</v>
      </c>
    </row>
    <row r="2030">
      <c r="A2030" t="n">
        <v>2029</v>
      </c>
      <c r="B2030" t="inlineStr">
        <is>
          <t>Validation</t>
        </is>
      </c>
      <c r="C2030" t="n">
        <v>1575</v>
      </c>
      <c r="D2030" t="n">
        <v>18110</v>
      </c>
      <c r="E2030" t="n">
        <v>57</v>
      </c>
      <c r="F2030" t="n">
        <v>32033</v>
      </c>
      <c r="G2030" t="n">
        <v>7</v>
      </c>
      <c r="H2030" t="n">
        <v>5</v>
      </c>
      <c r="I2030" t="n">
        <v>167795</v>
      </c>
    </row>
    <row r="2031">
      <c r="A2031" t="n">
        <v>2030</v>
      </c>
      <c r="B2031" t="inlineStr">
        <is>
          <t>Train</t>
        </is>
      </c>
      <c r="C2031" t="n">
        <v>25379</v>
      </c>
      <c r="D2031" t="n">
        <v>17540</v>
      </c>
      <c r="E2031" t="n">
        <v>35</v>
      </c>
      <c r="F2031" t="n">
        <v>105992</v>
      </c>
      <c r="G2031" t="n">
        <v>0</v>
      </c>
      <c r="H2031" t="n">
        <v>12</v>
      </c>
      <c r="I2031" t="n">
        <v>0</v>
      </c>
    </row>
    <row r="2032">
      <c r="A2032" t="n">
        <v>2031</v>
      </c>
      <c r="B2032" t="inlineStr">
        <is>
          <t>Train</t>
        </is>
      </c>
      <c r="C2032" t="n">
        <v>3328</v>
      </c>
      <c r="D2032" t="n">
        <v>18900</v>
      </c>
      <c r="E2032" t="n">
        <v>51</v>
      </c>
      <c r="F2032" t="n">
        <v>51303</v>
      </c>
      <c r="G2032" t="n">
        <v>8</v>
      </c>
      <c r="H2032" t="n">
        <v>11</v>
      </c>
      <c r="I2032" t="n">
        <v>209767</v>
      </c>
    </row>
    <row r="2033">
      <c r="A2033" t="n">
        <v>2032</v>
      </c>
      <c r="B2033" t="inlineStr">
        <is>
          <t>Train</t>
        </is>
      </c>
      <c r="C2033" t="n">
        <v>718</v>
      </c>
      <c r="D2033" t="n">
        <v>27370</v>
      </c>
      <c r="E2033" t="n">
        <v>55</v>
      </c>
      <c r="F2033" t="n">
        <v>71402</v>
      </c>
      <c r="G2033" t="n">
        <v>2</v>
      </c>
      <c r="H2033" t="n">
        <v>15</v>
      </c>
      <c r="I2033" t="n">
        <v>246583</v>
      </c>
    </row>
    <row r="2034">
      <c r="A2034" t="n">
        <v>2033</v>
      </c>
      <c r="B2034" t="inlineStr">
        <is>
          <t>Train</t>
        </is>
      </c>
      <c r="C2034" t="n">
        <v>30480</v>
      </c>
      <c r="D2034" t="n">
        <v>5730</v>
      </c>
      <c r="E2034" t="n">
        <v>60</v>
      </c>
      <c r="F2034" t="n">
        <v>28634</v>
      </c>
      <c r="G2034" t="n">
        <v>5</v>
      </c>
      <c r="H2034" t="n">
        <v>16</v>
      </c>
      <c r="I2034" t="n">
        <v>151602</v>
      </c>
    </row>
    <row r="2035">
      <c r="A2035" t="n">
        <v>2034</v>
      </c>
      <c r="B2035" t="inlineStr">
        <is>
          <t>Train</t>
        </is>
      </c>
      <c r="C2035" t="n">
        <v>4640</v>
      </c>
      <c r="D2035" t="n">
        <v>42680</v>
      </c>
      <c r="E2035" t="n">
        <v>61</v>
      </c>
      <c r="F2035" t="n">
        <v>158546</v>
      </c>
      <c r="G2035" t="n">
        <v>3</v>
      </c>
      <c r="H2035" t="n">
        <v>19</v>
      </c>
      <c r="I2035" t="n">
        <v>390219</v>
      </c>
    </row>
    <row r="2036">
      <c r="A2036" t="n">
        <v>2035</v>
      </c>
      <c r="B2036" t="inlineStr">
        <is>
          <t>Train</t>
        </is>
      </c>
      <c r="C2036" t="n">
        <v>3828</v>
      </c>
      <c r="D2036" t="n">
        <v>13850</v>
      </c>
      <c r="E2036" t="n">
        <v>44</v>
      </c>
      <c r="F2036" t="n">
        <v>18564</v>
      </c>
      <c r="G2036" t="n">
        <v>3</v>
      </c>
      <c r="H2036" t="n">
        <v>13</v>
      </c>
      <c r="I2036" t="n">
        <v>117386</v>
      </c>
    </row>
    <row r="2037">
      <c r="A2037" t="n">
        <v>2036</v>
      </c>
      <c r="B2037" t="inlineStr">
        <is>
          <t>Train</t>
        </is>
      </c>
      <c r="C2037" t="n">
        <v>8135</v>
      </c>
      <c r="D2037" t="n">
        <v>10170</v>
      </c>
      <c r="E2037" t="n">
        <v>57</v>
      </c>
      <c r="F2037" t="n">
        <v>13235</v>
      </c>
      <c r="G2037" t="n">
        <v>3</v>
      </c>
      <c r="H2037" t="n">
        <v>11</v>
      </c>
      <c r="I2037" t="n">
        <v>135560</v>
      </c>
    </row>
    <row r="2038">
      <c r="A2038" t="n">
        <v>2037</v>
      </c>
      <c r="B2038" t="inlineStr">
        <is>
          <t>Validation</t>
        </is>
      </c>
      <c r="C2038" t="n">
        <v>1203</v>
      </c>
      <c r="D2038" t="n">
        <v>24850</v>
      </c>
      <c r="E2038" t="n">
        <v>50</v>
      </c>
      <c r="F2038" t="n">
        <v>56566</v>
      </c>
      <c r="G2038" t="n">
        <v>3</v>
      </c>
      <c r="H2038" t="n">
        <v>13</v>
      </c>
      <c r="I2038" t="n">
        <v>222820</v>
      </c>
    </row>
    <row r="2039">
      <c r="A2039" t="n">
        <v>2038</v>
      </c>
      <c r="B2039" t="inlineStr">
        <is>
          <t>Validation</t>
        </is>
      </c>
      <c r="C2039" t="n">
        <v>44010</v>
      </c>
      <c r="D2039" t="n">
        <v>13020</v>
      </c>
      <c r="E2039" t="n">
        <v>40</v>
      </c>
      <c r="F2039" t="n">
        <v>75188</v>
      </c>
      <c r="G2039" t="n">
        <v>4</v>
      </c>
      <c r="H2039" t="n">
        <v>16</v>
      </c>
      <c r="I2039" t="n">
        <v>241182</v>
      </c>
    </row>
    <row r="2040">
      <c r="A2040" t="n">
        <v>2039</v>
      </c>
      <c r="B2040" t="inlineStr">
        <is>
          <t>Validation</t>
        </is>
      </c>
      <c r="C2040" t="n">
        <v>18907</v>
      </c>
      <c r="D2040" t="n">
        <v>15560</v>
      </c>
      <c r="E2040" t="n">
        <v>46</v>
      </c>
      <c r="F2040" t="n">
        <v>52932</v>
      </c>
      <c r="G2040" t="n">
        <v>0</v>
      </c>
      <c r="H2040" t="n">
        <v>9</v>
      </c>
      <c r="I2040" t="n">
        <v>214272</v>
      </c>
    </row>
    <row r="2041">
      <c r="A2041" t="n">
        <v>2040</v>
      </c>
      <c r="B2041" t="inlineStr">
        <is>
          <t>Train</t>
        </is>
      </c>
      <c r="C2041" t="n">
        <v>3189</v>
      </c>
      <c r="D2041" t="n">
        <v>14210</v>
      </c>
      <c r="E2041" t="n">
        <v>41</v>
      </c>
      <c r="F2041" t="n">
        <v>53401</v>
      </c>
      <c r="G2041" t="n">
        <v>1</v>
      </c>
      <c r="H2041" t="n">
        <v>10</v>
      </c>
      <c r="I2041" t="n">
        <v>0</v>
      </c>
    </row>
    <row r="2042">
      <c r="A2042" t="n">
        <v>2041</v>
      </c>
      <c r="B2042" t="inlineStr">
        <is>
          <t>Train</t>
        </is>
      </c>
      <c r="C2042" t="n">
        <v>39617</v>
      </c>
      <c r="D2042" t="n">
        <v>17050</v>
      </c>
      <c r="E2042" t="n">
        <v>55</v>
      </c>
      <c r="F2042" t="n">
        <v>37794</v>
      </c>
      <c r="G2042" t="n">
        <v>4</v>
      </c>
      <c r="H2042" t="n">
        <v>12</v>
      </c>
      <c r="I2042" t="n">
        <v>0</v>
      </c>
    </row>
    <row r="2043">
      <c r="A2043" t="n">
        <v>2042</v>
      </c>
      <c r="B2043" t="inlineStr">
        <is>
          <t>Train</t>
        </is>
      </c>
      <c r="C2043" t="n">
        <v>38063</v>
      </c>
      <c r="D2043" t="n">
        <v>5200</v>
      </c>
      <c r="E2043" t="n">
        <v>38</v>
      </c>
      <c r="F2043" t="n">
        <v>20145</v>
      </c>
      <c r="G2043" t="n">
        <v>0</v>
      </c>
      <c r="H2043" t="n">
        <v>15</v>
      </c>
      <c r="I2043" t="n">
        <v>128953</v>
      </c>
    </row>
    <row r="2044">
      <c r="A2044" t="n">
        <v>2043</v>
      </c>
      <c r="B2044" t="inlineStr">
        <is>
          <t>Train</t>
        </is>
      </c>
      <c r="C2044" t="n">
        <v>6499</v>
      </c>
      <c r="D2044" t="n">
        <v>11160</v>
      </c>
      <c r="E2044" t="n">
        <v>63</v>
      </c>
      <c r="F2044" t="n">
        <v>44866</v>
      </c>
      <c r="G2044" t="n">
        <v>9</v>
      </c>
      <c r="H2044" t="n">
        <v>10</v>
      </c>
      <c r="I2044" t="n">
        <v>203341</v>
      </c>
    </row>
    <row r="2045">
      <c r="A2045" t="n">
        <v>2044</v>
      </c>
      <c r="B2045" t="inlineStr">
        <is>
          <t>Train</t>
        </is>
      </c>
      <c r="C2045" t="n">
        <v>2215</v>
      </c>
      <c r="D2045" t="n">
        <v>27390</v>
      </c>
      <c r="E2045" t="n">
        <v>37</v>
      </c>
      <c r="F2045" t="n">
        <v>91045</v>
      </c>
      <c r="G2045" t="n">
        <v>3</v>
      </c>
      <c r="H2045" t="n">
        <v>17</v>
      </c>
      <c r="I2045" t="n">
        <v>206587</v>
      </c>
    </row>
    <row r="2046">
      <c r="A2046" t="n">
        <v>2045</v>
      </c>
      <c r="B2046" t="inlineStr">
        <is>
          <t>Train</t>
        </is>
      </c>
      <c r="C2046" t="n">
        <v>6193</v>
      </c>
      <c r="D2046" t="n">
        <v>14440</v>
      </c>
      <c r="E2046" t="n">
        <v>41</v>
      </c>
      <c r="F2046" t="n">
        <v>88426</v>
      </c>
      <c r="G2046" t="n">
        <v>2</v>
      </c>
      <c r="H2046" t="n">
        <v>11</v>
      </c>
      <c r="I2046" t="n">
        <v>0</v>
      </c>
    </row>
    <row r="2047">
      <c r="A2047" t="n">
        <v>2046</v>
      </c>
      <c r="B2047" t="inlineStr">
        <is>
          <t>Train</t>
        </is>
      </c>
      <c r="C2047" t="n">
        <v>2907</v>
      </c>
      <c r="D2047" t="n">
        <v>19070</v>
      </c>
      <c r="E2047" t="n">
        <v>40</v>
      </c>
      <c r="F2047" t="n">
        <v>85273</v>
      </c>
      <c r="G2047" t="n">
        <v>5</v>
      </c>
      <c r="H2047" t="n">
        <v>11</v>
      </c>
      <c r="I2047" t="n">
        <v>257283</v>
      </c>
    </row>
    <row r="2048">
      <c r="A2048" t="n">
        <v>2047</v>
      </c>
      <c r="B2048" t="inlineStr">
        <is>
          <t>Validation</t>
        </is>
      </c>
      <c r="C2048" t="n">
        <v>3008</v>
      </c>
      <c r="D2048" t="n">
        <v>3620</v>
      </c>
      <c r="E2048" t="n">
        <v>44</v>
      </c>
      <c r="F2048" t="n">
        <v>21247</v>
      </c>
      <c r="G2048" t="n">
        <v>0</v>
      </c>
      <c r="H2048" t="n">
        <v>13</v>
      </c>
      <c r="I2048" t="n">
        <v>112368</v>
      </c>
    </row>
    <row r="2049">
      <c r="A2049" t="n">
        <v>2048</v>
      </c>
      <c r="B2049" t="inlineStr">
        <is>
          <t>Validation</t>
        </is>
      </c>
      <c r="C2049" t="n">
        <v>26926</v>
      </c>
      <c r="D2049" t="n">
        <v>18790</v>
      </c>
      <c r="E2049" t="n">
        <v>39</v>
      </c>
      <c r="F2049" t="n">
        <v>133920</v>
      </c>
      <c r="G2049" t="n">
        <v>0</v>
      </c>
      <c r="H2049" t="n">
        <v>9</v>
      </c>
      <c r="I2049" t="n">
        <v>0</v>
      </c>
    </row>
    <row r="2050">
      <c r="A2050" t="n">
        <v>2049</v>
      </c>
      <c r="B2050" t="inlineStr">
        <is>
          <t>Validation</t>
        </is>
      </c>
      <c r="C2050" t="n">
        <v>4323</v>
      </c>
      <c r="D2050" t="n">
        <v>13880</v>
      </c>
      <c r="E2050" t="n">
        <v>58</v>
      </c>
      <c r="F2050" t="n">
        <v>220178</v>
      </c>
      <c r="G2050" t="n">
        <v>1</v>
      </c>
      <c r="H2050" t="n">
        <v>11</v>
      </c>
      <c r="I2050" t="n">
        <v>561085</v>
      </c>
    </row>
    <row r="2051">
      <c r="A2051" t="n">
        <v>2050</v>
      </c>
      <c r="B2051" t="inlineStr">
        <is>
          <t>Train</t>
        </is>
      </c>
      <c r="C2051" t="n">
        <v>2607</v>
      </c>
      <c r="D2051" t="n">
        <v>27300</v>
      </c>
      <c r="E2051" t="n">
        <v>46</v>
      </c>
      <c r="F2051" t="n">
        <v>18311</v>
      </c>
      <c r="G2051" t="n">
        <v>8</v>
      </c>
      <c r="H2051" t="n">
        <v>13</v>
      </c>
      <c r="I2051" t="n">
        <v>145159</v>
      </c>
    </row>
    <row r="2052">
      <c r="A2052" t="n">
        <v>2051</v>
      </c>
      <c r="B2052" t="inlineStr">
        <is>
          <t>Train</t>
        </is>
      </c>
      <c r="C2052" t="n">
        <v>3739</v>
      </c>
      <c r="D2052" t="n">
        <v>10610</v>
      </c>
      <c r="E2052" t="n">
        <v>33</v>
      </c>
      <c r="F2052" t="n">
        <v>33285</v>
      </c>
      <c r="G2052" t="n">
        <v>0</v>
      </c>
      <c r="H2052" t="n">
        <v>13</v>
      </c>
      <c r="I2052" t="n">
        <v>153247</v>
      </c>
    </row>
    <row r="2053">
      <c r="A2053" t="n">
        <v>2052</v>
      </c>
      <c r="B2053" t="inlineStr">
        <is>
          <t>Train</t>
        </is>
      </c>
      <c r="C2053" t="n">
        <v>6998</v>
      </c>
      <c r="D2053" t="n">
        <v>19720</v>
      </c>
      <c r="E2053" t="n">
        <v>30</v>
      </c>
      <c r="F2053" t="n">
        <v>102113</v>
      </c>
      <c r="G2053" t="n">
        <v>0</v>
      </c>
      <c r="H2053" t="n">
        <v>12</v>
      </c>
      <c r="I2053" t="n">
        <v>255135</v>
      </c>
    </row>
    <row r="2054">
      <c r="A2054" t="n">
        <v>2053</v>
      </c>
      <c r="B2054" t="inlineStr">
        <is>
          <t>Train</t>
        </is>
      </c>
      <c r="C2054" t="n">
        <v>5893</v>
      </c>
      <c r="D2054" t="n">
        <v>6200</v>
      </c>
      <c r="E2054" t="n">
        <v>48</v>
      </c>
      <c r="F2054" t="n">
        <v>64916</v>
      </c>
      <c r="G2054" t="n">
        <v>6</v>
      </c>
      <c r="H2054" t="n">
        <v>12</v>
      </c>
      <c r="I2054" t="n">
        <v>282967</v>
      </c>
    </row>
    <row r="2055">
      <c r="A2055" t="n">
        <v>2054</v>
      </c>
      <c r="B2055" t="inlineStr">
        <is>
          <t>Train</t>
        </is>
      </c>
      <c r="C2055" t="n">
        <v>4445</v>
      </c>
      <c r="D2055" t="n">
        <v>19240</v>
      </c>
      <c r="E2055" t="n">
        <v>33</v>
      </c>
      <c r="F2055" t="n">
        <v>53041</v>
      </c>
      <c r="G2055" t="n">
        <v>9</v>
      </c>
      <c r="H2055" t="n">
        <v>10</v>
      </c>
      <c r="I2055" t="n">
        <v>147510</v>
      </c>
    </row>
    <row r="2056">
      <c r="A2056" t="n">
        <v>2055</v>
      </c>
      <c r="B2056" t="inlineStr">
        <is>
          <t>Train</t>
        </is>
      </c>
      <c r="C2056" t="n">
        <v>5306</v>
      </c>
      <c r="D2056" t="n">
        <v>15500</v>
      </c>
      <c r="E2056" t="n">
        <v>38</v>
      </c>
      <c r="F2056" t="n">
        <v>102020</v>
      </c>
      <c r="G2056" t="n">
        <v>5</v>
      </c>
      <c r="H2056" t="n">
        <v>12</v>
      </c>
      <c r="I2056" t="n">
        <v>0</v>
      </c>
    </row>
    <row r="2057">
      <c r="A2057" t="n">
        <v>2056</v>
      </c>
      <c r="B2057" t="inlineStr">
        <is>
          <t>Train</t>
        </is>
      </c>
      <c r="C2057" t="n">
        <v>11479</v>
      </c>
      <c r="D2057" t="n">
        <v>13580</v>
      </c>
      <c r="E2057" t="n">
        <v>49</v>
      </c>
      <c r="F2057" t="n">
        <v>73242</v>
      </c>
      <c r="G2057" t="n">
        <v>4</v>
      </c>
      <c r="H2057" t="n">
        <v>12</v>
      </c>
      <c r="I2057" t="n">
        <v>0</v>
      </c>
    </row>
    <row r="2058">
      <c r="A2058" t="n">
        <v>2057</v>
      </c>
      <c r="B2058" t="inlineStr">
        <is>
          <t>Validation</t>
        </is>
      </c>
      <c r="C2058" t="n">
        <v>558</v>
      </c>
      <c r="D2058" t="n">
        <v>7860</v>
      </c>
      <c r="E2058" t="n">
        <v>29</v>
      </c>
      <c r="F2058" t="n">
        <v>34600</v>
      </c>
      <c r="G2058" t="n">
        <v>7</v>
      </c>
      <c r="H2058" t="n">
        <v>12</v>
      </c>
      <c r="I2058" t="n">
        <v>113013</v>
      </c>
    </row>
    <row r="2059">
      <c r="A2059" t="n">
        <v>2058</v>
      </c>
      <c r="B2059" t="inlineStr">
        <is>
          <t>Validation</t>
        </is>
      </c>
      <c r="C2059" t="n">
        <v>8423</v>
      </c>
      <c r="D2059" t="n">
        <v>32460</v>
      </c>
      <c r="E2059" t="n">
        <v>44</v>
      </c>
      <c r="F2059" t="n">
        <v>67373</v>
      </c>
      <c r="G2059" t="n">
        <v>0</v>
      </c>
      <c r="H2059" t="n">
        <v>9</v>
      </c>
      <c r="I2059" t="n">
        <v>0</v>
      </c>
    </row>
    <row r="2060">
      <c r="A2060" t="n">
        <v>2059</v>
      </c>
      <c r="B2060" t="inlineStr">
        <is>
          <t>Validation</t>
        </is>
      </c>
      <c r="C2060" t="n">
        <v>7450</v>
      </c>
      <c r="D2060" t="n">
        <v>12580</v>
      </c>
      <c r="E2060" t="n">
        <v>46</v>
      </c>
      <c r="F2060" t="n">
        <v>48656</v>
      </c>
      <c r="G2060" t="n">
        <v>3</v>
      </c>
      <c r="H2060" t="n">
        <v>8</v>
      </c>
      <c r="I2060" t="n">
        <v>194871</v>
      </c>
    </row>
    <row r="2061">
      <c r="A2061" t="n">
        <v>2060</v>
      </c>
      <c r="B2061" t="inlineStr">
        <is>
          <t>Train</t>
        </is>
      </c>
      <c r="C2061" t="n">
        <v>32113</v>
      </c>
      <c r="D2061" t="n">
        <v>16790</v>
      </c>
      <c r="E2061" t="n">
        <v>44</v>
      </c>
      <c r="F2061" t="n">
        <v>234825</v>
      </c>
      <c r="G2061" t="n">
        <v>7</v>
      </c>
      <c r="H2061" t="n">
        <v>6</v>
      </c>
      <c r="I2061" t="n">
        <v>0</v>
      </c>
    </row>
    <row r="2062">
      <c r="A2062" t="n">
        <v>2061</v>
      </c>
      <c r="B2062" t="inlineStr">
        <is>
          <t>Train</t>
        </is>
      </c>
      <c r="C2062" t="n">
        <v>7607</v>
      </c>
      <c r="D2062" t="n">
        <v>8050</v>
      </c>
      <c r="E2062" t="n">
        <v>39</v>
      </c>
      <c r="F2062" t="n">
        <v>26454</v>
      </c>
      <c r="G2062" t="n">
        <v>0</v>
      </c>
      <c r="H2062" t="n">
        <v>9</v>
      </c>
      <c r="I2062" t="n">
        <v>131738</v>
      </c>
    </row>
    <row r="2063">
      <c r="A2063" t="n">
        <v>2062</v>
      </c>
      <c r="B2063" t="inlineStr">
        <is>
          <t>Train</t>
        </is>
      </c>
      <c r="C2063" t="n">
        <v>4552</v>
      </c>
      <c r="D2063" t="n">
        <v>11160</v>
      </c>
      <c r="E2063" t="n">
        <v>47</v>
      </c>
      <c r="F2063" t="n">
        <v>49565</v>
      </c>
      <c r="G2063" t="n">
        <v>2</v>
      </c>
      <c r="H2063" t="n">
        <v>11</v>
      </c>
      <c r="I2063" t="n">
        <v>0</v>
      </c>
    </row>
    <row r="2064">
      <c r="A2064" t="n">
        <v>2063</v>
      </c>
      <c r="B2064" t="inlineStr">
        <is>
          <t>Train</t>
        </is>
      </c>
      <c r="C2064" t="n">
        <v>11364</v>
      </c>
      <c r="D2064" t="n">
        <v>26630</v>
      </c>
      <c r="E2064" t="n">
        <v>52</v>
      </c>
      <c r="F2064" t="n">
        <v>63301</v>
      </c>
      <c r="G2064" t="n">
        <v>1</v>
      </c>
      <c r="H2064" t="n">
        <v>13</v>
      </c>
      <c r="I2064" t="n">
        <v>213026</v>
      </c>
    </row>
    <row r="2065">
      <c r="A2065" t="n">
        <v>2064</v>
      </c>
      <c r="B2065" t="inlineStr">
        <is>
          <t>Train</t>
        </is>
      </c>
      <c r="C2065" t="n">
        <v>7858</v>
      </c>
      <c r="D2065" t="n">
        <v>24160</v>
      </c>
      <c r="E2065" t="n">
        <v>48</v>
      </c>
      <c r="F2065" t="n">
        <v>63260</v>
      </c>
      <c r="G2065" t="n">
        <v>9</v>
      </c>
      <c r="H2065" t="n">
        <v>12</v>
      </c>
      <c r="I2065" t="n">
        <v>0</v>
      </c>
    </row>
    <row r="2066">
      <c r="A2066" t="n">
        <v>2065</v>
      </c>
      <c r="B2066" t="inlineStr">
        <is>
          <t>Train</t>
        </is>
      </c>
      <c r="C2066" t="n">
        <v>684</v>
      </c>
      <c r="D2066" t="n">
        <v>15810</v>
      </c>
      <c r="E2066" t="n">
        <v>47</v>
      </c>
      <c r="F2066" t="n">
        <v>53758</v>
      </c>
      <c r="G2066" t="n">
        <v>0</v>
      </c>
      <c r="H2066" t="n">
        <v>10</v>
      </c>
      <c r="I2066" t="n">
        <v>0</v>
      </c>
    </row>
    <row r="2067">
      <c r="A2067" t="n">
        <v>2066</v>
      </c>
      <c r="B2067" t="inlineStr">
        <is>
          <t>Train</t>
        </is>
      </c>
      <c r="C2067" t="n">
        <v>23981</v>
      </c>
      <c r="D2067" t="n">
        <v>8960</v>
      </c>
      <c r="E2067" t="n">
        <v>41</v>
      </c>
      <c r="F2067" t="n">
        <v>33623</v>
      </c>
      <c r="G2067" t="n">
        <v>3</v>
      </c>
      <c r="H2067" t="n">
        <v>13</v>
      </c>
      <c r="I2067" t="n">
        <v>158987</v>
      </c>
    </row>
    <row r="2068">
      <c r="A2068" t="n">
        <v>2067</v>
      </c>
      <c r="B2068" t="inlineStr">
        <is>
          <t>Validation</t>
        </is>
      </c>
      <c r="C2068" t="n">
        <v>5672</v>
      </c>
      <c r="D2068" t="n">
        <v>8090</v>
      </c>
      <c r="E2068" t="n">
        <v>50</v>
      </c>
      <c r="F2068" t="n">
        <v>15905</v>
      </c>
      <c r="G2068" t="n">
        <v>3</v>
      </c>
      <c r="H2068" t="n">
        <v>6</v>
      </c>
      <c r="I2068" t="n">
        <v>0</v>
      </c>
    </row>
    <row r="2069">
      <c r="A2069" t="n">
        <v>2068</v>
      </c>
      <c r="B2069" t="inlineStr">
        <is>
          <t>Validation</t>
        </is>
      </c>
      <c r="C2069" t="n">
        <v>11086</v>
      </c>
      <c r="D2069" t="n">
        <v>1500</v>
      </c>
      <c r="E2069" t="n">
        <v>44</v>
      </c>
      <c r="F2069" t="n">
        <v>0</v>
      </c>
      <c r="G2069" t="n">
        <v>7</v>
      </c>
      <c r="H2069" t="n">
        <v>0</v>
      </c>
      <c r="I2069" t="n">
        <v>0</v>
      </c>
    </row>
    <row r="2070">
      <c r="A2070" t="n">
        <v>2069</v>
      </c>
      <c r="B2070" t="inlineStr">
        <is>
          <t>Validation</t>
        </is>
      </c>
      <c r="C2070" t="n">
        <v>8100</v>
      </c>
      <c r="D2070" t="n">
        <v>5240</v>
      </c>
      <c r="E2070" t="n">
        <v>37</v>
      </c>
      <c r="F2070" t="n">
        <v>16071</v>
      </c>
      <c r="G2070" t="n">
        <v>6</v>
      </c>
      <c r="H2070" t="n">
        <v>14</v>
      </c>
      <c r="I2070" t="n">
        <v>120881</v>
      </c>
    </row>
    <row r="2071">
      <c r="A2071" t="n">
        <v>2070</v>
      </c>
      <c r="B2071" t="inlineStr">
        <is>
          <t>Train</t>
        </is>
      </c>
      <c r="C2071" t="n">
        <v>3116</v>
      </c>
      <c r="D2071" t="n">
        <v>12960</v>
      </c>
      <c r="E2071" t="n">
        <v>49</v>
      </c>
      <c r="F2071" t="n">
        <v>776</v>
      </c>
      <c r="G2071" t="n">
        <v>0</v>
      </c>
      <c r="H2071" t="n">
        <v>11</v>
      </c>
      <c r="I2071" t="n">
        <v>108249</v>
      </c>
    </row>
    <row r="2072">
      <c r="A2072" t="n">
        <v>2071</v>
      </c>
      <c r="B2072" t="inlineStr">
        <is>
          <t>Train</t>
        </is>
      </c>
      <c r="C2072" t="n">
        <v>1155</v>
      </c>
      <c r="D2072" t="n">
        <v>14210</v>
      </c>
      <c r="E2072" t="n">
        <v>38</v>
      </c>
      <c r="F2072" t="n">
        <v>89065</v>
      </c>
      <c r="G2072" t="n">
        <v>0</v>
      </c>
      <c r="H2072" t="n">
        <v>14</v>
      </c>
      <c r="I2072" t="n">
        <v>229172</v>
      </c>
    </row>
    <row r="2073">
      <c r="A2073" t="n">
        <v>2072</v>
      </c>
      <c r="B2073" t="inlineStr">
        <is>
          <t>Train</t>
        </is>
      </c>
      <c r="C2073" t="n">
        <v>1344</v>
      </c>
      <c r="D2073" t="n">
        <v>14160</v>
      </c>
      <c r="E2073" t="n">
        <v>37</v>
      </c>
      <c r="F2073" t="n">
        <v>89596</v>
      </c>
      <c r="G2073" t="n">
        <v>5</v>
      </c>
      <c r="H2073" t="n">
        <v>13</v>
      </c>
      <c r="I2073" t="n">
        <v>271298</v>
      </c>
    </row>
    <row r="2074">
      <c r="A2074" t="n">
        <v>2073</v>
      </c>
      <c r="B2074" t="inlineStr">
        <is>
          <t>Train</t>
        </is>
      </c>
      <c r="C2074" t="n">
        <v>9587</v>
      </c>
      <c r="D2074" t="n">
        <v>24220</v>
      </c>
      <c r="E2074" t="n">
        <v>51</v>
      </c>
      <c r="F2074" t="n">
        <v>36202</v>
      </c>
      <c r="G2074" t="n">
        <v>5</v>
      </c>
      <c r="H2074" t="n">
        <v>13</v>
      </c>
      <c r="I2074" t="n">
        <v>164228</v>
      </c>
    </row>
    <row r="2075">
      <c r="A2075" t="n">
        <v>2074</v>
      </c>
      <c r="B2075" t="inlineStr">
        <is>
          <t>Train</t>
        </is>
      </c>
      <c r="C2075" t="n">
        <v>7441</v>
      </c>
      <c r="D2075" t="n">
        <v>25410</v>
      </c>
      <c r="E2075" t="n">
        <v>57</v>
      </c>
      <c r="F2075" t="n">
        <v>147971</v>
      </c>
      <c r="G2075" t="n">
        <v>2</v>
      </c>
      <c r="H2075" t="n">
        <v>12</v>
      </c>
      <c r="I2075" t="n">
        <v>376318</v>
      </c>
    </row>
    <row r="2076">
      <c r="A2076" t="n">
        <v>2075</v>
      </c>
      <c r="B2076" t="inlineStr">
        <is>
          <t>Train</t>
        </is>
      </c>
      <c r="C2076" t="n">
        <v>22302</v>
      </c>
      <c r="D2076" t="n">
        <v>24130</v>
      </c>
      <c r="E2076" t="n">
        <v>55</v>
      </c>
      <c r="F2076" t="n">
        <v>59128</v>
      </c>
      <c r="G2076" t="n">
        <v>1</v>
      </c>
      <c r="H2076" t="n">
        <v>15</v>
      </c>
      <c r="I2076" t="n">
        <v>173782</v>
      </c>
    </row>
    <row r="2077">
      <c r="A2077" t="n">
        <v>2076</v>
      </c>
      <c r="B2077" t="inlineStr">
        <is>
          <t>Train</t>
        </is>
      </c>
      <c r="C2077" t="n">
        <v>6524</v>
      </c>
      <c r="D2077" t="n">
        <v>6000</v>
      </c>
      <c r="E2077" t="n">
        <v>46</v>
      </c>
      <c r="F2077" t="n">
        <v>21238</v>
      </c>
      <c r="G2077" t="n">
        <v>1</v>
      </c>
      <c r="H2077" t="n">
        <v>10</v>
      </c>
      <c r="I2077" t="n">
        <v>0</v>
      </c>
    </row>
    <row r="2078">
      <c r="A2078" t="n">
        <v>2077</v>
      </c>
      <c r="B2078" t="inlineStr">
        <is>
          <t>Validation</t>
        </is>
      </c>
      <c r="C2078" t="n">
        <v>6864</v>
      </c>
      <c r="D2078" t="n">
        <v>16730</v>
      </c>
      <c r="E2078" t="n">
        <v>58</v>
      </c>
      <c r="F2078" t="n">
        <v>70745</v>
      </c>
      <c r="G2078" t="n">
        <v>4</v>
      </c>
      <c r="H2078" t="n">
        <v>11</v>
      </c>
      <c r="I2078" t="n">
        <v>237422</v>
      </c>
    </row>
    <row r="2079">
      <c r="A2079" t="n">
        <v>2078</v>
      </c>
      <c r="B2079" t="inlineStr">
        <is>
          <t>Validation</t>
        </is>
      </c>
      <c r="C2079" t="n">
        <v>3365</v>
      </c>
      <c r="D2079" t="n">
        <v>16280</v>
      </c>
      <c r="E2079" t="n">
        <v>36</v>
      </c>
      <c r="F2079" t="n">
        <v>0</v>
      </c>
      <c r="G2079" t="n">
        <v>2</v>
      </c>
      <c r="H2079" t="n">
        <v>0</v>
      </c>
      <c r="I2079" t="n">
        <v>0</v>
      </c>
    </row>
    <row r="2080">
      <c r="A2080" t="n">
        <v>2079</v>
      </c>
      <c r="B2080" t="inlineStr">
        <is>
          <t>Validation</t>
        </is>
      </c>
      <c r="C2080" t="n">
        <v>3863</v>
      </c>
      <c r="D2080" t="n">
        <v>17640</v>
      </c>
      <c r="E2080" t="n">
        <v>44</v>
      </c>
      <c r="F2080" t="n">
        <v>61798</v>
      </c>
      <c r="G2080" t="n">
        <v>3</v>
      </c>
      <c r="H2080" t="n">
        <v>11</v>
      </c>
      <c r="I2080" t="n">
        <v>227814</v>
      </c>
    </row>
    <row r="2081">
      <c r="A2081" t="n">
        <v>2080</v>
      </c>
      <c r="B2081" t="inlineStr">
        <is>
          <t>Train</t>
        </is>
      </c>
      <c r="C2081" t="n">
        <v>1879</v>
      </c>
      <c r="D2081" t="n">
        <v>13540</v>
      </c>
      <c r="E2081" t="n">
        <v>43</v>
      </c>
      <c r="F2081" t="n">
        <v>77437</v>
      </c>
      <c r="G2081" t="n">
        <v>5</v>
      </c>
      <c r="H2081" t="n">
        <v>14</v>
      </c>
      <c r="I2081" t="n">
        <v>218079</v>
      </c>
    </row>
    <row r="2082">
      <c r="A2082" t="n">
        <v>2081</v>
      </c>
      <c r="B2082" t="inlineStr">
        <is>
          <t>Train</t>
        </is>
      </c>
      <c r="C2082" t="n">
        <v>6127</v>
      </c>
      <c r="D2082" t="n">
        <v>5950</v>
      </c>
      <c r="E2082" t="n">
        <v>39</v>
      </c>
      <c r="F2082" t="n">
        <v>5538</v>
      </c>
      <c r="G2082" t="n">
        <v>0</v>
      </c>
      <c r="H2082" t="n">
        <v>15</v>
      </c>
      <c r="I2082" t="n">
        <v>78372</v>
      </c>
    </row>
    <row r="2083">
      <c r="A2083" t="n">
        <v>2082</v>
      </c>
      <c r="B2083" t="inlineStr">
        <is>
          <t>Train</t>
        </is>
      </c>
      <c r="C2083" t="n">
        <v>6535</v>
      </c>
      <c r="D2083" t="n">
        <v>2070</v>
      </c>
      <c r="E2083" t="n">
        <v>37</v>
      </c>
      <c r="F2083" t="n">
        <v>5678</v>
      </c>
      <c r="G2083" t="n">
        <v>1</v>
      </c>
      <c r="H2083" t="n">
        <v>12</v>
      </c>
      <c r="I2083" t="n">
        <v>0</v>
      </c>
    </row>
    <row r="2084">
      <c r="A2084" t="n">
        <v>2083</v>
      </c>
      <c r="B2084" t="inlineStr">
        <is>
          <t>Train</t>
        </is>
      </c>
      <c r="C2084" t="n">
        <v>29423</v>
      </c>
      <c r="D2084" t="n">
        <v>12740</v>
      </c>
      <c r="E2084" t="n">
        <v>56</v>
      </c>
      <c r="F2084" t="n">
        <v>83464</v>
      </c>
      <c r="G2084" t="n">
        <v>3</v>
      </c>
      <c r="H2084" t="n">
        <v>9</v>
      </c>
      <c r="I2084" t="n">
        <v>316391</v>
      </c>
    </row>
    <row r="2085">
      <c r="A2085" t="n">
        <v>2084</v>
      </c>
      <c r="B2085" t="inlineStr">
        <is>
          <t>Train</t>
        </is>
      </c>
      <c r="C2085" t="n">
        <v>30146</v>
      </c>
      <c r="D2085" t="n">
        <v>18270</v>
      </c>
      <c r="E2085" t="n">
        <v>34</v>
      </c>
      <c r="F2085" t="n">
        <v>25535</v>
      </c>
      <c r="G2085" t="n">
        <v>1</v>
      </c>
      <c r="H2085" t="n">
        <v>14</v>
      </c>
      <c r="I2085" t="n">
        <v>99326</v>
      </c>
    </row>
    <row r="2086">
      <c r="A2086" t="n">
        <v>2085</v>
      </c>
      <c r="B2086" t="inlineStr">
        <is>
          <t>Train</t>
        </is>
      </c>
      <c r="C2086" t="n">
        <v>2414</v>
      </c>
      <c r="D2086" t="n">
        <v>12350</v>
      </c>
      <c r="E2086" t="n">
        <v>61</v>
      </c>
      <c r="F2086" t="n">
        <v>47534</v>
      </c>
      <c r="G2086" t="n">
        <v>0</v>
      </c>
      <c r="H2086" t="n">
        <v>15</v>
      </c>
      <c r="I2086" t="n">
        <v>199888</v>
      </c>
    </row>
    <row r="2087">
      <c r="A2087" t="n">
        <v>2086</v>
      </c>
      <c r="B2087" t="inlineStr">
        <is>
          <t>Train</t>
        </is>
      </c>
      <c r="C2087" t="n">
        <v>3614</v>
      </c>
      <c r="D2087" t="n">
        <v>6300</v>
      </c>
      <c r="E2087" t="n">
        <v>48</v>
      </c>
      <c r="F2087" t="n">
        <v>33434</v>
      </c>
      <c r="G2087" t="n">
        <v>2</v>
      </c>
      <c r="H2087" t="n">
        <v>6</v>
      </c>
      <c r="I2087" t="n">
        <v>176292</v>
      </c>
    </row>
    <row r="2088">
      <c r="A2088" t="n">
        <v>2087</v>
      </c>
      <c r="B2088" t="inlineStr">
        <is>
          <t>Validation</t>
        </is>
      </c>
      <c r="C2088" t="n">
        <v>4188</v>
      </c>
      <c r="D2088" t="n">
        <v>25250</v>
      </c>
      <c r="E2088" t="n">
        <v>56</v>
      </c>
      <c r="F2088" t="n">
        <v>13614</v>
      </c>
      <c r="G2088" t="n">
        <v>0</v>
      </c>
      <c r="H2088" t="n">
        <v>14</v>
      </c>
      <c r="I2088" t="n">
        <v>96941</v>
      </c>
    </row>
    <row r="2089">
      <c r="A2089" t="n">
        <v>2088</v>
      </c>
      <c r="B2089" t="inlineStr">
        <is>
          <t>Validation</t>
        </is>
      </c>
      <c r="C2089" t="n">
        <v>5001</v>
      </c>
      <c r="D2089" t="n">
        <v>10780</v>
      </c>
      <c r="E2089" t="n">
        <v>48</v>
      </c>
      <c r="F2089" t="n">
        <v>44808</v>
      </c>
      <c r="G2089" t="n">
        <v>4</v>
      </c>
      <c r="H2089" t="n">
        <v>9</v>
      </c>
      <c r="I2089" t="n">
        <v>199470</v>
      </c>
    </row>
    <row r="2090">
      <c r="A2090" t="n">
        <v>2089</v>
      </c>
      <c r="B2090" t="inlineStr">
        <is>
          <t>Validation</t>
        </is>
      </c>
      <c r="C2090" t="n">
        <v>1685</v>
      </c>
      <c r="D2090" t="n">
        <v>22060</v>
      </c>
      <c r="E2090" t="n">
        <v>41</v>
      </c>
      <c r="F2090" t="n">
        <v>136585</v>
      </c>
      <c r="G2090" t="n">
        <v>0</v>
      </c>
      <c r="H2090" t="n">
        <v>10</v>
      </c>
      <c r="I2090" t="n">
        <v>0</v>
      </c>
    </row>
    <row r="2091">
      <c r="A2091" t="n">
        <v>2090</v>
      </c>
      <c r="B2091" t="inlineStr">
        <is>
          <t>Train</t>
        </is>
      </c>
      <c r="C2091" t="n">
        <v>6334</v>
      </c>
      <c r="D2091" t="n">
        <v>7300</v>
      </c>
      <c r="E2091" t="n">
        <v>58</v>
      </c>
      <c r="F2091" t="n">
        <v>65131</v>
      </c>
      <c r="G2091" t="n">
        <v>4</v>
      </c>
      <c r="H2091" t="n">
        <v>13</v>
      </c>
      <c r="I2091" t="n">
        <v>236533</v>
      </c>
    </row>
    <row r="2092">
      <c r="A2092" t="n">
        <v>2091</v>
      </c>
      <c r="B2092" t="inlineStr">
        <is>
          <t>Train</t>
        </is>
      </c>
      <c r="C2092" t="n">
        <v>33276</v>
      </c>
      <c r="D2092" t="n">
        <v>18710</v>
      </c>
      <c r="E2092" t="n">
        <v>35</v>
      </c>
      <c r="F2092" t="n">
        <v>54922</v>
      </c>
      <c r="G2092" t="n">
        <v>0</v>
      </c>
      <c r="H2092" t="n">
        <v>5</v>
      </c>
      <c r="I2092" t="n">
        <v>181427</v>
      </c>
    </row>
    <row r="2093">
      <c r="A2093" t="n">
        <v>2092</v>
      </c>
      <c r="B2093" t="inlineStr">
        <is>
          <t>Train</t>
        </is>
      </c>
      <c r="C2093" t="n">
        <v>1429</v>
      </c>
      <c r="D2093" t="n">
        <v>12230</v>
      </c>
      <c r="E2093" t="n">
        <v>40</v>
      </c>
      <c r="F2093" t="n">
        <v>67700</v>
      </c>
      <c r="G2093" t="n">
        <v>7</v>
      </c>
      <c r="H2093" t="n">
        <v>11</v>
      </c>
      <c r="I2093" t="n">
        <v>0</v>
      </c>
    </row>
    <row r="2094">
      <c r="A2094" t="n">
        <v>2093</v>
      </c>
      <c r="B2094" t="inlineStr">
        <is>
          <t>Train</t>
        </is>
      </c>
      <c r="C2094" t="n">
        <v>32418</v>
      </c>
      <c r="D2094" t="n">
        <v>6200</v>
      </c>
      <c r="E2094" t="n">
        <v>47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2094</v>
      </c>
      <c r="B2095" t="inlineStr">
        <is>
          <t>Train</t>
        </is>
      </c>
      <c r="C2095" t="n">
        <v>28216</v>
      </c>
      <c r="D2095" t="n">
        <v>4800</v>
      </c>
      <c r="E2095" t="n">
        <v>33</v>
      </c>
      <c r="F2095" t="n">
        <v>79118</v>
      </c>
      <c r="G2095" t="n">
        <v>1</v>
      </c>
      <c r="H2095" t="n">
        <v>15</v>
      </c>
      <c r="I2095" t="n">
        <v>228495</v>
      </c>
    </row>
    <row r="2096">
      <c r="A2096" t="n">
        <v>2095</v>
      </c>
      <c r="B2096" t="inlineStr">
        <is>
          <t>Train</t>
        </is>
      </c>
      <c r="C2096" t="n">
        <v>2015</v>
      </c>
      <c r="D2096" t="n">
        <v>23270</v>
      </c>
      <c r="E2096" t="n">
        <v>37</v>
      </c>
      <c r="F2096" t="n">
        <v>18127</v>
      </c>
      <c r="G2096" t="n">
        <v>7</v>
      </c>
      <c r="H2096" t="n">
        <v>4</v>
      </c>
      <c r="I2096" t="n">
        <v>129798</v>
      </c>
    </row>
    <row r="2097">
      <c r="A2097" t="n">
        <v>2096</v>
      </c>
      <c r="B2097" t="inlineStr">
        <is>
          <t>Train</t>
        </is>
      </c>
      <c r="C2097" t="n">
        <v>4324</v>
      </c>
      <c r="D2097" t="n">
        <v>6400</v>
      </c>
      <c r="E2097" t="n">
        <v>49</v>
      </c>
      <c r="F2097" t="n">
        <v>76778</v>
      </c>
      <c r="G2097" t="n">
        <v>5</v>
      </c>
      <c r="H2097" t="n">
        <v>14</v>
      </c>
      <c r="I2097" t="n">
        <v>209440</v>
      </c>
    </row>
    <row r="2098">
      <c r="A2098" t="n">
        <v>2097</v>
      </c>
      <c r="B2098" t="inlineStr">
        <is>
          <t>Validation</t>
        </is>
      </c>
      <c r="C2098" t="n">
        <v>29150</v>
      </c>
      <c r="D2098" t="n">
        <v>6000</v>
      </c>
      <c r="E2098" t="n">
        <v>45</v>
      </c>
      <c r="F2098" t="n">
        <v>111560</v>
      </c>
      <c r="G2098" t="n">
        <v>4</v>
      </c>
      <c r="H2098" t="n">
        <v>13</v>
      </c>
      <c r="I2098" t="n">
        <v>0</v>
      </c>
    </row>
    <row r="2099">
      <c r="A2099" t="n">
        <v>2098</v>
      </c>
      <c r="B2099" t="inlineStr">
        <is>
          <t>Validation</t>
        </is>
      </c>
      <c r="C2099" t="n">
        <v>10000</v>
      </c>
      <c r="D2099" t="n">
        <v>6440</v>
      </c>
      <c r="E2099" t="n">
        <v>48</v>
      </c>
      <c r="F2099" t="n">
        <v>49370</v>
      </c>
      <c r="G2099" t="n">
        <v>0</v>
      </c>
      <c r="H2099" t="n">
        <v>11</v>
      </c>
      <c r="I2099" t="n">
        <v>0</v>
      </c>
    </row>
    <row r="2100">
      <c r="A2100" t="n">
        <v>2099</v>
      </c>
      <c r="B2100" t="inlineStr">
        <is>
          <t>Validation</t>
        </is>
      </c>
      <c r="C2100" t="n">
        <v>1662</v>
      </c>
      <c r="D2100" t="n">
        <v>8650</v>
      </c>
      <c r="E2100" t="n">
        <v>57</v>
      </c>
      <c r="F2100" t="n">
        <v>14500</v>
      </c>
      <c r="G2100" t="n">
        <v>3</v>
      </c>
      <c r="H2100" t="n">
        <v>11</v>
      </c>
      <c r="I2100" t="n">
        <v>112458</v>
      </c>
    </row>
    <row r="2101">
      <c r="A2101" t="n">
        <v>2100</v>
      </c>
      <c r="B2101" t="inlineStr">
        <is>
          <t>Train</t>
        </is>
      </c>
      <c r="C2101" t="n">
        <v>9302</v>
      </c>
      <c r="D2101" t="n">
        <v>11670</v>
      </c>
      <c r="E2101" t="n">
        <v>33</v>
      </c>
      <c r="F2101" t="n">
        <v>73988</v>
      </c>
      <c r="G2101" t="n">
        <v>3</v>
      </c>
      <c r="H2101" t="n">
        <v>9</v>
      </c>
      <c r="I2101" t="n">
        <v>238468</v>
      </c>
    </row>
    <row r="2102">
      <c r="A2102" t="n">
        <v>2101</v>
      </c>
      <c r="B2102" t="inlineStr">
        <is>
          <t>Train</t>
        </is>
      </c>
      <c r="C2102" t="n">
        <v>5863</v>
      </c>
      <c r="D2102" t="n">
        <v>12440</v>
      </c>
      <c r="E2102" t="n">
        <v>50</v>
      </c>
      <c r="F2102" t="n">
        <v>65389</v>
      </c>
      <c r="G2102" t="n">
        <v>5</v>
      </c>
      <c r="H2102" t="n">
        <v>15</v>
      </c>
      <c r="I2102" t="n">
        <v>249847</v>
      </c>
    </row>
    <row r="2103">
      <c r="A2103" t="n">
        <v>2102</v>
      </c>
      <c r="B2103" t="inlineStr">
        <is>
          <t>Train</t>
        </is>
      </c>
      <c r="C2103" t="n">
        <v>3108</v>
      </c>
      <c r="D2103" t="n">
        <v>21280</v>
      </c>
      <c r="E2103" t="n">
        <v>50</v>
      </c>
      <c r="F2103" t="n">
        <v>46802</v>
      </c>
      <c r="G2103" t="n">
        <v>6</v>
      </c>
      <c r="H2103" t="n">
        <v>10</v>
      </c>
      <c r="I2103" t="n">
        <v>169519</v>
      </c>
    </row>
    <row r="2104">
      <c r="A2104" t="n">
        <v>2103</v>
      </c>
      <c r="B2104" t="inlineStr">
        <is>
          <t>Train</t>
        </is>
      </c>
      <c r="C2104" t="n">
        <v>8152</v>
      </c>
      <c r="D2104" t="n">
        <v>31530</v>
      </c>
      <c r="E2104" t="n">
        <v>54</v>
      </c>
      <c r="F2104" t="n">
        <v>80227</v>
      </c>
      <c r="G2104" t="n">
        <v>0</v>
      </c>
      <c r="H2104" t="n">
        <v>14</v>
      </c>
      <c r="I2104" t="n">
        <v>247045</v>
      </c>
    </row>
    <row r="2105">
      <c r="A2105" t="n">
        <v>2104</v>
      </c>
      <c r="B2105" t="inlineStr">
        <is>
          <t>Train</t>
        </is>
      </c>
      <c r="C2105" t="n">
        <v>2747</v>
      </c>
      <c r="D2105" t="n">
        <v>15370</v>
      </c>
      <c r="E2105" t="n">
        <v>28</v>
      </c>
      <c r="F2105" t="n">
        <v>0</v>
      </c>
      <c r="G2105" t="n">
        <v>4</v>
      </c>
      <c r="H2105" t="n">
        <v>0</v>
      </c>
      <c r="I2105" t="n">
        <v>0</v>
      </c>
    </row>
    <row r="2106">
      <c r="A2106" t="n">
        <v>2105</v>
      </c>
      <c r="B2106" t="inlineStr">
        <is>
          <t>Train</t>
        </is>
      </c>
      <c r="C2106" t="n">
        <v>1046</v>
      </c>
      <c r="D2106" t="n">
        <v>30290</v>
      </c>
      <c r="E2106" t="n">
        <v>53</v>
      </c>
      <c r="F2106" t="n">
        <v>73099</v>
      </c>
      <c r="G2106" t="n">
        <v>0</v>
      </c>
      <c r="H2106" t="n">
        <v>15</v>
      </c>
      <c r="I2106" t="n">
        <v>212950</v>
      </c>
    </row>
    <row r="2107">
      <c r="A2107" t="n">
        <v>2106</v>
      </c>
      <c r="B2107" t="inlineStr">
        <is>
          <t>Train</t>
        </is>
      </c>
      <c r="C2107" t="n">
        <v>10658</v>
      </c>
      <c r="D2107" t="n">
        <v>10150</v>
      </c>
      <c r="E2107" t="n">
        <v>50</v>
      </c>
      <c r="F2107" t="n">
        <v>36504</v>
      </c>
      <c r="G2107" t="n">
        <v>4</v>
      </c>
      <c r="H2107" t="n">
        <v>13</v>
      </c>
      <c r="I2107" t="n">
        <v>209726</v>
      </c>
    </row>
    <row r="2108">
      <c r="A2108" t="n">
        <v>2107</v>
      </c>
      <c r="B2108" t="inlineStr">
        <is>
          <t>Validation</t>
        </is>
      </c>
      <c r="C2108" t="n">
        <v>2892</v>
      </c>
      <c r="D2108" t="n">
        <v>8190</v>
      </c>
      <c r="E2108" t="n">
        <v>32</v>
      </c>
      <c r="F2108" t="n">
        <v>19063</v>
      </c>
      <c r="G2108" t="n">
        <v>6</v>
      </c>
      <c r="H2108" t="n">
        <v>9</v>
      </c>
      <c r="I2108" t="n">
        <v>0</v>
      </c>
    </row>
    <row r="2109">
      <c r="A2109" t="n">
        <v>2108</v>
      </c>
      <c r="B2109" t="inlineStr">
        <is>
          <t>Validation</t>
        </is>
      </c>
      <c r="C2109" t="n">
        <v>10011</v>
      </c>
      <c r="D2109" t="n">
        <v>22830</v>
      </c>
      <c r="E2109" t="n">
        <v>39</v>
      </c>
      <c r="F2109" t="n">
        <v>92264</v>
      </c>
      <c r="G2109" t="n">
        <v>1</v>
      </c>
      <c r="H2109" t="n">
        <v>10</v>
      </c>
      <c r="I2109" t="n">
        <v>0</v>
      </c>
    </row>
    <row r="2110">
      <c r="A2110" t="n">
        <v>2109</v>
      </c>
      <c r="B2110" t="inlineStr">
        <is>
          <t>Validation</t>
        </is>
      </c>
      <c r="C2110" t="n">
        <v>6041</v>
      </c>
      <c r="D2110" t="n">
        <v>6300</v>
      </c>
      <c r="E2110" t="n">
        <v>49</v>
      </c>
      <c r="F2110" t="n">
        <v>34390</v>
      </c>
      <c r="G2110" t="n">
        <v>4</v>
      </c>
      <c r="H2110" t="n">
        <v>11</v>
      </c>
      <c r="I2110" t="n">
        <v>0</v>
      </c>
    </row>
    <row r="2111">
      <c r="A2111" t="n">
        <v>2110</v>
      </c>
      <c r="B2111" t="inlineStr">
        <is>
          <t>Train</t>
        </is>
      </c>
      <c r="C2111" t="n">
        <v>2667</v>
      </c>
      <c r="D2111" t="n">
        <v>11280</v>
      </c>
      <c r="E2111" t="n">
        <v>48</v>
      </c>
      <c r="F2111" t="n">
        <v>48198</v>
      </c>
      <c r="G2111" t="n">
        <v>7</v>
      </c>
      <c r="H2111" t="n">
        <v>11</v>
      </c>
      <c r="I2111" t="n">
        <v>0</v>
      </c>
    </row>
    <row r="2112">
      <c r="A2112" t="n">
        <v>2111</v>
      </c>
      <c r="B2112" t="inlineStr">
        <is>
          <t>Train</t>
        </is>
      </c>
      <c r="C2112" t="n">
        <v>5406</v>
      </c>
      <c r="D2112" t="n">
        <v>5000</v>
      </c>
      <c r="E2112" t="n">
        <v>35</v>
      </c>
      <c r="F2112" t="n">
        <v>71827</v>
      </c>
      <c r="G2112" t="n">
        <v>3</v>
      </c>
      <c r="H2112" t="n">
        <v>10</v>
      </c>
      <c r="I2112" t="n">
        <v>193298</v>
      </c>
    </row>
    <row r="2113">
      <c r="A2113" t="n">
        <v>2112</v>
      </c>
      <c r="B2113" t="inlineStr">
        <is>
          <t>Train</t>
        </is>
      </c>
      <c r="C2113" t="n">
        <v>3053</v>
      </c>
      <c r="D2113" t="n">
        <v>13730</v>
      </c>
      <c r="E2113" t="n">
        <v>51</v>
      </c>
      <c r="F2113" t="n">
        <v>25953</v>
      </c>
      <c r="G2113" t="n">
        <v>4</v>
      </c>
      <c r="H2113" t="n">
        <v>12</v>
      </c>
      <c r="I2113" t="n">
        <v>148167</v>
      </c>
    </row>
    <row r="2114">
      <c r="A2114" t="n">
        <v>2113</v>
      </c>
      <c r="B2114" t="inlineStr">
        <is>
          <t>Train</t>
        </is>
      </c>
      <c r="C2114" t="n">
        <v>1092</v>
      </c>
      <c r="D2114" t="n">
        <v>16120</v>
      </c>
      <c r="E2114" t="n">
        <v>50</v>
      </c>
      <c r="F2114" t="n">
        <v>96243</v>
      </c>
      <c r="G2114" t="n">
        <v>4</v>
      </c>
      <c r="H2114" t="n">
        <v>9</v>
      </c>
      <c r="I2114" t="n">
        <v>288973</v>
      </c>
    </row>
    <row r="2115">
      <c r="A2115" t="n">
        <v>2114</v>
      </c>
      <c r="B2115" t="inlineStr">
        <is>
          <t>Train</t>
        </is>
      </c>
      <c r="C2115" t="n">
        <v>11445</v>
      </c>
      <c r="D2115" t="n">
        <v>24010</v>
      </c>
      <c r="E2115" t="n">
        <v>56</v>
      </c>
      <c r="F2115" t="n">
        <v>78291</v>
      </c>
      <c r="G2115" t="n">
        <v>5</v>
      </c>
      <c r="H2115" t="n">
        <v>12</v>
      </c>
      <c r="I2115" t="n">
        <v>0</v>
      </c>
    </row>
    <row r="2116">
      <c r="A2116" t="n">
        <v>2115</v>
      </c>
      <c r="B2116" t="inlineStr">
        <is>
          <t>Train</t>
        </is>
      </c>
      <c r="C2116" t="n">
        <v>4336</v>
      </c>
      <c r="D2116" t="n">
        <v>5120</v>
      </c>
      <c r="E2116" t="n">
        <v>25</v>
      </c>
      <c r="F2116" t="n">
        <v>83329</v>
      </c>
      <c r="G2116" t="n">
        <v>0</v>
      </c>
      <c r="H2116" t="n">
        <v>12</v>
      </c>
      <c r="I2116" t="n">
        <v>235165</v>
      </c>
    </row>
    <row r="2117">
      <c r="A2117" t="n">
        <v>2116</v>
      </c>
      <c r="B2117" t="inlineStr">
        <is>
          <t>Train</t>
        </is>
      </c>
      <c r="C2117" t="n">
        <v>5653</v>
      </c>
      <c r="D2117" t="n">
        <v>10970</v>
      </c>
      <c r="E2117" t="n">
        <v>57</v>
      </c>
      <c r="F2117" t="n">
        <v>37694</v>
      </c>
      <c r="G2117" t="n">
        <v>2</v>
      </c>
      <c r="H2117" t="n">
        <v>14</v>
      </c>
      <c r="I2117" t="n">
        <v>175270</v>
      </c>
    </row>
    <row r="2118">
      <c r="A2118" t="n">
        <v>2117</v>
      </c>
      <c r="B2118" t="inlineStr">
        <is>
          <t>Validation</t>
        </is>
      </c>
      <c r="C2118" t="n">
        <v>27795</v>
      </c>
      <c r="D2118" t="n">
        <v>40100</v>
      </c>
      <c r="E2118" t="n">
        <v>53</v>
      </c>
      <c r="F2118" t="n">
        <v>0</v>
      </c>
      <c r="G2118" t="n">
        <v>2</v>
      </c>
      <c r="H2118" t="n">
        <v>0</v>
      </c>
      <c r="I2118" t="n">
        <v>0</v>
      </c>
    </row>
    <row r="2119">
      <c r="A2119" t="n">
        <v>2118</v>
      </c>
      <c r="B2119" t="inlineStr">
        <is>
          <t>Validation</t>
        </is>
      </c>
      <c r="C2119" t="n">
        <v>4955</v>
      </c>
      <c r="D2119" t="n">
        <v>8950</v>
      </c>
      <c r="E2119" t="n">
        <v>40</v>
      </c>
      <c r="F2119" t="n">
        <v>34512</v>
      </c>
      <c r="G2119" t="n">
        <v>7</v>
      </c>
      <c r="H2119" t="n">
        <v>7</v>
      </c>
      <c r="I2119" t="n">
        <v>0</v>
      </c>
    </row>
    <row r="2120">
      <c r="A2120" t="n">
        <v>2119</v>
      </c>
      <c r="B2120" t="inlineStr">
        <is>
          <t>Validation</t>
        </is>
      </c>
      <c r="C2120" t="n">
        <v>5105</v>
      </c>
      <c r="D2120" t="n">
        <v>20140</v>
      </c>
      <c r="E2120" t="n">
        <v>35</v>
      </c>
      <c r="F2120" t="n">
        <v>32494</v>
      </c>
      <c r="G2120" t="n">
        <v>7</v>
      </c>
      <c r="H2120" t="n">
        <v>9</v>
      </c>
      <c r="I2120" t="n">
        <v>124012</v>
      </c>
    </row>
    <row r="2121">
      <c r="A2121" t="n">
        <v>2120</v>
      </c>
      <c r="B2121" t="inlineStr">
        <is>
          <t>Train</t>
        </is>
      </c>
      <c r="C2121" t="n">
        <v>7324</v>
      </c>
      <c r="D2121" t="n">
        <v>14620</v>
      </c>
      <c r="E2121" t="n">
        <v>49</v>
      </c>
      <c r="F2121" t="n">
        <v>60527</v>
      </c>
      <c r="G2121" t="n">
        <v>4</v>
      </c>
      <c r="H2121" t="n">
        <v>15</v>
      </c>
      <c r="I2121" t="n">
        <v>203057</v>
      </c>
    </row>
    <row r="2122">
      <c r="A2122" t="n">
        <v>2121</v>
      </c>
      <c r="B2122" t="inlineStr">
        <is>
          <t>Train</t>
        </is>
      </c>
      <c r="C2122" t="n">
        <v>11156</v>
      </c>
      <c r="D2122" t="n">
        <v>16450</v>
      </c>
      <c r="E2122" t="n">
        <v>35</v>
      </c>
      <c r="F2122" t="n">
        <v>114506</v>
      </c>
      <c r="G2122" t="n">
        <v>2</v>
      </c>
      <c r="H2122" t="n">
        <v>14</v>
      </c>
      <c r="I2122" t="n">
        <v>293583</v>
      </c>
    </row>
    <row r="2123">
      <c r="A2123" t="n">
        <v>2122</v>
      </c>
      <c r="B2123" t="inlineStr">
        <is>
          <t>Train</t>
        </is>
      </c>
      <c r="C2123" t="n">
        <v>4922</v>
      </c>
      <c r="D2123" t="n">
        <v>7940</v>
      </c>
      <c r="E2123" t="n">
        <v>18</v>
      </c>
      <c r="F2123" t="n">
        <v>479</v>
      </c>
      <c r="G2123" t="n">
        <v>4</v>
      </c>
      <c r="H2123" t="n">
        <v>14</v>
      </c>
      <c r="I2123" t="n">
        <v>0</v>
      </c>
    </row>
    <row r="2124">
      <c r="A2124" t="n">
        <v>2123</v>
      </c>
      <c r="B2124" t="inlineStr">
        <is>
          <t>Train</t>
        </is>
      </c>
      <c r="C2124" t="n">
        <v>5757</v>
      </c>
      <c r="D2124" t="n">
        <v>18710</v>
      </c>
      <c r="E2124" t="n">
        <v>64</v>
      </c>
      <c r="F2124" t="n">
        <v>93064</v>
      </c>
      <c r="G2124" t="n">
        <v>0</v>
      </c>
      <c r="H2124" t="n">
        <v>13</v>
      </c>
      <c r="I2124" t="n">
        <v>271134</v>
      </c>
    </row>
    <row r="2125">
      <c r="A2125" t="n">
        <v>2124</v>
      </c>
      <c r="B2125" t="inlineStr">
        <is>
          <t>Train</t>
        </is>
      </c>
      <c r="C2125" t="n">
        <v>7170</v>
      </c>
      <c r="D2125" t="n">
        <v>15620</v>
      </c>
      <c r="E2125" t="n">
        <v>23</v>
      </c>
      <c r="F2125" t="n">
        <v>34811</v>
      </c>
      <c r="G2125" t="n">
        <v>1</v>
      </c>
      <c r="H2125" t="n">
        <v>9</v>
      </c>
      <c r="I2125" t="n">
        <v>0</v>
      </c>
    </row>
    <row r="2126">
      <c r="A2126" t="n">
        <v>2125</v>
      </c>
      <c r="B2126" t="inlineStr">
        <is>
          <t>Train</t>
        </is>
      </c>
      <c r="C2126" t="n">
        <v>999</v>
      </c>
      <c r="D2126" t="n">
        <v>6450</v>
      </c>
      <c r="E2126" t="n">
        <v>37</v>
      </c>
      <c r="F2126" t="n">
        <v>49500</v>
      </c>
      <c r="G2126" t="n">
        <v>2</v>
      </c>
      <c r="H2126" t="n">
        <v>11</v>
      </c>
      <c r="I2126" t="n">
        <v>178997</v>
      </c>
    </row>
    <row r="2127">
      <c r="A2127" t="n">
        <v>2126</v>
      </c>
      <c r="B2127" t="inlineStr">
        <is>
          <t>Train</t>
        </is>
      </c>
      <c r="C2127" t="n">
        <v>2315</v>
      </c>
      <c r="D2127" t="n">
        <v>9840</v>
      </c>
      <c r="E2127" t="n">
        <v>42</v>
      </c>
      <c r="F2127" t="n">
        <v>95538</v>
      </c>
      <c r="G2127" t="n">
        <v>5</v>
      </c>
      <c r="H2127" t="n">
        <v>6</v>
      </c>
      <c r="I2127" t="n">
        <v>0</v>
      </c>
    </row>
    <row r="2128">
      <c r="A2128" t="n">
        <v>2127</v>
      </c>
      <c r="B2128" t="inlineStr">
        <is>
          <t>Validation</t>
        </is>
      </c>
      <c r="C2128" t="n">
        <v>6279</v>
      </c>
      <c r="D2128" t="n">
        <v>19680</v>
      </c>
      <c r="E2128" t="n">
        <v>45</v>
      </c>
      <c r="F2128" t="n">
        <v>35457</v>
      </c>
      <c r="G2128" t="n">
        <v>2</v>
      </c>
      <c r="H2128" t="n">
        <v>17</v>
      </c>
      <c r="I2128" t="n">
        <v>203037</v>
      </c>
    </row>
    <row r="2129">
      <c r="A2129" t="n">
        <v>2128</v>
      </c>
      <c r="B2129" t="inlineStr">
        <is>
          <t>Validation</t>
        </is>
      </c>
      <c r="C2129" t="n">
        <v>4615</v>
      </c>
      <c r="D2129" t="n">
        <v>7570</v>
      </c>
      <c r="E2129" t="n">
        <v>36</v>
      </c>
      <c r="F2129" t="n">
        <v>24652</v>
      </c>
      <c r="G2129" t="n">
        <v>0</v>
      </c>
      <c r="H2129" t="n">
        <v>9</v>
      </c>
      <c r="I2129" t="n">
        <v>101872</v>
      </c>
    </row>
    <row r="2130">
      <c r="A2130" t="n">
        <v>2129</v>
      </c>
      <c r="B2130" t="inlineStr">
        <is>
          <t>Validation</t>
        </is>
      </c>
      <c r="C2130" t="n">
        <v>8939</v>
      </c>
      <c r="D2130" t="n">
        <v>11640</v>
      </c>
      <c r="E2130" t="n">
        <v>37</v>
      </c>
      <c r="F2130" t="n">
        <v>136306</v>
      </c>
      <c r="G2130" t="n">
        <v>4</v>
      </c>
      <c r="H2130" t="n">
        <v>9</v>
      </c>
      <c r="I2130" t="n">
        <v>0</v>
      </c>
    </row>
    <row r="2131">
      <c r="A2131" t="n">
        <v>2130</v>
      </c>
      <c r="B2131" t="inlineStr">
        <is>
          <t>Train</t>
        </is>
      </c>
      <c r="C2131" t="n">
        <v>5823</v>
      </c>
      <c r="D2131" t="n">
        <v>9210</v>
      </c>
      <c r="E2131" t="n">
        <v>45</v>
      </c>
      <c r="F2131" t="n">
        <v>32089</v>
      </c>
      <c r="G2131" t="n">
        <v>5</v>
      </c>
      <c r="H2131" t="n">
        <v>15</v>
      </c>
      <c r="I2131" t="n">
        <v>156060</v>
      </c>
    </row>
    <row r="2132">
      <c r="A2132" t="n">
        <v>2131</v>
      </c>
      <c r="B2132" t="inlineStr">
        <is>
          <t>Train</t>
        </is>
      </c>
      <c r="C2132" t="n">
        <v>7038</v>
      </c>
      <c r="D2132" t="n">
        <v>12130</v>
      </c>
      <c r="E2132" t="n">
        <v>55</v>
      </c>
      <c r="F2132" t="n">
        <v>51314</v>
      </c>
      <c r="G2132" t="n">
        <v>2</v>
      </c>
      <c r="H2132" t="n">
        <v>13</v>
      </c>
      <c r="I2132" t="n">
        <v>164516</v>
      </c>
    </row>
    <row r="2133">
      <c r="A2133" t="n">
        <v>2132</v>
      </c>
      <c r="B2133" t="inlineStr">
        <is>
          <t>Train</t>
        </is>
      </c>
      <c r="C2133" t="n">
        <v>6988</v>
      </c>
      <c r="D2133" t="n">
        <v>17630</v>
      </c>
      <c r="E2133" t="n">
        <v>36</v>
      </c>
      <c r="F2133" t="n">
        <v>80765</v>
      </c>
      <c r="G2133" t="n">
        <v>0</v>
      </c>
      <c r="H2133" t="n">
        <v>14</v>
      </c>
      <c r="I2133" t="n">
        <v>191252</v>
      </c>
    </row>
    <row r="2134">
      <c r="A2134" t="n">
        <v>2133</v>
      </c>
      <c r="B2134" t="inlineStr">
        <is>
          <t>Train</t>
        </is>
      </c>
      <c r="C2134" t="n">
        <v>41742</v>
      </c>
      <c r="D2134" t="n">
        <v>22160</v>
      </c>
      <c r="E2134" t="n">
        <v>50</v>
      </c>
      <c r="F2134" t="n">
        <v>134888</v>
      </c>
      <c r="G2134" t="n">
        <v>4</v>
      </c>
      <c r="H2134" t="n">
        <v>12</v>
      </c>
      <c r="I2134" t="n">
        <v>319144</v>
      </c>
    </row>
    <row r="2135">
      <c r="A2135" t="n">
        <v>2134</v>
      </c>
      <c r="B2135" t="inlineStr">
        <is>
          <t>Train</t>
        </is>
      </c>
      <c r="C2135" t="n">
        <v>5369</v>
      </c>
      <c r="D2135" t="n">
        <v>15780</v>
      </c>
      <c r="E2135" t="n">
        <v>56</v>
      </c>
      <c r="F2135" t="n">
        <v>35133</v>
      </c>
      <c r="G2135" t="n">
        <v>0</v>
      </c>
      <c r="H2135" t="n">
        <v>16</v>
      </c>
      <c r="I2135" t="n">
        <v>216843</v>
      </c>
    </row>
    <row r="2136">
      <c r="A2136" t="n">
        <v>2135</v>
      </c>
      <c r="B2136" t="inlineStr">
        <is>
          <t>Train</t>
        </is>
      </c>
      <c r="C2136" t="n">
        <v>7876</v>
      </c>
      <c r="D2136" t="n">
        <v>15370</v>
      </c>
      <c r="E2136" t="n">
        <v>56</v>
      </c>
      <c r="F2136" t="n">
        <v>138173</v>
      </c>
      <c r="G2136" t="n">
        <v>3</v>
      </c>
      <c r="H2136" t="n">
        <v>12</v>
      </c>
      <c r="I2136" t="n">
        <v>0</v>
      </c>
    </row>
    <row r="2137">
      <c r="A2137" t="n">
        <v>2136</v>
      </c>
      <c r="B2137" t="inlineStr">
        <is>
          <t>Train</t>
        </is>
      </c>
      <c r="C2137" t="n">
        <v>41886</v>
      </c>
      <c r="D2137" t="n">
        <v>6500</v>
      </c>
      <c r="E2137" t="n">
        <v>50</v>
      </c>
      <c r="F2137" t="n">
        <v>90015</v>
      </c>
      <c r="G2137" t="n">
        <v>2</v>
      </c>
      <c r="H2137" t="n">
        <v>16</v>
      </c>
      <c r="I2137" t="n">
        <v>265405</v>
      </c>
    </row>
    <row r="2138">
      <c r="A2138" t="n">
        <v>2137</v>
      </c>
      <c r="B2138" t="inlineStr">
        <is>
          <t>Validation</t>
        </is>
      </c>
      <c r="C2138" t="n">
        <v>3068</v>
      </c>
      <c r="D2138" t="n">
        <v>10350</v>
      </c>
      <c r="E2138" t="n">
        <v>50</v>
      </c>
      <c r="F2138" t="n">
        <v>88484</v>
      </c>
      <c r="G2138" t="n">
        <v>4</v>
      </c>
      <c r="H2138" t="n">
        <v>12</v>
      </c>
      <c r="I2138" t="n">
        <v>277535</v>
      </c>
    </row>
    <row r="2139">
      <c r="A2139" t="n">
        <v>2138</v>
      </c>
      <c r="B2139" t="inlineStr">
        <is>
          <t>Validation</t>
        </is>
      </c>
      <c r="C2139" t="n">
        <v>5441</v>
      </c>
      <c r="D2139" t="n">
        <v>9990</v>
      </c>
      <c r="E2139" t="n">
        <v>53</v>
      </c>
      <c r="F2139" t="n">
        <v>48953</v>
      </c>
      <c r="G2139" t="n">
        <v>5</v>
      </c>
      <c r="H2139" t="n">
        <v>16</v>
      </c>
      <c r="I2139" t="n">
        <v>209234</v>
      </c>
    </row>
    <row r="2140">
      <c r="A2140" t="n">
        <v>2139</v>
      </c>
      <c r="B2140" t="inlineStr">
        <is>
          <t>Validation</t>
        </is>
      </c>
      <c r="C2140" t="n">
        <v>2610</v>
      </c>
      <c r="D2140" t="n">
        <v>8940</v>
      </c>
      <c r="E2140" t="n">
        <v>39</v>
      </c>
      <c r="F2140" t="n">
        <v>35362</v>
      </c>
      <c r="G2140" t="n">
        <v>0</v>
      </c>
      <c r="H2140" t="n">
        <v>12</v>
      </c>
      <c r="I2140" t="n">
        <v>0</v>
      </c>
    </row>
    <row r="2141">
      <c r="A2141" t="n">
        <v>2140</v>
      </c>
      <c r="B2141" t="inlineStr">
        <is>
          <t>Train</t>
        </is>
      </c>
      <c r="C2141" t="n">
        <v>5365</v>
      </c>
      <c r="D2141" t="n">
        <v>9240</v>
      </c>
      <c r="E2141" t="n">
        <v>35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2141</v>
      </c>
      <c r="B2142" t="inlineStr">
        <is>
          <t>Train</t>
        </is>
      </c>
      <c r="C2142" t="n">
        <v>11337</v>
      </c>
      <c r="D2142" t="n">
        <v>22580</v>
      </c>
      <c r="E2142" t="n">
        <v>63</v>
      </c>
      <c r="F2142" t="n">
        <v>33872</v>
      </c>
      <c r="G2142" t="n">
        <v>1</v>
      </c>
      <c r="H2142" t="n">
        <v>14</v>
      </c>
      <c r="I2142" t="n">
        <v>160972</v>
      </c>
    </row>
    <row r="2143">
      <c r="A2143" t="n">
        <v>2142</v>
      </c>
      <c r="B2143" t="inlineStr">
        <is>
          <t>Train</t>
        </is>
      </c>
      <c r="C2143" t="n">
        <v>5691</v>
      </c>
      <c r="D2143" t="n">
        <v>13870</v>
      </c>
      <c r="E2143" t="n">
        <v>56</v>
      </c>
      <c r="F2143" t="n">
        <v>67745</v>
      </c>
      <c r="G2143" t="n">
        <v>9</v>
      </c>
      <c r="H2143" t="n">
        <v>18</v>
      </c>
      <c r="I2143" t="n">
        <v>288257</v>
      </c>
    </row>
    <row r="2144">
      <c r="A2144" t="n">
        <v>2143</v>
      </c>
      <c r="B2144" t="inlineStr">
        <is>
          <t>Train</t>
        </is>
      </c>
      <c r="C2144" t="n">
        <v>8639</v>
      </c>
      <c r="D2144" t="n">
        <v>19960</v>
      </c>
      <c r="E2144" t="n">
        <v>48</v>
      </c>
      <c r="F2144" t="n">
        <v>57368</v>
      </c>
      <c r="G2144" t="n">
        <v>4</v>
      </c>
      <c r="H2144" t="n">
        <v>13</v>
      </c>
      <c r="I2144" t="n">
        <v>210206</v>
      </c>
    </row>
    <row r="2145">
      <c r="A2145" t="n">
        <v>2144</v>
      </c>
      <c r="B2145" t="inlineStr">
        <is>
          <t>Train</t>
        </is>
      </c>
      <c r="C2145" t="n">
        <v>6029</v>
      </c>
      <c r="D2145" t="n">
        <v>22460</v>
      </c>
      <c r="E2145" t="n">
        <v>35</v>
      </c>
      <c r="F2145" t="n">
        <v>71827</v>
      </c>
      <c r="G2145" t="n">
        <v>7</v>
      </c>
      <c r="H2145" t="n">
        <v>10</v>
      </c>
      <c r="I2145" t="n">
        <v>193298</v>
      </c>
    </row>
    <row r="2146">
      <c r="A2146" t="n">
        <v>2145</v>
      </c>
      <c r="B2146" t="inlineStr">
        <is>
          <t>Train</t>
        </is>
      </c>
      <c r="C2146" t="n">
        <v>27497</v>
      </c>
      <c r="D2146" t="n">
        <v>22420</v>
      </c>
      <c r="E2146" t="n">
        <v>45</v>
      </c>
      <c r="F2146" t="n">
        <v>65442</v>
      </c>
      <c r="G2146" t="n">
        <v>1</v>
      </c>
      <c r="H2146" t="n">
        <v>13</v>
      </c>
      <c r="I2146" t="n">
        <v>209679</v>
      </c>
    </row>
    <row r="2147">
      <c r="A2147" t="n">
        <v>2146</v>
      </c>
      <c r="B2147" t="inlineStr">
        <is>
          <t>Train</t>
        </is>
      </c>
      <c r="C2147" t="n">
        <v>3142</v>
      </c>
      <c r="D2147" t="n">
        <v>6370</v>
      </c>
      <c r="E2147" t="n">
        <v>30</v>
      </c>
      <c r="F2147" t="n">
        <v>29042</v>
      </c>
      <c r="G2147" t="n">
        <v>1</v>
      </c>
      <c r="H2147" t="n">
        <v>11</v>
      </c>
      <c r="I2147" t="n">
        <v>109832</v>
      </c>
    </row>
    <row r="2148">
      <c r="A2148" t="n">
        <v>2147</v>
      </c>
      <c r="B2148" t="inlineStr">
        <is>
          <t>Validation</t>
        </is>
      </c>
      <c r="C2148" t="n">
        <v>4963</v>
      </c>
      <c r="D2148" t="n">
        <v>23360</v>
      </c>
      <c r="E2148" t="n">
        <v>49</v>
      </c>
      <c r="F2148" t="n">
        <v>51371</v>
      </c>
      <c r="G2148" t="n">
        <v>3</v>
      </c>
      <c r="H2148" t="n">
        <v>11</v>
      </c>
      <c r="I2148" t="n">
        <v>208185</v>
      </c>
    </row>
    <row r="2149">
      <c r="A2149" t="n">
        <v>2148</v>
      </c>
      <c r="B2149" t="inlineStr">
        <is>
          <t>Validation</t>
        </is>
      </c>
      <c r="C2149" t="n">
        <v>2711</v>
      </c>
      <c r="D2149" t="n">
        <v>13930</v>
      </c>
      <c r="E2149" t="n">
        <v>33</v>
      </c>
      <c r="F2149" t="n">
        <v>0</v>
      </c>
      <c r="G2149" t="n">
        <v>5</v>
      </c>
      <c r="H2149" t="n">
        <v>0</v>
      </c>
      <c r="I2149" t="n">
        <v>0</v>
      </c>
    </row>
    <row r="2150">
      <c r="A2150" t="n">
        <v>2149</v>
      </c>
      <c r="B2150" t="inlineStr">
        <is>
          <t>Validation</t>
        </is>
      </c>
      <c r="C2150" t="n">
        <v>3780</v>
      </c>
      <c r="D2150" t="n">
        <v>17280</v>
      </c>
      <c r="E2150" t="n">
        <v>49</v>
      </c>
      <c r="F2150" t="n">
        <v>107150</v>
      </c>
      <c r="G2150" t="n">
        <v>5</v>
      </c>
      <c r="H2150" t="n">
        <v>9</v>
      </c>
      <c r="I2150" t="n">
        <v>0</v>
      </c>
    </row>
    <row r="2151">
      <c r="A2151" t="n">
        <v>2150</v>
      </c>
      <c r="B2151" t="inlineStr">
        <is>
          <t>Train</t>
        </is>
      </c>
      <c r="C2151" t="n">
        <v>24520</v>
      </c>
      <c r="D2151" t="n">
        <v>19440</v>
      </c>
      <c r="E2151" t="n">
        <v>42</v>
      </c>
      <c r="F2151" t="n">
        <v>137417</v>
      </c>
      <c r="G2151" t="n">
        <v>6</v>
      </c>
      <c r="H2151" t="n">
        <v>12</v>
      </c>
      <c r="I2151" t="n">
        <v>385800</v>
      </c>
    </row>
    <row r="2152">
      <c r="A2152" t="n">
        <v>2151</v>
      </c>
      <c r="B2152" t="inlineStr">
        <is>
          <t>Train</t>
        </is>
      </c>
      <c r="C2152" t="n">
        <v>35800</v>
      </c>
      <c r="D2152" t="n">
        <v>14310</v>
      </c>
      <c r="E2152" t="n">
        <v>54</v>
      </c>
      <c r="F2152" t="n">
        <v>35167</v>
      </c>
      <c r="G2152" t="n">
        <v>0</v>
      </c>
      <c r="H2152" t="n">
        <v>6</v>
      </c>
      <c r="I2152" t="n">
        <v>176773</v>
      </c>
    </row>
    <row r="2153">
      <c r="A2153" t="n">
        <v>2152</v>
      </c>
      <c r="B2153" t="inlineStr">
        <is>
          <t>Train</t>
        </is>
      </c>
      <c r="C2153" t="n">
        <v>11613</v>
      </c>
      <c r="D2153" t="n">
        <v>13060</v>
      </c>
      <c r="E2153" t="n">
        <v>43</v>
      </c>
      <c r="F2153" t="n">
        <v>72606</v>
      </c>
      <c r="G2153" t="n">
        <v>0</v>
      </c>
      <c r="H2153" t="n">
        <v>12</v>
      </c>
      <c r="I2153" t="n">
        <v>0</v>
      </c>
    </row>
    <row r="2154">
      <c r="A2154" t="n">
        <v>2153</v>
      </c>
      <c r="B2154" t="inlineStr">
        <is>
          <t>Train</t>
        </is>
      </c>
      <c r="C2154" t="n">
        <v>4600</v>
      </c>
      <c r="D2154" t="n">
        <v>35500</v>
      </c>
      <c r="E2154" t="n">
        <v>45</v>
      </c>
      <c r="F2154" t="n">
        <v>8027</v>
      </c>
      <c r="G2154" t="n">
        <v>2</v>
      </c>
      <c r="H2154" t="n">
        <v>13</v>
      </c>
      <c r="I2154" t="n">
        <v>0</v>
      </c>
    </row>
    <row r="2155">
      <c r="A2155" t="n">
        <v>2154</v>
      </c>
      <c r="B2155" t="inlineStr">
        <is>
          <t>Train</t>
        </is>
      </c>
      <c r="C2155" t="n">
        <v>4596</v>
      </c>
      <c r="D2155" t="n">
        <v>6300</v>
      </c>
      <c r="E2155" t="n">
        <v>48</v>
      </c>
      <c r="F2155" t="n">
        <v>84042</v>
      </c>
      <c r="G2155" t="n">
        <v>2</v>
      </c>
      <c r="H2155" t="n">
        <v>11</v>
      </c>
      <c r="I2155" t="n">
        <v>263403</v>
      </c>
    </row>
    <row r="2156">
      <c r="A2156" t="n">
        <v>2155</v>
      </c>
      <c r="B2156" t="inlineStr">
        <is>
          <t>Train</t>
        </is>
      </c>
      <c r="C2156" t="n">
        <v>19852</v>
      </c>
      <c r="D2156" t="n">
        <v>27820</v>
      </c>
      <c r="E2156" t="n">
        <v>39</v>
      </c>
      <c r="F2156" t="n">
        <v>88497</v>
      </c>
      <c r="G2156" t="n">
        <v>0</v>
      </c>
      <c r="H2156" t="n">
        <v>11</v>
      </c>
      <c r="I2156" t="n">
        <v>295232</v>
      </c>
    </row>
    <row r="2157">
      <c r="A2157" t="n">
        <v>2156</v>
      </c>
      <c r="B2157" t="inlineStr">
        <is>
          <t>Train</t>
        </is>
      </c>
      <c r="C2157" t="n">
        <v>6675</v>
      </c>
      <c r="D2157" t="n">
        <v>10760</v>
      </c>
      <c r="E2157" t="n">
        <v>49</v>
      </c>
      <c r="F2157" t="n">
        <v>43560</v>
      </c>
      <c r="G2157" t="n">
        <v>3</v>
      </c>
      <c r="H2157" t="n">
        <v>13</v>
      </c>
      <c r="I2157" t="n">
        <v>174690</v>
      </c>
    </row>
    <row r="2158">
      <c r="A2158" t="n">
        <v>2157</v>
      </c>
      <c r="B2158" t="inlineStr">
        <is>
          <t>Validation</t>
        </is>
      </c>
      <c r="C2158" t="n">
        <v>6682</v>
      </c>
      <c r="D2158" t="n">
        <v>8260</v>
      </c>
      <c r="E2158" t="n">
        <v>48</v>
      </c>
      <c r="F2158" t="n">
        <v>111305</v>
      </c>
      <c r="G2158" t="n">
        <v>3</v>
      </c>
      <c r="H2158" t="n">
        <v>10</v>
      </c>
      <c r="I2158" t="n">
        <v>0</v>
      </c>
    </row>
    <row r="2159">
      <c r="A2159" t="n">
        <v>2158</v>
      </c>
      <c r="B2159" t="inlineStr">
        <is>
          <t>Validation</t>
        </is>
      </c>
      <c r="C2159" t="n">
        <v>3618</v>
      </c>
      <c r="D2159" t="n">
        <v>16710</v>
      </c>
      <c r="E2159" t="n">
        <v>45</v>
      </c>
      <c r="F2159" t="n">
        <v>61705</v>
      </c>
      <c r="G2159" t="n">
        <v>0</v>
      </c>
      <c r="H2159" t="n">
        <v>12</v>
      </c>
      <c r="I2159" t="n">
        <v>217907</v>
      </c>
    </row>
    <row r="2160">
      <c r="A2160" t="n">
        <v>2159</v>
      </c>
      <c r="B2160" t="inlineStr">
        <is>
          <t>Validation</t>
        </is>
      </c>
      <c r="C2160" t="n">
        <v>8947</v>
      </c>
      <c r="D2160" t="n">
        <v>18380</v>
      </c>
      <c r="E2160" t="n">
        <v>51</v>
      </c>
      <c r="F2160" t="n">
        <v>117791</v>
      </c>
      <c r="G2160" t="n">
        <v>7</v>
      </c>
      <c r="H2160" t="n">
        <v>10</v>
      </c>
      <c r="I2160" t="n">
        <v>343849</v>
      </c>
    </row>
    <row r="2161">
      <c r="A2161" t="n">
        <v>2160</v>
      </c>
      <c r="B2161" t="inlineStr">
        <is>
          <t>Train</t>
        </is>
      </c>
      <c r="C2161" t="n">
        <v>3079</v>
      </c>
      <c r="D2161" t="n">
        <v>23590</v>
      </c>
      <c r="E2161" t="n">
        <v>48</v>
      </c>
      <c r="F2161" t="n">
        <v>90990</v>
      </c>
      <c r="G2161" t="n">
        <v>4</v>
      </c>
      <c r="H2161" t="n">
        <v>12</v>
      </c>
      <c r="I2161" t="n">
        <v>0</v>
      </c>
    </row>
    <row r="2162">
      <c r="A2162" t="n">
        <v>2161</v>
      </c>
      <c r="B2162" t="inlineStr">
        <is>
          <t>Train</t>
        </is>
      </c>
      <c r="C2162" t="n">
        <v>6403</v>
      </c>
      <c r="D2162" t="n">
        <v>8460</v>
      </c>
      <c r="E2162" t="n">
        <v>39</v>
      </c>
      <c r="F2162" t="n">
        <v>30618</v>
      </c>
      <c r="G2162" t="n">
        <v>4</v>
      </c>
      <c r="H2162" t="n">
        <v>10</v>
      </c>
      <c r="I2162" t="n">
        <v>157285</v>
      </c>
    </row>
    <row r="2163">
      <c r="A2163" t="n">
        <v>2162</v>
      </c>
      <c r="B2163" t="inlineStr">
        <is>
          <t>Train</t>
        </is>
      </c>
      <c r="C2163" t="n">
        <v>11681</v>
      </c>
      <c r="D2163" t="n">
        <v>7600</v>
      </c>
      <c r="E2163" t="n">
        <v>48</v>
      </c>
      <c r="F2163" t="n">
        <v>12981</v>
      </c>
      <c r="G2163" t="n">
        <v>5</v>
      </c>
      <c r="H2163" t="n">
        <v>14</v>
      </c>
      <c r="I2163" t="n">
        <v>142714</v>
      </c>
    </row>
    <row r="2164">
      <c r="A2164" t="n">
        <v>2163</v>
      </c>
      <c r="B2164" t="inlineStr">
        <is>
          <t>Train</t>
        </is>
      </c>
      <c r="C2164" t="n">
        <v>1391</v>
      </c>
      <c r="D2164" t="n">
        <v>3980</v>
      </c>
      <c r="E2164" t="n">
        <v>24</v>
      </c>
      <c r="F2164" t="n">
        <v>803</v>
      </c>
      <c r="G2164" t="n">
        <v>0</v>
      </c>
      <c r="H2164" t="n">
        <v>12</v>
      </c>
      <c r="I2164" t="n">
        <v>114965</v>
      </c>
    </row>
    <row r="2165">
      <c r="A2165" t="n">
        <v>2164</v>
      </c>
      <c r="B2165" t="inlineStr">
        <is>
          <t>Train</t>
        </is>
      </c>
      <c r="C2165" t="n">
        <v>1459</v>
      </c>
      <c r="D2165" t="n">
        <v>9550</v>
      </c>
      <c r="E2165" t="n">
        <v>43</v>
      </c>
      <c r="F2165" t="n">
        <v>37520</v>
      </c>
      <c r="G2165" t="n">
        <v>0</v>
      </c>
      <c r="H2165" t="n">
        <v>11</v>
      </c>
      <c r="I2165" t="n">
        <v>157574</v>
      </c>
    </row>
    <row r="2166">
      <c r="A2166" t="n">
        <v>2165</v>
      </c>
      <c r="B2166" t="inlineStr">
        <is>
          <t>Train</t>
        </is>
      </c>
      <c r="C2166" t="n">
        <v>2743</v>
      </c>
      <c r="D2166" t="n">
        <v>21390</v>
      </c>
      <c r="E2166" t="n">
        <v>39</v>
      </c>
      <c r="F2166" t="n">
        <v>41376</v>
      </c>
      <c r="G2166" t="n">
        <v>4</v>
      </c>
      <c r="H2166" t="n">
        <v>14</v>
      </c>
      <c r="I2166" t="n">
        <v>176065</v>
      </c>
    </row>
    <row r="2167">
      <c r="A2167" t="n">
        <v>2166</v>
      </c>
      <c r="B2167" t="inlineStr">
        <is>
          <t>Train</t>
        </is>
      </c>
      <c r="C2167" t="n">
        <v>9986</v>
      </c>
      <c r="D2167" t="n">
        <v>18510</v>
      </c>
      <c r="E2167" t="n">
        <v>41</v>
      </c>
      <c r="F2167" t="n">
        <v>57615</v>
      </c>
      <c r="G2167" t="n">
        <v>2</v>
      </c>
      <c r="H2167" t="n">
        <v>13</v>
      </c>
      <c r="I2167" t="n">
        <v>181310</v>
      </c>
    </row>
    <row r="2168">
      <c r="A2168" t="n">
        <v>2167</v>
      </c>
      <c r="B2168" t="inlineStr">
        <is>
          <t>Validation</t>
        </is>
      </c>
      <c r="C2168" t="n">
        <v>4006</v>
      </c>
      <c r="D2168" t="n">
        <v>5900</v>
      </c>
      <c r="E2168" t="n">
        <v>40</v>
      </c>
      <c r="F2168" t="n">
        <v>4026</v>
      </c>
      <c r="G2168" t="n">
        <v>3</v>
      </c>
      <c r="H2168" t="n">
        <v>11</v>
      </c>
      <c r="I2168" t="n">
        <v>0</v>
      </c>
    </row>
    <row r="2169">
      <c r="A2169" t="n">
        <v>2168</v>
      </c>
      <c r="B2169" t="inlineStr">
        <is>
          <t>Validation</t>
        </is>
      </c>
      <c r="C2169" t="n">
        <v>5341</v>
      </c>
      <c r="D2169" t="n">
        <v>19840</v>
      </c>
      <c r="E2169" t="n">
        <v>47</v>
      </c>
      <c r="F2169" t="n">
        <v>22358</v>
      </c>
      <c r="G2169" t="n">
        <v>8</v>
      </c>
      <c r="H2169" t="n">
        <v>6</v>
      </c>
      <c r="I2169" t="n">
        <v>0</v>
      </c>
    </row>
    <row r="2170">
      <c r="A2170" t="n">
        <v>2169</v>
      </c>
      <c r="B2170" t="inlineStr">
        <is>
          <t>Validation</t>
        </is>
      </c>
      <c r="C2170" t="n">
        <v>7564</v>
      </c>
      <c r="D2170" t="n">
        <v>16380</v>
      </c>
      <c r="E2170" t="n">
        <v>34</v>
      </c>
      <c r="F2170" t="n">
        <v>33538</v>
      </c>
      <c r="G2170" t="n">
        <v>6</v>
      </c>
      <c r="H2170" t="n">
        <v>9</v>
      </c>
      <c r="I2170" t="n">
        <v>0</v>
      </c>
    </row>
    <row r="2171">
      <c r="A2171" t="n">
        <v>2170</v>
      </c>
      <c r="B2171" t="inlineStr">
        <is>
          <t>Train</t>
        </is>
      </c>
      <c r="C2171" t="n">
        <v>38267</v>
      </c>
      <c r="D2171" t="n">
        <v>23390</v>
      </c>
      <c r="E2171" t="n">
        <v>48</v>
      </c>
      <c r="F2171" t="n">
        <v>51982</v>
      </c>
      <c r="G2171" t="n">
        <v>5</v>
      </c>
      <c r="H2171" t="n">
        <v>14</v>
      </c>
      <c r="I2171" t="n">
        <v>169672</v>
      </c>
    </row>
    <row r="2172">
      <c r="A2172" t="n">
        <v>2171</v>
      </c>
      <c r="B2172" t="inlineStr">
        <is>
          <t>Train</t>
        </is>
      </c>
      <c r="C2172" t="n">
        <v>1105</v>
      </c>
      <c r="D2172" t="n">
        <v>22780</v>
      </c>
      <c r="E2172" t="n">
        <v>49</v>
      </c>
      <c r="F2172" t="n">
        <v>61068</v>
      </c>
      <c r="G2172" t="n">
        <v>5</v>
      </c>
      <c r="H2172" t="n">
        <v>6</v>
      </c>
      <c r="I2172" t="n">
        <v>0</v>
      </c>
    </row>
    <row r="2173">
      <c r="A2173" t="n">
        <v>2172</v>
      </c>
      <c r="B2173" t="inlineStr">
        <is>
          <t>Train</t>
        </is>
      </c>
      <c r="C2173" t="n">
        <v>5866</v>
      </c>
      <c r="D2173" t="n">
        <v>18710</v>
      </c>
      <c r="E2173" t="n">
        <v>52</v>
      </c>
      <c r="F2173" t="n">
        <v>120123</v>
      </c>
      <c r="G2173" t="n">
        <v>1</v>
      </c>
      <c r="H2173" t="n">
        <v>12</v>
      </c>
      <c r="I2173" t="n">
        <v>345102</v>
      </c>
    </row>
    <row r="2174">
      <c r="A2174" t="n">
        <v>2173</v>
      </c>
      <c r="B2174" t="inlineStr">
        <is>
          <t>Train</t>
        </is>
      </c>
      <c r="C2174" t="n">
        <v>8921</v>
      </c>
      <c r="D2174" t="n">
        <v>15020</v>
      </c>
      <c r="E2174" t="n">
        <v>40</v>
      </c>
      <c r="F2174" t="n">
        <v>103903</v>
      </c>
      <c r="G2174" t="n">
        <v>6</v>
      </c>
      <c r="H2174" t="n">
        <v>9</v>
      </c>
      <c r="I2174" t="n">
        <v>0</v>
      </c>
    </row>
    <row r="2175">
      <c r="A2175" t="n">
        <v>2174</v>
      </c>
      <c r="B2175" t="inlineStr">
        <is>
          <t>Train</t>
        </is>
      </c>
      <c r="C2175" t="n">
        <v>1105</v>
      </c>
      <c r="D2175" t="n">
        <v>22480</v>
      </c>
      <c r="E2175" t="n">
        <v>52</v>
      </c>
      <c r="F2175" t="n">
        <v>39157</v>
      </c>
      <c r="G2175" t="n">
        <v>5</v>
      </c>
      <c r="H2175" t="n">
        <v>9</v>
      </c>
      <c r="I2175" t="n">
        <v>130089</v>
      </c>
    </row>
    <row r="2176">
      <c r="A2176" t="n">
        <v>2175</v>
      </c>
      <c r="B2176" t="inlineStr">
        <is>
          <t>Train</t>
        </is>
      </c>
      <c r="C2176" t="n">
        <v>6488</v>
      </c>
      <c r="D2176" t="n">
        <v>10460</v>
      </c>
      <c r="E2176" t="n">
        <v>42</v>
      </c>
      <c r="F2176" t="n">
        <v>19796</v>
      </c>
      <c r="G2176" t="n">
        <v>4</v>
      </c>
      <c r="H2176" t="n">
        <v>15</v>
      </c>
      <c r="I2176" t="n">
        <v>127000</v>
      </c>
    </row>
    <row r="2177">
      <c r="A2177" t="n">
        <v>2176</v>
      </c>
      <c r="B2177" t="inlineStr">
        <is>
          <t>Train</t>
        </is>
      </c>
      <c r="C2177" t="n">
        <v>4845</v>
      </c>
      <c r="D2177" t="n">
        <v>15220</v>
      </c>
      <c r="E2177" t="n">
        <v>39</v>
      </c>
      <c r="F2177" t="n">
        <v>54315</v>
      </c>
      <c r="G2177" t="n">
        <v>5</v>
      </c>
      <c r="H2177" t="n">
        <v>15</v>
      </c>
      <c r="I2177" t="n">
        <v>171738</v>
      </c>
    </row>
    <row r="2178">
      <c r="A2178" t="n">
        <v>2177</v>
      </c>
      <c r="B2178" t="inlineStr">
        <is>
          <t>Validation</t>
        </is>
      </c>
      <c r="C2178" t="n">
        <v>4354</v>
      </c>
      <c r="D2178" t="n">
        <v>9920</v>
      </c>
      <c r="E2178" t="n">
        <v>45</v>
      </c>
      <c r="F2178" t="n">
        <v>93349</v>
      </c>
      <c r="G2178" t="n">
        <v>1</v>
      </c>
      <c r="H2178" t="n">
        <v>11</v>
      </c>
      <c r="I2178" t="n">
        <v>0</v>
      </c>
    </row>
    <row r="2179">
      <c r="A2179" t="n">
        <v>2178</v>
      </c>
      <c r="B2179" t="inlineStr">
        <is>
          <t>Validation</t>
        </is>
      </c>
      <c r="C2179" t="n">
        <v>6848</v>
      </c>
      <c r="D2179" t="n">
        <v>9210</v>
      </c>
      <c r="E2179" t="n">
        <v>39</v>
      </c>
      <c r="F2179" t="n">
        <v>26694</v>
      </c>
      <c r="G2179" t="n">
        <v>0</v>
      </c>
      <c r="H2179" t="n">
        <v>13</v>
      </c>
      <c r="I2179" t="n">
        <v>133159</v>
      </c>
    </row>
    <row r="2180">
      <c r="A2180" t="n">
        <v>2179</v>
      </c>
      <c r="B2180" t="inlineStr">
        <is>
          <t>Validation</t>
        </is>
      </c>
      <c r="C2180" t="n">
        <v>8419</v>
      </c>
      <c r="D2180" t="n">
        <v>22440</v>
      </c>
      <c r="E2180" t="n">
        <v>51</v>
      </c>
      <c r="F2180" t="n">
        <v>67954</v>
      </c>
      <c r="G2180" t="n">
        <v>3</v>
      </c>
      <c r="H2180" t="n">
        <v>4</v>
      </c>
      <c r="I2180" t="n">
        <v>0</v>
      </c>
    </row>
    <row r="2181">
      <c r="A2181" t="n">
        <v>2180</v>
      </c>
      <c r="B2181" t="inlineStr">
        <is>
          <t>Train</t>
        </is>
      </c>
      <c r="C2181" t="n">
        <v>5653</v>
      </c>
      <c r="D2181" t="n">
        <v>30130</v>
      </c>
      <c r="E2181" t="n">
        <v>52</v>
      </c>
      <c r="F2181" t="n">
        <v>63399</v>
      </c>
      <c r="G2181" t="n">
        <v>2</v>
      </c>
      <c r="H2181" t="n">
        <v>14</v>
      </c>
      <c r="I2181" t="n">
        <v>227602</v>
      </c>
    </row>
    <row r="2182">
      <c r="A2182" t="n">
        <v>2181</v>
      </c>
      <c r="B2182" t="inlineStr">
        <is>
          <t>Train</t>
        </is>
      </c>
      <c r="C2182" t="n">
        <v>8112</v>
      </c>
      <c r="D2182" t="n">
        <v>6600</v>
      </c>
      <c r="E2182" t="n">
        <v>51</v>
      </c>
      <c r="F2182" t="n">
        <v>105936</v>
      </c>
      <c r="G2182" t="n">
        <v>0</v>
      </c>
      <c r="H2182" t="n">
        <v>12</v>
      </c>
      <c r="I2182" t="n">
        <v>297381</v>
      </c>
    </row>
    <row r="2183">
      <c r="A2183" t="n">
        <v>2182</v>
      </c>
      <c r="B2183" t="inlineStr">
        <is>
          <t>Train</t>
        </is>
      </c>
      <c r="C2183" t="n">
        <v>5116</v>
      </c>
      <c r="D2183" t="n">
        <v>8260</v>
      </c>
      <c r="E2183" t="n">
        <v>39</v>
      </c>
      <c r="F2183" t="n">
        <v>28585</v>
      </c>
      <c r="G2183" t="n">
        <v>1</v>
      </c>
      <c r="H2183" t="n">
        <v>16</v>
      </c>
      <c r="I2183" t="n">
        <v>125387</v>
      </c>
    </row>
    <row r="2184">
      <c r="A2184" t="n">
        <v>2183</v>
      </c>
      <c r="B2184" t="inlineStr">
        <is>
          <t>Train</t>
        </is>
      </c>
      <c r="C2184" t="n">
        <v>4502</v>
      </c>
      <c r="D2184" t="n">
        <v>6610</v>
      </c>
      <c r="E2184" t="n">
        <v>33</v>
      </c>
      <c r="F2184" t="n">
        <v>34200</v>
      </c>
      <c r="G2184" t="n">
        <v>6</v>
      </c>
      <c r="H2184" t="n">
        <v>13</v>
      </c>
      <c r="I2184" t="n">
        <v>0</v>
      </c>
    </row>
    <row r="2185">
      <c r="A2185" t="n">
        <v>2184</v>
      </c>
      <c r="B2185" t="inlineStr">
        <is>
          <t>Train</t>
        </is>
      </c>
      <c r="C2185" t="n">
        <v>996</v>
      </c>
      <c r="D2185" t="n">
        <v>37070</v>
      </c>
      <c r="E2185" t="n">
        <v>51</v>
      </c>
      <c r="F2185" t="n">
        <v>78329</v>
      </c>
      <c r="G2185" t="n">
        <v>1</v>
      </c>
      <c r="H2185" t="n">
        <v>7</v>
      </c>
      <c r="I2185" t="n">
        <v>255810</v>
      </c>
    </row>
    <row r="2186">
      <c r="A2186" t="n">
        <v>2185</v>
      </c>
      <c r="B2186" t="inlineStr">
        <is>
          <t>Train</t>
        </is>
      </c>
      <c r="C2186" t="n">
        <v>9015</v>
      </c>
      <c r="D2186" t="n">
        <v>12570</v>
      </c>
      <c r="E2186" t="n">
        <v>59</v>
      </c>
      <c r="F2186" t="n">
        <v>45594</v>
      </c>
      <c r="G2186" t="n">
        <v>0</v>
      </c>
      <c r="H2186" t="n">
        <v>14</v>
      </c>
      <c r="I2186" t="n">
        <v>0</v>
      </c>
    </row>
    <row r="2187">
      <c r="A2187" t="n">
        <v>2186</v>
      </c>
      <c r="B2187" t="inlineStr">
        <is>
          <t>Train</t>
        </is>
      </c>
      <c r="C2187" t="n">
        <v>2033</v>
      </c>
      <c r="D2187" t="n">
        <v>24900</v>
      </c>
      <c r="E2187" t="n">
        <v>60</v>
      </c>
      <c r="F2187" t="n">
        <v>8585</v>
      </c>
      <c r="G2187" t="n">
        <v>1</v>
      </c>
      <c r="H2187" t="n">
        <v>15</v>
      </c>
      <c r="I2187" t="n">
        <v>114615</v>
      </c>
    </row>
    <row r="2188">
      <c r="A2188" t="n">
        <v>2187</v>
      </c>
      <c r="B2188" t="inlineStr">
        <is>
          <t>Validation</t>
        </is>
      </c>
      <c r="C2188" t="n">
        <v>5171</v>
      </c>
      <c r="D2188" t="n">
        <v>15810</v>
      </c>
      <c r="E2188" t="n">
        <v>52</v>
      </c>
      <c r="F2188" t="n">
        <v>65268</v>
      </c>
      <c r="G2188" t="n">
        <v>0</v>
      </c>
      <c r="H2188" t="n">
        <v>16</v>
      </c>
      <c r="I2188" t="n">
        <v>288825</v>
      </c>
    </row>
    <row r="2189">
      <c r="A2189" t="n">
        <v>2188</v>
      </c>
      <c r="B2189" t="inlineStr">
        <is>
          <t>Validation</t>
        </is>
      </c>
      <c r="C2189" t="n">
        <v>15541</v>
      </c>
      <c r="D2189" t="n">
        <v>10320</v>
      </c>
      <c r="E2189" t="n">
        <v>54</v>
      </c>
      <c r="F2189" t="n">
        <v>88233</v>
      </c>
      <c r="G2189" t="n">
        <v>3</v>
      </c>
      <c r="H2189" t="n">
        <v>15</v>
      </c>
      <c r="I2189" t="n">
        <v>260694</v>
      </c>
    </row>
    <row r="2190">
      <c r="A2190" t="n">
        <v>2189</v>
      </c>
      <c r="B2190" t="inlineStr">
        <is>
          <t>Validation</t>
        </is>
      </c>
      <c r="C2190" t="n">
        <v>6626</v>
      </c>
      <c r="D2190" t="n">
        <v>32630</v>
      </c>
      <c r="E2190" t="n">
        <v>46</v>
      </c>
      <c r="F2190" t="n">
        <v>60829</v>
      </c>
      <c r="G2190" t="n">
        <v>0</v>
      </c>
      <c r="H2190" t="n">
        <v>13</v>
      </c>
      <c r="I2190" t="n">
        <v>192496</v>
      </c>
    </row>
    <row r="2191">
      <c r="A2191" t="n">
        <v>2190</v>
      </c>
      <c r="B2191" t="inlineStr">
        <is>
          <t>Train</t>
        </is>
      </c>
      <c r="C2191" t="n">
        <v>2371</v>
      </c>
      <c r="D2191" t="n">
        <v>13190</v>
      </c>
      <c r="E2191" t="n">
        <v>55</v>
      </c>
      <c r="F2191" t="n">
        <v>61908</v>
      </c>
      <c r="G2191" t="n">
        <v>1</v>
      </c>
      <c r="H2191" t="n">
        <v>14</v>
      </c>
      <c r="I2191" t="n">
        <v>227345</v>
      </c>
    </row>
    <row r="2192">
      <c r="A2192" t="n">
        <v>2191</v>
      </c>
      <c r="B2192" t="inlineStr">
        <is>
          <t>Train</t>
        </is>
      </c>
      <c r="C2192" t="n">
        <v>3229</v>
      </c>
      <c r="D2192" t="n">
        <v>7730</v>
      </c>
      <c r="E2192" t="n">
        <v>58</v>
      </c>
      <c r="F2192" t="n">
        <v>4334</v>
      </c>
      <c r="G2192" t="n">
        <v>5</v>
      </c>
      <c r="H2192" t="n">
        <v>8</v>
      </c>
      <c r="I2192" t="n">
        <v>0</v>
      </c>
    </row>
    <row r="2193">
      <c r="A2193" t="n">
        <v>2192</v>
      </c>
      <c r="B2193" t="inlineStr">
        <is>
          <t>Train</t>
        </is>
      </c>
      <c r="C2193" t="n">
        <v>1089</v>
      </c>
      <c r="D2193" t="n">
        <v>10530</v>
      </c>
      <c r="E2193" t="n">
        <v>37</v>
      </c>
      <c r="F2193" t="n">
        <v>16069</v>
      </c>
      <c r="G2193" t="n">
        <v>1</v>
      </c>
      <c r="H2193" t="n">
        <v>6</v>
      </c>
      <c r="I2193" t="n">
        <v>137554</v>
      </c>
    </row>
    <row r="2194">
      <c r="A2194" t="n">
        <v>2193</v>
      </c>
      <c r="B2194" t="inlineStr">
        <is>
          <t>Train</t>
        </is>
      </c>
      <c r="C2194" t="n">
        <v>4052</v>
      </c>
      <c r="D2194" t="n">
        <v>16400</v>
      </c>
      <c r="E2194" t="n">
        <v>46</v>
      </c>
      <c r="F2194" t="n">
        <v>96729</v>
      </c>
      <c r="G2194" t="n">
        <v>3</v>
      </c>
      <c r="H2194" t="n">
        <v>12</v>
      </c>
      <c r="I2194" t="n">
        <v>270745</v>
      </c>
    </row>
    <row r="2195">
      <c r="A2195" t="n">
        <v>2194</v>
      </c>
      <c r="B2195" t="inlineStr">
        <is>
          <t>Train</t>
        </is>
      </c>
      <c r="C2195" t="n">
        <v>28621</v>
      </c>
      <c r="D2195" t="n">
        <v>10880</v>
      </c>
      <c r="E2195" t="n">
        <v>46</v>
      </c>
      <c r="F2195" t="n">
        <v>48284</v>
      </c>
      <c r="G2195" t="n">
        <v>2</v>
      </c>
      <c r="H2195" t="n">
        <v>14</v>
      </c>
      <c r="I2195" t="n">
        <v>180887</v>
      </c>
    </row>
    <row r="2196">
      <c r="A2196" t="n">
        <v>2195</v>
      </c>
      <c r="B2196" t="inlineStr">
        <is>
          <t>Train</t>
        </is>
      </c>
      <c r="C2196" t="n">
        <v>20290</v>
      </c>
      <c r="D2196" t="n">
        <v>13200</v>
      </c>
      <c r="E2196" t="n">
        <v>40</v>
      </c>
      <c r="F2196" t="n">
        <v>77047</v>
      </c>
      <c r="G2196" t="n">
        <v>0</v>
      </c>
      <c r="H2196" t="n">
        <v>13</v>
      </c>
      <c r="I2196" t="n">
        <v>239933</v>
      </c>
    </row>
    <row r="2197">
      <c r="A2197" t="n">
        <v>2196</v>
      </c>
      <c r="B2197" t="inlineStr">
        <is>
          <t>Train</t>
        </is>
      </c>
      <c r="C2197" t="n">
        <v>24983</v>
      </c>
      <c r="D2197" t="n">
        <v>13160</v>
      </c>
      <c r="E2197" t="n">
        <v>39</v>
      </c>
      <c r="F2197" t="n">
        <v>77591</v>
      </c>
      <c r="G2197" t="n">
        <v>4</v>
      </c>
      <c r="H2197" t="n">
        <v>10</v>
      </c>
      <c r="I2197" t="n">
        <v>0</v>
      </c>
    </row>
    <row r="2198">
      <c r="A2198" t="n">
        <v>2197</v>
      </c>
      <c r="B2198" t="inlineStr">
        <is>
          <t>Validation</t>
        </is>
      </c>
      <c r="C2198" t="n">
        <v>1225</v>
      </c>
      <c r="D2198" t="n">
        <v>6230</v>
      </c>
      <c r="E2198" t="n">
        <v>33</v>
      </c>
      <c r="F2198" t="n">
        <v>14277</v>
      </c>
      <c r="G2198" t="n">
        <v>3</v>
      </c>
      <c r="H2198" t="n">
        <v>11</v>
      </c>
      <c r="I2198" t="n">
        <v>109348</v>
      </c>
    </row>
    <row r="2199">
      <c r="A2199" t="n">
        <v>2198</v>
      </c>
      <c r="B2199" t="inlineStr">
        <is>
          <t>Validation</t>
        </is>
      </c>
      <c r="C2199" t="n">
        <v>4707</v>
      </c>
      <c r="D2199" t="n">
        <v>8370</v>
      </c>
      <c r="E2199" t="n">
        <v>40</v>
      </c>
      <c r="F2199" t="n">
        <v>52715</v>
      </c>
      <c r="G2199" t="n">
        <v>6</v>
      </c>
      <c r="H2199" t="n">
        <v>11</v>
      </c>
      <c r="I2199" t="n">
        <v>177273</v>
      </c>
    </row>
    <row r="2200">
      <c r="A2200" t="n">
        <v>2199</v>
      </c>
      <c r="B2200" t="inlineStr">
        <is>
          <t>Validation</t>
        </is>
      </c>
      <c r="C2200" t="n">
        <v>8054</v>
      </c>
      <c r="D2200" t="n">
        <v>5900</v>
      </c>
      <c r="E2200" t="n">
        <v>44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2200</v>
      </c>
      <c r="B2201" t="inlineStr">
        <is>
          <t>Train</t>
        </is>
      </c>
      <c r="C2201" t="n">
        <v>5760</v>
      </c>
      <c r="D2201" t="n">
        <v>5200</v>
      </c>
      <c r="E2201" t="n">
        <v>37</v>
      </c>
      <c r="F2201" t="n">
        <v>82971</v>
      </c>
      <c r="G2201" t="n">
        <v>6</v>
      </c>
      <c r="H2201" t="n">
        <v>8</v>
      </c>
      <c r="I2201" t="n">
        <v>240550</v>
      </c>
    </row>
    <row r="2202">
      <c r="A2202" t="n">
        <v>2201</v>
      </c>
      <c r="B2202" t="inlineStr">
        <is>
          <t>Train</t>
        </is>
      </c>
      <c r="C2202" t="n">
        <v>9111</v>
      </c>
      <c r="D2202" t="n">
        <v>1500</v>
      </c>
      <c r="E2202" t="n">
        <v>50</v>
      </c>
      <c r="F2202" t="n">
        <v>40681</v>
      </c>
      <c r="G2202" t="n">
        <v>1</v>
      </c>
      <c r="H2202" t="n">
        <v>6</v>
      </c>
      <c r="I2202" t="n">
        <v>192334</v>
      </c>
    </row>
    <row r="2203">
      <c r="A2203" t="n">
        <v>2202</v>
      </c>
      <c r="B2203" t="inlineStr">
        <is>
          <t>Train</t>
        </is>
      </c>
      <c r="C2203" t="n">
        <v>8339</v>
      </c>
      <c r="D2203" t="n">
        <v>9390</v>
      </c>
      <c r="E2203" t="n">
        <v>44</v>
      </c>
      <c r="F2203" t="n">
        <v>5409</v>
      </c>
      <c r="G2203" t="n">
        <v>4</v>
      </c>
      <c r="H2203" t="n">
        <v>16</v>
      </c>
      <c r="I2203" t="n">
        <v>97653</v>
      </c>
    </row>
    <row r="2204">
      <c r="A2204" t="n">
        <v>2203</v>
      </c>
      <c r="B2204" t="inlineStr">
        <is>
          <t>Train</t>
        </is>
      </c>
      <c r="C2204" t="n">
        <v>7663</v>
      </c>
      <c r="D2204" t="n">
        <v>16130</v>
      </c>
      <c r="E2204" t="n">
        <v>41</v>
      </c>
      <c r="F2204" t="n">
        <v>9785</v>
      </c>
      <c r="G2204" t="n">
        <v>4</v>
      </c>
      <c r="H2204" t="n">
        <v>12</v>
      </c>
      <c r="I2204" t="n">
        <v>92435</v>
      </c>
    </row>
    <row r="2205">
      <c r="A2205" t="n">
        <v>2204</v>
      </c>
      <c r="B2205" t="inlineStr">
        <is>
          <t>Train</t>
        </is>
      </c>
      <c r="C2205" t="n">
        <v>23290</v>
      </c>
      <c r="D2205" t="n">
        <v>15390</v>
      </c>
      <c r="E2205" t="n">
        <v>55</v>
      </c>
      <c r="F2205" t="n">
        <v>113228</v>
      </c>
      <c r="G2205" t="n">
        <v>2</v>
      </c>
      <c r="H2205" t="n">
        <v>13</v>
      </c>
      <c r="I2205" t="n">
        <v>279318</v>
      </c>
    </row>
    <row r="2206">
      <c r="A2206" t="n">
        <v>2205</v>
      </c>
      <c r="B2206" t="inlineStr">
        <is>
          <t>Train</t>
        </is>
      </c>
      <c r="C2206" t="n">
        <v>8935</v>
      </c>
      <c r="D2206" t="n">
        <v>13400</v>
      </c>
      <c r="E2206" t="n">
        <v>45</v>
      </c>
      <c r="F2206" t="n">
        <v>22738</v>
      </c>
      <c r="G2206" t="n">
        <v>4</v>
      </c>
      <c r="H2206" t="n">
        <v>12</v>
      </c>
      <c r="I2206" t="n">
        <v>0</v>
      </c>
    </row>
    <row r="2207">
      <c r="A2207" t="n">
        <v>2206</v>
      </c>
      <c r="B2207" t="inlineStr">
        <is>
          <t>Train</t>
        </is>
      </c>
      <c r="C2207" t="n">
        <v>2091</v>
      </c>
      <c r="D2207" t="n">
        <v>4930</v>
      </c>
      <c r="E2207" t="n">
        <v>44</v>
      </c>
      <c r="F2207" t="n">
        <v>34255</v>
      </c>
      <c r="G2207" t="n">
        <v>3</v>
      </c>
      <c r="H2207" t="n">
        <v>11</v>
      </c>
      <c r="I2207" t="n">
        <v>190620</v>
      </c>
    </row>
    <row r="2208">
      <c r="A2208" t="n">
        <v>2207</v>
      </c>
      <c r="B2208" t="inlineStr">
        <is>
          <t>Validation</t>
        </is>
      </c>
      <c r="C2208" t="n">
        <v>6128</v>
      </c>
      <c r="D2208" t="n">
        <v>10240</v>
      </c>
      <c r="E2208" t="n">
        <v>47</v>
      </c>
      <c r="F2208" t="n">
        <v>40430</v>
      </c>
      <c r="G2208" t="n">
        <v>1</v>
      </c>
      <c r="H2208" t="n">
        <v>11</v>
      </c>
      <c r="I2208" t="n">
        <v>0</v>
      </c>
    </row>
    <row r="2209">
      <c r="A2209" t="n">
        <v>2208</v>
      </c>
      <c r="B2209" t="inlineStr">
        <is>
          <t>Validation</t>
        </is>
      </c>
      <c r="C2209" t="n">
        <v>965</v>
      </c>
      <c r="D2209" t="n">
        <v>7410</v>
      </c>
      <c r="E2209" t="n">
        <v>25</v>
      </c>
      <c r="F2209" t="n">
        <v>23245</v>
      </c>
      <c r="G2209" t="n">
        <v>4</v>
      </c>
      <c r="H2209" t="n">
        <v>11</v>
      </c>
      <c r="I2209" t="n">
        <v>0</v>
      </c>
    </row>
    <row r="2210">
      <c r="A2210" t="n">
        <v>2209</v>
      </c>
      <c r="B2210" t="inlineStr">
        <is>
          <t>Validation</t>
        </is>
      </c>
      <c r="C2210" t="n">
        <v>12861</v>
      </c>
      <c r="D2210" t="n">
        <v>26610</v>
      </c>
      <c r="E2210" t="n">
        <v>46</v>
      </c>
      <c r="F2210" t="n">
        <v>91283</v>
      </c>
      <c r="G2210" t="n">
        <v>0</v>
      </c>
      <c r="H2210" t="n">
        <v>10</v>
      </c>
      <c r="I2210" t="n">
        <v>277520</v>
      </c>
    </row>
    <row r="2211">
      <c r="A2211" t="n">
        <v>2210</v>
      </c>
      <c r="B2211" t="inlineStr">
        <is>
          <t>Train</t>
        </is>
      </c>
      <c r="C2211" t="n">
        <v>32575</v>
      </c>
      <c r="D2211" t="n">
        <v>14670</v>
      </c>
      <c r="E2211" t="n">
        <v>37</v>
      </c>
      <c r="F2211" t="n">
        <v>86372</v>
      </c>
      <c r="G2211" t="n">
        <v>2</v>
      </c>
      <c r="H2211" t="n">
        <v>8</v>
      </c>
      <c r="I2211" t="n">
        <v>256431</v>
      </c>
    </row>
    <row r="2212">
      <c r="A2212" t="n">
        <v>2211</v>
      </c>
      <c r="B2212" t="inlineStr">
        <is>
          <t>Train</t>
        </is>
      </c>
      <c r="C2212" t="n">
        <v>1536</v>
      </c>
      <c r="D2212" t="n">
        <v>4800</v>
      </c>
      <c r="E2212" t="n">
        <v>34</v>
      </c>
      <c r="F2212" t="n">
        <v>55353</v>
      </c>
      <c r="G2212" t="n">
        <v>0</v>
      </c>
      <c r="H2212" t="n">
        <v>12</v>
      </c>
      <c r="I2212" t="n">
        <v>203703</v>
      </c>
    </row>
    <row r="2213">
      <c r="A2213" t="n">
        <v>2212</v>
      </c>
      <c r="B2213" t="inlineStr">
        <is>
          <t>Train</t>
        </is>
      </c>
      <c r="C2213" t="n">
        <v>6079</v>
      </c>
      <c r="D2213" t="n">
        <v>11550</v>
      </c>
      <c r="E2213" t="n">
        <v>51</v>
      </c>
      <c r="F2213" t="n">
        <v>49451</v>
      </c>
      <c r="G2213" t="n">
        <v>2</v>
      </c>
      <c r="H2213" t="n">
        <v>11</v>
      </c>
      <c r="I2213" t="n">
        <v>0</v>
      </c>
    </row>
    <row r="2214">
      <c r="A2214" t="n">
        <v>2213</v>
      </c>
      <c r="B2214" t="inlineStr">
        <is>
          <t>Train</t>
        </is>
      </c>
      <c r="C2214" t="n">
        <v>52102</v>
      </c>
      <c r="D2214" t="n">
        <v>4300</v>
      </c>
      <c r="E2214" t="n">
        <v>28</v>
      </c>
      <c r="F2214" t="n">
        <v>0</v>
      </c>
      <c r="G2214" t="n">
        <v>6</v>
      </c>
      <c r="H2214" t="n">
        <v>0</v>
      </c>
      <c r="I2214" t="n">
        <v>0</v>
      </c>
    </row>
    <row r="2215">
      <c r="A2215" t="n">
        <v>2214</v>
      </c>
      <c r="B2215" t="inlineStr">
        <is>
          <t>Train</t>
        </is>
      </c>
      <c r="C2215" t="n">
        <v>33326</v>
      </c>
      <c r="D2215" t="n">
        <v>17860</v>
      </c>
      <c r="E2215" t="n">
        <v>52</v>
      </c>
      <c r="F2215" t="n">
        <v>100099</v>
      </c>
      <c r="G2215" t="n">
        <v>1</v>
      </c>
      <c r="H2215" t="n">
        <v>9</v>
      </c>
      <c r="I2215" t="n">
        <v>262480</v>
      </c>
    </row>
    <row r="2216">
      <c r="A2216" t="n">
        <v>2215</v>
      </c>
      <c r="B2216" t="inlineStr">
        <is>
          <t>Train</t>
        </is>
      </c>
      <c r="C2216" t="n">
        <v>6499</v>
      </c>
      <c r="D2216" t="n">
        <v>9290</v>
      </c>
      <c r="E2216" t="n">
        <v>46</v>
      </c>
      <c r="F2216" t="n">
        <v>61552</v>
      </c>
      <c r="G2216" t="n">
        <v>4</v>
      </c>
      <c r="H2216" t="n">
        <v>13</v>
      </c>
      <c r="I2216" t="n">
        <v>201807</v>
      </c>
    </row>
    <row r="2217">
      <c r="A2217" t="n">
        <v>2216</v>
      </c>
      <c r="B2217" t="inlineStr">
        <is>
          <t>Train</t>
        </is>
      </c>
      <c r="C2217" t="n">
        <v>3776</v>
      </c>
      <c r="D2217" t="n">
        <v>11280</v>
      </c>
      <c r="E2217" t="n">
        <v>30</v>
      </c>
      <c r="F2217" t="n">
        <v>57411</v>
      </c>
      <c r="G2217" t="n">
        <v>2</v>
      </c>
      <c r="H2217" t="n">
        <v>8</v>
      </c>
      <c r="I2217" t="n">
        <v>150044</v>
      </c>
    </row>
    <row r="2218">
      <c r="A2218" t="n">
        <v>2217</v>
      </c>
      <c r="B2218" t="inlineStr">
        <is>
          <t>Validation</t>
        </is>
      </c>
      <c r="C2218" t="n">
        <v>6602</v>
      </c>
      <c r="D2218" t="n">
        <v>11530</v>
      </c>
      <c r="E2218" t="n">
        <v>44</v>
      </c>
      <c r="F2218" t="n">
        <v>0</v>
      </c>
      <c r="G2218" t="n">
        <v>10</v>
      </c>
      <c r="H2218" t="n">
        <v>0</v>
      </c>
      <c r="I2218" t="n">
        <v>79582</v>
      </c>
    </row>
    <row r="2219">
      <c r="A2219" t="n">
        <v>2218</v>
      </c>
      <c r="B2219" t="inlineStr">
        <is>
          <t>Validation</t>
        </is>
      </c>
      <c r="C2219" t="n">
        <v>10718</v>
      </c>
      <c r="D2219" t="n">
        <v>23340</v>
      </c>
      <c r="E2219" t="n">
        <v>42</v>
      </c>
      <c r="F2219" t="n">
        <v>43301</v>
      </c>
      <c r="G2219" t="n">
        <v>8</v>
      </c>
      <c r="H2219" t="n">
        <v>13</v>
      </c>
      <c r="I2219" t="n">
        <v>163397</v>
      </c>
    </row>
    <row r="2220">
      <c r="A2220" t="n">
        <v>2219</v>
      </c>
      <c r="B2220" t="inlineStr">
        <is>
          <t>Validation</t>
        </is>
      </c>
      <c r="C2220" t="n">
        <v>28816</v>
      </c>
      <c r="D2220" t="n">
        <v>19620</v>
      </c>
      <c r="E2220" t="n">
        <v>42</v>
      </c>
      <c r="F2220" t="n">
        <v>0</v>
      </c>
      <c r="G2220" t="n">
        <v>2</v>
      </c>
      <c r="H2220" t="n">
        <v>0</v>
      </c>
      <c r="I2220" t="n">
        <v>83913</v>
      </c>
    </row>
    <row r="2221">
      <c r="A2221" t="n">
        <v>2220</v>
      </c>
      <c r="B2221" t="inlineStr">
        <is>
          <t>Train</t>
        </is>
      </c>
      <c r="C2221" t="n">
        <v>26118</v>
      </c>
      <c r="D2221" t="n">
        <v>25430</v>
      </c>
      <c r="E2221" t="n">
        <v>42</v>
      </c>
      <c r="F2221" t="n">
        <v>83613</v>
      </c>
      <c r="G2221" t="n">
        <v>2</v>
      </c>
      <c r="H2221" t="n">
        <v>12</v>
      </c>
      <c r="I2221" t="n">
        <v>287044</v>
      </c>
    </row>
    <row r="2222">
      <c r="A2222" t="n">
        <v>2221</v>
      </c>
      <c r="B2222" t="inlineStr">
        <is>
          <t>Train</t>
        </is>
      </c>
      <c r="C2222" t="n">
        <v>6447</v>
      </c>
      <c r="D2222" t="n">
        <v>13840</v>
      </c>
      <c r="E2222" t="n">
        <v>52</v>
      </c>
      <c r="F2222" t="n">
        <v>52000</v>
      </c>
      <c r="G2222" t="n">
        <v>2</v>
      </c>
      <c r="H2222" t="n">
        <v>3</v>
      </c>
      <c r="I2222" t="n">
        <v>0</v>
      </c>
    </row>
    <row r="2223">
      <c r="A2223" t="n">
        <v>2222</v>
      </c>
      <c r="B2223" t="inlineStr">
        <is>
          <t>Train</t>
        </is>
      </c>
      <c r="C2223" t="n">
        <v>1098</v>
      </c>
      <c r="D2223" t="n">
        <v>11140</v>
      </c>
      <c r="E2223" t="n">
        <v>44</v>
      </c>
      <c r="F2223" t="n">
        <v>52351</v>
      </c>
      <c r="G2223" t="n">
        <v>3</v>
      </c>
      <c r="H2223" t="n">
        <v>13</v>
      </c>
      <c r="I2223" t="n">
        <v>229463</v>
      </c>
    </row>
    <row r="2224">
      <c r="A2224" t="n">
        <v>2223</v>
      </c>
      <c r="B2224" t="inlineStr">
        <is>
          <t>Train</t>
        </is>
      </c>
      <c r="C2224" t="n">
        <v>1429</v>
      </c>
      <c r="D2224" t="n">
        <v>23710</v>
      </c>
      <c r="E2224" t="n">
        <v>53</v>
      </c>
      <c r="F2224" t="n">
        <v>58319</v>
      </c>
      <c r="G2224" t="n">
        <v>2</v>
      </c>
      <c r="H2224" t="n">
        <v>12</v>
      </c>
      <c r="I2224" t="n">
        <v>206406</v>
      </c>
    </row>
    <row r="2225">
      <c r="A2225" t="n">
        <v>2224</v>
      </c>
      <c r="B2225" t="inlineStr">
        <is>
          <t>Train</t>
        </is>
      </c>
      <c r="C2225" t="n">
        <v>2481</v>
      </c>
      <c r="D2225" t="n">
        <v>8720</v>
      </c>
      <c r="E2225" t="n">
        <v>36</v>
      </c>
      <c r="F2225" t="n">
        <v>72167</v>
      </c>
      <c r="G2225" t="n">
        <v>0</v>
      </c>
      <c r="H2225" t="n">
        <v>9</v>
      </c>
      <c r="I2225" t="n">
        <v>0</v>
      </c>
    </row>
    <row r="2226">
      <c r="A2226" t="n">
        <v>2225</v>
      </c>
      <c r="B2226" t="inlineStr">
        <is>
          <t>Train</t>
        </is>
      </c>
      <c r="C2226" t="n">
        <v>5442</v>
      </c>
      <c r="D2226" t="n">
        <v>6060</v>
      </c>
      <c r="E2226" t="n">
        <v>53</v>
      </c>
      <c r="F2226" t="n">
        <v>45623</v>
      </c>
      <c r="G2226" t="n">
        <v>5</v>
      </c>
      <c r="H2226" t="n">
        <v>7</v>
      </c>
      <c r="I2226" t="n">
        <v>135118</v>
      </c>
    </row>
    <row r="2227">
      <c r="A2227" t="n">
        <v>2226</v>
      </c>
      <c r="B2227" t="inlineStr">
        <is>
          <t>Train</t>
        </is>
      </c>
      <c r="C2227" t="n">
        <v>2894</v>
      </c>
      <c r="D2227" t="n">
        <v>14370</v>
      </c>
      <c r="E2227" t="n">
        <v>46</v>
      </c>
      <c r="F2227" t="n">
        <v>50112</v>
      </c>
      <c r="G2227" t="n">
        <v>0</v>
      </c>
      <c r="H2227" t="n">
        <v>12</v>
      </c>
      <c r="I2227" t="n">
        <v>185273</v>
      </c>
    </row>
    <row r="2228">
      <c r="A2228" t="n">
        <v>2227</v>
      </c>
      <c r="B2228" t="inlineStr">
        <is>
          <t>Validation</t>
        </is>
      </c>
      <c r="C2228" t="n">
        <v>2658</v>
      </c>
      <c r="D2228" t="n">
        <v>8080</v>
      </c>
      <c r="E2228" t="n">
        <v>54</v>
      </c>
      <c r="F2228" t="n">
        <v>65825</v>
      </c>
      <c r="G2228" t="n">
        <v>0</v>
      </c>
      <c r="H2228" t="n">
        <v>13</v>
      </c>
      <c r="I2228" t="n">
        <v>237062</v>
      </c>
    </row>
    <row r="2229">
      <c r="A2229" t="n">
        <v>2228</v>
      </c>
      <c r="B2229" t="inlineStr">
        <is>
          <t>Validation</t>
        </is>
      </c>
      <c r="C2229" t="n">
        <v>1862</v>
      </c>
      <c r="D2229" t="n">
        <v>6200</v>
      </c>
      <c r="E2229" t="n">
        <v>47</v>
      </c>
      <c r="F2229" t="n">
        <v>10951</v>
      </c>
      <c r="G2229" t="n">
        <v>0</v>
      </c>
      <c r="H2229" t="n">
        <v>13</v>
      </c>
      <c r="I2229" t="n">
        <v>103160</v>
      </c>
    </row>
    <row r="2230">
      <c r="A2230" t="n">
        <v>2229</v>
      </c>
      <c r="B2230" t="inlineStr">
        <is>
          <t>Validation</t>
        </is>
      </c>
      <c r="C2230" t="n">
        <v>8456</v>
      </c>
      <c r="D2230" t="n">
        <v>36350</v>
      </c>
      <c r="E2230" t="n">
        <v>57</v>
      </c>
      <c r="F2230" t="n">
        <v>162818</v>
      </c>
      <c r="G2230" t="n">
        <v>3</v>
      </c>
      <c r="H2230" t="n">
        <v>15</v>
      </c>
      <c r="I2230" t="n">
        <v>427325</v>
      </c>
    </row>
    <row r="2231">
      <c r="A2231" t="n">
        <v>2230</v>
      </c>
      <c r="B2231" t="inlineStr">
        <is>
          <t>Train</t>
        </is>
      </c>
      <c r="C2231" t="n">
        <v>1050</v>
      </c>
      <c r="D2231" t="n">
        <v>10950</v>
      </c>
      <c r="E2231" t="n">
        <v>41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2231</v>
      </c>
      <c r="B2232" t="inlineStr">
        <is>
          <t>Train</t>
        </is>
      </c>
      <c r="C2232" t="n">
        <v>678</v>
      </c>
      <c r="D2232" t="n">
        <v>18650</v>
      </c>
      <c r="E2232" t="n">
        <v>54</v>
      </c>
      <c r="F2232" t="n">
        <v>94709</v>
      </c>
      <c r="G2232" t="n">
        <v>7</v>
      </c>
      <c r="H2232" t="n">
        <v>15</v>
      </c>
      <c r="I2232" t="n">
        <v>272378</v>
      </c>
    </row>
    <row r="2233">
      <c r="A2233" t="n">
        <v>2232</v>
      </c>
      <c r="B2233" t="inlineStr">
        <is>
          <t>Train</t>
        </is>
      </c>
      <c r="C2233" t="n">
        <v>6624</v>
      </c>
      <c r="D2233" t="n">
        <v>11040</v>
      </c>
      <c r="E2233" t="n">
        <v>52</v>
      </c>
      <c r="F2233" t="n">
        <v>43393</v>
      </c>
      <c r="G2233" t="n">
        <v>5</v>
      </c>
      <c r="H2233" t="n">
        <v>13</v>
      </c>
      <c r="I2233" t="n">
        <v>202835</v>
      </c>
    </row>
    <row r="2234">
      <c r="A2234" t="n">
        <v>2233</v>
      </c>
      <c r="B2234" t="inlineStr">
        <is>
          <t>Train</t>
        </is>
      </c>
      <c r="C2234" t="n">
        <v>8827</v>
      </c>
      <c r="D2234" t="n">
        <v>13790</v>
      </c>
      <c r="E2234" t="n">
        <v>49</v>
      </c>
      <c r="F2234" t="n">
        <v>73910</v>
      </c>
      <c r="G2234" t="n">
        <v>6</v>
      </c>
      <c r="H2234" t="n">
        <v>13</v>
      </c>
      <c r="I2234" t="n">
        <v>250498</v>
      </c>
    </row>
    <row r="2235">
      <c r="A2235" t="n">
        <v>2234</v>
      </c>
      <c r="B2235" t="inlineStr">
        <is>
          <t>Train</t>
        </is>
      </c>
      <c r="C2235" t="n">
        <v>40929</v>
      </c>
      <c r="D2235" t="n">
        <v>9580</v>
      </c>
      <c r="E2235" t="n">
        <v>44</v>
      </c>
      <c r="F2235" t="n">
        <v>80824</v>
      </c>
      <c r="G2235" t="n">
        <v>0</v>
      </c>
      <c r="H2235" t="n">
        <v>13</v>
      </c>
      <c r="I2235" t="n">
        <v>259932</v>
      </c>
    </row>
    <row r="2236">
      <c r="A2236" t="n">
        <v>2235</v>
      </c>
      <c r="B2236" t="inlineStr">
        <is>
          <t>Train</t>
        </is>
      </c>
      <c r="C2236" t="n">
        <v>2185</v>
      </c>
      <c r="D2236" t="n">
        <v>5300</v>
      </c>
      <c r="E2236" t="n">
        <v>38</v>
      </c>
      <c r="F2236" t="n">
        <v>0</v>
      </c>
      <c r="G2236" t="n">
        <v>4</v>
      </c>
      <c r="H2236" t="n">
        <v>0</v>
      </c>
      <c r="I2236" t="n">
        <v>0</v>
      </c>
    </row>
    <row r="2237">
      <c r="A2237" t="n">
        <v>2236</v>
      </c>
      <c r="B2237" t="inlineStr">
        <is>
          <t>Train</t>
        </is>
      </c>
      <c r="C2237" t="n">
        <v>10224</v>
      </c>
      <c r="D2237" t="n">
        <v>6100</v>
      </c>
      <c r="E2237" t="n">
        <v>40</v>
      </c>
      <c r="F2237" t="n">
        <v>31162</v>
      </c>
      <c r="G2237" t="n">
        <v>3</v>
      </c>
      <c r="H2237" t="n">
        <v>12</v>
      </c>
      <c r="I2237" t="n">
        <v>0</v>
      </c>
    </row>
    <row r="2238">
      <c r="A2238" t="n">
        <v>2237</v>
      </c>
      <c r="B2238" t="inlineStr">
        <is>
          <t>Validation</t>
        </is>
      </c>
      <c r="C2238" t="n">
        <v>6195</v>
      </c>
      <c r="D2238" t="n">
        <v>9090</v>
      </c>
      <c r="E2238" t="n">
        <v>42</v>
      </c>
      <c r="F2238" t="n">
        <v>0</v>
      </c>
      <c r="G2238" t="n">
        <v>0</v>
      </c>
      <c r="H2238" t="n">
        <v>0</v>
      </c>
      <c r="I2238" t="n">
        <v>93311</v>
      </c>
    </row>
    <row r="2239">
      <c r="A2239" t="n">
        <v>2238</v>
      </c>
      <c r="B2239" t="inlineStr">
        <is>
          <t>Validation</t>
        </is>
      </c>
      <c r="C2239" t="n">
        <v>48993</v>
      </c>
      <c r="D2239" t="n">
        <v>19570</v>
      </c>
      <c r="E2239" t="n">
        <v>54</v>
      </c>
      <c r="F2239" t="n">
        <v>276354</v>
      </c>
      <c r="G2239" t="n">
        <v>0</v>
      </c>
      <c r="H2239" t="n">
        <v>9</v>
      </c>
      <c r="I2239" t="n">
        <v>0</v>
      </c>
    </row>
    <row r="2240">
      <c r="A2240" t="n">
        <v>2239</v>
      </c>
      <c r="B2240" t="inlineStr">
        <is>
          <t>Validation</t>
        </is>
      </c>
      <c r="C2240" t="n">
        <v>4436</v>
      </c>
      <c r="D2240" t="n">
        <v>11510</v>
      </c>
      <c r="E2240" t="n">
        <v>45</v>
      </c>
      <c r="F2240" t="n">
        <v>29955</v>
      </c>
      <c r="G2240" t="n">
        <v>1</v>
      </c>
      <c r="H2240" t="n">
        <v>6</v>
      </c>
      <c r="I2240" t="n">
        <v>86034</v>
      </c>
    </row>
    <row r="2241">
      <c r="A2241" t="n">
        <v>2240</v>
      </c>
      <c r="B2241" t="inlineStr">
        <is>
          <t>Train</t>
        </is>
      </c>
      <c r="C2241" t="n">
        <v>8216</v>
      </c>
      <c r="D2241" t="n">
        <v>12200</v>
      </c>
      <c r="E2241" t="n">
        <v>40</v>
      </c>
      <c r="F2241" t="n">
        <v>66987</v>
      </c>
      <c r="G2241" t="n">
        <v>6</v>
      </c>
      <c r="H2241" t="n">
        <v>16</v>
      </c>
      <c r="I2241" t="n">
        <v>236897</v>
      </c>
    </row>
    <row r="2242">
      <c r="A2242" t="n">
        <v>2241</v>
      </c>
      <c r="B2242" t="inlineStr">
        <is>
          <t>Train</t>
        </is>
      </c>
      <c r="C2242" t="n">
        <v>2083</v>
      </c>
      <c r="D2242" t="n">
        <v>12710</v>
      </c>
      <c r="E2242" t="n">
        <v>25</v>
      </c>
      <c r="F2242" t="n">
        <v>35714</v>
      </c>
      <c r="G2242" t="n">
        <v>6</v>
      </c>
      <c r="H2242" t="n">
        <v>10</v>
      </c>
      <c r="I2242" t="n">
        <v>0</v>
      </c>
    </row>
    <row r="2243">
      <c r="A2243" t="n">
        <v>2242</v>
      </c>
      <c r="B2243" t="inlineStr">
        <is>
          <t>Train</t>
        </is>
      </c>
      <c r="C2243" t="n">
        <v>3810</v>
      </c>
      <c r="D2243" t="n">
        <v>14030</v>
      </c>
      <c r="E2243" t="n">
        <v>50</v>
      </c>
      <c r="F2243" t="n">
        <v>59812</v>
      </c>
      <c r="G2243" t="n">
        <v>0</v>
      </c>
      <c r="H2243" t="n">
        <v>9</v>
      </c>
      <c r="I2243" t="n">
        <v>0</v>
      </c>
    </row>
    <row r="2244">
      <c r="A2244" t="n">
        <v>2243</v>
      </c>
      <c r="B2244" t="inlineStr">
        <is>
          <t>Train</t>
        </is>
      </c>
      <c r="C2244" t="n">
        <v>5689</v>
      </c>
      <c r="D2244" t="n">
        <v>44130</v>
      </c>
      <c r="E2244" t="n">
        <v>51</v>
      </c>
      <c r="F2244" t="n">
        <v>74343</v>
      </c>
      <c r="G2244" t="n">
        <v>0</v>
      </c>
      <c r="H2244" t="n">
        <v>8</v>
      </c>
      <c r="I2244" t="n">
        <v>222957</v>
      </c>
    </row>
    <row r="2245">
      <c r="A2245" t="n">
        <v>2244</v>
      </c>
      <c r="B2245" t="inlineStr">
        <is>
          <t>Train</t>
        </is>
      </c>
      <c r="C2245" t="n">
        <v>4671</v>
      </c>
      <c r="D2245" t="n">
        <v>5900</v>
      </c>
      <c r="E2245" t="n">
        <v>45</v>
      </c>
      <c r="F2245" t="n">
        <v>44138</v>
      </c>
      <c r="G2245" t="n">
        <v>2</v>
      </c>
      <c r="H2245" t="n">
        <v>15</v>
      </c>
      <c r="I2245" t="n">
        <v>135756</v>
      </c>
    </row>
    <row r="2246">
      <c r="A2246" t="n">
        <v>2245</v>
      </c>
      <c r="B2246" t="inlineStr">
        <is>
          <t>Train</t>
        </is>
      </c>
      <c r="C2246" t="n">
        <v>6033</v>
      </c>
      <c r="D2246" t="n">
        <v>5600</v>
      </c>
      <c r="E2246" t="n">
        <v>41</v>
      </c>
      <c r="F2246" t="n">
        <v>43743</v>
      </c>
      <c r="G2246" t="n">
        <v>5</v>
      </c>
      <c r="H2246" t="n">
        <v>12</v>
      </c>
      <c r="I2246" t="n">
        <v>161096</v>
      </c>
    </row>
    <row r="2247">
      <c r="A2247" t="n">
        <v>2246</v>
      </c>
      <c r="B2247" t="inlineStr">
        <is>
          <t>Train</t>
        </is>
      </c>
      <c r="C2247" t="n">
        <v>3319</v>
      </c>
      <c r="D2247" t="n">
        <v>24680</v>
      </c>
      <c r="E2247" t="n">
        <v>48</v>
      </c>
      <c r="F2247" t="n">
        <v>77344</v>
      </c>
      <c r="G2247" t="n">
        <v>2</v>
      </c>
      <c r="H2247" t="n">
        <v>9</v>
      </c>
      <c r="I2247" t="n">
        <v>242830</v>
      </c>
    </row>
    <row r="2248">
      <c r="A2248" t="n">
        <v>2247</v>
      </c>
      <c r="B2248" t="inlineStr">
        <is>
          <t>Validation</t>
        </is>
      </c>
      <c r="C2248" t="n">
        <v>6699</v>
      </c>
      <c r="D2248" t="n">
        <v>9990</v>
      </c>
      <c r="E2248" t="n">
        <v>47</v>
      </c>
      <c r="F2248" t="n">
        <v>138524</v>
      </c>
      <c r="G2248" t="n">
        <v>4</v>
      </c>
      <c r="H2248" t="n">
        <v>14</v>
      </c>
      <c r="I2248" t="n">
        <v>391739</v>
      </c>
    </row>
    <row r="2249">
      <c r="A2249" t="n">
        <v>2248</v>
      </c>
      <c r="B2249" t="inlineStr">
        <is>
          <t>Validation</t>
        </is>
      </c>
      <c r="C2249" t="n">
        <v>7704</v>
      </c>
      <c r="D2249" t="n">
        <v>19250</v>
      </c>
      <c r="E2249" t="n">
        <v>45</v>
      </c>
      <c r="F2249" t="n">
        <v>121880</v>
      </c>
      <c r="G2249" t="n">
        <v>0</v>
      </c>
      <c r="H2249" t="n">
        <v>14</v>
      </c>
      <c r="I2249" t="n">
        <v>319026</v>
      </c>
    </row>
    <row r="2250">
      <c r="A2250" t="n">
        <v>2249</v>
      </c>
      <c r="B2250" t="inlineStr">
        <is>
          <t>Validation</t>
        </is>
      </c>
      <c r="C2250" t="n">
        <v>9484</v>
      </c>
      <c r="D2250" t="n">
        <v>22390</v>
      </c>
      <c r="E2250" t="n">
        <v>44</v>
      </c>
      <c r="F2250" t="n">
        <v>48718</v>
      </c>
      <c r="G2250" t="n">
        <v>1</v>
      </c>
      <c r="H2250" t="n">
        <v>11</v>
      </c>
      <c r="I2250" t="n">
        <v>0</v>
      </c>
    </row>
    <row r="2251">
      <c r="A2251" t="n">
        <v>2250</v>
      </c>
      <c r="B2251" t="inlineStr">
        <is>
          <t>Train</t>
        </is>
      </c>
      <c r="C2251" t="n">
        <v>1995</v>
      </c>
      <c r="D2251" t="n">
        <v>10720</v>
      </c>
      <c r="E2251" t="n">
        <v>40</v>
      </c>
      <c r="F2251" t="n">
        <v>52210</v>
      </c>
      <c r="G2251" t="n">
        <v>0</v>
      </c>
      <c r="H2251" t="n">
        <v>15</v>
      </c>
      <c r="I2251" t="n">
        <v>129915</v>
      </c>
    </row>
    <row r="2252">
      <c r="A2252" t="n">
        <v>2251</v>
      </c>
      <c r="B2252" t="inlineStr">
        <is>
          <t>Train</t>
        </is>
      </c>
      <c r="C2252" t="n">
        <v>2335</v>
      </c>
      <c r="D2252" t="n">
        <v>15060</v>
      </c>
      <c r="E2252" t="n">
        <v>55</v>
      </c>
      <c r="F2252" t="n">
        <v>80567</v>
      </c>
      <c r="G2252" t="n">
        <v>2</v>
      </c>
      <c r="H2252" t="n">
        <v>13</v>
      </c>
      <c r="I2252" t="n">
        <v>274721</v>
      </c>
    </row>
    <row r="2253">
      <c r="A2253" t="n">
        <v>2252</v>
      </c>
      <c r="B2253" t="inlineStr">
        <is>
          <t>Train</t>
        </is>
      </c>
      <c r="C2253" t="n">
        <v>13251</v>
      </c>
      <c r="D2253" t="n">
        <v>8410</v>
      </c>
      <c r="E2253" t="n">
        <v>46</v>
      </c>
      <c r="F2253" t="n">
        <v>63990</v>
      </c>
      <c r="G2253" t="n">
        <v>3</v>
      </c>
      <c r="H2253" t="n">
        <v>9</v>
      </c>
      <c r="I2253" t="n">
        <v>228402</v>
      </c>
    </row>
    <row r="2254">
      <c r="A2254" t="n">
        <v>2253</v>
      </c>
      <c r="B2254" t="inlineStr">
        <is>
          <t>Train</t>
        </is>
      </c>
      <c r="C2254" t="n">
        <v>2526</v>
      </c>
      <c r="D2254" t="n">
        <v>16040</v>
      </c>
      <c r="E2254" t="n">
        <v>47</v>
      </c>
      <c r="F2254" t="n">
        <v>88078</v>
      </c>
      <c r="G2254" t="n">
        <v>0</v>
      </c>
      <c r="H2254" t="n">
        <v>13</v>
      </c>
      <c r="I2254" t="n">
        <v>279722</v>
      </c>
    </row>
    <row r="2255">
      <c r="A2255" t="n">
        <v>2254</v>
      </c>
      <c r="B2255" t="inlineStr">
        <is>
          <t>Train</t>
        </is>
      </c>
      <c r="C2255" t="n">
        <v>8898</v>
      </c>
      <c r="D2255" t="n">
        <v>31300</v>
      </c>
      <c r="E2255" t="n">
        <v>44</v>
      </c>
      <c r="F2255" t="n">
        <v>86510</v>
      </c>
      <c r="G2255" t="n">
        <v>0</v>
      </c>
      <c r="H2255" t="n">
        <v>7</v>
      </c>
      <c r="I2255" t="n">
        <v>0</v>
      </c>
    </row>
    <row r="2256">
      <c r="A2256" t="n">
        <v>2255</v>
      </c>
      <c r="B2256" t="inlineStr">
        <is>
          <t>Train</t>
        </is>
      </c>
      <c r="C2256" t="n">
        <v>5841</v>
      </c>
      <c r="D2256" t="n">
        <v>27140</v>
      </c>
      <c r="E2256" t="n">
        <v>50</v>
      </c>
      <c r="F2256" t="n">
        <v>93870</v>
      </c>
      <c r="G2256" t="n">
        <v>3</v>
      </c>
      <c r="H2256" t="n">
        <v>8</v>
      </c>
      <c r="I2256" t="n">
        <v>286090</v>
      </c>
    </row>
    <row r="2257">
      <c r="A2257" t="n">
        <v>2256</v>
      </c>
      <c r="B2257" t="inlineStr">
        <is>
          <t>Train</t>
        </is>
      </c>
      <c r="C2257" t="n">
        <v>6055</v>
      </c>
      <c r="D2257" t="n">
        <v>14990</v>
      </c>
      <c r="E2257" t="n">
        <v>38</v>
      </c>
      <c r="F2257" t="n">
        <v>21001</v>
      </c>
      <c r="G2257" t="n">
        <v>5</v>
      </c>
      <c r="H2257" t="n">
        <v>9</v>
      </c>
      <c r="I2257" t="n">
        <v>110313</v>
      </c>
    </row>
    <row r="2258">
      <c r="A2258" t="n">
        <v>2257</v>
      </c>
      <c r="B2258" t="inlineStr">
        <is>
          <t>Validation</t>
        </is>
      </c>
      <c r="C2258" t="n">
        <v>5162</v>
      </c>
      <c r="D2258" t="n">
        <v>23470</v>
      </c>
      <c r="E2258" t="n">
        <v>45</v>
      </c>
      <c r="F2258" t="n">
        <v>20094</v>
      </c>
      <c r="G2258" t="n">
        <v>0</v>
      </c>
      <c r="H2258" t="n">
        <v>14</v>
      </c>
      <c r="I2258" t="n">
        <v>125307</v>
      </c>
    </row>
    <row r="2259">
      <c r="A2259" t="n">
        <v>2258</v>
      </c>
      <c r="B2259" t="inlineStr">
        <is>
          <t>Validation</t>
        </is>
      </c>
      <c r="C2259" t="n">
        <v>27090</v>
      </c>
      <c r="D2259" t="n">
        <v>14300</v>
      </c>
      <c r="E2259" t="n">
        <v>42</v>
      </c>
      <c r="F2259" t="n">
        <v>7313</v>
      </c>
      <c r="G2259" t="n">
        <v>5</v>
      </c>
      <c r="H2259" t="n">
        <v>13</v>
      </c>
      <c r="I2259" t="n">
        <v>94969</v>
      </c>
    </row>
    <row r="2260">
      <c r="A2260" t="n">
        <v>2259</v>
      </c>
      <c r="B2260" t="inlineStr">
        <is>
          <t>Validation</t>
        </is>
      </c>
      <c r="C2260" t="n">
        <v>5252</v>
      </c>
      <c r="D2260" t="n">
        <v>7280</v>
      </c>
      <c r="E2260" t="n">
        <v>55</v>
      </c>
      <c r="F2260" t="n">
        <v>45954</v>
      </c>
      <c r="G2260" t="n">
        <v>0</v>
      </c>
      <c r="H2260" t="n">
        <v>12</v>
      </c>
      <c r="I2260" t="n">
        <v>0</v>
      </c>
    </row>
    <row r="2261">
      <c r="A2261" t="n">
        <v>2260</v>
      </c>
      <c r="B2261" t="inlineStr">
        <is>
          <t>Train</t>
        </is>
      </c>
      <c r="C2261" t="n">
        <v>7852</v>
      </c>
      <c r="D2261" t="n">
        <v>8130</v>
      </c>
      <c r="E2261" t="n">
        <v>45</v>
      </c>
      <c r="F2261" t="n">
        <v>21335</v>
      </c>
      <c r="G2261" t="n">
        <v>10</v>
      </c>
      <c r="H2261" t="n">
        <v>13</v>
      </c>
      <c r="I2261" t="n">
        <v>0</v>
      </c>
    </row>
    <row r="2262">
      <c r="A2262" t="n">
        <v>2261</v>
      </c>
      <c r="B2262" t="inlineStr">
        <is>
          <t>Train</t>
        </is>
      </c>
      <c r="C2262" t="n">
        <v>2986</v>
      </c>
      <c r="D2262" t="n">
        <v>6100</v>
      </c>
      <c r="E2262" t="n">
        <v>46</v>
      </c>
      <c r="F2262" t="n">
        <v>49680</v>
      </c>
      <c r="G2262" t="n">
        <v>0</v>
      </c>
      <c r="H2262" t="n">
        <v>9</v>
      </c>
      <c r="I2262" t="n">
        <v>228046</v>
      </c>
    </row>
    <row r="2263">
      <c r="A2263" t="n">
        <v>2262</v>
      </c>
      <c r="B2263" t="inlineStr">
        <is>
          <t>Train</t>
        </is>
      </c>
      <c r="C2263" t="n">
        <v>1520</v>
      </c>
      <c r="D2263" t="n">
        <v>12120</v>
      </c>
      <c r="E2263" t="n">
        <v>54</v>
      </c>
      <c r="F2263" t="n">
        <v>52206</v>
      </c>
      <c r="G2263" t="n">
        <v>8</v>
      </c>
      <c r="H2263" t="n">
        <v>6</v>
      </c>
      <c r="I2263" t="n">
        <v>188403</v>
      </c>
    </row>
    <row r="2264">
      <c r="A2264" t="n">
        <v>2263</v>
      </c>
      <c r="B2264" t="inlineStr">
        <is>
          <t>Train</t>
        </is>
      </c>
      <c r="C2264" t="n">
        <v>4994</v>
      </c>
      <c r="D2264" t="n">
        <v>9040</v>
      </c>
      <c r="E2264" t="n">
        <v>45</v>
      </c>
      <c r="F2264" t="n">
        <v>30403</v>
      </c>
      <c r="G2264" t="n">
        <v>0</v>
      </c>
      <c r="H2264" t="n">
        <v>14</v>
      </c>
      <c r="I2264" t="n">
        <v>144522</v>
      </c>
    </row>
    <row r="2265">
      <c r="A2265" t="n">
        <v>2264</v>
      </c>
      <c r="B2265" t="inlineStr">
        <is>
          <t>Train</t>
        </is>
      </c>
      <c r="C2265" t="n">
        <v>6307</v>
      </c>
      <c r="D2265" t="n">
        <v>8760</v>
      </c>
      <c r="E2265" t="n">
        <v>41</v>
      </c>
      <c r="F2265" t="n">
        <v>0</v>
      </c>
      <c r="G2265" t="n">
        <v>7</v>
      </c>
      <c r="H2265" t="n">
        <v>0</v>
      </c>
      <c r="I2265" t="n">
        <v>0</v>
      </c>
    </row>
    <row r="2266">
      <c r="A2266" t="n">
        <v>2265</v>
      </c>
      <c r="B2266" t="inlineStr">
        <is>
          <t>Train</t>
        </is>
      </c>
      <c r="C2266" t="n">
        <v>5255</v>
      </c>
      <c r="D2266" t="n">
        <v>30260</v>
      </c>
      <c r="E2266" t="n">
        <v>38</v>
      </c>
      <c r="F2266" t="n">
        <v>105307</v>
      </c>
      <c r="G2266" t="n">
        <v>3</v>
      </c>
      <c r="H2266" t="n">
        <v>11</v>
      </c>
      <c r="I2266" t="n">
        <v>281950</v>
      </c>
    </row>
    <row r="2267">
      <c r="A2267" t="n">
        <v>2266</v>
      </c>
      <c r="B2267" t="inlineStr">
        <is>
          <t>Train</t>
        </is>
      </c>
      <c r="C2267" t="n">
        <v>7848</v>
      </c>
      <c r="D2267" t="n">
        <v>18820</v>
      </c>
      <c r="E2267" t="n">
        <v>46</v>
      </c>
      <c r="F2267" t="n">
        <v>68485</v>
      </c>
      <c r="G2267" t="n">
        <v>0</v>
      </c>
      <c r="H2267" t="n">
        <v>10</v>
      </c>
      <c r="I2267" t="n">
        <v>228016</v>
      </c>
    </row>
    <row r="2268">
      <c r="A2268" t="n">
        <v>2267</v>
      </c>
      <c r="B2268" t="inlineStr">
        <is>
          <t>Validation</t>
        </is>
      </c>
      <c r="C2268" t="n">
        <v>34027</v>
      </c>
      <c r="D2268" t="n">
        <v>8720</v>
      </c>
      <c r="E2268" t="n">
        <v>47</v>
      </c>
      <c r="F2268" t="n">
        <v>30960</v>
      </c>
      <c r="G2268" t="n">
        <v>8</v>
      </c>
      <c r="H2268" t="n">
        <v>11</v>
      </c>
      <c r="I2268" t="n">
        <v>190150</v>
      </c>
    </row>
    <row r="2269">
      <c r="A2269" t="n">
        <v>2268</v>
      </c>
      <c r="B2269" t="inlineStr">
        <is>
          <t>Validation</t>
        </is>
      </c>
      <c r="C2269" t="n">
        <v>8658</v>
      </c>
      <c r="D2269" t="n">
        <v>4640</v>
      </c>
      <c r="E2269" t="n">
        <v>29</v>
      </c>
      <c r="F2269" t="n">
        <v>0</v>
      </c>
      <c r="G2269" t="n">
        <v>2</v>
      </c>
      <c r="H2269" t="n">
        <v>0</v>
      </c>
      <c r="I2269" t="n">
        <v>0</v>
      </c>
    </row>
    <row r="2270">
      <c r="A2270" t="n">
        <v>2269</v>
      </c>
      <c r="B2270" t="inlineStr">
        <is>
          <t>Validation</t>
        </is>
      </c>
      <c r="C2270" t="n">
        <v>2491</v>
      </c>
      <c r="D2270" t="n">
        <v>33760</v>
      </c>
      <c r="E2270" t="n">
        <v>37</v>
      </c>
      <c r="F2270" t="n">
        <v>116092</v>
      </c>
      <c r="G2270" t="n">
        <v>7</v>
      </c>
      <c r="H2270" t="n">
        <v>9</v>
      </c>
      <c r="I2270" t="n">
        <v>0</v>
      </c>
    </row>
    <row r="2271">
      <c r="A2271" t="n">
        <v>2270</v>
      </c>
      <c r="B2271" t="inlineStr">
        <is>
          <t>Train</t>
        </is>
      </c>
      <c r="C2271" t="n">
        <v>5014</v>
      </c>
      <c r="D2271" t="n">
        <v>13780</v>
      </c>
      <c r="E2271" t="n">
        <v>40</v>
      </c>
      <c r="F2271" t="n">
        <v>61105</v>
      </c>
      <c r="G2271" t="n">
        <v>0</v>
      </c>
      <c r="H2271" t="n">
        <v>14</v>
      </c>
      <c r="I2271" t="n">
        <v>158995</v>
      </c>
    </row>
    <row r="2272">
      <c r="A2272" t="n">
        <v>2271</v>
      </c>
      <c r="B2272" t="inlineStr">
        <is>
          <t>Train</t>
        </is>
      </c>
      <c r="C2272" t="n">
        <v>4701</v>
      </c>
      <c r="D2272" t="n">
        <v>11420</v>
      </c>
      <c r="E2272" t="n">
        <v>48</v>
      </c>
      <c r="F2272" t="n">
        <v>78990</v>
      </c>
      <c r="G2272" t="n">
        <v>0</v>
      </c>
      <c r="H2272" t="n">
        <v>12</v>
      </c>
      <c r="I2272" t="n">
        <v>247318</v>
      </c>
    </row>
    <row r="2273">
      <c r="A2273" t="n">
        <v>2272</v>
      </c>
      <c r="B2273" t="inlineStr">
        <is>
          <t>Train</t>
        </is>
      </c>
      <c r="C2273" t="n">
        <v>2714</v>
      </c>
      <c r="D2273" t="n">
        <v>10870</v>
      </c>
      <c r="E2273" t="n">
        <v>33</v>
      </c>
      <c r="F2273" t="n">
        <v>60707</v>
      </c>
      <c r="G2273" t="n">
        <v>3</v>
      </c>
      <c r="H2273" t="n">
        <v>12</v>
      </c>
      <c r="I2273" t="n">
        <v>208744</v>
      </c>
    </row>
    <row r="2274">
      <c r="A2274" t="n">
        <v>2273</v>
      </c>
      <c r="B2274" t="inlineStr">
        <is>
          <t>Train</t>
        </is>
      </c>
      <c r="C2274" t="n">
        <v>37157</v>
      </c>
      <c r="D2274" t="n">
        <v>10610</v>
      </c>
      <c r="E2274" t="n">
        <v>46</v>
      </c>
      <c r="F2274" t="n">
        <v>45100</v>
      </c>
      <c r="G2274" t="n">
        <v>0</v>
      </c>
      <c r="H2274" t="n">
        <v>13</v>
      </c>
      <c r="I2274" t="n">
        <v>0</v>
      </c>
    </row>
    <row r="2275">
      <c r="A2275" t="n">
        <v>2274</v>
      </c>
      <c r="B2275" t="inlineStr">
        <is>
          <t>Train</t>
        </is>
      </c>
      <c r="C2275" t="n">
        <v>953</v>
      </c>
      <c r="D2275" t="n">
        <v>3170</v>
      </c>
      <c r="E2275" t="n">
        <v>29</v>
      </c>
      <c r="F2275" t="n">
        <v>22428</v>
      </c>
      <c r="G2275" t="n">
        <v>5</v>
      </c>
      <c r="H2275" t="n">
        <v>7</v>
      </c>
      <c r="I2275" t="n">
        <v>120624</v>
      </c>
    </row>
    <row r="2276">
      <c r="A2276" t="n">
        <v>2275</v>
      </c>
      <c r="B2276" t="inlineStr">
        <is>
          <t>Train</t>
        </is>
      </c>
      <c r="C2276" t="n">
        <v>7013</v>
      </c>
      <c r="D2276" t="n">
        <v>6600</v>
      </c>
      <c r="E2276" t="n">
        <v>50</v>
      </c>
      <c r="F2276" t="n">
        <v>93034</v>
      </c>
      <c r="G2276" t="n">
        <v>0</v>
      </c>
      <c r="H2276" t="n">
        <v>11</v>
      </c>
      <c r="I2276" t="n">
        <v>273493</v>
      </c>
    </row>
    <row r="2277">
      <c r="A2277" t="n">
        <v>2276</v>
      </c>
      <c r="B2277" t="inlineStr">
        <is>
          <t>Train</t>
        </is>
      </c>
      <c r="C2277" t="n">
        <v>2680</v>
      </c>
      <c r="D2277" t="n">
        <v>8860</v>
      </c>
      <c r="E2277" t="n">
        <v>41</v>
      </c>
      <c r="F2277" t="n">
        <v>73581</v>
      </c>
      <c r="G2277" t="n">
        <v>9</v>
      </c>
      <c r="H2277" t="n">
        <v>14</v>
      </c>
      <c r="I2277" t="n">
        <v>237829</v>
      </c>
    </row>
    <row r="2278">
      <c r="A2278" t="n">
        <v>2277</v>
      </c>
      <c r="B2278" t="inlineStr">
        <is>
          <t>Validation</t>
        </is>
      </c>
      <c r="C2278" t="n">
        <v>31812</v>
      </c>
      <c r="D2278" t="n">
        <v>8400</v>
      </c>
      <c r="E2278" t="n">
        <v>41</v>
      </c>
      <c r="F2278" t="n">
        <v>28034</v>
      </c>
      <c r="G2278" t="n">
        <v>2</v>
      </c>
      <c r="H2278" t="n">
        <v>12</v>
      </c>
      <c r="I2278" t="n">
        <v>134937</v>
      </c>
    </row>
    <row r="2279">
      <c r="A2279" t="n">
        <v>2278</v>
      </c>
      <c r="B2279" t="inlineStr">
        <is>
          <t>Validation</t>
        </is>
      </c>
      <c r="C2279" t="n">
        <v>25208</v>
      </c>
      <c r="D2279" t="n">
        <v>17680</v>
      </c>
      <c r="E2279" t="n">
        <v>37</v>
      </c>
      <c r="F2279" t="n">
        <v>88137</v>
      </c>
      <c r="G2279" t="n">
        <v>0</v>
      </c>
      <c r="H2279" t="n">
        <v>13</v>
      </c>
      <c r="I2279" t="n">
        <v>256436</v>
      </c>
    </row>
    <row r="2280">
      <c r="A2280" t="n">
        <v>2279</v>
      </c>
      <c r="B2280" t="inlineStr">
        <is>
          <t>Validation</t>
        </is>
      </c>
      <c r="C2280" t="n">
        <v>4444</v>
      </c>
      <c r="D2280" t="n">
        <v>11230</v>
      </c>
      <c r="E2280" t="n">
        <v>44</v>
      </c>
      <c r="F2280" t="n">
        <v>53303</v>
      </c>
      <c r="G2280" t="n">
        <v>3</v>
      </c>
      <c r="H2280" t="n">
        <v>14</v>
      </c>
      <c r="I2280" t="n">
        <v>207701</v>
      </c>
    </row>
    <row r="2281">
      <c r="A2281" t="n">
        <v>2280</v>
      </c>
      <c r="B2281" t="inlineStr">
        <is>
          <t>Train</t>
        </is>
      </c>
      <c r="C2281" t="n">
        <v>25979</v>
      </c>
      <c r="D2281" t="n">
        <v>17080</v>
      </c>
      <c r="E2281" t="n">
        <v>51</v>
      </c>
      <c r="F2281" t="n">
        <v>104756</v>
      </c>
      <c r="G2281" t="n">
        <v>3</v>
      </c>
      <c r="H2281" t="n">
        <v>15</v>
      </c>
      <c r="I2281" t="n">
        <v>284859</v>
      </c>
    </row>
    <row r="2282">
      <c r="A2282" t="n">
        <v>2281</v>
      </c>
      <c r="B2282" t="inlineStr">
        <is>
          <t>Train</t>
        </is>
      </c>
      <c r="C2282" t="n">
        <v>10821</v>
      </c>
      <c r="D2282" t="n">
        <v>20060</v>
      </c>
      <c r="E2282" t="n">
        <v>34</v>
      </c>
      <c r="F2282" t="n">
        <v>17949</v>
      </c>
      <c r="G2282" t="n">
        <v>6</v>
      </c>
      <c r="H2282" t="n">
        <v>17</v>
      </c>
      <c r="I2282" t="n">
        <v>100773</v>
      </c>
    </row>
    <row r="2283">
      <c r="A2283" t="n">
        <v>2282</v>
      </c>
      <c r="B2283" t="inlineStr">
        <is>
          <t>Train</t>
        </is>
      </c>
      <c r="C2283" t="n">
        <v>43963</v>
      </c>
      <c r="D2283" t="n">
        <v>6500</v>
      </c>
      <c r="E2283" t="n">
        <v>50</v>
      </c>
      <c r="F2283" t="n">
        <v>42226</v>
      </c>
      <c r="G2283" t="n">
        <v>0</v>
      </c>
      <c r="H2283" t="n">
        <v>13</v>
      </c>
      <c r="I2283" t="n">
        <v>211402</v>
      </c>
    </row>
    <row r="2284">
      <c r="A2284" t="n">
        <v>2283</v>
      </c>
      <c r="B2284" t="inlineStr">
        <is>
          <t>Train</t>
        </is>
      </c>
      <c r="C2284" t="n">
        <v>3597</v>
      </c>
      <c r="D2284" t="n">
        <v>14320</v>
      </c>
      <c r="E2284" t="n">
        <v>35</v>
      </c>
      <c r="F2284" t="n">
        <v>96291</v>
      </c>
      <c r="G2284" t="n">
        <v>5</v>
      </c>
      <c r="H2284" t="n">
        <v>8</v>
      </c>
      <c r="I2284" t="n">
        <v>0</v>
      </c>
    </row>
    <row r="2285">
      <c r="A2285" t="n">
        <v>2284</v>
      </c>
      <c r="B2285" t="inlineStr">
        <is>
          <t>Train</t>
        </is>
      </c>
      <c r="C2285" t="n">
        <v>3456</v>
      </c>
      <c r="D2285" t="n">
        <v>9040</v>
      </c>
      <c r="E2285" t="n">
        <v>45</v>
      </c>
      <c r="F2285" t="n">
        <v>30415</v>
      </c>
      <c r="G2285" t="n">
        <v>3</v>
      </c>
      <c r="H2285" t="n">
        <v>10</v>
      </c>
      <c r="I2285" t="n">
        <v>121494</v>
      </c>
    </row>
    <row r="2286">
      <c r="A2286" t="n">
        <v>2285</v>
      </c>
      <c r="B2286" t="inlineStr">
        <is>
          <t>Train</t>
        </is>
      </c>
      <c r="C2286" t="n">
        <v>1896</v>
      </c>
      <c r="D2286" t="n">
        <v>5500</v>
      </c>
      <c r="E2286" t="n">
        <v>40</v>
      </c>
      <c r="F2286" t="n">
        <v>63913</v>
      </c>
      <c r="G2286" t="n">
        <v>1</v>
      </c>
      <c r="H2286" t="n">
        <v>11</v>
      </c>
      <c r="I2286" t="n">
        <v>0</v>
      </c>
    </row>
    <row r="2287">
      <c r="A2287" t="n">
        <v>2286</v>
      </c>
      <c r="B2287" t="inlineStr">
        <is>
          <t>Train</t>
        </is>
      </c>
      <c r="C2287" t="n">
        <v>38664</v>
      </c>
      <c r="D2287" t="n">
        <v>30600</v>
      </c>
      <c r="E2287" t="n">
        <v>38</v>
      </c>
      <c r="F2287" t="n">
        <v>45468</v>
      </c>
      <c r="G2287" t="n">
        <v>2</v>
      </c>
      <c r="H2287" t="n">
        <v>9</v>
      </c>
      <c r="I2287" t="n">
        <v>201166</v>
      </c>
    </row>
    <row r="2288">
      <c r="A2288" t="n">
        <v>2287</v>
      </c>
      <c r="B2288" t="inlineStr">
        <is>
          <t>Validation</t>
        </is>
      </c>
      <c r="C2288" t="n">
        <v>3073</v>
      </c>
      <c r="D2288" t="n">
        <v>14080</v>
      </c>
      <c r="E2288" t="n">
        <v>43</v>
      </c>
      <c r="F2288" t="n">
        <v>0</v>
      </c>
      <c r="G2288" t="n">
        <v>1</v>
      </c>
      <c r="H2288" t="n">
        <v>0</v>
      </c>
      <c r="I2288" t="n">
        <v>0</v>
      </c>
    </row>
    <row r="2289">
      <c r="A2289" t="n">
        <v>2288</v>
      </c>
      <c r="B2289" t="inlineStr">
        <is>
          <t>Validation</t>
        </is>
      </c>
      <c r="C2289" t="n">
        <v>9216</v>
      </c>
      <c r="D2289" t="n">
        <v>16220</v>
      </c>
      <c r="E2289" t="n">
        <v>40</v>
      </c>
      <c r="F2289" t="n">
        <v>58914</v>
      </c>
      <c r="G2289" t="n">
        <v>2</v>
      </c>
      <c r="H2289" t="n">
        <v>14</v>
      </c>
      <c r="I2289" t="n">
        <v>0</v>
      </c>
    </row>
    <row r="2290">
      <c r="A2290" t="n">
        <v>2289</v>
      </c>
      <c r="B2290" t="inlineStr">
        <is>
          <t>Validation</t>
        </is>
      </c>
      <c r="C2290" t="n">
        <v>12192</v>
      </c>
      <c r="D2290" t="n">
        <v>14480</v>
      </c>
      <c r="E2290" t="n">
        <v>46</v>
      </c>
      <c r="F2290" t="n">
        <v>38388</v>
      </c>
      <c r="G2290" t="n">
        <v>7</v>
      </c>
      <c r="H2290" t="n">
        <v>12</v>
      </c>
      <c r="I2290" t="n">
        <v>0</v>
      </c>
    </row>
    <row r="2291">
      <c r="A2291" t="n">
        <v>2290</v>
      </c>
      <c r="B2291" t="inlineStr">
        <is>
          <t>Train</t>
        </is>
      </c>
      <c r="C2291" t="n">
        <v>17232</v>
      </c>
      <c r="D2291" t="n">
        <v>15620</v>
      </c>
      <c r="E2291" t="n">
        <v>43</v>
      </c>
      <c r="F2291" t="n">
        <v>141177</v>
      </c>
      <c r="G2291" t="n">
        <v>8</v>
      </c>
      <c r="H2291" t="n">
        <v>14</v>
      </c>
      <c r="I2291" t="n">
        <v>378960</v>
      </c>
    </row>
    <row r="2292">
      <c r="A2292" t="n">
        <v>2291</v>
      </c>
      <c r="B2292" t="inlineStr">
        <is>
          <t>Train</t>
        </is>
      </c>
      <c r="C2292" t="n">
        <v>16619</v>
      </c>
      <c r="D2292" t="n">
        <v>18920</v>
      </c>
      <c r="E2292" t="n">
        <v>43</v>
      </c>
      <c r="F2292" t="n">
        <v>171529</v>
      </c>
      <c r="G2292" t="n">
        <v>4</v>
      </c>
      <c r="H2292" t="n">
        <v>15</v>
      </c>
      <c r="I2292" t="n">
        <v>0</v>
      </c>
    </row>
    <row r="2293">
      <c r="A2293" t="n">
        <v>2292</v>
      </c>
      <c r="B2293" t="inlineStr">
        <is>
          <t>Train</t>
        </is>
      </c>
      <c r="C2293" t="n">
        <v>10931</v>
      </c>
      <c r="D2293" t="n">
        <v>29850</v>
      </c>
      <c r="E2293" t="n">
        <v>45</v>
      </c>
      <c r="F2293" t="n">
        <v>80127</v>
      </c>
      <c r="G2293" t="n">
        <v>3</v>
      </c>
      <c r="H2293" t="n">
        <v>12</v>
      </c>
      <c r="I2293" t="n">
        <v>223205</v>
      </c>
    </row>
    <row r="2294">
      <c r="A2294" t="n">
        <v>2293</v>
      </c>
      <c r="B2294" t="inlineStr">
        <is>
          <t>Train</t>
        </is>
      </c>
      <c r="C2294" t="n">
        <v>38888</v>
      </c>
      <c r="D2294" t="n">
        <v>11730</v>
      </c>
      <c r="E2294" t="n">
        <v>34</v>
      </c>
      <c r="F2294" t="n">
        <v>0</v>
      </c>
      <c r="G2294" t="n">
        <v>9</v>
      </c>
      <c r="H2294" t="n">
        <v>0</v>
      </c>
      <c r="I2294" t="n">
        <v>0</v>
      </c>
    </row>
    <row r="2295">
      <c r="A2295" t="n">
        <v>2294</v>
      </c>
      <c r="B2295" t="inlineStr">
        <is>
          <t>Train</t>
        </is>
      </c>
      <c r="C2295" t="n">
        <v>805</v>
      </c>
      <c r="D2295" t="n">
        <v>26950</v>
      </c>
      <c r="E2295" t="n">
        <v>50</v>
      </c>
      <c r="F2295" t="n">
        <v>29296</v>
      </c>
      <c r="G2295" t="n">
        <v>4</v>
      </c>
      <c r="H2295" t="n">
        <v>12</v>
      </c>
      <c r="I2295" t="n">
        <v>173233</v>
      </c>
    </row>
    <row r="2296">
      <c r="A2296" t="n">
        <v>2295</v>
      </c>
      <c r="B2296" t="inlineStr">
        <is>
          <t>Train</t>
        </is>
      </c>
      <c r="C2296" t="n">
        <v>1657</v>
      </c>
      <c r="D2296" t="n">
        <v>38200</v>
      </c>
      <c r="E2296" t="n">
        <v>55</v>
      </c>
      <c r="F2296" t="n">
        <v>164848</v>
      </c>
      <c r="G2296" t="n">
        <v>4</v>
      </c>
      <c r="H2296" t="n">
        <v>12</v>
      </c>
      <c r="I2296" t="n">
        <v>0</v>
      </c>
    </row>
    <row r="2297">
      <c r="A2297" t="n">
        <v>2296</v>
      </c>
      <c r="B2297" t="inlineStr">
        <is>
          <t>Train</t>
        </is>
      </c>
      <c r="C2297" t="n">
        <v>3939</v>
      </c>
      <c r="D2297" t="n">
        <v>23320</v>
      </c>
      <c r="E2297" t="n">
        <v>34</v>
      </c>
      <c r="F2297" t="n">
        <v>16436</v>
      </c>
      <c r="G2297" t="n">
        <v>0</v>
      </c>
      <c r="H2297" t="n">
        <v>13</v>
      </c>
      <c r="I2297" t="n">
        <v>127447</v>
      </c>
    </row>
    <row r="2298">
      <c r="A2298" t="n">
        <v>2297</v>
      </c>
      <c r="B2298" t="inlineStr">
        <is>
          <t>Validation</t>
        </is>
      </c>
      <c r="C2298" t="n">
        <v>1411</v>
      </c>
      <c r="D2298" t="n">
        <v>8110</v>
      </c>
      <c r="E2298" t="n">
        <v>42</v>
      </c>
      <c r="F2298" t="n">
        <v>110335</v>
      </c>
      <c r="G2298" t="n">
        <v>0</v>
      </c>
      <c r="H2298" t="n">
        <v>9</v>
      </c>
      <c r="I2298" t="n">
        <v>263599</v>
      </c>
    </row>
    <row r="2299">
      <c r="A2299" t="n">
        <v>2298</v>
      </c>
      <c r="B2299" t="inlineStr">
        <is>
          <t>Validation</t>
        </is>
      </c>
      <c r="C2299" t="n">
        <v>2253</v>
      </c>
      <c r="D2299" t="n">
        <v>16050</v>
      </c>
      <c r="E2299" t="n">
        <v>32</v>
      </c>
      <c r="F2299" t="n">
        <v>84255</v>
      </c>
      <c r="G2299" t="n">
        <v>4</v>
      </c>
      <c r="H2299" t="n">
        <v>11</v>
      </c>
      <c r="I2299" t="n">
        <v>260802</v>
      </c>
    </row>
    <row r="2300">
      <c r="A2300" t="n">
        <v>2299</v>
      </c>
      <c r="B2300" t="inlineStr">
        <is>
          <t>Validation</t>
        </is>
      </c>
      <c r="C2300" t="n">
        <v>8454</v>
      </c>
      <c r="D2300" t="n">
        <v>10550</v>
      </c>
      <c r="E2300" t="n">
        <v>39</v>
      </c>
      <c r="F2300" t="n">
        <v>51524</v>
      </c>
      <c r="G2300" t="n">
        <v>7</v>
      </c>
      <c r="H2300" t="n">
        <v>14</v>
      </c>
      <c r="I2300" t="n">
        <v>0</v>
      </c>
    </row>
    <row r="2301">
      <c r="A2301" t="n">
        <v>2300</v>
      </c>
      <c r="B2301" t="inlineStr">
        <is>
          <t>Train</t>
        </is>
      </c>
      <c r="C2301" t="n">
        <v>8334</v>
      </c>
      <c r="D2301" t="n">
        <v>28010</v>
      </c>
      <c r="E2301" t="n">
        <v>45</v>
      </c>
      <c r="F2301" t="n">
        <v>190010</v>
      </c>
      <c r="G2301" t="n">
        <v>1</v>
      </c>
      <c r="H2301" t="n">
        <v>12</v>
      </c>
      <c r="I2301" t="n">
        <v>464792</v>
      </c>
    </row>
    <row r="2302">
      <c r="A2302" t="n">
        <v>2301</v>
      </c>
      <c r="B2302" t="inlineStr">
        <is>
          <t>Train</t>
        </is>
      </c>
      <c r="C2302" t="n">
        <v>3685</v>
      </c>
      <c r="D2302" t="n">
        <v>1500</v>
      </c>
      <c r="E2302" t="n">
        <v>53</v>
      </c>
      <c r="F2302" t="n">
        <v>36273</v>
      </c>
      <c r="G2302" t="n">
        <v>1</v>
      </c>
      <c r="H2302" t="n">
        <v>11</v>
      </c>
      <c r="I2302" t="n">
        <v>0</v>
      </c>
    </row>
    <row r="2303">
      <c r="A2303" t="n">
        <v>2302</v>
      </c>
      <c r="B2303" t="inlineStr">
        <is>
          <t>Train</t>
        </is>
      </c>
      <c r="C2303" t="n">
        <v>2858</v>
      </c>
      <c r="D2303" t="n">
        <v>20360</v>
      </c>
      <c r="E2303" t="n">
        <v>31</v>
      </c>
      <c r="F2303" t="n">
        <v>31908</v>
      </c>
      <c r="G2303" t="n">
        <v>0</v>
      </c>
      <c r="H2303" t="n">
        <v>7</v>
      </c>
      <c r="I2303" t="n">
        <v>0</v>
      </c>
    </row>
    <row r="2304">
      <c r="A2304" t="n">
        <v>2303</v>
      </c>
      <c r="B2304" t="inlineStr">
        <is>
          <t>Train</t>
        </is>
      </c>
      <c r="C2304" t="n">
        <v>2102</v>
      </c>
      <c r="D2304" t="n">
        <v>12500</v>
      </c>
      <c r="E2304" t="n">
        <v>60</v>
      </c>
      <c r="F2304" t="n">
        <v>32175</v>
      </c>
      <c r="G2304" t="n">
        <v>1</v>
      </c>
      <c r="H2304" t="n">
        <v>15</v>
      </c>
      <c r="I2304" t="n">
        <v>0</v>
      </c>
    </row>
    <row r="2305">
      <c r="A2305" t="n">
        <v>2304</v>
      </c>
      <c r="B2305" t="inlineStr">
        <is>
          <t>Train</t>
        </is>
      </c>
      <c r="C2305" t="n">
        <v>959</v>
      </c>
      <c r="D2305" t="n">
        <v>6600</v>
      </c>
      <c r="E2305" t="n">
        <v>51</v>
      </c>
      <c r="F2305" t="n">
        <v>18273</v>
      </c>
      <c r="G2305" t="n">
        <v>5</v>
      </c>
      <c r="H2305" t="n">
        <v>13</v>
      </c>
      <c r="I2305" t="n">
        <v>0</v>
      </c>
    </row>
    <row r="2306">
      <c r="A2306" t="n">
        <v>2305</v>
      </c>
      <c r="B2306" t="inlineStr">
        <is>
          <t>Train</t>
        </is>
      </c>
      <c r="C2306" t="n">
        <v>14597</v>
      </c>
      <c r="D2306" t="n">
        <v>7700</v>
      </c>
      <c r="E2306" t="n">
        <v>61</v>
      </c>
      <c r="F2306" t="n">
        <v>51428</v>
      </c>
      <c r="G2306" t="n">
        <v>4</v>
      </c>
      <c r="H2306" t="n">
        <v>7</v>
      </c>
      <c r="I2306" t="n">
        <v>242717</v>
      </c>
    </row>
    <row r="2307">
      <c r="A2307" t="n">
        <v>2306</v>
      </c>
      <c r="B2307" t="inlineStr">
        <is>
          <t>Train</t>
        </is>
      </c>
      <c r="C2307" t="n">
        <v>21266</v>
      </c>
      <c r="D2307" t="n">
        <v>17100</v>
      </c>
      <c r="E2307" t="n">
        <v>47</v>
      </c>
      <c r="F2307" t="n">
        <v>109013</v>
      </c>
      <c r="G2307" t="n">
        <v>0</v>
      </c>
      <c r="H2307" t="n">
        <v>12</v>
      </c>
      <c r="I2307" t="n">
        <v>0</v>
      </c>
    </row>
    <row r="2308">
      <c r="A2308" t="n">
        <v>2307</v>
      </c>
      <c r="B2308" t="inlineStr">
        <is>
          <t>Validation</t>
        </is>
      </c>
      <c r="C2308" t="n">
        <v>12424</v>
      </c>
      <c r="D2308" t="n">
        <v>5800</v>
      </c>
      <c r="E2308" t="n">
        <v>43</v>
      </c>
      <c r="F2308" t="n">
        <v>71235</v>
      </c>
      <c r="G2308" t="n">
        <v>8</v>
      </c>
      <c r="H2308" t="n">
        <v>12</v>
      </c>
      <c r="I2308" t="n">
        <v>0</v>
      </c>
    </row>
    <row r="2309">
      <c r="A2309" t="n">
        <v>2308</v>
      </c>
      <c r="B2309" t="inlineStr">
        <is>
          <t>Validation</t>
        </is>
      </c>
      <c r="C2309" t="n">
        <v>26544</v>
      </c>
      <c r="D2309" t="n">
        <v>1500</v>
      </c>
      <c r="E2309" t="n">
        <v>55</v>
      </c>
      <c r="F2309" t="n">
        <v>73014</v>
      </c>
      <c r="G2309" t="n">
        <v>0</v>
      </c>
      <c r="H2309" t="n">
        <v>15</v>
      </c>
      <c r="I2309" t="n">
        <v>295579</v>
      </c>
    </row>
    <row r="2310">
      <c r="A2310" t="n">
        <v>2309</v>
      </c>
      <c r="B2310" t="inlineStr">
        <is>
          <t>Validation</t>
        </is>
      </c>
      <c r="C2310" t="n">
        <v>3288</v>
      </c>
      <c r="D2310" t="n">
        <v>16160</v>
      </c>
      <c r="E2310" t="n">
        <v>41</v>
      </c>
      <c r="F2310" t="n">
        <v>82224</v>
      </c>
      <c r="G2310" t="n">
        <v>1</v>
      </c>
      <c r="H2310" t="n">
        <v>16</v>
      </c>
      <c r="I2310" t="n">
        <v>294513</v>
      </c>
    </row>
    <row r="2311">
      <c r="A2311" t="n">
        <v>2310</v>
      </c>
      <c r="B2311" t="inlineStr">
        <is>
          <t>Train</t>
        </is>
      </c>
      <c r="C2311" t="n">
        <v>2476</v>
      </c>
      <c r="D2311" t="n">
        <v>19420</v>
      </c>
      <c r="E2311" t="n">
        <v>51</v>
      </c>
      <c r="F2311" t="n">
        <v>83967</v>
      </c>
      <c r="G2311" t="n">
        <v>5</v>
      </c>
      <c r="H2311" t="n">
        <v>5</v>
      </c>
      <c r="I2311" t="n">
        <v>215941</v>
      </c>
    </row>
    <row r="2312">
      <c r="A2312" t="n">
        <v>2311</v>
      </c>
      <c r="B2312" t="inlineStr">
        <is>
          <t>Train</t>
        </is>
      </c>
      <c r="C2312" t="n">
        <v>1157</v>
      </c>
      <c r="D2312" t="n">
        <v>31810</v>
      </c>
      <c r="E2312" t="n">
        <v>34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2312</v>
      </c>
      <c r="B2313" t="inlineStr">
        <is>
          <t>Train</t>
        </is>
      </c>
      <c r="C2313" t="n">
        <v>26992</v>
      </c>
      <c r="D2313" t="n">
        <v>27240</v>
      </c>
      <c r="E2313" t="n">
        <v>60</v>
      </c>
      <c r="F2313" t="n">
        <v>84006</v>
      </c>
      <c r="G2313" t="n">
        <v>4</v>
      </c>
      <c r="H2313" t="n">
        <v>15</v>
      </c>
      <c r="I2313" t="n">
        <v>295624</v>
      </c>
    </row>
    <row r="2314">
      <c r="A2314" t="n">
        <v>2313</v>
      </c>
      <c r="B2314" t="inlineStr">
        <is>
          <t>Train</t>
        </is>
      </c>
      <c r="C2314" t="n">
        <v>7635</v>
      </c>
      <c r="D2314" t="n">
        <v>12270</v>
      </c>
      <c r="E2314" t="n">
        <v>36</v>
      </c>
      <c r="F2314" t="n">
        <v>0</v>
      </c>
      <c r="G2314" t="n">
        <v>4</v>
      </c>
      <c r="H2314" t="n">
        <v>0</v>
      </c>
      <c r="I2314" t="n">
        <v>50322</v>
      </c>
    </row>
    <row r="2315">
      <c r="A2315" t="n">
        <v>2314</v>
      </c>
      <c r="B2315" t="inlineStr">
        <is>
          <t>Train</t>
        </is>
      </c>
      <c r="C2315" t="n">
        <v>3158</v>
      </c>
      <c r="D2315" t="n">
        <v>7670</v>
      </c>
      <c r="E2315" t="n">
        <v>38</v>
      </c>
      <c r="F2315" t="n">
        <v>23711</v>
      </c>
      <c r="G2315" t="n">
        <v>5</v>
      </c>
      <c r="H2315" t="n">
        <v>13</v>
      </c>
      <c r="I2315" t="n">
        <v>0</v>
      </c>
    </row>
    <row r="2316">
      <c r="A2316" t="n">
        <v>2315</v>
      </c>
      <c r="B2316" t="inlineStr">
        <is>
          <t>Train</t>
        </is>
      </c>
      <c r="C2316" t="n">
        <v>38411</v>
      </c>
      <c r="D2316" t="n">
        <v>11500</v>
      </c>
      <c r="E2316" t="n">
        <v>45</v>
      </c>
      <c r="F2316" t="n">
        <v>65166</v>
      </c>
      <c r="G2316" t="n">
        <v>0</v>
      </c>
      <c r="H2316" t="n">
        <v>15</v>
      </c>
      <c r="I2316" t="n">
        <v>254586</v>
      </c>
    </row>
    <row r="2317">
      <c r="A2317" t="n">
        <v>2316</v>
      </c>
      <c r="B2317" t="inlineStr">
        <is>
          <t>Train</t>
        </is>
      </c>
      <c r="C2317" t="n">
        <v>7503</v>
      </c>
      <c r="D2317" t="n">
        <v>13140</v>
      </c>
      <c r="E2317" t="n">
        <v>48</v>
      </c>
      <c r="F2317" t="n">
        <v>64579</v>
      </c>
      <c r="G2317" t="n">
        <v>5</v>
      </c>
      <c r="H2317" t="n">
        <v>11</v>
      </c>
      <c r="I2317" t="n">
        <v>250109</v>
      </c>
    </row>
    <row r="2318">
      <c r="A2318" t="n">
        <v>2317</v>
      </c>
      <c r="B2318" t="inlineStr">
        <is>
          <t>Validation</t>
        </is>
      </c>
      <c r="C2318" t="n">
        <v>5259</v>
      </c>
      <c r="D2318" t="n">
        <v>5600</v>
      </c>
      <c r="E2318" t="n">
        <v>41</v>
      </c>
      <c r="F2318" t="n">
        <v>51765</v>
      </c>
      <c r="G2318" t="n">
        <v>5</v>
      </c>
      <c r="H2318" t="n">
        <v>11</v>
      </c>
      <c r="I2318" t="n">
        <v>195292</v>
      </c>
    </row>
    <row r="2319">
      <c r="A2319" t="n">
        <v>2318</v>
      </c>
      <c r="B2319" t="inlineStr">
        <is>
          <t>Validation</t>
        </is>
      </c>
      <c r="C2319" t="n">
        <v>18428</v>
      </c>
      <c r="D2319" t="n">
        <v>3680</v>
      </c>
      <c r="E2319" t="n">
        <v>26</v>
      </c>
      <c r="F2319" t="n">
        <v>21826</v>
      </c>
      <c r="G2319" t="n">
        <v>5</v>
      </c>
      <c r="H2319" t="n">
        <v>7</v>
      </c>
      <c r="I2319" t="n">
        <v>114769</v>
      </c>
    </row>
    <row r="2320">
      <c r="A2320" t="n">
        <v>2319</v>
      </c>
      <c r="B2320" t="inlineStr">
        <is>
          <t>Validation</t>
        </is>
      </c>
      <c r="C2320" t="n">
        <v>21880</v>
      </c>
      <c r="D2320" t="n">
        <v>27540</v>
      </c>
      <c r="E2320" t="n">
        <v>46</v>
      </c>
      <c r="F2320" t="n">
        <v>136371</v>
      </c>
      <c r="G2320" t="n">
        <v>3</v>
      </c>
      <c r="H2320" t="n">
        <v>5</v>
      </c>
      <c r="I2320" t="n">
        <v>0</v>
      </c>
    </row>
    <row r="2321">
      <c r="A2321" t="n">
        <v>2320</v>
      </c>
      <c r="B2321" t="inlineStr">
        <is>
          <t>Train</t>
        </is>
      </c>
      <c r="C2321" t="n">
        <v>1058</v>
      </c>
      <c r="D2321" t="n">
        <v>8750</v>
      </c>
      <c r="E2321" t="n">
        <v>48</v>
      </c>
      <c r="F2321" t="n">
        <v>0</v>
      </c>
      <c r="G2321" t="n">
        <v>6</v>
      </c>
      <c r="H2321" t="n">
        <v>0</v>
      </c>
      <c r="I2321" t="n">
        <v>0</v>
      </c>
    </row>
    <row r="2322">
      <c r="A2322" t="n">
        <v>2321</v>
      </c>
      <c r="B2322" t="inlineStr">
        <is>
          <t>Train</t>
        </is>
      </c>
      <c r="C2322" t="n">
        <v>4171</v>
      </c>
      <c r="D2322" t="n">
        <v>5800</v>
      </c>
      <c r="E2322" t="n">
        <v>43</v>
      </c>
      <c r="F2322" t="n">
        <v>0</v>
      </c>
      <c r="G2322" t="n">
        <v>7</v>
      </c>
      <c r="H2322" t="n">
        <v>0</v>
      </c>
      <c r="I2322" t="n">
        <v>92216</v>
      </c>
    </row>
    <row r="2323">
      <c r="A2323" t="n">
        <v>2322</v>
      </c>
      <c r="B2323" t="inlineStr">
        <is>
          <t>Train</t>
        </is>
      </c>
      <c r="C2323" t="n">
        <v>5037</v>
      </c>
      <c r="D2323" t="n">
        <v>8090</v>
      </c>
      <c r="E2323" t="n">
        <v>43</v>
      </c>
      <c r="F2323" t="n">
        <v>59346</v>
      </c>
      <c r="G2323" t="n">
        <v>6</v>
      </c>
      <c r="H2323" t="n">
        <v>15</v>
      </c>
      <c r="I2323" t="n">
        <v>0</v>
      </c>
    </row>
    <row r="2324">
      <c r="A2324" t="n">
        <v>2323</v>
      </c>
      <c r="B2324" t="inlineStr">
        <is>
          <t>Train</t>
        </is>
      </c>
      <c r="C2324" t="n">
        <v>2457</v>
      </c>
      <c r="D2324" t="n">
        <v>10860</v>
      </c>
      <c r="E2324" t="n">
        <v>53</v>
      </c>
      <c r="F2324" t="n">
        <v>25972</v>
      </c>
      <c r="G2324" t="n">
        <v>4</v>
      </c>
      <c r="H2324" t="n">
        <v>12</v>
      </c>
      <c r="I2324" t="n">
        <v>97541</v>
      </c>
    </row>
    <row r="2325">
      <c r="A2325" t="n">
        <v>2324</v>
      </c>
      <c r="B2325" t="inlineStr">
        <is>
          <t>Train</t>
        </is>
      </c>
      <c r="C2325" t="n">
        <v>8543</v>
      </c>
      <c r="D2325" t="n">
        <v>25950</v>
      </c>
      <c r="E2325" t="n">
        <v>44</v>
      </c>
      <c r="F2325" t="n">
        <v>104682</v>
      </c>
      <c r="G2325" t="n">
        <v>8</v>
      </c>
      <c r="H2325" t="n">
        <v>11</v>
      </c>
      <c r="I2325" t="n">
        <v>0</v>
      </c>
    </row>
    <row r="2326">
      <c r="A2326" t="n">
        <v>2325</v>
      </c>
      <c r="B2326" t="inlineStr">
        <is>
          <t>Train</t>
        </is>
      </c>
      <c r="C2326" t="n">
        <v>7705</v>
      </c>
      <c r="D2326" t="n">
        <v>15270</v>
      </c>
      <c r="E2326" t="n">
        <v>60</v>
      </c>
      <c r="F2326" t="n">
        <v>77658</v>
      </c>
      <c r="G2326" t="n">
        <v>7</v>
      </c>
      <c r="H2326" t="n">
        <v>12</v>
      </c>
      <c r="I2326" t="n">
        <v>272962</v>
      </c>
    </row>
    <row r="2327">
      <c r="A2327" t="n">
        <v>2326</v>
      </c>
      <c r="B2327" t="inlineStr">
        <is>
          <t>Train</t>
        </is>
      </c>
      <c r="C2327" t="n">
        <v>7348</v>
      </c>
      <c r="D2327" t="n">
        <v>23710</v>
      </c>
      <c r="E2327" t="n">
        <v>50</v>
      </c>
      <c r="F2327" t="n">
        <v>172109</v>
      </c>
      <c r="G2327" t="n">
        <v>0</v>
      </c>
      <c r="H2327" t="n">
        <v>13</v>
      </c>
      <c r="I2327" t="n">
        <v>439996</v>
      </c>
    </row>
    <row r="2328">
      <c r="A2328" t="n">
        <v>2327</v>
      </c>
      <c r="B2328" t="inlineStr">
        <is>
          <t>Validation</t>
        </is>
      </c>
      <c r="C2328" t="n">
        <v>7957</v>
      </c>
      <c r="D2328" t="n">
        <v>31500</v>
      </c>
      <c r="E2328" t="n">
        <v>37</v>
      </c>
      <c r="F2328" t="n">
        <v>30848</v>
      </c>
      <c r="G2328" t="n">
        <v>3</v>
      </c>
      <c r="H2328" t="n">
        <v>8</v>
      </c>
      <c r="I2328" t="n">
        <v>160731</v>
      </c>
    </row>
    <row r="2329">
      <c r="A2329" t="n">
        <v>2328</v>
      </c>
      <c r="B2329" t="inlineStr">
        <is>
          <t>Validation</t>
        </is>
      </c>
      <c r="C2329" t="n">
        <v>44641</v>
      </c>
      <c r="D2329" t="n">
        <v>19240</v>
      </c>
      <c r="E2329" t="n">
        <v>50</v>
      </c>
      <c r="F2329" t="n">
        <v>67399</v>
      </c>
      <c r="G2329" t="n">
        <v>4</v>
      </c>
      <c r="H2329" t="n">
        <v>12</v>
      </c>
      <c r="I2329" t="n">
        <v>266563</v>
      </c>
    </row>
    <row r="2330">
      <c r="A2330" t="n">
        <v>2329</v>
      </c>
      <c r="B2330" t="inlineStr">
        <is>
          <t>Validation</t>
        </is>
      </c>
      <c r="C2330" t="n">
        <v>4053</v>
      </c>
      <c r="D2330" t="n">
        <v>24810</v>
      </c>
      <c r="E2330" t="n">
        <v>50</v>
      </c>
      <c r="F2330" t="n">
        <v>41240</v>
      </c>
      <c r="G2330" t="n">
        <v>0</v>
      </c>
      <c r="H2330" t="n">
        <v>13</v>
      </c>
      <c r="I2330" t="n">
        <v>187815</v>
      </c>
    </row>
    <row r="2331">
      <c r="A2331" t="n">
        <v>2330</v>
      </c>
      <c r="B2331" t="inlineStr">
        <is>
          <t>Train</t>
        </is>
      </c>
      <c r="C2331" t="n">
        <v>5053</v>
      </c>
      <c r="D2331" t="n">
        <v>25570</v>
      </c>
      <c r="E2331" t="n">
        <v>44</v>
      </c>
      <c r="F2331" t="n">
        <v>57267</v>
      </c>
      <c r="G2331" t="n">
        <v>5</v>
      </c>
      <c r="H2331" t="n">
        <v>13</v>
      </c>
      <c r="I2331" t="n">
        <v>208613</v>
      </c>
    </row>
    <row r="2332">
      <c r="A2332" t="n">
        <v>2331</v>
      </c>
      <c r="B2332" t="inlineStr">
        <is>
          <t>Train</t>
        </is>
      </c>
      <c r="C2332" t="n">
        <v>2882</v>
      </c>
      <c r="D2332" t="n">
        <v>7100</v>
      </c>
      <c r="E2332" t="n">
        <v>56</v>
      </c>
      <c r="F2332" t="n">
        <v>0</v>
      </c>
      <c r="G2332" t="n">
        <v>2</v>
      </c>
      <c r="H2332" t="n">
        <v>0</v>
      </c>
      <c r="I2332" t="n">
        <v>119201</v>
      </c>
    </row>
    <row r="2333">
      <c r="A2333" t="n">
        <v>2332</v>
      </c>
      <c r="B2333" t="inlineStr">
        <is>
          <t>Train</t>
        </is>
      </c>
      <c r="C2333" t="n">
        <v>5676</v>
      </c>
      <c r="D2333" t="n">
        <v>10750</v>
      </c>
      <c r="E2333" t="n">
        <v>33</v>
      </c>
      <c r="F2333" t="n">
        <v>59473</v>
      </c>
      <c r="G2333" t="n">
        <v>4</v>
      </c>
      <c r="H2333" t="n">
        <v>10</v>
      </c>
      <c r="I2333" t="n">
        <v>203200</v>
      </c>
    </row>
    <row r="2334">
      <c r="A2334" t="n">
        <v>2333</v>
      </c>
      <c r="B2334" t="inlineStr">
        <is>
          <t>Train</t>
        </is>
      </c>
      <c r="C2334" t="n">
        <v>6983</v>
      </c>
      <c r="D2334" t="n">
        <v>7140</v>
      </c>
      <c r="E2334" t="n">
        <v>42</v>
      </c>
      <c r="F2334" t="n">
        <v>25860</v>
      </c>
      <c r="G2334" t="n">
        <v>5</v>
      </c>
      <c r="H2334" t="n">
        <v>13</v>
      </c>
      <c r="I2334" t="n">
        <v>102425</v>
      </c>
    </row>
    <row r="2335">
      <c r="A2335" t="n">
        <v>2334</v>
      </c>
      <c r="B2335" t="inlineStr">
        <is>
          <t>Train</t>
        </is>
      </c>
      <c r="C2335" t="n">
        <v>1620</v>
      </c>
      <c r="D2335" t="n">
        <v>4900</v>
      </c>
      <c r="E2335" t="n">
        <v>34</v>
      </c>
      <c r="F2335" t="n">
        <v>26777</v>
      </c>
      <c r="G2335" t="n">
        <v>7</v>
      </c>
      <c r="H2335" t="n">
        <v>15</v>
      </c>
      <c r="I2335" t="n">
        <v>0</v>
      </c>
    </row>
    <row r="2336">
      <c r="A2336" t="n">
        <v>2335</v>
      </c>
      <c r="B2336" t="inlineStr">
        <is>
          <t>Train</t>
        </is>
      </c>
      <c r="C2336" t="n">
        <v>1849</v>
      </c>
      <c r="D2336" t="n">
        <v>23970</v>
      </c>
      <c r="E2336" t="n">
        <v>39</v>
      </c>
      <c r="F2336" t="n">
        <v>15790</v>
      </c>
      <c r="G2336" t="n">
        <v>5</v>
      </c>
      <c r="H2336" t="n">
        <v>8</v>
      </c>
      <c r="I2336" t="n">
        <v>0</v>
      </c>
    </row>
    <row r="2337">
      <c r="A2337" t="n">
        <v>2336</v>
      </c>
      <c r="B2337" t="inlineStr">
        <is>
          <t>Train</t>
        </is>
      </c>
      <c r="C2337" t="n">
        <v>3767</v>
      </c>
      <c r="D2337" t="n">
        <v>11010</v>
      </c>
      <c r="E2337" t="n">
        <v>49</v>
      </c>
      <c r="F2337" t="n">
        <v>48983</v>
      </c>
      <c r="G2337" t="n">
        <v>0</v>
      </c>
      <c r="H2337" t="n">
        <v>13</v>
      </c>
      <c r="I2337" t="n">
        <v>190088</v>
      </c>
    </row>
    <row r="2338">
      <c r="A2338" t="n">
        <v>2337</v>
      </c>
      <c r="B2338" t="inlineStr">
        <is>
          <t>Validation</t>
        </is>
      </c>
      <c r="C2338" t="n">
        <v>11471</v>
      </c>
      <c r="D2338" t="n">
        <v>12340</v>
      </c>
      <c r="E2338" t="n">
        <v>47</v>
      </c>
      <c r="F2338" t="n">
        <v>50542</v>
      </c>
      <c r="G2338" t="n">
        <v>0</v>
      </c>
      <c r="H2338" t="n">
        <v>14</v>
      </c>
      <c r="I2338" t="n">
        <v>234379</v>
      </c>
    </row>
    <row r="2339">
      <c r="A2339" t="n">
        <v>2338</v>
      </c>
      <c r="B2339" t="inlineStr">
        <is>
          <t>Validation</t>
        </is>
      </c>
      <c r="C2339" t="n">
        <v>5047</v>
      </c>
      <c r="D2339" t="n">
        <v>9610</v>
      </c>
      <c r="E2339" t="n">
        <v>47</v>
      </c>
      <c r="F2339" t="n">
        <v>34132</v>
      </c>
      <c r="G2339" t="n">
        <v>3</v>
      </c>
      <c r="H2339" t="n">
        <v>15</v>
      </c>
      <c r="I2339" t="n">
        <v>147155</v>
      </c>
    </row>
    <row r="2340">
      <c r="A2340" t="n">
        <v>2339</v>
      </c>
      <c r="B2340" t="inlineStr">
        <is>
          <t>Validation</t>
        </is>
      </c>
      <c r="C2340" t="n">
        <v>7939</v>
      </c>
      <c r="D2340" t="n">
        <v>15160</v>
      </c>
      <c r="E2340" t="n">
        <v>44</v>
      </c>
      <c r="F2340" t="n">
        <v>92582</v>
      </c>
      <c r="G2340" t="n">
        <v>3</v>
      </c>
      <c r="H2340" t="n">
        <v>11</v>
      </c>
      <c r="I2340" t="n">
        <v>0</v>
      </c>
    </row>
    <row r="2341">
      <c r="A2341" t="n">
        <v>2340</v>
      </c>
      <c r="B2341" t="inlineStr">
        <is>
          <t>Train</t>
        </is>
      </c>
      <c r="C2341" t="n">
        <v>35118</v>
      </c>
      <c r="D2341" t="n">
        <v>21160</v>
      </c>
      <c r="E2341" t="n">
        <v>30</v>
      </c>
      <c r="F2341" t="n">
        <v>77207</v>
      </c>
      <c r="G2341" t="n">
        <v>2</v>
      </c>
      <c r="H2341" t="n">
        <v>11</v>
      </c>
      <c r="I2341" t="n">
        <v>318565</v>
      </c>
    </row>
    <row r="2342">
      <c r="A2342" t="n">
        <v>2341</v>
      </c>
      <c r="B2342" t="inlineStr">
        <is>
          <t>Train</t>
        </is>
      </c>
      <c r="C2342" t="n">
        <v>3862</v>
      </c>
      <c r="D2342" t="n">
        <v>6460</v>
      </c>
      <c r="E2342" t="n">
        <v>25</v>
      </c>
      <c r="F2342" t="n">
        <v>49576</v>
      </c>
      <c r="G2342" t="n">
        <v>1</v>
      </c>
      <c r="H2342" t="n">
        <v>11</v>
      </c>
      <c r="I2342" t="n">
        <v>160042</v>
      </c>
    </row>
    <row r="2343">
      <c r="A2343" t="n">
        <v>2342</v>
      </c>
      <c r="B2343" t="inlineStr">
        <is>
          <t>Train</t>
        </is>
      </c>
      <c r="C2343" t="n">
        <v>6348</v>
      </c>
      <c r="D2343" t="n">
        <v>21460</v>
      </c>
      <c r="E2343" t="n">
        <v>53</v>
      </c>
      <c r="F2343" t="n">
        <v>27652</v>
      </c>
      <c r="G2343" t="n">
        <v>0</v>
      </c>
      <c r="H2343" t="n">
        <v>12</v>
      </c>
      <c r="I2343" t="n">
        <v>145983</v>
      </c>
    </row>
    <row r="2344">
      <c r="A2344" t="n">
        <v>2343</v>
      </c>
      <c r="B2344" t="inlineStr">
        <is>
          <t>Train</t>
        </is>
      </c>
      <c r="C2344" t="n">
        <v>2665</v>
      </c>
      <c r="D2344" t="n">
        <v>5100</v>
      </c>
      <c r="E2344" t="n">
        <v>36</v>
      </c>
      <c r="F2344" t="n">
        <v>95525</v>
      </c>
      <c r="G2344" t="n">
        <v>0</v>
      </c>
      <c r="H2344" t="n">
        <v>10</v>
      </c>
      <c r="I2344" t="n">
        <v>264584</v>
      </c>
    </row>
    <row r="2345">
      <c r="A2345" t="n">
        <v>2344</v>
      </c>
      <c r="B2345" t="inlineStr">
        <is>
          <t>Train</t>
        </is>
      </c>
      <c r="C2345" t="n">
        <v>2884</v>
      </c>
      <c r="D2345" t="n">
        <v>26530</v>
      </c>
      <c r="E2345" t="n">
        <v>41</v>
      </c>
      <c r="F2345" t="n">
        <v>74706</v>
      </c>
      <c r="G2345" t="n">
        <v>8</v>
      </c>
      <c r="H2345" t="n">
        <v>9</v>
      </c>
      <c r="I2345" t="n">
        <v>0</v>
      </c>
    </row>
    <row r="2346">
      <c r="A2346" t="n">
        <v>2345</v>
      </c>
      <c r="B2346" t="inlineStr">
        <is>
          <t>Train</t>
        </is>
      </c>
      <c r="C2346" t="n">
        <v>8985</v>
      </c>
      <c r="D2346" t="n">
        <v>18820</v>
      </c>
      <c r="E2346" t="n">
        <v>32</v>
      </c>
      <c r="F2346" t="n">
        <v>74702</v>
      </c>
      <c r="G2346" t="n">
        <v>2</v>
      </c>
      <c r="H2346" t="n">
        <v>13</v>
      </c>
      <c r="I2346" t="n">
        <v>183767</v>
      </c>
    </row>
    <row r="2347">
      <c r="A2347" t="n">
        <v>2346</v>
      </c>
      <c r="B2347" t="inlineStr">
        <is>
          <t>Train</t>
        </is>
      </c>
      <c r="C2347" t="n">
        <v>7607</v>
      </c>
      <c r="D2347" t="n">
        <v>11230</v>
      </c>
      <c r="E2347" t="n">
        <v>42</v>
      </c>
      <c r="F2347" t="n">
        <v>55328</v>
      </c>
      <c r="G2347" t="n">
        <v>2</v>
      </c>
      <c r="H2347" t="n">
        <v>14</v>
      </c>
      <c r="I2347" t="n">
        <v>0</v>
      </c>
    </row>
    <row r="2348">
      <c r="A2348" t="n">
        <v>2347</v>
      </c>
      <c r="B2348" t="inlineStr">
        <is>
          <t>Validation</t>
        </is>
      </c>
      <c r="C2348" t="n">
        <v>1235</v>
      </c>
      <c r="D2348" t="n">
        <v>10770</v>
      </c>
      <c r="E2348" t="n">
        <v>65</v>
      </c>
      <c r="F2348" t="n">
        <v>24274</v>
      </c>
      <c r="G2348" t="n">
        <v>1</v>
      </c>
      <c r="H2348" t="n">
        <v>16</v>
      </c>
      <c r="I2348" t="n">
        <v>211649</v>
      </c>
    </row>
    <row r="2349">
      <c r="A2349" t="n">
        <v>2348</v>
      </c>
      <c r="B2349" t="inlineStr">
        <is>
          <t>Validation</t>
        </is>
      </c>
      <c r="C2349" t="n">
        <v>2596</v>
      </c>
      <c r="D2349" t="n">
        <v>25280</v>
      </c>
      <c r="E2349" t="n">
        <v>66</v>
      </c>
      <c r="F2349" t="n">
        <v>35095</v>
      </c>
      <c r="G2349" t="n">
        <v>2</v>
      </c>
      <c r="H2349" t="n">
        <v>15</v>
      </c>
      <c r="I2349" t="n">
        <v>200581</v>
      </c>
    </row>
    <row r="2350">
      <c r="A2350" t="n">
        <v>2349</v>
      </c>
      <c r="B2350" t="inlineStr">
        <is>
          <t>Validation</t>
        </is>
      </c>
      <c r="C2350" t="n">
        <v>20337</v>
      </c>
      <c r="D2350" t="n">
        <v>16160</v>
      </c>
      <c r="E2350" t="n">
        <v>38</v>
      </c>
      <c r="F2350" t="n">
        <v>83304</v>
      </c>
      <c r="G2350" t="n">
        <v>3</v>
      </c>
      <c r="H2350" t="n">
        <v>8</v>
      </c>
      <c r="I2350" t="n">
        <v>234493</v>
      </c>
    </row>
    <row r="2351">
      <c r="A2351" t="n">
        <v>2350</v>
      </c>
      <c r="B2351" t="inlineStr">
        <is>
          <t>Train</t>
        </is>
      </c>
      <c r="C2351" t="n">
        <v>6081</v>
      </c>
      <c r="D2351" t="n">
        <v>8270</v>
      </c>
      <c r="E2351" t="n">
        <v>26</v>
      </c>
      <c r="F2351" t="n">
        <v>41746</v>
      </c>
      <c r="G2351" t="n">
        <v>0</v>
      </c>
      <c r="H2351" t="n">
        <v>12</v>
      </c>
      <c r="I2351" t="n">
        <v>0</v>
      </c>
    </row>
    <row r="2352">
      <c r="A2352" t="n">
        <v>2351</v>
      </c>
      <c r="B2352" t="inlineStr">
        <is>
          <t>Train</t>
        </is>
      </c>
      <c r="C2352" t="n">
        <v>6642</v>
      </c>
      <c r="D2352" t="n">
        <v>14020</v>
      </c>
      <c r="E2352" t="n">
        <v>39</v>
      </c>
      <c r="F2352" t="n">
        <v>80186</v>
      </c>
      <c r="G2352" t="n">
        <v>2</v>
      </c>
      <c r="H2352" t="n">
        <v>12</v>
      </c>
      <c r="I2352" t="n">
        <v>0</v>
      </c>
    </row>
    <row r="2353">
      <c r="A2353" t="n">
        <v>2352</v>
      </c>
      <c r="B2353" t="inlineStr">
        <is>
          <t>Train</t>
        </is>
      </c>
      <c r="C2353" t="n">
        <v>2136</v>
      </c>
      <c r="D2353" t="n">
        <v>19120</v>
      </c>
      <c r="E2353" t="n">
        <v>62</v>
      </c>
      <c r="F2353" t="n">
        <v>23264</v>
      </c>
      <c r="G2353" t="n">
        <v>3</v>
      </c>
      <c r="H2353" t="n">
        <v>12</v>
      </c>
      <c r="I2353" t="n">
        <v>205740</v>
      </c>
    </row>
    <row r="2354">
      <c r="A2354" t="n">
        <v>2353</v>
      </c>
      <c r="B2354" t="inlineStr">
        <is>
          <t>Train</t>
        </is>
      </c>
      <c r="C2354" t="n">
        <v>783</v>
      </c>
      <c r="D2354" t="n">
        <v>6410</v>
      </c>
      <c r="E2354" t="n">
        <v>35</v>
      </c>
      <c r="F2354" t="n">
        <v>44681</v>
      </c>
      <c r="G2354" t="n">
        <v>1</v>
      </c>
      <c r="H2354" t="n">
        <v>10</v>
      </c>
      <c r="I2354" t="n">
        <v>174091</v>
      </c>
    </row>
    <row r="2355">
      <c r="A2355" t="n">
        <v>2354</v>
      </c>
      <c r="B2355" t="inlineStr">
        <is>
          <t>Train</t>
        </is>
      </c>
      <c r="C2355" t="n">
        <v>2067</v>
      </c>
      <c r="D2355" t="n">
        <v>18390</v>
      </c>
      <c r="E2355" t="n">
        <v>52</v>
      </c>
      <c r="F2355" t="n">
        <v>56482</v>
      </c>
      <c r="G2355" t="n">
        <v>3</v>
      </c>
      <c r="H2355" t="n">
        <v>16</v>
      </c>
      <c r="I2355" t="n">
        <v>213726</v>
      </c>
    </row>
    <row r="2356">
      <c r="A2356" t="n">
        <v>2355</v>
      </c>
      <c r="B2356" t="inlineStr">
        <is>
          <t>Train</t>
        </is>
      </c>
      <c r="C2356" t="n">
        <v>5279</v>
      </c>
      <c r="D2356" t="n">
        <v>18380</v>
      </c>
      <c r="E2356" t="n">
        <v>42</v>
      </c>
      <c r="F2356" t="n">
        <v>126762</v>
      </c>
      <c r="G2356" t="n">
        <v>0</v>
      </c>
      <c r="H2356" t="n">
        <v>13</v>
      </c>
      <c r="I2356" t="n">
        <v>0</v>
      </c>
    </row>
    <row r="2357">
      <c r="A2357" t="n">
        <v>2356</v>
      </c>
      <c r="B2357" t="inlineStr">
        <is>
          <t>Train</t>
        </is>
      </c>
      <c r="C2357" t="n">
        <v>2085</v>
      </c>
      <c r="D2357" t="n">
        <v>11200</v>
      </c>
      <c r="E2357" t="n">
        <v>55</v>
      </c>
      <c r="F2357" t="n">
        <v>41952</v>
      </c>
      <c r="G2357" t="n">
        <v>2</v>
      </c>
      <c r="H2357" t="n">
        <v>7</v>
      </c>
      <c r="I2357" t="n">
        <v>197932</v>
      </c>
    </row>
    <row r="2358">
      <c r="A2358" t="n">
        <v>2357</v>
      </c>
      <c r="B2358" t="inlineStr">
        <is>
          <t>Validation</t>
        </is>
      </c>
      <c r="C2358" t="n">
        <v>38084</v>
      </c>
      <c r="D2358" t="n">
        <v>11530</v>
      </c>
      <c r="E2358" t="n">
        <v>57</v>
      </c>
      <c r="F2358" t="n">
        <v>49564</v>
      </c>
      <c r="G2358" t="n">
        <v>6</v>
      </c>
      <c r="H2358" t="n">
        <v>14</v>
      </c>
      <c r="I2358" t="n">
        <v>195914</v>
      </c>
    </row>
    <row r="2359">
      <c r="A2359" t="n">
        <v>2358</v>
      </c>
      <c r="B2359" t="inlineStr">
        <is>
          <t>Validation</t>
        </is>
      </c>
      <c r="C2359" t="n">
        <v>2319</v>
      </c>
      <c r="D2359" t="n">
        <v>7400</v>
      </c>
      <c r="E2359" t="n">
        <v>59</v>
      </c>
      <c r="F2359" t="n">
        <v>28100</v>
      </c>
      <c r="G2359" t="n">
        <v>0</v>
      </c>
      <c r="H2359" t="n">
        <v>14</v>
      </c>
      <c r="I2359" t="n">
        <v>116034</v>
      </c>
    </row>
    <row r="2360">
      <c r="A2360" t="n">
        <v>2359</v>
      </c>
      <c r="B2360" t="inlineStr">
        <is>
          <t>Validation</t>
        </is>
      </c>
      <c r="C2360" t="n">
        <v>17070</v>
      </c>
      <c r="D2360" t="n">
        <v>14690</v>
      </c>
      <c r="E2360" t="n">
        <v>36</v>
      </c>
      <c r="F2360" t="n">
        <v>95942</v>
      </c>
      <c r="G2360" t="n">
        <v>6</v>
      </c>
      <c r="H2360" t="n">
        <v>12</v>
      </c>
      <c r="I2360" t="n">
        <v>0</v>
      </c>
    </row>
    <row r="2361">
      <c r="A2361" t="n">
        <v>2360</v>
      </c>
      <c r="B2361" t="inlineStr">
        <is>
          <t>Train</t>
        </is>
      </c>
      <c r="C2361" t="n">
        <v>20511</v>
      </c>
      <c r="D2361" t="n">
        <v>15220</v>
      </c>
      <c r="E2361" t="n">
        <v>58</v>
      </c>
      <c r="F2361" t="n">
        <v>2724</v>
      </c>
      <c r="G2361" t="n">
        <v>0</v>
      </c>
      <c r="H2361" t="n">
        <v>14</v>
      </c>
      <c r="I2361" t="n">
        <v>0</v>
      </c>
    </row>
    <row r="2362">
      <c r="A2362" t="n">
        <v>2361</v>
      </c>
      <c r="B2362" t="inlineStr">
        <is>
          <t>Train</t>
        </is>
      </c>
      <c r="C2362" t="n">
        <v>5191</v>
      </c>
      <c r="D2362" t="n">
        <v>7000</v>
      </c>
      <c r="E2362" t="n">
        <v>55</v>
      </c>
      <c r="F2362" t="n">
        <v>107264</v>
      </c>
      <c r="G2362" t="n">
        <v>6</v>
      </c>
      <c r="H2362" t="n">
        <v>12</v>
      </c>
      <c r="I2362" t="n">
        <v>0</v>
      </c>
    </row>
    <row r="2363">
      <c r="A2363" t="n">
        <v>2362</v>
      </c>
      <c r="B2363" t="inlineStr">
        <is>
          <t>Train</t>
        </is>
      </c>
      <c r="C2363" t="n">
        <v>38930</v>
      </c>
      <c r="D2363" t="n">
        <v>29630</v>
      </c>
      <c r="E2363" t="n">
        <v>63</v>
      </c>
      <c r="F2363" t="n">
        <v>141953</v>
      </c>
      <c r="G2363" t="n">
        <v>1</v>
      </c>
      <c r="H2363" t="n">
        <v>16</v>
      </c>
      <c r="I2363" t="n">
        <v>377925</v>
      </c>
    </row>
    <row r="2364">
      <c r="A2364" t="n">
        <v>2363</v>
      </c>
      <c r="B2364" t="inlineStr">
        <is>
          <t>Train</t>
        </is>
      </c>
      <c r="C2364" t="n">
        <v>536</v>
      </c>
      <c r="D2364" t="n">
        <v>8350</v>
      </c>
      <c r="E2364" t="n">
        <v>41</v>
      </c>
      <c r="F2364" t="n">
        <v>27521</v>
      </c>
      <c r="G2364" t="n">
        <v>0</v>
      </c>
      <c r="H2364" t="n">
        <v>9</v>
      </c>
      <c r="I2364" t="n">
        <v>141133</v>
      </c>
    </row>
    <row r="2365">
      <c r="A2365" t="n">
        <v>2364</v>
      </c>
      <c r="B2365" t="inlineStr">
        <is>
          <t>Train</t>
        </is>
      </c>
      <c r="C2365" t="n">
        <v>4751</v>
      </c>
      <c r="D2365" t="n">
        <v>16200</v>
      </c>
      <c r="E2365" t="n">
        <v>48</v>
      </c>
      <c r="F2365" t="n">
        <v>58291</v>
      </c>
      <c r="G2365" t="n">
        <v>0</v>
      </c>
      <c r="H2365" t="n">
        <v>14</v>
      </c>
      <c r="I2365" t="n">
        <v>244454</v>
      </c>
    </row>
    <row r="2366">
      <c r="A2366" t="n">
        <v>2365</v>
      </c>
      <c r="B2366" t="inlineStr">
        <is>
          <t>Train</t>
        </is>
      </c>
      <c r="C2366" t="n">
        <v>45931</v>
      </c>
      <c r="D2366" t="n">
        <v>11960</v>
      </c>
      <c r="E2366" t="n">
        <v>41</v>
      </c>
      <c r="F2366" t="n">
        <v>63610</v>
      </c>
      <c r="G2366" t="n">
        <v>3</v>
      </c>
      <c r="H2366" t="n">
        <v>11</v>
      </c>
      <c r="I2366" t="n">
        <v>0</v>
      </c>
    </row>
    <row r="2367">
      <c r="A2367" t="n">
        <v>2366</v>
      </c>
      <c r="B2367" t="inlineStr">
        <is>
          <t>Train</t>
        </is>
      </c>
      <c r="C2367" t="n">
        <v>44351</v>
      </c>
      <c r="D2367" t="n">
        <v>4400</v>
      </c>
      <c r="E2367" t="n">
        <v>29</v>
      </c>
      <c r="F2367" t="n">
        <v>104420</v>
      </c>
      <c r="G2367" t="n">
        <v>3</v>
      </c>
      <c r="H2367" t="n">
        <v>14</v>
      </c>
      <c r="I2367" t="n">
        <v>0</v>
      </c>
    </row>
    <row r="2368">
      <c r="A2368" t="n">
        <v>2367</v>
      </c>
      <c r="B2368" t="inlineStr">
        <is>
          <t>Validation</t>
        </is>
      </c>
      <c r="C2368" t="n">
        <v>4655</v>
      </c>
      <c r="D2368" t="n">
        <v>17140</v>
      </c>
      <c r="E2368" t="n">
        <v>46</v>
      </c>
      <c r="F2368" t="n">
        <v>70840</v>
      </c>
      <c r="G2368" t="n">
        <v>5</v>
      </c>
      <c r="H2368" t="n">
        <v>10</v>
      </c>
      <c r="I2368" t="n">
        <v>0</v>
      </c>
    </row>
    <row r="2369">
      <c r="A2369" t="n">
        <v>2368</v>
      </c>
      <c r="B2369" t="inlineStr">
        <is>
          <t>Validation</t>
        </is>
      </c>
      <c r="C2369" t="n">
        <v>10727</v>
      </c>
      <c r="D2369" t="n">
        <v>24290</v>
      </c>
      <c r="E2369" t="n">
        <v>54</v>
      </c>
      <c r="F2369" t="n">
        <v>145319</v>
      </c>
      <c r="G2369" t="n">
        <v>0</v>
      </c>
      <c r="H2369" t="n">
        <v>9</v>
      </c>
      <c r="I2369" t="n">
        <v>395969</v>
      </c>
    </row>
    <row r="2370">
      <c r="A2370" t="n">
        <v>2369</v>
      </c>
      <c r="B2370" t="inlineStr">
        <is>
          <t>Validation</t>
        </is>
      </c>
      <c r="C2370" t="n">
        <v>8292</v>
      </c>
      <c r="D2370" t="n">
        <v>35980</v>
      </c>
      <c r="E2370" t="n">
        <v>52</v>
      </c>
      <c r="F2370" t="n">
        <v>189038</v>
      </c>
      <c r="G2370" t="n">
        <v>0</v>
      </c>
      <c r="H2370" t="n">
        <v>11</v>
      </c>
      <c r="I2370" t="n">
        <v>0</v>
      </c>
    </row>
    <row r="2371">
      <c r="A2371" t="n">
        <v>2370</v>
      </c>
      <c r="B2371" t="inlineStr">
        <is>
          <t>Train</t>
        </is>
      </c>
      <c r="C2371" t="n">
        <v>815</v>
      </c>
      <c r="D2371" t="n">
        <v>18100</v>
      </c>
      <c r="E2371" t="n">
        <v>44</v>
      </c>
      <c r="F2371" t="n">
        <v>50593</v>
      </c>
      <c r="G2371" t="n">
        <v>3</v>
      </c>
      <c r="H2371" t="n">
        <v>12</v>
      </c>
      <c r="I2371" t="n">
        <v>192822</v>
      </c>
    </row>
    <row r="2372">
      <c r="A2372" t="n">
        <v>2371</v>
      </c>
      <c r="B2372" t="inlineStr">
        <is>
          <t>Train</t>
        </is>
      </c>
      <c r="C2372" t="n">
        <v>13415</v>
      </c>
      <c r="D2372" t="n">
        <v>12740</v>
      </c>
      <c r="E2372" t="n">
        <v>28</v>
      </c>
      <c r="F2372" t="n">
        <v>84448</v>
      </c>
      <c r="G2372" t="n">
        <v>3</v>
      </c>
      <c r="H2372" t="n">
        <v>13</v>
      </c>
      <c r="I2372" t="n">
        <v>0</v>
      </c>
    </row>
    <row r="2373">
      <c r="A2373" t="n">
        <v>2372</v>
      </c>
      <c r="B2373" t="inlineStr">
        <is>
          <t>Train</t>
        </is>
      </c>
      <c r="C2373" t="n">
        <v>3552</v>
      </c>
      <c r="D2373" t="n">
        <v>14080</v>
      </c>
      <c r="E2373" t="n">
        <v>41</v>
      </c>
      <c r="F2373" t="n">
        <v>1953</v>
      </c>
      <c r="G2373" t="n">
        <v>0</v>
      </c>
      <c r="H2373" t="n">
        <v>11</v>
      </c>
      <c r="I2373" t="n">
        <v>137081</v>
      </c>
    </row>
    <row r="2374">
      <c r="A2374" t="n">
        <v>2373</v>
      </c>
      <c r="B2374" t="inlineStr">
        <is>
          <t>Train</t>
        </is>
      </c>
      <c r="C2374" t="n">
        <v>592</v>
      </c>
      <c r="D2374" t="n">
        <v>7300</v>
      </c>
      <c r="E2374" t="n">
        <v>58</v>
      </c>
      <c r="F2374" t="n">
        <v>57103</v>
      </c>
      <c r="G2374" t="n">
        <v>4</v>
      </c>
      <c r="H2374" t="n">
        <v>11</v>
      </c>
      <c r="I2374" t="n">
        <v>0</v>
      </c>
    </row>
    <row r="2375">
      <c r="A2375" t="n">
        <v>2374</v>
      </c>
      <c r="B2375" t="inlineStr">
        <is>
          <t>Train</t>
        </is>
      </c>
      <c r="C2375" t="n">
        <v>5304</v>
      </c>
      <c r="D2375" t="n">
        <v>7620</v>
      </c>
      <c r="E2375" t="n">
        <v>26</v>
      </c>
      <c r="F2375" t="n">
        <v>7832</v>
      </c>
      <c r="G2375" t="n">
        <v>11</v>
      </c>
      <c r="H2375" t="n">
        <v>13</v>
      </c>
      <c r="I2375" t="n">
        <v>58632</v>
      </c>
    </row>
    <row r="2376">
      <c r="A2376" t="n">
        <v>2375</v>
      </c>
      <c r="B2376" t="inlineStr">
        <is>
          <t>Train</t>
        </is>
      </c>
      <c r="C2376" t="n">
        <v>8292</v>
      </c>
      <c r="D2376" t="n">
        <v>12530</v>
      </c>
      <c r="E2376" t="n">
        <v>46</v>
      </c>
      <c r="F2376" t="n">
        <v>40047</v>
      </c>
      <c r="G2376" t="n">
        <v>3</v>
      </c>
      <c r="H2376" t="n">
        <v>10</v>
      </c>
      <c r="I2376" t="n">
        <v>153059</v>
      </c>
    </row>
    <row r="2377">
      <c r="A2377" t="n">
        <v>2376</v>
      </c>
      <c r="B2377" t="inlineStr">
        <is>
          <t>Train</t>
        </is>
      </c>
      <c r="C2377" t="n">
        <v>3548</v>
      </c>
      <c r="D2377" t="n">
        <v>4900</v>
      </c>
      <c r="E2377" t="n">
        <v>34</v>
      </c>
      <c r="F2377" t="n">
        <v>88882</v>
      </c>
      <c r="G2377" t="n">
        <v>3</v>
      </c>
      <c r="H2377" t="n">
        <v>15</v>
      </c>
      <c r="I2377" t="n">
        <v>264963</v>
      </c>
    </row>
    <row r="2378">
      <c r="A2378" t="n">
        <v>2377</v>
      </c>
      <c r="B2378" t="inlineStr">
        <is>
          <t>Validation</t>
        </is>
      </c>
      <c r="C2378" t="n">
        <v>26088</v>
      </c>
      <c r="D2378" t="n">
        <v>18420</v>
      </c>
      <c r="E2378" t="n">
        <v>49</v>
      </c>
      <c r="F2378" t="n">
        <v>0</v>
      </c>
      <c r="G2378" t="n">
        <v>4</v>
      </c>
      <c r="H2378" t="n">
        <v>0</v>
      </c>
      <c r="I2378" t="n">
        <v>84563</v>
      </c>
    </row>
    <row r="2379">
      <c r="A2379" t="n">
        <v>2378</v>
      </c>
      <c r="B2379" t="inlineStr">
        <is>
          <t>Validation</t>
        </is>
      </c>
      <c r="C2379" t="n">
        <v>1231</v>
      </c>
      <c r="D2379" t="n">
        <v>11560</v>
      </c>
      <c r="E2379" t="n">
        <v>53</v>
      </c>
      <c r="F2379" t="n">
        <v>38467</v>
      </c>
      <c r="G2379" t="n">
        <v>1</v>
      </c>
      <c r="H2379" t="n">
        <v>5</v>
      </c>
      <c r="I2379" t="n">
        <v>0</v>
      </c>
    </row>
    <row r="2380">
      <c r="A2380" t="n">
        <v>2379</v>
      </c>
      <c r="B2380" t="inlineStr">
        <is>
          <t>Validation</t>
        </is>
      </c>
      <c r="C2380" t="n">
        <v>16558</v>
      </c>
      <c r="D2380" t="n">
        <v>11110</v>
      </c>
      <c r="E2380" t="n">
        <v>45</v>
      </c>
      <c r="F2380" t="n">
        <v>51113</v>
      </c>
      <c r="G2380" t="n">
        <v>0</v>
      </c>
      <c r="H2380" t="n">
        <v>12</v>
      </c>
      <c r="I2380" t="n">
        <v>204071</v>
      </c>
    </row>
    <row r="2381">
      <c r="A2381" t="n">
        <v>2380</v>
      </c>
      <c r="B2381" t="inlineStr">
        <is>
          <t>Train</t>
        </is>
      </c>
      <c r="C2381" t="n">
        <v>8018</v>
      </c>
      <c r="D2381" t="n">
        <v>26000</v>
      </c>
      <c r="E2381" t="n">
        <v>56</v>
      </c>
      <c r="F2381" t="n">
        <v>197493</v>
      </c>
      <c r="G2381" t="n">
        <v>5</v>
      </c>
      <c r="H2381" t="n">
        <v>11</v>
      </c>
      <c r="I2381" t="n">
        <v>0</v>
      </c>
    </row>
    <row r="2382">
      <c r="A2382" t="n">
        <v>2381</v>
      </c>
      <c r="B2382" t="inlineStr">
        <is>
          <t>Train</t>
        </is>
      </c>
      <c r="C2382" t="n">
        <v>4631</v>
      </c>
      <c r="D2382" t="n">
        <v>15890</v>
      </c>
      <c r="E2382" t="n">
        <v>34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2382</v>
      </c>
      <c r="B2383" t="inlineStr">
        <is>
          <t>Train</t>
        </is>
      </c>
      <c r="C2383" t="n">
        <v>31672</v>
      </c>
      <c r="D2383" t="n">
        <v>20250</v>
      </c>
      <c r="E2383" t="n">
        <v>52</v>
      </c>
      <c r="F2383" t="n">
        <v>135523</v>
      </c>
      <c r="G2383" t="n">
        <v>4</v>
      </c>
      <c r="H2383" t="n">
        <v>16</v>
      </c>
      <c r="I2383" t="n">
        <v>388666</v>
      </c>
    </row>
    <row r="2384">
      <c r="A2384" t="n">
        <v>2383</v>
      </c>
      <c r="B2384" t="inlineStr">
        <is>
          <t>Train</t>
        </is>
      </c>
      <c r="C2384" t="n">
        <v>7062</v>
      </c>
      <c r="D2384" t="n">
        <v>13650</v>
      </c>
      <c r="E2384" t="n">
        <v>49</v>
      </c>
      <c r="F2384" t="n">
        <v>55447</v>
      </c>
      <c r="G2384" t="n">
        <v>0</v>
      </c>
      <c r="H2384" t="n">
        <v>13</v>
      </c>
      <c r="I2384" t="n">
        <v>0</v>
      </c>
    </row>
    <row r="2385">
      <c r="A2385" t="n">
        <v>2384</v>
      </c>
      <c r="B2385" t="inlineStr">
        <is>
          <t>Train</t>
        </is>
      </c>
      <c r="C2385" t="n">
        <v>27425</v>
      </c>
      <c r="D2385" t="n">
        <v>16860</v>
      </c>
      <c r="E2385" t="n">
        <v>62</v>
      </c>
      <c r="F2385" t="n">
        <v>48350</v>
      </c>
      <c r="G2385" t="n">
        <v>0</v>
      </c>
      <c r="H2385" t="n">
        <v>18</v>
      </c>
      <c r="I2385" t="n">
        <v>241411</v>
      </c>
    </row>
    <row r="2386">
      <c r="A2386" t="n">
        <v>2385</v>
      </c>
      <c r="B2386" t="inlineStr">
        <is>
          <t>Train</t>
        </is>
      </c>
      <c r="C2386" t="n">
        <v>40648</v>
      </c>
      <c r="D2386" t="n">
        <v>9780</v>
      </c>
      <c r="E2386" t="n">
        <v>37</v>
      </c>
      <c r="F2386" t="n">
        <v>21484</v>
      </c>
      <c r="G2386" t="n">
        <v>2</v>
      </c>
      <c r="H2386" t="n">
        <v>10</v>
      </c>
      <c r="I2386" t="n">
        <v>0</v>
      </c>
    </row>
    <row r="2387">
      <c r="A2387" t="n">
        <v>2386</v>
      </c>
      <c r="B2387" t="inlineStr">
        <is>
          <t>Train</t>
        </is>
      </c>
      <c r="C2387" t="n">
        <v>934</v>
      </c>
      <c r="D2387" t="n">
        <v>20260</v>
      </c>
      <c r="E2387" t="n">
        <v>38</v>
      </c>
      <c r="F2387" t="n">
        <v>0</v>
      </c>
      <c r="G2387" t="n">
        <v>4</v>
      </c>
      <c r="H2387" t="n">
        <v>0</v>
      </c>
      <c r="I2387" t="n">
        <v>87708</v>
      </c>
    </row>
    <row r="2388">
      <c r="A2388" t="n">
        <v>2387</v>
      </c>
      <c r="B2388" t="inlineStr">
        <is>
          <t>Validation</t>
        </is>
      </c>
      <c r="C2388" t="n">
        <v>2702</v>
      </c>
      <c r="D2388" t="n">
        <v>10480</v>
      </c>
      <c r="E2388" t="n">
        <v>41</v>
      </c>
      <c r="F2388" t="n">
        <v>48835</v>
      </c>
      <c r="G2388" t="n">
        <v>3</v>
      </c>
      <c r="H2388" t="n">
        <v>10</v>
      </c>
      <c r="I2388" t="n">
        <v>249596</v>
      </c>
    </row>
    <row r="2389">
      <c r="A2389" t="n">
        <v>2388</v>
      </c>
      <c r="B2389" t="inlineStr">
        <is>
          <t>Validation</t>
        </is>
      </c>
      <c r="C2389" t="n">
        <v>6788</v>
      </c>
      <c r="D2389" t="n">
        <v>17930</v>
      </c>
      <c r="E2389" t="n">
        <v>51</v>
      </c>
      <c r="F2389" t="n">
        <v>152462</v>
      </c>
      <c r="G2389" t="n">
        <v>0</v>
      </c>
      <c r="H2389" t="n">
        <v>11</v>
      </c>
      <c r="I2389" t="n">
        <v>0</v>
      </c>
    </row>
    <row r="2390">
      <c r="A2390" t="n">
        <v>2389</v>
      </c>
      <c r="B2390" t="inlineStr">
        <is>
          <t>Validation</t>
        </is>
      </c>
      <c r="C2390" t="n">
        <v>4531</v>
      </c>
      <c r="D2390" t="n">
        <v>22710</v>
      </c>
      <c r="E2390" t="n">
        <v>57</v>
      </c>
      <c r="F2390" t="n">
        <v>100985</v>
      </c>
      <c r="G2390" t="n">
        <v>2</v>
      </c>
      <c r="H2390" t="n">
        <v>14</v>
      </c>
      <c r="I2390" t="n">
        <v>280768</v>
      </c>
    </row>
    <row r="2391">
      <c r="A2391" t="n">
        <v>2390</v>
      </c>
      <c r="B2391" t="inlineStr">
        <is>
          <t>Train</t>
        </is>
      </c>
      <c r="C2391" t="n">
        <v>1176</v>
      </c>
      <c r="D2391" t="n">
        <v>6550</v>
      </c>
      <c r="E2391" t="n">
        <v>40</v>
      </c>
      <c r="F2391" t="n">
        <v>0</v>
      </c>
      <c r="G2391" t="n">
        <v>4</v>
      </c>
      <c r="H2391" t="n">
        <v>0</v>
      </c>
      <c r="I2391" t="n">
        <v>0</v>
      </c>
    </row>
    <row r="2392">
      <c r="A2392" t="n">
        <v>2391</v>
      </c>
      <c r="B2392" t="inlineStr">
        <is>
          <t>Train</t>
        </is>
      </c>
      <c r="C2392" t="n">
        <v>36839</v>
      </c>
      <c r="D2392" t="n">
        <v>17680</v>
      </c>
      <c r="E2392" t="n">
        <v>41</v>
      </c>
      <c r="F2392" t="n">
        <v>90405</v>
      </c>
      <c r="G2392" t="n">
        <v>3</v>
      </c>
      <c r="H2392" t="n">
        <v>13</v>
      </c>
      <c r="I2392" t="n">
        <v>268678</v>
      </c>
    </row>
    <row r="2393">
      <c r="A2393" t="n">
        <v>2392</v>
      </c>
      <c r="B2393" t="inlineStr">
        <is>
          <t>Train</t>
        </is>
      </c>
      <c r="C2393" t="n">
        <v>1401</v>
      </c>
      <c r="D2393" t="n">
        <v>24330</v>
      </c>
      <c r="E2393" t="n">
        <v>46</v>
      </c>
      <c r="F2393" t="n">
        <v>112465</v>
      </c>
      <c r="G2393" t="n">
        <v>0</v>
      </c>
      <c r="H2393" t="n">
        <v>6</v>
      </c>
      <c r="I2393" t="n">
        <v>0</v>
      </c>
    </row>
    <row r="2394">
      <c r="A2394" t="n">
        <v>2393</v>
      </c>
      <c r="B2394" t="inlineStr">
        <is>
          <t>Train</t>
        </is>
      </c>
      <c r="C2394" t="n">
        <v>12636</v>
      </c>
      <c r="D2394" t="n">
        <v>29230</v>
      </c>
      <c r="E2394" t="n">
        <v>31</v>
      </c>
      <c r="F2394" t="n">
        <v>119331</v>
      </c>
      <c r="G2394" t="n">
        <v>2</v>
      </c>
      <c r="H2394" t="n">
        <v>4</v>
      </c>
      <c r="I2394" t="n">
        <v>363888</v>
      </c>
    </row>
    <row r="2395">
      <c r="A2395" t="n">
        <v>2394</v>
      </c>
      <c r="B2395" t="inlineStr">
        <is>
          <t>Train</t>
        </is>
      </c>
      <c r="C2395" t="n">
        <v>1551</v>
      </c>
      <c r="D2395" t="n">
        <v>29080</v>
      </c>
      <c r="E2395" t="n">
        <v>42</v>
      </c>
      <c r="F2395" t="n">
        <v>85921</v>
      </c>
      <c r="G2395" t="n">
        <v>2</v>
      </c>
      <c r="H2395" t="n">
        <v>12</v>
      </c>
      <c r="I2395" t="n">
        <v>270346</v>
      </c>
    </row>
    <row r="2396">
      <c r="A2396" t="n">
        <v>2395</v>
      </c>
      <c r="B2396" t="inlineStr">
        <is>
          <t>Train</t>
        </is>
      </c>
      <c r="C2396" t="n">
        <v>7654</v>
      </c>
      <c r="D2396" t="n">
        <v>4510</v>
      </c>
      <c r="E2396" t="n">
        <v>35</v>
      </c>
      <c r="F2396" t="n">
        <v>30111</v>
      </c>
      <c r="G2396" t="n">
        <v>9</v>
      </c>
      <c r="H2396" t="n">
        <v>12</v>
      </c>
      <c r="I2396" t="n">
        <v>0</v>
      </c>
    </row>
    <row r="2397">
      <c r="A2397" t="n">
        <v>2396</v>
      </c>
      <c r="B2397" t="inlineStr">
        <is>
          <t>Train</t>
        </is>
      </c>
      <c r="C2397" t="n">
        <v>4009</v>
      </c>
      <c r="D2397" t="n">
        <v>7280</v>
      </c>
      <c r="E2397" t="n">
        <v>47</v>
      </c>
      <c r="F2397" t="n">
        <v>54807</v>
      </c>
      <c r="G2397" t="n">
        <v>2</v>
      </c>
      <c r="H2397" t="n">
        <v>16</v>
      </c>
      <c r="I2397" t="n">
        <v>183953</v>
      </c>
    </row>
    <row r="2398">
      <c r="A2398" t="n">
        <v>2397</v>
      </c>
      <c r="B2398" t="inlineStr">
        <is>
          <t>Validation</t>
        </is>
      </c>
      <c r="C2398" t="n">
        <v>35863</v>
      </c>
      <c r="D2398" t="n">
        <v>15100</v>
      </c>
      <c r="E2398" t="n">
        <v>42</v>
      </c>
      <c r="F2398" t="n">
        <v>19759</v>
      </c>
      <c r="G2398" t="n">
        <v>4</v>
      </c>
      <c r="H2398" t="n">
        <v>4</v>
      </c>
      <c r="I2398" t="n">
        <v>0</v>
      </c>
    </row>
    <row r="2399">
      <c r="A2399" t="n">
        <v>2398</v>
      </c>
      <c r="B2399" t="inlineStr">
        <is>
          <t>Validation</t>
        </is>
      </c>
      <c r="C2399" t="n">
        <v>8598</v>
      </c>
      <c r="D2399" t="n">
        <v>9010</v>
      </c>
      <c r="E2399" t="n">
        <v>47</v>
      </c>
      <c r="F2399" t="n">
        <v>28107</v>
      </c>
      <c r="G2399" t="n">
        <v>3</v>
      </c>
      <c r="H2399" t="n">
        <v>12</v>
      </c>
      <c r="I2399" t="n">
        <v>0</v>
      </c>
    </row>
    <row r="2400">
      <c r="A2400" t="n">
        <v>2399</v>
      </c>
      <c r="B2400" t="inlineStr">
        <is>
          <t>Validation</t>
        </is>
      </c>
      <c r="C2400" t="n">
        <v>7684</v>
      </c>
      <c r="D2400" t="n">
        <v>6700</v>
      </c>
      <c r="E2400" t="n">
        <v>52</v>
      </c>
      <c r="F2400" t="n">
        <v>66063</v>
      </c>
      <c r="G2400" t="n">
        <v>3</v>
      </c>
      <c r="H2400" t="n">
        <v>7</v>
      </c>
      <c r="I2400" t="n">
        <v>208162</v>
      </c>
    </row>
    <row r="2401">
      <c r="A2401" t="n">
        <v>2400</v>
      </c>
      <c r="B2401" t="inlineStr">
        <is>
          <t>Train</t>
        </is>
      </c>
      <c r="C2401" t="n">
        <v>3894</v>
      </c>
      <c r="D2401" t="n">
        <v>14910</v>
      </c>
      <c r="E2401" t="n">
        <v>66</v>
      </c>
      <c r="F2401" t="n">
        <v>78458</v>
      </c>
      <c r="G2401" t="n">
        <v>0</v>
      </c>
      <c r="H2401" t="n">
        <v>7</v>
      </c>
      <c r="I2401" t="n">
        <v>267837</v>
      </c>
    </row>
    <row r="2402">
      <c r="A2402" t="n">
        <v>2401</v>
      </c>
      <c r="B2402" t="inlineStr">
        <is>
          <t>Train</t>
        </is>
      </c>
      <c r="C2402" t="n">
        <v>6452</v>
      </c>
      <c r="D2402" t="n">
        <v>17430</v>
      </c>
      <c r="E2402" t="n">
        <v>40</v>
      </c>
      <c r="F2402" t="n">
        <v>67700</v>
      </c>
      <c r="G2402" t="n">
        <v>4</v>
      </c>
      <c r="H2402" t="n">
        <v>14</v>
      </c>
      <c r="I2402" t="n">
        <v>200231</v>
      </c>
    </row>
    <row r="2403">
      <c r="A2403" t="n">
        <v>2402</v>
      </c>
      <c r="B2403" t="inlineStr">
        <is>
          <t>Train</t>
        </is>
      </c>
      <c r="C2403" t="n">
        <v>5459</v>
      </c>
      <c r="D2403" t="n">
        <v>14200</v>
      </c>
      <c r="E2403" t="n">
        <v>35</v>
      </c>
      <c r="F2403" t="n">
        <v>51116</v>
      </c>
      <c r="G2403" t="n">
        <v>0</v>
      </c>
      <c r="H2403" t="n">
        <v>4</v>
      </c>
      <c r="I2403" t="n">
        <v>0</v>
      </c>
    </row>
    <row r="2404">
      <c r="A2404" t="n">
        <v>2403</v>
      </c>
      <c r="B2404" t="inlineStr">
        <is>
          <t>Train</t>
        </is>
      </c>
      <c r="C2404" t="n">
        <v>6748</v>
      </c>
      <c r="D2404" t="n">
        <v>2760</v>
      </c>
      <c r="E2404" t="n">
        <v>50</v>
      </c>
      <c r="F2404" t="n">
        <v>12623</v>
      </c>
      <c r="G2404" t="n">
        <v>0</v>
      </c>
      <c r="H2404" t="n">
        <v>10</v>
      </c>
      <c r="I2404" t="n">
        <v>0</v>
      </c>
    </row>
    <row r="2405">
      <c r="A2405" t="n">
        <v>2404</v>
      </c>
      <c r="B2405" t="inlineStr">
        <is>
          <t>Train</t>
        </is>
      </c>
      <c r="C2405" t="n">
        <v>3396</v>
      </c>
      <c r="D2405" t="n">
        <v>11330</v>
      </c>
      <c r="E2405" t="n">
        <v>48</v>
      </c>
      <c r="F2405" t="n">
        <v>38879</v>
      </c>
      <c r="G2405" t="n">
        <v>4</v>
      </c>
      <c r="H2405" t="n">
        <v>13</v>
      </c>
      <c r="I2405" t="n">
        <v>0</v>
      </c>
    </row>
    <row r="2406">
      <c r="A2406" t="n">
        <v>2405</v>
      </c>
      <c r="B2406" t="inlineStr">
        <is>
          <t>Train</t>
        </is>
      </c>
      <c r="C2406" t="n">
        <v>8942</v>
      </c>
      <c r="D2406" t="n">
        <v>5530</v>
      </c>
      <c r="E2406" t="n">
        <v>42</v>
      </c>
      <c r="F2406" t="n">
        <v>40277</v>
      </c>
      <c r="G2406" t="n">
        <v>6</v>
      </c>
      <c r="H2406" t="n">
        <v>13</v>
      </c>
      <c r="I2406" t="n">
        <v>156362</v>
      </c>
    </row>
    <row r="2407">
      <c r="A2407" t="n">
        <v>2406</v>
      </c>
      <c r="B2407" t="inlineStr">
        <is>
          <t>Train</t>
        </is>
      </c>
      <c r="C2407" t="n">
        <v>3381</v>
      </c>
      <c r="D2407" t="n">
        <v>17970</v>
      </c>
      <c r="E2407" t="n">
        <v>38</v>
      </c>
      <c r="F2407" t="n">
        <v>126747</v>
      </c>
      <c r="G2407" t="n">
        <v>7</v>
      </c>
      <c r="H2407" t="n">
        <v>13</v>
      </c>
      <c r="I2407" t="n">
        <v>311195</v>
      </c>
    </row>
    <row r="2408">
      <c r="A2408" t="n">
        <v>2407</v>
      </c>
      <c r="B2408" t="inlineStr">
        <is>
          <t>Validation</t>
        </is>
      </c>
      <c r="C2408" t="n">
        <v>6094</v>
      </c>
      <c r="D2408" t="n">
        <v>5320</v>
      </c>
      <c r="E2408" t="n">
        <v>26</v>
      </c>
      <c r="F2408" t="n">
        <v>12240</v>
      </c>
      <c r="G2408" t="n">
        <v>0</v>
      </c>
      <c r="H2408" t="n">
        <v>10</v>
      </c>
      <c r="I2408" t="n">
        <v>101334</v>
      </c>
    </row>
    <row r="2409">
      <c r="A2409" t="n">
        <v>2408</v>
      </c>
      <c r="B2409" t="inlineStr">
        <is>
          <t>Validation</t>
        </is>
      </c>
      <c r="C2409" t="n">
        <v>4852</v>
      </c>
      <c r="D2409" t="n">
        <v>8810</v>
      </c>
      <c r="E2409" t="n">
        <v>48</v>
      </c>
      <c r="F2409" t="n">
        <v>25094</v>
      </c>
      <c r="G2409" t="n">
        <v>5</v>
      </c>
      <c r="H2409" t="n">
        <v>12</v>
      </c>
      <c r="I2409" t="n">
        <v>0</v>
      </c>
    </row>
    <row r="2410">
      <c r="A2410" t="n">
        <v>2409</v>
      </c>
      <c r="B2410" t="inlineStr">
        <is>
          <t>Validation</t>
        </is>
      </c>
      <c r="C2410" t="n">
        <v>34346</v>
      </c>
      <c r="D2410" t="n">
        <v>16440</v>
      </c>
      <c r="E2410" t="n">
        <v>39</v>
      </c>
      <c r="F2410" t="n">
        <v>23670</v>
      </c>
      <c r="G2410" t="n">
        <v>3</v>
      </c>
      <c r="H2410" t="n">
        <v>11</v>
      </c>
      <c r="I2410" t="n">
        <v>0</v>
      </c>
    </row>
    <row r="2411">
      <c r="A2411" t="n">
        <v>2410</v>
      </c>
      <c r="B2411" t="inlineStr">
        <is>
          <t>Train</t>
        </is>
      </c>
      <c r="C2411" t="n">
        <v>3288</v>
      </c>
      <c r="D2411" t="n">
        <v>17400</v>
      </c>
      <c r="E2411" t="n">
        <v>50</v>
      </c>
      <c r="F2411" t="n">
        <v>30956</v>
      </c>
      <c r="G2411" t="n">
        <v>3</v>
      </c>
      <c r="H2411" t="n">
        <v>8</v>
      </c>
      <c r="I2411" t="n">
        <v>166846</v>
      </c>
    </row>
    <row r="2412">
      <c r="A2412" t="n">
        <v>2411</v>
      </c>
      <c r="B2412" t="inlineStr">
        <is>
          <t>Train</t>
        </is>
      </c>
      <c r="C2412" t="n">
        <v>1420</v>
      </c>
      <c r="D2412" t="n">
        <v>18800</v>
      </c>
      <c r="E2412" t="n">
        <v>41</v>
      </c>
      <c r="F2412" t="n">
        <v>27045</v>
      </c>
      <c r="G2412" t="n">
        <v>3</v>
      </c>
      <c r="H2412" t="n">
        <v>14</v>
      </c>
      <c r="I2412" t="n">
        <v>205386</v>
      </c>
    </row>
    <row r="2413">
      <c r="A2413" t="n">
        <v>2412</v>
      </c>
      <c r="B2413" t="inlineStr">
        <is>
          <t>Train</t>
        </is>
      </c>
      <c r="C2413" t="n">
        <v>2157</v>
      </c>
      <c r="D2413" t="n">
        <v>14540</v>
      </c>
      <c r="E2413" t="n">
        <v>41</v>
      </c>
      <c r="F2413" t="n">
        <v>48230</v>
      </c>
      <c r="G2413" t="n">
        <v>2</v>
      </c>
      <c r="H2413" t="n">
        <v>11</v>
      </c>
      <c r="I2413" t="n">
        <v>0</v>
      </c>
    </row>
    <row r="2414">
      <c r="A2414" t="n">
        <v>2413</v>
      </c>
      <c r="B2414" t="inlineStr">
        <is>
          <t>Train</t>
        </is>
      </c>
      <c r="C2414" t="n">
        <v>5053</v>
      </c>
      <c r="D2414" t="n">
        <v>29670</v>
      </c>
      <c r="E2414" t="n">
        <v>48</v>
      </c>
      <c r="F2414" t="n">
        <v>50201</v>
      </c>
      <c r="G2414" t="n">
        <v>4</v>
      </c>
      <c r="H2414" t="n">
        <v>14</v>
      </c>
      <c r="I2414" t="n">
        <v>169828</v>
      </c>
    </row>
    <row r="2415">
      <c r="A2415" t="n">
        <v>2414</v>
      </c>
      <c r="B2415" t="inlineStr">
        <is>
          <t>Train</t>
        </is>
      </c>
      <c r="C2415" t="n">
        <v>4778</v>
      </c>
      <c r="D2415" t="n">
        <v>13800</v>
      </c>
      <c r="E2415" t="n">
        <v>43</v>
      </c>
      <c r="F2415" t="n">
        <v>80012</v>
      </c>
      <c r="G2415" t="n">
        <v>5</v>
      </c>
      <c r="H2415" t="n">
        <v>15</v>
      </c>
      <c r="I2415" t="n">
        <v>250971</v>
      </c>
    </row>
    <row r="2416">
      <c r="A2416" t="n">
        <v>2415</v>
      </c>
      <c r="B2416" t="inlineStr">
        <is>
          <t>Train</t>
        </is>
      </c>
      <c r="C2416" t="n">
        <v>3826</v>
      </c>
      <c r="D2416" t="n">
        <v>17630</v>
      </c>
      <c r="E2416" t="n">
        <v>48</v>
      </c>
      <c r="F2416" t="n">
        <v>29928</v>
      </c>
      <c r="G2416" t="n">
        <v>2</v>
      </c>
      <c r="H2416" t="n">
        <v>9</v>
      </c>
      <c r="I2416" t="n">
        <v>102900</v>
      </c>
    </row>
    <row r="2417">
      <c r="A2417" t="n">
        <v>2416</v>
      </c>
      <c r="B2417" t="inlineStr">
        <is>
          <t>Train</t>
        </is>
      </c>
      <c r="C2417" t="n">
        <v>3990</v>
      </c>
      <c r="D2417" t="n">
        <v>13340</v>
      </c>
      <c r="E2417" t="n">
        <v>46</v>
      </c>
      <c r="F2417" t="n">
        <v>72383</v>
      </c>
      <c r="G2417" t="n">
        <v>0</v>
      </c>
      <c r="H2417" t="n">
        <v>13</v>
      </c>
      <c r="I2417" t="n">
        <v>224700</v>
      </c>
    </row>
    <row r="2418">
      <c r="A2418" t="n">
        <v>2417</v>
      </c>
      <c r="B2418" t="inlineStr">
        <is>
          <t>Validation</t>
        </is>
      </c>
      <c r="C2418" t="n">
        <v>1810</v>
      </c>
      <c r="D2418" t="n">
        <v>10810</v>
      </c>
      <c r="E2418" t="n">
        <v>52</v>
      </c>
      <c r="F2418" t="n">
        <v>136123</v>
      </c>
      <c r="G2418" t="n">
        <v>5</v>
      </c>
      <c r="H2418" t="n">
        <v>10</v>
      </c>
      <c r="I2418" t="n">
        <v>348357</v>
      </c>
    </row>
    <row r="2419">
      <c r="A2419" t="n">
        <v>2418</v>
      </c>
      <c r="B2419" t="inlineStr">
        <is>
          <t>Validation</t>
        </is>
      </c>
      <c r="C2419" t="n">
        <v>3744</v>
      </c>
      <c r="D2419" t="n">
        <v>17160</v>
      </c>
      <c r="E2419" t="n">
        <v>43</v>
      </c>
      <c r="F2419" t="n">
        <v>71235</v>
      </c>
      <c r="G2419" t="n">
        <v>0</v>
      </c>
      <c r="H2419" t="n">
        <v>12</v>
      </c>
      <c r="I2419" t="n">
        <v>0</v>
      </c>
    </row>
    <row r="2420">
      <c r="A2420" t="n">
        <v>2419</v>
      </c>
      <c r="B2420" t="inlineStr">
        <is>
          <t>Validation</t>
        </is>
      </c>
      <c r="C2420" t="n">
        <v>34824</v>
      </c>
      <c r="D2420" t="n">
        <v>16390</v>
      </c>
      <c r="E2420" t="n">
        <v>53</v>
      </c>
      <c r="F2420" t="n">
        <v>59445</v>
      </c>
      <c r="G2420" t="n">
        <v>0</v>
      </c>
      <c r="H2420" t="n">
        <v>7</v>
      </c>
      <c r="I2420" t="n">
        <v>225151</v>
      </c>
    </row>
    <row r="2421">
      <c r="A2421" t="n">
        <v>2420</v>
      </c>
      <c r="B2421" t="inlineStr">
        <is>
          <t>Train</t>
        </is>
      </c>
      <c r="C2421" t="n">
        <v>40386</v>
      </c>
      <c r="D2421" t="n">
        <v>10510</v>
      </c>
      <c r="E2421" t="n">
        <v>30</v>
      </c>
      <c r="F2421" t="n">
        <v>20944</v>
      </c>
      <c r="G2421" t="n">
        <v>5</v>
      </c>
      <c r="H2421" t="n">
        <v>15</v>
      </c>
      <c r="I2421" t="n">
        <v>0</v>
      </c>
    </row>
    <row r="2422">
      <c r="A2422" t="n">
        <v>2421</v>
      </c>
      <c r="B2422" t="inlineStr">
        <is>
          <t>Train</t>
        </is>
      </c>
      <c r="C2422" t="n">
        <v>6387</v>
      </c>
      <c r="D2422" t="n">
        <v>20670</v>
      </c>
      <c r="E2422" t="n">
        <v>39</v>
      </c>
      <c r="F2422" t="n">
        <v>16862</v>
      </c>
      <c r="G2422" t="n">
        <v>4</v>
      </c>
      <c r="H2422" t="n">
        <v>13</v>
      </c>
      <c r="I2422" t="n">
        <v>148063</v>
      </c>
    </row>
    <row r="2423">
      <c r="A2423" t="n">
        <v>2422</v>
      </c>
      <c r="B2423" t="inlineStr">
        <is>
          <t>Train</t>
        </is>
      </c>
      <c r="C2423" t="n">
        <v>3917</v>
      </c>
      <c r="D2423" t="n">
        <v>15710</v>
      </c>
      <c r="E2423" t="n">
        <v>50</v>
      </c>
      <c r="F2423" t="n">
        <v>111254</v>
      </c>
      <c r="G2423" t="n">
        <v>5</v>
      </c>
      <c r="H2423" t="n">
        <v>13</v>
      </c>
      <c r="I2423" t="n">
        <v>0</v>
      </c>
    </row>
    <row r="2424">
      <c r="A2424" t="n">
        <v>2423</v>
      </c>
      <c r="B2424" t="inlineStr">
        <is>
          <t>Train</t>
        </is>
      </c>
      <c r="C2424" t="n">
        <v>5283</v>
      </c>
      <c r="D2424" t="n">
        <v>7040</v>
      </c>
      <c r="E2424" t="n">
        <v>28</v>
      </c>
      <c r="F2424" t="n">
        <v>23427</v>
      </c>
      <c r="G2424" t="n">
        <v>1</v>
      </c>
      <c r="H2424" t="n">
        <v>10</v>
      </c>
      <c r="I2424" t="n">
        <v>98357</v>
      </c>
    </row>
    <row r="2425">
      <c r="A2425" t="n">
        <v>2424</v>
      </c>
      <c r="B2425" t="inlineStr">
        <is>
          <t>Train</t>
        </is>
      </c>
      <c r="C2425" t="n">
        <v>4658</v>
      </c>
      <c r="D2425" t="n">
        <v>11930</v>
      </c>
      <c r="E2425" t="n">
        <v>45</v>
      </c>
      <c r="F2425" t="n">
        <v>47907</v>
      </c>
      <c r="G2425" t="n">
        <v>6</v>
      </c>
      <c r="H2425" t="n">
        <v>12</v>
      </c>
      <c r="I2425" t="n">
        <v>0</v>
      </c>
    </row>
    <row r="2426">
      <c r="A2426" t="n">
        <v>2425</v>
      </c>
      <c r="B2426" t="inlineStr">
        <is>
          <t>Train</t>
        </is>
      </c>
      <c r="C2426" t="n">
        <v>6599</v>
      </c>
      <c r="D2426" t="n">
        <v>39540</v>
      </c>
      <c r="E2426" t="n">
        <v>41</v>
      </c>
      <c r="F2426" t="n">
        <v>95903</v>
      </c>
      <c r="G2426" t="n">
        <v>6</v>
      </c>
      <c r="H2426" t="n">
        <v>11</v>
      </c>
      <c r="I2426" t="n">
        <v>285983</v>
      </c>
    </row>
    <row r="2427">
      <c r="A2427" t="n">
        <v>2426</v>
      </c>
      <c r="B2427" t="inlineStr">
        <is>
          <t>Train</t>
        </is>
      </c>
      <c r="C2427" t="n">
        <v>6645</v>
      </c>
      <c r="D2427" t="n">
        <v>6830</v>
      </c>
      <c r="E2427" t="n">
        <v>48</v>
      </c>
      <c r="F2427" t="n">
        <v>21246</v>
      </c>
      <c r="G2427" t="n">
        <v>5</v>
      </c>
      <c r="H2427" t="n">
        <v>11</v>
      </c>
      <c r="I2427" t="n">
        <v>115947</v>
      </c>
    </row>
    <row r="2428">
      <c r="A2428" t="n">
        <v>2427</v>
      </c>
      <c r="B2428" t="inlineStr">
        <is>
          <t>Validation</t>
        </is>
      </c>
      <c r="C2428" t="n">
        <v>8907</v>
      </c>
      <c r="D2428" t="n">
        <v>2250</v>
      </c>
      <c r="E2428" t="n">
        <v>48</v>
      </c>
      <c r="F2428" t="n">
        <v>49860</v>
      </c>
      <c r="G2428" t="n">
        <v>4</v>
      </c>
      <c r="H2428" t="n">
        <v>7</v>
      </c>
      <c r="I2428" t="n">
        <v>197121</v>
      </c>
    </row>
    <row r="2429">
      <c r="A2429" t="n">
        <v>2428</v>
      </c>
      <c r="B2429" t="inlineStr">
        <is>
          <t>Validation</t>
        </is>
      </c>
      <c r="C2429" t="n">
        <v>7908</v>
      </c>
      <c r="D2429" t="n">
        <v>19760</v>
      </c>
      <c r="E2429" t="n">
        <v>35</v>
      </c>
      <c r="F2429" t="n">
        <v>62971</v>
      </c>
      <c r="G2429" t="n">
        <v>10</v>
      </c>
      <c r="H2429" t="n">
        <v>13</v>
      </c>
      <c r="I2429" t="n">
        <v>0</v>
      </c>
    </row>
    <row r="2430">
      <c r="A2430" t="n">
        <v>2429</v>
      </c>
      <c r="B2430" t="inlineStr">
        <is>
          <t>Validation</t>
        </is>
      </c>
      <c r="C2430" t="n">
        <v>6011</v>
      </c>
      <c r="D2430" t="n">
        <v>23610</v>
      </c>
      <c r="E2430" t="n">
        <v>35</v>
      </c>
      <c r="F2430" t="n">
        <v>78260</v>
      </c>
      <c r="G2430" t="n">
        <v>9</v>
      </c>
      <c r="H2430" t="n">
        <v>10</v>
      </c>
      <c r="I2430" t="n">
        <v>259867</v>
      </c>
    </row>
    <row r="2431">
      <c r="A2431" t="n">
        <v>2430</v>
      </c>
      <c r="B2431" t="inlineStr">
        <is>
          <t>Train</t>
        </is>
      </c>
      <c r="C2431" t="n">
        <v>1491</v>
      </c>
      <c r="D2431" t="n">
        <v>7410</v>
      </c>
      <c r="E2431" t="n">
        <v>32</v>
      </c>
      <c r="F2431" t="n">
        <v>0</v>
      </c>
      <c r="G2431" t="n">
        <v>8</v>
      </c>
      <c r="H2431" t="n">
        <v>0</v>
      </c>
      <c r="I2431" t="n">
        <v>0</v>
      </c>
    </row>
    <row r="2432">
      <c r="A2432" t="n">
        <v>2431</v>
      </c>
      <c r="B2432" t="inlineStr">
        <is>
          <t>Train</t>
        </is>
      </c>
      <c r="C2432" t="n">
        <v>4174</v>
      </c>
      <c r="D2432" t="n">
        <v>16510</v>
      </c>
      <c r="E2432" t="n">
        <v>27</v>
      </c>
      <c r="F2432" t="n">
        <v>123062</v>
      </c>
      <c r="G2432" t="n">
        <v>2</v>
      </c>
      <c r="H2432" t="n">
        <v>13</v>
      </c>
      <c r="I2432" t="n">
        <v>0</v>
      </c>
    </row>
    <row r="2433">
      <c r="A2433" t="n">
        <v>2432</v>
      </c>
      <c r="B2433" t="inlineStr">
        <is>
          <t>Train</t>
        </is>
      </c>
      <c r="C2433" t="n">
        <v>30254</v>
      </c>
      <c r="D2433" t="n">
        <v>4310</v>
      </c>
      <c r="E2433" t="n">
        <v>38</v>
      </c>
      <c r="F2433" t="n">
        <v>28065</v>
      </c>
      <c r="G2433" t="n">
        <v>0</v>
      </c>
      <c r="H2433" t="n">
        <v>13</v>
      </c>
      <c r="I2433" t="n">
        <v>112596</v>
      </c>
    </row>
    <row r="2434">
      <c r="A2434" t="n">
        <v>2433</v>
      </c>
      <c r="B2434" t="inlineStr">
        <is>
          <t>Train</t>
        </is>
      </c>
      <c r="C2434" t="n">
        <v>45357</v>
      </c>
      <c r="D2434" t="n">
        <v>16700</v>
      </c>
      <c r="E2434" t="n">
        <v>32</v>
      </c>
      <c r="F2434" t="n">
        <v>16720</v>
      </c>
      <c r="G2434" t="n">
        <v>5</v>
      </c>
      <c r="H2434" t="n">
        <v>8</v>
      </c>
      <c r="I2434" t="n">
        <v>98989</v>
      </c>
    </row>
    <row r="2435">
      <c r="A2435" t="n">
        <v>2434</v>
      </c>
      <c r="B2435" t="inlineStr">
        <is>
          <t>Train</t>
        </is>
      </c>
      <c r="C2435" t="n">
        <v>20731</v>
      </c>
      <c r="D2435" t="n">
        <v>21660</v>
      </c>
      <c r="E2435" t="n">
        <v>36</v>
      </c>
      <c r="F2435" t="n">
        <v>36844</v>
      </c>
      <c r="G2435" t="n">
        <v>7</v>
      </c>
      <c r="H2435" t="n">
        <v>11</v>
      </c>
      <c r="I2435" t="n">
        <v>0</v>
      </c>
    </row>
    <row r="2436">
      <c r="A2436" t="n">
        <v>2435</v>
      </c>
      <c r="B2436" t="inlineStr">
        <is>
          <t>Train</t>
        </is>
      </c>
      <c r="C2436" t="n">
        <v>2033</v>
      </c>
      <c r="D2436" t="n">
        <v>29900</v>
      </c>
      <c r="E2436" t="n">
        <v>47</v>
      </c>
      <c r="F2436" t="n">
        <v>129415</v>
      </c>
      <c r="G2436" t="n">
        <v>0</v>
      </c>
      <c r="H2436" t="n">
        <v>13</v>
      </c>
      <c r="I2436" t="n">
        <v>374372</v>
      </c>
    </row>
    <row r="2437">
      <c r="A2437" t="n">
        <v>2436</v>
      </c>
      <c r="B2437" t="inlineStr">
        <is>
          <t>Train</t>
        </is>
      </c>
      <c r="C2437" t="n">
        <v>5551</v>
      </c>
      <c r="D2437" t="n">
        <v>6400</v>
      </c>
      <c r="E2437" t="n">
        <v>49</v>
      </c>
      <c r="F2437" t="n">
        <v>9444</v>
      </c>
      <c r="G2437" t="n">
        <v>4</v>
      </c>
      <c r="H2437" t="n">
        <v>11</v>
      </c>
      <c r="I2437" t="n">
        <v>0</v>
      </c>
    </row>
    <row r="2438">
      <c r="A2438" t="n">
        <v>2437</v>
      </c>
      <c r="B2438" t="inlineStr">
        <is>
          <t>Validation</t>
        </is>
      </c>
      <c r="C2438" t="n">
        <v>39722</v>
      </c>
      <c r="D2438" t="n">
        <v>8000</v>
      </c>
      <c r="E2438" t="n">
        <v>37</v>
      </c>
      <c r="F2438" t="n">
        <v>32924</v>
      </c>
      <c r="G2438" t="n">
        <v>4</v>
      </c>
      <c r="H2438" t="n">
        <v>12</v>
      </c>
      <c r="I2438" t="n">
        <v>170564</v>
      </c>
    </row>
    <row r="2439">
      <c r="A2439" t="n">
        <v>2438</v>
      </c>
      <c r="B2439" t="inlineStr">
        <is>
          <t>Validation</t>
        </is>
      </c>
      <c r="C2439" t="n">
        <v>30081</v>
      </c>
      <c r="D2439" t="n">
        <v>10250</v>
      </c>
      <c r="E2439" t="n">
        <v>37</v>
      </c>
      <c r="F2439" t="n">
        <v>26500</v>
      </c>
      <c r="G2439" t="n">
        <v>5</v>
      </c>
      <c r="H2439" t="n">
        <v>8</v>
      </c>
      <c r="I2439" t="n">
        <v>169170</v>
      </c>
    </row>
    <row r="2440">
      <c r="A2440" t="n">
        <v>2439</v>
      </c>
      <c r="B2440" t="inlineStr">
        <is>
          <t>Validation</t>
        </is>
      </c>
      <c r="C2440" t="n">
        <v>7238</v>
      </c>
      <c r="D2440" t="n">
        <v>29700</v>
      </c>
      <c r="E2440" t="n">
        <v>56</v>
      </c>
      <c r="F2440" t="n">
        <v>97670</v>
      </c>
      <c r="G2440" t="n">
        <v>0</v>
      </c>
      <c r="H2440" t="n">
        <v>17</v>
      </c>
      <c r="I2440" t="n">
        <v>331977</v>
      </c>
    </row>
    <row r="2441">
      <c r="A2441" t="n">
        <v>2440</v>
      </c>
      <c r="B2441" t="inlineStr">
        <is>
          <t>Train</t>
        </is>
      </c>
      <c r="C2441" t="n">
        <v>5863</v>
      </c>
      <c r="D2441" t="n">
        <v>11050</v>
      </c>
      <c r="E2441" t="n">
        <v>42</v>
      </c>
      <c r="F2441" t="n">
        <v>35587</v>
      </c>
      <c r="G2441" t="n">
        <v>0</v>
      </c>
      <c r="H2441" t="n">
        <v>11</v>
      </c>
      <c r="I2441" t="n">
        <v>157807</v>
      </c>
    </row>
    <row r="2442">
      <c r="A2442" t="n">
        <v>2441</v>
      </c>
      <c r="B2442" t="inlineStr">
        <is>
          <t>Train</t>
        </is>
      </c>
      <c r="C2442" t="n">
        <v>5904</v>
      </c>
      <c r="D2442" t="n">
        <v>18790</v>
      </c>
      <c r="E2442" t="n">
        <v>39</v>
      </c>
      <c r="F2442" t="n">
        <v>133920</v>
      </c>
      <c r="G2442" t="n">
        <v>1</v>
      </c>
      <c r="H2442" t="n">
        <v>9</v>
      </c>
      <c r="I2442" t="n">
        <v>0</v>
      </c>
    </row>
    <row r="2443">
      <c r="A2443" t="n">
        <v>2442</v>
      </c>
      <c r="B2443" t="inlineStr">
        <is>
          <t>Train</t>
        </is>
      </c>
      <c r="C2443" t="n">
        <v>3431</v>
      </c>
      <c r="D2443" t="n">
        <v>26520</v>
      </c>
      <c r="E2443" t="n">
        <v>47</v>
      </c>
      <c r="F2443" t="n">
        <v>13637</v>
      </c>
      <c r="G2443" t="n">
        <v>1</v>
      </c>
      <c r="H2443" t="n">
        <v>16</v>
      </c>
      <c r="I2443" t="n">
        <v>126549</v>
      </c>
    </row>
    <row r="2444">
      <c r="A2444" t="n">
        <v>2443</v>
      </c>
      <c r="B2444" t="inlineStr">
        <is>
          <t>Train</t>
        </is>
      </c>
      <c r="C2444" t="n">
        <v>3553</v>
      </c>
      <c r="D2444" t="n">
        <v>10620</v>
      </c>
      <c r="E2444" t="n">
        <v>50</v>
      </c>
      <c r="F2444" t="n">
        <v>5263</v>
      </c>
      <c r="G2444" t="n">
        <v>2</v>
      </c>
      <c r="H2444" t="n">
        <v>13</v>
      </c>
      <c r="I2444" t="n">
        <v>0</v>
      </c>
    </row>
    <row r="2445">
      <c r="A2445" t="n">
        <v>2444</v>
      </c>
      <c r="B2445" t="inlineStr">
        <is>
          <t>Train</t>
        </is>
      </c>
      <c r="C2445" t="n">
        <v>9035</v>
      </c>
      <c r="D2445" t="n">
        <v>10280</v>
      </c>
      <c r="E2445" t="n">
        <v>40</v>
      </c>
      <c r="F2445" t="n">
        <v>47841</v>
      </c>
      <c r="G2445" t="n">
        <v>4</v>
      </c>
      <c r="H2445" t="n">
        <v>8</v>
      </c>
      <c r="I2445" t="n">
        <v>0</v>
      </c>
    </row>
    <row r="2446">
      <c r="A2446" t="n">
        <v>2445</v>
      </c>
      <c r="B2446" t="inlineStr">
        <is>
          <t>Train</t>
        </is>
      </c>
      <c r="C2446" t="n">
        <v>36236</v>
      </c>
      <c r="D2446" t="n">
        <v>7210</v>
      </c>
      <c r="E2446" t="n">
        <v>45</v>
      </c>
      <c r="F2446" t="n">
        <v>12106</v>
      </c>
      <c r="G2446" t="n">
        <v>2</v>
      </c>
      <c r="H2446" t="n">
        <v>14</v>
      </c>
      <c r="I2446" t="n">
        <v>0</v>
      </c>
    </row>
    <row r="2447">
      <c r="A2447" t="n">
        <v>2446</v>
      </c>
      <c r="B2447" t="inlineStr">
        <is>
          <t>Train</t>
        </is>
      </c>
      <c r="C2447" t="n">
        <v>6625</v>
      </c>
      <c r="D2447" t="n">
        <v>5470</v>
      </c>
      <c r="E2447" t="n">
        <v>20</v>
      </c>
      <c r="F2447" t="n">
        <v>0</v>
      </c>
      <c r="G2447" t="n">
        <v>6</v>
      </c>
      <c r="H2447" t="n">
        <v>0</v>
      </c>
      <c r="I2447" t="n">
        <v>0</v>
      </c>
    </row>
    <row r="2448">
      <c r="A2448" t="n">
        <v>2447</v>
      </c>
      <c r="B2448" t="inlineStr">
        <is>
          <t>Validation</t>
        </is>
      </c>
      <c r="C2448" t="n">
        <v>7959</v>
      </c>
      <c r="D2448" t="n">
        <v>10430</v>
      </c>
      <c r="E2448" t="n">
        <v>30</v>
      </c>
      <c r="F2448" t="n">
        <v>59336</v>
      </c>
      <c r="G2448" t="n">
        <v>0</v>
      </c>
      <c r="H2448" t="n">
        <v>8</v>
      </c>
      <c r="I2448" t="n">
        <v>145621</v>
      </c>
    </row>
    <row r="2449">
      <c r="A2449" t="n">
        <v>2448</v>
      </c>
      <c r="B2449" t="inlineStr">
        <is>
          <t>Validation</t>
        </is>
      </c>
      <c r="C2449" t="n">
        <v>7582</v>
      </c>
      <c r="D2449" t="n">
        <v>7320</v>
      </c>
      <c r="E2449" t="n">
        <v>27</v>
      </c>
      <c r="F2449" t="n">
        <v>31168</v>
      </c>
      <c r="G2449" t="n">
        <v>1</v>
      </c>
      <c r="H2449" t="n">
        <v>15</v>
      </c>
      <c r="I2449" t="n">
        <v>122298</v>
      </c>
    </row>
    <row r="2450">
      <c r="A2450" t="n">
        <v>2449</v>
      </c>
      <c r="B2450" t="inlineStr">
        <is>
          <t>Validation</t>
        </is>
      </c>
      <c r="C2450" t="n">
        <v>11375</v>
      </c>
      <c r="D2450" t="n">
        <v>16670</v>
      </c>
      <c r="E2450" t="n">
        <v>47</v>
      </c>
      <c r="F2450" t="n">
        <v>63936</v>
      </c>
      <c r="G2450" t="n">
        <v>6</v>
      </c>
      <c r="H2450" t="n">
        <v>8</v>
      </c>
      <c r="I2450" t="n">
        <v>241912</v>
      </c>
    </row>
    <row r="2451">
      <c r="A2451" t="n">
        <v>2450</v>
      </c>
      <c r="B2451" t="inlineStr">
        <is>
          <t>Train</t>
        </is>
      </c>
      <c r="C2451" t="n">
        <v>898</v>
      </c>
      <c r="D2451" t="n">
        <v>24710</v>
      </c>
      <c r="E2451" t="n">
        <v>33</v>
      </c>
      <c r="F2451" t="n">
        <v>101222</v>
      </c>
      <c r="G2451" t="n">
        <v>3</v>
      </c>
      <c r="H2451" t="n">
        <v>12</v>
      </c>
      <c r="I2451" t="n">
        <v>0</v>
      </c>
    </row>
    <row r="2452">
      <c r="A2452" t="n">
        <v>2451</v>
      </c>
      <c r="B2452" t="inlineStr">
        <is>
          <t>Train</t>
        </is>
      </c>
      <c r="C2452" t="n">
        <v>1602</v>
      </c>
      <c r="D2452" t="n">
        <v>9030</v>
      </c>
      <c r="E2452" t="n">
        <v>37</v>
      </c>
      <c r="F2452" t="n">
        <v>26425</v>
      </c>
      <c r="G2452" t="n">
        <v>6</v>
      </c>
      <c r="H2452" t="n">
        <v>14</v>
      </c>
      <c r="I2452" t="n">
        <v>127470</v>
      </c>
    </row>
    <row r="2453">
      <c r="A2453" t="n">
        <v>2452</v>
      </c>
      <c r="B2453" t="inlineStr">
        <is>
          <t>Train</t>
        </is>
      </c>
      <c r="C2453" t="n">
        <v>3767</v>
      </c>
      <c r="D2453" t="n">
        <v>14080</v>
      </c>
      <c r="E2453" t="n">
        <v>49</v>
      </c>
      <c r="F2453" t="n">
        <v>39589</v>
      </c>
      <c r="G2453" t="n">
        <v>2</v>
      </c>
      <c r="H2453" t="n">
        <v>14</v>
      </c>
      <c r="I2453" t="n">
        <v>197001</v>
      </c>
    </row>
    <row r="2454">
      <c r="A2454" t="n">
        <v>2453</v>
      </c>
      <c r="B2454" t="inlineStr">
        <is>
          <t>Train</t>
        </is>
      </c>
      <c r="C2454" t="n">
        <v>6627</v>
      </c>
      <c r="D2454" t="n">
        <v>7790</v>
      </c>
      <c r="E2454" t="n">
        <v>39</v>
      </c>
      <c r="F2454" t="n">
        <v>45692</v>
      </c>
      <c r="G2454" t="n">
        <v>9</v>
      </c>
      <c r="H2454" t="n">
        <v>7</v>
      </c>
      <c r="I2454" t="n">
        <v>169069</v>
      </c>
    </row>
    <row r="2455">
      <c r="A2455" t="n">
        <v>2454</v>
      </c>
      <c r="B2455" t="inlineStr">
        <is>
          <t>Train</t>
        </is>
      </c>
      <c r="C2455" t="n">
        <v>1784</v>
      </c>
      <c r="D2455" t="n">
        <v>18080</v>
      </c>
      <c r="E2455" t="n">
        <v>43</v>
      </c>
      <c r="F2455" t="n">
        <v>122806</v>
      </c>
      <c r="G2455" t="n">
        <v>4</v>
      </c>
      <c r="H2455" t="n">
        <v>15</v>
      </c>
      <c r="I2455" t="n">
        <v>0</v>
      </c>
    </row>
    <row r="2456">
      <c r="A2456" t="n">
        <v>2455</v>
      </c>
      <c r="B2456" t="inlineStr">
        <is>
          <t>Train</t>
        </is>
      </c>
      <c r="C2456" t="n">
        <v>7787</v>
      </c>
      <c r="D2456" t="n">
        <v>28390</v>
      </c>
      <c r="E2456" t="n">
        <v>50</v>
      </c>
      <c r="F2456" t="n">
        <v>61302</v>
      </c>
      <c r="G2456" t="n">
        <v>6</v>
      </c>
      <c r="H2456" t="n">
        <v>13</v>
      </c>
      <c r="I2456" t="n">
        <v>263318</v>
      </c>
    </row>
    <row r="2457">
      <c r="A2457" t="n">
        <v>2456</v>
      </c>
      <c r="B2457" t="inlineStr">
        <is>
          <t>Train</t>
        </is>
      </c>
      <c r="C2457" t="n">
        <v>8938</v>
      </c>
      <c r="D2457" t="n">
        <v>26630</v>
      </c>
      <c r="E2457" t="n">
        <v>59</v>
      </c>
      <c r="F2457" t="n">
        <v>80217</v>
      </c>
      <c r="G2457" t="n">
        <v>6</v>
      </c>
      <c r="H2457" t="n">
        <v>12</v>
      </c>
      <c r="I2457" t="n">
        <v>275635</v>
      </c>
    </row>
    <row r="2458">
      <c r="A2458" t="n">
        <v>2457</v>
      </c>
      <c r="B2458" t="inlineStr">
        <is>
          <t>Validation</t>
        </is>
      </c>
      <c r="C2458" t="n">
        <v>8223</v>
      </c>
      <c r="D2458" t="n">
        <v>12300</v>
      </c>
      <c r="E2458" t="n">
        <v>32</v>
      </c>
      <c r="F2458" t="n">
        <v>76002</v>
      </c>
      <c r="G2458" t="n">
        <v>4</v>
      </c>
      <c r="H2458" t="n">
        <v>8</v>
      </c>
      <c r="I2458" t="n">
        <v>232538</v>
      </c>
    </row>
    <row r="2459">
      <c r="A2459" t="n">
        <v>2458</v>
      </c>
      <c r="B2459" t="inlineStr">
        <is>
          <t>Validation</t>
        </is>
      </c>
      <c r="C2459" t="n">
        <v>31227</v>
      </c>
      <c r="D2459" t="n">
        <v>17160</v>
      </c>
      <c r="E2459" t="n">
        <v>48</v>
      </c>
      <c r="F2459" t="n">
        <v>108601</v>
      </c>
      <c r="G2459" t="n">
        <v>4</v>
      </c>
      <c r="H2459" t="n">
        <v>12</v>
      </c>
      <c r="I2459" t="n">
        <v>320455</v>
      </c>
    </row>
    <row r="2460">
      <c r="A2460" t="n">
        <v>2459</v>
      </c>
      <c r="B2460" t="inlineStr">
        <is>
          <t>Validation</t>
        </is>
      </c>
      <c r="C2460" t="n">
        <v>995</v>
      </c>
      <c r="D2460" t="n">
        <v>9980</v>
      </c>
      <c r="E2460" t="n">
        <v>38</v>
      </c>
      <c r="F2460" t="n">
        <v>15614</v>
      </c>
      <c r="G2460" t="n">
        <v>6</v>
      </c>
      <c r="H2460" t="n">
        <v>15</v>
      </c>
      <c r="I2460" t="n">
        <v>104999</v>
      </c>
    </row>
    <row r="2461">
      <c r="A2461" t="n">
        <v>2460</v>
      </c>
      <c r="B2461" t="inlineStr">
        <is>
          <t>Train</t>
        </is>
      </c>
      <c r="C2461" t="n">
        <v>1051</v>
      </c>
      <c r="D2461" t="n">
        <v>16670</v>
      </c>
      <c r="E2461" t="n">
        <v>33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2461</v>
      </c>
      <c r="B2462" t="inlineStr">
        <is>
          <t>Train</t>
        </is>
      </c>
      <c r="C2462" t="n">
        <v>5540</v>
      </c>
      <c r="D2462" t="n">
        <v>1500</v>
      </c>
      <c r="E2462" t="n">
        <v>31</v>
      </c>
      <c r="F2462" t="n">
        <v>6393</v>
      </c>
      <c r="G2462" t="n">
        <v>5</v>
      </c>
      <c r="H2462" t="n">
        <v>15</v>
      </c>
      <c r="I2462" t="n">
        <v>0</v>
      </c>
    </row>
    <row r="2463">
      <c r="A2463" t="n">
        <v>2462</v>
      </c>
      <c r="B2463" t="inlineStr">
        <is>
          <t>Train</t>
        </is>
      </c>
      <c r="C2463" t="n">
        <v>6367</v>
      </c>
      <c r="D2463" t="n">
        <v>22930</v>
      </c>
      <c r="E2463" t="n">
        <v>48</v>
      </c>
      <c r="F2463" t="n">
        <v>39285</v>
      </c>
      <c r="G2463" t="n">
        <v>7</v>
      </c>
      <c r="H2463" t="n">
        <v>11</v>
      </c>
      <c r="I2463" t="n">
        <v>0</v>
      </c>
    </row>
    <row r="2464">
      <c r="A2464" t="n">
        <v>2463</v>
      </c>
      <c r="B2464" t="inlineStr">
        <is>
          <t>Train</t>
        </is>
      </c>
      <c r="C2464" t="n">
        <v>8026</v>
      </c>
      <c r="D2464" t="n">
        <v>5900</v>
      </c>
      <c r="E2464" t="n">
        <v>44</v>
      </c>
      <c r="F2464" t="n">
        <v>5069</v>
      </c>
      <c r="G2464" t="n">
        <v>6</v>
      </c>
      <c r="H2464" t="n">
        <v>12</v>
      </c>
      <c r="I2464" t="n">
        <v>0</v>
      </c>
    </row>
    <row r="2465">
      <c r="A2465" t="n">
        <v>2464</v>
      </c>
      <c r="B2465" t="inlineStr">
        <is>
          <t>Train</t>
        </is>
      </c>
      <c r="C2465" t="n">
        <v>4848</v>
      </c>
      <c r="D2465" t="n">
        <v>15190</v>
      </c>
      <c r="E2465" t="n">
        <v>48</v>
      </c>
      <c r="F2465" t="n">
        <v>37074</v>
      </c>
      <c r="G2465" t="n">
        <v>1</v>
      </c>
      <c r="H2465" t="n">
        <v>13</v>
      </c>
      <c r="I2465" t="n">
        <v>184181</v>
      </c>
    </row>
    <row r="2466">
      <c r="A2466" t="n">
        <v>2465</v>
      </c>
      <c r="B2466" t="inlineStr">
        <is>
          <t>Train</t>
        </is>
      </c>
      <c r="C2466" t="n">
        <v>8839</v>
      </c>
      <c r="D2466" t="n">
        <v>18260</v>
      </c>
      <c r="E2466" t="n">
        <v>62</v>
      </c>
      <c r="F2466" t="n">
        <v>35296</v>
      </c>
      <c r="G2466" t="n">
        <v>6</v>
      </c>
      <c r="H2466" t="n">
        <v>15</v>
      </c>
      <c r="I2466" t="n">
        <v>189767</v>
      </c>
    </row>
    <row r="2467">
      <c r="A2467" t="n">
        <v>2466</v>
      </c>
      <c r="B2467" t="inlineStr">
        <is>
          <t>Train</t>
        </is>
      </c>
      <c r="C2467" t="n">
        <v>800</v>
      </c>
      <c r="D2467" t="n">
        <v>9360</v>
      </c>
      <c r="E2467" t="n">
        <v>40</v>
      </c>
      <c r="F2467" t="n">
        <v>78589</v>
      </c>
      <c r="G2467" t="n">
        <v>0</v>
      </c>
      <c r="H2467" t="n">
        <v>10</v>
      </c>
      <c r="I2467" t="n">
        <v>0</v>
      </c>
    </row>
    <row r="2468">
      <c r="A2468" t="n">
        <v>2467</v>
      </c>
      <c r="B2468" t="inlineStr">
        <is>
          <t>Validation</t>
        </is>
      </c>
      <c r="C2468" t="n">
        <v>9348</v>
      </c>
      <c r="D2468" t="n">
        <v>7790</v>
      </c>
      <c r="E2468" t="n">
        <v>62</v>
      </c>
      <c r="F2468" t="n">
        <v>25482</v>
      </c>
      <c r="G2468" t="n">
        <v>0</v>
      </c>
      <c r="H2468" t="n">
        <v>14</v>
      </c>
      <c r="I2468" t="n">
        <v>170408</v>
      </c>
    </row>
    <row r="2469">
      <c r="A2469" t="n">
        <v>2468</v>
      </c>
      <c r="B2469" t="inlineStr">
        <is>
          <t>Validation</t>
        </is>
      </c>
      <c r="C2469" t="n">
        <v>1496</v>
      </c>
      <c r="D2469" t="n">
        <v>6700</v>
      </c>
      <c r="E2469" t="n">
        <v>52</v>
      </c>
      <c r="F2469" t="n">
        <v>73574</v>
      </c>
      <c r="G2469" t="n">
        <v>3</v>
      </c>
      <c r="H2469" t="n">
        <v>7</v>
      </c>
      <c r="I2469" t="n">
        <v>224049</v>
      </c>
    </row>
    <row r="2470">
      <c r="A2470" t="n">
        <v>2469</v>
      </c>
      <c r="B2470" t="inlineStr">
        <is>
          <t>Validation</t>
        </is>
      </c>
      <c r="C2470" t="n">
        <v>3408</v>
      </c>
      <c r="D2470" t="n">
        <v>27910</v>
      </c>
      <c r="E2470" t="n">
        <v>49</v>
      </c>
      <c r="F2470" t="n">
        <v>132359</v>
      </c>
      <c r="G2470" t="n">
        <v>5</v>
      </c>
      <c r="H2470" t="n">
        <v>2</v>
      </c>
      <c r="I2470" t="n">
        <v>341357</v>
      </c>
    </row>
    <row r="2471">
      <c r="A2471" t="n">
        <v>2470</v>
      </c>
      <c r="B2471" t="inlineStr">
        <is>
          <t>Train</t>
        </is>
      </c>
      <c r="C2471" t="n">
        <v>4724</v>
      </c>
      <c r="D2471" t="n">
        <v>1500</v>
      </c>
      <c r="E2471" t="n">
        <v>48</v>
      </c>
      <c r="F2471" t="n">
        <v>111783</v>
      </c>
      <c r="G2471" t="n">
        <v>0</v>
      </c>
      <c r="H2471" t="n">
        <v>12</v>
      </c>
      <c r="I2471" t="n">
        <v>0</v>
      </c>
    </row>
    <row r="2472">
      <c r="A2472" t="n">
        <v>2471</v>
      </c>
      <c r="B2472" t="inlineStr">
        <is>
          <t>Train</t>
        </is>
      </c>
      <c r="C2472" t="n">
        <v>4447</v>
      </c>
      <c r="D2472" t="n">
        <v>13390</v>
      </c>
      <c r="E2472" t="n">
        <v>32</v>
      </c>
      <c r="F2472" t="n">
        <v>29206</v>
      </c>
      <c r="G2472" t="n">
        <v>0</v>
      </c>
      <c r="H2472" t="n">
        <v>15</v>
      </c>
      <c r="I2472" t="n">
        <v>146212</v>
      </c>
    </row>
    <row r="2473">
      <c r="A2473" t="n">
        <v>2472</v>
      </c>
      <c r="B2473" t="inlineStr">
        <is>
          <t>Train</t>
        </is>
      </c>
      <c r="C2473" t="n">
        <v>42413</v>
      </c>
      <c r="D2473" t="n">
        <v>3500</v>
      </c>
      <c r="E2473" t="n">
        <v>33</v>
      </c>
      <c r="F2473" t="n">
        <v>93522</v>
      </c>
      <c r="G2473" t="n">
        <v>1</v>
      </c>
      <c r="H2473" t="n">
        <v>10</v>
      </c>
      <c r="I2473" t="n">
        <v>0</v>
      </c>
    </row>
    <row r="2474">
      <c r="A2474" t="n">
        <v>2473</v>
      </c>
      <c r="B2474" t="inlineStr">
        <is>
          <t>Train</t>
        </is>
      </c>
      <c r="C2474" t="n">
        <v>6428</v>
      </c>
      <c r="D2474" t="n">
        <v>12780</v>
      </c>
      <c r="E2474" t="n">
        <v>49</v>
      </c>
      <c r="F2474" t="n">
        <v>63827</v>
      </c>
      <c r="G2474" t="n">
        <v>1</v>
      </c>
      <c r="H2474" t="n">
        <v>11</v>
      </c>
      <c r="I2474" t="n">
        <v>0</v>
      </c>
    </row>
    <row r="2475">
      <c r="A2475" t="n">
        <v>2474</v>
      </c>
      <c r="B2475" t="inlineStr">
        <is>
          <t>Train</t>
        </is>
      </c>
      <c r="C2475" t="n">
        <v>6906</v>
      </c>
      <c r="D2475" t="n">
        <v>9360</v>
      </c>
      <c r="E2475" t="n">
        <v>31</v>
      </c>
      <c r="F2475" t="n">
        <v>47629</v>
      </c>
      <c r="G2475" t="n">
        <v>0</v>
      </c>
      <c r="H2475" t="n">
        <v>15</v>
      </c>
      <c r="I2475" t="n">
        <v>144222</v>
      </c>
    </row>
    <row r="2476">
      <c r="A2476" t="n">
        <v>2475</v>
      </c>
      <c r="B2476" t="inlineStr">
        <is>
          <t>Train</t>
        </is>
      </c>
      <c r="C2476" t="n">
        <v>8272</v>
      </c>
      <c r="D2476" t="n">
        <v>4900</v>
      </c>
      <c r="E2476" t="n">
        <v>34</v>
      </c>
      <c r="F2476" t="n">
        <v>0</v>
      </c>
      <c r="G2476" t="n">
        <v>0</v>
      </c>
      <c r="H2476" t="n">
        <v>0</v>
      </c>
      <c r="I2476" t="n">
        <v>74744</v>
      </c>
    </row>
    <row r="2477">
      <c r="A2477" t="n">
        <v>2476</v>
      </c>
      <c r="B2477" t="inlineStr">
        <is>
          <t>Train</t>
        </is>
      </c>
      <c r="C2477" t="n">
        <v>3521</v>
      </c>
      <c r="D2477" t="n">
        <v>1500</v>
      </c>
      <c r="E2477" t="n">
        <v>48</v>
      </c>
      <c r="F2477" t="n">
        <v>0</v>
      </c>
      <c r="G2477" t="n">
        <v>6</v>
      </c>
      <c r="H2477" t="n">
        <v>0</v>
      </c>
      <c r="I2477" t="n">
        <v>0</v>
      </c>
    </row>
    <row r="2478">
      <c r="A2478" t="n">
        <v>2477</v>
      </c>
      <c r="B2478" t="inlineStr">
        <is>
          <t>Validation</t>
        </is>
      </c>
      <c r="C2478" t="n">
        <v>24458</v>
      </c>
      <c r="D2478" t="n">
        <v>12710</v>
      </c>
      <c r="E2478" t="n">
        <v>57</v>
      </c>
      <c r="F2478" t="n">
        <v>54028</v>
      </c>
      <c r="G2478" t="n">
        <v>1</v>
      </c>
      <c r="H2478" t="n">
        <v>8</v>
      </c>
      <c r="I2478" t="n">
        <v>202278</v>
      </c>
    </row>
    <row r="2479">
      <c r="A2479" t="n">
        <v>2478</v>
      </c>
      <c r="B2479" t="inlineStr">
        <is>
          <t>Validation</t>
        </is>
      </c>
      <c r="C2479" t="n">
        <v>30378</v>
      </c>
      <c r="D2479" t="n">
        <v>7700</v>
      </c>
      <c r="E2479" t="n">
        <v>43</v>
      </c>
      <c r="F2479" t="n">
        <v>111656</v>
      </c>
      <c r="G2479" t="n">
        <v>5</v>
      </c>
      <c r="H2479" t="n">
        <v>9</v>
      </c>
      <c r="I2479" t="n">
        <v>0</v>
      </c>
    </row>
    <row r="2480">
      <c r="A2480" t="n">
        <v>2479</v>
      </c>
      <c r="B2480" t="inlineStr">
        <is>
          <t>Validation</t>
        </is>
      </c>
      <c r="C2480" t="n">
        <v>28495</v>
      </c>
      <c r="D2480" t="n">
        <v>32020</v>
      </c>
      <c r="E2480" t="n">
        <v>34</v>
      </c>
      <c r="F2480" t="n">
        <v>161846</v>
      </c>
      <c r="G2480" t="n">
        <v>0</v>
      </c>
      <c r="H2480" t="n">
        <v>7</v>
      </c>
      <c r="I2480" t="n">
        <v>0</v>
      </c>
    </row>
    <row r="2481">
      <c r="A2481" t="n">
        <v>2480</v>
      </c>
      <c r="B2481" t="inlineStr">
        <is>
          <t>Train</t>
        </is>
      </c>
      <c r="C2481" t="n">
        <v>41794</v>
      </c>
      <c r="D2481" t="n">
        <v>8230</v>
      </c>
      <c r="E2481" t="n">
        <v>62</v>
      </c>
      <c r="F2481" t="n">
        <v>59807</v>
      </c>
      <c r="G2481" t="n">
        <v>3</v>
      </c>
      <c r="H2481" t="n">
        <v>15</v>
      </c>
      <c r="I2481" t="n">
        <v>194391</v>
      </c>
    </row>
    <row r="2482">
      <c r="A2482" t="n">
        <v>2481</v>
      </c>
      <c r="B2482" t="inlineStr">
        <is>
          <t>Train</t>
        </is>
      </c>
      <c r="C2482" t="n">
        <v>3226</v>
      </c>
      <c r="D2482" t="n">
        <v>5750</v>
      </c>
      <c r="E2482" t="n">
        <v>33</v>
      </c>
      <c r="F2482" t="n">
        <v>40205</v>
      </c>
      <c r="G2482" t="n">
        <v>4</v>
      </c>
      <c r="H2482" t="n">
        <v>14</v>
      </c>
      <c r="I2482" t="n">
        <v>0</v>
      </c>
    </row>
    <row r="2483">
      <c r="A2483" t="n">
        <v>2482</v>
      </c>
      <c r="B2483" t="inlineStr">
        <is>
          <t>Train</t>
        </is>
      </c>
      <c r="C2483" t="n">
        <v>4019</v>
      </c>
      <c r="D2483" t="n">
        <v>21120</v>
      </c>
      <c r="E2483" t="n">
        <v>56</v>
      </c>
      <c r="F2483" t="n">
        <v>140201</v>
      </c>
      <c r="G2483" t="n">
        <v>5</v>
      </c>
      <c r="H2483" t="n">
        <v>12</v>
      </c>
      <c r="I2483" t="n">
        <v>379999</v>
      </c>
    </row>
    <row r="2484">
      <c r="A2484" t="n">
        <v>2483</v>
      </c>
      <c r="B2484" t="inlineStr">
        <is>
          <t>Train</t>
        </is>
      </c>
      <c r="C2484" t="n">
        <v>1739</v>
      </c>
      <c r="D2484" t="n">
        <v>4700</v>
      </c>
      <c r="E2484" t="n">
        <v>30</v>
      </c>
      <c r="F2484" t="n">
        <v>7132</v>
      </c>
      <c r="G2484" t="n">
        <v>4</v>
      </c>
      <c r="H2484" t="n">
        <v>10</v>
      </c>
      <c r="I2484" t="n">
        <v>0</v>
      </c>
    </row>
    <row r="2485">
      <c r="A2485" t="n">
        <v>2484</v>
      </c>
      <c r="B2485" t="inlineStr">
        <is>
          <t>Train</t>
        </is>
      </c>
      <c r="C2485" t="n">
        <v>9637</v>
      </c>
      <c r="D2485" t="n">
        <v>1500</v>
      </c>
      <c r="E2485" t="n">
        <v>44</v>
      </c>
      <c r="F2485" t="n">
        <v>0</v>
      </c>
      <c r="G2485" t="n">
        <v>0</v>
      </c>
      <c r="H2485" t="n">
        <v>0</v>
      </c>
      <c r="I2485" t="n">
        <v>100846</v>
      </c>
    </row>
    <row r="2486">
      <c r="A2486" t="n">
        <v>2485</v>
      </c>
      <c r="B2486" t="inlineStr">
        <is>
          <t>Train</t>
        </is>
      </c>
      <c r="C2486" t="n">
        <v>3707</v>
      </c>
      <c r="D2486" t="n">
        <v>22040</v>
      </c>
      <c r="E2486" t="n">
        <v>55</v>
      </c>
      <c r="F2486" t="n">
        <v>0</v>
      </c>
      <c r="G2486" t="n">
        <v>0</v>
      </c>
      <c r="H2486" t="n">
        <v>0</v>
      </c>
      <c r="I2486" t="n">
        <v>135832</v>
      </c>
    </row>
    <row r="2487">
      <c r="A2487" t="n">
        <v>2486</v>
      </c>
      <c r="B2487" t="inlineStr">
        <is>
          <t>Train</t>
        </is>
      </c>
      <c r="C2487" t="n">
        <v>5651</v>
      </c>
      <c r="D2487" t="n">
        <v>12130</v>
      </c>
      <c r="E2487" t="n">
        <v>41</v>
      </c>
      <c r="F2487" t="n">
        <v>65346</v>
      </c>
      <c r="G2487" t="n">
        <v>4</v>
      </c>
      <c r="H2487" t="n">
        <v>11</v>
      </c>
      <c r="I2487" t="n">
        <v>240364</v>
      </c>
    </row>
    <row r="2488">
      <c r="A2488" t="n">
        <v>2487</v>
      </c>
      <c r="B2488" t="inlineStr">
        <is>
          <t>Validation</t>
        </is>
      </c>
      <c r="C2488" t="n">
        <v>14584</v>
      </c>
      <c r="D2488" t="n">
        <v>11320</v>
      </c>
      <c r="E2488" t="n">
        <v>24</v>
      </c>
      <c r="F2488" t="n">
        <v>9761</v>
      </c>
      <c r="G2488" t="n">
        <v>10</v>
      </c>
      <c r="H2488" t="n">
        <v>10</v>
      </c>
      <c r="I2488" t="n">
        <v>92374</v>
      </c>
    </row>
    <row r="2489">
      <c r="A2489" t="n">
        <v>2488</v>
      </c>
      <c r="B2489" t="inlineStr">
        <is>
          <t>Validation</t>
        </is>
      </c>
      <c r="C2489" t="n">
        <v>4582</v>
      </c>
      <c r="D2489" t="n">
        <v>5730</v>
      </c>
      <c r="E2489" t="n">
        <v>55</v>
      </c>
      <c r="F2489" t="n">
        <v>85024</v>
      </c>
      <c r="G2489" t="n">
        <v>0</v>
      </c>
      <c r="H2489" t="n">
        <v>10</v>
      </c>
      <c r="I2489" t="n">
        <v>0</v>
      </c>
    </row>
    <row r="2490">
      <c r="A2490" t="n">
        <v>2489</v>
      </c>
      <c r="B2490" t="inlineStr">
        <is>
          <t>Validation</t>
        </is>
      </c>
      <c r="C2490" t="n">
        <v>3414</v>
      </c>
      <c r="D2490" t="n">
        <v>6500</v>
      </c>
      <c r="E2490" t="n">
        <v>50</v>
      </c>
      <c r="F2490" t="n">
        <v>45969</v>
      </c>
      <c r="G2490" t="n">
        <v>5</v>
      </c>
      <c r="H2490" t="n">
        <v>12</v>
      </c>
      <c r="I2490" t="n">
        <v>141496</v>
      </c>
    </row>
    <row r="2491">
      <c r="A2491" t="n">
        <v>2490</v>
      </c>
      <c r="B2491" t="inlineStr">
        <is>
          <t>Train</t>
        </is>
      </c>
      <c r="C2491" t="n">
        <v>3761</v>
      </c>
      <c r="D2491" t="n">
        <v>10420</v>
      </c>
      <c r="E2491" t="n">
        <v>29</v>
      </c>
      <c r="F2491" t="n">
        <v>60157</v>
      </c>
      <c r="G2491" t="n">
        <v>2</v>
      </c>
      <c r="H2491" t="n">
        <v>14</v>
      </c>
      <c r="I2491" t="n">
        <v>158830</v>
      </c>
    </row>
    <row r="2492">
      <c r="A2492" t="n">
        <v>2491</v>
      </c>
      <c r="B2492" t="inlineStr">
        <is>
          <t>Train</t>
        </is>
      </c>
      <c r="C2492" t="n">
        <v>2528</v>
      </c>
      <c r="D2492" t="n">
        <v>11580</v>
      </c>
      <c r="E2492" t="n">
        <v>55</v>
      </c>
      <c r="F2492" t="n">
        <v>45787</v>
      </c>
      <c r="G2492" t="n">
        <v>5</v>
      </c>
      <c r="H2492" t="n">
        <v>7</v>
      </c>
      <c r="I2492" t="n">
        <v>173196</v>
      </c>
    </row>
    <row r="2493">
      <c r="A2493" t="n">
        <v>2492</v>
      </c>
      <c r="B2493" t="inlineStr">
        <is>
          <t>Train</t>
        </is>
      </c>
      <c r="C2493" t="n">
        <v>6271</v>
      </c>
      <c r="D2493" t="n">
        <v>21620</v>
      </c>
      <c r="E2493" t="n">
        <v>42</v>
      </c>
      <c r="F2493" t="n">
        <v>46177</v>
      </c>
      <c r="G2493" t="n">
        <v>0</v>
      </c>
      <c r="H2493" t="n">
        <v>12</v>
      </c>
      <c r="I2493" t="n">
        <v>159806</v>
      </c>
    </row>
    <row r="2494">
      <c r="A2494" t="n">
        <v>2493</v>
      </c>
      <c r="B2494" t="inlineStr">
        <is>
          <t>Train</t>
        </is>
      </c>
      <c r="C2494" t="n">
        <v>32915</v>
      </c>
      <c r="D2494" t="n">
        <v>18910</v>
      </c>
      <c r="E2494" t="n">
        <v>45</v>
      </c>
      <c r="F2494" t="n">
        <v>106015</v>
      </c>
      <c r="G2494" t="n">
        <v>3</v>
      </c>
      <c r="H2494" t="n">
        <v>11</v>
      </c>
      <c r="I2494" t="n">
        <v>263348</v>
      </c>
    </row>
    <row r="2495">
      <c r="A2495" t="n">
        <v>2494</v>
      </c>
      <c r="B2495" t="inlineStr">
        <is>
          <t>Train</t>
        </is>
      </c>
      <c r="C2495" t="n">
        <v>2978</v>
      </c>
      <c r="D2495" t="n">
        <v>15620</v>
      </c>
      <c r="E2495" t="n">
        <v>59</v>
      </c>
      <c r="F2495" t="n">
        <v>82231</v>
      </c>
      <c r="G2495" t="n">
        <v>4</v>
      </c>
      <c r="H2495" t="n">
        <v>13</v>
      </c>
      <c r="I2495" t="n">
        <v>270288</v>
      </c>
    </row>
    <row r="2496">
      <c r="A2496" t="n">
        <v>2495</v>
      </c>
      <c r="B2496" t="inlineStr">
        <is>
          <t>Train</t>
        </is>
      </c>
      <c r="C2496" t="n">
        <v>4906</v>
      </c>
      <c r="D2496" t="n">
        <v>18490</v>
      </c>
      <c r="E2496" t="n">
        <v>48</v>
      </c>
      <c r="F2496" t="n">
        <v>96659</v>
      </c>
      <c r="G2496" t="n">
        <v>0</v>
      </c>
      <c r="H2496" t="n">
        <v>14</v>
      </c>
      <c r="I2496" t="n">
        <v>246612</v>
      </c>
    </row>
    <row r="2497">
      <c r="A2497" t="n">
        <v>2496</v>
      </c>
      <c r="B2497" t="inlineStr">
        <is>
          <t>Train</t>
        </is>
      </c>
      <c r="C2497" t="n">
        <v>3002</v>
      </c>
      <c r="D2497" t="n">
        <v>7250</v>
      </c>
      <c r="E2497" t="n">
        <v>35</v>
      </c>
      <c r="F2497" t="n">
        <v>22543</v>
      </c>
      <c r="G2497" t="n">
        <v>0</v>
      </c>
      <c r="H2497" t="n">
        <v>9</v>
      </c>
      <c r="I2497" t="n">
        <v>150019</v>
      </c>
    </row>
    <row r="2498">
      <c r="A2498" t="n">
        <v>2497</v>
      </c>
      <c r="B2498" t="inlineStr">
        <is>
          <t>Validation</t>
        </is>
      </c>
      <c r="C2498" t="n">
        <v>3660</v>
      </c>
      <c r="D2498" t="n">
        <v>24020</v>
      </c>
      <c r="E2498" t="n">
        <v>43</v>
      </c>
      <c r="F2498" t="n">
        <v>153778</v>
      </c>
      <c r="G2498" t="n">
        <v>3</v>
      </c>
      <c r="H2498" t="n">
        <v>8</v>
      </c>
      <c r="I2498" t="n">
        <v>353534</v>
      </c>
    </row>
    <row r="2499">
      <c r="A2499" t="n">
        <v>2498</v>
      </c>
      <c r="B2499" t="inlineStr">
        <is>
          <t>Validation</t>
        </is>
      </c>
      <c r="C2499" t="n">
        <v>6414</v>
      </c>
      <c r="D2499" t="n">
        <v>1500</v>
      </c>
      <c r="E2499" t="n">
        <v>61</v>
      </c>
      <c r="F2499" t="n">
        <v>0</v>
      </c>
      <c r="G2499" t="n">
        <v>6</v>
      </c>
      <c r="H2499" t="n">
        <v>0</v>
      </c>
      <c r="I2499" t="n">
        <v>96739</v>
      </c>
    </row>
    <row r="2500">
      <c r="A2500" t="n">
        <v>2499</v>
      </c>
      <c r="B2500" t="inlineStr">
        <is>
          <t>Validation</t>
        </is>
      </c>
      <c r="C2500" t="n">
        <v>1620</v>
      </c>
      <c r="D2500" t="n">
        <v>14020</v>
      </c>
      <c r="E2500" t="n">
        <v>47</v>
      </c>
      <c r="F2500" t="n">
        <v>76638</v>
      </c>
      <c r="G2500" t="n">
        <v>4</v>
      </c>
      <c r="H2500" t="n">
        <v>14</v>
      </c>
      <c r="I2500" t="n">
        <v>264483</v>
      </c>
    </row>
    <row r="2501">
      <c r="A2501" t="n">
        <v>2500</v>
      </c>
      <c r="B2501" t="inlineStr">
        <is>
          <t>Train</t>
        </is>
      </c>
      <c r="C2501" t="n">
        <v>785</v>
      </c>
      <c r="D2501" t="n">
        <v>18060</v>
      </c>
      <c r="E2501" t="n">
        <v>42</v>
      </c>
      <c r="F2501" t="n">
        <v>156532</v>
      </c>
      <c r="G2501" t="n">
        <v>4</v>
      </c>
      <c r="H2501" t="n">
        <v>13</v>
      </c>
      <c r="I2501" t="n">
        <v>0</v>
      </c>
    </row>
    <row r="2502">
      <c r="A2502" t="n">
        <v>2501</v>
      </c>
      <c r="B2502" t="inlineStr">
        <is>
          <t>Train</t>
        </is>
      </c>
      <c r="C2502" t="n">
        <v>4383</v>
      </c>
      <c r="D2502" t="n">
        <v>4390</v>
      </c>
      <c r="E2502" t="n">
        <v>37</v>
      </c>
      <c r="F2502" t="n">
        <v>28907</v>
      </c>
      <c r="G2502" t="n">
        <v>0</v>
      </c>
      <c r="H2502" t="n">
        <v>11</v>
      </c>
      <c r="I2502" t="n">
        <v>162439</v>
      </c>
    </row>
    <row r="2503">
      <c r="A2503" t="n">
        <v>2502</v>
      </c>
      <c r="B2503" t="inlineStr">
        <is>
          <t>Train</t>
        </is>
      </c>
      <c r="C2503" t="n">
        <v>5055</v>
      </c>
      <c r="D2503" t="n">
        <v>26370</v>
      </c>
      <c r="E2503" t="n">
        <v>50</v>
      </c>
      <c r="F2503" t="n">
        <v>131311</v>
      </c>
      <c r="G2503" t="n">
        <v>7</v>
      </c>
      <c r="H2503" t="n">
        <v>12</v>
      </c>
      <c r="I2503" t="n">
        <v>0</v>
      </c>
    </row>
    <row r="2504">
      <c r="A2504" t="n">
        <v>2503</v>
      </c>
      <c r="B2504" t="inlineStr">
        <is>
          <t>Train</t>
        </is>
      </c>
      <c r="C2504" t="n">
        <v>30520</v>
      </c>
      <c r="D2504" t="n">
        <v>10200</v>
      </c>
      <c r="E2504" t="n">
        <v>46</v>
      </c>
      <c r="F2504" t="n">
        <v>40992</v>
      </c>
      <c r="G2504" t="n">
        <v>7</v>
      </c>
      <c r="H2504" t="n">
        <v>12</v>
      </c>
      <c r="I2504" t="n">
        <v>165542</v>
      </c>
    </row>
    <row r="2505">
      <c r="A2505" t="n">
        <v>2504</v>
      </c>
      <c r="B2505" t="inlineStr">
        <is>
          <t>Train</t>
        </is>
      </c>
      <c r="C2505" t="n">
        <v>6980</v>
      </c>
      <c r="D2505" t="n">
        <v>23030</v>
      </c>
      <c r="E2505" t="n">
        <v>49</v>
      </c>
      <c r="F2505" t="n">
        <v>99493</v>
      </c>
      <c r="G2505" t="n">
        <v>2</v>
      </c>
      <c r="H2505" t="n">
        <v>13</v>
      </c>
      <c r="I2505" t="n">
        <v>288808</v>
      </c>
    </row>
    <row r="2506">
      <c r="A2506" t="n">
        <v>2505</v>
      </c>
      <c r="B2506" t="inlineStr">
        <is>
          <t>Train</t>
        </is>
      </c>
      <c r="C2506" t="n">
        <v>3120</v>
      </c>
      <c r="D2506" t="n">
        <v>20520</v>
      </c>
      <c r="E2506" t="n">
        <v>58</v>
      </c>
      <c r="F2506" t="n">
        <v>69879</v>
      </c>
      <c r="G2506" t="n">
        <v>6</v>
      </c>
      <c r="H2506" t="n">
        <v>13</v>
      </c>
      <c r="I2506" t="n">
        <v>259753</v>
      </c>
    </row>
    <row r="2507">
      <c r="A2507" t="n">
        <v>2506</v>
      </c>
      <c r="B2507" t="inlineStr">
        <is>
          <t>Train</t>
        </is>
      </c>
      <c r="C2507" t="n">
        <v>5639</v>
      </c>
      <c r="D2507" t="n">
        <v>27620</v>
      </c>
      <c r="E2507" t="n">
        <v>60</v>
      </c>
      <c r="F2507" t="n">
        <v>57389</v>
      </c>
      <c r="G2507" t="n">
        <v>0</v>
      </c>
      <c r="H2507" t="n">
        <v>13</v>
      </c>
      <c r="I2507" t="n">
        <v>232281</v>
      </c>
    </row>
    <row r="2508">
      <c r="A2508" t="n">
        <v>2507</v>
      </c>
      <c r="B2508" t="inlineStr">
        <is>
          <t>Validation</t>
        </is>
      </c>
      <c r="C2508" t="n">
        <v>5092</v>
      </c>
      <c r="D2508" t="n">
        <v>17180</v>
      </c>
      <c r="E2508" t="n">
        <v>45</v>
      </c>
      <c r="F2508" t="n">
        <v>61853</v>
      </c>
      <c r="G2508" t="n">
        <v>0</v>
      </c>
      <c r="H2508" t="n">
        <v>10</v>
      </c>
      <c r="I2508" t="n">
        <v>220043</v>
      </c>
    </row>
    <row r="2509">
      <c r="A2509" t="n">
        <v>2508</v>
      </c>
      <c r="B2509" t="inlineStr">
        <is>
          <t>Validation</t>
        </is>
      </c>
      <c r="C2509" t="n">
        <v>22464</v>
      </c>
      <c r="D2509" t="n">
        <v>5800</v>
      </c>
      <c r="E2509" t="n">
        <v>43</v>
      </c>
      <c r="F2509" t="n">
        <v>72894</v>
      </c>
      <c r="G2509" t="n">
        <v>3</v>
      </c>
      <c r="H2509" t="n">
        <v>10</v>
      </c>
      <c r="I2509" t="n">
        <v>0</v>
      </c>
    </row>
    <row r="2510">
      <c r="A2510" t="n">
        <v>2509</v>
      </c>
      <c r="B2510" t="inlineStr">
        <is>
          <t>Validation</t>
        </is>
      </c>
      <c r="C2510" t="n">
        <v>6693</v>
      </c>
      <c r="D2510" t="n">
        <v>8310</v>
      </c>
      <c r="E2510" t="n">
        <v>44</v>
      </c>
      <c r="F2510" t="n">
        <v>24091</v>
      </c>
      <c r="G2510" t="n">
        <v>0</v>
      </c>
      <c r="H2510" t="n">
        <v>7</v>
      </c>
      <c r="I2510" t="n">
        <v>0</v>
      </c>
    </row>
    <row r="2511">
      <c r="A2511" t="n">
        <v>2510</v>
      </c>
      <c r="B2511" t="inlineStr">
        <is>
          <t>Train</t>
        </is>
      </c>
      <c r="C2511" t="n">
        <v>33694</v>
      </c>
      <c r="D2511" t="n">
        <v>16920</v>
      </c>
      <c r="E2511" t="n">
        <v>54</v>
      </c>
      <c r="F2511" t="n">
        <v>19920</v>
      </c>
      <c r="G2511" t="n">
        <v>6</v>
      </c>
      <c r="H2511" t="n">
        <v>10</v>
      </c>
      <c r="I2511" t="n">
        <v>173863</v>
      </c>
    </row>
    <row r="2512">
      <c r="A2512" t="n">
        <v>2511</v>
      </c>
      <c r="B2512" t="inlineStr">
        <is>
          <t>Train</t>
        </is>
      </c>
      <c r="C2512" t="n">
        <v>4185</v>
      </c>
      <c r="D2512" t="n">
        <v>13200</v>
      </c>
      <c r="E2512" t="n">
        <v>46</v>
      </c>
      <c r="F2512" t="n">
        <v>83187</v>
      </c>
      <c r="G2512" t="n">
        <v>5</v>
      </c>
      <c r="H2512" t="n">
        <v>13</v>
      </c>
      <c r="I2512" t="n">
        <v>0</v>
      </c>
    </row>
    <row r="2513">
      <c r="A2513" t="n">
        <v>2512</v>
      </c>
      <c r="B2513" t="inlineStr">
        <is>
          <t>Train</t>
        </is>
      </c>
      <c r="C2513" t="n">
        <v>1427</v>
      </c>
      <c r="D2513" t="n">
        <v>18660</v>
      </c>
      <c r="E2513" t="n">
        <v>50</v>
      </c>
      <c r="F2513" t="n">
        <v>0</v>
      </c>
      <c r="G2513" t="n">
        <v>0</v>
      </c>
      <c r="H2513" t="n">
        <v>0</v>
      </c>
      <c r="I2513" t="n">
        <v>110784</v>
      </c>
    </row>
    <row r="2514">
      <c r="A2514" t="n">
        <v>2513</v>
      </c>
      <c r="B2514" t="inlineStr">
        <is>
          <t>Train</t>
        </is>
      </c>
      <c r="C2514" t="n">
        <v>883</v>
      </c>
      <c r="D2514" t="n">
        <v>6550</v>
      </c>
      <c r="E2514" t="n">
        <v>49</v>
      </c>
      <c r="F2514" t="n">
        <v>1463</v>
      </c>
      <c r="G2514" t="n">
        <v>0</v>
      </c>
      <c r="H2514" t="n">
        <v>14</v>
      </c>
      <c r="I2514" t="n">
        <v>101545</v>
      </c>
    </row>
    <row r="2515">
      <c r="A2515" t="n">
        <v>2514</v>
      </c>
      <c r="B2515" t="inlineStr">
        <is>
          <t>Train</t>
        </is>
      </c>
      <c r="C2515" t="n">
        <v>6208</v>
      </c>
      <c r="D2515" t="n">
        <v>6700</v>
      </c>
      <c r="E2515" t="n">
        <v>52</v>
      </c>
      <c r="F2515" t="n">
        <v>1423</v>
      </c>
      <c r="G2515" t="n">
        <v>0</v>
      </c>
      <c r="H2515" t="n">
        <v>7</v>
      </c>
      <c r="I2515" t="n">
        <v>80489</v>
      </c>
    </row>
    <row r="2516">
      <c r="A2516" t="n">
        <v>2515</v>
      </c>
      <c r="B2516" t="inlineStr">
        <is>
          <t>Train</t>
        </is>
      </c>
      <c r="C2516" t="n">
        <v>4600</v>
      </c>
      <c r="D2516" t="n">
        <v>9830</v>
      </c>
      <c r="E2516" t="n">
        <v>49</v>
      </c>
      <c r="F2516" t="n">
        <v>31873</v>
      </c>
      <c r="G2516" t="n">
        <v>0</v>
      </c>
      <c r="H2516" t="n">
        <v>8</v>
      </c>
      <c r="I2516" t="n">
        <v>123025</v>
      </c>
    </row>
    <row r="2517">
      <c r="A2517" t="n">
        <v>2516</v>
      </c>
      <c r="B2517" t="inlineStr">
        <is>
          <t>Train</t>
        </is>
      </c>
      <c r="C2517" t="n">
        <v>19709</v>
      </c>
      <c r="D2517" t="n">
        <v>24180</v>
      </c>
      <c r="E2517" t="n">
        <v>53</v>
      </c>
      <c r="F2517" t="n">
        <v>61486</v>
      </c>
      <c r="G2517" t="n">
        <v>0</v>
      </c>
      <c r="H2517" t="n">
        <v>13</v>
      </c>
      <c r="I2517" t="n">
        <v>0</v>
      </c>
    </row>
    <row r="2518">
      <c r="A2518" t="n">
        <v>2517</v>
      </c>
      <c r="B2518" t="inlineStr">
        <is>
          <t>Validation</t>
        </is>
      </c>
      <c r="C2518" t="n">
        <v>26973</v>
      </c>
      <c r="D2518" t="n">
        <v>1500</v>
      </c>
      <c r="E2518" t="n">
        <v>47</v>
      </c>
      <c r="F2518" t="n">
        <v>32611</v>
      </c>
      <c r="G2518" t="n">
        <v>5</v>
      </c>
      <c r="H2518" t="n">
        <v>13</v>
      </c>
      <c r="I2518" t="n">
        <v>132321</v>
      </c>
    </row>
    <row r="2519">
      <c r="A2519" t="n">
        <v>2518</v>
      </c>
      <c r="B2519" t="inlineStr">
        <is>
          <t>Validation</t>
        </is>
      </c>
      <c r="C2519" t="n">
        <v>3850</v>
      </c>
      <c r="D2519" t="n">
        <v>6710</v>
      </c>
      <c r="E2519" t="n">
        <v>53</v>
      </c>
      <c r="F2519" t="n">
        <v>63269</v>
      </c>
      <c r="G2519" t="n">
        <v>0</v>
      </c>
      <c r="H2519" t="n">
        <v>16</v>
      </c>
      <c r="I2519" t="n">
        <v>243277</v>
      </c>
    </row>
    <row r="2520">
      <c r="A2520" t="n">
        <v>2519</v>
      </c>
      <c r="B2520" t="inlineStr">
        <is>
          <t>Validation</t>
        </is>
      </c>
      <c r="C2520" t="n">
        <v>6292</v>
      </c>
      <c r="D2520" t="n">
        <v>6220</v>
      </c>
      <c r="E2520" t="n">
        <v>41</v>
      </c>
      <c r="F2520" t="n">
        <v>6232</v>
      </c>
      <c r="G2520" t="n">
        <v>1</v>
      </c>
      <c r="H2520" t="n">
        <v>15</v>
      </c>
      <c r="I2520" t="n">
        <v>0</v>
      </c>
    </row>
    <row r="2521">
      <c r="A2521" t="n">
        <v>2520</v>
      </c>
      <c r="B2521" t="inlineStr">
        <is>
          <t>Train</t>
        </is>
      </c>
      <c r="C2521" t="n">
        <v>40584</v>
      </c>
      <c r="D2521" t="n">
        <v>11160</v>
      </c>
      <c r="E2521" t="n">
        <v>40</v>
      </c>
      <c r="F2521" t="n">
        <v>56626</v>
      </c>
      <c r="G2521" t="n">
        <v>4</v>
      </c>
      <c r="H2521" t="n">
        <v>9</v>
      </c>
      <c r="I2521" t="n">
        <v>210500</v>
      </c>
    </row>
    <row r="2522">
      <c r="A2522" t="n">
        <v>2521</v>
      </c>
      <c r="B2522" t="inlineStr">
        <is>
          <t>Train</t>
        </is>
      </c>
      <c r="C2522" t="n">
        <v>18599</v>
      </c>
      <c r="D2522" t="n">
        <v>17440</v>
      </c>
      <c r="E2522" t="n">
        <v>47</v>
      </c>
      <c r="F2522" t="n">
        <v>112366</v>
      </c>
      <c r="G2522" t="n">
        <v>5</v>
      </c>
      <c r="H2522" t="n">
        <v>12</v>
      </c>
      <c r="I2522" t="n">
        <v>0</v>
      </c>
    </row>
    <row r="2523">
      <c r="A2523" t="n">
        <v>2522</v>
      </c>
      <c r="B2523" t="inlineStr">
        <is>
          <t>Train</t>
        </is>
      </c>
      <c r="C2523" t="n">
        <v>7560</v>
      </c>
      <c r="D2523" t="n">
        <v>10320</v>
      </c>
      <c r="E2523" t="n">
        <v>48</v>
      </c>
      <c r="F2523" t="n">
        <v>84042</v>
      </c>
      <c r="G2523" t="n">
        <v>2</v>
      </c>
      <c r="H2523" t="n">
        <v>11</v>
      </c>
      <c r="I2523" t="n">
        <v>263403</v>
      </c>
    </row>
    <row r="2524">
      <c r="A2524" t="n">
        <v>2523</v>
      </c>
      <c r="B2524" t="inlineStr">
        <is>
          <t>Train</t>
        </is>
      </c>
      <c r="C2524" t="n">
        <v>6384</v>
      </c>
      <c r="D2524" t="n">
        <v>10310</v>
      </c>
      <c r="E2524" t="n">
        <v>38</v>
      </c>
      <c r="F2524" t="n">
        <v>50104</v>
      </c>
      <c r="G2524" t="n">
        <v>5</v>
      </c>
      <c r="H2524" t="n">
        <v>14</v>
      </c>
      <c r="I2524" t="n">
        <v>241191</v>
      </c>
    </row>
    <row r="2525">
      <c r="A2525" t="n">
        <v>2524</v>
      </c>
      <c r="B2525" t="inlineStr">
        <is>
          <t>Train</t>
        </is>
      </c>
      <c r="C2525" t="n">
        <v>4662</v>
      </c>
      <c r="D2525" t="n">
        <v>15420</v>
      </c>
      <c r="E2525" t="n">
        <v>47</v>
      </c>
      <c r="F2525" t="n">
        <v>0</v>
      </c>
      <c r="G2525" t="n">
        <v>0</v>
      </c>
      <c r="H2525" t="n">
        <v>0</v>
      </c>
      <c r="I2525" t="n">
        <v>120276</v>
      </c>
    </row>
    <row r="2526">
      <c r="A2526" t="n">
        <v>2525</v>
      </c>
      <c r="B2526" t="inlineStr">
        <is>
          <t>Train</t>
        </is>
      </c>
      <c r="C2526" t="n">
        <v>6367</v>
      </c>
      <c r="D2526" t="n">
        <v>11220</v>
      </c>
      <c r="E2526" t="n">
        <v>44</v>
      </c>
      <c r="F2526" t="n">
        <v>75161</v>
      </c>
      <c r="G2526" t="n">
        <v>5</v>
      </c>
      <c r="H2526" t="n">
        <v>11</v>
      </c>
      <c r="I2526" t="n">
        <v>241237</v>
      </c>
    </row>
    <row r="2527">
      <c r="A2527" t="n">
        <v>2526</v>
      </c>
      <c r="B2527" t="inlineStr">
        <is>
          <t>Train</t>
        </is>
      </c>
      <c r="C2527" t="n">
        <v>4636</v>
      </c>
      <c r="D2527" t="n">
        <v>1500</v>
      </c>
      <c r="E2527" t="n">
        <v>36</v>
      </c>
      <c r="F2527" t="n">
        <v>12546</v>
      </c>
      <c r="G2527" t="n">
        <v>0</v>
      </c>
      <c r="H2527" t="n">
        <v>9</v>
      </c>
      <c r="I2527" t="n">
        <v>0</v>
      </c>
    </row>
    <row r="2528">
      <c r="A2528" t="n">
        <v>2527</v>
      </c>
      <c r="B2528" t="inlineStr">
        <is>
          <t>Validation</t>
        </is>
      </c>
      <c r="C2528" t="n">
        <v>5556</v>
      </c>
      <c r="D2528" t="n">
        <v>11430</v>
      </c>
      <c r="E2528" t="n">
        <v>50</v>
      </c>
      <c r="F2528" t="n">
        <v>49256</v>
      </c>
      <c r="G2528" t="n">
        <v>2</v>
      </c>
      <c r="H2528" t="n">
        <v>14</v>
      </c>
      <c r="I2528" t="n">
        <v>212649</v>
      </c>
    </row>
    <row r="2529">
      <c r="A2529" t="n">
        <v>2528</v>
      </c>
      <c r="B2529" t="inlineStr">
        <is>
          <t>Validation</t>
        </is>
      </c>
      <c r="C2529" t="n">
        <v>8861</v>
      </c>
      <c r="D2529" t="n">
        <v>9460</v>
      </c>
      <c r="E2529" t="n">
        <v>49</v>
      </c>
      <c r="F2529" t="n">
        <v>30644</v>
      </c>
      <c r="G2529" t="n">
        <v>5</v>
      </c>
      <c r="H2529" t="n">
        <v>13</v>
      </c>
      <c r="I2529" t="n">
        <v>174753</v>
      </c>
    </row>
    <row r="2530">
      <c r="A2530" t="n">
        <v>2529</v>
      </c>
      <c r="B2530" t="inlineStr">
        <is>
          <t>Validation</t>
        </is>
      </c>
      <c r="C2530" t="n">
        <v>5824</v>
      </c>
      <c r="D2530" t="n">
        <v>11200</v>
      </c>
      <c r="E2530" t="n">
        <v>37</v>
      </c>
      <c r="F2530" t="n">
        <v>38200</v>
      </c>
      <c r="G2530" t="n">
        <v>1</v>
      </c>
      <c r="H2530" t="n">
        <v>9</v>
      </c>
      <c r="I2530" t="n">
        <v>167131</v>
      </c>
    </row>
    <row r="2531">
      <c r="A2531" t="n">
        <v>2530</v>
      </c>
      <c r="B2531" t="inlineStr">
        <is>
          <t>Train</t>
        </is>
      </c>
      <c r="C2531" t="n">
        <v>3683</v>
      </c>
      <c r="D2531" t="n">
        <v>26350</v>
      </c>
      <c r="E2531" t="n">
        <v>28</v>
      </c>
      <c r="F2531" t="n">
        <v>12891</v>
      </c>
      <c r="G2531" t="n">
        <v>4</v>
      </c>
      <c r="H2531" t="n">
        <v>11</v>
      </c>
      <c r="I2531" t="n">
        <v>86839</v>
      </c>
    </row>
    <row r="2532">
      <c r="A2532" t="n">
        <v>2531</v>
      </c>
      <c r="B2532" t="inlineStr">
        <is>
          <t>Train</t>
        </is>
      </c>
      <c r="C2532" t="n">
        <v>6510</v>
      </c>
      <c r="D2532" t="n">
        <v>7630</v>
      </c>
      <c r="E2532" t="n">
        <v>38</v>
      </c>
      <c r="F2532" t="n">
        <v>23297</v>
      </c>
      <c r="G2532" t="n">
        <v>6</v>
      </c>
      <c r="H2532" t="n">
        <v>15</v>
      </c>
      <c r="I2532" t="n">
        <v>0</v>
      </c>
    </row>
    <row r="2533">
      <c r="A2533" t="n">
        <v>2532</v>
      </c>
      <c r="B2533" t="inlineStr">
        <is>
          <t>Train</t>
        </is>
      </c>
      <c r="C2533" t="n">
        <v>6314</v>
      </c>
      <c r="D2533" t="n">
        <v>22680</v>
      </c>
      <c r="E2533" t="n">
        <v>45</v>
      </c>
      <c r="F2533" t="n">
        <v>69158</v>
      </c>
      <c r="G2533" t="n">
        <v>5</v>
      </c>
      <c r="H2533" t="n">
        <v>13</v>
      </c>
      <c r="I2533" t="n">
        <v>0</v>
      </c>
    </row>
    <row r="2534">
      <c r="A2534" t="n">
        <v>2533</v>
      </c>
      <c r="B2534" t="inlineStr">
        <is>
          <t>Train</t>
        </is>
      </c>
      <c r="C2534" t="n">
        <v>5161</v>
      </c>
      <c r="D2534" t="n">
        <v>20590</v>
      </c>
      <c r="E2534" t="n">
        <v>37</v>
      </c>
      <c r="F2534" t="n">
        <v>0</v>
      </c>
      <c r="G2534" t="n">
        <v>1</v>
      </c>
      <c r="H2534" t="n">
        <v>0</v>
      </c>
      <c r="I2534" t="n">
        <v>0</v>
      </c>
    </row>
    <row r="2535">
      <c r="A2535" t="n">
        <v>2534</v>
      </c>
      <c r="B2535" t="inlineStr">
        <is>
          <t>Train</t>
        </is>
      </c>
      <c r="C2535" t="n">
        <v>49380</v>
      </c>
      <c r="D2535" t="n">
        <v>19710</v>
      </c>
      <c r="E2535" t="n">
        <v>42</v>
      </c>
      <c r="F2535" t="n">
        <v>60522</v>
      </c>
      <c r="G2535" t="n">
        <v>0</v>
      </c>
      <c r="H2535" t="n">
        <v>10</v>
      </c>
      <c r="I2535" t="n">
        <v>0</v>
      </c>
    </row>
    <row r="2536">
      <c r="A2536" t="n">
        <v>2535</v>
      </c>
      <c r="B2536" t="inlineStr">
        <is>
          <t>Train</t>
        </is>
      </c>
      <c r="C2536" t="n">
        <v>812</v>
      </c>
      <c r="D2536" t="n">
        <v>20160</v>
      </c>
      <c r="E2536" t="n">
        <v>38</v>
      </c>
      <c r="F2536" t="n">
        <v>97608</v>
      </c>
      <c r="G2536" t="n">
        <v>0</v>
      </c>
      <c r="H2536" t="n">
        <v>9</v>
      </c>
      <c r="I2536" t="n">
        <v>239022</v>
      </c>
    </row>
    <row r="2537">
      <c r="A2537" t="n">
        <v>2536</v>
      </c>
      <c r="B2537" t="inlineStr">
        <is>
          <t>Train</t>
        </is>
      </c>
      <c r="C2537" t="n">
        <v>3654</v>
      </c>
      <c r="D2537" t="n">
        <v>10000</v>
      </c>
      <c r="E2537" t="n">
        <v>48</v>
      </c>
      <c r="F2537" t="n">
        <v>36954</v>
      </c>
      <c r="G2537" t="n">
        <v>3</v>
      </c>
      <c r="H2537" t="n">
        <v>8</v>
      </c>
      <c r="I2537" t="n">
        <v>0</v>
      </c>
    </row>
    <row r="2538">
      <c r="A2538" t="n">
        <v>2537</v>
      </c>
      <c r="B2538" t="inlineStr">
        <is>
          <t>Validation</t>
        </is>
      </c>
      <c r="C2538" t="n">
        <v>7304</v>
      </c>
      <c r="D2538" t="n">
        <v>6200</v>
      </c>
      <c r="E2538" t="n">
        <v>49</v>
      </c>
      <c r="F2538" t="n">
        <v>0</v>
      </c>
      <c r="G2538" t="n">
        <v>2</v>
      </c>
      <c r="H2538" t="n">
        <v>0</v>
      </c>
      <c r="I2538" t="n">
        <v>0</v>
      </c>
    </row>
    <row r="2539">
      <c r="A2539" t="n">
        <v>2538</v>
      </c>
      <c r="B2539" t="inlineStr">
        <is>
          <t>Validation</t>
        </is>
      </c>
      <c r="C2539" t="n">
        <v>7998</v>
      </c>
      <c r="D2539" t="n">
        <v>6300</v>
      </c>
      <c r="E2539" t="n">
        <v>48</v>
      </c>
      <c r="F2539" t="n">
        <v>14938</v>
      </c>
      <c r="G2539" t="n">
        <v>5</v>
      </c>
      <c r="H2539" t="n">
        <v>5</v>
      </c>
      <c r="I2539" t="n">
        <v>0</v>
      </c>
    </row>
    <row r="2540">
      <c r="A2540" t="n">
        <v>2539</v>
      </c>
      <c r="B2540" t="inlineStr">
        <is>
          <t>Validation</t>
        </is>
      </c>
      <c r="C2540" t="n">
        <v>42214</v>
      </c>
      <c r="D2540" t="n">
        <v>1500</v>
      </c>
      <c r="E2540" t="n">
        <v>51</v>
      </c>
      <c r="F2540" t="n">
        <v>109836</v>
      </c>
      <c r="G2540" t="n">
        <v>1</v>
      </c>
      <c r="H2540" t="n">
        <v>15</v>
      </c>
      <c r="I2540" t="n">
        <v>322934</v>
      </c>
    </row>
    <row r="2541">
      <c r="A2541" t="n">
        <v>2540</v>
      </c>
      <c r="B2541" t="inlineStr">
        <is>
          <t>Train</t>
        </is>
      </c>
      <c r="C2541" t="n">
        <v>7003</v>
      </c>
      <c r="D2541" t="n">
        <v>11530</v>
      </c>
      <c r="E2541" t="n">
        <v>38</v>
      </c>
      <c r="F2541" t="n">
        <v>62290</v>
      </c>
      <c r="G2541" t="n">
        <v>2</v>
      </c>
      <c r="H2541" t="n">
        <v>9</v>
      </c>
      <c r="I2541" t="n">
        <v>223013</v>
      </c>
    </row>
    <row r="2542">
      <c r="A2542" t="n">
        <v>2541</v>
      </c>
      <c r="B2542" t="inlineStr">
        <is>
          <t>Train</t>
        </is>
      </c>
      <c r="C2542" t="n">
        <v>6935</v>
      </c>
      <c r="D2542" t="n">
        <v>22110</v>
      </c>
      <c r="E2542" t="n">
        <v>46</v>
      </c>
      <c r="F2542" t="n">
        <v>177562</v>
      </c>
      <c r="G2542" t="n">
        <v>3</v>
      </c>
      <c r="H2542" t="n">
        <v>8</v>
      </c>
      <c r="I2542" t="n">
        <v>0</v>
      </c>
    </row>
    <row r="2543">
      <c r="A2543" t="n">
        <v>2542</v>
      </c>
      <c r="B2543" t="inlineStr">
        <is>
          <t>Train</t>
        </is>
      </c>
      <c r="C2543" t="n">
        <v>4278</v>
      </c>
      <c r="D2543" t="n">
        <v>31510</v>
      </c>
      <c r="E2543" t="n">
        <v>31</v>
      </c>
      <c r="F2543" t="n">
        <v>30089</v>
      </c>
      <c r="G2543" t="n">
        <v>4</v>
      </c>
      <c r="H2543" t="n">
        <v>13</v>
      </c>
      <c r="I2543" t="n">
        <v>121900</v>
      </c>
    </row>
    <row r="2544">
      <c r="A2544" t="n">
        <v>2543</v>
      </c>
      <c r="B2544" t="inlineStr">
        <is>
          <t>Train</t>
        </is>
      </c>
      <c r="C2544" t="n">
        <v>43381</v>
      </c>
      <c r="D2544" t="n">
        <v>9340</v>
      </c>
      <c r="E2544" t="n">
        <v>46</v>
      </c>
      <c r="F2544" t="n">
        <v>23655</v>
      </c>
      <c r="G2544" t="n">
        <v>4</v>
      </c>
      <c r="H2544" t="n">
        <v>8</v>
      </c>
      <c r="I2544" t="n">
        <v>190550</v>
      </c>
    </row>
    <row r="2545">
      <c r="A2545" t="n">
        <v>2544</v>
      </c>
      <c r="B2545" t="inlineStr">
        <is>
          <t>Train</t>
        </is>
      </c>
      <c r="C2545" t="n">
        <v>2897</v>
      </c>
      <c r="D2545" t="n">
        <v>5400</v>
      </c>
      <c r="E2545" t="n">
        <v>39</v>
      </c>
      <c r="F2545" t="n">
        <v>133060</v>
      </c>
      <c r="G2545" t="n">
        <v>1</v>
      </c>
      <c r="H2545" t="n">
        <v>9</v>
      </c>
      <c r="I2545" t="n">
        <v>0</v>
      </c>
    </row>
    <row r="2546">
      <c r="A2546" t="n">
        <v>2545</v>
      </c>
      <c r="B2546" t="inlineStr">
        <is>
          <t>Train</t>
        </is>
      </c>
      <c r="C2546" t="n">
        <v>36320</v>
      </c>
      <c r="D2546" t="n">
        <v>23120</v>
      </c>
      <c r="E2546" t="n">
        <v>37</v>
      </c>
      <c r="F2546" t="n">
        <v>62894</v>
      </c>
      <c r="G2546" t="n">
        <v>4</v>
      </c>
      <c r="H2546" t="n">
        <v>15</v>
      </c>
      <c r="I2546" t="n">
        <v>245334</v>
      </c>
    </row>
    <row r="2547">
      <c r="A2547" t="n">
        <v>2546</v>
      </c>
      <c r="B2547" t="inlineStr">
        <is>
          <t>Train</t>
        </is>
      </c>
      <c r="C2547" t="n">
        <v>28642</v>
      </c>
      <c r="D2547" t="n">
        <v>19860</v>
      </c>
      <c r="E2547" t="n">
        <v>46</v>
      </c>
      <c r="F2547" t="n">
        <v>66522</v>
      </c>
      <c r="G2547" t="n">
        <v>0</v>
      </c>
      <c r="H2547" t="n">
        <v>13</v>
      </c>
      <c r="I2547" t="n">
        <v>0</v>
      </c>
    </row>
    <row r="2548">
      <c r="A2548" t="n">
        <v>2547</v>
      </c>
      <c r="B2548" t="inlineStr">
        <is>
          <t>Validation</t>
        </is>
      </c>
      <c r="C2548" t="n">
        <v>4235</v>
      </c>
      <c r="D2548" t="n">
        <v>27010</v>
      </c>
      <c r="E2548" t="n">
        <v>50</v>
      </c>
      <c r="F2548" t="n">
        <v>108224</v>
      </c>
      <c r="G2548" t="n">
        <v>7</v>
      </c>
      <c r="H2548" t="n">
        <v>12</v>
      </c>
      <c r="I2548" t="n">
        <v>0</v>
      </c>
    </row>
    <row r="2549">
      <c r="A2549" t="n">
        <v>2548</v>
      </c>
      <c r="B2549" t="inlineStr">
        <is>
          <t>Validation</t>
        </is>
      </c>
      <c r="C2549" t="n">
        <v>5400</v>
      </c>
      <c r="D2549" t="n">
        <v>25620</v>
      </c>
      <c r="E2549" t="n">
        <v>61</v>
      </c>
      <c r="F2549" t="n">
        <v>19222</v>
      </c>
      <c r="G2549" t="n">
        <v>5</v>
      </c>
      <c r="H2549" t="n">
        <v>8</v>
      </c>
      <c r="I2549" t="n">
        <v>0</v>
      </c>
    </row>
    <row r="2550">
      <c r="A2550" t="n">
        <v>2549</v>
      </c>
      <c r="B2550" t="inlineStr">
        <is>
          <t>Validation</t>
        </is>
      </c>
      <c r="C2550" t="n">
        <v>37394</v>
      </c>
      <c r="D2550" t="n">
        <v>33600</v>
      </c>
      <c r="E2550" t="n">
        <v>32</v>
      </c>
      <c r="F2550" t="n">
        <v>189093</v>
      </c>
      <c r="G2550" t="n">
        <v>0</v>
      </c>
      <c r="H2550" t="n">
        <v>13</v>
      </c>
      <c r="I2550" t="n">
        <v>0</v>
      </c>
    </row>
    <row r="2551">
      <c r="A2551" t="n">
        <v>2550</v>
      </c>
      <c r="B2551" t="inlineStr">
        <is>
          <t>Train</t>
        </is>
      </c>
      <c r="C2551" t="n">
        <v>30903</v>
      </c>
      <c r="D2551" t="n">
        <v>13730</v>
      </c>
      <c r="E2551" t="n">
        <v>41</v>
      </c>
      <c r="F2551" t="n">
        <v>45153</v>
      </c>
      <c r="G2551" t="n">
        <v>3</v>
      </c>
      <c r="H2551" t="n">
        <v>14</v>
      </c>
      <c r="I2551" t="n">
        <v>170290</v>
      </c>
    </row>
    <row r="2552">
      <c r="A2552" t="n">
        <v>2551</v>
      </c>
      <c r="B2552" t="inlineStr">
        <is>
          <t>Train</t>
        </is>
      </c>
      <c r="C2552" t="n">
        <v>5348</v>
      </c>
      <c r="D2552" t="n">
        <v>6100</v>
      </c>
      <c r="E2552" t="n">
        <v>46</v>
      </c>
      <c r="F2552" t="n">
        <v>0</v>
      </c>
      <c r="G2552" t="n">
        <v>5</v>
      </c>
      <c r="H2552" t="n">
        <v>0</v>
      </c>
      <c r="I2552" t="n">
        <v>0</v>
      </c>
    </row>
    <row r="2553">
      <c r="A2553" t="n">
        <v>2552</v>
      </c>
      <c r="B2553" t="inlineStr">
        <is>
          <t>Train</t>
        </is>
      </c>
      <c r="C2553" t="n">
        <v>9081</v>
      </c>
      <c r="D2553" t="n">
        <v>5700</v>
      </c>
      <c r="E2553" t="n">
        <v>42</v>
      </c>
      <c r="F2553" t="n">
        <v>30458</v>
      </c>
      <c r="G2553" t="n">
        <v>0</v>
      </c>
      <c r="H2553" t="n">
        <v>13</v>
      </c>
      <c r="I2553" t="n">
        <v>0</v>
      </c>
    </row>
    <row r="2554">
      <c r="A2554" t="n">
        <v>2553</v>
      </c>
      <c r="B2554" t="inlineStr">
        <is>
          <t>Train</t>
        </is>
      </c>
      <c r="C2554" t="n">
        <v>7026</v>
      </c>
      <c r="D2554" t="n">
        <v>17300</v>
      </c>
      <c r="E2554" t="n">
        <v>19</v>
      </c>
      <c r="F2554" t="n">
        <v>6284</v>
      </c>
      <c r="G2554" t="n">
        <v>5</v>
      </c>
      <c r="H2554" t="n">
        <v>9</v>
      </c>
      <c r="I2554" t="n">
        <v>0</v>
      </c>
    </row>
    <row r="2555">
      <c r="A2555" t="n">
        <v>2554</v>
      </c>
      <c r="B2555" t="inlineStr">
        <is>
          <t>Train</t>
        </is>
      </c>
      <c r="C2555" t="n">
        <v>3233</v>
      </c>
      <c r="D2555" t="n">
        <v>24380</v>
      </c>
      <c r="E2555" t="n">
        <v>48</v>
      </c>
      <c r="F2555" t="n">
        <v>123223</v>
      </c>
      <c r="G2555" t="n">
        <v>0</v>
      </c>
      <c r="H2555" t="n">
        <v>10</v>
      </c>
      <c r="I2555" t="n">
        <v>0</v>
      </c>
    </row>
    <row r="2556">
      <c r="A2556" t="n">
        <v>2555</v>
      </c>
      <c r="B2556" t="inlineStr">
        <is>
          <t>Train</t>
        </is>
      </c>
      <c r="C2556" t="n">
        <v>6407</v>
      </c>
      <c r="D2556" t="n">
        <v>28800</v>
      </c>
      <c r="E2556" t="n">
        <v>37</v>
      </c>
      <c r="F2556" t="n">
        <v>122598</v>
      </c>
      <c r="G2556" t="n">
        <v>4</v>
      </c>
      <c r="H2556" t="n">
        <v>16</v>
      </c>
      <c r="I2556" t="n">
        <v>307051</v>
      </c>
    </row>
    <row r="2557">
      <c r="A2557" t="n">
        <v>2556</v>
      </c>
      <c r="B2557" t="inlineStr">
        <is>
          <t>Train</t>
        </is>
      </c>
      <c r="C2557" t="n">
        <v>1450</v>
      </c>
      <c r="D2557" t="n">
        <v>22670</v>
      </c>
      <c r="E2557" t="n">
        <v>54</v>
      </c>
      <c r="F2557" t="n">
        <v>39048</v>
      </c>
      <c r="G2557" t="n">
        <v>5</v>
      </c>
      <c r="H2557" t="n">
        <v>13</v>
      </c>
      <c r="I2557" t="n">
        <v>229578</v>
      </c>
    </row>
    <row r="2558">
      <c r="A2558" t="n">
        <v>2557</v>
      </c>
      <c r="B2558" t="inlineStr">
        <is>
          <t>Validation</t>
        </is>
      </c>
      <c r="C2558" t="n">
        <v>3676</v>
      </c>
      <c r="D2558" t="n">
        <v>21380</v>
      </c>
      <c r="E2558" t="n">
        <v>33</v>
      </c>
      <c r="F2558" t="n">
        <v>0</v>
      </c>
      <c r="G2558" t="n">
        <v>7</v>
      </c>
      <c r="H2558" t="n">
        <v>0</v>
      </c>
      <c r="I2558" t="n">
        <v>0</v>
      </c>
    </row>
    <row r="2559">
      <c r="A2559" t="n">
        <v>2558</v>
      </c>
      <c r="B2559" t="inlineStr">
        <is>
          <t>Validation</t>
        </is>
      </c>
      <c r="C2559" t="n">
        <v>32674</v>
      </c>
      <c r="D2559" t="n">
        <v>6600</v>
      </c>
      <c r="E2559" t="n">
        <v>51</v>
      </c>
      <c r="F2559" t="n">
        <v>30531</v>
      </c>
      <c r="G2559" t="n">
        <v>6</v>
      </c>
      <c r="H2559" t="n">
        <v>18</v>
      </c>
      <c r="I2559" t="n">
        <v>122736</v>
      </c>
    </row>
    <row r="2560">
      <c r="A2560" t="n">
        <v>2559</v>
      </c>
      <c r="B2560" t="inlineStr">
        <is>
          <t>Validation</t>
        </is>
      </c>
      <c r="C2560" t="n">
        <v>1322</v>
      </c>
      <c r="D2560" t="n">
        <v>20340</v>
      </c>
      <c r="E2560" t="n">
        <v>52</v>
      </c>
      <c r="F2560" t="n">
        <v>61586</v>
      </c>
      <c r="G2560" t="n">
        <v>1</v>
      </c>
      <c r="H2560" t="n">
        <v>15</v>
      </c>
      <c r="I2560" t="n">
        <v>257565</v>
      </c>
    </row>
    <row r="2561">
      <c r="A2561" t="n">
        <v>2560</v>
      </c>
      <c r="B2561" t="inlineStr">
        <is>
          <t>Train</t>
        </is>
      </c>
      <c r="C2561" t="n">
        <v>30099</v>
      </c>
      <c r="D2561" t="n">
        <v>7440</v>
      </c>
      <c r="E2561" t="n">
        <v>37</v>
      </c>
      <c r="F2561" t="n">
        <v>22401</v>
      </c>
      <c r="G2561" t="n">
        <v>6</v>
      </c>
      <c r="H2561" t="n">
        <v>11</v>
      </c>
      <c r="I2561" t="n">
        <v>0</v>
      </c>
    </row>
    <row r="2562">
      <c r="A2562" t="n">
        <v>2561</v>
      </c>
      <c r="B2562" t="inlineStr">
        <is>
          <t>Train</t>
        </is>
      </c>
      <c r="C2562" t="n">
        <v>6949</v>
      </c>
      <c r="D2562" t="n">
        <v>6200</v>
      </c>
      <c r="E2562" t="n">
        <v>47</v>
      </c>
      <c r="F2562" t="n">
        <v>120030</v>
      </c>
      <c r="G2562" t="n">
        <v>3</v>
      </c>
      <c r="H2562" t="n">
        <v>12</v>
      </c>
      <c r="I2562" t="n">
        <v>321152</v>
      </c>
    </row>
    <row r="2563">
      <c r="A2563" t="n">
        <v>2562</v>
      </c>
      <c r="B2563" t="inlineStr">
        <is>
          <t>Train</t>
        </is>
      </c>
      <c r="C2563" t="n">
        <v>52465</v>
      </c>
      <c r="D2563" t="n">
        <v>13340</v>
      </c>
      <c r="E2563" t="n">
        <v>52</v>
      </c>
      <c r="F2563" t="n">
        <v>12169</v>
      </c>
      <c r="G2563" t="n">
        <v>2</v>
      </c>
      <c r="H2563" t="n">
        <v>11</v>
      </c>
      <c r="I2563" t="n">
        <v>0</v>
      </c>
    </row>
    <row r="2564">
      <c r="A2564" t="n">
        <v>2563</v>
      </c>
      <c r="B2564" t="inlineStr">
        <is>
          <t>Train</t>
        </is>
      </c>
      <c r="C2564" t="n">
        <v>36756</v>
      </c>
      <c r="D2564" t="n">
        <v>12360</v>
      </c>
      <c r="E2564" t="n">
        <v>36</v>
      </c>
      <c r="F2564" t="n">
        <v>0</v>
      </c>
      <c r="G2564" t="n">
        <v>7</v>
      </c>
      <c r="H2564" t="n">
        <v>0</v>
      </c>
      <c r="I2564" t="n">
        <v>0</v>
      </c>
    </row>
    <row r="2565">
      <c r="A2565" t="n">
        <v>2564</v>
      </c>
      <c r="B2565" t="inlineStr">
        <is>
          <t>Train</t>
        </is>
      </c>
      <c r="C2565" t="n">
        <v>1337</v>
      </c>
      <c r="D2565" t="n">
        <v>28600</v>
      </c>
      <c r="E2565" t="n">
        <v>21</v>
      </c>
      <c r="F2565" t="n">
        <v>5411</v>
      </c>
      <c r="G2565" t="n">
        <v>6</v>
      </c>
      <c r="H2565" t="n">
        <v>6</v>
      </c>
      <c r="I2565" t="n">
        <v>0</v>
      </c>
    </row>
    <row r="2566">
      <c r="A2566" t="n">
        <v>2565</v>
      </c>
      <c r="B2566" t="inlineStr">
        <is>
          <t>Train</t>
        </is>
      </c>
      <c r="C2566" t="n">
        <v>6188</v>
      </c>
      <c r="D2566" t="n">
        <v>8760</v>
      </c>
      <c r="E2566" t="n">
        <v>26</v>
      </c>
      <c r="F2566" t="n">
        <v>46604</v>
      </c>
      <c r="G2566" t="n">
        <v>9</v>
      </c>
      <c r="H2566" t="n">
        <v>10</v>
      </c>
      <c r="I2566" t="n">
        <v>164657</v>
      </c>
    </row>
    <row r="2567">
      <c r="A2567" t="n">
        <v>2566</v>
      </c>
      <c r="B2567" t="inlineStr">
        <is>
          <t>Train</t>
        </is>
      </c>
      <c r="C2567" t="n">
        <v>20061</v>
      </c>
      <c r="D2567" t="n">
        <v>26880</v>
      </c>
      <c r="E2567" t="n">
        <v>42</v>
      </c>
      <c r="F2567" t="n">
        <v>105796</v>
      </c>
      <c r="G2567" t="n">
        <v>0</v>
      </c>
      <c r="H2567" t="n">
        <v>11</v>
      </c>
      <c r="I2567" t="n">
        <v>290251</v>
      </c>
    </row>
    <row r="2568">
      <c r="A2568" t="n">
        <v>2567</v>
      </c>
      <c r="B2568" t="inlineStr">
        <is>
          <t>Validation</t>
        </is>
      </c>
      <c r="C2568" t="n">
        <v>3133</v>
      </c>
      <c r="D2568" t="n">
        <v>17810</v>
      </c>
      <c r="E2568" t="n">
        <v>54</v>
      </c>
      <c r="F2568" t="n">
        <v>49268</v>
      </c>
      <c r="G2568" t="n">
        <v>1</v>
      </c>
      <c r="H2568" t="n">
        <v>16</v>
      </c>
      <c r="I2568" t="n">
        <v>209157</v>
      </c>
    </row>
    <row r="2569">
      <c r="A2569" t="n">
        <v>2568</v>
      </c>
      <c r="B2569" t="inlineStr">
        <is>
          <t>Validation</t>
        </is>
      </c>
      <c r="C2569" t="n">
        <v>9037</v>
      </c>
      <c r="D2569" t="n">
        <v>5400</v>
      </c>
      <c r="E2569" t="n">
        <v>39</v>
      </c>
      <c r="F2569" t="n">
        <v>0</v>
      </c>
      <c r="G2569" t="n">
        <v>6</v>
      </c>
      <c r="H2569" t="n">
        <v>0</v>
      </c>
      <c r="I2569" t="n">
        <v>0</v>
      </c>
    </row>
    <row r="2570">
      <c r="A2570" t="n">
        <v>2569</v>
      </c>
      <c r="B2570" t="inlineStr">
        <is>
          <t>Validation</t>
        </is>
      </c>
      <c r="C2570" t="n">
        <v>5933</v>
      </c>
      <c r="D2570" t="n">
        <v>6300</v>
      </c>
      <c r="E2570" t="n">
        <v>48</v>
      </c>
      <c r="F2570" t="n">
        <v>114869</v>
      </c>
      <c r="G2570" t="n">
        <v>0</v>
      </c>
      <c r="H2570" t="n">
        <v>7</v>
      </c>
      <c r="I2570" t="n">
        <v>300454</v>
      </c>
    </row>
    <row r="2571">
      <c r="A2571" t="n">
        <v>2570</v>
      </c>
      <c r="B2571" t="inlineStr">
        <is>
          <t>Train</t>
        </is>
      </c>
      <c r="C2571" t="n">
        <v>6084</v>
      </c>
      <c r="D2571" t="n">
        <v>13240</v>
      </c>
      <c r="E2571" t="n">
        <v>45</v>
      </c>
      <c r="F2571" t="n">
        <v>5106</v>
      </c>
      <c r="G2571" t="n">
        <v>2</v>
      </c>
      <c r="H2571" t="n">
        <v>12</v>
      </c>
      <c r="I2571" t="n">
        <v>103537</v>
      </c>
    </row>
    <row r="2572">
      <c r="A2572" t="n">
        <v>2571</v>
      </c>
      <c r="B2572" t="inlineStr">
        <is>
          <t>Train</t>
        </is>
      </c>
      <c r="C2572" t="n">
        <v>9513</v>
      </c>
      <c r="D2572" t="n">
        <v>14410</v>
      </c>
      <c r="E2572" t="n">
        <v>46</v>
      </c>
      <c r="F2572" t="n">
        <v>21238</v>
      </c>
      <c r="G2572" t="n">
        <v>3</v>
      </c>
      <c r="H2572" t="n">
        <v>10</v>
      </c>
      <c r="I2572" t="n">
        <v>0</v>
      </c>
    </row>
    <row r="2573">
      <c r="A2573" t="n">
        <v>2572</v>
      </c>
      <c r="B2573" t="inlineStr">
        <is>
          <t>Train</t>
        </is>
      </c>
      <c r="C2573" t="n">
        <v>4717</v>
      </c>
      <c r="D2573" t="n">
        <v>7300</v>
      </c>
      <c r="E2573" t="n">
        <v>38</v>
      </c>
      <c r="F2573" t="n">
        <v>62177</v>
      </c>
      <c r="G2573" t="n">
        <v>0</v>
      </c>
      <c r="H2573" t="n">
        <v>8</v>
      </c>
      <c r="I2573" t="n">
        <v>178852</v>
      </c>
    </row>
    <row r="2574">
      <c r="A2574" t="n">
        <v>2573</v>
      </c>
      <c r="B2574" t="inlineStr">
        <is>
          <t>Train</t>
        </is>
      </c>
      <c r="C2574" t="n">
        <v>2661</v>
      </c>
      <c r="D2574" t="n">
        <v>6050</v>
      </c>
      <c r="E2574" t="n">
        <v>24</v>
      </c>
      <c r="F2574" t="n">
        <v>21455</v>
      </c>
      <c r="G2574" t="n">
        <v>6</v>
      </c>
      <c r="H2574" t="n">
        <v>9</v>
      </c>
      <c r="I2574" t="n">
        <v>0</v>
      </c>
    </row>
    <row r="2575">
      <c r="A2575" t="n">
        <v>2574</v>
      </c>
      <c r="B2575" t="inlineStr">
        <is>
          <t>Train</t>
        </is>
      </c>
      <c r="C2575" t="n">
        <v>7199</v>
      </c>
      <c r="D2575" t="n">
        <v>16850</v>
      </c>
      <c r="E2575" t="n">
        <v>63</v>
      </c>
      <c r="F2575" t="n">
        <v>42209</v>
      </c>
      <c r="G2575" t="n">
        <v>1</v>
      </c>
      <c r="H2575" t="n">
        <v>15</v>
      </c>
      <c r="I2575" t="n">
        <v>0</v>
      </c>
    </row>
    <row r="2576">
      <c r="A2576" t="n">
        <v>2575</v>
      </c>
      <c r="B2576" t="inlineStr">
        <is>
          <t>Train</t>
        </is>
      </c>
      <c r="C2576" t="n">
        <v>11564</v>
      </c>
      <c r="D2576" t="n">
        <v>6350</v>
      </c>
      <c r="E2576" t="n">
        <v>45</v>
      </c>
      <c r="F2576" t="n">
        <v>3532</v>
      </c>
      <c r="G2576" t="n">
        <v>2</v>
      </c>
      <c r="H2576" t="n">
        <v>14</v>
      </c>
      <c r="I2576" t="n">
        <v>71734</v>
      </c>
    </row>
    <row r="2577">
      <c r="A2577" t="n">
        <v>2576</v>
      </c>
      <c r="B2577" t="inlineStr">
        <is>
          <t>Train</t>
        </is>
      </c>
      <c r="C2577" t="n">
        <v>2319</v>
      </c>
      <c r="D2577" t="n">
        <v>10390</v>
      </c>
      <c r="E2577" t="n">
        <v>49</v>
      </c>
      <c r="F2577" t="n">
        <v>50295</v>
      </c>
      <c r="G2577" t="n">
        <v>1</v>
      </c>
      <c r="H2577" t="n">
        <v>12</v>
      </c>
      <c r="I2577" t="n">
        <v>234324</v>
      </c>
    </row>
    <row r="2578">
      <c r="A2578" t="n">
        <v>2577</v>
      </c>
      <c r="B2578" t="inlineStr">
        <is>
          <t>Validation</t>
        </is>
      </c>
      <c r="C2578" t="n">
        <v>2863</v>
      </c>
      <c r="D2578" t="n">
        <v>5900</v>
      </c>
      <c r="E2578" t="n">
        <v>44</v>
      </c>
      <c r="F2578" t="n">
        <v>126023</v>
      </c>
      <c r="G2578" t="n">
        <v>0</v>
      </c>
      <c r="H2578" t="n">
        <v>11</v>
      </c>
      <c r="I2578" t="n">
        <v>322205</v>
      </c>
    </row>
    <row r="2579">
      <c r="A2579" t="n">
        <v>2578</v>
      </c>
      <c r="B2579" t="inlineStr">
        <is>
          <t>Validation</t>
        </is>
      </c>
      <c r="C2579" t="n">
        <v>3698</v>
      </c>
      <c r="D2579" t="n">
        <v>9610</v>
      </c>
      <c r="E2579" t="n">
        <v>36</v>
      </c>
      <c r="F2579" t="n">
        <v>53169</v>
      </c>
      <c r="G2579" t="n">
        <v>5</v>
      </c>
      <c r="H2579" t="n">
        <v>12</v>
      </c>
      <c r="I2579" t="n">
        <v>0</v>
      </c>
    </row>
    <row r="2580">
      <c r="A2580" t="n">
        <v>2579</v>
      </c>
      <c r="B2580" t="inlineStr">
        <is>
          <t>Validation</t>
        </is>
      </c>
      <c r="C2580" t="n">
        <v>4415</v>
      </c>
      <c r="D2580" t="n">
        <v>23660</v>
      </c>
      <c r="E2580" t="n">
        <v>32</v>
      </c>
      <c r="F2580" t="n">
        <v>6930</v>
      </c>
      <c r="G2580" t="n">
        <v>1</v>
      </c>
      <c r="H2580" t="n">
        <v>10</v>
      </c>
      <c r="I2580" t="n">
        <v>0</v>
      </c>
    </row>
    <row r="2581">
      <c r="A2581" t="n">
        <v>2580</v>
      </c>
      <c r="B2581" t="inlineStr">
        <is>
          <t>Train</t>
        </is>
      </c>
      <c r="C2581" t="n">
        <v>5198</v>
      </c>
      <c r="D2581" t="n">
        <v>6400</v>
      </c>
      <c r="E2581" t="n">
        <v>49</v>
      </c>
      <c r="F2581" t="n">
        <v>73241</v>
      </c>
      <c r="G2581" t="n">
        <v>1</v>
      </c>
      <c r="H2581" t="n">
        <v>10</v>
      </c>
      <c r="I2581" t="n">
        <v>0</v>
      </c>
    </row>
    <row r="2582">
      <c r="A2582" t="n">
        <v>2581</v>
      </c>
      <c r="B2582" t="inlineStr">
        <is>
          <t>Train</t>
        </is>
      </c>
      <c r="C2582" t="n">
        <v>9058</v>
      </c>
      <c r="D2582" t="n">
        <v>17990</v>
      </c>
      <c r="E2582" t="n">
        <v>56</v>
      </c>
      <c r="F2582" t="n">
        <v>29783</v>
      </c>
      <c r="G2582" t="n">
        <v>2</v>
      </c>
      <c r="H2582" t="n">
        <v>10</v>
      </c>
      <c r="I2582" t="n">
        <v>146121</v>
      </c>
    </row>
    <row r="2583">
      <c r="A2583" t="n">
        <v>2582</v>
      </c>
      <c r="B2583" t="inlineStr">
        <is>
          <t>Train</t>
        </is>
      </c>
      <c r="C2583" t="n">
        <v>31966</v>
      </c>
      <c r="D2583" t="n">
        <v>13880</v>
      </c>
      <c r="E2583" t="n">
        <v>37</v>
      </c>
      <c r="F2583" t="n">
        <v>86754</v>
      </c>
      <c r="G2583" t="n">
        <v>2</v>
      </c>
      <c r="H2583" t="n">
        <v>10</v>
      </c>
      <c r="I2583" t="n">
        <v>0</v>
      </c>
    </row>
    <row r="2584">
      <c r="A2584" t="n">
        <v>2583</v>
      </c>
      <c r="B2584" t="inlineStr">
        <is>
          <t>Train</t>
        </is>
      </c>
      <c r="C2584" t="n">
        <v>9598</v>
      </c>
      <c r="D2584" t="n">
        <v>13730</v>
      </c>
      <c r="E2584" t="n">
        <v>56</v>
      </c>
      <c r="F2584" t="n">
        <v>80719</v>
      </c>
      <c r="G2584" t="n">
        <v>3</v>
      </c>
      <c r="H2584" t="n">
        <v>14</v>
      </c>
      <c r="I2584" t="n">
        <v>262361</v>
      </c>
    </row>
    <row r="2585">
      <c r="A2585" t="n">
        <v>2584</v>
      </c>
      <c r="B2585" t="inlineStr">
        <is>
          <t>Train</t>
        </is>
      </c>
      <c r="C2585" t="n">
        <v>28959</v>
      </c>
      <c r="D2585" t="n">
        <v>14460</v>
      </c>
      <c r="E2585" t="n">
        <v>45</v>
      </c>
      <c r="F2585" t="n">
        <v>26156</v>
      </c>
      <c r="G2585" t="n">
        <v>0</v>
      </c>
      <c r="H2585" t="n">
        <v>14</v>
      </c>
      <c r="I2585" t="n">
        <v>179165</v>
      </c>
    </row>
    <row r="2586">
      <c r="A2586" t="n">
        <v>2585</v>
      </c>
      <c r="B2586" t="inlineStr">
        <is>
          <t>Train</t>
        </is>
      </c>
      <c r="C2586" t="n">
        <v>8762</v>
      </c>
      <c r="D2586" t="n">
        <v>14690</v>
      </c>
      <c r="E2586" t="n">
        <v>55</v>
      </c>
      <c r="F2586" t="n">
        <v>42815</v>
      </c>
      <c r="G2586" t="n">
        <v>0</v>
      </c>
      <c r="H2586" t="n">
        <v>16</v>
      </c>
      <c r="I2586" t="n">
        <v>205232</v>
      </c>
    </row>
    <row r="2587">
      <c r="A2587" t="n">
        <v>2586</v>
      </c>
      <c r="B2587" t="inlineStr">
        <is>
          <t>Train</t>
        </is>
      </c>
      <c r="C2587" t="n">
        <v>20351</v>
      </c>
      <c r="D2587" t="n">
        <v>22930</v>
      </c>
      <c r="E2587" t="n">
        <v>54</v>
      </c>
      <c r="F2587" t="n">
        <v>95024</v>
      </c>
      <c r="G2587" t="n">
        <v>6</v>
      </c>
      <c r="H2587" t="n">
        <v>11</v>
      </c>
      <c r="I2587" t="n">
        <v>290418</v>
      </c>
    </row>
    <row r="2588">
      <c r="A2588" t="n">
        <v>2587</v>
      </c>
      <c r="B2588" t="inlineStr">
        <is>
          <t>Validation</t>
        </is>
      </c>
      <c r="C2588" t="n">
        <v>6798</v>
      </c>
      <c r="D2588" t="n">
        <v>9540</v>
      </c>
      <c r="E2588" t="n">
        <v>25</v>
      </c>
      <c r="F2588" t="n">
        <v>55422</v>
      </c>
      <c r="G2588" t="n">
        <v>0</v>
      </c>
      <c r="H2588" t="n">
        <v>13</v>
      </c>
      <c r="I2588" t="n">
        <v>138922</v>
      </c>
    </row>
    <row r="2589">
      <c r="A2589" t="n">
        <v>2588</v>
      </c>
      <c r="B2589" t="inlineStr">
        <is>
          <t>Validation</t>
        </is>
      </c>
      <c r="C2589" t="n">
        <v>3819</v>
      </c>
      <c r="D2589" t="n">
        <v>10340</v>
      </c>
      <c r="E2589" t="n">
        <v>43</v>
      </c>
      <c r="F2589" t="n">
        <v>46793</v>
      </c>
      <c r="G2589" t="n">
        <v>0</v>
      </c>
      <c r="H2589" t="n">
        <v>12</v>
      </c>
      <c r="I2589" t="n">
        <v>184381</v>
      </c>
    </row>
    <row r="2590">
      <c r="A2590" t="n">
        <v>2589</v>
      </c>
      <c r="B2590" t="inlineStr">
        <is>
          <t>Validation</t>
        </is>
      </c>
      <c r="C2590" t="n">
        <v>51188</v>
      </c>
      <c r="D2590" t="n">
        <v>12370</v>
      </c>
      <c r="E2590" t="n">
        <v>49</v>
      </c>
      <c r="F2590" t="n">
        <v>59743</v>
      </c>
      <c r="G2590" t="n">
        <v>4</v>
      </c>
      <c r="H2590" t="n">
        <v>13</v>
      </c>
      <c r="I2590" t="n">
        <v>239955</v>
      </c>
    </row>
    <row r="2591">
      <c r="A2591" t="n">
        <v>2590</v>
      </c>
      <c r="B2591" t="inlineStr">
        <is>
          <t>Train</t>
        </is>
      </c>
      <c r="C2591" t="n">
        <v>4906</v>
      </c>
      <c r="D2591" t="n">
        <v>5670</v>
      </c>
      <c r="E2591" t="n">
        <v>56</v>
      </c>
      <c r="F2591" t="n">
        <v>88858</v>
      </c>
      <c r="G2591" t="n">
        <v>2</v>
      </c>
      <c r="H2591" t="n">
        <v>15</v>
      </c>
      <c r="I2591" t="n">
        <v>249331</v>
      </c>
    </row>
    <row r="2592">
      <c r="A2592" t="n">
        <v>2591</v>
      </c>
      <c r="B2592" t="inlineStr">
        <is>
          <t>Train</t>
        </is>
      </c>
      <c r="C2592" t="n">
        <v>3716</v>
      </c>
      <c r="D2592" t="n">
        <v>9240</v>
      </c>
      <c r="E2592" t="n">
        <v>40</v>
      </c>
      <c r="F2592" t="n">
        <v>77388</v>
      </c>
      <c r="G2592" t="n">
        <v>0</v>
      </c>
      <c r="H2592" t="n">
        <v>12</v>
      </c>
      <c r="I2592" t="n">
        <v>260895</v>
      </c>
    </row>
    <row r="2593">
      <c r="A2593" t="n">
        <v>2592</v>
      </c>
      <c r="B2593" t="inlineStr">
        <is>
          <t>Train</t>
        </is>
      </c>
      <c r="C2593" t="n">
        <v>33948</v>
      </c>
      <c r="D2593" t="n">
        <v>10930</v>
      </c>
      <c r="E2593" t="n">
        <v>47</v>
      </c>
      <c r="F2593" t="n">
        <v>47331</v>
      </c>
      <c r="G2593" t="n">
        <v>1</v>
      </c>
      <c r="H2593" t="n">
        <v>9</v>
      </c>
      <c r="I2593" t="n">
        <v>0</v>
      </c>
    </row>
    <row r="2594">
      <c r="A2594" t="n">
        <v>2593</v>
      </c>
      <c r="B2594" t="inlineStr">
        <is>
          <t>Train</t>
        </is>
      </c>
      <c r="C2594" t="n">
        <v>5758</v>
      </c>
      <c r="D2594" t="n">
        <v>6400</v>
      </c>
      <c r="E2594" t="n">
        <v>49</v>
      </c>
      <c r="F2594" t="n">
        <v>106541</v>
      </c>
      <c r="G2594" t="n">
        <v>4</v>
      </c>
      <c r="H2594" t="n">
        <v>12</v>
      </c>
      <c r="I2594" t="n">
        <v>291795</v>
      </c>
    </row>
    <row r="2595">
      <c r="A2595" t="n">
        <v>2594</v>
      </c>
      <c r="B2595" t="inlineStr">
        <is>
          <t>Train</t>
        </is>
      </c>
      <c r="C2595" t="n">
        <v>4683</v>
      </c>
      <c r="D2595" t="n">
        <v>29470</v>
      </c>
      <c r="E2595" t="n">
        <v>30</v>
      </c>
      <c r="F2595" t="n">
        <v>175172</v>
      </c>
      <c r="G2595" t="n">
        <v>0</v>
      </c>
      <c r="H2595" t="n">
        <v>11</v>
      </c>
      <c r="I2595" t="n">
        <v>403714</v>
      </c>
    </row>
    <row r="2596">
      <c r="A2596" t="n">
        <v>2595</v>
      </c>
      <c r="B2596" t="inlineStr">
        <is>
          <t>Train</t>
        </is>
      </c>
      <c r="C2596" t="n">
        <v>21033</v>
      </c>
      <c r="D2596" t="n">
        <v>38900</v>
      </c>
      <c r="E2596" t="n">
        <v>39</v>
      </c>
      <c r="F2596" t="n">
        <v>110251</v>
      </c>
      <c r="G2596" t="n">
        <v>3</v>
      </c>
      <c r="H2596" t="n">
        <v>13</v>
      </c>
      <c r="I2596" t="n">
        <v>349101</v>
      </c>
    </row>
    <row r="2597">
      <c r="A2597" t="n">
        <v>2596</v>
      </c>
      <c r="B2597" t="inlineStr">
        <is>
          <t>Train</t>
        </is>
      </c>
      <c r="C2597" t="n">
        <v>41477</v>
      </c>
      <c r="D2597" t="n">
        <v>24210</v>
      </c>
      <c r="E2597" t="n">
        <v>44</v>
      </c>
      <c r="F2597" t="n">
        <v>50747</v>
      </c>
      <c r="G2597" t="n">
        <v>3</v>
      </c>
      <c r="H2597" t="n">
        <v>11</v>
      </c>
      <c r="I2597" t="n">
        <v>184074</v>
      </c>
    </row>
    <row r="2598">
      <c r="A2598" t="n">
        <v>2597</v>
      </c>
      <c r="B2598" t="inlineStr">
        <is>
          <t>Validation</t>
        </is>
      </c>
      <c r="C2598" t="n">
        <v>1552</v>
      </c>
      <c r="D2598" t="n">
        <v>11460</v>
      </c>
      <c r="E2598" t="n">
        <v>33</v>
      </c>
      <c r="F2598" t="n">
        <v>66604</v>
      </c>
      <c r="G2598" t="n">
        <v>3</v>
      </c>
      <c r="H2598" t="n">
        <v>7</v>
      </c>
      <c r="I2598" t="n">
        <v>0</v>
      </c>
    </row>
    <row r="2599">
      <c r="A2599" t="n">
        <v>2598</v>
      </c>
      <c r="B2599" t="inlineStr">
        <is>
          <t>Validation</t>
        </is>
      </c>
      <c r="C2599" t="n">
        <v>10679</v>
      </c>
      <c r="D2599" t="n">
        <v>4200</v>
      </c>
      <c r="E2599" t="n">
        <v>27</v>
      </c>
      <c r="F2599" t="n">
        <v>64412</v>
      </c>
      <c r="G2599" t="n">
        <v>6</v>
      </c>
      <c r="H2599" t="n">
        <v>11</v>
      </c>
      <c r="I2599" t="n">
        <v>0</v>
      </c>
    </row>
    <row r="2600">
      <c r="A2600" t="n">
        <v>2599</v>
      </c>
      <c r="B2600" t="inlineStr">
        <is>
          <t>Validation</t>
        </is>
      </c>
      <c r="C2600" t="n">
        <v>44231</v>
      </c>
      <c r="D2600" t="n">
        <v>5200</v>
      </c>
      <c r="E2600" t="n">
        <v>34</v>
      </c>
      <c r="F2600" t="n">
        <v>19742</v>
      </c>
      <c r="G2600" t="n">
        <v>2</v>
      </c>
      <c r="H2600" t="n">
        <v>10</v>
      </c>
      <c r="I2600" t="n">
        <v>0</v>
      </c>
    </row>
    <row r="2601">
      <c r="A2601" t="n">
        <v>2600</v>
      </c>
      <c r="B2601" t="inlineStr">
        <is>
          <t>Train</t>
        </is>
      </c>
      <c r="C2601" t="n">
        <v>7120</v>
      </c>
      <c r="D2601" t="n">
        <v>13100</v>
      </c>
      <c r="E2601" t="n">
        <v>39</v>
      </c>
      <c r="F2601" t="n">
        <v>77044</v>
      </c>
      <c r="G2601" t="n">
        <v>6</v>
      </c>
      <c r="H2601" t="n">
        <v>5</v>
      </c>
      <c r="I2601" t="n">
        <v>255062</v>
      </c>
    </row>
    <row r="2602">
      <c r="A2602" t="n">
        <v>2601</v>
      </c>
      <c r="B2602" t="inlineStr">
        <is>
          <t>Train</t>
        </is>
      </c>
      <c r="C2602" t="n">
        <v>6600</v>
      </c>
      <c r="D2602" t="n">
        <v>29850</v>
      </c>
      <c r="E2602" t="n">
        <v>52</v>
      </c>
      <c r="F2602" t="n">
        <v>99963</v>
      </c>
      <c r="G2602" t="n">
        <v>3</v>
      </c>
      <c r="H2602" t="n">
        <v>15</v>
      </c>
      <c r="I2602" t="n">
        <v>291133</v>
      </c>
    </row>
    <row r="2603">
      <c r="A2603" t="n">
        <v>2602</v>
      </c>
      <c r="B2603" t="inlineStr">
        <is>
          <t>Train</t>
        </is>
      </c>
      <c r="C2603" t="n">
        <v>5396</v>
      </c>
      <c r="D2603" t="n">
        <v>12040</v>
      </c>
      <c r="E2603" t="n">
        <v>48</v>
      </c>
      <c r="F2603" t="n">
        <v>65240</v>
      </c>
      <c r="G2603" t="n">
        <v>3</v>
      </c>
      <c r="H2603" t="n">
        <v>11</v>
      </c>
      <c r="I2603" t="n">
        <v>189120</v>
      </c>
    </row>
    <row r="2604">
      <c r="A2604" t="n">
        <v>2603</v>
      </c>
      <c r="B2604" t="inlineStr">
        <is>
          <t>Train</t>
        </is>
      </c>
      <c r="C2604" t="n">
        <v>12111</v>
      </c>
      <c r="D2604" t="n">
        <v>15470</v>
      </c>
      <c r="E2604" t="n">
        <v>47</v>
      </c>
      <c r="F2604" t="n">
        <v>90305</v>
      </c>
      <c r="G2604" t="n">
        <v>3</v>
      </c>
      <c r="H2604" t="n">
        <v>11</v>
      </c>
      <c r="I2604" t="n">
        <v>277466</v>
      </c>
    </row>
    <row r="2605">
      <c r="A2605" t="n">
        <v>2604</v>
      </c>
      <c r="B2605" t="inlineStr">
        <is>
          <t>Train</t>
        </is>
      </c>
      <c r="C2605" t="n">
        <v>21745</v>
      </c>
      <c r="D2605" t="n">
        <v>20030</v>
      </c>
      <c r="E2605" t="n">
        <v>51</v>
      </c>
      <c r="F2605" t="n">
        <v>55657</v>
      </c>
      <c r="G2605" t="n">
        <v>4</v>
      </c>
      <c r="H2605" t="n">
        <v>12</v>
      </c>
      <c r="I2605" t="n">
        <v>204828</v>
      </c>
    </row>
    <row r="2606">
      <c r="A2606" t="n">
        <v>2605</v>
      </c>
      <c r="B2606" t="inlineStr">
        <is>
          <t>Train</t>
        </is>
      </c>
      <c r="C2606" t="n">
        <v>2511</v>
      </c>
      <c r="D2606" t="n">
        <v>10110</v>
      </c>
      <c r="E2606" t="n">
        <v>31</v>
      </c>
      <c r="F2606" t="n">
        <v>6249</v>
      </c>
      <c r="G2606" t="n">
        <v>2</v>
      </c>
      <c r="H2606" t="n">
        <v>7</v>
      </c>
      <c r="I2606" t="n">
        <v>0</v>
      </c>
    </row>
    <row r="2607">
      <c r="A2607" t="n">
        <v>2606</v>
      </c>
      <c r="B2607" t="inlineStr">
        <is>
          <t>Train</t>
        </is>
      </c>
      <c r="C2607" t="n">
        <v>1293</v>
      </c>
      <c r="D2607" t="n">
        <v>19520</v>
      </c>
      <c r="E2607" t="n">
        <v>62</v>
      </c>
      <c r="F2607" t="n">
        <v>71961</v>
      </c>
      <c r="G2607" t="n">
        <v>6</v>
      </c>
      <c r="H2607" t="n">
        <v>7</v>
      </c>
      <c r="I2607" t="n">
        <v>0</v>
      </c>
    </row>
    <row r="2608">
      <c r="A2608" t="n">
        <v>2607</v>
      </c>
      <c r="B2608" t="inlineStr">
        <is>
          <t>Validation</t>
        </is>
      </c>
      <c r="C2608" t="n">
        <v>12118</v>
      </c>
      <c r="D2608" t="n">
        <v>17730</v>
      </c>
      <c r="E2608" t="n">
        <v>45</v>
      </c>
      <c r="F2608" t="n">
        <v>117309</v>
      </c>
      <c r="G2608" t="n">
        <v>4</v>
      </c>
      <c r="H2608" t="n">
        <v>10</v>
      </c>
      <c r="I2608" t="n">
        <v>0</v>
      </c>
    </row>
    <row r="2609">
      <c r="A2609" t="n">
        <v>2608</v>
      </c>
      <c r="B2609" t="inlineStr">
        <is>
          <t>Validation</t>
        </is>
      </c>
      <c r="C2609" t="n">
        <v>7566</v>
      </c>
      <c r="D2609" t="n">
        <v>12530</v>
      </c>
      <c r="E2609" t="n">
        <v>60</v>
      </c>
      <c r="F2609" t="n">
        <v>50279</v>
      </c>
      <c r="G2609" t="n">
        <v>6</v>
      </c>
      <c r="H2609" t="n">
        <v>8</v>
      </c>
      <c r="I2609" t="n">
        <v>253143</v>
      </c>
    </row>
    <row r="2610">
      <c r="A2610" t="n">
        <v>2609</v>
      </c>
      <c r="B2610" t="inlineStr">
        <is>
          <t>Validation</t>
        </is>
      </c>
      <c r="C2610" t="n">
        <v>4960</v>
      </c>
      <c r="D2610" t="n">
        <v>11820</v>
      </c>
      <c r="E2610" t="n">
        <v>47</v>
      </c>
      <c r="F2610" t="n">
        <v>12765</v>
      </c>
      <c r="G2610" t="n">
        <v>2</v>
      </c>
      <c r="H2610" t="n">
        <v>4</v>
      </c>
      <c r="I2610" t="n">
        <v>0</v>
      </c>
    </row>
    <row r="2611">
      <c r="A2611" t="n">
        <v>2610</v>
      </c>
      <c r="B2611" t="inlineStr">
        <is>
          <t>Train</t>
        </is>
      </c>
      <c r="C2611" t="n">
        <v>39271</v>
      </c>
      <c r="D2611" t="n">
        <v>23790</v>
      </c>
      <c r="E2611" t="n">
        <v>36</v>
      </c>
      <c r="F2611" t="n">
        <v>34503</v>
      </c>
      <c r="G2611" t="n">
        <v>0</v>
      </c>
      <c r="H2611" t="n">
        <v>8</v>
      </c>
      <c r="I2611" t="n">
        <v>189551</v>
      </c>
    </row>
    <row r="2612">
      <c r="A2612" t="n">
        <v>2611</v>
      </c>
      <c r="B2612" t="inlineStr">
        <is>
          <t>Train</t>
        </is>
      </c>
      <c r="C2612" t="n">
        <v>31858</v>
      </c>
      <c r="D2612" t="n">
        <v>13580</v>
      </c>
      <c r="E2612" t="n">
        <v>59</v>
      </c>
      <c r="F2612" t="n">
        <v>61833</v>
      </c>
      <c r="G2612" t="n">
        <v>0</v>
      </c>
      <c r="H2612" t="n">
        <v>15</v>
      </c>
      <c r="I2612" t="n">
        <v>220235</v>
      </c>
    </row>
    <row r="2613">
      <c r="A2613" t="n">
        <v>2612</v>
      </c>
      <c r="B2613" t="inlineStr">
        <is>
          <t>Train</t>
        </is>
      </c>
      <c r="C2613" t="n">
        <v>9157</v>
      </c>
      <c r="D2613" t="n">
        <v>9590</v>
      </c>
      <c r="E2613" t="n">
        <v>38</v>
      </c>
      <c r="F2613" t="n">
        <v>50688</v>
      </c>
      <c r="G2613" t="n">
        <v>3</v>
      </c>
      <c r="H2613" t="n">
        <v>10</v>
      </c>
      <c r="I2613" t="n">
        <v>238411</v>
      </c>
    </row>
    <row r="2614">
      <c r="A2614" t="n">
        <v>2613</v>
      </c>
      <c r="B2614" t="inlineStr">
        <is>
          <t>Train</t>
        </is>
      </c>
      <c r="C2614" t="n">
        <v>9932</v>
      </c>
      <c r="D2614" t="n">
        <v>18120</v>
      </c>
      <c r="E2614" t="n">
        <v>56</v>
      </c>
      <c r="F2614" t="n">
        <v>48414</v>
      </c>
      <c r="G2614" t="n">
        <v>0</v>
      </c>
      <c r="H2614" t="n">
        <v>12</v>
      </c>
      <c r="I2614" t="n">
        <v>0</v>
      </c>
    </row>
    <row r="2615">
      <c r="A2615" t="n">
        <v>2614</v>
      </c>
      <c r="B2615" t="inlineStr">
        <is>
          <t>Train</t>
        </is>
      </c>
      <c r="C2615" t="n">
        <v>53568</v>
      </c>
      <c r="D2615" t="n">
        <v>9660</v>
      </c>
      <c r="E2615" t="n">
        <v>46</v>
      </c>
      <c r="F2615" t="n">
        <v>66067</v>
      </c>
      <c r="G2615" t="n">
        <v>0</v>
      </c>
      <c r="H2615" t="n">
        <v>13</v>
      </c>
      <c r="I2615" t="n">
        <v>194092</v>
      </c>
    </row>
    <row r="2616">
      <c r="A2616" t="n">
        <v>2615</v>
      </c>
      <c r="B2616" t="inlineStr">
        <is>
          <t>Train</t>
        </is>
      </c>
      <c r="C2616" t="n">
        <v>27207</v>
      </c>
      <c r="D2616" t="n">
        <v>34700</v>
      </c>
      <c r="E2616" t="n">
        <v>36</v>
      </c>
      <c r="F2616" t="n">
        <v>149140</v>
      </c>
      <c r="G2616" t="n">
        <v>3</v>
      </c>
      <c r="H2616" t="n">
        <v>10</v>
      </c>
      <c r="I2616" t="n">
        <v>399270</v>
      </c>
    </row>
    <row r="2617">
      <c r="A2617" t="n">
        <v>2616</v>
      </c>
      <c r="B2617" t="inlineStr">
        <is>
          <t>Train</t>
        </is>
      </c>
      <c r="C2617" t="n">
        <v>1641</v>
      </c>
      <c r="D2617" t="n">
        <v>9930</v>
      </c>
      <c r="E2617" t="n">
        <v>30</v>
      </c>
      <c r="F2617" t="n">
        <v>22780</v>
      </c>
      <c r="G2617" t="n">
        <v>5</v>
      </c>
      <c r="H2617" t="n">
        <v>18</v>
      </c>
      <c r="I2617" t="n">
        <v>116924</v>
      </c>
    </row>
    <row r="2618">
      <c r="A2618" t="n">
        <v>2617</v>
      </c>
      <c r="B2618" t="inlineStr">
        <is>
          <t>Validation</t>
        </is>
      </c>
      <c r="C2618" t="n">
        <v>32580</v>
      </c>
      <c r="D2618" t="n">
        <v>8110</v>
      </c>
      <c r="E2618" t="n">
        <v>42</v>
      </c>
      <c r="F2618" t="n">
        <v>24076</v>
      </c>
      <c r="G2618" t="n">
        <v>5</v>
      </c>
      <c r="H2618" t="n">
        <v>8</v>
      </c>
      <c r="I2618" t="n">
        <v>0</v>
      </c>
    </row>
    <row r="2619">
      <c r="A2619" t="n">
        <v>2618</v>
      </c>
      <c r="B2619" t="inlineStr">
        <is>
          <t>Validation</t>
        </is>
      </c>
      <c r="C2619" t="n">
        <v>1173</v>
      </c>
      <c r="D2619" t="n">
        <v>17520</v>
      </c>
      <c r="E2619" t="n">
        <v>51</v>
      </c>
      <c r="F2619" t="n">
        <v>109179</v>
      </c>
      <c r="G2619" t="n">
        <v>5</v>
      </c>
      <c r="H2619" t="n">
        <v>11</v>
      </c>
      <c r="I2619" t="n">
        <v>322080</v>
      </c>
    </row>
    <row r="2620">
      <c r="A2620" t="n">
        <v>2619</v>
      </c>
      <c r="B2620" t="inlineStr">
        <is>
          <t>Validation</t>
        </is>
      </c>
      <c r="C2620" t="n">
        <v>47231</v>
      </c>
      <c r="D2620" t="n">
        <v>15600</v>
      </c>
      <c r="E2620" t="n">
        <v>40</v>
      </c>
      <c r="F2620" t="n">
        <v>60157</v>
      </c>
      <c r="G2620" t="n">
        <v>1</v>
      </c>
      <c r="H2620" t="n">
        <v>11</v>
      </c>
      <c r="I2620" t="n">
        <v>216690</v>
      </c>
    </row>
    <row r="2621">
      <c r="A2621" t="n">
        <v>2620</v>
      </c>
      <c r="B2621" t="inlineStr">
        <is>
          <t>Train</t>
        </is>
      </c>
      <c r="C2621" t="n">
        <v>1465</v>
      </c>
      <c r="D2621" t="n">
        <v>11040</v>
      </c>
      <c r="E2621" t="n">
        <v>61</v>
      </c>
      <c r="F2621" t="n">
        <v>34446</v>
      </c>
      <c r="G2621" t="n">
        <v>0</v>
      </c>
      <c r="H2621" t="n">
        <v>18</v>
      </c>
      <c r="I2621" t="n">
        <v>168224</v>
      </c>
    </row>
    <row r="2622">
      <c r="A2622" t="n">
        <v>2621</v>
      </c>
      <c r="B2622" t="inlineStr">
        <is>
          <t>Train</t>
        </is>
      </c>
      <c r="C2622" t="n">
        <v>19644</v>
      </c>
      <c r="D2622" t="n">
        <v>22730</v>
      </c>
      <c r="E2622" t="n">
        <v>53</v>
      </c>
      <c r="F2622" t="n">
        <v>30699</v>
      </c>
      <c r="G2622" t="n">
        <v>5</v>
      </c>
      <c r="H2622" t="n">
        <v>10</v>
      </c>
      <c r="I2622" t="n">
        <v>0</v>
      </c>
    </row>
    <row r="2623">
      <c r="A2623" t="n">
        <v>2622</v>
      </c>
      <c r="B2623" t="inlineStr">
        <is>
          <t>Train</t>
        </is>
      </c>
      <c r="C2623" t="n">
        <v>8592</v>
      </c>
      <c r="D2623" t="n">
        <v>11430</v>
      </c>
      <c r="E2623" t="n">
        <v>55</v>
      </c>
      <c r="F2623" t="n">
        <v>98789</v>
      </c>
      <c r="G2623" t="n">
        <v>4</v>
      </c>
      <c r="H2623" t="n">
        <v>14</v>
      </c>
      <c r="I2623" t="n">
        <v>269098</v>
      </c>
    </row>
    <row r="2624">
      <c r="A2624" t="n">
        <v>2623</v>
      </c>
      <c r="B2624" t="inlineStr">
        <is>
          <t>Train</t>
        </is>
      </c>
      <c r="C2624" t="n">
        <v>9196</v>
      </c>
      <c r="D2624" t="n">
        <v>36260</v>
      </c>
      <c r="E2624" t="n">
        <v>47</v>
      </c>
      <c r="F2624" t="n">
        <v>185671</v>
      </c>
      <c r="G2624" t="n">
        <v>2</v>
      </c>
      <c r="H2624" t="n">
        <v>8</v>
      </c>
      <c r="I2624" t="n">
        <v>0</v>
      </c>
    </row>
    <row r="2625">
      <c r="A2625" t="n">
        <v>2624</v>
      </c>
      <c r="B2625" t="inlineStr">
        <is>
          <t>Train</t>
        </is>
      </c>
      <c r="C2625" t="n">
        <v>3700</v>
      </c>
      <c r="D2625" t="n">
        <v>8620</v>
      </c>
      <c r="E2625" t="n">
        <v>27</v>
      </c>
      <c r="F2625" t="n">
        <v>44208</v>
      </c>
      <c r="G2625" t="n">
        <v>5</v>
      </c>
      <c r="H2625" t="n">
        <v>10</v>
      </c>
      <c r="I2625" t="n">
        <v>0</v>
      </c>
    </row>
    <row r="2626">
      <c r="A2626" t="n">
        <v>2625</v>
      </c>
      <c r="B2626" t="inlineStr">
        <is>
          <t>Train</t>
        </is>
      </c>
      <c r="C2626" t="n">
        <v>504</v>
      </c>
      <c r="D2626" t="n">
        <v>8090</v>
      </c>
      <c r="E2626" t="n">
        <v>33</v>
      </c>
      <c r="F2626" t="n">
        <v>58195</v>
      </c>
      <c r="G2626" t="n">
        <v>0</v>
      </c>
      <c r="H2626" t="n">
        <v>9</v>
      </c>
      <c r="I2626" t="n">
        <v>173288</v>
      </c>
    </row>
    <row r="2627">
      <c r="A2627" t="n">
        <v>2626</v>
      </c>
      <c r="B2627" t="inlineStr">
        <is>
          <t>Train</t>
        </is>
      </c>
      <c r="C2627" t="n">
        <v>610</v>
      </c>
      <c r="D2627" t="n">
        <v>33110</v>
      </c>
      <c r="E2627" t="n">
        <v>43</v>
      </c>
      <c r="F2627" t="n">
        <v>39564</v>
      </c>
      <c r="G2627" t="n">
        <v>0</v>
      </c>
      <c r="H2627" t="n">
        <v>15</v>
      </c>
      <c r="I2627" t="n">
        <v>205645</v>
      </c>
    </row>
    <row r="2628">
      <c r="A2628" t="n">
        <v>2627</v>
      </c>
      <c r="B2628" t="inlineStr">
        <is>
          <t>Validation</t>
        </is>
      </c>
      <c r="C2628" t="n">
        <v>10037</v>
      </c>
      <c r="D2628" t="n">
        <v>7970</v>
      </c>
      <c r="E2628" t="n">
        <v>45</v>
      </c>
      <c r="F2628" t="n">
        <v>40390</v>
      </c>
      <c r="G2628" t="n">
        <v>5</v>
      </c>
      <c r="H2628" t="n">
        <v>16</v>
      </c>
      <c r="I2628" t="n">
        <v>229727</v>
      </c>
    </row>
    <row r="2629">
      <c r="A2629" t="n">
        <v>2628</v>
      </c>
      <c r="B2629" t="inlineStr">
        <is>
          <t>Validation</t>
        </is>
      </c>
      <c r="C2629" t="n">
        <v>6815</v>
      </c>
      <c r="D2629" t="n">
        <v>12830</v>
      </c>
      <c r="E2629" t="n">
        <v>54</v>
      </c>
      <c r="F2629" t="n">
        <v>59291</v>
      </c>
      <c r="G2629" t="n">
        <v>6</v>
      </c>
      <c r="H2629" t="n">
        <v>14</v>
      </c>
      <c r="I2629" t="n">
        <v>0</v>
      </c>
    </row>
    <row r="2630">
      <c r="A2630" t="n">
        <v>2629</v>
      </c>
      <c r="B2630" t="inlineStr">
        <is>
          <t>Validation</t>
        </is>
      </c>
      <c r="C2630" t="n">
        <v>10457</v>
      </c>
      <c r="D2630" t="n">
        <v>24370</v>
      </c>
      <c r="E2630" t="n">
        <v>57</v>
      </c>
      <c r="F2630" t="n">
        <v>113403</v>
      </c>
      <c r="G2630" t="n">
        <v>0</v>
      </c>
      <c r="H2630" t="n">
        <v>11</v>
      </c>
      <c r="I2630" t="n">
        <v>320542</v>
      </c>
    </row>
    <row r="2631">
      <c r="A2631" t="n">
        <v>2630</v>
      </c>
      <c r="B2631" t="inlineStr">
        <is>
          <t>Train</t>
        </is>
      </c>
      <c r="C2631" t="n">
        <v>40703</v>
      </c>
      <c r="D2631" t="n">
        <v>6850</v>
      </c>
      <c r="E2631" t="n">
        <v>29</v>
      </c>
      <c r="F2631" t="n">
        <v>24464</v>
      </c>
      <c r="G2631" t="n">
        <v>4</v>
      </c>
      <c r="H2631" t="n">
        <v>12</v>
      </c>
      <c r="I2631" t="n">
        <v>123024</v>
      </c>
    </row>
    <row r="2632">
      <c r="A2632" t="n">
        <v>2631</v>
      </c>
      <c r="B2632" t="inlineStr">
        <is>
          <t>Train</t>
        </is>
      </c>
      <c r="C2632" t="n">
        <v>8835</v>
      </c>
      <c r="D2632" t="n">
        <v>18840</v>
      </c>
      <c r="E2632" t="n">
        <v>42</v>
      </c>
      <c r="F2632" t="n">
        <v>62386</v>
      </c>
      <c r="G2632" t="n">
        <v>4</v>
      </c>
      <c r="H2632" t="n">
        <v>12</v>
      </c>
      <c r="I2632" t="n">
        <v>202871</v>
      </c>
    </row>
    <row r="2633">
      <c r="A2633" t="n">
        <v>2632</v>
      </c>
      <c r="B2633" t="inlineStr">
        <is>
          <t>Train</t>
        </is>
      </c>
      <c r="C2633" t="n">
        <v>1037</v>
      </c>
      <c r="D2633" t="n">
        <v>25540</v>
      </c>
      <c r="E2633" t="n">
        <v>53</v>
      </c>
      <c r="F2633" t="n">
        <v>75184</v>
      </c>
      <c r="G2633" t="n">
        <v>2</v>
      </c>
      <c r="H2633" t="n">
        <v>15</v>
      </c>
      <c r="I2633" t="n">
        <v>268417</v>
      </c>
    </row>
    <row r="2634">
      <c r="A2634" t="n">
        <v>2633</v>
      </c>
      <c r="B2634" t="inlineStr">
        <is>
          <t>Train</t>
        </is>
      </c>
      <c r="C2634" t="n">
        <v>14968</v>
      </c>
      <c r="D2634" t="n">
        <v>38290</v>
      </c>
      <c r="E2634" t="n">
        <v>48</v>
      </c>
      <c r="F2634" t="n">
        <v>151979</v>
      </c>
      <c r="G2634" t="n">
        <v>1</v>
      </c>
      <c r="H2634" t="n">
        <v>11</v>
      </c>
      <c r="I2634" t="n">
        <v>395160</v>
      </c>
    </row>
    <row r="2635">
      <c r="A2635" t="n">
        <v>2634</v>
      </c>
      <c r="B2635" t="inlineStr">
        <is>
          <t>Train</t>
        </is>
      </c>
      <c r="C2635" t="n">
        <v>7825</v>
      </c>
      <c r="D2635" t="n">
        <v>15960</v>
      </c>
      <c r="E2635" t="n">
        <v>56</v>
      </c>
      <c r="F2635" t="n">
        <v>69790</v>
      </c>
      <c r="G2635" t="n">
        <v>6</v>
      </c>
      <c r="H2635" t="n">
        <v>13</v>
      </c>
      <c r="I2635" t="n">
        <v>198028</v>
      </c>
    </row>
    <row r="2636">
      <c r="A2636" t="n">
        <v>2635</v>
      </c>
      <c r="B2636" t="inlineStr">
        <is>
          <t>Train</t>
        </is>
      </c>
      <c r="C2636" t="n">
        <v>3469</v>
      </c>
      <c r="D2636" t="n">
        <v>13520</v>
      </c>
      <c r="E2636" t="n">
        <v>41</v>
      </c>
      <c r="F2636" t="n">
        <v>79190</v>
      </c>
      <c r="G2636" t="n">
        <v>4</v>
      </c>
      <c r="H2636" t="n">
        <v>13</v>
      </c>
      <c r="I2636" t="n">
        <v>235543</v>
      </c>
    </row>
    <row r="2637">
      <c r="A2637" t="n">
        <v>2636</v>
      </c>
      <c r="B2637" t="inlineStr">
        <is>
          <t>Train</t>
        </is>
      </c>
      <c r="C2637" t="n">
        <v>35062</v>
      </c>
      <c r="D2637" t="n">
        <v>3800</v>
      </c>
      <c r="E2637" t="n">
        <v>43</v>
      </c>
      <c r="F2637" t="n">
        <v>98666</v>
      </c>
      <c r="G2637" t="n">
        <v>0</v>
      </c>
      <c r="H2637" t="n">
        <v>16</v>
      </c>
      <c r="I2637" t="n">
        <v>319269</v>
      </c>
    </row>
    <row r="2638">
      <c r="A2638" t="n">
        <v>2637</v>
      </c>
      <c r="B2638" t="inlineStr">
        <is>
          <t>Validation</t>
        </is>
      </c>
      <c r="C2638" t="n">
        <v>3777</v>
      </c>
      <c r="D2638" t="n">
        <v>24860</v>
      </c>
      <c r="E2638" t="n">
        <v>46</v>
      </c>
      <c r="F2638" t="n">
        <v>95640</v>
      </c>
      <c r="G2638" t="n">
        <v>5</v>
      </c>
      <c r="H2638" t="n">
        <v>5</v>
      </c>
      <c r="I2638" t="n">
        <v>282509</v>
      </c>
    </row>
    <row r="2639">
      <c r="A2639" t="n">
        <v>2638</v>
      </c>
      <c r="B2639" t="inlineStr">
        <is>
          <t>Validation</t>
        </is>
      </c>
      <c r="C2639" t="n">
        <v>10345</v>
      </c>
      <c r="D2639" t="n">
        <v>13540</v>
      </c>
      <c r="E2639" t="n">
        <v>53</v>
      </c>
      <c r="F2639" t="n">
        <v>64993</v>
      </c>
      <c r="G2639" t="n">
        <v>4</v>
      </c>
      <c r="H2639" t="n">
        <v>13</v>
      </c>
      <c r="I2639" t="n">
        <v>241636</v>
      </c>
    </row>
    <row r="2640">
      <c r="A2640" t="n">
        <v>2639</v>
      </c>
      <c r="B2640" t="inlineStr">
        <is>
          <t>Validation</t>
        </is>
      </c>
      <c r="C2640" t="n">
        <v>3149</v>
      </c>
      <c r="D2640" t="n">
        <v>10060</v>
      </c>
      <c r="E2640" t="n">
        <v>48</v>
      </c>
      <c r="F2640" t="n">
        <v>54108</v>
      </c>
      <c r="G2640" t="n">
        <v>0</v>
      </c>
      <c r="H2640" t="n">
        <v>13</v>
      </c>
      <c r="I2640" t="n">
        <v>183134</v>
      </c>
    </row>
    <row r="2641">
      <c r="A2641" t="n">
        <v>2640</v>
      </c>
      <c r="B2641" t="inlineStr">
        <is>
          <t>Train</t>
        </is>
      </c>
      <c r="C2641" t="n">
        <v>22195</v>
      </c>
      <c r="D2641" t="n">
        <v>15940</v>
      </c>
      <c r="E2641" t="n">
        <v>47</v>
      </c>
      <c r="F2641" t="n">
        <v>33046</v>
      </c>
      <c r="G2641" t="n">
        <v>4</v>
      </c>
      <c r="H2641" t="n">
        <v>11</v>
      </c>
      <c r="I2641" t="n">
        <v>216287</v>
      </c>
    </row>
    <row r="2642">
      <c r="A2642" t="n">
        <v>2641</v>
      </c>
      <c r="B2642" t="inlineStr">
        <is>
          <t>Train</t>
        </is>
      </c>
      <c r="C2642" t="n">
        <v>6733</v>
      </c>
      <c r="D2642" t="n">
        <v>10750</v>
      </c>
      <c r="E2642" t="n">
        <v>44</v>
      </c>
      <c r="F2642" t="n">
        <v>48525</v>
      </c>
      <c r="G2642" t="n">
        <v>4</v>
      </c>
      <c r="H2642" t="n">
        <v>16</v>
      </c>
      <c r="I2642" t="n">
        <v>188588</v>
      </c>
    </row>
    <row r="2643">
      <c r="A2643" t="n">
        <v>2642</v>
      </c>
      <c r="B2643" t="inlineStr">
        <is>
          <t>Train</t>
        </is>
      </c>
      <c r="C2643" t="n">
        <v>35371</v>
      </c>
      <c r="D2643" t="n">
        <v>25380</v>
      </c>
      <c r="E2643" t="n">
        <v>57</v>
      </c>
      <c r="F2643" t="n">
        <v>177908</v>
      </c>
      <c r="G2643" t="n">
        <v>0</v>
      </c>
      <c r="H2643" t="n">
        <v>14</v>
      </c>
      <c r="I2643" t="n">
        <v>467833</v>
      </c>
    </row>
    <row r="2644">
      <c r="A2644" t="n">
        <v>2643</v>
      </c>
      <c r="B2644" t="inlineStr">
        <is>
          <t>Train</t>
        </is>
      </c>
      <c r="C2644" t="n">
        <v>4663</v>
      </c>
      <c r="D2644" t="n">
        <v>6700</v>
      </c>
      <c r="E2644" t="n">
        <v>52</v>
      </c>
      <c r="F2644" t="n">
        <v>32967</v>
      </c>
      <c r="G2644" t="n">
        <v>1</v>
      </c>
      <c r="H2644" t="n">
        <v>13</v>
      </c>
      <c r="I2644" t="n">
        <v>0</v>
      </c>
    </row>
    <row r="2645">
      <c r="A2645" t="n">
        <v>2644</v>
      </c>
      <c r="B2645" t="inlineStr">
        <is>
          <t>Train</t>
        </is>
      </c>
      <c r="C2645" t="n">
        <v>19582</v>
      </c>
      <c r="D2645" t="n">
        <v>13040</v>
      </c>
      <c r="E2645" t="n">
        <v>58</v>
      </c>
      <c r="F2645" t="n">
        <v>53526</v>
      </c>
      <c r="G2645" t="n">
        <v>4</v>
      </c>
      <c r="H2645" t="n">
        <v>9</v>
      </c>
      <c r="I2645" t="n">
        <v>196828</v>
      </c>
    </row>
    <row r="2646">
      <c r="A2646" t="n">
        <v>2645</v>
      </c>
      <c r="B2646" t="inlineStr">
        <is>
          <t>Train</t>
        </is>
      </c>
      <c r="C2646" t="n">
        <v>42789</v>
      </c>
      <c r="D2646" t="n">
        <v>12020</v>
      </c>
      <c r="E2646" t="n">
        <v>46</v>
      </c>
      <c r="F2646" t="n">
        <v>59244</v>
      </c>
      <c r="G2646" t="n">
        <v>2</v>
      </c>
      <c r="H2646" t="n">
        <v>13</v>
      </c>
      <c r="I2646" t="n">
        <v>174518</v>
      </c>
    </row>
    <row r="2647">
      <c r="A2647" t="n">
        <v>2646</v>
      </c>
      <c r="B2647" t="inlineStr">
        <is>
          <t>Train</t>
        </is>
      </c>
      <c r="C2647" t="n">
        <v>8079</v>
      </c>
      <c r="D2647" t="n">
        <v>10980</v>
      </c>
      <c r="E2647" t="n">
        <v>28</v>
      </c>
      <c r="F2647" t="n">
        <v>66783</v>
      </c>
      <c r="G2647" t="n">
        <v>3</v>
      </c>
      <c r="H2647" t="n">
        <v>8</v>
      </c>
      <c r="I2647" t="n">
        <v>227215</v>
      </c>
    </row>
    <row r="2648">
      <c r="A2648" t="n">
        <v>2647</v>
      </c>
      <c r="B2648" t="inlineStr">
        <is>
          <t>Validation</t>
        </is>
      </c>
      <c r="C2648" t="n">
        <v>24066</v>
      </c>
      <c r="D2648" t="n">
        <v>6210</v>
      </c>
      <c r="E2648" t="n">
        <v>38</v>
      </c>
      <c r="F2648" t="n">
        <v>40542</v>
      </c>
      <c r="G2648" t="n">
        <v>0</v>
      </c>
      <c r="H2648" t="n">
        <v>14</v>
      </c>
      <c r="I2648" t="n">
        <v>0</v>
      </c>
    </row>
    <row r="2649">
      <c r="A2649" t="n">
        <v>2648</v>
      </c>
      <c r="B2649" t="inlineStr">
        <is>
          <t>Validation</t>
        </is>
      </c>
      <c r="C2649" t="n">
        <v>1468</v>
      </c>
      <c r="D2649" t="n">
        <v>2850</v>
      </c>
      <c r="E2649" t="n">
        <v>36</v>
      </c>
      <c r="F2649" t="n">
        <v>13509</v>
      </c>
      <c r="G2649" t="n">
        <v>5</v>
      </c>
      <c r="H2649" t="n">
        <v>11</v>
      </c>
      <c r="I2649" t="n">
        <v>0</v>
      </c>
    </row>
    <row r="2650">
      <c r="A2650" t="n">
        <v>2649</v>
      </c>
      <c r="B2650" t="inlineStr">
        <is>
          <t>Validation</t>
        </is>
      </c>
      <c r="C2650" t="n">
        <v>35363</v>
      </c>
      <c r="D2650" t="n">
        <v>13250</v>
      </c>
      <c r="E2650" t="n">
        <v>32</v>
      </c>
      <c r="F2650" t="n">
        <v>17453</v>
      </c>
      <c r="G2650" t="n">
        <v>0</v>
      </c>
      <c r="H2650" t="n">
        <v>12</v>
      </c>
      <c r="I2650" t="n">
        <v>143763</v>
      </c>
    </row>
    <row r="2651">
      <c r="A2651" t="n">
        <v>2650</v>
      </c>
      <c r="B2651" t="inlineStr">
        <is>
          <t>Train</t>
        </is>
      </c>
      <c r="C2651" t="n">
        <v>9030</v>
      </c>
      <c r="D2651" t="n">
        <v>12100</v>
      </c>
      <c r="E2651" t="n">
        <v>45</v>
      </c>
      <c r="F2651" t="n">
        <v>22335</v>
      </c>
      <c r="G2651" t="n">
        <v>5</v>
      </c>
      <c r="H2651" t="n">
        <v>10</v>
      </c>
      <c r="I2651" t="n">
        <v>0</v>
      </c>
    </row>
    <row r="2652">
      <c r="A2652" t="n">
        <v>2651</v>
      </c>
      <c r="B2652" t="inlineStr">
        <is>
          <t>Train</t>
        </is>
      </c>
      <c r="C2652" t="n">
        <v>4578</v>
      </c>
      <c r="D2652" t="n">
        <v>19260</v>
      </c>
      <c r="E2652" t="n">
        <v>45</v>
      </c>
      <c r="F2652" t="n">
        <v>37405</v>
      </c>
      <c r="G2652" t="n">
        <v>7</v>
      </c>
      <c r="H2652" t="n">
        <v>13</v>
      </c>
      <c r="I2652" t="n">
        <v>173601</v>
      </c>
    </row>
    <row r="2653">
      <c r="A2653" t="n">
        <v>2652</v>
      </c>
      <c r="B2653" t="inlineStr">
        <is>
          <t>Train</t>
        </is>
      </c>
      <c r="C2653" t="n">
        <v>8586</v>
      </c>
      <c r="D2653" t="n">
        <v>14430</v>
      </c>
      <c r="E2653" t="n">
        <v>56</v>
      </c>
      <c r="F2653" t="n">
        <v>30010</v>
      </c>
      <c r="G2653" t="n">
        <v>4</v>
      </c>
      <c r="H2653" t="n">
        <v>13</v>
      </c>
      <c r="I2653" t="n">
        <v>155394</v>
      </c>
    </row>
    <row r="2654">
      <c r="A2654" t="n">
        <v>2653</v>
      </c>
      <c r="B2654" t="inlineStr">
        <is>
          <t>Train</t>
        </is>
      </c>
      <c r="C2654" t="n">
        <v>8877</v>
      </c>
      <c r="D2654" t="n">
        <v>15870</v>
      </c>
      <c r="E2654" t="n">
        <v>54</v>
      </c>
      <c r="F2654" t="n">
        <v>41345</v>
      </c>
      <c r="G2654" t="n">
        <v>6</v>
      </c>
      <c r="H2654" t="n">
        <v>10</v>
      </c>
      <c r="I2654" t="n">
        <v>140075</v>
      </c>
    </row>
    <row r="2655">
      <c r="A2655" t="n">
        <v>2654</v>
      </c>
      <c r="B2655" t="inlineStr">
        <is>
          <t>Train</t>
        </is>
      </c>
      <c r="C2655" t="n">
        <v>2630</v>
      </c>
      <c r="D2655" t="n">
        <v>30810</v>
      </c>
      <c r="E2655" t="n">
        <v>30</v>
      </c>
      <c r="F2655" t="n">
        <v>2519</v>
      </c>
      <c r="G2655" t="n">
        <v>2</v>
      </c>
      <c r="H2655" t="n">
        <v>13</v>
      </c>
      <c r="I2655" t="n">
        <v>0</v>
      </c>
    </row>
    <row r="2656">
      <c r="A2656" t="n">
        <v>2655</v>
      </c>
      <c r="B2656" t="inlineStr">
        <is>
          <t>Train</t>
        </is>
      </c>
      <c r="C2656" t="n">
        <v>3584</v>
      </c>
      <c r="D2656" t="n">
        <v>16550</v>
      </c>
      <c r="E2656" t="n">
        <v>44</v>
      </c>
      <c r="F2656" t="n">
        <v>88371</v>
      </c>
      <c r="G2656" t="n">
        <v>4</v>
      </c>
      <c r="H2656" t="n">
        <v>14</v>
      </c>
      <c r="I2656" t="n">
        <v>0</v>
      </c>
    </row>
    <row r="2657">
      <c r="A2657" t="n">
        <v>2656</v>
      </c>
      <c r="B2657" t="inlineStr">
        <is>
          <t>Train</t>
        </is>
      </c>
      <c r="C2657" t="n">
        <v>21383</v>
      </c>
      <c r="D2657" t="n">
        <v>8010</v>
      </c>
      <c r="E2657" t="n">
        <v>49</v>
      </c>
      <c r="F2657" t="n">
        <v>32763</v>
      </c>
      <c r="G2657" t="n">
        <v>7</v>
      </c>
      <c r="H2657" t="n">
        <v>7</v>
      </c>
      <c r="I2657" t="n">
        <v>191657</v>
      </c>
    </row>
    <row r="2658">
      <c r="A2658" t="n">
        <v>2657</v>
      </c>
      <c r="B2658" t="inlineStr">
        <is>
          <t>Validation</t>
        </is>
      </c>
      <c r="C2658" t="n">
        <v>6784</v>
      </c>
      <c r="D2658" t="n">
        <v>18170</v>
      </c>
      <c r="E2658" t="n">
        <v>42</v>
      </c>
      <c r="F2658" t="n">
        <v>50613</v>
      </c>
      <c r="G2658" t="n">
        <v>4</v>
      </c>
      <c r="H2658" t="n">
        <v>11</v>
      </c>
      <c r="I2658" t="n">
        <v>0</v>
      </c>
    </row>
    <row r="2659">
      <c r="A2659" t="n">
        <v>2658</v>
      </c>
      <c r="B2659" t="inlineStr">
        <is>
          <t>Validation</t>
        </is>
      </c>
      <c r="C2659" t="n">
        <v>2209</v>
      </c>
      <c r="D2659" t="n">
        <v>13760</v>
      </c>
      <c r="E2659" t="n">
        <v>42</v>
      </c>
      <c r="F2659" t="n">
        <v>80623</v>
      </c>
      <c r="G2659" t="n">
        <v>0</v>
      </c>
      <c r="H2659" t="n">
        <v>12</v>
      </c>
      <c r="I2659" t="n">
        <v>0</v>
      </c>
    </row>
    <row r="2660">
      <c r="A2660" t="n">
        <v>2659</v>
      </c>
      <c r="B2660" t="inlineStr">
        <is>
          <t>Validation</t>
        </is>
      </c>
      <c r="C2660" t="n">
        <v>4633</v>
      </c>
      <c r="D2660" t="n">
        <v>9200</v>
      </c>
      <c r="E2660" t="n">
        <v>36</v>
      </c>
      <c r="F2660" t="n">
        <v>22362</v>
      </c>
      <c r="G2660" t="n">
        <v>5</v>
      </c>
      <c r="H2660" t="n">
        <v>10</v>
      </c>
      <c r="I2660" t="n">
        <v>126267</v>
      </c>
    </row>
    <row r="2661">
      <c r="A2661" t="n">
        <v>2660</v>
      </c>
      <c r="B2661" t="inlineStr">
        <is>
          <t>Train</t>
        </is>
      </c>
      <c r="C2661" t="n">
        <v>15917</v>
      </c>
      <c r="D2661" t="n">
        <v>24550</v>
      </c>
      <c r="E2661" t="n">
        <v>50</v>
      </c>
      <c r="F2661" t="n">
        <v>111354</v>
      </c>
      <c r="G2661" t="n">
        <v>2</v>
      </c>
      <c r="H2661" t="n">
        <v>4</v>
      </c>
      <c r="I2661" t="n">
        <v>306463</v>
      </c>
    </row>
    <row r="2662">
      <c r="A2662" t="n">
        <v>2661</v>
      </c>
      <c r="B2662" t="inlineStr">
        <is>
          <t>Train</t>
        </is>
      </c>
      <c r="C2662" t="n">
        <v>2989</v>
      </c>
      <c r="D2662" t="n">
        <v>1780</v>
      </c>
      <c r="E2662" t="n">
        <v>34</v>
      </c>
      <c r="F2662" t="n">
        <v>2785</v>
      </c>
      <c r="G2662" t="n">
        <v>7</v>
      </c>
      <c r="H2662" t="n">
        <v>11</v>
      </c>
      <c r="I2662" t="n">
        <v>0</v>
      </c>
    </row>
    <row r="2663">
      <c r="A2663" t="n">
        <v>2662</v>
      </c>
      <c r="B2663" t="inlineStr">
        <is>
          <t>Train</t>
        </is>
      </c>
      <c r="C2663" t="n">
        <v>2683</v>
      </c>
      <c r="D2663" t="n">
        <v>26330</v>
      </c>
      <c r="E2663" t="n">
        <v>56</v>
      </c>
      <c r="F2663" t="n">
        <v>169761</v>
      </c>
      <c r="G2663" t="n">
        <v>0</v>
      </c>
      <c r="H2663" t="n">
        <v>13</v>
      </c>
      <c r="I2663" t="n">
        <v>443175</v>
      </c>
    </row>
    <row r="2664">
      <c r="A2664" t="n">
        <v>2663</v>
      </c>
      <c r="B2664" t="inlineStr">
        <is>
          <t>Train</t>
        </is>
      </c>
      <c r="C2664" t="n">
        <v>32281</v>
      </c>
      <c r="D2664" t="n">
        <v>13260</v>
      </c>
      <c r="E2664" t="n">
        <v>43</v>
      </c>
      <c r="F2664" t="n">
        <v>28948</v>
      </c>
      <c r="G2664" t="n">
        <v>0</v>
      </c>
      <c r="H2664" t="n">
        <v>15</v>
      </c>
      <c r="I2664" t="n">
        <v>189468</v>
      </c>
    </row>
    <row r="2665">
      <c r="A2665" t="n">
        <v>2664</v>
      </c>
      <c r="B2665" t="inlineStr">
        <is>
          <t>Train</t>
        </is>
      </c>
      <c r="C2665" t="n">
        <v>8353</v>
      </c>
      <c r="D2665" t="n">
        <v>18260</v>
      </c>
      <c r="E2665" t="n">
        <v>28</v>
      </c>
      <c r="F2665" t="n">
        <v>35450</v>
      </c>
      <c r="G2665" t="n">
        <v>4</v>
      </c>
      <c r="H2665" t="n">
        <v>12</v>
      </c>
      <c r="I2665" t="n">
        <v>145343</v>
      </c>
    </row>
    <row r="2666">
      <c r="A2666" t="n">
        <v>2665</v>
      </c>
      <c r="B2666" t="inlineStr">
        <is>
          <t>Train</t>
        </is>
      </c>
      <c r="C2666" t="n">
        <v>5756</v>
      </c>
      <c r="D2666" t="n">
        <v>26330</v>
      </c>
      <c r="E2666" t="n">
        <v>26</v>
      </c>
      <c r="F2666" t="n">
        <v>117984</v>
      </c>
      <c r="G2666" t="n">
        <v>11</v>
      </c>
      <c r="H2666" t="n">
        <v>9</v>
      </c>
      <c r="I2666" t="n">
        <v>0</v>
      </c>
    </row>
    <row r="2667">
      <c r="A2667" t="n">
        <v>2666</v>
      </c>
      <c r="B2667" t="inlineStr">
        <is>
          <t>Train</t>
        </is>
      </c>
      <c r="C2667" t="n">
        <v>9347</v>
      </c>
      <c r="D2667" t="n">
        <v>14460</v>
      </c>
      <c r="E2667" t="n">
        <v>33</v>
      </c>
      <c r="F2667" t="n">
        <v>91434</v>
      </c>
      <c r="G2667" t="n">
        <v>1</v>
      </c>
      <c r="H2667" t="n">
        <v>12</v>
      </c>
      <c r="I2667" t="n">
        <v>258169</v>
      </c>
    </row>
    <row r="2668">
      <c r="A2668" t="n">
        <v>2667</v>
      </c>
      <c r="B2668" t="inlineStr">
        <is>
          <t>Validation</t>
        </is>
      </c>
      <c r="C2668" t="n">
        <v>2353</v>
      </c>
      <c r="D2668" t="n">
        <v>11300</v>
      </c>
      <c r="E2668" t="n">
        <v>38</v>
      </c>
      <c r="F2668" t="n">
        <v>60026</v>
      </c>
      <c r="G2668" t="n">
        <v>5</v>
      </c>
      <c r="H2668" t="n">
        <v>11</v>
      </c>
      <c r="I2668" t="n">
        <v>0</v>
      </c>
    </row>
    <row r="2669">
      <c r="A2669" t="n">
        <v>2668</v>
      </c>
      <c r="B2669" t="inlineStr">
        <is>
          <t>Validation</t>
        </is>
      </c>
      <c r="C2669" t="n">
        <v>5525</v>
      </c>
      <c r="D2669" t="n">
        <v>6720</v>
      </c>
      <c r="E2669" t="n">
        <v>48</v>
      </c>
      <c r="F2669" t="n">
        <v>4183</v>
      </c>
      <c r="G2669" t="n">
        <v>1</v>
      </c>
      <c r="H2669" t="n">
        <v>16</v>
      </c>
      <c r="I2669" t="n">
        <v>0</v>
      </c>
    </row>
    <row r="2670">
      <c r="A2670" t="n">
        <v>2669</v>
      </c>
      <c r="B2670" t="inlineStr">
        <is>
          <t>Validation</t>
        </is>
      </c>
      <c r="C2670" t="n">
        <v>4780</v>
      </c>
      <c r="D2670" t="n">
        <v>11550</v>
      </c>
      <c r="E2670" t="n">
        <v>59</v>
      </c>
      <c r="F2670" t="n">
        <v>19661</v>
      </c>
      <c r="G2670" t="n">
        <v>1</v>
      </c>
      <c r="H2670" t="n">
        <v>10</v>
      </c>
      <c r="I2670" t="n">
        <v>145506</v>
      </c>
    </row>
    <row r="2671">
      <c r="A2671" t="n">
        <v>2670</v>
      </c>
      <c r="B2671" t="inlineStr">
        <is>
          <t>Train</t>
        </is>
      </c>
      <c r="C2671" t="n">
        <v>11865</v>
      </c>
      <c r="D2671" t="n">
        <v>9090</v>
      </c>
      <c r="E2671" t="n">
        <v>40</v>
      </c>
      <c r="F2671" t="n">
        <v>35910</v>
      </c>
      <c r="G2671" t="n">
        <v>2</v>
      </c>
      <c r="H2671" t="n">
        <v>12</v>
      </c>
      <c r="I2671" t="n">
        <v>156663</v>
      </c>
    </row>
    <row r="2672">
      <c r="A2672" t="n">
        <v>2671</v>
      </c>
      <c r="B2672" t="inlineStr">
        <is>
          <t>Train</t>
        </is>
      </c>
      <c r="C2672" t="n">
        <v>6902</v>
      </c>
      <c r="D2672" t="n">
        <v>19240</v>
      </c>
      <c r="E2672" t="n">
        <v>52</v>
      </c>
      <c r="F2672" t="n">
        <v>0</v>
      </c>
      <c r="G2672" t="n">
        <v>3</v>
      </c>
      <c r="H2672" t="n">
        <v>0</v>
      </c>
      <c r="I2672" t="n">
        <v>0</v>
      </c>
    </row>
    <row r="2673">
      <c r="A2673" t="n">
        <v>2672</v>
      </c>
      <c r="B2673" t="inlineStr">
        <is>
          <t>Train</t>
        </is>
      </c>
      <c r="C2673" t="n">
        <v>9960</v>
      </c>
      <c r="D2673" t="n">
        <v>26220</v>
      </c>
      <c r="E2673" t="n">
        <v>31</v>
      </c>
      <c r="F2673" t="n">
        <v>41196</v>
      </c>
      <c r="G2673" t="n">
        <v>4</v>
      </c>
      <c r="H2673" t="n">
        <v>7</v>
      </c>
      <c r="I2673" t="n">
        <v>180045</v>
      </c>
    </row>
    <row r="2674">
      <c r="A2674" t="n">
        <v>2673</v>
      </c>
      <c r="B2674" t="inlineStr">
        <is>
          <t>Train</t>
        </is>
      </c>
      <c r="C2674" t="n">
        <v>7926</v>
      </c>
      <c r="D2674" t="n">
        <v>6860</v>
      </c>
      <c r="E2674" t="n">
        <v>48</v>
      </c>
      <c r="F2674" t="n">
        <v>58132</v>
      </c>
      <c r="G2674" t="n">
        <v>3</v>
      </c>
      <c r="H2674" t="n">
        <v>14</v>
      </c>
      <c r="I2674" t="n">
        <v>0</v>
      </c>
    </row>
    <row r="2675">
      <c r="A2675" t="n">
        <v>2674</v>
      </c>
      <c r="B2675" t="inlineStr">
        <is>
          <t>Train</t>
        </is>
      </c>
      <c r="C2675" t="n">
        <v>943</v>
      </c>
      <c r="D2675" t="n">
        <v>1500</v>
      </c>
      <c r="E2675" t="n">
        <v>42</v>
      </c>
      <c r="F2675" t="n">
        <v>90937</v>
      </c>
      <c r="G2675" t="n">
        <v>0</v>
      </c>
      <c r="H2675" t="n">
        <v>10</v>
      </c>
      <c r="I2675" t="n">
        <v>287892</v>
      </c>
    </row>
    <row r="2676">
      <c r="A2676" t="n">
        <v>2675</v>
      </c>
      <c r="B2676" t="inlineStr">
        <is>
          <t>Train</t>
        </is>
      </c>
      <c r="C2676" t="n">
        <v>25947</v>
      </c>
      <c r="D2676" t="n">
        <v>14560</v>
      </c>
      <c r="E2676" t="n">
        <v>60</v>
      </c>
      <c r="F2676" t="n">
        <v>3103</v>
      </c>
      <c r="G2676" t="n">
        <v>3</v>
      </c>
      <c r="H2676" t="n">
        <v>16</v>
      </c>
      <c r="I2676" t="n">
        <v>114402</v>
      </c>
    </row>
    <row r="2677">
      <c r="A2677" t="n">
        <v>2676</v>
      </c>
      <c r="B2677" t="inlineStr">
        <is>
          <t>Train</t>
        </is>
      </c>
      <c r="C2677" t="n">
        <v>4364</v>
      </c>
      <c r="D2677" t="n">
        <v>4100</v>
      </c>
      <c r="E2677" t="n">
        <v>26</v>
      </c>
      <c r="F2677" t="n">
        <v>157649</v>
      </c>
      <c r="G2677" t="n">
        <v>3</v>
      </c>
      <c r="H2677" t="n">
        <v>15</v>
      </c>
      <c r="I2677" t="n">
        <v>362484</v>
      </c>
    </row>
    <row r="2678">
      <c r="A2678" t="n">
        <v>2677</v>
      </c>
      <c r="B2678" t="inlineStr">
        <is>
          <t>Validation</t>
        </is>
      </c>
      <c r="C2678" t="n">
        <v>6997</v>
      </c>
      <c r="D2678" t="n">
        <v>1500</v>
      </c>
      <c r="E2678" t="n">
        <v>52</v>
      </c>
      <c r="F2678" t="n">
        <v>0</v>
      </c>
      <c r="G2678" t="n">
        <v>0</v>
      </c>
      <c r="H2678" t="n">
        <v>0</v>
      </c>
      <c r="I2678" t="n">
        <v>131093</v>
      </c>
    </row>
    <row r="2679">
      <c r="A2679" t="n">
        <v>2678</v>
      </c>
      <c r="B2679" t="inlineStr">
        <is>
          <t>Validation</t>
        </is>
      </c>
      <c r="C2679" t="n">
        <v>10709</v>
      </c>
      <c r="D2679" t="n">
        <v>1500</v>
      </c>
      <c r="E2679" t="n">
        <v>50</v>
      </c>
      <c r="F2679" t="n">
        <v>0</v>
      </c>
      <c r="G2679" t="n">
        <v>6</v>
      </c>
      <c r="H2679" t="n">
        <v>0</v>
      </c>
      <c r="I2679" t="n">
        <v>0</v>
      </c>
    </row>
    <row r="2680">
      <c r="A2680" t="n">
        <v>2679</v>
      </c>
      <c r="B2680" t="inlineStr">
        <is>
          <t>Validation</t>
        </is>
      </c>
      <c r="C2680" t="n">
        <v>1430</v>
      </c>
      <c r="D2680" t="n">
        <v>17350</v>
      </c>
      <c r="E2680" t="n">
        <v>25</v>
      </c>
      <c r="F2680" t="n">
        <v>0</v>
      </c>
      <c r="G2680" t="n">
        <v>7</v>
      </c>
      <c r="H2680" t="n">
        <v>0</v>
      </c>
      <c r="I2680" t="n">
        <v>86545</v>
      </c>
    </row>
    <row r="2681">
      <c r="A2681" t="n">
        <v>2680</v>
      </c>
      <c r="B2681" t="inlineStr">
        <is>
          <t>Train</t>
        </is>
      </c>
      <c r="C2681" t="n">
        <v>8589</v>
      </c>
      <c r="D2681" t="n">
        <v>9550</v>
      </c>
      <c r="E2681" t="n">
        <v>29</v>
      </c>
      <c r="F2681" t="n">
        <v>51529</v>
      </c>
      <c r="G2681" t="n">
        <v>3</v>
      </c>
      <c r="H2681" t="n">
        <v>17</v>
      </c>
      <c r="I2681" t="n">
        <v>177583</v>
      </c>
    </row>
    <row r="2682">
      <c r="A2682" t="n">
        <v>2681</v>
      </c>
      <c r="B2682" t="inlineStr">
        <is>
          <t>Train</t>
        </is>
      </c>
      <c r="C2682" t="n">
        <v>7888</v>
      </c>
      <c r="D2682" t="n">
        <v>7500</v>
      </c>
      <c r="E2682" t="n">
        <v>43</v>
      </c>
      <c r="F2682" t="n">
        <v>17026</v>
      </c>
      <c r="G2682" t="n">
        <v>0</v>
      </c>
      <c r="H2682" t="n">
        <v>14</v>
      </c>
      <c r="I2682" t="n">
        <v>146136</v>
      </c>
    </row>
    <row r="2683">
      <c r="A2683" t="n">
        <v>2682</v>
      </c>
      <c r="B2683" t="inlineStr">
        <is>
          <t>Train</t>
        </is>
      </c>
      <c r="C2683" t="n">
        <v>4306</v>
      </c>
      <c r="D2683" t="n">
        <v>5820</v>
      </c>
      <c r="E2683" t="n">
        <v>40</v>
      </c>
      <c r="F2683" t="n">
        <v>3169</v>
      </c>
      <c r="G2683" t="n">
        <v>7</v>
      </c>
      <c r="H2683" t="n">
        <v>13</v>
      </c>
      <c r="I2683" t="n">
        <v>0</v>
      </c>
    </row>
    <row r="2684">
      <c r="A2684" t="n">
        <v>2683</v>
      </c>
      <c r="B2684" t="inlineStr">
        <is>
          <t>Train</t>
        </is>
      </c>
      <c r="C2684" t="n">
        <v>979</v>
      </c>
      <c r="D2684" t="n">
        <v>23340</v>
      </c>
      <c r="E2684" t="n">
        <v>48</v>
      </c>
      <c r="F2684" t="n">
        <v>39213</v>
      </c>
      <c r="G2684" t="n">
        <v>0</v>
      </c>
      <c r="H2684" t="n">
        <v>10</v>
      </c>
      <c r="I2684" t="n">
        <v>180671</v>
      </c>
    </row>
    <row r="2685">
      <c r="A2685" t="n">
        <v>2684</v>
      </c>
      <c r="B2685" t="inlineStr">
        <is>
          <t>Train</t>
        </is>
      </c>
      <c r="C2685" t="n">
        <v>3964</v>
      </c>
      <c r="D2685" t="n">
        <v>11920</v>
      </c>
      <c r="E2685" t="n">
        <v>37</v>
      </c>
      <c r="F2685" t="n">
        <v>45464</v>
      </c>
      <c r="G2685" t="n">
        <v>4</v>
      </c>
      <c r="H2685" t="n">
        <v>9</v>
      </c>
      <c r="I2685" t="n">
        <v>0</v>
      </c>
    </row>
    <row r="2686">
      <c r="A2686" t="n">
        <v>2685</v>
      </c>
      <c r="B2686" t="inlineStr">
        <is>
          <t>Train</t>
        </is>
      </c>
      <c r="C2686" t="n">
        <v>41971</v>
      </c>
      <c r="D2686" t="n">
        <v>10420</v>
      </c>
      <c r="E2686" t="n">
        <v>43</v>
      </c>
      <c r="F2686" t="n">
        <v>46168</v>
      </c>
      <c r="G2686" t="n">
        <v>0</v>
      </c>
      <c r="H2686" t="n">
        <v>15</v>
      </c>
      <c r="I2686" t="n">
        <v>187933</v>
      </c>
    </row>
    <row r="2687">
      <c r="A2687" t="n">
        <v>2686</v>
      </c>
      <c r="B2687" t="inlineStr">
        <is>
          <t>Train</t>
        </is>
      </c>
      <c r="C2687" t="n">
        <v>5559</v>
      </c>
      <c r="D2687" t="n">
        <v>2590</v>
      </c>
      <c r="E2687" t="n">
        <v>50</v>
      </c>
      <c r="F2687" t="n">
        <v>0</v>
      </c>
      <c r="G2687" t="n">
        <v>1</v>
      </c>
      <c r="H2687" t="n">
        <v>0</v>
      </c>
      <c r="I2687" t="n">
        <v>55078</v>
      </c>
    </row>
    <row r="2688">
      <c r="A2688" t="n">
        <v>2687</v>
      </c>
      <c r="B2688" t="inlineStr">
        <is>
          <t>Validation</t>
        </is>
      </c>
      <c r="C2688" t="n">
        <v>2934</v>
      </c>
      <c r="D2688" t="n">
        <v>26090</v>
      </c>
      <c r="E2688" t="n">
        <v>46</v>
      </c>
      <c r="F2688" t="n">
        <v>142852</v>
      </c>
      <c r="G2688" t="n">
        <v>1</v>
      </c>
      <c r="H2688" t="n">
        <v>11</v>
      </c>
      <c r="I2688" t="n">
        <v>387756</v>
      </c>
    </row>
    <row r="2689">
      <c r="A2689" t="n">
        <v>2688</v>
      </c>
      <c r="B2689" t="inlineStr">
        <is>
          <t>Validation</t>
        </is>
      </c>
      <c r="C2689" t="n">
        <v>1277</v>
      </c>
      <c r="D2689" t="n">
        <v>41440</v>
      </c>
      <c r="E2689" t="n">
        <v>57</v>
      </c>
      <c r="F2689" t="n">
        <v>193618</v>
      </c>
      <c r="G2689" t="n">
        <v>3</v>
      </c>
      <c r="H2689" t="n">
        <v>16</v>
      </c>
      <c r="I2689" t="n">
        <v>474628</v>
      </c>
    </row>
    <row r="2690">
      <c r="A2690" t="n">
        <v>2689</v>
      </c>
      <c r="B2690" t="inlineStr">
        <is>
          <t>Validation</t>
        </is>
      </c>
      <c r="C2690" t="n">
        <v>6583</v>
      </c>
      <c r="D2690" t="n">
        <v>9090</v>
      </c>
      <c r="E2690" t="n">
        <v>46</v>
      </c>
      <c r="F2690" t="n">
        <v>34208</v>
      </c>
      <c r="G2690" t="n">
        <v>2</v>
      </c>
      <c r="H2690" t="n">
        <v>11</v>
      </c>
      <c r="I2690" t="n">
        <v>160959</v>
      </c>
    </row>
    <row r="2691">
      <c r="A2691" t="n">
        <v>2690</v>
      </c>
      <c r="B2691" t="inlineStr">
        <is>
          <t>Train</t>
        </is>
      </c>
      <c r="C2691" t="n">
        <v>795</v>
      </c>
      <c r="D2691" t="n">
        <v>30780</v>
      </c>
      <c r="E2691" t="n">
        <v>49</v>
      </c>
      <c r="F2691" t="n">
        <v>54691</v>
      </c>
      <c r="G2691" t="n">
        <v>2</v>
      </c>
      <c r="H2691" t="n">
        <v>12</v>
      </c>
      <c r="I2691" t="n">
        <v>198100</v>
      </c>
    </row>
    <row r="2692">
      <c r="A2692" t="n">
        <v>2691</v>
      </c>
      <c r="B2692" t="inlineStr">
        <is>
          <t>Train</t>
        </is>
      </c>
      <c r="C2692" t="n">
        <v>1116</v>
      </c>
      <c r="D2692" t="n">
        <v>15930</v>
      </c>
      <c r="E2692" t="n">
        <v>49</v>
      </c>
      <c r="F2692" t="n">
        <v>32514</v>
      </c>
      <c r="G2692" t="n">
        <v>2</v>
      </c>
      <c r="H2692" t="n">
        <v>0</v>
      </c>
      <c r="I2692" t="n">
        <v>117961</v>
      </c>
    </row>
    <row r="2693">
      <c r="A2693" t="n">
        <v>2692</v>
      </c>
      <c r="B2693" t="inlineStr">
        <is>
          <t>Train</t>
        </is>
      </c>
      <c r="C2693" t="n">
        <v>2169</v>
      </c>
      <c r="D2693" t="n">
        <v>16590</v>
      </c>
      <c r="E2693" t="n">
        <v>46</v>
      </c>
      <c r="F2693" t="n">
        <v>95550</v>
      </c>
      <c r="G2693" t="n">
        <v>0</v>
      </c>
      <c r="H2693" t="n">
        <v>11</v>
      </c>
      <c r="I2693" t="n">
        <v>0</v>
      </c>
    </row>
    <row r="2694">
      <c r="A2694" t="n">
        <v>2693</v>
      </c>
      <c r="B2694" t="inlineStr">
        <is>
          <t>Train</t>
        </is>
      </c>
      <c r="C2694" t="n">
        <v>1953</v>
      </c>
      <c r="D2694" t="n">
        <v>6300</v>
      </c>
      <c r="E2694" t="n">
        <v>48</v>
      </c>
      <c r="F2694" t="n">
        <v>309628</v>
      </c>
      <c r="G2694" t="n">
        <v>1</v>
      </c>
      <c r="H2694" t="n">
        <v>8</v>
      </c>
      <c r="I2694" t="n">
        <v>0</v>
      </c>
    </row>
    <row r="2695">
      <c r="A2695" t="n">
        <v>2694</v>
      </c>
      <c r="B2695" t="inlineStr">
        <is>
          <t>Train</t>
        </is>
      </c>
      <c r="C2695" t="n">
        <v>5721</v>
      </c>
      <c r="D2695" t="n">
        <v>20370</v>
      </c>
      <c r="E2695" t="n">
        <v>63</v>
      </c>
      <c r="F2695" t="n">
        <v>47276</v>
      </c>
      <c r="G2695" t="n">
        <v>5</v>
      </c>
      <c r="H2695" t="n">
        <v>15</v>
      </c>
      <c r="I2695" t="n">
        <v>203372</v>
      </c>
    </row>
    <row r="2696">
      <c r="A2696" t="n">
        <v>2695</v>
      </c>
      <c r="B2696" t="inlineStr">
        <is>
          <t>Train</t>
        </is>
      </c>
      <c r="C2696" t="n">
        <v>4938</v>
      </c>
      <c r="D2696" t="n">
        <v>12040</v>
      </c>
      <c r="E2696" t="n">
        <v>51</v>
      </c>
      <c r="F2696" t="n">
        <v>103374</v>
      </c>
      <c r="G2696" t="n">
        <v>0</v>
      </c>
      <c r="H2696" t="n">
        <v>11</v>
      </c>
      <c r="I2696" t="n">
        <v>298213</v>
      </c>
    </row>
    <row r="2697">
      <c r="A2697" t="n">
        <v>2696</v>
      </c>
      <c r="B2697" t="inlineStr">
        <is>
          <t>Train</t>
        </is>
      </c>
      <c r="C2697" t="n">
        <v>3721</v>
      </c>
      <c r="D2697" t="n">
        <v>15450</v>
      </c>
      <c r="E2697" t="n">
        <v>37</v>
      </c>
      <c r="F2697" t="n">
        <v>34038</v>
      </c>
      <c r="G2697" t="n">
        <v>2</v>
      </c>
      <c r="H2697" t="n">
        <v>7</v>
      </c>
      <c r="I2697" t="n">
        <v>161587</v>
      </c>
    </row>
    <row r="2698">
      <c r="A2698" t="n">
        <v>2697</v>
      </c>
      <c r="B2698" t="inlineStr">
        <is>
          <t>Validation</t>
        </is>
      </c>
      <c r="C2698" t="n">
        <v>1000</v>
      </c>
      <c r="D2698" t="n">
        <v>30570</v>
      </c>
      <c r="E2698" t="n">
        <v>40</v>
      </c>
      <c r="F2698" t="n">
        <v>38589</v>
      </c>
      <c r="G2698" t="n">
        <v>3</v>
      </c>
      <c r="H2698" t="n">
        <v>7</v>
      </c>
      <c r="I2698" t="n">
        <v>130713</v>
      </c>
    </row>
    <row r="2699">
      <c r="A2699" t="n">
        <v>2698</v>
      </c>
      <c r="B2699" t="inlineStr">
        <is>
          <t>Validation</t>
        </is>
      </c>
      <c r="C2699" t="n">
        <v>7460</v>
      </c>
      <c r="D2699" t="n">
        <v>26290</v>
      </c>
      <c r="E2699" t="n">
        <v>37</v>
      </c>
      <c r="F2699" t="n">
        <v>95502</v>
      </c>
      <c r="G2699" t="n">
        <v>0</v>
      </c>
      <c r="H2699" t="n">
        <v>8</v>
      </c>
      <c r="I2699" t="n">
        <v>0</v>
      </c>
    </row>
    <row r="2700">
      <c r="A2700" t="n">
        <v>2699</v>
      </c>
      <c r="B2700" t="inlineStr">
        <is>
          <t>Validation</t>
        </is>
      </c>
      <c r="C2700" t="n">
        <v>15315</v>
      </c>
      <c r="D2700" t="n">
        <v>27060</v>
      </c>
      <c r="E2700" t="n">
        <v>53</v>
      </c>
      <c r="F2700" t="n">
        <v>42478</v>
      </c>
      <c r="G2700" t="n">
        <v>4</v>
      </c>
      <c r="H2700" t="n">
        <v>11</v>
      </c>
      <c r="I2700" t="n">
        <v>160747</v>
      </c>
    </row>
    <row r="2701">
      <c r="A2701" t="n">
        <v>2700</v>
      </c>
      <c r="B2701" t="inlineStr">
        <is>
          <t>Train</t>
        </is>
      </c>
      <c r="C2701" t="n">
        <v>33521</v>
      </c>
      <c r="D2701" t="n">
        <v>15390</v>
      </c>
      <c r="E2701" t="n">
        <v>47</v>
      </c>
      <c r="F2701" t="n">
        <v>48696</v>
      </c>
      <c r="G2701" t="n">
        <v>1</v>
      </c>
      <c r="H2701" t="n">
        <v>12</v>
      </c>
      <c r="I2701" t="n">
        <v>212014</v>
      </c>
    </row>
    <row r="2702">
      <c r="A2702" t="n">
        <v>2701</v>
      </c>
      <c r="B2702" t="inlineStr">
        <is>
          <t>Train</t>
        </is>
      </c>
      <c r="C2702" t="n">
        <v>5854</v>
      </c>
      <c r="D2702" t="n">
        <v>6800</v>
      </c>
      <c r="E2702" t="n">
        <v>53</v>
      </c>
      <c r="F2702" t="n">
        <v>74334</v>
      </c>
      <c r="G2702" t="n">
        <v>1</v>
      </c>
      <c r="H2702" t="n">
        <v>13</v>
      </c>
      <c r="I2702" t="n">
        <v>254789</v>
      </c>
    </row>
    <row r="2703">
      <c r="A2703" t="n">
        <v>2702</v>
      </c>
      <c r="B2703" t="inlineStr">
        <is>
          <t>Train</t>
        </is>
      </c>
      <c r="C2703" t="n">
        <v>10366</v>
      </c>
      <c r="D2703" t="n">
        <v>21680</v>
      </c>
      <c r="E2703" t="n">
        <v>45</v>
      </c>
      <c r="F2703" t="n">
        <v>111268</v>
      </c>
      <c r="G2703" t="n">
        <v>3</v>
      </c>
      <c r="H2703" t="n">
        <v>17</v>
      </c>
      <c r="I2703" t="n">
        <v>288071</v>
      </c>
    </row>
    <row r="2704">
      <c r="A2704" t="n">
        <v>2703</v>
      </c>
      <c r="B2704" t="inlineStr">
        <is>
          <t>Train</t>
        </is>
      </c>
      <c r="C2704" t="n">
        <v>3460</v>
      </c>
      <c r="D2704" t="n">
        <v>27240</v>
      </c>
      <c r="E2704" t="n">
        <v>28</v>
      </c>
      <c r="F2704" t="n">
        <v>43910</v>
      </c>
      <c r="G2704" t="n">
        <v>0</v>
      </c>
      <c r="H2704" t="n">
        <v>13</v>
      </c>
      <c r="I2704" t="n">
        <v>179794</v>
      </c>
    </row>
    <row r="2705">
      <c r="A2705" t="n">
        <v>2704</v>
      </c>
      <c r="B2705" t="inlineStr">
        <is>
          <t>Train</t>
        </is>
      </c>
      <c r="C2705" t="n">
        <v>8271</v>
      </c>
      <c r="D2705" t="n">
        <v>12850</v>
      </c>
      <c r="E2705" t="n">
        <v>36</v>
      </c>
      <c r="F2705" t="n">
        <v>77526</v>
      </c>
      <c r="G2705" t="n">
        <v>5</v>
      </c>
      <c r="H2705" t="n">
        <v>12</v>
      </c>
      <c r="I2705" t="n">
        <v>262675</v>
      </c>
    </row>
    <row r="2706">
      <c r="A2706" t="n">
        <v>2705</v>
      </c>
      <c r="B2706" t="inlineStr">
        <is>
          <t>Train</t>
        </is>
      </c>
      <c r="C2706" t="n">
        <v>1018</v>
      </c>
      <c r="D2706" t="n">
        <v>13760</v>
      </c>
      <c r="E2706" t="n">
        <v>43</v>
      </c>
      <c r="F2706" t="n">
        <v>72421</v>
      </c>
      <c r="G2706" t="n">
        <v>1</v>
      </c>
      <c r="H2706" t="n">
        <v>11</v>
      </c>
      <c r="I2706" t="n">
        <v>217974</v>
      </c>
    </row>
    <row r="2707">
      <c r="A2707" t="n">
        <v>2706</v>
      </c>
      <c r="B2707" t="inlineStr">
        <is>
          <t>Train</t>
        </is>
      </c>
      <c r="C2707" t="n">
        <v>26433</v>
      </c>
      <c r="D2707" t="n">
        <v>20860</v>
      </c>
      <c r="E2707" t="n">
        <v>48</v>
      </c>
      <c r="F2707" t="n">
        <v>101806</v>
      </c>
      <c r="G2707" t="n">
        <v>0</v>
      </c>
      <c r="H2707" t="n">
        <v>11</v>
      </c>
      <c r="I2707" t="n">
        <v>296076</v>
      </c>
    </row>
    <row r="2708">
      <c r="A2708" t="n">
        <v>2707</v>
      </c>
      <c r="B2708" t="inlineStr">
        <is>
          <t>Validation</t>
        </is>
      </c>
      <c r="C2708" t="n">
        <v>1511</v>
      </c>
      <c r="D2708" t="n">
        <v>24660</v>
      </c>
      <c r="E2708" t="n">
        <v>37</v>
      </c>
      <c r="F2708" t="n">
        <v>43711</v>
      </c>
      <c r="G2708" t="n">
        <v>4</v>
      </c>
      <c r="H2708" t="n">
        <v>11</v>
      </c>
      <c r="I2708" t="n">
        <v>0</v>
      </c>
    </row>
    <row r="2709">
      <c r="A2709" t="n">
        <v>2708</v>
      </c>
      <c r="B2709" t="inlineStr">
        <is>
          <t>Validation</t>
        </is>
      </c>
      <c r="C2709" t="n">
        <v>683</v>
      </c>
      <c r="D2709" t="n">
        <v>16080</v>
      </c>
      <c r="E2709" t="n">
        <v>45</v>
      </c>
      <c r="F2709" t="n">
        <v>29805</v>
      </c>
      <c r="G2709" t="n">
        <v>7</v>
      </c>
      <c r="H2709" t="n">
        <v>9</v>
      </c>
      <c r="I2709" t="n">
        <v>179666</v>
      </c>
    </row>
    <row r="2710">
      <c r="A2710" t="n">
        <v>2709</v>
      </c>
      <c r="B2710" t="inlineStr">
        <is>
          <t>Validation</t>
        </is>
      </c>
      <c r="C2710" t="n">
        <v>5289</v>
      </c>
      <c r="D2710" t="n">
        <v>8620</v>
      </c>
      <c r="E2710" t="n">
        <v>37</v>
      </c>
      <c r="F2710" t="n">
        <v>77</v>
      </c>
      <c r="G2710" t="n">
        <v>5</v>
      </c>
      <c r="H2710" t="n">
        <v>12</v>
      </c>
      <c r="I2710" t="n">
        <v>77025</v>
      </c>
    </row>
    <row r="2711">
      <c r="A2711" t="n">
        <v>2710</v>
      </c>
      <c r="B2711" t="inlineStr">
        <is>
          <t>Train</t>
        </is>
      </c>
      <c r="C2711" t="n">
        <v>3487</v>
      </c>
      <c r="D2711" t="n">
        <v>30840</v>
      </c>
      <c r="E2711" t="n">
        <v>41</v>
      </c>
      <c r="F2711" t="n">
        <v>84766</v>
      </c>
      <c r="G2711" t="n">
        <v>7</v>
      </c>
      <c r="H2711" t="n">
        <v>11</v>
      </c>
      <c r="I2711" t="n">
        <v>272923</v>
      </c>
    </row>
    <row r="2712">
      <c r="A2712" t="n">
        <v>2711</v>
      </c>
      <c r="B2712" t="inlineStr">
        <is>
          <t>Train</t>
        </is>
      </c>
      <c r="C2712" t="n">
        <v>2981</v>
      </c>
      <c r="D2712" t="n">
        <v>9950</v>
      </c>
      <c r="E2712" t="n">
        <v>37</v>
      </c>
      <c r="F2712" t="n">
        <v>47473</v>
      </c>
      <c r="G2712" t="n">
        <v>3</v>
      </c>
      <c r="H2712" t="n">
        <v>10</v>
      </c>
      <c r="I2712" t="n">
        <v>190556</v>
      </c>
    </row>
    <row r="2713">
      <c r="A2713" t="n">
        <v>2712</v>
      </c>
      <c r="B2713" t="inlineStr">
        <is>
          <t>Train</t>
        </is>
      </c>
      <c r="C2713" t="n">
        <v>2461</v>
      </c>
      <c r="D2713" t="n">
        <v>24910</v>
      </c>
      <c r="E2713" t="n">
        <v>38</v>
      </c>
      <c r="F2713" t="n">
        <v>33489</v>
      </c>
      <c r="G2713" t="n">
        <v>0</v>
      </c>
      <c r="H2713" t="n">
        <v>12</v>
      </c>
      <c r="I2713" t="n">
        <v>148212</v>
      </c>
    </row>
    <row r="2714">
      <c r="A2714" t="n">
        <v>2713</v>
      </c>
      <c r="B2714" t="inlineStr">
        <is>
          <t>Train</t>
        </is>
      </c>
      <c r="C2714" t="n">
        <v>3401</v>
      </c>
      <c r="D2714" t="n">
        <v>8330</v>
      </c>
      <c r="E2714" t="n">
        <v>44</v>
      </c>
      <c r="F2714" t="n">
        <v>18154</v>
      </c>
      <c r="G2714" t="n">
        <v>2</v>
      </c>
      <c r="H2714" t="n">
        <v>13</v>
      </c>
      <c r="I2714" t="n">
        <v>108984</v>
      </c>
    </row>
    <row r="2715">
      <c r="A2715" t="n">
        <v>2714</v>
      </c>
      <c r="B2715" t="inlineStr">
        <is>
          <t>Train</t>
        </is>
      </c>
      <c r="C2715" t="n">
        <v>1855</v>
      </c>
      <c r="D2715" t="n">
        <v>7180</v>
      </c>
      <c r="E2715" t="n">
        <v>29</v>
      </c>
      <c r="F2715" t="n">
        <v>0</v>
      </c>
      <c r="G2715" t="n">
        <v>3</v>
      </c>
      <c r="H2715" t="n">
        <v>0</v>
      </c>
      <c r="I2715" t="n">
        <v>0</v>
      </c>
    </row>
    <row r="2716">
      <c r="A2716" t="n">
        <v>2715</v>
      </c>
      <c r="B2716" t="inlineStr">
        <is>
          <t>Train</t>
        </is>
      </c>
      <c r="C2716" t="n">
        <v>5433</v>
      </c>
      <c r="D2716" t="n">
        <v>10050</v>
      </c>
      <c r="E2716" t="n">
        <v>27</v>
      </c>
      <c r="F2716" t="n">
        <v>17686</v>
      </c>
      <c r="G2716" t="n">
        <v>0</v>
      </c>
      <c r="H2716" t="n">
        <v>10</v>
      </c>
      <c r="I2716" t="n">
        <v>136423</v>
      </c>
    </row>
    <row r="2717">
      <c r="A2717" t="n">
        <v>2716</v>
      </c>
      <c r="B2717" t="inlineStr">
        <is>
          <t>Train</t>
        </is>
      </c>
      <c r="C2717" t="n">
        <v>4723</v>
      </c>
      <c r="D2717" t="n">
        <v>18180</v>
      </c>
      <c r="E2717" t="n">
        <v>47</v>
      </c>
      <c r="F2717" t="n">
        <v>61214</v>
      </c>
      <c r="G2717" t="n">
        <v>0</v>
      </c>
      <c r="H2717" t="n">
        <v>13</v>
      </c>
      <c r="I2717" t="n">
        <v>219101</v>
      </c>
    </row>
    <row r="2718">
      <c r="A2718" t="n">
        <v>2717</v>
      </c>
      <c r="B2718" t="inlineStr">
        <is>
          <t>Validation</t>
        </is>
      </c>
      <c r="C2718" t="n">
        <v>763</v>
      </c>
      <c r="D2718" t="n">
        <v>12880</v>
      </c>
      <c r="E2718" t="n">
        <v>49</v>
      </c>
      <c r="F2718" t="n">
        <v>65659</v>
      </c>
      <c r="G2718" t="n">
        <v>5</v>
      </c>
      <c r="H2718" t="n">
        <v>11</v>
      </c>
      <c r="I2718" t="n">
        <v>0</v>
      </c>
    </row>
    <row r="2719">
      <c r="A2719" t="n">
        <v>2718</v>
      </c>
      <c r="B2719" t="inlineStr">
        <is>
          <t>Validation</t>
        </is>
      </c>
      <c r="C2719" t="n">
        <v>27679</v>
      </c>
      <c r="D2719" t="n">
        <v>18960</v>
      </c>
      <c r="E2719" t="n">
        <v>33</v>
      </c>
      <c r="F2719" t="n">
        <v>79726</v>
      </c>
      <c r="G2719" t="n">
        <v>5</v>
      </c>
      <c r="H2719" t="n">
        <v>12</v>
      </c>
      <c r="I2719" t="n">
        <v>223536</v>
      </c>
    </row>
    <row r="2720">
      <c r="A2720" t="n">
        <v>2719</v>
      </c>
      <c r="B2720" t="inlineStr">
        <is>
          <t>Validation</t>
        </is>
      </c>
      <c r="C2720" t="n">
        <v>29265</v>
      </c>
      <c r="D2720" t="n">
        <v>14400</v>
      </c>
      <c r="E2720" t="n">
        <v>36</v>
      </c>
      <c r="F2720" t="n">
        <v>84097</v>
      </c>
      <c r="G2720" t="n">
        <v>8</v>
      </c>
      <c r="H2720" t="n">
        <v>8</v>
      </c>
      <c r="I2720" t="n">
        <v>261399</v>
      </c>
    </row>
    <row r="2721">
      <c r="A2721" t="n">
        <v>2720</v>
      </c>
      <c r="B2721" t="inlineStr">
        <is>
          <t>Train</t>
        </is>
      </c>
      <c r="C2721" t="n">
        <v>1868</v>
      </c>
      <c r="D2721" t="n">
        <v>10220</v>
      </c>
      <c r="E2721" t="n">
        <v>46</v>
      </c>
      <c r="F2721" t="n">
        <v>33870</v>
      </c>
      <c r="G2721" t="n">
        <v>0</v>
      </c>
      <c r="H2721" t="n">
        <v>12</v>
      </c>
      <c r="I2721" t="n">
        <v>164424</v>
      </c>
    </row>
    <row r="2722">
      <c r="A2722" t="n">
        <v>2721</v>
      </c>
      <c r="B2722" t="inlineStr">
        <is>
          <t>Train</t>
        </is>
      </c>
      <c r="C2722" t="n">
        <v>6033</v>
      </c>
      <c r="D2722" t="n">
        <v>5980</v>
      </c>
      <c r="E2722" t="n">
        <v>34</v>
      </c>
      <c r="F2722" t="n">
        <v>102728</v>
      </c>
      <c r="G2722" t="n">
        <v>2</v>
      </c>
      <c r="H2722" t="n">
        <v>8</v>
      </c>
      <c r="I2722" t="n">
        <v>310619</v>
      </c>
    </row>
    <row r="2723">
      <c r="A2723" t="n">
        <v>2722</v>
      </c>
      <c r="B2723" t="inlineStr">
        <is>
          <t>Train</t>
        </is>
      </c>
      <c r="C2723" t="n">
        <v>9287</v>
      </c>
      <c r="D2723" t="n">
        <v>13490</v>
      </c>
      <c r="E2723" t="n">
        <v>59</v>
      </c>
      <c r="F2723" t="n">
        <v>71226</v>
      </c>
      <c r="G2723" t="n">
        <v>5</v>
      </c>
      <c r="H2723" t="n">
        <v>11</v>
      </c>
      <c r="I2723" t="n">
        <v>252722</v>
      </c>
    </row>
    <row r="2724">
      <c r="A2724" t="n">
        <v>2723</v>
      </c>
      <c r="B2724" t="inlineStr">
        <is>
          <t>Train</t>
        </is>
      </c>
      <c r="C2724" t="n">
        <v>5562</v>
      </c>
      <c r="D2724" t="n">
        <v>18500</v>
      </c>
      <c r="E2724" t="n">
        <v>51</v>
      </c>
      <c r="F2724" t="n">
        <v>53264</v>
      </c>
      <c r="G2724" t="n">
        <v>2</v>
      </c>
      <c r="H2724" t="n">
        <v>7</v>
      </c>
      <c r="I2724" t="n">
        <v>0</v>
      </c>
    </row>
    <row r="2725">
      <c r="A2725" t="n">
        <v>2724</v>
      </c>
      <c r="B2725" t="inlineStr">
        <is>
          <t>Train</t>
        </is>
      </c>
      <c r="C2725" t="n">
        <v>6909</v>
      </c>
      <c r="D2725" t="n">
        <v>4680</v>
      </c>
      <c r="E2725" t="n">
        <v>50</v>
      </c>
      <c r="F2725" t="n">
        <v>31436</v>
      </c>
      <c r="G2725" t="n">
        <v>3</v>
      </c>
      <c r="H2725" t="n">
        <v>14</v>
      </c>
      <c r="I2725" t="n">
        <v>0</v>
      </c>
    </row>
    <row r="2726">
      <c r="A2726" t="n">
        <v>2725</v>
      </c>
      <c r="B2726" t="inlineStr">
        <is>
          <t>Train</t>
        </is>
      </c>
      <c r="C2726" t="n">
        <v>7488</v>
      </c>
      <c r="D2726" t="n">
        <v>10710</v>
      </c>
      <c r="E2726" t="n">
        <v>42</v>
      </c>
      <c r="F2726" t="n">
        <v>50058</v>
      </c>
      <c r="G2726" t="n">
        <v>5</v>
      </c>
      <c r="H2726" t="n">
        <v>7</v>
      </c>
      <c r="I2726" t="n">
        <v>0</v>
      </c>
    </row>
    <row r="2727">
      <c r="A2727" t="n">
        <v>2726</v>
      </c>
      <c r="B2727" t="inlineStr">
        <is>
          <t>Train</t>
        </is>
      </c>
      <c r="C2727" t="n">
        <v>1088</v>
      </c>
      <c r="D2727" t="n">
        <v>18040</v>
      </c>
      <c r="E2727" t="n">
        <v>46</v>
      </c>
      <c r="F2727" t="n">
        <v>165373</v>
      </c>
      <c r="G2727" t="n">
        <v>0</v>
      </c>
      <c r="H2727" t="n">
        <v>7</v>
      </c>
      <c r="I2727" t="n">
        <v>0</v>
      </c>
    </row>
    <row r="2728">
      <c r="A2728" t="n">
        <v>2727</v>
      </c>
      <c r="B2728" t="inlineStr">
        <is>
          <t>Validation</t>
        </is>
      </c>
      <c r="C2728" t="n">
        <v>702</v>
      </c>
      <c r="D2728" t="n">
        <v>21880</v>
      </c>
      <c r="E2728" t="n">
        <v>40</v>
      </c>
      <c r="F2728" t="n">
        <v>43386</v>
      </c>
      <c r="G2728" t="n">
        <v>1</v>
      </c>
      <c r="H2728" t="n">
        <v>11</v>
      </c>
      <c r="I2728" t="n">
        <v>132248</v>
      </c>
    </row>
    <row r="2729">
      <c r="A2729" t="n">
        <v>2728</v>
      </c>
      <c r="B2729" t="inlineStr">
        <is>
          <t>Validation</t>
        </is>
      </c>
      <c r="C2729" t="n">
        <v>52507</v>
      </c>
      <c r="D2729" t="n">
        <v>24620</v>
      </c>
      <c r="E2729" t="n">
        <v>35</v>
      </c>
      <c r="F2729" t="n">
        <v>13865</v>
      </c>
      <c r="G2729" t="n">
        <v>0</v>
      </c>
      <c r="H2729" t="n">
        <v>9</v>
      </c>
      <c r="I2729" t="n">
        <v>0</v>
      </c>
    </row>
    <row r="2730">
      <c r="A2730" t="n">
        <v>2729</v>
      </c>
      <c r="B2730" t="inlineStr">
        <is>
          <t>Validation</t>
        </is>
      </c>
      <c r="C2730" t="n">
        <v>7098</v>
      </c>
      <c r="D2730" t="n">
        <v>6210</v>
      </c>
      <c r="E2730" t="n">
        <v>36</v>
      </c>
      <c r="F2730" t="n">
        <v>34057</v>
      </c>
      <c r="G2730" t="n">
        <v>6</v>
      </c>
      <c r="H2730" t="n">
        <v>10</v>
      </c>
      <c r="I2730" t="n">
        <v>204508</v>
      </c>
    </row>
    <row r="2731">
      <c r="A2731" t="n">
        <v>2730</v>
      </c>
      <c r="B2731" t="inlineStr">
        <is>
          <t>Train</t>
        </is>
      </c>
      <c r="C2731" t="n">
        <v>3731</v>
      </c>
      <c r="D2731" t="n">
        <v>11640</v>
      </c>
      <c r="E2731" t="n">
        <v>45</v>
      </c>
      <c r="F2731" t="n">
        <v>93996</v>
      </c>
      <c r="G2731" t="n">
        <v>5</v>
      </c>
      <c r="H2731" t="n">
        <v>10</v>
      </c>
      <c r="I2731" t="n">
        <v>316275</v>
      </c>
    </row>
    <row r="2732">
      <c r="A2732" t="n">
        <v>2731</v>
      </c>
      <c r="B2732" t="inlineStr">
        <is>
          <t>Train</t>
        </is>
      </c>
      <c r="C2732" t="n">
        <v>6570</v>
      </c>
      <c r="D2732" t="n">
        <v>5430</v>
      </c>
      <c r="E2732" t="n">
        <v>35</v>
      </c>
      <c r="F2732" t="n">
        <v>4290</v>
      </c>
      <c r="G2732" t="n">
        <v>6</v>
      </c>
      <c r="H2732" t="n">
        <v>14</v>
      </c>
      <c r="I2732" t="n">
        <v>0</v>
      </c>
    </row>
    <row r="2733">
      <c r="A2733" t="n">
        <v>2732</v>
      </c>
      <c r="B2733" t="inlineStr">
        <is>
          <t>Train</t>
        </is>
      </c>
      <c r="C2733" t="n">
        <v>4448</v>
      </c>
      <c r="D2733" t="n">
        <v>14390</v>
      </c>
      <c r="E2733" t="n">
        <v>42</v>
      </c>
      <c r="F2733" t="n">
        <v>41193</v>
      </c>
      <c r="G2733" t="n">
        <v>4</v>
      </c>
      <c r="H2733" t="n">
        <v>14</v>
      </c>
      <c r="I2733" t="n">
        <v>161249</v>
      </c>
    </row>
    <row r="2734">
      <c r="A2734" t="n">
        <v>2733</v>
      </c>
      <c r="B2734" t="inlineStr">
        <is>
          <t>Train</t>
        </is>
      </c>
      <c r="C2734" t="n">
        <v>7766</v>
      </c>
      <c r="D2734" t="n">
        <v>13990</v>
      </c>
      <c r="E2734" t="n">
        <v>46</v>
      </c>
      <c r="F2734" t="n">
        <v>26266</v>
      </c>
      <c r="G2734" t="n">
        <v>4</v>
      </c>
      <c r="H2734" t="n">
        <v>11</v>
      </c>
      <c r="I2734" t="n">
        <v>125951</v>
      </c>
    </row>
    <row r="2735">
      <c r="A2735" t="n">
        <v>2734</v>
      </c>
      <c r="B2735" t="inlineStr">
        <is>
          <t>Train</t>
        </is>
      </c>
      <c r="C2735" t="n">
        <v>2913</v>
      </c>
      <c r="D2735" t="n">
        <v>28360</v>
      </c>
      <c r="E2735" t="n">
        <v>46</v>
      </c>
      <c r="F2735" t="n">
        <v>74417</v>
      </c>
      <c r="G2735" t="n">
        <v>3</v>
      </c>
      <c r="H2735" t="n">
        <v>6</v>
      </c>
      <c r="I2735" t="n">
        <v>263259</v>
      </c>
    </row>
    <row r="2736">
      <c r="A2736" t="n">
        <v>2735</v>
      </c>
      <c r="B2736" t="inlineStr">
        <is>
          <t>Train</t>
        </is>
      </c>
      <c r="C2736" t="n">
        <v>5747</v>
      </c>
      <c r="D2736" t="n">
        <v>21130</v>
      </c>
      <c r="E2736" t="n">
        <v>44</v>
      </c>
      <c r="F2736" t="n">
        <v>152292</v>
      </c>
      <c r="G2736" t="n">
        <v>9</v>
      </c>
      <c r="H2736" t="n">
        <v>8</v>
      </c>
      <c r="I2736" t="n">
        <v>0</v>
      </c>
    </row>
    <row r="2737">
      <c r="A2737" t="n">
        <v>2736</v>
      </c>
      <c r="B2737" t="inlineStr">
        <is>
          <t>Train</t>
        </is>
      </c>
      <c r="C2737" t="n">
        <v>31448</v>
      </c>
      <c r="D2737" t="n">
        <v>12000</v>
      </c>
      <c r="E2737" t="n">
        <v>52</v>
      </c>
      <c r="F2737" t="n">
        <v>43993</v>
      </c>
      <c r="G2737" t="n">
        <v>0</v>
      </c>
      <c r="H2737" t="n">
        <v>12</v>
      </c>
      <c r="I2737" t="n">
        <v>149835</v>
      </c>
    </row>
    <row r="2738">
      <c r="A2738" t="n">
        <v>2737</v>
      </c>
      <c r="B2738" t="inlineStr">
        <is>
          <t>Validation</t>
        </is>
      </c>
      <c r="C2738" t="n">
        <v>2562</v>
      </c>
      <c r="D2738" t="n">
        <v>12850</v>
      </c>
      <c r="E2738" t="n">
        <v>38</v>
      </c>
      <c r="F2738" t="n">
        <v>2610</v>
      </c>
      <c r="G2738" t="n">
        <v>4</v>
      </c>
      <c r="H2738" t="n">
        <v>15</v>
      </c>
      <c r="I2738" t="n">
        <v>0</v>
      </c>
    </row>
    <row r="2739">
      <c r="A2739" t="n">
        <v>2738</v>
      </c>
      <c r="B2739" t="inlineStr">
        <is>
          <t>Validation</t>
        </is>
      </c>
      <c r="C2739" t="n">
        <v>3699</v>
      </c>
      <c r="D2739" t="n">
        <v>6300</v>
      </c>
      <c r="E2739" t="n">
        <v>48</v>
      </c>
      <c r="F2739" t="n">
        <v>38311</v>
      </c>
      <c r="G2739" t="n">
        <v>4</v>
      </c>
      <c r="H2739" t="n">
        <v>11</v>
      </c>
      <c r="I2739" t="n">
        <v>177828</v>
      </c>
    </row>
    <row r="2740">
      <c r="A2740" t="n">
        <v>2739</v>
      </c>
      <c r="B2740" t="inlineStr">
        <is>
          <t>Validation</t>
        </is>
      </c>
      <c r="C2740" t="n">
        <v>5994</v>
      </c>
      <c r="D2740" t="n">
        <v>25900</v>
      </c>
      <c r="E2740" t="n">
        <v>45</v>
      </c>
      <c r="F2740" t="n">
        <v>128801</v>
      </c>
      <c r="G2740" t="n">
        <v>6</v>
      </c>
      <c r="H2740" t="n">
        <v>15</v>
      </c>
      <c r="I2740" t="n">
        <v>0</v>
      </c>
    </row>
    <row r="2741">
      <c r="A2741" t="n">
        <v>2740</v>
      </c>
      <c r="B2741" t="inlineStr">
        <is>
          <t>Train</t>
        </is>
      </c>
      <c r="C2741" t="n">
        <v>9019</v>
      </c>
      <c r="D2741" t="n">
        <v>8390</v>
      </c>
      <c r="E2741" t="n">
        <v>59</v>
      </c>
      <c r="F2741" t="n">
        <v>66942</v>
      </c>
      <c r="G2741" t="n">
        <v>3</v>
      </c>
      <c r="H2741" t="n">
        <v>13</v>
      </c>
      <c r="I2741" t="n">
        <v>303427</v>
      </c>
    </row>
    <row r="2742">
      <c r="A2742" t="n">
        <v>2741</v>
      </c>
      <c r="B2742" t="inlineStr">
        <is>
          <t>Train</t>
        </is>
      </c>
      <c r="C2742" t="n">
        <v>34514</v>
      </c>
      <c r="D2742" t="n">
        <v>9690</v>
      </c>
      <c r="E2742" t="n">
        <v>45</v>
      </c>
      <c r="F2742" t="n">
        <v>36912</v>
      </c>
      <c r="G2742" t="n">
        <v>0</v>
      </c>
      <c r="H2742" t="n">
        <v>14</v>
      </c>
      <c r="I2742" t="n">
        <v>0</v>
      </c>
    </row>
    <row r="2743">
      <c r="A2743" t="n">
        <v>2742</v>
      </c>
      <c r="B2743" t="inlineStr">
        <is>
          <t>Train</t>
        </is>
      </c>
      <c r="C2743" t="n">
        <v>8122</v>
      </c>
      <c r="D2743" t="n">
        <v>14620</v>
      </c>
      <c r="E2743" t="n">
        <v>33</v>
      </c>
      <c r="F2743" t="n">
        <v>65009</v>
      </c>
      <c r="G2743" t="n">
        <v>6</v>
      </c>
      <c r="H2743" t="n">
        <v>11</v>
      </c>
      <c r="I2743" t="n">
        <v>220639</v>
      </c>
    </row>
    <row r="2744">
      <c r="A2744" t="n">
        <v>2743</v>
      </c>
      <c r="B2744" t="inlineStr">
        <is>
          <t>Train</t>
        </is>
      </c>
      <c r="C2744" t="n">
        <v>12048</v>
      </c>
      <c r="D2744" t="n">
        <v>5580</v>
      </c>
      <c r="E2744" t="n">
        <v>37</v>
      </c>
      <c r="F2744" t="n">
        <v>0</v>
      </c>
      <c r="G2744" t="n">
        <v>11</v>
      </c>
      <c r="H2744" t="n">
        <v>0</v>
      </c>
      <c r="I2744" t="n">
        <v>55922</v>
      </c>
    </row>
    <row r="2745">
      <c r="A2745" t="n">
        <v>2744</v>
      </c>
      <c r="B2745" t="inlineStr">
        <is>
          <t>Train</t>
        </is>
      </c>
      <c r="C2745" t="n">
        <v>8784</v>
      </c>
      <c r="D2745" t="n">
        <v>10740</v>
      </c>
      <c r="E2745" t="n">
        <v>39</v>
      </c>
      <c r="F2745" t="n">
        <v>40716</v>
      </c>
      <c r="G2745" t="n">
        <v>2</v>
      </c>
      <c r="H2745" t="n">
        <v>9</v>
      </c>
      <c r="I2745" t="n">
        <v>170076</v>
      </c>
    </row>
    <row r="2746">
      <c r="A2746" t="n">
        <v>2745</v>
      </c>
      <c r="B2746" t="inlineStr">
        <is>
          <t>Train</t>
        </is>
      </c>
      <c r="C2746" t="n">
        <v>5008</v>
      </c>
      <c r="D2746" t="n">
        <v>30070</v>
      </c>
      <c r="E2746" t="n">
        <v>46</v>
      </c>
      <c r="F2746" t="n">
        <v>31276</v>
      </c>
      <c r="G2746" t="n">
        <v>5</v>
      </c>
      <c r="H2746" t="n">
        <v>14</v>
      </c>
      <c r="I2746" t="n">
        <v>129120</v>
      </c>
    </row>
    <row r="2747">
      <c r="A2747" t="n">
        <v>2746</v>
      </c>
      <c r="B2747" t="inlineStr">
        <is>
          <t>Train</t>
        </is>
      </c>
      <c r="C2747" t="n">
        <v>4549</v>
      </c>
      <c r="D2747" t="n">
        <v>6700</v>
      </c>
      <c r="E2747" t="n">
        <v>52</v>
      </c>
      <c r="F2747" t="n">
        <v>0</v>
      </c>
      <c r="G2747" t="n">
        <v>2</v>
      </c>
      <c r="H2747" t="n">
        <v>0</v>
      </c>
      <c r="I2747" t="n">
        <v>0</v>
      </c>
    </row>
    <row r="2748">
      <c r="A2748" t="n">
        <v>2747</v>
      </c>
      <c r="B2748" t="inlineStr">
        <is>
          <t>Validation</t>
        </is>
      </c>
      <c r="C2748" t="n">
        <v>7639</v>
      </c>
      <c r="D2748" t="n">
        <v>11370</v>
      </c>
      <c r="E2748" t="n">
        <v>51</v>
      </c>
      <c r="F2748" t="n">
        <v>47706</v>
      </c>
      <c r="G2748" t="n">
        <v>2</v>
      </c>
      <c r="H2748" t="n">
        <v>8</v>
      </c>
      <c r="I2748" t="n">
        <v>203426</v>
      </c>
    </row>
    <row r="2749">
      <c r="A2749" t="n">
        <v>2748</v>
      </c>
      <c r="B2749" t="inlineStr">
        <is>
          <t>Validation</t>
        </is>
      </c>
      <c r="C2749" t="n">
        <v>1745</v>
      </c>
      <c r="D2749" t="n">
        <v>8870</v>
      </c>
      <c r="E2749" t="n">
        <v>53</v>
      </c>
      <c r="F2749" t="n">
        <v>20683</v>
      </c>
      <c r="G2749" t="n">
        <v>7</v>
      </c>
      <c r="H2749" t="n">
        <v>5</v>
      </c>
      <c r="I2749" t="n">
        <v>151996</v>
      </c>
    </row>
    <row r="2750">
      <c r="A2750" t="n">
        <v>2749</v>
      </c>
      <c r="B2750" t="inlineStr">
        <is>
          <t>Validation</t>
        </is>
      </c>
      <c r="C2750" t="n">
        <v>9724</v>
      </c>
      <c r="D2750" t="n">
        <v>15350</v>
      </c>
      <c r="E2750" t="n">
        <v>40</v>
      </c>
      <c r="F2750" t="n">
        <v>53456</v>
      </c>
      <c r="G2750" t="n">
        <v>2</v>
      </c>
      <c r="H2750" t="n">
        <v>14</v>
      </c>
      <c r="I2750" t="n">
        <v>166725</v>
      </c>
    </row>
    <row r="2751">
      <c r="A2751" t="n">
        <v>2750</v>
      </c>
      <c r="B2751" t="inlineStr">
        <is>
          <t>Train</t>
        </is>
      </c>
      <c r="C2751" t="n">
        <v>7465</v>
      </c>
      <c r="D2751" t="n">
        <v>14590</v>
      </c>
      <c r="E2751" t="n">
        <v>42</v>
      </c>
      <c r="F2751" t="n">
        <v>64019</v>
      </c>
      <c r="G2751" t="n">
        <v>0</v>
      </c>
      <c r="H2751" t="n">
        <v>12</v>
      </c>
      <c r="I2751" t="n">
        <v>249488</v>
      </c>
    </row>
    <row r="2752">
      <c r="A2752" t="n">
        <v>2751</v>
      </c>
      <c r="B2752" t="inlineStr">
        <is>
          <t>Train</t>
        </is>
      </c>
      <c r="C2752" t="n">
        <v>3301</v>
      </c>
      <c r="D2752" t="n">
        <v>7370</v>
      </c>
      <c r="E2752" t="n">
        <v>43</v>
      </c>
      <c r="F2752" t="n">
        <v>15715</v>
      </c>
      <c r="G2752" t="n">
        <v>5</v>
      </c>
      <c r="H2752" t="n">
        <v>12</v>
      </c>
      <c r="I2752" t="n">
        <v>143966</v>
      </c>
    </row>
    <row r="2753">
      <c r="A2753" t="n">
        <v>2752</v>
      </c>
      <c r="B2753" t="inlineStr">
        <is>
          <t>Train</t>
        </is>
      </c>
      <c r="C2753" t="n">
        <v>4211</v>
      </c>
      <c r="D2753" t="n">
        <v>17700</v>
      </c>
      <c r="E2753" t="n">
        <v>32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2753</v>
      </c>
      <c r="B2754" t="inlineStr">
        <is>
          <t>Train</t>
        </is>
      </c>
      <c r="C2754" t="n">
        <v>8174</v>
      </c>
      <c r="D2754" t="n">
        <v>15770</v>
      </c>
      <c r="E2754" t="n">
        <v>36</v>
      </c>
      <c r="F2754" t="n">
        <v>41424</v>
      </c>
      <c r="G2754" t="n">
        <v>2</v>
      </c>
      <c r="H2754" t="n">
        <v>8</v>
      </c>
      <c r="I2754" t="n">
        <v>0</v>
      </c>
    </row>
    <row r="2755">
      <c r="A2755" t="n">
        <v>2754</v>
      </c>
      <c r="B2755" t="inlineStr">
        <is>
          <t>Train</t>
        </is>
      </c>
      <c r="C2755" t="n">
        <v>2983</v>
      </c>
      <c r="D2755" t="n">
        <v>5400</v>
      </c>
      <c r="E2755" t="n">
        <v>40</v>
      </c>
      <c r="F2755" t="n">
        <v>58231</v>
      </c>
      <c r="G2755" t="n">
        <v>3</v>
      </c>
      <c r="H2755" t="n">
        <v>13</v>
      </c>
      <c r="I2755" t="n">
        <v>209820</v>
      </c>
    </row>
    <row r="2756">
      <c r="A2756" t="n">
        <v>2755</v>
      </c>
      <c r="B2756" t="inlineStr">
        <is>
          <t>Train</t>
        </is>
      </c>
      <c r="C2756" t="n">
        <v>8852</v>
      </c>
      <c r="D2756" t="n">
        <v>4700</v>
      </c>
      <c r="E2756" t="n">
        <v>34</v>
      </c>
      <c r="F2756" t="n">
        <v>34706</v>
      </c>
      <c r="G2756" t="n">
        <v>4</v>
      </c>
      <c r="H2756" t="n">
        <v>10</v>
      </c>
      <c r="I2756" t="n">
        <v>0</v>
      </c>
    </row>
    <row r="2757">
      <c r="A2757" t="n">
        <v>2756</v>
      </c>
      <c r="B2757" t="inlineStr">
        <is>
          <t>Train</t>
        </is>
      </c>
      <c r="C2757" t="n">
        <v>2665</v>
      </c>
      <c r="D2757" t="n">
        <v>18850</v>
      </c>
      <c r="E2757" t="n">
        <v>33</v>
      </c>
      <c r="F2757" t="n">
        <v>70408</v>
      </c>
      <c r="G2757" t="n">
        <v>3</v>
      </c>
      <c r="H2757" t="n">
        <v>12</v>
      </c>
      <c r="I2757" t="n">
        <v>190139</v>
      </c>
    </row>
    <row r="2758">
      <c r="A2758" t="n">
        <v>2757</v>
      </c>
      <c r="B2758" t="inlineStr">
        <is>
          <t>Validation</t>
        </is>
      </c>
      <c r="C2758" t="n">
        <v>8924</v>
      </c>
      <c r="D2758" t="n">
        <v>19610</v>
      </c>
      <c r="E2758" t="n">
        <v>50</v>
      </c>
      <c r="F2758" t="n">
        <v>98347</v>
      </c>
      <c r="G2758" t="n">
        <v>0</v>
      </c>
      <c r="H2758" t="n">
        <v>11</v>
      </c>
      <c r="I2758" t="n">
        <v>282017</v>
      </c>
    </row>
    <row r="2759">
      <c r="A2759" t="n">
        <v>2758</v>
      </c>
      <c r="B2759" t="inlineStr">
        <is>
          <t>Validation</t>
        </is>
      </c>
      <c r="C2759" t="n">
        <v>1644</v>
      </c>
      <c r="D2759" t="n">
        <v>17850</v>
      </c>
      <c r="E2759" t="n">
        <v>53</v>
      </c>
      <c r="F2759" t="n">
        <v>123954</v>
      </c>
      <c r="G2759" t="n">
        <v>3</v>
      </c>
      <c r="H2759" t="n">
        <v>10</v>
      </c>
      <c r="I2759" t="n">
        <v>0</v>
      </c>
    </row>
    <row r="2760">
      <c r="A2760" t="n">
        <v>2759</v>
      </c>
      <c r="B2760" t="inlineStr">
        <is>
          <t>Validation</t>
        </is>
      </c>
      <c r="C2760" t="n">
        <v>5300</v>
      </c>
      <c r="D2760" t="n">
        <v>16020</v>
      </c>
      <c r="E2760" t="n">
        <v>34</v>
      </c>
      <c r="F2760" t="n">
        <v>28902</v>
      </c>
      <c r="G2760" t="n">
        <v>5</v>
      </c>
      <c r="H2760" t="n">
        <v>14</v>
      </c>
      <c r="I2760" t="n">
        <v>0</v>
      </c>
    </row>
    <row r="2761">
      <c r="A2761" t="n">
        <v>2760</v>
      </c>
      <c r="B2761" t="inlineStr">
        <is>
          <t>Train</t>
        </is>
      </c>
      <c r="C2761" t="n">
        <v>4158</v>
      </c>
      <c r="D2761" t="n">
        <v>5130</v>
      </c>
      <c r="E2761" t="n">
        <v>35</v>
      </c>
      <c r="F2761" t="n">
        <v>39741</v>
      </c>
      <c r="G2761" t="n">
        <v>9</v>
      </c>
      <c r="H2761" t="n">
        <v>10</v>
      </c>
      <c r="I2761" t="n">
        <v>0</v>
      </c>
    </row>
    <row r="2762">
      <c r="A2762" t="n">
        <v>2761</v>
      </c>
      <c r="B2762" t="inlineStr">
        <is>
          <t>Train</t>
        </is>
      </c>
      <c r="C2762" t="n">
        <v>4870</v>
      </c>
      <c r="D2762" t="n">
        <v>4190</v>
      </c>
      <c r="E2762" t="n">
        <v>49</v>
      </c>
      <c r="F2762" t="n">
        <v>0</v>
      </c>
      <c r="G2762" t="n">
        <v>4</v>
      </c>
      <c r="H2762" t="n">
        <v>0</v>
      </c>
      <c r="I2762" t="n">
        <v>88927</v>
      </c>
    </row>
    <row r="2763">
      <c r="A2763" t="n">
        <v>2762</v>
      </c>
      <c r="B2763" t="inlineStr">
        <is>
          <t>Train</t>
        </is>
      </c>
      <c r="C2763" t="n">
        <v>7191</v>
      </c>
      <c r="D2763" t="n">
        <v>14520</v>
      </c>
      <c r="E2763" t="n">
        <v>39</v>
      </c>
      <c r="F2763" t="n">
        <v>36330</v>
      </c>
      <c r="G2763" t="n">
        <v>3</v>
      </c>
      <c r="H2763" t="n">
        <v>9</v>
      </c>
      <c r="I2763" t="n">
        <v>0</v>
      </c>
    </row>
    <row r="2764">
      <c r="A2764" t="n">
        <v>2763</v>
      </c>
      <c r="B2764" t="inlineStr">
        <is>
          <t>Train</t>
        </is>
      </c>
      <c r="C2764" t="n">
        <v>6633</v>
      </c>
      <c r="D2764" t="n">
        <v>21800</v>
      </c>
      <c r="E2764" t="n">
        <v>47</v>
      </c>
      <c r="F2764" t="n">
        <v>82503</v>
      </c>
      <c r="G2764" t="n">
        <v>0</v>
      </c>
      <c r="H2764" t="n">
        <v>10</v>
      </c>
      <c r="I2764" t="n">
        <v>0</v>
      </c>
    </row>
    <row r="2765">
      <c r="A2765" t="n">
        <v>2764</v>
      </c>
      <c r="B2765" t="inlineStr">
        <is>
          <t>Train</t>
        </is>
      </c>
      <c r="C2765" t="n">
        <v>2935</v>
      </c>
      <c r="D2765" t="n">
        <v>35730</v>
      </c>
      <c r="E2765" t="n">
        <v>46</v>
      </c>
      <c r="F2765" t="n">
        <v>111318</v>
      </c>
      <c r="G2765" t="n">
        <v>0</v>
      </c>
      <c r="H2765" t="n">
        <v>12</v>
      </c>
      <c r="I2765" t="n">
        <v>330183</v>
      </c>
    </row>
    <row r="2766">
      <c r="A2766" t="n">
        <v>2765</v>
      </c>
      <c r="B2766" t="inlineStr">
        <is>
          <t>Train</t>
        </is>
      </c>
      <c r="C2766" t="n">
        <v>2400</v>
      </c>
      <c r="D2766" t="n">
        <v>25060</v>
      </c>
      <c r="E2766" t="n">
        <v>49</v>
      </c>
      <c r="F2766" t="n">
        <v>18232</v>
      </c>
      <c r="G2766" t="n">
        <v>0</v>
      </c>
      <c r="H2766" t="n">
        <v>14</v>
      </c>
      <c r="I2766" t="n">
        <v>145361</v>
      </c>
    </row>
    <row r="2767">
      <c r="A2767" t="n">
        <v>2766</v>
      </c>
      <c r="B2767" t="inlineStr">
        <is>
          <t>Train</t>
        </is>
      </c>
      <c r="C2767" t="n">
        <v>6453</v>
      </c>
      <c r="D2767" t="n">
        <v>16260</v>
      </c>
      <c r="E2767" t="n">
        <v>50</v>
      </c>
      <c r="F2767" t="n">
        <v>92028</v>
      </c>
      <c r="G2767" t="n">
        <v>7</v>
      </c>
      <c r="H2767" t="n">
        <v>13</v>
      </c>
      <c r="I2767" t="n">
        <v>0</v>
      </c>
    </row>
    <row r="2768">
      <c r="A2768" t="n">
        <v>2767</v>
      </c>
      <c r="B2768" t="inlineStr">
        <is>
          <t>Validation</t>
        </is>
      </c>
      <c r="C2768" t="n">
        <v>1156</v>
      </c>
      <c r="D2768" t="n">
        <v>3930</v>
      </c>
      <c r="E2768" t="n">
        <v>43</v>
      </c>
      <c r="F2768" t="n">
        <v>50491</v>
      </c>
      <c r="G2768" t="n">
        <v>4</v>
      </c>
      <c r="H2768" t="n">
        <v>7</v>
      </c>
      <c r="I2768" t="n">
        <v>240774</v>
      </c>
    </row>
    <row r="2769">
      <c r="A2769" t="n">
        <v>2768</v>
      </c>
      <c r="B2769" t="inlineStr">
        <is>
          <t>Validation</t>
        </is>
      </c>
      <c r="C2769" t="n">
        <v>20585</v>
      </c>
      <c r="D2769" t="n">
        <v>10780</v>
      </c>
      <c r="E2769" t="n">
        <v>43</v>
      </c>
      <c r="F2769" t="n">
        <v>92815</v>
      </c>
      <c r="G2769" t="n">
        <v>5</v>
      </c>
      <c r="H2769" t="n">
        <v>14</v>
      </c>
      <c r="I2769" t="n">
        <v>247752</v>
      </c>
    </row>
    <row r="2770">
      <c r="A2770" t="n">
        <v>2769</v>
      </c>
      <c r="B2770" t="inlineStr">
        <is>
          <t>Validation</t>
        </is>
      </c>
      <c r="C2770" t="n">
        <v>40086</v>
      </c>
      <c r="D2770" t="n">
        <v>16250</v>
      </c>
      <c r="E2770" t="n">
        <v>45</v>
      </c>
      <c r="F2770" t="n">
        <v>0</v>
      </c>
      <c r="G2770" t="n">
        <v>0</v>
      </c>
      <c r="H2770" t="n">
        <v>0</v>
      </c>
      <c r="I2770" t="n">
        <v>101860</v>
      </c>
    </row>
    <row r="2771">
      <c r="A2771" t="n">
        <v>2770</v>
      </c>
      <c r="B2771" t="inlineStr">
        <is>
          <t>Train</t>
        </is>
      </c>
      <c r="C2771" t="n">
        <v>3359</v>
      </c>
      <c r="D2771" t="n">
        <v>4400</v>
      </c>
      <c r="E2771" t="n">
        <v>29</v>
      </c>
      <c r="F2771" t="n">
        <v>0</v>
      </c>
      <c r="G2771" t="n">
        <v>8</v>
      </c>
      <c r="H2771" t="n">
        <v>0</v>
      </c>
      <c r="I2771" t="n">
        <v>0</v>
      </c>
    </row>
    <row r="2772">
      <c r="A2772" t="n">
        <v>2771</v>
      </c>
      <c r="B2772" t="inlineStr">
        <is>
          <t>Train</t>
        </is>
      </c>
      <c r="C2772" t="n">
        <v>3878</v>
      </c>
      <c r="D2772" t="n">
        <v>17420</v>
      </c>
      <c r="E2772" t="n">
        <v>30</v>
      </c>
      <c r="F2772" t="n">
        <v>60216</v>
      </c>
      <c r="G2772" t="n">
        <v>4</v>
      </c>
      <c r="H2772" t="n">
        <v>11</v>
      </c>
      <c r="I2772" t="n">
        <v>0</v>
      </c>
    </row>
    <row r="2773">
      <c r="A2773" t="n">
        <v>2772</v>
      </c>
      <c r="B2773" t="inlineStr">
        <is>
          <t>Train</t>
        </is>
      </c>
      <c r="C2773" t="n">
        <v>1412</v>
      </c>
      <c r="D2773" t="n">
        <v>26130</v>
      </c>
      <c r="E2773" t="n">
        <v>51</v>
      </c>
      <c r="F2773" t="n">
        <v>50446</v>
      </c>
      <c r="G2773" t="n">
        <v>3</v>
      </c>
      <c r="H2773" t="n">
        <v>13</v>
      </c>
      <c r="I2773" t="n">
        <v>190849</v>
      </c>
    </row>
    <row r="2774">
      <c r="A2774" t="n">
        <v>2773</v>
      </c>
      <c r="B2774" t="inlineStr">
        <is>
          <t>Train</t>
        </is>
      </c>
      <c r="C2774" t="n">
        <v>5217</v>
      </c>
      <c r="D2774" t="n">
        <v>16510</v>
      </c>
      <c r="E2774" t="n">
        <v>51</v>
      </c>
      <c r="F2774" t="n">
        <v>72518</v>
      </c>
      <c r="G2774" t="n">
        <v>0</v>
      </c>
      <c r="H2774" t="n">
        <v>11</v>
      </c>
      <c r="I2774" t="n">
        <v>0</v>
      </c>
    </row>
    <row r="2775">
      <c r="A2775" t="n">
        <v>2774</v>
      </c>
      <c r="B2775" t="inlineStr">
        <is>
          <t>Train</t>
        </is>
      </c>
      <c r="C2775" t="n">
        <v>5021</v>
      </c>
      <c r="D2775" t="n">
        <v>26420</v>
      </c>
      <c r="E2775" t="n">
        <v>43</v>
      </c>
      <c r="F2775" t="n">
        <v>57869</v>
      </c>
      <c r="G2775" t="n">
        <v>7</v>
      </c>
      <c r="H2775" t="n">
        <v>6</v>
      </c>
      <c r="I2775" t="n">
        <v>0</v>
      </c>
    </row>
    <row r="2776">
      <c r="A2776" t="n">
        <v>2775</v>
      </c>
      <c r="B2776" t="inlineStr">
        <is>
          <t>Train</t>
        </is>
      </c>
      <c r="C2776" t="n">
        <v>1930</v>
      </c>
      <c r="D2776" t="n">
        <v>6800</v>
      </c>
      <c r="E2776" t="n">
        <v>53</v>
      </c>
      <c r="F2776" t="n">
        <v>0</v>
      </c>
      <c r="G2776" t="n">
        <v>1</v>
      </c>
      <c r="H2776" t="n">
        <v>0</v>
      </c>
      <c r="I2776" t="n">
        <v>118678</v>
      </c>
    </row>
    <row r="2777">
      <c r="A2777" t="n">
        <v>2776</v>
      </c>
      <c r="B2777" t="inlineStr">
        <is>
          <t>Train</t>
        </is>
      </c>
      <c r="C2777" t="n">
        <v>6870</v>
      </c>
      <c r="D2777" t="n">
        <v>11480</v>
      </c>
      <c r="E2777" t="n">
        <v>37</v>
      </c>
      <c r="F2777" t="n">
        <v>42878</v>
      </c>
      <c r="G2777" t="n">
        <v>4</v>
      </c>
      <c r="H2777" t="n">
        <v>1</v>
      </c>
      <c r="I2777" t="n">
        <v>158179</v>
      </c>
    </row>
    <row r="2778">
      <c r="A2778" t="n">
        <v>2777</v>
      </c>
      <c r="B2778" t="inlineStr">
        <is>
          <t>Validation</t>
        </is>
      </c>
      <c r="C2778" t="n">
        <v>3265</v>
      </c>
      <c r="D2778" t="n">
        <v>13640</v>
      </c>
      <c r="E2778" t="n">
        <v>41</v>
      </c>
      <c r="F2778" t="n">
        <v>29541</v>
      </c>
      <c r="G2778" t="n">
        <v>1</v>
      </c>
      <c r="H2778" t="n">
        <v>11</v>
      </c>
      <c r="I2778" t="n">
        <v>204260</v>
      </c>
    </row>
    <row r="2779">
      <c r="A2779" t="n">
        <v>2778</v>
      </c>
      <c r="B2779" t="inlineStr">
        <is>
          <t>Validation</t>
        </is>
      </c>
      <c r="C2779" t="n">
        <v>4936</v>
      </c>
      <c r="D2779" t="n">
        <v>8820</v>
      </c>
      <c r="E2779" t="n">
        <v>46</v>
      </c>
      <c r="F2779" t="n">
        <v>34522</v>
      </c>
      <c r="G2779" t="n">
        <v>0</v>
      </c>
      <c r="H2779" t="n">
        <v>9</v>
      </c>
      <c r="I2779" t="n">
        <v>0</v>
      </c>
    </row>
    <row r="2780">
      <c r="A2780" t="n">
        <v>2779</v>
      </c>
      <c r="B2780" t="inlineStr">
        <is>
          <t>Validation</t>
        </is>
      </c>
      <c r="C2780" t="n">
        <v>29754</v>
      </c>
      <c r="D2780" t="n">
        <v>16560</v>
      </c>
      <c r="E2780" t="n">
        <v>41</v>
      </c>
      <c r="F2780" t="n">
        <v>136585</v>
      </c>
      <c r="G2780" t="n">
        <v>1</v>
      </c>
      <c r="H2780" t="n">
        <v>10</v>
      </c>
      <c r="I2780" t="n">
        <v>0</v>
      </c>
    </row>
    <row r="2781">
      <c r="A2781" t="n">
        <v>2780</v>
      </c>
      <c r="B2781" t="inlineStr">
        <is>
          <t>Train</t>
        </is>
      </c>
      <c r="C2781" t="n">
        <v>8490</v>
      </c>
      <c r="D2781" t="n">
        <v>16710</v>
      </c>
      <c r="E2781" t="n">
        <v>47</v>
      </c>
      <c r="F2781" t="n">
        <v>90940</v>
      </c>
      <c r="G2781" t="n">
        <v>0</v>
      </c>
      <c r="H2781" t="n">
        <v>8</v>
      </c>
      <c r="I2781" t="n">
        <v>0</v>
      </c>
    </row>
    <row r="2782">
      <c r="A2782" t="n">
        <v>2781</v>
      </c>
      <c r="B2782" t="inlineStr">
        <is>
          <t>Train</t>
        </is>
      </c>
      <c r="C2782" t="n">
        <v>5855</v>
      </c>
      <c r="D2782" t="n">
        <v>22930</v>
      </c>
      <c r="E2782" t="n">
        <v>46</v>
      </c>
      <c r="F2782" t="n">
        <v>74478</v>
      </c>
      <c r="G2782" t="n">
        <v>5</v>
      </c>
      <c r="H2782" t="n">
        <v>9</v>
      </c>
      <c r="I2782" t="n">
        <v>223052</v>
      </c>
    </row>
    <row r="2783">
      <c r="A2783" t="n">
        <v>2782</v>
      </c>
      <c r="B2783" t="inlineStr">
        <is>
          <t>Train</t>
        </is>
      </c>
      <c r="C2783" t="n">
        <v>2841</v>
      </c>
      <c r="D2783" t="n">
        <v>7800</v>
      </c>
      <c r="E2783" t="n">
        <v>63</v>
      </c>
      <c r="F2783" t="n">
        <v>4597</v>
      </c>
      <c r="G2783" t="n">
        <v>0</v>
      </c>
      <c r="H2783" t="n">
        <v>10</v>
      </c>
      <c r="I2783" t="n">
        <v>121824</v>
      </c>
    </row>
    <row r="2784">
      <c r="A2784" t="n">
        <v>2783</v>
      </c>
      <c r="B2784" t="inlineStr">
        <is>
          <t>Train</t>
        </is>
      </c>
      <c r="C2784" t="n">
        <v>3381</v>
      </c>
      <c r="D2784" t="n">
        <v>21920</v>
      </c>
      <c r="E2784" t="n">
        <v>43</v>
      </c>
      <c r="F2784" t="n">
        <v>82939</v>
      </c>
      <c r="G2784" t="n">
        <v>0</v>
      </c>
      <c r="H2784" t="n">
        <v>14</v>
      </c>
      <c r="I2784" t="n">
        <v>0</v>
      </c>
    </row>
    <row r="2785">
      <c r="A2785" t="n">
        <v>2784</v>
      </c>
      <c r="B2785" t="inlineStr">
        <is>
          <t>Train</t>
        </is>
      </c>
      <c r="C2785" t="n">
        <v>5495</v>
      </c>
      <c r="D2785" t="n">
        <v>22720</v>
      </c>
      <c r="E2785" t="n">
        <v>49</v>
      </c>
      <c r="F2785" t="n">
        <v>56462</v>
      </c>
      <c r="G2785" t="n">
        <v>5</v>
      </c>
      <c r="H2785" t="n">
        <v>7</v>
      </c>
      <c r="I2785" t="n">
        <v>173487</v>
      </c>
    </row>
    <row r="2786">
      <c r="A2786" t="n">
        <v>2785</v>
      </c>
      <c r="B2786" t="inlineStr">
        <is>
          <t>Train</t>
        </is>
      </c>
      <c r="C2786" t="n">
        <v>21998</v>
      </c>
      <c r="D2786" t="n">
        <v>20820</v>
      </c>
      <c r="E2786" t="n">
        <v>45</v>
      </c>
      <c r="F2786" t="n">
        <v>148221</v>
      </c>
      <c r="G2786" t="n">
        <v>8</v>
      </c>
      <c r="H2786" t="n">
        <v>13</v>
      </c>
      <c r="I2786" t="n">
        <v>0</v>
      </c>
    </row>
    <row r="2787">
      <c r="A2787" t="n">
        <v>2786</v>
      </c>
      <c r="B2787" t="inlineStr">
        <is>
          <t>Train</t>
        </is>
      </c>
      <c r="C2787" t="n">
        <v>6063</v>
      </c>
      <c r="D2787" t="n">
        <v>15010</v>
      </c>
      <c r="E2787" t="n">
        <v>59</v>
      </c>
      <c r="F2787" t="n">
        <v>32974</v>
      </c>
      <c r="G2787" t="n">
        <v>4</v>
      </c>
      <c r="H2787" t="n">
        <v>14</v>
      </c>
      <c r="I2787" t="n">
        <v>166796</v>
      </c>
    </row>
    <row r="2788">
      <c r="A2788" t="n">
        <v>2787</v>
      </c>
      <c r="B2788" t="inlineStr">
        <is>
          <t>Validation</t>
        </is>
      </c>
      <c r="C2788" t="n">
        <v>9784</v>
      </c>
      <c r="D2788" t="n">
        <v>43250</v>
      </c>
      <c r="E2788" t="n">
        <v>57</v>
      </c>
      <c r="F2788" t="n">
        <v>196889</v>
      </c>
      <c r="G2788" t="n">
        <v>6</v>
      </c>
      <c r="H2788" t="n">
        <v>13</v>
      </c>
      <c r="I2788" t="n">
        <v>484353</v>
      </c>
    </row>
    <row r="2789">
      <c r="A2789" t="n">
        <v>2788</v>
      </c>
      <c r="B2789" t="inlineStr">
        <is>
          <t>Validation</t>
        </is>
      </c>
      <c r="C2789" t="n">
        <v>2960</v>
      </c>
      <c r="D2789" t="n">
        <v>11770</v>
      </c>
      <c r="E2789" t="n">
        <v>26</v>
      </c>
      <c r="F2789" t="n">
        <v>69789</v>
      </c>
      <c r="G2789" t="n">
        <v>5</v>
      </c>
      <c r="H2789" t="n">
        <v>15</v>
      </c>
      <c r="I2789" t="n">
        <v>206181</v>
      </c>
    </row>
    <row r="2790">
      <c r="A2790" t="n">
        <v>2789</v>
      </c>
      <c r="B2790" t="inlineStr">
        <is>
          <t>Validation</t>
        </is>
      </c>
      <c r="C2790" t="n">
        <v>1904</v>
      </c>
      <c r="D2790" t="n">
        <v>7600</v>
      </c>
      <c r="E2790" t="n">
        <v>61</v>
      </c>
      <c r="F2790" t="n">
        <v>57095</v>
      </c>
      <c r="G2790" t="n">
        <v>7</v>
      </c>
      <c r="H2790" t="n">
        <v>13</v>
      </c>
      <c r="I2790" t="n">
        <v>0</v>
      </c>
    </row>
    <row r="2791">
      <c r="A2791" t="n">
        <v>2790</v>
      </c>
      <c r="B2791" t="inlineStr">
        <is>
          <t>Train</t>
        </is>
      </c>
      <c r="C2791" t="n">
        <v>8176</v>
      </c>
      <c r="D2791" t="n">
        <v>19580</v>
      </c>
      <c r="E2791" t="n">
        <v>45</v>
      </c>
      <c r="F2791" t="n">
        <v>135768</v>
      </c>
      <c r="G2791" t="n">
        <v>6</v>
      </c>
      <c r="H2791" t="n">
        <v>15</v>
      </c>
      <c r="I2791" t="n">
        <v>347575</v>
      </c>
    </row>
    <row r="2792">
      <c r="A2792" t="n">
        <v>2791</v>
      </c>
      <c r="B2792" t="inlineStr">
        <is>
          <t>Train</t>
        </is>
      </c>
      <c r="C2792" t="n">
        <v>6315</v>
      </c>
      <c r="D2792" t="n">
        <v>15900</v>
      </c>
      <c r="E2792" t="n">
        <v>60</v>
      </c>
      <c r="F2792" t="n">
        <v>8287</v>
      </c>
      <c r="G2792" t="n">
        <v>0</v>
      </c>
      <c r="H2792" t="n">
        <v>9</v>
      </c>
      <c r="I2792" t="n">
        <v>160005</v>
      </c>
    </row>
    <row r="2793">
      <c r="A2793" t="n">
        <v>2792</v>
      </c>
      <c r="B2793" t="inlineStr">
        <is>
          <t>Train</t>
        </is>
      </c>
      <c r="C2793" t="n">
        <v>4976</v>
      </c>
      <c r="D2793" t="n">
        <v>38870</v>
      </c>
      <c r="E2793" t="n">
        <v>36</v>
      </c>
      <c r="F2793" t="n">
        <v>135520</v>
      </c>
      <c r="G2793" t="n">
        <v>3</v>
      </c>
      <c r="H2793" t="n">
        <v>13</v>
      </c>
      <c r="I2793" t="n">
        <v>336846</v>
      </c>
    </row>
    <row r="2794">
      <c r="A2794" t="n">
        <v>2793</v>
      </c>
      <c r="B2794" t="inlineStr">
        <is>
          <t>Train</t>
        </is>
      </c>
      <c r="C2794" t="n">
        <v>5447</v>
      </c>
      <c r="D2794" t="n">
        <v>22960</v>
      </c>
      <c r="E2794" t="n">
        <v>41</v>
      </c>
      <c r="F2794" t="n">
        <v>173557</v>
      </c>
      <c r="G2794" t="n">
        <v>0</v>
      </c>
      <c r="H2794" t="n">
        <v>9</v>
      </c>
      <c r="I2794" t="n">
        <v>450715</v>
      </c>
    </row>
    <row r="2795">
      <c r="A2795" t="n">
        <v>2794</v>
      </c>
      <c r="B2795" t="inlineStr">
        <is>
          <t>Train</t>
        </is>
      </c>
      <c r="C2795" t="n">
        <v>26321</v>
      </c>
      <c r="D2795" t="n">
        <v>13260</v>
      </c>
      <c r="E2795" t="n">
        <v>46</v>
      </c>
      <c r="F2795" t="n">
        <v>36110</v>
      </c>
      <c r="G2795" t="n">
        <v>4</v>
      </c>
      <c r="H2795" t="n">
        <v>8</v>
      </c>
      <c r="I2795" t="n">
        <v>175359</v>
      </c>
    </row>
    <row r="2796">
      <c r="A2796" t="n">
        <v>2795</v>
      </c>
      <c r="B2796" t="inlineStr">
        <is>
          <t>Train</t>
        </is>
      </c>
      <c r="C2796" t="n">
        <v>30760</v>
      </c>
      <c r="D2796" t="n">
        <v>14770</v>
      </c>
      <c r="E2796" t="n">
        <v>51</v>
      </c>
      <c r="F2796" t="n">
        <v>81743</v>
      </c>
      <c r="G2796" t="n">
        <v>5</v>
      </c>
      <c r="H2796" t="n">
        <v>14</v>
      </c>
      <c r="I2796" t="n">
        <v>0</v>
      </c>
    </row>
    <row r="2797">
      <c r="A2797" t="n">
        <v>2796</v>
      </c>
      <c r="B2797" t="inlineStr">
        <is>
          <t>Train</t>
        </is>
      </c>
      <c r="C2797" t="n">
        <v>20134</v>
      </c>
      <c r="D2797" t="n">
        <v>7240</v>
      </c>
      <c r="E2797" t="n">
        <v>40</v>
      </c>
      <c r="F2797" t="n">
        <v>17372</v>
      </c>
      <c r="G2797" t="n">
        <v>3</v>
      </c>
      <c r="H2797" t="n">
        <v>9</v>
      </c>
      <c r="I2797" t="n">
        <v>107484</v>
      </c>
    </row>
    <row r="2798">
      <c r="A2798" t="n">
        <v>2797</v>
      </c>
      <c r="B2798" t="inlineStr">
        <is>
          <t>Validation</t>
        </is>
      </c>
      <c r="C2798" t="n">
        <v>5598</v>
      </c>
      <c r="D2798" t="n">
        <v>13060</v>
      </c>
      <c r="E2798" t="n">
        <v>54</v>
      </c>
      <c r="F2798" t="n">
        <v>61626</v>
      </c>
      <c r="G2798" t="n">
        <v>3</v>
      </c>
      <c r="H2798" t="n">
        <v>12</v>
      </c>
      <c r="I2798" t="n">
        <v>0</v>
      </c>
    </row>
    <row r="2799">
      <c r="A2799" t="n">
        <v>2798</v>
      </c>
      <c r="B2799" t="inlineStr">
        <is>
          <t>Validation</t>
        </is>
      </c>
      <c r="C2799" t="n">
        <v>9514</v>
      </c>
      <c r="D2799" t="n">
        <v>18560</v>
      </c>
      <c r="E2799" t="n">
        <v>54</v>
      </c>
      <c r="F2799" t="n">
        <v>71579</v>
      </c>
      <c r="G2799" t="n">
        <v>0</v>
      </c>
      <c r="H2799" t="n">
        <v>13</v>
      </c>
      <c r="I2799" t="n">
        <v>257342</v>
      </c>
    </row>
    <row r="2800">
      <c r="A2800" t="n">
        <v>2799</v>
      </c>
      <c r="B2800" t="inlineStr">
        <is>
          <t>Validation</t>
        </is>
      </c>
      <c r="C2800" t="n">
        <v>10794</v>
      </c>
      <c r="D2800" t="n">
        <v>12470</v>
      </c>
      <c r="E2800" t="n">
        <v>33</v>
      </c>
      <c r="F2800" t="n">
        <v>0</v>
      </c>
      <c r="G2800" t="n">
        <v>4</v>
      </c>
      <c r="H2800" t="n">
        <v>0</v>
      </c>
      <c r="I2800" t="n">
        <v>0</v>
      </c>
    </row>
    <row r="2801">
      <c r="A2801" t="n">
        <v>2800</v>
      </c>
      <c r="B2801" t="inlineStr">
        <is>
          <t>Train</t>
        </is>
      </c>
      <c r="C2801" t="n">
        <v>5464</v>
      </c>
      <c r="D2801" t="n">
        <v>33910</v>
      </c>
      <c r="E2801" t="n">
        <v>40</v>
      </c>
      <c r="F2801" t="n">
        <v>82505</v>
      </c>
      <c r="G2801" t="n">
        <v>2</v>
      </c>
      <c r="H2801" t="n">
        <v>11</v>
      </c>
      <c r="I2801" t="n">
        <v>0</v>
      </c>
    </row>
    <row r="2802">
      <c r="A2802" t="n">
        <v>2801</v>
      </c>
      <c r="B2802" t="inlineStr">
        <is>
          <t>Train</t>
        </is>
      </c>
      <c r="C2802" t="n">
        <v>5991</v>
      </c>
      <c r="D2802" t="n">
        <v>14910</v>
      </c>
      <c r="E2802" t="n">
        <v>38</v>
      </c>
      <c r="F2802" t="n">
        <v>29688</v>
      </c>
      <c r="G2802" t="n">
        <v>5</v>
      </c>
      <c r="H2802" t="n">
        <v>16</v>
      </c>
      <c r="I2802" t="n">
        <v>131833</v>
      </c>
    </row>
    <row r="2803">
      <c r="A2803" t="n">
        <v>2802</v>
      </c>
      <c r="B2803" t="inlineStr">
        <is>
          <t>Train</t>
        </is>
      </c>
      <c r="C2803" t="n">
        <v>7619</v>
      </c>
      <c r="D2803" t="n">
        <v>18210</v>
      </c>
      <c r="E2803" t="n">
        <v>52</v>
      </c>
      <c r="F2803" t="n">
        <v>115075</v>
      </c>
      <c r="G2803" t="n">
        <v>3</v>
      </c>
      <c r="H2803" t="n">
        <v>6</v>
      </c>
      <c r="I2803" t="n">
        <v>0</v>
      </c>
    </row>
    <row r="2804">
      <c r="A2804" t="n">
        <v>2803</v>
      </c>
      <c r="B2804" t="inlineStr">
        <is>
          <t>Train</t>
        </is>
      </c>
      <c r="C2804" t="n">
        <v>4686</v>
      </c>
      <c r="D2804" t="n">
        <v>22810</v>
      </c>
      <c r="E2804" t="n">
        <v>19</v>
      </c>
      <c r="F2804" t="n">
        <v>37536</v>
      </c>
      <c r="G2804" t="n">
        <v>10</v>
      </c>
      <c r="H2804" t="n">
        <v>8</v>
      </c>
      <c r="I2804" t="n">
        <v>0</v>
      </c>
    </row>
    <row r="2805">
      <c r="A2805" t="n">
        <v>2804</v>
      </c>
      <c r="B2805" t="inlineStr">
        <is>
          <t>Train</t>
        </is>
      </c>
      <c r="C2805" t="n">
        <v>29233</v>
      </c>
      <c r="D2805" t="n">
        <v>9560</v>
      </c>
      <c r="E2805" t="n">
        <v>44</v>
      </c>
      <c r="F2805" t="n">
        <v>36570</v>
      </c>
      <c r="G2805" t="n">
        <v>5</v>
      </c>
      <c r="H2805" t="n">
        <v>11</v>
      </c>
      <c r="I2805" t="n">
        <v>150122</v>
      </c>
    </row>
    <row r="2806">
      <c r="A2806" t="n">
        <v>2805</v>
      </c>
      <c r="B2806" t="inlineStr">
        <is>
          <t>Train</t>
        </is>
      </c>
      <c r="C2806" t="n">
        <v>26455</v>
      </c>
      <c r="D2806" t="n">
        <v>15300</v>
      </c>
      <c r="E2806" t="n">
        <v>45</v>
      </c>
      <c r="F2806" t="n">
        <v>107663</v>
      </c>
      <c r="G2806" t="n">
        <v>5</v>
      </c>
      <c r="H2806" t="n">
        <v>14</v>
      </c>
      <c r="I2806" t="n">
        <v>389586</v>
      </c>
    </row>
    <row r="2807">
      <c r="A2807" t="n">
        <v>2806</v>
      </c>
      <c r="B2807" t="inlineStr">
        <is>
          <t>Train</t>
        </is>
      </c>
      <c r="C2807" t="n">
        <v>22419</v>
      </c>
      <c r="D2807" t="n">
        <v>7380</v>
      </c>
      <c r="E2807" t="n">
        <v>36</v>
      </c>
      <c r="F2807" t="n">
        <v>58839</v>
      </c>
      <c r="G2807" t="n">
        <v>3</v>
      </c>
      <c r="H2807" t="n">
        <v>14</v>
      </c>
      <c r="I2807" t="n">
        <v>170516</v>
      </c>
    </row>
    <row r="2808">
      <c r="A2808" t="n">
        <v>2807</v>
      </c>
      <c r="B2808" t="inlineStr">
        <is>
          <t>Validation</t>
        </is>
      </c>
      <c r="C2808" t="n">
        <v>6685</v>
      </c>
      <c r="D2808" t="n">
        <v>6200</v>
      </c>
      <c r="E2808" t="n">
        <v>47</v>
      </c>
      <c r="F2808" t="n">
        <v>80232</v>
      </c>
      <c r="G2808" t="n">
        <v>0</v>
      </c>
      <c r="H2808" t="n">
        <v>12</v>
      </c>
      <c r="I2808" t="n">
        <v>0</v>
      </c>
    </row>
    <row r="2809">
      <c r="A2809" t="n">
        <v>2808</v>
      </c>
      <c r="B2809" t="inlineStr">
        <is>
          <t>Validation</t>
        </is>
      </c>
      <c r="C2809" t="n">
        <v>525</v>
      </c>
      <c r="D2809" t="n">
        <v>5700</v>
      </c>
      <c r="E2809" t="n">
        <v>44</v>
      </c>
      <c r="F2809" t="n">
        <v>38988</v>
      </c>
      <c r="G2809" t="n">
        <v>1</v>
      </c>
      <c r="H2809" t="n">
        <v>11</v>
      </c>
      <c r="I2809" t="n">
        <v>152614</v>
      </c>
    </row>
    <row r="2810">
      <c r="A2810" t="n">
        <v>2809</v>
      </c>
      <c r="B2810" t="inlineStr">
        <is>
          <t>Validation</t>
        </is>
      </c>
      <c r="C2810" t="n">
        <v>7902</v>
      </c>
      <c r="D2810" t="n">
        <v>5630</v>
      </c>
      <c r="E2810" t="n">
        <v>41</v>
      </c>
      <c r="F2810" t="n">
        <v>257</v>
      </c>
      <c r="G2810" t="n">
        <v>5</v>
      </c>
      <c r="H2810" t="n">
        <v>13</v>
      </c>
      <c r="I2810" t="n">
        <v>0</v>
      </c>
    </row>
    <row r="2811">
      <c r="A2811" t="n">
        <v>2810</v>
      </c>
      <c r="B2811" t="inlineStr">
        <is>
          <t>Train</t>
        </is>
      </c>
      <c r="C2811" t="n">
        <v>5065</v>
      </c>
      <c r="D2811" t="n">
        <v>9240</v>
      </c>
      <c r="E2811" t="n">
        <v>28</v>
      </c>
      <c r="F2811" t="n">
        <v>36113</v>
      </c>
      <c r="G2811" t="n">
        <v>5</v>
      </c>
      <c r="H2811" t="n">
        <v>9</v>
      </c>
      <c r="I2811" t="n">
        <v>187871</v>
      </c>
    </row>
    <row r="2812">
      <c r="A2812" t="n">
        <v>2811</v>
      </c>
      <c r="B2812" t="inlineStr">
        <is>
          <t>Train</t>
        </is>
      </c>
      <c r="C2812" t="n">
        <v>4449</v>
      </c>
      <c r="D2812" t="n">
        <v>11700</v>
      </c>
      <c r="E2812" t="n">
        <v>43</v>
      </c>
      <c r="F2812" t="n">
        <v>59026</v>
      </c>
      <c r="G2812" t="n">
        <v>0</v>
      </c>
      <c r="H2812" t="n">
        <v>11</v>
      </c>
      <c r="I2812" t="n">
        <v>0</v>
      </c>
    </row>
    <row r="2813">
      <c r="A2813" t="n">
        <v>2812</v>
      </c>
      <c r="B2813" t="inlineStr">
        <is>
          <t>Train</t>
        </is>
      </c>
      <c r="C2813" t="n">
        <v>39058</v>
      </c>
      <c r="D2813" t="n">
        <v>11940</v>
      </c>
      <c r="E2813" t="n">
        <v>42</v>
      </c>
      <c r="F2813" t="n">
        <v>62386</v>
      </c>
      <c r="G2813" t="n">
        <v>6</v>
      </c>
      <c r="H2813" t="n">
        <v>12</v>
      </c>
      <c r="I2813" t="n">
        <v>202871</v>
      </c>
    </row>
    <row r="2814">
      <c r="A2814" t="n">
        <v>2813</v>
      </c>
      <c r="B2814" t="inlineStr">
        <is>
          <t>Train</t>
        </is>
      </c>
      <c r="C2814" t="n">
        <v>3719</v>
      </c>
      <c r="D2814" t="n">
        <v>21510</v>
      </c>
      <c r="E2814" t="n">
        <v>36</v>
      </c>
      <c r="F2814" t="n">
        <v>31259</v>
      </c>
      <c r="G2814" t="n">
        <v>0</v>
      </c>
      <c r="H2814" t="n">
        <v>13</v>
      </c>
      <c r="I2814" t="n">
        <v>145148</v>
      </c>
    </row>
    <row r="2815">
      <c r="A2815" t="n">
        <v>2814</v>
      </c>
      <c r="B2815" t="inlineStr">
        <is>
          <t>Train</t>
        </is>
      </c>
      <c r="C2815" t="n">
        <v>3893</v>
      </c>
      <c r="D2815" t="n">
        <v>15180</v>
      </c>
      <c r="E2815" t="n">
        <v>39</v>
      </c>
      <c r="F2815" t="n">
        <v>48490</v>
      </c>
      <c r="G2815" t="n">
        <v>0</v>
      </c>
      <c r="H2815" t="n">
        <v>8</v>
      </c>
      <c r="I2815" t="n">
        <v>195777</v>
      </c>
    </row>
    <row r="2816">
      <c r="A2816" t="n">
        <v>2815</v>
      </c>
      <c r="B2816" t="inlineStr">
        <is>
          <t>Train</t>
        </is>
      </c>
      <c r="C2816" t="n">
        <v>1320</v>
      </c>
      <c r="D2816" t="n">
        <v>7900</v>
      </c>
      <c r="E2816" t="n">
        <v>26</v>
      </c>
      <c r="F2816" t="n">
        <v>24722</v>
      </c>
      <c r="G2816" t="n">
        <v>10</v>
      </c>
      <c r="H2816" t="n">
        <v>9</v>
      </c>
      <c r="I2816" t="n">
        <v>0</v>
      </c>
    </row>
    <row r="2817">
      <c r="A2817" t="n">
        <v>2816</v>
      </c>
      <c r="B2817" t="inlineStr">
        <is>
          <t>Train</t>
        </is>
      </c>
      <c r="C2817" t="n">
        <v>7191</v>
      </c>
      <c r="D2817" t="n">
        <v>13000</v>
      </c>
      <c r="E2817" t="n">
        <v>22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2817</v>
      </c>
      <c r="B2818" t="inlineStr">
        <is>
          <t>Validation</t>
        </is>
      </c>
      <c r="C2818" t="n">
        <v>7537</v>
      </c>
      <c r="D2818" t="n">
        <v>28640</v>
      </c>
      <c r="E2818" t="n">
        <v>44</v>
      </c>
      <c r="F2818" t="n">
        <v>85472</v>
      </c>
      <c r="G2818" t="n">
        <v>0</v>
      </c>
      <c r="H2818" t="n">
        <v>15</v>
      </c>
      <c r="I2818" t="n">
        <v>310143</v>
      </c>
    </row>
    <row r="2819">
      <c r="A2819" t="n">
        <v>2818</v>
      </c>
      <c r="B2819" t="inlineStr">
        <is>
          <t>Validation</t>
        </is>
      </c>
      <c r="C2819" t="n">
        <v>6091</v>
      </c>
      <c r="D2819" t="n">
        <v>21160</v>
      </c>
      <c r="E2819" t="n">
        <v>29</v>
      </c>
      <c r="F2819" t="n">
        <v>109719</v>
      </c>
      <c r="G2819" t="n">
        <v>3</v>
      </c>
      <c r="H2819" t="n">
        <v>12</v>
      </c>
      <c r="I2819" t="n">
        <v>0</v>
      </c>
    </row>
    <row r="2820">
      <c r="A2820" t="n">
        <v>2819</v>
      </c>
      <c r="B2820" t="inlineStr">
        <is>
          <t>Validation</t>
        </is>
      </c>
      <c r="C2820" t="n">
        <v>7795</v>
      </c>
      <c r="D2820" t="n">
        <v>4980</v>
      </c>
      <c r="E2820" t="n">
        <v>57</v>
      </c>
      <c r="F2820" t="n">
        <v>26634</v>
      </c>
      <c r="G2820" t="n">
        <v>7</v>
      </c>
      <c r="H2820" t="n">
        <v>13</v>
      </c>
      <c r="I2820" t="n">
        <v>167976</v>
      </c>
    </row>
    <row r="2821">
      <c r="A2821" t="n">
        <v>2820</v>
      </c>
      <c r="B2821" t="inlineStr">
        <is>
          <t>Train</t>
        </is>
      </c>
      <c r="C2821" t="n">
        <v>935</v>
      </c>
      <c r="D2821" t="n">
        <v>14760</v>
      </c>
      <c r="E2821" t="n">
        <v>51</v>
      </c>
      <c r="F2821" t="n">
        <v>24119</v>
      </c>
      <c r="G2821" t="n">
        <v>3</v>
      </c>
      <c r="H2821" t="n">
        <v>16</v>
      </c>
      <c r="I2821" t="n">
        <v>123904</v>
      </c>
    </row>
    <row r="2822">
      <c r="A2822" t="n">
        <v>2821</v>
      </c>
      <c r="B2822" t="inlineStr">
        <is>
          <t>Train</t>
        </is>
      </c>
      <c r="C2822" t="n">
        <v>37642</v>
      </c>
      <c r="D2822" t="n">
        <v>18880</v>
      </c>
      <c r="E2822" t="n">
        <v>44</v>
      </c>
      <c r="F2822" t="n">
        <v>35066</v>
      </c>
      <c r="G2822" t="n">
        <v>6</v>
      </c>
      <c r="H2822" t="n">
        <v>17</v>
      </c>
      <c r="I2822" t="n">
        <v>0</v>
      </c>
    </row>
    <row r="2823">
      <c r="A2823" t="n">
        <v>2822</v>
      </c>
      <c r="B2823" t="inlineStr">
        <is>
          <t>Train</t>
        </is>
      </c>
      <c r="C2823" t="n">
        <v>5334</v>
      </c>
      <c r="D2823" t="n">
        <v>6100</v>
      </c>
      <c r="E2823" t="n">
        <v>46</v>
      </c>
      <c r="F2823" t="n">
        <v>57209</v>
      </c>
      <c r="G2823" t="n">
        <v>5</v>
      </c>
      <c r="H2823" t="n">
        <v>11</v>
      </c>
      <c r="I2823" t="n">
        <v>214461</v>
      </c>
    </row>
    <row r="2824">
      <c r="A2824" t="n">
        <v>2823</v>
      </c>
      <c r="B2824" t="inlineStr">
        <is>
          <t>Train</t>
        </is>
      </c>
      <c r="C2824" t="n">
        <v>27632</v>
      </c>
      <c r="D2824" t="n">
        <v>13460</v>
      </c>
      <c r="E2824" t="n">
        <v>41</v>
      </c>
      <c r="F2824" t="n">
        <v>23327</v>
      </c>
      <c r="G2824" t="n">
        <v>8</v>
      </c>
      <c r="H2824" t="n">
        <v>12</v>
      </c>
      <c r="I2824" t="n">
        <v>147099</v>
      </c>
    </row>
    <row r="2825">
      <c r="A2825" t="n">
        <v>2824</v>
      </c>
      <c r="B2825" t="inlineStr">
        <is>
          <t>Train</t>
        </is>
      </c>
      <c r="C2825" t="n">
        <v>34646</v>
      </c>
      <c r="D2825" t="n">
        <v>35240</v>
      </c>
      <c r="E2825" t="n">
        <v>43</v>
      </c>
      <c r="F2825" t="n">
        <v>101805</v>
      </c>
      <c r="G2825" t="n">
        <v>4</v>
      </c>
      <c r="H2825" t="n">
        <v>9</v>
      </c>
      <c r="I2825" t="n">
        <v>0</v>
      </c>
    </row>
    <row r="2826">
      <c r="A2826" t="n">
        <v>2825</v>
      </c>
      <c r="B2826" t="inlineStr">
        <is>
          <t>Train</t>
        </is>
      </c>
      <c r="C2826" t="n">
        <v>5274</v>
      </c>
      <c r="D2826" t="n">
        <v>18460</v>
      </c>
      <c r="E2826" t="n">
        <v>41</v>
      </c>
      <c r="F2826" t="n">
        <v>42206</v>
      </c>
      <c r="G2826" t="n">
        <v>10</v>
      </c>
      <c r="H2826" t="n">
        <v>13</v>
      </c>
      <c r="I2826" t="n">
        <v>0</v>
      </c>
    </row>
    <row r="2827">
      <c r="A2827" t="n">
        <v>2826</v>
      </c>
      <c r="B2827" t="inlineStr">
        <is>
          <t>Train</t>
        </is>
      </c>
      <c r="C2827" t="n">
        <v>5762</v>
      </c>
      <c r="D2827" t="n">
        <v>9910</v>
      </c>
      <c r="E2827" t="n">
        <v>45</v>
      </c>
      <c r="F2827" t="n">
        <v>39055</v>
      </c>
      <c r="G2827" t="n">
        <v>6</v>
      </c>
      <c r="H2827" t="n">
        <v>15</v>
      </c>
      <c r="I2827" t="n">
        <v>133294</v>
      </c>
    </row>
    <row r="2828">
      <c r="A2828" t="n">
        <v>2827</v>
      </c>
      <c r="B2828" t="inlineStr">
        <is>
          <t>Validation</t>
        </is>
      </c>
      <c r="C2828" t="n">
        <v>33864</v>
      </c>
      <c r="D2828" t="n">
        <v>11620</v>
      </c>
      <c r="E2828" t="n">
        <v>51</v>
      </c>
      <c r="F2828" t="n">
        <v>50166</v>
      </c>
      <c r="G2828" t="n">
        <v>5</v>
      </c>
      <c r="H2828" t="n">
        <v>9</v>
      </c>
      <c r="I2828" t="n">
        <v>187297</v>
      </c>
    </row>
    <row r="2829">
      <c r="A2829" t="n">
        <v>2828</v>
      </c>
      <c r="B2829" t="inlineStr">
        <is>
          <t>Validation</t>
        </is>
      </c>
      <c r="C2829" t="n">
        <v>26749</v>
      </c>
      <c r="D2829" t="n">
        <v>17000</v>
      </c>
      <c r="E2829" t="n">
        <v>58</v>
      </c>
      <c r="F2829" t="n">
        <v>34136</v>
      </c>
      <c r="G2829" t="n">
        <v>4</v>
      </c>
      <c r="H2829" t="n">
        <v>13</v>
      </c>
      <c r="I2829" t="n">
        <v>163417</v>
      </c>
    </row>
    <row r="2830">
      <c r="A2830" t="n">
        <v>2829</v>
      </c>
      <c r="B2830" t="inlineStr">
        <is>
          <t>Validation</t>
        </is>
      </c>
      <c r="C2830" t="n">
        <v>7337</v>
      </c>
      <c r="D2830" t="n">
        <v>27400</v>
      </c>
      <c r="E2830" t="n">
        <v>52</v>
      </c>
      <c r="F2830" t="n">
        <v>78271</v>
      </c>
      <c r="G2830" t="n">
        <v>5</v>
      </c>
      <c r="H2830" t="n">
        <v>14</v>
      </c>
      <c r="I2830" t="n">
        <v>274598</v>
      </c>
    </row>
    <row r="2831">
      <c r="A2831" t="n">
        <v>2830</v>
      </c>
      <c r="B2831" t="inlineStr">
        <is>
          <t>Train</t>
        </is>
      </c>
      <c r="C2831" t="n">
        <v>47097</v>
      </c>
      <c r="D2831" t="n">
        <v>14580</v>
      </c>
      <c r="E2831" t="n">
        <v>53</v>
      </c>
      <c r="F2831" t="n">
        <v>117470</v>
      </c>
      <c r="G2831" t="n">
        <v>0</v>
      </c>
      <c r="H2831" t="n">
        <v>13</v>
      </c>
      <c r="I2831" t="n">
        <v>357727</v>
      </c>
    </row>
    <row r="2832">
      <c r="A2832" t="n">
        <v>2831</v>
      </c>
      <c r="B2832" t="inlineStr">
        <is>
          <t>Train</t>
        </is>
      </c>
      <c r="C2832" t="n">
        <v>4285</v>
      </c>
      <c r="D2832" t="n">
        <v>10220</v>
      </c>
      <c r="E2832" t="n">
        <v>55</v>
      </c>
      <c r="F2832" t="n">
        <v>32227</v>
      </c>
      <c r="G2832" t="n">
        <v>3</v>
      </c>
      <c r="H2832" t="n">
        <v>12</v>
      </c>
      <c r="I2832" t="n">
        <v>134375</v>
      </c>
    </row>
    <row r="2833">
      <c r="A2833" t="n">
        <v>2832</v>
      </c>
      <c r="B2833" t="inlineStr">
        <is>
          <t>Train</t>
        </is>
      </c>
      <c r="C2833" t="n">
        <v>6713</v>
      </c>
      <c r="D2833" t="n">
        <v>20040</v>
      </c>
      <c r="E2833" t="n">
        <v>57</v>
      </c>
      <c r="F2833" t="n">
        <v>128441</v>
      </c>
      <c r="G2833" t="n">
        <v>7</v>
      </c>
      <c r="H2833" t="n">
        <v>11</v>
      </c>
      <c r="I2833" t="n">
        <v>374931</v>
      </c>
    </row>
    <row r="2834">
      <c r="A2834" t="n">
        <v>2833</v>
      </c>
      <c r="B2834" t="inlineStr">
        <is>
          <t>Train</t>
        </is>
      </c>
      <c r="C2834" t="n">
        <v>6164</v>
      </c>
      <c r="D2834" t="n">
        <v>11100</v>
      </c>
      <c r="E2834" t="n">
        <v>56</v>
      </c>
      <c r="F2834" t="n">
        <v>55380</v>
      </c>
      <c r="G2834" t="n">
        <v>7</v>
      </c>
      <c r="H2834" t="n">
        <v>16</v>
      </c>
      <c r="I2834" t="n">
        <v>0</v>
      </c>
    </row>
    <row r="2835">
      <c r="A2835" t="n">
        <v>2834</v>
      </c>
      <c r="B2835" t="inlineStr">
        <is>
          <t>Train</t>
        </is>
      </c>
      <c r="C2835" t="n">
        <v>28499</v>
      </c>
      <c r="D2835" t="n">
        <v>13760</v>
      </c>
      <c r="E2835" t="n">
        <v>44</v>
      </c>
      <c r="F2835" t="n">
        <v>81369</v>
      </c>
      <c r="G2835" t="n">
        <v>5</v>
      </c>
      <c r="H2835" t="n">
        <v>14</v>
      </c>
      <c r="I2835" t="n">
        <v>226959</v>
      </c>
    </row>
    <row r="2836">
      <c r="A2836" t="n">
        <v>2835</v>
      </c>
      <c r="B2836" t="inlineStr">
        <is>
          <t>Train</t>
        </is>
      </c>
      <c r="C2836" t="n">
        <v>6313</v>
      </c>
      <c r="D2836" t="n">
        <v>30470</v>
      </c>
      <c r="E2836" t="n">
        <v>48</v>
      </c>
      <c r="F2836" t="n">
        <v>44895</v>
      </c>
      <c r="G2836" t="n">
        <v>3</v>
      </c>
      <c r="H2836" t="n">
        <v>12</v>
      </c>
      <c r="I2836" t="n">
        <v>139265</v>
      </c>
    </row>
    <row r="2837">
      <c r="A2837" t="n">
        <v>2836</v>
      </c>
      <c r="B2837" t="inlineStr">
        <is>
          <t>Train</t>
        </is>
      </c>
      <c r="C2837" t="n">
        <v>8260</v>
      </c>
      <c r="D2837" t="n">
        <v>20880</v>
      </c>
      <c r="E2837" t="n">
        <v>42</v>
      </c>
      <c r="F2837" t="n">
        <v>32038</v>
      </c>
      <c r="G2837" t="n">
        <v>1</v>
      </c>
      <c r="H2837" t="n">
        <v>17</v>
      </c>
      <c r="I2837" t="n">
        <v>156632</v>
      </c>
    </row>
    <row r="2838">
      <c r="A2838" t="n">
        <v>2837</v>
      </c>
      <c r="B2838" t="inlineStr">
        <is>
          <t>Validation</t>
        </is>
      </c>
      <c r="C2838" t="n">
        <v>1823</v>
      </c>
      <c r="D2838" t="n">
        <v>23550</v>
      </c>
      <c r="E2838" t="n">
        <v>39</v>
      </c>
      <c r="F2838" t="n">
        <v>46491</v>
      </c>
      <c r="G2838" t="n">
        <v>4</v>
      </c>
      <c r="H2838" t="n">
        <v>10</v>
      </c>
      <c r="I2838" t="n">
        <v>0</v>
      </c>
    </row>
    <row r="2839">
      <c r="A2839" t="n">
        <v>2838</v>
      </c>
      <c r="B2839" t="inlineStr">
        <is>
          <t>Validation</t>
        </is>
      </c>
      <c r="C2839" t="n">
        <v>7369</v>
      </c>
      <c r="D2839" t="n">
        <v>16760</v>
      </c>
      <c r="E2839" t="n">
        <v>55</v>
      </c>
      <c r="F2839" t="n">
        <v>27688</v>
      </c>
      <c r="G2839" t="n">
        <v>3</v>
      </c>
      <c r="H2839" t="n">
        <v>12</v>
      </c>
      <c r="I2839" t="n">
        <v>0</v>
      </c>
    </row>
    <row r="2840">
      <c r="A2840" t="n">
        <v>2839</v>
      </c>
      <c r="B2840" t="inlineStr">
        <is>
          <t>Validation</t>
        </is>
      </c>
      <c r="C2840" t="n">
        <v>4842</v>
      </c>
      <c r="D2840" t="n">
        <v>22900</v>
      </c>
      <c r="E2840" t="n">
        <v>46</v>
      </c>
      <c r="F2840" t="n">
        <v>102253</v>
      </c>
      <c r="G2840" t="n">
        <v>6</v>
      </c>
      <c r="H2840" t="n">
        <v>2</v>
      </c>
      <c r="I2840" t="n">
        <v>265759</v>
      </c>
    </row>
    <row r="2841">
      <c r="A2841" t="n">
        <v>2840</v>
      </c>
      <c r="B2841" t="inlineStr">
        <is>
          <t>Train</t>
        </is>
      </c>
      <c r="C2841" t="n">
        <v>1125</v>
      </c>
      <c r="D2841" t="n">
        <v>15440</v>
      </c>
      <c r="E2841" t="n">
        <v>57</v>
      </c>
      <c r="F2841" t="n">
        <v>51343</v>
      </c>
      <c r="G2841" t="n">
        <v>4</v>
      </c>
      <c r="H2841" t="n">
        <v>13</v>
      </c>
      <c r="I2841" t="n">
        <v>175607</v>
      </c>
    </row>
    <row r="2842">
      <c r="A2842" t="n">
        <v>2841</v>
      </c>
      <c r="B2842" t="inlineStr">
        <is>
          <t>Train</t>
        </is>
      </c>
      <c r="C2842" t="n">
        <v>8438</v>
      </c>
      <c r="D2842" t="n">
        <v>4950</v>
      </c>
      <c r="E2842" t="n">
        <v>28</v>
      </c>
      <c r="F2842" t="n">
        <v>0</v>
      </c>
      <c r="G2842" t="n">
        <v>4</v>
      </c>
      <c r="H2842" t="n">
        <v>0</v>
      </c>
      <c r="I2842" t="n">
        <v>0</v>
      </c>
    </row>
    <row r="2843">
      <c r="A2843" t="n">
        <v>2842</v>
      </c>
      <c r="B2843" t="inlineStr">
        <is>
          <t>Train</t>
        </is>
      </c>
      <c r="C2843" t="n">
        <v>3589</v>
      </c>
      <c r="D2843" t="n">
        <v>27830</v>
      </c>
      <c r="E2843" t="n">
        <v>58</v>
      </c>
      <c r="F2843" t="n">
        <v>72840</v>
      </c>
      <c r="G2843" t="n">
        <v>7</v>
      </c>
      <c r="H2843" t="n">
        <v>13</v>
      </c>
      <c r="I2843" t="n">
        <v>277784</v>
      </c>
    </row>
    <row r="2844">
      <c r="A2844" t="n">
        <v>2843</v>
      </c>
      <c r="B2844" t="inlineStr">
        <is>
          <t>Train</t>
        </is>
      </c>
      <c r="C2844" t="n">
        <v>1942</v>
      </c>
      <c r="D2844" t="n">
        <v>21090</v>
      </c>
      <c r="E2844" t="n">
        <v>43</v>
      </c>
      <c r="F2844" t="n">
        <v>90610</v>
      </c>
      <c r="G2844" t="n">
        <v>6</v>
      </c>
      <c r="H2844" t="n">
        <v>10</v>
      </c>
      <c r="I2844" t="n">
        <v>260271</v>
      </c>
    </row>
    <row r="2845">
      <c r="A2845" t="n">
        <v>2844</v>
      </c>
      <c r="B2845" t="inlineStr">
        <is>
          <t>Train</t>
        </is>
      </c>
      <c r="C2845" t="n">
        <v>10023</v>
      </c>
      <c r="D2845" t="n">
        <v>24980</v>
      </c>
      <c r="E2845" t="n">
        <v>41</v>
      </c>
      <c r="F2845" t="n">
        <v>52942</v>
      </c>
      <c r="G2845" t="n">
        <v>2</v>
      </c>
      <c r="H2845" t="n">
        <v>6</v>
      </c>
      <c r="I2845" t="n">
        <v>0</v>
      </c>
    </row>
    <row r="2846">
      <c r="A2846" t="n">
        <v>2845</v>
      </c>
      <c r="B2846" t="inlineStr">
        <is>
          <t>Train</t>
        </is>
      </c>
      <c r="C2846" t="n">
        <v>6555</v>
      </c>
      <c r="D2846" t="n">
        <v>9910</v>
      </c>
      <c r="E2846" t="n">
        <v>48</v>
      </c>
      <c r="F2846" t="n">
        <v>114544</v>
      </c>
      <c r="G2846" t="n">
        <v>0</v>
      </c>
      <c r="H2846" t="n">
        <v>14</v>
      </c>
      <c r="I2846" t="n">
        <v>326091</v>
      </c>
    </row>
    <row r="2847">
      <c r="A2847" t="n">
        <v>2846</v>
      </c>
      <c r="B2847" t="inlineStr">
        <is>
          <t>Train</t>
        </is>
      </c>
      <c r="C2847" t="n">
        <v>33999</v>
      </c>
      <c r="D2847" t="n">
        <v>12440</v>
      </c>
      <c r="E2847" t="n">
        <v>36</v>
      </c>
      <c r="F2847" t="n">
        <v>73430</v>
      </c>
      <c r="G2847" t="n">
        <v>2</v>
      </c>
      <c r="H2847" t="n">
        <v>9</v>
      </c>
      <c r="I2847" t="n">
        <v>235484</v>
      </c>
    </row>
    <row r="2848">
      <c r="A2848" t="n">
        <v>2847</v>
      </c>
      <c r="B2848" t="inlineStr">
        <is>
          <t>Validation</t>
        </is>
      </c>
      <c r="C2848" t="n">
        <v>7884</v>
      </c>
      <c r="D2848" t="n">
        <v>12350</v>
      </c>
      <c r="E2848" t="n">
        <v>30</v>
      </c>
      <c r="F2848" t="n">
        <v>51110</v>
      </c>
      <c r="G2848" t="n">
        <v>2</v>
      </c>
      <c r="H2848" t="n">
        <v>12</v>
      </c>
      <c r="I2848" t="n">
        <v>176252</v>
      </c>
    </row>
    <row r="2849">
      <c r="A2849" t="n">
        <v>2848</v>
      </c>
      <c r="B2849" t="inlineStr">
        <is>
          <t>Validation</t>
        </is>
      </c>
      <c r="C2849" t="n">
        <v>7507</v>
      </c>
      <c r="D2849" t="n">
        <v>11700</v>
      </c>
      <c r="E2849" t="n">
        <v>40</v>
      </c>
      <c r="F2849" t="n">
        <v>62024</v>
      </c>
      <c r="G2849" t="n">
        <v>4</v>
      </c>
      <c r="H2849" t="n">
        <v>16</v>
      </c>
      <c r="I2849" t="n">
        <v>233053</v>
      </c>
    </row>
    <row r="2850">
      <c r="A2850" t="n">
        <v>2849</v>
      </c>
      <c r="B2850" t="inlineStr">
        <is>
          <t>Validation</t>
        </is>
      </c>
      <c r="C2850" t="n">
        <v>4101</v>
      </c>
      <c r="D2850" t="n">
        <v>23390</v>
      </c>
      <c r="E2850" t="n">
        <v>42</v>
      </c>
      <c r="F2850" t="n">
        <v>37586</v>
      </c>
      <c r="G2850" t="n">
        <v>3</v>
      </c>
      <c r="H2850" t="n">
        <v>15</v>
      </c>
      <c r="I2850" t="n">
        <v>120221</v>
      </c>
    </row>
    <row r="2851">
      <c r="A2851" t="n">
        <v>2850</v>
      </c>
      <c r="B2851" t="inlineStr">
        <is>
          <t>Train</t>
        </is>
      </c>
      <c r="C2851" t="n">
        <v>4636</v>
      </c>
      <c r="D2851" t="n">
        <v>17520</v>
      </c>
      <c r="E2851" t="n">
        <v>46</v>
      </c>
      <c r="F2851" t="n">
        <v>153199</v>
      </c>
      <c r="G2851" t="n">
        <v>4</v>
      </c>
      <c r="H2851" t="n">
        <v>13</v>
      </c>
      <c r="I2851" t="n">
        <v>370944</v>
      </c>
    </row>
    <row r="2852">
      <c r="A2852" t="n">
        <v>2851</v>
      </c>
      <c r="B2852" t="inlineStr">
        <is>
          <t>Train</t>
        </is>
      </c>
      <c r="C2852" t="n">
        <v>6700</v>
      </c>
      <c r="D2852" t="n">
        <v>17830</v>
      </c>
      <c r="E2852" t="n">
        <v>53</v>
      </c>
      <c r="F2852" t="n">
        <v>91516</v>
      </c>
      <c r="G2852" t="n">
        <v>3</v>
      </c>
      <c r="H2852" t="n">
        <v>12</v>
      </c>
      <c r="I2852" t="n">
        <v>276176</v>
      </c>
    </row>
    <row r="2853">
      <c r="A2853" t="n">
        <v>2852</v>
      </c>
      <c r="B2853" t="inlineStr">
        <is>
          <t>Train</t>
        </is>
      </c>
      <c r="C2853" t="n">
        <v>9171</v>
      </c>
      <c r="D2853" t="n">
        <v>11210</v>
      </c>
      <c r="E2853" t="n">
        <v>57</v>
      </c>
      <c r="F2853" t="n">
        <v>40122</v>
      </c>
      <c r="G2853" t="n">
        <v>7</v>
      </c>
      <c r="H2853" t="n">
        <v>14</v>
      </c>
      <c r="I2853" t="n">
        <v>171054</v>
      </c>
    </row>
    <row r="2854">
      <c r="A2854" t="n">
        <v>2853</v>
      </c>
      <c r="B2854" t="inlineStr">
        <is>
          <t>Train</t>
        </is>
      </c>
      <c r="C2854" t="n">
        <v>5513</v>
      </c>
      <c r="D2854" t="n">
        <v>7620</v>
      </c>
      <c r="E2854" t="n">
        <v>47</v>
      </c>
      <c r="F2854" t="n">
        <v>50323</v>
      </c>
      <c r="G2854" t="n">
        <v>1</v>
      </c>
      <c r="H2854" t="n">
        <v>13</v>
      </c>
      <c r="I2854" t="n">
        <v>183327</v>
      </c>
    </row>
    <row r="2855">
      <c r="A2855" t="n">
        <v>2854</v>
      </c>
      <c r="B2855" t="inlineStr">
        <is>
          <t>Train</t>
        </is>
      </c>
      <c r="C2855" t="n">
        <v>2054</v>
      </c>
      <c r="D2855" t="n">
        <v>7660</v>
      </c>
      <c r="E2855" t="n">
        <v>39</v>
      </c>
      <c r="F2855" t="n">
        <v>39512</v>
      </c>
      <c r="G2855" t="n">
        <v>1</v>
      </c>
      <c r="H2855" t="n">
        <v>10</v>
      </c>
      <c r="I2855" t="n">
        <v>0</v>
      </c>
    </row>
    <row r="2856">
      <c r="A2856" t="n">
        <v>2855</v>
      </c>
      <c r="B2856" t="inlineStr">
        <is>
          <t>Train</t>
        </is>
      </c>
      <c r="C2856" t="n">
        <v>6149</v>
      </c>
      <c r="D2856" t="n">
        <v>27630</v>
      </c>
      <c r="E2856" t="n">
        <v>46</v>
      </c>
      <c r="F2856" t="n">
        <v>67381</v>
      </c>
      <c r="G2856" t="n">
        <v>4</v>
      </c>
      <c r="H2856" t="n">
        <v>12</v>
      </c>
      <c r="I2856" t="n">
        <v>226928</v>
      </c>
    </row>
    <row r="2857">
      <c r="A2857" t="n">
        <v>2856</v>
      </c>
      <c r="B2857" t="inlineStr">
        <is>
          <t>Train</t>
        </is>
      </c>
      <c r="C2857" t="n">
        <v>778</v>
      </c>
      <c r="D2857" t="n">
        <v>14070</v>
      </c>
      <c r="E2857" t="n">
        <v>35</v>
      </c>
      <c r="F2857" t="n">
        <v>110312</v>
      </c>
      <c r="G2857" t="n">
        <v>4</v>
      </c>
      <c r="H2857" t="n">
        <v>12</v>
      </c>
      <c r="I2857" t="n">
        <v>0</v>
      </c>
    </row>
    <row r="2858">
      <c r="A2858" t="n">
        <v>2857</v>
      </c>
      <c r="B2858" t="inlineStr">
        <is>
          <t>Validation</t>
        </is>
      </c>
      <c r="C2858" t="n">
        <v>2213</v>
      </c>
      <c r="D2858" t="n">
        <v>15250</v>
      </c>
      <c r="E2858" t="n">
        <v>43</v>
      </c>
      <c r="F2858" t="n">
        <v>23035</v>
      </c>
      <c r="G2858" t="n">
        <v>2</v>
      </c>
      <c r="H2858" t="n">
        <v>9</v>
      </c>
      <c r="I2858" t="n">
        <v>0</v>
      </c>
    </row>
    <row r="2859">
      <c r="A2859" t="n">
        <v>2858</v>
      </c>
      <c r="B2859" t="inlineStr">
        <is>
          <t>Validation</t>
        </is>
      </c>
      <c r="C2859" t="n">
        <v>7068</v>
      </c>
      <c r="D2859" t="n">
        <v>13530</v>
      </c>
      <c r="E2859" t="n">
        <v>56</v>
      </c>
      <c r="F2859" t="n">
        <v>127361</v>
      </c>
      <c r="G2859" t="n">
        <v>0</v>
      </c>
      <c r="H2859" t="n">
        <v>16</v>
      </c>
      <c r="I2859" t="n">
        <v>405729</v>
      </c>
    </row>
    <row r="2860">
      <c r="A2860" t="n">
        <v>2859</v>
      </c>
      <c r="B2860" t="inlineStr">
        <is>
          <t>Validation</t>
        </is>
      </c>
      <c r="C2860" t="n">
        <v>2758</v>
      </c>
      <c r="D2860" t="n">
        <v>20240</v>
      </c>
      <c r="E2860" t="n">
        <v>49</v>
      </c>
      <c r="F2860" t="n">
        <v>138368</v>
      </c>
      <c r="G2860" t="n">
        <v>4</v>
      </c>
      <c r="H2860" t="n">
        <v>10</v>
      </c>
      <c r="I2860" t="n">
        <v>348250</v>
      </c>
    </row>
    <row r="2861">
      <c r="A2861" t="n">
        <v>2860</v>
      </c>
      <c r="B2861" t="inlineStr">
        <is>
          <t>Train</t>
        </is>
      </c>
      <c r="C2861" t="n">
        <v>7540</v>
      </c>
      <c r="D2861" t="n">
        <v>14590</v>
      </c>
      <c r="E2861" t="n">
        <v>63</v>
      </c>
      <c r="F2861" t="n">
        <v>0</v>
      </c>
      <c r="G2861" t="n">
        <v>4</v>
      </c>
      <c r="H2861" t="n">
        <v>0</v>
      </c>
      <c r="I2861" t="n">
        <v>89932</v>
      </c>
    </row>
    <row r="2862">
      <c r="A2862" t="n">
        <v>2861</v>
      </c>
      <c r="B2862" t="inlineStr">
        <is>
          <t>Train</t>
        </is>
      </c>
      <c r="C2862" t="n">
        <v>31332</v>
      </c>
      <c r="D2862" t="n">
        <v>10250</v>
      </c>
      <c r="E2862" t="n">
        <v>33</v>
      </c>
      <c r="F2862" t="n">
        <v>54480</v>
      </c>
      <c r="G2862" t="n">
        <v>5</v>
      </c>
      <c r="H2862" t="n">
        <v>12</v>
      </c>
      <c r="I2862" t="n">
        <v>180381</v>
      </c>
    </row>
    <row r="2863">
      <c r="A2863" t="n">
        <v>2862</v>
      </c>
      <c r="B2863" t="inlineStr">
        <is>
          <t>Train</t>
        </is>
      </c>
      <c r="C2863" t="n">
        <v>13118</v>
      </c>
      <c r="D2863" t="n">
        <v>20210</v>
      </c>
      <c r="E2863" t="n">
        <v>50</v>
      </c>
      <c r="F2863" t="n">
        <v>77950</v>
      </c>
      <c r="G2863" t="n">
        <v>4</v>
      </c>
      <c r="H2863" t="n">
        <v>10</v>
      </c>
      <c r="I2863" t="n">
        <v>241690</v>
      </c>
    </row>
    <row r="2864">
      <c r="A2864" t="n">
        <v>2863</v>
      </c>
      <c r="B2864" t="inlineStr">
        <is>
          <t>Train</t>
        </is>
      </c>
      <c r="C2864" t="n">
        <v>4688</v>
      </c>
      <c r="D2864" t="n">
        <v>12190</v>
      </c>
      <c r="E2864" t="n">
        <v>35</v>
      </c>
      <c r="F2864" t="n">
        <v>71903</v>
      </c>
      <c r="G2864" t="n">
        <v>0</v>
      </c>
      <c r="H2864" t="n">
        <v>12</v>
      </c>
      <c r="I2864" t="n">
        <v>261075</v>
      </c>
    </row>
    <row r="2865">
      <c r="A2865" t="n">
        <v>2864</v>
      </c>
      <c r="B2865" t="inlineStr">
        <is>
          <t>Train</t>
        </is>
      </c>
      <c r="C2865" t="n">
        <v>5330</v>
      </c>
      <c r="D2865" t="n">
        <v>16230</v>
      </c>
      <c r="E2865" t="n">
        <v>41</v>
      </c>
      <c r="F2865" t="n">
        <v>24660</v>
      </c>
      <c r="G2865" t="n">
        <v>0</v>
      </c>
      <c r="H2865" t="n">
        <v>13</v>
      </c>
      <c r="I2865" t="n">
        <v>147588</v>
      </c>
    </row>
    <row r="2866">
      <c r="A2866" t="n">
        <v>2865</v>
      </c>
      <c r="B2866" t="inlineStr">
        <is>
          <t>Train</t>
        </is>
      </c>
      <c r="C2866" t="n">
        <v>5732</v>
      </c>
      <c r="D2866" t="n">
        <v>8330</v>
      </c>
      <c r="E2866" t="n">
        <v>57</v>
      </c>
      <c r="F2866" t="n">
        <v>11322</v>
      </c>
      <c r="G2866" t="n">
        <v>7</v>
      </c>
      <c r="H2866" t="n">
        <v>13</v>
      </c>
      <c r="I2866" t="n">
        <v>0</v>
      </c>
    </row>
    <row r="2867">
      <c r="A2867" t="n">
        <v>2866</v>
      </c>
      <c r="B2867" t="inlineStr">
        <is>
          <t>Train</t>
        </is>
      </c>
      <c r="C2867" t="n">
        <v>5442</v>
      </c>
      <c r="D2867" t="n">
        <v>7420</v>
      </c>
      <c r="E2867" t="n">
        <v>56</v>
      </c>
      <c r="F2867" t="n">
        <v>0</v>
      </c>
      <c r="G2867" t="n">
        <v>9</v>
      </c>
      <c r="H2867" t="n">
        <v>0</v>
      </c>
      <c r="I2867" t="n">
        <v>0</v>
      </c>
    </row>
    <row r="2868">
      <c r="A2868" t="n">
        <v>2867</v>
      </c>
      <c r="B2868" t="inlineStr">
        <is>
          <t>Validation</t>
        </is>
      </c>
      <c r="C2868" t="n">
        <v>13118</v>
      </c>
      <c r="D2868" t="n">
        <v>19250</v>
      </c>
      <c r="E2868" t="n">
        <v>42</v>
      </c>
      <c r="F2868" t="n">
        <v>75288</v>
      </c>
      <c r="G2868" t="n">
        <v>6</v>
      </c>
      <c r="H2868" t="n">
        <v>14</v>
      </c>
      <c r="I2868" t="n">
        <v>249920</v>
      </c>
    </row>
    <row r="2869">
      <c r="A2869" t="n">
        <v>2868</v>
      </c>
      <c r="B2869" t="inlineStr">
        <is>
          <t>Validation</t>
        </is>
      </c>
      <c r="C2869" t="n">
        <v>873</v>
      </c>
      <c r="D2869" t="n">
        <v>12060</v>
      </c>
      <c r="E2869" t="n">
        <v>47</v>
      </c>
      <c r="F2869" t="n">
        <v>58568</v>
      </c>
      <c r="G2869" t="n">
        <v>4</v>
      </c>
      <c r="H2869" t="n">
        <v>14</v>
      </c>
      <c r="I2869" t="n">
        <v>217714</v>
      </c>
    </row>
    <row r="2870">
      <c r="A2870" t="n">
        <v>2869</v>
      </c>
      <c r="B2870" t="inlineStr">
        <is>
          <t>Validation</t>
        </is>
      </c>
      <c r="C2870" t="n">
        <v>35519</v>
      </c>
      <c r="D2870" t="n">
        <v>17630</v>
      </c>
      <c r="E2870" t="n">
        <v>48</v>
      </c>
      <c r="F2870" t="n">
        <v>0</v>
      </c>
      <c r="G2870" t="n">
        <v>7</v>
      </c>
      <c r="H2870" t="n">
        <v>0</v>
      </c>
      <c r="I2870" t="n">
        <v>137446</v>
      </c>
    </row>
    <row r="2871">
      <c r="A2871" t="n">
        <v>2870</v>
      </c>
      <c r="B2871" t="inlineStr">
        <is>
          <t>Train</t>
        </is>
      </c>
      <c r="C2871" t="n">
        <v>27973</v>
      </c>
      <c r="D2871" t="n">
        <v>5400</v>
      </c>
      <c r="E2871" t="n">
        <v>39</v>
      </c>
      <c r="F2871" t="n">
        <v>0</v>
      </c>
      <c r="G2871" t="n">
        <v>6</v>
      </c>
      <c r="H2871" t="n">
        <v>0</v>
      </c>
      <c r="I2871" t="n">
        <v>0</v>
      </c>
    </row>
    <row r="2872">
      <c r="A2872" t="n">
        <v>2871</v>
      </c>
      <c r="B2872" t="inlineStr">
        <is>
          <t>Train</t>
        </is>
      </c>
      <c r="C2872" t="n">
        <v>19425</v>
      </c>
      <c r="D2872" t="n">
        <v>1500</v>
      </c>
      <c r="E2872" t="n">
        <v>41</v>
      </c>
      <c r="F2872" t="n">
        <v>0</v>
      </c>
      <c r="G2872" t="n">
        <v>1</v>
      </c>
      <c r="H2872" t="n">
        <v>0</v>
      </c>
      <c r="I2872" t="n">
        <v>65293</v>
      </c>
    </row>
    <row r="2873">
      <c r="A2873" t="n">
        <v>2872</v>
      </c>
      <c r="B2873" t="inlineStr">
        <is>
          <t>Train</t>
        </is>
      </c>
      <c r="C2873" t="n">
        <v>2987</v>
      </c>
      <c r="D2873" t="n">
        <v>10550</v>
      </c>
      <c r="E2873" t="n">
        <v>41</v>
      </c>
      <c r="F2873" t="n">
        <v>49470</v>
      </c>
      <c r="G2873" t="n">
        <v>2</v>
      </c>
      <c r="H2873" t="n">
        <v>13</v>
      </c>
      <c r="I2873" t="n">
        <v>0</v>
      </c>
    </row>
    <row r="2874">
      <c r="A2874" t="n">
        <v>2873</v>
      </c>
      <c r="B2874" t="inlineStr">
        <is>
          <t>Train</t>
        </is>
      </c>
      <c r="C2874" t="n">
        <v>7517</v>
      </c>
      <c r="D2874" t="n">
        <v>14130</v>
      </c>
      <c r="E2874" t="n">
        <v>48</v>
      </c>
      <c r="F2874" t="n">
        <v>78323</v>
      </c>
      <c r="G2874" t="n">
        <v>6</v>
      </c>
      <c r="H2874" t="n">
        <v>11</v>
      </c>
      <c r="I2874" t="n">
        <v>223445</v>
      </c>
    </row>
    <row r="2875">
      <c r="A2875" t="n">
        <v>2874</v>
      </c>
      <c r="B2875" t="inlineStr">
        <is>
          <t>Train</t>
        </is>
      </c>
      <c r="C2875" t="n">
        <v>44029</v>
      </c>
      <c r="D2875" t="n">
        <v>19560</v>
      </c>
      <c r="E2875" t="n">
        <v>61</v>
      </c>
      <c r="F2875" t="n">
        <v>113754</v>
      </c>
      <c r="G2875" t="n">
        <v>6</v>
      </c>
      <c r="H2875" t="n">
        <v>16</v>
      </c>
      <c r="I2875" t="n">
        <v>354907</v>
      </c>
    </row>
    <row r="2876">
      <c r="A2876" t="n">
        <v>2875</v>
      </c>
      <c r="B2876" t="inlineStr">
        <is>
          <t>Train</t>
        </is>
      </c>
      <c r="C2876" t="n">
        <v>5046</v>
      </c>
      <c r="D2876" t="n">
        <v>26230</v>
      </c>
      <c r="E2876" t="n">
        <v>37</v>
      </c>
      <c r="F2876" t="n">
        <v>104539</v>
      </c>
      <c r="G2876" t="n">
        <v>2</v>
      </c>
      <c r="H2876" t="n">
        <v>10</v>
      </c>
      <c r="I2876" t="n">
        <v>314427</v>
      </c>
    </row>
    <row r="2877">
      <c r="A2877" t="n">
        <v>2876</v>
      </c>
      <c r="B2877" t="inlineStr">
        <is>
          <t>Train</t>
        </is>
      </c>
      <c r="C2877" t="n">
        <v>4646</v>
      </c>
      <c r="D2877" t="n">
        <v>18100</v>
      </c>
      <c r="E2877" t="n">
        <v>58</v>
      </c>
      <c r="F2877" t="n">
        <v>108047</v>
      </c>
      <c r="G2877" t="n">
        <v>3</v>
      </c>
      <c r="H2877" t="n">
        <v>16</v>
      </c>
      <c r="I2877" t="n">
        <v>261777</v>
      </c>
    </row>
    <row r="2878">
      <c r="A2878" t="n">
        <v>2877</v>
      </c>
      <c r="B2878" t="inlineStr">
        <is>
          <t>Validation</t>
        </is>
      </c>
      <c r="C2878" t="n">
        <v>48726</v>
      </c>
      <c r="D2878" t="n">
        <v>24100</v>
      </c>
      <c r="E2878" t="n">
        <v>42</v>
      </c>
      <c r="F2878" t="n">
        <v>60304</v>
      </c>
      <c r="G2878" t="n">
        <v>1</v>
      </c>
      <c r="H2878" t="n">
        <v>11</v>
      </c>
      <c r="I2878" t="n">
        <v>215405</v>
      </c>
    </row>
    <row r="2879">
      <c r="A2879" t="n">
        <v>2878</v>
      </c>
      <c r="B2879" t="inlineStr">
        <is>
          <t>Validation</t>
        </is>
      </c>
      <c r="C2879" t="n">
        <v>1957</v>
      </c>
      <c r="D2879" t="n">
        <v>27260</v>
      </c>
      <c r="E2879" t="n">
        <v>47</v>
      </c>
      <c r="F2879" t="n">
        <v>47213</v>
      </c>
      <c r="G2879" t="n">
        <v>1</v>
      </c>
      <c r="H2879" t="n">
        <v>13</v>
      </c>
      <c r="I2879" t="n">
        <v>0</v>
      </c>
    </row>
    <row r="2880">
      <c r="A2880" t="n">
        <v>2879</v>
      </c>
      <c r="B2880" t="inlineStr">
        <is>
          <t>Validation</t>
        </is>
      </c>
      <c r="C2880" t="n">
        <v>3034</v>
      </c>
      <c r="D2880" t="n">
        <v>6400</v>
      </c>
      <c r="E2880" t="n">
        <v>49</v>
      </c>
      <c r="F2880" t="n">
        <v>55015</v>
      </c>
      <c r="G2880" t="n">
        <v>5</v>
      </c>
      <c r="H2880" t="n">
        <v>12</v>
      </c>
      <c r="I2880" t="n">
        <v>194953</v>
      </c>
    </row>
    <row r="2881">
      <c r="A2881" t="n">
        <v>2880</v>
      </c>
      <c r="B2881" t="inlineStr">
        <is>
          <t>Train</t>
        </is>
      </c>
      <c r="C2881" t="n">
        <v>5787</v>
      </c>
      <c r="D2881" t="n">
        <v>8840</v>
      </c>
      <c r="E2881" t="n">
        <v>50</v>
      </c>
      <c r="F2881" t="n">
        <v>17671</v>
      </c>
      <c r="G2881" t="n">
        <v>1</v>
      </c>
      <c r="H2881" t="n">
        <v>11</v>
      </c>
      <c r="I2881" t="n">
        <v>130075</v>
      </c>
    </row>
    <row r="2882">
      <c r="A2882" t="n">
        <v>2881</v>
      </c>
      <c r="B2882" t="inlineStr">
        <is>
          <t>Train</t>
        </is>
      </c>
      <c r="C2882" t="n">
        <v>4665</v>
      </c>
      <c r="D2882" t="n">
        <v>15840</v>
      </c>
      <c r="E2882" t="n">
        <v>35</v>
      </c>
      <c r="F2882" t="n">
        <v>0</v>
      </c>
      <c r="G2882" t="n">
        <v>6</v>
      </c>
      <c r="H2882" t="n">
        <v>0</v>
      </c>
      <c r="I2882" t="n">
        <v>0</v>
      </c>
    </row>
    <row r="2883">
      <c r="A2883" t="n">
        <v>2882</v>
      </c>
      <c r="B2883" t="inlineStr">
        <is>
          <t>Train</t>
        </is>
      </c>
      <c r="C2883" t="n">
        <v>6730</v>
      </c>
      <c r="D2883" t="n">
        <v>21300</v>
      </c>
      <c r="E2883" t="n">
        <v>52</v>
      </c>
      <c r="F2883" t="n">
        <v>146020</v>
      </c>
      <c r="G2883" t="n">
        <v>3</v>
      </c>
      <c r="H2883" t="n">
        <v>10</v>
      </c>
      <c r="I2883" t="n">
        <v>372705</v>
      </c>
    </row>
    <row r="2884">
      <c r="A2884" t="n">
        <v>2883</v>
      </c>
      <c r="B2884" t="inlineStr">
        <is>
          <t>Train</t>
        </is>
      </c>
      <c r="C2884" t="n">
        <v>1841</v>
      </c>
      <c r="D2884" t="n">
        <v>18990</v>
      </c>
      <c r="E2884" t="n">
        <v>56</v>
      </c>
      <c r="F2884" t="n">
        <v>113370</v>
      </c>
      <c r="G2884" t="n">
        <v>0</v>
      </c>
      <c r="H2884" t="n">
        <v>13</v>
      </c>
      <c r="I2884" t="n">
        <v>0</v>
      </c>
    </row>
    <row r="2885">
      <c r="A2885" t="n">
        <v>2884</v>
      </c>
      <c r="B2885" t="inlineStr">
        <is>
          <t>Train</t>
        </is>
      </c>
      <c r="C2885" t="n">
        <v>30575</v>
      </c>
      <c r="D2885" t="n">
        <v>22160</v>
      </c>
      <c r="E2885" t="n">
        <v>46</v>
      </c>
      <c r="F2885" t="n">
        <v>160642</v>
      </c>
      <c r="G2885" t="n">
        <v>6</v>
      </c>
      <c r="H2885" t="n">
        <v>12</v>
      </c>
      <c r="I2885" t="n">
        <v>406906</v>
      </c>
    </row>
    <row r="2886">
      <c r="A2886" t="n">
        <v>2885</v>
      </c>
      <c r="B2886" t="inlineStr">
        <is>
          <t>Train</t>
        </is>
      </c>
      <c r="C2886" t="n">
        <v>5425</v>
      </c>
      <c r="D2886" t="n">
        <v>9980</v>
      </c>
      <c r="E2886" t="n">
        <v>27</v>
      </c>
      <c r="F2886" t="n">
        <v>26096</v>
      </c>
      <c r="G2886" t="n">
        <v>0</v>
      </c>
      <c r="H2886" t="n">
        <v>9</v>
      </c>
      <c r="I2886" t="n">
        <v>150000</v>
      </c>
    </row>
    <row r="2887">
      <c r="A2887" t="n">
        <v>2886</v>
      </c>
      <c r="B2887" t="inlineStr">
        <is>
          <t>Train</t>
        </is>
      </c>
      <c r="C2887" t="n">
        <v>11193</v>
      </c>
      <c r="D2887" t="n">
        <v>24830</v>
      </c>
      <c r="E2887" t="n">
        <v>52</v>
      </c>
      <c r="F2887" t="n">
        <v>81008</v>
      </c>
      <c r="G2887" t="n">
        <v>4</v>
      </c>
      <c r="H2887" t="n">
        <v>11</v>
      </c>
      <c r="I2887" t="n">
        <v>216655</v>
      </c>
    </row>
    <row r="2888">
      <c r="A2888" t="n">
        <v>2887</v>
      </c>
      <c r="B2888" t="inlineStr">
        <is>
          <t>Validation</t>
        </is>
      </c>
      <c r="C2888" t="n">
        <v>3594</v>
      </c>
      <c r="D2888" t="n">
        <v>27460</v>
      </c>
      <c r="E2888" t="n">
        <v>43</v>
      </c>
      <c r="F2888" t="n">
        <v>31713</v>
      </c>
      <c r="G2888" t="n">
        <v>3</v>
      </c>
      <c r="H2888" t="n">
        <v>14</v>
      </c>
      <c r="I2888" t="n">
        <v>147621</v>
      </c>
    </row>
    <row r="2889">
      <c r="A2889" t="n">
        <v>2888</v>
      </c>
      <c r="B2889" t="inlineStr">
        <is>
          <t>Validation</t>
        </is>
      </c>
      <c r="C2889" t="n">
        <v>42970</v>
      </c>
      <c r="D2889" t="n">
        <v>11510</v>
      </c>
      <c r="E2889" t="n">
        <v>51</v>
      </c>
      <c r="F2889" t="n">
        <v>48882</v>
      </c>
      <c r="G2889" t="n">
        <v>3</v>
      </c>
      <c r="H2889" t="n">
        <v>17</v>
      </c>
      <c r="I2889" t="n">
        <v>179926</v>
      </c>
    </row>
    <row r="2890">
      <c r="A2890" t="n">
        <v>2889</v>
      </c>
      <c r="B2890" t="inlineStr">
        <is>
          <t>Validation</t>
        </is>
      </c>
      <c r="C2890" t="n">
        <v>16165</v>
      </c>
      <c r="D2890" t="n">
        <v>7440</v>
      </c>
      <c r="E2890" t="n">
        <v>46</v>
      </c>
      <c r="F2890" t="n">
        <v>56237</v>
      </c>
      <c r="G2890" t="n">
        <v>2</v>
      </c>
      <c r="H2890" t="n">
        <v>13</v>
      </c>
      <c r="I2890" t="n">
        <v>210027</v>
      </c>
    </row>
    <row r="2891">
      <c r="A2891" t="n">
        <v>2890</v>
      </c>
      <c r="B2891" t="inlineStr">
        <is>
          <t>Train</t>
        </is>
      </c>
      <c r="C2891" t="n">
        <v>6856</v>
      </c>
      <c r="D2891" t="n">
        <v>12190</v>
      </c>
      <c r="E2891" t="n">
        <v>47</v>
      </c>
      <c r="F2891" t="n">
        <v>59936</v>
      </c>
      <c r="G2891" t="n">
        <v>3</v>
      </c>
      <c r="H2891" t="n">
        <v>10</v>
      </c>
      <c r="I2891" t="n">
        <v>183741</v>
      </c>
    </row>
    <row r="2892">
      <c r="A2892" t="n">
        <v>2891</v>
      </c>
      <c r="B2892" t="inlineStr">
        <is>
          <t>Train</t>
        </is>
      </c>
      <c r="C2892" t="n">
        <v>8161</v>
      </c>
      <c r="D2892" t="n">
        <v>26860</v>
      </c>
      <c r="E2892" t="n">
        <v>42</v>
      </c>
      <c r="F2892" t="n">
        <v>84505</v>
      </c>
      <c r="G2892" t="n">
        <v>9</v>
      </c>
      <c r="H2892" t="n">
        <v>15</v>
      </c>
      <c r="I2892" t="n">
        <v>235004</v>
      </c>
    </row>
    <row r="2893">
      <c r="A2893" t="n">
        <v>2892</v>
      </c>
      <c r="B2893" t="inlineStr">
        <is>
          <t>Train</t>
        </is>
      </c>
      <c r="C2893" t="n">
        <v>36136</v>
      </c>
      <c r="D2893" t="n">
        <v>23680</v>
      </c>
      <c r="E2893" t="n">
        <v>50</v>
      </c>
      <c r="F2893" t="n">
        <v>74659</v>
      </c>
      <c r="G2893" t="n">
        <v>4</v>
      </c>
      <c r="H2893" t="n">
        <v>7</v>
      </c>
      <c r="I2893" t="n">
        <v>238299</v>
      </c>
    </row>
    <row r="2894">
      <c r="A2894" t="n">
        <v>2893</v>
      </c>
      <c r="B2894" t="inlineStr">
        <is>
          <t>Train</t>
        </is>
      </c>
      <c r="C2894" t="n">
        <v>24878</v>
      </c>
      <c r="D2894" t="n">
        <v>15290</v>
      </c>
      <c r="E2894" t="n">
        <v>44</v>
      </c>
      <c r="F2894" t="n">
        <v>62721</v>
      </c>
      <c r="G2894" t="n">
        <v>4</v>
      </c>
      <c r="H2894" t="n">
        <v>14</v>
      </c>
      <c r="I2894" t="n">
        <v>165941</v>
      </c>
    </row>
    <row r="2895">
      <c r="A2895" t="n">
        <v>2894</v>
      </c>
      <c r="B2895" t="inlineStr">
        <is>
          <t>Train</t>
        </is>
      </c>
      <c r="C2895" t="n">
        <v>7078</v>
      </c>
      <c r="D2895" t="n">
        <v>15180</v>
      </c>
      <c r="E2895" t="n">
        <v>37</v>
      </c>
      <c r="F2895" t="n">
        <v>74546</v>
      </c>
      <c r="G2895" t="n">
        <v>0</v>
      </c>
      <c r="H2895" t="n">
        <v>15</v>
      </c>
      <c r="I2895" t="n">
        <v>0</v>
      </c>
    </row>
    <row r="2896">
      <c r="A2896" t="n">
        <v>2895</v>
      </c>
      <c r="B2896" t="inlineStr">
        <is>
          <t>Train</t>
        </is>
      </c>
      <c r="C2896" t="n">
        <v>4174</v>
      </c>
      <c r="D2896" t="n">
        <v>29370</v>
      </c>
      <c r="E2896" t="n">
        <v>46</v>
      </c>
      <c r="F2896" t="n">
        <v>113004</v>
      </c>
      <c r="G2896" t="n">
        <v>3</v>
      </c>
      <c r="H2896" t="n">
        <v>12</v>
      </c>
      <c r="I2896" t="n">
        <v>323383</v>
      </c>
    </row>
    <row r="2897">
      <c r="A2897" t="n">
        <v>2896</v>
      </c>
      <c r="B2897" t="inlineStr">
        <is>
          <t>Train</t>
        </is>
      </c>
      <c r="C2897" t="n">
        <v>6316</v>
      </c>
      <c r="D2897" t="n">
        <v>24610</v>
      </c>
      <c r="E2897" t="n">
        <v>54</v>
      </c>
      <c r="F2897" t="n">
        <v>185714</v>
      </c>
      <c r="G2897" t="n">
        <v>3</v>
      </c>
      <c r="H2897" t="n">
        <v>14</v>
      </c>
      <c r="I2897" t="n">
        <v>462340</v>
      </c>
    </row>
    <row r="2898">
      <c r="A2898" t="n">
        <v>2897</v>
      </c>
      <c r="B2898" t="inlineStr">
        <is>
          <t>Validation</t>
        </is>
      </c>
      <c r="C2898" t="n">
        <v>27454</v>
      </c>
      <c r="D2898" t="n">
        <v>20140</v>
      </c>
      <c r="E2898" t="n">
        <v>35</v>
      </c>
      <c r="F2898" t="n">
        <v>59387</v>
      </c>
      <c r="G2898" t="n">
        <v>1</v>
      </c>
      <c r="H2898" t="n">
        <v>8</v>
      </c>
      <c r="I2898" t="n">
        <v>0</v>
      </c>
    </row>
    <row r="2899">
      <c r="A2899" t="n">
        <v>2898</v>
      </c>
      <c r="B2899" t="inlineStr">
        <is>
          <t>Validation</t>
        </is>
      </c>
      <c r="C2899" t="n">
        <v>5269</v>
      </c>
      <c r="D2899" t="n">
        <v>17800</v>
      </c>
      <c r="E2899" t="n">
        <v>26</v>
      </c>
      <c r="F2899" t="n">
        <v>49485</v>
      </c>
      <c r="G2899" t="n">
        <v>6</v>
      </c>
      <c r="H2899" t="n">
        <v>5</v>
      </c>
      <c r="I2899" t="n">
        <v>174530</v>
      </c>
    </row>
    <row r="2900">
      <c r="A2900" t="n">
        <v>2899</v>
      </c>
      <c r="B2900" t="inlineStr">
        <is>
          <t>Validation</t>
        </is>
      </c>
      <c r="C2900" t="n">
        <v>3062</v>
      </c>
      <c r="D2900" t="n">
        <v>16110</v>
      </c>
      <c r="E2900" t="n">
        <v>30</v>
      </c>
      <c r="F2900" t="n">
        <v>34581</v>
      </c>
      <c r="G2900" t="n">
        <v>1</v>
      </c>
      <c r="H2900" t="n">
        <v>9</v>
      </c>
      <c r="I2900" t="n">
        <v>0</v>
      </c>
    </row>
    <row r="2901">
      <c r="A2901" t="n">
        <v>2900</v>
      </c>
      <c r="B2901" t="inlineStr">
        <is>
          <t>Train</t>
        </is>
      </c>
      <c r="C2901" t="n">
        <v>6923</v>
      </c>
      <c r="D2901" t="n">
        <v>9250</v>
      </c>
      <c r="E2901" t="n">
        <v>42</v>
      </c>
      <c r="F2901" t="n">
        <v>17631</v>
      </c>
      <c r="G2901" t="n">
        <v>0</v>
      </c>
      <c r="H2901" t="n">
        <v>9</v>
      </c>
      <c r="I2901" t="n">
        <v>89248</v>
      </c>
    </row>
    <row r="2902">
      <c r="A2902" t="n">
        <v>2901</v>
      </c>
      <c r="B2902" t="inlineStr">
        <is>
          <t>Train</t>
        </is>
      </c>
      <c r="C2902" t="n">
        <v>3474</v>
      </c>
      <c r="D2902" t="n">
        <v>19860</v>
      </c>
      <c r="E2902" t="n">
        <v>44</v>
      </c>
      <c r="F2902" t="n">
        <v>65914</v>
      </c>
      <c r="G2902" t="n">
        <v>3</v>
      </c>
      <c r="H2902" t="n">
        <v>10</v>
      </c>
      <c r="I2902" t="n">
        <v>223975</v>
      </c>
    </row>
    <row r="2903">
      <c r="A2903" t="n">
        <v>2902</v>
      </c>
      <c r="B2903" t="inlineStr">
        <is>
          <t>Train</t>
        </is>
      </c>
      <c r="C2903" t="n">
        <v>36473</v>
      </c>
      <c r="D2903" t="n">
        <v>25080</v>
      </c>
      <c r="E2903" t="n">
        <v>38</v>
      </c>
      <c r="F2903" t="n">
        <v>50978</v>
      </c>
      <c r="G2903" t="n">
        <v>7</v>
      </c>
      <c r="H2903" t="n">
        <v>11</v>
      </c>
      <c r="I2903" t="n">
        <v>201696</v>
      </c>
    </row>
    <row r="2904">
      <c r="A2904" t="n">
        <v>2903</v>
      </c>
      <c r="B2904" t="inlineStr">
        <is>
          <t>Train</t>
        </is>
      </c>
      <c r="C2904" t="n">
        <v>33390</v>
      </c>
      <c r="D2904" t="n">
        <v>14960</v>
      </c>
      <c r="E2904" t="n">
        <v>63</v>
      </c>
      <c r="F2904" t="n">
        <v>50134</v>
      </c>
      <c r="G2904" t="n">
        <v>4</v>
      </c>
      <c r="H2904" t="n">
        <v>12</v>
      </c>
      <c r="I2904" t="n">
        <v>162253</v>
      </c>
    </row>
    <row r="2905">
      <c r="A2905" t="n">
        <v>2904</v>
      </c>
      <c r="B2905" t="inlineStr">
        <is>
          <t>Train</t>
        </is>
      </c>
      <c r="C2905" t="n">
        <v>5910</v>
      </c>
      <c r="D2905" t="n">
        <v>10080</v>
      </c>
      <c r="E2905" t="n">
        <v>29</v>
      </c>
      <c r="F2905" t="n">
        <v>53643</v>
      </c>
      <c r="G2905" t="n">
        <v>7</v>
      </c>
      <c r="H2905" t="n">
        <v>10</v>
      </c>
      <c r="I2905" t="n">
        <v>0</v>
      </c>
    </row>
    <row r="2906">
      <c r="A2906" t="n">
        <v>2905</v>
      </c>
      <c r="B2906" t="inlineStr">
        <is>
          <t>Train</t>
        </is>
      </c>
      <c r="C2906" t="n">
        <v>1064</v>
      </c>
      <c r="D2906" t="n">
        <v>16450</v>
      </c>
      <c r="E2906" t="n">
        <v>60</v>
      </c>
      <c r="F2906" t="n">
        <v>55260</v>
      </c>
      <c r="G2906" t="n">
        <v>2</v>
      </c>
      <c r="H2906" t="n">
        <v>13</v>
      </c>
      <c r="I2906" t="n">
        <v>187662</v>
      </c>
    </row>
    <row r="2907">
      <c r="A2907" t="n">
        <v>2906</v>
      </c>
      <c r="B2907" t="inlineStr">
        <is>
          <t>Train</t>
        </is>
      </c>
      <c r="C2907" t="n">
        <v>15697</v>
      </c>
      <c r="D2907" t="n">
        <v>14460</v>
      </c>
      <c r="E2907" t="n">
        <v>47</v>
      </c>
      <c r="F2907" t="n">
        <v>82633</v>
      </c>
      <c r="G2907" t="n">
        <v>0</v>
      </c>
      <c r="H2907" t="n">
        <v>10</v>
      </c>
      <c r="I2907" t="n">
        <v>0</v>
      </c>
    </row>
    <row r="2908">
      <c r="A2908" t="n">
        <v>2907</v>
      </c>
      <c r="B2908" t="inlineStr">
        <is>
          <t>Validation</t>
        </is>
      </c>
      <c r="C2908" t="n">
        <v>7857</v>
      </c>
      <c r="D2908" t="n">
        <v>15610</v>
      </c>
      <c r="E2908" t="n">
        <v>29</v>
      </c>
      <c r="F2908" t="n">
        <v>0</v>
      </c>
      <c r="G2908" t="n">
        <v>2</v>
      </c>
      <c r="H2908" t="n">
        <v>0</v>
      </c>
      <c r="I2908" t="n">
        <v>0</v>
      </c>
    </row>
    <row r="2909">
      <c r="A2909" t="n">
        <v>2908</v>
      </c>
      <c r="B2909" t="inlineStr">
        <is>
          <t>Validation</t>
        </is>
      </c>
      <c r="C2909" t="n">
        <v>4166</v>
      </c>
      <c r="D2909" t="n">
        <v>10600</v>
      </c>
      <c r="E2909" t="n">
        <v>21</v>
      </c>
      <c r="F2909" t="n">
        <v>32391</v>
      </c>
      <c r="G2909" t="n">
        <v>2</v>
      </c>
      <c r="H2909" t="n">
        <v>10</v>
      </c>
      <c r="I2909" t="n">
        <v>170274</v>
      </c>
    </row>
    <row r="2910">
      <c r="A2910" t="n">
        <v>2909</v>
      </c>
      <c r="B2910" t="inlineStr">
        <is>
          <t>Validation</t>
        </is>
      </c>
      <c r="C2910" t="n">
        <v>2962</v>
      </c>
      <c r="D2910" t="n">
        <v>17050</v>
      </c>
      <c r="E2910" t="n">
        <v>55</v>
      </c>
      <c r="F2910" t="n">
        <v>0</v>
      </c>
      <c r="G2910" t="n">
        <v>9</v>
      </c>
      <c r="H2910" t="n">
        <v>0</v>
      </c>
      <c r="I2910" t="n">
        <v>0</v>
      </c>
    </row>
    <row r="2911">
      <c r="A2911" t="n">
        <v>2910</v>
      </c>
      <c r="B2911" t="inlineStr">
        <is>
          <t>Train</t>
        </is>
      </c>
      <c r="C2911" t="n">
        <v>3233</v>
      </c>
      <c r="D2911" t="n">
        <v>10910</v>
      </c>
      <c r="E2911" t="n">
        <v>39</v>
      </c>
      <c r="F2911" t="n">
        <v>55134</v>
      </c>
      <c r="G2911" t="n">
        <v>4</v>
      </c>
      <c r="H2911" t="n">
        <v>8</v>
      </c>
      <c r="I2911" t="n">
        <v>207766</v>
      </c>
    </row>
    <row r="2912">
      <c r="A2912" t="n">
        <v>2911</v>
      </c>
      <c r="B2912" t="inlineStr">
        <is>
          <t>Train</t>
        </is>
      </c>
      <c r="C2912" t="n">
        <v>5896</v>
      </c>
      <c r="D2912" t="n">
        <v>14330</v>
      </c>
      <c r="E2912" t="n">
        <v>31</v>
      </c>
      <c r="F2912" t="n">
        <v>52714</v>
      </c>
      <c r="G2912" t="n">
        <v>3</v>
      </c>
      <c r="H2912" t="n">
        <v>10</v>
      </c>
      <c r="I2912" t="n">
        <v>159142</v>
      </c>
    </row>
    <row r="2913">
      <c r="A2913" t="n">
        <v>2912</v>
      </c>
      <c r="B2913" t="inlineStr">
        <is>
          <t>Train</t>
        </is>
      </c>
      <c r="C2913" t="n">
        <v>1116</v>
      </c>
      <c r="D2913" t="n">
        <v>21830</v>
      </c>
      <c r="E2913" t="n">
        <v>50</v>
      </c>
      <c r="F2913" t="n">
        <v>47902</v>
      </c>
      <c r="G2913" t="n">
        <v>4</v>
      </c>
      <c r="H2913" t="n">
        <v>11</v>
      </c>
      <c r="I2913" t="n">
        <v>0</v>
      </c>
    </row>
    <row r="2914">
      <c r="A2914" t="n">
        <v>2913</v>
      </c>
      <c r="B2914" t="inlineStr">
        <is>
          <t>Train</t>
        </is>
      </c>
      <c r="C2914" t="n">
        <v>3054</v>
      </c>
      <c r="D2914" t="n">
        <v>24430</v>
      </c>
      <c r="E2914" t="n">
        <v>58</v>
      </c>
      <c r="F2914" t="n">
        <v>122631</v>
      </c>
      <c r="G2914" t="n">
        <v>2</v>
      </c>
      <c r="H2914" t="n">
        <v>14</v>
      </c>
      <c r="I2914" t="n">
        <v>364677</v>
      </c>
    </row>
    <row r="2915">
      <c r="A2915" t="n">
        <v>2914</v>
      </c>
      <c r="B2915" t="inlineStr">
        <is>
          <t>Train</t>
        </is>
      </c>
      <c r="C2915" t="n">
        <v>2773</v>
      </c>
      <c r="D2915" t="n">
        <v>34210</v>
      </c>
      <c r="E2915" t="n">
        <v>42</v>
      </c>
      <c r="F2915" t="n">
        <v>55340</v>
      </c>
      <c r="G2915" t="n">
        <v>5</v>
      </c>
      <c r="H2915" t="n">
        <v>10</v>
      </c>
      <c r="I2915" t="n">
        <v>227741</v>
      </c>
    </row>
    <row r="2916">
      <c r="A2916" t="n">
        <v>2915</v>
      </c>
      <c r="B2916" t="inlineStr">
        <is>
          <t>Train</t>
        </is>
      </c>
      <c r="C2916" t="n">
        <v>2280</v>
      </c>
      <c r="D2916" t="n">
        <v>7270</v>
      </c>
      <c r="E2916" t="n">
        <v>46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2916</v>
      </c>
      <c r="B2917" t="inlineStr">
        <is>
          <t>Train</t>
        </is>
      </c>
      <c r="C2917" t="n">
        <v>7312</v>
      </c>
      <c r="D2917" t="n">
        <v>11210</v>
      </c>
      <c r="E2917" t="n">
        <v>44</v>
      </c>
      <c r="F2917" t="n">
        <v>53122</v>
      </c>
      <c r="G2917" t="n">
        <v>0</v>
      </c>
      <c r="H2917" t="n">
        <v>9</v>
      </c>
      <c r="I2917" t="n">
        <v>216534</v>
      </c>
    </row>
    <row r="2918">
      <c r="A2918" t="n">
        <v>2917</v>
      </c>
      <c r="B2918" t="inlineStr">
        <is>
          <t>Validation</t>
        </is>
      </c>
      <c r="C2918" t="n">
        <v>1310</v>
      </c>
      <c r="D2918" t="n">
        <v>21980</v>
      </c>
      <c r="E2918" t="n">
        <v>28</v>
      </c>
      <c r="F2918" t="n">
        <v>38305</v>
      </c>
      <c r="G2918" t="n">
        <v>6</v>
      </c>
      <c r="H2918" t="n">
        <v>12</v>
      </c>
      <c r="I2918" t="n">
        <v>135831</v>
      </c>
    </row>
    <row r="2919">
      <c r="A2919" t="n">
        <v>2918</v>
      </c>
      <c r="B2919" t="inlineStr">
        <is>
          <t>Validation</t>
        </is>
      </c>
      <c r="C2919" t="n">
        <v>7155</v>
      </c>
      <c r="D2919" t="n">
        <v>25700</v>
      </c>
      <c r="E2919" t="n">
        <v>55</v>
      </c>
      <c r="F2919" t="n">
        <v>30799</v>
      </c>
      <c r="G2919" t="n">
        <v>4</v>
      </c>
      <c r="H2919" t="n">
        <v>13</v>
      </c>
      <c r="I2919" t="n">
        <v>0</v>
      </c>
    </row>
    <row r="2920">
      <c r="A2920" t="n">
        <v>2919</v>
      </c>
      <c r="B2920" t="inlineStr">
        <is>
          <t>Validation</t>
        </is>
      </c>
      <c r="C2920" t="n">
        <v>5233</v>
      </c>
      <c r="D2920" t="n">
        <v>8510</v>
      </c>
      <c r="E2920" t="n">
        <v>46</v>
      </c>
      <c r="F2920" t="n">
        <v>24139</v>
      </c>
      <c r="G2920" t="n">
        <v>2</v>
      </c>
      <c r="H2920" t="n">
        <v>12</v>
      </c>
      <c r="I2920" t="n">
        <v>0</v>
      </c>
    </row>
    <row r="2921">
      <c r="A2921" t="n">
        <v>2920</v>
      </c>
      <c r="B2921" t="inlineStr">
        <is>
          <t>Train</t>
        </is>
      </c>
      <c r="C2921" t="n">
        <v>6091</v>
      </c>
      <c r="D2921" t="n">
        <v>13920</v>
      </c>
      <c r="E2921" t="n">
        <v>48</v>
      </c>
      <c r="F2921" t="n">
        <v>556</v>
      </c>
      <c r="G2921" t="n">
        <v>4</v>
      </c>
      <c r="H2921" t="n">
        <v>9</v>
      </c>
      <c r="I2921" t="n">
        <v>0</v>
      </c>
    </row>
    <row r="2922">
      <c r="A2922" t="n">
        <v>2921</v>
      </c>
      <c r="B2922" t="inlineStr">
        <is>
          <t>Train</t>
        </is>
      </c>
      <c r="C2922" t="n">
        <v>1061</v>
      </c>
      <c r="D2922" t="n">
        <v>1500</v>
      </c>
      <c r="E2922" t="n">
        <v>48</v>
      </c>
      <c r="F2922" t="n">
        <v>0</v>
      </c>
      <c r="G2922" t="n">
        <v>0</v>
      </c>
      <c r="H2922" t="n">
        <v>0</v>
      </c>
      <c r="I2922" t="n">
        <v>94656</v>
      </c>
    </row>
    <row r="2923">
      <c r="A2923" t="n">
        <v>2922</v>
      </c>
      <c r="B2923" t="inlineStr">
        <is>
          <t>Train</t>
        </is>
      </c>
      <c r="C2923" t="n">
        <v>21548</v>
      </c>
      <c r="D2923" t="n">
        <v>20320</v>
      </c>
      <c r="E2923" t="n">
        <v>55</v>
      </c>
      <c r="F2923" t="n">
        <v>81427</v>
      </c>
      <c r="G2923" t="n">
        <v>2</v>
      </c>
      <c r="H2923" t="n">
        <v>15</v>
      </c>
      <c r="I2923" t="n">
        <v>0</v>
      </c>
    </row>
    <row r="2924">
      <c r="A2924" t="n">
        <v>2923</v>
      </c>
      <c r="B2924" t="inlineStr">
        <is>
          <t>Train</t>
        </is>
      </c>
      <c r="C2924" t="n">
        <v>3799</v>
      </c>
      <c r="D2924" t="n">
        <v>9170</v>
      </c>
      <c r="E2924" t="n">
        <v>42</v>
      </c>
      <c r="F2924" t="n">
        <v>0</v>
      </c>
      <c r="G2924" t="n">
        <v>7</v>
      </c>
      <c r="H2924" t="n">
        <v>0</v>
      </c>
      <c r="I2924" t="n">
        <v>0</v>
      </c>
    </row>
    <row r="2925">
      <c r="A2925" t="n">
        <v>2924</v>
      </c>
      <c r="B2925" t="inlineStr">
        <is>
          <t>Train</t>
        </is>
      </c>
      <c r="C2925" t="n">
        <v>4394</v>
      </c>
      <c r="D2925" t="n">
        <v>31520</v>
      </c>
      <c r="E2925" t="n">
        <v>29</v>
      </c>
      <c r="F2925" t="n">
        <v>95884</v>
      </c>
      <c r="G2925" t="n">
        <v>5</v>
      </c>
      <c r="H2925" t="n">
        <v>12</v>
      </c>
      <c r="I2925" t="n">
        <v>0</v>
      </c>
    </row>
    <row r="2926">
      <c r="A2926" t="n">
        <v>2925</v>
      </c>
      <c r="B2926" t="inlineStr">
        <is>
          <t>Train</t>
        </is>
      </c>
      <c r="C2926" t="n">
        <v>6440</v>
      </c>
      <c r="D2926" t="n">
        <v>21420</v>
      </c>
      <c r="E2926" t="n">
        <v>55</v>
      </c>
      <c r="F2926" t="n">
        <v>70460</v>
      </c>
      <c r="G2926" t="n">
        <v>0</v>
      </c>
      <c r="H2926" t="n">
        <v>11</v>
      </c>
      <c r="I2926" t="n">
        <v>220405</v>
      </c>
    </row>
    <row r="2927">
      <c r="A2927" t="n">
        <v>2926</v>
      </c>
      <c r="B2927" t="inlineStr">
        <is>
          <t>Train</t>
        </is>
      </c>
      <c r="C2927" t="n">
        <v>18524</v>
      </c>
      <c r="D2927" t="n">
        <v>13240</v>
      </c>
      <c r="E2927" t="n">
        <v>31</v>
      </c>
      <c r="F2927" t="n">
        <v>65048</v>
      </c>
      <c r="G2927" t="n">
        <v>1</v>
      </c>
      <c r="H2927" t="n">
        <v>13</v>
      </c>
      <c r="I2927" t="n">
        <v>212535</v>
      </c>
    </row>
    <row r="2928">
      <c r="A2928" t="n">
        <v>2927</v>
      </c>
      <c r="B2928" t="inlineStr">
        <is>
          <t>Validation</t>
        </is>
      </c>
      <c r="C2928" t="n">
        <v>7076</v>
      </c>
      <c r="D2928" t="n">
        <v>6910</v>
      </c>
      <c r="E2928" t="n">
        <v>43</v>
      </c>
      <c r="F2928" t="n">
        <v>54067</v>
      </c>
      <c r="G2928" t="n">
        <v>0</v>
      </c>
      <c r="H2928" t="n">
        <v>14</v>
      </c>
      <c r="I2928" t="n">
        <v>168626</v>
      </c>
    </row>
    <row r="2929">
      <c r="A2929" t="n">
        <v>2928</v>
      </c>
      <c r="B2929" t="inlineStr">
        <is>
          <t>Validation</t>
        </is>
      </c>
      <c r="C2929" t="n">
        <v>6015</v>
      </c>
      <c r="D2929" t="n">
        <v>30220</v>
      </c>
      <c r="E2929" t="n">
        <v>48</v>
      </c>
      <c r="F2929" t="n">
        <v>192843</v>
      </c>
      <c r="G2929" t="n">
        <v>4</v>
      </c>
      <c r="H2929" t="n">
        <v>13</v>
      </c>
      <c r="I2929" t="n">
        <v>510325</v>
      </c>
    </row>
    <row r="2930">
      <c r="A2930" t="n">
        <v>2929</v>
      </c>
      <c r="B2930" t="inlineStr">
        <is>
          <t>Validation</t>
        </is>
      </c>
      <c r="C2930" t="n">
        <v>2531</v>
      </c>
      <c r="D2930" t="n">
        <v>22380</v>
      </c>
      <c r="E2930" t="n">
        <v>38</v>
      </c>
      <c r="F2930" t="n">
        <v>0</v>
      </c>
      <c r="G2930" t="n">
        <v>4</v>
      </c>
      <c r="H2930" t="n">
        <v>0</v>
      </c>
      <c r="I2930" t="n">
        <v>0</v>
      </c>
    </row>
    <row r="2931">
      <c r="A2931" t="n">
        <v>2930</v>
      </c>
      <c r="B2931" t="inlineStr">
        <is>
          <t>Train</t>
        </is>
      </c>
      <c r="C2931" t="n">
        <v>3349</v>
      </c>
      <c r="D2931" t="n">
        <v>5000</v>
      </c>
      <c r="E2931" t="n">
        <v>35</v>
      </c>
      <c r="F2931" t="n">
        <v>109104</v>
      </c>
      <c r="G2931" t="n">
        <v>6</v>
      </c>
      <c r="H2931" t="n">
        <v>15</v>
      </c>
      <c r="I2931" t="n">
        <v>0</v>
      </c>
    </row>
    <row r="2932">
      <c r="A2932" t="n">
        <v>2931</v>
      </c>
      <c r="B2932" t="inlineStr">
        <is>
          <t>Train</t>
        </is>
      </c>
      <c r="C2932" t="n">
        <v>2569</v>
      </c>
      <c r="D2932" t="n">
        <v>20820</v>
      </c>
      <c r="E2932" t="n">
        <v>56</v>
      </c>
      <c r="F2932" t="n">
        <v>114731</v>
      </c>
      <c r="G2932" t="n">
        <v>3</v>
      </c>
      <c r="H2932" t="n">
        <v>13</v>
      </c>
      <c r="I2932" t="n">
        <v>340476</v>
      </c>
    </row>
    <row r="2933">
      <c r="A2933" t="n">
        <v>2932</v>
      </c>
      <c r="B2933" t="inlineStr">
        <is>
          <t>Train</t>
        </is>
      </c>
      <c r="C2933" t="n">
        <v>7014</v>
      </c>
      <c r="D2933" t="n">
        <v>9500</v>
      </c>
      <c r="E2933" t="n">
        <v>39</v>
      </c>
      <c r="F2933" t="n">
        <v>80021</v>
      </c>
      <c r="G2933" t="n">
        <v>3</v>
      </c>
      <c r="H2933" t="n">
        <v>11</v>
      </c>
      <c r="I2933" t="n">
        <v>264048</v>
      </c>
    </row>
    <row r="2934">
      <c r="A2934" t="n">
        <v>2933</v>
      </c>
      <c r="B2934" t="inlineStr">
        <is>
          <t>Train</t>
        </is>
      </c>
      <c r="C2934" t="n">
        <v>5769</v>
      </c>
      <c r="D2934" t="n">
        <v>20550</v>
      </c>
      <c r="E2934" t="n">
        <v>43</v>
      </c>
      <c r="F2934" t="n">
        <v>43574</v>
      </c>
      <c r="G2934" t="n">
        <v>1</v>
      </c>
      <c r="H2934" t="n">
        <v>12</v>
      </c>
      <c r="I2934" t="n">
        <v>0</v>
      </c>
    </row>
    <row r="2935">
      <c r="A2935" t="n">
        <v>2934</v>
      </c>
      <c r="B2935" t="inlineStr">
        <is>
          <t>Train</t>
        </is>
      </c>
      <c r="C2935" t="n">
        <v>1412</v>
      </c>
      <c r="D2935" t="n">
        <v>7400</v>
      </c>
      <c r="E2935" t="n">
        <v>40</v>
      </c>
      <c r="F2935" t="n">
        <v>19905</v>
      </c>
      <c r="G2935" t="n">
        <v>0</v>
      </c>
      <c r="H2935" t="n">
        <v>12</v>
      </c>
      <c r="I2935" t="n">
        <v>123097</v>
      </c>
    </row>
    <row r="2936">
      <c r="A2936" t="n">
        <v>2935</v>
      </c>
      <c r="B2936" t="inlineStr">
        <is>
          <t>Train</t>
        </is>
      </c>
      <c r="C2936" t="n">
        <v>1893</v>
      </c>
      <c r="D2936" t="n">
        <v>33510</v>
      </c>
      <c r="E2936" t="n">
        <v>47</v>
      </c>
      <c r="F2936" t="n">
        <v>61352</v>
      </c>
      <c r="G2936" t="n">
        <v>4</v>
      </c>
      <c r="H2936" t="n">
        <v>12</v>
      </c>
      <c r="I2936" t="n">
        <v>223768</v>
      </c>
    </row>
    <row r="2937">
      <c r="A2937" t="n">
        <v>2936</v>
      </c>
      <c r="B2937" t="inlineStr">
        <is>
          <t>Train</t>
        </is>
      </c>
      <c r="C2937" t="n">
        <v>8994</v>
      </c>
      <c r="D2937" t="n">
        <v>10950</v>
      </c>
      <c r="E2937" t="n">
        <v>33</v>
      </c>
      <c r="F2937" t="n">
        <v>37352</v>
      </c>
      <c r="G2937" t="n">
        <v>4</v>
      </c>
      <c r="H2937" t="n">
        <v>13</v>
      </c>
      <c r="I2937" t="n">
        <v>91430</v>
      </c>
    </row>
    <row r="2938">
      <c r="A2938" t="n">
        <v>2937</v>
      </c>
      <c r="B2938" t="inlineStr">
        <is>
          <t>Validation</t>
        </is>
      </c>
      <c r="C2938" t="n">
        <v>9818</v>
      </c>
      <c r="D2938" t="n">
        <v>9780</v>
      </c>
      <c r="E2938" t="n">
        <v>60</v>
      </c>
      <c r="F2938" t="n">
        <v>22796</v>
      </c>
      <c r="G2938" t="n">
        <v>3</v>
      </c>
      <c r="H2938" t="n">
        <v>13</v>
      </c>
      <c r="I2938" t="n">
        <v>140908</v>
      </c>
    </row>
    <row r="2939">
      <c r="A2939" t="n">
        <v>2938</v>
      </c>
      <c r="B2939" t="inlineStr">
        <is>
          <t>Validation</t>
        </is>
      </c>
      <c r="C2939" t="n">
        <v>4055</v>
      </c>
      <c r="D2939" t="n">
        <v>11600</v>
      </c>
      <c r="E2939" t="n">
        <v>44</v>
      </c>
      <c r="F2939" t="n">
        <v>26821</v>
      </c>
      <c r="G2939" t="n">
        <v>0</v>
      </c>
      <c r="H2939" t="n">
        <v>11</v>
      </c>
      <c r="I2939" t="n">
        <v>171022</v>
      </c>
    </row>
    <row r="2940">
      <c r="A2940" t="n">
        <v>2939</v>
      </c>
      <c r="B2940" t="inlineStr">
        <is>
          <t>Validation</t>
        </is>
      </c>
      <c r="C2940" t="n">
        <v>4986</v>
      </c>
      <c r="D2940" t="n">
        <v>22450</v>
      </c>
      <c r="E2940" t="n">
        <v>38</v>
      </c>
      <c r="F2940" t="n">
        <v>88981</v>
      </c>
      <c r="G2940" t="n">
        <v>0</v>
      </c>
      <c r="H2940" t="n">
        <v>6</v>
      </c>
      <c r="I2940" t="n">
        <v>252797</v>
      </c>
    </row>
    <row r="2941">
      <c r="A2941" t="n">
        <v>2940</v>
      </c>
      <c r="B2941" t="inlineStr">
        <is>
          <t>Train</t>
        </is>
      </c>
      <c r="C2941" t="n">
        <v>37481</v>
      </c>
      <c r="D2941" t="n">
        <v>6120</v>
      </c>
      <c r="E2941" t="n">
        <v>38</v>
      </c>
      <c r="F2941" t="n">
        <v>37999</v>
      </c>
      <c r="G2941" t="n">
        <v>4</v>
      </c>
      <c r="H2941" t="n">
        <v>14</v>
      </c>
      <c r="I2941" t="n">
        <v>171351</v>
      </c>
    </row>
    <row r="2942">
      <c r="A2942" t="n">
        <v>2941</v>
      </c>
      <c r="B2942" t="inlineStr">
        <is>
          <t>Train</t>
        </is>
      </c>
      <c r="C2942" t="n">
        <v>1435</v>
      </c>
      <c r="D2942" t="n">
        <v>31350</v>
      </c>
      <c r="E2942" t="n">
        <v>45</v>
      </c>
      <c r="F2942" t="n">
        <v>75556</v>
      </c>
      <c r="G2942" t="n">
        <v>1</v>
      </c>
      <c r="H2942" t="n">
        <v>8</v>
      </c>
      <c r="I2942" t="n">
        <v>269688</v>
      </c>
    </row>
    <row r="2943">
      <c r="A2943" t="n">
        <v>2942</v>
      </c>
      <c r="B2943" t="inlineStr">
        <is>
          <t>Train</t>
        </is>
      </c>
      <c r="C2943" t="n">
        <v>2913</v>
      </c>
      <c r="D2943" t="n">
        <v>20200</v>
      </c>
      <c r="E2943" t="n">
        <v>54</v>
      </c>
      <c r="F2943" t="n">
        <v>29567</v>
      </c>
      <c r="G2943" t="n">
        <v>7</v>
      </c>
      <c r="H2943" t="n">
        <v>7</v>
      </c>
      <c r="I2943" t="n">
        <v>195060</v>
      </c>
    </row>
    <row r="2944">
      <c r="A2944" t="n">
        <v>2943</v>
      </c>
      <c r="B2944" t="inlineStr">
        <is>
          <t>Train</t>
        </is>
      </c>
      <c r="C2944" t="n">
        <v>2614</v>
      </c>
      <c r="D2944" t="n">
        <v>13170</v>
      </c>
      <c r="E2944" t="n">
        <v>37</v>
      </c>
      <c r="F2944" t="n">
        <v>79665</v>
      </c>
      <c r="G2944" t="n">
        <v>6</v>
      </c>
      <c r="H2944" t="n">
        <v>14</v>
      </c>
      <c r="I2944" t="n">
        <v>222382</v>
      </c>
    </row>
    <row r="2945">
      <c r="A2945" t="n">
        <v>2944</v>
      </c>
      <c r="B2945" t="inlineStr">
        <is>
          <t>Train</t>
        </is>
      </c>
      <c r="C2945" t="n">
        <v>3077</v>
      </c>
      <c r="D2945" t="n">
        <v>18260</v>
      </c>
      <c r="E2945" t="n">
        <v>51</v>
      </c>
      <c r="F2945" t="n">
        <v>72035</v>
      </c>
      <c r="G2945" t="n">
        <v>0</v>
      </c>
      <c r="H2945" t="n">
        <v>12</v>
      </c>
      <c r="I2945" t="n">
        <v>0</v>
      </c>
    </row>
    <row r="2946">
      <c r="A2946" t="n">
        <v>2945</v>
      </c>
      <c r="B2946" t="inlineStr">
        <is>
          <t>Train</t>
        </is>
      </c>
      <c r="C2946" t="n">
        <v>7035</v>
      </c>
      <c r="D2946" t="n">
        <v>8920</v>
      </c>
      <c r="E2946" t="n">
        <v>52</v>
      </c>
      <c r="F2946" t="n">
        <v>46605</v>
      </c>
      <c r="G2946" t="n">
        <v>2</v>
      </c>
      <c r="H2946" t="n">
        <v>6</v>
      </c>
      <c r="I2946" t="n">
        <v>0</v>
      </c>
    </row>
    <row r="2947">
      <c r="A2947" t="n">
        <v>2946</v>
      </c>
      <c r="B2947" t="inlineStr">
        <is>
          <t>Train</t>
        </is>
      </c>
      <c r="C2947" t="n">
        <v>6900</v>
      </c>
      <c r="D2947" t="n">
        <v>14360</v>
      </c>
      <c r="E2947" t="n">
        <v>53</v>
      </c>
      <c r="F2947" t="n">
        <v>71735</v>
      </c>
      <c r="G2947" t="n">
        <v>4</v>
      </c>
      <c r="H2947" t="n">
        <v>10</v>
      </c>
      <c r="I2947" t="n">
        <v>0</v>
      </c>
    </row>
    <row r="2948">
      <c r="A2948" t="n">
        <v>2947</v>
      </c>
      <c r="B2948" t="inlineStr">
        <is>
          <t>Validation</t>
        </is>
      </c>
      <c r="C2948" t="n">
        <v>892</v>
      </c>
      <c r="D2948" t="n">
        <v>13390</v>
      </c>
      <c r="E2948" t="n">
        <v>43</v>
      </c>
      <c r="F2948" t="n">
        <v>39720</v>
      </c>
      <c r="G2948" t="n">
        <v>4</v>
      </c>
      <c r="H2948" t="n">
        <v>9</v>
      </c>
      <c r="I2948" t="n">
        <v>0</v>
      </c>
    </row>
    <row r="2949">
      <c r="A2949" t="n">
        <v>2948</v>
      </c>
      <c r="B2949" t="inlineStr">
        <is>
          <t>Validation</t>
        </is>
      </c>
      <c r="C2949" t="n">
        <v>8785</v>
      </c>
      <c r="D2949" t="n">
        <v>16920</v>
      </c>
      <c r="E2949" t="n">
        <v>39</v>
      </c>
      <c r="F2949" t="n">
        <v>45678</v>
      </c>
      <c r="G2949" t="n">
        <v>0</v>
      </c>
      <c r="H2949" t="n">
        <v>13</v>
      </c>
      <c r="I2949" t="n">
        <v>214068</v>
      </c>
    </row>
    <row r="2950">
      <c r="A2950" t="n">
        <v>2949</v>
      </c>
      <c r="B2950" t="inlineStr">
        <is>
          <t>Validation</t>
        </is>
      </c>
      <c r="C2950" t="n">
        <v>25355</v>
      </c>
      <c r="D2950" t="n">
        <v>8200</v>
      </c>
      <c r="E2950" t="n">
        <v>47</v>
      </c>
      <c r="F2950" t="n">
        <v>19956</v>
      </c>
      <c r="G2950" t="n">
        <v>4</v>
      </c>
      <c r="H2950" t="n">
        <v>11</v>
      </c>
      <c r="I2950" t="n">
        <v>0</v>
      </c>
    </row>
    <row r="2951">
      <c r="A2951" t="n">
        <v>2950</v>
      </c>
      <c r="B2951" t="inlineStr">
        <is>
          <t>Train</t>
        </is>
      </c>
      <c r="C2951" t="n">
        <v>4925</v>
      </c>
      <c r="D2951" t="n">
        <v>16720</v>
      </c>
      <c r="E2951" t="n">
        <v>42</v>
      </c>
      <c r="F2951" t="n">
        <v>110240</v>
      </c>
      <c r="G2951" t="n">
        <v>3</v>
      </c>
      <c r="H2951" t="n">
        <v>12</v>
      </c>
      <c r="I2951" t="n">
        <v>278571</v>
      </c>
    </row>
    <row r="2952">
      <c r="A2952" t="n">
        <v>2951</v>
      </c>
      <c r="B2952" t="inlineStr">
        <is>
          <t>Train</t>
        </is>
      </c>
      <c r="C2952" t="n">
        <v>6838</v>
      </c>
      <c r="D2952" t="n">
        <v>1500</v>
      </c>
      <c r="E2952" t="n">
        <v>47</v>
      </c>
      <c r="F2952" t="n">
        <v>11802</v>
      </c>
      <c r="G2952" t="n">
        <v>5</v>
      </c>
      <c r="H2952" t="n">
        <v>9</v>
      </c>
      <c r="I2952" t="n">
        <v>0</v>
      </c>
    </row>
    <row r="2953">
      <c r="A2953" t="n">
        <v>2952</v>
      </c>
      <c r="B2953" t="inlineStr">
        <is>
          <t>Train</t>
        </is>
      </c>
      <c r="C2953" t="n">
        <v>1839</v>
      </c>
      <c r="D2953" t="n">
        <v>23690</v>
      </c>
      <c r="E2953" t="n">
        <v>57</v>
      </c>
      <c r="F2953" t="n">
        <v>151637</v>
      </c>
      <c r="G2953" t="n">
        <v>3</v>
      </c>
      <c r="H2953" t="n">
        <v>14</v>
      </c>
      <c r="I2953" t="n">
        <v>0</v>
      </c>
    </row>
    <row r="2954">
      <c r="A2954" t="n">
        <v>2953</v>
      </c>
      <c r="B2954" t="inlineStr">
        <is>
          <t>Train</t>
        </is>
      </c>
      <c r="C2954" t="n">
        <v>1037</v>
      </c>
      <c r="D2954" t="n">
        <v>15420</v>
      </c>
      <c r="E2954" t="n">
        <v>33</v>
      </c>
      <c r="F2954" t="n">
        <v>28403</v>
      </c>
      <c r="G2954" t="n">
        <v>12</v>
      </c>
      <c r="H2954" t="n">
        <v>14</v>
      </c>
      <c r="I2954" t="n">
        <v>101889</v>
      </c>
    </row>
    <row r="2955">
      <c r="A2955" t="n">
        <v>2954</v>
      </c>
      <c r="B2955" t="inlineStr">
        <is>
          <t>Train</t>
        </is>
      </c>
      <c r="C2955" t="n">
        <v>7716</v>
      </c>
      <c r="D2955" t="n">
        <v>13250</v>
      </c>
      <c r="E2955" t="n">
        <v>56</v>
      </c>
      <c r="F2955" t="n">
        <v>38290</v>
      </c>
      <c r="G2955" t="n">
        <v>0</v>
      </c>
      <c r="H2955" t="n">
        <v>11</v>
      </c>
      <c r="I2955" t="n">
        <v>0</v>
      </c>
    </row>
    <row r="2956">
      <c r="A2956" t="n">
        <v>2955</v>
      </c>
      <c r="B2956" t="inlineStr">
        <is>
          <t>Train</t>
        </is>
      </c>
      <c r="C2956" t="n">
        <v>9126</v>
      </c>
      <c r="D2956" t="n">
        <v>13960</v>
      </c>
      <c r="E2956" t="n">
        <v>65</v>
      </c>
      <c r="F2956" t="n">
        <v>98581</v>
      </c>
      <c r="G2956" t="n">
        <v>0</v>
      </c>
      <c r="H2956" t="n">
        <v>13</v>
      </c>
      <c r="I2956" t="n">
        <v>326554</v>
      </c>
    </row>
    <row r="2957">
      <c r="A2957" t="n">
        <v>2956</v>
      </c>
      <c r="B2957" t="inlineStr">
        <is>
          <t>Train</t>
        </is>
      </c>
      <c r="C2957" t="n">
        <v>4020</v>
      </c>
      <c r="D2957" t="n">
        <v>18620</v>
      </c>
      <c r="E2957" t="n">
        <v>58</v>
      </c>
      <c r="F2957" t="n">
        <v>113195</v>
      </c>
      <c r="G2957" t="n">
        <v>0</v>
      </c>
      <c r="H2957" t="n">
        <v>14</v>
      </c>
      <c r="I2957" t="n">
        <v>302154</v>
      </c>
    </row>
    <row r="2958">
      <c r="A2958" t="n">
        <v>2957</v>
      </c>
      <c r="B2958" t="inlineStr">
        <is>
          <t>Validation</t>
        </is>
      </c>
      <c r="C2958" t="n">
        <v>864</v>
      </c>
      <c r="D2958" t="n">
        <v>12890</v>
      </c>
      <c r="E2958" t="n">
        <v>49</v>
      </c>
      <c r="F2958" t="n">
        <v>64884</v>
      </c>
      <c r="G2958" t="n">
        <v>3</v>
      </c>
      <c r="H2958" t="n">
        <v>10</v>
      </c>
      <c r="I2958" t="n">
        <v>0</v>
      </c>
    </row>
    <row r="2959">
      <c r="A2959" t="n">
        <v>2958</v>
      </c>
      <c r="B2959" t="inlineStr">
        <is>
          <t>Validation</t>
        </is>
      </c>
      <c r="C2959" t="n">
        <v>27682</v>
      </c>
      <c r="D2959" t="n">
        <v>15790</v>
      </c>
      <c r="E2959" t="n">
        <v>48</v>
      </c>
      <c r="F2959" t="n">
        <v>57601</v>
      </c>
      <c r="G2959" t="n">
        <v>5</v>
      </c>
      <c r="H2959" t="n">
        <v>11</v>
      </c>
      <c r="I2959" t="n">
        <v>187285</v>
      </c>
    </row>
    <row r="2960">
      <c r="A2960" t="n">
        <v>2959</v>
      </c>
      <c r="B2960" t="inlineStr">
        <is>
          <t>Validation</t>
        </is>
      </c>
      <c r="C2960" t="n">
        <v>569</v>
      </c>
      <c r="D2960" t="n">
        <v>24930</v>
      </c>
      <c r="E2960" t="n">
        <v>55</v>
      </c>
      <c r="F2960" t="n">
        <v>97890</v>
      </c>
      <c r="G2960" t="n">
        <v>4</v>
      </c>
      <c r="H2960" t="n">
        <v>16</v>
      </c>
      <c r="I2960" t="n">
        <v>325876</v>
      </c>
    </row>
    <row r="2961">
      <c r="A2961" t="n">
        <v>2960</v>
      </c>
      <c r="B2961" t="inlineStr">
        <is>
          <t>Train</t>
        </is>
      </c>
      <c r="C2961" t="n">
        <v>5373</v>
      </c>
      <c r="D2961" t="n">
        <v>21690</v>
      </c>
      <c r="E2961" t="n">
        <v>37</v>
      </c>
      <c r="F2961" t="n">
        <v>117454</v>
      </c>
      <c r="G2961" t="n">
        <v>7</v>
      </c>
      <c r="H2961" t="n">
        <v>16</v>
      </c>
      <c r="I2961" t="n">
        <v>338110</v>
      </c>
    </row>
    <row r="2962">
      <c r="A2962" t="n">
        <v>2961</v>
      </c>
      <c r="B2962" t="inlineStr">
        <is>
          <t>Train</t>
        </is>
      </c>
      <c r="C2962" t="n">
        <v>4777</v>
      </c>
      <c r="D2962" t="n">
        <v>8780</v>
      </c>
      <c r="E2962" t="n">
        <v>54</v>
      </c>
      <c r="F2962" t="n">
        <v>50925</v>
      </c>
      <c r="G2962" t="n">
        <v>6</v>
      </c>
      <c r="H2962" t="n">
        <v>9</v>
      </c>
      <c r="I2962" t="n">
        <v>0</v>
      </c>
    </row>
    <row r="2963">
      <c r="A2963" t="n">
        <v>2962</v>
      </c>
      <c r="B2963" t="inlineStr">
        <is>
          <t>Train</t>
        </is>
      </c>
      <c r="C2963" t="n">
        <v>3774</v>
      </c>
      <c r="D2963" t="n">
        <v>11300</v>
      </c>
      <c r="E2963" t="n">
        <v>39</v>
      </c>
      <c r="F2963" t="n">
        <v>31924</v>
      </c>
      <c r="G2963" t="n">
        <v>0</v>
      </c>
      <c r="H2963" t="n">
        <v>13</v>
      </c>
      <c r="I2963" t="n">
        <v>0</v>
      </c>
    </row>
    <row r="2964">
      <c r="A2964" t="n">
        <v>2963</v>
      </c>
      <c r="B2964" t="inlineStr">
        <is>
          <t>Train</t>
        </is>
      </c>
      <c r="C2964" t="n">
        <v>9119</v>
      </c>
      <c r="D2964" t="n">
        <v>13740</v>
      </c>
      <c r="E2964" t="n">
        <v>55</v>
      </c>
      <c r="F2964" t="n">
        <v>72391</v>
      </c>
      <c r="G2964" t="n">
        <v>2</v>
      </c>
      <c r="H2964" t="n">
        <v>13</v>
      </c>
      <c r="I2964" t="n">
        <v>254334</v>
      </c>
    </row>
    <row r="2965">
      <c r="A2965" t="n">
        <v>2964</v>
      </c>
      <c r="B2965" t="inlineStr">
        <is>
          <t>Train</t>
        </is>
      </c>
      <c r="C2965" t="n">
        <v>33399</v>
      </c>
      <c r="D2965" t="n">
        <v>20680</v>
      </c>
      <c r="E2965" t="n">
        <v>39</v>
      </c>
      <c r="F2965" t="n">
        <v>103142</v>
      </c>
      <c r="G2965" t="n">
        <v>3</v>
      </c>
      <c r="H2965" t="n">
        <v>5</v>
      </c>
      <c r="I2965" t="n">
        <v>294037</v>
      </c>
    </row>
    <row r="2966">
      <c r="A2966" t="n">
        <v>2965</v>
      </c>
      <c r="B2966" t="inlineStr">
        <is>
          <t>Train</t>
        </is>
      </c>
      <c r="C2966" t="n">
        <v>15724</v>
      </c>
      <c r="D2966" t="n">
        <v>36360</v>
      </c>
      <c r="E2966" t="n">
        <v>57</v>
      </c>
      <c r="F2966" t="n">
        <v>7280</v>
      </c>
      <c r="G2966" t="n">
        <v>6</v>
      </c>
      <c r="H2966" t="n">
        <v>16</v>
      </c>
      <c r="I2966" t="n">
        <v>0</v>
      </c>
    </row>
    <row r="2967">
      <c r="A2967" t="n">
        <v>2966</v>
      </c>
      <c r="B2967" t="inlineStr">
        <is>
          <t>Train</t>
        </is>
      </c>
      <c r="C2967" t="n">
        <v>2551</v>
      </c>
      <c r="D2967" t="n">
        <v>13990</v>
      </c>
      <c r="E2967" t="n">
        <v>32</v>
      </c>
      <c r="F2967" t="n">
        <v>51554</v>
      </c>
      <c r="G2967" t="n">
        <v>3</v>
      </c>
      <c r="H2967" t="n">
        <v>15</v>
      </c>
      <c r="I2967" t="n">
        <v>0</v>
      </c>
    </row>
    <row r="2968">
      <c r="A2968" t="n">
        <v>2967</v>
      </c>
      <c r="B2968" t="inlineStr">
        <is>
          <t>Validation</t>
        </is>
      </c>
      <c r="C2968" t="n">
        <v>26951</v>
      </c>
      <c r="D2968" t="n">
        <v>13720</v>
      </c>
      <c r="E2968" t="n">
        <v>40</v>
      </c>
      <c r="F2968" t="n">
        <v>62000</v>
      </c>
      <c r="G2968" t="n">
        <v>6</v>
      </c>
      <c r="H2968" t="n">
        <v>14</v>
      </c>
      <c r="I2968" t="n">
        <v>174525</v>
      </c>
    </row>
    <row r="2969">
      <c r="A2969" t="n">
        <v>2968</v>
      </c>
      <c r="B2969" t="inlineStr">
        <is>
          <t>Validation</t>
        </is>
      </c>
      <c r="C2969" t="n">
        <v>3808</v>
      </c>
      <c r="D2969" t="n">
        <v>23780</v>
      </c>
      <c r="E2969" t="n">
        <v>40</v>
      </c>
      <c r="F2969" t="n">
        <v>101059</v>
      </c>
      <c r="G2969" t="n">
        <v>0</v>
      </c>
      <c r="H2969" t="n">
        <v>3</v>
      </c>
      <c r="I2969" t="n">
        <v>302340</v>
      </c>
    </row>
    <row r="2970">
      <c r="A2970" t="n">
        <v>2969</v>
      </c>
      <c r="B2970" t="inlineStr">
        <is>
          <t>Validation</t>
        </is>
      </c>
      <c r="C2970" t="n">
        <v>2938</v>
      </c>
      <c r="D2970" t="n">
        <v>17030</v>
      </c>
      <c r="E2970" t="n">
        <v>49</v>
      </c>
      <c r="F2970" t="n">
        <v>36552</v>
      </c>
      <c r="G2970" t="n">
        <v>0</v>
      </c>
      <c r="H2970" t="n">
        <v>11</v>
      </c>
      <c r="I2970" t="n">
        <v>171716</v>
      </c>
    </row>
    <row r="2971">
      <c r="A2971" t="n">
        <v>2970</v>
      </c>
      <c r="B2971" t="inlineStr">
        <is>
          <t>Train</t>
        </is>
      </c>
      <c r="C2971" t="n">
        <v>4403</v>
      </c>
      <c r="D2971" t="n">
        <v>16410</v>
      </c>
      <c r="E2971" t="n">
        <v>43</v>
      </c>
      <c r="F2971" t="n">
        <v>149134</v>
      </c>
      <c r="G2971" t="n">
        <v>0</v>
      </c>
      <c r="H2971" t="n">
        <v>17</v>
      </c>
      <c r="I2971" t="n">
        <v>329238</v>
      </c>
    </row>
    <row r="2972">
      <c r="A2972" t="n">
        <v>2971</v>
      </c>
      <c r="B2972" t="inlineStr">
        <is>
          <t>Train</t>
        </is>
      </c>
      <c r="C2972" t="n">
        <v>23429</v>
      </c>
      <c r="D2972" t="n">
        <v>6500</v>
      </c>
      <c r="E2972" t="n">
        <v>50</v>
      </c>
      <c r="F2972" t="n">
        <v>116524</v>
      </c>
      <c r="G2972" t="n">
        <v>4</v>
      </c>
      <c r="H2972" t="n">
        <v>15</v>
      </c>
      <c r="I2972" t="n">
        <v>341701</v>
      </c>
    </row>
    <row r="2973">
      <c r="A2973" t="n">
        <v>2972</v>
      </c>
      <c r="B2973" t="inlineStr">
        <is>
          <t>Train</t>
        </is>
      </c>
      <c r="C2973" t="n">
        <v>4788</v>
      </c>
      <c r="D2973" t="n">
        <v>19610</v>
      </c>
      <c r="E2973" t="n">
        <v>56</v>
      </c>
      <c r="F2973" t="n">
        <v>125135</v>
      </c>
      <c r="G2973" t="n">
        <v>1</v>
      </c>
      <c r="H2973" t="n">
        <v>12</v>
      </c>
      <c r="I2973" t="n">
        <v>361933</v>
      </c>
    </row>
    <row r="2974">
      <c r="A2974" t="n">
        <v>2973</v>
      </c>
      <c r="B2974" t="inlineStr">
        <is>
          <t>Train</t>
        </is>
      </c>
      <c r="C2974" t="n">
        <v>4748</v>
      </c>
      <c r="D2974" t="n">
        <v>13000</v>
      </c>
      <c r="E2974" t="n">
        <v>48</v>
      </c>
      <c r="F2974" t="n">
        <v>66960</v>
      </c>
      <c r="G2974" t="n">
        <v>5</v>
      </c>
      <c r="H2974" t="n">
        <v>15</v>
      </c>
      <c r="I2974" t="n">
        <v>0</v>
      </c>
    </row>
    <row r="2975">
      <c r="A2975" t="n">
        <v>2974</v>
      </c>
      <c r="B2975" t="inlineStr">
        <is>
          <t>Train</t>
        </is>
      </c>
      <c r="C2975" t="n">
        <v>4428</v>
      </c>
      <c r="D2975" t="n">
        <v>7160</v>
      </c>
      <c r="E2975" t="n">
        <v>29</v>
      </c>
      <c r="F2975" t="n">
        <v>22819</v>
      </c>
      <c r="G2975" t="n">
        <v>1</v>
      </c>
      <c r="H2975" t="n">
        <v>12</v>
      </c>
      <c r="I2975" t="n">
        <v>145084</v>
      </c>
    </row>
    <row r="2976">
      <c r="A2976" t="n">
        <v>2975</v>
      </c>
      <c r="B2976" t="inlineStr">
        <is>
          <t>Train</t>
        </is>
      </c>
      <c r="C2976" t="n">
        <v>8936</v>
      </c>
      <c r="D2976" t="n">
        <v>34150</v>
      </c>
      <c r="E2976" t="n">
        <v>50</v>
      </c>
      <c r="F2976" t="n">
        <v>80472</v>
      </c>
      <c r="G2976" t="n">
        <v>2</v>
      </c>
      <c r="H2976" t="n">
        <v>10</v>
      </c>
      <c r="I2976" t="n">
        <v>239345</v>
      </c>
    </row>
    <row r="2977">
      <c r="A2977" t="n">
        <v>2976</v>
      </c>
      <c r="B2977" t="inlineStr">
        <is>
          <t>Train</t>
        </is>
      </c>
      <c r="C2977" t="n">
        <v>2602</v>
      </c>
      <c r="D2977" t="n">
        <v>1500</v>
      </c>
      <c r="E2977" t="n">
        <v>44</v>
      </c>
      <c r="F2977" t="n">
        <v>0</v>
      </c>
      <c r="G2977" t="n">
        <v>8</v>
      </c>
      <c r="H2977" t="n">
        <v>0</v>
      </c>
      <c r="I2977" t="n">
        <v>0</v>
      </c>
    </row>
    <row r="2978">
      <c r="A2978" t="n">
        <v>2977</v>
      </c>
      <c r="B2978" t="inlineStr">
        <is>
          <t>Validation</t>
        </is>
      </c>
      <c r="C2978" t="n">
        <v>5179</v>
      </c>
      <c r="D2978" t="n">
        <v>7070</v>
      </c>
      <c r="E2978" t="n">
        <v>35</v>
      </c>
      <c r="F2978" t="n">
        <v>20717</v>
      </c>
      <c r="G2978" t="n">
        <v>0</v>
      </c>
      <c r="H2978" t="n">
        <v>7</v>
      </c>
      <c r="I2978" t="n">
        <v>0</v>
      </c>
    </row>
    <row r="2979">
      <c r="A2979" t="n">
        <v>2978</v>
      </c>
      <c r="B2979" t="inlineStr">
        <is>
          <t>Validation</t>
        </is>
      </c>
      <c r="C2979" t="n">
        <v>4577</v>
      </c>
      <c r="D2979" t="n">
        <v>20160</v>
      </c>
      <c r="E2979" t="n">
        <v>51</v>
      </c>
      <c r="F2979" t="n">
        <v>57343</v>
      </c>
      <c r="G2979" t="n">
        <v>1</v>
      </c>
      <c r="H2979" t="n">
        <v>12</v>
      </c>
      <c r="I2979" t="n">
        <v>197113</v>
      </c>
    </row>
    <row r="2980">
      <c r="A2980" t="n">
        <v>2979</v>
      </c>
      <c r="B2980" t="inlineStr">
        <is>
          <t>Validation</t>
        </is>
      </c>
      <c r="C2980" t="n">
        <v>9937</v>
      </c>
      <c r="D2980" t="n">
        <v>23510</v>
      </c>
      <c r="E2980" t="n">
        <v>58</v>
      </c>
      <c r="F2980" t="n">
        <v>129230</v>
      </c>
      <c r="G2980" t="n">
        <v>2</v>
      </c>
      <c r="H2980" t="n">
        <v>10</v>
      </c>
      <c r="I2980" t="n">
        <v>337720</v>
      </c>
    </row>
    <row r="2981">
      <c r="A2981" t="n">
        <v>2980</v>
      </c>
      <c r="B2981" t="inlineStr">
        <is>
          <t>Train</t>
        </is>
      </c>
      <c r="C2981" t="n">
        <v>3320</v>
      </c>
      <c r="D2981" t="n">
        <v>28260</v>
      </c>
      <c r="E2981" t="n">
        <v>46</v>
      </c>
      <c r="F2981" t="n">
        <v>119816</v>
      </c>
      <c r="G2981" t="n">
        <v>5</v>
      </c>
      <c r="H2981" t="n">
        <v>9</v>
      </c>
      <c r="I2981" t="n">
        <v>0</v>
      </c>
    </row>
    <row r="2982">
      <c r="A2982" t="n">
        <v>2981</v>
      </c>
      <c r="B2982" t="inlineStr">
        <is>
          <t>Train</t>
        </is>
      </c>
      <c r="C2982" t="n">
        <v>4451</v>
      </c>
      <c r="D2982" t="n">
        <v>13540</v>
      </c>
      <c r="E2982" t="n">
        <v>40</v>
      </c>
      <c r="F2982" t="n">
        <v>8585</v>
      </c>
      <c r="G2982" t="n">
        <v>0</v>
      </c>
      <c r="H2982" t="n">
        <v>12</v>
      </c>
      <c r="I2982" t="n">
        <v>0</v>
      </c>
    </row>
    <row r="2983">
      <c r="A2983" t="n">
        <v>2982</v>
      </c>
      <c r="B2983" t="inlineStr">
        <is>
          <t>Train</t>
        </is>
      </c>
      <c r="C2983" t="n">
        <v>3308</v>
      </c>
      <c r="D2983" t="n">
        <v>15350</v>
      </c>
      <c r="E2983" t="n">
        <v>43</v>
      </c>
      <c r="F2983" t="n">
        <v>90334</v>
      </c>
      <c r="G2983" t="n">
        <v>2</v>
      </c>
      <c r="H2983" t="n">
        <v>11</v>
      </c>
      <c r="I2983" t="n">
        <v>268229</v>
      </c>
    </row>
    <row r="2984">
      <c r="A2984" t="n">
        <v>2983</v>
      </c>
      <c r="B2984" t="inlineStr">
        <is>
          <t>Train</t>
        </is>
      </c>
      <c r="C2984" t="n">
        <v>32871</v>
      </c>
      <c r="D2984" t="n">
        <v>19150</v>
      </c>
      <c r="E2984" t="n">
        <v>35</v>
      </c>
      <c r="F2984" t="n">
        <v>54309</v>
      </c>
      <c r="G2984" t="n">
        <v>4</v>
      </c>
      <c r="H2984" t="n">
        <v>13</v>
      </c>
      <c r="I2984" t="n">
        <v>0</v>
      </c>
    </row>
    <row r="2985">
      <c r="A2985" t="n">
        <v>2984</v>
      </c>
      <c r="B2985" t="inlineStr">
        <is>
          <t>Train</t>
        </is>
      </c>
      <c r="C2985" t="n">
        <v>6109</v>
      </c>
      <c r="D2985" t="n">
        <v>8020</v>
      </c>
      <c r="E2985" t="n">
        <v>34</v>
      </c>
      <c r="F2985" t="n">
        <v>29707</v>
      </c>
      <c r="G2985" t="n">
        <v>4</v>
      </c>
      <c r="H2985" t="n">
        <v>6</v>
      </c>
      <c r="I2985" t="n">
        <v>133725</v>
      </c>
    </row>
    <row r="2986">
      <c r="A2986" t="n">
        <v>2985</v>
      </c>
      <c r="B2986" t="inlineStr">
        <is>
          <t>Train</t>
        </is>
      </c>
      <c r="C2986" t="n">
        <v>5712</v>
      </c>
      <c r="D2986" t="n">
        <v>11130</v>
      </c>
      <c r="E2986" t="n">
        <v>58</v>
      </c>
      <c r="F2986" t="n">
        <v>38259</v>
      </c>
      <c r="G2986" t="n">
        <v>3</v>
      </c>
      <c r="H2986" t="n">
        <v>13</v>
      </c>
      <c r="I2986" t="n">
        <v>195213</v>
      </c>
    </row>
    <row r="2987">
      <c r="A2987" t="n">
        <v>2986</v>
      </c>
      <c r="B2987" t="inlineStr">
        <is>
          <t>Train</t>
        </is>
      </c>
      <c r="C2987" t="n">
        <v>3393</v>
      </c>
      <c r="D2987" t="n">
        <v>17160</v>
      </c>
      <c r="E2987" t="n">
        <v>58</v>
      </c>
      <c r="F2987" t="n">
        <v>0</v>
      </c>
      <c r="G2987" t="n">
        <v>3</v>
      </c>
      <c r="H2987" t="n">
        <v>0</v>
      </c>
      <c r="I2987" t="n">
        <v>93576</v>
      </c>
    </row>
    <row r="2988">
      <c r="A2988" t="n">
        <v>2987</v>
      </c>
      <c r="B2988" t="inlineStr">
        <is>
          <t>Validation</t>
        </is>
      </c>
      <c r="C2988" t="n">
        <v>9869</v>
      </c>
      <c r="D2988" t="n">
        <v>16610</v>
      </c>
      <c r="E2988" t="n">
        <v>44</v>
      </c>
      <c r="F2988" t="n">
        <v>126608</v>
      </c>
      <c r="G2988" t="n">
        <v>3</v>
      </c>
      <c r="H2988" t="n">
        <v>12</v>
      </c>
      <c r="I2988" t="n">
        <v>354910</v>
      </c>
    </row>
    <row r="2989">
      <c r="A2989" t="n">
        <v>2988</v>
      </c>
      <c r="B2989" t="inlineStr">
        <is>
          <t>Validation</t>
        </is>
      </c>
      <c r="C2989" t="n">
        <v>13538</v>
      </c>
      <c r="D2989" t="n">
        <v>4700</v>
      </c>
      <c r="E2989" t="n">
        <v>28</v>
      </c>
      <c r="F2989" t="n">
        <v>3985</v>
      </c>
      <c r="G2989" t="n">
        <v>7</v>
      </c>
      <c r="H2989" t="n">
        <v>7</v>
      </c>
      <c r="I2989" t="n">
        <v>0</v>
      </c>
    </row>
    <row r="2990">
      <c r="A2990" t="n">
        <v>2989</v>
      </c>
      <c r="B2990" t="inlineStr">
        <is>
          <t>Validation</t>
        </is>
      </c>
      <c r="C2990" t="n">
        <v>4674</v>
      </c>
      <c r="D2990" t="n">
        <v>23650</v>
      </c>
      <c r="E2990" t="n">
        <v>51</v>
      </c>
      <c r="F2990" t="n">
        <v>30969</v>
      </c>
      <c r="G2990" t="n">
        <v>3</v>
      </c>
      <c r="H2990" t="n">
        <v>12</v>
      </c>
      <c r="I2990" t="n">
        <v>181779</v>
      </c>
    </row>
    <row r="2991">
      <c r="A2991" t="n">
        <v>2990</v>
      </c>
      <c r="B2991" t="inlineStr">
        <is>
          <t>Train</t>
        </is>
      </c>
      <c r="C2991" t="n">
        <v>4995</v>
      </c>
      <c r="D2991" t="n">
        <v>6500</v>
      </c>
      <c r="E2991" t="n">
        <v>50</v>
      </c>
      <c r="F2991" t="n">
        <v>108290</v>
      </c>
      <c r="G2991" t="n">
        <v>7</v>
      </c>
      <c r="H2991" t="n">
        <v>12</v>
      </c>
      <c r="I2991" t="n">
        <v>0</v>
      </c>
    </row>
    <row r="2992">
      <c r="A2992" t="n">
        <v>2991</v>
      </c>
      <c r="B2992" t="inlineStr">
        <is>
          <t>Train</t>
        </is>
      </c>
      <c r="C2992" t="n">
        <v>39529</v>
      </c>
      <c r="D2992" t="n">
        <v>18970</v>
      </c>
      <c r="E2992" t="n">
        <v>57</v>
      </c>
      <c r="F2992" t="n">
        <v>76123</v>
      </c>
      <c r="G2992" t="n">
        <v>2</v>
      </c>
      <c r="H2992" t="n">
        <v>14</v>
      </c>
      <c r="I2992" t="n">
        <v>265089</v>
      </c>
    </row>
    <row r="2993">
      <c r="A2993" t="n">
        <v>2992</v>
      </c>
      <c r="B2993" t="inlineStr">
        <is>
          <t>Train</t>
        </is>
      </c>
      <c r="C2993" t="n">
        <v>3911</v>
      </c>
      <c r="D2993" t="n">
        <v>23780</v>
      </c>
      <c r="E2993" t="n">
        <v>49</v>
      </c>
      <c r="F2993" t="n">
        <v>54108</v>
      </c>
      <c r="G2993" t="n">
        <v>0</v>
      </c>
      <c r="H2993" t="n">
        <v>9</v>
      </c>
      <c r="I2993" t="n">
        <v>225756</v>
      </c>
    </row>
    <row r="2994">
      <c r="A2994" t="n">
        <v>2993</v>
      </c>
      <c r="B2994" t="inlineStr">
        <is>
          <t>Train</t>
        </is>
      </c>
      <c r="C2994" t="n">
        <v>615</v>
      </c>
      <c r="D2994" t="n">
        <v>21280</v>
      </c>
      <c r="E2994" t="n">
        <v>55</v>
      </c>
      <c r="F2994" t="n">
        <v>154165</v>
      </c>
      <c r="G2994" t="n">
        <v>5</v>
      </c>
      <c r="H2994" t="n">
        <v>12</v>
      </c>
      <c r="I2994" t="n">
        <v>405227</v>
      </c>
    </row>
    <row r="2995">
      <c r="A2995" t="n">
        <v>2994</v>
      </c>
      <c r="B2995" t="inlineStr">
        <is>
          <t>Train</t>
        </is>
      </c>
      <c r="C2995" t="n">
        <v>1192</v>
      </c>
      <c r="D2995" t="n">
        <v>13520</v>
      </c>
      <c r="E2995" t="n">
        <v>41</v>
      </c>
      <c r="F2995" t="n">
        <v>79213</v>
      </c>
      <c r="G2995" t="n">
        <v>2</v>
      </c>
      <c r="H2995" t="n">
        <v>15</v>
      </c>
      <c r="I2995" t="n">
        <v>219393</v>
      </c>
    </row>
    <row r="2996">
      <c r="A2996" t="n">
        <v>2995</v>
      </c>
      <c r="B2996" t="inlineStr">
        <is>
          <t>Train</t>
        </is>
      </c>
      <c r="C2996" t="n">
        <v>3868</v>
      </c>
      <c r="D2996" t="n">
        <v>35530</v>
      </c>
      <c r="E2996" t="n">
        <v>60</v>
      </c>
      <c r="F2996" t="n">
        <v>83639</v>
      </c>
      <c r="G2996" t="n">
        <v>3</v>
      </c>
      <c r="H2996" t="n">
        <v>11</v>
      </c>
      <c r="I2996" t="n">
        <v>268714</v>
      </c>
    </row>
    <row r="2997">
      <c r="A2997" t="n">
        <v>2996</v>
      </c>
      <c r="B2997" t="inlineStr">
        <is>
          <t>Train</t>
        </is>
      </c>
      <c r="C2997" t="n">
        <v>19618</v>
      </c>
      <c r="D2997" t="n">
        <v>13810</v>
      </c>
      <c r="E2997" t="n">
        <v>39</v>
      </c>
      <c r="F2997" t="n">
        <v>63190</v>
      </c>
      <c r="G2997" t="n">
        <v>1</v>
      </c>
      <c r="H2997" t="n">
        <v>12</v>
      </c>
      <c r="I2997" t="n">
        <v>212219</v>
      </c>
    </row>
    <row r="2998">
      <c r="A2998" t="n">
        <v>2997</v>
      </c>
      <c r="B2998" t="inlineStr">
        <is>
          <t>Validation</t>
        </is>
      </c>
      <c r="C2998" t="n">
        <v>8044</v>
      </c>
      <c r="D2998" t="n">
        <v>10280</v>
      </c>
      <c r="E2998" t="n">
        <v>56</v>
      </c>
      <c r="F2998" t="n">
        <v>57750</v>
      </c>
      <c r="G2998" t="n">
        <v>0</v>
      </c>
      <c r="H2998" t="n">
        <v>14</v>
      </c>
      <c r="I2998" t="n">
        <v>0</v>
      </c>
    </row>
    <row r="2999">
      <c r="A2999" t="n">
        <v>2998</v>
      </c>
      <c r="B2999" t="inlineStr">
        <is>
          <t>Validation</t>
        </is>
      </c>
      <c r="C2999" t="n">
        <v>3916</v>
      </c>
      <c r="D2999" t="n">
        <v>14640</v>
      </c>
      <c r="E2999" t="n">
        <v>46</v>
      </c>
      <c r="F2999" t="n">
        <v>85408</v>
      </c>
      <c r="G2999" t="n">
        <v>2</v>
      </c>
      <c r="H2999" t="n">
        <v>6</v>
      </c>
      <c r="I2999" t="n">
        <v>224054</v>
      </c>
    </row>
    <row r="3000">
      <c r="A3000" t="n">
        <v>2999</v>
      </c>
      <c r="B3000" t="inlineStr">
        <is>
          <t>Validation</t>
        </is>
      </c>
      <c r="C3000" t="n">
        <v>40844</v>
      </c>
      <c r="D3000" t="n">
        <v>12250</v>
      </c>
      <c r="E3000" t="n">
        <v>47</v>
      </c>
      <c r="F3000" t="n">
        <v>18896</v>
      </c>
      <c r="G3000" t="n">
        <v>2</v>
      </c>
      <c r="H3000" t="n">
        <v>9</v>
      </c>
      <c r="I3000" t="n">
        <v>106991</v>
      </c>
    </row>
    <row r="3001">
      <c r="A3001" t="n">
        <v>3000</v>
      </c>
      <c r="B3001" t="inlineStr">
        <is>
          <t>Train</t>
        </is>
      </c>
      <c r="C3001" t="n">
        <v>6772</v>
      </c>
      <c r="D3001" t="n">
        <v>4800</v>
      </c>
      <c r="E3001" t="n">
        <v>33</v>
      </c>
      <c r="F3001" t="n">
        <v>30885</v>
      </c>
      <c r="G3001" t="n">
        <v>0</v>
      </c>
      <c r="H3001" t="n">
        <v>10</v>
      </c>
      <c r="I3001" t="n">
        <v>142220</v>
      </c>
    </row>
    <row r="3002">
      <c r="A3002" t="n">
        <v>3001</v>
      </c>
      <c r="B3002" t="inlineStr">
        <is>
          <t>Train</t>
        </is>
      </c>
      <c r="C3002" t="n">
        <v>41771</v>
      </c>
      <c r="D3002" t="n">
        <v>6000</v>
      </c>
      <c r="E3002" t="n">
        <v>45</v>
      </c>
      <c r="F3002" t="n">
        <v>92049</v>
      </c>
      <c r="G3002" t="n">
        <v>2</v>
      </c>
      <c r="H3002" t="n">
        <v>12</v>
      </c>
      <c r="I3002" t="n">
        <v>267902</v>
      </c>
    </row>
    <row r="3003">
      <c r="A3003" t="n">
        <v>3002</v>
      </c>
      <c r="B3003" t="inlineStr">
        <is>
          <t>Train</t>
        </is>
      </c>
      <c r="C3003" t="n">
        <v>6013</v>
      </c>
      <c r="D3003" t="n">
        <v>2340</v>
      </c>
      <c r="E3003" t="n">
        <v>28</v>
      </c>
      <c r="F3003" t="n">
        <v>68394</v>
      </c>
      <c r="G3003" t="n">
        <v>8</v>
      </c>
      <c r="H3003" t="n">
        <v>16</v>
      </c>
      <c r="I3003" t="n">
        <v>226146</v>
      </c>
    </row>
    <row r="3004">
      <c r="A3004" t="n">
        <v>3003</v>
      </c>
      <c r="B3004" t="inlineStr">
        <is>
          <t>Train</t>
        </is>
      </c>
      <c r="C3004" t="n">
        <v>11541</v>
      </c>
      <c r="D3004" t="n">
        <v>22830</v>
      </c>
      <c r="E3004" t="n">
        <v>53</v>
      </c>
      <c r="F3004" t="n">
        <v>46573</v>
      </c>
      <c r="G3004" t="n">
        <v>0</v>
      </c>
      <c r="H3004" t="n">
        <v>8</v>
      </c>
      <c r="I3004" t="n">
        <v>164089</v>
      </c>
    </row>
    <row r="3005">
      <c r="A3005" t="n">
        <v>3004</v>
      </c>
      <c r="B3005" t="inlineStr">
        <is>
          <t>Train</t>
        </is>
      </c>
      <c r="C3005" t="n">
        <v>3931</v>
      </c>
      <c r="D3005" t="n">
        <v>21210</v>
      </c>
      <c r="E3005" t="n">
        <v>43</v>
      </c>
      <c r="F3005" t="n">
        <v>48077</v>
      </c>
      <c r="G3005" t="n">
        <v>5</v>
      </c>
      <c r="H3005" t="n">
        <v>15</v>
      </c>
      <c r="I3005" t="n">
        <v>188744</v>
      </c>
    </row>
    <row r="3006">
      <c r="A3006" t="n">
        <v>3005</v>
      </c>
      <c r="B3006" t="inlineStr">
        <is>
          <t>Train</t>
        </is>
      </c>
      <c r="C3006" t="n">
        <v>5243</v>
      </c>
      <c r="D3006" t="n">
        <v>9960</v>
      </c>
      <c r="E3006" t="n">
        <v>52</v>
      </c>
      <c r="F3006" t="n">
        <v>32636</v>
      </c>
      <c r="G3006" t="n">
        <v>0</v>
      </c>
      <c r="H3006" t="n">
        <v>13</v>
      </c>
      <c r="I3006" t="n">
        <v>132838</v>
      </c>
    </row>
    <row r="3007">
      <c r="A3007" t="n">
        <v>3006</v>
      </c>
      <c r="B3007" t="inlineStr">
        <is>
          <t>Train</t>
        </is>
      </c>
      <c r="C3007" t="n">
        <v>32025</v>
      </c>
      <c r="D3007" t="n">
        <v>5730</v>
      </c>
      <c r="E3007" t="n">
        <v>27</v>
      </c>
      <c r="F3007" t="n">
        <v>42254</v>
      </c>
      <c r="G3007" t="n">
        <v>3</v>
      </c>
      <c r="H3007" t="n">
        <v>12</v>
      </c>
      <c r="I3007" t="n">
        <v>138816</v>
      </c>
    </row>
    <row r="3008">
      <c r="A3008" t="n">
        <v>3007</v>
      </c>
      <c r="B3008" t="inlineStr">
        <is>
          <t>Validation</t>
        </is>
      </c>
      <c r="C3008" t="n">
        <v>7415</v>
      </c>
      <c r="D3008" t="n">
        <v>5400</v>
      </c>
      <c r="E3008" t="n">
        <v>39</v>
      </c>
      <c r="F3008" t="n">
        <v>12876</v>
      </c>
      <c r="G3008" t="n">
        <v>7</v>
      </c>
      <c r="H3008" t="n">
        <v>13</v>
      </c>
      <c r="I3008" t="n">
        <v>0</v>
      </c>
    </row>
    <row r="3009">
      <c r="A3009" t="n">
        <v>3008</v>
      </c>
      <c r="B3009" t="inlineStr">
        <is>
          <t>Validation</t>
        </is>
      </c>
      <c r="C3009" t="n">
        <v>4292</v>
      </c>
      <c r="D3009" t="n">
        <v>11120</v>
      </c>
      <c r="E3009" t="n">
        <v>50</v>
      </c>
      <c r="F3009" t="n">
        <v>46191</v>
      </c>
      <c r="G3009" t="n">
        <v>2</v>
      </c>
      <c r="H3009" t="n">
        <v>11</v>
      </c>
      <c r="I3009" t="n">
        <v>0</v>
      </c>
    </row>
    <row r="3010">
      <c r="A3010" t="n">
        <v>3009</v>
      </c>
      <c r="B3010" t="inlineStr">
        <is>
          <t>Validation</t>
        </is>
      </c>
      <c r="C3010" t="n">
        <v>1305</v>
      </c>
      <c r="D3010" t="n">
        <v>22040</v>
      </c>
      <c r="E3010" t="n">
        <v>51</v>
      </c>
      <c r="F3010" t="n">
        <v>205354</v>
      </c>
      <c r="G3010" t="n">
        <v>0</v>
      </c>
      <c r="H3010" t="n">
        <v>10</v>
      </c>
      <c r="I3010" t="n">
        <v>0</v>
      </c>
    </row>
    <row r="3011">
      <c r="A3011" t="n">
        <v>3010</v>
      </c>
      <c r="B3011" t="inlineStr">
        <is>
          <t>Train</t>
        </is>
      </c>
      <c r="C3011" t="n">
        <v>41476</v>
      </c>
      <c r="D3011" t="n">
        <v>30870</v>
      </c>
      <c r="E3011" t="n">
        <v>45</v>
      </c>
      <c r="F3011" t="n">
        <v>64916</v>
      </c>
      <c r="G3011" t="n">
        <v>4</v>
      </c>
      <c r="H3011" t="n">
        <v>15</v>
      </c>
      <c r="I3011" t="n">
        <v>232064</v>
      </c>
    </row>
    <row r="3012">
      <c r="A3012" t="n">
        <v>3011</v>
      </c>
      <c r="B3012" t="inlineStr">
        <is>
          <t>Train</t>
        </is>
      </c>
      <c r="C3012" t="n">
        <v>8125</v>
      </c>
      <c r="D3012" t="n">
        <v>16200</v>
      </c>
      <c r="E3012" t="n">
        <v>53</v>
      </c>
      <c r="F3012" t="n">
        <v>81900</v>
      </c>
      <c r="G3012" t="n">
        <v>2</v>
      </c>
      <c r="H3012" t="n">
        <v>10</v>
      </c>
      <c r="I3012" t="n">
        <v>268602</v>
      </c>
    </row>
    <row r="3013">
      <c r="A3013" t="n">
        <v>3012</v>
      </c>
      <c r="B3013" t="inlineStr">
        <is>
          <t>Train</t>
        </is>
      </c>
      <c r="C3013" t="n">
        <v>23213</v>
      </c>
      <c r="D3013" t="n">
        <v>13060</v>
      </c>
      <c r="E3013" t="n">
        <v>42</v>
      </c>
      <c r="F3013" t="n">
        <v>73551</v>
      </c>
      <c r="G3013" t="n">
        <v>4</v>
      </c>
      <c r="H3013" t="n">
        <v>15</v>
      </c>
      <c r="I3013" t="n">
        <v>0</v>
      </c>
    </row>
    <row r="3014">
      <c r="A3014" t="n">
        <v>3013</v>
      </c>
      <c r="B3014" t="inlineStr">
        <is>
          <t>Train</t>
        </is>
      </c>
      <c r="C3014" t="n">
        <v>3516</v>
      </c>
      <c r="D3014" t="n">
        <v>15400</v>
      </c>
      <c r="E3014" t="n">
        <v>49</v>
      </c>
      <c r="F3014" t="n">
        <v>41483</v>
      </c>
      <c r="G3014" t="n">
        <v>5</v>
      </c>
      <c r="H3014" t="n">
        <v>13</v>
      </c>
      <c r="I3014" t="n">
        <v>171754</v>
      </c>
    </row>
    <row r="3015">
      <c r="A3015" t="n">
        <v>3014</v>
      </c>
      <c r="B3015" t="inlineStr">
        <is>
          <t>Train</t>
        </is>
      </c>
      <c r="C3015" t="n">
        <v>7176</v>
      </c>
      <c r="D3015" t="n">
        <v>10780</v>
      </c>
      <c r="E3015" t="n">
        <v>45</v>
      </c>
      <c r="F3015" t="n">
        <v>47763</v>
      </c>
      <c r="G3015" t="n">
        <v>0</v>
      </c>
      <c r="H3015" t="n">
        <v>13</v>
      </c>
      <c r="I3015" t="n">
        <v>157820</v>
      </c>
    </row>
    <row r="3016">
      <c r="A3016" t="n">
        <v>3015</v>
      </c>
      <c r="B3016" t="inlineStr">
        <is>
          <t>Train</t>
        </is>
      </c>
      <c r="C3016" t="n">
        <v>1597</v>
      </c>
      <c r="D3016" t="n">
        <v>14880</v>
      </c>
      <c r="E3016" t="n">
        <v>50</v>
      </c>
      <c r="F3016" t="n">
        <v>124092</v>
      </c>
      <c r="G3016" t="n">
        <v>7</v>
      </c>
      <c r="H3016" t="n">
        <v>13</v>
      </c>
      <c r="I3016" t="n">
        <v>0</v>
      </c>
    </row>
    <row r="3017">
      <c r="A3017" t="n">
        <v>3016</v>
      </c>
      <c r="B3017" t="inlineStr">
        <is>
          <t>Train</t>
        </is>
      </c>
      <c r="C3017" t="n">
        <v>1872</v>
      </c>
      <c r="D3017" t="n">
        <v>27930</v>
      </c>
      <c r="E3017" t="n">
        <v>51</v>
      </c>
      <c r="F3017" t="n">
        <v>51650</v>
      </c>
      <c r="G3017" t="n">
        <v>1</v>
      </c>
      <c r="H3017" t="n">
        <v>8</v>
      </c>
      <c r="I3017" t="n">
        <v>180795</v>
      </c>
    </row>
    <row r="3018">
      <c r="A3018" t="n">
        <v>3017</v>
      </c>
      <c r="B3018" t="inlineStr">
        <is>
          <t>Validation</t>
        </is>
      </c>
      <c r="C3018" t="n">
        <v>14351</v>
      </c>
      <c r="D3018" t="n">
        <v>20820</v>
      </c>
      <c r="E3018" t="n">
        <v>46</v>
      </c>
      <c r="F3018" t="n">
        <v>77946</v>
      </c>
      <c r="G3018" t="n">
        <v>0</v>
      </c>
      <c r="H3018" t="n">
        <v>6</v>
      </c>
      <c r="I3018" t="n">
        <v>225853</v>
      </c>
    </row>
    <row r="3019">
      <c r="A3019" t="n">
        <v>3018</v>
      </c>
      <c r="B3019" t="inlineStr">
        <is>
          <t>Validation</t>
        </is>
      </c>
      <c r="C3019" t="n">
        <v>8209</v>
      </c>
      <c r="D3019" t="n">
        <v>24580</v>
      </c>
      <c r="E3019" t="n">
        <v>59</v>
      </c>
      <c r="F3019" t="n">
        <v>85596</v>
      </c>
      <c r="G3019" t="n">
        <v>2</v>
      </c>
      <c r="H3019" t="n">
        <v>17</v>
      </c>
      <c r="I3019" t="n">
        <v>276908</v>
      </c>
    </row>
    <row r="3020">
      <c r="A3020" t="n">
        <v>3019</v>
      </c>
      <c r="B3020" t="inlineStr">
        <is>
          <t>Validation</t>
        </is>
      </c>
      <c r="C3020" t="n">
        <v>4957</v>
      </c>
      <c r="D3020" t="n">
        <v>14630</v>
      </c>
      <c r="E3020" t="n">
        <v>54</v>
      </c>
      <c r="F3020" t="n">
        <v>53388</v>
      </c>
      <c r="G3020" t="n">
        <v>2</v>
      </c>
      <c r="H3020" t="n">
        <v>13</v>
      </c>
      <c r="I3020" t="n">
        <v>194362</v>
      </c>
    </row>
    <row r="3021">
      <c r="A3021" t="n">
        <v>3020</v>
      </c>
      <c r="B3021" t="inlineStr">
        <is>
          <t>Train</t>
        </is>
      </c>
      <c r="C3021" t="n">
        <v>4797</v>
      </c>
      <c r="D3021" t="n">
        <v>21950</v>
      </c>
      <c r="E3021" t="n">
        <v>31</v>
      </c>
      <c r="F3021" t="n">
        <v>89640</v>
      </c>
      <c r="G3021" t="n">
        <v>3</v>
      </c>
      <c r="H3021" t="n">
        <v>9</v>
      </c>
      <c r="I3021" t="n">
        <v>223021</v>
      </c>
    </row>
    <row r="3022">
      <c r="A3022" t="n">
        <v>3021</v>
      </c>
      <c r="B3022" t="inlineStr">
        <is>
          <t>Train</t>
        </is>
      </c>
      <c r="C3022" t="n">
        <v>10623</v>
      </c>
      <c r="D3022" t="n">
        <v>16670</v>
      </c>
      <c r="E3022" t="n">
        <v>35</v>
      </c>
      <c r="F3022" t="n">
        <v>116733</v>
      </c>
      <c r="G3022" t="n">
        <v>1</v>
      </c>
      <c r="H3022" t="n">
        <v>15</v>
      </c>
      <c r="I3022" t="n">
        <v>349837</v>
      </c>
    </row>
    <row r="3023">
      <c r="A3023" t="n">
        <v>3022</v>
      </c>
      <c r="B3023" t="inlineStr">
        <is>
          <t>Train</t>
        </is>
      </c>
      <c r="C3023" t="n">
        <v>7536</v>
      </c>
      <c r="D3023" t="n">
        <v>8880</v>
      </c>
      <c r="E3023" t="n">
        <v>44</v>
      </c>
      <c r="F3023" t="n">
        <v>29819</v>
      </c>
      <c r="G3023" t="n">
        <v>0</v>
      </c>
      <c r="H3023" t="n">
        <v>12</v>
      </c>
      <c r="I3023" t="n">
        <v>0</v>
      </c>
    </row>
    <row r="3024">
      <c r="A3024" t="n">
        <v>3023</v>
      </c>
      <c r="B3024" t="inlineStr">
        <is>
          <t>Train</t>
        </is>
      </c>
      <c r="C3024" t="n">
        <v>588</v>
      </c>
      <c r="D3024" t="n">
        <v>31460</v>
      </c>
      <c r="E3024" t="n">
        <v>30</v>
      </c>
      <c r="F3024" t="n">
        <v>18972</v>
      </c>
      <c r="G3024" t="n">
        <v>4</v>
      </c>
      <c r="H3024" t="n">
        <v>13</v>
      </c>
      <c r="I3024" t="n">
        <v>119932</v>
      </c>
    </row>
    <row r="3025">
      <c r="A3025" t="n">
        <v>3024</v>
      </c>
      <c r="B3025" t="inlineStr">
        <is>
          <t>Train</t>
        </is>
      </c>
      <c r="C3025" t="n">
        <v>3682</v>
      </c>
      <c r="D3025" t="n">
        <v>13900</v>
      </c>
      <c r="E3025" t="n">
        <v>29</v>
      </c>
      <c r="F3025" t="n">
        <v>0</v>
      </c>
      <c r="G3025" t="n">
        <v>9</v>
      </c>
      <c r="H3025" t="n">
        <v>0</v>
      </c>
      <c r="I3025" t="n">
        <v>0</v>
      </c>
    </row>
    <row r="3026">
      <c r="A3026" t="n">
        <v>3025</v>
      </c>
      <c r="B3026" t="inlineStr">
        <is>
          <t>Train</t>
        </is>
      </c>
      <c r="C3026" t="n">
        <v>5678</v>
      </c>
      <c r="D3026" t="n">
        <v>3700</v>
      </c>
      <c r="E3026" t="n">
        <v>22</v>
      </c>
      <c r="F3026" t="n">
        <v>23452</v>
      </c>
      <c r="G3026" t="n">
        <v>8</v>
      </c>
      <c r="H3026" t="n">
        <v>10</v>
      </c>
      <c r="I3026" t="n">
        <v>121949</v>
      </c>
    </row>
    <row r="3027">
      <c r="A3027" t="n">
        <v>3026</v>
      </c>
      <c r="B3027" t="inlineStr">
        <is>
          <t>Train</t>
        </is>
      </c>
      <c r="C3027" t="n">
        <v>6136</v>
      </c>
      <c r="D3027" t="n">
        <v>9400</v>
      </c>
      <c r="E3027" t="n">
        <v>47</v>
      </c>
      <c r="F3027" t="n">
        <v>31984</v>
      </c>
      <c r="G3027" t="n">
        <v>5</v>
      </c>
      <c r="H3027" t="n">
        <v>12</v>
      </c>
      <c r="I3027" t="n">
        <v>171859</v>
      </c>
    </row>
    <row r="3028">
      <c r="A3028" t="n">
        <v>3027</v>
      </c>
      <c r="B3028" t="inlineStr">
        <is>
          <t>Validation</t>
        </is>
      </c>
      <c r="C3028" t="n">
        <v>3036</v>
      </c>
      <c r="D3028" t="n">
        <v>10730</v>
      </c>
      <c r="E3028" t="n">
        <v>47</v>
      </c>
      <c r="F3028" t="n">
        <v>45261</v>
      </c>
      <c r="G3028" t="n">
        <v>0</v>
      </c>
      <c r="H3028" t="n">
        <v>14</v>
      </c>
      <c r="I3028" t="n">
        <v>175420</v>
      </c>
    </row>
    <row r="3029">
      <c r="A3029" t="n">
        <v>3028</v>
      </c>
      <c r="B3029" t="inlineStr">
        <is>
          <t>Validation</t>
        </is>
      </c>
      <c r="C3029" t="n">
        <v>3790</v>
      </c>
      <c r="D3029" t="n">
        <v>6300</v>
      </c>
      <c r="E3029" t="n">
        <v>48</v>
      </c>
      <c r="F3029" t="n">
        <v>79356</v>
      </c>
      <c r="G3029" t="n">
        <v>3</v>
      </c>
      <c r="H3029" t="n">
        <v>11</v>
      </c>
      <c r="I3029" t="n">
        <v>283771</v>
      </c>
    </row>
    <row r="3030">
      <c r="A3030" t="n">
        <v>3029</v>
      </c>
      <c r="B3030" t="inlineStr">
        <is>
          <t>Validation</t>
        </is>
      </c>
      <c r="C3030" t="n">
        <v>6953</v>
      </c>
      <c r="D3030" t="n">
        <v>14370</v>
      </c>
      <c r="E3030" t="n">
        <v>41</v>
      </c>
      <c r="F3030" t="n">
        <v>6232</v>
      </c>
      <c r="G3030" t="n">
        <v>1</v>
      </c>
      <c r="H3030" t="n">
        <v>15</v>
      </c>
      <c r="I3030" t="n">
        <v>0</v>
      </c>
    </row>
    <row r="3031">
      <c r="A3031" t="n">
        <v>3030</v>
      </c>
      <c r="B3031" t="inlineStr">
        <is>
          <t>Train</t>
        </is>
      </c>
      <c r="C3031" t="n">
        <v>2161</v>
      </c>
      <c r="D3031" t="n">
        <v>22610</v>
      </c>
      <c r="E3031" t="n">
        <v>46</v>
      </c>
      <c r="F3031" t="n">
        <v>41077</v>
      </c>
      <c r="G3031" t="n">
        <v>3</v>
      </c>
      <c r="H3031" t="n">
        <v>6</v>
      </c>
      <c r="I3031" t="n">
        <v>139416</v>
      </c>
    </row>
    <row r="3032">
      <c r="A3032" t="n">
        <v>3031</v>
      </c>
      <c r="B3032" t="inlineStr">
        <is>
          <t>Train</t>
        </is>
      </c>
      <c r="C3032" t="n">
        <v>31658</v>
      </c>
      <c r="D3032" t="n">
        <v>8850</v>
      </c>
      <c r="E3032" t="n">
        <v>30</v>
      </c>
      <c r="F3032" t="n">
        <v>43453</v>
      </c>
      <c r="G3032" t="n">
        <v>5</v>
      </c>
      <c r="H3032" t="n">
        <v>12</v>
      </c>
      <c r="I3032" t="n">
        <v>150500</v>
      </c>
    </row>
    <row r="3033">
      <c r="A3033" t="n">
        <v>3032</v>
      </c>
      <c r="B3033" t="inlineStr">
        <is>
          <t>Train</t>
        </is>
      </c>
      <c r="C3033" t="n">
        <v>6281</v>
      </c>
      <c r="D3033" t="n">
        <v>8900</v>
      </c>
      <c r="E3033" t="n">
        <v>56</v>
      </c>
      <c r="F3033" t="n">
        <v>68485</v>
      </c>
      <c r="G3033" t="n">
        <v>7</v>
      </c>
      <c r="H3033" t="n">
        <v>14</v>
      </c>
      <c r="I3033" t="n">
        <v>0</v>
      </c>
    </row>
    <row r="3034">
      <c r="A3034" t="n">
        <v>3033</v>
      </c>
      <c r="B3034" t="inlineStr">
        <is>
          <t>Train</t>
        </is>
      </c>
      <c r="C3034" t="n">
        <v>33018</v>
      </c>
      <c r="D3034" t="n">
        <v>9640</v>
      </c>
      <c r="E3034" t="n">
        <v>47</v>
      </c>
      <c r="F3034" t="n">
        <v>34362</v>
      </c>
      <c r="G3034" t="n">
        <v>7</v>
      </c>
      <c r="H3034" t="n">
        <v>9</v>
      </c>
      <c r="I3034" t="n">
        <v>0</v>
      </c>
    </row>
    <row r="3035">
      <c r="A3035" t="n">
        <v>3034</v>
      </c>
      <c r="B3035" t="inlineStr">
        <is>
          <t>Train</t>
        </is>
      </c>
      <c r="C3035" t="n">
        <v>5548</v>
      </c>
      <c r="D3035" t="n">
        <v>17970</v>
      </c>
      <c r="E3035" t="n">
        <v>33</v>
      </c>
      <c r="F3035" t="n">
        <v>9157</v>
      </c>
      <c r="G3035" t="n">
        <v>4</v>
      </c>
      <c r="H3035" t="n">
        <v>15</v>
      </c>
      <c r="I3035" t="n">
        <v>0</v>
      </c>
    </row>
    <row r="3036">
      <c r="A3036" t="n">
        <v>3035</v>
      </c>
      <c r="B3036" t="inlineStr">
        <is>
          <t>Train</t>
        </is>
      </c>
      <c r="C3036" t="n">
        <v>30167</v>
      </c>
      <c r="D3036" t="n">
        <v>9800</v>
      </c>
      <c r="E3036" t="n">
        <v>52</v>
      </c>
      <c r="F3036" t="n">
        <v>72632</v>
      </c>
      <c r="G3036" t="n">
        <v>0</v>
      </c>
      <c r="H3036" t="n">
        <v>12</v>
      </c>
      <c r="I3036" t="n">
        <v>240387</v>
      </c>
    </row>
    <row r="3037">
      <c r="A3037" t="n">
        <v>3036</v>
      </c>
      <c r="B3037" t="inlineStr">
        <is>
          <t>Train</t>
        </is>
      </c>
      <c r="C3037" t="n">
        <v>8924</v>
      </c>
      <c r="D3037" t="n">
        <v>10630</v>
      </c>
      <c r="E3037" t="n">
        <v>44</v>
      </c>
      <c r="F3037" t="n">
        <v>68770</v>
      </c>
      <c r="G3037" t="n">
        <v>0</v>
      </c>
      <c r="H3037" t="n">
        <v>8</v>
      </c>
      <c r="I3037" t="n">
        <v>0</v>
      </c>
    </row>
    <row r="3038">
      <c r="A3038" t="n">
        <v>3037</v>
      </c>
      <c r="B3038" t="inlineStr">
        <is>
          <t>Validation</t>
        </is>
      </c>
      <c r="C3038" t="n">
        <v>7160</v>
      </c>
      <c r="D3038" t="n">
        <v>37130</v>
      </c>
      <c r="E3038" t="n">
        <v>57</v>
      </c>
      <c r="F3038" t="n">
        <v>119068</v>
      </c>
      <c r="G3038" t="n">
        <v>2</v>
      </c>
      <c r="H3038" t="n">
        <v>16</v>
      </c>
      <c r="I3038" t="n">
        <v>342788</v>
      </c>
    </row>
    <row r="3039">
      <c r="A3039" t="n">
        <v>3038</v>
      </c>
      <c r="B3039" t="inlineStr">
        <is>
          <t>Validation</t>
        </is>
      </c>
      <c r="C3039" t="n">
        <v>6746</v>
      </c>
      <c r="D3039" t="n">
        <v>28290</v>
      </c>
      <c r="E3039" t="n">
        <v>51</v>
      </c>
      <c r="F3039" t="n">
        <v>54804</v>
      </c>
      <c r="G3039" t="n">
        <v>3</v>
      </c>
      <c r="H3039" t="n">
        <v>7</v>
      </c>
      <c r="I3039" t="n">
        <v>0</v>
      </c>
    </row>
    <row r="3040">
      <c r="A3040" t="n">
        <v>3039</v>
      </c>
      <c r="B3040" t="inlineStr">
        <is>
          <t>Validation</t>
        </is>
      </c>
      <c r="C3040" t="n">
        <v>5344</v>
      </c>
      <c r="D3040" t="n">
        <v>16030</v>
      </c>
      <c r="E3040" t="n">
        <v>38</v>
      </c>
      <c r="F3040" t="n">
        <v>107333</v>
      </c>
      <c r="G3040" t="n">
        <v>4</v>
      </c>
      <c r="H3040" t="n">
        <v>12</v>
      </c>
      <c r="I3040" t="n">
        <v>291184</v>
      </c>
    </row>
    <row r="3041">
      <c r="A3041" t="n">
        <v>3040</v>
      </c>
      <c r="B3041" t="inlineStr">
        <is>
          <t>Train</t>
        </is>
      </c>
      <c r="C3041" t="n">
        <v>3862</v>
      </c>
      <c r="D3041" t="n">
        <v>24130</v>
      </c>
      <c r="E3041" t="n">
        <v>58</v>
      </c>
      <c r="F3041" t="n">
        <v>73283</v>
      </c>
      <c r="G3041" t="n">
        <v>3</v>
      </c>
      <c r="H3041" t="n">
        <v>12</v>
      </c>
      <c r="I3041" t="n">
        <v>251025</v>
      </c>
    </row>
    <row r="3042">
      <c r="A3042" t="n">
        <v>3041</v>
      </c>
      <c r="B3042" t="inlineStr">
        <is>
          <t>Train</t>
        </is>
      </c>
      <c r="C3042" t="n">
        <v>5462</v>
      </c>
      <c r="D3042" t="n">
        <v>23270</v>
      </c>
      <c r="E3042" t="n">
        <v>46</v>
      </c>
      <c r="F3042" t="n">
        <v>85384</v>
      </c>
      <c r="G3042" t="n">
        <v>2</v>
      </c>
      <c r="H3042" t="n">
        <v>6</v>
      </c>
      <c r="I3042" t="n">
        <v>266348</v>
      </c>
    </row>
    <row r="3043">
      <c r="A3043" t="n">
        <v>3042</v>
      </c>
      <c r="B3043" t="inlineStr">
        <is>
          <t>Train</t>
        </is>
      </c>
      <c r="C3043" t="n">
        <v>3306</v>
      </c>
      <c r="D3043" t="n">
        <v>34800</v>
      </c>
      <c r="E3043" t="n">
        <v>60</v>
      </c>
      <c r="F3043" t="n">
        <v>135747</v>
      </c>
      <c r="G3043" t="n">
        <v>0</v>
      </c>
      <c r="H3043" t="n">
        <v>13</v>
      </c>
      <c r="I3043" t="n">
        <v>0</v>
      </c>
    </row>
    <row r="3044">
      <c r="A3044" t="n">
        <v>3043</v>
      </c>
      <c r="B3044" t="inlineStr">
        <is>
          <t>Train</t>
        </is>
      </c>
      <c r="C3044" t="n">
        <v>25260</v>
      </c>
      <c r="D3044" t="n">
        <v>11490</v>
      </c>
      <c r="E3044" t="n">
        <v>39</v>
      </c>
      <c r="F3044" t="n">
        <v>22271</v>
      </c>
      <c r="G3044" t="n">
        <v>2</v>
      </c>
      <c r="H3044" t="n">
        <v>15</v>
      </c>
      <c r="I3044" t="n">
        <v>163729</v>
      </c>
    </row>
    <row r="3045">
      <c r="A3045" t="n">
        <v>3044</v>
      </c>
      <c r="B3045" t="inlineStr">
        <is>
          <t>Train</t>
        </is>
      </c>
      <c r="C3045" t="n">
        <v>1365</v>
      </c>
      <c r="D3045" t="n">
        <v>20290</v>
      </c>
      <c r="E3045" t="n">
        <v>40</v>
      </c>
      <c r="F3045" t="n">
        <v>33536</v>
      </c>
      <c r="G3045" t="n">
        <v>0</v>
      </c>
      <c r="H3045" t="n">
        <v>7</v>
      </c>
      <c r="I3045" t="n">
        <v>156336</v>
      </c>
    </row>
    <row r="3046">
      <c r="A3046" t="n">
        <v>3045</v>
      </c>
      <c r="B3046" t="inlineStr">
        <is>
          <t>Train</t>
        </is>
      </c>
      <c r="C3046" t="n">
        <v>846</v>
      </c>
      <c r="D3046" t="n">
        <v>8020</v>
      </c>
      <c r="E3046" t="n">
        <v>48</v>
      </c>
      <c r="F3046" t="n">
        <v>65240</v>
      </c>
      <c r="G3046" t="n">
        <v>0</v>
      </c>
      <c r="H3046" t="n">
        <v>11</v>
      </c>
      <c r="I3046" t="n">
        <v>189120</v>
      </c>
    </row>
    <row r="3047">
      <c r="A3047" t="n">
        <v>3046</v>
      </c>
      <c r="B3047" t="inlineStr">
        <is>
          <t>Train</t>
        </is>
      </c>
      <c r="C3047" t="n">
        <v>40023</v>
      </c>
      <c r="D3047" t="n">
        <v>14140</v>
      </c>
      <c r="E3047" t="n">
        <v>48</v>
      </c>
      <c r="F3047" t="n">
        <v>51920</v>
      </c>
      <c r="G3047" t="n">
        <v>0</v>
      </c>
      <c r="H3047" t="n">
        <v>12</v>
      </c>
      <c r="I3047" t="n">
        <v>167105</v>
      </c>
    </row>
    <row r="3048">
      <c r="A3048" t="n">
        <v>3047</v>
      </c>
      <c r="B3048" t="inlineStr">
        <is>
          <t>Validation</t>
        </is>
      </c>
      <c r="C3048" t="n">
        <v>2405</v>
      </c>
      <c r="D3048" t="n">
        <v>5600</v>
      </c>
      <c r="E3048" t="n">
        <v>41</v>
      </c>
      <c r="F3048" t="n">
        <v>52073</v>
      </c>
      <c r="G3048" t="n">
        <v>5</v>
      </c>
      <c r="H3048" t="n">
        <v>12</v>
      </c>
      <c r="I3048" t="n">
        <v>0</v>
      </c>
    </row>
    <row r="3049">
      <c r="A3049" t="n">
        <v>3048</v>
      </c>
      <c r="B3049" t="inlineStr">
        <is>
          <t>Validation</t>
        </is>
      </c>
      <c r="C3049" t="n">
        <v>8593</v>
      </c>
      <c r="D3049" t="n">
        <v>13780</v>
      </c>
      <c r="E3049" t="n">
        <v>40</v>
      </c>
      <c r="F3049" t="n">
        <v>82813</v>
      </c>
      <c r="G3049" t="n">
        <v>0</v>
      </c>
      <c r="H3049" t="n">
        <v>7</v>
      </c>
      <c r="I3049" t="n">
        <v>0</v>
      </c>
    </row>
    <row r="3050">
      <c r="A3050" t="n">
        <v>3049</v>
      </c>
      <c r="B3050" t="inlineStr">
        <is>
          <t>Validation</t>
        </is>
      </c>
      <c r="C3050" t="n">
        <v>958</v>
      </c>
      <c r="D3050" t="n">
        <v>23300</v>
      </c>
      <c r="E3050" t="n">
        <v>42</v>
      </c>
      <c r="F3050" t="n">
        <v>131050</v>
      </c>
      <c r="G3050" t="n">
        <v>3</v>
      </c>
      <c r="H3050" t="n">
        <v>12</v>
      </c>
      <c r="I3050" t="n">
        <v>382673</v>
      </c>
    </row>
    <row r="3051">
      <c r="A3051" t="n">
        <v>3050</v>
      </c>
      <c r="B3051" t="inlineStr">
        <is>
          <t>Train</t>
        </is>
      </c>
      <c r="C3051" t="n">
        <v>3368</v>
      </c>
      <c r="D3051" t="n">
        <v>9980</v>
      </c>
      <c r="E3051" t="n">
        <v>50</v>
      </c>
      <c r="F3051" t="n">
        <v>52913</v>
      </c>
      <c r="G3051" t="n">
        <v>4</v>
      </c>
      <c r="H3051" t="n">
        <v>13</v>
      </c>
      <c r="I3051" t="n">
        <v>173613</v>
      </c>
    </row>
    <row r="3052">
      <c r="A3052" t="n">
        <v>3051</v>
      </c>
      <c r="B3052" t="inlineStr">
        <is>
          <t>Train</t>
        </is>
      </c>
      <c r="C3052" t="n">
        <v>5304</v>
      </c>
      <c r="D3052" t="n">
        <v>10790</v>
      </c>
      <c r="E3052" t="n">
        <v>40</v>
      </c>
      <c r="F3052" t="n">
        <v>419</v>
      </c>
      <c r="G3052" t="n">
        <v>0</v>
      </c>
      <c r="H3052" t="n">
        <v>12</v>
      </c>
      <c r="I3052" t="n">
        <v>94291</v>
      </c>
    </row>
    <row r="3053">
      <c r="A3053" t="n">
        <v>3052</v>
      </c>
      <c r="B3053" t="inlineStr">
        <is>
          <t>Train</t>
        </is>
      </c>
      <c r="C3053" t="n">
        <v>5715</v>
      </c>
      <c r="D3053" t="n">
        <v>39480</v>
      </c>
      <c r="E3053" t="n">
        <v>56</v>
      </c>
      <c r="F3053" t="n">
        <v>82964</v>
      </c>
      <c r="G3053" t="n">
        <v>4</v>
      </c>
      <c r="H3053" t="n">
        <v>6</v>
      </c>
      <c r="I3053" t="n">
        <v>302661</v>
      </c>
    </row>
    <row r="3054">
      <c r="A3054" t="n">
        <v>3053</v>
      </c>
      <c r="B3054" t="inlineStr">
        <is>
          <t>Train</t>
        </is>
      </c>
      <c r="C3054" t="n">
        <v>17831</v>
      </c>
      <c r="D3054" t="n">
        <v>11550</v>
      </c>
      <c r="E3054" t="n">
        <v>48</v>
      </c>
      <c r="F3054" t="n">
        <v>33422</v>
      </c>
      <c r="G3054" t="n">
        <v>13</v>
      </c>
      <c r="H3054" t="n">
        <v>10</v>
      </c>
      <c r="I3054" t="n">
        <v>170714</v>
      </c>
    </row>
    <row r="3055">
      <c r="A3055" t="n">
        <v>3054</v>
      </c>
      <c r="B3055" t="inlineStr">
        <is>
          <t>Train</t>
        </is>
      </c>
      <c r="C3055" t="n">
        <v>7427</v>
      </c>
      <c r="D3055" t="n">
        <v>32410</v>
      </c>
      <c r="E3055" t="n">
        <v>37</v>
      </c>
      <c r="F3055" t="n">
        <v>85267</v>
      </c>
      <c r="G3055" t="n">
        <v>8</v>
      </c>
      <c r="H3055" t="n">
        <v>7</v>
      </c>
      <c r="I3055" t="n">
        <v>273354</v>
      </c>
    </row>
    <row r="3056">
      <c r="A3056" t="n">
        <v>3055</v>
      </c>
      <c r="B3056" t="inlineStr">
        <is>
          <t>Train</t>
        </is>
      </c>
      <c r="C3056" t="n">
        <v>4705</v>
      </c>
      <c r="D3056" t="n">
        <v>30000</v>
      </c>
      <c r="E3056" t="n">
        <v>44</v>
      </c>
      <c r="F3056" t="n">
        <v>53483</v>
      </c>
      <c r="G3056" t="n">
        <v>3</v>
      </c>
      <c r="H3056" t="n">
        <v>13</v>
      </c>
      <c r="I3056" t="n">
        <v>191128</v>
      </c>
    </row>
    <row r="3057">
      <c r="A3057" t="n">
        <v>3056</v>
      </c>
      <c r="B3057" t="inlineStr">
        <is>
          <t>Train</t>
        </is>
      </c>
      <c r="C3057" t="n">
        <v>4609</v>
      </c>
      <c r="D3057" t="n">
        <v>23520</v>
      </c>
      <c r="E3057" t="n">
        <v>40</v>
      </c>
      <c r="F3057" t="n">
        <v>99002</v>
      </c>
      <c r="G3057" t="n">
        <v>0</v>
      </c>
      <c r="H3057" t="n">
        <v>10</v>
      </c>
      <c r="I3057" t="n">
        <v>0</v>
      </c>
    </row>
    <row r="3058">
      <c r="A3058" t="n">
        <v>3057</v>
      </c>
      <c r="B3058" t="inlineStr">
        <is>
          <t>Validation</t>
        </is>
      </c>
      <c r="C3058" t="n">
        <v>12003</v>
      </c>
      <c r="D3058" t="n">
        <v>6420</v>
      </c>
      <c r="E3058" t="n">
        <v>44</v>
      </c>
      <c r="F3058" t="n">
        <v>6038</v>
      </c>
      <c r="G3058" t="n">
        <v>0</v>
      </c>
      <c r="H3058" t="n">
        <v>14</v>
      </c>
      <c r="I3058" t="n">
        <v>74078</v>
      </c>
    </row>
    <row r="3059">
      <c r="A3059" t="n">
        <v>3058</v>
      </c>
      <c r="B3059" t="inlineStr">
        <is>
          <t>Validation</t>
        </is>
      </c>
      <c r="C3059" t="n">
        <v>28038</v>
      </c>
      <c r="D3059" t="n">
        <v>18380</v>
      </c>
      <c r="E3059" t="n">
        <v>32</v>
      </c>
      <c r="F3059" t="n">
        <v>136758</v>
      </c>
      <c r="G3059" t="n">
        <v>5</v>
      </c>
      <c r="H3059" t="n">
        <v>11</v>
      </c>
      <c r="I3059" t="n">
        <v>378638</v>
      </c>
    </row>
    <row r="3060">
      <c r="A3060" t="n">
        <v>3059</v>
      </c>
      <c r="B3060" t="inlineStr">
        <is>
          <t>Validation</t>
        </is>
      </c>
      <c r="C3060" t="n">
        <v>43183</v>
      </c>
      <c r="D3060" t="n">
        <v>13960</v>
      </c>
      <c r="E3060" t="n">
        <v>37</v>
      </c>
      <c r="F3060" t="n">
        <v>124587</v>
      </c>
      <c r="G3060" t="n">
        <v>5</v>
      </c>
      <c r="H3060" t="n">
        <v>13</v>
      </c>
      <c r="I3060" t="n">
        <v>347575</v>
      </c>
    </row>
    <row r="3061">
      <c r="A3061" t="n">
        <v>3060</v>
      </c>
      <c r="B3061" t="inlineStr">
        <is>
          <t>Train</t>
        </is>
      </c>
      <c r="C3061" t="n">
        <v>5542</v>
      </c>
      <c r="D3061" t="n">
        <v>26720</v>
      </c>
      <c r="E3061" t="n">
        <v>62</v>
      </c>
      <c r="F3061" t="n">
        <v>148705</v>
      </c>
      <c r="G3061" t="n">
        <v>0</v>
      </c>
      <c r="H3061" t="n">
        <v>17</v>
      </c>
      <c r="I3061" t="n">
        <v>385125</v>
      </c>
    </row>
    <row r="3062">
      <c r="A3062" t="n">
        <v>3061</v>
      </c>
      <c r="B3062" t="inlineStr">
        <is>
          <t>Train</t>
        </is>
      </c>
      <c r="C3062" t="n">
        <v>4274</v>
      </c>
      <c r="D3062" t="n">
        <v>7420</v>
      </c>
      <c r="E3062" t="n">
        <v>55</v>
      </c>
      <c r="F3062" t="n">
        <v>59196</v>
      </c>
      <c r="G3062" t="n">
        <v>0</v>
      </c>
      <c r="H3062" t="n">
        <v>9</v>
      </c>
      <c r="I3062" t="n">
        <v>178362</v>
      </c>
    </row>
    <row r="3063">
      <c r="A3063" t="n">
        <v>3062</v>
      </c>
      <c r="B3063" t="inlineStr">
        <is>
          <t>Train</t>
        </is>
      </c>
      <c r="C3063" t="n">
        <v>2225</v>
      </c>
      <c r="D3063" t="n">
        <v>5020</v>
      </c>
      <c r="E3063" t="n">
        <v>42</v>
      </c>
      <c r="F3063" t="n">
        <v>74379</v>
      </c>
      <c r="G3063" t="n">
        <v>5</v>
      </c>
      <c r="H3063" t="n">
        <v>11</v>
      </c>
      <c r="I3063" t="n">
        <v>0</v>
      </c>
    </row>
    <row r="3064">
      <c r="A3064" t="n">
        <v>3063</v>
      </c>
      <c r="B3064" t="inlineStr">
        <is>
          <t>Train</t>
        </is>
      </c>
      <c r="C3064" t="n">
        <v>5416</v>
      </c>
      <c r="D3064" t="n">
        <v>4070</v>
      </c>
      <c r="E3064" t="n">
        <v>49</v>
      </c>
      <c r="F3064" t="n">
        <v>25738</v>
      </c>
      <c r="G3064" t="n">
        <v>0</v>
      </c>
      <c r="H3064" t="n">
        <v>12</v>
      </c>
      <c r="I3064" t="n">
        <v>0</v>
      </c>
    </row>
    <row r="3065">
      <c r="A3065" t="n">
        <v>3064</v>
      </c>
      <c r="B3065" t="inlineStr">
        <is>
          <t>Train</t>
        </is>
      </c>
      <c r="C3065" t="n">
        <v>7761</v>
      </c>
      <c r="D3065" t="n">
        <v>21990</v>
      </c>
      <c r="E3065" t="n">
        <v>40</v>
      </c>
      <c r="F3065" t="n">
        <v>62849</v>
      </c>
      <c r="G3065" t="n">
        <v>7</v>
      </c>
      <c r="H3065" t="n">
        <v>11</v>
      </c>
      <c r="I3065" t="n">
        <v>225934</v>
      </c>
    </row>
    <row r="3066">
      <c r="A3066" t="n">
        <v>3065</v>
      </c>
      <c r="B3066" t="inlineStr">
        <is>
          <t>Train</t>
        </is>
      </c>
      <c r="C3066" t="n">
        <v>3210</v>
      </c>
      <c r="D3066" t="n">
        <v>24350</v>
      </c>
      <c r="E3066" t="n">
        <v>34</v>
      </c>
      <c r="F3066" t="n">
        <v>147478</v>
      </c>
      <c r="G3066" t="n">
        <v>0</v>
      </c>
      <c r="H3066" t="n">
        <v>11</v>
      </c>
      <c r="I3066" t="n">
        <v>400336</v>
      </c>
    </row>
    <row r="3067">
      <c r="A3067" t="n">
        <v>3066</v>
      </c>
      <c r="B3067" t="inlineStr">
        <is>
          <t>Train</t>
        </is>
      </c>
      <c r="C3067" t="n">
        <v>12502</v>
      </c>
      <c r="D3067" t="n">
        <v>14370</v>
      </c>
      <c r="E3067" t="n">
        <v>46</v>
      </c>
      <c r="F3067" t="n">
        <v>82742</v>
      </c>
      <c r="G3067" t="n">
        <v>0</v>
      </c>
      <c r="H3067" t="n">
        <v>11</v>
      </c>
      <c r="I3067" t="n">
        <v>0</v>
      </c>
    </row>
    <row r="3068">
      <c r="A3068" t="n">
        <v>3067</v>
      </c>
      <c r="B3068" t="inlineStr">
        <is>
          <t>Validation</t>
        </is>
      </c>
      <c r="C3068" t="n">
        <v>3982</v>
      </c>
      <c r="D3068" t="n">
        <v>12140</v>
      </c>
      <c r="E3068" t="n">
        <v>52</v>
      </c>
      <c r="F3068" t="n">
        <v>25894</v>
      </c>
      <c r="G3068" t="n">
        <v>0</v>
      </c>
      <c r="H3068" t="n">
        <v>13</v>
      </c>
      <c r="I3068" t="n">
        <v>117638</v>
      </c>
    </row>
    <row r="3069">
      <c r="A3069" t="n">
        <v>3068</v>
      </c>
      <c r="B3069" t="inlineStr">
        <is>
          <t>Validation</t>
        </is>
      </c>
      <c r="C3069" t="n">
        <v>31798</v>
      </c>
      <c r="D3069" t="n">
        <v>17070</v>
      </c>
      <c r="E3069" t="n">
        <v>55</v>
      </c>
      <c r="F3069" t="n">
        <v>86516</v>
      </c>
      <c r="G3069" t="n">
        <v>4</v>
      </c>
      <c r="H3069" t="n">
        <v>15</v>
      </c>
      <c r="I3069" t="n">
        <v>311279</v>
      </c>
    </row>
    <row r="3070">
      <c r="A3070" t="n">
        <v>3069</v>
      </c>
      <c r="B3070" t="inlineStr">
        <is>
          <t>Validation</t>
        </is>
      </c>
      <c r="C3070" t="n">
        <v>3224</v>
      </c>
      <c r="D3070" t="n">
        <v>6290</v>
      </c>
      <c r="E3070" t="n">
        <v>42</v>
      </c>
      <c r="F3070" t="n">
        <v>47880</v>
      </c>
      <c r="G3070" t="n">
        <v>2</v>
      </c>
      <c r="H3070" t="n">
        <v>11</v>
      </c>
      <c r="I3070" t="n">
        <v>208837</v>
      </c>
    </row>
    <row r="3071">
      <c r="A3071" t="n">
        <v>3070</v>
      </c>
      <c r="B3071" t="inlineStr">
        <is>
          <t>Train</t>
        </is>
      </c>
      <c r="C3071" t="n">
        <v>2334</v>
      </c>
      <c r="D3071" t="n">
        <v>13030</v>
      </c>
      <c r="E3071" t="n">
        <v>41</v>
      </c>
      <c r="F3071" t="n">
        <v>0</v>
      </c>
      <c r="G3071" t="n">
        <v>3</v>
      </c>
      <c r="H3071" t="n">
        <v>0</v>
      </c>
      <c r="I3071" t="n">
        <v>109155</v>
      </c>
    </row>
    <row r="3072">
      <c r="A3072" t="n">
        <v>3071</v>
      </c>
      <c r="B3072" t="inlineStr">
        <is>
          <t>Train</t>
        </is>
      </c>
      <c r="C3072" t="n">
        <v>1020</v>
      </c>
      <c r="D3072" t="n">
        <v>5200</v>
      </c>
      <c r="E3072" t="n">
        <v>37</v>
      </c>
      <c r="F3072" t="n">
        <v>33236</v>
      </c>
      <c r="G3072" t="n">
        <v>4</v>
      </c>
      <c r="H3072" t="n">
        <v>12</v>
      </c>
      <c r="I3072" t="n">
        <v>165820</v>
      </c>
    </row>
    <row r="3073">
      <c r="A3073" t="n">
        <v>3072</v>
      </c>
      <c r="B3073" t="inlineStr">
        <is>
          <t>Train</t>
        </is>
      </c>
      <c r="C3073" t="n">
        <v>3963</v>
      </c>
      <c r="D3073" t="n">
        <v>20710</v>
      </c>
      <c r="E3073" t="n">
        <v>43</v>
      </c>
      <c r="F3073" t="n">
        <v>82947</v>
      </c>
      <c r="G3073" t="n">
        <v>5</v>
      </c>
      <c r="H3073" t="n">
        <v>17</v>
      </c>
      <c r="I3073" t="n">
        <v>264359</v>
      </c>
    </row>
    <row r="3074">
      <c r="A3074" t="n">
        <v>3073</v>
      </c>
      <c r="B3074" t="inlineStr">
        <is>
          <t>Train</t>
        </is>
      </c>
      <c r="C3074" t="n">
        <v>7947</v>
      </c>
      <c r="D3074" t="n">
        <v>12400</v>
      </c>
      <c r="E3074" t="n">
        <v>40</v>
      </c>
      <c r="F3074" t="n">
        <v>55172</v>
      </c>
      <c r="G3074" t="n">
        <v>6</v>
      </c>
      <c r="H3074" t="n">
        <v>14</v>
      </c>
      <c r="I3074" t="n">
        <v>0</v>
      </c>
    </row>
    <row r="3075">
      <c r="A3075" t="n">
        <v>3074</v>
      </c>
      <c r="B3075" t="inlineStr">
        <is>
          <t>Train</t>
        </is>
      </c>
      <c r="C3075" t="n">
        <v>1391</v>
      </c>
      <c r="D3075" t="n">
        <v>14330</v>
      </c>
      <c r="E3075" t="n">
        <v>72</v>
      </c>
      <c r="F3075" t="n">
        <v>56313</v>
      </c>
      <c r="G3075" t="n">
        <v>7</v>
      </c>
      <c r="H3075" t="n">
        <v>16</v>
      </c>
      <c r="I3075" t="n">
        <v>249478</v>
      </c>
    </row>
    <row r="3076">
      <c r="A3076" t="n">
        <v>3075</v>
      </c>
      <c r="B3076" t="inlineStr">
        <is>
          <t>Train</t>
        </is>
      </c>
      <c r="C3076" t="n">
        <v>4963</v>
      </c>
      <c r="D3076" t="n">
        <v>15580</v>
      </c>
      <c r="E3076" t="n">
        <v>47</v>
      </c>
      <c r="F3076" t="n">
        <v>36070</v>
      </c>
      <c r="G3076" t="n">
        <v>4</v>
      </c>
      <c r="H3076" t="n">
        <v>12</v>
      </c>
      <c r="I3076" t="n">
        <v>146435</v>
      </c>
    </row>
    <row r="3077">
      <c r="A3077" t="n">
        <v>3076</v>
      </c>
      <c r="B3077" t="inlineStr">
        <is>
          <t>Train</t>
        </is>
      </c>
      <c r="C3077" t="n">
        <v>3791</v>
      </c>
      <c r="D3077" t="n">
        <v>6550</v>
      </c>
      <c r="E3077" t="n">
        <v>45</v>
      </c>
      <c r="F3077" t="n">
        <v>36912</v>
      </c>
      <c r="G3077" t="n">
        <v>7</v>
      </c>
      <c r="H3077" t="n">
        <v>14</v>
      </c>
      <c r="I3077" t="n">
        <v>0</v>
      </c>
    </row>
    <row r="3078">
      <c r="A3078" t="n">
        <v>3077</v>
      </c>
      <c r="B3078" t="inlineStr">
        <is>
          <t>Validation</t>
        </is>
      </c>
      <c r="C3078" t="n">
        <v>26785</v>
      </c>
      <c r="D3078" t="n">
        <v>8190</v>
      </c>
      <c r="E3078" t="n">
        <v>29</v>
      </c>
      <c r="F3078" t="n">
        <v>126263</v>
      </c>
      <c r="G3078" t="n">
        <v>0</v>
      </c>
      <c r="H3078" t="n">
        <v>12</v>
      </c>
      <c r="I3078" t="n">
        <v>319400</v>
      </c>
    </row>
    <row r="3079">
      <c r="A3079" t="n">
        <v>3078</v>
      </c>
      <c r="B3079" t="inlineStr">
        <is>
          <t>Validation</t>
        </is>
      </c>
      <c r="C3079" t="n">
        <v>9870</v>
      </c>
      <c r="D3079" t="n">
        <v>4000</v>
      </c>
      <c r="E3079" t="n">
        <v>25</v>
      </c>
      <c r="F3079" t="n">
        <v>0</v>
      </c>
      <c r="G3079" t="n">
        <v>6</v>
      </c>
      <c r="H3079" t="n">
        <v>0</v>
      </c>
      <c r="I3079" t="n">
        <v>0</v>
      </c>
    </row>
    <row r="3080">
      <c r="A3080" t="n">
        <v>3079</v>
      </c>
      <c r="B3080" t="inlineStr">
        <is>
          <t>Validation</t>
        </is>
      </c>
      <c r="C3080" t="n">
        <v>9597</v>
      </c>
      <c r="D3080" t="n">
        <v>14570</v>
      </c>
      <c r="E3080" t="n">
        <v>47</v>
      </c>
      <c r="F3080" t="n">
        <v>83689</v>
      </c>
      <c r="G3080" t="n">
        <v>6</v>
      </c>
      <c r="H3080" t="n">
        <v>10</v>
      </c>
      <c r="I3080" t="n">
        <v>223808</v>
      </c>
    </row>
    <row r="3081">
      <c r="A3081" t="n">
        <v>3080</v>
      </c>
      <c r="B3081" t="inlineStr">
        <is>
          <t>Train</t>
        </is>
      </c>
      <c r="C3081" t="n">
        <v>48298</v>
      </c>
      <c r="D3081" t="n">
        <v>14500</v>
      </c>
      <c r="E3081" t="n">
        <v>69</v>
      </c>
      <c r="F3081" t="n">
        <v>60965</v>
      </c>
      <c r="G3081" t="n">
        <v>4</v>
      </c>
      <c r="H3081" t="n">
        <v>12</v>
      </c>
      <c r="I3081" t="n">
        <v>231014</v>
      </c>
    </row>
    <row r="3082">
      <c r="A3082" t="n">
        <v>3081</v>
      </c>
      <c r="B3082" t="inlineStr">
        <is>
          <t>Train</t>
        </is>
      </c>
      <c r="C3082" t="n">
        <v>3220</v>
      </c>
      <c r="D3082" t="n">
        <v>13810</v>
      </c>
      <c r="E3082" t="n">
        <v>48</v>
      </c>
      <c r="F3082" t="n">
        <v>20887</v>
      </c>
      <c r="G3082" t="n">
        <v>2</v>
      </c>
      <c r="H3082" t="n">
        <v>13</v>
      </c>
      <c r="I3082" t="n">
        <v>159568</v>
      </c>
    </row>
    <row r="3083">
      <c r="A3083" t="n">
        <v>3082</v>
      </c>
      <c r="B3083" t="inlineStr">
        <is>
          <t>Train</t>
        </is>
      </c>
      <c r="C3083" t="n">
        <v>20699</v>
      </c>
      <c r="D3083" t="n">
        <v>21170</v>
      </c>
      <c r="E3083" t="n">
        <v>48</v>
      </c>
      <c r="F3083" t="n">
        <v>92234</v>
      </c>
      <c r="G3083" t="n">
        <v>1</v>
      </c>
      <c r="H3083" t="n">
        <v>10</v>
      </c>
      <c r="I3083" t="n">
        <v>0</v>
      </c>
    </row>
    <row r="3084">
      <c r="A3084" t="n">
        <v>3083</v>
      </c>
      <c r="B3084" t="inlineStr">
        <is>
          <t>Train</t>
        </is>
      </c>
      <c r="C3084" t="n">
        <v>25429</v>
      </c>
      <c r="D3084" t="n">
        <v>12540</v>
      </c>
      <c r="E3084" t="n">
        <v>57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3084</v>
      </c>
      <c r="B3085" t="inlineStr">
        <is>
          <t>Train</t>
        </is>
      </c>
      <c r="C3085" t="n">
        <v>5536</v>
      </c>
      <c r="D3085" t="n">
        <v>12280</v>
      </c>
      <c r="E3085" t="n">
        <v>53</v>
      </c>
      <c r="F3085" t="n">
        <v>54839</v>
      </c>
      <c r="G3085" t="n">
        <v>1</v>
      </c>
      <c r="H3085" t="n">
        <v>7</v>
      </c>
      <c r="I3085" t="n">
        <v>199023</v>
      </c>
    </row>
    <row r="3086">
      <c r="A3086" t="n">
        <v>3085</v>
      </c>
      <c r="B3086" t="inlineStr">
        <is>
          <t>Train</t>
        </is>
      </c>
      <c r="C3086" t="n">
        <v>6144</v>
      </c>
      <c r="D3086" t="n">
        <v>7440</v>
      </c>
      <c r="E3086" t="n">
        <v>27</v>
      </c>
      <c r="F3086" t="n">
        <v>32428</v>
      </c>
      <c r="G3086" t="n">
        <v>5</v>
      </c>
      <c r="H3086" t="n">
        <v>9</v>
      </c>
      <c r="I3086" t="n">
        <v>0</v>
      </c>
    </row>
    <row r="3087">
      <c r="A3087" t="n">
        <v>3086</v>
      </c>
      <c r="B3087" t="inlineStr">
        <is>
          <t>Train</t>
        </is>
      </c>
      <c r="C3087" t="n">
        <v>34479</v>
      </c>
      <c r="D3087" t="n">
        <v>13960</v>
      </c>
      <c r="E3087" t="n">
        <v>50</v>
      </c>
      <c r="F3087" t="n">
        <v>74578</v>
      </c>
      <c r="G3087" t="n">
        <v>5</v>
      </c>
      <c r="H3087" t="n">
        <v>12</v>
      </c>
      <c r="I3087" t="n">
        <v>251674</v>
      </c>
    </row>
    <row r="3088">
      <c r="A3088" t="n">
        <v>3087</v>
      </c>
      <c r="B3088" t="inlineStr">
        <is>
          <t>Validation</t>
        </is>
      </c>
      <c r="C3088" t="n">
        <v>4118</v>
      </c>
      <c r="D3088" t="n">
        <v>18710</v>
      </c>
      <c r="E3088" t="n">
        <v>55</v>
      </c>
      <c r="F3088" t="n">
        <v>122070</v>
      </c>
      <c r="G3088" t="n">
        <v>3</v>
      </c>
      <c r="H3088" t="n">
        <v>15</v>
      </c>
      <c r="I3088" t="n">
        <v>335023</v>
      </c>
    </row>
    <row r="3089">
      <c r="A3089" t="n">
        <v>3088</v>
      </c>
      <c r="B3089" t="inlineStr">
        <is>
          <t>Validation</t>
        </is>
      </c>
      <c r="C3089" t="n">
        <v>1420</v>
      </c>
      <c r="D3089" t="n">
        <v>17000</v>
      </c>
      <c r="E3089" t="n">
        <v>46</v>
      </c>
      <c r="F3089" t="n">
        <v>108980</v>
      </c>
      <c r="G3089" t="n">
        <v>3</v>
      </c>
      <c r="H3089" t="n">
        <v>6</v>
      </c>
      <c r="I3089" t="n">
        <v>0</v>
      </c>
    </row>
    <row r="3090">
      <c r="A3090" t="n">
        <v>3089</v>
      </c>
      <c r="B3090" t="inlineStr">
        <is>
          <t>Validation</t>
        </is>
      </c>
      <c r="C3090" t="n">
        <v>2577</v>
      </c>
      <c r="D3090" t="n">
        <v>10580</v>
      </c>
      <c r="E3090" t="n">
        <v>37</v>
      </c>
      <c r="F3090" t="n">
        <v>53840</v>
      </c>
      <c r="G3090" t="n">
        <v>6</v>
      </c>
      <c r="H3090" t="n">
        <v>12</v>
      </c>
      <c r="I3090" t="n">
        <v>162697</v>
      </c>
    </row>
    <row r="3091">
      <c r="A3091" t="n">
        <v>3090</v>
      </c>
      <c r="B3091" t="inlineStr">
        <is>
          <t>Train</t>
        </is>
      </c>
      <c r="C3091" t="n">
        <v>19731</v>
      </c>
      <c r="D3091" t="n">
        <v>12930</v>
      </c>
      <c r="E3091" t="n">
        <v>44</v>
      </c>
      <c r="F3091" t="n">
        <v>42223</v>
      </c>
      <c r="G3091" t="n">
        <v>0</v>
      </c>
      <c r="H3091" t="n">
        <v>17</v>
      </c>
      <c r="I3091" t="n">
        <v>134918</v>
      </c>
    </row>
    <row r="3092">
      <c r="A3092" t="n">
        <v>3091</v>
      </c>
      <c r="B3092" t="inlineStr">
        <is>
          <t>Train</t>
        </is>
      </c>
      <c r="C3092" t="n">
        <v>9251</v>
      </c>
      <c r="D3092" t="n">
        <v>13560</v>
      </c>
      <c r="E3092" t="n">
        <v>31</v>
      </c>
      <c r="F3092" t="n">
        <v>71763</v>
      </c>
      <c r="G3092" t="n">
        <v>3</v>
      </c>
      <c r="H3092" t="n">
        <v>13</v>
      </c>
      <c r="I3092" t="n">
        <v>200268</v>
      </c>
    </row>
    <row r="3093">
      <c r="A3093" t="n">
        <v>3092</v>
      </c>
      <c r="B3093" t="inlineStr">
        <is>
          <t>Train</t>
        </is>
      </c>
      <c r="C3093" t="n">
        <v>10192</v>
      </c>
      <c r="D3093" t="n">
        <v>18570</v>
      </c>
      <c r="E3093" t="n">
        <v>38</v>
      </c>
      <c r="F3093" t="n">
        <v>24417</v>
      </c>
      <c r="G3093" t="n">
        <v>4</v>
      </c>
      <c r="H3093" t="n">
        <v>4</v>
      </c>
      <c r="I3093" t="n">
        <v>148217</v>
      </c>
    </row>
    <row r="3094">
      <c r="A3094" t="n">
        <v>3093</v>
      </c>
      <c r="B3094" t="inlineStr">
        <is>
          <t>Train</t>
        </is>
      </c>
      <c r="C3094" t="n">
        <v>4432</v>
      </c>
      <c r="D3094" t="n">
        <v>13920</v>
      </c>
      <c r="E3094" t="n">
        <v>36</v>
      </c>
      <c r="F3094" t="n">
        <v>88236</v>
      </c>
      <c r="G3094" t="n">
        <v>2</v>
      </c>
      <c r="H3094" t="n">
        <v>8</v>
      </c>
      <c r="I3094" t="n">
        <v>0</v>
      </c>
    </row>
    <row r="3095">
      <c r="A3095" t="n">
        <v>3094</v>
      </c>
      <c r="B3095" t="inlineStr">
        <is>
          <t>Train</t>
        </is>
      </c>
      <c r="C3095" t="n">
        <v>792</v>
      </c>
      <c r="D3095" t="n">
        <v>5800</v>
      </c>
      <c r="E3095" t="n">
        <v>43</v>
      </c>
      <c r="F3095" t="n">
        <v>0</v>
      </c>
      <c r="G3095" t="n">
        <v>3</v>
      </c>
      <c r="H3095" t="n">
        <v>0</v>
      </c>
      <c r="I3095" t="n">
        <v>0</v>
      </c>
    </row>
    <row r="3096">
      <c r="A3096" t="n">
        <v>3095</v>
      </c>
      <c r="B3096" t="inlineStr">
        <is>
          <t>Train</t>
        </is>
      </c>
      <c r="C3096" t="n">
        <v>5468</v>
      </c>
      <c r="D3096" t="n">
        <v>12710</v>
      </c>
      <c r="E3096" t="n">
        <v>47</v>
      </c>
      <c r="F3096" t="n">
        <v>65136</v>
      </c>
      <c r="G3096" t="n">
        <v>3</v>
      </c>
      <c r="H3096" t="n">
        <v>11</v>
      </c>
      <c r="I3096" t="n">
        <v>218705</v>
      </c>
    </row>
    <row r="3097">
      <c r="A3097" t="n">
        <v>3096</v>
      </c>
      <c r="B3097" t="inlineStr">
        <is>
          <t>Train</t>
        </is>
      </c>
      <c r="C3097" t="n">
        <v>1852</v>
      </c>
      <c r="D3097" t="n">
        <v>4610</v>
      </c>
      <c r="E3097" t="n">
        <v>40</v>
      </c>
      <c r="F3097" t="n">
        <v>31101</v>
      </c>
      <c r="G3097" t="n">
        <v>1</v>
      </c>
      <c r="H3097" t="n">
        <v>13</v>
      </c>
      <c r="I3097" t="n">
        <v>0</v>
      </c>
    </row>
    <row r="3098">
      <c r="A3098" t="n">
        <v>3097</v>
      </c>
      <c r="B3098" t="inlineStr">
        <is>
          <t>Validation</t>
        </is>
      </c>
      <c r="C3098" t="n">
        <v>621</v>
      </c>
      <c r="D3098" t="n">
        <v>7000</v>
      </c>
      <c r="E3098" t="n">
        <v>55</v>
      </c>
      <c r="F3098" t="n">
        <v>12729</v>
      </c>
      <c r="G3098" t="n">
        <v>3</v>
      </c>
      <c r="H3098" t="n">
        <v>11</v>
      </c>
      <c r="I3098" t="n">
        <v>0</v>
      </c>
    </row>
    <row r="3099">
      <c r="A3099" t="n">
        <v>3098</v>
      </c>
      <c r="B3099" t="inlineStr">
        <is>
          <t>Validation</t>
        </is>
      </c>
      <c r="C3099" t="n">
        <v>18920</v>
      </c>
      <c r="D3099" t="n">
        <v>30380</v>
      </c>
      <c r="E3099" t="n">
        <v>48</v>
      </c>
      <c r="F3099" t="n">
        <v>20887</v>
      </c>
      <c r="G3099" t="n">
        <v>0</v>
      </c>
      <c r="H3099" t="n">
        <v>13</v>
      </c>
      <c r="I3099" t="n">
        <v>159568</v>
      </c>
    </row>
    <row r="3100">
      <c r="A3100" t="n">
        <v>3099</v>
      </c>
      <c r="B3100" t="inlineStr">
        <is>
          <t>Validation</t>
        </is>
      </c>
      <c r="C3100" t="n">
        <v>7792</v>
      </c>
      <c r="D3100" t="n">
        <v>8860</v>
      </c>
      <c r="E3100" t="n">
        <v>50</v>
      </c>
      <c r="F3100" t="n">
        <v>105198</v>
      </c>
      <c r="G3100" t="n">
        <v>3</v>
      </c>
      <c r="H3100" t="n">
        <v>11</v>
      </c>
      <c r="I3100" t="n">
        <v>310110</v>
      </c>
    </row>
    <row r="3101">
      <c r="A3101" t="n">
        <v>3100</v>
      </c>
      <c r="B3101" t="inlineStr">
        <is>
          <t>Train</t>
        </is>
      </c>
      <c r="C3101" t="n">
        <v>2723</v>
      </c>
      <c r="D3101" t="n">
        <v>20930</v>
      </c>
      <c r="E3101" t="n">
        <v>58</v>
      </c>
      <c r="F3101" t="n">
        <v>43618</v>
      </c>
      <c r="G3101" t="n">
        <v>2</v>
      </c>
      <c r="H3101" t="n">
        <v>13</v>
      </c>
      <c r="I3101" t="n">
        <v>179025</v>
      </c>
    </row>
    <row r="3102">
      <c r="A3102" t="n">
        <v>3101</v>
      </c>
      <c r="B3102" t="inlineStr">
        <is>
          <t>Train</t>
        </is>
      </c>
      <c r="C3102" t="n">
        <v>1459</v>
      </c>
      <c r="D3102" t="n">
        <v>10290</v>
      </c>
      <c r="E3102" t="n">
        <v>39</v>
      </c>
      <c r="F3102" t="n">
        <v>48887</v>
      </c>
      <c r="G3102" t="n">
        <v>5</v>
      </c>
      <c r="H3102" t="n">
        <v>13</v>
      </c>
      <c r="I3102" t="n">
        <v>178171</v>
      </c>
    </row>
    <row r="3103">
      <c r="A3103" t="n">
        <v>3102</v>
      </c>
      <c r="B3103" t="inlineStr">
        <is>
          <t>Train</t>
        </is>
      </c>
      <c r="C3103" t="n">
        <v>8963</v>
      </c>
      <c r="D3103" t="n">
        <v>12500</v>
      </c>
      <c r="E3103" t="n">
        <v>49</v>
      </c>
      <c r="F3103" t="n">
        <v>61036</v>
      </c>
      <c r="G3103" t="n">
        <v>1</v>
      </c>
      <c r="H3103" t="n">
        <v>14</v>
      </c>
      <c r="I3103" t="n">
        <v>160699</v>
      </c>
    </row>
    <row r="3104">
      <c r="A3104" t="n">
        <v>3103</v>
      </c>
      <c r="B3104" t="inlineStr">
        <is>
          <t>Train</t>
        </is>
      </c>
      <c r="C3104" t="n">
        <v>6366</v>
      </c>
      <c r="D3104" t="n">
        <v>8790</v>
      </c>
      <c r="E3104" t="n">
        <v>42</v>
      </c>
      <c r="F3104" t="n">
        <v>30871</v>
      </c>
      <c r="G3104" t="n">
        <v>0</v>
      </c>
      <c r="H3104" t="n">
        <v>16</v>
      </c>
      <c r="I3104" t="n">
        <v>151274</v>
      </c>
    </row>
    <row r="3105">
      <c r="A3105" t="n">
        <v>3104</v>
      </c>
      <c r="B3105" t="inlineStr">
        <is>
          <t>Train</t>
        </is>
      </c>
      <c r="C3105" t="n">
        <v>977</v>
      </c>
      <c r="D3105" t="n">
        <v>11600</v>
      </c>
      <c r="E3105" t="n">
        <v>60</v>
      </c>
      <c r="F3105" t="n">
        <v>47451</v>
      </c>
      <c r="G3105" t="n">
        <v>5</v>
      </c>
      <c r="H3105" t="n">
        <v>12</v>
      </c>
      <c r="I3105" t="n">
        <v>0</v>
      </c>
    </row>
    <row r="3106">
      <c r="A3106" t="n">
        <v>3105</v>
      </c>
      <c r="B3106" t="inlineStr">
        <is>
          <t>Train</t>
        </is>
      </c>
      <c r="C3106" t="n">
        <v>4538</v>
      </c>
      <c r="D3106" t="n">
        <v>12790</v>
      </c>
      <c r="E3106" t="n">
        <v>50</v>
      </c>
      <c r="F3106" t="n">
        <v>62880</v>
      </c>
      <c r="G3106" t="n">
        <v>11</v>
      </c>
      <c r="H3106" t="n">
        <v>10</v>
      </c>
      <c r="I3106" t="n">
        <v>0</v>
      </c>
    </row>
    <row r="3107">
      <c r="A3107" t="n">
        <v>3106</v>
      </c>
      <c r="B3107" t="inlineStr">
        <is>
          <t>Train</t>
        </is>
      </c>
      <c r="C3107" t="n">
        <v>27883</v>
      </c>
      <c r="D3107" t="n">
        <v>9120</v>
      </c>
      <c r="E3107" t="n">
        <v>46</v>
      </c>
      <c r="F3107" t="n">
        <v>6554</v>
      </c>
      <c r="G3107" t="n">
        <v>0</v>
      </c>
      <c r="H3107" t="n">
        <v>1</v>
      </c>
      <c r="I3107" t="n">
        <v>0</v>
      </c>
    </row>
    <row r="3108">
      <c r="A3108" t="n">
        <v>3107</v>
      </c>
      <c r="B3108" t="inlineStr">
        <is>
          <t>Validation</t>
        </is>
      </c>
      <c r="C3108" t="n">
        <v>1774</v>
      </c>
      <c r="D3108" t="n">
        <v>18810</v>
      </c>
      <c r="E3108" t="n">
        <v>58</v>
      </c>
      <c r="F3108" t="n">
        <v>115067</v>
      </c>
      <c r="G3108" t="n">
        <v>0</v>
      </c>
      <c r="H3108" t="n">
        <v>12</v>
      </c>
      <c r="I3108" t="n">
        <v>326329</v>
      </c>
    </row>
    <row r="3109">
      <c r="A3109" t="n">
        <v>3108</v>
      </c>
      <c r="B3109" t="inlineStr">
        <is>
          <t>Validation</t>
        </is>
      </c>
      <c r="C3109" t="n">
        <v>43599</v>
      </c>
      <c r="D3109" t="n">
        <v>11490</v>
      </c>
      <c r="E3109" t="n">
        <v>37</v>
      </c>
      <c r="F3109" t="n">
        <v>32542</v>
      </c>
      <c r="G3109" t="n">
        <v>7</v>
      </c>
      <c r="H3109" t="n">
        <v>4</v>
      </c>
      <c r="I3109" t="n">
        <v>109803</v>
      </c>
    </row>
    <row r="3110">
      <c r="A3110" t="n">
        <v>3109</v>
      </c>
      <c r="B3110" t="inlineStr">
        <is>
          <t>Validation</t>
        </is>
      </c>
      <c r="C3110" t="n">
        <v>7621</v>
      </c>
      <c r="D3110" t="n">
        <v>16570</v>
      </c>
      <c r="E3110" t="n">
        <v>39</v>
      </c>
      <c r="F3110" t="n">
        <v>12591</v>
      </c>
      <c r="G3110" t="n">
        <v>0</v>
      </c>
      <c r="H3110" t="n">
        <v>14</v>
      </c>
      <c r="I3110" t="n">
        <v>0</v>
      </c>
    </row>
    <row r="3111">
      <c r="A3111" t="n">
        <v>3110</v>
      </c>
      <c r="B3111" t="inlineStr">
        <is>
          <t>Train</t>
        </is>
      </c>
      <c r="C3111" t="n">
        <v>23486</v>
      </c>
      <c r="D3111" t="n">
        <v>18780</v>
      </c>
      <c r="E3111" t="n">
        <v>62</v>
      </c>
      <c r="F3111" t="n">
        <v>30322</v>
      </c>
      <c r="G3111" t="n">
        <v>0</v>
      </c>
      <c r="H3111" t="n">
        <v>18</v>
      </c>
      <c r="I3111" t="n">
        <v>150059</v>
      </c>
    </row>
    <row r="3112">
      <c r="A3112" t="n">
        <v>3111</v>
      </c>
      <c r="B3112" t="inlineStr">
        <is>
          <t>Train</t>
        </is>
      </c>
      <c r="C3112" t="n">
        <v>3955</v>
      </c>
      <c r="D3112" t="n">
        <v>7760</v>
      </c>
      <c r="E3112" t="n">
        <v>40</v>
      </c>
      <c r="F3112" t="n">
        <v>22648</v>
      </c>
      <c r="G3112" t="n">
        <v>0</v>
      </c>
      <c r="H3112" t="n">
        <v>12</v>
      </c>
      <c r="I3112" t="n">
        <v>105038</v>
      </c>
    </row>
    <row r="3113">
      <c r="A3113" t="n">
        <v>3112</v>
      </c>
      <c r="B3113" t="inlineStr">
        <is>
          <t>Train</t>
        </is>
      </c>
      <c r="C3113" t="n">
        <v>8256</v>
      </c>
      <c r="D3113" t="n">
        <v>5700</v>
      </c>
      <c r="E3113" t="n">
        <v>38</v>
      </c>
      <c r="F3113" t="n">
        <v>26537</v>
      </c>
      <c r="G3113" t="n">
        <v>1</v>
      </c>
      <c r="H3113" t="n">
        <v>12</v>
      </c>
      <c r="I3113" t="n">
        <v>144593</v>
      </c>
    </row>
    <row r="3114">
      <c r="A3114" t="n">
        <v>3113</v>
      </c>
      <c r="B3114" t="inlineStr">
        <is>
          <t>Train</t>
        </is>
      </c>
      <c r="C3114" t="n">
        <v>5890</v>
      </c>
      <c r="D3114" t="n">
        <v>11100</v>
      </c>
      <c r="E3114" t="n">
        <v>61</v>
      </c>
      <c r="F3114" t="n">
        <v>24546</v>
      </c>
      <c r="G3114" t="n">
        <v>0</v>
      </c>
      <c r="H3114" t="n">
        <v>14</v>
      </c>
      <c r="I3114" t="n">
        <v>0</v>
      </c>
    </row>
    <row r="3115">
      <c r="A3115" t="n">
        <v>3114</v>
      </c>
      <c r="B3115" t="inlineStr">
        <is>
          <t>Train</t>
        </is>
      </c>
      <c r="C3115" t="n">
        <v>6517</v>
      </c>
      <c r="D3115" t="n">
        <v>26810</v>
      </c>
      <c r="E3115" t="n">
        <v>42</v>
      </c>
      <c r="F3115" t="n">
        <v>53357</v>
      </c>
      <c r="G3115" t="n">
        <v>8</v>
      </c>
      <c r="H3115" t="n">
        <v>11</v>
      </c>
      <c r="I3115" t="n">
        <v>209447</v>
      </c>
    </row>
    <row r="3116">
      <c r="A3116" t="n">
        <v>3115</v>
      </c>
      <c r="B3116" t="inlineStr">
        <is>
          <t>Train</t>
        </is>
      </c>
      <c r="C3116" t="n">
        <v>1035</v>
      </c>
      <c r="D3116" t="n">
        <v>7180</v>
      </c>
      <c r="E3116" t="n">
        <v>40</v>
      </c>
      <c r="F3116" t="n">
        <v>0</v>
      </c>
      <c r="G3116" t="n">
        <v>4</v>
      </c>
      <c r="H3116" t="n">
        <v>0</v>
      </c>
      <c r="I3116" t="n">
        <v>104638</v>
      </c>
    </row>
    <row r="3117">
      <c r="A3117" t="n">
        <v>3116</v>
      </c>
      <c r="B3117" t="inlineStr">
        <is>
          <t>Train</t>
        </is>
      </c>
      <c r="C3117" t="n">
        <v>5177</v>
      </c>
      <c r="D3117" t="n">
        <v>9130</v>
      </c>
      <c r="E3117" t="n">
        <v>37</v>
      </c>
      <c r="F3117" t="n">
        <v>39324</v>
      </c>
      <c r="G3117" t="n">
        <v>6</v>
      </c>
      <c r="H3117" t="n">
        <v>13</v>
      </c>
      <c r="I3117" t="n">
        <v>151114</v>
      </c>
    </row>
    <row r="3118">
      <c r="A3118" t="n">
        <v>3117</v>
      </c>
      <c r="B3118" t="inlineStr">
        <is>
          <t>Validation</t>
        </is>
      </c>
      <c r="C3118" t="n">
        <v>3721</v>
      </c>
      <c r="D3118" t="n">
        <v>8420</v>
      </c>
      <c r="E3118" t="n">
        <v>49</v>
      </c>
      <c r="F3118" t="n">
        <v>0</v>
      </c>
      <c r="G3118" t="n">
        <v>2</v>
      </c>
      <c r="H3118" t="n">
        <v>0</v>
      </c>
      <c r="I3118" t="n">
        <v>124751</v>
      </c>
    </row>
    <row r="3119">
      <c r="A3119" t="n">
        <v>3118</v>
      </c>
      <c r="B3119" t="inlineStr">
        <is>
          <t>Validation</t>
        </is>
      </c>
      <c r="C3119" t="n">
        <v>3031</v>
      </c>
      <c r="D3119" t="n">
        <v>24690</v>
      </c>
      <c r="E3119" t="n">
        <v>28</v>
      </c>
      <c r="F3119" t="n">
        <v>12841</v>
      </c>
      <c r="G3119" t="n">
        <v>5</v>
      </c>
      <c r="H3119" t="n">
        <v>12</v>
      </c>
      <c r="I3119" t="n">
        <v>85755</v>
      </c>
    </row>
    <row r="3120">
      <c r="A3120" t="n">
        <v>3119</v>
      </c>
      <c r="B3120" t="inlineStr">
        <is>
          <t>Validation</t>
        </is>
      </c>
      <c r="C3120" t="n">
        <v>3624</v>
      </c>
      <c r="D3120" t="n">
        <v>10620</v>
      </c>
      <c r="E3120" t="n">
        <v>46</v>
      </c>
      <c r="F3120" t="n">
        <v>45237</v>
      </c>
      <c r="G3120" t="n">
        <v>2</v>
      </c>
      <c r="H3120" t="n">
        <v>12</v>
      </c>
      <c r="I3120" t="n">
        <v>184819</v>
      </c>
    </row>
    <row r="3121">
      <c r="A3121" t="n">
        <v>3120</v>
      </c>
      <c r="B3121" t="inlineStr">
        <is>
          <t>Train</t>
        </is>
      </c>
      <c r="C3121" t="n">
        <v>26803</v>
      </c>
      <c r="D3121" t="n">
        <v>16030</v>
      </c>
      <c r="E3121" t="n">
        <v>21</v>
      </c>
      <c r="F3121" t="n">
        <v>5939</v>
      </c>
      <c r="G3121" t="n">
        <v>2</v>
      </c>
      <c r="H3121" t="n">
        <v>9</v>
      </c>
      <c r="I3121" t="n">
        <v>0</v>
      </c>
    </row>
    <row r="3122">
      <c r="A3122" t="n">
        <v>3121</v>
      </c>
      <c r="B3122" t="inlineStr">
        <is>
          <t>Train</t>
        </is>
      </c>
      <c r="C3122" t="n">
        <v>47343</v>
      </c>
      <c r="D3122" t="n">
        <v>18310</v>
      </c>
      <c r="E3122" t="n">
        <v>48</v>
      </c>
      <c r="F3122" t="n">
        <v>122643</v>
      </c>
      <c r="G3122" t="n">
        <v>4</v>
      </c>
      <c r="H3122" t="n">
        <v>13</v>
      </c>
      <c r="I3122" t="n">
        <v>315375</v>
      </c>
    </row>
    <row r="3123">
      <c r="A3123" t="n">
        <v>3122</v>
      </c>
      <c r="B3123" t="inlineStr">
        <is>
          <t>Train</t>
        </is>
      </c>
      <c r="C3123" t="n">
        <v>1994</v>
      </c>
      <c r="D3123" t="n">
        <v>20760</v>
      </c>
      <c r="E3123" t="n">
        <v>41</v>
      </c>
      <c r="F3123" t="n">
        <v>151571</v>
      </c>
      <c r="G3123" t="n">
        <v>0</v>
      </c>
      <c r="H3123" t="n">
        <v>9</v>
      </c>
      <c r="I3123" t="n">
        <v>0</v>
      </c>
    </row>
    <row r="3124">
      <c r="A3124" t="n">
        <v>3123</v>
      </c>
      <c r="B3124" t="inlineStr">
        <is>
          <t>Train</t>
        </is>
      </c>
      <c r="C3124" t="n">
        <v>4792</v>
      </c>
      <c r="D3124" t="n">
        <v>5690</v>
      </c>
      <c r="E3124" t="n">
        <v>35</v>
      </c>
      <c r="F3124" t="n">
        <v>13365</v>
      </c>
      <c r="G3124" t="n">
        <v>6</v>
      </c>
      <c r="H3124" t="n">
        <v>10</v>
      </c>
      <c r="I3124" t="n">
        <v>0</v>
      </c>
    </row>
    <row r="3125">
      <c r="A3125" t="n">
        <v>3124</v>
      </c>
      <c r="B3125" t="inlineStr">
        <is>
          <t>Train</t>
        </is>
      </c>
      <c r="C3125" t="n">
        <v>2102</v>
      </c>
      <c r="D3125" t="n">
        <v>9260</v>
      </c>
      <c r="E3125" t="n">
        <v>49</v>
      </c>
      <c r="F3125" t="n">
        <v>28592</v>
      </c>
      <c r="G3125" t="n">
        <v>3</v>
      </c>
      <c r="H3125" t="n">
        <v>13</v>
      </c>
      <c r="I3125" t="n">
        <v>183206</v>
      </c>
    </row>
    <row r="3126">
      <c r="A3126" t="n">
        <v>3125</v>
      </c>
      <c r="B3126" t="inlineStr">
        <is>
          <t>Train</t>
        </is>
      </c>
      <c r="C3126" t="n">
        <v>7104</v>
      </c>
      <c r="D3126" t="n">
        <v>9980</v>
      </c>
      <c r="E3126" t="n">
        <v>40</v>
      </c>
      <c r="F3126" t="n">
        <v>31080</v>
      </c>
      <c r="G3126" t="n">
        <v>5</v>
      </c>
      <c r="H3126" t="n">
        <v>13</v>
      </c>
      <c r="I3126" t="n">
        <v>127150</v>
      </c>
    </row>
    <row r="3127">
      <c r="A3127" t="n">
        <v>3126</v>
      </c>
      <c r="B3127" t="inlineStr">
        <is>
          <t>Train</t>
        </is>
      </c>
      <c r="C3127" t="n">
        <v>6682</v>
      </c>
      <c r="D3127" t="n">
        <v>41830</v>
      </c>
      <c r="E3127" t="n">
        <v>47</v>
      </c>
      <c r="F3127" t="n">
        <v>221995</v>
      </c>
      <c r="G3127" t="n">
        <v>3</v>
      </c>
      <c r="H3127" t="n">
        <v>12</v>
      </c>
      <c r="I3127" t="n">
        <v>545044</v>
      </c>
    </row>
    <row r="3128">
      <c r="A3128" t="n">
        <v>3127</v>
      </c>
      <c r="B3128" t="inlineStr">
        <is>
          <t>Validation</t>
        </is>
      </c>
      <c r="C3128" t="n">
        <v>8983</v>
      </c>
      <c r="D3128" t="n">
        <v>24910</v>
      </c>
      <c r="E3128" t="n">
        <v>43</v>
      </c>
      <c r="F3128" t="n">
        <v>229983</v>
      </c>
      <c r="G3128" t="n">
        <v>1</v>
      </c>
      <c r="H3128" t="n">
        <v>11</v>
      </c>
      <c r="I3128" t="n">
        <v>0</v>
      </c>
    </row>
    <row r="3129">
      <c r="A3129" t="n">
        <v>3128</v>
      </c>
      <c r="B3129" t="inlineStr">
        <is>
          <t>Validation</t>
        </is>
      </c>
      <c r="C3129" t="n">
        <v>4074</v>
      </c>
      <c r="D3129" t="n">
        <v>4750</v>
      </c>
      <c r="E3129" t="n">
        <v>32</v>
      </c>
      <c r="F3129" t="n">
        <v>0</v>
      </c>
      <c r="G3129" t="n">
        <v>9</v>
      </c>
      <c r="H3129" t="n">
        <v>0</v>
      </c>
      <c r="I3129" t="n">
        <v>0</v>
      </c>
    </row>
    <row r="3130">
      <c r="A3130" t="n">
        <v>3129</v>
      </c>
      <c r="B3130" t="inlineStr">
        <is>
          <t>Validation</t>
        </is>
      </c>
      <c r="C3130" t="n">
        <v>2218</v>
      </c>
      <c r="D3130" t="n">
        <v>11690</v>
      </c>
      <c r="E3130" t="n">
        <v>50</v>
      </c>
      <c r="F3130" t="n">
        <v>51888</v>
      </c>
      <c r="G3130" t="n">
        <v>5</v>
      </c>
      <c r="H3130" t="n">
        <v>11</v>
      </c>
      <c r="I3130" t="n">
        <v>209011</v>
      </c>
    </row>
    <row r="3131">
      <c r="A3131" t="n">
        <v>3130</v>
      </c>
      <c r="B3131" t="inlineStr">
        <is>
          <t>Train</t>
        </is>
      </c>
      <c r="C3131" t="n">
        <v>27548</v>
      </c>
      <c r="D3131" t="n">
        <v>14970</v>
      </c>
      <c r="E3131" t="n">
        <v>49</v>
      </c>
      <c r="F3131" t="n">
        <v>85739</v>
      </c>
      <c r="G3131" t="n">
        <v>2</v>
      </c>
      <c r="H3131" t="n">
        <v>4</v>
      </c>
      <c r="I3131" t="n">
        <v>282600</v>
      </c>
    </row>
    <row r="3132">
      <c r="A3132" t="n">
        <v>3131</v>
      </c>
      <c r="B3132" t="inlineStr">
        <is>
          <t>Train</t>
        </is>
      </c>
      <c r="C3132" t="n">
        <v>30328</v>
      </c>
      <c r="D3132" t="n">
        <v>9470</v>
      </c>
      <c r="E3132" t="n">
        <v>44</v>
      </c>
      <c r="F3132" t="n">
        <v>38290</v>
      </c>
      <c r="G3132" t="n">
        <v>4</v>
      </c>
      <c r="H3132" t="n">
        <v>11</v>
      </c>
      <c r="I3132" t="n">
        <v>148303</v>
      </c>
    </row>
    <row r="3133">
      <c r="A3133" t="n">
        <v>3132</v>
      </c>
      <c r="B3133" t="inlineStr">
        <is>
          <t>Train</t>
        </is>
      </c>
      <c r="C3133" t="n">
        <v>40998</v>
      </c>
      <c r="D3133" t="n">
        <v>8910</v>
      </c>
      <c r="E3133" t="n">
        <v>30</v>
      </c>
      <c r="F3133" t="n">
        <v>42774</v>
      </c>
      <c r="G3133" t="n">
        <v>2</v>
      </c>
      <c r="H3133" t="n">
        <v>12</v>
      </c>
      <c r="I3133" t="n">
        <v>144023</v>
      </c>
    </row>
    <row r="3134">
      <c r="A3134" t="n">
        <v>3133</v>
      </c>
      <c r="B3134" t="inlineStr">
        <is>
          <t>Train</t>
        </is>
      </c>
      <c r="C3134" t="n">
        <v>6525</v>
      </c>
      <c r="D3134" t="n">
        <v>6400</v>
      </c>
      <c r="E3134" t="n">
        <v>49</v>
      </c>
      <c r="F3134" t="n">
        <v>113781</v>
      </c>
      <c r="G3134" t="n">
        <v>4</v>
      </c>
      <c r="H3134" t="n">
        <v>13</v>
      </c>
      <c r="I3134" t="n">
        <v>311839</v>
      </c>
    </row>
    <row r="3135">
      <c r="A3135" t="n">
        <v>3134</v>
      </c>
      <c r="B3135" t="inlineStr">
        <is>
          <t>Train</t>
        </is>
      </c>
      <c r="C3135" t="n">
        <v>3846</v>
      </c>
      <c r="D3135" t="n">
        <v>15480</v>
      </c>
      <c r="E3135" t="n">
        <v>34</v>
      </c>
      <c r="F3135" t="n">
        <v>18247</v>
      </c>
      <c r="G3135" t="n">
        <v>0</v>
      </c>
      <c r="H3135" t="n">
        <v>12</v>
      </c>
      <c r="I3135" t="n">
        <v>0</v>
      </c>
    </row>
    <row r="3136">
      <c r="A3136" t="n">
        <v>3135</v>
      </c>
      <c r="B3136" t="inlineStr">
        <is>
          <t>Train</t>
        </is>
      </c>
      <c r="C3136" t="n">
        <v>2633</v>
      </c>
      <c r="D3136" t="n">
        <v>5600</v>
      </c>
      <c r="E3136" t="n">
        <v>41</v>
      </c>
      <c r="F3136" t="n">
        <v>0</v>
      </c>
      <c r="G3136" t="n">
        <v>5</v>
      </c>
      <c r="H3136" t="n">
        <v>0</v>
      </c>
      <c r="I3136" t="n">
        <v>0</v>
      </c>
    </row>
    <row r="3137">
      <c r="A3137" t="n">
        <v>3136</v>
      </c>
      <c r="B3137" t="inlineStr">
        <is>
          <t>Train</t>
        </is>
      </c>
      <c r="C3137" t="n">
        <v>1053</v>
      </c>
      <c r="D3137" t="n">
        <v>17130</v>
      </c>
      <c r="E3137" t="n">
        <v>46</v>
      </c>
      <c r="F3137" t="n">
        <v>79290</v>
      </c>
      <c r="G3137" t="n">
        <v>6</v>
      </c>
      <c r="H3137" t="n">
        <v>12</v>
      </c>
      <c r="I3137" t="n">
        <v>243362</v>
      </c>
    </row>
    <row r="3138">
      <c r="A3138" t="n">
        <v>3137</v>
      </c>
      <c r="B3138" t="inlineStr">
        <is>
          <t>Validation</t>
        </is>
      </c>
      <c r="C3138" t="n">
        <v>12751</v>
      </c>
      <c r="D3138" t="n">
        <v>6000</v>
      </c>
      <c r="E3138" t="n">
        <v>45</v>
      </c>
      <c r="F3138" t="n">
        <v>59763</v>
      </c>
      <c r="G3138" t="n">
        <v>2</v>
      </c>
      <c r="H3138" t="n">
        <v>15</v>
      </c>
      <c r="I3138" t="n">
        <v>193504</v>
      </c>
    </row>
    <row r="3139">
      <c r="A3139" t="n">
        <v>3138</v>
      </c>
      <c r="B3139" t="inlineStr">
        <is>
          <t>Validation</t>
        </is>
      </c>
      <c r="C3139" t="n">
        <v>21099</v>
      </c>
      <c r="D3139" t="n">
        <v>11580</v>
      </c>
      <c r="E3139" t="n">
        <v>35</v>
      </c>
      <c r="F3139" t="n">
        <v>0</v>
      </c>
      <c r="G3139" t="n">
        <v>1</v>
      </c>
      <c r="H3139" t="n">
        <v>0</v>
      </c>
      <c r="I3139" t="n">
        <v>88575</v>
      </c>
    </row>
    <row r="3140">
      <c r="A3140" t="n">
        <v>3139</v>
      </c>
      <c r="B3140" t="inlineStr">
        <is>
          <t>Validation</t>
        </is>
      </c>
      <c r="C3140" t="n">
        <v>18287</v>
      </c>
      <c r="D3140" t="n">
        <v>19970</v>
      </c>
      <c r="E3140" t="n">
        <v>44</v>
      </c>
      <c r="F3140" t="n">
        <v>92251</v>
      </c>
      <c r="G3140" t="n">
        <v>4</v>
      </c>
      <c r="H3140" t="n">
        <v>13</v>
      </c>
      <c r="I3140" t="n">
        <v>0</v>
      </c>
    </row>
    <row r="3141">
      <c r="A3141" t="n">
        <v>3140</v>
      </c>
      <c r="B3141" t="inlineStr">
        <is>
          <t>Train</t>
        </is>
      </c>
      <c r="C3141" t="n">
        <v>9537</v>
      </c>
      <c r="D3141" t="n">
        <v>13930</v>
      </c>
      <c r="E3141" t="n">
        <v>43</v>
      </c>
      <c r="F3141" t="n">
        <v>81294</v>
      </c>
      <c r="G3141" t="n">
        <v>1</v>
      </c>
      <c r="H3141" t="n">
        <v>10</v>
      </c>
      <c r="I3141" t="n">
        <v>230783</v>
      </c>
    </row>
    <row r="3142">
      <c r="A3142" t="n">
        <v>3141</v>
      </c>
      <c r="B3142" t="inlineStr">
        <is>
          <t>Train</t>
        </is>
      </c>
      <c r="C3142" t="n">
        <v>35324</v>
      </c>
      <c r="D3142" t="n">
        <v>20960</v>
      </c>
      <c r="E3142" t="n">
        <v>39</v>
      </c>
      <c r="F3142" t="n">
        <v>88189</v>
      </c>
      <c r="G3142" t="n">
        <v>0</v>
      </c>
      <c r="H3142" t="n">
        <v>13</v>
      </c>
      <c r="I3142" t="n">
        <v>253315</v>
      </c>
    </row>
    <row r="3143">
      <c r="A3143" t="n">
        <v>3142</v>
      </c>
      <c r="B3143" t="inlineStr">
        <is>
          <t>Train</t>
        </is>
      </c>
      <c r="C3143" t="n">
        <v>3519</v>
      </c>
      <c r="D3143" t="n">
        <v>17080</v>
      </c>
      <c r="E3143" t="n">
        <v>37</v>
      </c>
      <c r="F3143" t="n">
        <v>51103</v>
      </c>
      <c r="G3143" t="n">
        <v>6</v>
      </c>
      <c r="H3143" t="n">
        <v>11</v>
      </c>
      <c r="I3143" t="n">
        <v>200025</v>
      </c>
    </row>
    <row r="3144">
      <c r="A3144" t="n">
        <v>3143</v>
      </c>
      <c r="B3144" t="inlineStr">
        <is>
          <t>Train</t>
        </is>
      </c>
      <c r="C3144" t="n">
        <v>5208</v>
      </c>
      <c r="D3144" t="n">
        <v>11080</v>
      </c>
      <c r="E3144" t="n">
        <v>35</v>
      </c>
      <c r="F3144" t="n">
        <v>60755</v>
      </c>
      <c r="G3144" t="n">
        <v>7</v>
      </c>
      <c r="H3144" t="n">
        <v>12</v>
      </c>
      <c r="I3144" t="n">
        <v>0</v>
      </c>
    </row>
    <row r="3145">
      <c r="A3145" t="n">
        <v>3144</v>
      </c>
      <c r="B3145" t="inlineStr">
        <is>
          <t>Train</t>
        </is>
      </c>
      <c r="C3145" t="n">
        <v>1064</v>
      </c>
      <c r="D3145" t="n">
        <v>18180</v>
      </c>
      <c r="E3145" t="n">
        <v>53</v>
      </c>
      <c r="F3145" t="n">
        <v>26840</v>
      </c>
      <c r="G3145" t="n">
        <v>0</v>
      </c>
      <c r="H3145" t="n">
        <v>14</v>
      </c>
      <c r="I3145" t="n">
        <v>166651</v>
      </c>
    </row>
    <row r="3146">
      <c r="A3146" t="n">
        <v>3145</v>
      </c>
      <c r="B3146" t="inlineStr">
        <is>
          <t>Train</t>
        </is>
      </c>
      <c r="C3146" t="n">
        <v>7332</v>
      </c>
      <c r="D3146" t="n">
        <v>7950</v>
      </c>
      <c r="E3146" t="n">
        <v>45</v>
      </c>
      <c r="F3146" t="n">
        <v>19469</v>
      </c>
      <c r="G3146" t="n">
        <v>5</v>
      </c>
      <c r="H3146" t="n">
        <v>8</v>
      </c>
      <c r="I3146" t="n">
        <v>0</v>
      </c>
    </row>
    <row r="3147">
      <c r="A3147" t="n">
        <v>3146</v>
      </c>
      <c r="B3147" t="inlineStr">
        <is>
          <t>Train</t>
        </is>
      </c>
      <c r="C3147" t="n">
        <v>3436</v>
      </c>
      <c r="D3147" t="n">
        <v>18990</v>
      </c>
      <c r="E3147" t="n">
        <v>53</v>
      </c>
      <c r="F3147" t="n">
        <v>86551</v>
      </c>
      <c r="G3147" t="n">
        <v>8</v>
      </c>
      <c r="H3147" t="n">
        <v>13</v>
      </c>
      <c r="I3147" t="n">
        <v>0</v>
      </c>
    </row>
    <row r="3148">
      <c r="A3148" t="n">
        <v>3147</v>
      </c>
      <c r="B3148" t="inlineStr">
        <is>
          <t>Validation</t>
        </is>
      </c>
      <c r="C3148" t="n">
        <v>5071</v>
      </c>
      <c r="D3148" t="n">
        <v>14380</v>
      </c>
      <c r="E3148" t="n">
        <v>53</v>
      </c>
      <c r="F3148" t="n">
        <v>75777</v>
      </c>
      <c r="G3148" t="n">
        <v>7</v>
      </c>
      <c r="H3148" t="n">
        <v>13</v>
      </c>
      <c r="I3148" t="n">
        <v>277382</v>
      </c>
    </row>
    <row r="3149">
      <c r="A3149" t="n">
        <v>3148</v>
      </c>
      <c r="B3149" t="inlineStr">
        <is>
          <t>Validation</t>
        </is>
      </c>
      <c r="C3149" t="n">
        <v>518</v>
      </c>
      <c r="D3149" t="n">
        <v>7180</v>
      </c>
      <c r="E3149" t="n">
        <v>35</v>
      </c>
      <c r="F3149" t="n">
        <v>50971</v>
      </c>
      <c r="G3149" t="n">
        <v>1</v>
      </c>
      <c r="H3149" t="n">
        <v>14</v>
      </c>
      <c r="I3149" t="n">
        <v>183050</v>
      </c>
    </row>
    <row r="3150">
      <c r="A3150" t="n">
        <v>3149</v>
      </c>
      <c r="B3150" t="inlineStr">
        <is>
          <t>Validation</t>
        </is>
      </c>
      <c r="C3150" t="n">
        <v>1118</v>
      </c>
      <c r="D3150" t="n">
        <v>19570</v>
      </c>
      <c r="E3150" t="n">
        <v>47</v>
      </c>
      <c r="F3150" t="n">
        <v>68623</v>
      </c>
      <c r="G3150" t="n">
        <v>0</v>
      </c>
      <c r="H3150" t="n">
        <v>7</v>
      </c>
      <c r="I3150" t="n">
        <v>0</v>
      </c>
    </row>
    <row r="3151">
      <c r="A3151" t="n">
        <v>3150</v>
      </c>
      <c r="B3151" t="inlineStr">
        <is>
          <t>Train</t>
        </is>
      </c>
      <c r="C3151" t="n">
        <v>35275</v>
      </c>
      <c r="D3151" t="n">
        <v>13710</v>
      </c>
      <c r="E3151" t="n">
        <v>47</v>
      </c>
      <c r="F3151" t="n">
        <v>40044</v>
      </c>
      <c r="G3151" t="n">
        <v>1</v>
      </c>
      <c r="H3151" t="n">
        <v>14</v>
      </c>
      <c r="I3151" t="n">
        <v>180968</v>
      </c>
    </row>
    <row r="3152">
      <c r="A3152" t="n">
        <v>3151</v>
      </c>
      <c r="B3152" t="inlineStr">
        <is>
          <t>Train</t>
        </is>
      </c>
      <c r="C3152" t="n">
        <v>21712</v>
      </c>
      <c r="D3152" t="n">
        <v>20270</v>
      </c>
      <c r="E3152" t="n">
        <v>39</v>
      </c>
      <c r="F3152" t="n">
        <v>47458</v>
      </c>
      <c r="G3152" t="n">
        <v>5</v>
      </c>
      <c r="H3152" t="n">
        <v>11</v>
      </c>
      <c r="I3152" t="n">
        <v>0</v>
      </c>
    </row>
    <row r="3153">
      <c r="A3153" t="n">
        <v>3152</v>
      </c>
      <c r="B3153" t="inlineStr">
        <is>
          <t>Train</t>
        </is>
      </c>
      <c r="C3153" t="n">
        <v>1255</v>
      </c>
      <c r="D3153" t="n">
        <v>13420</v>
      </c>
      <c r="E3153" t="n">
        <v>50</v>
      </c>
      <c r="F3153" t="n">
        <v>16074</v>
      </c>
      <c r="G3153" t="n">
        <v>3</v>
      </c>
      <c r="H3153" t="n">
        <v>15</v>
      </c>
      <c r="I3153" t="n">
        <v>0</v>
      </c>
    </row>
    <row r="3154">
      <c r="A3154" t="n">
        <v>3153</v>
      </c>
      <c r="B3154" t="inlineStr">
        <is>
          <t>Train</t>
        </is>
      </c>
      <c r="C3154" t="n">
        <v>537</v>
      </c>
      <c r="D3154" t="n">
        <v>13090</v>
      </c>
      <c r="E3154" t="n">
        <v>43</v>
      </c>
      <c r="F3154" t="n">
        <v>72894</v>
      </c>
      <c r="G3154" t="n">
        <v>4</v>
      </c>
      <c r="H3154" t="n">
        <v>10</v>
      </c>
      <c r="I3154" t="n">
        <v>0</v>
      </c>
    </row>
    <row r="3155">
      <c r="A3155" t="n">
        <v>3154</v>
      </c>
      <c r="B3155" t="inlineStr">
        <is>
          <t>Train</t>
        </is>
      </c>
      <c r="C3155" t="n">
        <v>35428</v>
      </c>
      <c r="D3155" t="n">
        <v>19830</v>
      </c>
      <c r="E3155" t="n">
        <v>46</v>
      </c>
      <c r="F3155" t="n">
        <v>137285</v>
      </c>
      <c r="G3155" t="n">
        <v>0</v>
      </c>
      <c r="H3155" t="n">
        <v>11</v>
      </c>
      <c r="I3155" t="n">
        <v>0</v>
      </c>
    </row>
    <row r="3156">
      <c r="A3156" t="n">
        <v>3155</v>
      </c>
      <c r="B3156" t="inlineStr">
        <is>
          <t>Train</t>
        </is>
      </c>
      <c r="C3156" t="n">
        <v>5423</v>
      </c>
      <c r="D3156" t="n">
        <v>17970</v>
      </c>
      <c r="E3156" t="n">
        <v>46</v>
      </c>
      <c r="F3156" t="n">
        <v>35362</v>
      </c>
      <c r="G3156" t="n">
        <v>3</v>
      </c>
      <c r="H3156" t="n">
        <v>11</v>
      </c>
      <c r="I3156" t="n">
        <v>0</v>
      </c>
    </row>
    <row r="3157">
      <c r="A3157" t="n">
        <v>3156</v>
      </c>
      <c r="B3157" t="inlineStr">
        <is>
          <t>Train</t>
        </is>
      </c>
      <c r="C3157" t="n">
        <v>10494</v>
      </c>
      <c r="D3157" t="n">
        <v>12310</v>
      </c>
      <c r="E3157" t="n">
        <v>56</v>
      </c>
      <c r="F3157" t="n">
        <v>52130</v>
      </c>
      <c r="G3157" t="n">
        <v>3</v>
      </c>
      <c r="H3157" t="n">
        <v>13</v>
      </c>
      <c r="I3157" t="n">
        <v>176831</v>
      </c>
    </row>
    <row r="3158">
      <c r="A3158" t="n">
        <v>3157</v>
      </c>
      <c r="B3158" t="inlineStr">
        <is>
          <t>Validation</t>
        </is>
      </c>
      <c r="C3158" t="n">
        <v>6560</v>
      </c>
      <c r="D3158" t="n">
        <v>12940</v>
      </c>
      <c r="E3158" t="n">
        <v>46</v>
      </c>
      <c r="F3158" t="n">
        <v>68360</v>
      </c>
      <c r="G3158" t="n">
        <v>7</v>
      </c>
      <c r="H3158" t="n">
        <v>10</v>
      </c>
      <c r="I3158" t="n">
        <v>237457</v>
      </c>
    </row>
    <row r="3159">
      <c r="A3159" t="n">
        <v>3158</v>
      </c>
      <c r="B3159" t="inlineStr">
        <is>
          <t>Validation</t>
        </is>
      </c>
      <c r="C3159" t="n">
        <v>10137</v>
      </c>
      <c r="D3159" t="n">
        <v>17760</v>
      </c>
      <c r="E3159" t="n">
        <v>43</v>
      </c>
      <c r="F3159" t="n">
        <v>119579</v>
      </c>
      <c r="G3159" t="n">
        <v>5</v>
      </c>
      <c r="H3159" t="n">
        <v>7</v>
      </c>
      <c r="I3159" t="n">
        <v>331156</v>
      </c>
    </row>
    <row r="3160">
      <c r="A3160" t="n">
        <v>3159</v>
      </c>
      <c r="B3160" t="inlineStr">
        <is>
          <t>Validation</t>
        </is>
      </c>
      <c r="C3160" t="n">
        <v>20519</v>
      </c>
      <c r="D3160" t="n">
        <v>1500</v>
      </c>
      <c r="E3160" t="n">
        <v>46</v>
      </c>
      <c r="F3160" t="n">
        <v>0</v>
      </c>
      <c r="G3160" t="n">
        <v>3</v>
      </c>
      <c r="H3160" t="n">
        <v>0</v>
      </c>
      <c r="I3160" t="n">
        <v>0</v>
      </c>
    </row>
    <row r="3161">
      <c r="A3161" t="n">
        <v>3160</v>
      </c>
      <c r="B3161" t="inlineStr">
        <is>
          <t>Train</t>
        </is>
      </c>
      <c r="C3161" t="n">
        <v>9298</v>
      </c>
      <c r="D3161" t="n">
        <v>28260</v>
      </c>
      <c r="E3161" t="n">
        <v>38</v>
      </c>
      <c r="F3161" t="n">
        <v>83458</v>
      </c>
      <c r="G3161" t="n">
        <v>3</v>
      </c>
      <c r="H3161" t="n">
        <v>8</v>
      </c>
      <c r="I3161" t="n">
        <v>232182</v>
      </c>
    </row>
    <row r="3162">
      <c r="A3162" t="n">
        <v>3161</v>
      </c>
      <c r="B3162" t="inlineStr">
        <is>
          <t>Train</t>
        </is>
      </c>
      <c r="C3162" t="n">
        <v>2800</v>
      </c>
      <c r="D3162" t="n">
        <v>21690</v>
      </c>
      <c r="E3162" t="n">
        <v>60</v>
      </c>
      <c r="F3162" t="n">
        <v>19796</v>
      </c>
      <c r="G3162" t="n">
        <v>4</v>
      </c>
      <c r="H3162" t="n">
        <v>12</v>
      </c>
      <c r="I3162" t="n">
        <v>153061</v>
      </c>
    </row>
    <row r="3163">
      <c r="A3163" t="n">
        <v>3162</v>
      </c>
      <c r="B3163" t="inlineStr">
        <is>
          <t>Train</t>
        </is>
      </c>
      <c r="C3163" t="n">
        <v>16239</v>
      </c>
      <c r="D3163" t="n">
        <v>11300</v>
      </c>
      <c r="E3163" t="n">
        <v>45</v>
      </c>
      <c r="F3163" t="n">
        <v>52966</v>
      </c>
      <c r="G3163" t="n">
        <v>5</v>
      </c>
      <c r="H3163" t="n">
        <v>11</v>
      </c>
      <c r="I3163" t="n">
        <v>0</v>
      </c>
    </row>
    <row r="3164">
      <c r="A3164" t="n">
        <v>3163</v>
      </c>
      <c r="B3164" t="inlineStr">
        <is>
          <t>Train</t>
        </is>
      </c>
      <c r="C3164" t="n">
        <v>5038</v>
      </c>
      <c r="D3164" t="n">
        <v>16510</v>
      </c>
      <c r="E3164" t="n">
        <v>54</v>
      </c>
      <c r="F3164" t="n">
        <v>69111</v>
      </c>
      <c r="G3164" t="n">
        <v>3</v>
      </c>
      <c r="H3164" t="n">
        <v>11</v>
      </c>
      <c r="I3164" t="n">
        <v>291969</v>
      </c>
    </row>
    <row r="3165">
      <c r="A3165" t="n">
        <v>3164</v>
      </c>
      <c r="B3165" t="inlineStr">
        <is>
          <t>Train</t>
        </is>
      </c>
      <c r="C3165" t="n">
        <v>24690</v>
      </c>
      <c r="D3165" t="n">
        <v>19660</v>
      </c>
      <c r="E3165" t="n">
        <v>54</v>
      </c>
      <c r="F3165" t="n">
        <v>81818</v>
      </c>
      <c r="G3165" t="n">
        <v>6</v>
      </c>
      <c r="H3165" t="n">
        <v>13</v>
      </c>
      <c r="I3165" t="n">
        <v>272725</v>
      </c>
    </row>
    <row r="3166">
      <c r="A3166" t="n">
        <v>3165</v>
      </c>
      <c r="B3166" t="inlineStr">
        <is>
          <t>Train</t>
        </is>
      </c>
      <c r="C3166" t="n">
        <v>33026</v>
      </c>
      <c r="D3166" t="n">
        <v>15060</v>
      </c>
      <c r="E3166" t="n">
        <v>46</v>
      </c>
      <c r="F3166" t="n">
        <v>45018</v>
      </c>
      <c r="G3166" t="n">
        <v>0</v>
      </c>
      <c r="H3166" t="n">
        <v>12</v>
      </c>
      <c r="I3166" t="n">
        <v>0</v>
      </c>
    </row>
    <row r="3167">
      <c r="A3167" t="n">
        <v>3166</v>
      </c>
      <c r="B3167" t="inlineStr">
        <is>
          <t>Train</t>
        </is>
      </c>
      <c r="C3167" t="n">
        <v>3995</v>
      </c>
      <c r="D3167" t="n">
        <v>32960</v>
      </c>
      <c r="E3167" t="n">
        <v>51</v>
      </c>
      <c r="F3167" t="n">
        <v>128523</v>
      </c>
      <c r="G3167" t="n">
        <v>1</v>
      </c>
      <c r="H3167" t="n">
        <v>10</v>
      </c>
      <c r="I3167" t="n">
        <v>0</v>
      </c>
    </row>
    <row r="3168">
      <c r="A3168" t="n">
        <v>3167</v>
      </c>
      <c r="B3168" t="inlineStr">
        <is>
          <t>Validation</t>
        </is>
      </c>
      <c r="C3168" t="n">
        <v>9245</v>
      </c>
      <c r="D3168" t="n">
        <v>24740</v>
      </c>
      <c r="E3168" t="n">
        <v>38</v>
      </c>
      <c r="F3168" t="n">
        <v>12717</v>
      </c>
      <c r="G3168" t="n">
        <v>3</v>
      </c>
      <c r="H3168" t="n">
        <v>16</v>
      </c>
      <c r="I316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16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4" max="4"/>
    <col width="13" customWidth="1" min="5" max="5"/>
    <col width="17" customWidth="1" min="6" max="6"/>
    <col width="13" customWidth="1" min="7" max="7"/>
    <col width="13" customWidth="1" min="8" max="8"/>
    <col width="14" customWidth="1" min="9" max="9"/>
    <col width="15" customWidth="1" min="10" max="10"/>
    <col width="24" customWidth="1" min="12" max="12"/>
    <col width="50" customWidth="1" min="13" max="13"/>
  </cols>
  <sheetData>
    <row r="1">
      <c r="A1" t="inlineStr">
        <is>
          <t>parameter</t>
        </is>
      </c>
      <c r="B1" t="inlineStr">
        <is>
          <t>value</t>
        </is>
      </c>
      <c r="D1" t="inlineStr">
        <is>
          <t>row_id</t>
        </is>
      </c>
      <c r="E1" t="inlineStr">
        <is>
          <t>set</t>
        </is>
      </c>
      <c r="F1" t="inlineStr">
        <is>
          <t>actual_CLM_AMT5</t>
        </is>
      </c>
      <c r="G1" t="inlineStr">
        <is>
          <t>pred_stump</t>
        </is>
      </c>
      <c r="H1" t="inlineStr">
        <is>
          <t>pred_depth2</t>
        </is>
      </c>
      <c r="I1" t="inlineStr">
        <is>
          <t>sqerr_depth2</t>
        </is>
      </c>
      <c r="J1" t="inlineStr">
        <is>
          <t>is_validation</t>
        </is>
      </c>
      <c r="L1" t="inlineStr">
        <is>
          <t>RMSE_validation_depth2</t>
        </is>
      </c>
      <c r="M1">
        <f>SQRT(SUMPRODUCT(I2:I3168,J2:J3168)/SUM(J2:J3168))</f>
        <v/>
      </c>
    </row>
    <row r="2">
      <c r="A2" t="inlineStr">
        <is>
          <t>BLUEBOOK_thr</t>
        </is>
      </c>
      <c r="B2" t="n">
        <v>14060</v>
      </c>
      <c r="D2">
        <f>AutoClaim_Data!A2</f>
        <v/>
      </c>
      <c r="E2">
        <f>AutoClaim_Data!B2</f>
        <v/>
      </c>
      <c r="F2">
        <f>AutoClaim_Data!C2</f>
        <v/>
      </c>
      <c r="G2">
        <f>IF(AutoClaim_Data!D2&lt;=$B$2,AVERAGEIFS(AutoClaim_Data!C2:C3168,AutoClaim_Data!B2:B3168,"Train",AutoClaim_Data!D2:D3168,"&lt;="&amp;$B$2),AVERAGEIFS(AutoClaim_Data!C2:C3168,AutoClaim_Data!B2:B3168,"Train",AutoClaim_Data!D2:D3168,"&gt;"&amp;$B$2))</f>
        <v/>
      </c>
      <c r="H2">
        <f>IF(AutoClaim_Data!D2&lt;=$B$2,IF(AutoClaim_Data!E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">
        <f>(F2-H2)^2</f>
        <v/>
      </c>
      <c r="J2">
        <f>--(E2="Validation")</f>
        <v/>
      </c>
      <c r="L2" t="inlineStr">
        <is>
          <t>RMSE_validation_stump</t>
        </is>
      </c>
      <c r="M2">
        <f>SQRT(SUMPRODUCT((F2:F3168-G2:G3168)^2,J2:J3168)/SUM(J2:J3168))</f>
        <v/>
      </c>
    </row>
    <row r="3">
      <c r="A3" t="inlineStr">
        <is>
          <t>AGE_thr</t>
        </is>
      </c>
      <c r="B3" t="n">
        <v>44</v>
      </c>
      <c r="D3">
        <f>AutoClaim_Data!A3</f>
        <v/>
      </c>
      <c r="E3">
        <f>AutoClaim_Data!B3</f>
        <v/>
      </c>
      <c r="F3">
        <f>AutoClaim_Data!C3</f>
        <v/>
      </c>
      <c r="G3">
        <f>IF(AutoClaim_Data!D3&lt;=$B$2,AVERAGEIFS(AutoClaim_Data!C2:C3168,AutoClaim_Data!B2:B3168,"Train",AutoClaim_Data!D2:D3168,"&lt;="&amp;$B$2),AVERAGEIFS(AutoClaim_Data!C2:C3168,AutoClaim_Data!B2:B3168,"Train",AutoClaim_Data!D2:D3168,"&gt;"&amp;$B$2))</f>
        <v/>
      </c>
      <c r="H3">
        <f>IF(AutoClaim_Data!D3&lt;=$B$2,IF(AutoClaim_Data!E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">
        <f>(F3-H3)^2</f>
        <v/>
      </c>
      <c r="J3">
        <f>--(E3="Validation")</f>
        <v/>
      </c>
      <c r="L3" t="inlineStr">
        <is>
          <t>RMSE_root</t>
        </is>
      </c>
      <c r="M3">
        <f>SQRT(SUMPRODUCT((F2:F3168-AVERAGEIFS(F2:F3168,E2:E3168,"Train"))^2,J2:J3168)/SUM(J2:J3168))</f>
        <v/>
      </c>
    </row>
    <row r="4">
      <c r="D4">
        <f>AutoClaim_Data!A4</f>
        <v/>
      </c>
      <c r="E4">
        <f>AutoClaim_Data!B4</f>
        <v/>
      </c>
      <c r="F4">
        <f>AutoClaim_Data!C4</f>
        <v/>
      </c>
      <c r="G4">
        <f>IF(AutoClaim_Data!D4&lt;=$B$2,AVERAGEIFS(AutoClaim_Data!C2:C3168,AutoClaim_Data!B2:B3168,"Train",AutoClaim_Data!D2:D3168,"&lt;="&amp;$B$2),AVERAGEIFS(AutoClaim_Data!C2:C3168,AutoClaim_Data!B2:B3168,"Train",AutoClaim_Data!D2:D3168,"&gt;"&amp;$B$2))</f>
        <v/>
      </c>
      <c r="H4">
        <f>IF(AutoClaim_Data!D4&lt;=$B$2,IF(AutoClaim_Data!E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">
        <f>(F4-H4)^2</f>
        <v/>
      </c>
      <c r="J4">
        <f>--(E4="Validation")</f>
        <v/>
      </c>
    </row>
    <row r="5">
      <c r="D5">
        <f>AutoClaim_Data!A5</f>
        <v/>
      </c>
      <c r="E5">
        <f>AutoClaim_Data!B5</f>
        <v/>
      </c>
      <c r="F5">
        <f>AutoClaim_Data!C5</f>
        <v/>
      </c>
      <c r="G5">
        <f>IF(AutoClaim_Data!D5&lt;=$B$2,AVERAGEIFS(AutoClaim_Data!C2:C3168,AutoClaim_Data!B2:B3168,"Train",AutoClaim_Data!D2:D3168,"&lt;="&amp;$B$2),AVERAGEIFS(AutoClaim_Data!C2:C3168,AutoClaim_Data!B2:B3168,"Train",AutoClaim_Data!D2:D3168,"&gt;"&amp;$B$2))</f>
        <v/>
      </c>
      <c r="H5">
        <f>IF(AutoClaim_Data!D5&lt;=$B$2,IF(AutoClaim_Data!E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">
        <f>(F5-H5)^2</f>
        <v/>
      </c>
      <c r="J5">
        <f>--(E5="Validation")</f>
        <v/>
      </c>
      <c r="L5" t="inlineStr">
        <is>
          <t>model</t>
        </is>
      </c>
      <c r="M5" t="inlineStr">
        <is>
          <t>rmse</t>
        </is>
      </c>
    </row>
    <row r="6">
      <c r="D6">
        <f>AutoClaim_Data!A6</f>
        <v/>
      </c>
      <c r="E6">
        <f>AutoClaim_Data!B6</f>
        <v/>
      </c>
      <c r="F6">
        <f>AutoClaim_Data!C6</f>
        <v/>
      </c>
      <c r="G6">
        <f>IF(AutoClaim_Data!D6&lt;=$B$2,AVERAGEIFS(AutoClaim_Data!C2:C3168,AutoClaim_Data!B2:B3168,"Train",AutoClaim_Data!D2:D3168,"&lt;="&amp;$B$2),AVERAGEIFS(AutoClaim_Data!C2:C3168,AutoClaim_Data!B2:B3168,"Train",AutoClaim_Data!D2:D3168,"&gt;"&amp;$B$2))</f>
        <v/>
      </c>
      <c r="H6">
        <f>IF(AutoClaim_Data!D6&lt;=$B$2,IF(AutoClaim_Data!E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">
        <f>(F6-H6)^2</f>
        <v/>
      </c>
      <c r="J6">
        <f>--(E6="Validation")</f>
        <v/>
      </c>
      <c r="L6" t="inlineStr">
        <is>
          <t>root</t>
        </is>
      </c>
      <c r="M6">
        <f>M3</f>
        <v/>
      </c>
    </row>
    <row r="7">
      <c r="D7">
        <f>AutoClaim_Data!A7</f>
        <v/>
      </c>
      <c r="E7">
        <f>AutoClaim_Data!B7</f>
        <v/>
      </c>
      <c r="F7">
        <f>AutoClaim_Data!C7</f>
        <v/>
      </c>
      <c r="G7">
        <f>IF(AutoClaim_Data!D7&lt;=$B$2,AVERAGEIFS(AutoClaim_Data!C2:C3168,AutoClaim_Data!B2:B3168,"Train",AutoClaim_Data!D2:D3168,"&lt;="&amp;$B$2),AVERAGEIFS(AutoClaim_Data!C2:C3168,AutoClaim_Data!B2:B3168,"Train",AutoClaim_Data!D2:D3168,"&gt;"&amp;$B$2))</f>
        <v/>
      </c>
      <c r="H7">
        <f>IF(AutoClaim_Data!D7&lt;=$B$2,IF(AutoClaim_Data!E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">
        <f>(F7-H7)^2</f>
        <v/>
      </c>
      <c r="J7">
        <f>--(E7="Validation")</f>
        <v/>
      </c>
      <c r="L7" t="inlineStr">
        <is>
          <t>stump</t>
        </is>
      </c>
      <c r="M7">
        <f>M2</f>
        <v/>
      </c>
    </row>
    <row r="8">
      <c r="D8">
        <f>AutoClaim_Data!A8</f>
        <v/>
      </c>
      <c r="E8">
        <f>AutoClaim_Data!B8</f>
        <v/>
      </c>
      <c r="F8">
        <f>AutoClaim_Data!C8</f>
        <v/>
      </c>
      <c r="G8">
        <f>IF(AutoClaim_Data!D8&lt;=$B$2,AVERAGEIFS(AutoClaim_Data!C2:C3168,AutoClaim_Data!B2:B3168,"Train",AutoClaim_Data!D2:D3168,"&lt;="&amp;$B$2),AVERAGEIFS(AutoClaim_Data!C2:C3168,AutoClaim_Data!B2:B3168,"Train",AutoClaim_Data!D2:D3168,"&gt;"&amp;$B$2))</f>
        <v/>
      </c>
      <c r="H8">
        <f>IF(AutoClaim_Data!D8&lt;=$B$2,IF(AutoClaim_Data!E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">
        <f>(F8-H8)^2</f>
        <v/>
      </c>
      <c r="J8">
        <f>--(E8="Validation")</f>
        <v/>
      </c>
      <c r="L8" t="inlineStr">
        <is>
          <t>depth2</t>
        </is>
      </c>
      <c r="M8">
        <f>M1</f>
        <v/>
      </c>
    </row>
    <row r="9">
      <c r="D9">
        <f>AutoClaim_Data!A9</f>
        <v/>
      </c>
      <c r="E9">
        <f>AutoClaim_Data!B9</f>
        <v/>
      </c>
      <c r="F9">
        <f>AutoClaim_Data!C9</f>
        <v/>
      </c>
      <c r="G9">
        <f>IF(AutoClaim_Data!D9&lt;=$B$2,AVERAGEIFS(AutoClaim_Data!C2:C3168,AutoClaim_Data!B2:B3168,"Train",AutoClaim_Data!D2:D3168,"&lt;="&amp;$B$2),AVERAGEIFS(AutoClaim_Data!C2:C3168,AutoClaim_Data!B2:B3168,"Train",AutoClaim_Data!D2:D3168,"&gt;"&amp;$B$2))</f>
        <v/>
      </c>
      <c r="H9">
        <f>IF(AutoClaim_Data!D9&lt;=$B$2,IF(AutoClaim_Data!E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">
        <f>(F9-H9)^2</f>
        <v/>
      </c>
      <c r="J9">
        <f>--(E9="Validation")</f>
        <v/>
      </c>
    </row>
    <row r="10">
      <c r="D10">
        <f>AutoClaim_Data!A10</f>
        <v/>
      </c>
      <c r="E10">
        <f>AutoClaim_Data!B10</f>
        <v/>
      </c>
      <c r="F10">
        <f>AutoClaim_Data!C10</f>
        <v/>
      </c>
      <c r="G10">
        <f>IF(AutoClaim_Data!D10&lt;=$B$2,AVERAGEIFS(AutoClaim_Data!C2:C3168,AutoClaim_Data!B2:B3168,"Train",AutoClaim_Data!D2:D3168,"&lt;="&amp;$B$2),AVERAGEIFS(AutoClaim_Data!C2:C3168,AutoClaim_Data!B2:B3168,"Train",AutoClaim_Data!D2:D3168,"&gt;"&amp;$B$2))</f>
        <v/>
      </c>
      <c r="H10">
        <f>IF(AutoClaim_Data!D10&lt;=$B$2,IF(AutoClaim_Data!E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">
        <f>(F10-H10)^2</f>
        <v/>
      </c>
      <c r="J10">
        <f>--(E10="Validation")</f>
        <v/>
      </c>
    </row>
    <row r="11">
      <c r="D11">
        <f>AutoClaim_Data!A11</f>
        <v/>
      </c>
      <c r="E11">
        <f>AutoClaim_Data!B11</f>
        <v/>
      </c>
      <c r="F11">
        <f>AutoClaim_Data!C11</f>
        <v/>
      </c>
      <c r="G11">
        <f>IF(AutoClaim_Data!D11&lt;=$B$2,AVERAGEIFS(AutoClaim_Data!C2:C3168,AutoClaim_Data!B2:B3168,"Train",AutoClaim_Data!D2:D3168,"&lt;="&amp;$B$2),AVERAGEIFS(AutoClaim_Data!C2:C3168,AutoClaim_Data!B2:B3168,"Train",AutoClaim_Data!D2:D3168,"&gt;"&amp;$B$2))</f>
        <v/>
      </c>
      <c r="H11">
        <f>IF(AutoClaim_Data!D11&lt;=$B$2,IF(AutoClaim_Data!E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">
        <f>(F11-H11)^2</f>
        <v/>
      </c>
      <c r="J11">
        <f>--(E11="Validation")</f>
        <v/>
      </c>
    </row>
    <row r="12">
      <c r="D12">
        <f>AutoClaim_Data!A12</f>
        <v/>
      </c>
      <c r="E12">
        <f>AutoClaim_Data!B12</f>
        <v/>
      </c>
      <c r="F12">
        <f>AutoClaim_Data!C12</f>
        <v/>
      </c>
      <c r="G12">
        <f>IF(AutoClaim_Data!D12&lt;=$B$2,AVERAGEIFS(AutoClaim_Data!C2:C3168,AutoClaim_Data!B2:B3168,"Train",AutoClaim_Data!D2:D3168,"&lt;="&amp;$B$2),AVERAGEIFS(AutoClaim_Data!C2:C3168,AutoClaim_Data!B2:B3168,"Train",AutoClaim_Data!D2:D3168,"&gt;"&amp;$B$2))</f>
        <v/>
      </c>
      <c r="H12">
        <f>IF(AutoClaim_Data!D12&lt;=$B$2,IF(AutoClaim_Data!E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">
        <f>(F12-H12)^2</f>
        <v/>
      </c>
      <c r="J12">
        <f>--(E12="Validation")</f>
        <v/>
      </c>
    </row>
    <row r="13">
      <c r="D13">
        <f>AutoClaim_Data!A13</f>
        <v/>
      </c>
      <c r="E13">
        <f>AutoClaim_Data!B13</f>
        <v/>
      </c>
      <c r="F13">
        <f>AutoClaim_Data!C13</f>
        <v/>
      </c>
      <c r="G13">
        <f>IF(AutoClaim_Data!D13&lt;=$B$2,AVERAGEIFS(AutoClaim_Data!C2:C3168,AutoClaim_Data!B2:B3168,"Train",AutoClaim_Data!D2:D3168,"&lt;="&amp;$B$2),AVERAGEIFS(AutoClaim_Data!C2:C3168,AutoClaim_Data!B2:B3168,"Train",AutoClaim_Data!D2:D3168,"&gt;"&amp;$B$2))</f>
        <v/>
      </c>
      <c r="H13">
        <f>IF(AutoClaim_Data!D13&lt;=$B$2,IF(AutoClaim_Data!E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">
        <f>(F13-H13)^2</f>
        <v/>
      </c>
      <c r="J13">
        <f>--(E13="Validation")</f>
        <v/>
      </c>
    </row>
    <row r="14">
      <c r="D14">
        <f>AutoClaim_Data!A14</f>
        <v/>
      </c>
      <c r="E14">
        <f>AutoClaim_Data!B14</f>
        <v/>
      </c>
      <c r="F14">
        <f>AutoClaim_Data!C14</f>
        <v/>
      </c>
      <c r="G14">
        <f>IF(AutoClaim_Data!D14&lt;=$B$2,AVERAGEIFS(AutoClaim_Data!C2:C3168,AutoClaim_Data!B2:B3168,"Train",AutoClaim_Data!D2:D3168,"&lt;="&amp;$B$2),AVERAGEIFS(AutoClaim_Data!C2:C3168,AutoClaim_Data!B2:B3168,"Train",AutoClaim_Data!D2:D3168,"&gt;"&amp;$B$2))</f>
        <v/>
      </c>
      <c r="H14">
        <f>IF(AutoClaim_Data!D14&lt;=$B$2,IF(AutoClaim_Data!E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">
        <f>(F14-H14)^2</f>
        <v/>
      </c>
      <c r="J14">
        <f>--(E14="Validation")</f>
        <v/>
      </c>
    </row>
    <row r="15">
      <c r="D15">
        <f>AutoClaim_Data!A15</f>
        <v/>
      </c>
      <c r="E15">
        <f>AutoClaim_Data!B15</f>
        <v/>
      </c>
      <c r="F15">
        <f>AutoClaim_Data!C15</f>
        <v/>
      </c>
      <c r="G15">
        <f>IF(AutoClaim_Data!D15&lt;=$B$2,AVERAGEIFS(AutoClaim_Data!C2:C3168,AutoClaim_Data!B2:B3168,"Train",AutoClaim_Data!D2:D3168,"&lt;="&amp;$B$2),AVERAGEIFS(AutoClaim_Data!C2:C3168,AutoClaim_Data!B2:B3168,"Train",AutoClaim_Data!D2:D3168,"&gt;"&amp;$B$2))</f>
        <v/>
      </c>
      <c r="H15">
        <f>IF(AutoClaim_Data!D15&lt;=$B$2,IF(AutoClaim_Data!E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">
        <f>(F15-H15)^2</f>
        <v/>
      </c>
      <c r="J15">
        <f>--(E15="Validation")</f>
        <v/>
      </c>
    </row>
    <row r="16">
      <c r="D16">
        <f>AutoClaim_Data!A16</f>
        <v/>
      </c>
      <c r="E16">
        <f>AutoClaim_Data!B16</f>
        <v/>
      </c>
      <c r="F16">
        <f>AutoClaim_Data!C16</f>
        <v/>
      </c>
      <c r="G16">
        <f>IF(AutoClaim_Data!D16&lt;=$B$2,AVERAGEIFS(AutoClaim_Data!C2:C3168,AutoClaim_Data!B2:B3168,"Train",AutoClaim_Data!D2:D3168,"&lt;="&amp;$B$2),AVERAGEIFS(AutoClaim_Data!C2:C3168,AutoClaim_Data!B2:B3168,"Train",AutoClaim_Data!D2:D3168,"&gt;"&amp;$B$2))</f>
        <v/>
      </c>
      <c r="H16">
        <f>IF(AutoClaim_Data!D16&lt;=$B$2,IF(AutoClaim_Data!E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">
        <f>(F16-H16)^2</f>
        <v/>
      </c>
      <c r="J16">
        <f>--(E16="Validation")</f>
        <v/>
      </c>
    </row>
    <row r="17">
      <c r="D17">
        <f>AutoClaim_Data!A17</f>
        <v/>
      </c>
      <c r="E17">
        <f>AutoClaim_Data!B17</f>
        <v/>
      </c>
      <c r="F17">
        <f>AutoClaim_Data!C17</f>
        <v/>
      </c>
      <c r="G17">
        <f>IF(AutoClaim_Data!D17&lt;=$B$2,AVERAGEIFS(AutoClaim_Data!C2:C3168,AutoClaim_Data!B2:B3168,"Train",AutoClaim_Data!D2:D3168,"&lt;="&amp;$B$2),AVERAGEIFS(AutoClaim_Data!C2:C3168,AutoClaim_Data!B2:B3168,"Train",AutoClaim_Data!D2:D3168,"&gt;"&amp;$B$2))</f>
        <v/>
      </c>
      <c r="H17">
        <f>IF(AutoClaim_Data!D17&lt;=$B$2,IF(AutoClaim_Data!E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">
        <f>(F17-H17)^2</f>
        <v/>
      </c>
      <c r="J17">
        <f>--(E17="Validation")</f>
        <v/>
      </c>
    </row>
    <row r="18">
      <c r="D18">
        <f>AutoClaim_Data!A18</f>
        <v/>
      </c>
      <c r="E18">
        <f>AutoClaim_Data!B18</f>
        <v/>
      </c>
      <c r="F18">
        <f>AutoClaim_Data!C18</f>
        <v/>
      </c>
      <c r="G18">
        <f>IF(AutoClaim_Data!D18&lt;=$B$2,AVERAGEIFS(AutoClaim_Data!C2:C3168,AutoClaim_Data!B2:B3168,"Train",AutoClaim_Data!D2:D3168,"&lt;="&amp;$B$2),AVERAGEIFS(AutoClaim_Data!C2:C3168,AutoClaim_Data!B2:B3168,"Train",AutoClaim_Data!D2:D3168,"&gt;"&amp;$B$2))</f>
        <v/>
      </c>
      <c r="H18">
        <f>IF(AutoClaim_Data!D18&lt;=$B$2,IF(AutoClaim_Data!E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">
        <f>(F18-H18)^2</f>
        <v/>
      </c>
      <c r="J18">
        <f>--(E18="Validation")</f>
        <v/>
      </c>
    </row>
    <row r="19">
      <c r="D19">
        <f>AutoClaim_Data!A19</f>
        <v/>
      </c>
      <c r="E19">
        <f>AutoClaim_Data!B19</f>
        <v/>
      </c>
      <c r="F19">
        <f>AutoClaim_Data!C19</f>
        <v/>
      </c>
      <c r="G19">
        <f>IF(AutoClaim_Data!D19&lt;=$B$2,AVERAGEIFS(AutoClaim_Data!C2:C3168,AutoClaim_Data!B2:B3168,"Train",AutoClaim_Data!D2:D3168,"&lt;="&amp;$B$2),AVERAGEIFS(AutoClaim_Data!C2:C3168,AutoClaim_Data!B2:B3168,"Train",AutoClaim_Data!D2:D3168,"&gt;"&amp;$B$2))</f>
        <v/>
      </c>
      <c r="H19">
        <f>IF(AutoClaim_Data!D19&lt;=$B$2,IF(AutoClaim_Data!E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">
        <f>(F19-H19)^2</f>
        <v/>
      </c>
      <c r="J19">
        <f>--(E19="Validation")</f>
        <v/>
      </c>
    </row>
    <row r="20">
      <c r="D20">
        <f>AutoClaim_Data!A20</f>
        <v/>
      </c>
      <c r="E20">
        <f>AutoClaim_Data!B20</f>
        <v/>
      </c>
      <c r="F20">
        <f>AutoClaim_Data!C20</f>
        <v/>
      </c>
      <c r="G20">
        <f>IF(AutoClaim_Data!D20&lt;=$B$2,AVERAGEIFS(AutoClaim_Data!C2:C3168,AutoClaim_Data!B2:B3168,"Train",AutoClaim_Data!D2:D3168,"&lt;="&amp;$B$2),AVERAGEIFS(AutoClaim_Data!C2:C3168,AutoClaim_Data!B2:B3168,"Train",AutoClaim_Data!D2:D3168,"&gt;"&amp;$B$2))</f>
        <v/>
      </c>
      <c r="H20">
        <f>IF(AutoClaim_Data!D20&lt;=$B$2,IF(AutoClaim_Data!E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">
        <f>(F20-H20)^2</f>
        <v/>
      </c>
      <c r="J20">
        <f>--(E20="Validation")</f>
        <v/>
      </c>
    </row>
    <row r="21">
      <c r="D21">
        <f>AutoClaim_Data!A21</f>
        <v/>
      </c>
      <c r="E21">
        <f>AutoClaim_Data!B21</f>
        <v/>
      </c>
      <c r="F21">
        <f>AutoClaim_Data!C21</f>
        <v/>
      </c>
      <c r="G21">
        <f>IF(AutoClaim_Data!D21&lt;=$B$2,AVERAGEIFS(AutoClaim_Data!C2:C3168,AutoClaim_Data!B2:B3168,"Train",AutoClaim_Data!D2:D3168,"&lt;="&amp;$B$2),AVERAGEIFS(AutoClaim_Data!C2:C3168,AutoClaim_Data!B2:B3168,"Train",AutoClaim_Data!D2:D3168,"&gt;"&amp;$B$2))</f>
        <v/>
      </c>
      <c r="H21">
        <f>IF(AutoClaim_Data!D21&lt;=$B$2,IF(AutoClaim_Data!E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">
        <f>(F21-H21)^2</f>
        <v/>
      </c>
      <c r="J21">
        <f>--(E21="Validation")</f>
        <v/>
      </c>
    </row>
    <row r="22">
      <c r="D22">
        <f>AutoClaim_Data!A22</f>
        <v/>
      </c>
      <c r="E22">
        <f>AutoClaim_Data!B22</f>
        <v/>
      </c>
      <c r="F22">
        <f>AutoClaim_Data!C22</f>
        <v/>
      </c>
      <c r="G22">
        <f>IF(AutoClaim_Data!D22&lt;=$B$2,AVERAGEIFS(AutoClaim_Data!C2:C3168,AutoClaim_Data!B2:B3168,"Train",AutoClaim_Data!D2:D3168,"&lt;="&amp;$B$2),AVERAGEIFS(AutoClaim_Data!C2:C3168,AutoClaim_Data!B2:B3168,"Train",AutoClaim_Data!D2:D3168,"&gt;"&amp;$B$2))</f>
        <v/>
      </c>
      <c r="H22">
        <f>IF(AutoClaim_Data!D22&lt;=$B$2,IF(AutoClaim_Data!E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">
        <f>(F22-H22)^2</f>
        <v/>
      </c>
      <c r="J22">
        <f>--(E22="Validation")</f>
        <v/>
      </c>
    </row>
    <row r="23">
      <c r="D23">
        <f>AutoClaim_Data!A23</f>
        <v/>
      </c>
      <c r="E23">
        <f>AutoClaim_Data!B23</f>
        <v/>
      </c>
      <c r="F23">
        <f>AutoClaim_Data!C23</f>
        <v/>
      </c>
      <c r="G23">
        <f>IF(AutoClaim_Data!D23&lt;=$B$2,AVERAGEIFS(AutoClaim_Data!C2:C3168,AutoClaim_Data!B2:B3168,"Train",AutoClaim_Data!D2:D3168,"&lt;="&amp;$B$2),AVERAGEIFS(AutoClaim_Data!C2:C3168,AutoClaim_Data!B2:B3168,"Train",AutoClaim_Data!D2:D3168,"&gt;"&amp;$B$2))</f>
        <v/>
      </c>
      <c r="H23">
        <f>IF(AutoClaim_Data!D23&lt;=$B$2,IF(AutoClaim_Data!E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">
        <f>(F23-H23)^2</f>
        <v/>
      </c>
      <c r="J23">
        <f>--(E23="Validation")</f>
        <v/>
      </c>
    </row>
    <row r="24">
      <c r="D24">
        <f>AutoClaim_Data!A24</f>
        <v/>
      </c>
      <c r="E24">
        <f>AutoClaim_Data!B24</f>
        <v/>
      </c>
      <c r="F24">
        <f>AutoClaim_Data!C24</f>
        <v/>
      </c>
      <c r="G24">
        <f>IF(AutoClaim_Data!D24&lt;=$B$2,AVERAGEIFS(AutoClaim_Data!C2:C3168,AutoClaim_Data!B2:B3168,"Train",AutoClaim_Data!D2:D3168,"&lt;="&amp;$B$2),AVERAGEIFS(AutoClaim_Data!C2:C3168,AutoClaim_Data!B2:B3168,"Train",AutoClaim_Data!D2:D3168,"&gt;"&amp;$B$2))</f>
        <v/>
      </c>
      <c r="H24">
        <f>IF(AutoClaim_Data!D24&lt;=$B$2,IF(AutoClaim_Data!E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">
        <f>(F24-H24)^2</f>
        <v/>
      </c>
      <c r="J24">
        <f>--(E24="Validation")</f>
        <v/>
      </c>
    </row>
    <row r="25">
      <c r="D25">
        <f>AutoClaim_Data!A25</f>
        <v/>
      </c>
      <c r="E25">
        <f>AutoClaim_Data!B25</f>
        <v/>
      </c>
      <c r="F25">
        <f>AutoClaim_Data!C25</f>
        <v/>
      </c>
      <c r="G25">
        <f>IF(AutoClaim_Data!D25&lt;=$B$2,AVERAGEIFS(AutoClaim_Data!C2:C3168,AutoClaim_Data!B2:B3168,"Train",AutoClaim_Data!D2:D3168,"&lt;="&amp;$B$2),AVERAGEIFS(AutoClaim_Data!C2:C3168,AutoClaim_Data!B2:B3168,"Train",AutoClaim_Data!D2:D3168,"&gt;"&amp;$B$2))</f>
        <v/>
      </c>
      <c r="H25">
        <f>IF(AutoClaim_Data!D25&lt;=$B$2,IF(AutoClaim_Data!E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">
        <f>(F25-H25)^2</f>
        <v/>
      </c>
      <c r="J25">
        <f>--(E25="Validation")</f>
        <v/>
      </c>
    </row>
    <row r="26">
      <c r="D26">
        <f>AutoClaim_Data!A26</f>
        <v/>
      </c>
      <c r="E26">
        <f>AutoClaim_Data!B26</f>
        <v/>
      </c>
      <c r="F26">
        <f>AutoClaim_Data!C26</f>
        <v/>
      </c>
      <c r="G26">
        <f>IF(AutoClaim_Data!D26&lt;=$B$2,AVERAGEIFS(AutoClaim_Data!C2:C3168,AutoClaim_Data!B2:B3168,"Train",AutoClaim_Data!D2:D3168,"&lt;="&amp;$B$2),AVERAGEIFS(AutoClaim_Data!C2:C3168,AutoClaim_Data!B2:B3168,"Train",AutoClaim_Data!D2:D3168,"&gt;"&amp;$B$2))</f>
        <v/>
      </c>
      <c r="H26">
        <f>IF(AutoClaim_Data!D26&lt;=$B$2,IF(AutoClaim_Data!E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">
        <f>(F26-H26)^2</f>
        <v/>
      </c>
      <c r="J26">
        <f>--(E26="Validation")</f>
        <v/>
      </c>
    </row>
    <row r="27">
      <c r="D27">
        <f>AutoClaim_Data!A27</f>
        <v/>
      </c>
      <c r="E27">
        <f>AutoClaim_Data!B27</f>
        <v/>
      </c>
      <c r="F27">
        <f>AutoClaim_Data!C27</f>
        <v/>
      </c>
      <c r="G27">
        <f>IF(AutoClaim_Data!D27&lt;=$B$2,AVERAGEIFS(AutoClaim_Data!C2:C3168,AutoClaim_Data!B2:B3168,"Train",AutoClaim_Data!D2:D3168,"&lt;="&amp;$B$2),AVERAGEIFS(AutoClaim_Data!C2:C3168,AutoClaim_Data!B2:B3168,"Train",AutoClaim_Data!D2:D3168,"&gt;"&amp;$B$2))</f>
        <v/>
      </c>
      <c r="H27">
        <f>IF(AutoClaim_Data!D27&lt;=$B$2,IF(AutoClaim_Data!E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">
        <f>(F27-H27)^2</f>
        <v/>
      </c>
      <c r="J27">
        <f>--(E27="Validation")</f>
        <v/>
      </c>
    </row>
    <row r="28">
      <c r="D28">
        <f>AutoClaim_Data!A28</f>
        <v/>
      </c>
      <c r="E28">
        <f>AutoClaim_Data!B28</f>
        <v/>
      </c>
      <c r="F28">
        <f>AutoClaim_Data!C28</f>
        <v/>
      </c>
      <c r="G28">
        <f>IF(AutoClaim_Data!D28&lt;=$B$2,AVERAGEIFS(AutoClaim_Data!C2:C3168,AutoClaim_Data!B2:B3168,"Train",AutoClaim_Data!D2:D3168,"&lt;="&amp;$B$2),AVERAGEIFS(AutoClaim_Data!C2:C3168,AutoClaim_Data!B2:B3168,"Train",AutoClaim_Data!D2:D3168,"&gt;"&amp;$B$2))</f>
        <v/>
      </c>
      <c r="H28">
        <f>IF(AutoClaim_Data!D28&lt;=$B$2,IF(AutoClaim_Data!E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">
        <f>(F28-H28)^2</f>
        <v/>
      </c>
      <c r="J28">
        <f>--(E28="Validation")</f>
        <v/>
      </c>
    </row>
    <row r="29">
      <c r="D29">
        <f>AutoClaim_Data!A29</f>
        <v/>
      </c>
      <c r="E29">
        <f>AutoClaim_Data!B29</f>
        <v/>
      </c>
      <c r="F29">
        <f>AutoClaim_Data!C29</f>
        <v/>
      </c>
      <c r="G29">
        <f>IF(AutoClaim_Data!D29&lt;=$B$2,AVERAGEIFS(AutoClaim_Data!C2:C3168,AutoClaim_Data!B2:B3168,"Train",AutoClaim_Data!D2:D3168,"&lt;="&amp;$B$2),AVERAGEIFS(AutoClaim_Data!C2:C3168,AutoClaim_Data!B2:B3168,"Train",AutoClaim_Data!D2:D3168,"&gt;"&amp;$B$2))</f>
        <v/>
      </c>
      <c r="H29">
        <f>IF(AutoClaim_Data!D29&lt;=$B$2,IF(AutoClaim_Data!E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">
        <f>(F29-H29)^2</f>
        <v/>
      </c>
      <c r="J29">
        <f>--(E29="Validation")</f>
        <v/>
      </c>
    </row>
    <row r="30">
      <c r="D30">
        <f>AutoClaim_Data!A30</f>
        <v/>
      </c>
      <c r="E30">
        <f>AutoClaim_Data!B30</f>
        <v/>
      </c>
      <c r="F30">
        <f>AutoClaim_Data!C30</f>
        <v/>
      </c>
      <c r="G30">
        <f>IF(AutoClaim_Data!D30&lt;=$B$2,AVERAGEIFS(AutoClaim_Data!C2:C3168,AutoClaim_Data!B2:B3168,"Train",AutoClaim_Data!D2:D3168,"&lt;="&amp;$B$2),AVERAGEIFS(AutoClaim_Data!C2:C3168,AutoClaim_Data!B2:B3168,"Train",AutoClaim_Data!D2:D3168,"&gt;"&amp;$B$2))</f>
        <v/>
      </c>
      <c r="H30">
        <f>IF(AutoClaim_Data!D30&lt;=$B$2,IF(AutoClaim_Data!E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">
        <f>(F30-H30)^2</f>
        <v/>
      </c>
      <c r="J30">
        <f>--(E30="Validation")</f>
        <v/>
      </c>
    </row>
    <row r="31">
      <c r="D31">
        <f>AutoClaim_Data!A31</f>
        <v/>
      </c>
      <c r="E31">
        <f>AutoClaim_Data!B31</f>
        <v/>
      </c>
      <c r="F31">
        <f>AutoClaim_Data!C31</f>
        <v/>
      </c>
      <c r="G31">
        <f>IF(AutoClaim_Data!D31&lt;=$B$2,AVERAGEIFS(AutoClaim_Data!C2:C3168,AutoClaim_Data!B2:B3168,"Train",AutoClaim_Data!D2:D3168,"&lt;="&amp;$B$2),AVERAGEIFS(AutoClaim_Data!C2:C3168,AutoClaim_Data!B2:B3168,"Train",AutoClaim_Data!D2:D3168,"&gt;"&amp;$B$2))</f>
        <v/>
      </c>
      <c r="H31">
        <f>IF(AutoClaim_Data!D31&lt;=$B$2,IF(AutoClaim_Data!E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">
        <f>(F31-H31)^2</f>
        <v/>
      </c>
      <c r="J31">
        <f>--(E31="Validation")</f>
        <v/>
      </c>
    </row>
    <row r="32">
      <c r="D32">
        <f>AutoClaim_Data!A32</f>
        <v/>
      </c>
      <c r="E32">
        <f>AutoClaim_Data!B32</f>
        <v/>
      </c>
      <c r="F32">
        <f>AutoClaim_Data!C32</f>
        <v/>
      </c>
      <c r="G32">
        <f>IF(AutoClaim_Data!D32&lt;=$B$2,AVERAGEIFS(AutoClaim_Data!C2:C3168,AutoClaim_Data!B2:B3168,"Train",AutoClaim_Data!D2:D3168,"&lt;="&amp;$B$2),AVERAGEIFS(AutoClaim_Data!C2:C3168,AutoClaim_Data!B2:B3168,"Train",AutoClaim_Data!D2:D3168,"&gt;"&amp;$B$2))</f>
        <v/>
      </c>
      <c r="H32">
        <f>IF(AutoClaim_Data!D32&lt;=$B$2,IF(AutoClaim_Data!E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">
        <f>(F32-H32)^2</f>
        <v/>
      </c>
      <c r="J32">
        <f>--(E32="Validation")</f>
        <v/>
      </c>
    </row>
    <row r="33">
      <c r="D33">
        <f>AutoClaim_Data!A33</f>
        <v/>
      </c>
      <c r="E33">
        <f>AutoClaim_Data!B33</f>
        <v/>
      </c>
      <c r="F33">
        <f>AutoClaim_Data!C33</f>
        <v/>
      </c>
      <c r="G33">
        <f>IF(AutoClaim_Data!D33&lt;=$B$2,AVERAGEIFS(AutoClaim_Data!C2:C3168,AutoClaim_Data!B2:B3168,"Train",AutoClaim_Data!D2:D3168,"&lt;="&amp;$B$2),AVERAGEIFS(AutoClaim_Data!C2:C3168,AutoClaim_Data!B2:B3168,"Train",AutoClaim_Data!D2:D3168,"&gt;"&amp;$B$2))</f>
        <v/>
      </c>
      <c r="H33">
        <f>IF(AutoClaim_Data!D33&lt;=$B$2,IF(AutoClaim_Data!E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">
        <f>(F33-H33)^2</f>
        <v/>
      </c>
      <c r="J33">
        <f>--(E33="Validation")</f>
        <v/>
      </c>
    </row>
    <row r="34">
      <c r="D34">
        <f>AutoClaim_Data!A34</f>
        <v/>
      </c>
      <c r="E34">
        <f>AutoClaim_Data!B34</f>
        <v/>
      </c>
      <c r="F34">
        <f>AutoClaim_Data!C34</f>
        <v/>
      </c>
      <c r="G34">
        <f>IF(AutoClaim_Data!D34&lt;=$B$2,AVERAGEIFS(AutoClaim_Data!C2:C3168,AutoClaim_Data!B2:B3168,"Train",AutoClaim_Data!D2:D3168,"&lt;="&amp;$B$2),AVERAGEIFS(AutoClaim_Data!C2:C3168,AutoClaim_Data!B2:B3168,"Train",AutoClaim_Data!D2:D3168,"&gt;"&amp;$B$2))</f>
        <v/>
      </c>
      <c r="H34">
        <f>IF(AutoClaim_Data!D34&lt;=$B$2,IF(AutoClaim_Data!E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">
        <f>(F34-H34)^2</f>
        <v/>
      </c>
      <c r="J34">
        <f>--(E34="Validation")</f>
        <v/>
      </c>
    </row>
    <row r="35">
      <c r="D35">
        <f>AutoClaim_Data!A35</f>
        <v/>
      </c>
      <c r="E35">
        <f>AutoClaim_Data!B35</f>
        <v/>
      </c>
      <c r="F35">
        <f>AutoClaim_Data!C35</f>
        <v/>
      </c>
      <c r="G35">
        <f>IF(AutoClaim_Data!D35&lt;=$B$2,AVERAGEIFS(AutoClaim_Data!C2:C3168,AutoClaim_Data!B2:B3168,"Train",AutoClaim_Data!D2:D3168,"&lt;="&amp;$B$2),AVERAGEIFS(AutoClaim_Data!C2:C3168,AutoClaim_Data!B2:B3168,"Train",AutoClaim_Data!D2:D3168,"&gt;"&amp;$B$2))</f>
        <v/>
      </c>
      <c r="H35">
        <f>IF(AutoClaim_Data!D35&lt;=$B$2,IF(AutoClaim_Data!E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">
        <f>(F35-H35)^2</f>
        <v/>
      </c>
      <c r="J35">
        <f>--(E35="Validation")</f>
        <v/>
      </c>
    </row>
    <row r="36">
      <c r="D36">
        <f>AutoClaim_Data!A36</f>
        <v/>
      </c>
      <c r="E36">
        <f>AutoClaim_Data!B36</f>
        <v/>
      </c>
      <c r="F36">
        <f>AutoClaim_Data!C36</f>
        <v/>
      </c>
      <c r="G36">
        <f>IF(AutoClaim_Data!D36&lt;=$B$2,AVERAGEIFS(AutoClaim_Data!C2:C3168,AutoClaim_Data!B2:B3168,"Train",AutoClaim_Data!D2:D3168,"&lt;="&amp;$B$2),AVERAGEIFS(AutoClaim_Data!C2:C3168,AutoClaim_Data!B2:B3168,"Train",AutoClaim_Data!D2:D3168,"&gt;"&amp;$B$2))</f>
        <v/>
      </c>
      <c r="H36">
        <f>IF(AutoClaim_Data!D36&lt;=$B$2,IF(AutoClaim_Data!E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">
        <f>(F36-H36)^2</f>
        <v/>
      </c>
      <c r="J36">
        <f>--(E36="Validation")</f>
        <v/>
      </c>
    </row>
    <row r="37">
      <c r="D37">
        <f>AutoClaim_Data!A37</f>
        <v/>
      </c>
      <c r="E37">
        <f>AutoClaim_Data!B37</f>
        <v/>
      </c>
      <c r="F37">
        <f>AutoClaim_Data!C37</f>
        <v/>
      </c>
      <c r="G37">
        <f>IF(AutoClaim_Data!D37&lt;=$B$2,AVERAGEIFS(AutoClaim_Data!C2:C3168,AutoClaim_Data!B2:B3168,"Train",AutoClaim_Data!D2:D3168,"&lt;="&amp;$B$2),AVERAGEIFS(AutoClaim_Data!C2:C3168,AutoClaim_Data!B2:B3168,"Train",AutoClaim_Data!D2:D3168,"&gt;"&amp;$B$2))</f>
        <v/>
      </c>
      <c r="H37">
        <f>IF(AutoClaim_Data!D37&lt;=$B$2,IF(AutoClaim_Data!E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">
        <f>(F37-H37)^2</f>
        <v/>
      </c>
      <c r="J37">
        <f>--(E37="Validation")</f>
        <v/>
      </c>
    </row>
    <row r="38">
      <c r="D38">
        <f>AutoClaim_Data!A38</f>
        <v/>
      </c>
      <c r="E38">
        <f>AutoClaim_Data!B38</f>
        <v/>
      </c>
      <c r="F38">
        <f>AutoClaim_Data!C38</f>
        <v/>
      </c>
      <c r="G38">
        <f>IF(AutoClaim_Data!D38&lt;=$B$2,AVERAGEIFS(AutoClaim_Data!C2:C3168,AutoClaim_Data!B2:B3168,"Train",AutoClaim_Data!D2:D3168,"&lt;="&amp;$B$2),AVERAGEIFS(AutoClaim_Data!C2:C3168,AutoClaim_Data!B2:B3168,"Train",AutoClaim_Data!D2:D3168,"&gt;"&amp;$B$2))</f>
        <v/>
      </c>
      <c r="H38">
        <f>IF(AutoClaim_Data!D38&lt;=$B$2,IF(AutoClaim_Data!E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">
        <f>(F38-H38)^2</f>
        <v/>
      </c>
      <c r="J38">
        <f>--(E38="Validation")</f>
        <v/>
      </c>
    </row>
    <row r="39">
      <c r="D39">
        <f>AutoClaim_Data!A39</f>
        <v/>
      </c>
      <c r="E39">
        <f>AutoClaim_Data!B39</f>
        <v/>
      </c>
      <c r="F39">
        <f>AutoClaim_Data!C39</f>
        <v/>
      </c>
      <c r="G39">
        <f>IF(AutoClaim_Data!D39&lt;=$B$2,AVERAGEIFS(AutoClaim_Data!C2:C3168,AutoClaim_Data!B2:B3168,"Train",AutoClaim_Data!D2:D3168,"&lt;="&amp;$B$2),AVERAGEIFS(AutoClaim_Data!C2:C3168,AutoClaim_Data!B2:B3168,"Train",AutoClaim_Data!D2:D3168,"&gt;"&amp;$B$2))</f>
        <v/>
      </c>
      <c r="H39">
        <f>IF(AutoClaim_Data!D39&lt;=$B$2,IF(AutoClaim_Data!E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">
        <f>(F39-H39)^2</f>
        <v/>
      </c>
      <c r="J39">
        <f>--(E39="Validation")</f>
        <v/>
      </c>
    </row>
    <row r="40">
      <c r="D40">
        <f>AutoClaim_Data!A40</f>
        <v/>
      </c>
      <c r="E40">
        <f>AutoClaim_Data!B40</f>
        <v/>
      </c>
      <c r="F40">
        <f>AutoClaim_Data!C40</f>
        <v/>
      </c>
      <c r="G40">
        <f>IF(AutoClaim_Data!D40&lt;=$B$2,AVERAGEIFS(AutoClaim_Data!C2:C3168,AutoClaim_Data!B2:B3168,"Train",AutoClaim_Data!D2:D3168,"&lt;="&amp;$B$2),AVERAGEIFS(AutoClaim_Data!C2:C3168,AutoClaim_Data!B2:B3168,"Train",AutoClaim_Data!D2:D3168,"&gt;"&amp;$B$2))</f>
        <v/>
      </c>
      <c r="H40">
        <f>IF(AutoClaim_Data!D40&lt;=$B$2,IF(AutoClaim_Data!E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">
        <f>(F40-H40)^2</f>
        <v/>
      </c>
      <c r="J40">
        <f>--(E40="Validation")</f>
        <v/>
      </c>
    </row>
    <row r="41">
      <c r="D41">
        <f>AutoClaim_Data!A41</f>
        <v/>
      </c>
      <c r="E41">
        <f>AutoClaim_Data!B41</f>
        <v/>
      </c>
      <c r="F41">
        <f>AutoClaim_Data!C41</f>
        <v/>
      </c>
      <c r="G41">
        <f>IF(AutoClaim_Data!D41&lt;=$B$2,AVERAGEIFS(AutoClaim_Data!C2:C3168,AutoClaim_Data!B2:B3168,"Train",AutoClaim_Data!D2:D3168,"&lt;="&amp;$B$2),AVERAGEIFS(AutoClaim_Data!C2:C3168,AutoClaim_Data!B2:B3168,"Train",AutoClaim_Data!D2:D3168,"&gt;"&amp;$B$2))</f>
        <v/>
      </c>
      <c r="H41">
        <f>IF(AutoClaim_Data!D41&lt;=$B$2,IF(AutoClaim_Data!E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">
        <f>(F41-H41)^2</f>
        <v/>
      </c>
      <c r="J41">
        <f>--(E41="Validation")</f>
        <v/>
      </c>
    </row>
    <row r="42">
      <c r="D42">
        <f>AutoClaim_Data!A42</f>
        <v/>
      </c>
      <c r="E42">
        <f>AutoClaim_Data!B42</f>
        <v/>
      </c>
      <c r="F42">
        <f>AutoClaim_Data!C42</f>
        <v/>
      </c>
      <c r="G42">
        <f>IF(AutoClaim_Data!D42&lt;=$B$2,AVERAGEIFS(AutoClaim_Data!C2:C3168,AutoClaim_Data!B2:B3168,"Train",AutoClaim_Data!D2:D3168,"&lt;="&amp;$B$2),AVERAGEIFS(AutoClaim_Data!C2:C3168,AutoClaim_Data!B2:B3168,"Train",AutoClaim_Data!D2:D3168,"&gt;"&amp;$B$2))</f>
        <v/>
      </c>
      <c r="H42">
        <f>IF(AutoClaim_Data!D42&lt;=$B$2,IF(AutoClaim_Data!E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">
        <f>(F42-H42)^2</f>
        <v/>
      </c>
      <c r="J42">
        <f>--(E42="Validation")</f>
        <v/>
      </c>
    </row>
    <row r="43">
      <c r="D43">
        <f>AutoClaim_Data!A43</f>
        <v/>
      </c>
      <c r="E43">
        <f>AutoClaim_Data!B43</f>
        <v/>
      </c>
      <c r="F43">
        <f>AutoClaim_Data!C43</f>
        <v/>
      </c>
      <c r="G43">
        <f>IF(AutoClaim_Data!D43&lt;=$B$2,AVERAGEIFS(AutoClaim_Data!C2:C3168,AutoClaim_Data!B2:B3168,"Train",AutoClaim_Data!D2:D3168,"&lt;="&amp;$B$2),AVERAGEIFS(AutoClaim_Data!C2:C3168,AutoClaim_Data!B2:B3168,"Train",AutoClaim_Data!D2:D3168,"&gt;"&amp;$B$2))</f>
        <v/>
      </c>
      <c r="H43">
        <f>IF(AutoClaim_Data!D43&lt;=$B$2,IF(AutoClaim_Data!E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">
        <f>(F43-H43)^2</f>
        <v/>
      </c>
      <c r="J43">
        <f>--(E43="Validation")</f>
        <v/>
      </c>
    </row>
    <row r="44">
      <c r="D44">
        <f>AutoClaim_Data!A44</f>
        <v/>
      </c>
      <c r="E44">
        <f>AutoClaim_Data!B44</f>
        <v/>
      </c>
      <c r="F44">
        <f>AutoClaim_Data!C44</f>
        <v/>
      </c>
      <c r="G44">
        <f>IF(AutoClaim_Data!D44&lt;=$B$2,AVERAGEIFS(AutoClaim_Data!C2:C3168,AutoClaim_Data!B2:B3168,"Train",AutoClaim_Data!D2:D3168,"&lt;="&amp;$B$2),AVERAGEIFS(AutoClaim_Data!C2:C3168,AutoClaim_Data!B2:B3168,"Train",AutoClaim_Data!D2:D3168,"&gt;"&amp;$B$2))</f>
        <v/>
      </c>
      <c r="H44">
        <f>IF(AutoClaim_Data!D44&lt;=$B$2,IF(AutoClaim_Data!E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">
        <f>(F44-H44)^2</f>
        <v/>
      </c>
      <c r="J44">
        <f>--(E44="Validation")</f>
        <v/>
      </c>
    </row>
    <row r="45">
      <c r="D45">
        <f>AutoClaim_Data!A45</f>
        <v/>
      </c>
      <c r="E45">
        <f>AutoClaim_Data!B45</f>
        <v/>
      </c>
      <c r="F45">
        <f>AutoClaim_Data!C45</f>
        <v/>
      </c>
      <c r="G45">
        <f>IF(AutoClaim_Data!D45&lt;=$B$2,AVERAGEIFS(AutoClaim_Data!C2:C3168,AutoClaim_Data!B2:B3168,"Train",AutoClaim_Data!D2:D3168,"&lt;="&amp;$B$2),AVERAGEIFS(AutoClaim_Data!C2:C3168,AutoClaim_Data!B2:B3168,"Train",AutoClaim_Data!D2:D3168,"&gt;"&amp;$B$2))</f>
        <v/>
      </c>
      <c r="H45">
        <f>IF(AutoClaim_Data!D45&lt;=$B$2,IF(AutoClaim_Data!E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">
        <f>(F45-H45)^2</f>
        <v/>
      </c>
      <c r="J45">
        <f>--(E45="Validation")</f>
        <v/>
      </c>
    </row>
    <row r="46">
      <c r="D46">
        <f>AutoClaim_Data!A46</f>
        <v/>
      </c>
      <c r="E46">
        <f>AutoClaim_Data!B46</f>
        <v/>
      </c>
      <c r="F46">
        <f>AutoClaim_Data!C46</f>
        <v/>
      </c>
      <c r="G46">
        <f>IF(AutoClaim_Data!D46&lt;=$B$2,AVERAGEIFS(AutoClaim_Data!C2:C3168,AutoClaim_Data!B2:B3168,"Train",AutoClaim_Data!D2:D3168,"&lt;="&amp;$B$2),AVERAGEIFS(AutoClaim_Data!C2:C3168,AutoClaim_Data!B2:B3168,"Train",AutoClaim_Data!D2:D3168,"&gt;"&amp;$B$2))</f>
        <v/>
      </c>
      <c r="H46">
        <f>IF(AutoClaim_Data!D46&lt;=$B$2,IF(AutoClaim_Data!E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">
        <f>(F46-H46)^2</f>
        <v/>
      </c>
      <c r="J46">
        <f>--(E46="Validation")</f>
        <v/>
      </c>
    </row>
    <row r="47">
      <c r="D47">
        <f>AutoClaim_Data!A47</f>
        <v/>
      </c>
      <c r="E47">
        <f>AutoClaim_Data!B47</f>
        <v/>
      </c>
      <c r="F47">
        <f>AutoClaim_Data!C47</f>
        <v/>
      </c>
      <c r="G47">
        <f>IF(AutoClaim_Data!D47&lt;=$B$2,AVERAGEIFS(AutoClaim_Data!C2:C3168,AutoClaim_Data!B2:B3168,"Train",AutoClaim_Data!D2:D3168,"&lt;="&amp;$B$2),AVERAGEIFS(AutoClaim_Data!C2:C3168,AutoClaim_Data!B2:B3168,"Train",AutoClaim_Data!D2:D3168,"&gt;"&amp;$B$2))</f>
        <v/>
      </c>
      <c r="H47">
        <f>IF(AutoClaim_Data!D47&lt;=$B$2,IF(AutoClaim_Data!E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">
        <f>(F47-H47)^2</f>
        <v/>
      </c>
      <c r="J47">
        <f>--(E47="Validation")</f>
        <v/>
      </c>
    </row>
    <row r="48">
      <c r="D48">
        <f>AutoClaim_Data!A48</f>
        <v/>
      </c>
      <c r="E48">
        <f>AutoClaim_Data!B48</f>
        <v/>
      </c>
      <c r="F48">
        <f>AutoClaim_Data!C48</f>
        <v/>
      </c>
      <c r="G48">
        <f>IF(AutoClaim_Data!D48&lt;=$B$2,AVERAGEIFS(AutoClaim_Data!C2:C3168,AutoClaim_Data!B2:B3168,"Train",AutoClaim_Data!D2:D3168,"&lt;="&amp;$B$2),AVERAGEIFS(AutoClaim_Data!C2:C3168,AutoClaim_Data!B2:B3168,"Train",AutoClaim_Data!D2:D3168,"&gt;"&amp;$B$2))</f>
        <v/>
      </c>
      <c r="H48">
        <f>IF(AutoClaim_Data!D48&lt;=$B$2,IF(AutoClaim_Data!E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">
        <f>(F48-H48)^2</f>
        <v/>
      </c>
      <c r="J48">
        <f>--(E48="Validation")</f>
        <v/>
      </c>
    </row>
    <row r="49">
      <c r="D49">
        <f>AutoClaim_Data!A49</f>
        <v/>
      </c>
      <c r="E49">
        <f>AutoClaim_Data!B49</f>
        <v/>
      </c>
      <c r="F49">
        <f>AutoClaim_Data!C49</f>
        <v/>
      </c>
      <c r="G49">
        <f>IF(AutoClaim_Data!D49&lt;=$B$2,AVERAGEIFS(AutoClaim_Data!C2:C3168,AutoClaim_Data!B2:B3168,"Train",AutoClaim_Data!D2:D3168,"&lt;="&amp;$B$2),AVERAGEIFS(AutoClaim_Data!C2:C3168,AutoClaim_Data!B2:B3168,"Train",AutoClaim_Data!D2:D3168,"&gt;"&amp;$B$2))</f>
        <v/>
      </c>
      <c r="H49">
        <f>IF(AutoClaim_Data!D49&lt;=$B$2,IF(AutoClaim_Data!E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">
        <f>(F49-H49)^2</f>
        <v/>
      </c>
      <c r="J49">
        <f>--(E49="Validation")</f>
        <v/>
      </c>
    </row>
    <row r="50">
      <c r="D50">
        <f>AutoClaim_Data!A50</f>
        <v/>
      </c>
      <c r="E50">
        <f>AutoClaim_Data!B50</f>
        <v/>
      </c>
      <c r="F50">
        <f>AutoClaim_Data!C50</f>
        <v/>
      </c>
      <c r="G50">
        <f>IF(AutoClaim_Data!D50&lt;=$B$2,AVERAGEIFS(AutoClaim_Data!C2:C3168,AutoClaim_Data!B2:B3168,"Train",AutoClaim_Data!D2:D3168,"&lt;="&amp;$B$2),AVERAGEIFS(AutoClaim_Data!C2:C3168,AutoClaim_Data!B2:B3168,"Train",AutoClaim_Data!D2:D3168,"&gt;"&amp;$B$2))</f>
        <v/>
      </c>
      <c r="H50">
        <f>IF(AutoClaim_Data!D50&lt;=$B$2,IF(AutoClaim_Data!E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">
        <f>(F50-H50)^2</f>
        <v/>
      </c>
      <c r="J50">
        <f>--(E50="Validation")</f>
        <v/>
      </c>
    </row>
    <row r="51">
      <c r="D51">
        <f>AutoClaim_Data!A51</f>
        <v/>
      </c>
      <c r="E51">
        <f>AutoClaim_Data!B51</f>
        <v/>
      </c>
      <c r="F51">
        <f>AutoClaim_Data!C51</f>
        <v/>
      </c>
      <c r="G51">
        <f>IF(AutoClaim_Data!D51&lt;=$B$2,AVERAGEIFS(AutoClaim_Data!C2:C3168,AutoClaim_Data!B2:B3168,"Train",AutoClaim_Data!D2:D3168,"&lt;="&amp;$B$2),AVERAGEIFS(AutoClaim_Data!C2:C3168,AutoClaim_Data!B2:B3168,"Train",AutoClaim_Data!D2:D3168,"&gt;"&amp;$B$2))</f>
        <v/>
      </c>
      <c r="H51">
        <f>IF(AutoClaim_Data!D51&lt;=$B$2,IF(AutoClaim_Data!E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">
        <f>(F51-H51)^2</f>
        <v/>
      </c>
      <c r="J51">
        <f>--(E51="Validation")</f>
        <v/>
      </c>
    </row>
    <row r="52">
      <c r="D52">
        <f>AutoClaim_Data!A52</f>
        <v/>
      </c>
      <c r="E52">
        <f>AutoClaim_Data!B52</f>
        <v/>
      </c>
      <c r="F52">
        <f>AutoClaim_Data!C52</f>
        <v/>
      </c>
      <c r="G52">
        <f>IF(AutoClaim_Data!D52&lt;=$B$2,AVERAGEIFS(AutoClaim_Data!C2:C3168,AutoClaim_Data!B2:B3168,"Train",AutoClaim_Data!D2:D3168,"&lt;="&amp;$B$2),AVERAGEIFS(AutoClaim_Data!C2:C3168,AutoClaim_Data!B2:B3168,"Train",AutoClaim_Data!D2:D3168,"&gt;"&amp;$B$2))</f>
        <v/>
      </c>
      <c r="H52">
        <f>IF(AutoClaim_Data!D52&lt;=$B$2,IF(AutoClaim_Data!E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">
        <f>(F52-H52)^2</f>
        <v/>
      </c>
      <c r="J52">
        <f>--(E52="Validation")</f>
        <v/>
      </c>
    </row>
    <row r="53">
      <c r="D53">
        <f>AutoClaim_Data!A53</f>
        <v/>
      </c>
      <c r="E53">
        <f>AutoClaim_Data!B53</f>
        <v/>
      </c>
      <c r="F53">
        <f>AutoClaim_Data!C53</f>
        <v/>
      </c>
      <c r="G53">
        <f>IF(AutoClaim_Data!D53&lt;=$B$2,AVERAGEIFS(AutoClaim_Data!C2:C3168,AutoClaim_Data!B2:B3168,"Train",AutoClaim_Data!D2:D3168,"&lt;="&amp;$B$2),AVERAGEIFS(AutoClaim_Data!C2:C3168,AutoClaim_Data!B2:B3168,"Train",AutoClaim_Data!D2:D3168,"&gt;"&amp;$B$2))</f>
        <v/>
      </c>
      <c r="H53">
        <f>IF(AutoClaim_Data!D53&lt;=$B$2,IF(AutoClaim_Data!E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">
        <f>(F53-H53)^2</f>
        <v/>
      </c>
      <c r="J53">
        <f>--(E53="Validation")</f>
        <v/>
      </c>
    </row>
    <row r="54">
      <c r="D54">
        <f>AutoClaim_Data!A54</f>
        <v/>
      </c>
      <c r="E54">
        <f>AutoClaim_Data!B54</f>
        <v/>
      </c>
      <c r="F54">
        <f>AutoClaim_Data!C54</f>
        <v/>
      </c>
      <c r="G54">
        <f>IF(AutoClaim_Data!D54&lt;=$B$2,AVERAGEIFS(AutoClaim_Data!C2:C3168,AutoClaim_Data!B2:B3168,"Train",AutoClaim_Data!D2:D3168,"&lt;="&amp;$B$2),AVERAGEIFS(AutoClaim_Data!C2:C3168,AutoClaim_Data!B2:B3168,"Train",AutoClaim_Data!D2:D3168,"&gt;"&amp;$B$2))</f>
        <v/>
      </c>
      <c r="H54">
        <f>IF(AutoClaim_Data!D54&lt;=$B$2,IF(AutoClaim_Data!E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">
        <f>(F54-H54)^2</f>
        <v/>
      </c>
      <c r="J54">
        <f>--(E54="Validation")</f>
        <v/>
      </c>
    </row>
    <row r="55">
      <c r="D55">
        <f>AutoClaim_Data!A55</f>
        <v/>
      </c>
      <c r="E55">
        <f>AutoClaim_Data!B55</f>
        <v/>
      </c>
      <c r="F55">
        <f>AutoClaim_Data!C55</f>
        <v/>
      </c>
      <c r="G55">
        <f>IF(AutoClaim_Data!D55&lt;=$B$2,AVERAGEIFS(AutoClaim_Data!C2:C3168,AutoClaim_Data!B2:B3168,"Train",AutoClaim_Data!D2:D3168,"&lt;="&amp;$B$2),AVERAGEIFS(AutoClaim_Data!C2:C3168,AutoClaim_Data!B2:B3168,"Train",AutoClaim_Data!D2:D3168,"&gt;"&amp;$B$2))</f>
        <v/>
      </c>
      <c r="H55">
        <f>IF(AutoClaim_Data!D55&lt;=$B$2,IF(AutoClaim_Data!E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">
        <f>(F55-H55)^2</f>
        <v/>
      </c>
      <c r="J55">
        <f>--(E55="Validation")</f>
        <v/>
      </c>
    </row>
    <row r="56">
      <c r="D56">
        <f>AutoClaim_Data!A56</f>
        <v/>
      </c>
      <c r="E56">
        <f>AutoClaim_Data!B56</f>
        <v/>
      </c>
      <c r="F56">
        <f>AutoClaim_Data!C56</f>
        <v/>
      </c>
      <c r="G56">
        <f>IF(AutoClaim_Data!D56&lt;=$B$2,AVERAGEIFS(AutoClaim_Data!C2:C3168,AutoClaim_Data!B2:B3168,"Train",AutoClaim_Data!D2:D3168,"&lt;="&amp;$B$2),AVERAGEIFS(AutoClaim_Data!C2:C3168,AutoClaim_Data!B2:B3168,"Train",AutoClaim_Data!D2:D3168,"&gt;"&amp;$B$2))</f>
        <v/>
      </c>
      <c r="H56">
        <f>IF(AutoClaim_Data!D56&lt;=$B$2,IF(AutoClaim_Data!E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">
        <f>(F56-H56)^2</f>
        <v/>
      </c>
      <c r="J56">
        <f>--(E56="Validation")</f>
        <v/>
      </c>
    </row>
    <row r="57">
      <c r="D57">
        <f>AutoClaim_Data!A57</f>
        <v/>
      </c>
      <c r="E57">
        <f>AutoClaim_Data!B57</f>
        <v/>
      </c>
      <c r="F57">
        <f>AutoClaim_Data!C57</f>
        <v/>
      </c>
      <c r="G57">
        <f>IF(AutoClaim_Data!D57&lt;=$B$2,AVERAGEIFS(AutoClaim_Data!C2:C3168,AutoClaim_Data!B2:B3168,"Train",AutoClaim_Data!D2:D3168,"&lt;="&amp;$B$2),AVERAGEIFS(AutoClaim_Data!C2:C3168,AutoClaim_Data!B2:B3168,"Train",AutoClaim_Data!D2:D3168,"&gt;"&amp;$B$2))</f>
        <v/>
      </c>
      <c r="H57">
        <f>IF(AutoClaim_Data!D57&lt;=$B$2,IF(AutoClaim_Data!E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">
        <f>(F57-H57)^2</f>
        <v/>
      </c>
      <c r="J57">
        <f>--(E57="Validation")</f>
        <v/>
      </c>
    </row>
    <row r="58">
      <c r="D58">
        <f>AutoClaim_Data!A58</f>
        <v/>
      </c>
      <c r="E58">
        <f>AutoClaim_Data!B58</f>
        <v/>
      </c>
      <c r="F58">
        <f>AutoClaim_Data!C58</f>
        <v/>
      </c>
      <c r="G58">
        <f>IF(AutoClaim_Data!D58&lt;=$B$2,AVERAGEIFS(AutoClaim_Data!C2:C3168,AutoClaim_Data!B2:B3168,"Train",AutoClaim_Data!D2:D3168,"&lt;="&amp;$B$2),AVERAGEIFS(AutoClaim_Data!C2:C3168,AutoClaim_Data!B2:B3168,"Train",AutoClaim_Data!D2:D3168,"&gt;"&amp;$B$2))</f>
        <v/>
      </c>
      <c r="H58">
        <f>IF(AutoClaim_Data!D58&lt;=$B$2,IF(AutoClaim_Data!E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">
        <f>(F58-H58)^2</f>
        <v/>
      </c>
      <c r="J58">
        <f>--(E58="Validation")</f>
        <v/>
      </c>
    </row>
    <row r="59">
      <c r="D59">
        <f>AutoClaim_Data!A59</f>
        <v/>
      </c>
      <c r="E59">
        <f>AutoClaim_Data!B59</f>
        <v/>
      </c>
      <c r="F59">
        <f>AutoClaim_Data!C59</f>
        <v/>
      </c>
      <c r="G59">
        <f>IF(AutoClaim_Data!D59&lt;=$B$2,AVERAGEIFS(AutoClaim_Data!C2:C3168,AutoClaim_Data!B2:B3168,"Train",AutoClaim_Data!D2:D3168,"&lt;="&amp;$B$2),AVERAGEIFS(AutoClaim_Data!C2:C3168,AutoClaim_Data!B2:B3168,"Train",AutoClaim_Data!D2:D3168,"&gt;"&amp;$B$2))</f>
        <v/>
      </c>
      <c r="H59">
        <f>IF(AutoClaim_Data!D59&lt;=$B$2,IF(AutoClaim_Data!E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">
        <f>(F59-H59)^2</f>
        <v/>
      </c>
      <c r="J59">
        <f>--(E59="Validation")</f>
        <v/>
      </c>
    </row>
    <row r="60">
      <c r="D60">
        <f>AutoClaim_Data!A60</f>
        <v/>
      </c>
      <c r="E60">
        <f>AutoClaim_Data!B60</f>
        <v/>
      </c>
      <c r="F60">
        <f>AutoClaim_Data!C60</f>
        <v/>
      </c>
      <c r="G60">
        <f>IF(AutoClaim_Data!D60&lt;=$B$2,AVERAGEIFS(AutoClaim_Data!C2:C3168,AutoClaim_Data!B2:B3168,"Train",AutoClaim_Data!D2:D3168,"&lt;="&amp;$B$2),AVERAGEIFS(AutoClaim_Data!C2:C3168,AutoClaim_Data!B2:B3168,"Train",AutoClaim_Data!D2:D3168,"&gt;"&amp;$B$2))</f>
        <v/>
      </c>
      <c r="H60">
        <f>IF(AutoClaim_Data!D60&lt;=$B$2,IF(AutoClaim_Data!E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">
        <f>(F60-H60)^2</f>
        <v/>
      </c>
      <c r="J60">
        <f>--(E60="Validation")</f>
        <v/>
      </c>
    </row>
    <row r="61">
      <c r="D61">
        <f>AutoClaim_Data!A61</f>
        <v/>
      </c>
      <c r="E61">
        <f>AutoClaim_Data!B61</f>
        <v/>
      </c>
      <c r="F61">
        <f>AutoClaim_Data!C61</f>
        <v/>
      </c>
      <c r="G61">
        <f>IF(AutoClaim_Data!D61&lt;=$B$2,AVERAGEIFS(AutoClaim_Data!C2:C3168,AutoClaim_Data!B2:B3168,"Train",AutoClaim_Data!D2:D3168,"&lt;="&amp;$B$2),AVERAGEIFS(AutoClaim_Data!C2:C3168,AutoClaim_Data!B2:B3168,"Train",AutoClaim_Data!D2:D3168,"&gt;"&amp;$B$2))</f>
        <v/>
      </c>
      <c r="H61">
        <f>IF(AutoClaim_Data!D61&lt;=$B$2,IF(AutoClaim_Data!E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">
        <f>(F61-H61)^2</f>
        <v/>
      </c>
      <c r="J61">
        <f>--(E61="Validation")</f>
        <v/>
      </c>
    </row>
    <row r="62">
      <c r="D62">
        <f>AutoClaim_Data!A62</f>
        <v/>
      </c>
      <c r="E62">
        <f>AutoClaim_Data!B62</f>
        <v/>
      </c>
      <c r="F62">
        <f>AutoClaim_Data!C62</f>
        <v/>
      </c>
      <c r="G62">
        <f>IF(AutoClaim_Data!D62&lt;=$B$2,AVERAGEIFS(AutoClaim_Data!C2:C3168,AutoClaim_Data!B2:B3168,"Train",AutoClaim_Data!D2:D3168,"&lt;="&amp;$B$2),AVERAGEIFS(AutoClaim_Data!C2:C3168,AutoClaim_Data!B2:B3168,"Train",AutoClaim_Data!D2:D3168,"&gt;"&amp;$B$2))</f>
        <v/>
      </c>
      <c r="H62">
        <f>IF(AutoClaim_Data!D62&lt;=$B$2,IF(AutoClaim_Data!E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">
        <f>(F62-H62)^2</f>
        <v/>
      </c>
      <c r="J62">
        <f>--(E62="Validation")</f>
        <v/>
      </c>
    </row>
    <row r="63">
      <c r="D63">
        <f>AutoClaim_Data!A63</f>
        <v/>
      </c>
      <c r="E63">
        <f>AutoClaim_Data!B63</f>
        <v/>
      </c>
      <c r="F63">
        <f>AutoClaim_Data!C63</f>
        <v/>
      </c>
      <c r="G63">
        <f>IF(AutoClaim_Data!D63&lt;=$B$2,AVERAGEIFS(AutoClaim_Data!C2:C3168,AutoClaim_Data!B2:B3168,"Train",AutoClaim_Data!D2:D3168,"&lt;="&amp;$B$2),AVERAGEIFS(AutoClaim_Data!C2:C3168,AutoClaim_Data!B2:B3168,"Train",AutoClaim_Data!D2:D3168,"&gt;"&amp;$B$2))</f>
        <v/>
      </c>
      <c r="H63">
        <f>IF(AutoClaim_Data!D63&lt;=$B$2,IF(AutoClaim_Data!E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">
        <f>(F63-H63)^2</f>
        <v/>
      </c>
      <c r="J63">
        <f>--(E63="Validation")</f>
        <v/>
      </c>
    </row>
    <row r="64">
      <c r="D64">
        <f>AutoClaim_Data!A64</f>
        <v/>
      </c>
      <c r="E64">
        <f>AutoClaim_Data!B64</f>
        <v/>
      </c>
      <c r="F64">
        <f>AutoClaim_Data!C64</f>
        <v/>
      </c>
      <c r="G64">
        <f>IF(AutoClaim_Data!D64&lt;=$B$2,AVERAGEIFS(AutoClaim_Data!C2:C3168,AutoClaim_Data!B2:B3168,"Train",AutoClaim_Data!D2:D3168,"&lt;="&amp;$B$2),AVERAGEIFS(AutoClaim_Data!C2:C3168,AutoClaim_Data!B2:B3168,"Train",AutoClaim_Data!D2:D3168,"&gt;"&amp;$B$2))</f>
        <v/>
      </c>
      <c r="H64">
        <f>IF(AutoClaim_Data!D64&lt;=$B$2,IF(AutoClaim_Data!E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">
        <f>(F64-H64)^2</f>
        <v/>
      </c>
      <c r="J64">
        <f>--(E64="Validation")</f>
        <v/>
      </c>
    </row>
    <row r="65">
      <c r="D65">
        <f>AutoClaim_Data!A65</f>
        <v/>
      </c>
      <c r="E65">
        <f>AutoClaim_Data!B65</f>
        <v/>
      </c>
      <c r="F65">
        <f>AutoClaim_Data!C65</f>
        <v/>
      </c>
      <c r="G65">
        <f>IF(AutoClaim_Data!D65&lt;=$B$2,AVERAGEIFS(AutoClaim_Data!C2:C3168,AutoClaim_Data!B2:B3168,"Train",AutoClaim_Data!D2:D3168,"&lt;="&amp;$B$2),AVERAGEIFS(AutoClaim_Data!C2:C3168,AutoClaim_Data!B2:B3168,"Train",AutoClaim_Data!D2:D3168,"&gt;"&amp;$B$2))</f>
        <v/>
      </c>
      <c r="H65">
        <f>IF(AutoClaim_Data!D65&lt;=$B$2,IF(AutoClaim_Data!E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">
        <f>(F65-H65)^2</f>
        <v/>
      </c>
      <c r="J65">
        <f>--(E65="Validation")</f>
        <v/>
      </c>
    </row>
    <row r="66">
      <c r="D66">
        <f>AutoClaim_Data!A66</f>
        <v/>
      </c>
      <c r="E66">
        <f>AutoClaim_Data!B66</f>
        <v/>
      </c>
      <c r="F66">
        <f>AutoClaim_Data!C66</f>
        <v/>
      </c>
      <c r="G66">
        <f>IF(AutoClaim_Data!D66&lt;=$B$2,AVERAGEIFS(AutoClaim_Data!C2:C3168,AutoClaim_Data!B2:B3168,"Train",AutoClaim_Data!D2:D3168,"&lt;="&amp;$B$2),AVERAGEIFS(AutoClaim_Data!C2:C3168,AutoClaim_Data!B2:B3168,"Train",AutoClaim_Data!D2:D3168,"&gt;"&amp;$B$2))</f>
        <v/>
      </c>
      <c r="H66">
        <f>IF(AutoClaim_Data!D66&lt;=$B$2,IF(AutoClaim_Data!E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">
        <f>(F66-H66)^2</f>
        <v/>
      </c>
      <c r="J66">
        <f>--(E66="Validation")</f>
        <v/>
      </c>
    </row>
    <row r="67">
      <c r="D67">
        <f>AutoClaim_Data!A67</f>
        <v/>
      </c>
      <c r="E67">
        <f>AutoClaim_Data!B67</f>
        <v/>
      </c>
      <c r="F67">
        <f>AutoClaim_Data!C67</f>
        <v/>
      </c>
      <c r="G67">
        <f>IF(AutoClaim_Data!D67&lt;=$B$2,AVERAGEIFS(AutoClaim_Data!C2:C3168,AutoClaim_Data!B2:B3168,"Train",AutoClaim_Data!D2:D3168,"&lt;="&amp;$B$2),AVERAGEIFS(AutoClaim_Data!C2:C3168,AutoClaim_Data!B2:B3168,"Train",AutoClaim_Data!D2:D3168,"&gt;"&amp;$B$2))</f>
        <v/>
      </c>
      <c r="H67">
        <f>IF(AutoClaim_Data!D67&lt;=$B$2,IF(AutoClaim_Data!E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">
        <f>(F67-H67)^2</f>
        <v/>
      </c>
      <c r="J67">
        <f>--(E67="Validation")</f>
        <v/>
      </c>
    </row>
    <row r="68">
      <c r="D68">
        <f>AutoClaim_Data!A68</f>
        <v/>
      </c>
      <c r="E68">
        <f>AutoClaim_Data!B68</f>
        <v/>
      </c>
      <c r="F68">
        <f>AutoClaim_Data!C68</f>
        <v/>
      </c>
      <c r="G68">
        <f>IF(AutoClaim_Data!D68&lt;=$B$2,AVERAGEIFS(AutoClaim_Data!C2:C3168,AutoClaim_Data!B2:B3168,"Train",AutoClaim_Data!D2:D3168,"&lt;="&amp;$B$2),AVERAGEIFS(AutoClaim_Data!C2:C3168,AutoClaim_Data!B2:B3168,"Train",AutoClaim_Data!D2:D3168,"&gt;"&amp;$B$2))</f>
        <v/>
      </c>
      <c r="H68">
        <f>IF(AutoClaim_Data!D68&lt;=$B$2,IF(AutoClaim_Data!E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">
        <f>(F68-H68)^2</f>
        <v/>
      </c>
      <c r="J68">
        <f>--(E68="Validation")</f>
        <v/>
      </c>
    </row>
    <row r="69">
      <c r="D69">
        <f>AutoClaim_Data!A69</f>
        <v/>
      </c>
      <c r="E69">
        <f>AutoClaim_Data!B69</f>
        <v/>
      </c>
      <c r="F69">
        <f>AutoClaim_Data!C69</f>
        <v/>
      </c>
      <c r="G69">
        <f>IF(AutoClaim_Data!D69&lt;=$B$2,AVERAGEIFS(AutoClaim_Data!C2:C3168,AutoClaim_Data!B2:B3168,"Train",AutoClaim_Data!D2:D3168,"&lt;="&amp;$B$2),AVERAGEIFS(AutoClaim_Data!C2:C3168,AutoClaim_Data!B2:B3168,"Train",AutoClaim_Data!D2:D3168,"&gt;"&amp;$B$2))</f>
        <v/>
      </c>
      <c r="H69">
        <f>IF(AutoClaim_Data!D69&lt;=$B$2,IF(AutoClaim_Data!E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">
        <f>(F69-H69)^2</f>
        <v/>
      </c>
      <c r="J69">
        <f>--(E69="Validation")</f>
        <v/>
      </c>
    </row>
    <row r="70">
      <c r="D70">
        <f>AutoClaim_Data!A70</f>
        <v/>
      </c>
      <c r="E70">
        <f>AutoClaim_Data!B70</f>
        <v/>
      </c>
      <c r="F70">
        <f>AutoClaim_Data!C70</f>
        <v/>
      </c>
      <c r="G70">
        <f>IF(AutoClaim_Data!D70&lt;=$B$2,AVERAGEIFS(AutoClaim_Data!C2:C3168,AutoClaim_Data!B2:B3168,"Train",AutoClaim_Data!D2:D3168,"&lt;="&amp;$B$2),AVERAGEIFS(AutoClaim_Data!C2:C3168,AutoClaim_Data!B2:B3168,"Train",AutoClaim_Data!D2:D3168,"&gt;"&amp;$B$2))</f>
        <v/>
      </c>
      <c r="H70">
        <f>IF(AutoClaim_Data!D70&lt;=$B$2,IF(AutoClaim_Data!E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">
        <f>(F70-H70)^2</f>
        <v/>
      </c>
      <c r="J70">
        <f>--(E70="Validation")</f>
        <v/>
      </c>
    </row>
    <row r="71">
      <c r="D71">
        <f>AutoClaim_Data!A71</f>
        <v/>
      </c>
      <c r="E71">
        <f>AutoClaim_Data!B71</f>
        <v/>
      </c>
      <c r="F71">
        <f>AutoClaim_Data!C71</f>
        <v/>
      </c>
      <c r="G71">
        <f>IF(AutoClaim_Data!D71&lt;=$B$2,AVERAGEIFS(AutoClaim_Data!C2:C3168,AutoClaim_Data!B2:B3168,"Train",AutoClaim_Data!D2:D3168,"&lt;="&amp;$B$2),AVERAGEIFS(AutoClaim_Data!C2:C3168,AutoClaim_Data!B2:B3168,"Train",AutoClaim_Data!D2:D3168,"&gt;"&amp;$B$2))</f>
        <v/>
      </c>
      <c r="H71">
        <f>IF(AutoClaim_Data!D71&lt;=$B$2,IF(AutoClaim_Data!E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">
        <f>(F71-H71)^2</f>
        <v/>
      </c>
      <c r="J71">
        <f>--(E71="Validation")</f>
        <v/>
      </c>
    </row>
    <row r="72">
      <c r="D72">
        <f>AutoClaim_Data!A72</f>
        <v/>
      </c>
      <c r="E72">
        <f>AutoClaim_Data!B72</f>
        <v/>
      </c>
      <c r="F72">
        <f>AutoClaim_Data!C72</f>
        <v/>
      </c>
      <c r="G72">
        <f>IF(AutoClaim_Data!D72&lt;=$B$2,AVERAGEIFS(AutoClaim_Data!C2:C3168,AutoClaim_Data!B2:B3168,"Train",AutoClaim_Data!D2:D3168,"&lt;="&amp;$B$2),AVERAGEIFS(AutoClaim_Data!C2:C3168,AutoClaim_Data!B2:B3168,"Train",AutoClaim_Data!D2:D3168,"&gt;"&amp;$B$2))</f>
        <v/>
      </c>
      <c r="H72">
        <f>IF(AutoClaim_Data!D72&lt;=$B$2,IF(AutoClaim_Data!E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">
        <f>(F72-H72)^2</f>
        <v/>
      </c>
      <c r="J72">
        <f>--(E72="Validation")</f>
        <v/>
      </c>
    </row>
    <row r="73">
      <c r="D73">
        <f>AutoClaim_Data!A73</f>
        <v/>
      </c>
      <c r="E73">
        <f>AutoClaim_Data!B73</f>
        <v/>
      </c>
      <c r="F73">
        <f>AutoClaim_Data!C73</f>
        <v/>
      </c>
      <c r="G73">
        <f>IF(AutoClaim_Data!D73&lt;=$B$2,AVERAGEIFS(AutoClaim_Data!C2:C3168,AutoClaim_Data!B2:B3168,"Train",AutoClaim_Data!D2:D3168,"&lt;="&amp;$B$2),AVERAGEIFS(AutoClaim_Data!C2:C3168,AutoClaim_Data!B2:B3168,"Train",AutoClaim_Data!D2:D3168,"&gt;"&amp;$B$2))</f>
        <v/>
      </c>
      <c r="H73">
        <f>IF(AutoClaim_Data!D73&lt;=$B$2,IF(AutoClaim_Data!E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">
        <f>(F73-H73)^2</f>
        <v/>
      </c>
      <c r="J73">
        <f>--(E73="Validation")</f>
        <v/>
      </c>
    </row>
    <row r="74">
      <c r="D74">
        <f>AutoClaim_Data!A74</f>
        <v/>
      </c>
      <c r="E74">
        <f>AutoClaim_Data!B74</f>
        <v/>
      </c>
      <c r="F74">
        <f>AutoClaim_Data!C74</f>
        <v/>
      </c>
      <c r="G74">
        <f>IF(AutoClaim_Data!D74&lt;=$B$2,AVERAGEIFS(AutoClaim_Data!C2:C3168,AutoClaim_Data!B2:B3168,"Train",AutoClaim_Data!D2:D3168,"&lt;="&amp;$B$2),AVERAGEIFS(AutoClaim_Data!C2:C3168,AutoClaim_Data!B2:B3168,"Train",AutoClaim_Data!D2:D3168,"&gt;"&amp;$B$2))</f>
        <v/>
      </c>
      <c r="H74">
        <f>IF(AutoClaim_Data!D74&lt;=$B$2,IF(AutoClaim_Data!E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">
        <f>(F74-H74)^2</f>
        <v/>
      </c>
      <c r="J74">
        <f>--(E74="Validation")</f>
        <v/>
      </c>
    </row>
    <row r="75">
      <c r="D75">
        <f>AutoClaim_Data!A75</f>
        <v/>
      </c>
      <c r="E75">
        <f>AutoClaim_Data!B75</f>
        <v/>
      </c>
      <c r="F75">
        <f>AutoClaim_Data!C75</f>
        <v/>
      </c>
      <c r="G75">
        <f>IF(AutoClaim_Data!D75&lt;=$B$2,AVERAGEIFS(AutoClaim_Data!C2:C3168,AutoClaim_Data!B2:B3168,"Train",AutoClaim_Data!D2:D3168,"&lt;="&amp;$B$2),AVERAGEIFS(AutoClaim_Data!C2:C3168,AutoClaim_Data!B2:B3168,"Train",AutoClaim_Data!D2:D3168,"&gt;"&amp;$B$2))</f>
        <v/>
      </c>
      <c r="H75">
        <f>IF(AutoClaim_Data!D75&lt;=$B$2,IF(AutoClaim_Data!E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">
        <f>(F75-H75)^2</f>
        <v/>
      </c>
      <c r="J75">
        <f>--(E75="Validation")</f>
        <v/>
      </c>
    </row>
    <row r="76">
      <c r="D76">
        <f>AutoClaim_Data!A76</f>
        <v/>
      </c>
      <c r="E76">
        <f>AutoClaim_Data!B76</f>
        <v/>
      </c>
      <c r="F76">
        <f>AutoClaim_Data!C76</f>
        <v/>
      </c>
      <c r="G76">
        <f>IF(AutoClaim_Data!D76&lt;=$B$2,AVERAGEIFS(AutoClaim_Data!C2:C3168,AutoClaim_Data!B2:B3168,"Train",AutoClaim_Data!D2:D3168,"&lt;="&amp;$B$2),AVERAGEIFS(AutoClaim_Data!C2:C3168,AutoClaim_Data!B2:B3168,"Train",AutoClaim_Data!D2:D3168,"&gt;"&amp;$B$2))</f>
        <v/>
      </c>
      <c r="H76">
        <f>IF(AutoClaim_Data!D76&lt;=$B$2,IF(AutoClaim_Data!E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">
        <f>(F76-H76)^2</f>
        <v/>
      </c>
      <c r="J76">
        <f>--(E76="Validation")</f>
        <v/>
      </c>
    </row>
    <row r="77">
      <c r="D77">
        <f>AutoClaim_Data!A77</f>
        <v/>
      </c>
      <c r="E77">
        <f>AutoClaim_Data!B77</f>
        <v/>
      </c>
      <c r="F77">
        <f>AutoClaim_Data!C77</f>
        <v/>
      </c>
      <c r="G77">
        <f>IF(AutoClaim_Data!D77&lt;=$B$2,AVERAGEIFS(AutoClaim_Data!C2:C3168,AutoClaim_Data!B2:B3168,"Train",AutoClaim_Data!D2:D3168,"&lt;="&amp;$B$2),AVERAGEIFS(AutoClaim_Data!C2:C3168,AutoClaim_Data!B2:B3168,"Train",AutoClaim_Data!D2:D3168,"&gt;"&amp;$B$2))</f>
        <v/>
      </c>
      <c r="H77">
        <f>IF(AutoClaim_Data!D77&lt;=$B$2,IF(AutoClaim_Data!E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">
        <f>(F77-H77)^2</f>
        <v/>
      </c>
      <c r="J77">
        <f>--(E77="Validation")</f>
        <v/>
      </c>
    </row>
    <row r="78">
      <c r="D78">
        <f>AutoClaim_Data!A78</f>
        <v/>
      </c>
      <c r="E78">
        <f>AutoClaim_Data!B78</f>
        <v/>
      </c>
      <c r="F78">
        <f>AutoClaim_Data!C78</f>
        <v/>
      </c>
      <c r="G78">
        <f>IF(AutoClaim_Data!D78&lt;=$B$2,AVERAGEIFS(AutoClaim_Data!C2:C3168,AutoClaim_Data!B2:B3168,"Train",AutoClaim_Data!D2:D3168,"&lt;="&amp;$B$2),AVERAGEIFS(AutoClaim_Data!C2:C3168,AutoClaim_Data!B2:B3168,"Train",AutoClaim_Data!D2:D3168,"&gt;"&amp;$B$2))</f>
        <v/>
      </c>
      <c r="H78">
        <f>IF(AutoClaim_Data!D78&lt;=$B$2,IF(AutoClaim_Data!E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">
        <f>(F78-H78)^2</f>
        <v/>
      </c>
      <c r="J78">
        <f>--(E78="Validation")</f>
        <v/>
      </c>
    </row>
    <row r="79">
      <c r="D79">
        <f>AutoClaim_Data!A79</f>
        <v/>
      </c>
      <c r="E79">
        <f>AutoClaim_Data!B79</f>
        <v/>
      </c>
      <c r="F79">
        <f>AutoClaim_Data!C79</f>
        <v/>
      </c>
      <c r="G79">
        <f>IF(AutoClaim_Data!D79&lt;=$B$2,AVERAGEIFS(AutoClaim_Data!C2:C3168,AutoClaim_Data!B2:B3168,"Train",AutoClaim_Data!D2:D3168,"&lt;="&amp;$B$2),AVERAGEIFS(AutoClaim_Data!C2:C3168,AutoClaim_Data!B2:B3168,"Train",AutoClaim_Data!D2:D3168,"&gt;"&amp;$B$2))</f>
        <v/>
      </c>
      <c r="H79">
        <f>IF(AutoClaim_Data!D79&lt;=$B$2,IF(AutoClaim_Data!E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">
        <f>(F79-H79)^2</f>
        <v/>
      </c>
      <c r="J79">
        <f>--(E79="Validation")</f>
        <v/>
      </c>
    </row>
    <row r="80">
      <c r="D80">
        <f>AutoClaim_Data!A80</f>
        <v/>
      </c>
      <c r="E80">
        <f>AutoClaim_Data!B80</f>
        <v/>
      </c>
      <c r="F80">
        <f>AutoClaim_Data!C80</f>
        <v/>
      </c>
      <c r="G80">
        <f>IF(AutoClaim_Data!D80&lt;=$B$2,AVERAGEIFS(AutoClaim_Data!C2:C3168,AutoClaim_Data!B2:B3168,"Train",AutoClaim_Data!D2:D3168,"&lt;="&amp;$B$2),AVERAGEIFS(AutoClaim_Data!C2:C3168,AutoClaim_Data!B2:B3168,"Train",AutoClaim_Data!D2:D3168,"&gt;"&amp;$B$2))</f>
        <v/>
      </c>
      <c r="H80">
        <f>IF(AutoClaim_Data!D80&lt;=$B$2,IF(AutoClaim_Data!E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">
        <f>(F80-H80)^2</f>
        <v/>
      </c>
      <c r="J80">
        <f>--(E80="Validation")</f>
        <v/>
      </c>
    </row>
    <row r="81">
      <c r="D81">
        <f>AutoClaim_Data!A81</f>
        <v/>
      </c>
      <c r="E81">
        <f>AutoClaim_Data!B81</f>
        <v/>
      </c>
      <c r="F81">
        <f>AutoClaim_Data!C81</f>
        <v/>
      </c>
      <c r="G81">
        <f>IF(AutoClaim_Data!D81&lt;=$B$2,AVERAGEIFS(AutoClaim_Data!C2:C3168,AutoClaim_Data!B2:B3168,"Train",AutoClaim_Data!D2:D3168,"&lt;="&amp;$B$2),AVERAGEIFS(AutoClaim_Data!C2:C3168,AutoClaim_Data!B2:B3168,"Train",AutoClaim_Data!D2:D3168,"&gt;"&amp;$B$2))</f>
        <v/>
      </c>
      <c r="H81">
        <f>IF(AutoClaim_Data!D81&lt;=$B$2,IF(AutoClaim_Data!E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">
        <f>(F81-H81)^2</f>
        <v/>
      </c>
      <c r="J81">
        <f>--(E81="Validation")</f>
        <v/>
      </c>
    </row>
    <row r="82">
      <c r="D82">
        <f>AutoClaim_Data!A82</f>
        <v/>
      </c>
      <c r="E82">
        <f>AutoClaim_Data!B82</f>
        <v/>
      </c>
      <c r="F82">
        <f>AutoClaim_Data!C82</f>
        <v/>
      </c>
      <c r="G82">
        <f>IF(AutoClaim_Data!D82&lt;=$B$2,AVERAGEIFS(AutoClaim_Data!C2:C3168,AutoClaim_Data!B2:B3168,"Train",AutoClaim_Data!D2:D3168,"&lt;="&amp;$B$2),AVERAGEIFS(AutoClaim_Data!C2:C3168,AutoClaim_Data!B2:B3168,"Train",AutoClaim_Data!D2:D3168,"&gt;"&amp;$B$2))</f>
        <v/>
      </c>
      <c r="H82">
        <f>IF(AutoClaim_Data!D82&lt;=$B$2,IF(AutoClaim_Data!E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">
        <f>(F82-H82)^2</f>
        <v/>
      </c>
      <c r="J82">
        <f>--(E82="Validation")</f>
        <v/>
      </c>
    </row>
    <row r="83">
      <c r="D83">
        <f>AutoClaim_Data!A83</f>
        <v/>
      </c>
      <c r="E83">
        <f>AutoClaim_Data!B83</f>
        <v/>
      </c>
      <c r="F83">
        <f>AutoClaim_Data!C83</f>
        <v/>
      </c>
      <c r="G83">
        <f>IF(AutoClaim_Data!D83&lt;=$B$2,AVERAGEIFS(AutoClaim_Data!C2:C3168,AutoClaim_Data!B2:B3168,"Train",AutoClaim_Data!D2:D3168,"&lt;="&amp;$B$2),AVERAGEIFS(AutoClaim_Data!C2:C3168,AutoClaim_Data!B2:B3168,"Train",AutoClaim_Data!D2:D3168,"&gt;"&amp;$B$2))</f>
        <v/>
      </c>
      <c r="H83">
        <f>IF(AutoClaim_Data!D83&lt;=$B$2,IF(AutoClaim_Data!E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">
        <f>(F83-H83)^2</f>
        <v/>
      </c>
      <c r="J83">
        <f>--(E83="Validation")</f>
        <v/>
      </c>
    </row>
    <row r="84">
      <c r="D84">
        <f>AutoClaim_Data!A84</f>
        <v/>
      </c>
      <c r="E84">
        <f>AutoClaim_Data!B84</f>
        <v/>
      </c>
      <c r="F84">
        <f>AutoClaim_Data!C84</f>
        <v/>
      </c>
      <c r="G84">
        <f>IF(AutoClaim_Data!D84&lt;=$B$2,AVERAGEIFS(AutoClaim_Data!C2:C3168,AutoClaim_Data!B2:B3168,"Train",AutoClaim_Data!D2:D3168,"&lt;="&amp;$B$2),AVERAGEIFS(AutoClaim_Data!C2:C3168,AutoClaim_Data!B2:B3168,"Train",AutoClaim_Data!D2:D3168,"&gt;"&amp;$B$2))</f>
        <v/>
      </c>
      <c r="H84">
        <f>IF(AutoClaim_Data!D84&lt;=$B$2,IF(AutoClaim_Data!E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">
        <f>(F84-H84)^2</f>
        <v/>
      </c>
      <c r="J84">
        <f>--(E84="Validation")</f>
        <v/>
      </c>
    </row>
    <row r="85">
      <c r="D85">
        <f>AutoClaim_Data!A85</f>
        <v/>
      </c>
      <c r="E85">
        <f>AutoClaim_Data!B85</f>
        <v/>
      </c>
      <c r="F85">
        <f>AutoClaim_Data!C85</f>
        <v/>
      </c>
      <c r="G85">
        <f>IF(AutoClaim_Data!D85&lt;=$B$2,AVERAGEIFS(AutoClaim_Data!C2:C3168,AutoClaim_Data!B2:B3168,"Train",AutoClaim_Data!D2:D3168,"&lt;="&amp;$B$2),AVERAGEIFS(AutoClaim_Data!C2:C3168,AutoClaim_Data!B2:B3168,"Train",AutoClaim_Data!D2:D3168,"&gt;"&amp;$B$2))</f>
        <v/>
      </c>
      <c r="H85">
        <f>IF(AutoClaim_Data!D85&lt;=$B$2,IF(AutoClaim_Data!E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">
        <f>(F85-H85)^2</f>
        <v/>
      </c>
      <c r="J85">
        <f>--(E85="Validation")</f>
        <v/>
      </c>
    </row>
    <row r="86">
      <c r="D86">
        <f>AutoClaim_Data!A86</f>
        <v/>
      </c>
      <c r="E86">
        <f>AutoClaim_Data!B86</f>
        <v/>
      </c>
      <c r="F86">
        <f>AutoClaim_Data!C86</f>
        <v/>
      </c>
      <c r="G86">
        <f>IF(AutoClaim_Data!D86&lt;=$B$2,AVERAGEIFS(AutoClaim_Data!C2:C3168,AutoClaim_Data!B2:B3168,"Train",AutoClaim_Data!D2:D3168,"&lt;="&amp;$B$2),AVERAGEIFS(AutoClaim_Data!C2:C3168,AutoClaim_Data!B2:B3168,"Train",AutoClaim_Data!D2:D3168,"&gt;"&amp;$B$2))</f>
        <v/>
      </c>
      <c r="H86">
        <f>IF(AutoClaim_Data!D86&lt;=$B$2,IF(AutoClaim_Data!E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">
        <f>(F86-H86)^2</f>
        <v/>
      </c>
      <c r="J86">
        <f>--(E86="Validation")</f>
        <v/>
      </c>
    </row>
    <row r="87">
      <c r="D87">
        <f>AutoClaim_Data!A87</f>
        <v/>
      </c>
      <c r="E87">
        <f>AutoClaim_Data!B87</f>
        <v/>
      </c>
      <c r="F87">
        <f>AutoClaim_Data!C87</f>
        <v/>
      </c>
      <c r="G87">
        <f>IF(AutoClaim_Data!D87&lt;=$B$2,AVERAGEIFS(AutoClaim_Data!C2:C3168,AutoClaim_Data!B2:B3168,"Train",AutoClaim_Data!D2:D3168,"&lt;="&amp;$B$2),AVERAGEIFS(AutoClaim_Data!C2:C3168,AutoClaim_Data!B2:B3168,"Train",AutoClaim_Data!D2:D3168,"&gt;"&amp;$B$2))</f>
        <v/>
      </c>
      <c r="H87">
        <f>IF(AutoClaim_Data!D87&lt;=$B$2,IF(AutoClaim_Data!E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">
        <f>(F87-H87)^2</f>
        <v/>
      </c>
      <c r="J87">
        <f>--(E87="Validation")</f>
        <v/>
      </c>
    </row>
    <row r="88">
      <c r="D88">
        <f>AutoClaim_Data!A88</f>
        <v/>
      </c>
      <c r="E88">
        <f>AutoClaim_Data!B88</f>
        <v/>
      </c>
      <c r="F88">
        <f>AutoClaim_Data!C88</f>
        <v/>
      </c>
      <c r="G88">
        <f>IF(AutoClaim_Data!D88&lt;=$B$2,AVERAGEIFS(AutoClaim_Data!C2:C3168,AutoClaim_Data!B2:B3168,"Train",AutoClaim_Data!D2:D3168,"&lt;="&amp;$B$2),AVERAGEIFS(AutoClaim_Data!C2:C3168,AutoClaim_Data!B2:B3168,"Train",AutoClaim_Data!D2:D3168,"&gt;"&amp;$B$2))</f>
        <v/>
      </c>
      <c r="H88">
        <f>IF(AutoClaim_Data!D88&lt;=$B$2,IF(AutoClaim_Data!E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">
        <f>(F88-H88)^2</f>
        <v/>
      </c>
      <c r="J88">
        <f>--(E88="Validation")</f>
        <v/>
      </c>
    </row>
    <row r="89">
      <c r="D89">
        <f>AutoClaim_Data!A89</f>
        <v/>
      </c>
      <c r="E89">
        <f>AutoClaim_Data!B89</f>
        <v/>
      </c>
      <c r="F89">
        <f>AutoClaim_Data!C89</f>
        <v/>
      </c>
      <c r="G89">
        <f>IF(AutoClaim_Data!D89&lt;=$B$2,AVERAGEIFS(AutoClaim_Data!C2:C3168,AutoClaim_Data!B2:B3168,"Train",AutoClaim_Data!D2:D3168,"&lt;="&amp;$B$2),AVERAGEIFS(AutoClaim_Data!C2:C3168,AutoClaim_Data!B2:B3168,"Train",AutoClaim_Data!D2:D3168,"&gt;"&amp;$B$2))</f>
        <v/>
      </c>
      <c r="H89">
        <f>IF(AutoClaim_Data!D89&lt;=$B$2,IF(AutoClaim_Data!E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">
        <f>(F89-H89)^2</f>
        <v/>
      </c>
      <c r="J89">
        <f>--(E89="Validation")</f>
        <v/>
      </c>
    </row>
    <row r="90">
      <c r="D90">
        <f>AutoClaim_Data!A90</f>
        <v/>
      </c>
      <c r="E90">
        <f>AutoClaim_Data!B90</f>
        <v/>
      </c>
      <c r="F90">
        <f>AutoClaim_Data!C90</f>
        <v/>
      </c>
      <c r="G90">
        <f>IF(AutoClaim_Data!D90&lt;=$B$2,AVERAGEIFS(AutoClaim_Data!C2:C3168,AutoClaim_Data!B2:B3168,"Train",AutoClaim_Data!D2:D3168,"&lt;="&amp;$B$2),AVERAGEIFS(AutoClaim_Data!C2:C3168,AutoClaim_Data!B2:B3168,"Train",AutoClaim_Data!D2:D3168,"&gt;"&amp;$B$2))</f>
        <v/>
      </c>
      <c r="H90">
        <f>IF(AutoClaim_Data!D90&lt;=$B$2,IF(AutoClaim_Data!E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">
        <f>(F90-H90)^2</f>
        <v/>
      </c>
      <c r="J90">
        <f>--(E90="Validation")</f>
        <v/>
      </c>
    </row>
    <row r="91">
      <c r="D91">
        <f>AutoClaim_Data!A91</f>
        <v/>
      </c>
      <c r="E91">
        <f>AutoClaim_Data!B91</f>
        <v/>
      </c>
      <c r="F91">
        <f>AutoClaim_Data!C91</f>
        <v/>
      </c>
      <c r="G91">
        <f>IF(AutoClaim_Data!D91&lt;=$B$2,AVERAGEIFS(AutoClaim_Data!C2:C3168,AutoClaim_Data!B2:B3168,"Train",AutoClaim_Data!D2:D3168,"&lt;="&amp;$B$2),AVERAGEIFS(AutoClaim_Data!C2:C3168,AutoClaim_Data!B2:B3168,"Train",AutoClaim_Data!D2:D3168,"&gt;"&amp;$B$2))</f>
        <v/>
      </c>
      <c r="H91">
        <f>IF(AutoClaim_Data!D91&lt;=$B$2,IF(AutoClaim_Data!E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">
        <f>(F91-H91)^2</f>
        <v/>
      </c>
      <c r="J91">
        <f>--(E91="Validation")</f>
        <v/>
      </c>
    </row>
    <row r="92">
      <c r="D92">
        <f>AutoClaim_Data!A92</f>
        <v/>
      </c>
      <c r="E92">
        <f>AutoClaim_Data!B92</f>
        <v/>
      </c>
      <c r="F92">
        <f>AutoClaim_Data!C92</f>
        <v/>
      </c>
      <c r="G92">
        <f>IF(AutoClaim_Data!D92&lt;=$B$2,AVERAGEIFS(AutoClaim_Data!C2:C3168,AutoClaim_Data!B2:B3168,"Train",AutoClaim_Data!D2:D3168,"&lt;="&amp;$B$2),AVERAGEIFS(AutoClaim_Data!C2:C3168,AutoClaim_Data!B2:B3168,"Train",AutoClaim_Data!D2:D3168,"&gt;"&amp;$B$2))</f>
        <v/>
      </c>
      <c r="H92">
        <f>IF(AutoClaim_Data!D92&lt;=$B$2,IF(AutoClaim_Data!E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">
        <f>(F92-H92)^2</f>
        <v/>
      </c>
      <c r="J92">
        <f>--(E92="Validation")</f>
        <v/>
      </c>
    </row>
    <row r="93">
      <c r="D93">
        <f>AutoClaim_Data!A93</f>
        <v/>
      </c>
      <c r="E93">
        <f>AutoClaim_Data!B93</f>
        <v/>
      </c>
      <c r="F93">
        <f>AutoClaim_Data!C93</f>
        <v/>
      </c>
      <c r="G93">
        <f>IF(AutoClaim_Data!D93&lt;=$B$2,AVERAGEIFS(AutoClaim_Data!C2:C3168,AutoClaim_Data!B2:B3168,"Train",AutoClaim_Data!D2:D3168,"&lt;="&amp;$B$2),AVERAGEIFS(AutoClaim_Data!C2:C3168,AutoClaim_Data!B2:B3168,"Train",AutoClaim_Data!D2:D3168,"&gt;"&amp;$B$2))</f>
        <v/>
      </c>
      <c r="H93">
        <f>IF(AutoClaim_Data!D93&lt;=$B$2,IF(AutoClaim_Data!E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">
        <f>(F93-H93)^2</f>
        <v/>
      </c>
      <c r="J93">
        <f>--(E93="Validation")</f>
        <v/>
      </c>
    </row>
    <row r="94">
      <c r="D94">
        <f>AutoClaim_Data!A94</f>
        <v/>
      </c>
      <c r="E94">
        <f>AutoClaim_Data!B94</f>
        <v/>
      </c>
      <c r="F94">
        <f>AutoClaim_Data!C94</f>
        <v/>
      </c>
      <c r="G94">
        <f>IF(AutoClaim_Data!D94&lt;=$B$2,AVERAGEIFS(AutoClaim_Data!C2:C3168,AutoClaim_Data!B2:B3168,"Train",AutoClaim_Data!D2:D3168,"&lt;="&amp;$B$2),AVERAGEIFS(AutoClaim_Data!C2:C3168,AutoClaim_Data!B2:B3168,"Train",AutoClaim_Data!D2:D3168,"&gt;"&amp;$B$2))</f>
        <v/>
      </c>
      <c r="H94">
        <f>IF(AutoClaim_Data!D94&lt;=$B$2,IF(AutoClaim_Data!E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">
        <f>(F94-H94)^2</f>
        <v/>
      </c>
      <c r="J94">
        <f>--(E94="Validation")</f>
        <v/>
      </c>
    </row>
    <row r="95">
      <c r="D95">
        <f>AutoClaim_Data!A95</f>
        <v/>
      </c>
      <c r="E95">
        <f>AutoClaim_Data!B95</f>
        <v/>
      </c>
      <c r="F95">
        <f>AutoClaim_Data!C95</f>
        <v/>
      </c>
      <c r="G95">
        <f>IF(AutoClaim_Data!D95&lt;=$B$2,AVERAGEIFS(AutoClaim_Data!C2:C3168,AutoClaim_Data!B2:B3168,"Train",AutoClaim_Data!D2:D3168,"&lt;="&amp;$B$2),AVERAGEIFS(AutoClaim_Data!C2:C3168,AutoClaim_Data!B2:B3168,"Train",AutoClaim_Data!D2:D3168,"&gt;"&amp;$B$2))</f>
        <v/>
      </c>
      <c r="H95">
        <f>IF(AutoClaim_Data!D95&lt;=$B$2,IF(AutoClaim_Data!E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">
        <f>(F95-H95)^2</f>
        <v/>
      </c>
      <c r="J95">
        <f>--(E95="Validation")</f>
        <v/>
      </c>
    </row>
    <row r="96">
      <c r="D96">
        <f>AutoClaim_Data!A96</f>
        <v/>
      </c>
      <c r="E96">
        <f>AutoClaim_Data!B96</f>
        <v/>
      </c>
      <c r="F96">
        <f>AutoClaim_Data!C96</f>
        <v/>
      </c>
      <c r="G96">
        <f>IF(AutoClaim_Data!D96&lt;=$B$2,AVERAGEIFS(AutoClaim_Data!C2:C3168,AutoClaim_Data!B2:B3168,"Train",AutoClaim_Data!D2:D3168,"&lt;="&amp;$B$2),AVERAGEIFS(AutoClaim_Data!C2:C3168,AutoClaim_Data!B2:B3168,"Train",AutoClaim_Data!D2:D3168,"&gt;"&amp;$B$2))</f>
        <v/>
      </c>
      <c r="H96">
        <f>IF(AutoClaim_Data!D96&lt;=$B$2,IF(AutoClaim_Data!E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">
        <f>(F96-H96)^2</f>
        <v/>
      </c>
      <c r="J96">
        <f>--(E96="Validation")</f>
        <v/>
      </c>
    </row>
    <row r="97">
      <c r="D97">
        <f>AutoClaim_Data!A97</f>
        <v/>
      </c>
      <c r="E97">
        <f>AutoClaim_Data!B97</f>
        <v/>
      </c>
      <c r="F97">
        <f>AutoClaim_Data!C97</f>
        <v/>
      </c>
      <c r="G97">
        <f>IF(AutoClaim_Data!D97&lt;=$B$2,AVERAGEIFS(AutoClaim_Data!C2:C3168,AutoClaim_Data!B2:B3168,"Train",AutoClaim_Data!D2:D3168,"&lt;="&amp;$B$2),AVERAGEIFS(AutoClaim_Data!C2:C3168,AutoClaim_Data!B2:B3168,"Train",AutoClaim_Data!D2:D3168,"&gt;"&amp;$B$2))</f>
        <v/>
      </c>
      <c r="H97">
        <f>IF(AutoClaim_Data!D97&lt;=$B$2,IF(AutoClaim_Data!E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">
        <f>(F97-H97)^2</f>
        <v/>
      </c>
      <c r="J97">
        <f>--(E97="Validation")</f>
        <v/>
      </c>
    </row>
    <row r="98">
      <c r="D98">
        <f>AutoClaim_Data!A98</f>
        <v/>
      </c>
      <c r="E98">
        <f>AutoClaim_Data!B98</f>
        <v/>
      </c>
      <c r="F98">
        <f>AutoClaim_Data!C98</f>
        <v/>
      </c>
      <c r="G98">
        <f>IF(AutoClaim_Data!D98&lt;=$B$2,AVERAGEIFS(AutoClaim_Data!C2:C3168,AutoClaim_Data!B2:B3168,"Train",AutoClaim_Data!D2:D3168,"&lt;="&amp;$B$2),AVERAGEIFS(AutoClaim_Data!C2:C3168,AutoClaim_Data!B2:B3168,"Train",AutoClaim_Data!D2:D3168,"&gt;"&amp;$B$2))</f>
        <v/>
      </c>
      <c r="H98">
        <f>IF(AutoClaim_Data!D98&lt;=$B$2,IF(AutoClaim_Data!E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">
        <f>(F98-H98)^2</f>
        <v/>
      </c>
      <c r="J98">
        <f>--(E98="Validation")</f>
        <v/>
      </c>
    </row>
    <row r="99">
      <c r="D99">
        <f>AutoClaim_Data!A99</f>
        <v/>
      </c>
      <c r="E99">
        <f>AutoClaim_Data!B99</f>
        <v/>
      </c>
      <c r="F99">
        <f>AutoClaim_Data!C99</f>
        <v/>
      </c>
      <c r="G99">
        <f>IF(AutoClaim_Data!D99&lt;=$B$2,AVERAGEIFS(AutoClaim_Data!C2:C3168,AutoClaim_Data!B2:B3168,"Train",AutoClaim_Data!D2:D3168,"&lt;="&amp;$B$2),AVERAGEIFS(AutoClaim_Data!C2:C3168,AutoClaim_Data!B2:B3168,"Train",AutoClaim_Data!D2:D3168,"&gt;"&amp;$B$2))</f>
        <v/>
      </c>
      <c r="H99">
        <f>IF(AutoClaim_Data!D99&lt;=$B$2,IF(AutoClaim_Data!E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">
        <f>(F99-H99)^2</f>
        <v/>
      </c>
      <c r="J99">
        <f>--(E99="Validation")</f>
        <v/>
      </c>
    </row>
    <row r="100">
      <c r="D100">
        <f>AutoClaim_Data!A100</f>
        <v/>
      </c>
      <c r="E100">
        <f>AutoClaim_Data!B100</f>
        <v/>
      </c>
      <c r="F100">
        <f>AutoClaim_Data!C100</f>
        <v/>
      </c>
      <c r="G100">
        <f>IF(AutoClaim_Data!D100&lt;=$B$2,AVERAGEIFS(AutoClaim_Data!C2:C3168,AutoClaim_Data!B2:B3168,"Train",AutoClaim_Data!D2:D3168,"&lt;="&amp;$B$2),AVERAGEIFS(AutoClaim_Data!C2:C3168,AutoClaim_Data!B2:B3168,"Train",AutoClaim_Data!D2:D3168,"&gt;"&amp;$B$2))</f>
        <v/>
      </c>
      <c r="H100">
        <f>IF(AutoClaim_Data!D100&lt;=$B$2,IF(AutoClaim_Data!E100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">
        <f>(F100-H100)^2</f>
        <v/>
      </c>
      <c r="J100">
        <f>--(E100="Validation")</f>
        <v/>
      </c>
    </row>
    <row r="101">
      <c r="D101">
        <f>AutoClaim_Data!A101</f>
        <v/>
      </c>
      <c r="E101">
        <f>AutoClaim_Data!B101</f>
        <v/>
      </c>
      <c r="F101">
        <f>AutoClaim_Data!C101</f>
        <v/>
      </c>
      <c r="G101">
        <f>IF(AutoClaim_Data!D101&lt;=$B$2,AVERAGEIFS(AutoClaim_Data!C2:C3168,AutoClaim_Data!B2:B3168,"Train",AutoClaim_Data!D2:D3168,"&lt;="&amp;$B$2),AVERAGEIFS(AutoClaim_Data!C2:C3168,AutoClaim_Data!B2:B3168,"Train",AutoClaim_Data!D2:D3168,"&gt;"&amp;$B$2))</f>
        <v/>
      </c>
      <c r="H101">
        <f>IF(AutoClaim_Data!D101&lt;=$B$2,IF(AutoClaim_Data!E101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">
        <f>(F101-H101)^2</f>
        <v/>
      </c>
      <c r="J101">
        <f>--(E101="Validation")</f>
        <v/>
      </c>
    </row>
    <row r="102">
      <c r="D102">
        <f>AutoClaim_Data!A102</f>
        <v/>
      </c>
      <c r="E102">
        <f>AutoClaim_Data!B102</f>
        <v/>
      </c>
      <c r="F102">
        <f>AutoClaim_Data!C102</f>
        <v/>
      </c>
      <c r="G102">
        <f>IF(AutoClaim_Data!D102&lt;=$B$2,AVERAGEIFS(AutoClaim_Data!C2:C3168,AutoClaim_Data!B2:B3168,"Train",AutoClaim_Data!D2:D3168,"&lt;="&amp;$B$2),AVERAGEIFS(AutoClaim_Data!C2:C3168,AutoClaim_Data!B2:B3168,"Train",AutoClaim_Data!D2:D3168,"&gt;"&amp;$B$2))</f>
        <v/>
      </c>
      <c r="H102">
        <f>IF(AutoClaim_Data!D102&lt;=$B$2,IF(AutoClaim_Data!E102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">
        <f>(F102-H102)^2</f>
        <v/>
      </c>
      <c r="J102">
        <f>--(E102="Validation")</f>
        <v/>
      </c>
    </row>
    <row r="103">
      <c r="D103">
        <f>AutoClaim_Data!A103</f>
        <v/>
      </c>
      <c r="E103">
        <f>AutoClaim_Data!B103</f>
        <v/>
      </c>
      <c r="F103">
        <f>AutoClaim_Data!C103</f>
        <v/>
      </c>
      <c r="G103">
        <f>IF(AutoClaim_Data!D103&lt;=$B$2,AVERAGEIFS(AutoClaim_Data!C2:C3168,AutoClaim_Data!B2:B3168,"Train",AutoClaim_Data!D2:D3168,"&lt;="&amp;$B$2),AVERAGEIFS(AutoClaim_Data!C2:C3168,AutoClaim_Data!B2:B3168,"Train",AutoClaim_Data!D2:D3168,"&gt;"&amp;$B$2))</f>
        <v/>
      </c>
      <c r="H103">
        <f>IF(AutoClaim_Data!D103&lt;=$B$2,IF(AutoClaim_Data!E103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">
        <f>(F103-H103)^2</f>
        <v/>
      </c>
      <c r="J103">
        <f>--(E103="Validation")</f>
        <v/>
      </c>
    </row>
    <row r="104">
      <c r="D104">
        <f>AutoClaim_Data!A104</f>
        <v/>
      </c>
      <c r="E104">
        <f>AutoClaim_Data!B104</f>
        <v/>
      </c>
      <c r="F104">
        <f>AutoClaim_Data!C104</f>
        <v/>
      </c>
      <c r="G104">
        <f>IF(AutoClaim_Data!D104&lt;=$B$2,AVERAGEIFS(AutoClaim_Data!C2:C3168,AutoClaim_Data!B2:B3168,"Train",AutoClaim_Data!D2:D3168,"&lt;="&amp;$B$2),AVERAGEIFS(AutoClaim_Data!C2:C3168,AutoClaim_Data!B2:B3168,"Train",AutoClaim_Data!D2:D3168,"&gt;"&amp;$B$2))</f>
        <v/>
      </c>
      <c r="H104">
        <f>IF(AutoClaim_Data!D104&lt;=$B$2,IF(AutoClaim_Data!E104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">
        <f>(F104-H104)^2</f>
        <v/>
      </c>
      <c r="J104">
        <f>--(E104="Validation")</f>
        <v/>
      </c>
    </row>
    <row r="105">
      <c r="D105">
        <f>AutoClaim_Data!A105</f>
        <v/>
      </c>
      <c r="E105">
        <f>AutoClaim_Data!B105</f>
        <v/>
      </c>
      <c r="F105">
        <f>AutoClaim_Data!C105</f>
        <v/>
      </c>
      <c r="G105">
        <f>IF(AutoClaim_Data!D105&lt;=$B$2,AVERAGEIFS(AutoClaim_Data!C2:C3168,AutoClaim_Data!B2:B3168,"Train",AutoClaim_Data!D2:D3168,"&lt;="&amp;$B$2),AVERAGEIFS(AutoClaim_Data!C2:C3168,AutoClaim_Data!B2:B3168,"Train",AutoClaim_Data!D2:D3168,"&gt;"&amp;$B$2))</f>
        <v/>
      </c>
      <c r="H105">
        <f>IF(AutoClaim_Data!D105&lt;=$B$2,IF(AutoClaim_Data!E105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">
        <f>(F105-H105)^2</f>
        <v/>
      </c>
      <c r="J105">
        <f>--(E105="Validation")</f>
        <v/>
      </c>
    </row>
    <row r="106">
      <c r="D106">
        <f>AutoClaim_Data!A106</f>
        <v/>
      </c>
      <c r="E106">
        <f>AutoClaim_Data!B106</f>
        <v/>
      </c>
      <c r="F106">
        <f>AutoClaim_Data!C106</f>
        <v/>
      </c>
      <c r="G106">
        <f>IF(AutoClaim_Data!D106&lt;=$B$2,AVERAGEIFS(AutoClaim_Data!C2:C3168,AutoClaim_Data!B2:B3168,"Train",AutoClaim_Data!D2:D3168,"&lt;="&amp;$B$2),AVERAGEIFS(AutoClaim_Data!C2:C3168,AutoClaim_Data!B2:B3168,"Train",AutoClaim_Data!D2:D3168,"&gt;"&amp;$B$2))</f>
        <v/>
      </c>
      <c r="H106">
        <f>IF(AutoClaim_Data!D106&lt;=$B$2,IF(AutoClaim_Data!E106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">
        <f>(F106-H106)^2</f>
        <v/>
      </c>
      <c r="J106">
        <f>--(E106="Validation")</f>
        <v/>
      </c>
    </row>
    <row r="107">
      <c r="D107">
        <f>AutoClaim_Data!A107</f>
        <v/>
      </c>
      <c r="E107">
        <f>AutoClaim_Data!B107</f>
        <v/>
      </c>
      <c r="F107">
        <f>AutoClaim_Data!C107</f>
        <v/>
      </c>
      <c r="G107">
        <f>IF(AutoClaim_Data!D107&lt;=$B$2,AVERAGEIFS(AutoClaim_Data!C2:C3168,AutoClaim_Data!B2:B3168,"Train",AutoClaim_Data!D2:D3168,"&lt;="&amp;$B$2),AVERAGEIFS(AutoClaim_Data!C2:C3168,AutoClaim_Data!B2:B3168,"Train",AutoClaim_Data!D2:D3168,"&gt;"&amp;$B$2))</f>
        <v/>
      </c>
      <c r="H107">
        <f>IF(AutoClaim_Data!D107&lt;=$B$2,IF(AutoClaim_Data!E107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">
        <f>(F107-H107)^2</f>
        <v/>
      </c>
      <c r="J107">
        <f>--(E107="Validation")</f>
        <v/>
      </c>
    </row>
    <row r="108">
      <c r="D108">
        <f>AutoClaim_Data!A108</f>
        <v/>
      </c>
      <c r="E108">
        <f>AutoClaim_Data!B108</f>
        <v/>
      </c>
      <c r="F108">
        <f>AutoClaim_Data!C108</f>
        <v/>
      </c>
      <c r="G108">
        <f>IF(AutoClaim_Data!D108&lt;=$B$2,AVERAGEIFS(AutoClaim_Data!C2:C3168,AutoClaim_Data!B2:B3168,"Train",AutoClaim_Data!D2:D3168,"&lt;="&amp;$B$2),AVERAGEIFS(AutoClaim_Data!C2:C3168,AutoClaim_Data!B2:B3168,"Train",AutoClaim_Data!D2:D3168,"&gt;"&amp;$B$2))</f>
        <v/>
      </c>
      <c r="H108">
        <f>IF(AutoClaim_Data!D108&lt;=$B$2,IF(AutoClaim_Data!E108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">
        <f>(F108-H108)^2</f>
        <v/>
      </c>
      <c r="J108">
        <f>--(E108="Validation")</f>
        <v/>
      </c>
    </row>
    <row r="109">
      <c r="D109">
        <f>AutoClaim_Data!A109</f>
        <v/>
      </c>
      <c r="E109">
        <f>AutoClaim_Data!B109</f>
        <v/>
      </c>
      <c r="F109">
        <f>AutoClaim_Data!C109</f>
        <v/>
      </c>
      <c r="G109">
        <f>IF(AutoClaim_Data!D109&lt;=$B$2,AVERAGEIFS(AutoClaim_Data!C2:C3168,AutoClaim_Data!B2:B3168,"Train",AutoClaim_Data!D2:D3168,"&lt;="&amp;$B$2),AVERAGEIFS(AutoClaim_Data!C2:C3168,AutoClaim_Data!B2:B3168,"Train",AutoClaim_Data!D2:D3168,"&gt;"&amp;$B$2))</f>
        <v/>
      </c>
      <c r="H109">
        <f>IF(AutoClaim_Data!D109&lt;=$B$2,IF(AutoClaim_Data!E109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">
        <f>(F109-H109)^2</f>
        <v/>
      </c>
      <c r="J109">
        <f>--(E109="Validation")</f>
        <v/>
      </c>
    </row>
    <row r="110">
      <c r="D110">
        <f>AutoClaim_Data!A110</f>
        <v/>
      </c>
      <c r="E110">
        <f>AutoClaim_Data!B110</f>
        <v/>
      </c>
      <c r="F110">
        <f>AutoClaim_Data!C110</f>
        <v/>
      </c>
      <c r="G110">
        <f>IF(AutoClaim_Data!D110&lt;=$B$2,AVERAGEIFS(AutoClaim_Data!C2:C3168,AutoClaim_Data!B2:B3168,"Train",AutoClaim_Data!D2:D3168,"&lt;="&amp;$B$2),AVERAGEIFS(AutoClaim_Data!C2:C3168,AutoClaim_Data!B2:B3168,"Train",AutoClaim_Data!D2:D3168,"&gt;"&amp;$B$2))</f>
        <v/>
      </c>
      <c r="H110">
        <f>IF(AutoClaim_Data!D110&lt;=$B$2,IF(AutoClaim_Data!E110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">
        <f>(F110-H110)^2</f>
        <v/>
      </c>
      <c r="J110">
        <f>--(E110="Validation")</f>
        <v/>
      </c>
    </row>
    <row r="111">
      <c r="D111">
        <f>AutoClaim_Data!A111</f>
        <v/>
      </c>
      <c r="E111">
        <f>AutoClaim_Data!B111</f>
        <v/>
      </c>
      <c r="F111">
        <f>AutoClaim_Data!C111</f>
        <v/>
      </c>
      <c r="G111">
        <f>IF(AutoClaim_Data!D111&lt;=$B$2,AVERAGEIFS(AutoClaim_Data!C2:C3168,AutoClaim_Data!B2:B3168,"Train",AutoClaim_Data!D2:D3168,"&lt;="&amp;$B$2),AVERAGEIFS(AutoClaim_Data!C2:C3168,AutoClaim_Data!B2:B3168,"Train",AutoClaim_Data!D2:D3168,"&gt;"&amp;$B$2))</f>
        <v/>
      </c>
      <c r="H111">
        <f>IF(AutoClaim_Data!D111&lt;=$B$2,IF(AutoClaim_Data!E111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">
        <f>(F111-H111)^2</f>
        <v/>
      </c>
      <c r="J111">
        <f>--(E111="Validation")</f>
        <v/>
      </c>
    </row>
    <row r="112">
      <c r="D112">
        <f>AutoClaim_Data!A112</f>
        <v/>
      </c>
      <c r="E112">
        <f>AutoClaim_Data!B112</f>
        <v/>
      </c>
      <c r="F112">
        <f>AutoClaim_Data!C112</f>
        <v/>
      </c>
      <c r="G112">
        <f>IF(AutoClaim_Data!D112&lt;=$B$2,AVERAGEIFS(AutoClaim_Data!C2:C3168,AutoClaim_Data!B2:B3168,"Train",AutoClaim_Data!D2:D3168,"&lt;="&amp;$B$2),AVERAGEIFS(AutoClaim_Data!C2:C3168,AutoClaim_Data!B2:B3168,"Train",AutoClaim_Data!D2:D3168,"&gt;"&amp;$B$2))</f>
        <v/>
      </c>
      <c r="H112">
        <f>IF(AutoClaim_Data!D112&lt;=$B$2,IF(AutoClaim_Data!E112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">
        <f>(F112-H112)^2</f>
        <v/>
      </c>
      <c r="J112">
        <f>--(E112="Validation")</f>
        <v/>
      </c>
    </row>
    <row r="113">
      <c r="D113">
        <f>AutoClaim_Data!A113</f>
        <v/>
      </c>
      <c r="E113">
        <f>AutoClaim_Data!B113</f>
        <v/>
      </c>
      <c r="F113">
        <f>AutoClaim_Data!C113</f>
        <v/>
      </c>
      <c r="G113">
        <f>IF(AutoClaim_Data!D113&lt;=$B$2,AVERAGEIFS(AutoClaim_Data!C2:C3168,AutoClaim_Data!B2:B3168,"Train",AutoClaim_Data!D2:D3168,"&lt;="&amp;$B$2),AVERAGEIFS(AutoClaim_Data!C2:C3168,AutoClaim_Data!B2:B3168,"Train",AutoClaim_Data!D2:D3168,"&gt;"&amp;$B$2))</f>
        <v/>
      </c>
      <c r="H113">
        <f>IF(AutoClaim_Data!D113&lt;=$B$2,IF(AutoClaim_Data!E113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">
        <f>(F113-H113)^2</f>
        <v/>
      </c>
      <c r="J113">
        <f>--(E113="Validation")</f>
        <v/>
      </c>
    </row>
    <row r="114">
      <c r="D114">
        <f>AutoClaim_Data!A114</f>
        <v/>
      </c>
      <c r="E114">
        <f>AutoClaim_Data!B114</f>
        <v/>
      </c>
      <c r="F114">
        <f>AutoClaim_Data!C114</f>
        <v/>
      </c>
      <c r="G114">
        <f>IF(AutoClaim_Data!D114&lt;=$B$2,AVERAGEIFS(AutoClaim_Data!C2:C3168,AutoClaim_Data!B2:B3168,"Train",AutoClaim_Data!D2:D3168,"&lt;="&amp;$B$2),AVERAGEIFS(AutoClaim_Data!C2:C3168,AutoClaim_Data!B2:B3168,"Train",AutoClaim_Data!D2:D3168,"&gt;"&amp;$B$2))</f>
        <v/>
      </c>
      <c r="H114">
        <f>IF(AutoClaim_Data!D114&lt;=$B$2,IF(AutoClaim_Data!E114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">
        <f>(F114-H114)^2</f>
        <v/>
      </c>
      <c r="J114">
        <f>--(E114="Validation")</f>
        <v/>
      </c>
    </row>
    <row r="115">
      <c r="D115">
        <f>AutoClaim_Data!A115</f>
        <v/>
      </c>
      <c r="E115">
        <f>AutoClaim_Data!B115</f>
        <v/>
      </c>
      <c r="F115">
        <f>AutoClaim_Data!C115</f>
        <v/>
      </c>
      <c r="G115">
        <f>IF(AutoClaim_Data!D115&lt;=$B$2,AVERAGEIFS(AutoClaim_Data!C2:C3168,AutoClaim_Data!B2:B3168,"Train",AutoClaim_Data!D2:D3168,"&lt;="&amp;$B$2),AVERAGEIFS(AutoClaim_Data!C2:C3168,AutoClaim_Data!B2:B3168,"Train",AutoClaim_Data!D2:D3168,"&gt;"&amp;$B$2))</f>
        <v/>
      </c>
      <c r="H115">
        <f>IF(AutoClaim_Data!D115&lt;=$B$2,IF(AutoClaim_Data!E115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">
        <f>(F115-H115)^2</f>
        <v/>
      </c>
      <c r="J115">
        <f>--(E115="Validation")</f>
        <v/>
      </c>
    </row>
    <row r="116">
      <c r="D116">
        <f>AutoClaim_Data!A116</f>
        <v/>
      </c>
      <c r="E116">
        <f>AutoClaim_Data!B116</f>
        <v/>
      </c>
      <c r="F116">
        <f>AutoClaim_Data!C116</f>
        <v/>
      </c>
      <c r="G116">
        <f>IF(AutoClaim_Data!D116&lt;=$B$2,AVERAGEIFS(AutoClaim_Data!C2:C3168,AutoClaim_Data!B2:B3168,"Train",AutoClaim_Data!D2:D3168,"&lt;="&amp;$B$2),AVERAGEIFS(AutoClaim_Data!C2:C3168,AutoClaim_Data!B2:B3168,"Train",AutoClaim_Data!D2:D3168,"&gt;"&amp;$B$2))</f>
        <v/>
      </c>
      <c r="H116">
        <f>IF(AutoClaim_Data!D116&lt;=$B$2,IF(AutoClaim_Data!E116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">
        <f>(F116-H116)^2</f>
        <v/>
      </c>
      <c r="J116">
        <f>--(E116="Validation")</f>
        <v/>
      </c>
    </row>
    <row r="117">
      <c r="D117">
        <f>AutoClaim_Data!A117</f>
        <v/>
      </c>
      <c r="E117">
        <f>AutoClaim_Data!B117</f>
        <v/>
      </c>
      <c r="F117">
        <f>AutoClaim_Data!C117</f>
        <v/>
      </c>
      <c r="G117">
        <f>IF(AutoClaim_Data!D117&lt;=$B$2,AVERAGEIFS(AutoClaim_Data!C2:C3168,AutoClaim_Data!B2:B3168,"Train",AutoClaim_Data!D2:D3168,"&lt;="&amp;$B$2),AVERAGEIFS(AutoClaim_Data!C2:C3168,AutoClaim_Data!B2:B3168,"Train",AutoClaim_Data!D2:D3168,"&gt;"&amp;$B$2))</f>
        <v/>
      </c>
      <c r="H117">
        <f>IF(AutoClaim_Data!D117&lt;=$B$2,IF(AutoClaim_Data!E117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">
        <f>(F117-H117)^2</f>
        <v/>
      </c>
      <c r="J117">
        <f>--(E117="Validation")</f>
        <v/>
      </c>
    </row>
    <row r="118">
      <c r="D118">
        <f>AutoClaim_Data!A118</f>
        <v/>
      </c>
      <c r="E118">
        <f>AutoClaim_Data!B118</f>
        <v/>
      </c>
      <c r="F118">
        <f>AutoClaim_Data!C118</f>
        <v/>
      </c>
      <c r="G118">
        <f>IF(AutoClaim_Data!D118&lt;=$B$2,AVERAGEIFS(AutoClaim_Data!C2:C3168,AutoClaim_Data!B2:B3168,"Train",AutoClaim_Data!D2:D3168,"&lt;="&amp;$B$2),AVERAGEIFS(AutoClaim_Data!C2:C3168,AutoClaim_Data!B2:B3168,"Train",AutoClaim_Data!D2:D3168,"&gt;"&amp;$B$2))</f>
        <v/>
      </c>
      <c r="H118">
        <f>IF(AutoClaim_Data!D118&lt;=$B$2,IF(AutoClaim_Data!E118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">
        <f>(F118-H118)^2</f>
        <v/>
      </c>
      <c r="J118">
        <f>--(E118="Validation")</f>
        <v/>
      </c>
    </row>
    <row r="119">
      <c r="D119">
        <f>AutoClaim_Data!A119</f>
        <v/>
      </c>
      <c r="E119">
        <f>AutoClaim_Data!B119</f>
        <v/>
      </c>
      <c r="F119">
        <f>AutoClaim_Data!C119</f>
        <v/>
      </c>
      <c r="G119">
        <f>IF(AutoClaim_Data!D119&lt;=$B$2,AVERAGEIFS(AutoClaim_Data!C2:C3168,AutoClaim_Data!B2:B3168,"Train",AutoClaim_Data!D2:D3168,"&lt;="&amp;$B$2),AVERAGEIFS(AutoClaim_Data!C2:C3168,AutoClaim_Data!B2:B3168,"Train",AutoClaim_Data!D2:D3168,"&gt;"&amp;$B$2))</f>
        <v/>
      </c>
      <c r="H119">
        <f>IF(AutoClaim_Data!D119&lt;=$B$2,IF(AutoClaim_Data!E119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">
        <f>(F119-H119)^2</f>
        <v/>
      </c>
      <c r="J119">
        <f>--(E119="Validation")</f>
        <v/>
      </c>
    </row>
    <row r="120">
      <c r="D120">
        <f>AutoClaim_Data!A120</f>
        <v/>
      </c>
      <c r="E120">
        <f>AutoClaim_Data!B120</f>
        <v/>
      </c>
      <c r="F120">
        <f>AutoClaim_Data!C120</f>
        <v/>
      </c>
      <c r="G120">
        <f>IF(AutoClaim_Data!D120&lt;=$B$2,AVERAGEIFS(AutoClaim_Data!C2:C3168,AutoClaim_Data!B2:B3168,"Train",AutoClaim_Data!D2:D3168,"&lt;="&amp;$B$2),AVERAGEIFS(AutoClaim_Data!C2:C3168,AutoClaim_Data!B2:B3168,"Train",AutoClaim_Data!D2:D3168,"&gt;"&amp;$B$2))</f>
        <v/>
      </c>
      <c r="H120">
        <f>IF(AutoClaim_Data!D120&lt;=$B$2,IF(AutoClaim_Data!E120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">
        <f>(F120-H120)^2</f>
        <v/>
      </c>
      <c r="J120">
        <f>--(E120="Validation")</f>
        <v/>
      </c>
    </row>
    <row r="121">
      <c r="D121">
        <f>AutoClaim_Data!A121</f>
        <v/>
      </c>
      <c r="E121">
        <f>AutoClaim_Data!B121</f>
        <v/>
      </c>
      <c r="F121">
        <f>AutoClaim_Data!C121</f>
        <v/>
      </c>
      <c r="G121">
        <f>IF(AutoClaim_Data!D121&lt;=$B$2,AVERAGEIFS(AutoClaim_Data!C2:C3168,AutoClaim_Data!B2:B3168,"Train",AutoClaim_Data!D2:D3168,"&lt;="&amp;$B$2),AVERAGEIFS(AutoClaim_Data!C2:C3168,AutoClaim_Data!B2:B3168,"Train",AutoClaim_Data!D2:D3168,"&gt;"&amp;$B$2))</f>
        <v/>
      </c>
      <c r="H121">
        <f>IF(AutoClaim_Data!D121&lt;=$B$2,IF(AutoClaim_Data!E121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">
        <f>(F121-H121)^2</f>
        <v/>
      </c>
      <c r="J121">
        <f>--(E121="Validation")</f>
        <v/>
      </c>
    </row>
    <row r="122">
      <c r="D122">
        <f>AutoClaim_Data!A122</f>
        <v/>
      </c>
      <c r="E122">
        <f>AutoClaim_Data!B122</f>
        <v/>
      </c>
      <c r="F122">
        <f>AutoClaim_Data!C122</f>
        <v/>
      </c>
      <c r="G122">
        <f>IF(AutoClaim_Data!D122&lt;=$B$2,AVERAGEIFS(AutoClaim_Data!C2:C3168,AutoClaim_Data!B2:B3168,"Train",AutoClaim_Data!D2:D3168,"&lt;="&amp;$B$2),AVERAGEIFS(AutoClaim_Data!C2:C3168,AutoClaim_Data!B2:B3168,"Train",AutoClaim_Data!D2:D3168,"&gt;"&amp;$B$2))</f>
        <v/>
      </c>
      <c r="H122">
        <f>IF(AutoClaim_Data!D122&lt;=$B$2,IF(AutoClaim_Data!E122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">
        <f>(F122-H122)^2</f>
        <v/>
      </c>
      <c r="J122">
        <f>--(E122="Validation")</f>
        <v/>
      </c>
    </row>
    <row r="123">
      <c r="D123">
        <f>AutoClaim_Data!A123</f>
        <v/>
      </c>
      <c r="E123">
        <f>AutoClaim_Data!B123</f>
        <v/>
      </c>
      <c r="F123">
        <f>AutoClaim_Data!C123</f>
        <v/>
      </c>
      <c r="G123">
        <f>IF(AutoClaim_Data!D123&lt;=$B$2,AVERAGEIFS(AutoClaim_Data!C2:C3168,AutoClaim_Data!B2:B3168,"Train",AutoClaim_Data!D2:D3168,"&lt;="&amp;$B$2),AVERAGEIFS(AutoClaim_Data!C2:C3168,AutoClaim_Data!B2:B3168,"Train",AutoClaim_Data!D2:D3168,"&gt;"&amp;$B$2))</f>
        <v/>
      </c>
      <c r="H123">
        <f>IF(AutoClaim_Data!D123&lt;=$B$2,IF(AutoClaim_Data!E123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">
        <f>(F123-H123)^2</f>
        <v/>
      </c>
      <c r="J123">
        <f>--(E123="Validation")</f>
        <v/>
      </c>
    </row>
    <row r="124">
      <c r="D124">
        <f>AutoClaim_Data!A124</f>
        <v/>
      </c>
      <c r="E124">
        <f>AutoClaim_Data!B124</f>
        <v/>
      </c>
      <c r="F124">
        <f>AutoClaim_Data!C124</f>
        <v/>
      </c>
      <c r="G124">
        <f>IF(AutoClaim_Data!D124&lt;=$B$2,AVERAGEIFS(AutoClaim_Data!C2:C3168,AutoClaim_Data!B2:B3168,"Train",AutoClaim_Data!D2:D3168,"&lt;="&amp;$B$2),AVERAGEIFS(AutoClaim_Data!C2:C3168,AutoClaim_Data!B2:B3168,"Train",AutoClaim_Data!D2:D3168,"&gt;"&amp;$B$2))</f>
        <v/>
      </c>
      <c r="H124">
        <f>IF(AutoClaim_Data!D124&lt;=$B$2,IF(AutoClaim_Data!E124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">
        <f>(F124-H124)^2</f>
        <v/>
      </c>
      <c r="J124">
        <f>--(E124="Validation")</f>
        <v/>
      </c>
    </row>
    <row r="125">
      <c r="D125">
        <f>AutoClaim_Data!A125</f>
        <v/>
      </c>
      <c r="E125">
        <f>AutoClaim_Data!B125</f>
        <v/>
      </c>
      <c r="F125">
        <f>AutoClaim_Data!C125</f>
        <v/>
      </c>
      <c r="G125">
        <f>IF(AutoClaim_Data!D125&lt;=$B$2,AVERAGEIFS(AutoClaim_Data!C2:C3168,AutoClaim_Data!B2:B3168,"Train",AutoClaim_Data!D2:D3168,"&lt;="&amp;$B$2),AVERAGEIFS(AutoClaim_Data!C2:C3168,AutoClaim_Data!B2:B3168,"Train",AutoClaim_Data!D2:D3168,"&gt;"&amp;$B$2))</f>
        <v/>
      </c>
      <c r="H125">
        <f>IF(AutoClaim_Data!D125&lt;=$B$2,IF(AutoClaim_Data!E125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">
        <f>(F125-H125)^2</f>
        <v/>
      </c>
      <c r="J125">
        <f>--(E125="Validation")</f>
        <v/>
      </c>
    </row>
    <row r="126">
      <c r="D126">
        <f>AutoClaim_Data!A126</f>
        <v/>
      </c>
      <c r="E126">
        <f>AutoClaim_Data!B126</f>
        <v/>
      </c>
      <c r="F126">
        <f>AutoClaim_Data!C126</f>
        <v/>
      </c>
      <c r="G126">
        <f>IF(AutoClaim_Data!D126&lt;=$B$2,AVERAGEIFS(AutoClaim_Data!C2:C3168,AutoClaim_Data!B2:B3168,"Train",AutoClaim_Data!D2:D3168,"&lt;="&amp;$B$2),AVERAGEIFS(AutoClaim_Data!C2:C3168,AutoClaim_Data!B2:B3168,"Train",AutoClaim_Data!D2:D3168,"&gt;"&amp;$B$2))</f>
        <v/>
      </c>
      <c r="H126">
        <f>IF(AutoClaim_Data!D126&lt;=$B$2,IF(AutoClaim_Data!E126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">
        <f>(F126-H126)^2</f>
        <v/>
      </c>
      <c r="J126">
        <f>--(E126="Validation")</f>
        <v/>
      </c>
    </row>
    <row r="127">
      <c r="D127">
        <f>AutoClaim_Data!A127</f>
        <v/>
      </c>
      <c r="E127">
        <f>AutoClaim_Data!B127</f>
        <v/>
      </c>
      <c r="F127">
        <f>AutoClaim_Data!C127</f>
        <v/>
      </c>
      <c r="G127">
        <f>IF(AutoClaim_Data!D127&lt;=$B$2,AVERAGEIFS(AutoClaim_Data!C2:C3168,AutoClaim_Data!B2:B3168,"Train",AutoClaim_Data!D2:D3168,"&lt;="&amp;$B$2),AVERAGEIFS(AutoClaim_Data!C2:C3168,AutoClaim_Data!B2:B3168,"Train",AutoClaim_Data!D2:D3168,"&gt;"&amp;$B$2))</f>
        <v/>
      </c>
      <c r="H127">
        <f>IF(AutoClaim_Data!D127&lt;=$B$2,IF(AutoClaim_Data!E127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">
        <f>(F127-H127)^2</f>
        <v/>
      </c>
      <c r="J127">
        <f>--(E127="Validation")</f>
        <v/>
      </c>
    </row>
    <row r="128">
      <c r="D128">
        <f>AutoClaim_Data!A128</f>
        <v/>
      </c>
      <c r="E128">
        <f>AutoClaim_Data!B128</f>
        <v/>
      </c>
      <c r="F128">
        <f>AutoClaim_Data!C128</f>
        <v/>
      </c>
      <c r="G128">
        <f>IF(AutoClaim_Data!D128&lt;=$B$2,AVERAGEIFS(AutoClaim_Data!C2:C3168,AutoClaim_Data!B2:B3168,"Train",AutoClaim_Data!D2:D3168,"&lt;="&amp;$B$2),AVERAGEIFS(AutoClaim_Data!C2:C3168,AutoClaim_Data!B2:B3168,"Train",AutoClaim_Data!D2:D3168,"&gt;"&amp;$B$2))</f>
        <v/>
      </c>
      <c r="H128">
        <f>IF(AutoClaim_Data!D128&lt;=$B$2,IF(AutoClaim_Data!E128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">
        <f>(F128-H128)^2</f>
        <v/>
      </c>
      <c r="J128">
        <f>--(E128="Validation")</f>
        <v/>
      </c>
    </row>
    <row r="129">
      <c r="D129">
        <f>AutoClaim_Data!A129</f>
        <v/>
      </c>
      <c r="E129">
        <f>AutoClaim_Data!B129</f>
        <v/>
      </c>
      <c r="F129">
        <f>AutoClaim_Data!C129</f>
        <v/>
      </c>
      <c r="G129">
        <f>IF(AutoClaim_Data!D129&lt;=$B$2,AVERAGEIFS(AutoClaim_Data!C2:C3168,AutoClaim_Data!B2:B3168,"Train",AutoClaim_Data!D2:D3168,"&lt;="&amp;$B$2),AVERAGEIFS(AutoClaim_Data!C2:C3168,AutoClaim_Data!B2:B3168,"Train",AutoClaim_Data!D2:D3168,"&gt;"&amp;$B$2))</f>
        <v/>
      </c>
      <c r="H129">
        <f>IF(AutoClaim_Data!D129&lt;=$B$2,IF(AutoClaim_Data!E129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">
        <f>(F129-H129)^2</f>
        <v/>
      </c>
      <c r="J129">
        <f>--(E129="Validation")</f>
        <v/>
      </c>
    </row>
    <row r="130">
      <c r="D130">
        <f>AutoClaim_Data!A130</f>
        <v/>
      </c>
      <c r="E130">
        <f>AutoClaim_Data!B130</f>
        <v/>
      </c>
      <c r="F130">
        <f>AutoClaim_Data!C130</f>
        <v/>
      </c>
      <c r="G130">
        <f>IF(AutoClaim_Data!D130&lt;=$B$2,AVERAGEIFS(AutoClaim_Data!C2:C3168,AutoClaim_Data!B2:B3168,"Train",AutoClaim_Data!D2:D3168,"&lt;="&amp;$B$2),AVERAGEIFS(AutoClaim_Data!C2:C3168,AutoClaim_Data!B2:B3168,"Train",AutoClaim_Data!D2:D3168,"&gt;"&amp;$B$2))</f>
        <v/>
      </c>
      <c r="H130">
        <f>IF(AutoClaim_Data!D130&lt;=$B$2,IF(AutoClaim_Data!E130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">
        <f>(F130-H130)^2</f>
        <v/>
      </c>
      <c r="J130">
        <f>--(E130="Validation")</f>
        <v/>
      </c>
    </row>
    <row r="131">
      <c r="D131">
        <f>AutoClaim_Data!A131</f>
        <v/>
      </c>
      <c r="E131">
        <f>AutoClaim_Data!B131</f>
        <v/>
      </c>
      <c r="F131">
        <f>AutoClaim_Data!C131</f>
        <v/>
      </c>
      <c r="G131">
        <f>IF(AutoClaim_Data!D131&lt;=$B$2,AVERAGEIFS(AutoClaim_Data!C2:C3168,AutoClaim_Data!B2:B3168,"Train",AutoClaim_Data!D2:D3168,"&lt;="&amp;$B$2),AVERAGEIFS(AutoClaim_Data!C2:C3168,AutoClaim_Data!B2:B3168,"Train",AutoClaim_Data!D2:D3168,"&gt;"&amp;$B$2))</f>
        <v/>
      </c>
      <c r="H131">
        <f>IF(AutoClaim_Data!D131&lt;=$B$2,IF(AutoClaim_Data!E131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">
        <f>(F131-H131)^2</f>
        <v/>
      </c>
      <c r="J131">
        <f>--(E131="Validation")</f>
        <v/>
      </c>
    </row>
    <row r="132">
      <c r="D132">
        <f>AutoClaim_Data!A132</f>
        <v/>
      </c>
      <c r="E132">
        <f>AutoClaim_Data!B132</f>
        <v/>
      </c>
      <c r="F132">
        <f>AutoClaim_Data!C132</f>
        <v/>
      </c>
      <c r="G132">
        <f>IF(AutoClaim_Data!D132&lt;=$B$2,AVERAGEIFS(AutoClaim_Data!C2:C3168,AutoClaim_Data!B2:B3168,"Train",AutoClaim_Data!D2:D3168,"&lt;="&amp;$B$2),AVERAGEIFS(AutoClaim_Data!C2:C3168,AutoClaim_Data!B2:B3168,"Train",AutoClaim_Data!D2:D3168,"&gt;"&amp;$B$2))</f>
        <v/>
      </c>
      <c r="H132">
        <f>IF(AutoClaim_Data!D132&lt;=$B$2,IF(AutoClaim_Data!E132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">
        <f>(F132-H132)^2</f>
        <v/>
      </c>
      <c r="J132">
        <f>--(E132="Validation")</f>
        <v/>
      </c>
    </row>
    <row r="133">
      <c r="D133">
        <f>AutoClaim_Data!A133</f>
        <v/>
      </c>
      <c r="E133">
        <f>AutoClaim_Data!B133</f>
        <v/>
      </c>
      <c r="F133">
        <f>AutoClaim_Data!C133</f>
        <v/>
      </c>
      <c r="G133">
        <f>IF(AutoClaim_Data!D133&lt;=$B$2,AVERAGEIFS(AutoClaim_Data!C2:C3168,AutoClaim_Data!B2:B3168,"Train",AutoClaim_Data!D2:D3168,"&lt;="&amp;$B$2),AVERAGEIFS(AutoClaim_Data!C2:C3168,AutoClaim_Data!B2:B3168,"Train",AutoClaim_Data!D2:D3168,"&gt;"&amp;$B$2))</f>
        <v/>
      </c>
      <c r="H133">
        <f>IF(AutoClaim_Data!D133&lt;=$B$2,IF(AutoClaim_Data!E133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">
        <f>(F133-H133)^2</f>
        <v/>
      </c>
      <c r="J133">
        <f>--(E133="Validation")</f>
        <v/>
      </c>
    </row>
    <row r="134">
      <c r="D134">
        <f>AutoClaim_Data!A134</f>
        <v/>
      </c>
      <c r="E134">
        <f>AutoClaim_Data!B134</f>
        <v/>
      </c>
      <c r="F134">
        <f>AutoClaim_Data!C134</f>
        <v/>
      </c>
      <c r="G134">
        <f>IF(AutoClaim_Data!D134&lt;=$B$2,AVERAGEIFS(AutoClaim_Data!C2:C3168,AutoClaim_Data!B2:B3168,"Train",AutoClaim_Data!D2:D3168,"&lt;="&amp;$B$2),AVERAGEIFS(AutoClaim_Data!C2:C3168,AutoClaim_Data!B2:B3168,"Train",AutoClaim_Data!D2:D3168,"&gt;"&amp;$B$2))</f>
        <v/>
      </c>
      <c r="H134">
        <f>IF(AutoClaim_Data!D134&lt;=$B$2,IF(AutoClaim_Data!E134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">
        <f>(F134-H134)^2</f>
        <v/>
      </c>
      <c r="J134">
        <f>--(E134="Validation")</f>
        <v/>
      </c>
    </row>
    <row r="135">
      <c r="D135">
        <f>AutoClaim_Data!A135</f>
        <v/>
      </c>
      <c r="E135">
        <f>AutoClaim_Data!B135</f>
        <v/>
      </c>
      <c r="F135">
        <f>AutoClaim_Data!C135</f>
        <v/>
      </c>
      <c r="G135">
        <f>IF(AutoClaim_Data!D135&lt;=$B$2,AVERAGEIFS(AutoClaim_Data!C2:C3168,AutoClaim_Data!B2:B3168,"Train",AutoClaim_Data!D2:D3168,"&lt;="&amp;$B$2),AVERAGEIFS(AutoClaim_Data!C2:C3168,AutoClaim_Data!B2:B3168,"Train",AutoClaim_Data!D2:D3168,"&gt;"&amp;$B$2))</f>
        <v/>
      </c>
      <c r="H135">
        <f>IF(AutoClaim_Data!D135&lt;=$B$2,IF(AutoClaim_Data!E135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">
        <f>(F135-H135)^2</f>
        <v/>
      </c>
      <c r="J135">
        <f>--(E135="Validation")</f>
        <v/>
      </c>
    </row>
    <row r="136">
      <c r="D136">
        <f>AutoClaim_Data!A136</f>
        <v/>
      </c>
      <c r="E136">
        <f>AutoClaim_Data!B136</f>
        <v/>
      </c>
      <c r="F136">
        <f>AutoClaim_Data!C136</f>
        <v/>
      </c>
      <c r="G136">
        <f>IF(AutoClaim_Data!D136&lt;=$B$2,AVERAGEIFS(AutoClaim_Data!C2:C3168,AutoClaim_Data!B2:B3168,"Train",AutoClaim_Data!D2:D3168,"&lt;="&amp;$B$2),AVERAGEIFS(AutoClaim_Data!C2:C3168,AutoClaim_Data!B2:B3168,"Train",AutoClaim_Data!D2:D3168,"&gt;"&amp;$B$2))</f>
        <v/>
      </c>
      <c r="H136">
        <f>IF(AutoClaim_Data!D136&lt;=$B$2,IF(AutoClaim_Data!E136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">
        <f>(F136-H136)^2</f>
        <v/>
      </c>
      <c r="J136">
        <f>--(E136="Validation")</f>
        <v/>
      </c>
    </row>
    <row r="137">
      <c r="D137">
        <f>AutoClaim_Data!A137</f>
        <v/>
      </c>
      <c r="E137">
        <f>AutoClaim_Data!B137</f>
        <v/>
      </c>
      <c r="F137">
        <f>AutoClaim_Data!C137</f>
        <v/>
      </c>
      <c r="G137">
        <f>IF(AutoClaim_Data!D137&lt;=$B$2,AVERAGEIFS(AutoClaim_Data!C2:C3168,AutoClaim_Data!B2:B3168,"Train",AutoClaim_Data!D2:D3168,"&lt;="&amp;$B$2),AVERAGEIFS(AutoClaim_Data!C2:C3168,AutoClaim_Data!B2:B3168,"Train",AutoClaim_Data!D2:D3168,"&gt;"&amp;$B$2))</f>
        <v/>
      </c>
      <c r="H137">
        <f>IF(AutoClaim_Data!D137&lt;=$B$2,IF(AutoClaim_Data!E137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">
        <f>(F137-H137)^2</f>
        <v/>
      </c>
      <c r="J137">
        <f>--(E137="Validation")</f>
        <v/>
      </c>
    </row>
    <row r="138">
      <c r="D138">
        <f>AutoClaim_Data!A138</f>
        <v/>
      </c>
      <c r="E138">
        <f>AutoClaim_Data!B138</f>
        <v/>
      </c>
      <c r="F138">
        <f>AutoClaim_Data!C138</f>
        <v/>
      </c>
      <c r="G138">
        <f>IF(AutoClaim_Data!D138&lt;=$B$2,AVERAGEIFS(AutoClaim_Data!C2:C3168,AutoClaim_Data!B2:B3168,"Train",AutoClaim_Data!D2:D3168,"&lt;="&amp;$B$2),AVERAGEIFS(AutoClaim_Data!C2:C3168,AutoClaim_Data!B2:B3168,"Train",AutoClaim_Data!D2:D3168,"&gt;"&amp;$B$2))</f>
        <v/>
      </c>
      <c r="H138">
        <f>IF(AutoClaim_Data!D138&lt;=$B$2,IF(AutoClaim_Data!E138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">
        <f>(F138-H138)^2</f>
        <v/>
      </c>
      <c r="J138">
        <f>--(E138="Validation")</f>
        <v/>
      </c>
    </row>
    <row r="139">
      <c r="D139">
        <f>AutoClaim_Data!A139</f>
        <v/>
      </c>
      <c r="E139">
        <f>AutoClaim_Data!B139</f>
        <v/>
      </c>
      <c r="F139">
        <f>AutoClaim_Data!C139</f>
        <v/>
      </c>
      <c r="G139">
        <f>IF(AutoClaim_Data!D139&lt;=$B$2,AVERAGEIFS(AutoClaim_Data!C2:C3168,AutoClaim_Data!B2:B3168,"Train",AutoClaim_Data!D2:D3168,"&lt;="&amp;$B$2),AVERAGEIFS(AutoClaim_Data!C2:C3168,AutoClaim_Data!B2:B3168,"Train",AutoClaim_Data!D2:D3168,"&gt;"&amp;$B$2))</f>
        <v/>
      </c>
      <c r="H139">
        <f>IF(AutoClaim_Data!D139&lt;=$B$2,IF(AutoClaim_Data!E139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">
        <f>(F139-H139)^2</f>
        <v/>
      </c>
      <c r="J139">
        <f>--(E139="Validation")</f>
        <v/>
      </c>
    </row>
    <row r="140">
      <c r="D140">
        <f>AutoClaim_Data!A140</f>
        <v/>
      </c>
      <c r="E140">
        <f>AutoClaim_Data!B140</f>
        <v/>
      </c>
      <c r="F140">
        <f>AutoClaim_Data!C140</f>
        <v/>
      </c>
      <c r="G140">
        <f>IF(AutoClaim_Data!D140&lt;=$B$2,AVERAGEIFS(AutoClaim_Data!C2:C3168,AutoClaim_Data!B2:B3168,"Train",AutoClaim_Data!D2:D3168,"&lt;="&amp;$B$2),AVERAGEIFS(AutoClaim_Data!C2:C3168,AutoClaim_Data!B2:B3168,"Train",AutoClaim_Data!D2:D3168,"&gt;"&amp;$B$2))</f>
        <v/>
      </c>
      <c r="H140">
        <f>IF(AutoClaim_Data!D140&lt;=$B$2,IF(AutoClaim_Data!E140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">
        <f>(F140-H140)^2</f>
        <v/>
      </c>
      <c r="J140">
        <f>--(E140="Validation")</f>
        <v/>
      </c>
    </row>
    <row r="141">
      <c r="D141">
        <f>AutoClaim_Data!A141</f>
        <v/>
      </c>
      <c r="E141">
        <f>AutoClaim_Data!B141</f>
        <v/>
      </c>
      <c r="F141">
        <f>AutoClaim_Data!C141</f>
        <v/>
      </c>
      <c r="G141">
        <f>IF(AutoClaim_Data!D141&lt;=$B$2,AVERAGEIFS(AutoClaim_Data!C2:C3168,AutoClaim_Data!B2:B3168,"Train",AutoClaim_Data!D2:D3168,"&lt;="&amp;$B$2),AVERAGEIFS(AutoClaim_Data!C2:C3168,AutoClaim_Data!B2:B3168,"Train",AutoClaim_Data!D2:D3168,"&gt;"&amp;$B$2))</f>
        <v/>
      </c>
      <c r="H141">
        <f>IF(AutoClaim_Data!D141&lt;=$B$2,IF(AutoClaim_Data!E141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">
        <f>(F141-H141)^2</f>
        <v/>
      </c>
      <c r="J141">
        <f>--(E141="Validation")</f>
        <v/>
      </c>
    </row>
    <row r="142">
      <c r="D142">
        <f>AutoClaim_Data!A142</f>
        <v/>
      </c>
      <c r="E142">
        <f>AutoClaim_Data!B142</f>
        <v/>
      </c>
      <c r="F142">
        <f>AutoClaim_Data!C142</f>
        <v/>
      </c>
      <c r="G142">
        <f>IF(AutoClaim_Data!D142&lt;=$B$2,AVERAGEIFS(AutoClaim_Data!C2:C3168,AutoClaim_Data!B2:B3168,"Train",AutoClaim_Data!D2:D3168,"&lt;="&amp;$B$2),AVERAGEIFS(AutoClaim_Data!C2:C3168,AutoClaim_Data!B2:B3168,"Train",AutoClaim_Data!D2:D3168,"&gt;"&amp;$B$2))</f>
        <v/>
      </c>
      <c r="H142">
        <f>IF(AutoClaim_Data!D142&lt;=$B$2,IF(AutoClaim_Data!E142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">
        <f>(F142-H142)^2</f>
        <v/>
      </c>
      <c r="J142">
        <f>--(E142="Validation")</f>
        <v/>
      </c>
    </row>
    <row r="143">
      <c r="D143">
        <f>AutoClaim_Data!A143</f>
        <v/>
      </c>
      <c r="E143">
        <f>AutoClaim_Data!B143</f>
        <v/>
      </c>
      <c r="F143">
        <f>AutoClaim_Data!C143</f>
        <v/>
      </c>
      <c r="G143">
        <f>IF(AutoClaim_Data!D143&lt;=$B$2,AVERAGEIFS(AutoClaim_Data!C2:C3168,AutoClaim_Data!B2:B3168,"Train",AutoClaim_Data!D2:D3168,"&lt;="&amp;$B$2),AVERAGEIFS(AutoClaim_Data!C2:C3168,AutoClaim_Data!B2:B3168,"Train",AutoClaim_Data!D2:D3168,"&gt;"&amp;$B$2))</f>
        <v/>
      </c>
      <c r="H143">
        <f>IF(AutoClaim_Data!D143&lt;=$B$2,IF(AutoClaim_Data!E143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">
        <f>(F143-H143)^2</f>
        <v/>
      </c>
      <c r="J143">
        <f>--(E143="Validation")</f>
        <v/>
      </c>
    </row>
    <row r="144">
      <c r="D144">
        <f>AutoClaim_Data!A144</f>
        <v/>
      </c>
      <c r="E144">
        <f>AutoClaim_Data!B144</f>
        <v/>
      </c>
      <c r="F144">
        <f>AutoClaim_Data!C144</f>
        <v/>
      </c>
      <c r="G144">
        <f>IF(AutoClaim_Data!D144&lt;=$B$2,AVERAGEIFS(AutoClaim_Data!C2:C3168,AutoClaim_Data!B2:B3168,"Train",AutoClaim_Data!D2:D3168,"&lt;="&amp;$B$2),AVERAGEIFS(AutoClaim_Data!C2:C3168,AutoClaim_Data!B2:B3168,"Train",AutoClaim_Data!D2:D3168,"&gt;"&amp;$B$2))</f>
        <v/>
      </c>
      <c r="H144">
        <f>IF(AutoClaim_Data!D144&lt;=$B$2,IF(AutoClaim_Data!E144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">
        <f>(F144-H144)^2</f>
        <v/>
      </c>
      <c r="J144">
        <f>--(E144="Validation")</f>
        <v/>
      </c>
    </row>
    <row r="145">
      <c r="D145">
        <f>AutoClaim_Data!A145</f>
        <v/>
      </c>
      <c r="E145">
        <f>AutoClaim_Data!B145</f>
        <v/>
      </c>
      <c r="F145">
        <f>AutoClaim_Data!C145</f>
        <v/>
      </c>
      <c r="G145">
        <f>IF(AutoClaim_Data!D145&lt;=$B$2,AVERAGEIFS(AutoClaim_Data!C2:C3168,AutoClaim_Data!B2:B3168,"Train",AutoClaim_Data!D2:D3168,"&lt;="&amp;$B$2),AVERAGEIFS(AutoClaim_Data!C2:C3168,AutoClaim_Data!B2:B3168,"Train",AutoClaim_Data!D2:D3168,"&gt;"&amp;$B$2))</f>
        <v/>
      </c>
      <c r="H145">
        <f>IF(AutoClaim_Data!D145&lt;=$B$2,IF(AutoClaim_Data!E145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">
        <f>(F145-H145)^2</f>
        <v/>
      </c>
      <c r="J145">
        <f>--(E145="Validation")</f>
        <v/>
      </c>
    </row>
    <row r="146">
      <c r="D146">
        <f>AutoClaim_Data!A146</f>
        <v/>
      </c>
      <c r="E146">
        <f>AutoClaim_Data!B146</f>
        <v/>
      </c>
      <c r="F146">
        <f>AutoClaim_Data!C146</f>
        <v/>
      </c>
      <c r="G146">
        <f>IF(AutoClaim_Data!D146&lt;=$B$2,AVERAGEIFS(AutoClaim_Data!C2:C3168,AutoClaim_Data!B2:B3168,"Train",AutoClaim_Data!D2:D3168,"&lt;="&amp;$B$2),AVERAGEIFS(AutoClaim_Data!C2:C3168,AutoClaim_Data!B2:B3168,"Train",AutoClaim_Data!D2:D3168,"&gt;"&amp;$B$2))</f>
        <v/>
      </c>
      <c r="H146">
        <f>IF(AutoClaim_Data!D146&lt;=$B$2,IF(AutoClaim_Data!E146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">
        <f>(F146-H146)^2</f>
        <v/>
      </c>
      <c r="J146">
        <f>--(E146="Validation")</f>
        <v/>
      </c>
    </row>
    <row r="147">
      <c r="D147">
        <f>AutoClaim_Data!A147</f>
        <v/>
      </c>
      <c r="E147">
        <f>AutoClaim_Data!B147</f>
        <v/>
      </c>
      <c r="F147">
        <f>AutoClaim_Data!C147</f>
        <v/>
      </c>
      <c r="G147">
        <f>IF(AutoClaim_Data!D147&lt;=$B$2,AVERAGEIFS(AutoClaim_Data!C2:C3168,AutoClaim_Data!B2:B3168,"Train",AutoClaim_Data!D2:D3168,"&lt;="&amp;$B$2),AVERAGEIFS(AutoClaim_Data!C2:C3168,AutoClaim_Data!B2:B3168,"Train",AutoClaim_Data!D2:D3168,"&gt;"&amp;$B$2))</f>
        <v/>
      </c>
      <c r="H147">
        <f>IF(AutoClaim_Data!D147&lt;=$B$2,IF(AutoClaim_Data!E147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">
        <f>(F147-H147)^2</f>
        <v/>
      </c>
      <c r="J147">
        <f>--(E147="Validation")</f>
        <v/>
      </c>
    </row>
    <row r="148">
      <c r="D148">
        <f>AutoClaim_Data!A148</f>
        <v/>
      </c>
      <c r="E148">
        <f>AutoClaim_Data!B148</f>
        <v/>
      </c>
      <c r="F148">
        <f>AutoClaim_Data!C148</f>
        <v/>
      </c>
      <c r="G148">
        <f>IF(AutoClaim_Data!D148&lt;=$B$2,AVERAGEIFS(AutoClaim_Data!C2:C3168,AutoClaim_Data!B2:B3168,"Train",AutoClaim_Data!D2:D3168,"&lt;="&amp;$B$2),AVERAGEIFS(AutoClaim_Data!C2:C3168,AutoClaim_Data!B2:B3168,"Train",AutoClaim_Data!D2:D3168,"&gt;"&amp;$B$2))</f>
        <v/>
      </c>
      <c r="H148">
        <f>IF(AutoClaim_Data!D148&lt;=$B$2,IF(AutoClaim_Data!E148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">
        <f>(F148-H148)^2</f>
        <v/>
      </c>
      <c r="J148">
        <f>--(E148="Validation")</f>
        <v/>
      </c>
    </row>
    <row r="149">
      <c r="D149">
        <f>AutoClaim_Data!A149</f>
        <v/>
      </c>
      <c r="E149">
        <f>AutoClaim_Data!B149</f>
        <v/>
      </c>
      <c r="F149">
        <f>AutoClaim_Data!C149</f>
        <v/>
      </c>
      <c r="G149">
        <f>IF(AutoClaim_Data!D149&lt;=$B$2,AVERAGEIFS(AutoClaim_Data!C2:C3168,AutoClaim_Data!B2:B3168,"Train",AutoClaim_Data!D2:D3168,"&lt;="&amp;$B$2),AVERAGEIFS(AutoClaim_Data!C2:C3168,AutoClaim_Data!B2:B3168,"Train",AutoClaim_Data!D2:D3168,"&gt;"&amp;$B$2))</f>
        <v/>
      </c>
      <c r="H149">
        <f>IF(AutoClaim_Data!D149&lt;=$B$2,IF(AutoClaim_Data!E149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">
        <f>(F149-H149)^2</f>
        <v/>
      </c>
      <c r="J149">
        <f>--(E149="Validation")</f>
        <v/>
      </c>
    </row>
    <row r="150">
      <c r="D150">
        <f>AutoClaim_Data!A150</f>
        <v/>
      </c>
      <c r="E150">
        <f>AutoClaim_Data!B150</f>
        <v/>
      </c>
      <c r="F150">
        <f>AutoClaim_Data!C150</f>
        <v/>
      </c>
      <c r="G150">
        <f>IF(AutoClaim_Data!D150&lt;=$B$2,AVERAGEIFS(AutoClaim_Data!C2:C3168,AutoClaim_Data!B2:B3168,"Train",AutoClaim_Data!D2:D3168,"&lt;="&amp;$B$2),AVERAGEIFS(AutoClaim_Data!C2:C3168,AutoClaim_Data!B2:B3168,"Train",AutoClaim_Data!D2:D3168,"&gt;"&amp;$B$2))</f>
        <v/>
      </c>
      <c r="H150">
        <f>IF(AutoClaim_Data!D150&lt;=$B$2,IF(AutoClaim_Data!E150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">
        <f>(F150-H150)^2</f>
        <v/>
      </c>
      <c r="J150">
        <f>--(E150="Validation")</f>
        <v/>
      </c>
    </row>
    <row r="151">
      <c r="D151">
        <f>AutoClaim_Data!A151</f>
        <v/>
      </c>
      <c r="E151">
        <f>AutoClaim_Data!B151</f>
        <v/>
      </c>
      <c r="F151">
        <f>AutoClaim_Data!C151</f>
        <v/>
      </c>
      <c r="G151">
        <f>IF(AutoClaim_Data!D151&lt;=$B$2,AVERAGEIFS(AutoClaim_Data!C2:C3168,AutoClaim_Data!B2:B3168,"Train",AutoClaim_Data!D2:D3168,"&lt;="&amp;$B$2),AVERAGEIFS(AutoClaim_Data!C2:C3168,AutoClaim_Data!B2:B3168,"Train",AutoClaim_Data!D2:D3168,"&gt;"&amp;$B$2))</f>
        <v/>
      </c>
      <c r="H151">
        <f>IF(AutoClaim_Data!D151&lt;=$B$2,IF(AutoClaim_Data!E151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">
        <f>(F151-H151)^2</f>
        <v/>
      </c>
      <c r="J151">
        <f>--(E151="Validation")</f>
        <v/>
      </c>
    </row>
    <row r="152">
      <c r="D152">
        <f>AutoClaim_Data!A152</f>
        <v/>
      </c>
      <c r="E152">
        <f>AutoClaim_Data!B152</f>
        <v/>
      </c>
      <c r="F152">
        <f>AutoClaim_Data!C152</f>
        <v/>
      </c>
      <c r="G152">
        <f>IF(AutoClaim_Data!D152&lt;=$B$2,AVERAGEIFS(AutoClaim_Data!C2:C3168,AutoClaim_Data!B2:B3168,"Train",AutoClaim_Data!D2:D3168,"&lt;="&amp;$B$2),AVERAGEIFS(AutoClaim_Data!C2:C3168,AutoClaim_Data!B2:B3168,"Train",AutoClaim_Data!D2:D3168,"&gt;"&amp;$B$2))</f>
        <v/>
      </c>
      <c r="H152">
        <f>IF(AutoClaim_Data!D152&lt;=$B$2,IF(AutoClaim_Data!E152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">
        <f>(F152-H152)^2</f>
        <v/>
      </c>
      <c r="J152">
        <f>--(E152="Validation")</f>
        <v/>
      </c>
    </row>
    <row r="153">
      <c r="D153">
        <f>AutoClaim_Data!A153</f>
        <v/>
      </c>
      <c r="E153">
        <f>AutoClaim_Data!B153</f>
        <v/>
      </c>
      <c r="F153">
        <f>AutoClaim_Data!C153</f>
        <v/>
      </c>
      <c r="G153">
        <f>IF(AutoClaim_Data!D153&lt;=$B$2,AVERAGEIFS(AutoClaim_Data!C2:C3168,AutoClaim_Data!B2:B3168,"Train",AutoClaim_Data!D2:D3168,"&lt;="&amp;$B$2),AVERAGEIFS(AutoClaim_Data!C2:C3168,AutoClaim_Data!B2:B3168,"Train",AutoClaim_Data!D2:D3168,"&gt;"&amp;$B$2))</f>
        <v/>
      </c>
      <c r="H153">
        <f>IF(AutoClaim_Data!D153&lt;=$B$2,IF(AutoClaim_Data!E153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">
        <f>(F153-H153)^2</f>
        <v/>
      </c>
      <c r="J153">
        <f>--(E153="Validation")</f>
        <v/>
      </c>
    </row>
    <row r="154">
      <c r="D154">
        <f>AutoClaim_Data!A154</f>
        <v/>
      </c>
      <c r="E154">
        <f>AutoClaim_Data!B154</f>
        <v/>
      </c>
      <c r="F154">
        <f>AutoClaim_Data!C154</f>
        <v/>
      </c>
      <c r="G154">
        <f>IF(AutoClaim_Data!D154&lt;=$B$2,AVERAGEIFS(AutoClaim_Data!C2:C3168,AutoClaim_Data!B2:B3168,"Train",AutoClaim_Data!D2:D3168,"&lt;="&amp;$B$2),AVERAGEIFS(AutoClaim_Data!C2:C3168,AutoClaim_Data!B2:B3168,"Train",AutoClaim_Data!D2:D3168,"&gt;"&amp;$B$2))</f>
        <v/>
      </c>
      <c r="H154">
        <f>IF(AutoClaim_Data!D154&lt;=$B$2,IF(AutoClaim_Data!E154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">
        <f>(F154-H154)^2</f>
        <v/>
      </c>
      <c r="J154">
        <f>--(E154="Validation")</f>
        <v/>
      </c>
    </row>
    <row r="155">
      <c r="D155">
        <f>AutoClaim_Data!A155</f>
        <v/>
      </c>
      <c r="E155">
        <f>AutoClaim_Data!B155</f>
        <v/>
      </c>
      <c r="F155">
        <f>AutoClaim_Data!C155</f>
        <v/>
      </c>
      <c r="G155">
        <f>IF(AutoClaim_Data!D155&lt;=$B$2,AVERAGEIFS(AutoClaim_Data!C2:C3168,AutoClaim_Data!B2:B3168,"Train",AutoClaim_Data!D2:D3168,"&lt;="&amp;$B$2),AVERAGEIFS(AutoClaim_Data!C2:C3168,AutoClaim_Data!B2:B3168,"Train",AutoClaim_Data!D2:D3168,"&gt;"&amp;$B$2))</f>
        <v/>
      </c>
      <c r="H155">
        <f>IF(AutoClaim_Data!D155&lt;=$B$2,IF(AutoClaim_Data!E155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">
        <f>(F155-H155)^2</f>
        <v/>
      </c>
      <c r="J155">
        <f>--(E155="Validation")</f>
        <v/>
      </c>
    </row>
    <row r="156">
      <c r="D156">
        <f>AutoClaim_Data!A156</f>
        <v/>
      </c>
      <c r="E156">
        <f>AutoClaim_Data!B156</f>
        <v/>
      </c>
      <c r="F156">
        <f>AutoClaim_Data!C156</f>
        <v/>
      </c>
      <c r="G156">
        <f>IF(AutoClaim_Data!D156&lt;=$B$2,AVERAGEIFS(AutoClaim_Data!C2:C3168,AutoClaim_Data!B2:B3168,"Train",AutoClaim_Data!D2:D3168,"&lt;="&amp;$B$2),AVERAGEIFS(AutoClaim_Data!C2:C3168,AutoClaim_Data!B2:B3168,"Train",AutoClaim_Data!D2:D3168,"&gt;"&amp;$B$2))</f>
        <v/>
      </c>
      <c r="H156">
        <f>IF(AutoClaim_Data!D156&lt;=$B$2,IF(AutoClaim_Data!E156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">
        <f>(F156-H156)^2</f>
        <v/>
      </c>
      <c r="J156">
        <f>--(E156="Validation")</f>
        <v/>
      </c>
    </row>
    <row r="157">
      <c r="D157">
        <f>AutoClaim_Data!A157</f>
        <v/>
      </c>
      <c r="E157">
        <f>AutoClaim_Data!B157</f>
        <v/>
      </c>
      <c r="F157">
        <f>AutoClaim_Data!C157</f>
        <v/>
      </c>
      <c r="G157">
        <f>IF(AutoClaim_Data!D157&lt;=$B$2,AVERAGEIFS(AutoClaim_Data!C2:C3168,AutoClaim_Data!B2:B3168,"Train",AutoClaim_Data!D2:D3168,"&lt;="&amp;$B$2),AVERAGEIFS(AutoClaim_Data!C2:C3168,AutoClaim_Data!B2:B3168,"Train",AutoClaim_Data!D2:D3168,"&gt;"&amp;$B$2))</f>
        <v/>
      </c>
      <c r="H157">
        <f>IF(AutoClaim_Data!D157&lt;=$B$2,IF(AutoClaim_Data!E157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">
        <f>(F157-H157)^2</f>
        <v/>
      </c>
      <c r="J157">
        <f>--(E157="Validation")</f>
        <v/>
      </c>
    </row>
    <row r="158">
      <c r="D158">
        <f>AutoClaim_Data!A158</f>
        <v/>
      </c>
      <c r="E158">
        <f>AutoClaim_Data!B158</f>
        <v/>
      </c>
      <c r="F158">
        <f>AutoClaim_Data!C158</f>
        <v/>
      </c>
      <c r="G158">
        <f>IF(AutoClaim_Data!D158&lt;=$B$2,AVERAGEIFS(AutoClaim_Data!C2:C3168,AutoClaim_Data!B2:B3168,"Train",AutoClaim_Data!D2:D3168,"&lt;="&amp;$B$2),AVERAGEIFS(AutoClaim_Data!C2:C3168,AutoClaim_Data!B2:B3168,"Train",AutoClaim_Data!D2:D3168,"&gt;"&amp;$B$2))</f>
        <v/>
      </c>
      <c r="H158">
        <f>IF(AutoClaim_Data!D158&lt;=$B$2,IF(AutoClaim_Data!E158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">
        <f>(F158-H158)^2</f>
        <v/>
      </c>
      <c r="J158">
        <f>--(E158="Validation")</f>
        <v/>
      </c>
    </row>
    <row r="159">
      <c r="D159">
        <f>AutoClaim_Data!A159</f>
        <v/>
      </c>
      <c r="E159">
        <f>AutoClaim_Data!B159</f>
        <v/>
      </c>
      <c r="F159">
        <f>AutoClaim_Data!C159</f>
        <v/>
      </c>
      <c r="G159">
        <f>IF(AutoClaim_Data!D159&lt;=$B$2,AVERAGEIFS(AutoClaim_Data!C2:C3168,AutoClaim_Data!B2:B3168,"Train",AutoClaim_Data!D2:D3168,"&lt;="&amp;$B$2),AVERAGEIFS(AutoClaim_Data!C2:C3168,AutoClaim_Data!B2:B3168,"Train",AutoClaim_Data!D2:D3168,"&gt;"&amp;$B$2))</f>
        <v/>
      </c>
      <c r="H159">
        <f>IF(AutoClaim_Data!D159&lt;=$B$2,IF(AutoClaim_Data!E159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">
        <f>(F159-H159)^2</f>
        <v/>
      </c>
      <c r="J159">
        <f>--(E159="Validation")</f>
        <v/>
      </c>
    </row>
    <row r="160">
      <c r="D160">
        <f>AutoClaim_Data!A160</f>
        <v/>
      </c>
      <c r="E160">
        <f>AutoClaim_Data!B160</f>
        <v/>
      </c>
      <c r="F160">
        <f>AutoClaim_Data!C160</f>
        <v/>
      </c>
      <c r="G160">
        <f>IF(AutoClaim_Data!D160&lt;=$B$2,AVERAGEIFS(AutoClaim_Data!C2:C3168,AutoClaim_Data!B2:B3168,"Train",AutoClaim_Data!D2:D3168,"&lt;="&amp;$B$2),AVERAGEIFS(AutoClaim_Data!C2:C3168,AutoClaim_Data!B2:B3168,"Train",AutoClaim_Data!D2:D3168,"&gt;"&amp;$B$2))</f>
        <v/>
      </c>
      <c r="H160">
        <f>IF(AutoClaim_Data!D160&lt;=$B$2,IF(AutoClaim_Data!E160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">
        <f>(F160-H160)^2</f>
        <v/>
      </c>
      <c r="J160">
        <f>--(E160="Validation")</f>
        <v/>
      </c>
    </row>
    <row r="161">
      <c r="D161">
        <f>AutoClaim_Data!A161</f>
        <v/>
      </c>
      <c r="E161">
        <f>AutoClaim_Data!B161</f>
        <v/>
      </c>
      <c r="F161">
        <f>AutoClaim_Data!C161</f>
        <v/>
      </c>
      <c r="G161">
        <f>IF(AutoClaim_Data!D161&lt;=$B$2,AVERAGEIFS(AutoClaim_Data!C2:C3168,AutoClaim_Data!B2:B3168,"Train",AutoClaim_Data!D2:D3168,"&lt;="&amp;$B$2),AVERAGEIFS(AutoClaim_Data!C2:C3168,AutoClaim_Data!B2:B3168,"Train",AutoClaim_Data!D2:D3168,"&gt;"&amp;$B$2))</f>
        <v/>
      </c>
      <c r="H161">
        <f>IF(AutoClaim_Data!D161&lt;=$B$2,IF(AutoClaim_Data!E161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">
        <f>(F161-H161)^2</f>
        <v/>
      </c>
      <c r="J161">
        <f>--(E161="Validation")</f>
        <v/>
      </c>
    </row>
    <row r="162">
      <c r="D162">
        <f>AutoClaim_Data!A162</f>
        <v/>
      </c>
      <c r="E162">
        <f>AutoClaim_Data!B162</f>
        <v/>
      </c>
      <c r="F162">
        <f>AutoClaim_Data!C162</f>
        <v/>
      </c>
      <c r="G162">
        <f>IF(AutoClaim_Data!D162&lt;=$B$2,AVERAGEIFS(AutoClaim_Data!C2:C3168,AutoClaim_Data!B2:B3168,"Train",AutoClaim_Data!D2:D3168,"&lt;="&amp;$B$2),AVERAGEIFS(AutoClaim_Data!C2:C3168,AutoClaim_Data!B2:B3168,"Train",AutoClaim_Data!D2:D3168,"&gt;"&amp;$B$2))</f>
        <v/>
      </c>
      <c r="H162">
        <f>IF(AutoClaim_Data!D162&lt;=$B$2,IF(AutoClaim_Data!E162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">
        <f>(F162-H162)^2</f>
        <v/>
      </c>
      <c r="J162">
        <f>--(E162="Validation")</f>
        <v/>
      </c>
    </row>
    <row r="163">
      <c r="D163">
        <f>AutoClaim_Data!A163</f>
        <v/>
      </c>
      <c r="E163">
        <f>AutoClaim_Data!B163</f>
        <v/>
      </c>
      <c r="F163">
        <f>AutoClaim_Data!C163</f>
        <v/>
      </c>
      <c r="G163">
        <f>IF(AutoClaim_Data!D163&lt;=$B$2,AVERAGEIFS(AutoClaim_Data!C2:C3168,AutoClaim_Data!B2:B3168,"Train",AutoClaim_Data!D2:D3168,"&lt;="&amp;$B$2),AVERAGEIFS(AutoClaim_Data!C2:C3168,AutoClaim_Data!B2:B3168,"Train",AutoClaim_Data!D2:D3168,"&gt;"&amp;$B$2))</f>
        <v/>
      </c>
      <c r="H163">
        <f>IF(AutoClaim_Data!D163&lt;=$B$2,IF(AutoClaim_Data!E163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">
        <f>(F163-H163)^2</f>
        <v/>
      </c>
      <c r="J163">
        <f>--(E163="Validation")</f>
        <v/>
      </c>
    </row>
    <row r="164">
      <c r="D164">
        <f>AutoClaim_Data!A164</f>
        <v/>
      </c>
      <c r="E164">
        <f>AutoClaim_Data!B164</f>
        <v/>
      </c>
      <c r="F164">
        <f>AutoClaim_Data!C164</f>
        <v/>
      </c>
      <c r="G164">
        <f>IF(AutoClaim_Data!D164&lt;=$B$2,AVERAGEIFS(AutoClaim_Data!C2:C3168,AutoClaim_Data!B2:B3168,"Train",AutoClaim_Data!D2:D3168,"&lt;="&amp;$B$2),AVERAGEIFS(AutoClaim_Data!C2:C3168,AutoClaim_Data!B2:B3168,"Train",AutoClaim_Data!D2:D3168,"&gt;"&amp;$B$2))</f>
        <v/>
      </c>
      <c r="H164">
        <f>IF(AutoClaim_Data!D164&lt;=$B$2,IF(AutoClaim_Data!E164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">
        <f>(F164-H164)^2</f>
        <v/>
      </c>
      <c r="J164">
        <f>--(E164="Validation")</f>
        <v/>
      </c>
    </row>
    <row r="165">
      <c r="D165">
        <f>AutoClaim_Data!A165</f>
        <v/>
      </c>
      <c r="E165">
        <f>AutoClaim_Data!B165</f>
        <v/>
      </c>
      <c r="F165">
        <f>AutoClaim_Data!C165</f>
        <v/>
      </c>
      <c r="G165">
        <f>IF(AutoClaim_Data!D165&lt;=$B$2,AVERAGEIFS(AutoClaim_Data!C2:C3168,AutoClaim_Data!B2:B3168,"Train",AutoClaim_Data!D2:D3168,"&lt;="&amp;$B$2),AVERAGEIFS(AutoClaim_Data!C2:C3168,AutoClaim_Data!B2:B3168,"Train",AutoClaim_Data!D2:D3168,"&gt;"&amp;$B$2))</f>
        <v/>
      </c>
      <c r="H165">
        <f>IF(AutoClaim_Data!D165&lt;=$B$2,IF(AutoClaim_Data!E165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">
        <f>(F165-H165)^2</f>
        <v/>
      </c>
      <c r="J165">
        <f>--(E165="Validation")</f>
        <v/>
      </c>
    </row>
    <row r="166">
      <c r="D166">
        <f>AutoClaim_Data!A166</f>
        <v/>
      </c>
      <c r="E166">
        <f>AutoClaim_Data!B166</f>
        <v/>
      </c>
      <c r="F166">
        <f>AutoClaim_Data!C166</f>
        <v/>
      </c>
      <c r="G166">
        <f>IF(AutoClaim_Data!D166&lt;=$B$2,AVERAGEIFS(AutoClaim_Data!C2:C3168,AutoClaim_Data!B2:B3168,"Train",AutoClaim_Data!D2:D3168,"&lt;="&amp;$B$2),AVERAGEIFS(AutoClaim_Data!C2:C3168,AutoClaim_Data!B2:B3168,"Train",AutoClaim_Data!D2:D3168,"&gt;"&amp;$B$2))</f>
        <v/>
      </c>
      <c r="H166">
        <f>IF(AutoClaim_Data!D166&lt;=$B$2,IF(AutoClaim_Data!E166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">
        <f>(F166-H166)^2</f>
        <v/>
      </c>
      <c r="J166">
        <f>--(E166="Validation")</f>
        <v/>
      </c>
    </row>
    <row r="167">
      <c r="D167">
        <f>AutoClaim_Data!A167</f>
        <v/>
      </c>
      <c r="E167">
        <f>AutoClaim_Data!B167</f>
        <v/>
      </c>
      <c r="F167">
        <f>AutoClaim_Data!C167</f>
        <v/>
      </c>
      <c r="G167">
        <f>IF(AutoClaim_Data!D167&lt;=$B$2,AVERAGEIFS(AutoClaim_Data!C2:C3168,AutoClaim_Data!B2:B3168,"Train",AutoClaim_Data!D2:D3168,"&lt;="&amp;$B$2),AVERAGEIFS(AutoClaim_Data!C2:C3168,AutoClaim_Data!B2:B3168,"Train",AutoClaim_Data!D2:D3168,"&gt;"&amp;$B$2))</f>
        <v/>
      </c>
      <c r="H167">
        <f>IF(AutoClaim_Data!D167&lt;=$B$2,IF(AutoClaim_Data!E167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">
        <f>(F167-H167)^2</f>
        <v/>
      </c>
      <c r="J167">
        <f>--(E167="Validation")</f>
        <v/>
      </c>
    </row>
    <row r="168">
      <c r="D168">
        <f>AutoClaim_Data!A168</f>
        <v/>
      </c>
      <c r="E168">
        <f>AutoClaim_Data!B168</f>
        <v/>
      </c>
      <c r="F168">
        <f>AutoClaim_Data!C168</f>
        <v/>
      </c>
      <c r="G168">
        <f>IF(AutoClaim_Data!D168&lt;=$B$2,AVERAGEIFS(AutoClaim_Data!C2:C3168,AutoClaim_Data!B2:B3168,"Train",AutoClaim_Data!D2:D3168,"&lt;="&amp;$B$2),AVERAGEIFS(AutoClaim_Data!C2:C3168,AutoClaim_Data!B2:B3168,"Train",AutoClaim_Data!D2:D3168,"&gt;"&amp;$B$2))</f>
        <v/>
      </c>
      <c r="H168">
        <f>IF(AutoClaim_Data!D168&lt;=$B$2,IF(AutoClaim_Data!E168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">
        <f>(F168-H168)^2</f>
        <v/>
      </c>
      <c r="J168">
        <f>--(E168="Validation")</f>
        <v/>
      </c>
    </row>
    <row r="169">
      <c r="D169">
        <f>AutoClaim_Data!A169</f>
        <v/>
      </c>
      <c r="E169">
        <f>AutoClaim_Data!B169</f>
        <v/>
      </c>
      <c r="F169">
        <f>AutoClaim_Data!C169</f>
        <v/>
      </c>
      <c r="G169">
        <f>IF(AutoClaim_Data!D169&lt;=$B$2,AVERAGEIFS(AutoClaim_Data!C2:C3168,AutoClaim_Data!B2:B3168,"Train",AutoClaim_Data!D2:D3168,"&lt;="&amp;$B$2),AVERAGEIFS(AutoClaim_Data!C2:C3168,AutoClaim_Data!B2:B3168,"Train",AutoClaim_Data!D2:D3168,"&gt;"&amp;$B$2))</f>
        <v/>
      </c>
      <c r="H169">
        <f>IF(AutoClaim_Data!D169&lt;=$B$2,IF(AutoClaim_Data!E169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">
        <f>(F169-H169)^2</f>
        <v/>
      </c>
      <c r="J169">
        <f>--(E169="Validation")</f>
        <v/>
      </c>
    </row>
    <row r="170">
      <c r="D170">
        <f>AutoClaim_Data!A170</f>
        <v/>
      </c>
      <c r="E170">
        <f>AutoClaim_Data!B170</f>
        <v/>
      </c>
      <c r="F170">
        <f>AutoClaim_Data!C170</f>
        <v/>
      </c>
      <c r="G170">
        <f>IF(AutoClaim_Data!D170&lt;=$B$2,AVERAGEIFS(AutoClaim_Data!C2:C3168,AutoClaim_Data!B2:B3168,"Train",AutoClaim_Data!D2:D3168,"&lt;="&amp;$B$2),AVERAGEIFS(AutoClaim_Data!C2:C3168,AutoClaim_Data!B2:B3168,"Train",AutoClaim_Data!D2:D3168,"&gt;"&amp;$B$2))</f>
        <v/>
      </c>
      <c r="H170">
        <f>IF(AutoClaim_Data!D170&lt;=$B$2,IF(AutoClaim_Data!E170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">
        <f>(F170-H170)^2</f>
        <v/>
      </c>
      <c r="J170">
        <f>--(E170="Validation")</f>
        <v/>
      </c>
    </row>
    <row r="171">
      <c r="D171">
        <f>AutoClaim_Data!A171</f>
        <v/>
      </c>
      <c r="E171">
        <f>AutoClaim_Data!B171</f>
        <v/>
      </c>
      <c r="F171">
        <f>AutoClaim_Data!C171</f>
        <v/>
      </c>
      <c r="G171">
        <f>IF(AutoClaim_Data!D171&lt;=$B$2,AVERAGEIFS(AutoClaim_Data!C2:C3168,AutoClaim_Data!B2:B3168,"Train",AutoClaim_Data!D2:D3168,"&lt;="&amp;$B$2),AVERAGEIFS(AutoClaim_Data!C2:C3168,AutoClaim_Data!B2:B3168,"Train",AutoClaim_Data!D2:D3168,"&gt;"&amp;$B$2))</f>
        <v/>
      </c>
      <c r="H171">
        <f>IF(AutoClaim_Data!D171&lt;=$B$2,IF(AutoClaim_Data!E171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">
        <f>(F171-H171)^2</f>
        <v/>
      </c>
      <c r="J171">
        <f>--(E171="Validation")</f>
        <v/>
      </c>
    </row>
    <row r="172">
      <c r="D172">
        <f>AutoClaim_Data!A172</f>
        <v/>
      </c>
      <c r="E172">
        <f>AutoClaim_Data!B172</f>
        <v/>
      </c>
      <c r="F172">
        <f>AutoClaim_Data!C172</f>
        <v/>
      </c>
      <c r="G172">
        <f>IF(AutoClaim_Data!D172&lt;=$B$2,AVERAGEIFS(AutoClaim_Data!C2:C3168,AutoClaim_Data!B2:B3168,"Train",AutoClaim_Data!D2:D3168,"&lt;="&amp;$B$2),AVERAGEIFS(AutoClaim_Data!C2:C3168,AutoClaim_Data!B2:B3168,"Train",AutoClaim_Data!D2:D3168,"&gt;"&amp;$B$2))</f>
        <v/>
      </c>
      <c r="H172">
        <f>IF(AutoClaim_Data!D172&lt;=$B$2,IF(AutoClaim_Data!E172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">
        <f>(F172-H172)^2</f>
        <v/>
      </c>
      <c r="J172">
        <f>--(E172="Validation")</f>
        <v/>
      </c>
    </row>
    <row r="173">
      <c r="D173">
        <f>AutoClaim_Data!A173</f>
        <v/>
      </c>
      <c r="E173">
        <f>AutoClaim_Data!B173</f>
        <v/>
      </c>
      <c r="F173">
        <f>AutoClaim_Data!C173</f>
        <v/>
      </c>
      <c r="G173">
        <f>IF(AutoClaim_Data!D173&lt;=$B$2,AVERAGEIFS(AutoClaim_Data!C2:C3168,AutoClaim_Data!B2:B3168,"Train",AutoClaim_Data!D2:D3168,"&lt;="&amp;$B$2),AVERAGEIFS(AutoClaim_Data!C2:C3168,AutoClaim_Data!B2:B3168,"Train",AutoClaim_Data!D2:D3168,"&gt;"&amp;$B$2))</f>
        <v/>
      </c>
      <c r="H173">
        <f>IF(AutoClaim_Data!D173&lt;=$B$2,IF(AutoClaim_Data!E173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">
        <f>(F173-H173)^2</f>
        <v/>
      </c>
      <c r="J173">
        <f>--(E173="Validation")</f>
        <v/>
      </c>
    </row>
    <row r="174">
      <c r="D174">
        <f>AutoClaim_Data!A174</f>
        <v/>
      </c>
      <c r="E174">
        <f>AutoClaim_Data!B174</f>
        <v/>
      </c>
      <c r="F174">
        <f>AutoClaim_Data!C174</f>
        <v/>
      </c>
      <c r="G174">
        <f>IF(AutoClaim_Data!D174&lt;=$B$2,AVERAGEIFS(AutoClaim_Data!C2:C3168,AutoClaim_Data!B2:B3168,"Train",AutoClaim_Data!D2:D3168,"&lt;="&amp;$B$2),AVERAGEIFS(AutoClaim_Data!C2:C3168,AutoClaim_Data!B2:B3168,"Train",AutoClaim_Data!D2:D3168,"&gt;"&amp;$B$2))</f>
        <v/>
      </c>
      <c r="H174">
        <f>IF(AutoClaim_Data!D174&lt;=$B$2,IF(AutoClaim_Data!E174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">
        <f>(F174-H174)^2</f>
        <v/>
      </c>
      <c r="J174">
        <f>--(E174="Validation")</f>
        <v/>
      </c>
    </row>
    <row r="175">
      <c r="D175">
        <f>AutoClaim_Data!A175</f>
        <v/>
      </c>
      <c r="E175">
        <f>AutoClaim_Data!B175</f>
        <v/>
      </c>
      <c r="F175">
        <f>AutoClaim_Data!C175</f>
        <v/>
      </c>
      <c r="G175">
        <f>IF(AutoClaim_Data!D175&lt;=$B$2,AVERAGEIFS(AutoClaim_Data!C2:C3168,AutoClaim_Data!B2:B3168,"Train",AutoClaim_Data!D2:D3168,"&lt;="&amp;$B$2),AVERAGEIFS(AutoClaim_Data!C2:C3168,AutoClaim_Data!B2:B3168,"Train",AutoClaim_Data!D2:D3168,"&gt;"&amp;$B$2))</f>
        <v/>
      </c>
      <c r="H175">
        <f>IF(AutoClaim_Data!D175&lt;=$B$2,IF(AutoClaim_Data!E175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">
        <f>(F175-H175)^2</f>
        <v/>
      </c>
      <c r="J175">
        <f>--(E175="Validation")</f>
        <v/>
      </c>
    </row>
    <row r="176">
      <c r="D176">
        <f>AutoClaim_Data!A176</f>
        <v/>
      </c>
      <c r="E176">
        <f>AutoClaim_Data!B176</f>
        <v/>
      </c>
      <c r="F176">
        <f>AutoClaim_Data!C176</f>
        <v/>
      </c>
      <c r="G176">
        <f>IF(AutoClaim_Data!D176&lt;=$B$2,AVERAGEIFS(AutoClaim_Data!C2:C3168,AutoClaim_Data!B2:B3168,"Train",AutoClaim_Data!D2:D3168,"&lt;="&amp;$B$2),AVERAGEIFS(AutoClaim_Data!C2:C3168,AutoClaim_Data!B2:B3168,"Train",AutoClaim_Data!D2:D3168,"&gt;"&amp;$B$2))</f>
        <v/>
      </c>
      <c r="H176">
        <f>IF(AutoClaim_Data!D176&lt;=$B$2,IF(AutoClaim_Data!E176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">
        <f>(F176-H176)^2</f>
        <v/>
      </c>
      <c r="J176">
        <f>--(E176="Validation")</f>
        <v/>
      </c>
    </row>
    <row r="177">
      <c r="D177">
        <f>AutoClaim_Data!A177</f>
        <v/>
      </c>
      <c r="E177">
        <f>AutoClaim_Data!B177</f>
        <v/>
      </c>
      <c r="F177">
        <f>AutoClaim_Data!C177</f>
        <v/>
      </c>
      <c r="G177">
        <f>IF(AutoClaim_Data!D177&lt;=$B$2,AVERAGEIFS(AutoClaim_Data!C2:C3168,AutoClaim_Data!B2:B3168,"Train",AutoClaim_Data!D2:D3168,"&lt;="&amp;$B$2),AVERAGEIFS(AutoClaim_Data!C2:C3168,AutoClaim_Data!B2:B3168,"Train",AutoClaim_Data!D2:D3168,"&gt;"&amp;$B$2))</f>
        <v/>
      </c>
      <c r="H177">
        <f>IF(AutoClaim_Data!D177&lt;=$B$2,IF(AutoClaim_Data!E177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">
        <f>(F177-H177)^2</f>
        <v/>
      </c>
      <c r="J177">
        <f>--(E177="Validation")</f>
        <v/>
      </c>
    </row>
    <row r="178">
      <c r="D178">
        <f>AutoClaim_Data!A178</f>
        <v/>
      </c>
      <c r="E178">
        <f>AutoClaim_Data!B178</f>
        <v/>
      </c>
      <c r="F178">
        <f>AutoClaim_Data!C178</f>
        <v/>
      </c>
      <c r="G178">
        <f>IF(AutoClaim_Data!D178&lt;=$B$2,AVERAGEIFS(AutoClaim_Data!C2:C3168,AutoClaim_Data!B2:B3168,"Train",AutoClaim_Data!D2:D3168,"&lt;="&amp;$B$2),AVERAGEIFS(AutoClaim_Data!C2:C3168,AutoClaim_Data!B2:B3168,"Train",AutoClaim_Data!D2:D3168,"&gt;"&amp;$B$2))</f>
        <v/>
      </c>
      <c r="H178">
        <f>IF(AutoClaim_Data!D178&lt;=$B$2,IF(AutoClaim_Data!E178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">
        <f>(F178-H178)^2</f>
        <v/>
      </c>
      <c r="J178">
        <f>--(E178="Validation")</f>
        <v/>
      </c>
    </row>
    <row r="179">
      <c r="D179">
        <f>AutoClaim_Data!A179</f>
        <v/>
      </c>
      <c r="E179">
        <f>AutoClaim_Data!B179</f>
        <v/>
      </c>
      <c r="F179">
        <f>AutoClaim_Data!C179</f>
        <v/>
      </c>
      <c r="G179">
        <f>IF(AutoClaim_Data!D179&lt;=$B$2,AVERAGEIFS(AutoClaim_Data!C2:C3168,AutoClaim_Data!B2:B3168,"Train",AutoClaim_Data!D2:D3168,"&lt;="&amp;$B$2),AVERAGEIFS(AutoClaim_Data!C2:C3168,AutoClaim_Data!B2:B3168,"Train",AutoClaim_Data!D2:D3168,"&gt;"&amp;$B$2))</f>
        <v/>
      </c>
      <c r="H179">
        <f>IF(AutoClaim_Data!D179&lt;=$B$2,IF(AutoClaim_Data!E179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">
        <f>(F179-H179)^2</f>
        <v/>
      </c>
      <c r="J179">
        <f>--(E179="Validation")</f>
        <v/>
      </c>
    </row>
    <row r="180">
      <c r="D180">
        <f>AutoClaim_Data!A180</f>
        <v/>
      </c>
      <c r="E180">
        <f>AutoClaim_Data!B180</f>
        <v/>
      </c>
      <c r="F180">
        <f>AutoClaim_Data!C180</f>
        <v/>
      </c>
      <c r="G180">
        <f>IF(AutoClaim_Data!D180&lt;=$B$2,AVERAGEIFS(AutoClaim_Data!C2:C3168,AutoClaim_Data!B2:B3168,"Train",AutoClaim_Data!D2:D3168,"&lt;="&amp;$B$2),AVERAGEIFS(AutoClaim_Data!C2:C3168,AutoClaim_Data!B2:B3168,"Train",AutoClaim_Data!D2:D3168,"&gt;"&amp;$B$2))</f>
        <v/>
      </c>
      <c r="H180">
        <f>IF(AutoClaim_Data!D180&lt;=$B$2,IF(AutoClaim_Data!E180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">
        <f>(F180-H180)^2</f>
        <v/>
      </c>
      <c r="J180">
        <f>--(E180="Validation")</f>
        <v/>
      </c>
    </row>
    <row r="181">
      <c r="D181">
        <f>AutoClaim_Data!A181</f>
        <v/>
      </c>
      <c r="E181">
        <f>AutoClaim_Data!B181</f>
        <v/>
      </c>
      <c r="F181">
        <f>AutoClaim_Data!C181</f>
        <v/>
      </c>
      <c r="G181">
        <f>IF(AutoClaim_Data!D181&lt;=$B$2,AVERAGEIFS(AutoClaim_Data!C2:C3168,AutoClaim_Data!B2:B3168,"Train",AutoClaim_Data!D2:D3168,"&lt;="&amp;$B$2),AVERAGEIFS(AutoClaim_Data!C2:C3168,AutoClaim_Data!B2:B3168,"Train",AutoClaim_Data!D2:D3168,"&gt;"&amp;$B$2))</f>
        <v/>
      </c>
      <c r="H181">
        <f>IF(AutoClaim_Data!D181&lt;=$B$2,IF(AutoClaim_Data!E181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">
        <f>(F181-H181)^2</f>
        <v/>
      </c>
      <c r="J181">
        <f>--(E181="Validation")</f>
        <v/>
      </c>
    </row>
    <row r="182">
      <c r="D182">
        <f>AutoClaim_Data!A182</f>
        <v/>
      </c>
      <c r="E182">
        <f>AutoClaim_Data!B182</f>
        <v/>
      </c>
      <c r="F182">
        <f>AutoClaim_Data!C182</f>
        <v/>
      </c>
      <c r="G182">
        <f>IF(AutoClaim_Data!D182&lt;=$B$2,AVERAGEIFS(AutoClaim_Data!C2:C3168,AutoClaim_Data!B2:B3168,"Train",AutoClaim_Data!D2:D3168,"&lt;="&amp;$B$2),AVERAGEIFS(AutoClaim_Data!C2:C3168,AutoClaim_Data!B2:B3168,"Train",AutoClaim_Data!D2:D3168,"&gt;"&amp;$B$2))</f>
        <v/>
      </c>
      <c r="H182">
        <f>IF(AutoClaim_Data!D182&lt;=$B$2,IF(AutoClaim_Data!E182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">
        <f>(F182-H182)^2</f>
        <v/>
      </c>
      <c r="J182">
        <f>--(E182="Validation")</f>
        <v/>
      </c>
    </row>
    <row r="183">
      <c r="D183">
        <f>AutoClaim_Data!A183</f>
        <v/>
      </c>
      <c r="E183">
        <f>AutoClaim_Data!B183</f>
        <v/>
      </c>
      <c r="F183">
        <f>AutoClaim_Data!C183</f>
        <v/>
      </c>
      <c r="G183">
        <f>IF(AutoClaim_Data!D183&lt;=$B$2,AVERAGEIFS(AutoClaim_Data!C2:C3168,AutoClaim_Data!B2:B3168,"Train",AutoClaim_Data!D2:D3168,"&lt;="&amp;$B$2),AVERAGEIFS(AutoClaim_Data!C2:C3168,AutoClaim_Data!B2:B3168,"Train",AutoClaim_Data!D2:D3168,"&gt;"&amp;$B$2))</f>
        <v/>
      </c>
      <c r="H183">
        <f>IF(AutoClaim_Data!D183&lt;=$B$2,IF(AutoClaim_Data!E183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">
        <f>(F183-H183)^2</f>
        <v/>
      </c>
      <c r="J183">
        <f>--(E183="Validation")</f>
        <v/>
      </c>
    </row>
    <row r="184">
      <c r="D184">
        <f>AutoClaim_Data!A184</f>
        <v/>
      </c>
      <c r="E184">
        <f>AutoClaim_Data!B184</f>
        <v/>
      </c>
      <c r="F184">
        <f>AutoClaim_Data!C184</f>
        <v/>
      </c>
      <c r="G184">
        <f>IF(AutoClaim_Data!D184&lt;=$B$2,AVERAGEIFS(AutoClaim_Data!C2:C3168,AutoClaim_Data!B2:B3168,"Train",AutoClaim_Data!D2:D3168,"&lt;="&amp;$B$2),AVERAGEIFS(AutoClaim_Data!C2:C3168,AutoClaim_Data!B2:B3168,"Train",AutoClaim_Data!D2:D3168,"&gt;"&amp;$B$2))</f>
        <v/>
      </c>
      <c r="H184">
        <f>IF(AutoClaim_Data!D184&lt;=$B$2,IF(AutoClaim_Data!E184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">
        <f>(F184-H184)^2</f>
        <v/>
      </c>
      <c r="J184">
        <f>--(E184="Validation")</f>
        <v/>
      </c>
    </row>
    <row r="185">
      <c r="D185">
        <f>AutoClaim_Data!A185</f>
        <v/>
      </c>
      <c r="E185">
        <f>AutoClaim_Data!B185</f>
        <v/>
      </c>
      <c r="F185">
        <f>AutoClaim_Data!C185</f>
        <v/>
      </c>
      <c r="G185">
        <f>IF(AutoClaim_Data!D185&lt;=$B$2,AVERAGEIFS(AutoClaim_Data!C2:C3168,AutoClaim_Data!B2:B3168,"Train",AutoClaim_Data!D2:D3168,"&lt;="&amp;$B$2),AVERAGEIFS(AutoClaim_Data!C2:C3168,AutoClaim_Data!B2:B3168,"Train",AutoClaim_Data!D2:D3168,"&gt;"&amp;$B$2))</f>
        <v/>
      </c>
      <c r="H185">
        <f>IF(AutoClaim_Data!D185&lt;=$B$2,IF(AutoClaim_Data!E185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">
        <f>(F185-H185)^2</f>
        <v/>
      </c>
      <c r="J185">
        <f>--(E185="Validation")</f>
        <v/>
      </c>
    </row>
    <row r="186">
      <c r="D186">
        <f>AutoClaim_Data!A186</f>
        <v/>
      </c>
      <c r="E186">
        <f>AutoClaim_Data!B186</f>
        <v/>
      </c>
      <c r="F186">
        <f>AutoClaim_Data!C186</f>
        <v/>
      </c>
      <c r="G186">
        <f>IF(AutoClaim_Data!D186&lt;=$B$2,AVERAGEIFS(AutoClaim_Data!C2:C3168,AutoClaim_Data!B2:B3168,"Train",AutoClaim_Data!D2:D3168,"&lt;="&amp;$B$2),AVERAGEIFS(AutoClaim_Data!C2:C3168,AutoClaim_Data!B2:B3168,"Train",AutoClaim_Data!D2:D3168,"&gt;"&amp;$B$2))</f>
        <v/>
      </c>
      <c r="H186">
        <f>IF(AutoClaim_Data!D186&lt;=$B$2,IF(AutoClaim_Data!E186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">
        <f>(F186-H186)^2</f>
        <v/>
      </c>
      <c r="J186">
        <f>--(E186="Validation")</f>
        <v/>
      </c>
    </row>
    <row r="187">
      <c r="D187">
        <f>AutoClaim_Data!A187</f>
        <v/>
      </c>
      <c r="E187">
        <f>AutoClaim_Data!B187</f>
        <v/>
      </c>
      <c r="F187">
        <f>AutoClaim_Data!C187</f>
        <v/>
      </c>
      <c r="G187">
        <f>IF(AutoClaim_Data!D187&lt;=$B$2,AVERAGEIFS(AutoClaim_Data!C2:C3168,AutoClaim_Data!B2:B3168,"Train",AutoClaim_Data!D2:D3168,"&lt;="&amp;$B$2),AVERAGEIFS(AutoClaim_Data!C2:C3168,AutoClaim_Data!B2:B3168,"Train",AutoClaim_Data!D2:D3168,"&gt;"&amp;$B$2))</f>
        <v/>
      </c>
      <c r="H187">
        <f>IF(AutoClaim_Data!D187&lt;=$B$2,IF(AutoClaim_Data!E187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">
        <f>(F187-H187)^2</f>
        <v/>
      </c>
      <c r="J187">
        <f>--(E187="Validation")</f>
        <v/>
      </c>
    </row>
    <row r="188">
      <c r="D188">
        <f>AutoClaim_Data!A188</f>
        <v/>
      </c>
      <c r="E188">
        <f>AutoClaim_Data!B188</f>
        <v/>
      </c>
      <c r="F188">
        <f>AutoClaim_Data!C188</f>
        <v/>
      </c>
      <c r="G188">
        <f>IF(AutoClaim_Data!D188&lt;=$B$2,AVERAGEIFS(AutoClaim_Data!C2:C3168,AutoClaim_Data!B2:B3168,"Train",AutoClaim_Data!D2:D3168,"&lt;="&amp;$B$2),AVERAGEIFS(AutoClaim_Data!C2:C3168,AutoClaim_Data!B2:B3168,"Train",AutoClaim_Data!D2:D3168,"&gt;"&amp;$B$2))</f>
        <v/>
      </c>
      <c r="H188">
        <f>IF(AutoClaim_Data!D188&lt;=$B$2,IF(AutoClaim_Data!E188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">
        <f>(F188-H188)^2</f>
        <v/>
      </c>
      <c r="J188">
        <f>--(E188="Validation")</f>
        <v/>
      </c>
    </row>
    <row r="189">
      <c r="D189">
        <f>AutoClaim_Data!A189</f>
        <v/>
      </c>
      <c r="E189">
        <f>AutoClaim_Data!B189</f>
        <v/>
      </c>
      <c r="F189">
        <f>AutoClaim_Data!C189</f>
        <v/>
      </c>
      <c r="G189">
        <f>IF(AutoClaim_Data!D189&lt;=$B$2,AVERAGEIFS(AutoClaim_Data!C2:C3168,AutoClaim_Data!B2:B3168,"Train",AutoClaim_Data!D2:D3168,"&lt;="&amp;$B$2),AVERAGEIFS(AutoClaim_Data!C2:C3168,AutoClaim_Data!B2:B3168,"Train",AutoClaim_Data!D2:D3168,"&gt;"&amp;$B$2))</f>
        <v/>
      </c>
      <c r="H189">
        <f>IF(AutoClaim_Data!D189&lt;=$B$2,IF(AutoClaim_Data!E189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">
        <f>(F189-H189)^2</f>
        <v/>
      </c>
      <c r="J189">
        <f>--(E189="Validation")</f>
        <v/>
      </c>
    </row>
    <row r="190">
      <c r="D190">
        <f>AutoClaim_Data!A190</f>
        <v/>
      </c>
      <c r="E190">
        <f>AutoClaim_Data!B190</f>
        <v/>
      </c>
      <c r="F190">
        <f>AutoClaim_Data!C190</f>
        <v/>
      </c>
      <c r="G190">
        <f>IF(AutoClaim_Data!D190&lt;=$B$2,AVERAGEIFS(AutoClaim_Data!C2:C3168,AutoClaim_Data!B2:B3168,"Train",AutoClaim_Data!D2:D3168,"&lt;="&amp;$B$2),AVERAGEIFS(AutoClaim_Data!C2:C3168,AutoClaim_Data!B2:B3168,"Train",AutoClaim_Data!D2:D3168,"&gt;"&amp;$B$2))</f>
        <v/>
      </c>
      <c r="H190">
        <f>IF(AutoClaim_Data!D190&lt;=$B$2,IF(AutoClaim_Data!E190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">
        <f>(F190-H190)^2</f>
        <v/>
      </c>
      <c r="J190">
        <f>--(E190="Validation")</f>
        <v/>
      </c>
    </row>
    <row r="191">
      <c r="D191">
        <f>AutoClaim_Data!A191</f>
        <v/>
      </c>
      <c r="E191">
        <f>AutoClaim_Data!B191</f>
        <v/>
      </c>
      <c r="F191">
        <f>AutoClaim_Data!C191</f>
        <v/>
      </c>
      <c r="G191">
        <f>IF(AutoClaim_Data!D191&lt;=$B$2,AVERAGEIFS(AutoClaim_Data!C2:C3168,AutoClaim_Data!B2:B3168,"Train",AutoClaim_Data!D2:D3168,"&lt;="&amp;$B$2),AVERAGEIFS(AutoClaim_Data!C2:C3168,AutoClaim_Data!B2:B3168,"Train",AutoClaim_Data!D2:D3168,"&gt;"&amp;$B$2))</f>
        <v/>
      </c>
      <c r="H191">
        <f>IF(AutoClaim_Data!D191&lt;=$B$2,IF(AutoClaim_Data!E191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">
        <f>(F191-H191)^2</f>
        <v/>
      </c>
      <c r="J191">
        <f>--(E191="Validation")</f>
        <v/>
      </c>
    </row>
    <row r="192">
      <c r="D192">
        <f>AutoClaim_Data!A192</f>
        <v/>
      </c>
      <c r="E192">
        <f>AutoClaim_Data!B192</f>
        <v/>
      </c>
      <c r="F192">
        <f>AutoClaim_Data!C192</f>
        <v/>
      </c>
      <c r="G192">
        <f>IF(AutoClaim_Data!D192&lt;=$B$2,AVERAGEIFS(AutoClaim_Data!C2:C3168,AutoClaim_Data!B2:B3168,"Train",AutoClaim_Data!D2:D3168,"&lt;="&amp;$B$2),AVERAGEIFS(AutoClaim_Data!C2:C3168,AutoClaim_Data!B2:B3168,"Train",AutoClaim_Data!D2:D3168,"&gt;"&amp;$B$2))</f>
        <v/>
      </c>
      <c r="H192">
        <f>IF(AutoClaim_Data!D192&lt;=$B$2,IF(AutoClaim_Data!E192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">
        <f>(F192-H192)^2</f>
        <v/>
      </c>
      <c r="J192">
        <f>--(E192="Validation")</f>
        <v/>
      </c>
    </row>
    <row r="193">
      <c r="D193">
        <f>AutoClaim_Data!A193</f>
        <v/>
      </c>
      <c r="E193">
        <f>AutoClaim_Data!B193</f>
        <v/>
      </c>
      <c r="F193">
        <f>AutoClaim_Data!C193</f>
        <v/>
      </c>
      <c r="G193">
        <f>IF(AutoClaim_Data!D193&lt;=$B$2,AVERAGEIFS(AutoClaim_Data!C2:C3168,AutoClaim_Data!B2:B3168,"Train",AutoClaim_Data!D2:D3168,"&lt;="&amp;$B$2),AVERAGEIFS(AutoClaim_Data!C2:C3168,AutoClaim_Data!B2:B3168,"Train",AutoClaim_Data!D2:D3168,"&gt;"&amp;$B$2))</f>
        <v/>
      </c>
      <c r="H193">
        <f>IF(AutoClaim_Data!D193&lt;=$B$2,IF(AutoClaim_Data!E193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">
        <f>(F193-H193)^2</f>
        <v/>
      </c>
      <c r="J193">
        <f>--(E193="Validation")</f>
        <v/>
      </c>
    </row>
    <row r="194">
      <c r="D194">
        <f>AutoClaim_Data!A194</f>
        <v/>
      </c>
      <c r="E194">
        <f>AutoClaim_Data!B194</f>
        <v/>
      </c>
      <c r="F194">
        <f>AutoClaim_Data!C194</f>
        <v/>
      </c>
      <c r="G194">
        <f>IF(AutoClaim_Data!D194&lt;=$B$2,AVERAGEIFS(AutoClaim_Data!C2:C3168,AutoClaim_Data!B2:B3168,"Train",AutoClaim_Data!D2:D3168,"&lt;="&amp;$B$2),AVERAGEIFS(AutoClaim_Data!C2:C3168,AutoClaim_Data!B2:B3168,"Train",AutoClaim_Data!D2:D3168,"&gt;"&amp;$B$2))</f>
        <v/>
      </c>
      <c r="H194">
        <f>IF(AutoClaim_Data!D194&lt;=$B$2,IF(AutoClaim_Data!E194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">
        <f>(F194-H194)^2</f>
        <v/>
      </c>
      <c r="J194">
        <f>--(E194="Validation")</f>
        <v/>
      </c>
    </row>
    <row r="195">
      <c r="D195">
        <f>AutoClaim_Data!A195</f>
        <v/>
      </c>
      <c r="E195">
        <f>AutoClaim_Data!B195</f>
        <v/>
      </c>
      <c r="F195">
        <f>AutoClaim_Data!C195</f>
        <v/>
      </c>
      <c r="G195">
        <f>IF(AutoClaim_Data!D195&lt;=$B$2,AVERAGEIFS(AutoClaim_Data!C2:C3168,AutoClaim_Data!B2:B3168,"Train",AutoClaim_Data!D2:D3168,"&lt;="&amp;$B$2),AVERAGEIFS(AutoClaim_Data!C2:C3168,AutoClaim_Data!B2:B3168,"Train",AutoClaim_Data!D2:D3168,"&gt;"&amp;$B$2))</f>
        <v/>
      </c>
      <c r="H195">
        <f>IF(AutoClaim_Data!D195&lt;=$B$2,IF(AutoClaim_Data!E195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">
        <f>(F195-H195)^2</f>
        <v/>
      </c>
      <c r="J195">
        <f>--(E195="Validation")</f>
        <v/>
      </c>
    </row>
    <row r="196">
      <c r="D196">
        <f>AutoClaim_Data!A196</f>
        <v/>
      </c>
      <c r="E196">
        <f>AutoClaim_Data!B196</f>
        <v/>
      </c>
      <c r="F196">
        <f>AutoClaim_Data!C196</f>
        <v/>
      </c>
      <c r="G196">
        <f>IF(AutoClaim_Data!D196&lt;=$B$2,AVERAGEIFS(AutoClaim_Data!C2:C3168,AutoClaim_Data!B2:B3168,"Train",AutoClaim_Data!D2:D3168,"&lt;="&amp;$B$2),AVERAGEIFS(AutoClaim_Data!C2:C3168,AutoClaim_Data!B2:B3168,"Train",AutoClaim_Data!D2:D3168,"&gt;"&amp;$B$2))</f>
        <v/>
      </c>
      <c r="H196">
        <f>IF(AutoClaim_Data!D196&lt;=$B$2,IF(AutoClaim_Data!E196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">
        <f>(F196-H196)^2</f>
        <v/>
      </c>
      <c r="J196">
        <f>--(E196="Validation")</f>
        <v/>
      </c>
    </row>
    <row r="197">
      <c r="D197">
        <f>AutoClaim_Data!A197</f>
        <v/>
      </c>
      <c r="E197">
        <f>AutoClaim_Data!B197</f>
        <v/>
      </c>
      <c r="F197">
        <f>AutoClaim_Data!C197</f>
        <v/>
      </c>
      <c r="G197">
        <f>IF(AutoClaim_Data!D197&lt;=$B$2,AVERAGEIFS(AutoClaim_Data!C2:C3168,AutoClaim_Data!B2:B3168,"Train",AutoClaim_Data!D2:D3168,"&lt;="&amp;$B$2),AVERAGEIFS(AutoClaim_Data!C2:C3168,AutoClaim_Data!B2:B3168,"Train",AutoClaim_Data!D2:D3168,"&gt;"&amp;$B$2))</f>
        <v/>
      </c>
      <c r="H197">
        <f>IF(AutoClaim_Data!D197&lt;=$B$2,IF(AutoClaim_Data!E197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">
        <f>(F197-H197)^2</f>
        <v/>
      </c>
      <c r="J197">
        <f>--(E197="Validation")</f>
        <v/>
      </c>
    </row>
    <row r="198">
      <c r="D198">
        <f>AutoClaim_Data!A198</f>
        <v/>
      </c>
      <c r="E198">
        <f>AutoClaim_Data!B198</f>
        <v/>
      </c>
      <c r="F198">
        <f>AutoClaim_Data!C198</f>
        <v/>
      </c>
      <c r="G198">
        <f>IF(AutoClaim_Data!D198&lt;=$B$2,AVERAGEIFS(AutoClaim_Data!C2:C3168,AutoClaim_Data!B2:B3168,"Train",AutoClaim_Data!D2:D3168,"&lt;="&amp;$B$2),AVERAGEIFS(AutoClaim_Data!C2:C3168,AutoClaim_Data!B2:B3168,"Train",AutoClaim_Data!D2:D3168,"&gt;"&amp;$B$2))</f>
        <v/>
      </c>
      <c r="H198">
        <f>IF(AutoClaim_Data!D198&lt;=$B$2,IF(AutoClaim_Data!E198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">
        <f>(F198-H198)^2</f>
        <v/>
      </c>
      <c r="J198">
        <f>--(E198="Validation")</f>
        <v/>
      </c>
    </row>
    <row r="199">
      <c r="D199">
        <f>AutoClaim_Data!A199</f>
        <v/>
      </c>
      <c r="E199">
        <f>AutoClaim_Data!B199</f>
        <v/>
      </c>
      <c r="F199">
        <f>AutoClaim_Data!C199</f>
        <v/>
      </c>
      <c r="G199">
        <f>IF(AutoClaim_Data!D199&lt;=$B$2,AVERAGEIFS(AutoClaim_Data!C2:C3168,AutoClaim_Data!B2:B3168,"Train",AutoClaim_Data!D2:D3168,"&lt;="&amp;$B$2),AVERAGEIFS(AutoClaim_Data!C2:C3168,AutoClaim_Data!B2:B3168,"Train",AutoClaim_Data!D2:D3168,"&gt;"&amp;$B$2))</f>
        <v/>
      </c>
      <c r="H199">
        <f>IF(AutoClaim_Data!D199&lt;=$B$2,IF(AutoClaim_Data!E199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">
        <f>(F199-H199)^2</f>
        <v/>
      </c>
      <c r="J199">
        <f>--(E199="Validation")</f>
        <v/>
      </c>
    </row>
    <row r="200">
      <c r="D200">
        <f>AutoClaim_Data!A200</f>
        <v/>
      </c>
      <c r="E200">
        <f>AutoClaim_Data!B200</f>
        <v/>
      </c>
      <c r="F200">
        <f>AutoClaim_Data!C200</f>
        <v/>
      </c>
      <c r="G200">
        <f>IF(AutoClaim_Data!D200&lt;=$B$2,AVERAGEIFS(AutoClaim_Data!C2:C3168,AutoClaim_Data!B2:B3168,"Train",AutoClaim_Data!D2:D3168,"&lt;="&amp;$B$2),AVERAGEIFS(AutoClaim_Data!C2:C3168,AutoClaim_Data!B2:B3168,"Train",AutoClaim_Data!D2:D3168,"&gt;"&amp;$B$2))</f>
        <v/>
      </c>
      <c r="H200">
        <f>IF(AutoClaim_Data!D200&lt;=$B$2,IF(AutoClaim_Data!E200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">
        <f>(F200-H200)^2</f>
        <v/>
      </c>
      <c r="J200">
        <f>--(E200="Validation")</f>
        <v/>
      </c>
    </row>
    <row r="201">
      <c r="D201">
        <f>AutoClaim_Data!A201</f>
        <v/>
      </c>
      <c r="E201">
        <f>AutoClaim_Data!B201</f>
        <v/>
      </c>
      <c r="F201">
        <f>AutoClaim_Data!C201</f>
        <v/>
      </c>
      <c r="G201">
        <f>IF(AutoClaim_Data!D201&lt;=$B$2,AVERAGEIFS(AutoClaim_Data!C2:C3168,AutoClaim_Data!B2:B3168,"Train",AutoClaim_Data!D2:D3168,"&lt;="&amp;$B$2),AVERAGEIFS(AutoClaim_Data!C2:C3168,AutoClaim_Data!B2:B3168,"Train",AutoClaim_Data!D2:D3168,"&gt;"&amp;$B$2))</f>
        <v/>
      </c>
      <c r="H201">
        <f>IF(AutoClaim_Data!D201&lt;=$B$2,IF(AutoClaim_Data!E201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">
        <f>(F201-H201)^2</f>
        <v/>
      </c>
      <c r="J201">
        <f>--(E201="Validation")</f>
        <v/>
      </c>
    </row>
    <row r="202">
      <c r="D202">
        <f>AutoClaim_Data!A202</f>
        <v/>
      </c>
      <c r="E202">
        <f>AutoClaim_Data!B202</f>
        <v/>
      </c>
      <c r="F202">
        <f>AutoClaim_Data!C202</f>
        <v/>
      </c>
      <c r="G202">
        <f>IF(AutoClaim_Data!D202&lt;=$B$2,AVERAGEIFS(AutoClaim_Data!C2:C3168,AutoClaim_Data!B2:B3168,"Train",AutoClaim_Data!D2:D3168,"&lt;="&amp;$B$2),AVERAGEIFS(AutoClaim_Data!C2:C3168,AutoClaim_Data!B2:B3168,"Train",AutoClaim_Data!D2:D3168,"&gt;"&amp;$B$2))</f>
        <v/>
      </c>
      <c r="H202">
        <f>IF(AutoClaim_Data!D202&lt;=$B$2,IF(AutoClaim_Data!E202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">
        <f>(F202-H202)^2</f>
        <v/>
      </c>
      <c r="J202">
        <f>--(E202="Validation")</f>
        <v/>
      </c>
    </row>
    <row r="203">
      <c r="D203">
        <f>AutoClaim_Data!A203</f>
        <v/>
      </c>
      <c r="E203">
        <f>AutoClaim_Data!B203</f>
        <v/>
      </c>
      <c r="F203">
        <f>AutoClaim_Data!C203</f>
        <v/>
      </c>
      <c r="G203">
        <f>IF(AutoClaim_Data!D203&lt;=$B$2,AVERAGEIFS(AutoClaim_Data!C2:C3168,AutoClaim_Data!B2:B3168,"Train",AutoClaim_Data!D2:D3168,"&lt;="&amp;$B$2),AVERAGEIFS(AutoClaim_Data!C2:C3168,AutoClaim_Data!B2:B3168,"Train",AutoClaim_Data!D2:D3168,"&gt;"&amp;$B$2))</f>
        <v/>
      </c>
      <c r="H203">
        <f>IF(AutoClaim_Data!D203&lt;=$B$2,IF(AutoClaim_Data!E203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">
        <f>(F203-H203)^2</f>
        <v/>
      </c>
      <c r="J203">
        <f>--(E203="Validation")</f>
        <v/>
      </c>
    </row>
    <row r="204">
      <c r="D204">
        <f>AutoClaim_Data!A204</f>
        <v/>
      </c>
      <c r="E204">
        <f>AutoClaim_Data!B204</f>
        <v/>
      </c>
      <c r="F204">
        <f>AutoClaim_Data!C204</f>
        <v/>
      </c>
      <c r="G204">
        <f>IF(AutoClaim_Data!D204&lt;=$B$2,AVERAGEIFS(AutoClaim_Data!C2:C3168,AutoClaim_Data!B2:B3168,"Train",AutoClaim_Data!D2:D3168,"&lt;="&amp;$B$2),AVERAGEIFS(AutoClaim_Data!C2:C3168,AutoClaim_Data!B2:B3168,"Train",AutoClaim_Data!D2:D3168,"&gt;"&amp;$B$2))</f>
        <v/>
      </c>
      <c r="H204">
        <f>IF(AutoClaim_Data!D204&lt;=$B$2,IF(AutoClaim_Data!E204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">
        <f>(F204-H204)^2</f>
        <v/>
      </c>
      <c r="J204">
        <f>--(E204="Validation")</f>
        <v/>
      </c>
    </row>
    <row r="205">
      <c r="D205">
        <f>AutoClaim_Data!A205</f>
        <v/>
      </c>
      <c r="E205">
        <f>AutoClaim_Data!B205</f>
        <v/>
      </c>
      <c r="F205">
        <f>AutoClaim_Data!C205</f>
        <v/>
      </c>
      <c r="G205">
        <f>IF(AutoClaim_Data!D205&lt;=$B$2,AVERAGEIFS(AutoClaim_Data!C2:C3168,AutoClaim_Data!B2:B3168,"Train",AutoClaim_Data!D2:D3168,"&lt;="&amp;$B$2),AVERAGEIFS(AutoClaim_Data!C2:C3168,AutoClaim_Data!B2:B3168,"Train",AutoClaim_Data!D2:D3168,"&gt;"&amp;$B$2))</f>
        <v/>
      </c>
      <c r="H205">
        <f>IF(AutoClaim_Data!D205&lt;=$B$2,IF(AutoClaim_Data!E205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">
        <f>(F205-H205)^2</f>
        <v/>
      </c>
      <c r="J205">
        <f>--(E205="Validation")</f>
        <v/>
      </c>
    </row>
    <row r="206">
      <c r="D206">
        <f>AutoClaim_Data!A206</f>
        <v/>
      </c>
      <c r="E206">
        <f>AutoClaim_Data!B206</f>
        <v/>
      </c>
      <c r="F206">
        <f>AutoClaim_Data!C206</f>
        <v/>
      </c>
      <c r="G206">
        <f>IF(AutoClaim_Data!D206&lt;=$B$2,AVERAGEIFS(AutoClaim_Data!C2:C3168,AutoClaim_Data!B2:B3168,"Train",AutoClaim_Data!D2:D3168,"&lt;="&amp;$B$2),AVERAGEIFS(AutoClaim_Data!C2:C3168,AutoClaim_Data!B2:B3168,"Train",AutoClaim_Data!D2:D3168,"&gt;"&amp;$B$2))</f>
        <v/>
      </c>
      <c r="H206">
        <f>IF(AutoClaim_Data!D206&lt;=$B$2,IF(AutoClaim_Data!E206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">
        <f>(F206-H206)^2</f>
        <v/>
      </c>
      <c r="J206">
        <f>--(E206="Validation")</f>
        <v/>
      </c>
    </row>
    <row r="207">
      <c r="D207">
        <f>AutoClaim_Data!A207</f>
        <v/>
      </c>
      <c r="E207">
        <f>AutoClaim_Data!B207</f>
        <v/>
      </c>
      <c r="F207">
        <f>AutoClaim_Data!C207</f>
        <v/>
      </c>
      <c r="G207">
        <f>IF(AutoClaim_Data!D207&lt;=$B$2,AVERAGEIFS(AutoClaim_Data!C2:C3168,AutoClaim_Data!B2:B3168,"Train",AutoClaim_Data!D2:D3168,"&lt;="&amp;$B$2),AVERAGEIFS(AutoClaim_Data!C2:C3168,AutoClaim_Data!B2:B3168,"Train",AutoClaim_Data!D2:D3168,"&gt;"&amp;$B$2))</f>
        <v/>
      </c>
      <c r="H207">
        <f>IF(AutoClaim_Data!D207&lt;=$B$2,IF(AutoClaim_Data!E207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">
        <f>(F207-H207)^2</f>
        <v/>
      </c>
      <c r="J207">
        <f>--(E207="Validation")</f>
        <v/>
      </c>
    </row>
    <row r="208">
      <c r="D208">
        <f>AutoClaim_Data!A208</f>
        <v/>
      </c>
      <c r="E208">
        <f>AutoClaim_Data!B208</f>
        <v/>
      </c>
      <c r="F208">
        <f>AutoClaim_Data!C208</f>
        <v/>
      </c>
      <c r="G208">
        <f>IF(AutoClaim_Data!D208&lt;=$B$2,AVERAGEIFS(AutoClaim_Data!C2:C3168,AutoClaim_Data!B2:B3168,"Train",AutoClaim_Data!D2:D3168,"&lt;="&amp;$B$2),AVERAGEIFS(AutoClaim_Data!C2:C3168,AutoClaim_Data!B2:B3168,"Train",AutoClaim_Data!D2:D3168,"&gt;"&amp;$B$2))</f>
        <v/>
      </c>
      <c r="H208">
        <f>IF(AutoClaim_Data!D208&lt;=$B$2,IF(AutoClaim_Data!E208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">
        <f>(F208-H208)^2</f>
        <v/>
      </c>
      <c r="J208">
        <f>--(E208="Validation")</f>
        <v/>
      </c>
    </row>
    <row r="209">
      <c r="D209">
        <f>AutoClaim_Data!A209</f>
        <v/>
      </c>
      <c r="E209">
        <f>AutoClaim_Data!B209</f>
        <v/>
      </c>
      <c r="F209">
        <f>AutoClaim_Data!C209</f>
        <v/>
      </c>
      <c r="G209">
        <f>IF(AutoClaim_Data!D209&lt;=$B$2,AVERAGEIFS(AutoClaim_Data!C2:C3168,AutoClaim_Data!B2:B3168,"Train",AutoClaim_Data!D2:D3168,"&lt;="&amp;$B$2),AVERAGEIFS(AutoClaim_Data!C2:C3168,AutoClaim_Data!B2:B3168,"Train",AutoClaim_Data!D2:D3168,"&gt;"&amp;$B$2))</f>
        <v/>
      </c>
      <c r="H209">
        <f>IF(AutoClaim_Data!D209&lt;=$B$2,IF(AutoClaim_Data!E209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">
        <f>(F209-H209)^2</f>
        <v/>
      </c>
      <c r="J209">
        <f>--(E209="Validation")</f>
        <v/>
      </c>
    </row>
    <row r="210">
      <c r="D210">
        <f>AutoClaim_Data!A210</f>
        <v/>
      </c>
      <c r="E210">
        <f>AutoClaim_Data!B210</f>
        <v/>
      </c>
      <c r="F210">
        <f>AutoClaim_Data!C210</f>
        <v/>
      </c>
      <c r="G210">
        <f>IF(AutoClaim_Data!D210&lt;=$B$2,AVERAGEIFS(AutoClaim_Data!C2:C3168,AutoClaim_Data!B2:B3168,"Train",AutoClaim_Data!D2:D3168,"&lt;="&amp;$B$2),AVERAGEIFS(AutoClaim_Data!C2:C3168,AutoClaim_Data!B2:B3168,"Train",AutoClaim_Data!D2:D3168,"&gt;"&amp;$B$2))</f>
        <v/>
      </c>
      <c r="H210">
        <f>IF(AutoClaim_Data!D210&lt;=$B$2,IF(AutoClaim_Data!E210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">
        <f>(F210-H210)^2</f>
        <v/>
      </c>
      <c r="J210">
        <f>--(E210="Validation")</f>
        <v/>
      </c>
    </row>
    <row r="211">
      <c r="D211">
        <f>AutoClaim_Data!A211</f>
        <v/>
      </c>
      <c r="E211">
        <f>AutoClaim_Data!B211</f>
        <v/>
      </c>
      <c r="F211">
        <f>AutoClaim_Data!C211</f>
        <v/>
      </c>
      <c r="G211">
        <f>IF(AutoClaim_Data!D211&lt;=$B$2,AVERAGEIFS(AutoClaim_Data!C2:C3168,AutoClaim_Data!B2:B3168,"Train",AutoClaim_Data!D2:D3168,"&lt;="&amp;$B$2),AVERAGEIFS(AutoClaim_Data!C2:C3168,AutoClaim_Data!B2:B3168,"Train",AutoClaim_Data!D2:D3168,"&gt;"&amp;$B$2))</f>
        <v/>
      </c>
      <c r="H211">
        <f>IF(AutoClaim_Data!D211&lt;=$B$2,IF(AutoClaim_Data!E211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">
        <f>(F211-H211)^2</f>
        <v/>
      </c>
      <c r="J211">
        <f>--(E211="Validation")</f>
        <v/>
      </c>
    </row>
    <row r="212">
      <c r="D212">
        <f>AutoClaim_Data!A212</f>
        <v/>
      </c>
      <c r="E212">
        <f>AutoClaim_Data!B212</f>
        <v/>
      </c>
      <c r="F212">
        <f>AutoClaim_Data!C212</f>
        <v/>
      </c>
      <c r="G212">
        <f>IF(AutoClaim_Data!D212&lt;=$B$2,AVERAGEIFS(AutoClaim_Data!C2:C3168,AutoClaim_Data!B2:B3168,"Train",AutoClaim_Data!D2:D3168,"&lt;="&amp;$B$2),AVERAGEIFS(AutoClaim_Data!C2:C3168,AutoClaim_Data!B2:B3168,"Train",AutoClaim_Data!D2:D3168,"&gt;"&amp;$B$2))</f>
        <v/>
      </c>
      <c r="H212">
        <f>IF(AutoClaim_Data!D212&lt;=$B$2,IF(AutoClaim_Data!E212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">
        <f>(F212-H212)^2</f>
        <v/>
      </c>
      <c r="J212">
        <f>--(E212="Validation")</f>
        <v/>
      </c>
    </row>
    <row r="213">
      <c r="D213">
        <f>AutoClaim_Data!A213</f>
        <v/>
      </c>
      <c r="E213">
        <f>AutoClaim_Data!B213</f>
        <v/>
      </c>
      <c r="F213">
        <f>AutoClaim_Data!C213</f>
        <v/>
      </c>
      <c r="G213">
        <f>IF(AutoClaim_Data!D213&lt;=$B$2,AVERAGEIFS(AutoClaim_Data!C2:C3168,AutoClaim_Data!B2:B3168,"Train",AutoClaim_Data!D2:D3168,"&lt;="&amp;$B$2),AVERAGEIFS(AutoClaim_Data!C2:C3168,AutoClaim_Data!B2:B3168,"Train",AutoClaim_Data!D2:D3168,"&gt;"&amp;$B$2))</f>
        <v/>
      </c>
      <c r="H213">
        <f>IF(AutoClaim_Data!D213&lt;=$B$2,IF(AutoClaim_Data!E213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">
        <f>(F213-H213)^2</f>
        <v/>
      </c>
      <c r="J213">
        <f>--(E213="Validation")</f>
        <v/>
      </c>
    </row>
    <row r="214">
      <c r="D214">
        <f>AutoClaim_Data!A214</f>
        <v/>
      </c>
      <c r="E214">
        <f>AutoClaim_Data!B214</f>
        <v/>
      </c>
      <c r="F214">
        <f>AutoClaim_Data!C214</f>
        <v/>
      </c>
      <c r="G214">
        <f>IF(AutoClaim_Data!D214&lt;=$B$2,AVERAGEIFS(AutoClaim_Data!C2:C3168,AutoClaim_Data!B2:B3168,"Train",AutoClaim_Data!D2:D3168,"&lt;="&amp;$B$2),AVERAGEIFS(AutoClaim_Data!C2:C3168,AutoClaim_Data!B2:B3168,"Train",AutoClaim_Data!D2:D3168,"&gt;"&amp;$B$2))</f>
        <v/>
      </c>
      <c r="H214">
        <f>IF(AutoClaim_Data!D214&lt;=$B$2,IF(AutoClaim_Data!E214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">
        <f>(F214-H214)^2</f>
        <v/>
      </c>
      <c r="J214">
        <f>--(E214="Validation")</f>
        <v/>
      </c>
    </row>
    <row r="215">
      <c r="D215">
        <f>AutoClaim_Data!A215</f>
        <v/>
      </c>
      <c r="E215">
        <f>AutoClaim_Data!B215</f>
        <v/>
      </c>
      <c r="F215">
        <f>AutoClaim_Data!C215</f>
        <v/>
      </c>
      <c r="G215">
        <f>IF(AutoClaim_Data!D215&lt;=$B$2,AVERAGEIFS(AutoClaim_Data!C2:C3168,AutoClaim_Data!B2:B3168,"Train",AutoClaim_Data!D2:D3168,"&lt;="&amp;$B$2),AVERAGEIFS(AutoClaim_Data!C2:C3168,AutoClaim_Data!B2:B3168,"Train",AutoClaim_Data!D2:D3168,"&gt;"&amp;$B$2))</f>
        <v/>
      </c>
      <c r="H215">
        <f>IF(AutoClaim_Data!D215&lt;=$B$2,IF(AutoClaim_Data!E215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">
        <f>(F215-H215)^2</f>
        <v/>
      </c>
      <c r="J215">
        <f>--(E215="Validation")</f>
        <v/>
      </c>
    </row>
    <row r="216">
      <c r="D216">
        <f>AutoClaim_Data!A216</f>
        <v/>
      </c>
      <c r="E216">
        <f>AutoClaim_Data!B216</f>
        <v/>
      </c>
      <c r="F216">
        <f>AutoClaim_Data!C216</f>
        <v/>
      </c>
      <c r="G216">
        <f>IF(AutoClaim_Data!D216&lt;=$B$2,AVERAGEIFS(AutoClaim_Data!C2:C3168,AutoClaim_Data!B2:B3168,"Train",AutoClaim_Data!D2:D3168,"&lt;="&amp;$B$2),AVERAGEIFS(AutoClaim_Data!C2:C3168,AutoClaim_Data!B2:B3168,"Train",AutoClaim_Data!D2:D3168,"&gt;"&amp;$B$2))</f>
        <v/>
      </c>
      <c r="H216">
        <f>IF(AutoClaim_Data!D216&lt;=$B$2,IF(AutoClaim_Data!E216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">
        <f>(F216-H216)^2</f>
        <v/>
      </c>
      <c r="J216">
        <f>--(E216="Validation")</f>
        <v/>
      </c>
    </row>
    <row r="217">
      <c r="D217">
        <f>AutoClaim_Data!A217</f>
        <v/>
      </c>
      <c r="E217">
        <f>AutoClaim_Data!B217</f>
        <v/>
      </c>
      <c r="F217">
        <f>AutoClaim_Data!C217</f>
        <v/>
      </c>
      <c r="G217">
        <f>IF(AutoClaim_Data!D217&lt;=$B$2,AVERAGEIFS(AutoClaim_Data!C2:C3168,AutoClaim_Data!B2:B3168,"Train",AutoClaim_Data!D2:D3168,"&lt;="&amp;$B$2),AVERAGEIFS(AutoClaim_Data!C2:C3168,AutoClaim_Data!B2:B3168,"Train",AutoClaim_Data!D2:D3168,"&gt;"&amp;$B$2))</f>
        <v/>
      </c>
      <c r="H217">
        <f>IF(AutoClaim_Data!D217&lt;=$B$2,IF(AutoClaim_Data!E217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">
        <f>(F217-H217)^2</f>
        <v/>
      </c>
      <c r="J217">
        <f>--(E217="Validation")</f>
        <v/>
      </c>
    </row>
    <row r="218">
      <c r="D218">
        <f>AutoClaim_Data!A218</f>
        <v/>
      </c>
      <c r="E218">
        <f>AutoClaim_Data!B218</f>
        <v/>
      </c>
      <c r="F218">
        <f>AutoClaim_Data!C218</f>
        <v/>
      </c>
      <c r="G218">
        <f>IF(AutoClaim_Data!D218&lt;=$B$2,AVERAGEIFS(AutoClaim_Data!C2:C3168,AutoClaim_Data!B2:B3168,"Train",AutoClaim_Data!D2:D3168,"&lt;="&amp;$B$2),AVERAGEIFS(AutoClaim_Data!C2:C3168,AutoClaim_Data!B2:B3168,"Train",AutoClaim_Data!D2:D3168,"&gt;"&amp;$B$2))</f>
        <v/>
      </c>
      <c r="H218">
        <f>IF(AutoClaim_Data!D218&lt;=$B$2,IF(AutoClaim_Data!E218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">
        <f>(F218-H218)^2</f>
        <v/>
      </c>
      <c r="J218">
        <f>--(E218="Validation")</f>
        <v/>
      </c>
    </row>
    <row r="219">
      <c r="D219">
        <f>AutoClaim_Data!A219</f>
        <v/>
      </c>
      <c r="E219">
        <f>AutoClaim_Data!B219</f>
        <v/>
      </c>
      <c r="F219">
        <f>AutoClaim_Data!C219</f>
        <v/>
      </c>
      <c r="G219">
        <f>IF(AutoClaim_Data!D219&lt;=$B$2,AVERAGEIFS(AutoClaim_Data!C2:C3168,AutoClaim_Data!B2:B3168,"Train",AutoClaim_Data!D2:D3168,"&lt;="&amp;$B$2),AVERAGEIFS(AutoClaim_Data!C2:C3168,AutoClaim_Data!B2:B3168,"Train",AutoClaim_Data!D2:D3168,"&gt;"&amp;$B$2))</f>
        <v/>
      </c>
      <c r="H219">
        <f>IF(AutoClaim_Data!D219&lt;=$B$2,IF(AutoClaim_Data!E219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">
        <f>(F219-H219)^2</f>
        <v/>
      </c>
      <c r="J219">
        <f>--(E219="Validation")</f>
        <v/>
      </c>
    </row>
    <row r="220">
      <c r="D220">
        <f>AutoClaim_Data!A220</f>
        <v/>
      </c>
      <c r="E220">
        <f>AutoClaim_Data!B220</f>
        <v/>
      </c>
      <c r="F220">
        <f>AutoClaim_Data!C220</f>
        <v/>
      </c>
      <c r="G220">
        <f>IF(AutoClaim_Data!D220&lt;=$B$2,AVERAGEIFS(AutoClaim_Data!C2:C3168,AutoClaim_Data!B2:B3168,"Train",AutoClaim_Data!D2:D3168,"&lt;="&amp;$B$2),AVERAGEIFS(AutoClaim_Data!C2:C3168,AutoClaim_Data!B2:B3168,"Train",AutoClaim_Data!D2:D3168,"&gt;"&amp;$B$2))</f>
        <v/>
      </c>
      <c r="H220">
        <f>IF(AutoClaim_Data!D220&lt;=$B$2,IF(AutoClaim_Data!E220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">
        <f>(F220-H220)^2</f>
        <v/>
      </c>
      <c r="J220">
        <f>--(E220="Validation")</f>
        <v/>
      </c>
    </row>
    <row r="221">
      <c r="D221">
        <f>AutoClaim_Data!A221</f>
        <v/>
      </c>
      <c r="E221">
        <f>AutoClaim_Data!B221</f>
        <v/>
      </c>
      <c r="F221">
        <f>AutoClaim_Data!C221</f>
        <v/>
      </c>
      <c r="G221">
        <f>IF(AutoClaim_Data!D221&lt;=$B$2,AVERAGEIFS(AutoClaim_Data!C2:C3168,AutoClaim_Data!B2:B3168,"Train",AutoClaim_Data!D2:D3168,"&lt;="&amp;$B$2),AVERAGEIFS(AutoClaim_Data!C2:C3168,AutoClaim_Data!B2:B3168,"Train",AutoClaim_Data!D2:D3168,"&gt;"&amp;$B$2))</f>
        <v/>
      </c>
      <c r="H221">
        <f>IF(AutoClaim_Data!D221&lt;=$B$2,IF(AutoClaim_Data!E221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">
        <f>(F221-H221)^2</f>
        <v/>
      </c>
      <c r="J221">
        <f>--(E221="Validation")</f>
        <v/>
      </c>
    </row>
    <row r="222">
      <c r="D222">
        <f>AutoClaim_Data!A222</f>
        <v/>
      </c>
      <c r="E222">
        <f>AutoClaim_Data!B222</f>
        <v/>
      </c>
      <c r="F222">
        <f>AutoClaim_Data!C222</f>
        <v/>
      </c>
      <c r="G222">
        <f>IF(AutoClaim_Data!D222&lt;=$B$2,AVERAGEIFS(AutoClaim_Data!C2:C3168,AutoClaim_Data!B2:B3168,"Train",AutoClaim_Data!D2:D3168,"&lt;="&amp;$B$2),AVERAGEIFS(AutoClaim_Data!C2:C3168,AutoClaim_Data!B2:B3168,"Train",AutoClaim_Data!D2:D3168,"&gt;"&amp;$B$2))</f>
        <v/>
      </c>
      <c r="H222">
        <f>IF(AutoClaim_Data!D222&lt;=$B$2,IF(AutoClaim_Data!E222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">
        <f>(F222-H222)^2</f>
        <v/>
      </c>
      <c r="J222">
        <f>--(E222="Validation")</f>
        <v/>
      </c>
    </row>
    <row r="223">
      <c r="D223">
        <f>AutoClaim_Data!A223</f>
        <v/>
      </c>
      <c r="E223">
        <f>AutoClaim_Data!B223</f>
        <v/>
      </c>
      <c r="F223">
        <f>AutoClaim_Data!C223</f>
        <v/>
      </c>
      <c r="G223">
        <f>IF(AutoClaim_Data!D223&lt;=$B$2,AVERAGEIFS(AutoClaim_Data!C2:C3168,AutoClaim_Data!B2:B3168,"Train",AutoClaim_Data!D2:D3168,"&lt;="&amp;$B$2),AVERAGEIFS(AutoClaim_Data!C2:C3168,AutoClaim_Data!B2:B3168,"Train",AutoClaim_Data!D2:D3168,"&gt;"&amp;$B$2))</f>
        <v/>
      </c>
      <c r="H223">
        <f>IF(AutoClaim_Data!D223&lt;=$B$2,IF(AutoClaim_Data!E223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">
        <f>(F223-H223)^2</f>
        <v/>
      </c>
      <c r="J223">
        <f>--(E223="Validation")</f>
        <v/>
      </c>
    </row>
    <row r="224">
      <c r="D224">
        <f>AutoClaim_Data!A224</f>
        <v/>
      </c>
      <c r="E224">
        <f>AutoClaim_Data!B224</f>
        <v/>
      </c>
      <c r="F224">
        <f>AutoClaim_Data!C224</f>
        <v/>
      </c>
      <c r="G224">
        <f>IF(AutoClaim_Data!D224&lt;=$B$2,AVERAGEIFS(AutoClaim_Data!C2:C3168,AutoClaim_Data!B2:B3168,"Train",AutoClaim_Data!D2:D3168,"&lt;="&amp;$B$2),AVERAGEIFS(AutoClaim_Data!C2:C3168,AutoClaim_Data!B2:B3168,"Train",AutoClaim_Data!D2:D3168,"&gt;"&amp;$B$2))</f>
        <v/>
      </c>
      <c r="H224">
        <f>IF(AutoClaim_Data!D224&lt;=$B$2,IF(AutoClaim_Data!E224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">
        <f>(F224-H224)^2</f>
        <v/>
      </c>
      <c r="J224">
        <f>--(E224="Validation")</f>
        <v/>
      </c>
    </row>
    <row r="225">
      <c r="D225">
        <f>AutoClaim_Data!A225</f>
        <v/>
      </c>
      <c r="E225">
        <f>AutoClaim_Data!B225</f>
        <v/>
      </c>
      <c r="F225">
        <f>AutoClaim_Data!C225</f>
        <v/>
      </c>
      <c r="G225">
        <f>IF(AutoClaim_Data!D225&lt;=$B$2,AVERAGEIFS(AutoClaim_Data!C2:C3168,AutoClaim_Data!B2:B3168,"Train",AutoClaim_Data!D2:D3168,"&lt;="&amp;$B$2),AVERAGEIFS(AutoClaim_Data!C2:C3168,AutoClaim_Data!B2:B3168,"Train",AutoClaim_Data!D2:D3168,"&gt;"&amp;$B$2))</f>
        <v/>
      </c>
      <c r="H225">
        <f>IF(AutoClaim_Data!D225&lt;=$B$2,IF(AutoClaim_Data!E225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">
        <f>(F225-H225)^2</f>
        <v/>
      </c>
      <c r="J225">
        <f>--(E225="Validation")</f>
        <v/>
      </c>
    </row>
    <row r="226">
      <c r="D226">
        <f>AutoClaim_Data!A226</f>
        <v/>
      </c>
      <c r="E226">
        <f>AutoClaim_Data!B226</f>
        <v/>
      </c>
      <c r="F226">
        <f>AutoClaim_Data!C226</f>
        <v/>
      </c>
      <c r="G226">
        <f>IF(AutoClaim_Data!D226&lt;=$B$2,AVERAGEIFS(AutoClaim_Data!C2:C3168,AutoClaim_Data!B2:B3168,"Train",AutoClaim_Data!D2:D3168,"&lt;="&amp;$B$2),AVERAGEIFS(AutoClaim_Data!C2:C3168,AutoClaim_Data!B2:B3168,"Train",AutoClaim_Data!D2:D3168,"&gt;"&amp;$B$2))</f>
        <v/>
      </c>
      <c r="H226">
        <f>IF(AutoClaim_Data!D226&lt;=$B$2,IF(AutoClaim_Data!E226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">
        <f>(F226-H226)^2</f>
        <v/>
      </c>
      <c r="J226">
        <f>--(E226="Validation")</f>
        <v/>
      </c>
    </row>
    <row r="227">
      <c r="D227">
        <f>AutoClaim_Data!A227</f>
        <v/>
      </c>
      <c r="E227">
        <f>AutoClaim_Data!B227</f>
        <v/>
      </c>
      <c r="F227">
        <f>AutoClaim_Data!C227</f>
        <v/>
      </c>
      <c r="G227">
        <f>IF(AutoClaim_Data!D227&lt;=$B$2,AVERAGEIFS(AutoClaim_Data!C2:C3168,AutoClaim_Data!B2:B3168,"Train",AutoClaim_Data!D2:D3168,"&lt;="&amp;$B$2),AVERAGEIFS(AutoClaim_Data!C2:C3168,AutoClaim_Data!B2:B3168,"Train",AutoClaim_Data!D2:D3168,"&gt;"&amp;$B$2))</f>
        <v/>
      </c>
      <c r="H227">
        <f>IF(AutoClaim_Data!D227&lt;=$B$2,IF(AutoClaim_Data!E227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">
        <f>(F227-H227)^2</f>
        <v/>
      </c>
      <c r="J227">
        <f>--(E227="Validation")</f>
        <v/>
      </c>
    </row>
    <row r="228">
      <c r="D228">
        <f>AutoClaim_Data!A228</f>
        <v/>
      </c>
      <c r="E228">
        <f>AutoClaim_Data!B228</f>
        <v/>
      </c>
      <c r="F228">
        <f>AutoClaim_Data!C228</f>
        <v/>
      </c>
      <c r="G228">
        <f>IF(AutoClaim_Data!D228&lt;=$B$2,AVERAGEIFS(AutoClaim_Data!C2:C3168,AutoClaim_Data!B2:B3168,"Train",AutoClaim_Data!D2:D3168,"&lt;="&amp;$B$2),AVERAGEIFS(AutoClaim_Data!C2:C3168,AutoClaim_Data!B2:B3168,"Train",AutoClaim_Data!D2:D3168,"&gt;"&amp;$B$2))</f>
        <v/>
      </c>
      <c r="H228">
        <f>IF(AutoClaim_Data!D228&lt;=$B$2,IF(AutoClaim_Data!E228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">
        <f>(F228-H228)^2</f>
        <v/>
      </c>
      <c r="J228">
        <f>--(E228="Validation")</f>
        <v/>
      </c>
    </row>
    <row r="229">
      <c r="D229">
        <f>AutoClaim_Data!A229</f>
        <v/>
      </c>
      <c r="E229">
        <f>AutoClaim_Data!B229</f>
        <v/>
      </c>
      <c r="F229">
        <f>AutoClaim_Data!C229</f>
        <v/>
      </c>
      <c r="G229">
        <f>IF(AutoClaim_Data!D229&lt;=$B$2,AVERAGEIFS(AutoClaim_Data!C2:C3168,AutoClaim_Data!B2:B3168,"Train",AutoClaim_Data!D2:D3168,"&lt;="&amp;$B$2),AVERAGEIFS(AutoClaim_Data!C2:C3168,AutoClaim_Data!B2:B3168,"Train",AutoClaim_Data!D2:D3168,"&gt;"&amp;$B$2))</f>
        <v/>
      </c>
      <c r="H229">
        <f>IF(AutoClaim_Data!D229&lt;=$B$2,IF(AutoClaim_Data!E229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">
        <f>(F229-H229)^2</f>
        <v/>
      </c>
      <c r="J229">
        <f>--(E229="Validation")</f>
        <v/>
      </c>
    </row>
    <row r="230">
      <c r="D230">
        <f>AutoClaim_Data!A230</f>
        <v/>
      </c>
      <c r="E230">
        <f>AutoClaim_Data!B230</f>
        <v/>
      </c>
      <c r="F230">
        <f>AutoClaim_Data!C230</f>
        <v/>
      </c>
      <c r="G230">
        <f>IF(AutoClaim_Data!D230&lt;=$B$2,AVERAGEIFS(AutoClaim_Data!C2:C3168,AutoClaim_Data!B2:B3168,"Train",AutoClaim_Data!D2:D3168,"&lt;="&amp;$B$2),AVERAGEIFS(AutoClaim_Data!C2:C3168,AutoClaim_Data!B2:B3168,"Train",AutoClaim_Data!D2:D3168,"&gt;"&amp;$B$2))</f>
        <v/>
      </c>
      <c r="H230">
        <f>IF(AutoClaim_Data!D230&lt;=$B$2,IF(AutoClaim_Data!E230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">
        <f>(F230-H230)^2</f>
        <v/>
      </c>
      <c r="J230">
        <f>--(E230="Validation")</f>
        <v/>
      </c>
    </row>
    <row r="231">
      <c r="D231">
        <f>AutoClaim_Data!A231</f>
        <v/>
      </c>
      <c r="E231">
        <f>AutoClaim_Data!B231</f>
        <v/>
      </c>
      <c r="F231">
        <f>AutoClaim_Data!C231</f>
        <v/>
      </c>
      <c r="G231">
        <f>IF(AutoClaim_Data!D231&lt;=$B$2,AVERAGEIFS(AutoClaim_Data!C2:C3168,AutoClaim_Data!B2:B3168,"Train",AutoClaim_Data!D2:D3168,"&lt;="&amp;$B$2),AVERAGEIFS(AutoClaim_Data!C2:C3168,AutoClaim_Data!B2:B3168,"Train",AutoClaim_Data!D2:D3168,"&gt;"&amp;$B$2))</f>
        <v/>
      </c>
      <c r="H231">
        <f>IF(AutoClaim_Data!D231&lt;=$B$2,IF(AutoClaim_Data!E231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">
        <f>(F231-H231)^2</f>
        <v/>
      </c>
      <c r="J231">
        <f>--(E231="Validation")</f>
        <v/>
      </c>
    </row>
    <row r="232">
      <c r="D232">
        <f>AutoClaim_Data!A232</f>
        <v/>
      </c>
      <c r="E232">
        <f>AutoClaim_Data!B232</f>
        <v/>
      </c>
      <c r="F232">
        <f>AutoClaim_Data!C232</f>
        <v/>
      </c>
      <c r="G232">
        <f>IF(AutoClaim_Data!D232&lt;=$B$2,AVERAGEIFS(AutoClaim_Data!C2:C3168,AutoClaim_Data!B2:B3168,"Train",AutoClaim_Data!D2:D3168,"&lt;="&amp;$B$2),AVERAGEIFS(AutoClaim_Data!C2:C3168,AutoClaim_Data!B2:B3168,"Train",AutoClaim_Data!D2:D3168,"&gt;"&amp;$B$2))</f>
        <v/>
      </c>
      <c r="H232">
        <f>IF(AutoClaim_Data!D232&lt;=$B$2,IF(AutoClaim_Data!E232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">
        <f>(F232-H232)^2</f>
        <v/>
      </c>
      <c r="J232">
        <f>--(E232="Validation")</f>
        <v/>
      </c>
    </row>
    <row r="233">
      <c r="D233">
        <f>AutoClaim_Data!A233</f>
        <v/>
      </c>
      <c r="E233">
        <f>AutoClaim_Data!B233</f>
        <v/>
      </c>
      <c r="F233">
        <f>AutoClaim_Data!C233</f>
        <v/>
      </c>
      <c r="G233">
        <f>IF(AutoClaim_Data!D233&lt;=$B$2,AVERAGEIFS(AutoClaim_Data!C2:C3168,AutoClaim_Data!B2:B3168,"Train",AutoClaim_Data!D2:D3168,"&lt;="&amp;$B$2),AVERAGEIFS(AutoClaim_Data!C2:C3168,AutoClaim_Data!B2:B3168,"Train",AutoClaim_Data!D2:D3168,"&gt;"&amp;$B$2))</f>
        <v/>
      </c>
      <c r="H233">
        <f>IF(AutoClaim_Data!D233&lt;=$B$2,IF(AutoClaim_Data!E233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">
        <f>(F233-H233)^2</f>
        <v/>
      </c>
      <c r="J233">
        <f>--(E233="Validation")</f>
        <v/>
      </c>
    </row>
    <row r="234">
      <c r="D234">
        <f>AutoClaim_Data!A234</f>
        <v/>
      </c>
      <c r="E234">
        <f>AutoClaim_Data!B234</f>
        <v/>
      </c>
      <c r="F234">
        <f>AutoClaim_Data!C234</f>
        <v/>
      </c>
      <c r="G234">
        <f>IF(AutoClaim_Data!D234&lt;=$B$2,AVERAGEIFS(AutoClaim_Data!C2:C3168,AutoClaim_Data!B2:B3168,"Train",AutoClaim_Data!D2:D3168,"&lt;="&amp;$B$2),AVERAGEIFS(AutoClaim_Data!C2:C3168,AutoClaim_Data!B2:B3168,"Train",AutoClaim_Data!D2:D3168,"&gt;"&amp;$B$2))</f>
        <v/>
      </c>
      <c r="H234">
        <f>IF(AutoClaim_Data!D234&lt;=$B$2,IF(AutoClaim_Data!E234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">
        <f>(F234-H234)^2</f>
        <v/>
      </c>
      <c r="J234">
        <f>--(E234="Validation")</f>
        <v/>
      </c>
    </row>
    <row r="235">
      <c r="D235">
        <f>AutoClaim_Data!A235</f>
        <v/>
      </c>
      <c r="E235">
        <f>AutoClaim_Data!B235</f>
        <v/>
      </c>
      <c r="F235">
        <f>AutoClaim_Data!C235</f>
        <v/>
      </c>
      <c r="G235">
        <f>IF(AutoClaim_Data!D235&lt;=$B$2,AVERAGEIFS(AutoClaim_Data!C2:C3168,AutoClaim_Data!B2:B3168,"Train",AutoClaim_Data!D2:D3168,"&lt;="&amp;$B$2),AVERAGEIFS(AutoClaim_Data!C2:C3168,AutoClaim_Data!B2:B3168,"Train",AutoClaim_Data!D2:D3168,"&gt;"&amp;$B$2))</f>
        <v/>
      </c>
      <c r="H235">
        <f>IF(AutoClaim_Data!D235&lt;=$B$2,IF(AutoClaim_Data!E235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">
        <f>(F235-H235)^2</f>
        <v/>
      </c>
      <c r="J235">
        <f>--(E235="Validation")</f>
        <v/>
      </c>
    </row>
    <row r="236">
      <c r="D236">
        <f>AutoClaim_Data!A236</f>
        <v/>
      </c>
      <c r="E236">
        <f>AutoClaim_Data!B236</f>
        <v/>
      </c>
      <c r="F236">
        <f>AutoClaim_Data!C236</f>
        <v/>
      </c>
      <c r="G236">
        <f>IF(AutoClaim_Data!D236&lt;=$B$2,AVERAGEIFS(AutoClaim_Data!C2:C3168,AutoClaim_Data!B2:B3168,"Train",AutoClaim_Data!D2:D3168,"&lt;="&amp;$B$2),AVERAGEIFS(AutoClaim_Data!C2:C3168,AutoClaim_Data!B2:B3168,"Train",AutoClaim_Data!D2:D3168,"&gt;"&amp;$B$2))</f>
        <v/>
      </c>
      <c r="H236">
        <f>IF(AutoClaim_Data!D236&lt;=$B$2,IF(AutoClaim_Data!E236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">
        <f>(F236-H236)^2</f>
        <v/>
      </c>
      <c r="J236">
        <f>--(E236="Validation")</f>
        <v/>
      </c>
    </row>
    <row r="237">
      <c r="D237">
        <f>AutoClaim_Data!A237</f>
        <v/>
      </c>
      <c r="E237">
        <f>AutoClaim_Data!B237</f>
        <v/>
      </c>
      <c r="F237">
        <f>AutoClaim_Data!C237</f>
        <v/>
      </c>
      <c r="G237">
        <f>IF(AutoClaim_Data!D237&lt;=$B$2,AVERAGEIFS(AutoClaim_Data!C2:C3168,AutoClaim_Data!B2:B3168,"Train",AutoClaim_Data!D2:D3168,"&lt;="&amp;$B$2),AVERAGEIFS(AutoClaim_Data!C2:C3168,AutoClaim_Data!B2:B3168,"Train",AutoClaim_Data!D2:D3168,"&gt;"&amp;$B$2))</f>
        <v/>
      </c>
      <c r="H237">
        <f>IF(AutoClaim_Data!D237&lt;=$B$2,IF(AutoClaim_Data!E237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">
        <f>(F237-H237)^2</f>
        <v/>
      </c>
      <c r="J237">
        <f>--(E237="Validation")</f>
        <v/>
      </c>
    </row>
    <row r="238">
      <c r="D238">
        <f>AutoClaim_Data!A238</f>
        <v/>
      </c>
      <c r="E238">
        <f>AutoClaim_Data!B238</f>
        <v/>
      </c>
      <c r="F238">
        <f>AutoClaim_Data!C238</f>
        <v/>
      </c>
      <c r="G238">
        <f>IF(AutoClaim_Data!D238&lt;=$B$2,AVERAGEIFS(AutoClaim_Data!C2:C3168,AutoClaim_Data!B2:B3168,"Train",AutoClaim_Data!D2:D3168,"&lt;="&amp;$B$2),AVERAGEIFS(AutoClaim_Data!C2:C3168,AutoClaim_Data!B2:B3168,"Train",AutoClaim_Data!D2:D3168,"&gt;"&amp;$B$2))</f>
        <v/>
      </c>
      <c r="H238">
        <f>IF(AutoClaim_Data!D238&lt;=$B$2,IF(AutoClaim_Data!E238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">
        <f>(F238-H238)^2</f>
        <v/>
      </c>
      <c r="J238">
        <f>--(E238="Validation")</f>
        <v/>
      </c>
    </row>
    <row r="239">
      <c r="D239">
        <f>AutoClaim_Data!A239</f>
        <v/>
      </c>
      <c r="E239">
        <f>AutoClaim_Data!B239</f>
        <v/>
      </c>
      <c r="F239">
        <f>AutoClaim_Data!C239</f>
        <v/>
      </c>
      <c r="G239">
        <f>IF(AutoClaim_Data!D239&lt;=$B$2,AVERAGEIFS(AutoClaim_Data!C2:C3168,AutoClaim_Data!B2:B3168,"Train",AutoClaim_Data!D2:D3168,"&lt;="&amp;$B$2),AVERAGEIFS(AutoClaim_Data!C2:C3168,AutoClaim_Data!B2:B3168,"Train",AutoClaim_Data!D2:D3168,"&gt;"&amp;$B$2))</f>
        <v/>
      </c>
      <c r="H239">
        <f>IF(AutoClaim_Data!D239&lt;=$B$2,IF(AutoClaim_Data!E239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">
        <f>(F239-H239)^2</f>
        <v/>
      </c>
      <c r="J239">
        <f>--(E239="Validation")</f>
        <v/>
      </c>
    </row>
    <row r="240">
      <c r="D240">
        <f>AutoClaim_Data!A240</f>
        <v/>
      </c>
      <c r="E240">
        <f>AutoClaim_Data!B240</f>
        <v/>
      </c>
      <c r="F240">
        <f>AutoClaim_Data!C240</f>
        <v/>
      </c>
      <c r="G240">
        <f>IF(AutoClaim_Data!D240&lt;=$B$2,AVERAGEIFS(AutoClaim_Data!C2:C3168,AutoClaim_Data!B2:B3168,"Train",AutoClaim_Data!D2:D3168,"&lt;="&amp;$B$2),AVERAGEIFS(AutoClaim_Data!C2:C3168,AutoClaim_Data!B2:B3168,"Train",AutoClaim_Data!D2:D3168,"&gt;"&amp;$B$2))</f>
        <v/>
      </c>
      <c r="H240">
        <f>IF(AutoClaim_Data!D240&lt;=$B$2,IF(AutoClaim_Data!E240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">
        <f>(F240-H240)^2</f>
        <v/>
      </c>
      <c r="J240">
        <f>--(E240="Validation")</f>
        <v/>
      </c>
    </row>
    <row r="241">
      <c r="D241">
        <f>AutoClaim_Data!A241</f>
        <v/>
      </c>
      <c r="E241">
        <f>AutoClaim_Data!B241</f>
        <v/>
      </c>
      <c r="F241">
        <f>AutoClaim_Data!C241</f>
        <v/>
      </c>
      <c r="G241">
        <f>IF(AutoClaim_Data!D241&lt;=$B$2,AVERAGEIFS(AutoClaim_Data!C2:C3168,AutoClaim_Data!B2:B3168,"Train",AutoClaim_Data!D2:D3168,"&lt;="&amp;$B$2),AVERAGEIFS(AutoClaim_Data!C2:C3168,AutoClaim_Data!B2:B3168,"Train",AutoClaim_Data!D2:D3168,"&gt;"&amp;$B$2))</f>
        <v/>
      </c>
      <c r="H241">
        <f>IF(AutoClaim_Data!D241&lt;=$B$2,IF(AutoClaim_Data!E241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">
        <f>(F241-H241)^2</f>
        <v/>
      </c>
      <c r="J241">
        <f>--(E241="Validation")</f>
        <v/>
      </c>
    </row>
    <row r="242">
      <c r="D242">
        <f>AutoClaim_Data!A242</f>
        <v/>
      </c>
      <c r="E242">
        <f>AutoClaim_Data!B242</f>
        <v/>
      </c>
      <c r="F242">
        <f>AutoClaim_Data!C242</f>
        <v/>
      </c>
      <c r="G242">
        <f>IF(AutoClaim_Data!D242&lt;=$B$2,AVERAGEIFS(AutoClaim_Data!C2:C3168,AutoClaim_Data!B2:B3168,"Train",AutoClaim_Data!D2:D3168,"&lt;="&amp;$B$2),AVERAGEIFS(AutoClaim_Data!C2:C3168,AutoClaim_Data!B2:B3168,"Train",AutoClaim_Data!D2:D3168,"&gt;"&amp;$B$2))</f>
        <v/>
      </c>
      <c r="H242">
        <f>IF(AutoClaim_Data!D242&lt;=$B$2,IF(AutoClaim_Data!E242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">
        <f>(F242-H242)^2</f>
        <v/>
      </c>
      <c r="J242">
        <f>--(E242="Validation")</f>
        <v/>
      </c>
    </row>
    <row r="243">
      <c r="D243">
        <f>AutoClaim_Data!A243</f>
        <v/>
      </c>
      <c r="E243">
        <f>AutoClaim_Data!B243</f>
        <v/>
      </c>
      <c r="F243">
        <f>AutoClaim_Data!C243</f>
        <v/>
      </c>
      <c r="G243">
        <f>IF(AutoClaim_Data!D243&lt;=$B$2,AVERAGEIFS(AutoClaim_Data!C2:C3168,AutoClaim_Data!B2:B3168,"Train",AutoClaim_Data!D2:D3168,"&lt;="&amp;$B$2),AVERAGEIFS(AutoClaim_Data!C2:C3168,AutoClaim_Data!B2:B3168,"Train",AutoClaim_Data!D2:D3168,"&gt;"&amp;$B$2))</f>
        <v/>
      </c>
      <c r="H243">
        <f>IF(AutoClaim_Data!D243&lt;=$B$2,IF(AutoClaim_Data!E243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">
        <f>(F243-H243)^2</f>
        <v/>
      </c>
      <c r="J243">
        <f>--(E243="Validation")</f>
        <v/>
      </c>
    </row>
    <row r="244">
      <c r="D244">
        <f>AutoClaim_Data!A244</f>
        <v/>
      </c>
      <c r="E244">
        <f>AutoClaim_Data!B244</f>
        <v/>
      </c>
      <c r="F244">
        <f>AutoClaim_Data!C244</f>
        <v/>
      </c>
      <c r="G244">
        <f>IF(AutoClaim_Data!D244&lt;=$B$2,AVERAGEIFS(AutoClaim_Data!C2:C3168,AutoClaim_Data!B2:B3168,"Train",AutoClaim_Data!D2:D3168,"&lt;="&amp;$B$2),AVERAGEIFS(AutoClaim_Data!C2:C3168,AutoClaim_Data!B2:B3168,"Train",AutoClaim_Data!D2:D3168,"&gt;"&amp;$B$2))</f>
        <v/>
      </c>
      <c r="H244">
        <f>IF(AutoClaim_Data!D244&lt;=$B$2,IF(AutoClaim_Data!E244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">
        <f>(F244-H244)^2</f>
        <v/>
      </c>
      <c r="J244">
        <f>--(E244="Validation")</f>
        <v/>
      </c>
    </row>
    <row r="245">
      <c r="D245">
        <f>AutoClaim_Data!A245</f>
        <v/>
      </c>
      <c r="E245">
        <f>AutoClaim_Data!B245</f>
        <v/>
      </c>
      <c r="F245">
        <f>AutoClaim_Data!C245</f>
        <v/>
      </c>
      <c r="G245">
        <f>IF(AutoClaim_Data!D245&lt;=$B$2,AVERAGEIFS(AutoClaim_Data!C2:C3168,AutoClaim_Data!B2:B3168,"Train",AutoClaim_Data!D2:D3168,"&lt;="&amp;$B$2),AVERAGEIFS(AutoClaim_Data!C2:C3168,AutoClaim_Data!B2:B3168,"Train",AutoClaim_Data!D2:D3168,"&gt;"&amp;$B$2))</f>
        <v/>
      </c>
      <c r="H245">
        <f>IF(AutoClaim_Data!D245&lt;=$B$2,IF(AutoClaim_Data!E245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">
        <f>(F245-H245)^2</f>
        <v/>
      </c>
      <c r="J245">
        <f>--(E245="Validation")</f>
        <v/>
      </c>
    </row>
    <row r="246">
      <c r="D246">
        <f>AutoClaim_Data!A246</f>
        <v/>
      </c>
      <c r="E246">
        <f>AutoClaim_Data!B246</f>
        <v/>
      </c>
      <c r="F246">
        <f>AutoClaim_Data!C246</f>
        <v/>
      </c>
      <c r="G246">
        <f>IF(AutoClaim_Data!D246&lt;=$B$2,AVERAGEIFS(AutoClaim_Data!C2:C3168,AutoClaim_Data!B2:B3168,"Train",AutoClaim_Data!D2:D3168,"&lt;="&amp;$B$2),AVERAGEIFS(AutoClaim_Data!C2:C3168,AutoClaim_Data!B2:B3168,"Train",AutoClaim_Data!D2:D3168,"&gt;"&amp;$B$2))</f>
        <v/>
      </c>
      <c r="H246">
        <f>IF(AutoClaim_Data!D246&lt;=$B$2,IF(AutoClaim_Data!E246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">
        <f>(F246-H246)^2</f>
        <v/>
      </c>
      <c r="J246">
        <f>--(E246="Validation")</f>
        <v/>
      </c>
    </row>
    <row r="247">
      <c r="D247">
        <f>AutoClaim_Data!A247</f>
        <v/>
      </c>
      <c r="E247">
        <f>AutoClaim_Data!B247</f>
        <v/>
      </c>
      <c r="F247">
        <f>AutoClaim_Data!C247</f>
        <v/>
      </c>
      <c r="G247">
        <f>IF(AutoClaim_Data!D247&lt;=$B$2,AVERAGEIFS(AutoClaim_Data!C2:C3168,AutoClaim_Data!B2:B3168,"Train",AutoClaim_Data!D2:D3168,"&lt;="&amp;$B$2),AVERAGEIFS(AutoClaim_Data!C2:C3168,AutoClaim_Data!B2:B3168,"Train",AutoClaim_Data!D2:D3168,"&gt;"&amp;$B$2))</f>
        <v/>
      </c>
      <c r="H247">
        <f>IF(AutoClaim_Data!D247&lt;=$B$2,IF(AutoClaim_Data!E247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">
        <f>(F247-H247)^2</f>
        <v/>
      </c>
      <c r="J247">
        <f>--(E247="Validation")</f>
        <v/>
      </c>
    </row>
    <row r="248">
      <c r="D248">
        <f>AutoClaim_Data!A248</f>
        <v/>
      </c>
      <c r="E248">
        <f>AutoClaim_Data!B248</f>
        <v/>
      </c>
      <c r="F248">
        <f>AutoClaim_Data!C248</f>
        <v/>
      </c>
      <c r="G248">
        <f>IF(AutoClaim_Data!D248&lt;=$B$2,AVERAGEIFS(AutoClaim_Data!C2:C3168,AutoClaim_Data!B2:B3168,"Train",AutoClaim_Data!D2:D3168,"&lt;="&amp;$B$2),AVERAGEIFS(AutoClaim_Data!C2:C3168,AutoClaim_Data!B2:B3168,"Train",AutoClaim_Data!D2:D3168,"&gt;"&amp;$B$2))</f>
        <v/>
      </c>
      <c r="H248">
        <f>IF(AutoClaim_Data!D248&lt;=$B$2,IF(AutoClaim_Data!E248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">
        <f>(F248-H248)^2</f>
        <v/>
      </c>
      <c r="J248">
        <f>--(E248="Validation")</f>
        <v/>
      </c>
    </row>
    <row r="249">
      <c r="D249">
        <f>AutoClaim_Data!A249</f>
        <v/>
      </c>
      <c r="E249">
        <f>AutoClaim_Data!B249</f>
        <v/>
      </c>
      <c r="F249">
        <f>AutoClaim_Data!C249</f>
        <v/>
      </c>
      <c r="G249">
        <f>IF(AutoClaim_Data!D249&lt;=$B$2,AVERAGEIFS(AutoClaim_Data!C2:C3168,AutoClaim_Data!B2:B3168,"Train",AutoClaim_Data!D2:D3168,"&lt;="&amp;$B$2),AVERAGEIFS(AutoClaim_Data!C2:C3168,AutoClaim_Data!B2:B3168,"Train",AutoClaim_Data!D2:D3168,"&gt;"&amp;$B$2))</f>
        <v/>
      </c>
      <c r="H249">
        <f>IF(AutoClaim_Data!D249&lt;=$B$2,IF(AutoClaim_Data!E249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">
        <f>(F249-H249)^2</f>
        <v/>
      </c>
      <c r="J249">
        <f>--(E249="Validation")</f>
        <v/>
      </c>
    </row>
    <row r="250">
      <c r="D250">
        <f>AutoClaim_Data!A250</f>
        <v/>
      </c>
      <c r="E250">
        <f>AutoClaim_Data!B250</f>
        <v/>
      </c>
      <c r="F250">
        <f>AutoClaim_Data!C250</f>
        <v/>
      </c>
      <c r="G250">
        <f>IF(AutoClaim_Data!D250&lt;=$B$2,AVERAGEIFS(AutoClaim_Data!C2:C3168,AutoClaim_Data!B2:B3168,"Train",AutoClaim_Data!D2:D3168,"&lt;="&amp;$B$2),AVERAGEIFS(AutoClaim_Data!C2:C3168,AutoClaim_Data!B2:B3168,"Train",AutoClaim_Data!D2:D3168,"&gt;"&amp;$B$2))</f>
        <v/>
      </c>
      <c r="H250">
        <f>IF(AutoClaim_Data!D250&lt;=$B$2,IF(AutoClaim_Data!E250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">
        <f>(F250-H250)^2</f>
        <v/>
      </c>
      <c r="J250">
        <f>--(E250="Validation")</f>
        <v/>
      </c>
    </row>
    <row r="251">
      <c r="D251">
        <f>AutoClaim_Data!A251</f>
        <v/>
      </c>
      <c r="E251">
        <f>AutoClaim_Data!B251</f>
        <v/>
      </c>
      <c r="F251">
        <f>AutoClaim_Data!C251</f>
        <v/>
      </c>
      <c r="G251">
        <f>IF(AutoClaim_Data!D251&lt;=$B$2,AVERAGEIFS(AutoClaim_Data!C2:C3168,AutoClaim_Data!B2:B3168,"Train",AutoClaim_Data!D2:D3168,"&lt;="&amp;$B$2),AVERAGEIFS(AutoClaim_Data!C2:C3168,AutoClaim_Data!B2:B3168,"Train",AutoClaim_Data!D2:D3168,"&gt;"&amp;$B$2))</f>
        <v/>
      </c>
      <c r="H251">
        <f>IF(AutoClaim_Data!D251&lt;=$B$2,IF(AutoClaim_Data!E251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">
        <f>(F251-H251)^2</f>
        <v/>
      </c>
      <c r="J251">
        <f>--(E251="Validation")</f>
        <v/>
      </c>
    </row>
    <row r="252">
      <c r="D252">
        <f>AutoClaim_Data!A252</f>
        <v/>
      </c>
      <c r="E252">
        <f>AutoClaim_Data!B252</f>
        <v/>
      </c>
      <c r="F252">
        <f>AutoClaim_Data!C252</f>
        <v/>
      </c>
      <c r="G252">
        <f>IF(AutoClaim_Data!D252&lt;=$B$2,AVERAGEIFS(AutoClaim_Data!C2:C3168,AutoClaim_Data!B2:B3168,"Train",AutoClaim_Data!D2:D3168,"&lt;="&amp;$B$2),AVERAGEIFS(AutoClaim_Data!C2:C3168,AutoClaim_Data!B2:B3168,"Train",AutoClaim_Data!D2:D3168,"&gt;"&amp;$B$2))</f>
        <v/>
      </c>
      <c r="H252">
        <f>IF(AutoClaim_Data!D252&lt;=$B$2,IF(AutoClaim_Data!E252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">
        <f>(F252-H252)^2</f>
        <v/>
      </c>
      <c r="J252">
        <f>--(E252="Validation")</f>
        <v/>
      </c>
    </row>
    <row r="253">
      <c r="D253">
        <f>AutoClaim_Data!A253</f>
        <v/>
      </c>
      <c r="E253">
        <f>AutoClaim_Data!B253</f>
        <v/>
      </c>
      <c r="F253">
        <f>AutoClaim_Data!C253</f>
        <v/>
      </c>
      <c r="G253">
        <f>IF(AutoClaim_Data!D253&lt;=$B$2,AVERAGEIFS(AutoClaim_Data!C2:C3168,AutoClaim_Data!B2:B3168,"Train",AutoClaim_Data!D2:D3168,"&lt;="&amp;$B$2),AVERAGEIFS(AutoClaim_Data!C2:C3168,AutoClaim_Data!B2:B3168,"Train",AutoClaim_Data!D2:D3168,"&gt;"&amp;$B$2))</f>
        <v/>
      </c>
      <c r="H253">
        <f>IF(AutoClaim_Data!D253&lt;=$B$2,IF(AutoClaim_Data!E253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">
        <f>(F253-H253)^2</f>
        <v/>
      </c>
      <c r="J253">
        <f>--(E253="Validation")</f>
        <v/>
      </c>
    </row>
    <row r="254">
      <c r="D254">
        <f>AutoClaim_Data!A254</f>
        <v/>
      </c>
      <c r="E254">
        <f>AutoClaim_Data!B254</f>
        <v/>
      </c>
      <c r="F254">
        <f>AutoClaim_Data!C254</f>
        <v/>
      </c>
      <c r="G254">
        <f>IF(AutoClaim_Data!D254&lt;=$B$2,AVERAGEIFS(AutoClaim_Data!C2:C3168,AutoClaim_Data!B2:B3168,"Train",AutoClaim_Data!D2:D3168,"&lt;="&amp;$B$2),AVERAGEIFS(AutoClaim_Data!C2:C3168,AutoClaim_Data!B2:B3168,"Train",AutoClaim_Data!D2:D3168,"&gt;"&amp;$B$2))</f>
        <v/>
      </c>
      <c r="H254">
        <f>IF(AutoClaim_Data!D254&lt;=$B$2,IF(AutoClaim_Data!E254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">
        <f>(F254-H254)^2</f>
        <v/>
      </c>
      <c r="J254">
        <f>--(E254="Validation")</f>
        <v/>
      </c>
    </row>
    <row r="255">
      <c r="D255">
        <f>AutoClaim_Data!A255</f>
        <v/>
      </c>
      <c r="E255">
        <f>AutoClaim_Data!B255</f>
        <v/>
      </c>
      <c r="F255">
        <f>AutoClaim_Data!C255</f>
        <v/>
      </c>
      <c r="G255">
        <f>IF(AutoClaim_Data!D255&lt;=$B$2,AVERAGEIFS(AutoClaim_Data!C2:C3168,AutoClaim_Data!B2:B3168,"Train",AutoClaim_Data!D2:D3168,"&lt;="&amp;$B$2),AVERAGEIFS(AutoClaim_Data!C2:C3168,AutoClaim_Data!B2:B3168,"Train",AutoClaim_Data!D2:D3168,"&gt;"&amp;$B$2))</f>
        <v/>
      </c>
      <c r="H255">
        <f>IF(AutoClaim_Data!D255&lt;=$B$2,IF(AutoClaim_Data!E255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">
        <f>(F255-H255)^2</f>
        <v/>
      </c>
      <c r="J255">
        <f>--(E255="Validation")</f>
        <v/>
      </c>
    </row>
    <row r="256">
      <c r="D256">
        <f>AutoClaim_Data!A256</f>
        <v/>
      </c>
      <c r="E256">
        <f>AutoClaim_Data!B256</f>
        <v/>
      </c>
      <c r="F256">
        <f>AutoClaim_Data!C256</f>
        <v/>
      </c>
      <c r="G256">
        <f>IF(AutoClaim_Data!D256&lt;=$B$2,AVERAGEIFS(AutoClaim_Data!C2:C3168,AutoClaim_Data!B2:B3168,"Train",AutoClaim_Data!D2:D3168,"&lt;="&amp;$B$2),AVERAGEIFS(AutoClaim_Data!C2:C3168,AutoClaim_Data!B2:B3168,"Train",AutoClaim_Data!D2:D3168,"&gt;"&amp;$B$2))</f>
        <v/>
      </c>
      <c r="H256">
        <f>IF(AutoClaim_Data!D256&lt;=$B$2,IF(AutoClaim_Data!E256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">
        <f>(F256-H256)^2</f>
        <v/>
      </c>
      <c r="J256">
        <f>--(E256="Validation")</f>
        <v/>
      </c>
    </row>
    <row r="257">
      <c r="D257">
        <f>AutoClaim_Data!A257</f>
        <v/>
      </c>
      <c r="E257">
        <f>AutoClaim_Data!B257</f>
        <v/>
      </c>
      <c r="F257">
        <f>AutoClaim_Data!C257</f>
        <v/>
      </c>
      <c r="G257">
        <f>IF(AutoClaim_Data!D257&lt;=$B$2,AVERAGEIFS(AutoClaim_Data!C2:C3168,AutoClaim_Data!B2:B3168,"Train",AutoClaim_Data!D2:D3168,"&lt;="&amp;$B$2),AVERAGEIFS(AutoClaim_Data!C2:C3168,AutoClaim_Data!B2:B3168,"Train",AutoClaim_Data!D2:D3168,"&gt;"&amp;$B$2))</f>
        <v/>
      </c>
      <c r="H257">
        <f>IF(AutoClaim_Data!D257&lt;=$B$2,IF(AutoClaim_Data!E257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">
        <f>(F257-H257)^2</f>
        <v/>
      </c>
      <c r="J257">
        <f>--(E257="Validation")</f>
        <v/>
      </c>
    </row>
    <row r="258">
      <c r="D258">
        <f>AutoClaim_Data!A258</f>
        <v/>
      </c>
      <c r="E258">
        <f>AutoClaim_Data!B258</f>
        <v/>
      </c>
      <c r="F258">
        <f>AutoClaim_Data!C258</f>
        <v/>
      </c>
      <c r="G258">
        <f>IF(AutoClaim_Data!D258&lt;=$B$2,AVERAGEIFS(AutoClaim_Data!C2:C3168,AutoClaim_Data!B2:B3168,"Train",AutoClaim_Data!D2:D3168,"&lt;="&amp;$B$2),AVERAGEIFS(AutoClaim_Data!C2:C3168,AutoClaim_Data!B2:B3168,"Train",AutoClaim_Data!D2:D3168,"&gt;"&amp;$B$2))</f>
        <v/>
      </c>
      <c r="H258">
        <f>IF(AutoClaim_Data!D258&lt;=$B$2,IF(AutoClaim_Data!E258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">
        <f>(F258-H258)^2</f>
        <v/>
      </c>
      <c r="J258">
        <f>--(E258="Validation")</f>
        <v/>
      </c>
    </row>
    <row r="259">
      <c r="D259">
        <f>AutoClaim_Data!A259</f>
        <v/>
      </c>
      <c r="E259">
        <f>AutoClaim_Data!B259</f>
        <v/>
      </c>
      <c r="F259">
        <f>AutoClaim_Data!C259</f>
        <v/>
      </c>
      <c r="G259">
        <f>IF(AutoClaim_Data!D259&lt;=$B$2,AVERAGEIFS(AutoClaim_Data!C2:C3168,AutoClaim_Data!B2:B3168,"Train",AutoClaim_Data!D2:D3168,"&lt;="&amp;$B$2),AVERAGEIFS(AutoClaim_Data!C2:C3168,AutoClaim_Data!B2:B3168,"Train",AutoClaim_Data!D2:D3168,"&gt;"&amp;$B$2))</f>
        <v/>
      </c>
      <c r="H259">
        <f>IF(AutoClaim_Data!D259&lt;=$B$2,IF(AutoClaim_Data!E259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">
        <f>(F259-H259)^2</f>
        <v/>
      </c>
      <c r="J259">
        <f>--(E259="Validation")</f>
        <v/>
      </c>
    </row>
    <row r="260">
      <c r="D260">
        <f>AutoClaim_Data!A260</f>
        <v/>
      </c>
      <c r="E260">
        <f>AutoClaim_Data!B260</f>
        <v/>
      </c>
      <c r="F260">
        <f>AutoClaim_Data!C260</f>
        <v/>
      </c>
      <c r="G260">
        <f>IF(AutoClaim_Data!D260&lt;=$B$2,AVERAGEIFS(AutoClaim_Data!C2:C3168,AutoClaim_Data!B2:B3168,"Train",AutoClaim_Data!D2:D3168,"&lt;="&amp;$B$2),AVERAGEIFS(AutoClaim_Data!C2:C3168,AutoClaim_Data!B2:B3168,"Train",AutoClaim_Data!D2:D3168,"&gt;"&amp;$B$2))</f>
        <v/>
      </c>
      <c r="H260">
        <f>IF(AutoClaim_Data!D260&lt;=$B$2,IF(AutoClaim_Data!E260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">
        <f>(F260-H260)^2</f>
        <v/>
      </c>
      <c r="J260">
        <f>--(E260="Validation")</f>
        <v/>
      </c>
    </row>
    <row r="261">
      <c r="D261">
        <f>AutoClaim_Data!A261</f>
        <v/>
      </c>
      <c r="E261">
        <f>AutoClaim_Data!B261</f>
        <v/>
      </c>
      <c r="F261">
        <f>AutoClaim_Data!C261</f>
        <v/>
      </c>
      <c r="G261">
        <f>IF(AutoClaim_Data!D261&lt;=$B$2,AVERAGEIFS(AutoClaim_Data!C2:C3168,AutoClaim_Data!B2:B3168,"Train",AutoClaim_Data!D2:D3168,"&lt;="&amp;$B$2),AVERAGEIFS(AutoClaim_Data!C2:C3168,AutoClaim_Data!B2:B3168,"Train",AutoClaim_Data!D2:D3168,"&gt;"&amp;$B$2))</f>
        <v/>
      </c>
      <c r="H261">
        <f>IF(AutoClaim_Data!D261&lt;=$B$2,IF(AutoClaim_Data!E261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">
        <f>(F261-H261)^2</f>
        <v/>
      </c>
      <c r="J261">
        <f>--(E261="Validation")</f>
        <v/>
      </c>
    </row>
    <row r="262">
      <c r="D262">
        <f>AutoClaim_Data!A262</f>
        <v/>
      </c>
      <c r="E262">
        <f>AutoClaim_Data!B262</f>
        <v/>
      </c>
      <c r="F262">
        <f>AutoClaim_Data!C262</f>
        <v/>
      </c>
      <c r="G262">
        <f>IF(AutoClaim_Data!D262&lt;=$B$2,AVERAGEIFS(AutoClaim_Data!C2:C3168,AutoClaim_Data!B2:B3168,"Train",AutoClaim_Data!D2:D3168,"&lt;="&amp;$B$2),AVERAGEIFS(AutoClaim_Data!C2:C3168,AutoClaim_Data!B2:B3168,"Train",AutoClaim_Data!D2:D3168,"&gt;"&amp;$B$2))</f>
        <v/>
      </c>
      <c r="H262">
        <f>IF(AutoClaim_Data!D262&lt;=$B$2,IF(AutoClaim_Data!E262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">
        <f>(F262-H262)^2</f>
        <v/>
      </c>
      <c r="J262">
        <f>--(E262="Validation")</f>
        <v/>
      </c>
    </row>
    <row r="263">
      <c r="D263">
        <f>AutoClaim_Data!A263</f>
        <v/>
      </c>
      <c r="E263">
        <f>AutoClaim_Data!B263</f>
        <v/>
      </c>
      <c r="F263">
        <f>AutoClaim_Data!C263</f>
        <v/>
      </c>
      <c r="G263">
        <f>IF(AutoClaim_Data!D263&lt;=$B$2,AVERAGEIFS(AutoClaim_Data!C2:C3168,AutoClaim_Data!B2:B3168,"Train",AutoClaim_Data!D2:D3168,"&lt;="&amp;$B$2),AVERAGEIFS(AutoClaim_Data!C2:C3168,AutoClaim_Data!B2:B3168,"Train",AutoClaim_Data!D2:D3168,"&gt;"&amp;$B$2))</f>
        <v/>
      </c>
      <c r="H263">
        <f>IF(AutoClaim_Data!D263&lt;=$B$2,IF(AutoClaim_Data!E263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">
        <f>(F263-H263)^2</f>
        <v/>
      </c>
      <c r="J263">
        <f>--(E263="Validation")</f>
        <v/>
      </c>
    </row>
    <row r="264">
      <c r="D264">
        <f>AutoClaim_Data!A264</f>
        <v/>
      </c>
      <c r="E264">
        <f>AutoClaim_Data!B264</f>
        <v/>
      </c>
      <c r="F264">
        <f>AutoClaim_Data!C264</f>
        <v/>
      </c>
      <c r="G264">
        <f>IF(AutoClaim_Data!D264&lt;=$B$2,AVERAGEIFS(AutoClaim_Data!C2:C3168,AutoClaim_Data!B2:B3168,"Train",AutoClaim_Data!D2:D3168,"&lt;="&amp;$B$2),AVERAGEIFS(AutoClaim_Data!C2:C3168,AutoClaim_Data!B2:B3168,"Train",AutoClaim_Data!D2:D3168,"&gt;"&amp;$B$2))</f>
        <v/>
      </c>
      <c r="H264">
        <f>IF(AutoClaim_Data!D264&lt;=$B$2,IF(AutoClaim_Data!E264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">
        <f>(F264-H264)^2</f>
        <v/>
      </c>
      <c r="J264">
        <f>--(E264="Validation")</f>
        <v/>
      </c>
    </row>
    <row r="265">
      <c r="D265">
        <f>AutoClaim_Data!A265</f>
        <v/>
      </c>
      <c r="E265">
        <f>AutoClaim_Data!B265</f>
        <v/>
      </c>
      <c r="F265">
        <f>AutoClaim_Data!C265</f>
        <v/>
      </c>
      <c r="G265">
        <f>IF(AutoClaim_Data!D265&lt;=$B$2,AVERAGEIFS(AutoClaim_Data!C2:C3168,AutoClaim_Data!B2:B3168,"Train",AutoClaim_Data!D2:D3168,"&lt;="&amp;$B$2),AVERAGEIFS(AutoClaim_Data!C2:C3168,AutoClaim_Data!B2:B3168,"Train",AutoClaim_Data!D2:D3168,"&gt;"&amp;$B$2))</f>
        <v/>
      </c>
      <c r="H265">
        <f>IF(AutoClaim_Data!D265&lt;=$B$2,IF(AutoClaim_Data!E265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">
        <f>(F265-H265)^2</f>
        <v/>
      </c>
      <c r="J265">
        <f>--(E265="Validation")</f>
        <v/>
      </c>
    </row>
    <row r="266">
      <c r="D266">
        <f>AutoClaim_Data!A266</f>
        <v/>
      </c>
      <c r="E266">
        <f>AutoClaim_Data!B266</f>
        <v/>
      </c>
      <c r="F266">
        <f>AutoClaim_Data!C266</f>
        <v/>
      </c>
      <c r="G266">
        <f>IF(AutoClaim_Data!D266&lt;=$B$2,AVERAGEIFS(AutoClaim_Data!C2:C3168,AutoClaim_Data!B2:B3168,"Train",AutoClaim_Data!D2:D3168,"&lt;="&amp;$B$2),AVERAGEIFS(AutoClaim_Data!C2:C3168,AutoClaim_Data!B2:B3168,"Train",AutoClaim_Data!D2:D3168,"&gt;"&amp;$B$2))</f>
        <v/>
      </c>
      <c r="H266">
        <f>IF(AutoClaim_Data!D266&lt;=$B$2,IF(AutoClaim_Data!E266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">
        <f>(F266-H266)^2</f>
        <v/>
      </c>
      <c r="J266">
        <f>--(E266="Validation")</f>
        <v/>
      </c>
    </row>
    <row r="267">
      <c r="D267">
        <f>AutoClaim_Data!A267</f>
        <v/>
      </c>
      <c r="E267">
        <f>AutoClaim_Data!B267</f>
        <v/>
      </c>
      <c r="F267">
        <f>AutoClaim_Data!C267</f>
        <v/>
      </c>
      <c r="G267">
        <f>IF(AutoClaim_Data!D267&lt;=$B$2,AVERAGEIFS(AutoClaim_Data!C2:C3168,AutoClaim_Data!B2:B3168,"Train",AutoClaim_Data!D2:D3168,"&lt;="&amp;$B$2),AVERAGEIFS(AutoClaim_Data!C2:C3168,AutoClaim_Data!B2:B3168,"Train",AutoClaim_Data!D2:D3168,"&gt;"&amp;$B$2))</f>
        <v/>
      </c>
      <c r="H267">
        <f>IF(AutoClaim_Data!D267&lt;=$B$2,IF(AutoClaim_Data!E267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">
        <f>(F267-H267)^2</f>
        <v/>
      </c>
      <c r="J267">
        <f>--(E267="Validation")</f>
        <v/>
      </c>
    </row>
    <row r="268">
      <c r="D268">
        <f>AutoClaim_Data!A268</f>
        <v/>
      </c>
      <c r="E268">
        <f>AutoClaim_Data!B268</f>
        <v/>
      </c>
      <c r="F268">
        <f>AutoClaim_Data!C268</f>
        <v/>
      </c>
      <c r="G268">
        <f>IF(AutoClaim_Data!D268&lt;=$B$2,AVERAGEIFS(AutoClaim_Data!C2:C3168,AutoClaim_Data!B2:B3168,"Train",AutoClaim_Data!D2:D3168,"&lt;="&amp;$B$2),AVERAGEIFS(AutoClaim_Data!C2:C3168,AutoClaim_Data!B2:B3168,"Train",AutoClaim_Data!D2:D3168,"&gt;"&amp;$B$2))</f>
        <v/>
      </c>
      <c r="H268">
        <f>IF(AutoClaim_Data!D268&lt;=$B$2,IF(AutoClaim_Data!E268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">
        <f>(F268-H268)^2</f>
        <v/>
      </c>
      <c r="J268">
        <f>--(E268="Validation")</f>
        <v/>
      </c>
    </row>
    <row r="269">
      <c r="D269">
        <f>AutoClaim_Data!A269</f>
        <v/>
      </c>
      <c r="E269">
        <f>AutoClaim_Data!B269</f>
        <v/>
      </c>
      <c r="F269">
        <f>AutoClaim_Data!C269</f>
        <v/>
      </c>
      <c r="G269">
        <f>IF(AutoClaim_Data!D269&lt;=$B$2,AVERAGEIFS(AutoClaim_Data!C2:C3168,AutoClaim_Data!B2:B3168,"Train",AutoClaim_Data!D2:D3168,"&lt;="&amp;$B$2),AVERAGEIFS(AutoClaim_Data!C2:C3168,AutoClaim_Data!B2:B3168,"Train",AutoClaim_Data!D2:D3168,"&gt;"&amp;$B$2))</f>
        <v/>
      </c>
      <c r="H269">
        <f>IF(AutoClaim_Data!D269&lt;=$B$2,IF(AutoClaim_Data!E269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">
        <f>(F269-H269)^2</f>
        <v/>
      </c>
      <c r="J269">
        <f>--(E269="Validation")</f>
        <v/>
      </c>
    </row>
    <row r="270">
      <c r="D270">
        <f>AutoClaim_Data!A270</f>
        <v/>
      </c>
      <c r="E270">
        <f>AutoClaim_Data!B270</f>
        <v/>
      </c>
      <c r="F270">
        <f>AutoClaim_Data!C270</f>
        <v/>
      </c>
      <c r="G270">
        <f>IF(AutoClaim_Data!D270&lt;=$B$2,AVERAGEIFS(AutoClaim_Data!C2:C3168,AutoClaim_Data!B2:B3168,"Train",AutoClaim_Data!D2:D3168,"&lt;="&amp;$B$2),AVERAGEIFS(AutoClaim_Data!C2:C3168,AutoClaim_Data!B2:B3168,"Train",AutoClaim_Data!D2:D3168,"&gt;"&amp;$B$2))</f>
        <v/>
      </c>
      <c r="H270">
        <f>IF(AutoClaim_Data!D270&lt;=$B$2,IF(AutoClaim_Data!E270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">
        <f>(F270-H270)^2</f>
        <v/>
      </c>
      <c r="J270">
        <f>--(E270="Validation")</f>
        <v/>
      </c>
    </row>
    <row r="271">
      <c r="D271">
        <f>AutoClaim_Data!A271</f>
        <v/>
      </c>
      <c r="E271">
        <f>AutoClaim_Data!B271</f>
        <v/>
      </c>
      <c r="F271">
        <f>AutoClaim_Data!C271</f>
        <v/>
      </c>
      <c r="G271">
        <f>IF(AutoClaim_Data!D271&lt;=$B$2,AVERAGEIFS(AutoClaim_Data!C2:C3168,AutoClaim_Data!B2:B3168,"Train",AutoClaim_Data!D2:D3168,"&lt;="&amp;$B$2),AVERAGEIFS(AutoClaim_Data!C2:C3168,AutoClaim_Data!B2:B3168,"Train",AutoClaim_Data!D2:D3168,"&gt;"&amp;$B$2))</f>
        <v/>
      </c>
      <c r="H271">
        <f>IF(AutoClaim_Data!D271&lt;=$B$2,IF(AutoClaim_Data!E271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">
        <f>(F271-H271)^2</f>
        <v/>
      </c>
      <c r="J271">
        <f>--(E271="Validation")</f>
        <v/>
      </c>
    </row>
    <row r="272">
      <c r="D272">
        <f>AutoClaim_Data!A272</f>
        <v/>
      </c>
      <c r="E272">
        <f>AutoClaim_Data!B272</f>
        <v/>
      </c>
      <c r="F272">
        <f>AutoClaim_Data!C272</f>
        <v/>
      </c>
      <c r="G272">
        <f>IF(AutoClaim_Data!D272&lt;=$B$2,AVERAGEIFS(AutoClaim_Data!C2:C3168,AutoClaim_Data!B2:B3168,"Train",AutoClaim_Data!D2:D3168,"&lt;="&amp;$B$2),AVERAGEIFS(AutoClaim_Data!C2:C3168,AutoClaim_Data!B2:B3168,"Train",AutoClaim_Data!D2:D3168,"&gt;"&amp;$B$2))</f>
        <v/>
      </c>
      <c r="H272">
        <f>IF(AutoClaim_Data!D272&lt;=$B$2,IF(AutoClaim_Data!E272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">
        <f>(F272-H272)^2</f>
        <v/>
      </c>
      <c r="J272">
        <f>--(E272="Validation")</f>
        <v/>
      </c>
    </row>
    <row r="273">
      <c r="D273">
        <f>AutoClaim_Data!A273</f>
        <v/>
      </c>
      <c r="E273">
        <f>AutoClaim_Data!B273</f>
        <v/>
      </c>
      <c r="F273">
        <f>AutoClaim_Data!C273</f>
        <v/>
      </c>
      <c r="G273">
        <f>IF(AutoClaim_Data!D273&lt;=$B$2,AVERAGEIFS(AutoClaim_Data!C2:C3168,AutoClaim_Data!B2:B3168,"Train",AutoClaim_Data!D2:D3168,"&lt;="&amp;$B$2),AVERAGEIFS(AutoClaim_Data!C2:C3168,AutoClaim_Data!B2:B3168,"Train",AutoClaim_Data!D2:D3168,"&gt;"&amp;$B$2))</f>
        <v/>
      </c>
      <c r="H273">
        <f>IF(AutoClaim_Data!D273&lt;=$B$2,IF(AutoClaim_Data!E273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">
        <f>(F273-H273)^2</f>
        <v/>
      </c>
      <c r="J273">
        <f>--(E273="Validation")</f>
        <v/>
      </c>
    </row>
    <row r="274">
      <c r="D274">
        <f>AutoClaim_Data!A274</f>
        <v/>
      </c>
      <c r="E274">
        <f>AutoClaim_Data!B274</f>
        <v/>
      </c>
      <c r="F274">
        <f>AutoClaim_Data!C274</f>
        <v/>
      </c>
      <c r="G274">
        <f>IF(AutoClaim_Data!D274&lt;=$B$2,AVERAGEIFS(AutoClaim_Data!C2:C3168,AutoClaim_Data!B2:B3168,"Train",AutoClaim_Data!D2:D3168,"&lt;="&amp;$B$2),AVERAGEIFS(AutoClaim_Data!C2:C3168,AutoClaim_Data!B2:B3168,"Train",AutoClaim_Data!D2:D3168,"&gt;"&amp;$B$2))</f>
        <v/>
      </c>
      <c r="H274">
        <f>IF(AutoClaim_Data!D274&lt;=$B$2,IF(AutoClaim_Data!E274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">
        <f>(F274-H274)^2</f>
        <v/>
      </c>
      <c r="J274">
        <f>--(E274="Validation")</f>
        <v/>
      </c>
    </row>
    <row r="275">
      <c r="D275">
        <f>AutoClaim_Data!A275</f>
        <v/>
      </c>
      <c r="E275">
        <f>AutoClaim_Data!B275</f>
        <v/>
      </c>
      <c r="F275">
        <f>AutoClaim_Data!C275</f>
        <v/>
      </c>
      <c r="G275">
        <f>IF(AutoClaim_Data!D275&lt;=$B$2,AVERAGEIFS(AutoClaim_Data!C2:C3168,AutoClaim_Data!B2:B3168,"Train",AutoClaim_Data!D2:D3168,"&lt;="&amp;$B$2),AVERAGEIFS(AutoClaim_Data!C2:C3168,AutoClaim_Data!B2:B3168,"Train",AutoClaim_Data!D2:D3168,"&gt;"&amp;$B$2))</f>
        <v/>
      </c>
      <c r="H275">
        <f>IF(AutoClaim_Data!D275&lt;=$B$2,IF(AutoClaim_Data!E275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">
        <f>(F275-H275)^2</f>
        <v/>
      </c>
      <c r="J275">
        <f>--(E275="Validation")</f>
        <v/>
      </c>
    </row>
    <row r="276">
      <c r="D276">
        <f>AutoClaim_Data!A276</f>
        <v/>
      </c>
      <c r="E276">
        <f>AutoClaim_Data!B276</f>
        <v/>
      </c>
      <c r="F276">
        <f>AutoClaim_Data!C276</f>
        <v/>
      </c>
      <c r="G276">
        <f>IF(AutoClaim_Data!D276&lt;=$B$2,AVERAGEIFS(AutoClaim_Data!C2:C3168,AutoClaim_Data!B2:B3168,"Train",AutoClaim_Data!D2:D3168,"&lt;="&amp;$B$2),AVERAGEIFS(AutoClaim_Data!C2:C3168,AutoClaim_Data!B2:B3168,"Train",AutoClaim_Data!D2:D3168,"&gt;"&amp;$B$2))</f>
        <v/>
      </c>
      <c r="H276">
        <f>IF(AutoClaim_Data!D276&lt;=$B$2,IF(AutoClaim_Data!E276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">
        <f>(F276-H276)^2</f>
        <v/>
      </c>
      <c r="J276">
        <f>--(E276="Validation")</f>
        <v/>
      </c>
    </row>
    <row r="277">
      <c r="D277">
        <f>AutoClaim_Data!A277</f>
        <v/>
      </c>
      <c r="E277">
        <f>AutoClaim_Data!B277</f>
        <v/>
      </c>
      <c r="F277">
        <f>AutoClaim_Data!C277</f>
        <v/>
      </c>
      <c r="G277">
        <f>IF(AutoClaim_Data!D277&lt;=$B$2,AVERAGEIFS(AutoClaim_Data!C2:C3168,AutoClaim_Data!B2:B3168,"Train",AutoClaim_Data!D2:D3168,"&lt;="&amp;$B$2),AVERAGEIFS(AutoClaim_Data!C2:C3168,AutoClaim_Data!B2:B3168,"Train",AutoClaim_Data!D2:D3168,"&gt;"&amp;$B$2))</f>
        <v/>
      </c>
      <c r="H277">
        <f>IF(AutoClaim_Data!D277&lt;=$B$2,IF(AutoClaim_Data!E277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">
        <f>(F277-H277)^2</f>
        <v/>
      </c>
      <c r="J277">
        <f>--(E277="Validation")</f>
        <v/>
      </c>
    </row>
    <row r="278">
      <c r="D278">
        <f>AutoClaim_Data!A278</f>
        <v/>
      </c>
      <c r="E278">
        <f>AutoClaim_Data!B278</f>
        <v/>
      </c>
      <c r="F278">
        <f>AutoClaim_Data!C278</f>
        <v/>
      </c>
      <c r="G278">
        <f>IF(AutoClaim_Data!D278&lt;=$B$2,AVERAGEIFS(AutoClaim_Data!C2:C3168,AutoClaim_Data!B2:B3168,"Train",AutoClaim_Data!D2:D3168,"&lt;="&amp;$B$2),AVERAGEIFS(AutoClaim_Data!C2:C3168,AutoClaim_Data!B2:B3168,"Train",AutoClaim_Data!D2:D3168,"&gt;"&amp;$B$2))</f>
        <v/>
      </c>
      <c r="H278">
        <f>IF(AutoClaim_Data!D278&lt;=$B$2,IF(AutoClaim_Data!E278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">
        <f>(F278-H278)^2</f>
        <v/>
      </c>
      <c r="J278">
        <f>--(E278="Validation")</f>
        <v/>
      </c>
    </row>
    <row r="279">
      <c r="D279">
        <f>AutoClaim_Data!A279</f>
        <v/>
      </c>
      <c r="E279">
        <f>AutoClaim_Data!B279</f>
        <v/>
      </c>
      <c r="F279">
        <f>AutoClaim_Data!C279</f>
        <v/>
      </c>
      <c r="G279">
        <f>IF(AutoClaim_Data!D279&lt;=$B$2,AVERAGEIFS(AutoClaim_Data!C2:C3168,AutoClaim_Data!B2:B3168,"Train",AutoClaim_Data!D2:D3168,"&lt;="&amp;$B$2),AVERAGEIFS(AutoClaim_Data!C2:C3168,AutoClaim_Data!B2:B3168,"Train",AutoClaim_Data!D2:D3168,"&gt;"&amp;$B$2))</f>
        <v/>
      </c>
      <c r="H279">
        <f>IF(AutoClaim_Data!D279&lt;=$B$2,IF(AutoClaim_Data!E279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">
        <f>(F279-H279)^2</f>
        <v/>
      </c>
      <c r="J279">
        <f>--(E279="Validation")</f>
        <v/>
      </c>
    </row>
    <row r="280">
      <c r="D280">
        <f>AutoClaim_Data!A280</f>
        <v/>
      </c>
      <c r="E280">
        <f>AutoClaim_Data!B280</f>
        <v/>
      </c>
      <c r="F280">
        <f>AutoClaim_Data!C280</f>
        <v/>
      </c>
      <c r="G280">
        <f>IF(AutoClaim_Data!D280&lt;=$B$2,AVERAGEIFS(AutoClaim_Data!C2:C3168,AutoClaim_Data!B2:B3168,"Train",AutoClaim_Data!D2:D3168,"&lt;="&amp;$B$2),AVERAGEIFS(AutoClaim_Data!C2:C3168,AutoClaim_Data!B2:B3168,"Train",AutoClaim_Data!D2:D3168,"&gt;"&amp;$B$2))</f>
        <v/>
      </c>
      <c r="H280">
        <f>IF(AutoClaim_Data!D280&lt;=$B$2,IF(AutoClaim_Data!E280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">
        <f>(F280-H280)^2</f>
        <v/>
      </c>
      <c r="J280">
        <f>--(E280="Validation")</f>
        <v/>
      </c>
    </row>
    <row r="281">
      <c r="D281">
        <f>AutoClaim_Data!A281</f>
        <v/>
      </c>
      <c r="E281">
        <f>AutoClaim_Data!B281</f>
        <v/>
      </c>
      <c r="F281">
        <f>AutoClaim_Data!C281</f>
        <v/>
      </c>
      <c r="G281">
        <f>IF(AutoClaim_Data!D281&lt;=$B$2,AVERAGEIFS(AutoClaim_Data!C2:C3168,AutoClaim_Data!B2:B3168,"Train",AutoClaim_Data!D2:D3168,"&lt;="&amp;$B$2),AVERAGEIFS(AutoClaim_Data!C2:C3168,AutoClaim_Data!B2:B3168,"Train",AutoClaim_Data!D2:D3168,"&gt;"&amp;$B$2))</f>
        <v/>
      </c>
      <c r="H281">
        <f>IF(AutoClaim_Data!D281&lt;=$B$2,IF(AutoClaim_Data!E281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">
        <f>(F281-H281)^2</f>
        <v/>
      </c>
      <c r="J281">
        <f>--(E281="Validation")</f>
        <v/>
      </c>
    </row>
    <row r="282">
      <c r="D282">
        <f>AutoClaim_Data!A282</f>
        <v/>
      </c>
      <c r="E282">
        <f>AutoClaim_Data!B282</f>
        <v/>
      </c>
      <c r="F282">
        <f>AutoClaim_Data!C282</f>
        <v/>
      </c>
      <c r="G282">
        <f>IF(AutoClaim_Data!D282&lt;=$B$2,AVERAGEIFS(AutoClaim_Data!C2:C3168,AutoClaim_Data!B2:B3168,"Train",AutoClaim_Data!D2:D3168,"&lt;="&amp;$B$2),AVERAGEIFS(AutoClaim_Data!C2:C3168,AutoClaim_Data!B2:B3168,"Train",AutoClaim_Data!D2:D3168,"&gt;"&amp;$B$2))</f>
        <v/>
      </c>
      <c r="H282">
        <f>IF(AutoClaim_Data!D282&lt;=$B$2,IF(AutoClaim_Data!E282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">
        <f>(F282-H282)^2</f>
        <v/>
      </c>
      <c r="J282">
        <f>--(E282="Validation")</f>
        <v/>
      </c>
    </row>
    <row r="283">
      <c r="D283">
        <f>AutoClaim_Data!A283</f>
        <v/>
      </c>
      <c r="E283">
        <f>AutoClaim_Data!B283</f>
        <v/>
      </c>
      <c r="F283">
        <f>AutoClaim_Data!C283</f>
        <v/>
      </c>
      <c r="G283">
        <f>IF(AutoClaim_Data!D283&lt;=$B$2,AVERAGEIFS(AutoClaim_Data!C2:C3168,AutoClaim_Data!B2:B3168,"Train",AutoClaim_Data!D2:D3168,"&lt;="&amp;$B$2),AVERAGEIFS(AutoClaim_Data!C2:C3168,AutoClaim_Data!B2:B3168,"Train",AutoClaim_Data!D2:D3168,"&gt;"&amp;$B$2))</f>
        <v/>
      </c>
      <c r="H283">
        <f>IF(AutoClaim_Data!D283&lt;=$B$2,IF(AutoClaim_Data!E283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">
        <f>(F283-H283)^2</f>
        <v/>
      </c>
      <c r="J283">
        <f>--(E283="Validation")</f>
        <v/>
      </c>
    </row>
    <row r="284">
      <c r="D284">
        <f>AutoClaim_Data!A284</f>
        <v/>
      </c>
      <c r="E284">
        <f>AutoClaim_Data!B284</f>
        <v/>
      </c>
      <c r="F284">
        <f>AutoClaim_Data!C284</f>
        <v/>
      </c>
      <c r="G284">
        <f>IF(AutoClaim_Data!D284&lt;=$B$2,AVERAGEIFS(AutoClaim_Data!C2:C3168,AutoClaim_Data!B2:B3168,"Train",AutoClaim_Data!D2:D3168,"&lt;="&amp;$B$2),AVERAGEIFS(AutoClaim_Data!C2:C3168,AutoClaim_Data!B2:B3168,"Train",AutoClaim_Data!D2:D3168,"&gt;"&amp;$B$2))</f>
        <v/>
      </c>
      <c r="H284">
        <f>IF(AutoClaim_Data!D284&lt;=$B$2,IF(AutoClaim_Data!E284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">
        <f>(F284-H284)^2</f>
        <v/>
      </c>
      <c r="J284">
        <f>--(E284="Validation")</f>
        <v/>
      </c>
    </row>
    <row r="285">
      <c r="D285">
        <f>AutoClaim_Data!A285</f>
        <v/>
      </c>
      <c r="E285">
        <f>AutoClaim_Data!B285</f>
        <v/>
      </c>
      <c r="F285">
        <f>AutoClaim_Data!C285</f>
        <v/>
      </c>
      <c r="G285">
        <f>IF(AutoClaim_Data!D285&lt;=$B$2,AVERAGEIFS(AutoClaim_Data!C2:C3168,AutoClaim_Data!B2:B3168,"Train",AutoClaim_Data!D2:D3168,"&lt;="&amp;$B$2),AVERAGEIFS(AutoClaim_Data!C2:C3168,AutoClaim_Data!B2:B3168,"Train",AutoClaim_Data!D2:D3168,"&gt;"&amp;$B$2))</f>
        <v/>
      </c>
      <c r="H285">
        <f>IF(AutoClaim_Data!D285&lt;=$B$2,IF(AutoClaim_Data!E285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">
        <f>(F285-H285)^2</f>
        <v/>
      </c>
      <c r="J285">
        <f>--(E285="Validation")</f>
        <v/>
      </c>
    </row>
    <row r="286">
      <c r="D286">
        <f>AutoClaim_Data!A286</f>
        <v/>
      </c>
      <c r="E286">
        <f>AutoClaim_Data!B286</f>
        <v/>
      </c>
      <c r="F286">
        <f>AutoClaim_Data!C286</f>
        <v/>
      </c>
      <c r="G286">
        <f>IF(AutoClaim_Data!D286&lt;=$B$2,AVERAGEIFS(AutoClaim_Data!C2:C3168,AutoClaim_Data!B2:B3168,"Train",AutoClaim_Data!D2:D3168,"&lt;="&amp;$B$2),AVERAGEIFS(AutoClaim_Data!C2:C3168,AutoClaim_Data!B2:B3168,"Train",AutoClaim_Data!D2:D3168,"&gt;"&amp;$B$2))</f>
        <v/>
      </c>
      <c r="H286">
        <f>IF(AutoClaim_Data!D286&lt;=$B$2,IF(AutoClaim_Data!E286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">
        <f>(F286-H286)^2</f>
        <v/>
      </c>
      <c r="J286">
        <f>--(E286="Validation")</f>
        <v/>
      </c>
    </row>
    <row r="287">
      <c r="D287">
        <f>AutoClaim_Data!A287</f>
        <v/>
      </c>
      <c r="E287">
        <f>AutoClaim_Data!B287</f>
        <v/>
      </c>
      <c r="F287">
        <f>AutoClaim_Data!C287</f>
        <v/>
      </c>
      <c r="G287">
        <f>IF(AutoClaim_Data!D287&lt;=$B$2,AVERAGEIFS(AutoClaim_Data!C2:C3168,AutoClaim_Data!B2:B3168,"Train",AutoClaim_Data!D2:D3168,"&lt;="&amp;$B$2),AVERAGEIFS(AutoClaim_Data!C2:C3168,AutoClaim_Data!B2:B3168,"Train",AutoClaim_Data!D2:D3168,"&gt;"&amp;$B$2))</f>
        <v/>
      </c>
      <c r="H287">
        <f>IF(AutoClaim_Data!D287&lt;=$B$2,IF(AutoClaim_Data!E287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">
        <f>(F287-H287)^2</f>
        <v/>
      </c>
      <c r="J287">
        <f>--(E287="Validation")</f>
        <v/>
      </c>
    </row>
    <row r="288">
      <c r="D288">
        <f>AutoClaim_Data!A288</f>
        <v/>
      </c>
      <c r="E288">
        <f>AutoClaim_Data!B288</f>
        <v/>
      </c>
      <c r="F288">
        <f>AutoClaim_Data!C288</f>
        <v/>
      </c>
      <c r="G288">
        <f>IF(AutoClaim_Data!D288&lt;=$B$2,AVERAGEIFS(AutoClaim_Data!C2:C3168,AutoClaim_Data!B2:B3168,"Train",AutoClaim_Data!D2:D3168,"&lt;="&amp;$B$2),AVERAGEIFS(AutoClaim_Data!C2:C3168,AutoClaim_Data!B2:B3168,"Train",AutoClaim_Data!D2:D3168,"&gt;"&amp;$B$2))</f>
        <v/>
      </c>
      <c r="H288">
        <f>IF(AutoClaim_Data!D288&lt;=$B$2,IF(AutoClaim_Data!E288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">
        <f>(F288-H288)^2</f>
        <v/>
      </c>
      <c r="J288">
        <f>--(E288="Validation")</f>
        <v/>
      </c>
    </row>
    <row r="289">
      <c r="D289">
        <f>AutoClaim_Data!A289</f>
        <v/>
      </c>
      <c r="E289">
        <f>AutoClaim_Data!B289</f>
        <v/>
      </c>
      <c r="F289">
        <f>AutoClaim_Data!C289</f>
        <v/>
      </c>
      <c r="G289">
        <f>IF(AutoClaim_Data!D289&lt;=$B$2,AVERAGEIFS(AutoClaim_Data!C2:C3168,AutoClaim_Data!B2:B3168,"Train",AutoClaim_Data!D2:D3168,"&lt;="&amp;$B$2),AVERAGEIFS(AutoClaim_Data!C2:C3168,AutoClaim_Data!B2:B3168,"Train",AutoClaim_Data!D2:D3168,"&gt;"&amp;$B$2))</f>
        <v/>
      </c>
      <c r="H289">
        <f>IF(AutoClaim_Data!D289&lt;=$B$2,IF(AutoClaim_Data!E289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">
        <f>(F289-H289)^2</f>
        <v/>
      </c>
      <c r="J289">
        <f>--(E289="Validation")</f>
        <v/>
      </c>
    </row>
    <row r="290">
      <c r="D290">
        <f>AutoClaim_Data!A290</f>
        <v/>
      </c>
      <c r="E290">
        <f>AutoClaim_Data!B290</f>
        <v/>
      </c>
      <c r="F290">
        <f>AutoClaim_Data!C290</f>
        <v/>
      </c>
      <c r="G290">
        <f>IF(AutoClaim_Data!D290&lt;=$B$2,AVERAGEIFS(AutoClaim_Data!C2:C3168,AutoClaim_Data!B2:B3168,"Train",AutoClaim_Data!D2:D3168,"&lt;="&amp;$B$2),AVERAGEIFS(AutoClaim_Data!C2:C3168,AutoClaim_Data!B2:B3168,"Train",AutoClaim_Data!D2:D3168,"&gt;"&amp;$B$2))</f>
        <v/>
      </c>
      <c r="H290">
        <f>IF(AutoClaim_Data!D290&lt;=$B$2,IF(AutoClaim_Data!E290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">
        <f>(F290-H290)^2</f>
        <v/>
      </c>
      <c r="J290">
        <f>--(E290="Validation")</f>
        <v/>
      </c>
    </row>
    <row r="291">
      <c r="D291">
        <f>AutoClaim_Data!A291</f>
        <v/>
      </c>
      <c r="E291">
        <f>AutoClaim_Data!B291</f>
        <v/>
      </c>
      <c r="F291">
        <f>AutoClaim_Data!C291</f>
        <v/>
      </c>
      <c r="G291">
        <f>IF(AutoClaim_Data!D291&lt;=$B$2,AVERAGEIFS(AutoClaim_Data!C2:C3168,AutoClaim_Data!B2:B3168,"Train",AutoClaim_Data!D2:D3168,"&lt;="&amp;$B$2),AVERAGEIFS(AutoClaim_Data!C2:C3168,AutoClaim_Data!B2:B3168,"Train",AutoClaim_Data!D2:D3168,"&gt;"&amp;$B$2))</f>
        <v/>
      </c>
      <c r="H291">
        <f>IF(AutoClaim_Data!D291&lt;=$B$2,IF(AutoClaim_Data!E291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">
        <f>(F291-H291)^2</f>
        <v/>
      </c>
      <c r="J291">
        <f>--(E291="Validation")</f>
        <v/>
      </c>
    </row>
    <row r="292">
      <c r="D292">
        <f>AutoClaim_Data!A292</f>
        <v/>
      </c>
      <c r="E292">
        <f>AutoClaim_Data!B292</f>
        <v/>
      </c>
      <c r="F292">
        <f>AutoClaim_Data!C292</f>
        <v/>
      </c>
      <c r="G292">
        <f>IF(AutoClaim_Data!D292&lt;=$B$2,AVERAGEIFS(AutoClaim_Data!C2:C3168,AutoClaim_Data!B2:B3168,"Train",AutoClaim_Data!D2:D3168,"&lt;="&amp;$B$2),AVERAGEIFS(AutoClaim_Data!C2:C3168,AutoClaim_Data!B2:B3168,"Train",AutoClaim_Data!D2:D3168,"&gt;"&amp;$B$2))</f>
        <v/>
      </c>
      <c r="H292">
        <f>IF(AutoClaim_Data!D292&lt;=$B$2,IF(AutoClaim_Data!E292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">
        <f>(F292-H292)^2</f>
        <v/>
      </c>
      <c r="J292">
        <f>--(E292="Validation")</f>
        <v/>
      </c>
    </row>
    <row r="293">
      <c r="D293">
        <f>AutoClaim_Data!A293</f>
        <v/>
      </c>
      <c r="E293">
        <f>AutoClaim_Data!B293</f>
        <v/>
      </c>
      <c r="F293">
        <f>AutoClaim_Data!C293</f>
        <v/>
      </c>
      <c r="G293">
        <f>IF(AutoClaim_Data!D293&lt;=$B$2,AVERAGEIFS(AutoClaim_Data!C2:C3168,AutoClaim_Data!B2:B3168,"Train",AutoClaim_Data!D2:D3168,"&lt;="&amp;$B$2),AVERAGEIFS(AutoClaim_Data!C2:C3168,AutoClaim_Data!B2:B3168,"Train",AutoClaim_Data!D2:D3168,"&gt;"&amp;$B$2))</f>
        <v/>
      </c>
      <c r="H293">
        <f>IF(AutoClaim_Data!D293&lt;=$B$2,IF(AutoClaim_Data!E293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">
        <f>(F293-H293)^2</f>
        <v/>
      </c>
      <c r="J293">
        <f>--(E293="Validation")</f>
        <v/>
      </c>
    </row>
    <row r="294">
      <c r="D294">
        <f>AutoClaim_Data!A294</f>
        <v/>
      </c>
      <c r="E294">
        <f>AutoClaim_Data!B294</f>
        <v/>
      </c>
      <c r="F294">
        <f>AutoClaim_Data!C294</f>
        <v/>
      </c>
      <c r="G294">
        <f>IF(AutoClaim_Data!D294&lt;=$B$2,AVERAGEIFS(AutoClaim_Data!C2:C3168,AutoClaim_Data!B2:B3168,"Train",AutoClaim_Data!D2:D3168,"&lt;="&amp;$B$2),AVERAGEIFS(AutoClaim_Data!C2:C3168,AutoClaim_Data!B2:B3168,"Train",AutoClaim_Data!D2:D3168,"&gt;"&amp;$B$2))</f>
        <v/>
      </c>
      <c r="H294">
        <f>IF(AutoClaim_Data!D294&lt;=$B$2,IF(AutoClaim_Data!E294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">
        <f>(F294-H294)^2</f>
        <v/>
      </c>
      <c r="J294">
        <f>--(E294="Validation")</f>
        <v/>
      </c>
    </row>
    <row r="295">
      <c r="D295">
        <f>AutoClaim_Data!A295</f>
        <v/>
      </c>
      <c r="E295">
        <f>AutoClaim_Data!B295</f>
        <v/>
      </c>
      <c r="F295">
        <f>AutoClaim_Data!C295</f>
        <v/>
      </c>
      <c r="G295">
        <f>IF(AutoClaim_Data!D295&lt;=$B$2,AVERAGEIFS(AutoClaim_Data!C2:C3168,AutoClaim_Data!B2:B3168,"Train",AutoClaim_Data!D2:D3168,"&lt;="&amp;$B$2),AVERAGEIFS(AutoClaim_Data!C2:C3168,AutoClaim_Data!B2:B3168,"Train",AutoClaim_Data!D2:D3168,"&gt;"&amp;$B$2))</f>
        <v/>
      </c>
      <c r="H295">
        <f>IF(AutoClaim_Data!D295&lt;=$B$2,IF(AutoClaim_Data!E295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">
        <f>(F295-H295)^2</f>
        <v/>
      </c>
      <c r="J295">
        <f>--(E295="Validation")</f>
        <v/>
      </c>
    </row>
    <row r="296">
      <c r="D296">
        <f>AutoClaim_Data!A296</f>
        <v/>
      </c>
      <c r="E296">
        <f>AutoClaim_Data!B296</f>
        <v/>
      </c>
      <c r="F296">
        <f>AutoClaim_Data!C296</f>
        <v/>
      </c>
      <c r="G296">
        <f>IF(AutoClaim_Data!D296&lt;=$B$2,AVERAGEIFS(AutoClaim_Data!C2:C3168,AutoClaim_Data!B2:B3168,"Train",AutoClaim_Data!D2:D3168,"&lt;="&amp;$B$2),AVERAGEIFS(AutoClaim_Data!C2:C3168,AutoClaim_Data!B2:B3168,"Train",AutoClaim_Data!D2:D3168,"&gt;"&amp;$B$2))</f>
        <v/>
      </c>
      <c r="H296">
        <f>IF(AutoClaim_Data!D296&lt;=$B$2,IF(AutoClaim_Data!E296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">
        <f>(F296-H296)^2</f>
        <v/>
      </c>
      <c r="J296">
        <f>--(E296="Validation")</f>
        <v/>
      </c>
    </row>
    <row r="297">
      <c r="D297">
        <f>AutoClaim_Data!A297</f>
        <v/>
      </c>
      <c r="E297">
        <f>AutoClaim_Data!B297</f>
        <v/>
      </c>
      <c r="F297">
        <f>AutoClaim_Data!C297</f>
        <v/>
      </c>
      <c r="G297">
        <f>IF(AutoClaim_Data!D297&lt;=$B$2,AVERAGEIFS(AutoClaim_Data!C2:C3168,AutoClaim_Data!B2:B3168,"Train",AutoClaim_Data!D2:D3168,"&lt;="&amp;$B$2),AVERAGEIFS(AutoClaim_Data!C2:C3168,AutoClaim_Data!B2:B3168,"Train",AutoClaim_Data!D2:D3168,"&gt;"&amp;$B$2))</f>
        <v/>
      </c>
      <c r="H297">
        <f>IF(AutoClaim_Data!D297&lt;=$B$2,IF(AutoClaim_Data!E297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">
        <f>(F297-H297)^2</f>
        <v/>
      </c>
      <c r="J297">
        <f>--(E297="Validation")</f>
        <v/>
      </c>
    </row>
    <row r="298">
      <c r="D298">
        <f>AutoClaim_Data!A298</f>
        <v/>
      </c>
      <c r="E298">
        <f>AutoClaim_Data!B298</f>
        <v/>
      </c>
      <c r="F298">
        <f>AutoClaim_Data!C298</f>
        <v/>
      </c>
      <c r="G298">
        <f>IF(AutoClaim_Data!D298&lt;=$B$2,AVERAGEIFS(AutoClaim_Data!C2:C3168,AutoClaim_Data!B2:B3168,"Train",AutoClaim_Data!D2:D3168,"&lt;="&amp;$B$2),AVERAGEIFS(AutoClaim_Data!C2:C3168,AutoClaim_Data!B2:B3168,"Train",AutoClaim_Data!D2:D3168,"&gt;"&amp;$B$2))</f>
        <v/>
      </c>
      <c r="H298">
        <f>IF(AutoClaim_Data!D298&lt;=$B$2,IF(AutoClaim_Data!E298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">
        <f>(F298-H298)^2</f>
        <v/>
      </c>
      <c r="J298">
        <f>--(E298="Validation")</f>
        <v/>
      </c>
    </row>
    <row r="299">
      <c r="D299">
        <f>AutoClaim_Data!A299</f>
        <v/>
      </c>
      <c r="E299">
        <f>AutoClaim_Data!B299</f>
        <v/>
      </c>
      <c r="F299">
        <f>AutoClaim_Data!C299</f>
        <v/>
      </c>
      <c r="G299">
        <f>IF(AutoClaim_Data!D299&lt;=$B$2,AVERAGEIFS(AutoClaim_Data!C2:C3168,AutoClaim_Data!B2:B3168,"Train",AutoClaim_Data!D2:D3168,"&lt;="&amp;$B$2),AVERAGEIFS(AutoClaim_Data!C2:C3168,AutoClaim_Data!B2:B3168,"Train",AutoClaim_Data!D2:D3168,"&gt;"&amp;$B$2))</f>
        <v/>
      </c>
      <c r="H299">
        <f>IF(AutoClaim_Data!D299&lt;=$B$2,IF(AutoClaim_Data!E299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">
        <f>(F299-H299)^2</f>
        <v/>
      </c>
      <c r="J299">
        <f>--(E299="Validation")</f>
        <v/>
      </c>
    </row>
    <row r="300">
      <c r="D300">
        <f>AutoClaim_Data!A300</f>
        <v/>
      </c>
      <c r="E300">
        <f>AutoClaim_Data!B300</f>
        <v/>
      </c>
      <c r="F300">
        <f>AutoClaim_Data!C300</f>
        <v/>
      </c>
      <c r="G300">
        <f>IF(AutoClaim_Data!D300&lt;=$B$2,AVERAGEIFS(AutoClaim_Data!C2:C3168,AutoClaim_Data!B2:B3168,"Train",AutoClaim_Data!D2:D3168,"&lt;="&amp;$B$2),AVERAGEIFS(AutoClaim_Data!C2:C3168,AutoClaim_Data!B2:B3168,"Train",AutoClaim_Data!D2:D3168,"&gt;"&amp;$B$2))</f>
        <v/>
      </c>
      <c r="H300">
        <f>IF(AutoClaim_Data!D300&lt;=$B$2,IF(AutoClaim_Data!E300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">
        <f>(F300-H300)^2</f>
        <v/>
      </c>
      <c r="J300">
        <f>--(E300="Validation")</f>
        <v/>
      </c>
    </row>
    <row r="301">
      <c r="D301">
        <f>AutoClaim_Data!A301</f>
        <v/>
      </c>
      <c r="E301">
        <f>AutoClaim_Data!B301</f>
        <v/>
      </c>
      <c r="F301">
        <f>AutoClaim_Data!C301</f>
        <v/>
      </c>
      <c r="G301">
        <f>IF(AutoClaim_Data!D301&lt;=$B$2,AVERAGEIFS(AutoClaim_Data!C2:C3168,AutoClaim_Data!B2:B3168,"Train",AutoClaim_Data!D2:D3168,"&lt;="&amp;$B$2),AVERAGEIFS(AutoClaim_Data!C2:C3168,AutoClaim_Data!B2:B3168,"Train",AutoClaim_Data!D2:D3168,"&gt;"&amp;$B$2))</f>
        <v/>
      </c>
      <c r="H301">
        <f>IF(AutoClaim_Data!D301&lt;=$B$2,IF(AutoClaim_Data!E301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">
        <f>(F301-H301)^2</f>
        <v/>
      </c>
      <c r="J301">
        <f>--(E301="Validation")</f>
        <v/>
      </c>
    </row>
    <row r="302">
      <c r="D302">
        <f>AutoClaim_Data!A302</f>
        <v/>
      </c>
      <c r="E302">
        <f>AutoClaim_Data!B302</f>
        <v/>
      </c>
      <c r="F302">
        <f>AutoClaim_Data!C302</f>
        <v/>
      </c>
      <c r="G302">
        <f>IF(AutoClaim_Data!D302&lt;=$B$2,AVERAGEIFS(AutoClaim_Data!C2:C3168,AutoClaim_Data!B2:B3168,"Train",AutoClaim_Data!D2:D3168,"&lt;="&amp;$B$2),AVERAGEIFS(AutoClaim_Data!C2:C3168,AutoClaim_Data!B2:B3168,"Train",AutoClaim_Data!D2:D3168,"&gt;"&amp;$B$2))</f>
        <v/>
      </c>
      <c r="H302">
        <f>IF(AutoClaim_Data!D302&lt;=$B$2,IF(AutoClaim_Data!E302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">
        <f>(F302-H302)^2</f>
        <v/>
      </c>
      <c r="J302">
        <f>--(E302="Validation")</f>
        <v/>
      </c>
    </row>
    <row r="303">
      <c r="D303">
        <f>AutoClaim_Data!A303</f>
        <v/>
      </c>
      <c r="E303">
        <f>AutoClaim_Data!B303</f>
        <v/>
      </c>
      <c r="F303">
        <f>AutoClaim_Data!C303</f>
        <v/>
      </c>
      <c r="G303">
        <f>IF(AutoClaim_Data!D303&lt;=$B$2,AVERAGEIFS(AutoClaim_Data!C2:C3168,AutoClaim_Data!B2:B3168,"Train",AutoClaim_Data!D2:D3168,"&lt;="&amp;$B$2),AVERAGEIFS(AutoClaim_Data!C2:C3168,AutoClaim_Data!B2:B3168,"Train",AutoClaim_Data!D2:D3168,"&gt;"&amp;$B$2))</f>
        <v/>
      </c>
      <c r="H303">
        <f>IF(AutoClaim_Data!D303&lt;=$B$2,IF(AutoClaim_Data!E303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">
        <f>(F303-H303)^2</f>
        <v/>
      </c>
      <c r="J303">
        <f>--(E303="Validation")</f>
        <v/>
      </c>
    </row>
    <row r="304">
      <c r="D304">
        <f>AutoClaim_Data!A304</f>
        <v/>
      </c>
      <c r="E304">
        <f>AutoClaim_Data!B304</f>
        <v/>
      </c>
      <c r="F304">
        <f>AutoClaim_Data!C304</f>
        <v/>
      </c>
      <c r="G304">
        <f>IF(AutoClaim_Data!D304&lt;=$B$2,AVERAGEIFS(AutoClaim_Data!C2:C3168,AutoClaim_Data!B2:B3168,"Train",AutoClaim_Data!D2:D3168,"&lt;="&amp;$B$2),AVERAGEIFS(AutoClaim_Data!C2:C3168,AutoClaim_Data!B2:B3168,"Train",AutoClaim_Data!D2:D3168,"&gt;"&amp;$B$2))</f>
        <v/>
      </c>
      <c r="H304">
        <f>IF(AutoClaim_Data!D304&lt;=$B$2,IF(AutoClaim_Data!E304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">
        <f>(F304-H304)^2</f>
        <v/>
      </c>
      <c r="J304">
        <f>--(E304="Validation")</f>
        <v/>
      </c>
    </row>
    <row r="305">
      <c r="D305">
        <f>AutoClaim_Data!A305</f>
        <v/>
      </c>
      <c r="E305">
        <f>AutoClaim_Data!B305</f>
        <v/>
      </c>
      <c r="F305">
        <f>AutoClaim_Data!C305</f>
        <v/>
      </c>
      <c r="G305">
        <f>IF(AutoClaim_Data!D305&lt;=$B$2,AVERAGEIFS(AutoClaim_Data!C2:C3168,AutoClaim_Data!B2:B3168,"Train",AutoClaim_Data!D2:D3168,"&lt;="&amp;$B$2),AVERAGEIFS(AutoClaim_Data!C2:C3168,AutoClaim_Data!B2:B3168,"Train",AutoClaim_Data!D2:D3168,"&gt;"&amp;$B$2))</f>
        <v/>
      </c>
      <c r="H305">
        <f>IF(AutoClaim_Data!D305&lt;=$B$2,IF(AutoClaim_Data!E305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">
        <f>(F305-H305)^2</f>
        <v/>
      </c>
      <c r="J305">
        <f>--(E305="Validation")</f>
        <v/>
      </c>
    </row>
    <row r="306">
      <c r="D306">
        <f>AutoClaim_Data!A306</f>
        <v/>
      </c>
      <c r="E306">
        <f>AutoClaim_Data!B306</f>
        <v/>
      </c>
      <c r="F306">
        <f>AutoClaim_Data!C306</f>
        <v/>
      </c>
      <c r="G306">
        <f>IF(AutoClaim_Data!D306&lt;=$B$2,AVERAGEIFS(AutoClaim_Data!C2:C3168,AutoClaim_Data!B2:B3168,"Train",AutoClaim_Data!D2:D3168,"&lt;="&amp;$B$2),AVERAGEIFS(AutoClaim_Data!C2:C3168,AutoClaim_Data!B2:B3168,"Train",AutoClaim_Data!D2:D3168,"&gt;"&amp;$B$2))</f>
        <v/>
      </c>
      <c r="H306">
        <f>IF(AutoClaim_Data!D306&lt;=$B$2,IF(AutoClaim_Data!E306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">
        <f>(F306-H306)^2</f>
        <v/>
      </c>
      <c r="J306">
        <f>--(E306="Validation")</f>
        <v/>
      </c>
    </row>
    <row r="307">
      <c r="D307">
        <f>AutoClaim_Data!A307</f>
        <v/>
      </c>
      <c r="E307">
        <f>AutoClaim_Data!B307</f>
        <v/>
      </c>
      <c r="F307">
        <f>AutoClaim_Data!C307</f>
        <v/>
      </c>
      <c r="G307">
        <f>IF(AutoClaim_Data!D307&lt;=$B$2,AVERAGEIFS(AutoClaim_Data!C2:C3168,AutoClaim_Data!B2:B3168,"Train",AutoClaim_Data!D2:D3168,"&lt;="&amp;$B$2),AVERAGEIFS(AutoClaim_Data!C2:C3168,AutoClaim_Data!B2:B3168,"Train",AutoClaim_Data!D2:D3168,"&gt;"&amp;$B$2))</f>
        <v/>
      </c>
      <c r="H307">
        <f>IF(AutoClaim_Data!D307&lt;=$B$2,IF(AutoClaim_Data!E307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">
        <f>(F307-H307)^2</f>
        <v/>
      </c>
      <c r="J307">
        <f>--(E307="Validation")</f>
        <v/>
      </c>
    </row>
    <row r="308">
      <c r="D308">
        <f>AutoClaim_Data!A308</f>
        <v/>
      </c>
      <c r="E308">
        <f>AutoClaim_Data!B308</f>
        <v/>
      </c>
      <c r="F308">
        <f>AutoClaim_Data!C308</f>
        <v/>
      </c>
      <c r="G308">
        <f>IF(AutoClaim_Data!D308&lt;=$B$2,AVERAGEIFS(AutoClaim_Data!C2:C3168,AutoClaim_Data!B2:B3168,"Train",AutoClaim_Data!D2:D3168,"&lt;="&amp;$B$2),AVERAGEIFS(AutoClaim_Data!C2:C3168,AutoClaim_Data!B2:B3168,"Train",AutoClaim_Data!D2:D3168,"&gt;"&amp;$B$2))</f>
        <v/>
      </c>
      <c r="H308">
        <f>IF(AutoClaim_Data!D308&lt;=$B$2,IF(AutoClaim_Data!E308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">
        <f>(F308-H308)^2</f>
        <v/>
      </c>
      <c r="J308">
        <f>--(E308="Validation")</f>
        <v/>
      </c>
    </row>
    <row r="309">
      <c r="D309">
        <f>AutoClaim_Data!A309</f>
        <v/>
      </c>
      <c r="E309">
        <f>AutoClaim_Data!B309</f>
        <v/>
      </c>
      <c r="F309">
        <f>AutoClaim_Data!C309</f>
        <v/>
      </c>
      <c r="G309">
        <f>IF(AutoClaim_Data!D309&lt;=$B$2,AVERAGEIFS(AutoClaim_Data!C2:C3168,AutoClaim_Data!B2:B3168,"Train",AutoClaim_Data!D2:D3168,"&lt;="&amp;$B$2),AVERAGEIFS(AutoClaim_Data!C2:C3168,AutoClaim_Data!B2:B3168,"Train",AutoClaim_Data!D2:D3168,"&gt;"&amp;$B$2))</f>
        <v/>
      </c>
      <c r="H309">
        <f>IF(AutoClaim_Data!D309&lt;=$B$2,IF(AutoClaim_Data!E309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">
        <f>(F309-H309)^2</f>
        <v/>
      </c>
      <c r="J309">
        <f>--(E309="Validation")</f>
        <v/>
      </c>
    </row>
    <row r="310">
      <c r="D310">
        <f>AutoClaim_Data!A310</f>
        <v/>
      </c>
      <c r="E310">
        <f>AutoClaim_Data!B310</f>
        <v/>
      </c>
      <c r="F310">
        <f>AutoClaim_Data!C310</f>
        <v/>
      </c>
      <c r="G310">
        <f>IF(AutoClaim_Data!D310&lt;=$B$2,AVERAGEIFS(AutoClaim_Data!C2:C3168,AutoClaim_Data!B2:B3168,"Train",AutoClaim_Data!D2:D3168,"&lt;="&amp;$B$2),AVERAGEIFS(AutoClaim_Data!C2:C3168,AutoClaim_Data!B2:B3168,"Train",AutoClaim_Data!D2:D3168,"&gt;"&amp;$B$2))</f>
        <v/>
      </c>
      <c r="H310">
        <f>IF(AutoClaim_Data!D310&lt;=$B$2,IF(AutoClaim_Data!E310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">
        <f>(F310-H310)^2</f>
        <v/>
      </c>
      <c r="J310">
        <f>--(E310="Validation")</f>
        <v/>
      </c>
    </row>
    <row r="311">
      <c r="D311">
        <f>AutoClaim_Data!A311</f>
        <v/>
      </c>
      <c r="E311">
        <f>AutoClaim_Data!B311</f>
        <v/>
      </c>
      <c r="F311">
        <f>AutoClaim_Data!C311</f>
        <v/>
      </c>
      <c r="G311">
        <f>IF(AutoClaim_Data!D311&lt;=$B$2,AVERAGEIFS(AutoClaim_Data!C2:C3168,AutoClaim_Data!B2:B3168,"Train",AutoClaim_Data!D2:D3168,"&lt;="&amp;$B$2),AVERAGEIFS(AutoClaim_Data!C2:C3168,AutoClaim_Data!B2:B3168,"Train",AutoClaim_Data!D2:D3168,"&gt;"&amp;$B$2))</f>
        <v/>
      </c>
      <c r="H311">
        <f>IF(AutoClaim_Data!D311&lt;=$B$2,IF(AutoClaim_Data!E311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">
        <f>(F311-H311)^2</f>
        <v/>
      </c>
      <c r="J311">
        <f>--(E311="Validation")</f>
        <v/>
      </c>
    </row>
    <row r="312">
      <c r="D312">
        <f>AutoClaim_Data!A312</f>
        <v/>
      </c>
      <c r="E312">
        <f>AutoClaim_Data!B312</f>
        <v/>
      </c>
      <c r="F312">
        <f>AutoClaim_Data!C312</f>
        <v/>
      </c>
      <c r="G312">
        <f>IF(AutoClaim_Data!D312&lt;=$B$2,AVERAGEIFS(AutoClaim_Data!C2:C3168,AutoClaim_Data!B2:B3168,"Train",AutoClaim_Data!D2:D3168,"&lt;="&amp;$B$2),AVERAGEIFS(AutoClaim_Data!C2:C3168,AutoClaim_Data!B2:B3168,"Train",AutoClaim_Data!D2:D3168,"&gt;"&amp;$B$2))</f>
        <v/>
      </c>
      <c r="H312">
        <f>IF(AutoClaim_Data!D312&lt;=$B$2,IF(AutoClaim_Data!E312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">
        <f>(F312-H312)^2</f>
        <v/>
      </c>
      <c r="J312">
        <f>--(E312="Validation")</f>
        <v/>
      </c>
    </row>
    <row r="313">
      <c r="D313">
        <f>AutoClaim_Data!A313</f>
        <v/>
      </c>
      <c r="E313">
        <f>AutoClaim_Data!B313</f>
        <v/>
      </c>
      <c r="F313">
        <f>AutoClaim_Data!C313</f>
        <v/>
      </c>
      <c r="G313">
        <f>IF(AutoClaim_Data!D313&lt;=$B$2,AVERAGEIFS(AutoClaim_Data!C2:C3168,AutoClaim_Data!B2:B3168,"Train",AutoClaim_Data!D2:D3168,"&lt;="&amp;$B$2),AVERAGEIFS(AutoClaim_Data!C2:C3168,AutoClaim_Data!B2:B3168,"Train",AutoClaim_Data!D2:D3168,"&gt;"&amp;$B$2))</f>
        <v/>
      </c>
      <c r="H313">
        <f>IF(AutoClaim_Data!D313&lt;=$B$2,IF(AutoClaim_Data!E313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">
        <f>(F313-H313)^2</f>
        <v/>
      </c>
      <c r="J313">
        <f>--(E313="Validation")</f>
        <v/>
      </c>
    </row>
    <row r="314">
      <c r="D314">
        <f>AutoClaim_Data!A314</f>
        <v/>
      </c>
      <c r="E314">
        <f>AutoClaim_Data!B314</f>
        <v/>
      </c>
      <c r="F314">
        <f>AutoClaim_Data!C314</f>
        <v/>
      </c>
      <c r="G314">
        <f>IF(AutoClaim_Data!D314&lt;=$B$2,AVERAGEIFS(AutoClaim_Data!C2:C3168,AutoClaim_Data!B2:B3168,"Train",AutoClaim_Data!D2:D3168,"&lt;="&amp;$B$2),AVERAGEIFS(AutoClaim_Data!C2:C3168,AutoClaim_Data!B2:B3168,"Train",AutoClaim_Data!D2:D3168,"&gt;"&amp;$B$2))</f>
        <v/>
      </c>
      <c r="H314">
        <f>IF(AutoClaim_Data!D314&lt;=$B$2,IF(AutoClaim_Data!E314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">
        <f>(F314-H314)^2</f>
        <v/>
      </c>
      <c r="J314">
        <f>--(E314="Validation")</f>
        <v/>
      </c>
    </row>
    <row r="315">
      <c r="D315">
        <f>AutoClaim_Data!A315</f>
        <v/>
      </c>
      <c r="E315">
        <f>AutoClaim_Data!B315</f>
        <v/>
      </c>
      <c r="F315">
        <f>AutoClaim_Data!C315</f>
        <v/>
      </c>
      <c r="G315">
        <f>IF(AutoClaim_Data!D315&lt;=$B$2,AVERAGEIFS(AutoClaim_Data!C2:C3168,AutoClaim_Data!B2:B3168,"Train",AutoClaim_Data!D2:D3168,"&lt;="&amp;$B$2),AVERAGEIFS(AutoClaim_Data!C2:C3168,AutoClaim_Data!B2:B3168,"Train",AutoClaim_Data!D2:D3168,"&gt;"&amp;$B$2))</f>
        <v/>
      </c>
      <c r="H315">
        <f>IF(AutoClaim_Data!D315&lt;=$B$2,IF(AutoClaim_Data!E315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">
        <f>(F315-H315)^2</f>
        <v/>
      </c>
      <c r="J315">
        <f>--(E315="Validation")</f>
        <v/>
      </c>
    </row>
    <row r="316">
      <c r="D316">
        <f>AutoClaim_Data!A316</f>
        <v/>
      </c>
      <c r="E316">
        <f>AutoClaim_Data!B316</f>
        <v/>
      </c>
      <c r="F316">
        <f>AutoClaim_Data!C316</f>
        <v/>
      </c>
      <c r="G316">
        <f>IF(AutoClaim_Data!D316&lt;=$B$2,AVERAGEIFS(AutoClaim_Data!C2:C3168,AutoClaim_Data!B2:B3168,"Train",AutoClaim_Data!D2:D3168,"&lt;="&amp;$B$2),AVERAGEIFS(AutoClaim_Data!C2:C3168,AutoClaim_Data!B2:B3168,"Train",AutoClaim_Data!D2:D3168,"&gt;"&amp;$B$2))</f>
        <v/>
      </c>
      <c r="H316">
        <f>IF(AutoClaim_Data!D316&lt;=$B$2,IF(AutoClaim_Data!E316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">
        <f>(F316-H316)^2</f>
        <v/>
      </c>
      <c r="J316">
        <f>--(E316="Validation")</f>
        <v/>
      </c>
    </row>
    <row r="317">
      <c r="D317">
        <f>AutoClaim_Data!A317</f>
        <v/>
      </c>
      <c r="E317">
        <f>AutoClaim_Data!B317</f>
        <v/>
      </c>
      <c r="F317">
        <f>AutoClaim_Data!C317</f>
        <v/>
      </c>
      <c r="G317">
        <f>IF(AutoClaim_Data!D317&lt;=$B$2,AVERAGEIFS(AutoClaim_Data!C2:C3168,AutoClaim_Data!B2:B3168,"Train",AutoClaim_Data!D2:D3168,"&lt;="&amp;$B$2),AVERAGEIFS(AutoClaim_Data!C2:C3168,AutoClaim_Data!B2:B3168,"Train",AutoClaim_Data!D2:D3168,"&gt;"&amp;$B$2))</f>
        <v/>
      </c>
      <c r="H317">
        <f>IF(AutoClaim_Data!D317&lt;=$B$2,IF(AutoClaim_Data!E317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7">
        <f>(F317-H317)^2</f>
        <v/>
      </c>
      <c r="J317">
        <f>--(E317="Validation")</f>
        <v/>
      </c>
    </row>
    <row r="318">
      <c r="D318">
        <f>AutoClaim_Data!A318</f>
        <v/>
      </c>
      <c r="E318">
        <f>AutoClaim_Data!B318</f>
        <v/>
      </c>
      <c r="F318">
        <f>AutoClaim_Data!C318</f>
        <v/>
      </c>
      <c r="G318">
        <f>IF(AutoClaim_Data!D318&lt;=$B$2,AVERAGEIFS(AutoClaim_Data!C2:C3168,AutoClaim_Data!B2:B3168,"Train",AutoClaim_Data!D2:D3168,"&lt;="&amp;$B$2),AVERAGEIFS(AutoClaim_Data!C2:C3168,AutoClaim_Data!B2:B3168,"Train",AutoClaim_Data!D2:D3168,"&gt;"&amp;$B$2))</f>
        <v/>
      </c>
      <c r="H318">
        <f>IF(AutoClaim_Data!D318&lt;=$B$2,IF(AutoClaim_Data!E318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8">
        <f>(F318-H318)^2</f>
        <v/>
      </c>
      <c r="J318">
        <f>--(E318="Validation")</f>
        <v/>
      </c>
    </row>
    <row r="319">
      <c r="D319">
        <f>AutoClaim_Data!A319</f>
        <v/>
      </c>
      <c r="E319">
        <f>AutoClaim_Data!B319</f>
        <v/>
      </c>
      <c r="F319">
        <f>AutoClaim_Data!C319</f>
        <v/>
      </c>
      <c r="G319">
        <f>IF(AutoClaim_Data!D319&lt;=$B$2,AVERAGEIFS(AutoClaim_Data!C2:C3168,AutoClaim_Data!B2:B3168,"Train",AutoClaim_Data!D2:D3168,"&lt;="&amp;$B$2),AVERAGEIFS(AutoClaim_Data!C2:C3168,AutoClaim_Data!B2:B3168,"Train",AutoClaim_Data!D2:D3168,"&gt;"&amp;$B$2))</f>
        <v/>
      </c>
      <c r="H319">
        <f>IF(AutoClaim_Data!D319&lt;=$B$2,IF(AutoClaim_Data!E319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9">
        <f>(F319-H319)^2</f>
        <v/>
      </c>
      <c r="J319">
        <f>--(E319="Validation")</f>
        <v/>
      </c>
    </row>
    <row r="320">
      <c r="D320">
        <f>AutoClaim_Data!A320</f>
        <v/>
      </c>
      <c r="E320">
        <f>AutoClaim_Data!B320</f>
        <v/>
      </c>
      <c r="F320">
        <f>AutoClaim_Data!C320</f>
        <v/>
      </c>
      <c r="G320">
        <f>IF(AutoClaim_Data!D320&lt;=$B$2,AVERAGEIFS(AutoClaim_Data!C2:C3168,AutoClaim_Data!B2:B3168,"Train",AutoClaim_Data!D2:D3168,"&lt;="&amp;$B$2),AVERAGEIFS(AutoClaim_Data!C2:C3168,AutoClaim_Data!B2:B3168,"Train",AutoClaim_Data!D2:D3168,"&gt;"&amp;$B$2))</f>
        <v/>
      </c>
      <c r="H320">
        <f>IF(AutoClaim_Data!D320&lt;=$B$2,IF(AutoClaim_Data!E320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0">
        <f>(F320-H320)^2</f>
        <v/>
      </c>
      <c r="J320">
        <f>--(E320="Validation")</f>
        <v/>
      </c>
    </row>
    <row r="321">
      <c r="D321">
        <f>AutoClaim_Data!A321</f>
        <v/>
      </c>
      <c r="E321">
        <f>AutoClaim_Data!B321</f>
        <v/>
      </c>
      <c r="F321">
        <f>AutoClaim_Data!C321</f>
        <v/>
      </c>
      <c r="G321">
        <f>IF(AutoClaim_Data!D321&lt;=$B$2,AVERAGEIFS(AutoClaim_Data!C2:C3168,AutoClaim_Data!B2:B3168,"Train",AutoClaim_Data!D2:D3168,"&lt;="&amp;$B$2),AVERAGEIFS(AutoClaim_Data!C2:C3168,AutoClaim_Data!B2:B3168,"Train",AutoClaim_Data!D2:D3168,"&gt;"&amp;$B$2))</f>
        <v/>
      </c>
      <c r="H321">
        <f>IF(AutoClaim_Data!D321&lt;=$B$2,IF(AutoClaim_Data!E321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1">
        <f>(F321-H321)^2</f>
        <v/>
      </c>
      <c r="J321">
        <f>--(E321="Validation")</f>
        <v/>
      </c>
    </row>
    <row r="322">
      <c r="D322">
        <f>AutoClaim_Data!A322</f>
        <v/>
      </c>
      <c r="E322">
        <f>AutoClaim_Data!B322</f>
        <v/>
      </c>
      <c r="F322">
        <f>AutoClaim_Data!C322</f>
        <v/>
      </c>
      <c r="G322">
        <f>IF(AutoClaim_Data!D322&lt;=$B$2,AVERAGEIFS(AutoClaim_Data!C2:C3168,AutoClaim_Data!B2:B3168,"Train",AutoClaim_Data!D2:D3168,"&lt;="&amp;$B$2),AVERAGEIFS(AutoClaim_Data!C2:C3168,AutoClaim_Data!B2:B3168,"Train",AutoClaim_Data!D2:D3168,"&gt;"&amp;$B$2))</f>
        <v/>
      </c>
      <c r="H322">
        <f>IF(AutoClaim_Data!D322&lt;=$B$2,IF(AutoClaim_Data!E322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2">
        <f>(F322-H322)^2</f>
        <v/>
      </c>
      <c r="J322">
        <f>--(E322="Validation")</f>
        <v/>
      </c>
    </row>
    <row r="323">
      <c r="D323">
        <f>AutoClaim_Data!A323</f>
        <v/>
      </c>
      <c r="E323">
        <f>AutoClaim_Data!B323</f>
        <v/>
      </c>
      <c r="F323">
        <f>AutoClaim_Data!C323</f>
        <v/>
      </c>
      <c r="G323">
        <f>IF(AutoClaim_Data!D323&lt;=$B$2,AVERAGEIFS(AutoClaim_Data!C2:C3168,AutoClaim_Data!B2:B3168,"Train",AutoClaim_Data!D2:D3168,"&lt;="&amp;$B$2),AVERAGEIFS(AutoClaim_Data!C2:C3168,AutoClaim_Data!B2:B3168,"Train",AutoClaim_Data!D2:D3168,"&gt;"&amp;$B$2))</f>
        <v/>
      </c>
      <c r="H323">
        <f>IF(AutoClaim_Data!D323&lt;=$B$2,IF(AutoClaim_Data!E323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3">
        <f>(F323-H323)^2</f>
        <v/>
      </c>
      <c r="J323">
        <f>--(E323="Validation")</f>
        <v/>
      </c>
    </row>
    <row r="324">
      <c r="D324">
        <f>AutoClaim_Data!A324</f>
        <v/>
      </c>
      <c r="E324">
        <f>AutoClaim_Data!B324</f>
        <v/>
      </c>
      <c r="F324">
        <f>AutoClaim_Data!C324</f>
        <v/>
      </c>
      <c r="G324">
        <f>IF(AutoClaim_Data!D324&lt;=$B$2,AVERAGEIFS(AutoClaim_Data!C2:C3168,AutoClaim_Data!B2:B3168,"Train",AutoClaim_Data!D2:D3168,"&lt;="&amp;$B$2),AVERAGEIFS(AutoClaim_Data!C2:C3168,AutoClaim_Data!B2:B3168,"Train",AutoClaim_Data!D2:D3168,"&gt;"&amp;$B$2))</f>
        <v/>
      </c>
      <c r="H324">
        <f>IF(AutoClaim_Data!D324&lt;=$B$2,IF(AutoClaim_Data!E324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4">
        <f>(F324-H324)^2</f>
        <v/>
      </c>
      <c r="J324">
        <f>--(E324="Validation")</f>
        <v/>
      </c>
    </row>
    <row r="325">
      <c r="D325">
        <f>AutoClaim_Data!A325</f>
        <v/>
      </c>
      <c r="E325">
        <f>AutoClaim_Data!B325</f>
        <v/>
      </c>
      <c r="F325">
        <f>AutoClaim_Data!C325</f>
        <v/>
      </c>
      <c r="G325">
        <f>IF(AutoClaim_Data!D325&lt;=$B$2,AVERAGEIFS(AutoClaim_Data!C2:C3168,AutoClaim_Data!B2:B3168,"Train",AutoClaim_Data!D2:D3168,"&lt;="&amp;$B$2),AVERAGEIFS(AutoClaim_Data!C2:C3168,AutoClaim_Data!B2:B3168,"Train",AutoClaim_Data!D2:D3168,"&gt;"&amp;$B$2))</f>
        <v/>
      </c>
      <c r="H325">
        <f>IF(AutoClaim_Data!D325&lt;=$B$2,IF(AutoClaim_Data!E325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5">
        <f>(F325-H325)^2</f>
        <v/>
      </c>
      <c r="J325">
        <f>--(E325="Validation")</f>
        <v/>
      </c>
    </row>
    <row r="326">
      <c r="D326">
        <f>AutoClaim_Data!A326</f>
        <v/>
      </c>
      <c r="E326">
        <f>AutoClaim_Data!B326</f>
        <v/>
      </c>
      <c r="F326">
        <f>AutoClaim_Data!C326</f>
        <v/>
      </c>
      <c r="G326">
        <f>IF(AutoClaim_Data!D326&lt;=$B$2,AVERAGEIFS(AutoClaim_Data!C2:C3168,AutoClaim_Data!B2:B3168,"Train",AutoClaim_Data!D2:D3168,"&lt;="&amp;$B$2),AVERAGEIFS(AutoClaim_Data!C2:C3168,AutoClaim_Data!B2:B3168,"Train",AutoClaim_Data!D2:D3168,"&gt;"&amp;$B$2))</f>
        <v/>
      </c>
      <c r="H326">
        <f>IF(AutoClaim_Data!D326&lt;=$B$2,IF(AutoClaim_Data!E326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6">
        <f>(F326-H326)^2</f>
        <v/>
      </c>
      <c r="J326">
        <f>--(E326="Validation")</f>
        <v/>
      </c>
    </row>
    <row r="327">
      <c r="D327">
        <f>AutoClaim_Data!A327</f>
        <v/>
      </c>
      <c r="E327">
        <f>AutoClaim_Data!B327</f>
        <v/>
      </c>
      <c r="F327">
        <f>AutoClaim_Data!C327</f>
        <v/>
      </c>
      <c r="G327">
        <f>IF(AutoClaim_Data!D327&lt;=$B$2,AVERAGEIFS(AutoClaim_Data!C2:C3168,AutoClaim_Data!B2:B3168,"Train",AutoClaim_Data!D2:D3168,"&lt;="&amp;$B$2),AVERAGEIFS(AutoClaim_Data!C2:C3168,AutoClaim_Data!B2:B3168,"Train",AutoClaim_Data!D2:D3168,"&gt;"&amp;$B$2))</f>
        <v/>
      </c>
      <c r="H327">
        <f>IF(AutoClaim_Data!D327&lt;=$B$2,IF(AutoClaim_Data!E327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7">
        <f>(F327-H327)^2</f>
        <v/>
      </c>
      <c r="J327">
        <f>--(E327="Validation")</f>
        <v/>
      </c>
    </row>
    <row r="328">
      <c r="D328">
        <f>AutoClaim_Data!A328</f>
        <v/>
      </c>
      <c r="E328">
        <f>AutoClaim_Data!B328</f>
        <v/>
      </c>
      <c r="F328">
        <f>AutoClaim_Data!C328</f>
        <v/>
      </c>
      <c r="G328">
        <f>IF(AutoClaim_Data!D328&lt;=$B$2,AVERAGEIFS(AutoClaim_Data!C2:C3168,AutoClaim_Data!B2:B3168,"Train",AutoClaim_Data!D2:D3168,"&lt;="&amp;$B$2),AVERAGEIFS(AutoClaim_Data!C2:C3168,AutoClaim_Data!B2:B3168,"Train",AutoClaim_Data!D2:D3168,"&gt;"&amp;$B$2))</f>
        <v/>
      </c>
      <c r="H328">
        <f>IF(AutoClaim_Data!D328&lt;=$B$2,IF(AutoClaim_Data!E328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8">
        <f>(F328-H328)^2</f>
        <v/>
      </c>
      <c r="J328">
        <f>--(E328="Validation")</f>
        <v/>
      </c>
    </row>
    <row r="329">
      <c r="D329">
        <f>AutoClaim_Data!A329</f>
        <v/>
      </c>
      <c r="E329">
        <f>AutoClaim_Data!B329</f>
        <v/>
      </c>
      <c r="F329">
        <f>AutoClaim_Data!C329</f>
        <v/>
      </c>
      <c r="G329">
        <f>IF(AutoClaim_Data!D329&lt;=$B$2,AVERAGEIFS(AutoClaim_Data!C2:C3168,AutoClaim_Data!B2:B3168,"Train",AutoClaim_Data!D2:D3168,"&lt;="&amp;$B$2),AVERAGEIFS(AutoClaim_Data!C2:C3168,AutoClaim_Data!B2:B3168,"Train",AutoClaim_Data!D2:D3168,"&gt;"&amp;$B$2))</f>
        <v/>
      </c>
      <c r="H329">
        <f>IF(AutoClaim_Data!D329&lt;=$B$2,IF(AutoClaim_Data!E329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29">
        <f>(F329-H329)^2</f>
        <v/>
      </c>
      <c r="J329">
        <f>--(E329="Validation")</f>
        <v/>
      </c>
    </row>
    <row r="330">
      <c r="D330">
        <f>AutoClaim_Data!A330</f>
        <v/>
      </c>
      <c r="E330">
        <f>AutoClaim_Data!B330</f>
        <v/>
      </c>
      <c r="F330">
        <f>AutoClaim_Data!C330</f>
        <v/>
      </c>
      <c r="G330">
        <f>IF(AutoClaim_Data!D330&lt;=$B$2,AVERAGEIFS(AutoClaim_Data!C2:C3168,AutoClaim_Data!B2:B3168,"Train",AutoClaim_Data!D2:D3168,"&lt;="&amp;$B$2),AVERAGEIFS(AutoClaim_Data!C2:C3168,AutoClaim_Data!B2:B3168,"Train",AutoClaim_Data!D2:D3168,"&gt;"&amp;$B$2))</f>
        <v/>
      </c>
      <c r="H330">
        <f>IF(AutoClaim_Data!D330&lt;=$B$2,IF(AutoClaim_Data!E330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0">
        <f>(F330-H330)^2</f>
        <v/>
      </c>
      <c r="J330">
        <f>--(E330="Validation")</f>
        <v/>
      </c>
    </row>
    <row r="331">
      <c r="D331">
        <f>AutoClaim_Data!A331</f>
        <v/>
      </c>
      <c r="E331">
        <f>AutoClaim_Data!B331</f>
        <v/>
      </c>
      <c r="F331">
        <f>AutoClaim_Data!C331</f>
        <v/>
      </c>
      <c r="G331">
        <f>IF(AutoClaim_Data!D331&lt;=$B$2,AVERAGEIFS(AutoClaim_Data!C2:C3168,AutoClaim_Data!B2:B3168,"Train",AutoClaim_Data!D2:D3168,"&lt;="&amp;$B$2),AVERAGEIFS(AutoClaim_Data!C2:C3168,AutoClaim_Data!B2:B3168,"Train",AutoClaim_Data!D2:D3168,"&gt;"&amp;$B$2))</f>
        <v/>
      </c>
      <c r="H331">
        <f>IF(AutoClaim_Data!D331&lt;=$B$2,IF(AutoClaim_Data!E331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1">
        <f>(F331-H331)^2</f>
        <v/>
      </c>
      <c r="J331">
        <f>--(E331="Validation")</f>
        <v/>
      </c>
    </row>
    <row r="332">
      <c r="D332">
        <f>AutoClaim_Data!A332</f>
        <v/>
      </c>
      <c r="E332">
        <f>AutoClaim_Data!B332</f>
        <v/>
      </c>
      <c r="F332">
        <f>AutoClaim_Data!C332</f>
        <v/>
      </c>
      <c r="G332">
        <f>IF(AutoClaim_Data!D332&lt;=$B$2,AVERAGEIFS(AutoClaim_Data!C2:C3168,AutoClaim_Data!B2:B3168,"Train",AutoClaim_Data!D2:D3168,"&lt;="&amp;$B$2),AVERAGEIFS(AutoClaim_Data!C2:C3168,AutoClaim_Data!B2:B3168,"Train",AutoClaim_Data!D2:D3168,"&gt;"&amp;$B$2))</f>
        <v/>
      </c>
      <c r="H332">
        <f>IF(AutoClaim_Data!D332&lt;=$B$2,IF(AutoClaim_Data!E332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2">
        <f>(F332-H332)^2</f>
        <v/>
      </c>
      <c r="J332">
        <f>--(E332="Validation")</f>
        <v/>
      </c>
    </row>
    <row r="333">
      <c r="D333">
        <f>AutoClaim_Data!A333</f>
        <v/>
      </c>
      <c r="E333">
        <f>AutoClaim_Data!B333</f>
        <v/>
      </c>
      <c r="F333">
        <f>AutoClaim_Data!C333</f>
        <v/>
      </c>
      <c r="G333">
        <f>IF(AutoClaim_Data!D333&lt;=$B$2,AVERAGEIFS(AutoClaim_Data!C2:C3168,AutoClaim_Data!B2:B3168,"Train",AutoClaim_Data!D2:D3168,"&lt;="&amp;$B$2),AVERAGEIFS(AutoClaim_Data!C2:C3168,AutoClaim_Data!B2:B3168,"Train",AutoClaim_Data!D2:D3168,"&gt;"&amp;$B$2))</f>
        <v/>
      </c>
      <c r="H333">
        <f>IF(AutoClaim_Data!D333&lt;=$B$2,IF(AutoClaim_Data!E333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3">
        <f>(F333-H333)^2</f>
        <v/>
      </c>
      <c r="J333">
        <f>--(E333="Validation")</f>
        <v/>
      </c>
    </row>
    <row r="334">
      <c r="D334">
        <f>AutoClaim_Data!A334</f>
        <v/>
      </c>
      <c r="E334">
        <f>AutoClaim_Data!B334</f>
        <v/>
      </c>
      <c r="F334">
        <f>AutoClaim_Data!C334</f>
        <v/>
      </c>
      <c r="G334">
        <f>IF(AutoClaim_Data!D334&lt;=$B$2,AVERAGEIFS(AutoClaim_Data!C2:C3168,AutoClaim_Data!B2:B3168,"Train",AutoClaim_Data!D2:D3168,"&lt;="&amp;$B$2),AVERAGEIFS(AutoClaim_Data!C2:C3168,AutoClaim_Data!B2:B3168,"Train",AutoClaim_Data!D2:D3168,"&gt;"&amp;$B$2))</f>
        <v/>
      </c>
      <c r="H334">
        <f>IF(AutoClaim_Data!D334&lt;=$B$2,IF(AutoClaim_Data!E334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4">
        <f>(F334-H334)^2</f>
        <v/>
      </c>
      <c r="J334">
        <f>--(E334="Validation")</f>
        <v/>
      </c>
    </row>
    <row r="335">
      <c r="D335">
        <f>AutoClaim_Data!A335</f>
        <v/>
      </c>
      <c r="E335">
        <f>AutoClaim_Data!B335</f>
        <v/>
      </c>
      <c r="F335">
        <f>AutoClaim_Data!C335</f>
        <v/>
      </c>
      <c r="G335">
        <f>IF(AutoClaim_Data!D335&lt;=$B$2,AVERAGEIFS(AutoClaim_Data!C2:C3168,AutoClaim_Data!B2:B3168,"Train",AutoClaim_Data!D2:D3168,"&lt;="&amp;$B$2),AVERAGEIFS(AutoClaim_Data!C2:C3168,AutoClaim_Data!B2:B3168,"Train",AutoClaim_Data!D2:D3168,"&gt;"&amp;$B$2))</f>
        <v/>
      </c>
      <c r="H335">
        <f>IF(AutoClaim_Data!D335&lt;=$B$2,IF(AutoClaim_Data!E335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5">
        <f>(F335-H335)^2</f>
        <v/>
      </c>
      <c r="J335">
        <f>--(E335="Validation")</f>
        <v/>
      </c>
    </row>
    <row r="336">
      <c r="D336">
        <f>AutoClaim_Data!A336</f>
        <v/>
      </c>
      <c r="E336">
        <f>AutoClaim_Data!B336</f>
        <v/>
      </c>
      <c r="F336">
        <f>AutoClaim_Data!C336</f>
        <v/>
      </c>
      <c r="G336">
        <f>IF(AutoClaim_Data!D336&lt;=$B$2,AVERAGEIFS(AutoClaim_Data!C2:C3168,AutoClaim_Data!B2:B3168,"Train",AutoClaim_Data!D2:D3168,"&lt;="&amp;$B$2),AVERAGEIFS(AutoClaim_Data!C2:C3168,AutoClaim_Data!B2:B3168,"Train",AutoClaim_Data!D2:D3168,"&gt;"&amp;$B$2))</f>
        <v/>
      </c>
      <c r="H336">
        <f>IF(AutoClaim_Data!D336&lt;=$B$2,IF(AutoClaim_Data!E336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6">
        <f>(F336-H336)^2</f>
        <v/>
      </c>
      <c r="J336">
        <f>--(E336="Validation")</f>
        <v/>
      </c>
    </row>
    <row r="337">
      <c r="D337">
        <f>AutoClaim_Data!A337</f>
        <v/>
      </c>
      <c r="E337">
        <f>AutoClaim_Data!B337</f>
        <v/>
      </c>
      <c r="F337">
        <f>AutoClaim_Data!C337</f>
        <v/>
      </c>
      <c r="G337">
        <f>IF(AutoClaim_Data!D337&lt;=$B$2,AVERAGEIFS(AutoClaim_Data!C2:C3168,AutoClaim_Data!B2:B3168,"Train",AutoClaim_Data!D2:D3168,"&lt;="&amp;$B$2),AVERAGEIFS(AutoClaim_Data!C2:C3168,AutoClaim_Data!B2:B3168,"Train",AutoClaim_Data!D2:D3168,"&gt;"&amp;$B$2))</f>
        <v/>
      </c>
      <c r="H337">
        <f>IF(AutoClaim_Data!D337&lt;=$B$2,IF(AutoClaim_Data!E337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7">
        <f>(F337-H337)^2</f>
        <v/>
      </c>
      <c r="J337">
        <f>--(E337="Validation")</f>
        <v/>
      </c>
    </row>
    <row r="338">
      <c r="D338">
        <f>AutoClaim_Data!A338</f>
        <v/>
      </c>
      <c r="E338">
        <f>AutoClaim_Data!B338</f>
        <v/>
      </c>
      <c r="F338">
        <f>AutoClaim_Data!C338</f>
        <v/>
      </c>
      <c r="G338">
        <f>IF(AutoClaim_Data!D338&lt;=$B$2,AVERAGEIFS(AutoClaim_Data!C2:C3168,AutoClaim_Data!B2:B3168,"Train",AutoClaim_Data!D2:D3168,"&lt;="&amp;$B$2),AVERAGEIFS(AutoClaim_Data!C2:C3168,AutoClaim_Data!B2:B3168,"Train",AutoClaim_Data!D2:D3168,"&gt;"&amp;$B$2))</f>
        <v/>
      </c>
      <c r="H338">
        <f>IF(AutoClaim_Data!D338&lt;=$B$2,IF(AutoClaim_Data!E338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8">
        <f>(F338-H338)^2</f>
        <v/>
      </c>
      <c r="J338">
        <f>--(E338="Validation")</f>
        <v/>
      </c>
    </row>
    <row r="339">
      <c r="D339">
        <f>AutoClaim_Data!A339</f>
        <v/>
      </c>
      <c r="E339">
        <f>AutoClaim_Data!B339</f>
        <v/>
      </c>
      <c r="F339">
        <f>AutoClaim_Data!C339</f>
        <v/>
      </c>
      <c r="G339">
        <f>IF(AutoClaim_Data!D339&lt;=$B$2,AVERAGEIFS(AutoClaim_Data!C2:C3168,AutoClaim_Data!B2:B3168,"Train",AutoClaim_Data!D2:D3168,"&lt;="&amp;$B$2),AVERAGEIFS(AutoClaim_Data!C2:C3168,AutoClaim_Data!B2:B3168,"Train",AutoClaim_Data!D2:D3168,"&gt;"&amp;$B$2))</f>
        <v/>
      </c>
      <c r="H339">
        <f>IF(AutoClaim_Data!D339&lt;=$B$2,IF(AutoClaim_Data!E339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39">
        <f>(F339-H339)^2</f>
        <v/>
      </c>
      <c r="J339">
        <f>--(E339="Validation")</f>
        <v/>
      </c>
    </row>
    <row r="340">
      <c r="D340">
        <f>AutoClaim_Data!A340</f>
        <v/>
      </c>
      <c r="E340">
        <f>AutoClaim_Data!B340</f>
        <v/>
      </c>
      <c r="F340">
        <f>AutoClaim_Data!C340</f>
        <v/>
      </c>
      <c r="G340">
        <f>IF(AutoClaim_Data!D340&lt;=$B$2,AVERAGEIFS(AutoClaim_Data!C2:C3168,AutoClaim_Data!B2:B3168,"Train",AutoClaim_Data!D2:D3168,"&lt;="&amp;$B$2),AVERAGEIFS(AutoClaim_Data!C2:C3168,AutoClaim_Data!B2:B3168,"Train",AutoClaim_Data!D2:D3168,"&gt;"&amp;$B$2))</f>
        <v/>
      </c>
      <c r="H340">
        <f>IF(AutoClaim_Data!D340&lt;=$B$2,IF(AutoClaim_Data!E340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0">
        <f>(F340-H340)^2</f>
        <v/>
      </c>
      <c r="J340">
        <f>--(E340="Validation")</f>
        <v/>
      </c>
    </row>
    <row r="341">
      <c r="D341">
        <f>AutoClaim_Data!A341</f>
        <v/>
      </c>
      <c r="E341">
        <f>AutoClaim_Data!B341</f>
        <v/>
      </c>
      <c r="F341">
        <f>AutoClaim_Data!C341</f>
        <v/>
      </c>
      <c r="G341">
        <f>IF(AutoClaim_Data!D341&lt;=$B$2,AVERAGEIFS(AutoClaim_Data!C2:C3168,AutoClaim_Data!B2:B3168,"Train",AutoClaim_Data!D2:D3168,"&lt;="&amp;$B$2),AVERAGEIFS(AutoClaim_Data!C2:C3168,AutoClaim_Data!B2:B3168,"Train",AutoClaim_Data!D2:D3168,"&gt;"&amp;$B$2))</f>
        <v/>
      </c>
      <c r="H341">
        <f>IF(AutoClaim_Data!D341&lt;=$B$2,IF(AutoClaim_Data!E341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1">
        <f>(F341-H341)^2</f>
        <v/>
      </c>
      <c r="J341">
        <f>--(E341="Validation")</f>
        <v/>
      </c>
    </row>
    <row r="342">
      <c r="D342">
        <f>AutoClaim_Data!A342</f>
        <v/>
      </c>
      <c r="E342">
        <f>AutoClaim_Data!B342</f>
        <v/>
      </c>
      <c r="F342">
        <f>AutoClaim_Data!C342</f>
        <v/>
      </c>
      <c r="G342">
        <f>IF(AutoClaim_Data!D342&lt;=$B$2,AVERAGEIFS(AutoClaim_Data!C2:C3168,AutoClaim_Data!B2:B3168,"Train",AutoClaim_Data!D2:D3168,"&lt;="&amp;$B$2),AVERAGEIFS(AutoClaim_Data!C2:C3168,AutoClaim_Data!B2:B3168,"Train",AutoClaim_Data!D2:D3168,"&gt;"&amp;$B$2))</f>
        <v/>
      </c>
      <c r="H342">
        <f>IF(AutoClaim_Data!D342&lt;=$B$2,IF(AutoClaim_Data!E342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2">
        <f>(F342-H342)^2</f>
        <v/>
      </c>
      <c r="J342">
        <f>--(E342="Validation")</f>
        <v/>
      </c>
    </row>
    <row r="343">
      <c r="D343">
        <f>AutoClaim_Data!A343</f>
        <v/>
      </c>
      <c r="E343">
        <f>AutoClaim_Data!B343</f>
        <v/>
      </c>
      <c r="F343">
        <f>AutoClaim_Data!C343</f>
        <v/>
      </c>
      <c r="G343">
        <f>IF(AutoClaim_Data!D343&lt;=$B$2,AVERAGEIFS(AutoClaim_Data!C2:C3168,AutoClaim_Data!B2:B3168,"Train",AutoClaim_Data!D2:D3168,"&lt;="&amp;$B$2),AVERAGEIFS(AutoClaim_Data!C2:C3168,AutoClaim_Data!B2:B3168,"Train",AutoClaim_Data!D2:D3168,"&gt;"&amp;$B$2))</f>
        <v/>
      </c>
      <c r="H343">
        <f>IF(AutoClaim_Data!D343&lt;=$B$2,IF(AutoClaim_Data!E343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3">
        <f>(F343-H343)^2</f>
        <v/>
      </c>
      <c r="J343">
        <f>--(E343="Validation")</f>
        <v/>
      </c>
    </row>
    <row r="344">
      <c r="D344">
        <f>AutoClaim_Data!A344</f>
        <v/>
      </c>
      <c r="E344">
        <f>AutoClaim_Data!B344</f>
        <v/>
      </c>
      <c r="F344">
        <f>AutoClaim_Data!C344</f>
        <v/>
      </c>
      <c r="G344">
        <f>IF(AutoClaim_Data!D344&lt;=$B$2,AVERAGEIFS(AutoClaim_Data!C2:C3168,AutoClaim_Data!B2:B3168,"Train",AutoClaim_Data!D2:D3168,"&lt;="&amp;$B$2),AVERAGEIFS(AutoClaim_Data!C2:C3168,AutoClaim_Data!B2:B3168,"Train",AutoClaim_Data!D2:D3168,"&gt;"&amp;$B$2))</f>
        <v/>
      </c>
      <c r="H344">
        <f>IF(AutoClaim_Data!D344&lt;=$B$2,IF(AutoClaim_Data!E344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4">
        <f>(F344-H344)^2</f>
        <v/>
      </c>
      <c r="J344">
        <f>--(E344="Validation")</f>
        <v/>
      </c>
    </row>
    <row r="345">
      <c r="D345">
        <f>AutoClaim_Data!A345</f>
        <v/>
      </c>
      <c r="E345">
        <f>AutoClaim_Data!B345</f>
        <v/>
      </c>
      <c r="F345">
        <f>AutoClaim_Data!C345</f>
        <v/>
      </c>
      <c r="G345">
        <f>IF(AutoClaim_Data!D345&lt;=$B$2,AVERAGEIFS(AutoClaim_Data!C2:C3168,AutoClaim_Data!B2:B3168,"Train",AutoClaim_Data!D2:D3168,"&lt;="&amp;$B$2),AVERAGEIFS(AutoClaim_Data!C2:C3168,AutoClaim_Data!B2:B3168,"Train",AutoClaim_Data!D2:D3168,"&gt;"&amp;$B$2))</f>
        <v/>
      </c>
      <c r="H345">
        <f>IF(AutoClaim_Data!D345&lt;=$B$2,IF(AutoClaim_Data!E345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5">
        <f>(F345-H345)^2</f>
        <v/>
      </c>
      <c r="J345">
        <f>--(E345="Validation")</f>
        <v/>
      </c>
    </row>
    <row r="346">
      <c r="D346">
        <f>AutoClaim_Data!A346</f>
        <v/>
      </c>
      <c r="E346">
        <f>AutoClaim_Data!B346</f>
        <v/>
      </c>
      <c r="F346">
        <f>AutoClaim_Data!C346</f>
        <v/>
      </c>
      <c r="G346">
        <f>IF(AutoClaim_Data!D346&lt;=$B$2,AVERAGEIFS(AutoClaim_Data!C2:C3168,AutoClaim_Data!B2:B3168,"Train",AutoClaim_Data!D2:D3168,"&lt;="&amp;$B$2),AVERAGEIFS(AutoClaim_Data!C2:C3168,AutoClaim_Data!B2:B3168,"Train",AutoClaim_Data!D2:D3168,"&gt;"&amp;$B$2))</f>
        <v/>
      </c>
      <c r="H346">
        <f>IF(AutoClaim_Data!D346&lt;=$B$2,IF(AutoClaim_Data!E346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6">
        <f>(F346-H346)^2</f>
        <v/>
      </c>
      <c r="J346">
        <f>--(E346="Validation")</f>
        <v/>
      </c>
    </row>
    <row r="347">
      <c r="D347">
        <f>AutoClaim_Data!A347</f>
        <v/>
      </c>
      <c r="E347">
        <f>AutoClaim_Data!B347</f>
        <v/>
      </c>
      <c r="F347">
        <f>AutoClaim_Data!C347</f>
        <v/>
      </c>
      <c r="G347">
        <f>IF(AutoClaim_Data!D347&lt;=$B$2,AVERAGEIFS(AutoClaim_Data!C2:C3168,AutoClaim_Data!B2:B3168,"Train",AutoClaim_Data!D2:D3168,"&lt;="&amp;$B$2),AVERAGEIFS(AutoClaim_Data!C2:C3168,AutoClaim_Data!B2:B3168,"Train",AutoClaim_Data!D2:D3168,"&gt;"&amp;$B$2))</f>
        <v/>
      </c>
      <c r="H347">
        <f>IF(AutoClaim_Data!D347&lt;=$B$2,IF(AutoClaim_Data!E347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7">
        <f>(F347-H347)^2</f>
        <v/>
      </c>
      <c r="J347">
        <f>--(E347="Validation")</f>
        <v/>
      </c>
    </row>
    <row r="348">
      <c r="D348">
        <f>AutoClaim_Data!A348</f>
        <v/>
      </c>
      <c r="E348">
        <f>AutoClaim_Data!B348</f>
        <v/>
      </c>
      <c r="F348">
        <f>AutoClaim_Data!C348</f>
        <v/>
      </c>
      <c r="G348">
        <f>IF(AutoClaim_Data!D348&lt;=$B$2,AVERAGEIFS(AutoClaim_Data!C2:C3168,AutoClaim_Data!B2:B3168,"Train",AutoClaim_Data!D2:D3168,"&lt;="&amp;$B$2),AVERAGEIFS(AutoClaim_Data!C2:C3168,AutoClaim_Data!B2:B3168,"Train",AutoClaim_Data!D2:D3168,"&gt;"&amp;$B$2))</f>
        <v/>
      </c>
      <c r="H348">
        <f>IF(AutoClaim_Data!D348&lt;=$B$2,IF(AutoClaim_Data!E348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8">
        <f>(F348-H348)^2</f>
        <v/>
      </c>
      <c r="J348">
        <f>--(E348="Validation")</f>
        <v/>
      </c>
    </row>
    <row r="349">
      <c r="D349">
        <f>AutoClaim_Data!A349</f>
        <v/>
      </c>
      <c r="E349">
        <f>AutoClaim_Data!B349</f>
        <v/>
      </c>
      <c r="F349">
        <f>AutoClaim_Data!C349</f>
        <v/>
      </c>
      <c r="G349">
        <f>IF(AutoClaim_Data!D349&lt;=$B$2,AVERAGEIFS(AutoClaim_Data!C2:C3168,AutoClaim_Data!B2:B3168,"Train",AutoClaim_Data!D2:D3168,"&lt;="&amp;$B$2),AVERAGEIFS(AutoClaim_Data!C2:C3168,AutoClaim_Data!B2:B3168,"Train",AutoClaim_Data!D2:D3168,"&gt;"&amp;$B$2))</f>
        <v/>
      </c>
      <c r="H349">
        <f>IF(AutoClaim_Data!D349&lt;=$B$2,IF(AutoClaim_Data!E349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49">
        <f>(F349-H349)^2</f>
        <v/>
      </c>
      <c r="J349">
        <f>--(E349="Validation")</f>
        <v/>
      </c>
    </row>
    <row r="350">
      <c r="D350">
        <f>AutoClaim_Data!A350</f>
        <v/>
      </c>
      <c r="E350">
        <f>AutoClaim_Data!B350</f>
        <v/>
      </c>
      <c r="F350">
        <f>AutoClaim_Data!C350</f>
        <v/>
      </c>
      <c r="G350">
        <f>IF(AutoClaim_Data!D350&lt;=$B$2,AVERAGEIFS(AutoClaim_Data!C2:C3168,AutoClaim_Data!B2:B3168,"Train",AutoClaim_Data!D2:D3168,"&lt;="&amp;$B$2),AVERAGEIFS(AutoClaim_Data!C2:C3168,AutoClaim_Data!B2:B3168,"Train",AutoClaim_Data!D2:D3168,"&gt;"&amp;$B$2))</f>
        <v/>
      </c>
      <c r="H350">
        <f>IF(AutoClaim_Data!D350&lt;=$B$2,IF(AutoClaim_Data!E350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0">
        <f>(F350-H350)^2</f>
        <v/>
      </c>
      <c r="J350">
        <f>--(E350="Validation")</f>
        <v/>
      </c>
    </row>
    <row r="351">
      <c r="D351">
        <f>AutoClaim_Data!A351</f>
        <v/>
      </c>
      <c r="E351">
        <f>AutoClaim_Data!B351</f>
        <v/>
      </c>
      <c r="F351">
        <f>AutoClaim_Data!C351</f>
        <v/>
      </c>
      <c r="G351">
        <f>IF(AutoClaim_Data!D351&lt;=$B$2,AVERAGEIFS(AutoClaim_Data!C2:C3168,AutoClaim_Data!B2:B3168,"Train",AutoClaim_Data!D2:D3168,"&lt;="&amp;$B$2),AVERAGEIFS(AutoClaim_Data!C2:C3168,AutoClaim_Data!B2:B3168,"Train",AutoClaim_Data!D2:D3168,"&gt;"&amp;$B$2))</f>
        <v/>
      </c>
      <c r="H351">
        <f>IF(AutoClaim_Data!D351&lt;=$B$2,IF(AutoClaim_Data!E351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1">
        <f>(F351-H351)^2</f>
        <v/>
      </c>
      <c r="J351">
        <f>--(E351="Validation")</f>
        <v/>
      </c>
    </row>
    <row r="352">
      <c r="D352">
        <f>AutoClaim_Data!A352</f>
        <v/>
      </c>
      <c r="E352">
        <f>AutoClaim_Data!B352</f>
        <v/>
      </c>
      <c r="F352">
        <f>AutoClaim_Data!C352</f>
        <v/>
      </c>
      <c r="G352">
        <f>IF(AutoClaim_Data!D352&lt;=$B$2,AVERAGEIFS(AutoClaim_Data!C2:C3168,AutoClaim_Data!B2:B3168,"Train",AutoClaim_Data!D2:D3168,"&lt;="&amp;$B$2),AVERAGEIFS(AutoClaim_Data!C2:C3168,AutoClaim_Data!B2:B3168,"Train",AutoClaim_Data!D2:D3168,"&gt;"&amp;$B$2))</f>
        <v/>
      </c>
      <c r="H352">
        <f>IF(AutoClaim_Data!D352&lt;=$B$2,IF(AutoClaim_Data!E352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2">
        <f>(F352-H352)^2</f>
        <v/>
      </c>
      <c r="J352">
        <f>--(E352="Validation")</f>
        <v/>
      </c>
    </row>
    <row r="353">
      <c r="D353">
        <f>AutoClaim_Data!A353</f>
        <v/>
      </c>
      <c r="E353">
        <f>AutoClaim_Data!B353</f>
        <v/>
      </c>
      <c r="F353">
        <f>AutoClaim_Data!C353</f>
        <v/>
      </c>
      <c r="G353">
        <f>IF(AutoClaim_Data!D353&lt;=$B$2,AVERAGEIFS(AutoClaim_Data!C2:C3168,AutoClaim_Data!B2:B3168,"Train",AutoClaim_Data!D2:D3168,"&lt;="&amp;$B$2),AVERAGEIFS(AutoClaim_Data!C2:C3168,AutoClaim_Data!B2:B3168,"Train",AutoClaim_Data!D2:D3168,"&gt;"&amp;$B$2))</f>
        <v/>
      </c>
      <c r="H353">
        <f>IF(AutoClaim_Data!D353&lt;=$B$2,IF(AutoClaim_Data!E353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3">
        <f>(F353-H353)^2</f>
        <v/>
      </c>
      <c r="J353">
        <f>--(E353="Validation")</f>
        <v/>
      </c>
    </row>
    <row r="354">
      <c r="D354">
        <f>AutoClaim_Data!A354</f>
        <v/>
      </c>
      <c r="E354">
        <f>AutoClaim_Data!B354</f>
        <v/>
      </c>
      <c r="F354">
        <f>AutoClaim_Data!C354</f>
        <v/>
      </c>
      <c r="G354">
        <f>IF(AutoClaim_Data!D354&lt;=$B$2,AVERAGEIFS(AutoClaim_Data!C2:C3168,AutoClaim_Data!B2:B3168,"Train",AutoClaim_Data!D2:D3168,"&lt;="&amp;$B$2),AVERAGEIFS(AutoClaim_Data!C2:C3168,AutoClaim_Data!B2:B3168,"Train",AutoClaim_Data!D2:D3168,"&gt;"&amp;$B$2))</f>
        <v/>
      </c>
      <c r="H354">
        <f>IF(AutoClaim_Data!D354&lt;=$B$2,IF(AutoClaim_Data!E354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4">
        <f>(F354-H354)^2</f>
        <v/>
      </c>
      <c r="J354">
        <f>--(E354="Validation")</f>
        <v/>
      </c>
    </row>
    <row r="355">
      <c r="D355">
        <f>AutoClaim_Data!A355</f>
        <v/>
      </c>
      <c r="E355">
        <f>AutoClaim_Data!B355</f>
        <v/>
      </c>
      <c r="F355">
        <f>AutoClaim_Data!C355</f>
        <v/>
      </c>
      <c r="G355">
        <f>IF(AutoClaim_Data!D355&lt;=$B$2,AVERAGEIFS(AutoClaim_Data!C2:C3168,AutoClaim_Data!B2:B3168,"Train",AutoClaim_Data!D2:D3168,"&lt;="&amp;$B$2),AVERAGEIFS(AutoClaim_Data!C2:C3168,AutoClaim_Data!B2:B3168,"Train",AutoClaim_Data!D2:D3168,"&gt;"&amp;$B$2))</f>
        <v/>
      </c>
      <c r="H355">
        <f>IF(AutoClaim_Data!D355&lt;=$B$2,IF(AutoClaim_Data!E355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5">
        <f>(F355-H355)^2</f>
        <v/>
      </c>
      <c r="J355">
        <f>--(E355="Validation")</f>
        <v/>
      </c>
    </row>
    <row r="356">
      <c r="D356">
        <f>AutoClaim_Data!A356</f>
        <v/>
      </c>
      <c r="E356">
        <f>AutoClaim_Data!B356</f>
        <v/>
      </c>
      <c r="F356">
        <f>AutoClaim_Data!C356</f>
        <v/>
      </c>
      <c r="G356">
        <f>IF(AutoClaim_Data!D356&lt;=$B$2,AVERAGEIFS(AutoClaim_Data!C2:C3168,AutoClaim_Data!B2:B3168,"Train",AutoClaim_Data!D2:D3168,"&lt;="&amp;$B$2),AVERAGEIFS(AutoClaim_Data!C2:C3168,AutoClaim_Data!B2:B3168,"Train",AutoClaim_Data!D2:D3168,"&gt;"&amp;$B$2))</f>
        <v/>
      </c>
      <c r="H356">
        <f>IF(AutoClaim_Data!D356&lt;=$B$2,IF(AutoClaim_Data!E356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6">
        <f>(F356-H356)^2</f>
        <v/>
      </c>
      <c r="J356">
        <f>--(E356="Validation")</f>
        <v/>
      </c>
    </row>
    <row r="357">
      <c r="D357">
        <f>AutoClaim_Data!A357</f>
        <v/>
      </c>
      <c r="E357">
        <f>AutoClaim_Data!B357</f>
        <v/>
      </c>
      <c r="F357">
        <f>AutoClaim_Data!C357</f>
        <v/>
      </c>
      <c r="G357">
        <f>IF(AutoClaim_Data!D357&lt;=$B$2,AVERAGEIFS(AutoClaim_Data!C2:C3168,AutoClaim_Data!B2:B3168,"Train",AutoClaim_Data!D2:D3168,"&lt;="&amp;$B$2),AVERAGEIFS(AutoClaim_Data!C2:C3168,AutoClaim_Data!B2:B3168,"Train",AutoClaim_Data!D2:D3168,"&gt;"&amp;$B$2))</f>
        <v/>
      </c>
      <c r="H357">
        <f>IF(AutoClaim_Data!D357&lt;=$B$2,IF(AutoClaim_Data!E357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7">
        <f>(F357-H357)^2</f>
        <v/>
      </c>
      <c r="J357">
        <f>--(E357="Validation")</f>
        <v/>
      </c>
    </row>
    <row r="358">
      <c r="D358">
        <f>AutoClaim_Data!A358</f>
        <v/>
      </c>
      <c r="E358">
        <f>AutoClaim_Data!B358</f>
        <v/>
      </c>
      <c r="F358">
        <f>AutoClaim_Data!C358</f>
        <v/>
      </c>
      <c r="G358">
        <f>IF(AutoClaim_Data!D358&lt;=$B$2,AVERAGEIFS(AutoClaim_Data!C2:C3168,AutoClaim_Data!B2:B3168,"Train",AutoClaim_Data!D2:D3168,"&lt;="&amp;$B$2),AVERAGEIFS(AutoClaim_Data!C2:C3168,AutoClaim_Data!B2:B3168,"Train",AutoClaim_Data!D2:D3168,"&gt;"&amp;$B$2))</f>
        <v/>
      </c>
      <c r="H358">
        <f>IF(AutoClaim_Data!D358&lt;=$B$2,IF(AutoClaim_Data!E358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8">
        <f>(F358-H358)^2</f>
        <v/>
      </c>
      <c r="J358">
        <f>--(E358="Validation")</f>
        <v/>
      </c>
    </row>
    <row r="359">
      <c r="D359">
        <f>AutoClaim_Data!A359</f>
        <v/>
      </c>
      <c r="E359">
        <f>AutoClaim_Data!B359</f>
        <v/>
      </c>
      <c r="F359">
        <f>AutoClaim_Data!C359</f>
        <v/>
      </c>
      <c r="G359">
        <f>IF(AutoClaim_Data!D359&lt;=$B$2,AVERAGEIFS(AutoClaim_Data!C2:C3168,AutoClaim_Data!B2:B3168,"Train",AutoClaim_Data!D2:D3168,"&lt;="&amp;$B$2),AVERAGEIFS(AutoClaim_Data!C2:C3168,AutoClaim_Data!B2:B3168,"Train",AutoClaim_Data!D2:D3168,"&gt;"&amp;$B$2))</f>
        <v/>
      </c>
      <c r="H359">
        <f>IF(AutoClaim_Data!D359&lt;=$B$2,IF(AutoClaim_Data!E359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59">
        <f>(F359-H359)^2</f>
        <v/>
      </c>
      <c r="J359">
        <f>--(E359="Validation")</f>
        <v/>
      </c>
    </row>
    <row r="360">
      <c r="D360">
        <f>AutoClaim_Data!A360</f>
        <v/>
      </c>
      <c r="E360">
        <f>AutoClaim_Data!B360</f>
        <v/>
      </c>
      <c r="F360">
        <f>AutoClaim_Data!C360</f>
        <v/>
      </c>
      <c r="G360">
        <f>IF(AutoClaim_Data!D360&lt;=$B$2,AVERAGEIFS(AutoClaim_Data!C2:C3168,AutoClaim_Data!B2:B3168,"Train",AutoClaim_Data!D2:D3168,"&lt;="&amp;$B$2),AVERAGEIFS(AutoClaim_Data!C2:C3168,AutoClaim_Data!B2:B3168,"Train",AutoClaim_Data!D2:D3168,"&gt;"&amp;$B$2))</f>
        <v/>
      </c>
      <c r="H360">
        <f>IF(AutoClaim_Data!D360&lt;=$B$2,IF(AutoClaim_Data!E360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0">
        <f>(F360-H360)^2</f>
        <v/>
      </c>
      <c r="J360">
        <f>--(E360="Validation")</f>
        <v/>
      </c>
    </row>
    <row r="361">
      <c r="D361">
        <f>AutoClaim_Data!A361</f>
        <v/>
      </c>
      <c r="E361">
        <f>AutoClaim_Data!B361</f>
        <v/>
      </c>
      <c r="F361">
        <f>AutoClaim_Data!C361</f>
        <v/>
      </c>
      <c r="G361">
        <f>IF(AutoClaim_Data!D361&lt;=$B$2,AVERAGEIFS(AutoClaim_Data!C2:C3168,AutoClaim_Data!B2:B3168,"Train",AutoClaim_Data!D2:D3168,"&lt;="&amp;$B$2),AVERAGEIFS(AutoClaim_Data!C2:C3168,AutoClaim_Data!B2:B3168,"Train",AutoClaim_Data!D2:D3168,"&gt;"&amp;$B$2))</f>
        <v/>
      </c>
      <c r="H361">
        <f>IF(AutoClaim_Data!D361&lt;=$B$2,IF(AutoClaim_Data!E361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1">
        <f>(F361-H361)^2</f>
        <v/>
      </c>
      <c r="J361">
        <f>--(E361="Validation")</f>
        <v/>
      </c>
    </row>
    <row r="362">
      <c r="D362">
        <f>AutoClaim_Data!A362</f>
        <v/>
      </c>
      <c r="E362">
        <f>AutoClaim_Data!B362</f>
        <v/>
      </c>
      <c r="F362">
        <f>AutoClaim_Data!C362</f>
        <v/>
      </c>
      <c r="G362">
        <f>IF(AutoClaim_Data!D362&lt;=$B$2,AVERAGEIFS(AutoClaim_Data!C2:C3168,AutoClaim_Data!B2:B3168,"Train",AutoClaim_Data!D2:D3168,"&lt;="&amp;$B$2),AVERAGEIFS(AutoClaim_Data!C2:C3168,AutoClaim_Data!B2:B3168,"Train",AutoClaim_Data!D2:D3168,"&gt;"&amp;$B$2))</f>
        <v/>
      </c>
      <c r="H362">
        <f>IF(AutoClaim_Data!D362&lt;=$B$2,IF(AutoClaim_Data!E362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2">
        <f>(F362-H362)^2</f>
        <v/>
      </c>
      <c r="J362">
        <f>--(E362="Validation")</f>
        <v/>
      </c>
    </row>
    <row r="363">
      <c r="D363">
        <f>AutoClaim_Data!A363</f>
        <v/>
      </c>
      <c r="E363">
        <f>AutoClaim_Data!B363</f>
        <v/>
      </c>
      <c r="F363">
        <f>AutoClaim_Data!C363</f>
        <v/>
      </c>
      <c r="G363">
        <f>IF(AutoClaim_Data!D363&lt;=$B$2,AVERAGEIFS(AutoClaim_Data!C2:C3168,AutoClaim_Data!B2:B3168,"Train",AutoClaim_Data!D2:D3168,"&lt;="&amp;$B$2),AVERAGEIFS(AutoClaim_Data!C2:C3168,AutoClaim_Data!B2:B3168,"Train",AutoClaim_Data!D2:D3168,"&gt;"&amp;$B$2))</f>
        <v/>
      </c>
      <c r="H363">
        <f>IF(AutoClaim_Data!D363&lt;=$B$2,IF(AutoClaim_Data!E363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3">
        <f>(F363-H363)^2</f>
        <v/>
      </c>
      <c r="J363">
        <f>--(E363="Validation")</f>
        <v/>
      </c>
    </row>
    <row r="364">
      <c r="D364">
        <f>AutoClaim_Data!A364</f>
        <v/>
      </c>
      <c r="E364">
        <f>AutoClaim_Data!B364</f>
        <v/>
      </c>
      <c r="F364">
        <f>AutoClaim_Data!C364</f>
        <v/>
      </c>
      <c r="G364">
        <f>IF(AutoClaim_Data!D364&lt;=$B$2,AVERAGEIFS(AutoClaim_Data!C2:C3168,AutoClaim_Data!B2:B3168,"Train",AutoClaim_Data!D2:D3168,"&lt;="&amp;$B$2),AVERAGEIFS(AutoClaim_Data!C2:C3168,AutoClaim_Data!B2:B3168,"Train",AutoClaim_Data!D2:D3168,"&gt;"&amp;$B$2))</f>
        <v/>
      </c>
      <c r="H364">
        <f>IF(AutoClaim_Data!D364&lt;=$B$2,IF(AutoClaim_Data!E364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4">
        <f>(F364-H364)^2</f>
        <v/>
      </c>
      <c r="J364">
        <f>--(E364="Validation")</f>
        <v/>
      </c>
    </row>
    <row r="365">
      <c r="D365">
        <f>AutoClaim_Data!A365</f>
        <v/>
      </c>
      <c r="E365">
        <f>AutoClaim_Data!B365</f>
        <v/>
      </c>
      <c r="F365">
        <f>AutoClaim_Data!C365</f>
        <v/>
      </c>
      <c r="G365">
        <f>IF(AutoClaim_Data!D365&lt;=$B$2,AVERAGEIFS(AutoClaim_Data!C2:C3168,AutoClaim_Data!B2:B3168,"Train",AutoClaim_Data!D2:D3168,"&lt;="&amp;$B$2),AVERAGEIFS(AutoClaim_Data!C2:C3168,AutoClaim_Data!B2:B3168,"Train",AutoClaim_Data!D2:D3168,"&gt;"&amp;$B$2))</f>
        <v/>
      </c>
      <c r="H365">
        <f>IF(AutoClaim_Data!D365&lt;=$B$2,IF(AutoClaim_Data!E365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5">
        <f>(F365-H365)^2</f>
        <v/>
      </c>
      <c r="J365">
        <f>--(E365="Validation")</f>
        <v/>
      </c>
    </row>
    <row r="366">
      <c r="D366">
        <f>AutoClaim_Data!A366</f>
        <v/>
      </c>
      <c r="E366">
        <f>AutoClaim_Data!B366</f>
        <v/>
      </c>
      <c r="F366">
        <f>AutoClaim_Data!C366</f>
        <v/>
      </c>
      <c r="G366">
        <f>IF(AutoClaim_Data!D366&lt;=$B$2,AVERAGEIFS(AutoClaim_Data!C2:C3168,AutoClaim_Data!B2:B3168,"Train",AutoClaim_Data!D2:D3168,"&lt;="&amp;$B$2),AVERAGEIFS(AutoClaim_Data!C2:C3168,AutoClaim_Data!B2:B3168,"Train",AutoClaim_Data!D2:D3168,"&gt;"&amp;$B$2))</f>
        <v/>
      </c>
      <c r="H366">
        <f>IF(AutoClaim_Data!D366&lt;=$B$2,IF(AutoClaim_Data!E366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6">
        <f>(F366-H366)^2</f>
        <v/>
      </c>
      <c r="J366">
        <f>--(E366="Validation")</f>
        <v/>
      </c>
    </row>
    <row r="367">
      <c r="D367">
        <f>AutoClaim_Data!A367</f>
        <v/>
      </c>
      <c r="E367">
        <f>AutoClaim_Data!B367</f>
        <v/>
      </c>
      <c r="F367">
        <f>AutoClaim_Data!C367</f>
        <v/>
      </c>
      <c r="G367">
        <f>IF(AutoClaim_Data!D367&lt;=$B$2,AVERAGEIFS(AutoClaim_Data!C2:C3168,AutoClaim_Data!B2:B3168,"Train",AutoClaim_Data!D2:D3168,"&lt;="&amp;$B$2),AVERAGEIFS(AutoClaim_Data!C2:C3168,AutoClaim_Data!B2:B3168,"Train",AutoClaim_Data!D2:D3168,"&gt;"&amp;$B$2))</f>
        <v/>
      </c>
      <c r="H367">
        <f>IF(AutoClaim_Data!D367&lt;=$B$2,IF(AutoClaim_Data!E367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7">
        <f>(F367-H367)^2</f>
        <v/>
      </c>
      <c r="J367">
        <f>--(E367="Validation")</f>
        <v/>
      </c>
    </row>
    <row r="368">
      <c r="D368">
        <f>AutoClaim_Data!A368</f>
        <v/>
      </c>
      <c r="E368">
        <f>AutoClaim_Data!B368</f>
        <v/>
      </c>
      <c r="F368">
        <f>AutoClaim_Data!C368</f>
        <v/>
      </c>
      <c r="G368">
        <f>IF(AutoClaim_Data!D368&lt;=$B$2,AVERAGEIFS(AutoClaim_Data!C2:C3168,AutoClaim_Data!B2:B3168,"Train",AutoClaim_Data!D2:D3168,"&lt;="&amp;$B$2),AVERAGEIFS(AutoClaim_Data!C2:C3168,AutoClaim_Data!B2:B3168,"Train",AutoClaim_Data!D2:D3168,"&gt;"&amp;$B$2))</f>
        <v/>
      </c>
      <c r="H368">
        <f>IF(AutoClaim_Data!D368&lt;=$B$2,IF(AutoClaim_Data!E368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8">
        <f>(F368-H368)^2</f>
        <v/>
      </c>
      <c r="J368">
        <f>--(E368="Validation")</f>
        <v/>
      </c>
    </row>
    <row r="369">
      <c r="D369">
        <f>AutoClaim_Data!A369</f>
        <v/>
      </c>
      <c r="E369">
        <f>AutoClaim_Data!B369</f>
        <v/>
      </c>
      <c r="F369">
        <f>AutoClaim_Data!C369</f>
        <v/>
      </c>
      <c r="G369">
        <f>IF(AutoClaim_Data!D369&lt;=$B$2,AVERAGEIFS(AutoClaim_Data!C2:C3168,AutoClaim_Data!B2:B3168,"Train",AutoClaim_Data!D2:D3168,"&lt;="&amp;$B$2),AVERAGEIFS(AutoClaim_Data!C2:C3168,AutoClaim_Data!B2:B3168,"Train",AutoClaim_Data!D2:D3168,"&gt;"&amp;$B$2))</f>
        <v/>
      </c>
      <c r="H369">
        <f>IF(AutoClaim_Data!D369&lt;=$B$2,IF(AutoClaim_Data!E369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69">
        <f>(F369-H369)^2</f>
        <v/>
      </c>
      <c r="J369">
        <f>--(E369="Validation")</f>
        <v/>
      </c>
    </row>
    <row r="370">
      <c r="D370">
        <f>AutoClaim_Data!A370</f>
        <v/>
      </c>
      <c r="E370">
        <f>AutoClaim_Data!B370</f>
        <v/>
      </c>
      <c r="F370">
        <f>AutoClaim_Data!C370</f>
        <v/>
      </c>
      <c r="G370">
        <f>IF(AutoClaim_Data!D370&lt;=$B$2,AVERAGEIFS(AutoClaim_Data!C2:C3168,AutoClaim_Data!B2:B3168,"Train",AutoClaim_Data!D2:D3168,"&lt;="&amp;$B$2),AVERAGEIFS(AutoClaim_Data!C2:C3168,AutoClaim_Data!B2:B3168,"Train",AutoClaim_Data!D2:D3168,"&gt;"&amp;$B$2))</f>
        <v/>
      </c>
      <c r="H370">
        <f>IF(AutoClaim_Data!D370&lt;=$B$2,IF(AutoClaim_Data!E370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0">
        <f>(F370-H370)^2</f>
        <v/>
      </c>
      <c r="J370">
        <f>--(E370="Validation")</f>
        <v/>
      </c>
    </row>
    <row r="371">
      <c r="D371">
        <f>AutoClaim_Data!A371</f>
        <v/>
      </c>
      <c r="E371">
        <f>AutoClaim_Data!B371</f>
        <v/>
      </c>
      <c r="F371">
        <f>AutoClaim_Data!C371</f>
        <v/>
      </c>
      <c r="G371">
        <f>IF(AutoClaim_Data!D371&lt;=$B$2,AVERAGEIFS(AutoClaim_Data!C2:C3168,AutoClaim_Data!B2:B3168,"Train",AutoClaim_Data!D2:D3168,"&lt;="&amp;$B$2),AVERAGEIFS(AutoClaim_Data!C2:C3168,AutoClaim_Data!B2:B3168,"Train",AutoClaim_Data!D2:D3168,"&gt;"&amp;$B$2))</f>
        <v/>
      </c>
      <c r="H371">
        <f>IF(AutoClaim_Data!D371&lt;=$B$2,IF(AutoClaim_Data!E371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1">
        <f>(F371-H371)^2</f>
        <v/>
      </c>
      <c r="J371">
        <f>--(E371="Validation")</f>
        <v/>
      </c>
    </row>
    <row r="372">
      <c r="D372">
        <f>AutoClaim_Data!A372</f>
        <v/>
      </c>
      <c r="E372">
        <f>AutoClaim_Data!B372</f>
        <v/>
      </c>
      <c r="F372">
        <f>AutoClaim_Data!C372</f>
        <v/>
      </c>
      <c r="G372">
        <f>IF(AutoClaim_Data!D372&lt;=$B$2,AVERAGEIFS(AutoClaim_Data!C2:C3168,AutoClaim_Data!B2:B3168,"Train",AutoClaim_Data!D2:D3168,"&lt;="&amp;$B$2),AVERAGEIFS(AutoClaim_Data!C2:C3168,AutoClaim_Data!B2:B3168,"Train",AutoClaim_Data!D2:D3168,"&gt;"&amp;$B$2))</f>
        <v/>
      </c>
      <c r="H372">
        <f>IF(AutoClaim_Data!D372&lt;=$B$2,IF(AutoClaim_Data!E372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2">
        <f>(F372-H372)^2</f>
        <v/>
      </c>
      <c r="J372">
        <f>--(E372="Validation")</f>
        <v/>
      </c>
    </row>
    <row r="373">
      <c r="D373">
        <f>AutoClaim_Data!A373</f>
        <v/>
      </c>
      <c r="E373">
        <f>AutoClaim_Data!B373</f>
        <v/>
      </c>
      <c r="F373">
        <f>AutoClaim_Data!C373</f>
        <v/>
      </c>
      <c r="G373">
        <f>IF(AutoClaim_Data!D373&lt;=$B$2,AVERAGEIFS(AutoClaim_Data!C2:C3168,AutoClaim_Data!B2:B3168,"Train",AutoClaim_Data!D2:D3168,"&lt;="&amp;$B$2),AVERAGEIFS(AutoClaim_Data!C2:C3168,AutoClaim_Data!B2:B3168,"Train",AutoClaim_Data!D2:D3168,"&gt;"&amp;$B$2))</f>
        <v/>
      </c>
      <c r="H373">
        <f>IF(AutoClaim_Data!D373&lt;=$B$2,IF(AutoClaim_Data!E373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3">
        <f>(F373-H373)^2</f>
        <v/>
      </c>
      <c r="J373">
        <f>--(E373="Validation")</f>
        <v/>
      </c>
    </row>
    <row r="374">
      <c r="D374">
        <f>AutoClaim_Data!A374</f>
        <v/>
      </c>
      <c r="E374">
        <f>AutoClaim_Data!B374</f>
        <v/>
      </c>
      <c r="F374">
        <f>AutoClaim_Data!C374</f>
        <v/>
      </c>
      <c r="G374">
        <f>IF(AutoClaim_Data!D374&lt;=$B$2,AVERAGEIFS(AutoClaim_Data!C2:C3168,AutoClaim_Data!B2:B3168,"Train",AutoClaim_Data!D2:D3168,"&lt;="&amp;$B$2),AVERAGEIFS(AutoClaim_Data!C2:C3168,AutoClaim_Data!B2:B3168,"Train",AutoClaim_Data!D2:D3168,"&gt;"&amp;$B$2))</f>
        <v/>
      </c>
      <c r="H374">
        <f>IF(AutoClaim_Data!D374&lt;=$B$2,IF(AutoClaim_Data!E374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4">
        <f>(F374-H374)^2</f>
        <v/>
      </c>
      <c r="J374">
        <f>--(E374="Validation")</f>
        <v/>
      </c>
    </row>
    <row r="375">
      <c r="D375">
        <f>AutoClaim_Data!A375</f>
        <v/>
      </c>
      <c r="E375">
        <f>AutoClaim_Data!B375</f>
        <v/>
      </c>
      <c r="F375">
        <f>AutoClaim_Data!C375</f>
        <v/>
      </c>
      <c r="G375">
        <f>IF(AutoClaim_Data!D375&lt;=$B$2,AVERAGEIFS(AutoClaim_Data!C2:C3168,AutoClaim_Data!B2:B3168,"Train",AutoClaim_Data!D2:D3168,"&lt;="&amp;$B$2),AVERAGEIFS(AutoClaim_Data!C2:C3168,AutoClaim_Data!B2:B3168,"Train",AutoClaim_Data!D2:D3168,"&gt;"&amp;$B$2))</f>
        <v/>
      </c>
      <c r="H375">
        <f>IF(AutoClaim_Data!D375&lt;=$B$2,IF(AutoClaim_Data!E375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5">
        <f>(F375-H375)^2</f>
        <v/>
      </c>
      <c r="J375">
        <f>--(E375="Validation")</f>
        <v/>
      </c>
    </row>
    <row r="376">
      <c r="D376">
        <f>AutoClaim_Data!A376</f>
        <v/>
      </c>
      <c r="E376">
        <f>AutoClaim_Data!B376</f>
        <v/>
      </c>
      <c r="F376">
        <f>AutoClaim_Data!C376</f>
        <v/>
      </c>
      <c r="G376">
        <f>IF(AutoClaim_Data!D376&lt;=$B$2,AVERAGEIFS(AutoClaim_Data!C2:C3168,AutoClaim_Data!B2:B3168,"Train",AutoClaim_Data!D2:D3168,"&lt;="&amp;$B$2),AVERAGEIFS(AutoClaim_Data!C2:C3168,AutoClaim_Data!B2:B3168,"Train",AutoClaim_Data!D2:D3168,"&gt;"&amp;$B$2))</f>
        <v/>
      </c>
      <c r="H376">
        <f>IF(AutoClaim_Data!D376&lt;=$B$2,IF(AutoClaim_Data!E376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6">
        <f>(F376-H376)^2</f>
        <v/>
      </c>
      <c r="J376">
        <f>--(E376="Validation")</f>
        <v/>
      </c>
    </row>
    <row r="377">
      <c r="D377">
        <f>AutoClaim_Data!A377</f>
        <v/>
      </c>
      <c r="E377">
        <f>AutoClaim_Data!B377</f>
        <v/>
      </c>
      <c r="F377">
        <f>AutoClaim_Data!C377</f>
        <v/>
      </c>
      <c r="G377">
        <f>IF(AutoClaim_Data!D377&lt;=$B$2,AVERAGEIFS(AutoClaim_Data!C2:C3168,AutoClaim_Data!B2:B3168,"Train",AutoClaim_Data!D2:D3168,"&lt;="&amp;$B$2),AVERAGEIFS(AutoClaim_Data!C2:C3168,AutoClaim_Data!B2:B3168,"Train",AutoClaim_Data!D2:D3168,"&gt;"&amp;$B$2))</f>
        <v/>
      </c>
      <c r="H377">
        <f>IF(AutoClaim_Data!D377&lt;=$B$2,IF(AutoClaim_Data!E377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7">
        <f>(F377-H377)^2</f>
        <v/>
      </c>
      <c r="J377">
        <f>--(E377="Validation")</f>
        <v/>
      </c>
    </row>
    <row r="378">
      <c r="D378">
        <f>AutoClaim_Data!A378</f>
        <v/>
      </c>
      <c r="E378">
        <f>AutoClaim_Data!B378</f>
        <v/>
      </c>
      <c r="F378">
        <f>AutoClaim_Data!C378</f>
        <v/>
      </c>
      <c r="G378">
        <f>IF(AutoClaim_Data!D378&lt;=$B$2,AVERAGEIFS(AutoClaim_Data!C2:C3168,AutoClaim_Data!B2:B3168,"Train",AutoClaim_Data!D2:D3168,"&lt;="&amp;$B$2),AVERAGEIFS(AutoClaim_Data!C2:C3168,AutoClaim_Data!B2:B3168,"Train",AutoClaim_Data!D2:D3168,"&gt;"&amp;$B$2))</f>
        <v/>
      </c>
      <c r="H378">
        <f>IF(AutoClaim_Data!D378&lt;=$B$2,IF(AutoClaim_Data!E378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8">
        <f>(F378-H378)^2</f>
        <v/>
      </c>
      <c r="J378">
        <f>--(E378="Validation")</f>
        <v/>
      </c>
    </row>
    <row r="379">
      <c r="D379">
        <f>AutoClaim_Data!A379</f>
        <v/>
      </c>
      <c r="E379">
        <f>AutoClaim_Data!B379</f>
        <v/>
      </c>
      <c r="F379">
        <f>AutoClaim_Data!C379</f>
        <v/>
      </c>
      <c r="G379">
        <f>IF(AutoClaim_Data!D379&lt;=$B$2,AVERAGEIFS(AutoClaim_Data!C2:C3168,AutoClaim_Data!B2:B3168,"Train",AutoClaim_Data!D2:D3168,"&lt;="&amp;$B$2),AVERAGEIFS(AutoClaim_Data!C2:C3168,AutoClaim_Data!B2:B3168,"Train",AutoClaim_Data!D2:D3168,"&gt;"&amp;$B$2))</f>
        <v/>
      </c>
      <c r="H379">
        <f>IF(AutoClaim_Data!D379&lt;=$B$2,IF(AutoClaim_Data!E379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79">
        <f>(F379-H379)^2</f>
        <v/>
      </c>
      <c r="J379">
        <f>--(E379="Validation")</f>
        <v/>
      </c>
    </row>
    <row r="380">
      <c r="D380">
        <f>AutoClaim_Data!A380</f>
        <v/>
      </c>
      <c r="E380">
        <f>AutoClaim_Data!B380</f>
        <v/>
      </c>
      <c r="F380">
        <f>AutoClaim_Data!C380</f>
        <v/>
      </c>
      <c r="G380">
        <f>IF(AutoClaim_Data!D380&lt;=$B$2,AVERAGEIFS(AutoClaim_Data!C2:C3168,AutoClaim_Data!B2:B3168,"Train",AutoClaim_Data!D2:D3168,"&lt;="&amp;$B$2),AVERAGEIFS(AutoClaim_Data!C2:C3168,AutoClaim_Data!B2:B3168,"Train",AutoClaim_Data!D2:D3168,"&gt;"&amp;$B$2))</f>
        <v/>
      </c>
      <c r="H380">
        <f>IF(AutoClaim_Data!D380&lt;=$B$2,IF(AutoClaim_Data!E380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0">
        <f>(F380-H380)^2</f>
        <v/>
      </c>
      <c r="J380">
        <f>--(E380="Validation")</f>
        <v/>
      </c>
    </row>
    <row r="381">
      <c r="D381">
        <f>AutoClaim_Data!A381</f>
        <v/>
      </c>
      <c r="E381">
        <f>AutoClaim_Data!B381</f>
        <v/>
      </c>
      <c r="F381">
        <f>AutoClaim_Data!C381</f>
        <v/>
      </c>
      <c r="G381">
        <f>IF(AutoClaim_Data!D381&lt;=$B$2,AVERAGEIFS(AutoClaim_Data!C2:C3168,AutoClaim_Data!B2:B3168,"Train",AutoClaim_Data!D2:D3168,"&lt;="&amp;$B$2),AVERAGEIFS(AutoClaim_Data!C2:C3168,AutoClaim_Data!B2:B3168,"Train",AutoClaim_Data!D2:D3168,"&gt;"&amp;$B$2))</f>
        <v/>
      </c>
      <c r="H381">
        <f>IF(AutoClaim_Data!D381&lt;=$B$2,IF(AutoClaim_Data!E381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1">
        <f>(F381-H381)^2</f>
        <v/>
      </c>
      <c r="J381">
        <f>--(E381="Validation")</f>
        <v/>
      </c>
    </row>
    <row r="382">
      <c r="D382">
        <f>AutoClaim_Data!A382</f>
        <v/>
      </c>
      <c r="E382">
        <f>AutoClaim_Data!B382</f>
        <v/>
      </c>
      <c r="F382">
        <f>AutoClaim_Data!C382</f>
        <v/>
      </c>
      <c r="G382">
        <f>IF(AutoClaim_Data!D382&lt;=$B$2,AVERAGEIFS(AutoClaim_Data!C2:C3168,AutoClaim_Data!B2:B3168,"Train",AutoClaim_Data!D2:D3168,"&lt;="&amp;$B$2),AVERAGEIFS(AutoClaim_Data!C2:C3168,AutoClaim_Data!B2:B3168,"Train",AutoClaim_Data!D2:D3168,"&gt;"&amp;$B$2))</f>
        <v/>
      </c>
      <c r="H382">
        <f>IF(AutoClaim_Data!D382&lt;=$B$2,IF(AutoClaim_Data!E382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2">
        <f>(F382-H382)^2</f>
        <v/>
      </c>
      <c r="J382">
        <f>--(E382="Validation")</f>
        <v/>
      </c>
    </row>
    <row r="383">
      <c r="D383">
        <f>AutoClaim_Data!A383</f>
        <v/>
      </c>
      <c r="E383">
        <f>AutoClaim_Data!B383</f>
        <v/>
      </c>
      <c r="F383">
        <f>AutoClaim_Data!C383</f>
        <v/>
      </c>
      <c r="G383">
        <f>IF(AutoClaim_Data!D383&lt;=$B$2,AVERAGEIFS(AutoClaim_Data!C2:C3168,AutoClaim_Data!B2:B3168,"Train",AutoClaim_Data!D2:D3168,"&lt;="&amp;$B$2),AVERAGEIFS(AutoClaim_Data!C2:C3168,AutoClaim_Data!B2:B3168,"Train",AutoClaim_Data!D2:D3168,"&gt;"&amp;$B$2))</f>
        <v/>
      </c>
      <c r="H383">
        <f>IF(AutoClaim_Data!D383&lt;=$B$2,IF(AutoClaim_Data!E383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3">
        <f>(F383-H383)^2</f>
        <v/>
      </c>
      <c r="J383">
        <f>--(E383="Validation")</f>
        <v/>
      </c>
    </row>
    <row r="384">
      <c r="D384">
        <f>AutoClaim_Data!A384</f>
        <v/>
      </c>
      <c r="E384">
        <f>AutoClaim_Data!B384</f>
        <v/>
      </c>
      <c r="F384">
        <f>AutoClaim_Data!C384</f>
        <v/>
      </c>
      <c r="G384">
        <f>IF(AutoClaim_Data!D384&lt;=$B$2,AVERAGEIFS(AutoClaim_Data!C2:C3168,AutoClaim_Data!B2:B3168,"Train",AutoClaim_Data!D2:D3168,"&lt;="&amp;$B$2),AVERAGEIFS(AutoClaim_Data!C2:C3168,AutoClaim_Data!B2:B3168,"Train",AutoClaim_Data!D2:D3168,"&gt;"&amp;$B$2))</f>
        <v/>
      </c>
      <c r="H384">
        <f>IF(AutoClaim_Data!D384&lt;=$B$2,IF(AutoClaim_Data!E384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4">
        <f>(F384-H384)^2</f>
        <v/>
      </c>
      <c r="J384">
        <f>--(E384="Validation")</f>
        <v/>
      </c>
    </row>
    <row r="385">
      <c r="D385">
        <f>AutoClaim_Data!A385</f>
        <v/>
      </c>
      <c r="E385">
        <f>AutoClaim_Data!B385</f>
        <v/>
      </c>
      <c r="F385">
        <f>AutoClaim_Data!C385</f>
        <v/>
      </c>
      <c r="G385">
        <f>IF(AutoClaim_Data!D385&lt;=$B$2,AVERAGEIFS(AutoClaim_Data!C2:C3168,AutoClaim_Data!B2:B3168,"Train",AutoClaim_Data!D2:D3168,"&lt;="&amp;$B$2),AVERAGEIFS(AutoClaim_Data!C2:C3168,AutoClaim_Data!B2:B3168,"Train",AutoClaim_Data!D2:D3168,"&gt;"&amp;$B$2))</f>
        <v/>
      </c>
      <c r="H385">
        <f>IF(AutoClaim_Data!D385&lt;=$B$2,IF(AutoClaim_Data!E385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5">
        <f>(F385-H385)^2</f>
        <v/>
      </c>
      <c r="J385">
        <f>--(E385="Validation")</f>
        <v/>
      </c>
    </row>
    <row r="386">
      <c r="D386">
        <f>AutoClaim_Data!A386</f>
        <v/>
      </c>
      <c r="E386">
        <f>AutoClaim_Data!B386</f>
        <v/>
      </c>
      <c r="F386">
        <f>AutoClaim_Data!C386</f>
        <v/>
      </c>
      <c r="G386">
        <f>IF(AutoClaim_Data!D386&lt;=$B$2,AVERAGEIFS(AutoClaim_Data!C2:C3168,AutoClaim_Data!B2:B3168,"Train",AutoClaim_Data!D2:D3168,"&lt;="&amp;$B$2),AVERAGEIFS(AutoClaim_Data!C2:C3168,AutoClaim_Data!B2:B3168,"Train",AutoClaim_Data!D2:D3168,"&gt;"&amp;$B$2))</f>
        <v/>
      </c>
      <c r="H386">
        <f>IF(AutoClaim_Data!D386&lt;=$B$2,IF(AutoClaim_Data!E386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6">
        <f>(F386-H386)^2</f>
        <v/>
      </c>
      <c r="J386">
        <f>--(E386="Validation")</f>
        <v/>
      </c>
    </row>
    <row r="387">
      <c r="D387">
        <f>AutoClaim_Data!A387</f>
        <v/>
      </c>
      <c r="E387">
        <f>AutoClaim_Data!B387</f>
        <v/>
      </c>
      <c r="F387">
        <f>AutoClaim_Data!C387</f>
        <v/>
      </c>
      <c r="G387">
        <f>IF(AutoClaim_Data!D387&lt;=$B$2,AVERAGEIFS(AutoClaim_Data!C2:C3168,AutoClaim_Data!B2:B3168,"Train",AutoClaim_Data!D2:D3168,"&lt;="&amp;$B$2),AVERAGEIFS(AutoClaim_Data!C2:C3168,AutoClaim_Data!B2:B3168,"Train",AutoClaim_Data!D2:D3168,"&gt;"&amp;$B$2))</f>
        <v/>
      </c>
      <c r="H387">
        <f>IF(AutoClaim_Data!D387&lt;=$B$2,IF(AutoClaim_Data!E387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7">
        <f>(F387-H387)^2</f>
        <v/>
      </c>
      <c r="J387">
        <f>--(E387="Validation")</f>
        <v/>
      </c>
    </row>
    <row r="388">
      <c r="D388">
        <f>AutoClaim_Data!A388</f>
        <v/>
      </c>
      <c r="E388">
        <f>AutoClaim_Data!B388</f>
        <v/>
      </c>
      <c r="F388">
        <f>AutoClaim_Data!C388</f>
        <v/>
      </c>
      <c r="G388">
        <f>IF(AutoClaim_Data!D388&lt;=$B$2,AVERAGEIFS(AutoClaim_Data!C2:C3168,AutoClaim_Data!B2:B3168,"Train",AutoClaim_Data!D2:D3168,"&lt;="&amp;$B$2),AVERAGEIFS(AutoClaim_Data!C2:C3168,AutoClaim_Data!B2:B3168,"Train",AutoClaim_Data!D2:D3168,"&gt;"&amp;$B$2))</f>
        <v/>
      </c>
      <c r="H388">
        <f>IF(AutoClaim_Data!D388&lt;=$B$2,IF(AutoClaim_Data!E388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8">
        <f>(F388-H388)^2</f>
        <v/>
      </c>
      <c r="J388">
        <f>--(E388="Validation")</f>
        <v/>
      </c>
    </row>
    <row r="389">
      <c r="D389">
        <f>AutoClaim_Data!A389</f>
        <v/>
      </c>
      <c r="E389">
        <f>AutoClaim_Data!B389</f>
        <v/>
      </c>
      <c r="F389">
        <f>AutoClaim_Data!C389</f>
        <v/>
      </c>
      <c r="G389">
        <f>IF(AutoClaim_Data!D389&lt;=$B$2,AVERAGEIFS(AutoClaim_Data!C2:C3168,AutoClaim_Data!B2:B3168,"Train",AutoClaim_Data!D2:D3168,"&lt;="&amp;$B$2),AVERAGEIFS(AutoClaim_Data!C2:C3168,AutoClaim_Data!B2:B3168,"Train",AutoClaim_Data!D2:D3168,"&gt;"&amp;$B$2))</f>
        <v/>
      </c>
      <c r="H389">
        <f>IF(AutoClaim_Data!D389&lt;=$B$2,IF(AutoClaim_Data!E389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89">
        <f>(F389-H389)^2</f>
        <v/>
      </c>
      <c r="J389">
        <f>--(E389="Validation")</f>
        <v/>
      </c>
    </row>
    <row r="390">
      <c r="D390">
        <f>AutoClaim_Data!A390</f>
        <v/>
      </c>
      <c r="E390">
        <f>AutoClaim_Data!B390</f>
        <v/>
      </c>
      <c r="F390">
        <f>AutoClaim_Data!C390</f>
        <v/>
      </c>
      <c r="G390">
        <f>IF(AutoClaim_Data!D390&lt;=$B$2,AVERAGEIFS(AutoClaim_Data!C2:C3168,AutoClaim_Data!B2:B3168,"Train",AutoClaim_Data!D2:D3168,"&lt;="&amp;$B$2),AVERAGEIFS(AutoClaim_Data!C2:C3168,AutoClaim_Data!B2:B3168,"Train",AutoClaim_Data!D2:D3168,"&gt;"&amp;$B$2))</f>
        <v/>
      </c>
      <c r="H390">
        <f>IF(AutoClaim_Data!D390&lt;=$B$2,IF(AutoClaim_Data!E390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0">
        <f>(F390-H390)^2</f>
        <v/>
      </c>
      <c r="J390">
        <f>--(E390="Validation")</f>
        <v/>
      </c>
    </row>
    <row r="391">
      <c r="D391">
        <f>AutoClaim_Data!A391</f>
        <v/>
      </c>
      <c r="E391">
        <f>AutoClaim_Data!B391</f>
        <v/>
      </c>
      <c r="F391">
        <f>AutoClaim_Data!C391</f>
        <v/>
      </c>
      <c r="G391">
        <f>IF(AutoClaim_Data!D391&lt;=$B$2,AVERAGEIFS(AutoClaim_Data!C2:C3168,AutoClaim_Data!B2:B3168,"Train",AutoClaim_Data!D2:D3168,"&lt;="&amp;$B$2),AVERAGEIFS(AutoClaim_Data!C2:C3168,AutoClaim_Data!B2:B3168,"Train",AutoClaim_Data!D2:D3168,"&gt;"&amp;$B$2))</f>
        <v/>
      </c>
      <c r="H391">
        <f>IF(AutoClaim_Data!D391&lt;=$B$2,IF(AutoClaim_Data!E391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1">
        <f>(F391-H391)^2</f>
        <v/>
      </c>
      <c r="J391">
        <f>--(E391="Validation")</f>
        <v/>
      </c>
    </row>
    <row r="392">
      <c r="D392">
        <f>AutoClaim_Data!A392</f>
        <v/>
      </c>
      <c r="E392">
        <f>AutoClaim_Data!B392</f>
        <v/>
      </c>
      <c r="F392">
        <f>AutoClaim_Data!C392</f>
        <v/>
      </c>
      <c r="G392">
        <f>IF(AutoClaim_Data!D392&lt;=$B$2,AVERAGEIFS(AutoClaim_Data!C2:C3168,AutoClaim_Data!B2:B3168,"Train",AutoClaim_Data!D2:D3168,"&lt;="&amp;$B$2),AVERAGEIFS(AutoClaim_Data!C2:C3168,AutoClaim_Data!B2:B3168,"Train",AutoClaim_Data!D2:D3168,"&gt;"&amp;$B$2))</f>
        <v/>
      </c>
      <c r="H392">
        <f>IF(AutoClaim_Data!D392&lt;=$B$2,IF(AutoClaim_Data!E392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2">
        <f>(F392-H392)^2</f>
        <v/>
      </c>
      <c r="J392">
        <f>--(E392="Validation")</f>
        <v/>
      </c>
    </row>
    <row r="393">
      <c r="D393">
        <f>AutoClaim_Data!A393</f>
        <v/>
      </c>
      <c r="E393">
        <f>AutoClaim_Data!B393</f>
        <v/>
      </c>
      <c r="F393">
        <f>AutoClaim_Data!C393</f>
        <v/>
      </c>
      <c r="G393">
        <f>IF(AutoClaim_Data!D393&lt;=$B$2,AVERAGEIFS(AutoClaim_Data!C2:C3168,AutoClaim_Data!B2:B3168,"Train",AutoClaim_Data!D2:D3168,"&lt;="&amp;$B$2),AVERAGEIFS(AutoClaim_Data!C2:C3168,AutoClaim_Data!B2:B3168,"Train",AutoClaim_Data!D2:D3168,"&gt;"&amp;$B$2))</f>
        <v/>
      </c>
      <c r="H393">
        <f>IF(AutoClaim_Data!D393&lt;=$B$2,IF(AutoClaim_Data!E393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3">
        <f>(F393-H393)^2</f>
        <v/>
      </c>
      <c r="J393">
        <f>--(E393="Validation")</f>
        <v/>
      </c>
    </row>
    <row r="394">
      <c r="D394">
        <f>AutoClaim_Data!A394</f>
        <v/>
      </c>
      <c r="E394">
        <f>AutoClaim_Data!B394</f>
        <v/>
      </c>
      <c r="F394">
        <f>AutoClaim_Data!C394</f>
        <v/>
      </c>
      <c r="G394">
        <f>IF(AutoClaim_Data!D394&lt;=$B$2,AVERAGEIFS(AutoClaim_Data!C2:C3168,AutoClaim_Data!B2:B3168,"Train",AutoClaim_Data!D2:D3168,"&lt;="&amp;$B$2),AVERAGEIFS(AutoClaim_Data!C2:C3168,AutoClaim_Data!B2:B3168,"Train",AutoClaim_Data!D2:D3168,"&gt;"&amp;$B$2))</f>
        <v/>
      </c>
      <c r="H394">
        <f>IF(AutoClaim_Data!D394&lt;=$B$2,IF(AutoClaim_Data!E394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4">
        <f>(F394-H394)^2</f>
        <v/>
      </c>
      <c r="J394">
        <f>--(E394="Validation")</f>
        <v/>
      </c>
    </row>
    <row r="395">
      <c r="D395">
        <f>AutoClaim_Data!A395</f>
        <v/>
      </c>
      <c r="E395">
        <f>AutoClaim_Data!B395</f>
        <v/>
      </c>
      <c r="F395">
        <f>AutoClaim_Data!C395</f>
        <v/>
      </c>
      <c r="G395">
        <f>IF(AutoClaim_Data!D395&lt;=$B$2,AVERAGEIFS(AutoClaim_Data!C2:C3168,AutoClaim_Data!B2:B3168,"Train",AutoClaim_Data!D2:D3168,"&lt;="&amp;$B$2),AVERAGEIFS(AutoClaim_Data!C2:C3168,AutoClaim_Data!B2:B3168,"Train",AutoClaim_Data!D2:D3168,"&gt;"&amp;$B$2))</f>
        <v/>
      </c>
      <c r="H395">
        <f>IF(AutoClaim_Data!D395&lt;=$B$2,IF(AutoClaim_Data!E395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5">
        <f>(F395-H395)^2</f>
        <v/>
      </c>
      <c r="J395">
        <f>--(E395="Validation")</f>
        <v/>
      </c>
    </row>
    <row r="396">
      <c r="D396">
        <f>AutoClaim_Data!A396</f>
        <v/>
      </c>
      <c r="E396">
        <f>AutoClaim_Data!B396</f>
        <v/>
      </c>
      <c r="F396">
        <f>AutoClaim_Data!C396</f>
        <v/>
      </c>
      <c r="G396">
        <f>IF(AutoClaim_Data!D396&lt;=$B$2,AVERAGEIFS(AutoClaim_Data!C2:C3168,AutoClaim_Data!B2:B3168,"Train",AutoClaim_Data!D2:D3168,"&lt;="&amp;$B$2),AVERAGEIFS(AutoClaim_Data!C2:C3168,AutoClaim_Data!B2:B3168,"Train",AutoClaim_Data!D2:D3168,"&gt;"&amp;$B$2))</f>
        <v/>
      </c>
      <c r="H396">
        <f>IF(AutoClaim_Data!D396&lt;=$B$2,IF(AutoClaim_Data!E396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6">
        <f>(F396-H396)^2</f>
        <v/>
      </c>
      <c r="J396">
        <f>--(E396="Validation")</f>
        <v/>
      </c>
    </row>
    <row r="397">
      <c r="D397">
        <f>AutoClaim_Data!A397</f>
        <v/>
      </c>
      <c r="E397">
        <f>AutoClaim_Data!B397</f>
        <v/>
      </c>
      <c r="F397">
        <f>AutoClaim_Data!C397</f>
        <v/>
      </c>
      <c r="G397">
        <f>IF(AutoClaim_Data!D397&lt;=$B$2,AVERAGEIFS(AutoClaim_Data!C2:C3168,AutoClaim_Data!B2:B3168,"Train",AutoClaim_Data!D2:D3168,"&lt;="&amp;$B$2),AVERAGEIFS(AutoClaim_Data!C2:C3168,AutoClaim_Data!B2:B3168,"Train",AutoClaim_Data!D2:D3168,"&gt;"&amp;$B$2))</f>
        <v/>
      </c>
      <c r="H397">
        <f>IF(AutoClaim_Data!D397&lt;=$B$2,IF(AutoClaim_Data!E397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7">
        <f>(F397-H397)^2</f>
        <v/>
      </c>
      <c r="J397">
        <f>--(E397="Validation")</f>
        <v/>
      </c>
    </row>
    <row r="398">
      <c r="D398">
        <f>AutoClaim_Data!A398</f>
        <v/>
      </c>
      <c r="E398">
        <f>AutoClaim_Data!B398</f>
        <v/>
      </c>
      <c r="F398">
        <f>AutoClaim_Data!C398</f>
        <v/>
      </c>
      <c r="G398">
        <f>IF(AutoClaim_Data!D398&lt;=$B$2,AVERAGEIFS(AutoClaim_Data!C2:C3168,AutoClaim_Data!B2:B3168,"Train",AutoClaim_Data!D2:D3168,"&lt;="&amp;$B$2),AVERAGEIFS(AutoClaim_Data!C2:C3168,AutoClaim_Data!B2:B3168,"Train",AutoClaim_Data!D2:D3168,"&gt;"&amp;$B$2))</f>
        <v/>
      </c>
      <c r="H398">
        <f>IF(AutoClaim_Data!D398&lt;=$B$2,IF(AutoClaim_Data!E398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8">
        <f>(F398-H398)^2</f>
        <v/>
      </c>
      <c r="J398">
        <f>--(E398="Validation")</f>
        <v/>
      </c>
    </row>
    <row r="399">
      <c r="D399">
        <f>AutoClaim_Data!A399</f>
        <v/>
      </c>
      <c r="E399">
        <f>AutoClaim_Data!B399</f>
        <v/>
      </c>
      <c r="F399">
        <f>AutoClaim_Data!C399</f>
        <v/>
      </c>
      <c r="G399">
        <f>IF(AutoClaim_Data!D399&lt;=$B$2,AVERAGEIFS(AutoClaim_Data!C2:C3168,AutoClaim_Data!B2:B3168,"Train",AutoClaim_Data!D2:D3168,"&lt;="&amp;$B$2),AVERAGEIFS(AutoClaim_Data!C2:C3168,AutoClaim_Data!B2:B3168,"Train",AutoClaim_Data!D2:D3168,"&gt;"&amp;$B$2))</f>
        <v/>
      </c>
      <c r="H399">
        <f>IF(AutoClaim_Data!D399&lt;=$B$2,IF(AutoClaim_Data!E399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99">
        <f>(F399-H399)^2</f>
        <v/>
      </c>
      <c r="J399">
        <f>--(E399="Validation")</f>
        <v/>
      </c>
    </row>
    <row r="400">
      <c r="D400">
        <f>AutoClaim_Data!A400</f>
        <v/>
      </c>
      <c r="E400">
        <f>AutoClaim_Data!B400</f>
        <v/>
      </c>
      <c r="F400">
        <f>AutoClaim_Data!C400</f>
        <v/>
      </c>
      <c r="G400">
        <f>IF(AutoClaim_Data!D400&lt;=$B$2,AVERAGEIFS(AutoClaim_Data!C2:C3168,AutoClaim_Data!B2:B3168,"Train",AutoClaim_Data!D2:D3168,"&lt;="&amp;$B$2),AVERAGEIFS(AutoClaim_Data!C2:C3168,AutoClaim_Data!B2:B3168,"Train",AutoClaim_Data!D2:D3168,"&gt;"&amp;$B$2))</f>
        <v/>
      </c>
      <c r="H400">
        <f>IF(AutoClaim_Data!D400&lt;=$B$2,IF(AutoClaim_Data!E400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0">
        <f>(F400-H400)^2</f>
        <v/>
      </c>
      <c r="J400">
        <f>--(E400="Validation")</f>
        <v/>
      </c>
    </row>
    <row r="401">
      <c r="D401">
        <f>AutoClaim_Data!A401</f>
        <v/>
      </c>
      <c r="E401">
        <f>AutoClaim_Data!B401</f>
        <v/>
      </c>
      <c r="F401">
        <f>AutoClaim_Data!C401</f>
        <v/>
      </c>
      <c r="G401">
        <f>IF(AutoClaim_Data!D401&lt;=$B$2,AVERAGEIFS(AutoClaim_Data!C2:C3168,AutoClaim_Data!B2:B3168,"Train",AutoClaim_Data!D2:D3168,"&lt;="&amp;$B$2),AVERAGEIFS(AutoClaim_Data!C2:C3168,AutoClaim_Data!B2:B3168,"Train",AutoClaim_Data!D2:D3168,"&gt;"&amp;$B$2))</f>
        <v/>
      </c>
      <c r="H401">
        <f>IF(AutoClaim_Data!D401&lt;=$B$2,IF(AutoClaim_Data!E401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1">
        <f>(F401-H401)^2</f>
        <v/>
      </c>
      <c r="J401">
        <f>--(E401="Validation")</f>
        <v/>
      </c>
    </row>
    <row r="402">
      <c r="D402">
        <f>AutoClaim_Data!A402</f>
        <v/>
      </c>
      <c r="E402">
        <f>AutoClaim_Data!B402</f>
        <v/>
      </c>
      <c r="F402">
        <f>AutoClaim_Data!C402</f>
        <v/>
      </c>
      <c r="G402">
        <f>IF(AutoClaim_Data!D402&lt;=$B$2,AVERAGEIFS(AutoClaim_Data!C2:C3168,AutoClaim_Data!B2:B3168,"Train",AutoClaim_Data!D2:D3168,"&lt;="&amp;$B$2),AVERAGEIFS(AutoClaim_Data!C2:C3168,AutoClaim_Data!B2:B3168,"Train",AutoClaim_Data!D2:D3168,"&gt;"&amp;$B$2))</f>
        <v/>
      </c>
      <c r="H402">
        <f>IF(AutoClaim_Data!D402&lt;=$B$2,IF(AutoClaim_Data!E402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2">
        <f>(F402-H402)^2</f>
        <v/>
      </c>
      <c r="J402">
        <f>--(E402="Validation")</f>
        <v/>
      </c>
    </row>
    <row r="403">
      <c r="D403">
        <f>AutoClaim_Data!A403</f>
        <v/>
      </c>
      <c r="E403">
        <f>AutoClaim_Data!B403</f>
        <v/>
      </c>
      <c r="F403">
        <f>AutoClaim_Data!C403</f>
        <v/>
      </c>
      <c r="G403">
        <f>IF(AutoClaim_Data!D403&lt;=$B$2,AVERAGEIFS(AutoClaim_Data!C2:C3168,AutoClaim_Data!B2:B3168,"Train",AutoClaim_Data!D2:D3168,"&lt;="&amp;$B$2),AVERAGEIFS(AutoClaim_Data!C2:C3168,AutoClaim_Data!B2:B3168,"Train",AutoClaim_Data!D2:D3168,"&gt;"&amp;$B$2))</f>
        <v/>
      </c>
      <c r="H403">
        <f>IF(AutoClaim_Data!D403&lt;=$B$2,IF(AutoClaim_Data!E403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3">
        <f>(F403-H403)^2</f>
        <v/>
      </c>
      <c r="J403">
        <f>--(E403="Validation")</f>
        <v/>
      </c>
    </row>
    <row r="404">
      <c r="D404">
        <f>AutoClaim_Data!A404</f>
        <v/>
      </c>
      <c r="E404">
        <f>AutoClaim_Data!B404</f>
        <v/>
      </c>
      <c r="F404">
        <f>AutoClaim_Data!C404</f>
        <v/>
      </c>
      <c r="G404">
        <f>IF(AutoClaim_Data!D404&lt;=$B$2,AVERAGEIFS(AutoClaim_Data!C2:C3168,AutoClaim_Data!B2:B3168,"Train",AutoClaim_Data!D2:D3168,"&lt;="&amp;$B$2),AVERAGEIFS(AutoClaim_Data!C2:C3168,AutoClaim_Data!B2:B3168,"Train",AutoClaim_Data!D2:D3168,"&gt;"&amp;$B$2))</f>
        <v/>
      </c>
      <c r="H404">
        <f>IF(AutoClaim_Data!D404&lt;=$B$2,IF(AutoClaim_Data!E404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4">
        <f>(F404-H404)^2</f>
        <v/>
      </c>
      <c r="J404">
        <f>--(E404="Validation")</f>
        <v/>
      </c>
    </row>
    <row r="405">
      <c r="D405">
        <f>AutoClaim_Data!A405</f>
        <v/>
      </c>
      <c r="E405">
        <f>AutoClaim_Data!B405</f>
        <v/>
      </c>
      <c r="F405">
        <f>AutoClaim_Data!C405</f>
        <v/>
      </c>
      <c r="G405">
        <f>IF(AutoClaim_Data!D405&lt;=$B$2,AVERAGEIFS(AutoClaim_Data!C2:C3168,AutoClaim_Data!B2:B3168,"Train",AutoClaim_Data!D2:D3168,"&lt;="&amp;$B$2),AVERAGEIFS(AutoClaim_Data!C2:C3168,AutoClaim_Data!B2:B3168,"Train",AutoClaim_Data!D2:D3168,"&gt;"&amp;$B$2))</f>
        <v/>
      </c>
      <c r="H405">
        <f>IF(AutoClaim_Data!D405&lt;=$B$2,IF(AutoClaim_Data!E405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5">
        <f>(F405-H405)^2</f>
        <v/>
      </c>
      <c r="J405">
        <f>--(E405="Validation")</f>
        <v/>
      </c>
    </row>
    <row r="406">
      <c r="D406">
        <f>AutoClaim_Data!A406</f>
        <v/>
      </c>
      <c r="E406">
        <f>AutoClaim_Data!B406</f>
        <v/>
      </c>
      <c r="F406">
        <f>AutoClaim_Data!C406</f>
        <v/>
      </c>
      <c r="G406">
        <f>IF(AutoClaim_Data!D406&lt;=$B$2,AVERAGEIFS(AutoClaim_Data!C2:C3168,AutoClaim_Data!B2:B3168,"Train",AutoClaim_Data!D2:D3168,"&lt;="&amp;$B$2),AVERAGEIFS(AutoClaim_Data!C2:C3168,AutoClaim_Data!B2:B3168,"Train",AutoClaim_Data!D2:D3168,"&gt;"&amp;$B$2))</f>
        <v/>
      </c>
      <c r="H406">
        <f>IF(AutoClaim_Data!D406&lt;=$B$2,IF(AutoClaim_Data!E406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6">
        <f>(F406-H406)^2</f>
        <v/>
      </c>
      <c r="J406">
        <f>--(E406="Validation")</f>
        <v/>
      </c>
    </row>
    <row r="407">
      <c r="D407">
        <f>AutoClaim_Data!A407</f>
        <v/>
      </c>
      <c r="E407">
        <f>AutoClaim_Data!B407</f>
        <v/>
      </c>
      <c r="F407">
        <f>AutoClaim_Data!C407</f>
        <v/>
      </c>
      <c r="G407">
        <f>IF(AutoClaim_Data!D407&lt;=$B$2,AVERAGEIFS(AutoClaim_Data!C2:C3168,AutoClaim_Data!B2:B3168,"Train",AutoClaim_Data!D2:D3168,"&lt;="&amp;$B$2),AVERAGEIFS(AutoClaim_Data!C2:C3168,AutoClaim_Data!B2:B3168,"Train",AutoClaim_Data!D2:D3168,"&gt;"&amp;$B$2))</f>
        <v/>
      </c>
      <c r="H407">
        <f>IF(AutoClaim_Data!D407&lt;=$B$2,IF(AutoClaim_Data!E407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7">
        <f>(F407-H407)^2</f>
        <v/>
      </c>
      <c r="J407">
        <f>--(E407="Validation")</f>
        <v/>
      </c>
    </row>
    <row r="408">
      <c r="D408">
        <f>AutoClaim_Data!A408</f>
        <v/>
      </c>
      <c r="E408">
        <f>AutoClaim_Data!B408</f>
        <v/>
      </c>
      <c r="F408">
        <f>AutoClaim_Data!C408</f>
        <v/>
      </c>
      <c r="G408">
        <f>IF(AutoClaim_Data!D408&lt;=$B$2,AVERAGEIFS(AutoClaim_Data!C2:C3168,AutoClaim_Data!B2:B3168,"Train",AutoClaim_Data!D2:D3168,"&lt;="&amp;$B$2),AVERAGEIFS(AutoClaim_Data!C2:C3168,AutoClaim_Data!B2:B3168,"Train",AutoClaim_Data!D2:D3168,"&gt;"&amp;$B$2))</f>
        <v/>
      </c>
      <c r="H408">
        <f>IF(AutoClaim_Data!D408&lt;=$B$2,IF(AutoClaim_Data!E408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8">
        <f>(F408-H408)^2</f>
        <v/>
      </c>
      <c r="J408">
        <f>--(E408="Validation")</f>
        <v/>
      </c>
    </row>
    <row r="409">
      <c r="D409">
        <f>AutoClaim_Data!A409</f>
        <v/>
      </c>
      <c r="E409">
        <f>AutoClaim_Data!B409</f>
        <v/>
      </c>
      <c r="F409">
        <f>AutoClaim_Data!C409</f>
        <v/>
      </c>
      <c r="G409">
        <f>IF(AutoClaim_Data!D409&lt;=$B$2,AVERAGEIFS(AutoClaim_Data!C2:C3168,AutoClaim_Data!B2:B3168,"Train",AutoClaim_Data!D2:D3168,"&lt;="&amp;$B$2),AVERAGEIFS(AutoClaim_Data!C2:C3168,AutoClaim_Data!B2:B3168,"Train",AutoClaim_Data!D2:D3168,"&gt;"&amp;$B$2))</f>
        <v/>
      </c>
      <c r="H409">
        <f>IF(AutoClaim_Data!D409&lt;=$B$2,IF(AutoClaim_Data!E409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09">
        <f>(F409-H409)^2</f>
        <v/>
      </c>
      <c r="J409">
        <f>--(E409="Validation")</f>
        <v/>
      </c>
    </row>
    <row r="410">
      <c r="D410">
        <f>AutoClaim_Data!A410</f>
        <v/>
      </c>
      <c r="E410">
        <f>AutoClaim_Data!B410</f>
        <v/>
      </c>
      <c r="F410">
        <f>AutoClaim_Data!C410</f>
        <v/>
      </c>
      <c r="G410">
        <f>IF(AutoClaim_Data!D410&lt;=$B$2,AVERAGEIFS(AutoClaim_Data!C2:C3168,AutoClaim_Data!B2:B3168,"Train",AutoClaim_Data!D2:D3168,"&lt;="&amp;$B$2),AVERAGEIFS(AutoClaim_Data!C2:C3168,AutoClaim_Data!B2:B3168,"Train",AutoClaim_Data!D2:D3168,"&gt;"&amp;$B$2))</f>
        <v/>
      </c>
      <c r="H410">
        <f>IF(AutoClaim_Data!D410&lt;=$B$2,IF(AutoClaim_Data!E410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0">
        <f>(F410-H410)^2</f>
        <v/>
      </c>
      <c r="J410">
        <f>--(E410="Validation")</f>
        <v/>
      </c>
    </row>
    <row r="411">
      <c r="D411">
        <f>AutoClaim_Data!A411</f>
        <v/>
      </c>
      <c r="E411">
        <f>AutoClaim_Data!B411</f>
        <v/>
      </c>
      <c r="F411">
        <f>AutoClaim_Data!C411</f>
        <v/>
      </c>
      <c r="G411">
        <f>IF(AutoClaim_Data!D411&lt;=$B$2,AVERAGEIFS(AutoClaim_Data!C2:C3168,AutoClaim_Data!B2:B3168,"Train",AutoClaim_Data!D2:D3168,"&lt;="&amp;$B$2),AVERAGEIFS(AutoClaim_Data!C2:C3168,AutoClaim_Data!B2:B3168,"Train",AutoClaim_Data!D2:D3168,"&gt;"&amp;$B$2))</f>
        <v/>
      </c>
      <c r="H411">
        <f>IF(AutoClaim_Data!D411&lt;=$B$2,IF(AutoClaim_Data!E411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1">
        <f>(F411-H411)^2</f>
        <v/>
      </c>
      <c r="J411">
        <f>--(E411="Validation")</f>
        <v/>
      </c>
    </row>
    <row r="412">
      <c r="D412">
        <f>AutoClaim_Data!A412</f>
        <v/>
      </c>
      <c r="E412">
        <f>AutoClaim_Data!B412</f>
        <v/>
      </c>
      <c r="F412">
        <f>AutoClaim_Data!C412</f>
        <v/>
      </c>
      <c r="G412">
        <f>IF(AutoClaim_Data!D412&lt;=$B$2,AVERAGEIFS(AutoClaim_Data!C2:C3168,AutoClaim_Data!B2:B3168,"Train",AutoClaim_Data!D2:D3168,"&lt;="&amp;$B$2),AVERAGEIFS(AutoClaim_Data!C2:C3168,AutoClaim_Data!B2:B3168,"Train",AutoClaim_Data!D2:D3168,"&gt;"&amp;$B$2))</f>
        <v/>
      </c>
      <c r="H412">
        <f>IF(AutoClaim_Data!D412&lt;=$B$2,IF(AutoClaim_Data!E412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2">
        <f>(F412-H412)^2</f>
        <v/>
      </c>
      <c r="J412">
        <f>--(E412="Validation")</f>
        <v/>
      </c>
    </row>
    <row r="413">
      <c r="D413">
        <f>AutoClaim_Data!A413</f>
        <v/>
      </c>
      <c r="E413">
        <f>AutoClaim_Data!B413</f>
        <v/>
      </c>
      <c r="F413">
        <f>AutoClaim_Data!C413</f>
        <v/>
      </c>
      <c r="G413">
        <f>IF(AutoClaim_Data!D413&lt;=$B$2,AVERAGEIFS(AutoClaim_Data!C2:C3168,AutoClaim_Data!B2:B3168,"Train",AutoClaim_Data!D2:D3168,"&lt;="&amp;$B$2),AVERAGEIFS(AutoClaim_Data!C2:C3168,AutoClaim_Data!B2:B3168,"Train",AutoClaim_Data!D2:D3168,"&gt;"&amp;$B$2))</f>
        <v/>
      </c>
      <c r="H413">
        <f>IF(AutoClaim_Data!D413&lt;=$B$2,IF(AutoClaim_Data!E413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3">
        <f>(F413-H413)^2</f>
        <v/>
      </c>
      <c r="J413">
        <f>--(E413="Validation")</f>
        <v/>
      </c>
    </row>
    <row r="414">
      <c r="D414">
        <f>AutoClaim_Data!A414</f>
        <v/>
      </c>
      <c r="E414">
        <f>AutoClaim_Data!B414</f>
        <v/>
      </c>
      <c r="F414">
        <f>AutoClaim_Data!C414</f>
        <v/>
      </c>
      <c r="G414">
        <f>IF(AutoClaim_Data!D414&lt;=$B$2,AVERAGEIFS(AutoClaim_Data!C2:C3168,AutoClaim_Data!B2:B3168,"Train",AutoClaim_Data!D2:D3168,"&lt;="&amp;$B$2),AVERAGEIFS(AutoClaim_Data!C2:C3168,AutoClaim_Data!B2:B3168,"Train",AutoClaim_Data!D2:D3168,"&gt;"&amp;$B$2))</f>
        <v/>
      </c>
      <c r="H414">
        <f>IF(AutoClaim_Data!D414&lt;=$B$2,IF(AutoClaim_Data!E414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4">
        <f>(F414-H414)^2</f>
        <v/>
      </c>
      <c r="J414">
        <f>--(E414="Validation")</f>
        <v/>
      </c>
    </row>
    <row r="415">
      <c r="D415">
        <f>AutoClaim_Data!A415</f>
        <v/>
      </c>
      <c r="E415">
        <f>AutoClaim_Data!B415</f>
        <v/>
      </c>
      <c r="F415">
        <f>AutoClaim_Data!C415</f>
        <v/>
      </c>
      <c r="G415">
        <f>IF(AutoClaim_Data!D415&lt;=$B$2,AVERAGEIFS(AutoClaim_Data!C2:C3168,AutoClaim_Data!B2:B3168,"Train",AutoClaim_Data!D2:D3168,"&lt;="&amp;$B$2),AVERAGEIFS(AutoClaim_Data!C2:C3168,AutoClaim_Data!B2:B3168,"Train",AutoClaim_Data!D2:D3168,"&gt;"&amp;$B$2))</f>
        <v/>
      </c>
      <c r="H415">
        <f>IF(AutoClaim_Data!D415&lt;=$B$2,IF(AutoClaim_Data!E415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5">
        <f>(F415-H415)^2</f>
        <v/>
      </c>
      <c r="J415">
        <f>--(E415="Validation")</f>
        <v/>
      </c>
    </row>
    <row r="416">
      <c r="D416">
        <f>AutoClaim_Data!A416</f>
        <v/>
      </c>
      <c r="E416">
        <f>AutoClaim_Data!B416</f>
        <v/>
      </c>
      <c r="F416">
        <f>AutoClaim_Data!C416</f>
        <v/>
      </c>
      <c r="G416">
        <f>IF(AutoClaim_Data!D416&lt;=$B$2,AVERAGEIFS(AutoClaim_Data!C2:C3168,AutoClaim_Data!B2:B3168,"Train",AutoClaim_Data!D2:D3168,"&lt;="&amp;$B$2),AVERAGEIFS(AutoClaim_Data!C2:C3168,AutoClaim_Data!B2:B3168,"Train",AutoClaim_Data!D2:D3168,"&gt;"&amp;$B$2))</f>
        <v/>
      </c>
      <c r="H416">
        <f>IF(AutoClaim_Data!D416&lt;=$B$2,IF(AutoClaim_Data!E416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6">
        <f>(F416-H416)^2</f>
        <v/>
      </c>
      <c r="J416">
        <f>--(E416="Validation")</f>
        <v/>
      </c>
    </row>
    <row r="417">
      <c r="D417">
        <f>AutoClaim_Data!A417</f>
        <v/>
      </c>
      <c r="E417">
        <f>AutoClaim_Data!B417</f>
        <v/>
      </c>
      <c r="F417">
        <f>AutoClaim_Data!C417</f>
        <v/>
      </c>
      <c r="G417">
        <f>IF(AutoClaim_Data!D417&lt;=$B$2,AVERAGEIFS(AutoClaim_Data!C2:C3168,AutoClaim_Data!B2:B3168,"Train",AutoClaim_Data!D2:D3168,"&lt;="&amp;$B$2),AVERAGEIFS(AutoClaim_Data!C2:C3168,AutoClaim_Data!B2:B3168,"Train",AutoClaim_Data!D2:D3168,"&gt;"&amp;$B$2))</f>
        <v/>
      </c>
      <c r="H417">
        <f>IF(AutoClaim_Data!D417&lt;=$B$2,IF(AutoClaim_Data!E417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7">
        <f>(F417-H417)^2</f>
        <v/>
      </c>
      <c r="J417">
        <f>--(E417="Validation")</f>
        <v/>
      </c>
    </row>
    <row r="418">
      <c r="D418">
        <f>AutoClaim_Data!A418</f>
        <v/>
      </c>
      <c r="E418">
        <f>AutoClaim_Data!B418</f>
        <v/>
      </c>
      <c r="F418">
        <f>AutoClaim_Data!C418</f>
        <v/>
      </c>
      <c r="G418">
        <f>IF(AutoClaim_Data!D418&lt;=$B$2,AVERAGEIFS(AutoClaim_Data!C2:C3168,AutoClaim_Data!B2:B3168,"Train",AutoClaim_Data!D2:D3168,"&lt;="&amp;$B$2),AVERAGEIFS(AutoClaim_Data!C2:C3168,AutoClaim_Data!B2:B3168,"Train",AutoClaim_Data!D2:D3168,"&gt;"&amp;$B$2))</f>
        <v/>
      </c>
      <c r="H418">
        <f>IF(AutoClaim_Data!D418&lt;=$B$2,IF(AutoClaim_Data!E418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8">
        <f>(F418-H418)^2</f>
        <v/>
      </c>
      <c r="J418">
        <f>--(E418="Validation")</f>
        <v/>
      </c>
    </row>
    <row r="419">
      <c r="D419">
        <f>AutoClaim_Data!A419</f>
        <v/>
      </c>
      <c r="E419">
        <f>AutoClaim_Data!B419</f>
        <v/>
      </c>
      <c r="F419">
        <f>AutoClaim_Data!C419</f>
        <v/>
      </c>
      <c r="G419">
        <f>IF(AutoClaim_Data!D419&lt;=$B$2,AVERAGEIFS(AutoClaim_Data!C2:C3168,AutoClaim_Data!B2:B3168,"Train",AutoClaim_Data!D2:D3168,"&lt;="&amp;$B$2),AVERAGEIFS(AutoClaim_Data!C2:C3168,AutoClaim_Data!B2:B3168,"Train",AutoClaim_Data!D2:D3168,"&gt;"&amp;$B$2))</f>
        <v/>
      </c>
      <c r="H419">
        <f>IF(AutoClaim_Data!D419&lt;=$B$2,IF(AutoClaim_Data!E419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19">
        <f>(F419-H419)^2</f>
        <v/>
      </c>
      <c r="J419">
        <f>--(E419="Validation")</f>
        <v/>
      </c>
    </row>
    <row r="420">
      <c r="D420">
        <f>AutoClaim_Data!A420</f>
        <v/>
      </c>
      <c r="E420">
        <f>AutoClaim_Data!B420</f>
        <v/>
      </c>
      <c r="F420">
        <f>AutoClaim_Data!C420</f>
        <v/>
      </c>
      <c r="G420">
        <f>IF(AutoClaim_Data!D420&lt;=$B$2,AVERAGEIFS(AutoClaim_Data!C2:C3168,AutoClaim_Data!B2:B3168,"Train",AutoClaim_Data!D2:D3168,"&lt;="&amp;$B$2),AVERAGEIFS(AutoClaim_Data!C2:C3168,AutoClaim_Data!B2:B3168,"Train",AutoClaim_Data!D2:D3168,"&gt;"&amp;$B$2))</f>
        <v/>
      </c>
      <c r="H420">
        <f>IF(AutoClaim_Data!D420&lt;=$B$2,IF(AutoClaim_Data!E420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0">
        <f>(F420-H420)^2</f>
        <v/>
      </c>
      <c r="J420">
        <f>--(E420="Validation")</f>
        <v/>
      </c>
    </row>
    <row r="421">
      <c r="D421">
        <f>AutoClaim_Data!A421</f>
        <v/>
      </c>
      <c r="E421">
        <f>AutoClaim_Data!B421</f>
        <v/>
      </c>
      <c r="F421">
        <f>AutoClaim_Data!C421</f>
        <v/>
      </c>
      <c r="G421">
        <f>IF(AutoClaim_Data!D421&lt;=$B$2,AVERAGEIFS(AutoClaim_Data!C2:C3168,AutoClaim_Data!B2:B3168,"Train",AutoClaim_Data!D2:D3168,"&lt;="&amp;$B$2),AVERAGEIFS(AutoClaim_Data!C2:C3168,AutoClaim_Data!B2:B3168,"Train",AutoClaim_Data!D2:D3168,"&gt;"&amp;$B$2))</f>
        <v/>
      </c>
      <c r="H421">
        <f>IF(AutoClaim_Data!D421&lt;=$B$2,IF(AutoClaim_Data!E421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1">
        <f>(F421-H421)^2</f>
        <v/>
      </c>
      <c r="J421">
        <f>--(E421="Validation")</f>
        <v/>
      </c>
    </row>
    <row r="422">
      <c r="D422">
        <f>AutoClaim_Data!A422</f>
        <v/>
      </c>
      <c r="E422">
        <f>AutoClaim_Data!B422</f>
        <v/>
      </c>
      <c r="F422">
        <f>AutoClaim_Data!C422</f>
        <v/>
      </c>
      <c r="G422">
        <f>IF(AutoClaim_Data!D422&lt;=$B$2,AVERAGEIFS(AutoClaim_Data!C2:C3168,AutoClaim_Data!B2:B3168,"Train",AutoClaim_Data!D2:D3168,"&lt;="&amp;$B$2),AVERAGEIFS(AutoClaim_Data!C2:C3168,AutoClaim_Data!B2:B3168,"Train",AutoClaim_Data!D2:D3168,"&gt;"&amp;$B$2))</f>
        <v/>
      </c>
      <c r="H422">
        <f>IF(AutoClaim_Data!D422&lt;=$B$2,IF(AutoClaim_Data!E422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2">
        <f>(F422-H422)^2</f>
        <v/>
      </c>
      <c r="J422">
        <f>--(E422="Validation")</f>
        <v/>
      </c>
    </row>
    <row r="423">
      <c r="D423">
        <f>AutoClaim_Data!A423</f>
        <v/>
      </c>
      <c r="E423">
        <f>AutoClaim_Data!B423</f>
        <v/>
      </c>
      <c r="F423">
        <f>AutoClaim_Data!C423</f>
        <v/>
      </c>
      <c r="G423">
        <f>IF(AutoClaim_Data!D423&lt;=$B$2,AVERAGEIFS(AutoClaim_Data!C2:C3168,AutoClaim_Data!B2:B3168,"Train",AutoClaim_Data!D2:D3168,"&lt;="&amp;$B$2),AVERAGEIFS(AutoClaim_Data!C2:C3168,AutoClaim_Data!B2:B3168,"Train",AutoClaim_Data!D2:D3168,"&gt;"&amp;$B$2))</f>
        <v/>
      </c>
      <c r="H423">
        <f>IF(AutoClaim_Data!D423&lt;=$B$2,IF(AutoClaim_Data!E423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3">
        <f>(F423-H423)^2</f>
        <v/>
      </c>
      <c r="J423">
        <f>--(E423="Validation")</f>
        <v/>
      </c>
    </row>
    <row r="424">
      <c r="D424">
        <f>AutoClaim_Data!A424</f>
        <v/>
      </c>
      <c r="E424">
        <f>AutoClaim_Data!B424</f>
        <v/>
      </c>
      <c r="F424">
        <f>AutoClaim_Data!C424</f>
        <v/>
      </c>
      <c r="G424">
        <f>IF(AutoClaim_Data!D424&lt;=$B$2,AVERAGEIFS(AutoClaim_Data!C2:C3168,AutoClaim_Data!B2:B3168,"Train",AutoClaim_Data!D2:D3168,"&lt;="&amp;$B$2),AVERAGEIFS(AutoClaim_Data!C2:C3168,AutoClaim_Data!B2:B3168,"Train",AutoClaim_Data!D2:D3168,"&gt;"&amp;$B$2))</f>
        <v/>
      </c>
      <c r="H424">
        <f>IF(AutoClaim_Data!D424&lt;=$B$2,IF(AutoClaim_Data!E424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4">
        <f>(F424-H424)^2</f>
        <v/>
      </c>
      <c r="J424">
        <f>--(E424="Validation")</f>
        <v/>
      </c>
    </row>
    <row r="425">
      <c r="D425">
        <f>AutoClaim_Data!A425</f>
        <v/>
      </c>
      <c r="E425">
        <f>AutoClaim_Data!B425</f>
        <v/>
      </c>
      <c r="F425">
        <f>AutoClaim_Data!C425</f>
        <v/>
      </c>
      <c r="G425">
        <f>IF(AutoClaim_Data!D425&lt;=$B$2,AVERAGEIFS(AutoClaim_Data!C2:C3168,AutoClaim_Data!B2:B3168,"Train",AutoClaim_Data!D2:D3168,"&lt;="&amp;$B$2),AVERAGEIFS(AutoClaim_Data!C2:C3168,AutoClaim_Data!B2:B3168,"Train",AutoClaim_Data!D2:D3168,"&gt;"&amp;$B$2))</f>
        <v/>
      </c>
      <c r="H425">
        <f>IF(AutoClaim_Data!D425&lt;=$B$2,IF(AutoClaim_Data!E425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5">
        <f>(F425-H425)^2</f>
        <v/>
      </c>
      <c r="J425">
        <f>--(E425="Validation")</f>
        <v/>
      </c>
    </row>
    <row r="426">
      <c r="D426">
        <f>AutoClaim_Data!A426</f>
        <v/>
      </c>
      <c r="E426">
        <f>AutoClaim_Data!B426</f>
        <v/>
      </c>
      <c r="F426">
        <f>AutoClaim_Data!C426</f>
        <v/>
      </c>
      <c r="G426">
        <f>IF(AutoClaim_Data!D426&lt;=$B$2,AVERAGEIFS(AutoClaim_Data!C2:C3168,AutoClaim_Data!B2:B3168,"Train",AutoClaim_Data!D2:D3168,"&lt;="&amp;$B$2),AVERAGEIFS(AutoClaim_Data!C2:C3168,AutoClaim_Data!B2:B3168,"Train",AutoClaim_Data!D2:D3168,"&gt;"&amp;$B$2))</f>
        <v/>
      </c>
      <c r="H426">
        <f>IF(AutoClaim_Data!D426&lt;=$B$2,IF(AutoClaim_Data!E426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6">
        <f>(F426-H426)^2</f>
        <v/>
      </c>
      <c r="J426">
        <f>--(E426="Validation")</f>
        <v/>
      </c>
    </row>
    <row r="427">
      <c r="D427">
        <f>AutoClaim_Data!A427</f>
        <v/>
      </c>
      <c r="E427">
        <f>AutoClaim_Data!B427</f>
        <v/>
      </c>
      <c r="F427">
        <f>AutoClaim_Data!C427</f>
        <v/>
      </c>
      <c r="G427">
        <f>IF(AutoClaim_Data!D427&lt;=$B$2,AVERAGEIFS(AutoClaim_Data!C2:C3168,AutoClaim_Data!B2:B3168,"Train",AutoClaim_Data!D2:D3168,"&lt;="&amp;$B$2),AVERAGEIFS(AutoClaim_Data!C2:C3168,AutoClaim_Data!B2:B3168,"Train",AutoClaim_Data!D2:D3168,"&gt;"&amp;$B$2))</f>
        <v/>
      </c>
      <c r="H427">
        <f>IF(AutoClaim_Data!D427&lt;=$B$2,IF(AutoClaim_Data!E427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7">
        <f>(F427-H427)^2</f>
        <v/>
      </c>
      <c r="J427">
        <f>--(E427="Validation")</f>
        <v/>
      </c>
    </row>
    <row r="428">
      <c r="D428">
        <f>AutoClaim_Data!A428</f>
        <v/>
      </c>
      <c r="E428">
        <f>AutoClaim_Data!B428</f>
        <v/>
      </c>
      <c r="F428">
        <f>AutoClaim_Data!C428</f>
        <v/>
      </c>
      <c r="G428">
        <f>IF(AutoClaim_Data!D428&lt;=$B$2,AVERAGEIFS(AutoClaim_Data!C2:C3168,AutoClaim_Data!B2:B3168,"Train",AutoClaim_Data!D2:D3168,"&lt;="&amp;$B$2),AVERAGEIFS(AutoClaim_Data!C2:C3168,AutoClaim_Data!B2:B3168,"Train",AutoClaim_Data!D2:D3168,"&gt;"&amp;$B$2))</f>
        <v/>
      </c>
      <c r="H428">
        <f>IF(AutoClaim_Data!D428&lt;=$B$2,IF(AutoClaim_Data!E428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8">
        <f>(F428-H428)^2</f>
        <v/>
      </c>
      <c r="J428">
        <f>--(E428="Validation")</f>
        <v/>
      </c>
    </row>
    <row r="429">
      <c r="D429">
        <f>AutoClaim_Data!A429</f>
        <v/>
      </c>
      <c r="E429">
        <f>AutoClaim_Data!B429</f>
        <v/>
      </c>
      <c r="F429">
        <f>AutoClaim_Data!C429</f>
        <v/>
      </c>
      <c r="G429">
        <f>IF(AutoClaim_Data!D429&lt;=$B$2,AVERAGEIFS(AutoClaim_Data!C2:C3168,AutoClaim_Data!B2:B3168,"Train",AutoClaim_Data!D2:D3168,"&lt;="&amp;$B$2),AVERAGEIFS(AutoClaim_Data!C2:C3168,AutoClaim_Data!B2:B3168,"Train",AutoClaim_Data!D2:D3168,"&gt;"&amp;$B$2))</f>
        <v/>
      </c>
      <c r="H429">
        <f>IF(AutoClaim_Data!D429&lt;=$B$2,IF(AutoClaim_Data!E429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29">
        <f>(F429-H429)^2</f>
        <v/>
      </c>
      <c r="J429">
        <f>--(E429="Validation")</f>
        <v/>
      </c>
    </row>
    <row r="430">
      <c r="D430">
        <f>AutoClaim_Data!A430</f>
        <v/>
      </c>
      <c r="E430">
        <f>AutoClaim_Data!B430</f>
        <v/>
      </c>
      <c r="F430">
        <f>AutoClaim_Data!C430</f>
        <v/>
      </c>
      <c r="G430">
        <f>IF(AutoClaim_Data!D430&lt;=$B$2,AVERAGEIFS(AutoClaim_Data!C2:C3168,AutoClaim_Data!B2:B3168,"Train",AutoClaim_Data!D2:D3168,"&lt;="&amp;$B$2),AVERAGEIFS(AutoClaim_Data!C2:C3168,AutoClaim_Data!B2:B3168,"Train",AutoClaim_Data!D2:D3168,"&gt;"&amp;$B$2))</f>
        <v/>
      </c>
      <c r="H430">
        <f>IF(AutoClaim_Data!D430&lt;=$B$2,IF(AutoClaim_Data!E430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0">
        <f>(F430-H430)^2</f>
        <v/>
      </c>
      <c r="J430">
        <f>--(E430="Validation")</f>
        <v/>
      </c>
    </row>
    <row r="431">
      <c r="D431">
        <f>AutoClaim_Data!A431</f>
        <v/>
      </c>
      <c r="E431">
        <f>AutoClaim_Data!B431</f>
        <v/>
      </c>
      <c r="F431">
        <f>AutoClaim_Data!C431</f>
        <v/>
      </c>
      <c r="G431">
        <f>IF(AutoClaim_Data!D431&lt;=$B$2,AVERAGEIFS(AutoClaim_Data!C2:C3168,AutoClaim_Data!B2:B3168,"Train",AutoClaim_Data!D2:D3168,"&lt;="&amp;$B$2),AVERAGEIFS(AutoClaim_Data!C2:C3168,AutoClaim_Data!B2:B3168,"Train",AutoClaim_Data!D2:D3168,"&gt;"&amp;$B$2))</f>
        <v/>
      </c>
      <c r="H431">
        <f>IF(AutoClaim_Data!D431&lt;=$B$2,IF(AutoClaim_Data!E431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1">
        <f>(F431-H431)^2</f>
        <v/>
      </c>
      <c r="J431">
        <f>--(E431="Validation")</f>
        <v/>
      </c>
    </row>
    <row r="432">
      <c r="D432">
        <f>AutoClaim_Data!A432</f>
        <v/>
      </c>
      <c r="E432">
        <f>AutoClaim_Data!B432</f>
        <v/>
      </c>
      <c r="F432">
        <f>AutoClaim_Data!C432</f>
        <v/>
      </c>
      <c r="G432">
        <f>IF(AutoClaim_Data!D432&lt;=$B$2,AVERAGEIFS(AutoClaim_Data!C2:C3168,AutoClaim_Data!B2:B3168,"Train",AutoClaim_Data!D2:D3168,"&lt;="&amp;$B$2),AVERAGEIFS(AutoClaim_Data!C2:C3168,AutoClaim_Data!B2:B3168,"Train",AutoClaim_Data!D2:D3168,"&gt;"&amp;$B$2))</f>
        <v/>
      </c>
      <c r="H432">
        <f>IF(AutoClaim_Data!D432&lt;=$B$2,IF(AutoClaim_Data!E432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2">
        <f>(F432-H432)^2</f>
        <v/>
      </c>
      <c r="J432">
        <f>--(E432="Validation")</f>
        <v/>
      </c>
    </row>
    <row r="433">
      <c r="D433">
        <f>AutoClaim_Data!A433</f>
        <v/>
      </c>
      <c r="E433">
        <f>AutoClaim_Data!B433</f>
        <v/>
      </c>
      <c r="F433">
        <f>AutoClaim_Data!C433</f>
        <v/>
      </c>
      <c r="G433">
        <f>IF(AutoClaim_Data!D433&lt;=$B$2,AVERAGEIFS(AutoClaim_Data!C2:C3168,AutoClaim_Data!B2:B3168,"Train",AutoClaim_Data!D2:D3168,"&lt;="&amp;$B$2),AVERAGEIFS(AutoClaim_Data!C2:C3168,AutoClaim_Data!B2:B3168,"Train",AutoClaim_Data!D2:D3168,"&gt;"&amp;$B$2))</f>
        <v/>
      </c>
      <c r="H433">
        <f>IF(AutoClaim_Data!D433&lt;=$B$2,IF(AutoClaim_Data!E433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3">
        <f>(F433-H433)^2</f>
        <v/>
      </c>
      <c r="J433">
        <f>--(E433="Validation")</f>
        <v/>
      </c>
    </row>
    <row r="434">
      <c r="D434">
        <f>AutoClaim_Data!A434</f>
        <v/>
      </c>
      <c r="E434">
        <f>AutoClaim_Data!B434</f>
        <v/>
      </c>
      <c r="F434">
        <f>AutoClaim_Data!C434</f>
        <v/>
      </c>
      <c r="G434">
        <f>IF(AutoClaim_Data!D434&lt;=$B$2,AVERAGEIFS(AutoClaim_Data!C2:C3168,AutoClaim_Data!B2:B3168,"Train",AutoClaim_Data!D2:D3168,"&lt;="&amp;$B$2),AVERAGEIFS(AutoClaim_Data!C2:C3168,AutoClaim_Data!B2:B3168,"Train",AutoClaim_Data!D2:D3168,"&gt;"&amp;$B$2))</f>
        <v/>
      </c>
      <c r="H434">
        <f>IF(AutoClaim_Data!D434&lt;=$B$2,IF(AutoClaim_Data!E434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4">
        <f>(F434-H434)^2</f>
        <v/>
      </c>
      <c r="J434">
        <f>--(E434="Validation")</f>
        <v/>
      </c>
    </row>
    <row r="435">
      <c r="D435">
        <f>AutoClaim_Data!A435</f>
        <v/>
      </c>
      <c r="E435">
        <f>AutoClaim_Data!B435</f>
        <v/>
      </c>
      <c r="F435">
        <f>AutoClaim_Data!C435</f>
        <v/>
      </c>
      <c r="G435">
        <f>IF(AutoClaim_Data!D435&lt;=$B$2,AVERAGEIFS(AutoClaim_Data!C2:C3168,AutoClaim_Data!B2:B3168,"Train",AutoClaim_Data!D2:D3168,"&lt;="&amp;$B$2),AVERAGEIFS(AutoClaim_Data!C2:C3168,AutoClaim_Data!B2:B3168,"Train",AutoClaim_Data!D2:D3168,"&gt;"&amp;$B$2))</f>
        <v/>
      </c>
      <c r="H435">
        <f>IF(AutoClaim_Data!D435&lt;=$B$2,IF(AutoClaim_Data!E435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5">
        <f>(F435-H435)^2</f>
        <v/>
      </c>
      <c r="J435">
        <f>--(E435="Validation")</f>
        <v/>
      </c>
    </row>
    <row r="436">
      <c r="D436">
        <f>AutoClaim_Data!A436</f>
        <v/>
      </c>
      <c r="E436">
        <f>AutoClaim_Data!B436</f>
        <v/>
      </c>
      <c r="F436">
        <f>AutoClaim_Data!C436</f>
        <v/>
      </c>
      <c r="G436">
        <f>IF(AutoClaim_Data!D436&lt;=$B$2,AVERAGEIFS(AutoClaim_Data!C2:C3168,AutoClaim_Data!B2:B3168,"Train",AutoClaim_Data!D2:D3168,"&lt;="&amp;$B$2),AVERAGEIFS(AutoClaim_Data!C2:C3168,AutoClaim_Data!B2:B3168,"Train",AutoClaim_Data!D2:D3168,"&gt;"&amp;$B$2))</f>
        <v/>
      </c>
      <c r="H436">
        <f>IF(AutoClaim_Data!D436&lt;=$B$2,IF(AutoClaim_Data!E436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6">
        <f>(F436-H436)^2</f>
        <v/>
      </c>
      <c r="J436">
        <f>--(E436="Validation")</f>
        <v/>
      </c>
    </row>
    <row r="437">
      <c r="D437">
        <f>AutoClaim_Data!A437</f>
        <v/>
      </c>
      <c r="E437">
        <f>AutoClaim_Data!B437</f>
        <v/>
      </c>
      <c r="F437">
        <f>AutoClaim_Data!C437</f>
        <v/>
      </c>
      <c r="G437">
        <f>IF(AutoClaim_Data!D437&lt;=$B$2,AVERAGEIFS(AutoClaim_Data!C2:C3168,AutoClaim_Data!B2:B3168,"Train",AutoClaim_Data!D2:D3168,"&lt;="&amp;$B$2),AVERAGEIFS(AutoClaim_Data!C2:C3168,AutoClaim_Data!B2:B3168,"Train",AutoClaim_Data!D2:D3168,"&gt;"&amp;$B$2))</f>
        <v/>
      </c>
      <c r="H437">
        <f>IF(AutoClaim_Data!D437&lt;=$B$2,IF(AutoClaim_Data!E437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7">
        <f>(F437-H437)^2</f>
        <v/>
      </c>
      <c r="J437">
        <f>--(E437="Validation")</f>
        <v/>
      </c>
    </row>
    <row r="438">
      <c r="D438">
        <f>AutoClaim_Data!A438</f>
        <v/>
      </c>
      <c r="E438">
        <f>AutoClaim_Data!B438</f>
        <v/>
      </c>
      <c r="F438">
        <f>AutoClaim_Data!C438</f>
        <v/>
      </c>
      <c r="G438">
        <f>IF(AutoClaim_Data!D438&lt;=$B$2,AVERAGEIFS(AutoClaim_Data!C2:C3168,AutoClaim_Data!B2:B3168,"Train",AutoClaim_Data!D2:D3168,"&lt;="&amp;$B$2),AVERAGEIFS(AutoClaim_Data!C2:C3168,AutoClaim_Data!B2:B3168,"Train",AutoClaim_Data!D2:D3168,"&gt;"&amp;$B$2))</f>
        <v/>
      </c>
      <c r="H438">
        <f>IF(AutoClaim_Data!D438&lt;=$B$2,IF(AutoClaim_Data!E438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8">
        <f>(F438-H438)^2</f>
        <v/>
      </c>
      <c r="J438">
        <f>--(E438="Validation")</f>
        <v/>
      </c>
    </row>
    <row r="439">
      <c r="D439">
        <f>AutoClaim_Data!A439</f>
        <v/>
      </c>
      <c r="E439">
        <f>AutoClaim_Data!B439</f>
        <v/>
      </c>
      <c r="F439">
        <f>AutoClaim_Data!C439</f>
        <v/>
      </c>
      <c r="G439">
        <f>IF(AutoClaim_Data!D439&lt;=$B$2,AVERAGEIFS(AutoClaim_Data!C2:C3168,AutoClaim_Data!B2:B3168,"Train",AutoClaim_Data!D2:D3168,"&lt;="&amp;$B$2),AVERAGEIFS(AutoClaim_Data!C2:C3168,AutoClaim_Data!B2:B3168,"Train",AutoClaim_Data!D2:D3168,"&gt;"&amp;$B$2))</f>
        <v/>
      </c>
      <c r="H439">
        <f>IF(AutoClaim_Data!D439&lt;=$B$2,IF(AutoClaim_Data!E439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39">
        <f>(F439-H439)^2</f>
        <v/>
      </c>
      <c r="J439">
        <f>--(E439="Validation")</f>
        <v/>
      </c>
    </row>
    <row r="440">
      <c r="D440">
        <f>AutoClaim_Data!A440</f>
        <v/>
      </c>
      <c r="E440">
        <f>AutoClaim_Data!B440</f>
        <v/>
      </c>
      <c r="F440">
        <f>AutoClaim_Data!C440</f>
        <v/>
      </c>
      <c r="G440">
        <f>IF(AutoClaim_Data!D440&lt;=$B$2,AVERAGEIFS(AutoClaim_Data!C2:C3168,AutoClaim_Data!B2:B3168,"Train",AutoClaim_Data!D2:D3168,"&lt;="&amp;$B$2),AVERAGEIFS(AutoClaim_Data!C2:C3168,AutoClaim_Data!B2:B3168,"Train",AutoClaim_Data!D2:D3168,"&gt;"&amp;$B$2))</f>
        <v/>
      </c>
      <c r="H440">
        <f>IF(AutoClaim_Data!D440&lt;=$B$2,IF(AutoClaim_Data!E440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0">
        <f>(F440-H440)^2</f>
        <v/>
      </c>
      <c r="J440">
        <f>--(E440="Validation")</f>
        <v/>
      </c>
    </row>
    <row r="441">
      <c r="D441">
        <f>AutoClaim_Data!A441</f>
        <v/>
      </c>
      <c r="E441">
        <f>AutoClaim_Data!B441</f>
        <v/>
      </c>
      <c r="F441">
        <f>AutoClaim_Data!C441</f>
        <v/>
      </c>
      <c r="G441">
        <f>IF(AutoClaim_Data!D441&lt;=$B$2,AVERAGEIFS(AutoClaim_Data!C2:C3168,AutoClaim_Data!B2:B3168,"Train",AutoClaim_Data!D2:D3168,"&lt;="&amp;$B$2),AVERAGEIFS(AutoClaim_Data!C2:C3168,AutoClaim_Data!B2:B3168,"Train",AutoClaim_Data!D2:D3168,"&gt;"&amp;$B$2))</f>
        <v/>
      </c>
      <c r="H441">
        <f>IF(AutoClaim_Data!D441&lt;=$B$2,IF(AutoClaim_Data!E441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1">
        <f>(F441-H441)^2</f>
        <v/>
      </c>
      <c r="J441">
        <f>--(E441="Validation")</f>
        <v/>
      </c>
    </row>
    <row r="442">
      <c r="D442">
        <f>AutoClaim_Data!A442</f>
        <v/>
      </c>
      <c r="E442">
        <f>AutoClaim_Data!B442</f>
        <v/>
      </c>
      <c r="F442">
        <f>AutoClaim_Data!C442</f>
        <v/>
      </c>
      <c r="G442">
        <f>IF(AutoClaim_Data!D442&lt;=$B$2,AVERAGEIFS(AutoClaim_Data!C2:C3168,AutoClaim_Data!B2:B3168,"Train",AutoClaim_Data!D2:D3168,"&lt;="&amp;$B$2),AVERAGEIFS(AutoClaim_Data!C2:C3168,AutoClaim_Data!B2:B3168,"Train",AutoClaim_Data!D2:D3168,"&gt;"&amp;$B$2))</f>
        <v/>
      </c>
      <c r="H442">
        <f>IF(AutoClaim_Data!D442&lt;=$B$2,IF(AutoClaim_Data!E442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2">
        <f>(F442-H442)^2</f>
        <v/>
      </c>
      <c r="J442">
        <f>--(E442="Validation")</f>
        <v/>
      </c>
    </row>
    <row r="443">
      <c r="D443">
        <f>AutoClaim_Data!A443</f>
        <v/>
      </c>
      <c r="E443">
        <f>AutoClaim_Data!B443</f>
        <v/>
      </c>
      <c r="F443">
        <f>AutoClaim_Data!C443</f>
        <v/>
      </c>
      <c r="G443">
        <f>IF(AutoClaim_Data!D443&lt;=$B$2,AVERAGEIFS(AutoClaim_Data!C2:C3168,AutoClaim_Data!B2:B3168,"Train",AutoClaim_Data!D2:D3168,"&lt;="&amp;$B$2),AVERAGEIFS(AutoClaim_Data!C2:C3168,AutoClaim_Data!B2:B3168,"Train",AutoClaim_Data!D2:D3168,"&gt;"&amp;$B$2))</f>
        <v/>
      </c>
      <c r="H443">
        <f>IF(AutoClaim_Data!D443&lt;=$B$2,IF(AutoClaim_Data!E443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3">
        <f>(F443-H443)^2</f>
        <v/>
      </c>
      <c r="J443">
        <f>--(E443="Validation")</f>
        <v/>
      </c>
    </row>
    <row r="444">
      <c r="D444">
        <f>AutoClaim_Data!A444</f>
        <v/>
      </c>
      <c r="E444">
        <f>AutoClaim_Data!B444</f>
        <v/>
      </c>
      <c r="F444">
        <f>AutoClaim_Data!C444</f>
        <v/>
      </c>
      <c r="G444">
        <f>IF(AutoClaim_Data!D444&lt;=$B$2,AVERAGEIFS(AutoClaim_Data!C2:C3168,AutoClaim_Data!B2:B3168,"Train",AutoClaim_Data!D2:D3168,"&lt;="&amp;$B$2),AVERAGEIFS(AutoClaim_Data!C2:C3168,AutoClaim_Data!B2:B3168,"Train",AutoClaim_Data!D2:D3168,"&gt;"&amp;$B$2))</f>
        <v/>
      </c>
      <c r="H444">
        <f>IF(AutoClaim_Data!D444&lt;=$B$2,IF(AutoClaim_Data!E444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4">
        <f>(F444-H444)^2</f>
        <v/>
      </c>
      <c r="J444">
        <f>--(E444="Validation")</f>
        <v/>
      </c>
    </row>
    <row r="445">
      <c r="D445">
        <f>AutoClaim_Data!A445</f>
        <v/>
      </c>
      <c r="E445">
        <f>AutoClaim_Data!B445</f>
        <v/>
      </c>
      <c r="F445">
        <f>AutoClaim_Data!C445</f>
        <v/>
      </c>
      <c r="G445">
        <f>IF(AutoClaim_Data!D445&lt;=$B$2,AVERAGEIFS(AutoClaim_Data!C2:C3168,AutoClaim_Data!B2:B3168,"Train",AutoClaim_Data!D2:D3168,"&lt;="&amp;$B$2),AVERAGEIFS(AutoClaim_Data!C2:C3168,AutoClaim_Data!B2:B3168,"Train",AutoClaim_Data!D2:D3168,"&gt;"&amp;$B$2))</f>
        <v/>
      </c>
      <c r="H445">
        <f>IF(AutoClaim_Data!D445&lt;=$B$2,IF(AutoClaim_Data!E445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5">
        <f>(F445-H445)^2</f>
        <v/>
      </c>
      <c r="J445">
        <f>--(E445="Validation")</f>
        <v/>
      </c>
    </row>
    <row r="446">
      <c r="D446">
        <f>AutoClaim_Data!A446</f>
        <v/>
      </c>
      <c r="E446">
        <f>AutoClaim_Data!B446</f>
        <v/>
      </c>
      <c r="F446">
        <f>AutoClaim_Data!C446</f>
        <v/>
      </c>
      <c r="G446">
        <f>IF(AutoClaim_Data!D446&lt;=$B$2,AVERAGEIFS(AutoClaim_Data!C2:C3168,AutoClaim_Data!B2:B3168,"Train",AutoClaim_Data!D2:D3168,"&lt;="&amp;$B$2),AVERAGEIFS(AutoClaim_Data!C2:C3168,AutoClaim_Data!B2:B3168,"Train",AutoClaim_Data!D2:D3168,"&gt;"&amp;$B$2))</f>
        <v/>
      </c>
      <c r="H446">
        <f>IF(AutoClaim_Data!D446&lt;=$B$2,IF(AutoClaim_Data!E446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6">
        <f>(F446-H446)^2</f>
        <v/>
      </c>
      <c r="J446">
        <f>--(E446="Validation")</f>
        <v/>
      </c>
    </row>
    <row r="447">
      <c r="D447">
        <f>AutoClaim_Data!A447</f>
        <v/>
      </c>
      <c r="E447">
        <f>AutoClaim_Data!B447</f>
        <v/>
      </c>
      <c r="F447">
        <f>AutoClaim_Data!C447</f>
        <v/>
      </c>
      <c r="G447">
        <f>IF(AutoClaim_Data!D447&lt;=$B$2,AVERAGEIFS(AutoClaim_Data!C2:C3168,AutoClaim_Data!B2:B3168,"Train",AutoClaim_Data!D2:D3168,"&lt;="&amp;$B$2),AVERAGEIFS(AutoClaim_Data!C2:C3168,AutoClaim_Data!B2:B3168,"Train",AutoClaim_Data!D2:D3168,"&gt;"&amp;$B$2))</f>
        <v/>
      </c>
      <c r="H447">
        <f>IF(AutoClaim_Data!D447&lt;=$B$2,IF(AutoClaim_Data!E447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7">
        <f>(F447-H447)^2</f>
        <v/>
      </c>
      <c r="J447">
        <f>--(E447="Validation")</f>
        <v/>
      </c>
    </row>
    <row r="448">
      <c r="D448">
        <f>AutoClaim_Data!A448</f>
        <v/>
      </c>
      <c r="E448">
        <f>AutoClaim_Data!B448</f>
        <v/>
      </c>
      <c r="F448">
        <f>AutoClaim_Data!C448</f>
        <v/>
      </c>
      <c r="G448">
        <f>IF(AutoClaim_Data!D448&lt;=$B$2,AVERAGEIFS(AutoClaim_Data!C2:C3168,AutoClaim_Data!B2:B3168,"Train",AutoClaim_Data!D2:D3168,"&lt;="&amp;$B$2),AVERAGEIFS(AutoClaim_Data!C2:C3168,AutoClaim_Data!B2:B3168,"Train",AutoClaim_Data!D2:D3168,"&gt;"&amp;$B$2))</f>
        <v/>
      </c>
      <c r="H448">
        <f>IF(AutoClaim_Data!D448&lt;=$B$2,IF(AutoClaim_Data!E448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8">
        <f>(F448-H448)^2</f>
        <v/>
      </c>
      <c r="J448">
        <f>--(E448="Validation")</f>
        <v/>
      </c>
    </row>
    <row r="449">
      <c r="D449">
        <f>AutoClaim_Data!A449</f>
        <v/>
      </c>
      <c r="E449">
        <f>AutoClaim_Data!B449</f>
        <v/>
      </c>
      <c r="F449">
        <f>AutoClaim_Data!C449</f>
        <v/>
      </c>
      <c r="G449">
        <f>IF(AutoClaim_Data!D449&lt;=$B$2,AVERAGEIFS(AutoClaim_Data!C2:C3168,AutoClaim_Data!B2:B3168,"Train",AutoClaim_Data!D2:D3168,"&lt;="&amp;$B$2),AVERAGEIFS(AutoClaim_Data!C2:C3168,AutoClaim_Data!B2:B3168,"Train",AutoClaim_Data!D2:D3168,"&gt;"&amp;$B$2))</f>
        <v/>
      </c>
      <c r="H449">
        <f>IF(AutoClaim_Data!D449&lt;=$B$2,IF(AutoClaim_Data!E449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49">
        <f>(F449-H449)^2</f>
        <v/>
      </c>
      <c r="J449">
        <f>--(E449="Validation")</f>
        <v/>
      </c>
    </row>
    <row r="450">
      <c r="D450">
        <f>AutoClaim_Data!A450</f>
        <v/>
      </c>
      <c r="E450">
        <f>AutoClaim_Data!B450</f>
        <v/>
      </c>
      <c r="F450">
        <f>AutoClaim_Data!C450</f>
        <v/>
      </c>
      <c r="G450">
        <f>IF(AutoClaim_Data!D450&lt;=$B$2,AVERAGEIFS(AutoClaim_Data!C2:C3168,AutoClaim_Data!B2:B3168,"Train",AutoClaim_Data!D2:D3168,"&lt;="&amp;$B$2),AVERAGEIFS(AutoClaim_Data!C2:C3168,AutoClaim_Data!B2:B3168,"Train",AutoClaim_Data!D2:D3168,"&gt;"&amp;$B$2))</f>
        <v/>
      </c>
      <c r="H450">
        <f>IF(AutoClaim_Data!D450&lt;=$B$2,IF(AutoClaim_Data!E450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0">
        <f>(F450-H450)^2</f>
        <v/>
      </c>
      <c r="J450">
        <f>--(E450="Validation")</f>
        <v/>
      </c>
    </row>
    <row r="451">
      <c r="D451">
        <f>AutoClaim_Data!A451</f>
        <v/>
      </c>
      <c r="E451">
        <f>AutoClaim_Data!B451</f>
        <v/>
      </c>
      <c r="F451">
        <f>AutoClaim_Data!C451</f>
        <v/>
      </c>
      <c r="G451">
        <f>IF(AutoClaim_Data!D451&lt;=$B$2,AVERAGEIFS(AutoClaim_Data!C2:C3168,AutoClaim_Data!B2:B3168,"Train",AutoClaim_Data!D2:D3168,"&lt;="&amp;$B$2),AVERAGEIFS(AutoClaim_Data!C2:C3168,AutoClaim_Data!B2:B3168,"Train",AutoClaim_Data!D2:D3168,"&gt;"&amp;$B$2))</f>
        <v/>
      </c>
      <c r="H451">
        <f>IF(AutoClaim_Data!D451&lt;=$B$2,IF(AutoClaim_Data!E451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1">
        <f>(F451-H451)^2</f>
        <v/>
      </c>
      <c r="J451">
        <f>--(E451="Validation")</f>
        <v/>
      </c>
    </row>
    <row r="452">
      <c r="D452">
        <f>AutoClaim_Data!A452</f>
        <v/>
      </c>
      <c r="E452">
        <f>AutoClaim_Data!B452</f>
        <v/>
      </c>
      <c r="F452">
        <f>AutoClaim_Data!C452</f>
        <v/>
      </c>
      <c r="G452">
        <f>IF(AutoClaim_Data!D452&lt;=$B$2,AVERAGEIFS(AutoClaim_Data!C2:C3168,AutoClaim_Data!B2:B3168,"Train",AutoClaim_Data!D2:D3168,"&lt;="&amp;$B$2),AVERAGEIFS(AutoClaim_Data!C2:C3168,AutoClaim_Data!B2:B3168,"Train",AutoClaim_Data!D2:D3168,"&gt;"&amp;$B$2))</f>
        <v/>
      </c>
      <c r="H452">
        <f>IF(AutoClaim_Data!D452&lt;=$B$2,IF(AutoClaim_Data!E452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2">
        <f>(F452-H452)^2</f>
        <v/>
      </c>
      <c r="J452">
        <f>--(E452="Validation")</f>
        <v/>
      </c>
    </row>
    <row r="453">
      <c r="D453">
        <f>AutoClaim_Data!A453</f>
        <v/>
      </c>
      <c r="E453">
        <f>AutoClaim_Data!B453</f>
        <v/>
      </c>
      <c r="F453">
        <f>AutoClaim_Data!C453</f>
        <v/>
      </c>
      <c r="G453">
        <f>IF(AutoClaim_Data!D453&lt;=$B$2,AVERAGEIFS(AutoClaim_Data!C2:C3168,AutoClaim_Data!B2:B3168,"Train",AutoClaim_Data!D2:D3168,"&lt;="&amp;$B$2),AVERAGEIFS(AutoClaim_Data!C2:C3168,AutoClaim_Data!B2:B3168,"Train",AutoClaim_Data!D2:D3168,"&gt;"&amp;$B$2))</f>
        <v/>
      </c>
      <c r="H453">
        <f>IF(AutoClaim_Data!D453&lt;=$B$2,IF(AutoClaim_Data!E453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3">
        <f>(F453-H453)^2</f>
        <v/>
      </c>
      <c r="J453">
        <f>--(E453="Validation")</f>
        <v/>
      </c>
    </row>
    <row r="454">
      <c r="D454">
        <f>AutoClaim_Data!A454</f>
        <v/>
      </c>
      <c r="E454">
        <f>AutoClaim_Data!B454</f>
        <v/>
      </c>
      <c r="F454">
        <f>AutoClaim_Data!C454</f>
        <v/>
      </c>
      <c r="G454">
        <f>IF(AutoClaim_Data!D454&lt;=$B$2,AVERAGEIFS(AutoClaim_Data!C2:C3168,AutoClaim_Data!B2:B3168,"Train",AutoClaim_Data!D2:D3168,"&lt;="&amp;$B$2),AVERAGEIFS(AutoClaim_Data!C2:C3168,AutoClaim_Data!B2:B3168,"Train",AutoClaim_Data!D2:D3168,"&gt;"&amp;$B$2))</f>
        <v/>
      </c>
      <c r="H454">
        <f>IF(AutoClaim_Data!D454&lt;=$B$2,IF(AutoClaim_Data!E454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4">
        <f>(F454-H454)^2</f>
        <v/>
      </c>
      <c r="J454">
        <f>--(E454="Validation")</f>
        <v/>
      </c>
    </row>
    <row r="455">
      <c r="D455">
        <f>AutoClaim_Data!A455</f>
        <v/>
      </c>
      <c r="E455">
        <f>AutoClaim_Data!B455</f>
        <v/>
      </c>
      <c r="F455">
        <f>AutoClaim_Data!C455</f>
        <v/>
      </c>
      <c r="G455">
        <f>IF(AutoClaim_Data!D455&lt;=$B$2,AVERAGEIFS(AutoClaim_Data!C2:C3168,AutoClaim_Data!B2:B3168,"Train",AutoClaim_Data!D2:D3168,"&lt;="&amp;$B$2),AVERAGEIFS(AutoClaim_Data!C2:C3168,AutoClaim_Data!B2:B3168,"Train",AutoClaim_Data!D2:D3168,"&gt;"&amp;$B$2))</f>
        <v/>
      </c>
      <c r="H455">
        <f>IF(AutoClaim_Data!D455&lt;=$B$2,IF(AutoClaim_Data!E455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5">
        <f>(F455-H455)^2</f>
        <v/>
      </c>
      <c r="J455">
        <f>--(E455="Validation")</f>
        <v/>
      </c>
    </row>
    <row r="456">
      <c r="D456">
        <f>AutoClaim_Data!A456</f>
        <v/>
      </c>
      <c r="E456">
        <f>AutoClaim_Data!B456</f>
        <v/>
      </c>
      <c r="F456">
        <f>AutoClaim_Data!C456</f>
        <v/>
      </c>
      <c r="G456">
        <f>IF(AutoClaim_Data!D456&lt;=$B$2,AVERAGEIFS(AutoClaim_Data!C2:C3168,AutoClaim_Data!B2:B3168,"Train",AutoClaim_Data!D2:D3168,"&lt;="&amp;$B$2),AVERAGEIFS(AutoClaim_Data!C2:C3168,AutoClaim_Data!B2:B3168,"Train",AutoClaim_Data!D2:D3168,"&gt;"&amp;$B$2))</f>
        <v/>
      </c>
      <c r="H456">
        <f>IF(AutoClaim_Data!D456&lt;=$B$2,IF(AutoClaim_Data!E456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6">
        <f>(F456-H456)^2</f>
        <v/>
      </c>
      <c r="J456">
        <f>--(E456="Validation")</f>
        <v/>
      </c>
    </row>
    <row r="457">
      <c r="D457">
        <f>AutoClaim_Data!A457</f>
        <v/>
      </c>
      <c r="E457">
        <f>AutoClaim_Data!B457</f>
        <v/>
      </c>
      <c r="F457">
        <f>AutoClaim_Data!C457</f>
        <v/>
      </c>
      <c r="G457">
        <f>IF(AutoClaim_Data!D457&lt;=$B$2,AVERAGEIFS(AutoClaim_Data!C2:C3168,AutoClaim_Data!B2:B3168,"Train",AutoClaim_Data!D2:D3168,"&lt;="&amp;$B$2),AVERAGEIFS(AutoClaim_Data!C2:C3168,AutoClaim_Data!B2:B3168,"Train",AutoClaim_Data!D2:D3168,"&gt;"&amp;$B$2))</f>
        <v/>
      </c>
      <c r="H457">
        <f>IF(AutoClaim_Data!D457&lt;=$B$2,IF(AutoClaim_Data!E457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7">
        <f>(F457-H457)^2</f>
        <v/>
      </c>
      <c r="J457">
        <f>--(E457="Validation")</f>
        <v/>
      </c>
    </row>
    <row r="458">
      <c r="D458">
        <f>AutoClaim_Data!A458</f>
        <v/>
      </c>
      <c r="E458">
        <f>AutoClaim_Data!B458</f>
        <v/>
      </c>
      <c r="F458">
        <f>AutoClaim_Data!C458</f>
        <v/>
      </c>
      <c r="G458">
        <f>IF(AutoClaim_Data!D458&lt;=$B$2,AVERAGEIFS(AutoClaim_Data!C2:C3168,AutoClaim_Data!B2:B3168,"Train",AutoClaim_Data!D2:D3168,"&lt;="&amp;$B$2),AVERAGEIFS(AutoClaim_Data!C2:C3168,AutoClaim_Data!B2:B3168,"Train",AutoClaim_Data!D2:D3168,"&gt;"&amp;$B$2))</f>
        <v/>
      </c>
      <c r="H458">
        <f>IF(AutoClaim_Data!D458&lt;=$B$2,IF(AutoClaim_Data!E458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8">
        <f>(F458-H458)^2</f>
        <v/>
      </c>
      <c r="J458">
        <f>--(E458="Validation")</f>
        <v/>
      </c>
    </row>
    <row r="459">
      <c r="D459">
        <f>AutoClaim_Data!A459</f>
        <v/>
      </c>
      <c r="E459">
        <f>AutoClaim_Data!B459</f>
        <v/>
      </c>
      <c r="F459">
        <f>AutoClaim_Data!C459</f>
        <v/>
      </c>
      <c r="G459">
        <f>IF(AutoClaim_Data!D459&lt;=$B$2,AVERAGEIFS(AutoClaim_Data!C2:C3168,AutoClaim_Data!B2:B3168,"Train",AutoClaim_Data!D2:D3168,"&lt;="&amp;$B$2),AVERAGEIFS(AutoClaim_Data!C2:C3168,AutoClaim_Data!B2:B3168,"Train",AutoClaim_Data!D2:D3168,"&gt;"&amp;$B$2))</f>
        <v/>
      </c>
      <c r="H459">
        <f>IF(AutoClaim_Data!D459&lt;=$B$2,IF(AutoClaim_Data!E459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59">
        <f>(F459-H459)^2</f>
        <v/>
      </c>
      <c r="J459">
        <f>--(E459="Validation")</f>
        <v/>
      </c>
    </row>
    <row r="460">
      <c r="D460">
        <f>AutoClaim_Data!A460</f>
        <v/>
      </c>
      <c r="E460">
        <f>AutoClaim_Data!B460</f>
        <v/>
      </c>
      <c r="F460">
        <f>AutoClaim_Data!C460</f>
        <v/>
      </c>
      <c r="G460">
        <f>IF(AutoClaim_Data!D460&lt;=$B$2,AVERAGEIFS(AutoClaim_Data!C2:C3168,AutoClaim_Data!B2:B3168,"Train",AutoClaim_Data!D2:D3168,"&lt;="&amp;$B$2),AVERAGEIFS(AutoClaim_Data!C2:C3168,AutoClaim_Data!B2:B3168,"Train",AutoClaim_Data!D2:D3168,"&gt;"&amp;$B$2))</f>
        <v/>
      </c>
      <c r="H460">
        <f>IF(AutoClaim_Data!D460&lt;=$B$2,IF(AutoClaim_Data!E460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0">
        <f>(F460-H460)^2</f>
        <v/>
      </c>
      <c r="J460">
        <f>--(E460="Validation")</f>
        <v/>
      </c>
    </row>
    <row r="461">
      <c r="D461">
        <f>AutoClaim_Data!A461</f>
        <v/>
      </c>
      <c r="E461">
        <f>AutoClaim_Data!B461</f>
        <v/>
      </c>
      <c r="F461">
        <f>AutoClaim_Data!C461</f>
        <v/>
      </c>
      <c r="G461">
        <f>IF(AutoClaim_Data!D461&lt;=$B$2,AVERAGEIFS(AutoClaim_Data!C2:C3168,AutoClaim_Data!B2:B3168,"Train",AutoClaim_Data!D2:D3168,"&lt;="&amp;$B$2),AVERAGEIFS(AutoClaim_Data!C2:C3168,AutoClaim_Data!B2:B3168,"Train",AutoClaim_Data!D2:D3168,"&gt;"&amp;$B$2))</f>
        <v/>
      </c>
      <c r="H461">
        <f>IF(AutoClaim_Data!D461&lt;=$B$2,IF(AutoClaim_Data!E461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1">
        <f>(F461-H461)^2</f>
        <v/>
      </c>
      <c r="J461">
        <f>--(E461="Validation")</f>
        <v/>
      </c>
    </row>
    <row r="462">
      <c r="D462">
        <f>AutoClaim_Data!A462</f>
        <v/>
      </c>
      <c r="E462">
        <f>AutoClaim_Data!B462</f>
        <v/>
      </c>
      <c r="F462">
        <f>AutoClaim_Data!C462</f>
        <v/>
      </c>
      <c r="G462">
        <f>IF(AutoClaim_Data!D462&lt;=$B$2,AVERAGEIFS(AutoClaim_Data!C2:C3168,AutoClaim_Data!B2:B3168,"Train",AutoClaim_Data!D2:D3168,"&lt;="&amp;$B$2),AVERAGEIFS(AutoClaim_Data!C2:C3168,AutoClaim_Data!B2:B3168,"Train",AutoClaim_Data!D2:D3168,"&gt;"&amp;$B$2))</f>
        <v/>
      </c>
      <c r="H462">
        <f>IF(AutoClaim_Data!D462&lt;=$B$2,IF(AutoClaim_Data!E462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2">
        <f>(F462-H462)^2</f>
        <v/>
      </c>
      <c r="J462">
        <f>--(E462="Validation")</f>
        <v/>
      </c>
    </row>
    <row r="463">
      <c r="D463">
        <f>AutoClaim_Data!A463</f>
        <v/>
      </c>
      <c r="E463">
        <f>AutoClaim_Data!B463</f>
        <v/>
      </c>
      <c r="F463">
        <f>AutoClaim_Data!C463</f>
        <v/>
      </c>
      <c r="G463">
        <f>IF(AutoClaim_Data!D463&lt;=$B$2,AVERAGEIFS(AutoClaim_Data!C2:C3168,AutoClaim_Data!B2:B3168,"Train",AutoClaim_Data!D2:D3168,"&lt;="&amp;$B$2),AVERAGEIFS(AutoClaim_Data!C2:C3168,AutoClaim_Data!B2:B3168,"Train",AutoClaim_Data!D2:D3168,"&gt;"&amp;$B$2))</f>
        <v/>
      </c>
      <c r="H463">
        <f>IF(AutoClaim_Data!D463&lt;=$B$2,IF(AutoClaim_Data!E463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3">
        <f>(F463-H463)^2</f>
        <v/>
      </c>
      <c r="J463">
        <f>--(E463="Validation")</f>
        <v/>
      </c>
    </row>
    <row r="464">
      <c r="D464">
        <f>AutoClaim_Data!A464</f>
        <v/>
      </c>
      <c r="E464">
        <f>AutoClaim_Data!B464</f>
        <v/>
      </c>
      <c r="F464">
        <f>AutoClaim_Data!C464</f>
        <v/>
      </c>
      <c r="G464">
        <f>IF(AutoClaim_Data!D464&lt;=$B$2,AVERAGEIFS(AutoClaim_Data!C2:C3168,AutoClaim_Data!B2:B3168,"Train",AutoClaim_Data!D2:D3168,"&lt;="&amp;$B$2),AVERAGEIFS(AutoClaim_Data!C2:C3168,AutoClaim_Data!B2:B3168,"Train",AutoClaim_Data!D2:D3168,"&gt;"&amp;$B$2))</f>
        <v/>
      </c>
      <c r="H464">
        <f>IF(AutoClaim_Data!D464&lt;=$B$2,IF(AutoClaim_Data!E464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4">
        <f>(F464-H464)^2</f>
        <v/>
      </c>
      <c r="J464">
        <f>--(E464="Validation")</f>
        <v/>
      </c>
    </row>
    <row r="465">
      <c r="D465">
        <f>AutoClaim_Data!A465</f>
        <v/>
      </c>
      <c r="E465">
        <f>AutoClaim_Data!B465</f>
        <v/>
      </c>
      <c r="F465">
        <f>AutoClaim_Data!C465</f>
        <v/>
      </c>
      <c r="G465">
        <f>IF(AutoClaim_Data!D465&lt;=$B$2,AVERAGEIFS(AutoClaim_Data!C2:C3168,AutoClaim_Data!B2:B3168,"Train",AutoClaim_Data!D2:D3168,"&lt;="&amp;$B$2),AVERAGEIFS(AutoClaim_Data!C2:C3168,AutoClaim_Data!B2:B3168,"Train",AutoClaim_Data!D2:D3168,"&gt;"&amp;$B$2))</f>
        <v/>
      </c>
      <c r="H465">
        <f>IF(AutoClaim_Data!D465&lt;=$B$2,IF(AutoClaim_Data!E465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5">
        <f>(F465-H465)^2</f>
        <v/>
      </c>
      <c r="J465">
        <f>--(E465="Validation")</f>
        <v/>
      </c>
    </row>
    <row r="466">
      <c r="D466">
        <f>AutoClaim_Data!A466</f>
        <v/>
      </c>
      <c r="E466">
        <f>AutoClaim_Data!B466</f>
        <v/>
      </c>
      <c r="F466">
        <f>AutoClaim_Data!C466</f>
        <v/>
      </c>
      <c r="G466">
        <f>IF(AutoClaim_Data!D466&lt;=$B$2,AVERAGEIFS(AutoClaim_Data!C2:C3168,AutoClaim_Data!B2:B3168,"Train",AutoClaim_Data!D2:D3168,"&lt;="&amp;$B$2),AVERAGEIFS(AutoClaim_Data!C2:C3168,AutoClaim_Data!B2:B3168,"Train",AutoClaim_Data!D2:D3168,"&gt;"&amp;$B$2))</f>
        <v/>
      </c>
      <c r="H466">
        <f>IF(AutoClaim_Data!D466&lt;=$B$2,IF(AutoClaim_Data!E466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6">
        <f>(F466-H466)^2</f>
        <v/>
      </c>
      <c r="J466">
        <f>--(E466="Validation")</f>
        <v/>
      </c>
    </row>
    <row r="467">
      <c r="D467">
        <f>AutoClaim_Data!A467</f>
        <v/>
      </c>
      <c r="E467">
        <f>AutoClaim_Data!B467</f>
        <v/>
      </c>
      <c r="F467">
        <f>AutoClaim_Data!C467</f>
        <v/>
      </c>
      <c r="G467">
        <f>IF(AutoClaim_Data!D467&lt;=$B$2,AVERAGEIFS(AutoClaim_Data!C2:C3168,AutoClaim_Data!B2:B3168,"Train",AutoClaim_Data!D2:D3168,"&lt;="&amp;$B$2),AVERAGEIFS(AutoClaim_Data!C2:C3168,AutoClaim_Data!B2:B3168,"Train",AutoClaim_Data!D2:D3168,"&gt;"&amp;$B$2))</f>
        <v/>
      </c>
      <c r="H467">
        <f>IF(AutoClaim_Data!D467&lt;=$B$2,IF(AutoClaim_Data!E467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7">
        <f>(F467-H467)^2</f>
        <v/>
      </c>
      <c r="J467">
        <f>--(E467="Validation")</f>
        <v/>
      </c>
    </row>
    <row r="468">
      <c r="D468">
        <f>AutoClaim_Data!A468</f>
        <v/>
      </c>
      <c r="E468">
        <f>AutoClaim_Data!B468</f>
        <v/>
      </c>
      <c r="F468">
        <f>AutoClaim_Data!C468</f>
        <v/>
      </c>
      <c r="G468">
        <f>IF(AutoClaim_Data!D468&lt;=$B$2,AVERAGEIFS(AutoClaim_Data!C2:C3168,AutoClaim_Data!B2:B3168,"Train",AutoClaim_Data!D2:D3168,"&lt;="&amp;$B$2),AVERAGEIFS(AutoClaim_Data!C2:C3168,AutoClaim_Data!B2:B3168,"Train",AutoClaim_Data!D2:D3168,"&gt;"&amp;$B$2))</f>
        <v/>
      </c>
      <c r="H468">
        <f>IF(AutoClaim_Data!D468&lt;=$B$2,IF(AutoClaim_Data!E468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8">
        <f>(F468-H468)^2</f>
        <v/>
      </c>
      <c r="J468">
        <f>--(E468="Validation")</f>
        <v/>
      </c>
    </row>
    <row r="469">
      <c r="D469">
        <f>AutoClaim_Data!A469</f>
        <v/>
      </c>
      <c r="E469">
        <f>AutoClaim_Data!B469</f>
        <v/>
      </c>
      <c r="F469">
        <f>AutoClaim_Data!C469</f>
        <v/>
      </c>
      <c r="G469">
        <f>IF(AutoClaim_Data!D469&lt;=$B$2,AVERAGEIFS(AutoClaim_Data!C2:C3168,AutoClaim_Data!B2:B3168,"Train",AutoClaim_Data!D2:D3168,"&lt;="&amp;$B$2),AVERAGEIFS(AutoClaim_Data!C2:C3168,AutoClaim_Data!B2:B3168,"Train",AutoClaim_Data!D2:D3168,"&gt;"&amp;$B$2))</f>
        <v/>
      </c>
      <c r="H469">
        <f>IF(AutoClaim_Data!D469&lt;=$B$2,IF(AutoClaim_Data!E469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69">
        <f>(F469-H469)^2</f>
        <v/>
      </c>
      <c r="J469">
        <f>--(E469="Validation")</f>
        <v/>
      </c>
    </row>
    <row r="470">
      <c r="D470">
        <f>AutoClaim_Data!A470</f>
        <v/>
      </c>
      <c r="E470">
        <f>AutoClaim_Data!B470</f>
        <v/>
      </c>
      <c r="F470">
        <f>AutoClaim_Data!C470</f>
        <v/>
      </c>
      <c r="G470">
        <f>IF(AutoClaim_Data!D470&lt;=$B$2,AVERAGEIFS(AutoClaim_Data!C2:C3168,AutoClaim_Data!B2:B3168,"Train",AutoClaim_Data!D2:D3168,"&lt;="&amp;$B$2),AVERAGEIFS(AutoClaim_Data!C2:C3168,AutoClaim_Data!B2:B3168,"Train",AutoClaim_Data!D2:D3168,"&gt;"&amp;$B$2))</f>
        <v/>
      </c>
      <c r="H470">
        <f>IF(AutoClaim_Data!D470&lt;=$B$2,IF(AutoClaim_Data!E470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0">
        <f>(F470-H470)^2</f>
        <v/>
      </c>
      <c r="J470">
        <f>--(E470="Validation")</f>
        <v/>
      </c>
    </row>
    <row r="471">
      <c r="D471">
        <f>AutoClaim_Data!A471</f>
        <v/>
      </c>
      <c r="E471">
        <f>AutoClaim_Data!B471</f>
        <v/>
      </c>
      <c r="F471">
        <f>AutoClaim_Data!C471</f>
        <v/>
      </c>
      <c r="G471">
        <f>IF(AutoClaim_Data!D471&lt;=$B$2,AVERAGEIFS(AutoClaim_Data!C2:C3168,AutoClaim_Data!B2:B3168,"Train",AutoClaim_Data!D2:D3168,"&lt;="&amp;$B$2),AVERAGEIFS(AutoClaim_Data!C2:C3168,AutoClaim_Data!B2:B3168,"Train",AutoClaim_Data!D2:D3168,"&gt;"&amp;$B$2))</f>
        <v/>
      </c>
      <c r="H471">
        <f>IF(AutoClaim_Data!D471&lt;=$B$2,IF(AutoClaim_Data!E471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1">
        <f>(F471-H471)^2</f>
        <v/>
      </c>
      <c r="J471">
        <f>--(E471="Validation")</f>
        <v/>
      </c>
    </row>
    <row r="472">
      <c r="D472">
        <f>AutoClaim_Data!A472</f>
        <v/>
      </c>
      <c r="E472">
        <f>AutoClaim_Data!B472</f>
        <v/>
      </c>
      <c r="F472">
        <f>AutoClaim_Data!C472</f>
        <v/>
      </c>
      <c r="G472">
        <f>IF(AutoClaim_Data!D472&lt;=$B$2,AVERAGEIFS(AutoClaim_Data!C2:C3168,AutoClaim_Data!B2:B3168,"Train",AutoClaim_Data!D2:D3168,"&lt;="&amp;$B$2),AVERAGEIFS(AutoClaim_Data!C2:C3168,AutoClaim_Data!B2:B3168,"Train",AutoClaim_Data!D2:D3168,"&gt;"&amp;$B$2))</f>
        <v/>
      </c>
      <c r="H472">
        <f>IF(AutoClaim_Data!D472&lt;=$B$2,IF(AutoClaim_Data!E472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2">
        <f>(F472-H472)^2</f>
        <v/>
      </c>
      <c r="J472">
        <f>--(E472="Validation")</f>
        <v/>
      </c>
    </row>
    <row r="473">
      <c r="D473">
        <f>AutoClaim_Data!A473</f>
        <v/>
      </c>
      <c r="E473">
        <f>AutoClaim_Data!B473</f>
        <v/>
      </c>
      <c r="F473">
        <f>AutoClaim_Data!C473</f>
        <v/>
      </c>
      <c r="G473">
        <f>IF(AutoClaim_Data!D473&lt;=$B$2,AVERAGEIFS(AutoClaim_Data!C2:C3168,AutoClaim_Data!B2:B3168,"Train",AutoClaim_Data!D2:D3168,"&lt;="&amp;$B$2),AVERAGEIFS(AutoClaim_Data!C2:C3168,AutoClaim_Data!B2:B3168,"Train",AutoClaim_Data!D2:D3168,"&gt;"&amp;$B$2))</f>
        <v/>
      </c>
      <c r="H473">
        <f>IF(AutoClaim_Data!D473&lt;=$B$2,IF(AutoClaim_Data!E473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3">
        <f>(F473-H473)^2</f>
        <v/>
      </c>
      <c r="J473">
        <f>--(E473="Validation")</f>
        <v/>
      </c>
    </row>
    <row r="474">
      <c r="D474">
        <f>AutoClaim_Data!A474</f>
        <v/>
      </c>
      <c r="E474">
        <f>AutoClaim_Data!B474</f>
        <v/>
      </c>
      <c r="F474">
        <f>AutoClaim_Data!C474</f>
        <v/>
      </c>
      <c r="G474">
        <f>IF(AutoClaim_Data!D474&lt;=$B$2,AVERAGEIFS(AutoClaim_Data!C2:C3168,AutoClaim_Data!B2:B3168,"Train",AutoClaim_Data!D2:D3168,"&lt;="&amp;$B$2),AVERAGEIFS(AutoClaim_Data!C2:C3168,AutoClaim_Data!B2:B3168,"Train",AutoClaim_Data!D2:D3168,"&gt;"&amp;$B$2))</f>
        <v/>
      </c>
      <c r="H474">
        <f>IF(AutoClaim_Data!D474&lt;=$B$2,IF(AutoClaim_Data!E474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4">
        <f>(F474-H474)^2</f>
        <v/>
      </c>
      <c r="J474">
        <f>--(E474="Validation")</f>
        <v/>
      </c>
    </row>
    <row r="475">
      <c r="D475">
        <f>AutoClaim_Data!A475</f>
        <v/>
      </c>
      <c r="E475">
        <f>AutoClaim_Data!B475</f>
        <v/>
      </c>
      <c r="F475">
        <f>AutoClaim_Data!C475</f>
        <v/>
      </c>
      <c r="G475">
        <f>IF(AutoClaim_Data!D475&lt;=$B$2,AVERAGEIFS(AutoClaim_Data!C2:C3168,AutoClaim_Data!B2:B3168,"Train",AutoClaim_Data!D2:D3168,"&lt;="&amp;$B$2),AVERAGEIFS(AutoClaim_Data!C2:C3168,AutoClaim_Data!B2:B3168,"Train",AutoClaim_Data!D2:D3168,"&gt;"&amp;$B$2))</f>
        <v/>
      </c>
      <c r="H475">
        <f>IF(AutoClaim_Data!D475&lt;=$B$2,IF(AutoClaim_Data!E475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5">
        <f>(F475-H475)^2</f>
        <v/>
      </c>
      <c r="J475">
        <f>--(E475="Validation")</f>
        <v/>
      </c>
    </row>
    <row r="476">
      <c r="D476">
        <f>AutoClaim_Data!A476</f>
        <v/>
      </c>
      <c r="E476">
        <f>AutoClaim_Data!B476</f>
        <v/>
      </c>
      <c r="F476">
        <f>AutoClaim_Data!C476</f>
        <v/>
      </c>
      <c r="G476">
        <f>IF(AutoClaim_Data!D476&lt;=$B$2,AVERAGEIFS(AutoClaim_Data!C2:C3168,AutoClaim_Data!B2:B3168,"Train",AutoClaim_Data!D2:D3168,"&lt;="&amp;$B$2),AVERAGEIFS(AutoClaim_Data!C2:C3168,AutoClaim_Data!B2:B3168,"Train",AutoClaim_Data!D2:D3168,"&gt;"&amp;$B$2))</f>
        <v/>
      </c>
      <c r="H476">
        <f>IF(AutoClaim_Data!D476&lt;=$B$2,IF(AutoClaim_Data!E476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6">
        <f>(F476-H476)^2</f>
        <v/>
      </c>
      <c r="J476">
        <f>--(E476="Validation")</f>
        <v/>
      </c>
    </row>
    <row r="477">
      <c r="D477">
        <f>AutoClaim_Data!A477</f>
        <v/>
      </c>
      <c r="E477">
        <f>AutoClaim_Data!B477</f>
        <v/>
      </c>
      <c r="F477">
        <f>AutoClaim_Data!C477</f>
        <v/>
      </c>
      <c r="G477">
        <f>IF(AutoClaim_Data!D477&lt;=$B$2,AVERAGEIFS(AutoClaim_Data!C2:C3168,AutoClaim_Data!B2:B3168,"Train",AutoClaim_Data!D2:D3168,"&lt;="&amp;$B$2),AVERAGEIFS(AutoClaim_Data!C2:C3168,AutoClaim_Data!B2:B3168,"Train",AutoClaim_Data!D2:D3168,"&gt;"&amp;$B$2))</f>
        <v/>
      </c>
      <c r="H477">
        <f>IF(AutoClaim_Data!D477&lt;=$B$2,IF(AutoClaim_Data!E477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7">
        <f>(F477-H477)^2</f>
        <v/>
      </c>
      <c r="J477">
        <f>--(E477="Validation")</f>
        <v/>
      </c>
    </row>
    <row r="478">
      <c r="D478">
        <f>AutoClaim_Data!A478</f>
        <v/>
      </c>
      <c r="E478">
        <f>AutoClaim_Data!B478</f>
        <v/>
      </c>
      <c r="F478">
        <f>AutoClaim_Data!C478</f>
        <v/>
      </c>
      <c r="G478">
        <f>IF(AutoClaim_Data!D478&lt;=$B$2,AVERAGEIFS(AutoClaim_Data!C2:C3168,AutoClaim_Data!B2:B3168,"Train",AutoClaim_Data!D2:D3168,"&lt;="&amp;$B$2),AVERAGEIFS(AutoClaim_Data!C2:C3168,AutoClaim_Data!B2:B3168,"Train",AutoClaim_Data!D2:D3168,"&gt;"&amp;$B$2))</f>
        <v/>
      </c>
      <c r="H478">
        <f>IF(AutoClaim_Data!D478&lt;=$B$2,IF(AutoClaim_Data!E478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8">
        <f>(F478-H478)^2</f>
        <v/>
      </c>
      <c r="J478">
        <f>--(E478="Validation")</f>
        <v/>
      </c>
    </row>
    <row r="479">
      <c r="D479">
        <f>AutoClaim_Data!A479</f>
        <v/>
      </c>
      <c r="E479">
        <f>AutoClaim_Data!B479</f>
        <v/>
      </c>
      <c r="F479">
        <f>AutoClaim_Data!C479</f>
        <v/>
      </c>
      <c r="G479">
        <f>IF(AutoClaim_Data!D479&lt;=$B$2,AVERAGEIFS(AutoClaim_Data!C2:C3168,AutoClaim_Data!B2:B3168,"Train",AutoClaim_Data!D2:D3168,"&lt;="&amp;$B$2),AVERAGEIFS(AutoClaim_Data!C2:C3168,AutoClaim_Data!B2:B3168,"Train",AutoClaim_Data!D2:D3168,"&gt;"&amp;$B$2))</f>
        <v/>
      </c>
      <c r="H479">
        <f>IF(AutoClaim_Data!D479&lt;=$B$2,IF(AutoClaim_Data!E479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79">
        <f>(F479-H479)^2</f>
        <v/>
      </c>
      <c r="J479">
        <f>--(E479="Validation")</f>
        <v/>
      </c>
    </row>
    <row r="480">
      <c r="D480">
        <f>AutoClaim_Data!A480</f>
        <v/>
      </c>
      <c r="E480">
        <f>AutoClaim_Data!B480</f>
        <v/>
      </c>
      <c r="F480">
        <f>AutoClaim_Data!C480</f>
        <v/>
      </c>
      <c r="G480">
        <f>IF(AutoClaim_Data!D480&lt;=$B$2,AVERAGEIFS(AutoClaim_Data!C2:C3168,AutoClaim_Data!B2:B3168,"Train",AutoClaim_Data!D2:D3168,"&lt;="&amp;$B$2),AVERAGEIFS(AutoClaim_Data!C2:C3168,AutoClaim_Data!B2:B3168,"Train",AutoClaim_Data!D2:D3168,"&gt;"&amp;$B$2))</f>
        <v/>
      </c>
      <c r="H480">
        <f>IF(AutoClaim_Data!D480&lt;=$B$2,IF(AutoClaim_Data!E480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0">
        <f>(F480-H480)^2</f>
        <v/>
      </c>
      <c r="J480">
        <f>--(E480="Validation")</f>
        <v/>
      </c>
    </row>
    <row r="481">
      <c r="D481">
        <f>AutoClaim_Data!A481</f>
        <v/>
      </c>
      <c r="E481">
        <f>AutoClaim_Data!B481</f>
        <v/>
      </c>
      <c r="F481">
        <f>AutoClaim_Data!C481</f>
        <v/>
      </c>
      <c r="G481">
        <f>IF(AutoClaim_Data!D481&lt;=$B$2,AVERAGEIFS(AutoClaim_Data!C2:C3168,AutoClaim_Data!B2:B3168,"Train",AutoClaim_Data!D2:D3168,"&lt;="&amp;$B$2),AVERAGEIFS(AutoClaim_Data!C2:C3168,AutoClaim_Data!B2:B3168,"Train",AutoClaim_Data!D2:D3168,"&gt;"&amp;$B$2))</f>
        <v/>
      </c>
      <c r="H481">
        <f>IF(AutoClaim_Data!D481&lt;=$B$2,IF(AutoClaim_Data!E481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1">
        <f>(F481-H481)^2</f>
        <v/>
      </c>
      <c r="J481">
        <f>--(E481="Validation")</f>
        <v/>
      </c>
    </row>
    <row r="482">
      <c r="D482">
        <f>AutoClaim_Data!A482</f>
        <v/>
      </c>
      <c r="E482">
        <f>AutoClaim_Data!B482</f>
        <v/>
      </c>
      <c r="F482">
        <f>AutoClaim_Data!C482</f>
        <v/>
      </c>
      <c r="G482">
        <f>IF(AutoClaim_Data!D482&lt;=$B$2,AVERAGEIFS(AutoClaim_Data!C2:C3168,AutoClaim_Data!B2:B3168,"Train",AutoClaim_Data!D2:D3168,"&lt;="&amp;$B$2),AVERAGEIFS(AutoClaim_Data!C2:C3168,AutoClaim_Data!B2:B3168,"Train",AutoClaim_Data!D2:D3168,"&gt;"&amp;$B$2))</f>
        <v/>
      </c>
      <c r="H482">
        <f>IF(AutoClaim_Data!D482&lt;=$B$2,IF(AutoClaim_Data!E482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2">
        <f>(F482-H482)^2</f>
        <v/>
      </c>
      <c r="J482">
        <f>--(E482="Validation")</f>
        <v/>
      </c>
    </row>
    <row r="483">
      <c r="D483">
        <f>AutoClaim_Data!A483</f>
        <v/>
      </c>
      <c r="E483">
        <f>AutoClaim_Data!B483</f>
        <v/>
      </c>
      <c r="F483">
        <f>AutoClaim_Data!C483</f>
        <v/>
      </c>
      <c r="G483">
        <f>IF(AutoClaim_Data!D483&lt;=$B$2,AVERAGEIFS(AutoClaim_Data!C2:C3168,AutoClaim_Data!B2:B3168,"Train",AutoClaim_Data!D2:D3168,"&lt;="&amp;$B$2),AVERAGEIFS(AutoClaim_Data!C2:C3168,AutoClaim_Data!B2:B3168,"Train",AutoClaim_Data!D2:D3168,"&gt;"&amp;$B$2))</f>
        <v/>
      </c>
      <c r="H483">
        <f>IF(AutoClaim_Data!D483&lt;=$B$2,IF(AutoClaim_Data!E483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3">
        <f>(F483-H483)^2</f>
        <v/>
      </c>
      <c r="J483">
        <f>--(E483="Validation")</f>
        <v/>
      </c>
    </row>
    <row r="484">
      <c r="D484">
        <f>AutoClaim_Data!A484</f>
        <v/>
      </c>
      <c r="E484">
        <f>AutoClaim_Data!B484</f>
        <v/>
      </c>
      <c r="F484">
        <f>AutoClaim_Data!C484</f>
        <v/>
      </c>
      <c r="G484">
        <f>IF(AutoClaim_Data!D484&lt;=$B$2,AVERAGEIFS(AutoClaim_Data!C2:C3168,AutoClaim_Data!B2:B3168,"Train",AutoClaim_Data!D2:D3168,"&lt;="&amp;$B$2),AVERAGEIFS(AutoClaim_Data!C2:C3168,AutoClaim_Data!B2:B3168,"Train",AutoClaim_Data!D2:D3168,"&gt;"&amp;$B$2))</f>
        <v/>
      </c>
      <c r="H484">
        <f>IF(AutoClaim_Data!D484&lt;=$B$2,IF(AutoClaim_Data!E484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4">
        <f>(F484-H484)^2</f>
        <v/>
      </c>
      <c r="J484">
        <f>--(E484="Validation")</f>
        <v/>
      </c>
    </row>
    <row r="485">
      <c r="D485">
        <f>AutoClaim_Data!A485</f>
        <v/>
      </c>
      <c r="E485">
        <f>AutoClaim_Data!B485</f>
        <v/>
      </c>
      <c r="F485">
        <f>AutoClaim_Data!C485</f>
        <v/>
      </c>
      <c r="G485">
        <f>IF(AutoClaim_Data!D485&lt;=$B$2,AVERAGEIFS(AutoClaim_Data!C2:C3168,AutoClaim_Data!B2:B3168,"Train",AutoClaim_Data!D2:D3168,"&lt;="&amp;$B$2),AVERAGEIFS(AutoClaim_Data!C2:C3168,AutoClaim_Data!B2:B3168,"Train",AutoClaim_Data!D2:D3168,"&gt;"&amp;$B$2))</f>
        <v/>
      </c>
      <c r="H485">
        <f>IF(AutoClaim_Data!D485&lt;=$B$2,IF(AutoClaim_Data!E485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5">
        <f>(F485-H485)^2</f>
        <v/>
      </c>
      <c r="J485">
        <f>--(E485="Validation")</f>
        <v/>
      </c>
    </row>
    <row r="486">
      <c r="D486">
        <f>AutoClaim_Data!A486</f>
        <v/>
      </c>
      <c r="E486">
        <f>AutoClaim_Data!B486</f>
        <v/>
      </c>
      <c r="F486">
        <f>AutoClaim_Data!C486</f>
        <v/>
      </c>
      <c r="G486">
        <f>IF(AutoClaim_Data!D486&lt;=$B$2,AVERAGEIFS(AutoClaim_Data!C2:C3168,AutoClaim_Data!B2:B3168,"Train",AutoClaim_Data!D2:D3168,"&lt;="&amp;$B$2),AVERAGEIFS(AutoClaim_Data!C2:C3168,AutoClaim_Data!B2:B3168,"Train",AutoClaim_Data!D2:D3168,"&gt;"&amp;$B$2))</f>
        <v/>
      </c>
      <c r="H486">
        <f>IF(AutoClaim_Data!D486&lt;=$B$2,IF(AutoClaim_Data!E486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6">
        <f>(F486-H486)^2</f>
        <v/>
      </c>
      <c r="J486">
        <f>--(E486="Validation")</f>
        <v/>
      </c>
    </row>
    <row r="487">
      <c r="D487">
        <f>AutoClaim_Data!A487</f>
        <v/>
      </c>
      <c r="E487">
        <f>AutoClaim_Data!B487</f>
        <v/>
      </c>
      <c r="F487">
        <f>AutoClaim_Data!C487</f>
        <v/>
      </c>
      <c r="G487">
        <f>IF(AutoClaim_Data!D487&lt;=$B$2,AVERAGEIFS(AutoClaim_Data!C2:C3168,AutoClaim_Data!B2:B3168,"Train",AutoClaim_Data!D2:D3168,"&lt;="&amp;$B$2),AVERAGEIFS(AutoClaim_Data!C2:C3168,AutoClaim_Data!B2:B3168,"Train",AutoClaim_Data!D2:D3168,"&gt;"&amp;$B$2))</f>
        <v/>
      </c>
      <c r="H487">
        <f>IF(AutoClaim_Data!D487&lt;=$B$2,IF(AutoClaim_Data!E487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7">
        <f>(F487-H487)^2</f>
        <v/>
      </c>
      <c r="J487">
        <f>--(E487="Validation")</f>
        <v/>
      </c>
    </row>
    <row r="488">
      <c r="D488">
        <f>AutoClaim_Data!A488</f>
        <v/>
      </c>
      <c r="E488">
        <f>AutoClaim_Data!B488</f>
        <v/>
      </c>
      <c r="F488">
        <f>AutoClaim_Data!C488</f>
        <v/>
      </c>
      <c r="G488">
        <f>IF(AutoClaim_Data!D488&lt;=$B$2,AVERAGEIFS(AutoClaim_Data!C2:C3168,AutoClaim_Data!B2:B3168,"Train",AutoClaim_Data!D2:D3168,"&lt;="&amp;$B$2),AVERAGEIFS(AutoClaim_Data!C2:C3168,AutoClaim_Data!B2:B3168,"Train",AutoClaim_Data!D2:D3168,"&gt;"&amp;$B$2))</f>
        <v/>
      </c>
      <c r="H488">
        <f>IF(AutoClaim_Data!D488&lt;=$B$2,IF(AutoClaim_Data!E488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8">
        <f>(F488-H488)^2</f>
        <v/>
      </c>
      <c r="J488">
        <f>--(E488="Validation")</f>
        <v/>
      </c>
    </row>
    <row r="489">
      <c r="D489">
        <f>AutoClaim_Data!A489</f>
        <v/>
      </c>
      <c r="E489">
        <f>AutoClaim_Data!B489</f>
        <v/>
      </c>
      <c r="F489">
        <f>AutoClaim_Data!C489</f>
        <v/>
      </c>
      <c r="G489">
        <f>IF(AutoClaim_Data!D489&lt;=$B$2,AVERAGEIFS(AutoClaim_Data!C2:C3168,AutoClaim_Data!B2:B3168,"Train",AutoClaim_Data!D2:D3168,"&lt;="&amp;$B$2),AVERAGEIFS(AutoClaim_Data!C2:C3168,AutoClaim_Data!B2:B3168,"Train",AutoClaim_Data!D2:D3168,"&gt;"&amp;$B$2))</f>
        <v/>
      </c>
      <c r="H489">
        <f>IF(AutoClaim_Data!D489&lt;=$B$2,IF(AutoClaim_Data!E489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89">
        <f>(F489-H489)^2</f>
        <v/>
      </c>
      <c r="J489">
        <f>--(E489="Validation")</f>
        <v/>
      </c>
    </row>
    <row r="490">
      <c r="D490">
        <f>AutoClaim_Data!A490</f>
        <v/>
      </c>
      <c r="E490">
        <f>AutoClaim_Data!B490</f>
        <v/>
      </c>
      <c r="F490">
        <f>AutoClaim_Data!C490</f>
        <v/>
      </c>
      <c r="G490">
        <f>IF(AutoClaim_Data!D490&lt;=$B$2,AVERAGEIFS(AutoClaim_Data!C2:C3168,AutoClaim_Data!B2:B3168,"Train",AutoClaim_Data!D2:D3168,"&lt;="&amp;$B$2),AVERAGEIFS(AutoClaim_Data!C2:C3168,AutoClaim_Data!B2:B3168,"Train",AutoClaim_Data!D2:D3168,"&gt;"&amp;$B$2))</f>
        <v/>
      </c>
      <c r="H490">
        <f>IF(AutoClaim_Data!D490&lt;=$B$2,IF(AutoClaim_Data!E490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0">
        <f>(F490-H490)^2</f>
        <v/>
      </c>
      <c r="J490">
        <f>--(E490="Validation")</f>
        <v/>
      </c>
    </row>
    <row r="491">
      <c r="D491">
        <f>AutoClaim_Data!A491</f>
        <v/>
      </c>
      <c r="E491">
        <f>AutoClaim_Data!B491</f>
        <v/>
      </c>
      <c r="F491">
        <f>AutoClaim_Data!C491</f>
        <v/>
      </c>
      <c r="G491">
        <f>IF(AutoClaim_Data!D491&lt;=$B$2,AVERAGEIFS(AutoClaim_Data!C2:C3168,AutoClaim_Data!B2:B3168,"Train",AutoClaim_Data!D2:D3168,"&lt;="&amp;$B$2),AVERAGEIFS(AutoClaim_Data!C2:C3168,AutoClaim_Data!B2:B3168,"Train",AutoClaim_Data!D2:D3168,"&gt;"&amp;$B$2))</f>
        <v/>
      </c>
      <c r="H491">
        <f>IF(AutoClaim_Data!D491&lt;=$B$2,IF(AutoClaim_Data!E491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1">
        <f>(F491-H491)^2</f>
        <v/>
      </c>
      <c r="J491">
        <f>--(E491="Validation")</f>
        <v/>
      </c>
    </row>
    <row r="492">
      <c r="D492">
        <f>AutoClaim_Data!A492</f>
        <v/>
      </c>
      <c r="E492">
        <f>AutoClaim_Data!B492</f>
        <v/>
      </c>
      <c r="F492">
        <f>AutoClaim_Data!C492</f>
        <v/>
      </c>
      <c r="G492">
        <f>IF(AutoClaim_Data!D492&lt;=$B$2,AVERAGEIFS(AutoClaim_Data!C2:C3168,AutoClaim_Data!B2:B3168,"Train",AutoClaim_Data!D2:D3168,"&lt;="&amp;$B$2),AVERAGEIFS(AutoClaim_Data!C2:C3168,AutoClaim_Data!B2:B3168,"Train",AutoClaim_Data!D2:D3168,"&gt;"&amp;$B$2))</f>
        <v/>
      </c>
      <c r="H492">
        <f>IF(AutoClaim_Data!D492&lt;=$B$2,IF(AutoClaim_Data!E492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2">
        <f>(F492-H492)^2</f>
        <v/>
      </c>
      <c r="J492">
        <f>--(E492="Validation")</f>
        <v/>
      </c>
    </row>
    <row r="493">
      <c r="D493">
        <f>AutoClaim_Data!A493</f>
        <v/>
      </c>
      <c r="E493">
        <f>AutoClaim_Data!B493</f>
        <v/>
      </c>
      <c r="F493">
        <f>AutoClaim_Data!C493</f>
        <v/>
      </c>
      <c r="G493">
        <f>IF(AutoClaim_Data!D493&lt;=$B$2,AVERAGEIFS(AutoClaim_Data!C2:C3168,AutoClaim_Data!B2:B3168,"Train",AutoClaim_Data!D2:D3168,"&lt;="&amp;$B$2),AVERAGEIFS(AutoClaim_Data!C2:C3168,AutoClaim_Data!B2:B3168,"Train",AutoClaim_Data!D2:D3168,"&gt;"&amp;$B$2))</f>
        <v/>
      </c>
      <c r="H493">
        <f>IF(AutoClaim_Data!D493&lt;=$B$2,IF(AutoClaim_Data!E493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3">
        <f>(F493-H493)^2</f>
        <v/>
      </c>
      <c r="J493">
        <f>--(E493="Validation")</f>
        <v/>
      </c>
    </row>
    <row r="494">
      <c r="D494">
        <f>AutoClaim_Data!A494</f>
        <v/>
      </c>
      <c r="E494">
        <f>AutoClaim_Data!B494</f>
        <v/>
      </c>
      <c r="F494">
        <f>AutoClaim_Data!C494</f>
        <v/>
      </c>
      <c r="G494">
        <f>IF(AutoClaim_Data!D494&lt;=$B$2,AVERAGEIFS(AutoClaim_Data!C2:C3168,AutoClaim_Data!B2:B3168,"Train",AutoClaim_Data!D2:D3168,"&lt;="&amp;$B$2),AVERAGEIFS(AutoClaim_Data!C2:C3168,AutoClaim_Data!B2:B3168,"Train",AutoClaim_Data!D2:D3168,"&gt;"&amp;$B$2))</f>
        <v/>
      </c>
      <c r="H494">
        <f>IF(AutoClaim_Data!D494&lt;=$B$2,IF(AutoClaim_Data!E494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4">
        <f>(F494-H494)^2</f>
        <v/>
      </c>
      <c r="J494">
        <f>--(E494="Validation")</f>
        <v/>
      </c>
    </row>
    <row r="495">
      <c r="D495">
        <f>AutoClaim_Data!A495</f>
        <v/>
      </c>
      <c r="E495">
        <f>AutoClaim_Data!B495</f>
        <v/>
      </c>
      <c r="F495">
        <f>AutoClaim_Data!C495</f>
        <v/>
      </c>
      <c r="G495">
        <f>IF(AutoClaim_Data!D495&lt;=$B$2,AVERAGEIFS(AutoClaim_Data!C2:C3168,AutoClaim_Data!B2:B3168,"Train",AutoClaim_Data!D2:D3168,"&lt;="&amp;$B$2),AVERAGEIFS(AutoClaim_Data!C2:C3168,AutoClaim_Data!B2:B3168,"Train",AutoClaim_Data!D2:D3168,"&gt;"&amp;$B$2))</f>
        <v/>
      </c>
      <c r="H495">
        <f>IF(AutoClaim_Data!D495&lt;=$B$2,IF(AutoClaim_Data!E495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5">
        <f>(F495-H495)^2</f>
        <v/>
      </c>
      <c r="J495">
        <f>--(E495="Validation")</f>
        <v/>
      </c>
    </row>
    <row r="496">
      <c r="D496">
        <f>AutoClaim_Data!A496</f>
        <v/>
      </c>
      <c r="E496">
        <f>AutoClaim_Data!B496</f>
        <v/>
      </c>
      <c r="F496">
        <f>AutoClaim_Data!C496</f>
        <v/>
      </c>
      <c r="G496">
        <f>IF(AutoClaim_Data!D496&lt;=$B$2,AVERAGEIFS(AutoClaim_Data!C2:C3168,AutoClaim_Data!B2:B3168,"Train",AutoClaim_Data!D2:D3168,"&lt;="&amp;$B$2),AVERAGEIFS(AutoClaim_Data!C2:C3168,AutoClaim_Data!B2:B3168,"Train",AutoClaim_Data!D2:D3168,"&gt;"&amp;$B$2))</f>
        <v/>
      </c>
      <c r="H496">
        <f>IF(AutoClaim_Data!D496&lt;=$B$2,IF(AutoClaim_Data!E496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6">
        <f>(F496-H496)^2</f>
        <v/>
      </c>
      <c r="J496">
        <f>--(E496="Validation")</f>
        <v/>
      </c>
    </row>
    <row r="497">
      <c r="D497">
        <f>AutoClaim_Data!A497</f>
        <v/>
      </c>
      <c r="E497">
        <f>AutoClaim_Data!B497</f>
        <v/>
      </c>
      <c r="F497">
        <f>AutoClaim_Data!C497</f>
        <v/>
      </c>
      <c r="G497">
        <f>IF(AutoClaim_Data!D497&lt;=$B$2,AVERAGEIFS(AutoClaim_Data!C2:C3168,AutoClaim_Data!B2:B3168,"Train",AutoClaim_Data!D2:D3168,"&lt;="&amp;$B$2),AVERAGEIFS(AutoClaim_Data!C2:C3168,AutoClaim_Data!B2:B3168,"Train",AutoClaim_Data!D2:D3168,"&gt;"&amp;$B$2))</f>
        <v/>
      </c>
      <c r="H497">
        <f>IF(AutoClaim_Data!D497&lt;=$B$2,IF(AutoClaim_Data!E497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7">
        <f>(F497-H497)^2</f>
        <v/>
      </c>
      <c r="J497">
        <f>--(E497="Validation")</f>
        <v/>
      </c>
    </row>
    <row r="498">
      <c r="D498">
        <f>AutoClaim_Data!A498</f>
        <v/>
      </c>
      <c r="E498">
        <f>AutoClaim_Data!B498</f>
        <v/>
      </c>
      <c r="F498">
        <f>AutoClaim_Data!C498</f>
        <v/>
      </c>
      <c r="G498">
        <f>IF(AutoClaim_Data!D498&lt;=$B$2,AVERAGEIFS(AutoClaim_Data!C2:C3168,AutoClaim_Data!B2:B3168,"Train",AutoClaim_Data!D2:D3168,"&lt;="&amp;$B$2),AVERAGEIFS(AutoClaim_Data!C2:C3168,AutoClaim_Data!B2:B3168,"Train",AutoClaim_Data!D2:D3168,"&gt;"&amp;$B$2))</f>
        <v/>
      </c>
      <c r="H498">
        <f>IF(AutoClaim_Data!D498&lt;=$B$2,IF(AutoClaim_Data!E498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8">
        <f>(F498-H498)^2</f>
        <v/>
      </c>
      <c r="J498">
        <f>--(E498="Validation")</f>
        <v/>
      </c>
    </row>
    <row r="499">
      <c r="D499">
        <f>AutoClaim_Data!A499</f>
        <v/>
      </c>
      <c r="E499">
        <f>AutoClaim_Data!B499</f>
        <v/>
      </c>
      <c r="F499">
        <f>AutoClaim_Data!C499</f>
        <v/>
      </c>
      <c r="G499">
        <f>IF(AutoClaim_Data!D499&lt;=$B$2,AVERAGEIFS(AutoClaim_Data!C2:C3168,AutoClaim_Data!B2:B3168,"Train",AutoClaim_Data!D2:D3168,"&lt;="&amp;$B$2),AVERAGEIFS(AutoClaim_Data!C2:C3168,AutoClaim_Data!B2:B3168,"Train",AutoClaim_Data!D2:D3168,"&gt;"&amp;$B$2))</f>
        <v/>
      </c>
      <c r="H499">
        <f>IF(AutoClaim_Data!D499&lt;=$B$2,IF(AutoClaim_Data!E499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499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499">
        <f>(F499-H499)^2</f>
        <v/>
      </c>
      <c r="J499">
        <f>--(E499="Validation")</f>
        <v/>
      </c>
    </row>
    <row r="500">
      <c r="D500">
        <f>AutoClaim_Data!A500</f>
        <v/>
      </c>
      <c r="E500">
        <f>AutoClaim_Data!B500</f>
        <v/>
      </c>
      <c r="F500">
        <f>AutoClaim_Data!C500</f>
        <v/>
      </c>
      <c r="G500">
        <f>IF(AutoClaim_Data!D500&lt;=$B$2,AVERAGEIFS(AutoClaim_Data!C2:C3168,AutoClaim_Data!B2:B3168,"Train",AutoClaim_Data!D2:D3168,"&lt;="&amp;$B$2),AVERAGEIFS(AutoClaim_Data!C2:C3168,AutoClaim_Data!B2:B3168,"Train",AutoClaim_Data!D2:D3168,"&gt;"&amp;$B$2))</f>
        <v/>
      </c>
      <c r="H500">
        <f>IF(AutoClaim_Data!D500&lt;=$B$2,IF(AutoClaim_Data!E500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0">
        <f>(F500-H500)^2</f>
        <v/>
      </c>
      <c r="J500">
        <f>--(E500="Validation")</f>
        <v/>
      </c>
    </row>
    <row r="501">
      <c r="D501">
        <f>AutoClaim_Data!A501</f>
        <v/>
      </c>
      <c r="E501">
        <f>AutoClaim_Data!B501</f>
        <v/>
      </c>
      <c r="F501">
        <f>AutoClaim_Data!C501</f>
        <v/>
      </c>
      <c r="G501">
        <f>IF(AutoClaim_Data!D501&lt;=$B$2,AVERAGEIFS(AutoClaim_Data!C2:C3168,AutoClaim_Data!B2:B3168,"Train",AutoClaim_Data!D2:D3168,"&lt;="&amp;$B$2),AVERAGEIFS(AutoClaim_Data!C2:C3168,AutoClaim_Data!B2:B3168,"Train",AutoClaim_Data!D2:D3168,"&gt;"&amp;$B$2))</f>
        <v/>
      </c>
      <c r="H501">
        <f>IF(AutoClaim_Data!D501&lt;=$B$2,IF(AutoClaim_Data!E501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1">
        <f>(F501-H501)^2</f>
        <v/>
      </c>
      <c r="J501">
        <f>--(E501="Validation")</f>
        <v/>
      </c>
    </row>
    <row r="502">
      <c r="D502">
        <f>AutoClaim_Data!A502</f>
        <v/>
      </c>
      <c r="E502">
        <f>AutoClaim_Data!B502</f>
        <v/>
      </c>
      <c r="F502">
        <f>AutoClaim_Data!C502</f>
        <v/>
      </c>
      <c r="G502">
        <f>IF(AutoClaim_Data!D502&lt;=$B$2,AVERAGEIFS(AutoClaim_Data!C2:C3168,AutoClaim_Data!B2:B3168,"Train",AutoClaim_Data!D2:D3168,"&lt;="&amp;$B$2),AVERAGEIFS(AutoClaim_Data!C2:C3168,AutoClaim_Data!B2:B3168,"Train",AutoClaim_Data!D2:D3168,"&gt;"&amp;$B$2))</f>
        <v/>
      </c>
      <c r="H502">
        <f>IF(AutoClaim_Data!D502&lt;=$B$2,IF(AutoClaim_Data!E502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2">
        <f>(F502-H502)^2</f>
        <v/>
      </c>
      <c r="J502">
        <f>--(E502="Validation")</f>
        <v/>
      </c>
    </row>
    <row r="503">
      <c r="D503">
        <f>AutoClaim_Data!A503</f>
        <v/>
      </c>
      <c r="E503">
        <f>AutoClaim_Data!B503</f>
        <v/>
      </c>
      <c r="F503">
        <f>AutoClaim_Data!C503</f>
        <v/>
      </c>
      <c r="G503">
        <f>IF(AutoClaim_Data!D503&lt;=$B$2,AVERAGEIFS(AutoClaim_Data!C2:C3168,AutoClaim_Data!B2:B3168,"Train",AutoClaim_Data!D2:D3168,"&lt;="&amp;$B$2),AVERAGEIFS(AutoClaim_Data!C2:C3168,AutoClaim_Data!B2:B3168,"Train",AutoClaim_Data!D2:D3168,"&gt;"&amp;$B$2))</f>
        <v/>
      </c>
      <c r="H503">
        <f>IF(AutoClaim_Data!D503&lt;=$B$2,IF(AutoClaim_Data!E503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3">
        <f>(F503-H503)^2</f>
        <v/>
      </c>
      <c r="J503">
        <f>--(E503="Validation")</f>
        <v/>
      </c>
    </row>
    <row r="504">
      <c r="D504">
        <f>AutoClaim_Data!A504</f>
        <v/>
      </c>
      <c r="E504">
        <f>AutoClaim_Data!B504</f>
        <v/>
      </c>
      <c r="F504">
        <f>AutoClaim_Data!C504</f>
        <v/>
      </c>
      <c r="G504">
        <f>IF(AutoClaim_Data!D504&lt;=$B$2,AVERAGEIFS(AutoClaim_Data!C2:C3168,AutoClaim_Data!B2:B3168,"Train",AutoClaim_Data!D2:D3168,"&lt;="&amp;$B$2),AVERAGEIFS(AutoClaim_Data!C2:C3168,AutoClaim_Data!B2:B3168,"Train",AutoClaim_Data!D2:D3168,"&gt;"&amp;$B$2))</f>
        <v/>
      </c>
      <c r="H504">
        <f>IF(AutoClaim_Data!D504&lt;=$B$2,IF(AutoClaim_Data!E504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4">
        <f>(F504-H504)^2</f>
        <v/>
      </c>
      <c r="J504">
        <f>--(E504="Validation")</f>
        <v/>
      </c>
    </row>
    <row r="505">
      <c r="D505">
        <f>AutoClaim_Data!A505</f>
        <v/>
      </c>
      <c r="E505">
        <f>AutoClaim_Data!B505</f>
        <v/>
      </c>
      <c r="F505">
        <f>AutoClaim_Data!C505</f>
        <v/>
      </c>
      <c r="G505">
        <f>IF(AutoClaim_Data!D505&lt;=$B$2,AVERAGEIFS(AutoClaim_Data!C2:C3168,AutoClaim_Data!B2:B3168,"Train",AutoClaim_Data!D2:D3168,"&lt;="&amp;$B$2),AVERAGEIFS(AutoClaim_Data!C2:C3168,AutoClaim_Data!B2:B3168,"Train",AutoClaim_Data!D2:D3168,"&gt;"&amp;$B$2))</f>
        <v/>
      </c>
      <c r="H505">
        <f>IF(AutoClaim_Data!D505&lt;=$B$2,IF(AutoClaim_Data!E505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5">
        <f>(F505-H505)^2</f>
        <v/>
      </c>
      <c r="J505">
        <f>--(E505="Validation")</f>
        <v/>
      </c>
    </row>
    <row r="506">
      <c r="D506">
        <f>AutoClaim_Data!A506</f>
        <v/>
      </c>
      <c r="E506">
        <f>AutoClaim_Data!B506</f>
        <v/>
      </c>
      <c r="F506">
        <f>AutoClaim_Data!C506</f>
        <v/>
      </c>
      <c r="G506">
        <f>IF(AutoClaim_Data!D506&lt;=$B$2,AVERAGEIFS(AutoClaim_Data!C2:C3168,AutoClaim_Data!B2:B3168,"Train",AutoClaim_Data!D2:D3168,"&lt;="&amp;$B$2),AVERAGEIFS(AutoClaim_Data!C2:C3168,AutoClaim_Data!B2:B3168,"Train",AutoClaim_Data!D2:D3168,"&gt;"&amp;$B$2))</f>
        <v/>
      </c>
      <c r="H506">
        <f>IF(AutoClaim_Data!D506&lt;=$B$2,IF(AutoClaim_Data!E506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6">
        <f>(F506-H506)^2</f>
        <v/>
      </c>
      <c r="J506">
        <f>--(E506="Validation")</f>
        <v/>
      </c>
    </row>
    <row r="507">
      <c r="D507">
        <f>AutoClaim_Data!A507</f>
        <v/>
      </c>
      <c r="E507">
        <f>AutoClaim_Data!B507</f>
        <v/>
      </c>
      <c r="F507">
        <f>AutoClaim_Data!C507</f>
        <v/>
      </c>
      <c r="G507">
        <f>IF(AutoClaim_Data!D507&lt;=$B$2,AVERAGEIFS(AutoClaim_Data!C2:C3168,AutoClaim_Data!B2:B3168,"Train",AutoClaim_Data!D2:D3168,"&lt;="&amp;$B$2),AVERAGEIFS(AutoClaim_Data!C2:C3168,AutoClaim_Data!B2:B3168,"Train",AutoClaim_Data!D2:D3168,"&gt;"&amp;$B$2))</f>
        <v/>
      </c>
      <c r="H507">
        <f>IF(AutoClaim_Data!D507&lt;=$B$2,IF(AutoClaim_Data!E507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7">
        <f>(F507-H507)^2</f>
        <v/>
      </c>
      <c r="J507">
        <f>--(E507="Validation")</f>
        <v/>
      </c>
    </row>
    <row r="508">
      <c r="D508">
        <f>AutoClaim_Data!A508</f>
        <v/>
      </c>
      <c r="E508">
        <f>AutoClaim_Data!B508</f>
        <v/>
      </c>
      <c r="F508">
        <f>AutoClaim_Data!C508</f>
        <v/>
      </c>
      <c r="G508">
        <f>IF(AutoClaim_Data!D508&lt;=$B$2,AVERAGEIFS(AutoClaim_Data!C2:C3168,AutoClaim_Data!B2:B3168,"Train",AutoClaim_Data!D2:D3168,"&lt;="&amp;$B$2),AVERAGEIFS(AutoClaim_Data!C2:C3168,AutoClaim_Data!B2:B3168,"Train",AutoClaim_Data!D2:D3168,"&gt;"&amp;$B$2))</f>
        <v/>
      </c>
      <c r="H508">
        <f>IF(AutoClaim_Data!D508&lt;=$B$2,IF(AutoClaim_Data!E508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8">
        <f>(F508-H508)^2</f>
        <v/>
      </c>
      <c r="J508">
        <f>--(E508="Validation")</f>
        <v/>
      </c>
    </row>
    <row r="509">
      <c r="D509">
        <f>AutoClaim_Data!A509</f>
        <v/>
      </c>
      <c r="E509">
        <f>AutoClaim_Data!B509</f>
        <v/>
      </c>
      <c r="F509">
        <f>AutoClaim_Data!C509</f>
        <v/>
      </c>
      <c r="G509">
        <f>IF(AutoClaim_Data!D509&lt;=$B$2,AVERAGEIFS(AutoClaim_Data!C2:C3168,AutoClaim_Data!B2:B3168,"Train",AutoClaim_Data!D2:D3168,"&lt;="&amp;$B$2),AVERAGEIFS(AutoClaim_Data!C2:C3168,AutoClaim_Data!B2:B3168,"Train",AutoClaim_Data!D2:D3168,"&gt;"&amp;$B$2))</f>
        <v/>
      </c>
      <c r="H509">
        <f>IF(AutoClaim_Data!D509&lt;=$B$2,IF(AutoClaim_Data!E509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09">
        <f>(F509-H509)^2</f>
        <v/>
      </c>
      <c r="J509">
        <f>--(E509="Validation")</f>
        <v/>
      </c>
    </row>
    <row r="510">
      <c r="D510">
        <f>AutoClaim_Data!A510</f>
        <v/>
      </c>
      <c r="E510">
        <f>AutoClaim_Data!B510</f>
        <v/>
      </c>
      <c r="F510">
        <f>AutoClaim_Data!C510</f>
        <v/>
      </c>
      <c r="G510">
        <f>IF(AutoClaim_Data!D510&lt;=$B$2,AVERAGEIFS(AutoClaim_Data!C2:C3168,AutoClaim_Data!B2:B3168,"Train",AutoClaim_Data!D2:D3168,"&lt;="&amp;$B$2),AVERAGEIFS(AutoClaim_Data!C2:C3168,AutoClaim_Data!B2:B3168,"Train",AutoClaim_Data!D2:D3168,"&gt;"&amp;$B$2))</f>
        <v/>
      </c>
      <c r="H510">
        <f>IF(AutoClaim_Data!D510&lt;=$B$2,IF(AutoClaim_Data!E510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0">
        <f>(F510-H510)^2</f>
        <v/>
      </c>
      <c r="J510">
        <f>--(E510="Validation")</f>
        <v/>
      </c>
    </row>
    <row r="511">
      <c r="D511">
        <f>AutoClaim_Data!A511</f>
        <v/>
      </c>
      <c r="E511">
        <f>AutoClaim_Data!B511</f>
        <v/>
      </c>
      <c r="F511">
        <f>AutoClaim_Data!C511</f>
        <v/>
      </c>
      <c r="G511">
        <f>IF(AutoClaim_Data!D511&lt;=$B$2,AVERAGEIFS(AutoClaim_Data!C2:C3168,AutoClaim_Data!B2:B3168,"Train",AutoClaim_Data!D2:D3168,"&lt;="&amp;$B$2),AVERAGEIFS(AutoClaim_Data!C2:C3168,AutoClaim_Data!B2:B3168,"Train",AutoClaim_Data!D2:D3168,"&gt;"&amp;$B$2))</f>
        <v/>
      </c>
      <c r="H511">
        <f>IF(AutoClaim_Data!D511&lt;=$B$2,IF(AutoClaim_Data!E511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1">
        <f>(F511-H511)^2</f>
        <v/>
      </c>
      <c r="J511">
        <f>--(E511="Validation")</f>
        <v/>
      </c>
    </row>
    <row r="512">
      <c r="D512">
        <f>AutoClaim_Data!A512</f>
        <v/>
      </c>
      <c r="E512">
        <f>AutoClaim_Data!B512</f>
        <v/>
      </c>
      <c r="F512">
        <f>AutoClaim_Data!C512</f>
        <v/>
      </c>
      <c r="G512">
        <f>IF(AutoClaim_Data!D512&lt;=$B$2,AVERAGEIFS(AutoClaim_Data!C2:C3168,AutoClaim_Data!B2:B3168,"Train",AutoClaim_Data!D2:D3168,"&lt;="&amp;$B$2),AVERAGEIFS(AutoClaim_Data!C2:C3168,AutoClaim_Data!B2:B3168,"Train",AutoClaim_Data!D2:D3168,"&gt;"&amp;$B$2))</f>
        <v/>
      </c>
      <c r="H512">
        <f>IF(AutoClaim_Data!D512&lt;=$B$2,IF(AutoClaim_Data!E512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2">
        <f>(F512-H512)^2</f>
        <v/>
      </c>
      <c r="J512">
        <f>--(E512="Validation")</f>
        <v/>
      </c>
    </row>
    <row r="513">
      <c r="D513">
        <f>AutoClaim_Data!A513</f>
        <v/>
      </c>
      <c r="E513">
        <f>AutoClaim_Data!B513</f>
        <v/>
      </c>
      <c r="F513">
        <f>AutoClaim_Data!C513</f>
        <v/>
      </c>
      <c r="G513">
        <f>IF(AutoClaim_Data!D513&lt;=$B$2,AVERAGEIFS(AutoClaim_Data!C2:C3168,AutoClaim_Data!B2:B3168,"Train",AutoClaim_Data!D2:D3168,"&lt;="&amp;$B$2),AVERAGEIFS(AutoClaim_Data!C2:C3168,AutoClaim_Data!B2:B3168,"Train",AutoClaim_Data!D2:D3168,"&gt;"&amp;$B$2))</f>
        <v/>
      </c>
      <c r="H513">
        <f>IF(AutoClaim_Data!D513&lt;=$B$2,IF(AutoClaim_Data!E513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3">
        <f>(F513-H513)^2</f>
        <v/>
      </c>
      <c r="J513">
        <f>--(E513="Validation")</f>
        <v/>
      </c>
    </row>
    <row r="514">
      <c r="D514">
        <f>AutoClaim_Data!A514</f>
        <v/>
      </c>
      <c r="E514">
        <f>AutoClaim_Data!B514</f>
        <v/>
      </c>
      <c r="F514">
        <f>AutoClaim_Data!C514</f>
        <v/>
      </c>
      <c r="G514">
        <f>IF(AutoClaim_Data!D514&lt;=$B$2,AVERAGEIFS(AutoClaim_Data!C2:C3168,AutoClaim_Data!B2:B3168,"Train",AutoClaim_Data!D2:D3168,"&lt;="&amp;$B$2),AVERAGEIFS(AutoClaim_Data!C2:C3168,AutoClaim_Data!B2:B3168,"Train",AutoClaim_Data!D2:D3168,"&gt;"&amp;$B$2))</f>
        <v/>
      </c>
      <c r="H514">
        <f>IF(AutoClaim_Data!D514&lt;=$B$2,IF(AutoClaim_Data!E514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4">
        <f>(F514-H514)^2</f>
        <v/>
      </c>
      <c r="J514">
        <f>--(E514="Validation")</f>
        <v/>
      </c>
    </row>
    <row r="515">
      <c r="D515">
        <f>AutoClaim_Data!A515</f>
        <v/>
      </c>
      <c r="E515">
        <f>AutoClaim_Data!B515</f>
        <v/>
      </c>
      <c r="F515">
        <f>AutoClaim_Data!C515</f>
        <v/>
      </c>
      <c r="G515">
        <f>IF(AutoClaim_Data!D515&lt;=$B$2,AVERAGEIFS(AutoClaim_Data!C2:C3168,AutoClaim_Data!B2:B3168,"Train",AutoClaim_Data!D2:D3168,"&lt;="&amp;$B$2),AVERAGEIFS(AutoClaim_Data!C2:C3168,AutoClaim_Data!B2:B3168,"Train",AutoClaim_Data!D2:D3168,"&gt;"&amp;$B$2))</f>
        <v/>
      </c>
      <c r="H515">
        <f>IF(AutoClaim_Data!D515&lt;=$B$2,IF(AutoClaim_Data!E515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5">
        <f>(F515-H515)^2</f>
        <v/>
      </c>
      <c r="J515">
        <f>--(E515="Validation")</f>
        <v/>
      </c>
    </row>
    <row r="516">
      <c r="D516">
        <f>AutoClaim_Data!A516</f>
        <v/>
      </c>
      <c r="E516">
        <f>AutoClaim_Data!B516</f>
        <v/>
      </c>
      <c r="F516">
        <f>AutoClaim_Data!C516</f>
        <v/>
      </c>
      <c r="G516">
        <f>IF(AutoClaim_Data!D516&lt;=$B$2,AVERAGEIFS(AutoClaim_Data!C2:C3168,AutoClaim_Data!B2:B3168,"Train",AutoClaim_Data!D2:D3168,"&lt;="&amp;$B$2),AVERAGEIFS(AutoClaim_Data!C2:C3168,AutoClaim_Data!B2:B3168,"Train",AutoClaim_Data!D2:D3168,"&gt;"&amp;$B$2))</f>
        <v/>
      </c>
      <c r="H516">
        <f>IF(AutoClaim_Data!D516&lt;=$B$2,IF(AutoClaim_Data!E516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6">
        <f>(F516-H516)^2</f>
        <v/>
      </c>
      <c r="J516">
        <f>--(E516="Validation")</f>
        <v/>
      </c>
    </row>
    <row r="517">
      <c r="D517">
        <f>AutoClaim_Data!A517</f>
        <v/>
      </c>
      <c r="E517">
        <f>AutoClaim_Data!B517</f>
        <v/>
      </c>
      <c r="F517">
        <f>AutoClaim_Data!C517</f>
        <v/>
      </c>
      <c r="G517">
        <f>IF(AutoClaim_Data!D517&lt;=$B$2,AVERAGEIFS(AutoClaim_Data!C2:C3168,AutoClaim_Data!B2:B3168,"Train",AutoClaim_Data!D2:D3168,"&lt;="&amp;$B$2),AVERAGEIFS(AutoClaim_Data!C2:C3168,AutoClaim_Data!B2:B3168,"Train",AutoClaim_Data!D2:D3168,"&gt;"&amp;$B$2))</f>
        <v/>
      </c>
      <c r="H517">
        <f>IF(AutoClaim_Data!D517&lt;=$B$2,IF(AutoClaim_Data!E517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7">
        <f>(F517-H517)^2</f>
        <v/>
      </c>
      <c r="J517">
        <f>--(E517="Validation")</f>
        <v/>
      </c>
    </row>
    <row r="518">
      <c r="D518">
        <f>AutoClaim_Data!A518</f>
        <v/>
      </c>
      <c r="E518">
        <f>AutoClaim_Data!B518</f>
        <v/>
      </c>
      <c r="F518">
        <f>AutoClaim_Data!C518</f>
        <v/>
      </c>
      <c r="G518">
        <f>IF(AutoClaim_Data!D518&lt;=$B$2,AVERAGEIFS(AutoClaim_Data!C2:C3168,AutoClaim_Data!B2:B3168,"Train",AutoClaim_Data!D2:D3168,"&lt;="&amp;$B$2),AVERAGEIFS(AutoClaim_Data!C2:C3168,AutoClaim_Data!B2:B3168,"Train",AutoClaim_Data!D2:D3168,"&gt;"&amp;$B$2))</f>
        <v/>
      </c>
      <c r="H518">
        <f>IF(AutoClaim_Data!D518&lt;=$B$2,IF(AutoClaim_Data!E518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8">
        <f>(F518-H518)^2</f>
        <v/>
      </c>
      <c r="J518">
        <f>--(E518="Validation")</f>
        <v/>
      </c>
    </row>
    <row r="519">
      <c r="D519">
        <f>AutoClaim_Data!A519</f>
        <v/>
      </c>
      <c r="E519">
        <f>AutoClaim_Data!B519</f>
        <v/>
      </c>
      <c r="F519">
        <f>AutoClaim_Data!C519</f>
        <v/>
      </c>
      <c r="G519">
        <f>IF(AutoClaim_Data!D519&lt;=$B$2,AVERAGEIFS(AutoClaim_Data!C2:C3168,AutoClaim_Data!B2:B3168,"Train",AutoClaim_Data!D2:D3168,"&lt;="&amp;$B$2),AVERAGEIFS(AutoClaim_Data!C2:C3168,AutoClaim_Data!B2:B3168,"Train",AutoClaim_Data!D2:D3168,"&gt;"&amp;$B$2))</f>
        <v/>
      </c>
      <c r="H519">
        <f>IF(AutoClaim_Data!D519&lt;=$B$2,IF(AutoClaim_Data!E519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19">
        <f>(F519-H519)^2</f>
        <v/>
      </c>
      <c r="J519">
        <f>--(E519="Validation")</f>
        <v/>
      </c>
    </row>
    <row r="520">
      <c r="D520">
        <f>AutoClaim_Data!A520</f>
        <v/>
      </c>
      <c r="E520">
        <f>AutoClaim_Data!B520</f>
        <v/>
      </c>
      <c r="F520">
        <f>AutoClaim_Data!C520</f>
        <v/>
      </c>
      <c r="G520">
        <f>IF(AutoClaim_Data!D520&lt;=$B$2,AVERAGEIFS(AutoClaim_Data!C2:C3168,AutoClaim_Data!B2:B3168,"Train",AutoClaim_Data!D2:D3168,"&lt;="&amp;$B$2),AVERAGEIFS(AutoClaim_Data!C2:C3168,AutoClaim_Data!B2:B3168,"Train",AutoClaim_Data!D2:D3168,"&gt;"&amp;$B$2))</f>
        <v/>
      </c>
      <c r="H520">
        <f>IF(AutoClaim_Data!D520&lt;=$B$2,IF(AutoClaim_Data!E520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0">
        <f>(F520-H520)^2</f>
        <v/>
      </c>
      <c r="J520">
        <f>--(E520="Validation")</f>
        <v/>
      </c>
    </row>
    <row r="521">
      <c r="D521">
        <f>AutoClaim_Data!A521</f>
        <v/>
      </c>
      <c r="E521">
        <f>AutoClaim_Data!B521</f>
        <v/>
      </c>
      <c r="F521">
        <f>AutoClaim_Data!C521</f>
        <v/>
      </c>
      <c r="G521">
        <f>IF(AutoClaim_Data!D521&lt;=$B$2,AVERAGEIFS(AutoClaim_Data!C2:C3168,AutoClaim_Data!B2:B3168,"Train",AutoClaim_Data!D2:D3168,"&lt;="&amp;$B$2),AVERAGEIFS(AutoClaim_Data!C2:C3168,AutoClaim_Data!B2:B3168,"Train",AutoClaim_Data!D2:D3168,"&gt;"&amp;$B$2))</f>
        <v/>
      </c>
      <c r="H521">
        <f>IF(AutoClaim_Data!D521&lt;=$B$2,IF(AutoClaim_Data!E521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1">
        <f>(F521-H521)^2</f>
        <v/>
      </c>
      <c r="J521">
        <f>--(E521="Validation")</f>
        <v/>
      </c>
    </row>
    <row r="522">
      <c r="D522">
        <f>AutoClaim_Data!A522</f>
        <v/>
      </c>
      <c r="E522">
        <f>AutoClaim_Data!B522</f>
        <v/>
      </c>
      <c r="F522">
        <f>AutoClaim_Data!C522</f>
        <v/>
      </c>
      <c r="G522">
        <f>IF(AutoClaim_Data!D522&lt;=$B$2,AVERAGEIFS(AutoClaim_Data!C2:C3168,AutoClaim_Data!B2:B3168,"Train",AutoClaim_Data!D2:D3168,"&lt;="&amp;$B$2),AVERAGEIFS(AutoClaim_Data!C2:C3168,AutoClaim_Data!B2:B3168,"Train",AutoClaim_Data!D2:D3168,"&gt;"&amp;$B$2))</f>
        <v/>
      </c>
      <c r="H522">
        <f>IF(AutoClaim_Data!D522&lt;=$B$2,IF(AutoClaim_Data!E522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2">
        <f>(F522-H522)^2</f>
        <v/>
      </c>
      <c r="J522">
        <f>--(E522="Validation")</f>
        <v/>
      </c>
    </row>
    <row r="523">
      <c r="D523">
        <f>AutoClaim_Data!A523</f>
        <v/>
      </c>
      <c r="E523">
        <f>AutoClaim_Data!B523</f>
        <v/>
      </c>
      <c r="F523">
        <f>AutoClaim_Data!C523</f>
        <v/>
      </c>
      <c r="G523">
        <f>IF(AutoClaim_Data!D523&lt;=$B$2,AVERAGEIFS(AutoClaim_Data!C2:C3168,AutoClaim_Data!B2:B3168,"Train",AutoClaim_Data!D2:D3168,"&lt;="&amp;$B$2),AVERAGEIFS(AutoClaim_Data!C2:C3168,AutoClaim_Data!B2:B3168,"Train",AutoClaim_Data!D2:D3168,"&gt;"&amp;$B$2))</f>
        <v/>
      </c>
      <c r="H523">
        <f>IF(AutoClaim_Data!D523&lt;=$B$2,IF(AutoClaim_Data!E523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3">
        <f>(F523-H523)^2</f>
        <v/>
      </c>
      <c r="J523">
        <f>--(E523="Validation")</f>
        <v/>
      </c>
    </row>
    <row r="524">
      <c r="D524">
        <f>AutoClaim_Data!A524</f>
        <v/>
      </c>
      <c r="E524">
        <f>AutoClaim_Data!B524</f>
        <v/>
      </c>
      <c r="F524">
        <f>AutoClaim_Data!C524</f>
        <v/>
      </c>
      <c r="G524">
        <f>IF(AutoClaim_Data!D524&lt;=$B$2,AVERAGEIFS(AutoClaim_Data!C2:C3168,AutoClaim_Data!B2:B3168,"Train",AutoClaim_Data!D2:D3168,"&lt;="&amp;$B$2),AVERAGEIFS(AutoClaim_Data!C2:C3168,AutoClaim_Data!B2:B3168,"Train",AutoClaim_Data!D2:D3168,"&gt;"&amp;$B$2))</f>
        <v/>
      </c>
      <c r="H524">
        <f>IF(AutoClaim_Data!D524&lt;=$B$2,IF(AutoClaim_Data!E524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4">
        <f>(F524-H524)^2</f>
        <v/>
      </c>
      <c r="J524">
        <f>--(E524="Validation")</f>
        <v/>
      </c>
    </row>
    <row r="525">
      <c r="D525">
        <f>AutoClaim_Data!A525</f>
        <v/>
      </c>
      <c r="E525">
        <f>AutoClaim_Data!B525</f>
        <v/>
      </c>
      <c r="F525">
        <f>AutoClaim_Data!C525</f>
        <v/>
      </c>
      <c r="G525">
        <f>IF(AutoClaim_Data!D525&lt;=$B$2,AVERAGEIFS(AutoClaim_Data!C2:C3168,AutoClaim_Data!B2:B3168,"Train",AutoClaim_Data!D2:D3168,"&lt;="&amp;$B$2),AVERAGEIFS(AutoClaim_Data!C2:C3168,AutoClaim_Data!B2:B3168,"Train",AutoClaim_Data!D2:D3168,"&gt;"&amp;$B$2))</f>
        <v/>
      </c>
      <c r="H525">
        <f>IF(AutoClaim_Data!D525&lt;=$B$2,IF(AutoClaim_Data!E525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5">
        <f>(F525-H525)^2</f>
        <v/>
      </c>
      <c r="J525">
        <f>--(E525="Validation")</f>
        <v/>
      </c>
    </row>
    <row r="526">
      <c r="D526">
        <f>AutoClaim_Data!A526</f>
        <v/>
      </c>
      <c r="E526">
        <f>AutoClaim_Data!B526</f>
        <v/>
      </c>
      <c r="F526">
        <f>AutoClaim_Data!C526</f>
        <v/>
      </c>
      <c r="G526">
        <f>IF(AutoClaim_Data!D526&lt;=$B$2,AVERAGEIFS(AutoClaim_Data!C2:C3168,AutoClaim_Data!B2:B3168,"Train",AutoClaim_Data!D2:D3168,"&lt;="&amp;$B$2),AVERAGEIFS(AutoClaim_Data!C2:C3168,AutoClaim_Data!B2:B3168,"Train",AutoClaim_Data!D2:D3168,"&gt;"&amp;$B$2))</f>
        <v/>
      </c>
      <c r="H526">
        <f>IF(AutoClaim_Data!D526&lt;=$B$2,IF(AutoClaim_Data!E526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6">
        <f>(F526-H526)^2</f>
        <v/>
      </c>
      <c r="J526">
        <f>--(E526="Validation")</f>
        <v/>
      </c>
    </row>
    <row r="527">
      <c r="D527">
        <f>AutoClaim_Data!A527</f>
        <v/>
      </c>
      <c r="E527">
        <f>AutoClaim_Data!B527</f>
        <v/>
      </c>
      <c r="F527">
        <f>AutoClaim_Data!C527</f>
        <v/>
      </c>
      <c r="G527">
        <f>IF(AutoClaim_Data!D527&lt;=$B$2,AVERAGEIFS(AutoClaim_Data!C2:C3168,AutoClaim_Data!B2:B3168,"Train",AutoClaim_Data!D2:D3168,"&lt;="&amp;$B$2),AVERAGEIFS(AutoClaim_Data!C2:C3168,AutoClaim_Data!B2:B3168,"Train",AutoClaim_Data!D2:D3168,"&gt;"&amp;$B$2))</f>
        <v/>
      </c>
      <c r="H527">
        <f>IF(AutoClaim_Data!D527&lt;=$B$2,IF(AutoClaim_Data!E527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7">
        <f>(F527-H527)^2</f>
        <v/>
      </c>
      <c r="J527">
        <f>--(E527="Validation")</f>
        <v/>
      </c>
    </row>
    <row r="528">
      <c r="D528">
        <f>AutoClaim_Data!A528</f>
        <v/>
      </c>
      <c r="E528">
        <f>AutoClaim_Data!B528</f>
        <v/>
      </c>
      <c r="F528">
        <f>AutoClaim_Data!C528</f>
        <v/>
      </c>
      <c r="G528">
        <f>IF(AutoClaim_Data!D528&lt;=$B$2,AVERAGEIFS(AutoClaim_Data!C2:C3168,AutoClaim_Data!B2:B3168,"Train",AutoClaim_Data!D2:D3168,"&lt;="&amp;$B$2),AVERAGEIFS(AutoClaim_Data!C2:C3168,AutoClaim_Data!B2:B3168,"Train",AutoClaim_Data!D2:D3168,"&gt;"&amp;$B$2))</f>
        <v/>
      </c>
      <c r="H528">
        <f>IF(AutoClaim_Data!D528&lt;=$B$2,IF(AutoClaim_Data!E528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8">
        <f>(F528-H528)^2</f>
        <v/>
      </c>
      <c r="J528">
        <f>--(E528="Validation")</f>
        <v/>
      </c>
    </row>
    <row r="529">
      <c r="D529">
        <f>AutoClaim_Data!A529</f>
        <v/>
      </c>
      <c r="E529">
        <f>AutoClaim_Data!B529</f>
        <v/>
      </c>
      <c r="F529">
        <f>AutoClaim_Data!C529</f>
        <v/>
      </c>
      <c r="G529">
        <f>IF(AutoClaim_Data!D529&lt;=$B$2,AVERAGEIFS(AutoClaim_Data!C2:C3168,AutoClaim_Data!B2:B3168,"Train",AutoClaim_Data!D2:D3168,"&lt;="&amp;$B$2),AVERAGEIFS(AutoClaim_Data!C2:C3168,AutoClaim_Data!B2:B3168,"Train",AutoClaim_Data!D2:D3168,"&gt;"&amp;$B$2))</f>
        <v/>
      </c>
      <c r="H529">
        <f>IF(AutoClaim_Data!D529&lt;=$B$2,IF(AutoClaim_Data!E529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29">
        <f>(F529-H529)^2</f>
        <v/>
      </c>
      <c r="J529">
        <f>--(E529="Validation")</f>
        <v/>
      </c>
    </row>
    <row r="530">
      <c r="D530">
        <f>AutoClaim_Data!A530</f>
        <v/>
      </c>
      <c r="E530">
        <f>AutoClaim_Data!B530</f>
        <v/>
      </c>
      <c r="F530">
        <f>AutoClaim_Data!C530</f>
        <v/>
      </c>
      <c r="G530">
        <f>IF(AutoClaim_Data!D530&lt;=$B$2,AVERAGEIFS(AutoClaim_Data!C2:C3168,AutoClaim_Data!B2:B3168,"Train",AutoClaim_Data!D2:D3168,"&lt;="&amp;$B$2),AVERAGEIFS(AutoClaim_Data!C2:C3168,AutoClaim_Data!B2:B3168,"Train",AutoClaim_Data!D2:D3168,"&gt;"&amp;$B$2))</f>
        <v/>
      </c>
      <c r="H530">
        <f>IF(AutoClaim_Data!D530&lt;=$B$2,IF(AutoClaim_Data!E530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0">
        <f>(F530-H530)^2</f>
        <v/>
      </c>
      <c r="J530">
        <f>--(E530="Validation")</f>
        <v/>
      </c>
    </row>
    <row r="531">
      <c r="D531">
        <f>AutoClaim_Data!A531</f>
        <v/>
      </c>
      <c r="E531">
        <f>AutoClaim_Data!B531</f>
        <v/>
      </c>
      <c r="F531">
        <f>AutoClaim_Data!C531</f>
        <v/>
      </c>
      <c r="G531">
        <f>IF(AutoClaim_Data!D531&lt;=$B$2,AVERAGEIFS(AutoClaim_Data!C2:C3168,AutoClaim_Data!B2:B3168,"Train",AutoClaim_Data!D2:D3168,"&lt;="&amp;$B$2),AVERAGEIFS(AutoClaim_Data!C2:C3168,AutoClaim_Data!B2:B3168,"Train",AutoClaim_Data!D2:D3168,"&gt;"&amp;$B$2))</f>
        <v/>
      </c>
      <c r="H531">
        <f>IF(AutoClaim_Data!D531&lt;=$B$2,IF(AutoClaim_Data!E531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1">
        <f>(F531-H531)^2</f>
        <v/>
      </c>
      <c r="J531">
        <f>--(E531="Validation")</f>
        <v/>
      </c>
    </row>
    <row r="532">
      <c r="D532">
        <f>AutoClaim_Data!A532</f>
        <v/>
      </c>
      <c r="E532">
        <f>AutoClaim_Data!B532</f>
        <v/>
      </c>
      <c r="F532">
        <f>AutoClaim_Data!C532</f>
        <v/>
      </c>
      <c r="G532">
        <f>IF(AutoClaim_Data!D532&lt;=$B$2,AVERAGEIFS(AutoClaim_Data!C2:C3168,AutoClaim_Data!B2:B3168,"Train",AutoClaim_Data!D2:D3168,"&lt;="&amp;$B$2),AVERAGEIFS(AutoClaim_Data!C2:C3168,AutoClaim_Data!B2:B3168,"Train",AutoClaim_Data!D2:D3168,"&gt;"&amp;$B$2))</f>
        <v/>
      </c>
      <c r="H532">
        <f>IF(AutoClaim_Data!D532&lt;=$B$2,IF(AutoClaim_Data!E532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2">
        <f>(F532-H532)^2</f>
        <v/>
      </c>
      <c r="J532">
        <f>--(E532="Validation")</f>
        <v/>
      </c>
    </row>
    <row r="533">
      <c r="D533">
        <f>AutoClaim_Data!A533</f>
        <v/>
      </c>
      <c r="E533">
        <f>AutoClaim_Data!B533</f>
        <v/>
      </c>
      <c r="F533">
        <f>AutoClaim_Data!C533</f>
        <v/>
      </c>
      <c r="G533">
        <f>IF(AutoClaim_Data!D533&lt;=$B$2,AVERAGEIFS(AutoClaim_Data!C2:C3168,AutoClaim_Data!B2:B3168,"Train",AutoClaim_Data!D2:D3168,"&lt;="&amp;$B$2),AVERAGEIFS(AutoClaim_Data!C2:C3168,AutoClaim_Data!B2:B3168,"Train",AutoClaim_Data!D2:D3168,"&gt;"&amp;$B$2))</f>
        <v/>
      </c>
      <c r="H533">
        <f>IF(AutoClaim_Data!D533&lt;=$B$2,IF(AutoClaim_Data!E533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3">
        <f>(F533-H533)^2</f>
        <v/>
      </c>
      <c r="J533">
        <f>--(E533="Validation")</f>
        <v/>
      </c>
    </row>
    <row r="534">
      <c r="D534">
        <f>AutoClaim_Data!A534</f>
        <v/>
      </c>
      <c r="E534">
        <f>AutoClaim_Data!B534</f>
        <v/>
      </c>
      <c r="F534">
        <f>AutoClaim_Data!C534</f>
        <v/>
      </c>
      <c r="G534">
        <f>IF(AutoClaim_Data!D534&lt;=$B$2,AVERAGEIFS(AutoClaim_Data!C2:C3168,AutoClaim_Data!B2:B3168,"Train",AutoClaim_Data!D2:D3168,"&lt;="&amp;$B$2),AVERAGEIFS(AutoClaim_Data!C2:C3168,AutoClaim_Data!B2:B3168,"Train",AutoClaim_Data!D2:D3168,"&gt;"&amp;$B$2))</f>
        <v/>
      </c>
      <c r="H534">
        <f>IF(AutoClaim_Data!D534&lt;=$B$2,IF(AutoClaim_Data!E534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4">
        <f>(F534-H534)^2</f>
        <v/>
      </c>
      <c r="J534">
        <f>--(E534="Validation")</f>
        <v/>
      </c>
    </row>
    <row r="535">
      <c r="D535">
        <f>AutoClaim_Data!A535</f>
        <v/>
      </c>
      <c r="E535">
        <f>AutoClaim_Data!B535</f>
        <v/>
      </c>
      <c r="F535">
        <f>AutoClaim_Data!C535</f>
        <v/>
      </c>
      <c r="G535">
        <f>IF(AutoClaim_Data!D535&lt;=$B$2,AVERAGEIFS(AutoClaim_Data!C2:C3168,AutoClaim_Data!B2:B3168,"Train",AutoClaim_Data!D2:D3168,"&lt;="&amp;$B$2),AVERAGEIFS(AutoClaim_Data!C2:C3168,AutoClaim_Data!B2:B3168,"Train",AutoClaim_Data!D2:D3168,"&gt;"&amp;$B$2))</f>
        <v/>
      </c>
      <c r="H535">
        <f>IF(AutoClaim_Data!D535&lt;=$B$2,IF(AutoClaim_Data!E535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5">
        <f>(F535-H535)^2</f>
        <v/>
      </c>
      <c r="J535">
        <f>--(E535="Validation")</f>
        <v/>
      </c>
    </row>
    <row r="536">
      <c r="D536">
        <f>AutoClaim_Data!A536</f>
        <v/>
      </c>
      <c r="E536">
        <f>AutoClaim_Data!B536</f>
        <v/>
      </c>
      <c r="F536">
        <f>AutoClaim_Data!C536</f>
        <v/>
      </c>
      <c r="G536">
        <f>IF(AutoClaim_Data!D536&lt;=$B$2,AVERAGEIFS(AutoClaim_Data!C2:C3168,AutoClaim_Data!B2:B3168,"Train",AutoClaim_Data!D2:D3168,"&lt;="&amp;$B$2),AVERAGEIFS(AutoClaim_Data!C2:C3168,AutoClaim_Data!B2:B3168,"Train",AutoClaim_Data!D2:D3168,"&gt;"&amp;$B$2))</f>
        <v/>
      </c>
      <c r="H536">
        <f>IF(AutoClaim_Data!D536&lt;=$B$2,IF(AutoClaim_Data!E536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6">
        <f>(F536-H536)^2</f>
        <v/>
      </c>
      <c r="J536">
        <f>--(E536="Validation")</f>
        <v/>
      </c>
    </row>
    <row r="537">
      <c r="D537">
        <f>AutoClaim_Data!A537</f>
        <v/>
      </c>
      <c r="E537">
        <f>AutoClaim_Data!B537</f>
        <v/>
      </c>
      <c r="F537">
        <f>AutoClaim_Data!C537</f>
        <v/>
      </c>
      <c r="G537">
        <f>IF(AutoClaim_Data!D537&lt;=$B$2,AVERAGEIFS(AutoClaim_Data!C2:C3168,AutoClaim_Data!B2:B3168,"Train",AutoClaim_Data!D2:D3168,"&lt;="&amp;$B$2),AVERAGEIFS(AutoClaim_Data!C2:C3168,AutoClaim_Data!B2:B3168,"Train",AutoClaim_Data!D2:D3168,"&gt;"&amp;$B$2))</f>
        <v/>
      </c>
      <c r="H537">
        <f>IF(AutoClaim_Data!D537&lt;=$B$2,IF(AutoClaim_Data!E537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7">
        <f>(F537-H537)^2</f>
        <v/>
      </c>
      <c r="J537">
        <f>--(E537="Validation")</f>
        <v/>
      </c>
    </row>
    <row r="538">
      <c r="D538">
        <f>AutoClaim_Data!A538</f>
        <v/>
      </c>
      <c r="E538">
        <f>AutoClaim_Data!B538</f>
        <v/>
      </c>
      <c r="F538">
        <f>AutoClaim_Data!C538</f>
        <v/>
      </c>
      <c r="G538">
        <f>IF(AutoClaim_Data!D538&lt;=$B$2,AVERAGEIFS(AutoClaim_Data!C2:C3168,AutoClaim_Data!B2:B3168,"Train",AutoClaim_Data!D2:D3168,"&lt;="&amp;$B$2),AVERAGEIFS(AutoClaim_Data!C2:C3168,AutoClaim_Data!B2:B3168,"Train",AutoClaim_Data!D2:D3168,"&gt;"&amp;$B$2))</f>
        <v/>
      </c>
      <c r="H538">
        <f>IF(AutoClaim_Data!D538&lt;=$B$2,IF(AutoClaim_Data!E538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8">
        <f>(F538-H538)^2</f>
        <v/>
      </c>
      <c r="J538">
        <f>--(E538="Validation")</f>
        <v/>
      </c>
    </row>
    <row r="539">
      <c r="D539">
        <f>AutoClaim_Data!A539</f>
        <v/>
      </c>
      <c r="E539">
        <f>AutoClaim_Data!B539</f>
        <v/>
      </c>
      <c r="F539">
        <f>AutoClaim_Data!C539</f>
        <v/>
      </c>
      <c r="G539">
        <f>IF(AutoClaim_Data!D539&lt;=$B$2,AVERAGEIFS(AutoClaim_Data!C2:C3168,AutoClaim_Data!B2:B3168,"Train",AutoClaim_Data!D2:D3168,"&lt;="&amp;$B$2),AVERAGEIFS(AutoClaim_Data!C2:C3168,AutoClaim_Data!B2:B3168,"Train",AutoClaim_Data!D2:D3168,"&gt;"&amp;$B$2))</f>
        <v/>
      </c>
      <c r="H539">
        <f>IF(AutoClaim_Data!D539&lt;=$B$2,IF(AutoClaim_Data!E539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39">
        <f>(F539-H539)^2</f>
        <v/>
      </c>
      <c r="J539">
        <f>--(E539="Validation")</f>
        <v/>
      </c>
    </row>
    <row r="540">
      <c r="D540">
        <f>AutoClaim_Data!A540</f>
        <v/>
      </c>
      <c r="E540">
        <f>AutoClaim_Data!B540</f>
        <v/>
      </c>
      <c r="F540">
        <f>AutoClaim_Data!C540</f>
        <v/>
      </c>
      <c r="G540">
        <f>IF(AutoClaim_Data!D540&lt;=$B$2,AVERAGEIFS(AutoClaim_Data!C2:C3168,AutoClaim_Data!B2:B3168,"Train",AutoClaim_Data!D2:D3168,"&lt;="&amp;$B$2),AVERAGEIFS(AutoClaim_Data!C2:C3168,AutoClaim_Data!B2:B3168,"Train",AutoClaim_Data!D2:D3168,"&gt;"&amp;$B$2))</f>
        <v/>
      </c>
      <c r="H540">
        <f>IF(AutoClaim_Data!D540&lt;=$B$2,IF(AutoClaim_Data!E540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0">
        <f>(F540-H540)^2</f>
        <v/>
      </c>
      <c r="J540">
        <f>--(E540="Validation")</f>
        <v/>
      </c>
    </row>
    <row r="541">
      <c r="D541">
        <f>AutoClaim_Data!A541</f>
        <v/>
      </c>
      <c r="E541">
        <f>AutoClaim_Data!B541</f>
        <v/>
      </c>
      <c r="F541">
        <f>AutoClaim_Data!C541</f>
        <v/>
      </c>
      <c r="G541">
        <f>IF(AutoClaim_Data!D541&lt;=$B$2,AVERAGEIFS(AutoClaim_Data!C2:C3168,AutoClaim_Data!B2:B3168,"Train",AutoClaim_Data!D2:D3168,"&lt;="&amp;$B$2),AVERAGEIFS(AutoClaim_Data!C2:C3168,AutoClaim_Data!B2:B3168,"Train",AutoClaim_Data!D2:D3168,"&gt;"&amp;$B$2))</f>
        <v/>
      </c>
      <c r="H541">
        <f>IF(AutoClaim_Data!D541&lt;=$B$2,IF(AutoClaim_Data!E541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1">
        <f>(F541-H541)^2</f>
        <v/>
      </c>
      <c r="J541">
        <f>--(E541="Validation")</f>
        <v/>
      </c>
    </row>
    <row r="542">
      <c r="D542">
        <f>AutoClaim_Data!A542</f>
        <v/>
      </c>
      <c r="E542">
        <f>AutoClaim_Data!B542</f>
        <v/>
      </c>
      <c r="F542">
        <f>AutoClaim_Data!C542</f>
        <v/>
      </c>
      <c r="G542">
        <f>IF(AutoClaim_Data!D542&lt;=$B$2,AVERAGEIFS(AutoClaim_Data!C2:C3168,AutoClaim_Data!B2:B3168,"Train",AutoClaim_Data!D2:D3168,"&lt;="&amp;$B$2),AVERAGEIFS(AutoClaim_Data!C2:C3168,AutoClaim_Data!B2:B3168,"Train",AutoClaim_Data!D2:D3168,"&gt;"&amp;$B$2))</f>
        <v/>
      </c>
      <c r="H542">
        <f>IF(AutoClaim_Data!D542&lt;=$B$2,IF(AutoClaim_Data!E542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2">
        <f>(F542-H542)^2</f>
        <v/>
      </c>
      <c r="J542">
        <f>--(E542="Validation")</f>
        <v/>
      </c>
    </row>
    <row r="543">
      <c r="D543">
        <f>AutoClaim_Data!A543</f>
        <v/>
      </c>
      <c r="E543">
        <f>AutoClaim_Data!B543</f>
        <v/>
      </c>
      <c r="F543">
        <f>AutoClaim_Data!C543</f>
        <v/>
      </c>
      <c r="G543">
        <f>IF(AutoClaim_Data!D543&lt;=$B$2,AVERAGEIFS(AutoClaim_Data!C2:C3168,AutoClaim_Data!B2:B3168,"Train",AutoClaim_Data!D2:D3168,"&lt;="&amp;$B$2),AVERAGEIFS(AutoClaim_Data!C2:C3168,AutoClaim_Data!B2:B3168,"Train",AutoClaim_Data!D2:D3168,"&gt;"&amp;$B$2))</f>
        <v/>
      </c>
      <c r="H543">
        <f>IF(AutoClaim_Data!D543&lt;=$B$2,IF(AutoClaim_Data!E543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3">
        <f>(F543-H543)^2</f>
        <v/>
      </c>
      <c r="J543">
        <f>--(E543="Validation")</f>
        <v/>
      </c>
    </row>
    <row r="544">
      <c r="D544">
        <f>AutoClaim_Data!A544</f>
        <v/>
      </c>
      <c r="E544">
        <f>AutoClaim_Data!B544</f>
        <v/>
      </c>
      <c r="F544">
        <f>AutoClaim_Data!C544</f>
        <v/>
      </c>
      <c r="G544">
        <f>IF(AutoClaim_Data!D544&lt;=$B$2,AVERAGEIFS(AutoClaim_Data!C2:C3168,AutoClaim_Data!B2:B3168,"Train",AutoClaim_Data!D2:D3168,"&lt;="&amp;$B$2),AVERAGEIFS(AutoClaim_Data!C2:C3168,AutoClaim_Data!B2:B3168,"Train",AutoClaim_Data!D2:D3168,"&gt;"&amp;$B$2))</f>
        <v/>
      </c>
      <c r="H544">
        <f>IF(AutoClaim_Data!D544&lt;=$B$2,IF(AutoClaim_Data!E544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4">
        <f>(F544-H544)^2</f>
        <v/>
      </c>
      <c r="J544">
        <f>--(E544="Validation")</f>
        <v/>
      </c>
    </row>
    <row r="545">
      <c r="D545">
        <f>AutoClaim_Data!A545</f>
        <v/>
      </c>
      <c r="E545">
        <f>AutoClaim_Data!B545</f>
        <v/>
      </c>
      <c r="F545">
        <f>AutoClaim_Data!C545</f>
        <v/>
      </c>
      <c r="G545">
        <f>IF(AutoClaim_Data!D545&lt;=$B$2,AVERAGEIFS(AutoClaim_Data!C2:C3168,AutoClaim_Data!B2:B3168,"Train",AutoClaim_Data!D2:D3168,"&lt;="&amp;$B$2),AVERAGEIFS(AutoClaim_Data!C2:C3168,AutoClaim_Data!B2:B3168,"Train",AutoClaim_Data!D2:D3168,"&gt;"&amp;$B$2))</f>
        <v/>
      </c>
      <c r="H545">
        <f>IF(AutoClaim_Data!D545&lt;=$B$2,IF(AutoClaim_Data!E545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5">
        <f>(F545-H545)^2</f>
        <v/>
      </c>
      <c r="J545">
        <f>--(E545="Validation")</f>
        <v/>
      </c>
    </row>
    <row r="546">
      <c r="D546">
        <f>AutoClaim_Data!A546</f>
        <v/>
      </c>
      <c r="E546">
        <f>AutoClaim_Data!B546</f>
        <v/>
      </c>
      <c r="F546">
        <f>AutoClaim_Data!C546</f>
        <v/>
      </c>
      <c r="G546">
        <f>IF(AutoClaim_Data!D546&lt;=$B$2,AVERAGEIFS(AutoClaim_Data!C2:C3168,AutoClaim_Data!B2:B3168,"Train",AutoClaim_Data!D2:D3168,"&lt;="&amp;$B$2),AVERAGEIFS(AutoClaim_Data!C2:C3168,AutoClaim_Data!B2:B3168,"Train",AutoClaim_Data!D2:D3168,"&gt;"&amp;$B$2))</f>
        <v/>
      </c>
      <c r="H546">
        <f>IF(AutoClaim_Data!D546&lt;=$B$2,IF(AutoClaim_Data!E546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6">
        <f>(F546-H546)^2</f>
        <v/>
      </c>
      <c r="J546">
        <f>--(E546="Validation")</f>
        <v/>
      </c>
    </row>
    <row r="547">
      <c r="D547">
        <f>AutoClaim_Data!A547</f>
        <v/>
      </c>
      <c r="E547">
        <f>AutoClaim_Data!B547</f>
        <v/>
      </c>
      <c r="F547">
        <f>AutoClaim_Data!C547</f>
        <v/>
      </c>
      <c r="G547">
        <f>IF(AutoClaim_Data!D547&lt;=$B$2,AVERAGEIFS(AutoClaim_Data!C2:C3168,AutoClaim_Data!B2:B3168,"Train",AutoClaim_Data!D2:D3168,"&lt;="&amp;$B$2),AVERAGEIFS(AutoClaim_Data!C2:C3168,AutoClaim_Data!B2:B3168,"Train",AutoClaim_Data!D2:D3168,"&gt;"&amp;$B$2))</f>
        <v/>
      </c>
      <c r="H547">
        <f>IF(AutoClaim_Data!D547&lt;=$B$2,IF(AutoClaim_Data!E547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7">
        <f>(F547-H547)^2</f>
        <v/>
      </c>
      <c r="J547">
        <f>--(E547="Validation")</f>
        <v/>
      </c>
    </row>
    <row r="548">
      <c r="D548">
        <f>AutoClaim_Data!A548</f>
        <v/>
      </c>
      <c r="E548">
        <f>AutoClaim_Data!B548</f>
        <v/>
      </c>
      <c r="F548">
        <f>AutoClaim_Data!C548</f>
        <v/>
      </c>
      <c r="G548">
        <f>IF(AutoClaim_Data!D548&lt;=$B$2,AVERAGEIFS(AutoClaim_Data!C2:C3168,AutoClaim_Data!B2:B3168,"Train",AutoClaim_Data!D2:D3168,"&lt;="&amp;$B$2),AVERAGEIFS(AutoClaim_Data!C2:C3168,AutoClaim_Data!B2:B3168,"Train",AutoClaim_Data!D2:D3168,"&gt;"&amp;$B$2))</f>
        <v/>
      </c>
      <c r="H548">
        <f>IF(AutoClaim_Data!D548&lt;=$B$2,IF(AutoClaim_Data!E548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8">
        <f>(F548-H548)^2</f>
        <v/>
      </c>
      <c r="J548">
        <f>--(E548="Validation")</f>
        <v/>
      </c>
    </row>
    <row r="549">
      <c r="D549">
        <f>AutoClaim_Data!A549</f>
        <v/>
      </c>
      <c r="E549">
        <f>AutoClaim_Data!B549</f>
        <v/>
      </c>
      <c r="F549">
        <f>AutoClaim_Data!C549</f>
        <v/>
      </c>
      <c r="G549">
        <f>IF(AutoClaim_Data!D549&lt;=$B$2,AVERAGEIFS(AutoClaim_Data!C2:C3168,AutoClaim_Data!B2:B3168,"Train",AutoClaim_Data!D2:D3168,"&lt;="&amp;$B$2),AVERAGEIFS(AutoClaim_Data!C2:C3168,AutoClaim_Data!B2:B3168,"Train",AutoClaim_Data!D2:D3168,"&gt;"&amp;$B$2))</f>
        <v/>
      </c>
      <c r="H549">
        <f>IF(AutoClaim_Data!D549&lt;=$B$2,IF(AutoClaim_Data!E549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49">
        <f>(F549-H549)^2</f>
        <v/>
      </c>
      <c r="J549">
        <f>--(E549="Validation")</f>
        <v/>
      </c>
    </row>
    <row r="550">
      <c r="D550">
        <f>AutoClaim_Data!A550</f>
        <v/>
      </c>
      <c r="E550">
        <f>AutoClaim_Data!B550</f>
        <v/>
      </c>
      <c r="F550">
        <f>AutoClaim_Data!C550</f>
        <v/>
      </c>
      <c r="G550">
        <f>IF(AutoClaim_Data!D550&lt;=$B$2,AVERAGEIFS(AutoClaim_Data!C2:C3168,AutoClaim_Data!B2:B3168,"Train",AutoClaim_Data!D2:D3168,"&lt;="&amp;$B$2),AVERAGEIFS(AutoClaim_Data!C2:C3168,AutoClaim_Data!B2:B3168,"Train",AutoClaim_Data!D2:D3168,"&gt;"&amp;$B$2))</f>
        <v/>
      </c>
      <c r="H550">
        <f>IF(AutoClaim_Data!D550&lt;=$B$2,IF(AutoClaim_Data!E550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0">
        <f>(F550-H550)^2</f>
        <v/>
      </c>
      <c r="J550">
        <f>--(E550="Validation")</f>
        <v/>
      </c>
    </row>
    <row r="551">
      <c r="D551">
        <f>AutoClaim_Data!A551</f>
        <v/>
      </c>
      <c r="E551">
        <f>AutoClaim_Data!B551</f>
        <v/>
      </c>
      <c r="F551">
        <f>AutoClaim_Data!C551</f>
        <v/>
      </c>
      <c r="G551">
        <f>IF(AutoClaim_Data!D551&lt;=$B$2,AVERAGEIFS(AutoClaim_Data!C2:C3168,AutoClaim_Data!B2:B3168,"Train",AutoClaim_Data!D2:D3168,"&lt;="&amp;$B$2),AVERAGEIFS(AutoClaim_Data!C2:C3168,AutoClaim_Data!B2:B3168,"Train",AutoClaim_Data!D2:D3168,"&gt;"&amp;$B$2))</f>
        <v/>
      </c>
      <c r="H551">
        <f>IF(AutoClaim_Data!D551&lt;=$B$2,IF(AutoClaim_Data!E551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1">
        <f>(F551-H551)^2</f>
        <v/>
      </c>
      <c r="J551">
        <f>--(E551="Validation")</f>
        <v/>
      </c>
    </row>
    <row r="552">
      <c r="D552">
        <f>AutoClaim_Data!A552</f>
        <v/>
      </c>
      <c r="E552">
        <f>AutoClaim_Data!B552</f>
        <v/>
      </c>
      <c r="F552">
        <f>AutoClaim_Data!C552</f>
        <v/>
      </c>
      <c r="G552">
        <f>IF(AutoClaim_Data!D552&lt;=$B$2,AVERAGEIFS(AutoClaim_Data!C2:C3168,AutoClaim_Data!B2:B3168,"Train",AutoClaim_Data!D2:D3168,"&lt;="&amp;$B$2),AVERAGEIFS(AutoClaim_Data!C2:C3168,AutoClaim_Data!B2:B3168,"Train",AutoClaim_Data!D2:D3168,"&gt;"&amp;$B$2))</f>
        <v/>
      </c>
      <c r="H552">
        <f>IF(AutoClaim_Data!D552&lt;=$B$2,IF(AutoClaim_Data!E552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2">
        <f>(F552-H552)^2</f>
        <v/>
      </c>
      <c r="J552">
        <f>--(E552="Validation")</f>
        <v/>
      </c>
    </row>
    <row r="553">
      <c r="D553">
        <f>AutoClaim_Data!A553</f>
        <v/>
      </c>
      <c r="E553">
        <f>AutoClaim_Data!B553</f>
        <v/>
      </c>
      <c r="F553">
        <f>AutoClaim_Data!C553</f>
        <v/>
      </c>
      <c r="G553">
        <f>IF(AutoClaim_Data!D553&lt;=$B$2,AVERAGEIFS(AutoClaim_Data!C2:C3168,AutoClaim_Data!B2:B3168,"Train",AutoClaim_Data!D2:D3168,"&lt;="&amp;$B$2),AVERAGEIFS(AutoClaim_Data!C2:C3168,AutoClaim_Data!B2:B3168,"Train",AutoClaim_Data!D2:D3168,"&gt;"&amp;$B$2))</f>
        <v/>
      </c>
      <c r="H553">
        <f>IF(AutoClaim_Data!D553&lt;=$B$2,IF(AutoClaim_Data!E553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3">
        <f>(F553-H553)^2</f>
        <v/>
      </c>
      <c r="J553">
        <f>--(E553="Validation")</f>
        <v/>
      </c>
    </row>
    <row r="554">
      <c r="D554">
        <f>AutoClaim_Data!A554</f>
        <v/>
      </c>
      <c r="E554">
        <f>AutoClaim_Data!B554</f>
        <v/>
      </c>
      <c r="F554">
        <f>AutoClaim_Data!C554</f>
        <v/>
      </c>
      <c r="G554">
        <f>IF(AutoClaim_Data!D554&lt;=$B$2,AVERAGEIFS(AutoClaim_Data!C2:C3168,AutoClaim_Data!B2:B3168,"Train",AutoClaim_Data!D2:D3168,"&lt;="&amp;$B$2),AVERAGEIFS(AutoClaim_Data!C2:C3168,AutoClaim_Data!B2:B3168,"Train",AutoClaim_Data!D2:D3168,"&gt;"&amp;$B$2))</f>
        <v/>
      </c>
      <c r="H554">
        <f>IF(AutoClaim_Data!D554&lt;=$B$2,IF(AutoClaim_Data!E554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4">
        <f>(F554-H554)^2</f>
        <v/>
      </c>
      <c r="J554">
        <f>--(E554="Validation")</f>
        <v/>
      </c>
    </row>
    <row r="555">
      <c r="D555">
        <f>AutoClaim_Data!A555</f>
        <v/>
      </c>
      <c r="E555">
        <f>AutoClaim_Data!B555</f>
        <v/>
      </c>
      <c r="F555">
        <f>AutoClaim_Data!C555</f>
        <v/>
      </c>
      <c r="G555">
        <f>IF(AutoClaim_Data!D555&lt;=$B$2,AVERAGEIFS(AutoClaim_Data!C2:C3168,AutoClaim_Data!B2:B3168,"Train",AutoClaim_Data!D2:D3168,"&lt;="&amp;$B$2),AVERAGEIFS(AutoClaim_Data!C2:C3168,AutoClaim_Data!B2:B3168,"Train",AutoClaim_Data!D2:D3168,"&gt;"&amp;$B$2))</f>
        <v/>
      </c>
      <c r="H555">
        <f>IF(AutoClaim_Data!D555&lt;=$B$2,IF(AutoClaim_Data!E555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5">
        <f>(F555-H555)^2</f>
        <v/>
      </c>
      <c r="J555">
        <f>--(E555="Validation")</f>
        <v/>
      </c>
    </row>
    <row r="556">
      <c r="D556">
        <f>AutoClaim_Data!A556</f>
        <v/>
      </c>
      <c r="E556">
        <f>AutoClaim_Data!B556</f>
        <v/>
      </c>
      <c r="F556">
        <f>AutoClaim_Data!C556</f>
        <v/>
      </c>
      <c r="G556">
        <f>IF(AutoClaim_Data!D556&lt;=$B$2,AVERAGEIFS(AutoClaim_Data!C2:C3168,AutoClaim_Data!B2:B3168,"Train",AutoClaim_Data!D2:D3168,"&lt;="&amp;$B$2),AVERAGEIFS(AutoClaim_Data!C2:C3168,AutoClaim_Data!B2:B3168,"Train",AutoClaim_Data!D2:D3168,"&gt;"&amp;$B$2))</f>
        <v/>
      </c>
      <c r="H556">
        <f>IF(AutoClaim_Data!D556&lt;=$B$2,IF(AutoClaim_Data!E556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6">
        <f>(F556-H556)^2</f>
        <v/>
      </c>
      <c r="J556">
        <f>--(E556="Validation")</f>
        <v/>
      </c>
    </row>
    <row r="557">
      <c r="D557">
        <f>AutoClaim_Data!A557</f>
        <v/>
      </c>
      <c r="E557">
        <f>AutoClaim_Data!B557</f>
        <v/>
      </c>
      <c r="F557">
        <f>AutoClaim_Data!C557</f>
        <v/>
      </c>
      <c r="G557">
        <f>IF(AutoClaim_Data!D557&lt;=$B$2,AVERAGEIFS(AutoClaim_Data!C2:C3168,AutoClaim_Data!B2:B3168,"Train",AutoClaim_Data!D2:D3168,"&lt;="&amp;$B$2),AVERAGEIFS(AutoClaim_Data!C2:C3168,AutoClaim_Data!B2:B3168,"Train",AutoClaim_Data!D2:D3168,"&gt;"&amp;$B$2))</f>
        <v/>
      </c>
      <c r="H557">
        <f>IF(AutoClaim_Data!D557&lt;=$B$2,IF(AutoClaim_Data!E557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7">
        <f>(F557-H557)^2</f>
        <v/>
      </c>
      <c r="J557">
        <f>--(E557="Validation")</f>
        <v/>
      </c>
    </row>
    <row r="558">
      <c r="D558">
        <f>AutoClaim_Data!A558</f>
        <v/>
      </c>
      <c r="E558">
        <f>AutoClaim_Data!B558</f>
        <v/>
      </c>
      <c r="F558">
        <f>AutoClaim_Data!C558</f>
        <v/>
      </c>
      <c r="G558">
        <f>IF(AutoClaim_Data!D558&lt;=$B$2,AVERAGEIFS(AutoClaim_Data!C2:C3168,AutoClaim_Data!B2:B3168,"Train",AutoClaim_Data!D2:D3168,"&lt;="&amp;$B$2),AVERAGEIFS(AutoClaim_Data!C2:C3168,AutoClaim_Data!B2:B3168,"Train",AutoClaim_Data!D2:D3168,"&gt;"&amp;$B$2))</f>
        <v/>
      </c>
      <c r="H558">
        <f>IF(AutoClaim_Data!D558&lt;=$B$2,IF(AutoClaim_Data!E558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8">
        <f>(F558-H558)^2</f>
        <v/>
      </c>
      <c r="J558">
        <f>--(E558="Validation")</f>
        <v/>
      </c>
    </row>
    <row r="559">
      <c r="D559">
        <f>AutoClaim_Data!A559</f>
        <v/>
      </c>
      <c r="E559">
        <f>AutoClaim_Data!B559</f>
        <v/>
      </c>
      <c r="F559">
        <f>AutoClaim_Data!C559</f>
        <v/>
      </c>
      <c r="G559">
        <f>IF(AutoClaim_Data!D559&lt;=$B$2,AVERAGEIFS(AutoClaim_Data!C2:C3168,AutoClaim_Data!B2:B3168,"Train",AutoClaim_Data!D2:D3168,"&lt;="&amp;$B$2),AVERAGEIFS(AutoClaim_Data!C2:C3168,AutoClaim_Data!B2:B3168,"Train",AutoClaim_Data!D2:D3168,"&gt;"&amp;$B$2))</f>
        <v/>
      </c>
      <c r="H559">
        <f>IF(AutoClaim_Data!D559&lt;=$B$2,IF(AutoClaim_Data!E559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59">
        <f>(F559-H559)^2</f>
        <v/>
      </c>
      <c r="J559">
        <f>--(E559="Validation")</f>
        <v/>
      </c>
    </row>
    <row r="560">
      <c r="D560">
        <f>AutoClaim_Data!A560</f>
        <v/>
      </c>
      <c r="E560">
        <f>AutoClaim_Data!B560</f>
        <v/>
      </c>
      <c r="F560">
        <f>AutoClaim_Data!C560</f>
        <v/>
      </c>
      <c r="G560">
        <f>IF(AutoClaim_Data!D560&lt;=$B$2,AVERAGEIFS(AutoClaim_Data!C2:C3168,AutoClaim_Data!B2:B3168,"Train",AutoClaim_Data!D2:D3168,"&lt;="&amp;$B$2),AVERAGEIFS(AutoClaim_Data!C2:C3168,AutoClaim_Data!B2:B3168,"Train",AutoClaim_Data!D2:D3168,"&gt;"&amp;$B$2))</f>
        <v/>
      </c>
      <c r="H560">
        <f>IF(AutoClaim_Data!D560&lt;=$B$2,IF(AutoClaim_Data!E560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0">
        <f>(F560-H560)^2</f>
        <v/>
      </c>
      <c r="J560">
        <f>--(E560="Validation")</f>
        <v/>
      </c>
    </row>
    <row r="561">
      <c r="D561">
        <f>AutoClaim_Data!A561</f>
        <v/>
      </c>
      <c r="E561">
        <f>AutoClaim_Data!B561</f>
        <v/>
      </c>
      <c r="F561">
        <f>AutoClaim_Data!C561</f>
        <v/>
      </c>
      <c r="G561">
        <f>IF(AutoClaim_Data!D561&lt;=$B$2,AVERAGEIFS(AutoClaim_Data!C2:C3168,AutoClaim_Data!B2:B3168,"Train",AutoClaim_Data!D2:D3168,"&lt;="&amp;$B$2),AVERAGEIFS(AutoClaim_Data!C2:C3168,AutoClaim_Data!B2:B3168,"Train",AutoClaim_Data!D2:D3168,"&gt;"&amp;$B$2))</f>
        <v/>
      </c>
      <c r="H561">
        <f>IF(AutoClaim_Data!D561&lt;=$B$2,IF(AutoClaim_Data!E561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1">
        <f>(F561-H561)^2</f>
        <v/>
      </c>
      <c r="J561">
        <f>--(E561="Validation")</f>
        <v/>
      </c>
    </row>
    <row r="562">
      <c r="D562">
        <f>AutoClaim_Data!A562</f>
        <v/>
      </c>
      <c r="E562">
        <f>AutoClaim_Data!B562</f>
        <v/>
      </c>
      <c r="F562">
        <f>AutoClaim_Data!C562</f>
        <v/>
      </c>
      <c r="G562">
        <f>IF(AutoClaim_Data!D562&lt;=$B$2,AVERAGEIFS(AutoClaim_Data!C2:C3168,AutoClaim_Data!B2:B3168,"Train",AutoClaim_Data!D2:D3168,"&lt;="&amp;$B$2),AVERAGEIFS(AutoClaim_Data!C2:C3168,AutoClaim_Data!B2:B3168,"Train",AutoClaim_Data!D2:D3168,"&gt;"&amp;$B$2))</f>
        <v/>
      </c>
      <c r="H562">
        <f>IF(AutoClaim_Data!D562&lt;=$B$2,IF(AutoClaim_Data!E562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2">
        <f>(F562-H562)^2</f>
        <v/>
      </c>
      <c r="J562">
        <f>--(E562="Validation")</f>
        <v/>
      </c>
    </row>
    <row r="563">
      <c r="D563">
        <f>AutoClaim_Data!A563</f>
        <v/>
      </c>
      <c r="E563">
        <f>AutoClaim_Data!B563</f>
        <v/>
      </c>
      <c r="F563">
        <f>AutoClaim_Data!C563</f>
        <v/>
      </c>
      <c r="G563">
        <f>IF(AutoClaim_Data!D563&lt;=$B$2,AVERAGEIFS(AutoClaim_Data!C2:C3168,AutoClaim_Data!B2:B3168,"Train",AutoClaim_Data!D2:D3168,"&lt;="&amp;$B$2),AVERAGEIFS(AutoClaim_Data!C2:C3168,AutoClaim_Data!B2:B3168,"Train",AutoClaim_Data!D2:D3168,"&gt;"&amp;$B$2))</f>
        <v/>
      </c>
      <c r="H563">
        <f>IF(AutoClaim_Data!D563&lt;=$B$2,IF(AutoClaim_Data!E563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3">
        <f>(F563-H563)^2</f>
        <v/>
      </c>
      <c r="J563">
        <f>--(E563="Validation")</f>
        <v/>
      </c>
    </row>
    <row r="564">
      <c r="D564">
        <f>AutoClaim_Data!A564</f>
        <v/>
      </c>
      <c r="E564">
        <f>AutoClaim_Data!B564</f>
        <v/>
      </c>
      <c r="F564">
        <f>AutoClaim_Data!C564</f>
        <v/>
      </c>
      <c r="G564">
        <f>IF(AutoClaim_Data!D564&lt;=$B$2,AVERAGEIFS(AutoClaim_Data!C2:C3168,AutoClaim_Data!B2:B3168,"Train",AutoClaim_Data!D2:D3168,"&lt;="&amp;$B$2),AVERAGEIFS(AutoClaim_Data!C2:C3168,AutoClaim_Data!B2:B3168,"Train",AutoClaim_Data!D2:D3168,"&gt;"&amp;$B$2))</f>
        <v/>
      </c>
      <c r="H564">
        <f>IF(AutoClaim_Data!D564&lt;=$B$2,IF(AutoClaim_Data!E564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4">
        <f>(F564-H564)^2</f>
        <v/>
      </c>
      <c r="J564">
        <f>--(E564="Validation")</f>
        <v/>
      </c>
    </row>
    <row r="565">
      <c r="D565">
        <f>AutoClaim_Data!A565</f>
        <v/>
      </c>
      <c r="E565">
        <f>AutoClaim_Data!B565</f>
        <v/>
      </c>
      <c r="F565">
        <f>AutoClaim_Data!C565</f>
        <v/>
      </c>
      <c r="G565">
        <f>IF(AutoClaim_Data!D565&lt;=$B$2,AVERAGEIFS(AutoClaim_Data!C2:C3168,AutoClaim_Data!B2:B3168,"Train",AutoClaim_Data!D2:D3168,"&lt;="&amp;$B$2),AVERAGEIFS(AutoClaim_Data!C2:C3168,AutoClaim_Data!B2:B3168,"Train",AutoClaim_Data!D2:D3168,"&gt;"&amp;$B$2))</f>
        <v/>
      </c>
      <c r="H565">
        <f>IF(AutoClaim_Data!D565&lt;=$B$2,IF(AutoClaim_Data!E565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5">
        <f>(F565-H565)^2</f>
        <v/>
      </c>
      <c r="J565">
        <f>--(E565="Validation")</f>
        <v/>
      </c>
    </row>
    <row r="566">
      <c r="D566">
        <f>AutoClaim_Data!A566</f>
        <v/>
      </c>
      <c r="E566">
        <f>AutoClaim_Data!B566</f>
        <v/>
      </c>
      <c r="F566">
        <f>AutoClaim_Data!C566</f>
        <v/>
      </c>
      <c r="G566">
        <f>IF(AutoClaim_Data!D566&lt;=$B$2,AVERAGEIFS(AutoClaim_Data!C2:C3168,AutoClaim_Data!B2:B3168,"Train",AutoClaim_Data!D2:D3168,"&lt;="&amp;$B$2),AVERAGEIFS(AutoClaim_Data!C2:C3168,AutoClaim_Data!B2:B3168,"Train",AutoClaim_Data!D2:D3168,"&gt;"&amp;$B$2))</f>
        <v/>
      </c>
      <c r="H566">
        <f>IF(AutoClaim_Data!D566&lt;=$B$2,IF(AutoClaim_Data!E566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6">
        <f>(F566-H566)^2</f>
        <v/>
      </c>
      <c r="J566">
        <f>--(E566="Validation")</f>
        <v/>
      </c>
    </row>
    <row r="567">
      <c r="D567">
        <f>AutoClaim_Data!A567</f>
        <v/>
      </c>
      <c r="E567">
        <f>AutoClaim_Data!B567</f>
        <v/>
      </c>
      <c r="F567">
        <f>AutoClaim_Data!C567</f>
        <v/>
      </c>
      <c r="G567">
        <f>IF(AutoClaim_Data!D567&lt;=$B$2,AVERAGEIFS(AutoClaim_Data!C2:C3168,AutoClaim_Data!B2:B3168,"Train",AutoClaim_Data!D2:D3168,"&lt;="&amp;$B$2),AVERAGEIFS(AutoClaim_Data!C2:C3168,AutoClaim_Data!B2:B3168,"Train",AutoClaim_Data!D2:D3168,"&gt;"&amp;$B$2))</f>
        <v/>
      </c>
      <c r="H567">
        <f>IF(AutoClaim_Data!D567&lt;=$B$2,IF(AutoClaim_Data!E567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7">
        <f>(F567-H567)^2</f>
        <v/>
      </c>
      <c r="J567">
        <f>--(E567="Validation")</f>
        <v/>
      </c>
    </row>
    <row r="568">
      <c r="D568">
        <f>AutoClaim_Data!A568</f>
        <v/>
      </c>
      <c r="E568">
        <f>AutoClaim_Data!B568</f>
        <v/>
      </c>
      <c r="F568">
        <f>AutoClaim_Data!C568</f>
        <v/>
      </c>
      <c r="G568">
        <f>IF(AutoClaim_Data!D568&lt;=$B$2,AVERAGEIFS(AutoClaim_Data!C2:C3168,AutoClaim_Data!B2:B3168,"Train",AutoClaim_Data!D2:D3168,"&lt;="&amp;$B$2),AVERAGEIFS(AutoClaim_Data!C2:C3168,AutoClaim_Data!B2:B3168,"Train",AutoClaim_Data!D2:D3168,"&gt;"&amp;$B$2))</f>
        <v/>
      </c>
      <c r="H568">
        <f>IF(AutoClaim_Data!D568&lt;=$B$2,IF(AutoClaim_Data!E568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8">
        <f>(F568-H568)^2</f>
        <v/>
      </c>
      <c r="J568">
        <f>--(E568="Validation")</f>
        <v/>
      </c>
    </row>
    <row r="569">
      <c r="D569">
        <f>AutoClaim_Data!A569</f>
        <v/>
      </c>
      <c r="E569">
        <f>AutoClaim_Data!B569</f>
        <v/>
      </c>
      <c r="F569">
        <f>AutoClaim_Data!C569</f>
        <v/>
      </c>
      <c r="G569">
        <f>IF(AutoClaim_Data!D569&lt;=$B$2,AVERAGEIFS(AutoClaim_Data!C2:C3168,AutoClaim_Data!B2:B3168,"Train",AutoClaim_Data!D2:D3168,"&lt;="&amp;$B$2),AVERAGEIFS(AutoClaim_Data!C2:C3168,AutoClaim_Data!B2:B3168,"Train",AutoClaim_Data!D2:D3168,"&gt;"&amp;$B$2))</f>
        <v/>
      </c>
      <c r="H569">
        <f>IF(AutoClaim_Data!D569&lt;=$B$2,IF(AutoClaim_Data!E569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69">
        <f>(F569-H569)^2</f>
        <v/>
      </c>
      <c r="J569">
        <f>--(E569="Validation")</f>
        <v/>
      </c>
    </row>
    <row r="570">
      <c r="D570">
        <f>AutoClaim_Data!A570</f>
        <v/>
      </c>
      <c r="E570">
        <f>AutoClaim_Data!B570</f>
        <v/>
      </c>
      <c r="F570">
        <f>AutoClaim_Data!C570</f>
        <v/>
      </c>
      <c r="G570">
        <f>IF(AutoClaim_Data!D570&lt;=$B$2,AVERAGEIFS(AutoClaim_Data!C2:C3168,AutoClaim_Data!B2:B3168,"Train",AutoClaim_Data!D2:D3168,"&lt;="&amp;$B$2),AVERAGEIFS(AutoClaim_Data!C2:C3168,AutoClaim_Data!B2:B3168,"Train",AutoClaim_Data!D2:D3168,"&gt;"&amp;$B$2))</f>
        <v/>
      </c>
      <c r="H570">
        <f>IF(AutoClaim_Data!D570&lt;=$B$2,IF(AutoClaim_Data!E570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0">
        <f>(F570-H570)^2</f>
        <v/>
      </c>
      <c r="J570">
        <f>--(E570="Validation")</f>
        <v/>
      </c>
    </row>
    <row r="571">
      <c r="D571">
        <f>AutoClaim_Data!A571</f>
        <v/>
      </c>
      <c r="E571">
        <f>AutoClaim_Data!B571</f>
        <v/>
      </c>
      <c r="F571">
        <f>AutoClaim_Data!C571</f>
        <v/>
      </c>
      <c r="G571">
        <f>IF(AutoClaim_Data!D571&lt;=$B$2,AVERAGEIFS(AutoClaim_Data!C2:C3168,AutoClaim_Data!B2:B3168,"Train",AutoClaim_Data!D2:D3168,"&lt;="&amp;$B$2),AVERAGEIFS(AutoClaim_Data!C2:C3168,AutoClaim_Data!B2:B3168,"Train",AutoClaim_Data!D2:D3168,"&gt;"&amp;$B$2))</f>
        <v/>
      </c>
      <c r="H571">
        <f>IF(AutoClaim_Data!D571&lt;=$B$2,IF(AutoClaim_Data!E571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1">
        <f>(F571-H571)^2</f>
        <v/>
      </c>
      <c r="J571">
        <f>--(E571="Validation")</f>
        <v/>
      </c>
    </row>
    <row r="572">
      <c r="D572">
        <f>AutoClaim_Data!A572</f>
        <v/>
      </c>
      <c r="E572">
        <f>AutoClaim_Data!B572</f>
        <v/>
      </c>
      <c r="F572">
        <f>AutoClaim_Data!C572</f>
        <v/>
      </c>
      <c r="G572">
        <f>IF(AutoClaim_Data!D572&lt;=$B$2,AVERAGEIFS(AutoClaim_Data!C2:C3168,AutoClaim_Data!B2:B3168,"Train",AutoClaim_Data!D2:D3168,"&lt;="&amp;$B$2),AVERAGEIFS(AutoClaim_Data!C2:C3168,AutoClaim_Data!B2:B3168,"Train",AutoClaim_Data!D2:D3168,"&gt;"&amp;$B$2))</f>
        <v/>
      </c>
      <c r="H572">
        <f>IF(AutoClaim_Data!D572&lt;=$B$2,IF(AutoClaim_Data!E572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2">
        <f>(F572-H572)^2</f>
        <v/>
      </c>
      <c r="J572">
        <f>--(E572="Validation")</f>
        <v/>
      </c>
    </row>
    <row r="573">
      <c r="D573">
        <f>AutoClaim_Data!A573</f>
        <v/>
      </c>
      <c r="E573">
        <f>AutoClaim_Data!B573</f>
        <v/>
      </c>
      <c r="F573">
        <f>AutoClaim_Data!C573</f>
        <v/>
      </c>
      <c r="G573">
        <f>IF(AutoClaim_Data!D573&lt;=$B$2,AVERAGEIFS(AutoClaim_Data!C2:C3168,AutoClaim_Data!B2:B3168,"Train",AutoClaim_Data!D2:D3168,"&lt;="&amp;$B$2),AVERAGEIFS(AutoClaim_Data!C2:C3168,AutoClaim_Data!B2:B3168,"Train",AutoClaim_Data!D2:D3168,"&gt;"&amp;$B$2))</f>
        <v/>
      </c>
      <c r="H573">
        <f>IF(AutoClaim_Data!D573&lt;=$B$2,IF(AutoClaim_Data!E573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3">
        <f>(F573-H573)^2</f>
        <v/>
      </c>
      <c r="J573">
        <f>--(E573="Validation")</f>
        <v/>
      </c>
    </row>
    <row r="574">
      <c r="D574">
        <f>AutoClaim_Data!A574</f>
        <v/>
      </c>
      <c r="E574">
        <f>AutoClaim_Data!B574</f>
        <v/>
      </c>
      <c r="F574">
        <f>AutoClaim_Data!C574</f>
        <v/>
      </c>
      <c r="G574">
        <f>IF(AutoClaim_Data!D574&lt;=$B$2,AVERAGEIFS(AutoClaim_Data!C2:C3168,AutoClaim_Data!B2:B3168,"Train",AutoClaim_Data!D2:D3168,"&lt;="&amp;$B$2),AVERAGEIFS(AutoClaim_Data!C2:C3168,AutoClaim_Data!B2:B3168,"Train",AutoClaim_Data!D2:D3168,"&gt;"&amp;$B$2))</f>
        <v/>
      </c>
      <c r="H574">
        <f>IF(AutoClaim_Data!D574&lt;=$B$2,IF(AutoClaim_Data!E574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4">
        <f>(F574-H574)^2</f>
        <v/>
      </c>
      <c r="J574">
        <f>--(E574="Validation")</f>
        <v/>
      </c>
    </row>
    <row r="575">
      <c r="D575">
        <f>AutoClaim_Data!A575</f>
        <v/>
      </c>
      <c r="E575">
        <f>AutoClaim_Data!B575</f>
        <v/>
      </c>
      <c r="F575">
        <f>AutoClaim_Data!C575</f>
        <v/>
      </c>
      <c r="G575">
        <f>IF(AutoClaim_Data!D575&lt;=$B$2,AVERAGEIFS(AutoClaim_Data!C2:C3168,AutoClaim_Data!B2:B3168,"Train",AutoClaim_Data!D2:D3168,"&lt;="&amp;$B$2),AVERAGEIFS(AutoClaim_Data!C2:C3168,AutoClaim_Data!B2:B3168,"Train",AutoClaim_Data!D2:D3168,"&gt;"&amp;$B$2))</f>
        <v/>
      </c>
      <c r="H575">
        <f>IF(AutoClaim_Data!D575&lt;=$B$2,IF(AutoClaim_Data!E575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5">
        <f>(F575-H575)^2</f>
        <v/>
      </c>
      <c r="J575">
        <f>--(E575="Validation")</f>
        <v/>
      </c>
    </row>
    <row r="576">
      <c r="D576">
        <f>AutoClaim_Data!A576</f>
        <v/>
      </c>
      <c r="E576">
        <f>AutoClaim_Data!B576</f>
        <v/>
      </c>
      <c r="F576">
        <f>AutoClaim_Data!C576</f>
        <v/>
      </c>
      <c r="G576">
        <f>IF(AutoClaim_Data!D576&lt;=$B$2,AVERAGEIFS(AutoClaim_Data!C2:C3168,AutoClaim_Data!B2:B3168,"Train",AutoClaim_Data!D2:D3168,"&lt;="&amp;$B$2),AVERAGEIFS(AutoClaim_Data!C2:C3168,AutoClaim_Data!B2:B3168,"Train",AutoClaim_Data!D2:D3168,"&gt;"&amp;$B$2))</f>
        <v/>
      </c>
      <c r="H576">
        <f>IF(AutoClaim_Data!D576&lt;=$B$2,IF(AutoClaim_Data!E576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6">
        <f>(F576-H576)^2</f>
        <v/>
      </c>
      <c r="J576">
        <f>--(E576="Validation")</f>
        <v/>
      </c>
    </row>
    <row r="577">
      <c r="D577">
        <f>AutoClaim_Data!A577</f>
        <v/>
      </c>
      <c r="E577">
        <f>AutoClaim_Data!B577</f>
        <v/>
      </c>
      <c r="F577">
        <f>AutoClaim_Data!C577</f>
        <v/>
      </c>
      <c r="G577">
        <f>IF(AutoClaim_Data!D577&lt;=$B$2,AVERAGEIFS(AutoClaim_Data!C2:C3168,AutoClaim_Data!B2:B3168,"Train",AutoClaim_Data!D2:D3168,"&lt;="&amp;$B$2),AVERAGEIFS(AutoClaim_Data!C2:C3168,AutoClaim_Data!B2:B3168,"Train",AutoClaim_Data!D2:D3168,"&gt;"&amp;$B$2))</f>
        <v/>
      </c>
      <c r="H577">
        <f>IF(AutoClaim_Data!D577&lt;=$B$2,IF(AutoClaim_Data!E577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7">
        <f>(F577-H577)^2</f>
        <v/>
      </c>
      <c r="J577">
        <f>--(E577="Validation")</f>
        <v/>
      </c>
    </row>
    <row r="578">
      <c r="D578">
        <f>AutoClaim_Data!A578</f>
        <v/>
      </c>
      <c r="E578">
        <f>AutoClaim_Data!B578</f>
        <v/>
      </c>
      <c r="F578">
        <f>AutoClaim_Data!C578</f>
        <v/>
      </c>
      <c r="G578">
        <f>IF(AutoClaim_Data!D578&lt;=$B$2,AVERAGEIFS(AutoClaim_Data!C2:C3168,AutoClaim_Data!B2:B3168,"Train",AutoClaim_Data!D2:D3168,"&lt;="&amp;$B$2),AVERAGEIFS(AutoClaim_Data!C2:C3168,AutoClaim_Data!B2:B3168,"Train",AutoClaim_Data!D2:D3168,"&gt;"&amp;$B$2))</f>
        <v/>
      </c>
      <c r="H578">
        <f>IF(AutoClaim_Data!D578&lt;=$B$2,IF(AutoClaim_Data!E578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8">
        <f>(F578-H578)^2</f>
        <v/>
      </c>
      <c r="J578">
        <f>--(E578="Validation")</f>
        <v/>
      </c>
    </row>
    <row r="579">
      <c r="D579">
        <f>AutoClaim_Data!A579</f>
        <v/>
      </c>
      <c r="E579">
        <f>AutoClaim_Data!B579</f>
        <v/>
      </c>
      <c r="F579">
        <f>AutoClaim_Data!C579</f>
        <v/>
      </c>
      <c r="G579">
        <f>IF(AutoClaim_Data!D579&lt;=$B$2,AVERAGEIFS(AutoClaim_Data!C2:C3168,AutoClaim_Data!B2:B3168,"Train",AutoClaim_Data!D2:D3168,"&lt;="&amp;$B$2),AVERAGEIFS(AutoClaim_Data!C2:C3168,AutoClaim_Data!B2:B3168,"Train",AutoClaim_Data!D2:D3168,"&gt;"&amp;$B$2))</f>
        <v/>
      </c>
      <c r="H579">
        <f>IF(AutoClaim_Data!D579&lt;=$B$2,IF(AutoClaim_Data!E579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79">
        <f>(F579-H579)^2</f>
        <v/>
      </c>
      <c r="J579">
        <f>--(E579="Validation")</f>
        <v/>
      </c>
    </row>
    <row r="580">
      <c r="D580">
        <f>AutoClaim_Data!A580</f>
        <v/>
      </c>
      <c r="E580">
        <f>AutoClaim_Data!B580</f>
        <v/>
      </c>
      <c r="F580">
        <f>AutoClaim_Data!C580</f>
        <v/>
      </c>
      <c r="G580">
        <f>IF(AutoClaim_Data!D580&lt;=$B$2,AVERAGEIFS(AutoClaim_Data!C2:C3168,AutoClaim_Data!B2:B3168,"Train",AutoClaim_Data!D2:D3168,"&lt;="&amp;$B$2),AVERAGEIFS(AutoClaim_Data!C2:C3168,AutoClaim_Data!B2:B3168,"Train",AutoClaim_Data!D2:D3168,"&gt;"&amp;$B$2))</f>
        <v/>
      </c>
      <c r="H580">
        <f>IF(AutoClaim_Data!D580&lt;=$B$2,IF(AutoClaim_Data!E580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0">
        <f>(F580-H580)^2</f>
        <v/>
      </c>
      <c r="J580">
        <f>--(E580="Validation")</f>
        <v/>
      </c>
    </row>
    <row r="581">
      <c r="D581">
        <f>AutoClaim_Data!A581</f>
        <v/>
      </c>
      <c r="E581">
        <f>AutoClaim_Data!B581</f>
        <v/>
      </c>
      <c r="F581">
        <f>AutoClaim_Data!C581</f>
        <v/>
      </c>
      <c r="G581">
        <f>IF(AutoClaim_Data!D581&lt;=$B$2,AVERAGEIFS(AutoClaim_Data!C2:C3168,AutoClaim_Data!B2:B3168,"Train",AutoClaim_Data!D2:D3168,"&lt;="&amp;$B$2),AVERAGEIFS(AutoClaim_Data!C2:C3168,AutoClaim_Data!B2:B3168,"Train",AutoClaim_Data!D2:D3168,"&gt;"&amp;$B$2))</f>
        <v/>
      </c>
      <c r="H581">
        <f>IF(AutoClaim_Data!D581&lt;=$B$2,IF(AutoClaim_Data!E581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1">
        <f>(F581-H581)^2</f>
        <v/>
      </c>
      <c r="J581">
        <f>--(E581="Validation")</f>
        <v/>
      </c>
    </row>
    <row r="582">
      <c r="D582">
        <f>AutoClaim_Data!A582</f>
        <v/>
      </c>
      <c r="E582">
        <f>AutoClaim_Data!B582</f>
        <v/>
      </c>
      <c r="F582">
        <f>AutoClaim_Data!C582</f>
        <v/>
      </c>
      <c r="G582">
        <f>IF(AutoClaim_Data!D582&lt;=$B$2,AVERAGEIFS(AutoClaim_Data!C2:C3168,AutoClaim_Data!B2:B3168,"Train",AutoClaim_Data!D2:D3168,"&lt;="&amp;$B$2),AVERAGEIFS(AutoClaim_Data!C2:C3168,AutoClaim_Data!B2:B3168,"Train",AutoClaim_Data!D2:D3168,"&gt;"&amp;$B$2))</f>
        <v/>
      </c>
      <c r="H582">
        <f>IF(AutoClaim_Data!D582&lt;=$B$2,IF(AutoClaim_Data!E582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2">
        <f>(F582-H582)^2</f>
        <v/>
      </c>
      <c r="J582">
        <f>--(E582="Validation")</f>
        <v/>
      </c>
    </row>
    <row r="583">
      <c r="D583">
        <f>AutoClaim_Data!A583</f>
        <v/>
      </c>
      <c r="E583">
        <f>AutoClaim_Data!B583</f>
        <v/>
      </c>
      <c r="F583">
        <f>AutoClaim_Data!C583</f>
        <v/>
      </c>
      <c r="G583">
        <f>IF(AutoClaim_Data!D583&lt;=$B$2,AVERAGEIFS(AutoClaim_Data!C2:C3168,AutoClaim_Data!B2:B3168,"Train",AutoClaim_Data!D2:D3168,"&lt;="&amp;$B$2),AVERAGEIFS(AutoClaim_Data!C2:C3168,AutoClaim_Data!B2:B3168,"Train",AutoClaim_Data!D2:D3168,"&gt;"&amp;$B$2))</f>
        <v/>
      </c>
      <c r="H583">
        <f>IF(AutoClaim_Data!D583&lt;=$B$2,IF(AutoClaim_Data!E583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3">
        <f>(F583-H583)^2</f>
        <v/>
      </c>
      <c r="J583">
        <f>--(E583="Validation")</f>
        <v/>
      </c>
    </row>
    <row r="584">
      <c r="D584">
        <f>AutoClaim_Data!A584</f>
        <v/>
      </c>
      <c r="E584">
        <f>AutoClaim_Data!B584</f>
        <v/>
      </c>
      <c r="F584">
        <f>AutoClaim_Data!C584</f>
        <v/>
      </c>
      <c r="G584">
        <f>IF(AutoClaim_Data!D584&lt;=$B$2,AVERAGEIFS(AutoClaim_Data!C2:C3168,AutoClaim_Data!B2:B3168,"Train",AutoClaim_Data!D2:D3168,"&lt;="&amp;$B$2),AVERAGEIFS(AutoClaim_Data!C2:C3168,AutoClaim_Data!B2:B3168,"Train",AutoClaim_Data!D2:D3168,"&gt;"&amp;$B$2))</f>
        <v/>
      </c>
      <c r="H584">
        <f>IF(AutoClaim_Data!D584&lt;=$B$2,IF(AutoClaim_Data!E584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4">
        <f>(F584-H584)^2</f>
        <v/>
      </c>
      <c r="J584">
        <f>--(E584="Validation")</f>
        <v/>
      </c>
    </row>
    <row r="585">
      <c r="D585">
        <f>AutoClaim_Data!A585</f>
        <v/>
      </c>
      <c r="E585">
        <f>AutoClaim_Data!B585</f>
        <v/>
      </c>
      <c r="F585">
        <f>AutoClaim_Data!C585</f>
        <v/>
      </c>
      <c r="G585">
        <f>IF(AutoClaim_Data!D585&lt;=$B$2,AVERAGEIFS(AutoClaim_Data!C2:C3168,AutoClaim_Data!B2:B3168,"Train",AutoClaim_Data!D2:D3168,"&lt;="&amp;$B$2),AVERAGEIFS(AutoClaim_Data!C2:C3168,AutoClaim_Data!B2:B3168,"Train",AutoClaim_Data!D2:D3168,"&gt;"&amp;$B$2))</f>
        <v/>
      </c>
      <c r="H585">
        <f>IF(AutoClaim_Data!D585&lt;=$B$2,IF(AutoClaim_Data!E585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5">
        <f>(F585-H585)^2</f>
        <v/>
      </c>
      <c r="J585">
        <f>--(E585="Validation")</f>
        <v/>
      </c>
    </row>
    <row r="586">
      <c r="D586">
        <f>AutoClaim_Data!A586</f>
        <v/>
      </c>
      <c r="E586">
        <f>AutoClaim_Data!B586</f>
        <v/>
      </c>
      <c r="F586">
        <f>AutoClaim_Data!C586</f>
        <v/>
      </c>
      <c r="G586">
        <f>IF(AutoClaim_Data!D586&lt;=$B$2,AVERAGEIFS(AutoClaim_Data!C2:C3168,AutoClaim_Data!B2:B3168,"Train",AutoClaim_Data!D2:D3168,"&lt;="&amp;$B$2),AVERAGEIFS(AutoClaim_Data!C2:C3168,AutoClaim_Data!B2:B3168,"Train",AutoClaim_Data!D2:D3168,"&gt;"&amp;$B$2))</f>
        <v/>
      </c>
      <c r="H586">
        <f>IF(AutoClaim_Data!D586&lt;=$B$2,IF(AutoClaim_Data!E586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6">
        <f>(F586-H586)^2</f>
        <v/>
      </c>
      <c r="J586">
        <f>--(E586="Validation")</f>
        <v/>
      </c>
    </row>
    <row r="587">
      <c r="D587">
        <f>AutoClaim_Data!A587</f>
        <v/>
      </c>
      <c r="E587">
        <f>AutoClaim_Data!B587</f>
        <v/>
      </c>
      <c r="F587">
        <f>AutoClaim_Data!C587</f>
        <v/>
      </c>
      <c r="G587">
        <f>IF(AutoClaim_Data!D587&lt;=$B$2,AVERAGEIFS(AutoClaim_Data!C2:C3168,AutoClaim_Data!B2:B3168,"Train",AutoClaim_Data!D2:D3168,"&lt;="&amp;$B$2),AVERAGEIFS(AutoClaim_Data!C2:C3168,AutoClaim_Data!B2:B3168,"Train",AutoClaim_Data!D2:D3168,"&gt;"&amp;$B$2))</f>
        <v/>
      </c>
      <c r="H587">
        <f>IF(AutoClaim_Data!D587&lt;=$B$2,IF(AutoClaim_Data!E587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7">
        <f>(F587-H587)^2</f>
        <v/>
      </c>
      <c r="J587">
        <f>--(E587="Validation")</f>
        <v/>
      </c>
    </row>
    <row r="588">
      <c r="D588">
        <f>AutoClaim_Data!A588</f>
        <v/>
      </c>
      <c r="E588">
        <f>AutoClaim_Data!B588</f>
        <v/>
      </c>
      <c r="F588">
        <f>AutoClaim_Data!C588</f>
        <v/>
      </c>
      <c r="G588">
        <f>IF(AutoClaim_Data!D588&lt;=$B$2,AVERAGEIFS(AutoClaim_Data!C2:C3168,AutoClaim_Data!B2:B3168,"Train",AutoClaim_Data!D2:D3168,"&lt;="&amp;$B$2),AVERAGEIFS(AutoClaim_Data!C2:C3168,AutoClaim_Data!B2:B3168,"Train",AutoClaim_Data!D2:D3168,"&gt;"&amp;$B$2))</f>
        <v/>
      </c>
      <c r="H588">
        <f>IF(AutoClaim_Data!D588&lt;=$B$2,IF(AutoClaim_Data!E588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8">
        <f>(F588-H588)^2</f>
        <v/>
      </c>
      <c r="J588">
        <f>--(E588="Validation")</f>
        <v/>
      </c>
    </row>
    <row r="589">
      <c r="D589">
        <f>AutoClaim_Data!A589</f>
        <v/>
      </c>
      <c r="E589">
        <f>AutoClaim_Data!B589</f>
        <v/>
      </c>
      <c r="F589">
        <f>AutoClaim_Data!C589</f>
        <v/>
      </c>
      <c r="G589">
        <f>IF(AutoClaim_Data!D589&lt;=$B$2,AVERAGEIFS(AutoClaim_Data!C2:C3168,AutoClaim_Data!B2:B3168,"Train",AutoClaim_Data!D2:D3168,"&lt;="&amp;$B$2),AVERAGEIFS(AutoClaim_Data!C2:C3168,AutoClaim_Data!B2:B3168,"Train",AutoClaim_Data!D2:D3168,"&gt;"&amp;$B$2))</f>
        <v/>
      </c>
      <c r="H589">
        <f>IF(AutoClaim_Data!D589&lt;=$B$2,IF(AutoClaim_Data!E589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89">
        <f>(F589-H589)^2</f>
        <v/>
      </c>
      <c r="J589">
        <f>--(E589="Validation")</f>
        <v/>
      </c>
    </row>
    <row r="590">
      <c r="D590">
        <f>AutoClaim_Data!A590</f>
        <v/>
      </c>
      <c r="E590">
        <f>AutoClaim_Data!B590</f>
        <v/>
      </c>
      <c r="F590">
        <f>AutoClaim_Data!C590</f>
        <v/>
      </c>
      <c r="G590">
        <f>IF(AutoClaim_Data!D590&lt;=$B$2,AVERAGEIFS(AutoClaim_Data!C2:C3168,AutoClaim_Data!B2:B3168,"Train",AutoClaim_Data!D2:D3168,"&lt;="&amp;$B$2),AVERAGEIFS(AutoClaim_Data!C2:C3168,AutoClaim_Data!B2:B3168,"Train",AutoClaim_Data!D2:D3168,"&gt;"&amp;$B$2))</f>
        <v/>
      </c>
      <c r="H590">
        <f>IF(AutoClaim_Data!D590&lt;=$B$2,IF(AutoClaim_Data!E590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0">
        <f>(F590-H590)^2</f>
        <v/>
      </c>
      <c r="J590">
        <f>--(E590="Validation")</f>
        <v/>
      </c>
    </row>
    <row r="591">
      <c r="D591">
        <f>AutoClaim_Data!A591</f>
        <v/>
      </c>
      <c r="E591">
        <f>AutoClaim_Data!B591</f>
        <v/>
      </c>
      <c r="F591">
        <f>AutoClaim_Data!C591</f>
        <v/>
      </c>
      <c r="G591">
        <f>IF(AutoClaim_Data!D591&lt;=$B$2,AVERAGEIFS(AutoClaim_Data!C2:C3168,AutoClaim_Data!B2:B3168,"Train",AutoClaim_Data!D2:D3168,"&lt;="&amp;$B$2),AVERAGEIFS(AutoClaim_Data!C2:C3168,AutoClaim_Data!B2:B3168,"Train",AutoClaim_Data!D2:D3168,"&gt;"&amp;$B$2))</f>
        <v/>
      </c>
      <c r="H591">
        <f>IF(AutoClaim_Data!D591&lt;=$B$2,IF(AutoClaim_Data!E591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1">
        <f>(F591-H591)^2</f>
        <v/>
      </c>
      <c r="J591">
        <f>--(E591="Validation")</f>
        <v/>
      </c>
    </row>
    <row r="592">
      <c r="D592">
        <f>AutoClaim_Data!A592</f>
        <v/>
      </c>
      <c r="E592">
        <f>AutoClaim_Data!B592</f>
        <v/>
      </c>
      <c r="F592">
        <f>AutoClaim_Data!C592</f>
        <v/>
      </c>
      <c r="G592">
        <f>IF(AutoClaim_Data!D592&lt;=$B$2,AVERAGEIFS(AutoClaim_Data!C2:C3168,AutoClaim_Data!B2:B3168,"Train",AutoClaim_Data!D2:D3168,"&lt;="&amp;$B$2),AVERAGEIFS(AutoClaim_Data!C2:C3168,AutoClaim_Data!B2:B3168,"Train",AutoClaim_Data!D2:D3168,"&gt;"&amp;$B$2))</f>
        <v/>
      </c>
      <c r="H592">
        <f>IF(AutoClaim_Data!D592&lt;=$B$2,IF(AutoClaim_Data!E592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2">
        <f>(F592-H592)^2</f>
        <v/>
      </c>
      <c r="J592">
        <f>--(E592="Validation")</f>
        <v/>
      </c>
    </row>
    <row r="593">
      <c r="D593">
        <f>AutoClaim_Data!A593</f>
        <v/>
      </c>
      <c r="E593">
        <f>AutoClaim_Data!B593</f>
        <v/>
      </c>
      <c r="F593">
        <f>AutoClaim_Data!C593</f>
        <v/>
      </c>
      <c r="G593">
        <f>IF(AutoClaim_Data!D593&lt;=$B$2,AVERAGEIFS(AutoClaim_Data!C2:C3168,AutoClaim_Data!B2:B3168,"Train",AutoClaim_Data!D2:D3168,"&lt;="&amp;$B$2),AVERAGEIFS(AutoClaim_Data!C2:C3168,AutoClaim_Data!B2:B3168,"Train",AutoClaim_Data!D2:D3168,"&gt;"&amp;$B$2))</f>
        <v/>
      </c>
      <c r="H593">
        <f>IF(AutoClaim_Data!D593&lt;=$B$2,IF(AutoClaim_Data!E593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3">
        <f>(F593-H593)^2</f>
        <v/>
      </c>
      <c r="J593">
        <f>--(E593="Validation")</f>
        <v/>
      </c>
    </row>
    <row r="594">
      <c r="D594">
        <f>AutoClaim_Data!A594</f>
        <v/>
      </c>
      <c r="E594">
        <f>AutoClaim_Data!B594</f>
        <v/>
      </c>
      <c r="F594">
        <f>AutoClaim_Data!C594</f>
        <v/>
      </c>
      <c r="G594">
        <f>IF(AutoClaim_Data!D594&lt;=$B$2,AVERAGEIFS(AutoClaim_Data!C2:C3168,AutoClaim_Data!B2:B3168,"Train",AutoClaim_Data!D2:D3168,"&lt;="&amp;$B$2),AVERAGEIFS(AutoClaim_Data!C2:C3168,AutoClaim_Data!B2:B3168,"Train",AutoClaim_Data!D2:D3168,"&gt;"&amp;$B$2))</f>
        <v/>
      </c>
      <c r="H594">
        <f>IF(AutoClaim_Data!D594&lt;=$B$2,IF(AutoClaim_Data!E594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4">
        <f>(F594-H594)^2</f>
        <v/>
      </c>
      <c r="J594">
        <f>--(E594="Validation")</f>
        <v/>
      </c>
    </row>
    <row r="595">
      <c r="D595">
        <f>AutoClaim_Data!A595</f>
        <v/>
      </c>
      <c r="E595">
        <f>AutoClaim_Data!B595</f>
        <v/>
      </c>
      <c r="F595">
        <f>AutoClaim_Data!C595</f>
        <v/>
      </c>
      <c r="G595">
        <f>IF(AutoClaim_Data!D595&lt;=$B$2,AVERAGEIFS(AutoClaim_Data!C2:C3168,AutoClaim_Data!B2:B3168,"Train",AutoClaim_Data!D2:D3168,"&lt;="&amp;$B$2),AVERAGEIFS(AutoClaim_Data!C2:C3168,AutoClaim_Data!B2:B3168,"Train",AutoClaim_Data!D2:D3168,"&gt;"&amp;$B$2))</f>
        <v/>
      </c>
      <c r="H595">
        <f>IF(AutoClaim_Data!D595&lt;=$B$2,IF(AutoClaim_Data!E595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5">
        <f>(F595-H595)^2</f>
        <v/>
      </c>
      <c r="J595">
        <f>--(E595="Validation")</f>
        <v/>
      </c>
    </row>
    <row r="596">
      <c r="D596">
        <f>AutoClaim_Data!A596</f>
        <v/>
      </c>
      <c r="E596">
        <f>AutoClaim_Data!B596</f>
        <v/>
      </c>
      <c r="F596">
        <f>AutoClaim_Data!C596</f>
        <v/>
      </c>
      <c r="G596">
        <f>IF(AutoClaim_Data!D596&lt;=$B$2,AVERAGEIFS(AutoClaim_Data!C2:C3168,AutoClaim_Data!B2:B3168,"Train",AutoClaim_Data!D2:D3168,"&lt;="&amp;$B$2),AVERAGEIFS(AutoClaim_Data!C2:C3168,AutoClaim_Data!B2:B3168,"Train",AutoClaim_Data!D2:D3168,"&gt;"&amp;$B$2))</f>
        <v/>
      </c>
      <c r="H596">
        <f>IF(AutoClaim_Data!D596&lt;=$B$2,IF(AutoClaim_Data!E596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6">
        <f>(F596-H596)^2</f>
        <v/>
      </c>
      <c r="J596">
        <f>--(E596="Validation")</f>
        <v/>
      </c>
    </row>
    <row r="597">
      <c r="D597">
        <f>AutoClaim_Data!A597</f>
        <v/>
      </c>
      <c r="E597">
        <f>AutoClaim_Data!B597</f>
        <v/>
      </c>
      <c r="F597">
        <f>AutoClaim_Data!C597</f>
        <v/>
      </c>
      <c r="G597">
        <f>IF(AutoClaim_Data!D597&lt;=$B$2,AVERAGEIFS(AutoClaim_Data!C2:C3168,AutoClaim_Data!B2:B3168,"Train",AutoClaim_Data!D2:D3168,"&lt;="&amp;$B$2),AVERAGEIFS(AutoClaim_Data!C2:C3168,AutoClaim_Data!B2:B3168,"Train",AutoClaim_Data!D2:D3168,"&gt;"&amp;$B$2))</f>
        <v/>
      </c>
      <c r="H597">
        <f>IF(AutoClaim_Data!D597&lt;=$B$2,IF(AutoClaim_Data!E597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7">
        <f>(F597-H597)^2</f>
        <v/>
      </c>
      <c r="J597">
        <f>--(E597="Validation")</f>
        <v/>
      </c>
    </row>
    <row r="598">
      <c r="D598">
        <f>AutoClaim_Data!A598</f>
        <v/>
      </c>
      <c r="E598">
        <f>AutoClaim_Data!B598</f>
        <v/>
      </c>
      <c r="F598">
        <f>AutoClaim_Data!C598</f>
        <v/>
      </c>
      <c r="G598">
        <f>IF(AutoClaim_Data!D598&lt;=$B$2,AVERAGEIFS(AutoClaim_Data!C2:C3168,AutoClaim_Data!B2:B3168,"Train",AutoClaim_Data!D2:D3168,"&lt;="&amp;$B$2),AVERAGEIFS(AutoClaim_Data!C2:C3168,AutoClaim_Data!B2:B3168,"Train",AutoClaim_Data!D2:D3168,"&gt;"&amp;$B$2))</f>
        <v/>
      </c>
      <c r="H598">
        <f>IF(AutoClaim_Data!D598&lt;=$B$2,IF(AutoClaim_Data!E598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8">
        <f>(F598-H598)^2</f>
        <v/>
      </c>
      <c r="J598">
        <f>--(E598="Validation")</f>
        <v/>
      </c>
    </row>
    <row r="599">
      <c r="D599">
        <f>AutoClaim_Data!A599</f>
        <v/>
      </c>
      <c r="E599">
        <f>AutoClaim_Data!B599</f>
        <v/>
      </c>
      <c r="F599">
        <f>AutoClaim_Data!C599</f>
        <v/>
      </c>
      <c r="G599">
        <f>IF(AutoClaim_Data!D599&lt;=$B$2,AVERAGEIFS(AutoClaim_Data!C2:C3168,AutoClaim_Data!B2:B3168,"Train",AutoClaim_Data!D2:D3168,"&lt;="&amp;$B$2),AVERAGEIFS(AutoClaim_Data!C2:C3168,AutoClaim_Data!B2:B3168,"Train",AutoClaim_Data!D2:D3168,"&gt;"&amp;$B$2))</f>
        <v/>
      </c>
      <c r="H599">
        <f>IF(AutoClaim_Data!D599&lt;=$B$2,IF(AutoClaim_Data!E599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599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599">
        <f>(F599-H599)^2</f>
        <v/>
      </c>
      <c r="J599">
        <f>--(E599="Validation")</f>
        <v/>
      </c>
    </row>
    <row r="600">
      <c r="D600">
        <f>AutoClaim_Data!A600</f>
        <v/>
      </c>
      <c r="E600">
        <f>AutoClaim_Data!B600</f>
        <v/>
      </c>
      <c r="F600">
        <f>AutoClaim_Data!C600</f>
        <v/>
      </c>
      <c r="G600">
        <f>IF(AutoClaim_Data!D600&lt;=$B$2,AVERAGEIFS(AutoClaim_Data!C2:C3168,AutoClaim_Data!B2:B3168,"Train",AutoClaim_Data!D2:D3168,"&lt;="&amp;$B$2),AVERAGEIFS(AutoClaim_Data!C2:C3168,AutoClaim_Data!B2:B3168,"Train",AutoClaim_Data!D2:D3168,"&gt;"&amp;$B$2))</f>
        <v/>
      </c>
      <c r="H600">
        <f>IF(AutoClaim_Data!D600&lt;=$B$2,IF(AutoClaim_Data!E600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0">
        <f>(F600-H600)^2</f>
        <v/>
      </c>
      <c r="J600">
        <f>--(E600="Validation")</f>
        <v/>
      </c>
    </row>
    <row r="601">
      <c r="D601">
        <f>AutoClaim_Data!A601</f>
        <v/>
      </c>
      <c r="E601">
        <f>AutoClaim_Data!B601</f>
        <v/>
      </c>
      <c r="F601">
        <f>AutoClaim_Data!C601</f>
        <v/>
      </c>
      <c r="G601">
        <f>IF(AutoClaim_Data!D601&lt;=$B$2,AVERAGEIFS(AutoClaim_Data!C2:C3168,AutoClaim_Data!B2:B3168,"Train",AutoClaim_Data!D2:D3168,"&lt;="&amp;$B$2),AVERAGEIFS(AutoClaim_Data!C2:C3168,AutoClaim_Data!B2:B3168,"Train",AutoClaim_Data!D2:D3168,"&gt;"&amp;$B$2))</f>
        <v/>
      </c>
      <c r="H601">
        <f>IF(AutoClaim_Data!D601&lt;=$B$2,IF(AutoClaim_Data!E601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1">
        <f>(F601-H601)^2</f>
        <v/>
      </c>
      <c r="J601">
        <f>--(E601="Validation")</f>
        <v/>
      </c>
    </row>
    <row r="602">
      <c r="D602">
        <f>AutoClaim_Data!A602</f>
        <v/>
      </c>
      <c r="E602">
        <f>AutoClaim_Data!B602</f>
        <v/>
      </c>
      <c r="F602">
        <f>AutoClaim_Data!C602</f>
        <v/>
      </c>
      <c r="G602">
        <f>IF(AutoClaim_Data!D602&lt;=$B$2,AVERAGEIFS(AutoClaim_Data!C2:C3168,AutoClaim_Data!B2:B3168,"Train",AutoClaim_Data!D2:D3168,"&lt;="&amp;$B$2),AVERAGEIFS(AutoClaim_Data!C2:C3168,AutoClaim_Data!B2:B3168,"Train",AutoClaim_Data!D2:D3168,"&gt;"&amp;$B$2))</f>
        <v/>
      </c>
      <c r="H602">
        <f>IF(AutoClaim_Data!D602&lt;=$B$2,IF(AutoClaim_Data!E602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2">
        <f>(F602-H602)^2</f>
        <v/>
      </c>
      <c r="J602">
        <f>--(E602="Validation")</f>
        <v/>
      </c>
    </row>
    <row r="603">
      <c r="D603">
        <f>AutoClaim_Data!A603</f>
        <v/>
      </c>
      <c r="E603">
        <f>AutoClaim_Data!B603</f>
        <v/>
      </c>
      <c r="F603">
        <f>AutoClaim_Data!C603</f>
        <v/>
      </c>
      <c r="G603">
        <f>IF(AutoClaim_Data!D603&lt;=$B$2,AVERAGEIFS(AutoClaim_Data!C2:C3168,AutoClaim_Data!B2:B3168,"Train",AutoClaim_Data!D2:D3168,"&lt;="&amp;$B$2),AVERAGEIFS(AutoClaim_Data!C2:C3168,AutoClaim_Data!B2:B3168,"Train",AutoClaim_Data!D2:D3168,"&gt;"&amp;$B$2))</f>
        <v/>
      </c>
      <c r="H603">
        <f>IF(AutoClaim_Data!D603&lt;=$B$2,IF(AutoClaim_Data!E603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3">
        <f>(F603-H603)^2</f>
        <v/>
      </c>
      <c r="J603">
        <f>--(E603="Validation")</f>
        <v/>
      </c>
    </row>
    <row r="604">
      <c r="D604">
        <f>AutoClaim_Data!A604</f>
        <v/>
      </c>
      <c r="E604">
        <f>AutoClaim_Data!B604</f>
        <v/>
      </c>
      <c r="F604">
        <f>AutoClaim_Data!C604</f>
        <v/>
      </c>
      <c r="G604">
        <f>IF(AutoClaim_Data!D604&lt;=$B$2,AVERAGEIFS(AutoClaim_Data!C2:C3168,AutoClaim_Data!B2:B3168,"Train",AutoClaim_Data!D2:D3168,"&lt;="&amp;$B$2),AVERAGEIFS(AutoClaim_Data!C2:C3168,AutoClaim_Data!B2:B3168,"Train",AutoClaim_Data!D2:D3168,"&gt;"&amp;$B$2))</f>
        <v/>
      </c>
      <c r="H604">
        <f>IF(AutoClaim_Data!D604&lt;=$B$2,IF(AutoClaim_Data!E604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4">
        <f>(F604-H604)^2</f>
        <v/>
      </c>
      <c r="J604">
        <f>--(E604="Validation")</f>
        <v/>
      </c>
    </row>
    <row r="605">
      <c r="D605">
        <f>AutoClaim_Data!A605</f>
        <v/>
      </c>
      <c r="E605">
        <f>AutoClaim_Data!B605</f>
        <v/>
      </c>
      <c r="F605">
        <f>AutoClaim_Data!C605</f>
        <v/>
      </c>
      <c r="G605">
        <f>IF(AutoClaim_Data!D605&lt;=$B$2,AVERAGEIFS(AutoClaim_Data!C2:C3168,AutoClaim_Data!B2:B3168,"Train",AutoClaim_Data!D2:D3168,"&lt;="&amp;$B$2),AVERAGEIFS(AutoClaim_Data!C2:C3168,AutoClaim_Data!B2:B3168,"Train",AutoClaim_Data!D2:D3168,"&gt;"&amp;$B$2))</f>
        <v/>
      </c>
      <c r="H605">
        <f>IF(AutoClaim_Data!D605&lt;=$B$2,IF(AutoClaim_Data!E605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5">
        <f>(F605-H605)^2</f>
        <v/>
      </c>
      <c r="J605">
        <f>--(E605="Validation")</f>
        <v/>
      </c>
    </row>
    <row r="606">
      <c r="D606">
        <f>AutoClaim_Data!A606</f>
        <v/>
      </c>
      <c r="E606">
        <f>AutoClaim_Data!B606</f>
        <v/>
      </c>
      <c r="F606">
        <f>AutoClaim_Data!C606</f>
        <v/>
      </c>
      <c r="G606">
        <f>IF(AutoClaim_Data!D606&lt;=$B$2,AVERAGEIFS(AutoClaim_Data!C2:C3168,AutoClaim_Data!B2:B3168,"Train",AutoClaim_Data!D2:D3168,"&lt;="&amp;$B$2),AVERAGEIFS(AutoClaim_Data!C2:C3168,AutoClaim_Data!B2:B3168,"Train",AutoClaim_Data!D2:D3168,"&gt;"&amp;$B$2))</f>
        <v/>
      </c>
      <c r="H606">
        <f>IF(AutoClaim_Data!D606&lt;=$B$2,IF(AutoClaim_Data!E606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6">
        <f>(F606-H606)^2</f>
        <v/>
      </c>
      <c r="J606">
        <f>--(E606="Validation")</f>
        <v/>
      </c>
    </row>
    <row r="607">
      <c r="D607">
        <f>AutoClaim_Data!A607</f>
        <v/>
      </c>
      <c r="E607">
        <f>AutoClaim_Data!B607</f>
        <v/>
      </c>
      <c r="F607">
        <f>AutoClaim_Data!C607</f>
        <v/>
      </c>
      <c r="G607">
        <f>IF(AutoClaim_Data!D607&lt;=$B$2,AVERAGEIFS(AutoClaim_Data!C2:C3168,AutoClaim_Data!B2:B3168,"Train",AutoClaim_Data!D2:D3168,"&lt;="&amp;$B$2),AVERAGEIFS(AutoClaim_Data!C2:C3168,AutoClaim_Data!B2:B3168,"Train",AutoClaim_Data!D2:D3168,"&gt;"&amp;$B$2))</f>
        <v/>
      </c>
      <c r="H607">
        <f>IF(AutoClaim_Data!D607&lt;=$B$2,IF(AutoClaim_Data!E607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7">
        <f>(F607-H607)^2</f>
        <v/>
      </c>
      <c r="J607">
        <f>--(E607="Validation")</f>
        <v/>
      </c>
    </row>
    <row r="608">
      <c r="D608">
        <f>AutoClaim_Data!A608</f>
        <v/>
      </c>
      <c r="E608">
        <f>AutoClaim_Data!B608</f>
        <v/>
      </c>
      <c r="F608">
        <f>AutoClaim_Data!C608</f>
        <v/>
      </c>
      <c r="G608">
        <f>IF(AutoClaim_Data!D608&lt;=$B$2,AVERAGEIFS(AutoClaim_Data!C2:C3168,AutoClaim_Data!B2:B3168,"Train",AutoClaim_Data!D2:D3168,"&lt;="&amp;$B$2),AVERAGEIFS(AutoClaim_Data!C2:C3168,AutoClaim_Data!B2:B3168,"Train",AutoClaim_Data!D2:D3168,"&gt;"&amp;$B$2))</f>
        <v/>
      </c>
      <c r="H608">
        <f>IF(AutoClaim_Data!D608&lt;=$B$2,IF(AutoClaim_Data!E608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8">
        <f>(F608-H608)^2</f>
        <v/>
      </c>
      <c r="J608">
        <f>--(E608="Validation")</f>
        <v/>
      </c>
    </row>
    <row r="609">
      <c r="D609">
        <f>AutoClaim_Data!A609</f>
        <v/>
      </c>
      <c r="E609">
        <f>AutoClaim_Data!B609</f>
        <v/>
      </c>
      <c r="F609">
        <f>AutoClaim_Data!C609</f>
        <v/>
      </c>
      <c r="G609">
        <f>IF(AutoClaim_Data!D609&lt;=$B$2,AVERAGEIFS(AutoClaim_Data!C2:C3168,AutoClaim_Data!B2:B3168,"Train",AutoClaim_Data!D2:D3168,"&lt;="&amp;$B$2),AVERAGEIFS(AutoClaim_Data!C2:C3168,AutoClaim_Data!B2:B3168,"Train",AutoClaim_Data!D2:D3168,"&gt;"&amp;$B$2))</f>
        <v/>
      </c>
      <c r="H609">
        <f>IF(AutoClaim_Data!D609&lt;=$B$2,IF(AutoClaim_Data!E609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09">
        <f>(F609-H609)^2</f>
        <v/>
      </c>
      <c r="J609">
        <f>--(E609="Validation")</f>
        <v/>
      </c>
    </row>
    <row r="610">
      <c r="D610">
        <f>AutoClaim_Data!A610</f>
        <v/>
      </c>
      <c r="E610">
        <f>AutoClaim_Data!B610</f>
        <v/>
      </c>
      <c r="F610">
        <f>AutoClaim_Data!C610</f>
        <v/>
      </c>
      <c r="G610">
        <f>IF(AutoClaim_Data!D610&lt;=$B$2,AVERAGEIFS(AutoClaim_Data!C2:C3168,AutoClaim_Data!B2:B3168,"Train",AutoClaim_Data!D2:D3168,"&lt;="&amp;$B$2),AVERAGEIFS(AutoClaim_Data!C2:C3168,AutoClaim_Data!B2:B3168,"Train",AutoClaim_Data!D2:D3168,"&gt;"&amp;$B$2))</f>
        <v/>
      </c>
      <c r="H610">
        <f>IF(AutoClaim_Data!D610&lt;=$B$2,IF(AutoClaim_Data!E610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0">
        <f>(F610-H610)^2</f>
        <v/>
      </c>
      <c r="J610">
        <f>--(E610="Validation")</f>
        <v/>
      </c>
    </row>
    <row r="611">
      <c r="D611">
        <f>AutoClaim_Data!A611</f>
        <v/>
      </c>
      <c r="E611">
        <f>AutoClaim_Data!B611</f>
        <v/>
      </c>
      <c r="F611">
        <f>AutoClaim_Data!C611</f>
        <v/>
      </c>
      <c r="G611">
        <f>IF(AutoClaim_Data!D611&lt;=$B$2,AVERAGEIFS(AutoClaim_Data!C2:C3168,AutoClaim_Data!B2:B3168,"Train",AutoClaim_Data!D2:D3168,"&lt;="&amp;$B$2),AVERAGEIFS(AutoClaim_Data!C2:C3168,AutoClaim_Data!B2:B3168,"Train",AutoClaim_Data!D2:D3168,"&gt;"&amp;$B$2))</f>
        <v/>
      </c>
      <c r="H611">
        <f>IF(AutoClaim_Data!D611&lt;=$B$2,IF(AutoClaim_Data!E611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1">
        <f>(F611-H611)^2</f>
        <v/>
      </c>
      <c r="J611">
        <f>--(E611="Validation")</f>
        <v/>
      </c>
    </row>
    <row r="612">
      <c r="D612">
        <f>AutoClaim_Data!A612</f>
        <v/>
      </c>
      <c r="E612">
        <f>AutoClaim_Data!B612</f>
        <v/>
      </c>
      <c r="F612">
        <f>AutoClaim_Data!C612</f>
        <v/>
      </c>
      <c r="G612">
        <f>IF(AutoClaim_Data!D612&lt;=$B$2,AVERAGEIFS(AutoClaim_Data!C2:C3168,AutoClaim_Data!B2:B3168,"Train",AutoClaim_Data!D2:D3168,"&lt;="&amp;$B$2),AVERAGEIFS(AutoClaim_Data!C2:C3168,AutoClaim_Data!B2:B3168,"Train",AutoClaim_Data!D2:D3168,"&gt;"&amp;$B$2))</f>
        <v/>
      </c>
      <c r="H612">
        <f>IF(AutoClaim_Data!D612&lt;=$B$2,IF(AutoClaim_Data!E612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2">
        <f>(F612-H612)^2</f>
        <v/>
      </c>
      <c r="J612">
        <f>--(E612="Validation")</f>
        <v/>
      </c>
    </row>
    <row r="613">
      <c r="D613">
        <f>AutoClaim_Data!A613</f>
        <v/>
      </c>
      <c r="E613">
        <f>AutoClaim_Data!B613</f>
        <v/>
      </c>
      <c r="F613">
        <f>AutoClaim_Data!C613</f>
        <v/>
      </c>
      <c r="G613">
        <f>IF(AutoClaim_Data!D613&lt;=$B$2,AVERAGEIFS(AutoClaim_Data!C2:C3168,AutoClaim_Data!B2:B3168,"Train",AutoClaim_Data!D2:D3168,"&lt;="&amp;$B$2),AVERAGEIFS(AutoClaim_Data!C2:C3168,AutoClaim_Data!B2:B3168,"Train",AutoClaim_Data!D2:D3168,"&gt;"&amp;$B$2))</f>
        <v/>
      </c>
      <c r="H613">
        <f>IF(AutoClaim_Data!D613&lt;=$B$2,IF(AutoClaim_Data!E613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3">
        <f>(F613-H613)^2</f>
        <v/>
      </c>
      <c r="J613">
        <f>--(E613="Validation")</f>
        <v/>
      </c>
    </row>
    <row r="614">
      <c r="D614">
        <f>AutoClaim_Data!A614</f>
        <v/>
      </c>
      <c r="E614">
        <f>AutoClaim_Data!B614</f>
        <v/>
      </c>
      <c r="F614">
        <f>AutoClaim_Data!C614</f>
        <v/>
      </c>
      <c r="G614">
        <f>IF(AutoClaim_Data!D614&lt;=$B$2,AVERAGEIFS(AutoClaim_Data!C2:C3168,AutoClaim_Data!B2:B3168,"Train",AutoClaim_Data!D2:D3168,"&lt;="&amp;$B$2),AVERAGEIFS(AutoClaim_Data!C2:C3168,AutoClaim_Data!B2:B3168,"Train",AutoClaim_Data!D2:D3168,"&gt;"&amp;$B$2))</f>
        <v/>
      </c>
      <c r="H614">
        <f>IF(AutoClaim_Data!D614&lt;=$B$2,IF(AutoClaim_Data!E614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4">
        <f>(F614-H614)^2</f>
        <v/>
      </c>
      <c r="J614">
        <f>--(E614="Validation")</f>
        <v/>
      </c>
    </row>
    <row r="615">
      <c r="D615">
        <f>AutoClaim_Data!A615</f>
        <v/>
      </c>
      <c r="E615">
        <f>AutoClaim_Data!B615</f>
        <v/>
      </c>
      <c r="F615">
        <f>AutoClaim_Data!C615</f>
        <v/>
      </c>
      <c r="G615">
        <f>IF(AutoClaim_Data!D615&lt;=$B$2,AVERAGEIFS(AutoClaim_Data!C2:C3168,AutoClaim_Data!B2:B3168,"Train",AutoClaim_Data!D2:D3168,"&lt;="&amp;$B$2),AVERAGEIFS(AutoClaim_Data!C2:C3168,AutoClaim_Data!B2:B3168,"Train",AutoClaim_Data!D2:D3168,"&gt;"&amp;$B$2))</f>
        <v/>
      </c>
      <c r="H615">
        <f>IF(AutoClaim_Data!D615&lt;=$B$2,IF(AutoClaim_Data!E615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5">
        <f>(F615-H615)^2</f>
        <v/>
      </c>
      <c r="J615">
        <f>--(E615="Validation")</f>
        <v/>
      </c>
    </row>
    <row r="616">
      <c r="D616">
        <f>AutoClaim_Data!A616</f>
        <v/>
      </c>
      <c r="E616">
        <f>AutoClaim_Data!B616</f>
        <v/>
      </c>
      <c r="F616">
        <f>AutoClaim_Data!C616</f>
        <v/>
      </c>
      <c r="G616">
        <f>IF(AutoClaim_Data!D616&lt;=$B$2,AVERAGEIFS(AutoClaim_Data!C2:C3168,AutoClaim_Data!B2:B3168,"Train",AutoClaim_Data!D2:D3168,"&lt;="&amp;$B$2),AVERAGEIFS(AutoClaim_Data!C2:C3168,AutoClaim_Data!B2:B3168,"Train",AutoClaim_Data!D2:D3168,"&gt;"&amp;$B$2))</f>
        <v/>
      </c>
      <c r="H616">
        <f>IF(AutoClaim_Data!D616&lt;=$B$2,IF(AutoClaim_Data!E616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6">
        <f>(F616-H616)^2</f>
        <v/>
      </c>
      <c r="J616">
        <f>--(E616="Validation")</f>
        <v/>
      </c>
    </row>
    <row r="617">
      <c r="D617">
        <f>AutoClaim_Data!A617</f>
        <v/>
      </c>
      <c r="E617">
        <f>AutoClaim_Data!B617</f>
        <v/>
      </c>
      <c r="F617">
        <f>AutoClaim_Data!C617</f>
        <v/>
      </c>
      <c r="G617">
        <f>IF(AutoClaim_Data!D617&lt;=$B$2,AVERAGEIFS(AutoClaim_Data!C2:C3168,AutoClaim_Data!B2:B3168,"Train",AutoClaim_Data!D2:D3168,"&lt;="&amp;$B$2),AVERAGEIFS(AutoClaim_Data!C2:C3168,AutoClaim_Data!B2:B3168,"Train",AutoClaim_Data!D2:D3168,"&gt;"&amp;$B$2))</f>
        <v/>
      </c>
      <c r="H617">
        <f>IF(AutoClaim_Data!D617&lt;=$B$2,IF(AutoClaim_Data!E617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7">
        <f>(F617-H617)^2</f>
        <v/>
      </c>
      <c r="J617">
        <f>--(E617="Validation")</f>
        <v/>
      </c>
    </row>
    <row r="618">
      <c r="D618">
        <f>AutoClaim_Data!A618</f>
        <v/>
      </c>
      <c r="E618">
        <f>AutoClaim_Data!B618</f>
        <v/>
      </c>
      <c r="F618">
        <f>AutoClaim_Data!C618</f>
        <v/>
      </c>
      <c r="G618">
        <f>IF(AutoClaim_Data!D618&lt;=$B$2,AVERAGEIFS(AutoClaim_Data!C2:C3168,AutoClaim_Data!B2:B3168,"Train",AutoClaim_Data!D2:D3168,"&lt;="&amp;$B$2),AVERAGEIFS(AutoClaim_Data!C2:C3168,AutoClaim_Data!B2:B3168,"Train",AutoClaim_Data!D2:D3168,"&gt;"&amp;$B$2))</f>
        <v/>
      </c>
      <c r="H618">
        <f>IF(AutoClaim_Data!D618&lt;=$B$2,IF(AutoClaim_Data!E618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8">
        <f>(F618-H618)^2</f>
        <v/>
      </c>
      <c r="J618">
        <f>--(E618="Validation")</f>
        <v/>
      </c>
    </row>
    <row r="619">
      <c r="D619">
        <f>AutoClaim_Data!A619</f>
        <v/>
      </c>
      <c r="E619">
        <f>AutoClaim_Data!B619</f>
        <v/>
      </c>
      <c r="F619">
        <f>AutoClaim_Data!C619</f>
        <v/>
      </c>
      <c r="G619">
        <f>IF(AutoClaim_Data!D619&lt;=$B$2,AVERAGEIFS(AutoClaim_Data!C2:C3168,AutoClaim_Data!B2:B3168,"Train",AutoClaim_Data!D2:D3168,"&lt;="&amp;$B$2),AVERAGEIFS(AutoClaim_Data!C2:C3168,AutoClaim_Data!B2:B3168,"Train",AutoClaim_Data!D2:D3168,"&gt;"&amp;$B$2))</f>
        <v/>
      </c>
      <c r="H619">
        <f>IF(AutoClaim_Data!D619&lt;=$B$2,IF(AutoClaim_Data!E619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19">
        <f>(F619-H619)^2</f>
        <v/>
      </c>
      <c r="J619">
        <f>--(E619="Validation")</f>
        <v/>
      </c>
    </row>
    <row r="620">
      <c r="D620">
        <f>AutoClaim_Data!A620</f>
        <v/>
      </c>
      <c r="E620">
        <f>AutoClaim_Data!B620</f>
        <v/>
      </c>
      <c r="F620">
        <f>AutoClaim_Data!C620</f>
        <v/>
      </c>
      <c r="G620">
        <f>IF(AutoClaim_Data!D620&lt;=$B$2,AVERAGEIFS(AutoClaim_Data!C2:C3168,AutoClaim_Data!B2:B3168,"Train",AutoClaim_Data!D2:D3168,"&lt;="&amp;$B$2),AVERAGEIFS(AutoClaim_Data!C2:C3168,AutoClaim_Data!B2:B3168,"Train",AutoClaim_Data!D2:D3168,"&gt;"&amp;$B$2))</f>
        <v/>
      </c>
      <c r="H620">
        <f>IF(AutoClaim_Data!D620&lt;=$B$2,IF(AutoClaim_Data!E620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0">
        <f>(F620-H620)^2</f>
        <v/>
      </c>
      <c r="J620">
        <f>--(E620="Validation")</f>
        <v/>
      </c>
    </row>
    <row r="621">
      <c r="D621">
        <f>AutoClaim_Data!A621</f>
        <v/>
      </c>
      <c r="E621">
        <f>AutoClaim_Data!B621</f>
        <v/>
      </c>
      <c r="F621">
        <f>AutoClaim_Data!C621</f>
        <v/>
      </c>
      <c r="G621">
        <f>IF(AutoClaim_Data!D621&lt;=$B$2,AVERAGEIFS(AutoClaim_Data!C2:C3168,AutoClaim_Data!B2:B3168,"Train",AutoClaim_Data!D2:D3168,"&lt;="&amp;$B$2),AVERAGEIFS(AutoClaim_Data!C2:C3168,AutoClaim_Data!B2:B3168,"Train",AutoClaim_Data!D2:D3168,"&gt;"&amp;$B$2))</f>
        <v/>
      </c>
      <c r="H621">
        <f>IF(AutoClaim_Data!D621&lt;=$B$2,IF(AutoClaim_Data!E621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1">
        <f>(F621-H621)^2</f>
        <v/>
      </c>
      <c r="J621">
        <f>--(E621="Validation")</f>
        <v/>
      </c>
    </row>
    <row r="622">
      <c r="D622">
        <f>AutoClaim_Data!A622</f>
        <v/>
      </c>
      <c r="E622">
        <f>AutoClaim_Data!B622</f>
        <v/>
      </c>
      <c r="F622">
        <f>AutoClaim_Data!C622</f>
        <v/>
      </c>
      <c r="G622">
        <f>IF(AutoClaim_Data!D622&lt;=$B$2,AVERAGEIFS(AutoClaim_Data!C2:C3168,AutoClaim_Data!B2:B3168,"Train",AutoClaim_Data!D2:D3168,"&lt;="&amp;$B$2),AVERAGEIFS(AutoClaim_Data!C2:C3168,AutoClaim_Data!B2:B3168,"Train",AutoClaim_Data!D2:D3168,"&gt;"&amp;$B$2))</f>
        <v/>
      </c>
      <c r="H622">
        <f>IF(AutoClaim_Data!D622&lt;=$B$2,IF(AutoClaim_Data!E622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2">
        <f>(F622-H622)^2</f>
        <v/>
      </c>
      <c r="J622">
        <f>--(E622="Validation")</f>
        <v/>
      </c>
    </row>
    <row r="623">
      <c r="D623">
        <f>AutoClaim_Data!A623</f>
        <v/>
      </c>
      <c r="E623">
        <f>AutoClaim_Data!B623</f>
        <v/>
      </c>
      <c r="F623">
        <f>AutoClaim_Data!C623</f>
        <v/>
      </c>
      <c r="G623">
        <f>IF(AutoClaim_Data!D623&lt;=$B$2,AVERAGEIFS(AutoClaim_Data!C2:C3168,AutoClaim_Data!B2:B3168,"Train",AutoClaim_Data!D2:D3168,"&lt;="&amp;$B$2),AVERAGEIFS(AutoClaim_Data!C2:C3168,AutoClaim_Data!B2:B3168,"Train",AutoClaim_Data!D2:D3168,"&gt;"&amp;$B$2))</f>
        <v/>
      </c>
      <c r="H623">
        <f>IF(AutoClaim_Data!D623&lt;=$B$2,IF(AutoClaim_Data!E623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3">
        <f>(F623-H623)^2</f>
        <v/>
      </c>
      <c r="J623">
        <f>--(E623="Validation")</f>
        <v/>
      </c>
    </row>
    <row r="624">
      <c r="D624">
        <f>AutoClaim_Data!A624</f>
        <v/>
      </c>
      <c r="E624">
        <f>AutoClaim_Data!B624</f>
        <v/>
      </c>
      <c r="F624">
        <f>AutoClaim_Data!C624</f>
        <v/>
      </c>
      <c r="G624">
        <f>IF(AutoClaim_Data!D624&lt;=$B$2,AVERAGEIFS(AutoClaim_Data!C2:C3168,AutoClaim_Data!B2:B3168,"Train",AutoClaim_Data!D2:D3168,"&lt;="&amp;$B$2),AVERAGEIFS(AutoClaim_Data!C2:C3168,AutoClaim_Data!B2:B3168,"Train",AutoClaim_Data!D2:D3168,"&gt;"&amp;$B$2))</f>
        <v/>
      </c>
      <c r="H624">
        <f>IF(AutoClaim_Data!D624&lt;=$B$2,IF(AutoClaim_Data!E624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4">
        <f>(F624-H624)^2</f>
        <v/>
      </c>
      <c r="J624">
        <f>--(E624="Validation")</f>
        <v/>
      </c>
    </row>
    <row r="625">
      <c r="D625">
        <f>AutoClaim_Data!A625</f>
        <v/>
      </c>
      <c r="E625">
        <f>AutoClaim_Data!B625</f>
        <v/>
      </c>
      <c r="F625">
        <f>AutoClaim_Data!C625</f>
        <v/>
      </c>
      <c r="G625">
        <f>IF(AutoClaim_Data!D625&lt;=$B$2,AVERAGEIFS(AutoClaim_Data!C2:C3168,AutoClaim_Data!B2:B3168,"Train",AutoClaim_Data!D2:D3168,"&lt;="&amp;$B$2),AVERAGEIFS(AutoClaim_Data!C2:C3168,AutoClaim_Data!B2:B3168,"Train",AutoClaim_Data!D2:D3168,"&gt;"&amp;$B$2))</f>
        <v/>
      </c>
      <c r="H625">
        <f>IF(AutoClaim_Data!D625&lt;=$B$2,IF(AutoClaim_Data!E625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5">
        <f>(F625-H625)^2</f>
        <v/>
      </c>
      <c r="J625">
        <f>--(E625="Validation")</f>
        <v/>
      </c>
    </row>
    <row r="626">
      <c r="D626">
        <f>AutoClaim_Data!A626</f>
        <v/>
      </c>
      <c r="E626">
        <f>AutoClaim_Data!B626</f>
        <v/>
      </c>
      <c r="F626">
        <f>AutoClaim_Data!C626</f>
        <v/>
      </c>
      <c r="G626">
        <f>IF(AutoClaim_Data!D626&lt;=$B$2,AVERAGEIFS(AutoClaim_Data!C2:C3168,AutoClaim_Data!B2:B3168,"Train",AutoClaim_Data!D2:D3168,"&lt;="&amp;$B$2),AVERAGEIFS(AutoClaim_Data!C2:C3168,AutoClaim_Data!B2:B3168,"Train",AutoClaim_Data!D2:D3168,"&gt;"&amp;$B$2))</f>
        <v/>
      </c>
      <c r="H626">
        <f>IF(AutoClaim_Data!D626&lt;=$B$2,IF(AutoClaim_Data!E626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6">
        <f>(F626-H626)^2</f>
        <v/>
      </c>
      <c r="J626">
        <f>--(E626="Validation")</f>
        <v/>
      </c>
    </row>
    <row r="627">
      <c r="D627">
        <f>AutoClaim_Data!A627</f>
        <v/>
      </c>
      <c r="E627">
        <f>AutoClaim_Data!B627</f>
        <v/>
      </c>
      <c r="F627">
        <f>AutoClaim_Data!C627</f>
        <v/>
      </c>
      <c r="G627">
        <f>IF(AutoClaim_Data!D627&lt;=$B$2,AVERAGEIFS(AutoClaim_Data!C2:C3168,AutoClaim_Data!B2:B3168,"Train",AutoClaim_Data!D2:D3168,"&lt;="&amp;$B$2),AVERAGEIFS(AutoClaim_Data!C2:C3168,AutoClaim_Data!B2:B3168,"Train",AutoClaim_Data!D2:D3168,"&gt;"&amp;$B$2))</f>
        <v/>
      </c>
      <c r="H627">
        <f>IF(AutoClaim_Data!D627&lt;=$B$2,IF(AutoClaim_Data!E627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7">
        <f>(F627-H627)^2</f>
        <v/>
      </c>
      <c r="J627">
        <f>--(E627="Validation")</f>
        <v/>
      </c>
    </row>
    <row r="628">
      <c r="D628">
        <f>AutoClaim_Data!A628</f>
        <v/>
      </c>
      <c r="E628">
        <f>AutoClaim_Data!B628</f>
        <v/>
      </c>
      <c r="F628">
        <f>AutoClaim_Data!C628</f>
        <v/>
      </c>
      <c r="G628">
        <f>IF(AutoClaim_Data!D628&lt;=$B$2,AVERAGEIFS(AutoClaim_Data!C2:C3168,AutoClaim_Data!B2:B3168,"Train",AutoClaim_Data!D2:D3168,"&lt;="&amp;$B$2),AVERAGEIFS(AutoClaim_Data!C2:C3168,AutoClaim_Data!B2:B3168,"Train",AutoClaim_Data!D2:D3168,"&gt;"&amp;$B$2))</f>
        <v/>
      </c>
      <c r="H628">
        <f>IF(AutoClaim_Data!D628&lt;=$B$2,IF(AutoClaim_Data!E628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8">
        <f>(F628-H628)^2</f>
        <v/>
      </c>
      <c r="J628">
        <f>--(E628="Validation")</f>
        <v/>
      </c>
    </row>
    <row r="629">
      <c r="D629">
        <f>AutoClaim_Data!A629</f>
        <v/>
      </c>
      <c r="E629">
        <f>AutoClaim_Data!B629</f>
        <v/>
      </c>
      <c r="F629">
        <f>AutoClaim_Data!C629</f>
        <v/>
      </c>
      <c r="G629">
        <f>IF(AutoClaim_Data!D629&lt;=$B$2,AVERAGEIFS(AutoClaim_Data!C2:C3168,AutoClaim_Data!B2:B3168,"Train",AutoClaim_Data!D2:D3168,"&lt;="&amp;$B$2),AVERAGEIFS(AutoClaim_Data!C2:C3168,AutoClaim_Data!B2:B3168,"Train",AutoClaim_Data!D2:D3168,"&gt;"&amp;$B$2))</f>
        <v/>
      </c>
      <c r="H629">
        <f>IF(AutoClaim_Data!D629&lt;=$B$2,IF(AutoClaim_Data!E629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29">
        <f>(F629-H629)^2</f>
        <v/>
      </c>
      <c r="J629">
        <f>--(E629="Validation")</f>
        <v/>
      </c>
    </row>
    <row r="630">
      <c r="D630">
        <f>AutoClaim_Data!A630</f>
        <v/>
      </c>
      <c r="E630">
        <f>AutoClaim_Data!B630</f>
        <v/>
      </c>
      <c r="F630">
        <f>AutoClaim_Data!C630</f>
        <v/>
      </c>
      <c r="G630">
        <f>IF(AutoClaim_Data!D630&lt;=$B$2,AVERAGEIFS(AutoClaim_Data!C2:C3168,AutoClaim_Data!B2:B3168,"Train",AutoClaim_Data!D2:D3168,"&lt;="&amp;$B$2),AVERAGEIFS(AutoClaim_Data!C2:C3168,AutoClaim_Data!B2:B3168,"Train",AutoClaim_Data!D2:D3168,"&gt;"&amp;$B$2))</f>
        <v/>
      </c>
      <c r="H630">
        <f>IF(AutoClaim_Data!D630&lt;=$B$2,IF(AutoClaim_Data!E630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0">
        <f>(F630-H630)^2</f>
        <v/>
      </c>
      <c r="J630">
        <f>--(E630="Validation")</f>
        <v/>
      </c>
    </row>
    <row r="631">
      <c r="D631">
        <f>AutoClaim_Data!A631</f>
        <v/>
      </c>
      <c r="E631">
        <f>AutoClaim_Data!B631</f>
        <v/>
      </c>
      <c r="F631">
        <f>AutoClaim_Data!C631</f>
        <v/>
      </c>
      <c r="G631">
        <f>IF(AutoClaim_Data!D631&lt;=$B$2,AVERAGEIFS(AutoClaim_Data!C2:C3168,AutoClaim_Data!B2:B3168,"Train",AutoClaim_Data!D2:D3168,"&lt;="&amp;$B$2),AVERAGEIFS(AutoClaim_Data!C2:C3168,AutoClaim_Data!B2:B3168,"Train",AutoClaim_Data!D2:D3168,"&gt;"&amp;$B$2))</f>
        <v/>
      </c>
      <c r="H631">
        <f>IF(AutoClaim_Data!D631&lt;=$B$2,IF(AutoClaim_Data!E631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1">
        <f>(F631-H631)^2</f>
        <v/>
      </c>
      <c r="J631">
        <f>--(E631="Validation")</f>
        <v/>
      </c>
    </row>
    <row r="632">
      <c r="D632">
        <f>AutoClaim_Data!A632</f>
        <v/>
      </c>
      <c r="E632">
        <f>AutoClaim_Data!B632</f>
        <v/>
      </c>
      <c r="F632">
        <f>AutoClaim_Data!C632</f>
        <v/>
      </c>
      <c r="G632">
        <f>IF(AutoClaim_Data!D632&lt;=$B$2,AVERAGEIFS(AutoClaim_Data!C2:C3168,AutoClaim_Data!B2:B3168,"Train",AutoClaim_Data!D2:D3168,"&lt;="&amp;$B$2),AVERAGEIFS(AutoClaim_Data!C2:C3168,AutoClaim_Data!B2:B3168,"Train",AutoClaim_Data!D2:D3168,"&gt;"&amp;$B$2))</f>
        <v/>
      </c>
      <c r="H632">
        <f>IF(AutoClaim_Data!D632&lt;=$B$2,IF(AutoClaim_Data!E632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2">
        <f>(F632-H632)^2</f>
        <v/>
      </c>
      <c r="J632">
        <f>--(E632="Validation")</f>
        <v/>
      </c>
    </row>
    <row r="633">
      <c r="D633">
        <f>AutoClaim_Data!A633</f>
        <v/>
      </c>
      <c r="E633">
        <f>AutoClaim_Data!B633</f>
        <v/>
      </c>
      <c r="F633">
        <f>AutoClaim_Data!C633</f>
        <v/>
      </c>
      <c r="G633">
        <f>IF(AutoClaim_Data!D633&lt;=$B$2,AVERAGEIFS(AutoClaim_Data!C2:C3168,AutoClaim_Data!B2:B3168,"Train",AutoClaim_Data!D2:D3168,"&lt;="&amp;$B$2),AVERAGEIFS(AutoClaim_Data!C2:C3168,AutoClaim_Data!B2:B3168,"Train",AutoClaim_Data!D2:D3168,"&gt;"&amp;$B$2))</f>
        <v/>
      </c>
      <c r="H633">
        <f>IF(AutoClaim_Data!D633&lt;=$B$2,IF(AutoClaim_Data!E633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3">
        <f>(F633-H633)^2</f>
        <v/>
      </c>
      <c r="J633">
        <f>--(E633="Validation")</f>
        <v/>
      </c>
    </row>
    <row r="634">
      <c r="D634">
        <f>AutoClaim_Data!A634</f>
        <v/>
      </c>
      <c r="E634">
        <f>AutoClaim_Data!B634</f>
        <v/>
      </c>
      <c r="F634">
        <f>AutoClaim_Data!C634</f>
        <v/>
      </c>
      <c r="G634">
        <f>IF(AutoClaim_Data!D634&lt;=$B$2,AVERAGEIFS(AutoClaim_Data!C2:C3168,AutoClaim_Data!B2:B3168,"Train",AutoClaim_Data!D2:D3168,"&lt;="&amp;$B$2),AVERAGEIFS(AutoClaim_Data!C2:C3168,AutoClaim_Data!B2:B3168,"Train",AutoClaim_Data!D2:D3168,"&gt;"&amp;$B$2))</f>
        <v/>
      </c>
      <c r="H634">
        <f>IF(AutoClaim_Data!D634&lt;=$B$2,IF(AutoClaim_Data!E634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4">
        <f>(F634-H634)^2</f>
        <v/>
      </c>
      <c r="J634">
        <f>--(E634="Validation")</f>
        <v/>
      </c>
    </row>
    <row r="635">
      <c r="D635">
        <f>AutoClaim_Data!A635</f>
        <v/>
      </c>
      <c r="E635">
        <f>AutoClaim_Data!B635</f>
        <v/>
      </c>
      <c r="F635">
        <f>AutoClaim_Data!C635</f>
        <v/>
      </c>
      <c r="G635">
        <f>IF(AutoClaim_Data!D635&lt;=$B$2,AVERAGEIFS(AutoClaim_Data!C2:C3168,AutoClaim_Data!B2:B3168,"Train",AutoClaim_Data!D2:D3168,"&lt;="&amp;$B$2),AVERAGEIFS(AutoClaim_Data!C2:C3168,AutoClaim_Data!B2:B3168,"Train",AutoClaim_Data!D2:D3168,"&gt;"&amp;$B$2))</f>
        <v/>
      </c>
      <c r="H635">
        <f>IF(AutoClaim_Data!D635&lt;=$B$2,IF(AutoClaim_Data!E635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5">
        <f>(F635-H635)^2</f>
        <v/>
      </c>
      <c r="J635">
        <f>--(E635="Validation")</f>
        <v/>
      </c>
    </row>
    <row r="636">
      <c r="D636">
        <f>AutoClaim_Data!A636</f>
        <v/>
      </c>
      <c r="E636">
        <f>AutoClaim_Data!B636</f>
        <v/>
      </c>
      <c r="F636">
        <f>AutoClaim_Data!C636</f>
        <v/>
      </c>
      <c r="G636">
        <f>IF(AutoClaim_Data!D636&lt;=$B$2,AVERAGEIFS(AutoClaim_Data!C2:C3168,AutoClaim_Data!B2:B3168,"Train",AutoClaim_Data!D2:D3168,"&lt;="&amp;$B$2),AVERAGEIFS(AutoClaim_Data!C2:C3168,AutoClaim_Data!B2:B3168,"Train",AutoClaim_Data!D2:D3168,"&gt;"&amp;$B$2))</f>
        <v/>
      </c>
      <c r="H636">
        <f>IF(AutoClaim_Data!D636&lt;=$B$2,IF(AutoClaim_Data!E636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6">
        <f>(F636-H636)^2</f>
        <v/>
      </c>
      <c r="J636">
        <f>--(E636="Validation")</f>
        <v/>
      </c>
    </row>
    <row r="637">
      <c r="D637">
        <f>AutoClaim_Data!A637</f>
        <v/>
      </c>
      <c r="E637">
        <f>AutoClaim_Data!B637</f>
        <v/>
      </c>
      <c r="F637">
        <f>AutoClaim_Data!C637</f>
        <v/>
      </c>
      <c r="G637">
        <f>IF(AutoClaim_Data!D637&lt;=$B$2,AVERAGEIFS(AutoClaim_Data!C2:C3168,AutoClaim_Data!B2:B3168,"Train",AutoClaim_Data!D2:D3168,"&lt;="&amp;$B$2),AVERAGEIFS(AutoClaim_Data!C2:C3168,AutoClaim_Data!B2:B3168,"Train",AutoClaim_Data!D2:D3168,"&gt;"&amp;$B$2))</f>
        <v/>
      </c>
      <c r="H637">
        <f>IF(AutoClaim_Data!D637&lt;=$B$2,IF(AutoClaim_Data!E637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7">
        <f>(F637-H637)^2</f>
        <v/>
      </c>
      <c r="J637">
        <f>--(E637="Validation")</f>
        <v/>
      </c>
    </row>
    <row r="638">
      <c r="D638">
        <f>AutoClaim_Data!A638</f>
        <v/>
      </c>
      <c r="E638">
        <f>AutoClaim_Data!B638</f>
        <v/>
      </c>
      <c r="F638">
        <f>AutoClaim_Data!C638</f>
        <v/>
      </c>
      <c r="G638">
        <f>IF(AutoClaim_Data!D638&lt;=$B$2,AVERAGEIFS(AutoClaim_Data!C2:C3168,AutoClaim_Data!B2:B3168,"Train",AutoClaim_Data!D2:D3168,"&lt;="&amp;$B$2),AVERAGEIFS(AutoClaim_Data!C2:C3168,AutoClaim_Data!B2:B3168,"Train",AutoClaim_Data!D2:D3168,"&gt;"&amp;$B$2))</f>
        <v/>
      </c>
      <c r="H638">
        <f>IF(AutoClaim_Data!D638&lt;=$B$2,IF(AutoClaim_Data!E638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8">
        <f>(F638-H638)^2</f>
        <v/>
      </c>
      <c r="J638">
        <f>--(E638="Validation")</f>
        <v/>
      </c>
    </row>
    <row r="639">
      <c r="D639">
        <f>AutoClaim_Data!A639</f>
        <v/>
      </c>
      <c r="E639">
        <f>AutoClaim_Data!B639</f>
        <v/>
      </c>
      <c r="F639">
        <f>AutoClaim_Data!C639</f>
        <v/>
      </c>
      <c r="G639">
        <f>IF(AutoClaim_Data!D639&lt;=$B$2,AVERAGEIFS(AutoClaim_Data!C2:C3168,AutoClaim_Data!B2:B3168,"Train",AutoClaim_Data!D2:D3168,"&lt;="&amp;$B$2),AVERAGEIFS(AutoClaim_Data!C2:C3168,AutoClaim_Data!B2:B3168,"Train",AutoClaim_Data!D2:D3168,"&gt;"&amp;$B$2))</f>
        <v/>
      </c>
      <c r="H639">
        <f>IF(AutoClaim_Data!D639&lt;=$B$2,IF(AutoClaim_Data!E639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39">
        <f>(F639-H639)^2</f>
        <v/>
      </c>
      <c r="J639">
        <f>--(E639="Validation")</f>
        <v/>
      </c>
    </row>
    <row r="640">
      <c r="D640">
        <f>AutoClaim_Data!A640</f>
        <v/>
      </c>
      <c r="E640">
        <f>AutoClaim_Data!B640</f>
        <v/>
      </c>
      <c r="F640">
        <f>AutoClaim_Data!C640</f>
        <v/>
      </c>
      <c r="G640">
        <f>IF(AutoClaim_Data!D640&lt;=$B$2,AVERAGEIFS(AutoClaim_Data!C2:C3168,AutoClaim_Data!B2:B3168,"Train",AutoClaim_Data!D2:D3168,"&lt;="&amp;$B$2),AVERAGEIFS(AutoClaim_Data!C2:C3168,AutoClaim_Data!B2:B3168,"Train",AutoClaim_Data!D2:D3168,"&gt;"&amp;$B$2))</f>
        <v/>
      </c>
      <c r="H640">
        <f>IF(AutoClaim_Data!D640&lt;=$B$2,IF(AutoClaim_Data!E640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0">
        <f>(F640-H640)^2</f>
        <v/>
      </c>
      <c r="J640">
        <f>--(E640="Validation")</f>
        <v/>
      </c>
    </row>
    <row r="641">
      <c r="D641">
        <f>AutoClaim_Data!A641</f>
        <v/>
      </c>
      <c r="E641">
        <f>AutoClaim_Data!B641</f>
        <v/>
      </c>
      <c r="F641">
        <f>AutoClaim_Data!C641</f>
        <v/>
      </c>
      <c r="G641">
        <f>IF(AutoClaim_Data!D641&lt;=$B$2,AVERAGEIFS(AutoClaim_Data!C2:C3168,AutoClaim_Data!B2:B3168,"Train",AutoClaim_Data!D2:D3168,"&lt;="&amp;$B$2),AVERAGEIFS(AutoClaim_Data!C2:C3168,AutoClaim_Data!B2:B3168,"Train",AutoClaim_Data!D2:D3168,"&gt;"&amp;$B$2))</f>
        <v/>
      </c>
      <c r="H641">
        <f>IF(AutoClaim_Data!D641&lt;=$B$2,IF(AutoClaim_Data!E641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1">
        <f>(F641-H641)^2</f>
        <v/>
      </c>
      <c r="J641">
        <f>--(E641="Validation")</f>
        <v/>
      </c>
    </row>
    <row r="642">
      <c r="D642">
        <f>AutoClaim_Data!A642</f>
        <v/>
      </c>
      <c r="E642">
        <f>AutoClaim_Data!B642</f>
        <v/>
      </c>
      <c r="F642">
        <f>AutoClaim_Data!C642</f>
        <v/>
      </c>
      <c r="G642">
        <f>IF(AutoClaim_Data!D642&lt;=$B$2,AVERAGEIFS(AutoClaim_Data!C2:C3168,AutoClaim_Data!B2:B3168,"Train",AutoClaim_Data!D2:D3168,"&lt;="&amp;$B$2),AVERAGEIFS(AutoClaim_Data!C2:C3168,AutoClaim_Data!B2:B3168,"Train",AutoClaim_Data!D2:D3168,"&gt;"&amp;$B$2))</f>
        <v/>
      </c>
      <c r="H642">
        <f>IF(AutoClaim_Data!D642&lt;=$B$2,IF(AutoClaim_Data!E642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2">
        <f>(F642-H642)^2</f>
        <v/>
      </c>
      <c r="J642">
        <f>--(E642="Validation")</f>
        <v/>
      </c>
    </row>
    <row r="643">
      <c r="D643">
        <f>AutoClaim_Data!A643</f>
        <v/>
      </c>
      <c r="E643">
        <f>AutoClaim_Data!B643</f>
        <v/>
      </c>
      <c r="F643">
        <f>AutoClaim_Data!C643</f>
        <v/>
      </c>
      <c r="G643">
        <f>IF(AutoClaim_Data!D643&lt;=$B$2,AVERAGEIFS(AutoClaim_Data!C2:C3168,AutoClaim_Data!B2:B3168,"Train",AutoClaim_Data!D2:D3168,"&lt;="&amp;$B$2),AVERAGEIFS(AutoClaim_Data!C2:C3168,AutoClaim_Data!B2:B3168,"Train",AutoClaim_Data!D2:D3168,"&gt;"&amp;$B$2))</f>
        <v/>
      </c>
      <c r="H643">
        <f>IF(AutoClaim_Data!D643&lt;=$B$2,IF(AutoClaim_Data!E643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3">
        <f>(F643-H643)^2</f>
        <v/>
      </c>
      <c r="J643">
        <f>--(E643="Validation")</f>
        <v/>
      </c>
    </row>
    <row r="644">
      <c r="D644">
        <f>AutoClaim_Data!A644</f>
        <v/>
      </c>
      <c r="E644">
        <f>AutoClaim_Data!B644</f>
        <v/>
      </c>
      <c r="F644">
        <f>AutoClaim_Data!C644</f>
        <v/>
      </c>
      <c r="G644">
        <f>IF(AutoClaim_Data!D644&lt;=$B$2,AVERAGEIFS(AutoClaim_Data!C2:C3168,AutoClaim_Data!B2:B3168,"Train",AutoClaim_Data!D2:D3168,"&lt;="&amp;$B$2),AVERAGEIFS(AutoClaim_Data!C2:C3168,AutoClaim_Data!B2:B3168,"Train",AutoClaim_Data!D2:D3168,"&gt;"&amp;$B$2))</f>
        <v/>
      </c>
      <c r="H644">
        <f>IF(AutoClaim_Data!D644&lt;=$B$2,IF(AutoClaim_Data!E644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4">
        <f>(F644-H644)^2</f>
        <v/>
      </c>
      <c r="J644">
        <f>--(E644="Validation")</f>
        <v/>
      </c>
    </row>
    <row r="645">
      <c r="D645">
        <f>AutoClaim_Data!A645</f>
        <v/>
      </c>
      <c r="E645">
        <f>AutoClaim_Data!B645</f>
        <v/>
      </c>
      <c r="F645">
        <f>AutoClaim_Data!C645</f>
        <v/>
      </c>
      <c r="G645">
        <f>IF(AutoClaim_Data!D645&lt;=$B$2,AVERAGEIFS(AutoClaim_Data!C2:C3168,AutoClaim_Data!B2:B3168,"Train",AutoClaim_Data!D2:D3168,"&lt;="&amp;$B$2),AVERAGEIFS(AutoClaim_Data!C2:C3168,AutoClaim_Data!B2:B3168,"Train",AutoClaim_Data!D2:D3168,"&gt;"&amp;$B$2))</f>
        <v/>
      </c>
      <c r="H645">
        <f>IF(AutoClaim_Data!D645&lt;=$B$2,IF(AutoClaim_Data!E645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5">
        <f>(F645-H645)^2</f>
        <v/>
      </c>
      <c r="J645">
        <f>--(E645="Validation")</f>
        <v/>
      </c>
    </row>
    <row r="646">
      <c r="D646">
        <f>AutoClaim_Data!A646</f>
        <v/>
      </c>
      <c r="E646">
        <f>AutoClaim_Data!B646</f>
        <v/>
      </c>
      <c r="F646">
        <f>AutoClaim_Data!C646</f>
        <v/>
      </c>
      <c r="G646">
        <f>IF(AutoClaim_Data!D646&lt;=$B$2,AVERAGEIFS(AutoClaim_Data!C2:C3168,AutoClaim_Data!B2:B3168,"Train",AutoClaim_Data!D2:D3168,"&lt;="&amp;$B$2),AVERAGEIFS(AutoClaim_Data!C2:C3168,AutoClaim_Data!B2:B3168,"Train",AutoClaim_Data!D2:D3168,"&gt;"&amp;$B$2))</f>
        <v/>
      </c>
      <c r="H646">
        <f>IF(AutoClaim_Data!D646&lt;=$B$2,IF(AutoClaim_Data!E646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6">
        <f>(F646-H646)^2</f>
        <v/>
      </c>
      <c r="J646">
        <f>--(E646="Validation")</f>
        <v/>
      </c>
    </row>
    <row r="647">
      <c r="D647">
        <f>AutoClaim_Data!A647</f>
        <v/>
      </c>
      <c r="E647">
        <f>AutoClaim_Data!B647</f>
        <v/>
      </c>
      <c r="F647">
        <f>AutoClaim_Data!C647</f>
        <v/>
      </c>
      <c r="G647">
        <f>IF(AutoClaim_Data!D647&lt;=$B$2,AVERAGEIFS(AutoClaim_Data!C2:C3168,AutoClaim_Data!B2:B3168,"Train",AutoClaim_Data!D2:D3168,"&lt;="&amp;$B$2),AVERAGEIFS(AutoClaim_Data!C2:C3168,AutoClaim_Data!B2:B3168,"Train",AutoClaim_Data!D2:D3168,"&gt;"&amp;$B$2))</f>
        <v/>
      </c>
      <c r="H647">
        <f>IF(AutoClaim_Data!D647&lt;=$B$2,IF(AutoClaim_Data!E647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7">
        <f>(F647-H647)^2</f>
        <v/>
      </c>
      <c r="J647">
        <f>--(E647="Validation")</f>
        <v/>
      </c>
    </row>
    <row r="648">
      <c r="D648">
        <f>AutoClaim_Data!A648</f>
        <v/>
      </c>
      <c r="E648">
        <f>AutoClaim_Data!B648</f>
        <v/>
      </c>
      <c r="F648">
        <f>AutoClaim_Data!C648</f>
        <v/>
      </c>
      <c r="G648">
        <f>IF(AutoClaim_Data!D648&lt;=$B$2,AVERAGEIFS(AutoClaim_Data!C2:C3168,AutoClaim_Data!B2:B3168,"Train",AutoClaim_Data!D2:D3168,"&lt;="&amp;$B$2),AVERAGEIFS(AutoClaim_Data!C2:C3168,AutoClaim_Data!B2:B3168,"Train",AutoClaim_Data!D2:D3168,"&gt;"&amp;$B$2))</f>
        <v/>
      </c>
      <c r="H648">
        <f>IF(AutoClaim_Data!D648&lt;=$B$2,IF(AutoClaim_Data!E648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8">
        <f>(F648-H648)^2</f>
        <v/>
      </c>
      <c r="J648">
        <f>--(E648="Validation")</f>
        <v/>
      </c>
    </row>
    <row r="649">
      <c r="D649">
        <f>AutoClaim_Data!A649</f>
        <v/>
      </c>
      <c r="E649">
        <f>AutoClaim_Data!B649</f>
        <v/>
      </c>
      <c r="F649">
        <f>AutoClaim_Data!C649</f>
        <v/>
      </c>
      <c r="G649">
        <f>IF(AutoClaim_Data!D649&lt;=$B$2,AVERAGEIFS(AutoClaim_Data!C2:C3168,AutoClaim_Data!B2:B3168,"Train",AutoClaim_Data!D2:D3168,"&lt;="&amp;$B$2),AVERAGEIFS(AutoClaim_Data!C2:C3168,AutoClaim_Data!B2:B3168,"Train",AutoClaim_Data!D2:D3168,"&gt;"&amp;$B$2))</f>
        <v/>
      </c>
      <c r="H649">
        <f>IF(AutoClaim_Data!D649&lt;=$B$2,IF(AutoClaim_Data!E649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49">
        <f>(F649-H649)^2</f>
        <v/>
      </c>
      <c r="J649">
        <f>--(E649="Validation")</f>
        <v/>
      </c>
    </row>
    <row r="650">
      <c r="D650">
        <f>AutoClaim_Data!A650</f>
        <v/>
      </c>
      <c r="E650">
        <f>AutoClaim_Data!B650</f>
        <v/>
      </c>
      <c r="F650">
        <f>AutoClaim_Data!C650</f>
        <v/>
      </c>
      <c r="G650">
        <f>IF(AutoClaim_Data!D650&lt;=$B$2,AVERAGEIFS(AutoClaim_Data!C2:C3168,AutoClaim_Data!B2:B3168,"Train",AutoClaim_Data!D2:D3168,"&lt;="&amp;$B$2),AVERAGEIFS(AutoClaim_Data!C2:C3168,AutoClaim_Data!B2:B3168,"Train",AutoClaim_Data!D2:D3168,"&gt;"&amp;$B$2))</f>
        <v/>
      </c>
      <c r="H650">
        <f>IF(AutoClaim_Data!D650&lt;=$B$2,IF(AutoClaim_Data!E650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0">
        <f>(F650-H650)^2</f>
        <v/>
      </c>
      <c r="J650">
        <f>--(E650="Validation")</f>
        <v/>
      </c>
    </row>
    <row r="651">
      <c r="D651">
        <f>AutoClaim_Data!A651</f>
        <v/>
      </c>
      <c r="E651">
        <f>AutoClaim_Data!B651</f>
        <v/>
      </c>
      <c r="F651">
        <f>AutoClaim_Data!C651</f>
        <v/>
      </c>
      <c r="G651">
        <f>IF(AutoClaim_Data!D651&lt;=$B$2,AVERAGEIFS(AutoClaim_Data!C2:C3168,AutoClaim_Data!B2:B3168,"Train",AutoClaim_Data!D2:D3168,"&lt;="&amp;$B$2),AVERAGEIFS(AutoClaim_Data!C2:C3168,AutoClaim_Data!B2:B3168,"Train",AutoClaim_Data!D2:D3168,"&gt;"&amp;$B$2))</f>
        <v/>
      </c>
      <c r="H651">
        <f>IF(AutoClaim_Data!D651&lt;=$B$2,IF(AutoClaim_Data!E651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1">
        <f>(F651-H651)^2</f>
        <v/>
      </c>
      <c r="J651">
        <f>--(E651="Validation")</f>
        <v/>
      </c>
    </row>
    <row r="652">
      <c r="D652">
        <f>AutoClaim_Data!A652</f>
        <v/>
      </c>
      <c r="E652">
        <f>AutoClaim_Data!B652</f>
        <v/>
      </c>
      <c r="F652">
        <f>AutoClaim_Data!C652</f>
        <v/>
      </c>
      <c r="G652">
        <f>IF(AutoClaim_Data!D652&lt;=$B$2,AVERAGEIFS(AutoClaim_Data!C2:C3168,AutoClaim_Data!B2:B3168,"Train",AutoClaim_Data!D2:D3168,"&lt;="&amp;$B$2),AVERAGEIFS(AutoClaim_Data!C2:C3168,AutoClaim_Data!B2:B3168,"Train",AutoClaim_Data!D2:D3168,"&gt;"&amp;$B$2))</f>
        <v/>
      </c>
      <c r="H652">
        <f>IF(AutoClaim_Data!D652&lt;=$B$2,IF(AutoClaim_Data!E652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2">
        <f>(F652-H652)^2</f>
        <v/>
      </c>
      <c r="J652">
        <f>--(E652="Validation")</f>
        <v/>
      </c>
    </row>
    <row r="653">
      <c r="D653">
        <f>AutoClaim_Data!A653</f>
        <v/>
      </c>
      <c r="E653">
        <f>AutoClaim_Data!B653</f>
        <v/>
      </c>
      <c r="F653">
        <f>AutoClaim_Data!C653</f>
        <v/>
      </c>
      <c r="G653">
        <f>IF(AutoClaim_Data!D653&lt;=$B$2,AVERAGEIFS(AutoClaim_Data!C2:C3168,AutoClaim_Data!B2:B3168,"Train",AutoClaim_Data!D2:D3168,"&lt;="&amp;$B$2),AVERAGEIFS(AutoClaim_Data!C2:C3168,AutoClaim_Data!B2:B3168,"Train",AutoClaim_Data!D2:D3168,"&gt;"&amp;$B$2))</f>
        <v/>
      </c>
      <c r="H653">
        <f>IF(AutoClaim_Data!D653&lt;=$B$2,IF(AutoClaim_Data!E653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3">
        <f>(F653-H653)^2</f>
        <v/>
      </c>
      <c r="J653">
        <f>--(E653="Validation")</f>
        <v/>
      </c>
    </row>
    <row r="654">
      <c r="D654">
        <f>AutoClaim_Data!A654</f>
        <v/>
      </c>
      <c r="E654">
        <f>AutoClaim_Data!B654</f>
        <v/>
      </c>
      <c r="F654">
        <f>AutoClaim_Data!C654</f>
        <v/>
      </c>
      <c r="G654">
        <f>IF(AutoClaim_Data!D654&lt;=$B$2,AVERAGEIFS(AutoClaim_Data!C2:C3168,AutoClaim_Data!B2:B3168,"Train",AutoClaim_Data!D2:D3168,"&lt;="&amp;$B$2),AVERAGEIFS(AutoClaim_Data!C2:C3168,AutoClaim_Data!B2:B3168,"Train",AutoClaim_Data!D2:D3168,"&gt;"&amp;$B$2))</f>
        <v/>
      </c>
      <c r="H654">
        <f>IF(AutoClaim_Data!D654&lt;=$B$2,IF(AutoClaim_Data!E654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4">
        <f>(F654-H654)^2</f>
        <v/>
      </c>
      <c r="J654">
        <f>--(E654="Validation")</f>
        <v/>
      </c>
    </row>
    <row r="655">
      <c r="D655">
        <f>AutoClaim_Data!A655</f>
        <v/>
      </c>
      <c r="E655">
        <f>AutoClaim_Data!B655</f>
        <v/>
      </c>
      <c r="F655">
        <f>AutoClaim_Data!C655</f>
        <v/>
      </c>
      <c r="G655">
        <f>IF(AutoClaim_Data!D655&lt;=$B$2,AVERAGEIFS(AutoClaim_Data!C2:C3168,AutoClaim_Data!B2:B3168,"Train",AutoClaim_Data!D2:D3168,"&lt;="&amp;$B$2),AVERAGEIFS(AutoClaim_Data!C2:C3168,AutoClaim_Data!B2:B3168,"Train",AutoClaim_Data!D2:D3168,"&gt;"&amp;$B$2))</f>
        <v/>
      </c>
      <c r="H655">
        <f>IF(AutoClaim_Data!D655&lt;=$B$2,IF(AutoClaim_Data!E655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5">
        <f>(F655-H655)^2</f>
        <v/>
      </c>
      <c r="J655">
        <f>--(E655="Validation")</f>
        <v/>
      </c>
    </row>
    <row r="656">
      <c r="D656">
        <f>AutoClaim_Data!A656</f>
        <v/>
      </c>
      <c r="E656">
        <f>AutoClaim_Data!B656</f>
        <v/>
      </c>
      <c r="F656">
        <f>AutoClaim_Data!C656</f>
        <v/>
      </c>
      <c r="G656">
        <f>IF(AutoClaim_Data!D656&lt;=$B$2,AVERAGEIFS(AutoClaim_Data!C2:C3168,AutoClaim_Data!B2:B3168,"Train",AutoClaim_Data!D2:D3168,"&lt;="&amp;$B$2),AVERAGEIFS(AutoClaim_Data!C2:C3168,AutoClaim_Data!B2:B3168,"Train",AutoClaim_Data!D2:D3168,"&gt;"&amp;$B$2))</f>
        <v/>
      </c>
      <c r="H656">
        <f>IF(AutoClaim_Data!D656&lt;=$B$2,IF(AutoClaim_Data!E656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6">
        <f>(F656-H656)^2</f>
        <v/>
      </c>
      <c r="J656">
        <f>--(E656="Validation")</f>
        <v/>
      </c>
    </row>
    <row r="657">
      <c r="D657">
        <f>AutoClaim_Data!A657</f>
        <v/>
      </c>
      <c r="E657">
        <f>AutoClaim_Data!B657</f>
        <v/>
      </c>
      <c r="F657">
        <f>AutoClaim_Data!C657</f>
        <v/>
      </c>
      <c r="G657">
        <f>IF(AutoClaim_Data!D657&lt;=$B$2,AVERAGEIFS(AutoClaim_Data!C2:C3168,AutoClaim_Data!B2:B3168,"Train",AutoClaim_Data!D2:D3168,"&lt;="&amp;$B$2),AVERAGEIFS(AutoClaim_Data!C2:C3168,AutoClaim_Data!B2:B3168,"Train",AutoClaim_Data!D2:D3168,"&gt;"&amp;$B$2))</f>
        <v/>
      </c>
      <c r="H657">
        <f>IF(AutoClaim_Data!D657&lt;=$B$2,IF(AutoClaim_Data!E657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7">
        <f>(F657-H657)^2</f>
        <v/>
      </c>
      <c r="J657">
        <f>--(E657="Validation")</f>
        <v/>
      </c>
    </row>
    <row r="658">
      <c r="D658">
        <f>AutoClaim_Data!A658</f>
        <v/>
      </c>
      <c r="E658">
        <f>AutoClaim_Data!B658</f>
        <v/>
      </c>
      <c r="F658">
        <f>AutoClaim_Data!C658</f>
        <v/>
      </c>
      <c r="G658">
        <f>IF(AutoClaim_Data!D658&lt;=$B$2,AVERAGEIFS(AutoClaim_Data!C2:C3168,AutoClaim_Data!B2:B3168,"Train",AutoClaim_Data!D2:D3168,"&lt;="&amp;$B$2),AVERAGEIFS(AutoClaim_Data!C2:C3168,AutoClaim_Data!B2:B3168,"Train",AutoClaim_Data!D2:D3168,"&gt;"&amp;$B$2))</f>
        <v/>
      </c>
      <c r="H658">
        <f>IF(AutoClaim_Data!D658&lt;=$B$2,IF(AutoClaim_Data!E658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8">
        <f>(F658-H658)^2</f>
        <v/>
      </c>
      <c r="J658">
        <f>--(E658="Validation")</f>
        <v/>
      </c>
    </row>
    <row r="659">
      <c r="D659">
        <f>AutoClaim_Data!A659</f>
        <v/>
      </c>
      <c r="E659">
        <f>AutoClaim_Data!B659</f>
        <v/>
      </c>
      <c r="F659">
        <f>AutoClaim_Data!C659</f>
        <v/>
      </c>
      <c r="G659">
        <f>IF(AutoClaim_Data!D659&lt;=$B$2,AVERAGEIFS(AutoClaim_Data!C2:C3168,AutoClaim_Data!B2:B3168,"Train",AutoClaim_Data!D2:D3168,"&lt;="&amp;$B$2),AVERAGEIFS(AutoClaim_Data!C2:C3168,AutoClaim_Data!B2:B3168,"Train",AutoClaim_Data!D2:D3168,"&gt;"&amp;$B$2))</f>
        <v/>
      </c>
      <c r="H659">
        <f>IF(AutoClaim_Data!D659&lt;=$B$2,IF(AutoClaim_Data!E659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59">
        <f>(F659-H659)^2</f>
        <v/>
      </c>
      <c r="J659">
        <f>--(E659="Validation")</f>
        <v/>
      </c>
    </row>
    <row r="660">
      <c r="D660">
        <f>AutoClaim_Data!A660</f>
        <v/>
      </c>
      <c r="E660">
        <f>AutoClaim_Data!B660</f>
        <v/>
      </c>
      <c r="F660">
        <f>AutoClaim_Data!C660</f>
        <v/>
      </c>
      <c r="G660">
        <f>IF(AutoClaim_Data!D660&lt;=$B$2,AVERAGEIFS(AutoClaim_Data!C2:C3168,AutoClaim_Data!B2:B3168,"Train",AutoClaim_Data!D2:D3168,"&lt;="&amp;$B$2),AVERAGEIFS(AutoClaim_Data!C2:C3168,AutoClaim_Data!B2:B3168,"Train",AutoClaim_Data!D2:D3168,"&gt;"&amp;$B$2))</f>
        <v/>
      </c>
      <c r="H660">
        <f>IF(AutoClaim_Data!D660&lt;=$B$2,IF(AutoClaim_Data!E660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0">
        <f>(F660-H660)^2</f>
        <v/>
      </c>
      <c r="J660">
        <f>--(E660="Validation")</f>
        <v/>
      </c>
    </row>
    <row r="661">
      <c r="D661">
        <f>AutoClaim_Data!A661</f>
        <v/>
      </c>
      <c r="E661">
        <f>AutoClaim_Data!B661</f>
        <v/>
      </c>
      <c r="F661">
        <f>AutoClaim_Data!C661</f>
        <v/>
      </c>
      <c r="G661">
        <f>IF(AutoClaim_Data!D661&lt;=$B$2,AVERAGEIFS(AutoClaim_Data!C2:C3168,AutoClaim_Data!B2:B3168,"Train",AutoClaim_Data!D2:D3168,"&lt;="&amp;$B$2),AVERAGEIFS(AutoClaim_Data!C2:C3168,AutoClaim_Data!B2:B3168,"Train",AutoClaim_Data!D2:D3168,"&gt;"&amp;$B$2))</f>
        <v/>
      </c>
      <c r="H661">
        <f>IF(AutoClaim_Data!D661&lt;=$B$2,IF(AutoClaim_Data!E661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1">
        <f>(F661-H661)^2</f>
        <v/>
      </c>
      <c r="J661">
        <f>--(E661="Validation")</f>
        <v/>
      </c>
    </row>
    <row r="662">
      <c r="D662">
        <f>AutoClaim_Data!A662</f>
        <v/>
      </c>
      <c r="E662">
        <f>AutoClaim_Data!B662</f>
        <v/>
      </c>
      <c r="F662">
        <f>AutoClaim_Data!C662</f>
        <v/>
      </c>
      <c r="G662">
        <f>IF(AutoClaim_Data!D662&lt;=$B$2,AVERAGEIFS(AutoClaim_Data!C2:C3168,AutoClaim_Data!B2:B3168,"Train",AutoClaim_Data!D2:D3168,"&lt;="&amp;$B$2),AVERAGEIFS(AutoClaim_Data!C2:C3168,AutoClaim_Data!B2:B3168,"Train",AutoClaim_Data!D2:D3168,"&gt;"&amp;$B$2))</f>
        <v/>
      </c>
      <c r="H662">
        <f>IF(AutoClaim_Data!D662&lt;=$B$2,IF(AutoClaim_Data!E662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2">
        <f>(F662-H662)^2</f>
        <v/>
      </c>
      <c r="J662">
        <f>--(E662="Validation")</f>
        <v/>
      </c>
    </row>
    <row r="663">
      <c r="D663">
        <f>AutoClaim_Data!A663</f>
        <v/>
      </c>
      <c r="E663">
        <f>AutoClaim_Data!B663</f>
        <v/>
      </c>
      <c r="F663">
        <f>AutoClaim_Data!C663</f>
        <v/>
      </c>
      <c r="G663">
        <f>IF(AutoClaim_Data!D663&lt;=$B$2,AVERAGEIFS(AutoClaim_Data!C2:C3168,AutoClaim_Data!B2:B3168,"Train",AutoClaim_Data!D2:D3168,"&lt;="&amp;$B$2),AVERAGEIFS(AutoClaim_Data!C2:C3168,AutoClaim_Data!B2:B3168,"Train",AutoClaim_Data!D2:D3168,"&gt;"&amp;$B$2))</f>
        <v/>
      </c>
      <c r="H663">
        <f>IF(AutoClaim_Data!D663&lt;=$B$2,IF(AutoClaim_Data!E663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3">
        <f>(F663-H663)^2</f>
        <v/>
      </c>
      <c r="J663">
        <f>--(E663="Validation")</f>
        <v/>
      </c>
    </row>
    <row r="664">
      <c r="D664">
        <f>AutoClaim_Data!A664</f>
        <v/>
      </c>
      <c r="E664">
        <f>AutoClaim_Data!B664</f>
        <v/>
      </c>
      <c r="F664">
        <f>AutoClaim_Data!C664</f>
        <v/>
      </c>
      <c r="G664">
        <f>IF(AutoClaim_Data!D664&lt;=$B$2,AVERAGEIFS(AutoClaim_Data!C2:C3168,AutoClaim_Data!B2:B3168,"Train",AutoClaim_Data!D2:D3168,"&lt;="&amp;$B$2),AVERAGEIFS(AutoClaim_Data!C2:C3168,AutoClaim_Data!B2:B3168,"Train",AutoClaim_Data!D2:D3168,"&gt;"&amp;$B$2))</f>
        <v/>
      </c>
      <c r="H664">
        <f>IF(AutoClaim_Data!D664&lt;=$B$2,IF(AutoClaim_Data!E664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4">
        <f>(F664-H664)^2</f>
        <v/>
      </c>
      <c r="J664">
        <f>--(E664="Validation")</f>
        <v/>
      </c>
    </row>
    <row r="665">
      <c r="D665">
        <f>AutoClaim_Data!A665</f>
        <v/>
      </c>
      <c r="E665">
        <f>AutoClaim_Data!B665</f>
        <v/>
      </c>
      <c r="F665">
        <f>AutoClaim_Data!C665</f>
        <v/>
      </c>
      <c r="G665">
        <f>IF(AutoClaim_Data!D665&lt;=$B$2,AVERAGEIFS(AutoClaim_Data!C2:C3168,AutoClaim_Data!B2:B3168,"Train",AutoClaim_Data!D2:D3168,"&lt;="&amp;$B$2),AVERAGEIFS(AutoClaim_Data!C2:C3168,AutoClaim_Data!B2:B3168,"Train",AutoClaim_Data!D2:D3168,"&gt;"&amp;$B$2))</f>
        <v/>
      </c>
      <c r="H665">
        <f>IF(AutoClaim_Data!D665&lt;=$B$2,IF(AutoClaim_Data!E665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5">
        <f>(F665-H665)^2</f>
        <v/>
      </c>
      <c r="J665">
        <f>--(E665="Validation")</f>
        <v/>
      </c>
    </row>
    <row r="666">
      <c r="D666">
        <f>AutoClaim_Data!A666</f>
        <v/>
      </c>
      <c r="E666">
        <f>AutoClaim_Data!B666</f>
        <v/>
      </c>
      <c r="F666">
        <f>AutoClaim_Data!C666</f>
        <v/>
      </c>
      <c r="G666">
        <f>IF(AutoClaim_Data!D666&lt;=$B$2,AVERAGEIFS(AutoClaim_Data!C2:C3168,AutoClaim_Data!B2:B3168,"Train",AutoClaim_Data!D2:D3168,"&lt;="&amp;$B$2),AVERAGEIFS(AutoClaim_Data!C2:C3168,AutoClaim_Data!B2:B3168,"Train",AutoClaim_Data!D2:D3168,"&gt;"&amp;$B$2))</f>
        <v/>
      </c>
      <c r="H666">
        <f>IF(AutoClaim_Data!D666&lt;=$B$2,IF(AutoClaim_Data!E666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6">
        <f>(F666-H666)^2</f>
        <v/>
      </c>
      <c r="J666">
        <f>--(E666="Validation")</f>
        <v/>
      </c>
    </row>
    <row r="667">
      <c r="D667">
        <f>AutoClaim_Data!A667</f>
        <v/>
      </c>
      <c r="E667">
        <f>AutoClaim_Data!B667</f>
        <v/>
      </c>
      <c r="F667">
        <f>AutoClaim_Data!C667</f>
        <v/>
      </c>
      <c r="G667">
        <f>IF(AutoClaim_Data!D667&lt;=$B$2,AVERAGEIFS(AutoClaim_Data!C2:C3168,AutoClaim_Data!B2:B3168,"Train",AutoClaim_Data!D2:D3168,"&lt;="&amp;$B$2),AVERAGEIFS(AutoClaim_Data!C2:C3168,AutoClaim_Data!B2:B3168,"Train",AutoClaim_Data!D2:D3168,"&gt;"&amp;$B$2))</f>
        <v/>
      </c>
      <c r="H667">
        <f>IF(AutoClaim_Data!D667&lt;=$B$2,IF(AutoClaim_Data!E667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7">
        <f>(F667-H667)^2</f>
        <v/>
      </c>
      <c r="J667">
        <f>--(E667="Validation")</f>
        <v/>
      </c>
    </row>
    <row r="668">
      <c r="D668">
        <f>AutoClaim_Data!A668</f>
        <v/>
      </c>
      <c r="E668">
        <f>AutoClaim_Data!B668</f>
        <v/>
      </c>
      <c r="F668">
        <f>AutoClaim_Data!C668</f>
        <v/>
      </c>
      <c r="G668">
        <f>IF(AutoClaim_Data!D668&lt;=$B$2,AVERAGEIFS(AutoClaim_Data!C2:C3168,AutoClaim_Data!B2:B3168,"Train",AutoClaim_Data!D2:D3168,"&lt;="&amp;$B$2),AVERAGEIFS(AutoClaim_Data!C2:C3168,AutoClaim_Data!B2:B3168,"Train",AutoClaim_Data!D2:D3168,"&gt;"&amp;$B$2))</f>
        <v/>
      </c>
      <c r="H668">
        <f>IF(AutoClaim_Data!D668&lt;=$B$2,IF(AutoClaim_Data!E668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8">
        <f>(F668-H668)^2</f>
        <v/>
      </c>
      <c r="J668">
        <f>--(E668="Validation")</f>
        <v/>
      </c>
    </row>
    <row r="669">
      <c r="D669">
        <f>AutoClaim_Data!A669</f>
        <v/>
      </c>
      <c r="E669">
        <f>AutoClaim_Data!B669</f>
        <v/>
      </c>
      <c r="F669">
        <f>AutoClaim_Data!C669</f>
        <v/>
      </c>
      <c r="G669">
        <f>IF(AutoClaim_Data!D669&lt;=$B$2,AVERAGEIFS(AutoClaim_Data!C2:C3168,AutoClaim_Data!B2:B3168,"Train",AutoClaim_Data!D2:D3168,"&lt;="&amp;$B$2),AVERAGEIFS(AutoClaim_Data!C2:C3168,AutoClaim_Data!B2:B3168,"Train",AutoClaim_Data!D2:D3168,"&gt;"&amp;$B$2))</f>
        <v/>
      </c>
      <c r="H669">
        <f>IF(AutoClaim_Data!D669&lt;=$B$2,IF(AutoClaim_Data!E669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69">
        <f>(F669-H669)^2</f>
        <v/>
      </c>
      <c r="J669">
        <f>--(E669="Validation")</f>
        <v/>
      </c>
    </row>
    <row r="670">
      <c r="D670">
        <f>AutoClaim_Data!A670</f>
        <v/>
      </c>
      <c r="E670">
        <f>AutoClaim_Data!B670</f>
        <v/>
      </c>
      <c r="F670">
        <f>AutoClaim_Data!C670</f>
        <v/>
      </c>
      <c r="G670">
        <f>IF(AutoClaim_Data!D670&lt;=$B$2,AVERAGEIFS(AutoClaim_Data!C2:C3168,AutoClaim_Data!B2:B3168,"Train",AutoClaim_Data!D2:D3168,"&lt;="&amp;$B$2),AVERAGEIFS(AutoClaim_Data!C2:C3168,AutoClaim_Data!B2:B3168,"Train",AutoClaim_Data!D2:D3168,"&gt;"&amp;$B$2))</f>
        <v/>
      </c>
      <c r="H670">
        <f>IF(AutoClaim_Data!D670&lt;=$B$2,IF(AutoClaim_Data!E670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0">
        <f>(F670-H670)^2</f>
        <v/>
      </c>
      <c r="J670">
        <f>--(E670="Validation")</f>
        <v/>
      </c>
    </row>
    <row r="671">
      <c r="D671">
        <f>AutoClaim_Data!A671</f>
        <v/>
      </c>
      <c r="E671">
        <f>AutoClaim_Data!B671</f>
        <v/>
      </c>
      <c r="F671">
        <f>AutoClaim_Data!C671</f>
        <v/>
      </c>
      <c r="G671">
        <f>IF(AutoClaim_Data!D671&lt;=$B$2,AVERAGEIFS(AutoClaim_Data!C2:C3168,AutoClaim_Data!B2:B3168,"Train",AutoClaim_Data!D2:D3168,"&lt;="&amp;$B$2),AVERAGEIFS(AutoClaim_Data!C2:C3168,AutoClaim_Data!B2:B3168,"Train",AutoClaim_Data!D2:D3168,"&gt;"&amp;$B$2))</f>
        <v/>
      </c>
      <c r="H671">
        <f>IF(AutoClaim_Data!D671&lt;=$B$2,IF(AutoClaim_Data!E671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1">
        <f>(F671-H671)^2</f>
        <v/>
      </c>
      <c r="J671">
        <f>--(E671="Validation")</f>
        <v/>
      </c>
    </row>
    <row r="672">
      <c r="D672">
        <f>AutoClaim_Data!A672</f>
        <v/>
      </c>
      <c r="E672">
        <f>AutoClaim_Data!B672</f>
        <v/>
      </c>
      <c r="F672">
        <f>AutoClaim_Data!C672</f>
        <v/>
      </c>
      <c r="G672">
        <f>IF(AutoClaim_Data!D672&lt;=$B$2,AVERAGEIFS(AutoClaim_Data!C2:C3168,AutoClaim_Data!B2:B3168,"Train",AutoClaim_Data!D2:D3168,"&lt;="&amp;$B$2),AVERAGEIFS(AutoClaim_Data!C2:C3168,AutoClaim_Data!B2:B3168,"Train",AutoClaim_Data!D2:D3168,"&gt;"&amp;$B$2))</f>
        <v/>
      </c>
      <c r="H672">
        <f>IF(AutoClaim_Data!D672&lt;=$B$2,IF(AutoClaim_Data!E672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2">
        <f>(F672-H672)^2</f>
        <v/>
      </c>
      <c r="J672">
        <f>--(E672="Validation")</f>
        <v/>
      </c>
    </row>
    <row r="673">
      <c r="D673">
        <f>AutoClaim_Data!A673</f>
        <v/>
      </c>
      <c r="E673">
        <f>AutoClaim_Data!B673</f>
        <v/>
      </c>
      <c r="F673">
        <f>AutoClaim_Data!C673</f>
        <v/>
      </c>
      <c r="G673">
        <f>IF(AutoClaim_Data!D673&lt;=$B$2,AVERAGEIFS(AutoClaim_Data!C2:C3168,AutoClaim_Data!B2:B3168,"Train",AutoClaim_Data!D2:D3168,"&lt;="&amp;$B$2),AVERAGEIFS(AutoClaim_Data!C2:C3168,AutoClaim_Data!B2:B3168,"Train",AutoClaim_Data!D2:D3168,"&gt;"&amp;$B$2))</f>
        <v/>
      </c>
      <c r="H673">
        <f>IF(AutoClaim_Data!D673&lt;=$B$2,IF(AutoClaim_Data!E673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3">
        <f>(F673-H673)^2</f>
        <v/>
      </c>
      <c r="J673">
        <f>--(E673="Validation")</f>
        <v/>
      </c>
    </row>
    <row r="674">
      <c r="D674">
        <f>AutoClaim_Data!A674</f>
        <v/>
      </c>
      <c r="E674">
        <f>AutoClaim_Data!B674</f>
        <v/>
      </c>
      <c r="F674">
        <f>AutoClaim_Data!C674</f>
        <v/>
      </c>
      <c r="G674">
        <f>IF(AutoClaim_Data!D674&lt;=$B$2,AVERAGEIFS(AutoClaim_Data!C2:C3168,AutoClaim_Data!B2:B3168,"Train",AutoClaim_Data!D2:D3168,"&lt;="&amp;$B$2),AVERAGEIFS(AutoClaim_Data!C2:C3168,AutoClaim_Data!B2:B3168,"Train",AutoClaim_Data!D2:D3168,"&gt;"&amp;$B$2))</f>
        <v/>
      </c>
      <c r="H674">
        <f>IF(AutoClaim_Data!D674&lt;=$B$2,IF(AutoClaim_Data!E674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4">
        <f>(F674-H674)^2</f>
        <v/>
      </c>
      <c r="J674">
        <f>--(E674="Validation")</f>
        <v/>
      </c>
    </row>
    <row r="675">
      <c r="D675">
        <f>AutoClaim_Data!A675</f>
        <v/>
      </c>
      <c r="E675">
        <f>AutoClaim_Data!B675</f>
        <v/>
      </c>
      <c r="F675">
        <f>AutoClaim_Data!C675</f>
        <v/>
      </c>
      <c r="G675">
        <f>IF(AutoClaim_Data!D675&lt;=$B$2,AVERAGEIFS(AutoClaim_Data!C2:C3168,AutoClaim_Data!B2:B3168,"Train",AutoClaim_Data!D2:D3168,"&lt;="&amp;$B$2),AVERAGEIFS(AutoClaim_Data!C2:C3168,AutoClaim_Data!B2:B3168,"Train",AutoClaim_Data!D2:D3168,"&gt;"&amp;$B$2))</f>
        <v/>
      </c>
      <c r="H675">
        <f>IF(AutoClaim_Data!D675&lt;=$B$2,IF(AutoClaim_Data!E675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5">
        <f>(F675-H675)^2</f>
        <v/>
      </c>
      <c r="J675">
        <f>--(E675="Validation")</f>
        <v/>
      </c>
    </row>
    <row r="676">
      <c r="D676">
        <f>AutoClaim_Data!A676</f>
        <v/>
      </c>
      <c r="E676">
        <f>AutoClaim_Data!B676</f>
        <v/>
      </c>
      <c r="F676">
        <f>AutoClaim_Data!C676</f>
        <v/>
      </c>
      <c r="G676">
        <f>IF(AutoClaim_Data!D676&lt;=$B$2,AVERAGEIFS(AutoClaim_Data!C2:C3168,AutoClaim_Data!B2:B3168,"Train",AutoClaim_Data!D2:D3168,"&lt;="&amp;$B$2),AVERAGEIFS(AutoClaim_Data!C2:C3168,AutoClaim_Data!B2:B3168,"Train",AutoClaim_Data!D2:D3168,"&gt;"&amp;$B$2))</f>
        <v/>
      </c>
      <c r="H676">
        <f>IF(AutoClaim_Data!D676&lt;=$B$2,IF(AutoClaim_Data!E676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6">
        <f>(F676-H676)^2</f>
        <v/>
      </c>
      <c r="J676">
        <f>--(E676="Validation")</f>
        <v/>
      </c>
    </row>
    <row r="677">
      <c r="D677">
        <f>AutoClaim_Data!A677</f>
        <v/>
      </c>
      <c r="E677">
        <f>AutoClaim_Data!B677</f>
        <v/>
      </c>
      <c r="F677">
        <f>AutoClaim_Data!C677</f>
        <v/>
      </c>
      <c r="G677">
        <f>IF(AutoClaim_Data!D677&lt;=$B$2,AVERAGEIFS(AutoClaim_Data!C2:C3168,AutoClaim_Data!B2:B3168,"Train",AutoClaim_Data!D2:D3168,"&lt;="&amp;$B$2),AVERAGEIFS(AutoClaim_Data!C2:C3168,AutoClaim_Data!B2:B3168,"Train",AutoClaim_Data!D2:D3168,"&gt;"&amp;$B$2))</f>
        <v/>
      </c>
      <c r="H677">
        <f>IF(AutoClaim_Data!D677&lt;=$B$2,IF(AutoClaim_Data!E677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7">
        <f>(F677-H677)^2</f>
        <v/>
      </c>
      <c r="J677">
        <f>--(E677="Validation")</f>
        <v/>
      </c>
    </row>
    <row r="678">
      <c r="D678">
        <f>AutoClaim_Data!A678</f>
        <v/>
      </c>
      <c r="E678">
        <f>AutoClaim_Data!B678</f>
        <v/>
      </c>
      <c r="F678">
        <f>AutoClaim_Data!C678</f>
        <v/>
      </c>
      <c r="G678">
        <f>IF(AutoClaim_Data!D678&lt;=$B$2,AVERAGEIFS(AutoClaim_Data!C2:C3168,AutoClaim_Data!B2:B3168,"Train",AutoClaim_Data!D2:D3168,"&lt;="&amp;$B$2),AVERAGEIFS(AutoClaim_Data!C2:C3168,AutoClaim_Data!B2:B3168,"Train",AutoClaim_Data!D2:D3168,"&gt;"&amp;$B$2))</f>
        <v/>
      </c>
      <c r="H678">
        <f>IF(AutoClaim_Data!D678&lt;=$B$2,IF(AutoClaim_Data!E678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8">
        <f>(F678-H678)^2</f>
        <v/>
      </c>
      <c r="J678">
        <f>--(E678="Validation")</f>
        <v/>
      </c>
    </row>
    <row r="679">
      <c r="D679">
        <f>AutoClaim_Data!A679</f>
        <v/>
      </c>
      <c r="E679">
        <f>AutoClaim_Data!B679</f>
        <v/>
      </c>
      <c r="F679">
        <f>AutoClaim_Data!C679</f>
        <v/>
      </c>
      <c r="G679">
        <f>IF(AutoClaim_Data!D679&lt;=$B$2,AVERAGEIFS(AutoClaim_Data!C2:C3168,AutoClaim_Data!B2:B3168,"Train",AutoClaim_Data!D2:D3168,"&lt;="&amp;$B$2),AVERAGEIFS(AutoClaim_Data!C2:C3168,AutoClaim_Data!B2:B3168,"Train",AutoClaim_Data!D2:D3168,"&gt;"&amp;$B$2))</f>
        <v/>
      </c>
      <c r="H679">
        <f>IF(AutoClaim_Data!D679&lt;=$B$2,IF(AutoClaim_Data!E679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79">
        <f>(F679-H679)^2</f>
        <v/>
      </c>
      <c r="J679">
        <f>--(E679="Validation")</f>
        <v/>
      </c>
    </row>
    <row r="680">
      <c r="D680">
        <f>AutoClaim_Data!A680</f>
        <v/>
      </c>
      <c r="E680">
        <f>AutoClaim_Data!B680</f>
        <v/>
      </c>
      <c r="F680">
        <f>AutoClaim_Data!C680</f>
        <v/>
      </c>
      <c r="G680">
        <f>IF(AutoClaim_Data!D680&lt;=$B$2,AVERAGEIFS(AutoClaim_Data!C2:C3168,AutoClaim_Data!B2:B3168,"Train",AutoClaim_Data!D2:D3168,"&lt;="&amp;$B$2),AVERAGEIFS(AutoClaim_Data!C2:C3168,AutoClaim_Data!B2:B3168,"Train",AutoClaim_Data!D2:D3168,"&gt;"&amp;$B$2))</f>
        <v/>
      </c>
      <c r="H680">
        <f>IF(AutoClaim_Data!D680&lt;=$B$2,IF(AutoClaim_Data!E680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0">
        <f>(F680-H680)^2</f>
        <v/>
      </c>
      <c r="J680">
        <f>--(E680="Validation")</f>
        <v/>
      </c>
    </row>
    <row r="681">
      <c r="D681">
        <f>AutoClaim_Data!A681</f>
        <v/>
      </c>
      <c r="E681">
        <f>AutoClaim_Data!B681</f>
        <v/>
      </c>
      <c r="F681">
        <f>AutoClaim_Data!C681</f>
        <v/>
      </c>
      <c r="G681">
        <f>IF(AutoClaim_Data!D681&lt;=$B$2,AVERAGEIFS(AutoClaim_Data!C2:C3168,AutoClaim_Data!B2:B3168,"Train",AutoClaim_Data!D2:D3168,"&lt;="&amp;$B$2),AVERAGEIFS(AutoClaim_Data!C2:C3168,AutoClaim_Data!B2:B3168,"Train",AutoClaim_Data!D2:D3168,"&gt;"&amp;$B$2))</f>
        <v/>
      </c>
      <c r="H681">
        <f>IF(AutoClaim_Data!D681&lt;=$B$2,IF(AutoClaim_Data!E681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1">
        <f>(F681-H681)^2</f>
        <v/>
      </c>
      <c r="J681">
        <f>--(E681="Validation")</f>
        <v/>
      </c>
    </row>
    <row r="682">
      <c r="D682">
        <f>AutoClaim_Data!A682</f>
        <v/>
      </c>
      <c r="E682">
        <f>AutoClaim_Data!B682</f>
        <v/>
      </c>
      <c r="F682">
        <f>AutoClaim_Data!C682</f>
        <v/>
      </c>
      <c r="G682">
        <f>IF(AutoClaim_Data!D682&lt;=$B$2,AVERAGEIFS(AutoClaim_Data!C2:C3168,AutoClaim_Data!B2:B3168,"Train",AutoClaim_Data!D2:D3168,"&lt;="&amp;$B$2),AVERAGEIFS(AutoClaim_Data!C2:C3168,AutoClaim_Data!B2:B3168,"Train",AutoClaim_Data!D2:D3168,"&gt;"&amp;$B$2))</f>
        <v/>
      </c>
      <c r="H682">
        <f>IF(AutoClaim_Data!D682&lt;=$B$2,IF(AutoClaim_Data!E682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2">
        <f>(F682-H682)^2</f>
        <v/>
      </c>
      <c r="J682">
        <f>--(E682="Validation")</f>
        <v/>
      </c>
    </row>
    <row r="683">
      <c r="D683">
        <f>AutoClaim_Data!A683</f>
        <v/>
      </c>
      <c r="E683">
        <f>AutoClaim_Data!B683</f>
        <v/>
      </c>
      <c r="F683">
        <f>AutoClaim_Data!C683</f>
        <v/>
      </c>
      <c r="G683">
        <f>IF(AutoClaim_Data!D683&lt;=$B$2,AVERAGEIFS(AutoClaim_Data!C2:C3168,AutoClaim_Data!B2:B3168,"Train",AutoClaim_Data!D2:D3168,"&lt;="&amp;$B$2),AVERAGEIFS(AutoClaim_Data!C2:C3168,AutoClaim_Data!B2:B3168,"Train",AutoClaim_Data!D2:D3168,"&gt;"&amp;$B$2))</f>
        <v/>
      </c>
      <c r="H683">
        <f>IF(AutoClaim_Data!D683&lt;=$B$2,IF(AutoClaim_Data!E683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3">
        <f>(F683-H683)^2</f>
        <v/>
      </c>
      <c r="J683">
        <f>--(E683="Validation")</f>
        <v/>
      </c>
    </row>
    <row r="684">
      <c r="D684">
        <f>AutoClaim_Data!A684</f>
        <v/>
      </c>
      <c r="E684">
        <f>AutoClaim_Data!B684</f>
        <v/>
      </c>
      <c r="F684">
        <f>AutoClaim_Data!C684</f>
        <v/>
      </c>
      <c r="G684">
        <f>IF(AutoClaim_Data!D684&lt;=$B$2,AVERAGEIFS(AutoClaim_Data!C2:C3168,AutoClaim_Data!B2:B3168,"Train",AutoClaim_Data!D2:D3168,"&lt;="&amp;$B$2),AVERAGEIFS(AutoClaim_Data!C2:C3168,AutoClaim_Data!B2:B3168,"Train",AutoClaim_Data!D2:D3168,"&gt;"&amp;$B$2))</f>
        <v/>
      </c>
      <c r="H684">
        <f>IF(AutoClaim_Data!D684&lt;=$B$2,IF(AutoClaim_Data!E684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4">
        <f>(F684-H684)^2</f>
        <v/>
      </c>
      <c r="J684">
        <f>--(E684="Validation")</f>
        <v/>
      </c>
    </row>
    <row r="685">
      <c r="D685">
        <f>AutoClaim_Data!A685</f>
        <v/>
      </c>
      <c r="E685">
        <f>AutoClaim_Data!B685</f>
        <v/>
      </c>
      <c r="F685">
        <f>AutoClaim_Data!C685</f>
        <v/>
      </c>
      <c r="G685">
        <f>IF(AutoClaim_Data!D685&lt;=$B$2,AVERAGEIFS(AutoClaim_Data!C2:C3168,AutoClaim_Data!B2:B3168,"Train",AutoClaim_Data!D2:D3168,"&lt;="&amp;$B$2),AVERAGEIFS(AutoClaim_Data!C2:C3168,AutoClaim_Data!B2:B3168,"Train",AutoClaim_Data!D2:D3168,"&gt;"&amp;$B$2))</f>
        <v/>
      </c>
      <c r="H685">
        <f>IF(AutoClaim_Data!D685&lt;=$B$2,IF(AutoClaim_Data!E685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5">
        <f>(F685-H685)^2</f>
        <v/>
      </c>
      <c r="J685">
        <f>--(E685="Validation")</f>
        <v/>
      </c>
    </row>
    <row r="686">
      <c r="D686">
        <f>AutoClaim_Data!A686</f>
        <v/>
      </c>
      <c r="E686">
        <f>AutoClaim_Data!B686</f>
        <v/>
      </c>
      <c r="F686">
        <f>AutoClaim_Data!C686</f>
        <v/>
      </c>
      <c r="G686">
        <f>IF(AutoClaim_Data!D686&lt;=$B$2,AVERAGEIFS(AutoClaim_Data!C2:C3168,AutoClaim_Data!B2:B3168,"Train",AutoClaim_Data!D2:D3168,"&lt;="&amp;$B$2),AVERAGEIFS(AutoClaim_Data!C2:C3168,AutoClaim_Data!B2:B3168,"Train",AutoClaim_Data!D2:D3168,"&gt;"&amp;$B$2))</f>
        <v/>
      </c>
      <c r="H686">
        <f>IF(AutoClaim_Data!D686&lt;=$B$2,IF(AutoClaim_Data!E686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6">
        <f>(F686-H686)^2</f>
        <v/>
      </c>
      <c r="J686">
        <f>--(E686="Validation")</f>
        <v/>
      </c>
    </row>
    <row r="687">
      <c r="D687">
        <f>AutoClaim_Data!A687</f>
        <v/>
      </c>
      <c r="E687">
        <f>AutoClaim_Data!B687</f>
        <v/>
      </c>
      <c r="F687">
        <f>AutoClaim_Data!C687</f>
        <v/>
      </c>
      <c r="G687">
        <f>IF(AutoClaim_Data!D687&lt;=$B$2,AVERAGEIFS(AutoClaim_Data!C2:C3168,AutoClaim_Data!B2:B3168,"Train",AutoClaim_Data!D2:D3168,"&lt;="&amp;$B$2),AVERAGEIFS(AutoClaim_Data!C2:C3168,AutoClaim_Data!B2:B3168,"Train",AutoClaim_Data!D2:D3168,"&gt;"&amp;$B$2))</f>
        <v/>
      </c>
      <c r="H687">
        <f>IF(AutoClaim_Data!D687&lt;=$B$2,IF(AutoClaim_Data!E687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7">
        <f>(F687-H687)^2</f>
        <v/>
      </c>
      <c r="J687">
        <f>--(E687="Validation")</f>
        <v/>
      </c>
    </row>
    <row r="688">
      <c r="D688">
        <f>AutoClaim_Data!A688</f>
        <v/>
      </c>
      <c r="E688">
        <f>AutoClaim_Data!B688</f>
        <v/>
      </c>
      <c r="F688">
        <f>AutoClaim_Data!C688</f>
        <v/>
      </c>
      <c r="G688">
        <f>IF(AutoClaim_Data!D688&lt;=$B$2,AVERAGEIFS(AutoClaim_Data!C2:C3168,AutoClaim_Data!B2:B3168,"Train",AutoClaim_Data!D2:D3168,"&lt;="&amp;$B$2),AVERAGEIFS(AutoClaim_Data!C2:C3168,AutoClaim_Data!B2:B3168,"Train",AutoClaim_Data!D2:D3168,"&gt;"&amp;$B$2))</f>
        <v/>
      </c>
      <c r="H688">
        <f>IF(AutoClaim_Data!D688&lt;=$B$2,IF(AutoClaim_Data!E688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8">
        <f>(F688-H688)^2</f>
        <v/>
      </c>
      <c r="J688">
        <f>--(E688="Validation")</f>
        <v/>
      </c>
    </row>
    <row r="689">
      <c r="D689">
        <f>AutoClaim_Data!A689</f>
        <v/>
      </c>
      <c r="E689">
        <f>AutoClaim_Data!B689</f>
        <v/>
      </c>
      <c r="F689">
        <f>AutoClaim_Data!C689</f>
        <v/>
      </c>
      <c r="G689">
        <f>IF(AutoClaim_Data!D689&lt;=$B$2,AVERAGEIFS(AutoClaim_Data!C2:C3168,AutoClaim_Data!B2:B3168,"Train",AutoClaim_Data!D2:D3168,"&lt;="&amp;$B$2),AVERAGEIFS(AutoClaim_Data!C2:C3168,AutoClaim_Data!B2:B3168,"Train",AutoClaim_Data!D2:D3168,"&gt;"&amp;$B$2))</f>
        <v/>
      </c>
      <c r="H689">
        <f>IF(AutoClaim_Data!D689&lt;=$B$2,IF(AutoClaim_Data!E689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89">
        <f>(F689-H689)^2</f>
        <v/>
      </c>
      <c r="J689">
        <f>--(E689="Validation")</f>
        <v/>
      </c>
    </row>
    <row r="690">
      <c r="D690">
        <f>AutoClaim_Data!A690</f>
        <v/>
      </c>
      <c r="E690">
        <f>AutoClaim_Data!B690</f>
        <v/>
      </c>
      <c r="F690">
        <f>AutoClaim_Data!C690</f>
        <v/>
      </c>
      <c r="G690">
        <f>IF(AutoClaim_Data!D690&lt;=$B$2,AVERAGEIFS(AutoClaim_Data!C2:C3168,AutoClaim_Data!B2:B3168,"Train",AutoClaim_Data!D2:D3168,"&lt;="&amp;$B$2),AVERAGEIFS(AutoClaim_Data!C2:C3168,AutoClaim_Data!B2:B3168,"Train",AutoClaim_Data!D2:D3168,"&gt;"&amp;$B$2))</f>
        <v/>
      </c>
      <c r="H690">
        <f>IF(AutoClaim_Data!D690&lt;=$B$2,IF(AutoClaim_Data!E690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0">
        <f>(F690-H690)^2</f>
        <v/>
      </c>
      <c r="J690">
        <f>--(E690="Validation")</f>
        <v/>
      </c>
    </row>
    <row r="691">
      <c r="D691">
        <f>AutoClaim_Data!A691</f>
        <v/>
      </c>
      <c r="E691">
        <f>AutoClaim_Data!B691</f>
        <v/>
      </c>
      <c r="F691">
        <f>AutoClaim_Data!C691</f>
        <v/>
      </c>
      <c r="G691">
        <f>IF(AutoClaim_Data!D691&lt;=$B$2,AVERAGEIFS(AutoClaim_Data!C2:C3168,AutoClaim_Data!B2:B3168,"Train",AutoClaim_Data!D2:D3168,"&lt;="&amp;$B$2),AVERAGEIFS(AutoClaim_Data!C2:C3168,AutoClaim_Data!B2:B3168,"Train",AutoClaim_Data!D2:D3168,"&gt;"&amp;$B$2))</f>
        <v/>
      </c>
      <c r="H691">
        <f>IF(AutoClaim_Data!D691&lt;=$B$2,IF(AutoClaim_Data!E691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1">
        <f>(F691-H691)^2</f>
        <v/>
      </c>
      <c r="J691">
        <f>--(E691="Validation")</f>
        <v/>
      </c>
    </row>
    <row r="692">
      <c r="D692">
        <f>AutoClaim_Data!A692</f>
        <v/>
      </c>
      <c r="E692">
        <f>AutoClaim_Data!B692</f>
        <v/>
      </c>
      <c r="F692">
        <f>AutoClaim_Data!C692</f>
        <v/>
      </c>
      <c r="G692">
        <f>IF(AutoClaim_Data!D692&lt;=$B$2,AVERAGEIFS(AutoClaim_Data!C2:C3168,AutoClaim_Data!B2:B3168,"Train",AutoClaim_Data!D2:D3168,"&lt;="&amp;$B$2),AVERAGEIFS(AutoClaim_Data!C2:C3168,AutoClaim_Data!B2:B3168,"Train",AutoClaim_Data!D2:D3168,"&gt;"&amp;$B$2))</f>
        <v/>
      </c>
      <c r="H692">
        <f>IF(AutoClaim_Data!D692&lt;=$B$2,IF(AutoClaim_Data!E692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2">
        <f>(F692-H692)^2</f>
        <v/>
      </c>
      <c r="J692">
        <f>--(E692="Validation")</f>
        <v/>
      </c>
    </row>
    <row r="693">
      <c r="D693">
        <f>AutoClaim_Data!A693</f>
        <v/>
      </c>
      <c r="E693">
        <f>AutoClaim_Data!B693</f>
        <v/>
      </c>
      <c r="F693">
        <f>AutoClaim_Data!C693</f>
        <v/>
      </c>
      <c r="G693">
        <f>IF(AutoClaim_Data!D693&lt;=$B$2,AVERAGEIFS(AutoClaim_Data!C2:C3168,AutoClaim_Data!B2:B3168,"Train",AutoClaim_Data!D2:D3168,"&lt;="&amp;$B$2),AVERAGEIFS(AutoClaim_Data!C2:C3168,AutoClaim_Data!B2:B3168,"Train",AutoClaim_Data!D2:D3168,"&gt;"&amp;$B$2))</f>
        <v/>
      </c>
      <c r="H693">
        <f>IF(AutoClaim_Data!D693&lt;=$B$2,IF(AutoClaim_Data!E693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3">
        <f>(F693-H693)^2</f>
        <v/>
      </c>
      <c r="J693">
        <f>--(E693="Validation")</f>
        <v/>
      </c>
    </row>
    <row r="694">
      <c r="D694">
        <f>AutoClaim_Data!A694</f>
        <v/>
      </c>
      <c r="E694">
        <f>AutoClaim_Data!B694</f>
        <v/>
      </c>
      <c r="F694">
        <f>AutoClaim_Data!C694</f>
        <v/>
      </c>
      <c r="G694">
        <f>IF(AutoClaim_Data!D694&lt;=$B$2,AVERAGEIFS(AutoClaim_Data!C2:C3168,AutoClaim_Data!B2:B3168,"Train",AutoClaim_Data!D2:D3168,"&lt;="&amp;$B$2),AVERAGEIFS(AutoClaim_Data!C2:C3168,AutoClaim_Data!B2:B3168,"Train",AutoClaim_Data!D2:D3168,"&gt;"&amp;$B$2))</f>
        <v/>
      </c>
      <c r="H694">
        <f>IF(AutoClaim_Data!D694&lt;=$B$2,IF(AutoClaim_Data!E694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4">
        <f>(F694-H694)^2</f>
        <v/>
      </c>
      <c r="J694">
        <f>--(E694="Validation")</f>
        <v/>
      </c>
    </row>
    <row r="695">
      <c r="D695">
        <f>AutoClaim_Data!A695</f>
        <v/>
      </c>
      <c r="E695">
        <f>AutoClaim_Data!B695</f>
        <v/>
      </c>
      <c r="F695">
        <f>AutoClaim_Data!C695</f>
        <v/>
      </c>
      <c r="G695">
        <f>IF(AutoClaim_Data!D695&lt;=$B$2,AVERAGEIFS(AutoClaim_Data!C2:C3168,AutoClaim_Data!B2:B3168,"Train",AutoClaim_Data!D2:D3168,"&lt;="&amp;$B$2),AVERAGEIFS(AutoClaim_Data!C2:C3168,AutoClaim_Data!B2:B3168,"Train",AutoClaim_Data!D2:D3168,"&gt;"&amp;$B$2))</f>
        <v/>
      </c>
      <c r="H695">
        <f>IF(AutoClaim_Data!D695&lt;=$B$2,IF(AutoClaim_Data!E695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5">
        <f>(F695-H695)^2</f>
        <v/>
      </c>
      <c r="J695">
        <f>--(E695="Validation")</f>
        <v/>
      </c>
    </row>
    <row r="696">
      <c r="D696">
        <f>AutoClaim_Data!A696</f>
        <v/>
      </c>
      <c r="E696">
        <f>AutoClaim_Data!B696</f>
        <v/>
      </c>
      <c r="F696">
        <f>AutoClaim_Data!C696</f>
        <v/>
      </c>
      <c r="G696">
        <f>IF(AutoClaim_Data!D696&lt;=$B$2,AVERAGEIFS(AutoClaim_Data!C2:C3168,AutoClaim_Data!B2:B3168,"Train",AutoClaim_Data!D2:D3168,"&lt;="&amp;$B$2),AVERAGEIFS(AutoClaim_Data!C2:C3168,AutoClaim_Data!B2:B3168,"Train",AutoClaim_Data!D2:D3168,"&gt;"&amp;$B$2))</f>
        <v/>
      </c>
      <c r="H696">
        <f>IF(AutoClaim_Data!D696&lt;=$B$2,IF(AutoClaim_Data!E696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6">
        <f>(F696-H696)^2</f>
        <v/>
      </c>
      <c r="J696">
        <f>--(E696="Validation")</f>
        <v/>
      </c>
    </row>
    <row r="697">
      <c r="D697">
        <f>AutoClaim_Data!A697</f>
        <v/>
      </c>
      <c r="E697">
        <f>AutoClaim_Data!B697</f>
        <v/>
      </c>
      <c r="F697">
        <f>AutoClaim_Data!C697</f>
        <v/>
      </c>
      <c r="G697">
        <f>IF(AutoClaim_Data!D697&lt;=$B$2,AVERAGEIFS(AutoClaim_Data!C2:C3168,AutoClaim_Data!B2:B3168,"Train",AutoClaim_Data!D2:D3168,"&lt;="&amp;$B$2),AVERAGEIFS(AutoClaim_Data!C2:C3168,AutoClaim_Data!B2:B3168,"Train",AutoClaim_Data!D2:D3168,"&gt;"&amp;$B$2))</f>
        <v/>
      </c>
      <c r="H697">
        <f>IF(AutoClaim_Data!D697&lt;=$B$2,IF(AutoClaim_Data!E697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7">
        <f>(F697-H697)^2</f>
        <v/>
      </c>
      <c r="J697">
        <f>--(E697="Validation")</f>
        <v/>
      </c>
    </row>
    <row r="698">
      <c r="D698">
        <f>AutoClaim_Data!A698</f>
        <v/>
      </c>
      <c r="E698">
        <f>AutoClaim_Data!B698</f>
        <v/>
      </c>
      <c r="F698">
        <f>AutoClaim_Data!C698</f>
        <v/>
      </c>
      <c r="G698">
        <f>IF(AutoClaim_Data!D698&lt;=$B$2,AVERAGEIFS(AutoClaim_Data!C2:C3168,AutoClaim_Data!B2:B3168,"Train",AutoClaim_Data!D2:D3168,"&lt;="&amp;$B$2),AVERAGEIFS(AutoClaim_Data!C2:C3168,AutoClaim_Data!B2:B3168,"Train",AutoClaim_Data!D2:D3168,"&gt;"&amp;$B$2))</f>
        <v/>
      </c>
      <c r="H698">
        <f>IF(AutoClaim_Data!D698&lt;=$B$2,IF(AutoClaim_Data!E698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8">
        <f>(F698-H698)^2</f>
        <v/>
      </c>
      <c r="J698">
        <f>--(E698="Validation")</f>
        <v/>
      </c>
    </row>
    <row r="699">
      <c r="D699">
        <f>AutoClaim_Data!A699</f>
        <v/>
      </c>
      <c r="E699">
        <f>AutoClaim_Data!B699</f>
        <v/>
      </c>
      <c r="F699">
        <f>AutoClaim_Data!C699</f>
        <v/>
      </c>
      <c r="G699">
        <f>IF(AutoClaim_Data!D699&lt;=$B$2,AVERAGEIFS(AutoClaim_Data!C2:C3168,AutoClaim_Data!B2:B3168,"Train",AutoClaim_Data!D2:D3168,"&lt;="&amp;$B$2),AVERAGEIFS(AutoClaim_Data!C2:C3168,AutoClaim_Data!B2:B3168,"Train",AutoClaim_Data!D2:D3168,"&gt;"&amp;$B$2))</f>
        <v/>
      </c>
      <c r="H699">
        <f>IF(AutoClaim_Data!D699&lt;=$B$2,IF(AutoClaim_Data!E699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699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699">
        <f>(F699-H699)^2</f>
        <v/>
      </c>
      <c r="J699">
        <f>--(E699="Validation")</f>
        <v/>
      </c>
    </row>
    <row r="700">
      <c r="D700">
        <f>AutoClaim_Data!A700</f>
        <v/>
      </c>
      <c r="E700">
        <f>AutoClaim_Data!B700</f>
        <v/>
      </c>
      <c r="F700">
        <f>AutoClaim_Data!C700</f>
        <v/>
      </c>
      <c r="G700">
        <f>IF(AutoClaim_Data!D700&lt;=$B$2,AVERAGEIFS(AutoClaim_Data!C2:C3168,AutoClaim_Data!B2:B3168,"Train",AutoClaim_Data!D2:D3168,"&lt;="&amp;$B$2),AVERAGEIFS(AutoClaim_Data!C2:C3168,AutoClaim_Data!B2:B3168,"Train",AutoClaim_Data!D2:D3168,"&gt;"&amp;$B$2))</f>
        <v/>
      </c>
      <c r="H700">
        <f>IF(AutoClaim_Data!D700&lt;=$B$2,IF(AutoClaim_Data!E700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0">
        <f>(F700-H700)^2</f>
        <v/>
      </c>
      <c r="J700">
        <f>--(E700="Validation")</f>
        <v/>
      </c>
    </row>
    <row r="701">
      <c r="D701">
        <f>AutoClaim_Data!A701</f>
        <v/>
      </c>
      <c r="E701">
        <f>AutoClaim_Data!B701</f>
        <v/>
      </c>
      <c r="F701">
        <f>AutoClaim_Data!C701</f>
        <v/>
      </c>
      <c r="G701">
        <f>IF(AutoClaim_Data!D701&lt;=$B$2,AVERAGEIFS(AutoClaim_Data!C2:C3168,AutoClaim_Data!B2:B3168,"Train",AutoClaim_Data!D2:D3168,"&lt;="&amp;$B$2),AVERAGEIFS(AutoClaim_Data!C2:C3168,AutoClaim_Data!B2:B3168,"Train",AutoClaim_Data!D2:D3168,"&gt;"&amp;$B$2))</f>
        <v/>
      </c>
      <c r="H701">
        <f>IF(AutoClaim_Data!D701&lt;=$B$2,IF(AutoClaim_Data!E701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1">
        <f>(F701-H701)^2</f>
        <v/>
      </c>
      <c r="J701">
        <f>--(E701="Validation")</f>
        <v/>
      </c>
    </row>
    <row r="702">
      <c r="D702">
        <f>AutoClaim_Data!A702</f>
        <v/>
      </c>
      <c r="E702">
        <f>AutoClaim_Data!B702</f>
        <v/>
      </c>
      <c r="F702">
        <f>AutoClaim_Data!C702</f>
        <v/>
      </c>
      <c r="G702">
        <f>IF(AutoClaim_Data!D702&lt;=$B$2,AVERAGEIFS(AutoClaim_Data!C2:C3168,AutoClaim_Data!B2:B3168,"Train",AutoClaim_Data!D2:D3168,"&lt;="&amp;$B$2),AVERAGEIFS(AutoClaim_Data!C2:C3168,AutoClaim_Data!B2:B3168,"Train",AutoClaim_Data!D2:D3168,"&gt;"&amp;$B$2))</f>
        <v/>
      </c>
      <c r="H702">
        <f>IF(AutoClaim_Data!D702&lt;=$B$2,IF(AutoClaim_Data!E702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2">
        <f>(F702-H702)^2</f>
        <v/>
      </c>
      <c r="J702">
        <f>--(E702="Validation")</f>
        <v/>
      </c>
    </row>
    <row r="703">
      <c r="D703">
        <f>AutoClaim_Data!A703</f>
        <v/>
      </c>
      <c r="E703">
        <f>AutoClaim_Data!B703</f>
        <v/>
      </c>
      <c r="F703">
        <f>AutoClaim_Data!C703</f>
        <v/>
      </c>
      <c r="G703">
        <f>IF(AutoClaim_Data!D703&lt;=$B$2,AVERAGEIFS(AutoClaim_Data!C2:C3168,AutoClaim_Data!B2:B3168,"Train",AutoClaim_Data!D2:D3168,"&lt;="&amp;$B$2),AVERAGEIFS(AutoClaim_Data!C2:C3168,AutoClaim_Data!B2:B3168,"Train",AutoClaim_Data!D2:D3168,"&gt;"&amp;$B$2))</f>
        <v/>
      </c>
      <c r="H703">
        <f>IF(AutoClaim_Data!D703&lt;=$B$2,IF(AutoClaim_Data!E703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3">
        <f>(F703-H703)^2</f>
        <v/>
      </c>
      <c r="J703">
        <f>--(E703="Validation")</f>
        <v/>
      </c>
    </row>
    <row r="704">
      <c r="D704">
        <f>AutoClaim_Data!A704</f>
        <v/>
      </c>
      <c r="E704">
        <f>AutoClaim_Data!B704</f>
        <v/>
      </c>
      <c r="F704">
        <f>AutoClaim_Data!C704</f>
        <v/>
      </c>
      <c r="G704">
        <f>IF(AutoClaim_Data!D704&lt;=$B$2,AVERAGEIFS(AutoClaim_Data!C2:C3168,AutoClaim_Data!B2:B3168,"Train",AutoClaim_Data!D2:D3168,"&lt;="&amp;$B$2),AVERAGEIFS(AutoClaim_Data!C2:C3168,AutoClaim_Data!B2:B3168,"Train",AutoClaim_Data!D2:D3168,"&gt;"&amp;$B$2))</f>
        <v/>
      </c>
      <c r="H704">
        <f>IF(AutoClaim_Data!D704&lt;=$B$2,IF(AutoClaim_Data!E704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4">
        <f>(F704-H704)^2</f>
        <v/>
      </c>
      <c r="J704">
        <f>--(E704="Validation")</f>
        <v/>
      </c>
    </row>
    <row r="705">
      <c r="D705">
        <f>AutoClaim_Data!A705</f>
        <v/>
      </c>
      <c r="E705">
        <f>AutoClaim_Data!B705</f>
        <v/>
      </c>
      <c r="F705">
        <f>AutoClaim_Data!C705</f>
        <v/>
      </c>
      <c r="G705">
        <f>IF(AutoClaim_Data!D705&lt;=$B$2,AVERAGEIFS(AutoClaim_Data!C2:C3168,AutoClaim_Data!B2:B3168,"Train",AutoClaim_Data!D2:D3168,"&lt;="&amp;$B$2),AVERAGEIFS(AutoClaim_Data!C2:C3168,AutoClaim_Data!B2:B3168,"Train",AutoClaim_Data!D2:D3168,"&gt;"&amp;$B$2))</f>
        <v/>
      </c>
      <c r="H705">
        <f>IF(AutoClaim_Data!D705&lt;=$B$2,IF(AutoClaim_Data!E705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5">
        <f>(F705-H705)^2</f>
        <v/>
      </c>
      <c r="J705">
        <f>--(E705="Validation")</f>
        <v/>
      </c>
    </row>
    <row r="706">
      <c r="D706">
        <f>AutoClaim_Data!A706</f>
        <v/>
      </c>
      <c r="E706">
        <f>AutoClaim_Data!B706</f>
        <v/>
      </c>
      <c r="F706">
        <f>AutoClaim_Data!C706</f>
        <v/>
      </c>
      <c r="G706">
        <f>IF(AutoClaim_Data!D706&lt;=$B$2,AVERAGEIFS(AutoClaim_Data!C2:C3168,AutoClaim_Data!B2:B3168,"Train",AutoClaim_Data!D2:D3168,"&lt;="&amp;$B$2),AVERAGEIFS(AutoClaim_Data!C2:C3168,AutoClaim_Data!B2:B3168,"Train",AutoClaim_Data!D2:D3168,"&gt;"&amp;$B$2))</f>
        <v/>
      </c>
      <c r="H706">
        <f>IF(AutoClaim_Data!D706&lt;=$B$2,IF(AutoClaim_Data!E706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6">
        <f>(F706-H706)^2</f>
        <v/>
      </c>
      <c r="J706">
        <f>--(E706="Validation")</f>
        <v/>
      </c>
    </row>
    <row r="707">
      <c r="D707">
        <f>AutoClaim_Data!A707</f>
        <v/>
      </c>
      <c r="E707">
        <f>AutoClaim_Data!B707</f>
        <v/>
      </c>
      <c r="F707">
        <f>AutoClaim_Data!C707</f>
        <v/>
      </c>
      <c r="G707">
        <f>IF(AutoClaim_Data!D707&lt;=$B$2,AVERAGEIFS(AutoClaim_Data!C2:C3168,AutoClaim_Data!B2:B3168,"Train",AutoClaim_Data!D2:D3168,"&lt;="&amp;$B$2),AVERAGEIFS(AutoClaim_Data!C2:C3168,AutoClaim_Data!B2:B3168,"Train",AutoClaim_Data!D2:D3168,"&gt;"&amp;$B$2))</f>
        <v/>
      </c>
      <c r="H707">
        <f>IF(AutoClaim_Data!D707&lt;=$B$2,IF(AutoClaim_Data!E707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7">
        <f>(F707-H707)^2</f>
        <v/>
      </c>
      <c r="J707">
        <f>--(E707="Validation")</f>
        <v/>
      </c>
    </row>
    <row r="708">
      <c r="D708">
        <f>AutoClaim_Data!A708</f>
        <v/>
      </c>
      <c r="E708">
        <f>AutoClaim_Data!B708</f>
        <v/>
      </c>
      <c r="F708">
        <f>AutoClaim_Data!C708</f>
        <v/>
      </c>
      <c r="G708">
        <f>IF(AutoClaim_Data!D708&lt;=$B$2,AVERAGEIFS(AutoClaim_Data!C2:C3168,AutoClaim_Data!B2:B3168,"Train",AutoClaim_Data!D2:D3168,"&lt;="&amp;$B$2),AVERAGEIFS(AutoClaim_Data!C2:C3168,AutoClaim_Data!B2:B3168,"Train",AutoClaim_Data!D2:D3168,"&gt;"&amp;$B$2))</f>
        <v/>
      </c>
      <c r="H708">
        <f>IF(AutoClaim_Data!D708&lt;=$B$2,IF(AutoClaim_Data!E708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8">
        <f>(F708-H708)^2</f>
        <v/>
      </c>
      <c r="J708">
        <f>--(E708="Validation")</f>
        <v/>
      </c>
    </row>
    <row r="709">
      <c r="D709">
        <f>AutoClaim_Data!A709</f>
        <v/>
      </c>
      <c r="E709">
        <f>AutoClaim_Data!B709</f>
        <v/>
      </c>
      <c r="F709">
        <f>AutoClaim_Data!C709</f>
        <v/>
      </c>
      <c r="G709">
        <f>IF(AutoClaim_Data!D709&lt;=$B$2,AVERAGEIFS(AutoClaim_Data!C2:C3168,AutoClaim_Data!B2:B3168,"Train",AutoClaim_Data!D2:D3168,"&lt;="&amp;$B$2),AVERAGEIFS(AutoClaim_Data!C2:C3168,AutoClaim_Data!B2:B3168,"Train",AutoClaim_Data!D2:D3168,"&gt;"&amp;$B$2))</f>
        <v/>
      </c>
      <c r="H709">
        <f>IF(AutoClaim_Data!D709&lt;=$B$2,IF(AutoClaim_Data!E709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09">
        <f>(F709-H709)^2</f>
        <v/>
      </c>
      <c r="J709">
        <f>--(E709="Validation")</f>
        <v/>
      </c>
    </row>
    <row r="710">
      <c r="D710">
        <f>AutoClaim_Data!A710</f>
        <v/>
      </c>
      <c r="E710">
        <f>AutoClaim_Data!B710</f>
        <v/>
      </c>
      <c r="F710">
        <f>AutoClaim_Data!C710</f>
        <v/>
      </c>
      <c r="G710">
        <f>IF(AutoClaim_Data!D710&lt;=$B$2,AVERAGEIFS(AutoClaim_Data!C2:C3168,AutoClaim_Data!B2:B3168,"Train",AutoClaim_Data!D2:D3168,"&lt;="&amp;$B$2),AVERAGEIFS(AutoClaim_Data!C2:C3168,AutoClaim_Data!B2:B3168,"Train",AutoClaim_Data!D2:D3168,"&gt;"&amp;$B$2))</f>
        <v/>
      </c>
      <c r="H710">
        <f>IF(AutoClaim_Data!D710&lt;=$B$2,IF(AutoClaim_Data!E710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0">
        <f>(F710-H710)^2</f>
        <v/>
      </c>
      <c r="J710">
        <f>--(E710="Validation")</f>
        <v/>
      </c>
    </row>
    <row r="711">
      <c r="D711">
        <f>AutoClaim_Data!A711</f>
        <v/>
      </c>
      <c r="E711">
        <f>AutoClaim_Data!B711</f>
        <v/>
      </c>
      <c r="F711">
        <f>AutoClaim_Data!C711</f>
        <v/>
      </c>
      <c r="G711">
        <f>IF(AutoClaim_Data!D711&lt;=$B$2,AVERAGEIFS(AutoClaim_Data!C2:C3168,AutoClaim_Data!B2:B3168,"Train",AutoClaim_Data!D2:D3168,"&lt;="&amp;$B$2),AVERAGEIFS(AutoClaim_Data!C2:C3168,AutoClaim_Data!B2:B3168,"Train",AutoClaim_Data!D2:D3168,"&gt;"&amp;$B$2))</f>
        <v/>
      </c>
      <c r="H711">
        <f>IF(AutoClaim_Data!D711&lt;=$B$2,IF(AutoClaim_Data!E711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1">
        <f>(F711-H711)^2</f>
        <v/>
      </c>
      <c r="J711">
        <f>--(E711="Validation")</f>
        <v/>
      </c>
    </row>
    <row r="712">
      <c r="D712">
        <f>AutoClaim_Data!A712</f>
        <v/>
      </c>
      <c r="E712">
        <f>AutoClaim_Data!B712</f>
        <v/>
      </c>
      <c r="F712">
        <f>AutoClaim_Data!C712</f>
        <v/>
      </c>
      <c r="G712">
        <f>IF(AutoClaim_Data!D712&lt;=$B$2,AVERAGEIFS(AutoClaim_Data!C2:C3168,AutoClaim_Data!B2:B3168,"Train",AutoClaim_Data!D2:D3168,"&lt;="&amp;$B$2),AVERAGEIFS(AutoClaim_Data!C2:C3168,AutoClaim_Data!B2:B3168,"Train",AutoClaim_Data!D2:D3168,"&gt;"&amp;$B$2))</f>
        <v/>
      </c>
      <c r="H712">
        <f>IF(AutoClaim_Data!D712&lt;=$B$2,IF(AutoClaim_Data!E712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2">
        <f>(F712-H712)^2</f>
        <v/>
      </c>
      <c r="J712">
        <f>--(E712="Validation")</f>
        <v/>
      </c>
    </row>
    <row r="713">
      <c r="D713">
        <f>AutoClaim_Data!A713</f>
        <v/>
      </c>
      <c r="E713">
        <f>AutoClaim_Data!B713</f>
        <v/>
      </c>
      <c r="F713">
        <f>AutoClaim_Data!C713</f>
        <v/>
      </c>
      <c r="G713">
        <f>IF(AutoClaim_Data!D713&lt;=$B$2,AVERAGEIFS(AutoClaim_Data!C2:C3168,AutoClaim_Data!B2:B3168,"Train",AutoClaim_Data!D2:D3168,"&lt;="&amp;$B$2),AVERAGEIFS(AutoClaim_Data!C2:C3168,AutoClaim_Data!B2:B3168,"Train",AutoClaim_Data!D2:D3168,"&gt;"&amp;$B$2))</f>
        <v/>
      </c>
      <c r="H713">
        <f>IF(AutoClaim_Data!D713&lt;=$B$2,IF(AutoClaim_Data!E713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3">
        <f>(F713-H713)^2</f>
        <v/>
      </c>
      <c r="J713">
        <f>--(E713="Validation")</f>
        <v/>
      </c>
    </row>
    <row r="714">
      <c r="D714">
        <f>AutoClaim_Data!A714</f>
        <v/>
      </c>
      <c r="E714">
        <f>AutoClaim_Data!B714</f>
        <v/>
      </c>
      <c r="F714">
        <f>AutoClaim_Data!C714</f>
        <v/>
      </c>
      <c r="G714">
        <f>IF(AutoClaim_Data!D714&lt;=$B$2,AVERAGEIFS(AutoClaim_Data!C2:C3168,AutoClaim_Data!B2:B3168,"Train",AutoClaim_Data!D2:D3168,"&lt;="&amp;$B$2),AVERAGEIFS(AutoClaim_Data!C2:C3168,AutoClaim_Data!B2:B3168,"Train",AutoClaim_Data!D2:D3168,"&gt;"&amp;$B$2))</f>
        <v/>
      </c>
      <c r="H714">
        <f>IF(AutoClaim_Data!D714&lt;=$B$2,IF(AutoClaim_Data!E714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4">
        <f>(F714-H714)^2</f>
        <v/>
      </c>
      <c r="J714">
        <f>--(E714="Validation")</f>
        <v/>
      </c>
    </row>
    <row r="715">
      <c r="D715">
        <f>AutoClaim_Data!A715</f>
        <v/>
      </c>
      <c r="E715">
        <f>AutoClaim_Data!B715</f>
        <v/>
      </c>
      <c r="F715">
        <f>AutoClaim_Data!C715</f>
        <v/>
      </c>
      <c r="G715">
        <f>IF(AutoClaim_Data!D715&lt;=$B$2,AVERAGEIFS(AutoClaim_Data!C2:C3168,AutoClaim_Data!B2:B3168,"Train",AutoClaim_Data!D2:D3168,"&lt;="&amp;$B$2),AVERAGEIFS(AutoClaim_Data!C2:C3168,AutoClaim_Data!B2:B3168,"Train",AutoClaim_Data!D2:D3168,"&gt;"&amp;$B$2))</f>
        <v/>
      </c>
      <c r="H715">
        <f>IF(AutoClaim_Data!D715&lt;=$B$2,IF(AutoClaim_Data!E715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5">
        <f>(F715-H715)^2</f>
        <v/>
      </c>
      <c r="J715">
        <f>--(E715="Validation")</f>
        <v/>
      </c>
    </row>
    <row r="716">
      <c r="D716">
        <f>AutoClaim_Data!A716</f>
        <v/>
      </c>
      <c r="E716">
        <f>AutoClaim_Data!B716</f>
        <v/>
      </c>
      <c r="F716">
        <f>AutoClaim_Data!C716</f>
        <v/>
      </c>
      <c r="G716">
        <f>IF(AutoClaim_Data!D716&lt;=$B$2,AVERAGEIFS(AutoClaim_Data!C2:C3168,AutoClaim_Data!B2:B3168,"Train",AutoClaim_Data!D2:D3168,"&lt;="&amp;$B$2),AVERAGEIFS(AutoClaim_Data!C2:C3168,AutoClaim_Data!B2:B3168,"Train",AutoClaim_Data!D2:D3168,"&gt;"&amp;$B$2))</f>
        <v/>
      </c>
      <c r="H716">
        <f>IF(AutoClaim_Data!D716&lt;=$B$2,IF(AutoClaim_Data!E716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6">
        <f>(F716-H716)^2</f>
        <v/>
      </c>
      <c r="J716">
        <f>--(E716="Validation")</f>
        <v/>
      </c>
    </row>
    <row r="717">
      <c r="D717">
        <f>AutoClaim_Data!A717</f>
        <v/>
      </c>
      <c r="E717">
        <f>AutoClaim_Data!B717</f>
        <v/>
      </c>
      <c r="F717">
        <f>AutoClaim_Data!C717</f>
        <v/>
      </c>
      <c r="G717">
        <f>IF(AutoClaim_Data!D717&lt;=$B$2,AVERAGEIFS(AutoClaim_Data!C2:C3168,AutoClaim_Data!B2:B3168,"Train",AutoClaim_Data!D2:D3168,"&lt;="&amp;$B$2),AVERAGEIFS(AutoClaim_Data!C2:C3168,AutoClaim_Data!B2:B3168,"Train",AutoClaim_Data!D2:D3168,"&gt;"&amp;$B$2))</f>
        <v/>
      </c>
      <c r="H717">
        <f>IF(AutoClaim_Data!D717&lt;=$B$2,IF(AutoClaim_Data!E717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7">
        <f>(F717-H717)^2</f>
        <v/>
      </c>
      <c r="J717">
        <f>--(E717="Validation")</f>
        <v/>
      </c>
    </row>
    <row r="718">
      <c r="D718">
        <f>AutoClaim_Data!A718</f>
        <v/>
      </c>
      <c r="E718">
        <f>AutoClaim_Data!B718</f>
        <v/>
      </c>
      <c r="F718">
        <f>AutoClaim_Data!C718</f>
        <v/>
      </c>
      <c r="G718">
        <f>IF(AutoClaim_Data!D718&lt;=$B$2,AVERAGEIFS(AutoClaim_Data!C2:C3168,AutoClaim_Data!B2:B3168,"Train",AutoClaim_Data!D2:D3168,"&lt;="&amp;$B$2),AVERAGEIFS(AutoClaim_Data!C2:C3168,AutoClaim_Data!B2:B3168,"Train",AutoClaim_Data!D2:D3168,"&gt;"&amp;$B$2))</f>
        <v/>
      </c>
      <c r="H718">
        <f>IF(AutoClaim_Data!D718&lt;=$B$2,IF(AutoClaim_Data!E718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8">
        <f>(F718-H718)^2</f>
        <v/>
      </c>
      <c r="J718">
        <f>--(E718="Validation")</f>
        <v/>
      </c>
    </row>
    <row r="719">
      <c r="D719">
        <f>AutoClaim_Data!A719</f>
        <v/>
      </c>
      <c r="E719">
        <f>AutoClaim_Data!B719</f>
        <v/>
      </c>
      <c r="F719">
        <f>AutoClaim_Data!C719</f>
        <v/>
      </c>
      <c r="G719">
        <f>IF(AutoClaim_Data!D719&lt;=$B$2,AVERAGEIFS(AutoClaim_Data!C2:C3168,AutoClaim_Data!B2:B3168,"Train",AutoClaim_Data!D2:D3168,"&lt;="&amp;$B$2),AVERAGEIFS(AutoClaim_Data!C2:C3168,AutoClaim_Data!B2:B3168,"Train",AutoClaim_Data!D2:D3168,"&gt;"&amp;$B$2))</f>
        <v/>
      </c>
      <c r="H719">
        <f>IF(AutoClaim_Data!D719&lt;=$B$2,IF(AutoClaim_Data!E719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19">
        <f>(F719-H719)^2</f>
        <v/>
      </c>
      <c r="J719">
        <f>--(E719="Validation")</f>
        <v/>
      </c>
    </row>
    <row r="720">
      <c r="D720">
        <f>AutoClaim_Data!A720</f>
        <v/>
      </c>
      <c r="E720">
        <f>AutoClaim_Data!B720</f>
        <v/>
      </c>
      <c r="F720">
        <f>AutoClaim_Data!C720</f>
        <v/>
      </c>
      <c r="G720">
        <f>IF(AutoClaim_Data!D720&lt;=$B$2,AVERAGEIFS(AutoClaim_Data!C2:C3168,AutoClaim_Data!B2:B3168,"Train",AutoClaim_Data!D2:D3168,"&lt;="&amp;$B$2),AVERAGEIFS(AutoClaim_Data!C2:C3168,AutoClaim_Data!B2:B3168,"Train",AutoClaim_Data!D2:D3168,"&gt;"&amp;$B$2))</f>
        <v/>
      </c>
      <c r="H720">
        <f>IF(AutoClaim_Data!D720&lt;=$B$2,IF(AutoClaim_Data!E720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0">
        <f>(F720-H720)^2</f>
        <v/>
      </c>
      <c r="J720">
        <f>--(E720="Validation")</f>
        <v/>
      </c>
    </row>
    <row r="721">
      <c r="D721">
        <f>AutoClaim_Data!A721</f>
        <v/>
      </c>
      <c r="E721">
        <f>AutoClaim_Data!B721</f>
        <v/>
      </c>
      <c r="F721">
        <f>AutoClaim_Data!C721</f>
        <v/>
      </c>
      <c r="G721">
        <f>IF(AutoClaim_Data!D721&lt;=$B$2,AVERAGEIFS(AutoClaim_Data!C2:C3168,AutoClaim_Data!B2:B3168,"Train",AutoClaim_Data!D2:D3168,"&lt;="&amp;$B$2),AVERAGEIFS(AutoClaim_Data!C2:C3168,AutoClaim_Data!B2:B3168,"Train",AutoClaim_Data!D2:D3168,"&gt;"&amp;$B$2))</f>
        <v/>
      </c>
      <c r="H721">
        <f>IF(AutoClaim_Data!D721&lt;=$B$2,IF(AutoClaim_Data!E721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1">
        <f>(F721-H721)^2</f>
        <v/>
      </c>
      <c r="J721">
        <f>--(E721="Validation")</f>
        <v/>
      </c>
    </row>
    <row r="722">
      <c r="D722">
        <f>AutoClaim_Data!A722</f>
        <v/>
      </c>
      <c r="E722">
        <f>AutoClaim_Data!B722</f>
        <v/>
      </c>
      <c r="F722">
        <f>AutoClaim_Data!C722</f>
        <v/>
      </c>
      <c r="G722">
        <f>IF(AutoClaim_Data!D722&lt;=$B$2,AVERAGEIFS(AutoClaim_Data!C2:C3168,AutoClaim_Data!B2:B3168,"Train",AutoClaim_Data!D2:D3168,"&lt;="&amp;$B$2),AVERAGEIFS(AutoClaim_Data!C2:C3168,AutoClaim_Data!B2:B3168,"Train",AutoClaim_Data!D2:D3168,"&gt;"&amp;$B$2))</f>
        <v/>
      </c>
      <c r="H722">
        <f>IF(AutoClaim_Data!D722&lt;=$B$2,IF(AutoClaim_Data!E722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2">
        <f>(F722-H722)^2</f>
        <v/>
      </c>
      <c r="J722">
        <f>--(E722="Validation")</f>
        <v/>
      </c>
    </row>
    <row r="723">
      <c r="D723">
        <f>AutoClaim_Data!A723</f>
        <v/>
      </c>
      <c r="E723">
        <f>AutoClaim_Data!B723</f>
        <v/>
      </c>
      <c r="F723">
        <f>AutoClaim_Data!C723</f>
        <v/>
      </c>
      <c r="G723">
        <f>IF(AutoClaim_Data!D723&lt;=$B$2,AVERAGEIFS(AutoClaim_Data!C2:C3168,AutoClaim_Data!B2:B3168,"Train",AutoClaim_Data!D2:D3168,"&lt;="&amp;$B$2),AVERAGEIFS(AutoClaim_Data!C2:C3168,AutoClaim_Data!B2:B3168,"Train",AutoClaim_Data!D2:D3168,"&gt;"&amp;$B$2))</f>
        <v/>
      </c>
      <c r="H723">
        <f>IF(AutoClaim_Data!D723&lt;=$B$2,IF(AutoClaim_Data!E723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3">
        <f>(F723-H723)^2</f>
        <v/>
      </c>
      <c r="J723">
        <f>--(E723="Validation")</f>
        <v/>
      </c>
    </row>
    <row r="724">
      <c r="D724">
        <f>AutoClaim_Data!A724</f>
        <v/>
      </c>
      <c r="E724">
        <f>AutoClaim_Data!B724</f>
        <v/>
      </c>
      <c r="F724">
        <f>AutoClaim_Data!C724</f>
        <v/>
      </c>
      <c r="G724">
        <f>IF(AutoClaim_Data!D724&lt;=$B$2,AVERAGEIFS(AutoClaim_Data!C2:C3168,AutoClaim_Data!B2:B3168,"Train",AutoClaim_Data!D2:D3168,"&lt;="&amp;$B$2),AVERAGEIFS(AutoClaim_Data!C2:C3168,AutoClaim_Data!B2:B3168,"Train",AutoClaim_Data!D2:D3168,"&gt;"&amp;$B$2))</f>
        <v/>
      </c>
      <c r="H724">
        <f>IF(AutoClaim_Data!D724&lt;=$B$2,IF(AutoClaim_Data!E724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4">
        <f>(F724-H724)^2</f>
        <v/>
      </c>
      <c r="J724">
        <f>--(E724="Validation")</f>
        <v/>
      </c>
    </row>
    <row r="725">
      <c r="D725">
        <f>AutoClaim_Data!A725</f>
        <v/>
      </c>
      <c r="E725">
        <f>AutoClaim_Data!B725</f>
        <v/>
      </c>
      <c r="F725">
        <f>AutoClaim_Data!C725</f>
        <v/>
      </c>
      <c r="G725">
        <f>IF(AutoClaim_Data!D725&lt;=$B$2,AVERAGEIFS(AutoClaim_Data!C2:C3168,AutoClaim_Data!B2:B3168,"Train",AutoClaim_Data!D2:D3168,"&lt;="&amp;$B$2),AVERAGEIFS(AutoClaim_Data!C2:C3168,AutoClaim_Data!B2:B3168,"Train",AutoClaim_Data!D2:D3168,"&gt;"&amp;$B$2))</f>
        <v/>
      </c>
      <c r="H725">
        <f>IF(AutoClaim_Data!D725&lt;=$B$2,IF(AutoClaim_Data!E725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5">
        <f>(F725-H725)^2</f>
        <v/>
      </c>
      <c r="J725">
        <f>--(E725="Validation")</f>
        <v/>
      </c>
    </row>
    <row r="726">
      <c r="D726">
        <f>AutoClaim_Data!A726</f>
        <v/>
      </c>
      <c r="E726">
        <f>AutoClaim_Data!B726</f>
        <v/>
      </c>
      <c r="F726">
        <f>AutoClaim_Data!C726</f>
        <v/>
      </c>
      <c r="G726">
        <f>IF(AutoClaim_Data!D726&lt;=$B$2,AVERAGEIFS(AutoClaim_Data!C2:C3168,AutoClaim_Data!B2:B3168,"Train",AutoClaim_Data!D2:D3168,"&lt;="&amp;$B$2),AVERAGEIFS(AutoClaim_Data!C2:C3168,AutoClaim_Data!B2:B3168,"Train",AutoClaim_Data!D2:D3168,"&gt;"&amp;$B$2))</f>
        <v/>
      </c>
      <c r="H726">
        <f>IF(AutoClaim_Data!D726&lt;=$B$2,IF(AutoClaim_Data!E726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6">
        <f>(F726-H726)^2</f>
        <v/>
      </c>
      <c r="J726">
        <f>--(E726="Validation")</f>
        <v/>
      </c>
    </row>
    <row r="727">
      <c r="D727">
        <f>AutoClaim_Data!A727</f>
        <v/>
      </c>
      <c r="E727">
        <f>AutoClaim_Data!B727</f>
        <v/>
      </c>
      <c r="F727">
        <f>AutoClaim_Data!C727</f>
        <v/>
      </c>
      <c r="G727">
        <f>IF(AutoClaim_Data!D727&lt;=$B$2,AVERAGEIFS(AutoClaim_Data!C2:C3168,AutoClaim_Data!B2:B3168,"Train",AutoClaim_Data!D2:D3168,"&lt;="&amp;$B$2),AVERAGEIFS(AutoClaim_Data!C2:C3168,AutoClaim_Data!B2:B3168,"Train",AutoClaim_Data!D2:D3168,"&gt;"&amp;$B$2))</f>
        <v/>
      </c>
      <c r="H727">
        <f>IF(AutoClaim_Data!D727&lt;=$B$2,IF(AutoClaim_Data!E727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7">
        <f>(F727-H727)^2</f>
        <v/>
      </c>
      <c r="J727">
        <f>--(E727="Validation")</f>
        <v/>
      </c>
    </row>
    <row r="728">
      <c r="D728">
        <f>AutoClaim_Data!A728</f>
        <v/>
      </c>
      <c r="E728">
        <f>AutoClaim_Data!B728</f>
        <v/>
      </c>
      <c r="F728">
        <f>AutoClaim_Data!C728</f>
        <v/>
      </c>
      <c r="G728">
        <f>IF(AutoClaim_Data!D728&lt;=$B$2,AVERAGEIFS(AutoClaim_Data!C2:C3168,AutoClaim_Data!B2:B3168,"Train",AutoClaim_Data!D2:D3168,"&lt;="&amp;$B$2),AVERAGEIFS(AutoClaim_Data!C2:C3168,AutoClaim_Data!B2:B3168,"Train",AutoClaim_Data!D2:D3168,"&gt;"&amp;$B$2))</f>
        <v/>
      </c>
      <c r="H728">
        <f>IF(AutoClaim_Data!D728&lt;=$B$2,IF(AutoClaim_Data!E728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8">
        <f>(F728-H728)^2</f>
        <v/>
      </c>
      <c r="J728">
        <f>--(E728="Validation")</f>
        <v/>
      </c>
    </row>
    <row r="729">
      <c r="D729">
        <f>AutoClaim_Data!A729</f>
        <v/>
      </c>
      <c r="E729">
        <f>AutoClaim_Data!B729</f>
        <v/>
      </c>
      <c r="F729">
        <f>AutoClaim_Data!C729</f>
        <v/>
      </c>
      <c r="G729">
        <f>IF(AutoClaim_Data!D729&lt;=$B$2,AVERAGEIFS(AutoClaim_Data!C2:C3168,AutoClaim_Data!B2:B3168,"Train",AutoClaim_Data!D2:D3168,"&lt;="&amp;$B$2),AVERAGEIFS(AutoClaim_Data!C2:C3168,AutoClaim_Data!B2:B3168,"Train",AutoClaim_Data!D2:D3168,"&gt;"&amp;$B$2))</f>
        <v/>
      </c>
      <c r="H729">
        <f>IF(AutoClaim_Data!D729&lt;=$B$2,IF(AutoClaim_Data!E729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29">
        <f>(F729-H729)^2</f>
        <v/>
      </c>
      <c r="J729">
        <f>--(E729="Validation")</f>
        <v/>
      </c>
    </row>
    <row r="730">
      <c r="D730">
        <f>AutoClaim_Data!A730</f>
        <v/>
      </c>
      <c r="E730">
        <f>AutoClaim_Data!B730</f>
        <v/>
      </c>
      <c r="F730">
        <f>AutoClaim_Data!C730</f>
        <v/>
      </c>
      <c r="G730">
        <f>IF(AutoClaim_Data!D730&lt;=$B$2,AVERAGEIFS(AutoClaim_Data!C2:C3168,AutoClaim_Data!B2:B3168,"Train",AutoClaim_Data!D2:D3168,"&lt;="&amp;$B$2),AVERAGEIFS(AutoClaim_Data!C2:C3168,AutoClaim_Data!B2:B3168,"Train",AutoClaim_Data!D2:D3168,"&gt;"&amp;$B$2))</f>
        <v/>
      </c>
      <c r="H730">
        <f>IF(AutoClaim_Data!D730&lt;=$B$2,IF(AutoClaim_Data!E730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0">
        <f>(F730-H730)^2</f>
        <v/>
      </c>
      <c r="J730">
        <f>--(E730="Validation")</f>
        <v/>
      </c>
    </row>
    <row r="731">
      <c r="D731">
        <f>AutoClaim_Data!A731</f>
        <v/>
      </c>
      <c r="E731">
        <f>AutoClaim_Data!B731</f>
        <v/>
      </c>
      <c r="F731">
        <f>AutoClaim_Data!C731</f>
        <v/>
      </c>
      <c r="G731">
        <f>IF(AutoClaim_Data!D731&lt;=$B$2,AVERAGEIFS(AutoClaim_Data!C2:C3168,AutoClaim_Data!B2:B3168,"Train",AutoClaim_Data!D2:D3168,"&lt;="&amp;$B$2),AVERAGEIFS(AutoClaim_Data!C2:C3168,AutoClaim_Data!B2:B3168,"Train",AutoClaim_Data!D2:D3168,"&gt;"&amp;$B$2))</f>
        <v/>
      </c>
      <c r="H731">
        <f>IF(AutoClaim_Data!D731&lt;=$B$2,IF(AutoClaim_Data!E731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1">
        <f>(F731-H731)^2</f>
        <v/>
      </c>
      <c r="J731">
        <f>--(E731="Validation")</f>
        <v/>
      </c>
    </row>
    <row r="732">
      <c r="D732">
        <f>AutoClaim_Data!A732</f>
        <v/>
      </c>
      <c r="E732">
        <f>AutoClaim_Data!B732</f>
        <v/>
      </c>
      <c r="F732">
        <f>AutoClaim_Data!C732</f>
        <v/>
      </c>
      <c r="G732">
        <f>IF(AutoClaim_Data!D732&lt;=$B$2,AVERAGEIFS(AutoClaim_Data!C2:C3168,AutoClaim_Data!B2:B3168,"Train",AutoClaim_Data!D2:D3168,"&lt;="&amp;$B$2),AVERAGEIFS(AutoClaim_Data!C2:C3168,AutoClaim_Data!B2:B3168,"Train",AutoClaim_Data!D2:D3168,"&gt;"&amp;$B$2))</f>
        <v/>
      </c>
      <c r="H732">
        <f>IF(AutoClaim_Data!D732&lt;=$B$2,IF(AutoClaim_Data!E732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2">
        <f>(F732-H732)^2</f>
        <v/>
      </c>
      <c r="J732">
        <f>--(E732="Validation")</f>
        <v/>
      </c>
    </row>
    <row r="733">
      <c r="D733">
        <f>AutoClaim_Data!A733</f>
        <v/>
      </c>
      <c r="E733">
        <f>AutoClaim_Data!B733</f>
        <v/>
      </c>
      <c r="F733">
        <f>AutoClaim_Data!C733</f>
        <v/>
      </c>
      <c r="G733">
        <f>IF(AutoClaim_Data!D733&lt;=$B$2,AVERAGEIFS(AutoClaim_Data!C2:C3168,AutoClaim_Data!B2:B3168,"Train",AutoClaim_Data!D2:D3168,"&lt;="&amp;$B$2),AVERAGEIFS(AutoClaim_Data!C2:C3168,AutoClaim_Data!B2:B3168,"Train",AutoClaim_Data!D2:D3168,"&gt;"&amp;$B$2))</f>
        <v/>
      </c>
      <c r="H733">
        <f>IF(AutoClaim_Data!D733&lt;=$B$2,IF(AutoClaim_Data!E733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3">
        <f>(F733-H733)^2</f>
        <v/>
      </c>
      <c r="J733">
        <f>--(E733="Validation")</f>
        <v/>
      </c>
    </row>
    <row r="734">
      <c r="D734">
        <f>AutoClaim_Data!A734</f>
        <v/>
      </c>
      <c r="E734">
        <f>AutoClaim_Data!B734</f>
        <v/>
      </c>
      <c r="F734">
        <f>AutoClaim_Data!C734</f>
        <v/>
      </c>
      <c r="G734">
        <f>IF(AutoClaim_Data!D734&lt;=$B$2,AVERAGEIFS(AutoClaim_Data!C2:C3168,AutoClaim_Data!B2:B3168,"Train",AutoClaim_Data!D2:D3168,"&lt;="&amp;$B$2),AVERAGEIFS(AutoClaim_Data!C2:C3168,AutoClaim_Data!B2:B3168,"Train",AutoClaim_Data!D2:D3168,"&gt;"&amp;$B$2))</f>
        <v/>
      </c>
      <c r="H734">
        <f>IF(AutoClaim_Data!D734&lt;=$B$2,IF(AutoClaim_Data!E734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4">
        <f>(F734-H734)^2</f>
        <v/>
      </c>
      <c r="J734">
        <f>--(E734="Validation")</f>
        <v/>
      </c>
    </row>
    <row r="735">
      <c r="D735">
        <f>AutoClaim_Data!A735</f>
        <v/>
      </c>
      <c r="E735">
        <f>AutoClaim_Data!B735</f>
        <v/>
      </c>
      <c r="F735">
        <f>AutoClaim_Data!C735</f>
        <v/>
      </c>
      <c r="G735">
        <f>IF(AutoClaim_Data!D735&lt;=$B$2,AVERAGEIFS(AutoClaim_Data!C2:C3168,AutoClaim_Data!B2:B3168,"Train",AutoClaim_Data!D2:D3168,"&lt;="&amp;$B$2),AVERAGEIFS(AutoClaim_Data!C2:C3168,AutoClaim_Data!B2:B3168,"Train",AutoClaim_Data!D2:D3168,"&gt;"&amp;$B$2))</f>
        <v/>
      </c>
      <c r="H735">
        <f>IF(AutoClaim_Data!D735&lt;=$B$2,IF(AutoClaim_Data!E735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5">
        <f>(F735-H735)^2</f>
        <v/>
      </c>
      <c r="J735">
        <f>--(E735="Validation")</f>
        <v/>
      </c>
    </row>
    <row r="736">
      <c r="D736">
        <f>AutoClaim_Data!A736</f>
        <v/>
      </c>
      <c r="E736">
        <f>AutoClaim_Data!B736</f>
        <v/>
      </c>
      <c r="F736">
        <f>AutoClaim_Data!C736</f>
        <v/>
      </c>
      <c r="G736">
        <f>IF(AutoClaim_Data!D736&lt;=$B$2,AVERAGEIFS(AutoClaim_Data!C2:C3168,AutoClaim_Data!B2:B3168,"Train",AutoClaim_Data!D2:D3168,"&lt;="&amp;$B$2),AVERAGEIFS(AutoClaim_Data!C2:C3168,AutoClaim_Data!B2:B3168,"Train",AutoClaim_Data!D2:D3168,"&gt;"&amp;$B$2))</f>
        <v/>
      </c>
      <c r="H736">
        <f>IF(AutoClaim_Data!D736&lt;=$B$2,IF(AutoClaim_Data!E736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6">
        <f>(F736-H736)^2</f>
        <v/>
      </c>
      <c r="J736">
        <f>--(E736="Validation")</f>
        <v/>
      </c>
    </row>
    <row r="737">
      <c r="D737">
        <f>AutoClaim_Data!A737</f>
        <v/>
      </c>
      <c r="E737">
        <f>AutoClaim_Data!B737</f>
        <v/>
      </c>
      <c r="F737">
        <f>AutoClaim_Data!C737</f>
        <v/>
      </c>
      <c r="G737">
        <f>IF(AutoClaim_Data!D737&lt;=$B$2,AVERAGEIFS(AutoClaim_Data!C2:C3168,AutoClaim_Data!B2:B3168,"Train",AutoClaim_Data!D2:D3168,"&lt;="&amp;$B$2),AVERAGEIFS(AutoClaim_Data!C2:C3168,AutoClaim_Data!B2:B3168,"Train",AutoClaim_Data!D2:D3168,"&gt;"&amp;$B$2))</f>
        <v/>
      </c>
      <c r="H737">
        <f>IF(AutoClaim_Data!D737&lt;=$B$2,IF(AutoClaim_Data!E737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7">
        <f>(F737-H737)^2</f>
        <v/>
      </c>
      <c r="J737">
        <f>--(E737="Validation")</f>
        <v/>
      </c>
    </row>
    <row r="738">
      <c r="D738">
        <f>AutoClaim_Data!A738</f>
        <v/>
      </c>
      <c r="E738">
        <f>AutoClaim_Data!B738</f>
        <v/>
      </c>
      <c r="F738">
        <f>AutoClaim_Data!C738</f>
        <v/>
      </c>
      <c r="G738">
        <f>IF(AutoClaim_Data!D738&lt;=$B$2,AVERAGEIFS(AutoClaim_Data!C2:C3168,AutoClaim_Data!B2:B3168,"Train",AutoClaim_Data!D2:D3168,"&lt;="&amp;$B$2),AVERAGEIFS(AutoClaim_Data!C2:C3168,AutoClaim_Data!B2:B3168,"Train",AutoClaim_Data!D2:D3168,"&gt;"&amp;$B$2))</f>
        <v/>
      </c>
      <c r="H738">
        <f>IF(AutoClaim_Data!D738&lt;=$B$2,IF(AutoClaim_Data!E738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8">
        <f>(F738-H738)^2</f>
        <v/>
      </c>
      <c r="J738">
        <f>--(E738="Validation")</f>
        <v/>
      </c>
    </row>
    <row r="739">
      <c r="D739">
        <f>AutoClaim_Data!A739</f>
        <v/>
      </c>
      <c r="E739">
        <f>AutoClaim_Data!B739</f>
        <v/>
      </c>
      <c r="F739">
        <f>AutoClaim_Data!C739</f>
        <v/>
      </c>
      <c r="G739">
        <f>IF(AutoClaim_Data!D739&lt;=$B$2,AVERAGEIFS(AutoClaim_Data!C2:C3168,AutoClaim_Data!B2:B3168,"Train",AutoClaim_Data!D2:D3168,"&lt;="&amp;$B$2),AVERAGEIFS(AutoClaim_Data!C2:C3168,AutoClaim_Data!B2:B3168,"Train",AutoClaim_Data!D2:D3168,"&gt;"&amp;$B$2))</f>
        <v/>
      </c>
      <c r="H739">
        <f>IF(AutoClaim_Data!D739&lt;=$B$2,IF(AutoClaim_Data!E739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39">
        <f>(F739-H739)^2</f>
        <v/>
      </c>
      <c r="J739">
        <f>--(E739="Validation")</f>
        <v/>
      </c>
    </row>
    <row r="740">
      <c r="D740">
        <f>AutoClaim_Data!A740</f>
        <v/>
      </c>
      <c r="E740">
        <f>AutoClaim_Data!B740</f>
        <v/>
      </c>
      <c r="F740">
        <f>AutoClaim_Data!C740</f>
        <v/>
      </c>
      <c r="G740">
        <f>IF(AutoClaim_Data!D740&lt;=$B$2,AVERAGEIFS(AutoClaim_Data!C2:C3168,AutoClaim_Data!B2:B3168,"Train",AutoClaim_Data!D2:D3168,"&lt;="&amp;$B$2),AVERAGEIFS(AutoClaim_Data!C2:C3168,AutoClaim_Data!B2:B3168,"Train",AutoClaim_Data!D2:D3168,"&gt;"&amp;$B$2))</f>
        <v/>
      </c>
      <c r="H740">
        <f>IF(AutoClaim_Data!D740&lt;=$B$2,IF(AutoClaim_Data!E740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0">
        <f>(F740-H740)^2</f>
        <v/>
      </c>
      <c r="J740">
        <f>--(E740="Validation")</f>
        <v/>
      </c>
    </row>
    <row r="741">
      <c r="D741">
        <f>AutoClaim_Data!A741</f>
        <v/>
      </c>
      <c r="E741">
        <f>AutoClaim_Data!B741</f>
        <v/>
      </c>
      <c r="F741">
        <f>AutoClaim_Data!C741</f>
        <v/>
      </c>
      <c r="G741">
        <f>IF(AutoClaim_Data!D741&lt;=$B$2,AVERAGEIFS(AutoClaim_Data!C2:C3168,AutoClaim_Data!B2:B3168,"Train",AutoClaim_Data!D2:D3168,"&lt;="&amp;$B$2),AVERAGEIFS(AutoClaim_Data!C2:C3168,AutoClaim_Data!B2:B3168,"Train",AutoClaim_Data!D2:D3168,"&gt;"&amp;$B$2))</f>
        <v/>
      </c>
      <c r="H741">
        <f>IF(AutoClaim_Data!D741&lt;=$B$2,IF(AutoClaim_Data!E741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1">
        <f>(F741-H741)^2</f>
        <v/>
      </c>
      <c r="J741">
        <f>--(E741="Validation")</f>
        <v/>
      </c>
    </row>
    <row r="742">
      <c r="D742">
        <f>AutoClaim_Data!A742</f>
        <v/>
      </c>
      <c r="E742">
        <f>AutoClaim_Data!B742</f>
        <v/>
      </c>
      <c r="F742">
        <f>AutoClaim_Data!C742</f>
        <v/>
      </c>
      <c r="G742">
        <f>IF(AutoClaim_Data!D742&lt;=$B$2,AVERAGEIFS(AutoClaim_Data!C2:C3168,AutoClaim_Data!B2:B3168,"Train",AutoClaim_Data!D2:D3168,"&lt;="&amp;$B$2),AVERAGEIFS(AutoClaim_Data!C2:C3168,AutoClaim_Data!B2:B3168,"Train",AutoClaim_Data!D2:D3168,"&gt;"&amp;$B$2))</f>
        <v/>
      </c>
      <c r="H742">
        <f>IF(AutoClaim_Data!D742&lt;=$B$2,IF(AutoClaim_Data!E742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2">
        <f>(F742-H742)^2</f>
        <v/>
      </c>
      <c r="J742">
        <f>--(E742="Validation")</f>
        <v/>
      </c>
    </row>
    <row r="743">
      <c r="D743">
        <f>AutoClaim_Data!A743</f>
        <v/>
      </c>
      <c r="E743">
        <f>AutoClaim_Data!B743</f>
        <v/>
      </c>
      <c r="F743">
        <f>AutoClaim_Data!C743</f>
        <v/>
      </c>
      <c r="G743">
        <f>IF(AutoClaim_Data!D743&lt;=$B$2,AVERAGEIFS(AutoClaim_Data!C2:C3168,AutoClaim_Data!B2:B3168,"Train",AutoClaim_Data!D2:D3168,"&lt;="&amp;$B$2),AVERAGEIFS(AutoClaim_Data!C2:C3168,AutoClaim_Data!B2:B3168,"Train",AutoClaim_Data!D2:D3168,"&gt;"&amp;$B$2))</f>
        <v/>
      </c>
      <c r="H743">
        <f>IF(AutoClaim_Data!D743&lt;=$B$2,IF(AutoClaim_Data!E743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3">
        <f>(F743-H743)^2</f>
        <v/>
      </c>
      <c r="J743">
        <f>--(E743="Validation")</f>
        <v/>
      </c>
    </row>
    <row r="744">
      <c r="D744">
        <f>AutoClaim_Data!A744</f>
        <v/>
      </c>
      <c r="E744">
        <f>AutoClaim_Data!B744</f>
        <v/>
      </c>
      <c r="F744">
        <f>AutoClaim_Data!C744</f>
        <v/>
      </c>
      <c r="G744">
        <f>IF(AutoClaim_Data!D744&lt;=$B$2,AVERAGEIFS(AutoClaim_Data!C2:C3168,AutoClaim_Data!B2:B3168,"Train",AutoClaim_Data!D2:D3168,"&lt;="&amp;$B$2),AVERAGEIFS(AutoClaim_Data!C2:C3168,AutoClaim_Data!B2:B3168,"Train",AutoClaim_Data!D2:D3168,"&gt;"&amp;$B$2))</f>
        <v/>
      </c>
      <c r="H744">
        <f>IF(AutoClaim_Data!D744&lt;=$B$2,IF(AutoClaim_Data!E744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4">
        <f>(F744-H744)^2</f>
        <v/>
      </c>
      <c r="J744">
        <f>--(E744="Validation")</f>
        <v/>
      </c>
    </row>
    <row r="745">
      <c r="D745">
        <f>AutoClaim_Data!A745</f>
        <v/>
      </c>
      <c r="E745">
        <f>AutoClaim_Data!B745</f>
        <v/>
      </c>
      <c r="F745">
        <f>AutoClaim_Data!C745</f>
        <v/>
      </c>
      <c r="G745">
        <f>IF(AutoClaim_Data!D745&lt;=$B$2,AVERAGEIFS(AutoClaim_Data!C2:C3168,AutoClaim_Data!B2:B3168,"Train",AutoClaim_Data!D2:D3168,"&lt;="&amp;$B$2),AVERAGEIFS(AutoClaim_Data!C2:C3168,AutoClaim_Data!B2:B3168,"Train",AutoClaim_Data!D2:D3168,"&gt;"&amp;$B$2))</f>
        <v/>
      </c>
      <c r="H745">
        <f>IF(AutoClaim_Data!D745&lt;=$B$2,IF(AutoClaim_Data!E745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5">
        <f>(F745-H745)^2</f>
        <v/>
      </c>
      <c r="J745">
        <f>--(E745="Validation")</f>
        <v/>
      </c>
    </row>
    <row r="746">
      <c r="D746">
        <f>AutoClaim_Data!A746</f>
        <v/>
      </c>
      <c r="E746">
        <f>AutoClaim_Data!B746</f>
        <v/>
      </c>
      <c r="F746">
        <f>AutoClaim_Data!C746</f>
        <v/>
      </c>
      <c r="G746">
        <f>IF(AutoClaim_Data!D746&lt;=$B$2,AVERAGEIFS(AutoClaim_Data!C2:C3168,AutoClaim_Data!B2:B3168,"Train",AutoClaim_Data!D2:D3168,"&lt;="&amp;$B$2),AVERAGEIFS(AutoClaim_Data!C2:C3168,AutoClaim_Data!B2:B3168,"Train",AutoClaim_Data!D2:D3168,"&gt;"&amp;$B$2))</f>
        <v/>
      </c>
      <c r="H746">
        <f>IF(AutoClaim_Data!D746&lt;=$B$2,IF(AutoClaim_Data!E746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6">
        <f>(F746-H746)^2</f>
        <v/>
      </c>
      <c r="J746">
        <f>--(E746="Validation")</f>
        <v/>
      </c>
    </row>
    <row r="747">
      <c r="D747">
        <f>AutoClaim_Data!A747</f>
        <v/>
      </c>
      <c r="E747">
        <f>AutoClaim_Data!B747</f>
        <v/>
      </c>
      <c r="F747">
        <f>AutoClaim_Data!C747</f>
        <v/>
      </c>
      <c r="G747">
        <f>IF(AutoClaim_Data!D747&lt;=$B$2,AVERAGEIFS(AutoClaim_Data!C2:C3168,AutoClaim_Data!B2:B3168,"Train",AutoClaim_Data!D2:D3168,"&lt;="&amp;$B$2),AVERAGEIFS(AutoClaim_Data!C2:C3168,AutoClaim_Data!B2:B3168,"Train",AutoClaim_Data!D2:D3168,"&gt;"&amp;$B$2))</f>
        <v/>
      </c>
      <c r="H747">
        <f>IF(AutoClaim_Data!D747&lt;=$B$2,IF(AutoClaim_Data!E747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7">
        <f>(F747-H747)^2</f>
        <v/>
      </c>
      <c r="J747">
        <f>--(E747="Validation")</f>
        <v/>
      </c>
    </row>
    <row r="748">
      <c r="D748">
        <f>AutoClaim_Data!A748</f>
        <v/>
      </c>
      <c r="E748">
        <f>AutoClaim_Data!B748</f>
        <v/>
      </c>
      <c r="F748">
        <f>AutoClaim_Data!C748</f>
        <v/>
      </c>
      <c r="G748">
        <f>IF(AutoClaim_Data!D748&lt;=$B$2,AVERAGEIFS(AutoClaim_Data!C2:C3168,AutoClaim_Data!B2:B3168,"Train",AutoClaim_Data!D2:D3168,"&lt;="&amp;$B$2),AVERAGEIFS(AutoClaim_Data!C2:C3168,AutoClaim_Data!B2:B3168,"Train",AutoClaim_Data!D2:D3168,"&gt;"&amp;$B$2))</f>
        <v/>
      </c>
      <c r="H748">
        <f>IF(AutoClaim_Data!D748&lt;=$B$2,IF(AutoClaim_Data!E748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8">
        <f>(F748-H748)^2</f>
        <v/>
      </c>
      <c r="J748">
        <f>--(E748="Validation")</f>
        <v/>
      </c>
    </row>
    <row r="749">
      <c r="D749">
        <f>AutoClaim_Data!A749</f>
        <v/>
      </c>
      <c r="E749">
        <f>AutoClaim_Data!B749</f>
        <v/>
      </c>
      <c r="F749">
        <f>AutoClaim_Data!C749</f>
        <v/>
      </c>
      <c r="G749">
        <f>IF(AutoClaim_Data!D749&lt;=$B$2,AVERAGEIFS(AutoClaim_Data!C2:C3168,AutoClaim_Data!B2:B3168,"Train",AutoClaim_Data!D2:D3168,"&lt;="&amp;$B$2),AVERAGEIFS(AutoClaim_Data!C2:C3168,AutoClaim_Data!B2:B3168,"Train",AutoClaim_Data!D2:D3168,"&gt;"&amp;$B$2))</f>
        <v/>
      </c>
      <c r="H749">
        <f>IF(AutoClaim_Data!D749&lt;=$B$2,IF(AutoClaim_Data!E749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49">
        <f>(F749-H749)^2</f>
        <v/>
      </c>
      <c r="J749">
        <f>--(E749="Validation")</f>
        <v/>
      </c>
    </row>
    <row r="750">
      <c r="D750">
        <f>AutoClaim_Data!A750</f>
        <v/>
      </c>
      <c r="E750">
        <f>AutoClaim_Data!B750</f>
        <v/>
      </c>
      <c r="F750">
        <f>AutoClaim_Data!C750</f>
        <v/>
      </c>
      <c r="G750">
        <f>IF(AutoClaim_Data!D750&lt;=$B$2,AVERAGEIFS(AutoClaim_Data!C2:C3168,AutoClaim_Data!B2:B3168,"Train",AutoClaim_Data!D2:D3168,"&lt;="&amp;$B$2),AVERAGEIFS(AutoClaim_Data!C2:C3168,AutoClaim_Data!B2:B3168,"Train",AutoClaim_Data!D2:D3168,"&gt;"&amp;$B$2))</f>
        <v/>
      </c>
      <c r="H750">
        <f>IF(AutoClaim_Data!D750&lt;=$B$2,IF(AutoClaim_Data!E750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0">
        <f>(F750-H750)^2</f>
        <v/>
      </c>
      <c r="J750">
        <f>--(E750="Validation")</f>
        <v/>
      </c>
    </row>
    <row r="751">
      <c r="D751">
        <f>AutoClaim_Data!A751</f>
        <v/>
      </c>
      <c r="E751">
        <f>AutoClaim_Data!B751</f>
        <v/>
      </c>
      <c r="F751">
        <f>AutoClaim_Data!C751</f>
        <v/>
      </c>
      <c r="G751">
        <f>IF(AutoClaim_Data!D751&lt;=$B$2,AVERAGEIFS(AutoClaim_Data!C2:C3168,AutoClaim_Data!B2:B3168,"Train",AutoClaim_Data!D2:D3168,"&lt;="&amp;$B$2),AVERAGEIFS(AutoClaim_Data!C2:C3168,AutoClaim_Data!B2:B3168,"Train",AutoClaim_Data!D2:D3168,"&gt;"&amp;$B$2))</f>
        <v/>
      </c>
      <c r="H751">
        <f>IF(AutoClaim_Data!D751&lt;=$B$2,IF(AutoClaim_Data!E751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1">
        <f>(F751-H751)^2</f>
        <v/>
      </c>
      <c r="J751">
        <f>--(E751="Validation")</f>
        <v/>
      </c>
    </row>
    <row r="752">
      <c r="D752">
        <f>AutoClaim_Data!A752</f>
        <v/>
      </c>
      <c r="E752">
        <f>AutoClaim_Data!B752</f>
        <v/>
      </c>
      <c r="F752">
        <f>AutoClaim_Data!C752</f>
        <v/>
      </c>
      <c r="G752">
        <f>IF(AutoClaim_Data!D752&lt;=$B$2,AVERAGEIFS(AutoClaim_Data!C2:C3168,AutoClaim_Data!B2:B3168,"Train",AutoClaim_Data!D2:D3168,"&lt;="&amp;$B$2),AVERAGEIFS(AutoClaim_Data!C2:C3168,AutoClaim_Data!B2:B3168,"Train",AutoClaim_Data!D2:D3168,"&gt;"&amp;$B$2))</f>
        <v/>
      </c>
      <c r="H752">
        <f>IF(AutoClaim_Data!D752&lt;=$B$2,IF(AutoClaim_Data!E752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2">
        <f>(F752-H752)^2</f>
        <v/>
      </c>
      <c r="J752">
        <f>--(E752="Validation")</f>
        <v/>
      </c>
    </row>
    <row r="753">
      <c r="D753">
        <f>AutoClaim_Data!A753</f>
        <v/>
      </c>
      <c r="E753">
        <f>AutoClaim_Data!B753</f>
        <v/>
      </c>
      <c r="F753">
        <f>AutoClaim_Data!C753</f>
        <v/>
      </c>
      <c r="G753">
        <f>IF(AutoClaim_Data!D753&lt;=$B$2,AVERAGEIFS(AutoClaim_Data!C2:C3168,AutoClaim_Data!B2:B3168,"Train",AutoClaim_Data!D2:D3168,"&lt;="&amp;$B$2),AVERAGEIFS(AutoClaim_Data!C2:C3168,AutoClaim_Data!B2:B3168,"Train",AutoClaim_Data!D2:D3168,"&gt;"&amp;$B$2))</f>
        <v/>
      </c>
      <c r="H753">
        <f>IF(AutoClaim_Data!D753&lt;=$B$2,IF(AutoClaim_Data!E753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3">
        <f>(F753-H753)^2</f>
        <v/>
      </c>
      <c r="J753">
        <f>--(E753="Validation")</f>
        <v/>
      </c>
    </row>
    <row r="754">
      <c r="D754">
        <f>AutoClaim_Data!A754</f>
        <v/>
      </c>
      <c r="E754">
        <f>AutoClaim_Data!B754</f>
        <v/>
      </c>
      <c r="F754">
        <f>AutoClaim_Data!C754</f>
        <v/>
      </c>
      <c r="G754">
        <f>IF(AutoClaim_Data!D754&lt;=$B$2,AVERAGEIFS(AutoClaim_Data!C2:C3168,AutoClaim_Data!B2:B3168,"Train",AutoClaim_Data!D2:D3168,"&lt;="&amp;$B$2),AVERAGEIFS(AutoClaim_Data!C2:C3168,AutoClaim_Data!B2:B3168,"Train",AutoClaim_Data!D2:D3168,"&gt;"&amp;$B$2))</f>
        <v/>
      </c>
      <c r="H754">
        <f>IF(AutoClaim_Data!D754&lt;=$B$2,IF(AutoClaim_Data!E754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4">
        <f>(F754-H754)^2</f>
        <v/>
      </c>
      <c r="J754">
        <f>--(E754="Validation")</f>
        <v/>
      </c>
    </row>
    <row r="755">
      <c r="D755">
        <f>AutoClaim_Data!A755</f>
        <v/>
      </c>
      <c r="E755">
        <f>AutoClaim_Data!B755</f>
        <v/>
      </c>
      <c r="F755">
        <f>AutoClaim_Data!C755</f>
        <v/>
      </c>
      <c r="G755">
        <f>IF(AutoClaim_Data!D755&lt;=$B$2,AVERAGEIFS(AutoClaim_Data!C2:C3168,AutoClaim_Data!B2:B3168,"Train",AutoClaim_Data!D2:D3168,"&lt;="&amp;$B$2),AVERAGEIFS(AutoClaim_Data!C2:C3168,AutoClaim_Data!B2:B3168,"Train",AutoClaim_Data!D2:D3168,"&gt;"&amp;$B$2))</f>
        <v/>
      </c>
      <c r="H755">
        <f>IF(AutoClaim_Data!D755&lt;=$B$2,IF(AutoClaim_Data!E755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5">
        <f>(F755-H755)^2</f>
        <v/>
      </c>
      <c r="J755">
        <f>--(E755="Validation")</f>
        <v/>
      </c>
    </row>
    <row r="756">
      <c r="D756">
        <f>AutoClaim_Data!A756</f>
        <v/>
      </c>
      <c r="E756">
        <f>AutoClaim_Data!B756</f>
        <v/>
      </c>
      <c r="F756">
        <f>AutoClaim_Data!C756</f>
        <v/>
      </c>
      <c r="G756">
        <f>IF(AutoClaim_Data!D756&lt;=$B$2,AVERAGEIFS(AutoClaim_Data!C2:C3168,AutoClaim_Data!B2:B3168,"Train",AutoClaim_Data!D2:D3168,"&lt;="&amp;$B$2),AVERAGEIFS(AutoClaim_Data!C2:C3168,AutoClaim_Data!B2:B3168,"Train",AutoClaim_Data!D2:D3168,"&gt;"&amp;$B$2))</f>
        <v/>
      </c>
      <c r="H756">
        <f>IF(AutoClaim_Data!D756&lt;=$B$2,IF(AutoClaim_Data!E756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6">
        <f>(F756-H756)^2</f>
        <v/>
      </c>
      <c r="J756">
        <f>--(E756="Validation")</f>
        <v/>
      </c>
    </row>
    <row r="757">
      <c r="D757">
        <f>AutoClaim_Data!A757</f>
        <v/>
      </c>
      <c r="E757">
        <f>AutoClaim_Data!B757</f>
        <v/>
      </c>
      <c r="F757">
        <f>AutoClaim_Data!C757</f>
        <v/>
      </c>
      <c r="G757">
        <f>IF(AutoClaim_Data!D757&lt;=$B$2,AVERAGEIFS(AutoClaim_Data!C2:C3168,AutoClaim_Data!B2:B3168,"Train",AutoClaim_Data!D2:D3168,"&lt;="&amp;$B$2),AVERAGEIFS(AutoClaim_Data!C2:C3168,AutoClaim_Data!B2:B3168,"Train",AutoClaim_Data!D2:D3168,"&gt;"&amp;$B$2))</f>
        <v/>
      </c>
      <c r="H757">
        <f>IF(AutoClaim_Data!D757&lt;=$B$2,IF(AutoClaim_Data!E757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7">
        <f>(F757-H757)^2</f>
        <v/>
      </c>
      <c r="J757">
        <f>--(E757="Validation")</f>
        <v/>
      </c>
    </row>
    <row r="758">
      <c r="D758">
        <f>AutoClaim_Data!A758</f>
        <v/>
      </c>
      <c r="E758">
        <f>AutoClaim_Data!B758</f>
        <v/>
      </c>
      <c r="F758">
        <f>AutoClaim_Data!C758</f>
        <v/>
      </c>
      <c r="G758">
        <f>IF(AutoClaim_Data!D758&lt;=$B$2,AVERAGEIFS(AutoClaim_Data!C2:C3168,AutoClaim_Data!B2:B3168,"Train",AutoClaim_Data!D2:D3168,"&lt;="&amp;$B$2),AVERAGEIFS(AutoClaim_Data!C2:C3168,AutoClaim_Data!B2:B3168,"Train",AutoClaim_Data!D2:D3168,"&gt;"&amp;$B$2))</f>
        <v/>
      </c>
      <c r="H758">
        <f>IF(AutoClaim_Data!D758&lt;=$B$2,IF(AutoClaim_Data!E758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8">
        <f>(F758-H758)^2</f>
        <v/>
      </c>
      <c r="J758">
        <f>--(E758="Validation")</f>
        <v/>
      </c>
    </row>
    <row r="759">
      <c r="D759">
        <f>AutoClaim_Data!A759</f>
        <v/>
      </c>
      <c r="E759">
        <f>AutoClaim_Data!B759</f>
        <v/>
      </c>
      <c r="F759">
        <f>AutoClaim_Data!C759</f>
        <v/>
      </c>
      <c r="G759">
        <f>IF(AutoClaim_Data!D759&lt;=$B$2,AVERAGEIFS(AutoClaim_Data!C2:C3168,AutoClaim_Data!B2:B3168,"Train",AutoClaim_Data!D2:D3168,"&lt;="&amp;$B$2),AVERAGEIFS(AutoClaim_Data!C2:C3168,AutoClaim_Data!B2:B3168,"Train",AutoClaim_Data!D2:D3168,"&gt;"&amp;$B$2))</f>
        <v/>
      </c>
      <c r="H759">
        <f>IF(AutoClaim_Data!D759&lt;=$B$2,IF(AutoClaim_Data!E759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59">
        <f>(F759-H759)^2</f>
        <v/>
      </c>
      <c r="J759">
        <f>--(E759="Validation")</f>
        <v/>
      </c>
    </row>
    <row r="760">
      <c r="D760">
        <f>AutoClaim_Data!A760</f>
        <v/>
      </c>
      <c r="E760">
        <f>AutoClaim_Data!B760</f>
        <v/>
      </c>
      <c r="F760">
        <f>AutoClaim_Data!C760</f>
        <v/>
      </c>
      <c r="G760">
        <f>IF(AutoClaim_Data!D760&lt;=$B$2,AVERAGEIFS(AutoClaim_Data!C2:C3168,AutoClaim_Data!B2:B3168,"Train",AutoClaim_Data!D2:D3168,"&lt;="&amp;$B$2),AVERAGEIFS(AutoClaim_Data!C2:C3168,AutoClaim_Data!B2:B3168,"Train",AutoClaim_Data!D2:D3168,"&gt;"&amp;$B$2))</f>
        <v/>
      </c>
      <c r="H760">
        <f>IF(AutoClaim_Data!D760&lt;=$B$2,IF(AutoClaim_Data!E760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0">
        <f>(F760-H760)^2</f>
        <v/>
      </c>
      <c r="J760">
        <f>--(E760="Validation")</f>
        <v/>
      </c>
    </row>
    <row r="761">
      <c r="D761">
        <f>AutoClaim_Data!A761</f>
        <v/>
      </c>
      <c r="E761">
        <f>AutoClaim_Data!B761</f>
        <v/>
      </c>
      <c r="F761">
        <f>AutoClaim_Data!C761</f>
        <v/>
      </c>
      <c r="G761">
        <f>IF(AutoClaim_Data!D761&lt;=$B$2,AVERAGEIFS(AutoClaim_Data!C2:C3168,AutoClaim_Data!B2:B3168,"Train",AutoClaim_Data!D2:D3168,"&lt;="&amp;$B$2),AVERAGEIFS(AutoClaim_Data!C2:C3168,AutoClaim_Data!B2:B3168,"Train",AutoClaim_Data!D2:D3168,"&gt;"&amp;$B$2))</f>
        <v/>
      </c>
      <c r="H761">
        <f>IF(AutoClaim_Data!D761&lt;=$B$2,IF(AutoClaim_Data!E761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1">
        <f>(F761-H761)^2</f>
        <v/>
      </c>
      <c r="J761">
        <f>--(E761="Validation")</f>
        <v/>
      </c>
    </row>
    <row r="762">
      <c r="D762">
        <f>AutoClaim_Data!A762</f>
        <v/>
      </c>
      <c r="E762">
        <f>AutoClaim_Data!B762</f>
        <v/>
      </c>
      <c r="F762">
        <f>AutoClaim_Data!C762</f>
        <v/>
      </c>
      <c r="G762">
        <f>IF(AutoClaim_Data!D762&lt;=$B$2,AVERAGEIFS(AutoClaim_Data!C2:C3168,AutoClaim_Data!B2:B3168,"Train",AutoClaim_Data!D2:D3168,"&lt;="&amp;$B$2),AVERAGEIFS(AutoClaim_Data!C2:C3168,AutoClaim_Data!B2:B3168,"Train",AutoClaim_Data!D2:D3168,"&gt;"&amp;$B$2))</f>
        <v/>
      </c>
      <c r="H762">
        <f>IF(AutoClaim_Data!D762&lt;=$B$2,IF(AutoClaim_Data!E762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2">
        <f>(F762-H762)^2</f>
        <v/>
      </c>
      <c r="J762">
        <f>--(E762="Validation")</f>
        <v/>
      </c>
    </row>
    <row r="763">
      <c r="D763">
        <f>AutoClaim_Data!A763</f>
        <v/>
      </c>
      <c r="E763">
        <f>AutoClaim_Data!B763</f>
        <v/>
      </c>
      <c r="F763">
        <f>AutoClaim_Data!C763</f>
        <v/>
      </c>
      <c r="G763">
        <f>IF(AutoClaim_Data!D763&lt;=$B$2,AVERAGEIFS(AutoClaim_Data!C2:C3168,AutoClaim_Data!B2:B3168,"Train",AutoClaim_Data!D2:D3168,"&lt;="&amp;$B$2),AVERAGEIFS(AutoClaim_Data!C2:C3168,AutoClaim_Data!B2:B3168,"Train",AutoClaim_Data!D2:D3168,"&gt;"&amp;$B$2))</f>
        <v/>
      </c>
      <c r="H763">
        <f>IF(AutoClaim_Data!D763&lt;=$B$2,IF(AutoClaim_Data!E763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3">
        <f>(F763-H763)^2</f>
        <v/>
      </c>
      <c r="J763">
        <f>--(E763="Validation")</f>
        <v/>
      </c>
    </row>
    <row r="764">
      <c r="D764">
        <f>AutoClaim_Data!A764</f>
        <v/>
      </c>
      <c r="E764">
        <f>AutoClaim_Data!B764</f>
        <v/>
      </c>
      <c r="F764">
        <f>AutoClaim_Data!C764</f>
        <v/>
      </c>
      <c r="G764">
        <f>IF(AutoClaim_Data!D764&lt;=$B$2,AVERAGEIFS(AutoClaim_Data!C2:C3168,AutoClaim_Data!B2:B3168,"Train",AutoClaim_Data!D2:D3168,"&lt;="&amp;$B$2),AVERAGEIFS(AutoClaim_Data!C2:C3168,AutoClaim_Data!B2:B3168,"Train",AutoClaim_Data!D2:D3168,"&gt;"&amp;$B$2))</f>
        <v/>
      </c>
      <c r="H764">
        <f>IF(AutoClaim_Data!D764&lt;=$B$2,IF(AutoClaim_Data!E764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4">
        <f>(F764-H764)^2</f>
        <v/>
      </c>
      <c r="J764">
        <f>--(E764="Validation")</f>
        <v/>
      </c>
    </row>
    <row r="765">
      <c r="D765">
        <f>AutoClaim_Data!A765</f>
        <v/>
      </c>
      <c r="E765">
        <f>AutoClaim_Data!B765</f>
        <v/>
      </c>
      <c r="F765">
        <f>AutoClaim_Data!C765</f>
        <v/>
      </c>
      <c r="G765">
        <f>IF(AutoClaim_Data!D765&lt;=$B$2,AVERAGEIFS(AutoClaim_Data!C2:C3168,AutoClaim_Data!B2:B3168,"Train",AutoClaim_Data!D2:D3168,"&lt;="&amp;$B$2),AVERAGEIFS(AutoClaim_Data!C2:C3168,AutoClaim_Data!B2:B3168,"Train",AutoClaim_Data!D2:D3168,"&gt;"&amp;$B$2))</f>
        <v/>
      </c>
      <c r="H765">
        <f>IF(AutoClaim_Data!D765&lt;=$B$2,IF(AutoClaim_Data!E765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5">
        <f>(F765-H765)^2</f>
        <v/>
      </c>
      <c r="J765">
        <f>--(E765="Validation")</f>
        <v/>
      </c>
    </row>
    <row r="766">
      <c r="D766">
        <f>AutoClaim_Data!A766</f>
        <v/>
      </c>
      <c r="E766">
        <f>AutoClaim_Data!B766</f>
        <v/>
      </c>
      <c r="F766">
        <f>AutoClaim_Data!C766</f>
        <v/>
      </c>
      <c r="G766">
        <f>IF(AutoClaim_Data!D766&lt;=$B$2,AVERAGEIFS(AutoClaim_Data!C2:C3168,AutoClaim_Data!B2:B3168,"Train",AutoClaim_Data!D2:D3168,"&lt;="&amp;$B$2),AVERAGEIFS(AutoClaim_Data!C2:C3168,AutoClaim_Data!B2:B3168,"Train",AutoClaim_Data!D2:D3168,"&gt;"&amp;$B$2))</f>
        <v/>
      </c>
      <c r="H766">
        <f>IF(AutoClaim_Data!D766&lt;=$B$2,IF(AutoClaim_Data!E766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6">
        <f>(F766-H766)^2</f>
        <v/>
      </c>
      <c r="J766">
        <f>--(E766="Validation")</f>
        <v/>
      </c>
    </row>
    <row r="767">
      <c r="D767">
        <f>AutoClaim_Data!A767</f>
        <v/>
      </c>
      <c r="E767">
        <f>AutoClaim_Data!B767</f>
        <v/>
      </c>
      <c r="F767">
        <f>AutoClaim_Data!C767</f>
        <v/>
      </c>
      <c r="G767">
        <f>IF(AutoClaim_Data!D767&lt;=$B$2,AVERAGEIFS(AutoClaim_Data!C2:C3168,AutoClaim_Data!B2:B3168,"Train",AutoClaim_Data!D2:D3168,"&lt;="&amp;$B$2),AVERAGEIFS(AutoClaim_Data!C2:C3168,AutoClaim_Data!B2:B3168,"Train",AutoClaim_Data!D2:D3168,"&gt;"&amp;$B$2))</f>
        <v/>
      </c>
      <c r="H767">
        <f>IF(AutoClaim_Data!D767&lt;=$B$2,IF(AutoClaim_Data!E767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7">
        <f>(F767-H767)^2</f>
        <v/>
      </c>
      <c r="J767">
        <f>--(E767="Validation")</f>
        <v/>
      </c>
    </row>
    <row r="768">
      <c r="D768">
        <f>AutoClaim_Data!A768</f>
        <v/>
      </c>
      <c r="E768">
        <f>AutoClaim_Data!B768</f>
        <v/>
      </c>
      <c r="F768">
        <f>AutoClaim_Data!C768</f>
        <v/>
      </c>
      <c r="G768">
        <f>IF(AutoClaim_Data!D768&lt;=$B$2,AVERAGEIFS(AutoClaim_Data!C2:C3168,AutoClaim_Data!B2:B3168,"Train",AutoClaim_Data!D2:D3168,"&lt;="&amp;$B$2),AVERAGEIFS(AutoClaim_Data!C2:C3168,AutoClaim_Data!B2:B3168,"Train",AutoClaim_Data!D2:D3168,"&gt;"&amp;$B$2))</f>
        <v/>
      </c>
      <c r="H768">
        <f>IF(AutoClaim_Data!D768&lt;=$B$2,IF(AutoClaim_Data!E768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8">
        <f>(F768-H768)^2</f>
        <v/>
      </c>
      <c r="J768">
        <f>--(E768="Validation")</f>
        <v/>
      </c>
    </row>
    <row r="769">
      <c r="D769">
        <f>AutoClaim_Data!A769</f>
        <v/>
      </c>
      <c r="E769">
        <f>AutoClaim_Data!B769</f>
        <v/>
      </c>
      <c r="F769">
        <f>AutoClaim_Data!C769</f>
        <v/>
      </c>
      <c r="G769">
        <f>IF(AutoClaim_Data!D769&lt;=$B$2,AVERAGEIFS(AutoClaim_Data!C2:C3168,AutoClaim_Data!B2:B3168,"Train",AutoClaim_Data!D2:D3168,"&lt;="&amp;$B$2),AVERAGEIFS(AutoClaim_Data!C2:C3168,AutoClaim_Data!B2:B3168,"Train",AutoClaim_Data!D2:D3168,"&gt;"&amp;$B$2))</f>
        <v/>
      </c>
      <c r="H769">
        <f>IF(AutoClaim_Data!D769&lt;=$B$2,IF(AutoClaim_Data!E769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69">
        <f>(F769-H769)^2</f>
        <v/>
      </c>
      <c r="J769">
        <f>--(E769="Validation")</f>
        <v/>
      </c>
    </row>
    <row r="770">
      <c r="D770">
        <f>AutoClaim_Data!A770</f>
        <v/>
      </c>
      <c r="E770">
        <f>AutoClaim_Data!B770</f>
        <v/>
      </c>
      <c r="F770">
        <f>AutoClaim_Data!C770</f>
        <v/>
      </c>
      <c r="G770">
        <f>IF(AutoClaim_Data!D770&lt;=$B$2,AVERAGEIFS(AutoClaim_Data!C2:C3168,AutoClaim_Data!B2:B3168,"Train",AutoClaim_Data!D2:D3168,"&lt;="&amp;$B$2),AVERAGEIFS(AutoClaim_Data!C2:C3168,AutoClaim_Data!B2:B3168,"Train",AutoClaim_Data!D2:D3168,"&gt;"&amp;$B$2))</f>
        <v/>
      </c>
      <c r="H770">
        <f>IF(AutoClaim_Data!D770&lt;=$B$2,IF(AutoClaim_Data!E770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0">
        <f>(F770-H770)^2</f>
        <v/>
      </c>
      <c r="J770">
        <f>--(E770="Validation")</f>
        <v/>
      </c>
    </row>
    <row r="771">
      <c r="D771">
        <f>AutoClaim_Data!A771</f>
        <v/>
      </c>
      <c r="E771">
        <f>AutoClaim_Data!B771</f>
        <v/>
      </c>
      <c r="F771">
        <f>AutoClaim_Data!C771</f>
        <v/>
      </c>
      <c r="G771">
        <f>IF(AutoClaim_Data!D771&lt;=$B$2,AVERAGEIFS(AutoClaim_Data!C2:C3168,AutoClaim_Data!B2:B3168,"Train",AutoClaim_Data!D2:D3168,"&lt;="&amp;$B$2),AVERAGEIFS(AutoClaim_Data!C2:C3168,AutoClaim_Data!B2:B3168,"Train",AutoClaim_Data!D2:D3168,"&gt;"&amp;$B$2))</f>
        <v/>
      </c>
      <c r="H771">
        <f>IF(AutoClaim_Data!D771&lt;=$B$2,IF(AutoClaim_Data!E771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1">
        <f>(F771-H771)^2</f>
        <v/>
      </c>
      <c r="J771">
        <f>--(E771="Validation")</f>
        <v/>
      </c>
    </row>
    <row r="772">
      <c r="D772">
        <f>AutoClaim_Data!A772</f>
        <v/>
      </c>
      <c r="E772">
        <f>AutoClaim_Data!B772</f>
        <v/>
      </c>
      <c r="F772">
        <f>AutoClaim_Data!C772</f>
        <v/>
      </c>
      <c r="G772">
        <f>IF(AutoClaim_Data!D772&lt;=$B$2,AVERAGEIFS(AutoClaim_Data!C2:C3168,AutoClaim_Data!B2:B3168,"Train",AutoClaim_Data!D2:D3168,"&lt;="&amp;$B$2),AVERAGEIFS(AutoClaim_Data!C2:C3168,AutoClaim_Data!B2:B3168,"Train",AutoClaim_Data!D2:D3168,"&gt;"&amp;$B$2))</f>
        <v/>
      </c>
      <c r="H772">
        <f>IF(AutoClaim_Data!D772&lt;=$B$2,IF(AutoClaim_Data!E772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2">
        <f>(F772-H772)^2</f>
        <v/>
      </c>
      <c r="J772">
        <f>--(E772="Validation")</f>
        <v/>
      </c>
    </row>
    <row r="773">
      <c r="D773">
        <f>AutoClaim_Data!A773</f>
        <v/>
      </c>
      <c r="E773">
        <f>AutoClaim_Data!B773</f>
        <v/>
      </c>
      <c r="F773">
        <f>AutoClaim_Data!C773</f>
        <v/>
      </c>
      <c r="G773">
        <f>IF(AutoClaim_Data!D773&lt;=$B$2,AVERAGEIFS(AutoClaim_Data!C2:C3168,AutoClaim_Data!B2:B3168,"Train",AutoClaim_Data!D2:D3168,"&lt;="&amp;$B$2),AVERAGEIFS(AutoClaim_Data!C2:C3168,AutoClaim_Data!B2:B3168,"Train",AutoClaim_Data!D2:D3168,"&gt;"&amp;$B$2))</f>
        <v/>
      </c>
      <c r="H773">
        <f>IF(AutoClaim_Data!D773&lt;=$B$2,IF(AutoClaim_Data!E773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3">
        <f>(F773-H773)^2</f>
        <v/>
      </c>
      <c r="J773">
        <f>--(E773="Validation")</f>
        <v/>
      </c>
    </row>
    <row r="774">
      <c r="D774">
        <f>AutoClaim_Data!A774</f>
        <v/>
      </c>
      <c r="E774">
        <f>AutoClaim_Data!B774</f>
        <v/>
      </c>
      <c r="F774">
        <f>AutoClaim_Data!C774</f>
        <v/>
      </c>
      <c r="G774">
        <f>IF(AutoClaim_Data!D774&lt;=$B$2,AVERAGEIFS(AutoClaim_Data!C2:C3168,AutoClaim_Data!B2:B3168,"Train",AutoClaim_Data!D2:D3168,"&lt;="&amp;$B$2),AVERAGEIFS(AutoClaim_Data!C2:C3168,AutoClaim_Data!B2:B3168,"Train",AutoClaim_Data!D2:D3168,"&gt;"&amp;$B$2))</f>
        <v/>
      </c>
      <c r="H774">
        <f>IF(AutoClaim_Data!D774&lt;=$B$2,IF(AutoClaim_Data!E774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4">
        <f>(F774-H774)^2</f>
        <v/>
      </c>
      <c r="J774">
        <f>--(E774="Validation")</f>
        <v/>
      </c>
    </row>
    <row r="775">
      <c r="D775">
        <f>AutoClaim_Data!A775</f>
        <v/>
      </c>
      <c r="E775">
        <f>AutoClaim_Data!B775</f>
        <v/>
      </c>
      <c r="F775">
        <f>AutoClaim_Data!C775</f>
        <v/>
      </c>
      <c r="G775">
        <f>IF(AutoClaim_Data!D775&lt;=$B$2,AVERAGEIFS(AutoClaim_Data!C2:C3168,AutoClaim_Data!B2:B3168,"Train",AutoClaim_Data!D2:D3168,"&lt;="&amp;$B$2),AVERAGEIFS(AutoClaim_Data!C2:C3168,AutoClaim_Data!B2:B3168,"Train",AutoClaim_Data!D2:D3168,"&gt;"&amp;$B$2))</f>
        <v/>
      </c>
      <c r="H775">
        <f>IF(AutoClaim_Data!D775&lt;=$B$2,IF(AutoClaim_Data!E775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5">
        <f>(F775-H775)^2</f>
        <v/>
      </c>
      <c r="J775">
        <f>--(E775="Validation")</f>
        <v/>
      </c>
    </row>
    <row r="776">
      <c r="D776">
        <f>AutoClaim_Data!A776</f>
        <v/>
      </c>
      <c r="E776">
        <f>AutoClaim_Data!B776</f>
        <v/>
      </c>
      <c r="F776">
        <f>AutoClaim_Data!C776</f>
        <v/>
      </c>
      <c r="G776">
        <f>IF(AutoClaim_Data!D776&lt;=$B$2,AVERAGEIFS(AutoClaim_Data!C2:C3168,AutoClaim_Data!B2:B3168,"Train",AutoClaim_Data!D2:D3168,"&lt;="&amp;$B$2),AVERAGEIFS(AutoClaim_Data!C2:C3168,AutoClaim_Data!B2:B3168,"Train",AutoClaim_Data!D2:D3168,"&gt;"&amp;$B$2))</f>
        <v/>
      </c>
      <c r="H776">
        <f>IF(AutoClaim_Data!D776&lt;=$B$2,IF(AutoClaim_Data!E776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6">
        <f>(F776-H776)^2</f>
        <v/>
      </c>
      <c r="J776">
        <f>--(E776="Validation")</f>
        <v/>
      </c>
    </row>
    <row r="777">
      <c r="D777">
        <f>AutoClaim_Data!A777</f>
        <v/>
      </c>
      <c r="E777">
        <f>AutoClaim_Data!B777</f>
        <v/>
      </c>
      <c r="F777">
        <f>AutoClaim_Data!C777</f>
        <v/>
      </c>
      <c r="G777">
        <f>IF(AutoClaim_Data!D777&lt;=$B$2,AVERAGEIFS(AutoClaim_Data!C2:C3168,AutoClaim_Data!B2:B3168,"Train",AutoClaim_Data!D2:D3168,"&lt;="&amp;$B$2),AVERAGEIFS(AutoClaim_Data!C2:C3168,AutoClaim_Data!B2:B3168,"Train",AutoClaim_Data!D2:D3168,"&gt;"&amp;$B$2))</f>
        <v/>
      </c>
      <c r="H777">
        <f>IF(AutoClaim_Data!D777&lt;=$B$2,IF(AutoClaim_Data!E777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7">
        <f>(F777-H777)^2</f>
        <v/>
      </c>
      <c r="J777">
        <f>--(E777="Validation")</f>
        <v/>
      </c>
    </row>
    <row r="778">
      <c r="D778">
        <f>AutoClaim_Data!A778</f>
        <v/>
      </c>
      <c r="E778">
        <f>AutoClaim_Data!B778</f>
        <v/>
      </c>
      <c r="F778">
        <f>AutoClaim_Data!C778</f>
        <v/>
      </c>
      <c r="G778">
        <f>IF(AutoClaim_Data!D778&lt;=$B$2,AVERAGEIFS(AutoClaim_Data!C2:C3168,AutoClaim_Data!B2:B3168,"Train",AutoClaim_Data!D2:D3168,"&lt;="&amp;$B$2),AVERAGEIFS(AutoClaim_Data!C2:C3168,AutoClaim_Data!B2:B3168,"Train",AutoClaim_Data!D2:D3168,"&gt;"&amp;$B$2))</f>
        <v/>
      </c>
      <c r="H778">
        <f>IF(AutoClaim_Data!D778&lt;=$B$2,IF(AutoClaim_Data!E778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8">
        <f>(F778-H778)^2</f>
        <v/>
      </c>
      <c r="J778">
        <f>--(E778="Validation")</f>
        <v/>
      </c>
    </row>
    <row r="779">
      <c r="D779">
        <f>AutoClaim_Data!A779</f>
        <v/>
      </c>
      <c r="E779">
        <f>AutoClaim_Data!B779</f>
        <v/>
      </c>
      <c r="F779">
        <f>AutoClaim_Data!C779</f>
        <v/>
      </c>
      <c r="G779">
        <f>IF(AutoClaim_Data!D779&lt;=$B$2,AVERAGEIFS(AutoClaim_Data!C2:C3168,AutoClaim_Data!B2:B3168,"Train",AutoClaim_Data!D2:D3168,"&lt;="&amp;$B$2),AVERAGEIFS(AutoClaim_Data!C2:C3168,AutoClaim_Data!B2:B3168,"Train",AutoClaim_Data!D2:D3168,"&gt;"&amp;$B$2))</f>
        <v/>
      </c>
      <c r="H779">
        <f>IF(AutoClaim_Data!D779&lt;=$B$2,IF(AutoClaim_Data!E779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79">
        <f>(F779-H779)^2</f>
        <v/>
      </c>
      <c r="J779">
        <f>--(E779="Validation")</f>
        <v/>
      </c>
    </row>
    <row r="780">
      <c r="D780">
        <f>AutoClaim_Data!A780</f>
        <v/>
      </c>
      <c r="E780">
        <f>AutoClaim_Data!B780</f>
        <v/>
      </c>
      <c r="F780">
        <f>AutoClaim_Data!C780</f>
        <v/>
      </c>
      <c r="G780">
        <f>IF(AutoClaim_Data!D780&lt;=$B$2,AVERAGEIFS(AutoClaim_Data!C2:C3168,AutoClaim_Data!B2:B3168,"Train",AutoClaim_Data!D2:D3168,"&lt;="&amp;$B$2),AVERAGEIFS(AutoClaim_Data!C2:C3168,AutoClaim_Data!B2:B3168,"Train",AutoClaim_Data!D2:D3168,"&gt;"&amp;$B$2))</f>
        <v/>
      </c>
      <c r="H780">
        <f>IF(AutoClaim_Data!D780&lt;=$B$2,IF(AutoClaim_Data!E780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0">
        <f>(F780-H780)^2</f>
        <v/>
      </c>
      <c r="J780">
        <f>--(E780="Validation")</f>
        <v/>
      </c>
    </row>
    <row r="781">
      <c r="D781">
        <f>AutoClaim_Data!A781</f>
        <v/>
      </c>
      <c r="E781">
        <f>AutoClaim_Data!B781</f>
        <v/>
      </c>
      <c r="F781">
        <f>AutoClaim_Data!C781</f>
        <v/>
      </c>
      <c r="G781">
        <f>IF(AutoClaim_Data!D781&lt;=$B$2,AVERAGEIFS(AutoClaim_Data!C2:C3168,AutoClaim_Data!B2:B3168,"Train",AutoClaim_Data!D2:D3168,"&lt;="&amp;$B$2),AVERAGEIFS(AutoClaim_Data!C2:C3168,AutoClaim_Data!B2:B3168,"Train",AutoClaim_Data!D2:D3168,"&gt;"&amp;$B$2))</f>
        <v/>
      </c>
      <c r="H781">
        <f>IF(AutoClaim_Data!D781&lt;=$B$2,IF(AutoClaim_Data!E781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1">
        <f>(F781-H781)^2</f>
        <v/>
      </c>
      <c r="J781">
        <f>--(E781="Validation")</f>
        <v/>
      </c>
    </row>
    <row r="782">
      <c r="D782">
        <f>AutoClaim_Data!A782</f>
        <v/>
      </c>
      <c r="E782">
        <f>AutoClaim_Data!B782</f>
        <v/>
      </c>
      <c r="F782">
        <f>AutoClaim_Data!C782</f>
        <v/>
      </c>
      <c r="G782">
        <f>IF(AutoClaim_Data!D782&lt;=$B$2,AVERAGEIFS(AutoClaim_Data!C2:C3168,AutoClaim_Data!B2:B3168,"Train",AutoClaim_Data!D2:D3168,"&lt;="&amp;$B$2),AVERAGEIFS(AutoClaim_Data!C2:C3168,AutoClaim_Data!B2:B3168,"Train",AutoClaim_Data!D2:D3168,"&gt;"&amp;$B$2))</f>
        <v/>
      </c>
      <c r="H782">
        <f>IF(AutoClaim_Data!D782&lt;=$B$2,IF(AutoClaim_Data!E782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2">
        <f>(F782-H782)^2</f>
        <v/>
      </c>
      <c r="J782">
        <f>--(E782="Validation")</f>
        <v/>
      </c>
    </row>
    <row r="783">
      <c r="D783">
        <f>AutoClaim_Data!A783</f>
        <v/>
      </c>
      <c r="E783">
        <f>AutoClaim_Data!B783</f>
        <v/>
      </c>
      <c r="F783">
        <f>AutoClaim_Data!C783</f>
        <v/>
      </c>
      <c r="G783">
        <f>IF(AutoClaim_Data!D783&lt;=$B$2,AVERAGEIFS(AutoClaim_Data!C2:C3168,AutoClaim_Data!B2:B3168,"Train",AutoClaim_Data!D2:D3168,"&lt;="&amp;$B$2),AVERAGEIFS(AutoClaim_Data!C2:C3168,AutoClaim_Data!B2:B3168,"Train",AutoClaim_Data!D2:D3168,"&gt;"&amp;$B$2))</f>
        <v/>
      </c>
      <c r="H783">
        <f>IF(AutoClaim_Data!D783&lt;=$B$2,IF(AutoClaim_Data!E783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3">
        <f>(F783-H783)^2</f>
        <v/>
      </c>
      <c r="J783">
        <f>--(E783="Validation")</f>
        <v/>
      </c>
    </row>
    <row r="784">
      <c r="D784">
        <f>AutoClaim_Data!A784</f>
        <v/>
      </c>
      <c r="E784">
        <f>AutoClaim_Data!B784</f>
        <v/>
      </c>
      <c r="F784">
        <f>AutoClaim_Data!C784</f>
        <v/>
      </c>
      <c r="G784">
        <f>IF(AutoClaim_Data!D784&lt;=$B$2,AVERAGEIFS(AutoClaim_Data!C2:C3168,AutoClaim_Data!B2:B3168,"Train",AutoClaim_Data!D2:D3168,"&lt;="&amp;$B$2),AVERAGEIFS(AutoClaim_Data!C2:C3168,AutoClaim_Data!B2:B3168,"Train",AutoClaim_Data!D2:D3168,"&gt;"&amp;$B$2))</f>
        <v/>
      </c>
      <c r="H784">
        <f>IF(AutoClaim_Data!D784&lt;=$B$2,IF(AutoClaim_Data!E784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4">
        <f>(F784-H784)^2</f>
        <v/>
      </c>
      <c r="J784">
        <f>--(E784="Validation")</f>
        <v/>
      </c>
    </row>
    <row r="785">
      <c r="D785">
        <f>AutoClaim_Data!A785</f>
        <v/>
      </c>
      <c r="E785">
        <f>AutoClaim_Data!B785</f>
        <v/>
      </c>
      <c r="F785">
        <f>AutoClaim_Data!C785</f>
        <v/>
      </c>
      <c r="G785">
        <f>IF(AutoClaim_Data!D785&lt;=$B$2,AVERAGEIFS(AutoClaim_Data!C2:C3168,AutoClaim_Data!B2:B3168,"Train",AutoClaim_Data!D2:D3168,"&lt;="&amp;$B$2),AVERAGEIFS(AutoClaim_Data!C2:C3168,AutoClaim_Data!B2:B3168,"Train",AutoClaim_Data!D2:D3168,"&gt;"&amp;$B$2))</f>
        <v/>
      </c>
      <c r="H785">
        <f>IF(AutoClaim_Data!D785&lt;=$B$2,IF(AutoClaim_Data!E785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5">
        <f>(F785-H785)^2</f>
        <v/>
      </c>
      <c r="J785">
        <f>--(E785="Validation")</f>
        <v/>
      </c>
    </row>
    <row r="786">
      <c r="D786">
        <f>AutoClaim_Data!A786</f>
        <v/>
      </c>
      <c r="E786">
        <f>AutoClaim_Data!B786</f>
        <v/>
      </c>
      <c r="F786">
        <f>AutoClaim_Data!C786</f>
        <v/>
      </c>
      <c r="G786">
        <f>IF(AutoClaim_Data!D786&lt;=$B$2,AVERAGEIFS(AutoClaim_Data!C2:C3168,AutoClaim_Data!B2:B3168,"Train",AutoClaim_Data!D2:D3168,"&lt;="&amp;$B$2),AVERAGEIFS(AutoClaim_Data!C2:C3168,AutoClaim_Data!B2:B3168,"Train",AutoClaim_Data!D2:D3168,"&gt;"&amp;$B$2))</f>
        <v/>
      </c>
      <c r="H786">
        <f>IF(AutoClaim_Data!D786&lt;=$B$2,IF(AutoClaim_Data!E786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6">
        <f>(F786-H786)^2</f>
        <v/>
      </c>
      <c r="J786">
        <f>--(E786="Validation")</f>
        <v/>
      </c>
    </row>
    <row r="787">
      <c r="D787">
        <f>AutoClaim_Data!A787</f>
        <v/>
      </c>
      <c r="E787">
        <f>AutoClaim_Data!B787</f>
        <v/>
      </c>
      <c r="F787">
        <f>AutoClaim_Data!C787</f>
        <v/>
      </c>
      <c r="G787">
        <f>IF(AutoClaim_Data!D787&lt;=$B$2,AVERAGEIFS(AutoClaim_Data!C2:C3168,AutoClaim_Data!B2:B3168,"Train",AutoClaim_Data!D2:D3168,"&lt;="&amp;$B$2),AVERAGEIFS(AutoClaim_Data!C2:C3168,AutoClaim_Data!B2:B3168,"Train",AutoClaim_Data!D2:D3168,"&gt;"&amp;$B$2))</f>
        <v/>
      </c>
      <c r="H787">
        <f>IF(AutoClaim_Data!D787&lt;=$B$2,IF(AutoClaim_Data!E787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7">
        <f>(F787-H787)^2</f>
        <v/>
      </c>
      <c r="J787">
        <f>--(E787="Validation")</f>
        <v/>
      </c>
    </row>
    <row r="788">
      <c r="D788">
        <f>AutoClaim_Data!A788</f>
        <v/>
      </c>
      <c r="E788">
        <f>AutoClaim_Data!B788</f>
        <v/>
      </c>
      <c r="F788">
        <f>AutoClaim_Data!C788</f>
        <v/>
      </c>
      <c r="G788">
        <f>IF(AutoClaim_Data!D788&lt;=$B$2,AVERAGEIFS(AutoClaim_Data!C2:C3168,AutoClaim_Data!B2:B3168,"Train",AutoClaim_Data!D2:D3168,"&lt;="&amp;$B$2),AVERAGEIFS(AutoClaim_Data!C2:C3168,AutoClaim_Data!B2:B3168,"Train",AutoClaim_Data!D2:D3168,"&gt;"&amp;$B$2))</f>
        <v/>
      </c>
      <c r="H788">
        <f>IF(AutoClaim_Data!D788&lt;=$B$2,IF(AutoClaim_Data!E788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8">
        <f>(F788-H788)^2</f>
        <v/>
      </c>
      <c r="J788">
        <f>--(E788="Validation")</f>
        <v/>
      </c>
    </row>
    <row r="789">
      <c r="D789">
        <f>AutoClaim_Data!A789</f>
        <v/>
      </c>
      <c r="E789">
        <f>AutoClaim_Data!B789</f>
        <v/>
      </c>
      <c r="F789">
        <f>AutoClaim_Data!C789</f>
        <v/>
      </c>
      <c r="G789">
        <f>IF(AutoClaim_Data!D789&lt;=$B$2,AVERAGEIFS(AutoClaim_Data!C2:C3168,AutoClaim_Data!B2:B3168,"Train",AutoClaim_Data!D2:D3168,"&lt;="&amp;$B$2),AVERAGEIFS(AutoClaim_Data!C2:C3168,AutoClaim_Data!B2:B3168,"Train",AutoClaim_Data!D2:D3168,"&gt;"&amp;$B$2))</f>
        <v/>
      </c>
      <c r="H789">
        <f>IF(AutoClaim_Data!D789&lt;=$B$2,IF(AutoClaim_Data!E789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89">
        <f>(F789-H789)^2</f>
        <v/>
      </c>
      <c r="J789">
        <f>--(E789="Validation")</f>
        <v/>
      </c>
    </row>
    <row r="790">
      <c r="D790">
        <f>AutoClaim_Data!A790</f>
        <v/>
      </c>
      <c r="E790">
        <f>AutoClaim_Data!B790</f>
        <v/>
      </c>
      <c r="F790">
        <f>AutoClaim_Data!C790</f>
        <v/>
      </c>
      <c r="G790">
        <f>IF(AutoClaim_Data!D790&lt;=$B$2,AVERAGEIFS(AutoClaim_Data!C2:C3168,AutoClaim_Data!B2:B3168,"Train",AutoClaim_Data!D2:D3168,"&lt;="&amp;$B$2),AVERAGEIFS(AutoClaim_Data!C2:C3168,AutoClaim_Data!B2:B3168,"Train",AutoClaim_Data!D2:D3168,"&gt;"&amp;$B$2))</f>
        <v/>
      </c>
      <c r="H790">
        <f>IF(AutoClaim_Data!D790&lt;=$B$2,IF(AutoClaim_Data!E790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0">
        <f>(F790-H790)^2</f>
        <v/>
      </c>
      <c r="J790">
        <f>--(E790="Validation")</f>
        <v/>
      </c>
    </row>
    <row r="791">
      <c r="D791">
        <f>AutoClaim_Data!A791</f>
        <v/>
      </c>
      <c r="E791">
        <f>AutoClaim_Data!B791</f>
        <v/>
      </c>
      <c r="F791">
        <f>AutoClaim_Data!C791</f>
        <v/>
      </c>
      <c r="G791">
        <f>IF(AutoClaim_Data!D791&lt;=$B$2,AVERAGEIFS(AutoClaim_Data!C2:C3168,AutoClaim_Data!B2:B3168,"Train",AutoClaim_Data!D2:D3168,"&lt;="&amp;$B$2),AVERAGEIFS(AutoClaim_Data!C2:C3168,AutoClaim_Data!B2:B3168,"Train",AutoClaim_Data!D2:D3168,"&gt;"&amp;$B$2))</f>
        <v/>
      </c>
      <c r="H791">
        <f>IF(AutoClaim_Data!D791&lt;=$B$2,IF(AutoClaim_Data!E791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1">
        <f>(F791-H791)^2</f>
        <v/>
      </c>
      <c r="J791">
        <f>--(E791="Validation")</f>
        <v/>
      </c>
    </row>
    <row r="792">
      <c r="D792">
        <f>AutoClaim_Data!A792</f>
        <v/>
      </c>
      <c r="E792">
        <f>AutoClaim_Data!B792</f>
        <v/>
      </c>
      <c r="F792">
        <f>AutoClaim_Data!C792</f>
        <v/>
      </c>
      <c r="G792">
        <f>IF(AutoClaim_Data!D792&lt;=$B$2,AVERAGEIFS(AutoClaim_Data!C2:C3168,AutoClaim_Data!B2:B3168,"Train",AutoClaim_Data!D2:D3168,"&lt;="&amp;$B$2),AVERAGEIFS(AutoClaim_Data!C2:C3168,AutoClaim_Data!B2:B3168,"Train",AutoClaim_Data!D2:D3168,"&gt;"&amp;$B$2))</f>
        <v/>
      </c>
      <c r="H792">
        <f>IF(AutoClaim_Data!D792&lt;=$B$2,IF(AutoClaim_Data!E792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2">
        <f>(F792-H792)^2</f>
        <v/>
      </c>
      <c r="J792">
        <f>--(E792="Validation")</f>
        <v/>
      </c>
    </row>
    <row r="793">
      <c r="D793">
        <f>AutoClaim_Data!A793</f>
        <v/>
      </c>
      <c r="E793">
        <f>AutoClaim_Data!B793</f>
        <v/>
      </c>
      <c r="F793">
        <f>AutoClaim_Data!C793</f>
        <v/>
      </c>
      <c r="G793">
        <f>IF(AutoClaim_Data!D793&lt;=$B$2,AVERAGEIFS(AutoClaim_Data!C2:C3168,AutoClaim_Data!B2:B3168,"Train",AutoClaim_Data!D2:D3168,"&lt;="&amp;$B$2),AVERAGEIFS(AutoClaim_Data!C2:C3168,AutoClaim_Data!B2:B3168,"Train",AutoClaim_Data!D2:D3168,"&gt;"&amp;$B$2))</f>
        <v/>
      </c>
      <c r="H793">
        <f>IF(AutoClaim_Data!D793&lt;=$B$2,IF(AutoClaim_Data!E793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3">
        <f>(F793-H793)^2</f>
        <v/>
      </c>
      <c r="J793">
        <f>--(E793="Validation")</f>
        <v/>
      </c>
    </row>
    <row r="794">
      <c r="D794">
        <f>AutoClaim_Data!A794</f>
        <v/>
      </c>
      <c r="E794">
        <f>AutoClaim_Data!B794</f>
        <v/>
      </c>
      <c r="F794">
        <f>AutoClaim_Data!C794</f>
        <v/>
      </c>
      <c r="G794">
        <f>IF(AutoClaim_Data!D794&lt;=$B$2,AVERAGEIFS(AutoClaim_Data!C2:C3168,AutoClaim_Data!B2:B3168,"Train",AutoClaim_Data!D2:D3168,"&lt;="&amp;$B$2),AVERAGEIFS(AutoClaim_Data!C2:C3168,AutoClaim_Data!B2:B3168,"Train",AutoClaim_Data!D2:D3168,"&gt;"&amp;$B$2))</f>
        <v/>
      </c>
      <c r="H794">
        <f>IF(AutoClaim_Data!D794&lt;=$B$2,IF(AutoClaim_Data!E794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4">
        <f>(F794-H794)^2</f>
        <v/>
      </c>
      <c r="J794">
        <f>--(E794="Validation")</f>
        <v/>
      </c>
    </row>
    <row r="795">
      <c r="D795">
        <f>AutoClaim_Data!A795</f>
        <v/>
      </c>
      <c r="E795">
        <f>AutoClaim_Data!B795</f>
        <v/>
      </c>
      <c r="F795">
        <f>AutoClaim_Data!C795</f>
        <v/>
      </c>
      <c r="G795">
        <f>IF(AutoClaim_Data!D795&lt;=$B$2,AVERAGEIFS(AutoClaim_Data!C2:C3168,AutoClaim_Data!B2:B3168,"Train",AutoClaim_Data!D2:D3168,"&lt;="&amp;$B$2),AVERAGEIFS(AutoClaim_Data!C2:C3168,AutoClaim_Data!B2:B3168,"Train",AutoClaim_Data!D2:D3168,"&gt;"&amp;$B$2))</f>
        <v/>
      </c>
      <c r="H795">
        <f>IF(AutoClaim_Data!D795&lt;=$B$2,IF(AutoClaim_Data!E795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5">
        <f>(F795-H795)^2</f>
        <v/>
      </c>
      <c r="J795">
        <f>--(E795="Validation")</f>
        <v/>
      </c>
    </row>
    <row r="796">
      <c r="D796">
        <f>AutoClaim_Data!A796</f>
        <v/>
      </c>
      <c r="E796">
        <f>AutoClaim_Data!B796</f>
        <v/>
      </c>
      <c r="F796">
        <f>AutoClaim_Data!C796</f>
        <v/>
      </c>
      <c r="G796">
        <f>IF(AutoClaim_Data!D796&lt;=$B$2,AVERAGEIFS(AutoClaim_Data!C2:C3168,AutoClaim_Data!B2:B3168,"Train",AutoClaim_Data!D2:D3168,"&lt;="&amp;$B$2),AVERAGEIFS(AutoClaim_Data!C2:C3168,AutoClaim_Data!B2:B3168,"Train",AutoClaim_Data!D2:D3168,"&gt;"&amp;$B$2))</f>
        <v/>
      </c>
      <c r="H796">
        <f>IF(AutoClaim_Data!D796&lt;=$B$2,IF(AutoClaim_Data!E796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6">
        <f>(F796-H796)^2</f>
        <v/>
      </c>
      <c r="J796">
        <f>--(E796="Validation")</f>
        <v/>
      </c>
    </row>
    <row r="797">
      <c r="D797">
        <f>AutoClaim_Data!A797</f>
        <v/>
      </c>
      <c r="E797">
        <f>AutoClaim_Data!B797</f>
        <v/>
      </c>
      <c r="F797">
        <f>AutoClaim_Data!C797</f>
        <v/>
      </c>
      <c r="G797">
        <f>IF(AutoClaim_Data!D797&lt;=$B$2,AVERAGEIFS(AutoClaim_Data!C2:C3168,AutoClaim_Data!B2:B3168,"Train",AutoClaim_Data!D2:D3168,"&lt;="&amp;$B$2),AVERAGEIFS(AutoClaim_Data!C2:C3168,AutoClaim_Data!B2:B3168,"Train",AutoClaim_Data!D2:D3168,"&gt;"&amp;$B$2))</f>
        <v/>
      </c>
      <c r="H797">
        <f>IF(AutoClaim_Data!D797&lt;=$B$2,IF(AutoClaim_Data!E797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7">
        <f>(F797-H797)^2</f>
        <v/>
      </c>
      <c r="J797">
        <f>--(E797="Validation")</f>
        <v/>
      </c>
    </row>
    <row r="798">
      <c r="D798">
        <f>AutoClaim_Data!A798</f>
        <v/>
      </c>
      <c r="E798">
        <f>AutoClaim_Data!B798</f>
        <v/>
      </c>
      <c r="F798">
        <f>AutoClaim_Data!C798</f>
        <v/>
      </c>
      <c r="G798">
        <f>IF(AutoClaim_Data!D798&lt;=$B$2,AVERAGEIFS(AutoClaim_Data!C2:C3168,AutoClaim_Data!B2:B3168,"Train",AutoClaim_Data!D2:D3168,"&lt;="&amp;$B$2),AVERAGEIFS(AutoClaim_Data!C2:C3168,AutoClaim_Data!B2:B3168,"Train",AutoClaim_Data!D2:D3168,"&gt;"&amp;$B$2))</f>
        <v/>
      </c>
      <c r="H798">
        <f>IF(AutoClaim_Data!D798&lt;=$B$2,IF(AutoClaim_Data!E798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8">
        <f>(F798-H798)^2</f>
        <v/>
      </c>
      <c r="J798">
        <f>--(E798="Validation")</f>
        <v/>
      </c>
    </row>
    <row r="799">
      <c r="D799">
        <f>AutoClaim_Data!A799</f>
        <v/>
      </c>
      <c r="E799">
        <f>AutoClaim_Data!B799</f>
        <v/>
      </c>
      <c r="F799">
        <f>AutoClaim_Data!C799</f>
        <v/>
      </c>
      <c r="G799">
        <f>IF(AutoClaim_Data!D799&lt;=$B$2,AVERAGEIFS(AutoClaim_Data!C2:C3168,AutoClaim_Data!B2:B3168,"Train",AutoClaim_Data!D2:D3168,"&lt;="&amp;$B$2),AVERAGEIFS(AutoClaim_Data!C2:C3168,AutoClaim_Data!B2:B3168,"Train",AutoClaim_Data!D2:D3168,"&gt;"&amp;$B$2))</f>
        <v/>
      </c>
      <c r="H799">
        <f>IF(AutoClaim_Data!D799&lt;=$B$2,IF(AutoClaim_Data!E799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799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799">
        <f>(F799-H799)^2</f>
        <v/>
      </c>
      <c r="J799">
        <f>--(E799="Validation")</f>
        <v/>
      </c>
    </row>
    <row r="800">
      <c r="D800">
        <f>AutoClaim_Data!A800</f>
        <v/>
      </c>
      <c r="E800">
        <f>AutoClaim_Data!B800</f>
        <v/>
      </c>
      <c r="F800">
        <f>AutoClaim_Data!C800</f>
        <v/>
      </c>
      <c r="G800">
        <f>IF(AutoClaim_Data!D800&lt;=$B$2,AVERAGEIFS(AutoClaim_Data!C2:C3168,AutoClaim_Data!B2:B3168,"Train",AutoClaim_Data!D2:D3168,"&lt;="&amp;$B$2),AVERAGEIFS(AutoClaim_Data!C2:C3168,AutoClaim_Data!B2:B3168,"Train",AutoClaim_Data!D2:D3168,"&gt;"&amp;$B$2))</f>
        <v/>
      </c>
      <c r="H800">
        <f>IF(AutoClaim_Data!D800&lt;=$B$2,IF(AutoClaim_Data!E800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0">
        <f>(F800-H800)^2</f>
        <v/>
      </c>
      <c r="J800">
        <f>--(E800="Validation")</f>
        <v/>
      </c>
    </row>
    <row r="801">
      <c r="D801">
        <f>AutoClaim_Data!A801</f>
        <v/>
      </c>
      <c r="E801">
        <f>AutoClaim_Data!B801</f>
        <v/>
      </c>
      <c r="F801">
        <f>AutoClaim_Data!C801</f>
        <v/>
      </c>
      <c r="G801">
        <f>IF(AutoClaim_Data!D801&lt;=$B$2,AVERAGEIFS(AutoClaim_Data!C2:C3168,AutoClaim_Data!B2:B3168,"Train",AutoClaim_Data!D2:D3168,"&lt;="&amp;$B$2),AVERAGEIFS(AutoClaim_Data!C2:C3168,AutoClaim_Data!B2:B3168,"Train",AutoClaim_Data!D2:D3168,"&gt;"&amp;$B$2))</f>
        <v/>
      </c>
      <c r="H801">
        <f>IF(AutoClaim_Data!D801&lt;=$B$2,IF(AutoClaim_Data!E801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1">
        <f>(F801-H801)^2</f>
        <v/>
      </c>
      <c r="J801">
        <f>--(E801="Validation")</f>
        <v/>
      </c>
    </row>
    <row r="802">
      <c r="D802">
        <f>AutoClaim_Data!A802</f>
        <v/>
      </c>
      <c r="E802">
        <f>AutoClaim_Data!B802</f>
        <v/>
      </c>
      <c r="F802">
        <f>AutoClaim_Data!C802</f>
        <v/>
      </c>
      <c r="G802">
        <f>IF(AutoClaim_Data!D802&lt;=$B$2,AVERAGEIFS(AutoClaim_Data!C2:C3168,AutoClaim_Data!B2:B3168,"Train",AutoClaim_Data!D2:D3168,"&lt;="&amp;$B$2),AVERAGEIFS(AutoClaim_Data!C2:C3168,AutoClaim_Data!B2:B3168,"Train",AutoClaim_Data!D2:D3168,"&gt;"&amp;$B$2))</f>
        <v/>
      </c>
      <c r="H802">
        <f>IF(AutoClaim_Data!D802&lt;=$B$2,IF(AutoClaim_Data!E802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2">
        <f>(F802-H802)^2</f>
        <v/>
      </c>
      <c r="J802">
        <f>--(E802="Validation")</f>
        <v/>
      </c>
    </row>
    <row r="803">
      <c r="D803">
        <f>AutoClaim_Data!A803</f>
        <v/>
      </c>
      <c r="E803">
        <f>AutoClaim_Data!B803</f>
        <v/>
      </c>
      <c r="F803">
        <f>AutoClaim_Data!C803</f>
        <v/>
      </c>
      <c r="G803">
        <f>IF(AutoClaim_Data!D803&lt;=$B$2,AVERAGEIFS(AutoClaim_Data!C2:C3168,AutoClaim_Data!B2:B3168,"Train",AutoClaim_Data!D2:D3168,"&lt;="&amp;$B$2),AVERAGEIFS(AutoClaim_Data!C2:C3168,AutoClaim_Data!B2:B3168,"Train",AutoClaim_Data!D2:D3168,"&gt;"&amp;$B$2))</f>
        <v/>
      </c>
      <c r="H803">
        <f>IF(AutoClaim_Data!D803&lt;=$B$2,IF(AutoClaim_Data!E803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3">
        <f>(F803-H803)^2</f>
        <v/>
      </c>
      <c r="J803">
        <f>--(E803="Validation")</f>
        <v/>
      </c>
    </row>
    <row r="804">
      <c r="D804">
        <f>AutoClaim_Data!A804</f>
        <v/>
      </c>
      <c r="E804">
        <f>AutoClaim_Data!B804</f>
        <v/>
      </c>
      <c r="F804">
        <f>AutoClaim_Data!C804</f>
        <v/>
      </c>
      <c r="G804">
        <f>IF(AutoClaim_Data!D804&lt;=$B$2,AVERAGEIFS(AutoClaim_Data!C2:C3168,AutoClaim_Data!B2:B3168,"Train",AutoClaim_Data!D2:D3168,"&lt;="&amp;$B$2),AVERAGEIFS(AutoClaim_Data!C2:C3168,AutoClaim_Data!B2:B3168,"Train",AutoClaim_Data!D2:D3168,"&gt;"&amp;$B$2))</f>
        <v/>
      </c>
      <c r="H804">
        <f>IF(AutoClaim_Data!D804&lt;=$B$2,IF(AutoClaim_Data!E804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4">
        <f>(F804-H804)^2</f>
        <v/>
      </c>
      <c r="J804">
        <f>--(E804="Validation")</f>
        <v/>
      </c>
    </row>
    <row r="805">
      <c r="D805">
        <f>AutoClaim_Data!A805</f>
        <v/>
      </c>
      <c r="E805">
        <f>AutoClaim_Data!B805</f>
        <v/>
      </c>
      <c r="F805">
        <f>AutoClaim_Data!C805</f>
        <v/>
      </c>
      <c r="G805">
        <f>IF(AutoClaim_Data!D805&lt;=$B$2,AVERAGEIFS(AutoClaim_Data!C2:C3168,AutoClaim_Data!B2:B3168,"Train",AutoClaim_Data!D2:D3168,"&lt;="&amp;$B$2),AVERAGEIFS(AutoClaim_Data!C2:C3168,AutoClaim_Data!B2:B3168,"Train",AutoClaim_Data!D2:D3168,"&gt;"&amp;$B$2))</f>
        <v/>
      </c>
      <c r="H805">
        <f>IF(AutoClaim_Data!D805&lt;=$B$2,IF(AutoClaim_Data!E805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5">
        <f>(F805-H805)^2</f>
        <v/>
      </c>
      <c r="J805">
        <f>--(E805="Validation")</f>
        <v/>
      </c>
    </row>
    <row r="806">
      <c r="D806">
        <f>AutoClaim_Data!A806</f>
        <v/>
      </c>
      <c r="E806">
        <f>AutoClaim_Data!B806</f>
        <v/>
      </c>
      <c r="F806">
        <f>AutoClaim_Data!C806</f>
        <v/>
      </c>
      <c r="G806">
        <f>IF(AutoClaim_Data!D806&lt;=$B$2,AVERAGEIFS(AutoClaim_Data!C2:C3168,AutoClaim_Data!B2:B3168,"Train",AutoClaim_Data!D2:D3168,"&lt;="&amp;$B$2),AVERAGEIFS(AutoClaim_Data!C2:C3168,AutoClaim_Data!B2:B3168,"Train",AutoClaim_Data!D2:D3168,"&gt;"&amp;$B$2))</f>
        <v/>
      </c>
      <c r="H806">
        <f>IF(AutoClaim_Data!D806&lt;=$B$2,IF(AutoClaim_Data!E806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6">
        <f>(F806-H806)^2</f>
        <v/>
      </c>
      <c r="J806">
        <f>--(E806="Validation")</f>
        <v/>
      </c>
    </row>
    <row r="807">
      <c r="D807">
        <f>AutoClaim_Data!A807</f>
        <v/>
      </c>
      <c r="E807">
        <f>AutoClaim_Data!B807</f>
        <v/>
      </c>
      <c r="F807">
        <f>AutoClaim_Data!C807</f>
        <v/>
      </c>
      <c r="G807">
        <f>IF(AutoClaim_Data!D807&lt;=$B$2,AVERAGEIFS(AutoClaim_Data!C2:C3168,AutoClaim_Data!B2:B3168,"Train",AutoClaim_Data!D2:D3168,"&lt;="&amp;$B$2),AVERAGEIFS(AutoClaim_Data!C2:C3168,AutoClaim_Data!B2:B3168,"Train",AutoClaim_Data!D2:D3168,"&gt;"&amp;$B$2))</f>
        <v/>
      </c>
      <c r="H807">
        <f>IF(AutoClaim_Data!D807&lt;=$B$2,IF(AutoClaim_Data!E807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7">
        <f>(F807-H807)^2</f>
        <v/>
      </c>
      <c r="J807">
        <f>--(E807="Validation")</f>
        <v/>
      </c>
    </row>
    <row r="808">
      <c r="D808">
        <f>AutoClaim_Data!A808</f>
        <v/>
      </c>
      <c r="E808">
        <f>AutoClaim_Data!B808</f>
        <v/>
      </c>
      <c r="F808">
        <f>AutoClaim_Data!C808</f>
        <v/>
      </c>
      <c r="G808">
        <f>IF(AutoClaim_Data!D808&lt;=$B$2,AVERAGEIFS(AutoClaim_Data!C2:C3168,AutoClaim_Data!B2:B3168,"Train",AutoClaim_Data!D2:D3168,"&lt;="&amp;$B$2),AVERAGEIFS(AutoClaim_Data!C2:C3168,AutoClaim_Data!B2:B3168,"Train",AutoClaim_Data!D2:D3168,"&gt;"&amp;$B$2))</f>
        <v/>
      </c>
      <c r="H808">
        <f>IF(AutoClaim_Data!D808&lt;=$B$2,IF(AutoClaim_Data!E808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8">
        <f>(F808-H808)^2</f>
        <v/>
      </c>
      <c r="J808">
        <f>--(E808="Validation")</f>
        <v/>
      </c>
    </row>
    <row r="809">
      <c r="D809">
        <f>AutoClaim_Data!A809</f>
        <v/>
      </c>
      <c r="E809">
        <f>AutoClaim_Data!B809</f>
        <v/>
      </c>
      <c r="F809">
        <f>AutoClaim_Data!C809</f>
        <v/>
      </c>
      <c r="G809">
        <f>IF(AutoClaim_Data!D809&lt;=$B$2,AVERAGEIFS(AutoClaim_Data!C2:C3168,AutoClaim_Data!B2:B3168,"Train",AutoClaim_Data!D2:D3168,"&lt;="&amp;$B$2),AVERAGEIFS(AutoClaim_Data!C2:C3168,AutoClaim_Data!B2:B3168,"Train",AutoClaim_Data!D2:D3168,"&gt;"&amp;$B$2))</f>
        <v/>
      </c>
      <c r="H809">
        <f>IF(AutoClaim_Data!D809&lt;=$B$2,IF(AutoClaim_Data!E809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09">
        <f>(F809-H809)^2</f>
        <v/>
      </c>
      <c r="J809">
        <f>--(E809="Validation")</f>
        <v/>
      </c>
    </row>
    <row r="810">
      <c r="D810">
        <f>AutoClaim_Data!A810</f>
        <v/>
      </c>
      <c r="E810">
        <f>AutoClaim_Data!B810</f>
        <v/>
      </c>
      <c r="F810">
        <f>AutoClaim_Data!C810</f>
        <v/>
      </c>
      <c r="G810">
        <f>IF(AutoClaim_Data!D810&lt;=$B$2,AVERAGEIFS(AutoClaim_Data!C2:C3168,AutoClaim_Data!B2:B3168,"Train",AutoClaim_Data!D2:D3168,"&lt;="&amp;$B$2),AVERAGEIFS(AutoClaim_Data!C2:C3168,AutoClaim_Data!B2:B3168,"Train",AutoClaim_Data!D2:D3168,"&gt;"&amp;$B$2))</f>
        <v/>
      </c>
      <c r="H810">
        <f>IF(AutoClaim_Data!D810&lt;=$B$2,IF(AutoClaim_Data!E810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0">
        <f>(F810-H810)^2</f>
        <v/>
      </c>
      <c r="J810">
        <f>--(E810="Validation")</f>
        <v/>
      </c>
    </row>
    <row r="811">
      <c r="D811">
        <f>AutoClaim_Data!A811</f>
        <v/>
      </c>
      <c r="E811">
        <f>AutoClaim_Data!B811</f>
        <v/>
      </c>
      <c r="F811">
        <f>AutoClaim_Data!C811</f>
        <v/>
      </c>
      <c r="G811">
        <f>IF(AutoClaim_Data!D811&lt;=$B$2,AVERAGEIFS(AutoClaim_Data!C2:C3168,AutoClaim_Data!B2:B3168,"Train",AutoClaim_Data!D2:D3168,"&lt;="&amp;$B$2),AVERAGEIFS(AutoClaim_Data!C2:C3168,AutoClaim_Data!B2:B3168,"Train",AutoClaim_Data!D2:D3168,"&gt;"&amp;$B$2))</f>
        <v/>
      </c>
      <c r="H811">
        <f>IF(AutoClaim_Data!D811&lt;=$B$2,IF(AutoClaim_Data!E811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1">
        <f>(F811-H811)^2</f>
        <v/>
      </c>
      <c r="J811">
        <f>--(E811="Validation")</f>
        <v/>
      </c>
    </row>
    <row r="812">
      <c r="D812">
        <f>AutoClaim_Data!A812</f>
        <v/>
      </c>
      <c r="E812">
        <f>AutoClaim_Data!B812</f>
        <v/>
      </c>
      <c r="F812">
        <f>AutoClaim_Data!C812</f>
        <v/>
      </c>
      <c r="G812">
        <f>IF(AutoClaim_Data!D812&lt;=$B$2,AVERAGEIFS(AutoClaim_Data!C2:C3168,AutoClaim_Data!B2:B3168,"Train",AutoClaim_Data!D2:D3168,"&lt;="&amp;$B$2),AVERAGEIFS(AutoClaim_Data!C2:C3168,AutoClaim_Data!B2:B3168,"Train",AutoClaim_Data!D2:D3168,"&gt;"&amp;$B$2))</f>
        <v/>
      </c>
      <c r="H812">
        <f>IF(AutoClaim_Data!D812&lt;=$B$2,IF(AutoClaim_Data!E812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2">
        <f>(F812-H812)^2</f>
        <v/>
      </c>
      <c r="J812">
        <f>--(E812="Validation")</f>
        <v/>
      </c>
    </row>
    <row r="813">
      <c r="D813">
        <f>AutoClaim_Data!A813</f>
        <v/>
      </c>
      <c r="E813">
        <f>AutoClaim_Data!B813</f>
        <v/>
      </c>
      <c r="F813">
        <f>AutoClaim_Data!C813</f>
        <v/>
      </c>
      <c r="G813">
        <f>IF(AutoClaim_Data!D813&lt;=$B$2,AVERAGEIFS(AutoClaim_Data!C2:C3168,AutoClaim_Data!B2:B3168,"Train",AutoClaim_Data!D2:D3168,"&lt;="&amp;$B$2),AVERAGEIFS(AutoClaim_Data!C2:C3168,AutoClaim_Data!B2:B3168,"Train",AutoClaim_Data!D2:D3168,"&gt;"&amp;$B$2))</f>
        <v/>
      </c>
      <c r="H813">
        <f>IF(AutoClaim_Data!D813&lt;=$B$2,IF(AutoClaim_Data!E813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3">
        <f>(F813-H813)^2</f>
        <v/>
      </c>
      <c r="J813">
        <f>--(E813="Validation")</f>
        <v/>
      </c>
    </row>
    <row r="814">
      <c r="D814">
        <f>AutoClaim_Data!A814</f>
        <v/>
      </c>
      <c r="E814">
        <f>AutoClaim_Data!B814</f>
        <v/>
      </c>
      <c r="F814">
        <f>AutoClaim_Data!C814</f>
        <v/>
      </c>
      <c r="G814">
        <f>IF(AutoClaim_Data!D814&lt;=$B$2,AVERAGEIFS(AutoClaim_Data!C2:C3168,AutoClaim_Data!B2:B3168,"Train",AutoClaim_Data!D2:D3168,"&lt;="&amp;$B$2),AVERAGEIFS(AutoClaim_Data!C2:C3168,AutoClaim_Data!B2:B3168,"Train",AutoClaim_Data!D2:D3168,"&gt;"&amp;$B$2))</f>
        <v/>
      </c>
      <c r="H814">
        <f>IF(AutoClaim_Data!D814&lt;=$B$2,IF(AutoClaim_Data!E814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4">
        <f>(F814-H814)^2</f>
        <v/>
      </c>
      <c r="J814">
        <f>--(E814="Validation")</f>
        <v/>
      </c>
    </row>
    <row r="815">
      <c r="D815">
        <f>AutoClaim_Data!A815</f>
        <v/>
      </c>
      <c r="E815">
        <f>AutoClaim_Data!B815</f>
        <v/>
      </c>
      <c r="F815">
        <f>AutoClaim_Data!C815</f>
        <v/>
      </c>
      <c r="G815">
        <f>IF(AutoClaim_Data!D815&lt;=$B$2,AVERAGEIFS(AutoClaim_Data!C2:C3168,AutoClaim_Data!B2:B3168,"Train",AutoClaim_Data!D2:D3168,"&lt;="&amp;$B$2),AVERAGEIFS(AutoClaim_Data!C2:C3168,AutoClaim_Data!B2:B3168,"Train",AutoClaim_Data!D2:D3168,"&gt;"&amp;$B$2))</f>
        <v/>
      </c>
      <c r="H815">
        <f>IF(AutoClaim_Data!D815&lt;=$B$2,IF(AutoClaim_Data!E815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5">
        <f>(F815-H815)^2</f>
        <v/>
      </c>
      <c r="J815">
        <f>--(E815="Validation")</f>
        <v/>
      </c>
    </row>
    <row r="816">
      <c r="D816">
        <f>AutoClaim_Data!A816</f>
        <v/>
      </c>
      <c r="E816">
        <f>AutoClaim_Data!B816</f>
        <v/>
      </c>
      <c r="F816">
        <f>AutoClaim_Data!C816</f>
        <v/>
      </c>
      <c r="G816">
        <f>IF(AutoClaim_Data!D816&lt;=$B$2,AVERAGEIFS(AutoClaim_Data!C2:C3168,AutoClaim_Data!B2:B3168,"Train",AutoClaim_Data!D2:D3168,"&lt;="&amp;$B$2),AVERAGEIFS(AutoClaim_Data!C2:C3168,AutoClaim_Data!B2:B3168,"Train",AutoClaim_Data!D2:D3168,"&gt;"&amp;$B$2))</f>
        <v/>
      </c>
      <c r="H816">
        <f>IF(AutoClaim_Data!D816&lt;=$B$2,IF(AutoClaim_Data!E816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6">
        <f>(F816-H816)^2</f>
        <v/>
      </c>
      <c r="J816">
        <f>--(E816="Validation")</f>
        <v/>
      </c>
    </row>
    <row r="817">
      <c r="D817">
        <f>AutoClaim_Data!A817</f>
        <v/>
      </c>
      <c r="E817">
        <f>AutoClaim_Data!B817</f>
        <v/>
      </c>
      <c r="F817">
        <f>AutoClaim_Data!C817</f>
        <v/>
      </c>
      <c r="G817">
        <f>IF(AutoClaim_Data!D817&lt;=$B$2,AVERAGEIFS(AutoClaim_Data!C2:C3168,AutoClaim_Data!B2:B3168,"Train",AutoClaim_Data!D2:D3168,"&lt;="&amp;$B$2),AVERAGEIFS(AutoClaim_Data!C2:C3168,AutoClaim_Data!B2:B3168,"Train",AutoClaim_Data!D2:D3168,"&gt;"&amp;$B$2))</f>
        <v/>
      </c>
      <c r="H817">
        <f>IF(AutoClaim_Data!D817&lt;=$B$2,IF(AutoClaim_Data!E817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7">
        <f>(F817-H817)^2</f>
        <v/>
      </c>
      <c r="J817">
        <f>--(E817="Validation")</f>
        <v/>
      </c>
    </row>
    <row r="818">
      <c r="D818">
        <f>AutoClaim_Data!A818</f>
        <v/>
      </c>
      <c r="E818">
        <f>AutoClaim_Data!B818</f>
        <v/>
      </c>
      <c r="F818">
        <f>AutoClaim_Data!C818</f>
        <v/>
      </c>
      <c r="G818">
        <f>IF(AutoClaim_Data!D818&lt;=$B$2,AVERAGEIFS(AutoClaim_Data!C2:C3168,AutoClaim_Data!B2:B3168,"Train",AutoClaim_Data!D2:D3168,"&lt;="&amp;$B$2),AVERAGEIFS(AutoClaim_Data!C2:C3168,AutoClaim_Data!B2:B3168,"Train",AutoClaim_Data!D2:D3168,"&gt;"&amp;$B$2))</f>
        <v/>
      </c>
      <c r="H818">
        <f>IF(AutoClaim_Data!D818&lt;=$B$2,IF(AutoClaim_Data!E818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8">
        <f>(F818-H818)^2</f>
        <v/>
      </c>
      <c r="J818">
        <f>--(E818="Validation")</f>
        <v/>
      </c>
    </row>
    <row r="819">
      <c r="D819">
        <f>AutoClaim_Data!A819</f>
        <v/>
      </c>
      <c r="E819">
        <f>AutoClaim_Data!B819</f>
        <v/>
      </c>
      <c r="F819">
        <f>AutoClaim_Data!C819</f>
        <v/>
      </c>
      <c r="G819">
        <f>IF(AutoClaim_Data!D819&lt;=$B$2,AVERAGEIFS(AutoClaim_Data!C2:C3168,AutoClaim_Data!B2:B3168,"Train",AutoClaim_Data!D2:D3168,"&lt;="&amp;$B$2),AVERAGEIFS(AutoClaim_Data!C2:C3168,AutoClaim_Data!B2:B3168,"Train",AutoClaim_Data!D2:D3168,"&gt;"&amp;$B$2))</f>
        <v/>
      </c>
      <c r="H819">
        <f>IF(AutoClaim_Data!D819&lt;=$B$2,IF(AutoClaim_Data!E819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19">
        <f>(F819-H819)^2</f>
        <v/>
      </c>
      <c r="J819">
        <f>--(E819="Validation")</f>
        <v/>
      </c>
    </row>
    <row r="820">
      <c r="D820">
        <f>AutoClaim_Data!A820</f>
        <v/>
      </c>
      <c r="E820">
        <f>AutoClaim_Data!B820</f>
        <v/>
      </c>
      <c r="F820">
        <f>AutoClaim_Data!C820</f>
        <v/>
      </c>
      <c r="G820">
        <f>IF(AutoClaim_Data!D820&lt;=$B$2,AVERAGEIFS(AutoClaim_Data!C2:C3168,AutoClaim_Data!B2:B3168,"Train",AutoClaim_Data!D2:D3168,"&lt;="&amp;$B$2),AVERAGEIFS(AutoClaim_Data!C2:C3168,AutoClaim_Data!B2:B3168,"Train",AutoClaim_Data!D2:D3168,"&gt;"&amp;$B$2))</f>
        <v/>
      </c>
      <c r="H820">
        <f>IF(AutoClaim_Data!D820&lt;=$B$2,IF(AutoClaim_Data!E820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0">
        <f>(F820-H820)^2</f>
        <v/>
      </c>
      <c r="J820">
        <f>--(E820="Validation")</f>
        <v/>
      </c>
    </row>
    <row r="821">
      <c r="D821">
        <f>AutoClaim_Data!A821</f>
        <v/>
      </c>
      <c r="E821">
        <f>AutoClaim_Data!B821</f>
        <v/>
      </c>
      <c r="F821">
        <f>AutoClaim_Data!C821</f>
        <v/>
      </c>
      <c r="G821">
        <f>IF(AutoClaim_Data!D821&lt;=$B$2,AVERAGEIFS(AutoClaim_Data!C2:C3168,AutoClaim_Data!B2:B3168,"Train",AutoClaim_Data!D2:D3168,"&lt;="&amp;$B$2),AVERAGEIFS(AutoClaim_Data!C2:C3168,AutoClaim_Data!B2:B3168,"Train",AutoClaim_Data!D2:D3168,"&gt;"&amp;$B$2))</f>
        <v/>
      </c>
      <c r="H821">
        <f>IF(AutoClaim_Data!D821&lt;=$B$2,IF(AutoClaim_Data!E821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1">
        <f>(F821-H821)^2</f>
        <v/>
      </c>
      <c r="J821">
        <f>--(E821="Validation")</f>
        <v/>
      </c>
    </row>
    <row r="822">
      <c r="D822">
        <f>AutoClaim_Data!A822</f>
        <v/>
      </c>
      <c r="E822">
        <f>AutoClaim_Data!B822</f>
        <v/>
      </c>
      <c r="F822">
        <f>AutoClaim_Data!C822</f>
        <v/>
      </c>
      <c r="G822">
        <f>IF(AutoClaim_Data!D822&lt;=$B$2,AVERAGEIFS(AutoClaim_Data!C2:C3168,AutoClaim_Data!B2:B3168,"Train",AutoClaim_Data!D2:D3168,"&lt;="&amp;$B$2),AVERAGEIFS(AutoClaim_Data!C2:C3168,AutoClaim_Data!B2:B3168,"Train",AutoClaim_Data!D2:D3168,"&gt;"&amp;$B$2))</f>
        <v/>
      </c>
      <c r="H822">
        <f>IF(AutoClaim_Data!D822&lt;=$B$2,IF(AutoClaim_Data!E822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2">
        <f>(F822-H822)^2</f>
        <v/>
      </c>
      <c r="J822">
        <f>--(E822="Validation")</f>
        <v/>
      </c>
    </row>
    <row r="823">
      <c r="D823">
        <f>AutoClaim_Data!A823</f>
        <v/>
      </c>
      <c r="E823">
        <f>AutoClaim_Data!B823</f>
        <v/>
      </c>
      <c r="F823">
        <f>AutoClaim_Data!C823</f>
        <v/>
      </c>
      <c r="G823">
        <f>IF(AutoClaim_Data!D823&lt;=$B$2,AVERAGEIFS(AutoClaim_Data!C2:C3168,AutoClaim_Data!B2:B3168,"Train",AutoClaim_Data!D2:D3168,"&lt;="&amp;$B$2),AVERAGEIFS(AutoClaim_Data!C2:C3168,AutoClaim_Data!B2:B3168,"Train",AutoClaim_Data!D2:D3168,"&gt;"&amp;$B$2))</f>
        <v/>
      </c>
      <c r="H823">
        <f>IF(AutoClaim_Data!D823&lt;=$B$2,IF(AutoClaim_Data!E823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3">
        <f>(F823-H823)^2</f>
        <v/>
      </c>
      <c r="J823">
        <f>--(E823="Validation")</f>
        <v/>
      </c>
    </row>
    <row r="824">
      <c r="D824">
        <f>AutoClaim_Data!A824</f>
        <v/>
      </c>
      <c r="E824">
        <f>AutoClaim_Data!B824</f>
        <v/>
      </c>
      <c r="F824">
        <f>AutoClaim_Data!C824</f>
        <v/>
      </c>
      <c r="G824">
        <f>IF(AutoClaim_Data!D824&lt;=$B$2,AVERAGEIFS(AutoClaim_Data!C2:C3168,AutoClaim_Data!B2:B3168,"Train",AutoClaim_Data!D2:D3168,"&lt;="&amp;$B$2),AVERAGEIFS(AutoClaim_Data!C2:C3168,AutoClaim_Data!B2:B3168,"Train",AutoClaim_Data!D2:D3168,"&gt;"&amp;$B$2))</f>
        <v/>
      </c>
      <c r="H824">
        <f>IF(AutoClaim_Data!D824&lt;=$B$2,IF(AutoClaim_Data!E824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4">
        <f>(F824-H824)^2</f>
        <v/>
      </c>
      <c r="J824">
        <f>--(E824="Validation")</f>
        <v/>
      </c>
    </row>
    <row r="825">
      <c r="D825">
        <f>AutoClaim_Data!A825</f>
        <v/>
      </c>
      <c r="E825">
        <f>AutoClaim_Data!B825</f>
        <v/>
      </c>
      <c r="F825">
        <f>AutoClaim_Data!C825</f>
        <v/>
      </c>
      <c r="G825">
        <f>IF(AutoClaim_Data!D825&lt;=$B$2,AVERAGEIFS(AutoClaim_Data!C2:C3168,AutoClaim_Data!B2:B3168,"Train",AutoClaim_Data!D2:D3168,"&lt;="&amp;$B$2),AVERAGEIFS(AutoClaim_Data!C2:C3168,AutoClaim_Data!B2:B3168,"Train",AutoClaim_Data!D2:D3168,"&gt;"&amp;$B$2))</f>
        <v/>
      </c>
      <c r="H825">
        <f>IF(AutoClaim_Data!D825&lt;=$B$2,IF(AutoClaim_Data!E825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5">
        <f>(F825-H825)^2</f>
        <v/>
      </c>
      <c r="J825">
        <f>--(E825="Validation")</f>
        <v/>
      </c>
    </row>
    <row r="826">
      <c r="D826">
        <f>AutoClaim_Data!A826</f>
        <v/>
      </c>
      <c r="E826">
        <f>AutoClaim_Data!B826</f>
        <v/>
      </c>
      <c r="F826">
        <f>AutoClaim_Data!C826</f>
        <v/>
      </c>
      <c r="G826">
        <f>IF(AutoClaim_Data!D826&lt;=$B$2,AVERAGEIFS(AutoClaim_Data!C2:C3168,AutoClaim_Data!B2:B3168,"Train",AutoClaim_Data!D2:D3168,"&lt;="&amp;$B$2),AVERAGEIFS(AutoClaim_Data!C2:C3168,AutoClaim_Data!B2:B3168,"Train",AutoClaim_Data!D2:D3168,"&gt;"&amp;$B$2))</f>
        <v/>
      </c>
      <c r="H826">
        <f>IF(AutoClaim_Data!D826&lt;=$B$2,IF(AutoClaim_Data!E826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6">
        <f>(F826-H826)^2</f>
        <v/>
      </c>
      <c r="J826">
        <f>--(E826="Validation")</f>
        <v/>
      </c>
    </row>
    <row r="827">
      <c r="D827">
        <f>AutoClaim_Data!A827</f>
        <v/>
      </c>
      <c r="E827">
        <f>AutoClaim_Data!B827</f>
        <v/>
      </c>
      <c r="F827">
        <f>AutoClaim_Data!C827</f>
        <v/>
      </c>
      <c r="G827">
        <f>IF(AutoClaim_Data!D827&lt;=$B$2,AVERAGEIFS(AutoClaim_Data!C2:C3168,AutoClaim_Data!B2:B3168,"Train",AutoClaim_Data!D2:D3168,"&lt;="&amp;$B$2),AVERAGEIFS(AutoClaim_Data!C2:C3168,AutoClaim_Data!B2:B3168,"Train",AutoClaim_Data!D2:D3168,"&gt;"&amp;$B$2))</f>
        <v/>
      </c>
      <c r="H827">
        <f>IF(AutoClaim_Data!D827&lt;=$B$2,IF(AutoClaim_Data!E827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7">
        <f>(F827-H827)^2</f>
        <v/>
      </c>
      <c r="J827">
        <f>--(E827="Validation")</f>
        <v/>
      </c>
    </row>
    <row r="828">
      <c r="D828">
        <f>AutoClaim_Data!A828</f>
        <v/>
      </c>
      <c r="E828">
        <f>AutoClaim_Data!B828</f>
        <v/>
      </c>
      <c r="F828">
        <f>AutoClaim_Data!C828</f>
        <v/>
      </c>
      <c r="G828">
        <f>IF(AutoClaim_Data!D828&lt;=$B$2,AVERAGEIFS(AutoClaim_Data!C2:C3168,AutoClaim_Data!B2:B3168,"Train",AutoClaim_Data!D2:D3168,"&lt;="&amp;$B$2),AVERAGEIFS(AutoClaim_Data!C2:C3168,AutoClaim_Data!B2:B3168,"Train",AutoClaim_Data!D2:D3168,"&gt;"&amp;$B$2))</f>
        <v/>
      </c>
      <c r="H828">
        <f>IF(AutoClaim_Data!D828&lt;=$B$2,IF(AutoClaim_Data!E828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8">
        <f>(F828-H828)^2</f>
        <v/>
      </c>
      <c r="J828">
        <f>--(E828="Validation")</f>
        <v/>
      </c>
    </row>
    <row r="829">
      <c r="D829">
        <f>AutoClaim_Data!A829</f>
        <v/>
      </c>
      <c r="E829">
        <f>AutoClaim_Data!B829</f>
        <v/>
      </c>
      <c r="F829">
        <f>AutoClaim_Data!C829</f>
        <v/>
      </c>
      <c r="G829">
        <f>IF(AutoClaim_Data!D829&lt;=$B$2,AVERAGEIFS(AutoClaim_Data!C2:C3168,AutoClaim_Data!B2:B3168,"Train",AutoClaim_Data!D2:D3168,"&lt;="&amp;$B$2),AVERAGEIFS(AutoClaim_Data!C2:C3168,AutoClaim_Data!B2:B3168,"Train",AutoClaim_Data!D2:D3168,"&gt;"&amp;$B$2))</f>
        <v/>
      </c>
      <c r="H829">
        <f>IF(AutoClaim_Data!D829&lt;=$B$2,IF(AutoClaim_Data!E829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29">
        <f>(F829-H829)^2</f>
        <v/>
      </c>
      <c r="J829">
        <f>--(E829="Validation")</f>
        <v/>
      </c>
    </row>
    <row r="830">
      <c r="D830">
        <f>AutoClaim_Data!A830</f>
        <v/>
      </c>
      <c r="E830">
        <f>AutoClaim_Data!B830</f>
        <v/>
      </c>
      <c r="F830">
        <f>AutoClaim_Data!C830</f>
        <v/>
      </c>
      <c r="G830">
        <f>IF(AutoClaim_Data!D830&lt;=$B$2,AVERAGEIFS(AutoClaim_Data!C2:C3168,AutoClaim_Data!B2:B3168,"Train",AutoClaim_Data!D2:D3168,"&lt;="&amp;$B$2),AVERAGEIFS(AutoClaim_Data!C2:C3168,AutoClaim_Data!B2:B3168,"Train",AutoClaim_Data!D2:D3168,"&gt;"&amp;$B$2))</f>
        <v/>
      </c>
      <c r="H830">
        <f>IF(AutoClaim_Data!D830&lt;=$B$2,IF(AutoClaim_Data!E830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0">
        <f>(F830-H830)^2</f>
        <v/>
      </c>
      <c r="J830">
        <f>--(E830="Validation")</f>
        <v/>
      </c>
    </row>
    <row r="831">
      <c r="D831">
        <f>AutoClaim_Data!A831</f>
        <v/>
      </c>
      <c r="E831">
        <f>AutoClaim_Data!B831</f>
        <v/>
      </c>
      <c r="F831">
        <f>AutoClaim_Data!C831</f>
        <v/>
      </c>
      <c r="G831">
        <f>IF(AutoClaim_Data!D831&lt;=$B$2,AVERAGEIFS(AutoClaim_Data!C2:C3168,AutoClaim_Data!B2:B3168,"Train",AutoClaim_Data!D2:D3168,"&lt;="&amp;$B$2),AVERAGEIFS(AutoClaim_Data!C2:C3168,AutoClaim_Data!B2:B3168,"Train",AutoClaim_Data!D2:D3168,"&gt;"&amp;$B$2))</f>
        <v/>
      </c>
      <c r="H831">
        <f>IF(AutoClaim_Data!D831&lt;=$B$2,IF(AutoClaim_Data!E831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1">
        <f>(F831-H831)^2</f>
        <v/>
      </c>
      <c r="J831">
        <f>--(E831="Validation")</f>
        <v/>
      </c>
    </row>
    <row r="832">
      <c r="D832">
        <f>AutoClaim_Data!A832</f>
        <v/>
      </c>
      <c r="E832">
        <f>AutoClaim_Data!B832</f>
        <v/>
      </c>
      <c r="F832">
        <f>AutoClaim_Data!C832</f>
        <v/>
      </c>
      <c r="G832">
        <f>IF(AutoClaim_Data!D832&lt;=$B$2,AVERAGEIFS(AutoClaim_Data!C2:C3168,AutoClaim_Data!B2:B3168,"Train",AutoClaim_Data!D2:D3168,"&lt;="&amp;$B$2),AVERAGEIFS(AutoClaim_Data!C2:C3168,AutoClaim_Data!B2:B3168,"Train",AutoClaim_Data!D2:D3168,"&gt;"&amp;$B$2))</f>
        <v/>
      </c>
      <c r="H832">
        <f>IF(AutoClaim_Data!D832&lt;=$B$2,IF(AutoClaim_Data!E832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2">
        <f>(F832-H832)^2</f>
        <v/>
      </c>
      <c r="J832">
        <f>--(E832="Validation")</f>
        <v/>
      </c>
    </row>
    <row r="833">
      <c r="D833">
        <f>AutoClaim_Data!A833</f>
        <v/>
      </c>
      <c r="E833">
        <f>AutoClaim_Data!B833</f>
        <v/>
      </c>
      <c r="F833">
        <f>AutoClaim_Data!C833</f>
        <v/>
      </c>
      <c r="G833">
        <f>IF(AutoClaim_Data!D833&lt;=$B$2,AVERAGEIFS(AutoClaim_Data!C2:C3168,AutoClaim_Data!B2:B3168,"Train",AutoClaim_Data!D2:D3168,"&lt;="&amp;$B$2),AVERAGEIFS(AutoClaim_Data!C2:C3168,AutoClaim_Data!B2:B3168,"Train",AutoClaim_Data!D2:D3168,"&gt;"&amp;$B$2))</f>
        <v/>
      </c>
      <c r="H833">
        <f>IF(AutoClaim_Data!D833&lt;=$B$2,IF(AutoClaim_Data!E833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3">
        <f>(F833-H833)^2</f>
        <v/>
      </c>
      <c r="J833">
        <f>--(E833="Validation")</f>
        <v/>
      </c>
    </row>
    <row r="834">
      <c r="D834">
        <f>AutoClaim_Data!A834</f>
        <v/>
      </c>
      <c r="E834">
        <f>AutoClaim_Data!B834</f>
        <v/>
      </c>
      <c r="F834">
        <f>AutoClaim_Data!C834</f>
        <v/>
      </c>
      <c r="G834">
        <f>IF(AutoClaim_Data!D834&lt;=$B$2,AVERAGEIFS(AutoClaim_Data!C2:C3168,AutoClaim_Data!B2:B3168,"Train",AutoClaim_Data!D2:D3168,"&lt;="&amp;$B$2),AVERAGEIFS(AutoClaim_Data!C2:C3168,AutoClaim_Data!B2:B3168,"Train",AutoClaim_Data!D2:D3168,"&gt;"&amp;$B$2))</f>
        <v/>
      </c>
      <c r="H834">
        <f>IF(AutoClaim_Data!D834&lt;=$B$2,IF(AutoClaim_Data!E834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4">
        <f>(F834-H834)^2</f>
        <v/>
      </c>
      <c r="J834">
        <f>--(E834="Validation")</f>
        <v/>
      </c>
    </row>
    <row r="835">
      <c r="D835">
        <f>AutoClaim_Data!A835</f>
        <v/>
      </c>
      <c r="E835">
        <f>AutoClaim_Data!B835</f>
        <v/>
      </c>
      <c r="F835">
        <f>AutoClaim_Data!C835</f>
        <v/>
      </c>
      <c r="G835">
        <f>IF(AutoClaim_Data!D835&lt;=$B$2,AVERAGEIFS(AutoClaim_Data!C2:C3168,AutoClaim_Data!B2:B3168,"Train",AutoClaim_Data!D2:D3168,"&lt;="&amp;$B$2),AVERAGEIFS(AutoClaim_Data!C2:C3168,AutoClaim_Data!B2:B3168,"Train",AutoClaim_Data!D2:D3168,"&gt;"&amp;$B$2))</f>
        <v/>
      </c>
      <c r="H835">
        <f>IF(AutoClaim_Data!D835&lt;=$B$2,IF(AutoClaim_Data!E835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5">
        <f>(F835-H835)^2</f>
        <v/>
      </c>
      <c r="J835">
        <f>--(E835="Validation")</f>
        <v/>
      </c>
    </row>
    <row r="836">
      <c r="D836">
        <f>AutoClaim_Data!A836</f>
        <v/>
      </c>
      <c r="E836">
        <f>AutoClaim_Data!B836</f>
        <v/>
      </c>
      <c r="F836">
        <f>AutoClaim_Data!C836</f>
        <v/>
      </c>
      <c r="G836">
        <f>IF(AutoClaim_Data!D836&lt;=$B$2,AVERAGEIFS(AutoClaim_Data!C2:C3168,AutoClaim_Data!B2:B3168,"Train",AutoClaim_Data!D2:D3168,"&lt;="&amp;$B$2),AVERAGEIFS(AutoClaim_Data!C2:C3168,AutoClaim_Data!B2:B3168,"Train",AutoClaim_Data!D2:D3168,"&gt;"&amp;$B$2))</f>
        <v/>
      </c>
      <c r="H836">
        <f>IF(AutoClaim_Data!D836&lt;=$B$2,IF(AutoClaim_Data!E836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6">
        <f>(F836-H836)^2</f>
        <v/>
      </c>
      <c r="J836">
        <f>--(E836="Validation")</f>
        <v/>
      </c>
    </row>
    <row r="837">
      <c r="D837">
        <f>AutoClaim_Data!A837</f>
        <v/>
      </c>
      <c r="E837">
        <f>AutoClaim_Data!B837</f>
        <v/>
      </c>
      <c r="F837">
        <f>AutoClaim_Data!C837</f>
        <v/>
      </c>
      <c r="G837">
        <f>IF(AutoClaim_Data!D837&lt;=$B$2,AVERAGEIFS(AutoClaim_Data!C2:C3168,AutoClaim_Data!B2:B3168,"Train",AutoClaim_Data!D2:D3168,"&lt;="&amp;$B$2),AVERAGEIFS(AutoClaim_Data!C2:C3168,AutoClaim_Data!B2:B3168,"Train",AutoClaim_Data!D2:D3168,"&gt;"&amp;$B$2))</f>
        <v/>
      </c>
      <c r="H837">
        <f>IF(AutoClaim_Data!D837&lt;=$B$2,IF(AutoClaim_Data!E837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7">
        <f>(F837-H837)^2</f>
        <v/>
      </c>
      <c r="J837">
        <f>--(E837="Validation")</f>
        <v/>
      </c>
    </row>
    <row r="838">
      <c r="D838">
        <f>AutoClaim_Data!A838</f>
        <v/>
      </c>
      <c r="E838">
        <f>AutoClaim_Data!B838</f>
        <v/>
      </c>
      <c r="F838">
        <f>AutoClaim_Data!C838</f>
        <v/>
      </c>
      <c r="G838">
        <f>IF(AutoClaim_Data!D838&lt;=$B$2,AVERAGEIFS(AutoClaim_Data!C2:C3168,AutoClaim_Data!B2:B3168,"Train",AutoClaim_Data!D2:D3168,"&lt;="&amp;$B$2),AVERAGEIFS(AutoClaim_Data!C2:C3168,AutoClaim_Data!B2:B3168,"Train",AutoClaim_Data!D2:D3168,"&gt;"&amp;$B$2))</f>
        <v/>
      </c>
      <c r="H838">
        <f>IF(AutoClaim_Data!D838&lt;=$B$2,IF(AutoClaim_Data!E838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8">
        <f>(F838-H838)^2</f>
        <v/>
      </c>
      <c r="J838">
        <f>--(E838="Validation")</f>
        <v/>
      </c>
    </row>
    <row r="839">
      <c r="D839">
        <f>AutoClaim_Data!A839</f>
        <v/>
      </c>
      <c r="E839">
        <f>AutoClaim_Data!B839</f>
        <v/>
      </c>
      <c r="F839">
        <f>AutoClaim_Data!C839</f>
        <v/>
      </c>
      <c r="G839">
        <f>IF(AutoClaim_Data!D839&lt;=$B$2,AVERAGEIFS(AutoClaim_Data!C2:C3168,AutoClaim_Data!B2:B3168,"Train",AutoClaim_Data!D2:D3168,"&lt;="&amp;$B$2),AVERAGEIFS(AutoClaim_Data!C2:C3168,AutoClaim_Data!B2:B3168,"Train",AutoClaim_Data!D2:D3168,"&gt;"&amp;$B$2))</f>
        <v/>
      </c>
      <c r="H839">
        <f>IF(AutoClaim_Data!D839&lt;=$B$2,IF(AutoClaim_Data!E839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39">
        <f>(F839-H839)^2</f>
        <v/>
      </c>
      <c r="J839">
        <f>--(E839="Validation")</f>
        <v/>
      </c>
    </row>
    <row r="840">
      <c r="D840">
        <f>AutoClaim_Data!A840</f>
        <v/>
      </c>
      <c r="E840">
        <f>AutoClaim_Data!B840</f>
        <v/>
      </c>
      <c r="F840">
        <f>AutoClaim_Data!C840</f>
        <v/>
      </c>
      <c r="G840">
        <f>IF(AutoClaim_Data!D840&lt;=$B$2,AVERAGEIFS(AutoClaim_Data!C2:C3168,AutoClaim_Data!B2:B3168,"Train",AutoClaim_Data!D2:D3168,"&lt;="&amp;$B$2),AVERAGEIFS(AutoClaim_Data!C2:C3168,AutoClaim_Data!B2:B3168,"Train",AutoClaim_Data!D2:D3168,"&gt;"&amp;$B$2))</f>
        <v/>
      </c>
      <c r="H840">
        <f>IF(AutoClaim_Data!D840&lt;=$B$2,IF(AutoClaim_Data!E840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0">
        <f>(F840-H840)^2</f>
        <v/>
      </c>
      <c r="J840">
        <f>--(E840="Validation")</f>
        <v/>
      </c>
    </row>
    <row r="841">
      <c r="D841">
        <f>AutoClaim_Data!A841</f>
        <v/>
      </c>
      <c r="E841">
        <f>AutoClaim_Data!B841</f>
        <v/>
      </c>
      <c r="F841">
        <f>AutoClaim_Data!C841</f>
        <v/>
      </c>
      <c r="G841">
        <f>IF(AutoClaim_Data!D841&lt;=$B$2,AVERAGEIFS(AutoClaim_Data!C2:C3168,AutoClaim_Data!B2:B3168,"Train",AutoClaim_Data!D2:D3168,"&lt;="&amp;$B$2),AVERAGEIFS(AutoClaim_Data!C2:C3168,AutoClaim_Data!B2:B3168,"Train",AutoClaim_Data!D2:D3168,"&gt;"&amp;$B$2))</f>
        <v/>
      </c>
      <c r="H841">
        <f>IF(AutoClaim_Data!D841&lt;=$B$2,IF(AutoClaim_Data!E841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1">
        <f>(F841-H841)^2</f>
        <v/>
      </c>
      <c r="J841">
        <f>--(E841="Validation")</f>
        <v/>
      </c>
    </row>
    <row r="842">
      <c r="D842">
        <f>AutoClaim_Data!A842</f>
        <v/>
      </c>
      <c r="E842">
        <f>AutoClaim_Data!B842</f>
        <v/>
      </c>
      <c r="F842">
        <f>AutoClaim_Data!C842</f>
        <v/>
      </c>
      <c r="G842">
        <f>IF(AutoClaim_Data!D842&lt;=$B$2,AVERAGEIFS(AutoClaim_Data!C2:C3168,AutoClaim_Data!B2:B3168,"Train",AutoClaim_Data!D2:D3168,"&lt;="&amp;$B$2),AVERAGEIFS(AutoClaim_Data!C2:C3168,AutoClaim_Data!B2:B3168,"Train",AutoClaim_Data!D2:D3168,"&gt;"&amp;$B$2))</f>
        <v/>
      </c>
      <c r="H842">
        <f>IF(AutoClaim_Data!D842&lt;=$B$2,IF(AutoClaim_Data!E842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2">
        <f>(F842-H842)^2</f>
        <v/>
      </c>
      <c r="J842">
        <f>--(E842="Validation")</f>
        <v/>
      </c>
    </row>
    <row r="843">
      <c r="D843">
        <f>AutoClaim_Data!A843</f>
        <v/>
      </c>
      <c r="E843">
        <f>AutoClaim_Data!B843</f>
        <v/>
      </c>
      <c r="F843">
        <f>AutoClaim_Data!C843</f>
        <v/>
      </c>
      <c r="G843">
        <f>IF(AutoClaim_Data!D843&lt;=$B$2,AVERAGEIFS(AutoClaim_Data!C2:C3168,AutoClaim_Data!B2:B3168,"Train",AutoClaim_Data!D2:D3168,"&lt;="&amp;$B$2),AVERAGEIFS(AutoClaim_Data!C2:C3168,AutoClaim_Data!B2:B3168,"Train",AutoClaim_Data!D2:D3168,"&gt;"&amp;$B$2))</f>
        <v/>
      </c>
      <c r="H843">
        <f>IF(AutoClaim_Data!D843&lt;=$B$2,IF(AutoClaim_Data!E843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3">
        <f>(F843-H843)^2</f>
        <v/>
      </c>
      <c r="J843">
        <f>--(E843="Validation")</f>
        <v/>
      </c>
    </row>
    <row r="844">
      <c r="D844">
        <f>AutoClaim_Data!A844</f>
        <v/>
      </c>
      <c r="E844">
        <f>AutoClaim_Data!B844</f>
        <v/>
      </c>
      <c r="F844">
        <f>AutoClaim_Data!C844</f>
        <v/>
      </c>
      <c r="G844">
        <f>IF(AutoClaim_Data!D844&lt;=$B$2,AVERAGEIFS(AutoClaim_Data!C2:C3168,AutoClaim_Data!B2:B3168,"Train",AutoClaim_Data!D2:D3168,"&lt;="&amp;$B$2),AVERAGEIFS(AutoClaim_Data!C2:C3168,AutoClaim_Data!B2:B3168,"Train",AutoClaim_Data!D2:D3168,"&gt;"&amp;$B$2))</f>
        <v/>
      </c>
      <c r="H844">
        <f>IF(AutoClaim_Data!D844&lt;=$B$2,IF(AutoClaim_Data!E844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4">
        <f>(F844-H844)^2</f>
        <v/>
      </c>
      <c r="J844">
        <f>--(E844="Validation")</f>
        <v/>
      </c>
    </row>
    <row r="845">
      <c r="D845">
        <f>AutoClaim_Data!A845</f>
        <v/>
      </c>
      <c r="E845">
        <f>AutoClaim_Data!B845</f>
        <v/>
      </c>
      <c r="F845">
        <f>AutoClaim_Data!C845</f>
        <v/>
      </c>
      <c r="G845">
        <f>IF(AutoClaim_Data!D845&lt;=$B$2,AVERAGEIFS(AutoClaim_Data!C2:C3168,AutoClaim_Data!B2:B3168,"Train",AutoClaim_Data!D2:D3168,"&lt;="&amp;$B$2),AVERAGEIFS(AutoClaim_Data!C2:C3168,AutoClaim_Data!B2:B3168,"Train",AutoClaim_Data!D2:D3168,"&gt;"&amp;$B$2))</f>
        <v/>
      </c>
      <c r="H845">
        <f>IF(AutoClaim_Data!D845&lt;=$B$2,IF(AutoClaim_Data!E845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5">
        <f>(F845-H845)^2</f>
        <v/>
      </c>
      <c r="J845">
        <f>--(E845="Validation")</f>
        <v/>
      </c>
    </row>
    <row r="846">
      <c r="D846">
        <f>AutoClaim_Data!A846</f>
        <v/>
      </c>
      <c r="E846">
        <f>AutoClaim_Data!B846</f>
        <v/>
      </c>
      <c r="F846">
        <f>AutoClaim_Data!C846</f>
        <v/>
      </c>
      <c r="G846">
        <f>IF(AutoClaim_Data!D846&lt;=$B$2,AVERAGEIFS(AutoClaim_Data!C2:C3168,AutoClaim_Data!B2:B3168,"Train",AutoClaim_Data!D2:D3168,"&lt;="&amp;$B$2),AVERAGEIFS(AutoClaim_Data!C2:C3168,AutoClaim_Data!B2:B3168,"Train",AutoClaim_Data!D2:D3168,"&gt;"&amp;$B$2))</f>
        <v/>
      </c>
      <c r="H846">
        <f>IF(AutoClaim_Data!D846&lt;=$B$2,IF(AutoClaim_Data!E846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6">
        <f>(F846-H846)^2</f>
        <v/>
      </c>
      <c r="J846">
        <f>--(E846="Validation")</f>
        <v/>
      </c>
    </row>
    <row r="847">
      <c r="D847">
        <f>AutoClaim_Data!A847</f>
        <v/>
      </c>
      <c r="E847">
        <f>AutoClaim_Data!B847</f>
        <v/>
      </c>
      <c r="F847">
        <f>AutoClaim_Data!C847</f>
        <v/>
      </c>
      <c r="G847">
        <f>IF(AutoClaim_Data!D847&lt;=$B$2,AVERAGEIFS(AutoClaim_Data!C2:C3168,AutoClaim_Data!B2:B3168,"Train",AutoClaim_Data!D2:D3168,"&lt;="&amp;$B$2),AVERAGEIFS(AutoClaim_Data!C2:C3168,AutoClaim_Data!B2:B3168,"Train",AutoClaim_Data!D2:D3168,"&gt;"&amp;$B$2))</f>
        <v/>
      </c>
      <c r="H847">
        <f>IF(AutoClaim_Data!D847&lt;=$B$2,IF(AutoClaim_Data!E847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7">
        <f>(F847-H847)^2</f>
        <v/>
      </c>
      <c r="J847">
        <f>--(E847="Validation")</f>
        <v/>
      </c>
    </row>
    <row r="848">
      <c r="D848">
        <f>AutoClaim_Data!A848</f>
        <v/>
      </c>
      <c r="E848">
        <f>AutoClaim_Data!B848</f>
        <v/>
      </c>
      <c r="F848">
        <f>AutoClaim_Data!C848</f>
        <v/>
      </c>
      <c r="G848">
        <f>IF(AutoClaim_Data!D848&lt;=$B$2,AVERAGEIFS(AutoClaim_Data!C2:C3168,AutoClaim_Data!B2:B3168,"Train",AutoClaim_Data!D2:D3168,"&lt;="&amp;$B$2),AVERAGEIFS(AutoClaim_Data!C2:C3168,AutoClaim_Data!B2:B3168,"Train",AutoClaim_Data!D2:D3168,"&gt;"&amp;$B$2))</f>
        <v/>
      </c>
      <c r="H848">
        <f>IF(AutoClaim_Data!D848&lt;=$B$2,IF(AutoClaim_Data!E848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8">
        <f>(F848-H848)^2</f>
        <v/>
      </c>
      <c r="J848">
        <f>--(E848="Validation")</f>
        <v/>
      </c>
    </row>
    <row r="849">
      <c r="D849">
        <f>AutoClaim_Data!A849</f>
        <v/>
      </c>
      <c r="E849">
        <f>AutoClaim_Data!B849</f>
        <v/>
      </c>
      <c r="F849">
        <f>AutoClaim_Data!C849</f>
        <v/>
      </c>
      <c r="G849">
        <f>IF(AutoClaim_Data!D849&lt;=$B$2,AVERAGEIFS(AutoClaim_Data!C2:C3168,AutoClaim_Data!B2:B3168,"Train",AutoClaim_Data!D2:D3168,"&lt;="&amp;$B$2),AVERAGEIFS(AutoClaim_Data!C2:C3168,AutoClaim_Data!B2:B3168,"Train",AutoClaim_Data!D2:D3168,"&gt;"&amp;$B$2))</f>
        <v/>
      </c>
      <c r="H849">
        <f>IF(AutoClaim_Data!D849&lt;=$B$2,IF(AutoClaim_Data!E849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49">
        <f>(F849-H849)^2</f>
        <v/>
      </c>
      <c r="J849">
        <f>--(E849="Validation")</f>
        <v/>
      </c>
    </row>
    <row r="850">
      <c r="D850">
        <f>AutoClaim_Data!A850</f>
        <v/>
      </c>
      <c r="E850">
        <f>AutoClaim_Data!B850</f>
        <v/>
      </c>
      <c r="F850">
        <f>AutoClaim_Data!C850</f>
        <v/>
      </c>
      <c r="G850">
        <f>IF(AutoClaim_Data!D850&lt;=$B$2,AVERAGEIFS(AutoClaim_Data!C2:C3168,AutoClaim_Data!B2:B3168,"Train",AutoClaim_Data!D2:D3168,"&lt;="&amp;$B$2),AVERAGEIFS(AutoClaim_Data!C2:C3168,AutoClaim_Data!B2:B3168,"Train",AutoClaim_Data!D2:D3168,"&gt;"&amp;$B$2))</f>
        <v/>
      </c>
      <c r="H850">
        <f>IF(AutoClaim_Data!D850&lt;=$B$2,IF(AutoClaim_Data!E850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0">
        <f>(F850-H850)^2</f>
        <v/>
      </c>
      <c r="J850">
        <f>--(E850="Validation")</f>
        <v/>
      </c>
    </row>
    <row r="851">
      <c r="D851">
        <f>AutoClaim_Data!A851</f>
        <v/>
      </c>
      <c r="E851">
        <f>AutoClaim_Data!B851</f>
        <v/>
      </c>
      <c r="F851">
        <f>AutoClaim_Data!C851</f>
        <v/>
      </c>
      <c r="G851">
        <f>IF(AutoClaim_Data!D851&lt;=$B$2,AVERAGEIFS(AutoClaim_Data!C2:C3168,AutoClaim_Data!B2:B3168,"Train",AutoClaim_Data!D2:D3168,"&lt;="&amp;$B$2),AVERAGEIFS(AutoClaim_Data!C2:C3168,AutoClaim_Data!B2:B3168,"Train",AutoClaim_Data!D2:D3168,"&gt;"&amp;$B$2))</f>
        <v/>
      </c>
      <c r="H851">
        <f>IF(AutoClaim_Data!D851&lt;=$B$2,IF(AutoClaim_Data!E851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1">
        <f>(F851-H851)^2</f>
        <v/>
      </c>
      <c r="J851">
        <f>--(E851="Validation")</f>
        <v/>
      </c>
    </row>
    <row r="852">
      <c r="D852">
        <f>AutoClaim_Data!A852</f>
        <v/>
      </c>
      <c r="E852">
        <f>AutoClaim_Data!B852</f>
        <v/>
      </c>
      <c r="F852">
        <f>AutoClaim_Data!C852</f>
        <v/>
      </c>
      <c r="G852">
        <f>IF(AutoClaim_Data!D852&lt;=$B$2,AVERAGEIFS(AutoClaim_Data!C2:C3168,AutoClaim_Data!B2:B3168,"Train",AutoClaim_Data!D2:D3168,"&lt;="&amp;$B$2),AVERAGEIFS(AutoClaim_Data!C2:C3168,AutoClaim_Data!B2:B3168,"Train",AutoClaim_Data!D2:D3168,"&gt;"&amp;$B$2))</f>
        <v/>
      </c>
      <c r="H852">
        <f>IF(AutoClaim_Data!D852&lt;=$B$2,IF(AutoClaim_Data!E852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2">
        <f>(F852-H852)^2</f>
        <v/>
      </c>
      <c r="J852">
        <f>--(E852="Validation")</f>
        <v/>
      </c>
    </row>
    <row r="853">
      <c r="D853">
        <f>AutoClaim_Data!A853</f>
        <v/>
      </c>
      <c r="E853">
        <f>AutoClaim_Data!B853</f>
        <v/>
      </c>
      <c r="F853">
        <f>AutoClaim_Data!C853</f>
        <v/>
      </c>
      <c r="G853">
        <f>IF(AutoClaim_Data!D853&lt;=$B$2,AVERAGEIFS(AutoClaim_Data!C2:C3168,AutoClaim_Data!B2:B3168,"Train",AutoClaim_Data!D2:D3168,"&lt;="&amp;$B$2),AVERAGEIFS(AutoClaim_Data!C2:C3168,AutoClaim_Data!B2:B3168,"Train",AutoClaim_Data!D2:D3168,"&gt;"&amp;$B$2))</f>
        <v/>
      </c>
      <c r="H853">
        <f>IF(AutoClaim_Data!D853&lt;=$B$2,IF(AutoClaim_Data!E853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3">
        <f>(F853-H853)^2</f>
        <v/>
      </c>
      <c r="J853">
        <f>--(E853="Validation")</f>
        <v/>
      </c>
    </row>
    <row r="854">
      <c r="D854">
        <f>AutoClaim_Data!A854</f>
        <v/>
      </c>
      <c r="E854">
        <f>AutoClaim_Data!B854</f>
        <v/>
      </c>
      <c r="F854">
        <f>AutoClaim_Data!C854</f>
        <v/>
      </c>
      <c r="G854">
        <f>IF(AutoClaim_Data!D854&lt;=$B$2,AVERAGEIFS(AutoClaim_Data!C2:C3168,AutoClaim_Data!B2:B3168,"Train",AutoClaim_Data!D2:D3168,"&lt;="&amp;$B$2),AVERAGEIFS(AutoClaim_Data!C2:C3168,AutoClaim_Data!B2:B3168,"Train",AutoClaim_Data!D2:D3168,"&gt;"&amp;$B$2))</f>
        <v/>
      </c>
      <c r="H854">
        <f>IF(AutoClaim_Data!D854&lt;=$B$2,IF(AutoClaim_Data!E854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4">
        <f>(F854-H854)^2</f>
        <v/>
      </c>
      <c r="J854">
        <f>--(E854="Validation")</f>
        <v/>
      </c>
    </row>
    <row r="855">
      <c r="D855">
        <f>AutoClaim_Data!A855</f>
        <v/>
      </c>
      <c r="E855">
        <f>AutoClaim_Data!B855</f>
        <v/>
      </c>
      <c r="F855">
        <f>AutoClaim_Data!C855</f>
        <v/>
      </c>
      <c r="G855">
        <f>IF(AutoClaim_Data!D855&lt;=$B$2,AVERAGEIFS(AutoClaim_Data!C2:C3168,AutoClaim_Data!B2:B3168,"Train",AutoClaim_Data!D2:D3168,"&lt;="&amp;$B$2),AVERAGEIFS(AutoClaim_Data!C2:C3168,AutoClaim_Data!B2:B3168,"Train",AutoClaim_Data!D2:D3168,"&gt;"&amp;$B$2))</f>
        <v/>
      </c>
      <c r="H855">
        <f>IF(AutoClaim_Data!D855&lt;=$B$2,IF(AutoClaim_Data!E855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5">
        <f>(F855-H855)^2</f>
        <v/>
      </c>
      <c r="J855">
        <f>--(E855="Validation")</f>
        <v/>
      </c>
    </row>
    <row r="856">
      <c r="D856">
        <f>AutoClaim_Data!A856</f>
        <v/>
      </c>
      <c r="E856">
        <f>AutoClaim_Data!B856</f>
        <v/>
      </c>
      <c r="F856">
        <f>AutoClaim_Data!C856</f>
        <v/>
      </c>
      <c r="G856">
        <f>IF(AutoClaim_Data!D856&lt;=$B$2,AVERAGEIFS(AutoClaim_Data!C2:C3168,AutoClaim_Data!B2:B3168,"Train",AutoClaim_Data!D2:D3168,"&lt;="&amp;$B$2),AVERAGEIFS(AutoClaim_Data!C2:C3168,AutoClaim_Data!B2:B3168,"Train",AutoClaim_Data!D2:D3168,"&gt;"&amp;$B$2))</f>
        <v/>
      </c>
      <c r="H856">
        <f>IF(AutoClaim_Data!D856&lt;=$B$2,IF(AutoClaim_Data!E856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6">
        <f>(F856-H856)^2</f>
        <v/>
      </c>
      <c r="J856">
        <f>--(E856="Validation")</f>
        <v/>
      </c>
    </row>
    <row r="857">
      <c r="D857">
        <f>AutoClaim_Data!A857</f>
        <v/>
      </c>
      <c r="E857">
        <f>AutoClaim_Data!B857</f>
        <v/>
      </c>
      <c r="F857">
        <f>AutoClaim_Data!C857</f>
        <v/>
      </c>
      <c r="G857">
        <f>IF(AutoClaim_Data!D857&lt;=$B$2,AVERAGEIFS(AutoClaim_Data!C2:C3168,AutoClaim_Data!B2:B3168,"Train",AutoClaim_Data!D2:D3168,"&lt;="&amp;$B$2),AVERAGEIFS(AutoClaim_Data!C2:C3168,AutoClaim_Data!B2:B3168,"Train",AutoClaim_Data!D2:D3168,"&gt;"&amp;$B$2))</f>
        <v/>
      </c>
      <c r="H857">
        <f>IF(AutoClaim_Data!D857&lt;=$B$2,IF(AutoClaim_Data!E857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7">
        <f>(F857-H857)^2</f>
        <v/>
      </c>
      <c r="J857">
        <f>--(E857="Validation")</f>
        <v/>
      </c>
    </row>
    <row r="858">
      <c r="D858">
        <f>AutoClaim_Data!A858</f>
        <v/>
      </c>
      <c r="E858">
        <f>AutoClaim_Data!B858</f>
        <v/>
      </c>
      <c r="F858">
        <f>AutoClaim_Data!C858</f>
        <v/>
      </c>
      <c r="G858">
        <f>IF(AutoClaim_Data!D858&lt;=$B$2,AVERAGEIFS(AutoClaim_Data!C2:C3168,AutoClaim_Data!B2:B3168,"Train",AutoClaim_Data!D2:D3168,"&lt;="&amp;$B$2),AVERAGEIFS(AutoClaim_Data!C2:C3168,AutoClaim_Data!B2:B3168,"Train",AutoClaim_Data!D2:D3168,"&gt;"&amp;$B$2))</f>
        <v/>
      </c>
      <c r="H858">
        <f>IF(AutoClaim_Data!D858&lt;=$B$2,IF(AutoClaim_Data!E858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8">
        <f>(F858-H858)^2</f>
        <v/>
      </c>
      <c r="J858">
        <f>--(E858="Validation")</f>
        <v/>
      </c>
    </row>
    <row r="859">
      <c r="D859">
        <f>AutoClaim_Data!A859</f>
        <v/>
      </c>
      <c r="E859">
        <f>AutoClaim_Data!B859</f>
        <v/>
      </c>
      <c r="F859">
        <f>AutoClaim_Data!C859</f>
        <v/>
      </c>
      <c r="G859">
        <f>IF(AutoClaim_Data!D859&lt;=$B$2,AVERAGEIFS(AutoClaim_Data!C2:C3168,AutoClaim_Data!B2:B3168,"Train",AutoClaim_Data!D2:D3168,"&lt;="&amp;$B$2),AVERAGEIFS(AutoClaim_Data!C2:C3168,AutoClaim_Data!B2:B3168,"Train",AutoClaim_Data!D2:D3168,"&gt;"&amp;$B$2))</f>
        <v/>
      </c>
      <c r="H859">
        <f>IF(AutoClaim_Data!D859&lt;=$B$2,IF(AutoClaim_Data!E859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59">
        <f>(F859-H859)^2</f>
        <v/>
      </c>
      <c r="J859">
        <f>--(E859="Validation")</f>
        <v/>
      </c>
    </row>
    <row r="860">
      <c r="D860">
        <f>AutoClaim_Data!A860</f>
        <v/>
      </c>
      <c r="E860">
        <f>AutoClaim_Data!B860</f>
        <v/>
      </c>
      <c r="F860">
        <f>AutoClaim_Data!C860</f>
        <v/>
      </c>
      <c r="G860">
        <f>IF(AutoClaim_Data!D860&lt;=$B$2,AVERAGEIFS(AutoClaim_Data!C2:C3168,AutoClaim_Data!B2:B3168,"Train",AutoClaim_Data!D2:D3168,"&lt;="&amp;$B$2),AVERAGEIFS(AutoClaim_Data!C2:C3168,AutoClaim_Data!B2:B3168,"Train",AutoClaim_Data!D2:D3168,"&gt;"&amp;$B$2))</f>
        <v/>
      </c>
      <c r="H860">
        <f>IF(AutoClaim_Data!D860&lt;=$B$2,IF(AutoClaim_Data!E860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0">
        <f>(F860-H860)^2</f>
        <v/>
      </c>
      <c r="J860">
        <f>--(E860="Validation")</f>
        <v/>
      </c>
    </row>
    <row r="861">
      <c r="D861">
        <f>AutoClaim_Data!A861</f>
        <v/>
      </c>
      <c r="E861">
        <f>AutoClaim_Data!B861</f>
        <v/>
      </c>
      <c r="F861">
        <f>AutoClaim_Data!C861</f>
        <v/>
      </c>
      <c r="G861">
        <f>IF(AutoClaim_Data!D861&lt;=$B$2,AVERAGEIFS(AutoClaim_Data!C2:C3168,AutoClaim_Data!B2:B3168,"Train",AutoClaim_Data!D2:D3168,"&lt;="&amp;$B$2),AVERAGEIFS(AutoClaim_Data!C2:C3168,AutoClaim_Data!B2:B3168,"Train",AutoClaim_Data!D2:D3168,"&gt;"&amp;$B$2))</f>
        <v/>
      </c>
      <c r="H861">
        <f>IF(AutoClaim_Data!D861&lt;=$B$2,IF(AutoClaim_Data!E861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1">
        <f>(F861-H861)^2</f>
        <v/>
      </c>
      <c r="J861">
        <f>--(E861="Validation")</f>
        <v/>
      </c>
    </row>
    <row r="862">
      <c r="D862">
        <f>AutoClaim_Data!A862</f>
        <v/>
      </c>
      <c r="E862">
        <f>AutoClaim_Data!B862</f>
        <v/>
      </c>
      <c r="F862">
        <f>AutoClaim_Data!C862</f>
        <v/>
      </c>
      <c r="G862">
        <f>IF(AutoClaim_Data!D862&lt;=$B$2,AVERAGEIFS(AutoClaim_Data!C2:C3168,AutoClaim_Data!B2:B3168,"Train",AutoClaim_Data!D2:D3168,"&lt;="&amp;$B$2),AVERAGEIFS(AutoClaim_Data!C2:C3168,AutoClaim_Data!B2:B3168,"Train",AutoClaim_Data!D2:D3168,"&gt;"&amp;$B$2))</f>
        <v/>
      </c>
      <c r="H862">
        <f>IF(AutoClaim_Data!D862&lt;=$B$2,IF(AutoClaim_Data!E862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2">
        <f>(F862-H862)^2</f>
        <v/>
      </c>
      <c r="J862">
        <f>--(E862="Validation")</f>
        <v/>
      </c>
    </row>
    <row r="863">
      <c r="D863">
        <f>AutoClaim_Data!A863</f>
        <v/>
      </c>
      <c r="E863">
        <f>AutoClaim_Data!B863</f>
        <v/>
      </c>
      <c r="F863">
        <f>AutoClaim_Data!C863</f>
        <v/>
      </c>
      <c r="G863">
        <f>IF(AutoClaim_Data!D863&lt;=$B$2,AVERAGEIFS(AutoClaim_Data!C2:C3168,AutoClaim_Data!B2:B3168,"Train",AutoClaim_Data!D2:D3168,"&lt;="&amp;$B$2),AVERAGEIFS(AutoClaim_Data!C2:C3168,AutoClaim_Data!B2:B3168,"Train",AutoClaim_Data!D2:D3168,"&gt;"&amp;$B$2))</f>
        <v/>
      </c>
      <c r="H863">
        <f>IF(AutoClaim_Data!D863&lt;=$B$2,IF(AutoClaim_Data!E863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3">
        <f>(F863-H863)^2</f>
        <v/>
      </c>
      <c r="J863">
        <f>--(E863="Validation")</f>
        <v/>
      </c>
    </row>
    <row r="864">
      <c r="D864">
        <f>AutoClaim_Data!A864</f>
        <v/>
      </c>
      <c r="E864">
        <f>AutoClaim_Data!B864</f>
        <v/>
      </c>
      <c r="F864">
        <f>AutoClaim_Data!C864</f>
        <v/>
      </c>
      <c r="G864">
        <f>IF(AutoClaim_Data!D864&lt;=$B$2,AVERAGEIFS(AutoClaim_Data!C2:C3168,AutoClaim_Data!B2:B3168,"Train",AutoClaim_Data!D2:D3168,"&lt;="&amp;$B$2),AVERAGEIFS(AutoClaim_Data!C2:C3168,AutoClaim_Data!B2:B3168,"Train",AutoClaim_Data!D2:D3168,"&gt;"&amp;$B$2))</f>
        <v/>
      </c>
      <c r="H864">
        <f>IF(AutoClaim_Data!D864&lt;=$B$2,IF(AutoClaim_Data!E864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4">
        <f>(F864-H864)^2</f>
        <v/>
      </c>
      <c r="J864">
        <f>--(E864="Validation")</f>
        <v/>
      </c>
    </row>
    <row r="865">
      <c r="D865">
        <f>AutoClaim_Data!A865</f>
        <v/>
      </c>
      <c r="E865">
        <f>AutoClaim_Data!B865</f>
        <v/>
      </c>
      <c r="F865">
        <f>AutoClaim_Data!C865</f>
        <v/>
      </c>
      <c r="G865">
        <f>IF(AutoClaim_Data!D865&lt;=$B$2,AVERAGEIFS(AutoClaim_Data!C2:C3168,AutoClaim_Data!B2:B3168,"Train",AutoClaim_Data!D2:D3168,"&lt;="&amp;$B$2),AVERAGEIFS(AutoClaim_Data!C2:C3168,AutoClaim_Data!B2:B3168,"Train",AutoClaim_Data!D2:D3168,"&gt;"&amp;$B$2))</f>
        <v/>
      </c>
      <c r="H865">
        <f>IF(AutoClaim_Data!D865&lt;=$B$2,IF(AutoClaim_Data!E865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5">
        <f>(F865-H865)^2</f>
        <v/>
      </c>
      <c r="J865">
        <f>--(E865="Validation")</f>
        <v/>
      </c>
    </row>
    <row r="866">
      <c r="D866">
        <f>AutoClaim_Data!A866</f>
        <v/>
      </c>
      <c r="E866">
        <f>AutoClaim_Data!B866</f>
        <v/>
      </c>
      <c r="F866">
        <f>AutoClaim_Data!C866</f>
        <v/>
      </c>
      <c r="G866">
        <f>IF(AutoClaim_Data!D866&lt;=$B$2,AVERAGEIFS(AutoClaim_Data!C2:C3168,AutoClaim_Data!B2:B3168,"Train",AutoClaim_Data!D2:D3168,"&lt;="&amp;$B$2),AVERAGEIFS(AutoClaim_Data!C2:C3168,AutoClaim_Data!B2:B3168,"Train",AutoClaim_Data!D2:D3168,"&gt;"&amp;$B$2))</f>
        <v/>
      </c>
      <c r="H866">
        <f>IF(AutoClaim_Data!D866&lt;=$B$2,IF(AutoClaim_Data!E866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6">
        <f>(F866-H866)^2</f>
        <v/>
      </c>
      <c r="J866">
        <f>--(E866="Validation")</f>
        <v/>
      </c>
    </row>
    <row r="867">
      <c r="D867">
        <f>AutoClaim_Data!A867</f>
        <v/>
      </c>
      <c r="E867">
        <f>AutoClaim_Data!B867</f>
        <v/>
      </c>
      <c r="F867">
        <f>AutoClaim_Data!C867</f>
        <v/>
      </c>
      <c r="G867">
        <f>IF(AutoClaim_Data!D867&lt;=$B$2,AVERAGEIFS(AutoClaim_Data!C2:C3168,AutoClaim_Data!B2:B3168,"Train",AutoClaim_Data!D2:D3168,"&lt;="&amp;$B$2),AVERAGEIFS(AutoClaim_Data!C2:C3168,AutoClaim_Data!B2:B3168,"Train",AutoClaim_Data!D2:D3168,"&gt;"&amp;$B$2))</f>
        <v/>
      </c>
      <c r="H867">
        <f>IF(AutoClaim_Data!D867&lt;=$B$2,IF(AutoClaim_Data!E867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7">
        <f>(F867-H867)^2</f>
        <v/>
      </c>
      <c r="J867">
        <f>--(E867="Validation")</f>
        <v/>
      </c>
    </row>
    <row r="868">
      <c r="D868">
        <f>AutoClaim_Data!A868</f>
        <v/>
      </c>
      <c r="E868">
        <f>AutoClaim_Data!B868</f>
        <v/>
      </c>
      <c r="F868">
        <f>AutoClaim_Data!C868</f>
        <v/>
      </c>
      <c r="G868">
        <f>IF(AutoClaim_Data!D868&lt;=$B$2,AVERAGEIFS(AutoClaim_Data!C2:C3168,AutoClaim_Data!B2:B3168,"Train",AutoClaim_Data!D2:D3168,"&lt;="&amp;$B$2),AVERAGEIFS(AutoClaim_Data!C2:C3168,AutoClaim_Data!B2:B3168,"Train",AutoClaim_Data!D2:D3168,"&gt;"&amp;$B$2))</f>
        <v/>
      </c>
      <c r="H868">
        <f>IF(AutoClaim_Data!D868&lt;=$B$2,IF(AutoClaim_Data!E868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8">
        <f>(F868-H868)^2</f>
        <v/>
      </c>
      <c r="J868">
        <f>--(E868="Validation")</f>
        <v/>
      </c>
    </row>
    <row r="869">
      <c r="D869">
        <f>AutoClaim_Data!A869</f>
        <v/>
      </c>
      <c r="E869">
        <f>AutoClaim_Data!B869</f>
        <v/>
      </c>
      <c r="F869">
        <f>AutoClaim_Data!C869</f>
        <v/>
      </c>
      <c r="G869">
        <f>IF(AutoClaim_Data!D869&lt;=$B$2,AVERAGEIFS(AutoClaim_Data!C2:C3168,AutoClaim_Data!B2:B3168,"Train",AutoClaim_Data!D2:D3168,"&lt;="&amp;$B$2),AVERAGEIFS(AutoClaim_Data!C2:C3168,AutoClaim_Data!B2:B3168,"Train",AutoClaim_Data!D2:D3168,"&gt;"&amp;$B$2))</f>
        <v/>
      </c>
      <c r="H869">
        <f>IF(AutoClaim_Data!D869&lt;=$B$2,IF(AutoClaim_Data!E869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69">
        <f>(F869-H869)^2</f>
        <v/>
      </c>
      <c r="J869">
        <f>--(E869="Validation")</f>
        <v/>
      </c>
    </row>
    <row r="870">
      <c r="D870">
        <f>AutoClaim_Data!A870</f>
        <v/>
      </c>
      <c r="E870">
        <f>AutoClaim_Data!B870</f>
        <v/>
      </c>
      <c r="F870">
        <f>AutoClaim_Data!C870</f>
        <v/>
      </c>
      <c r="G870">
        <f>IF(AutoClaim_Data!D870&lt;=$B$2,AVERAGEIFS(AutoClaim_Data!C2:C3168,AutoClaim_Data!B2:B3168,"Train",AutoClaim_Data!D2:D3168,"&lt;="&amp;$B$2),AVERAGEIFS(AutoClaim_Data!C2:C3168,AutoClaim_Data!B2:B3168,"Train",AutoClaim_Data!D2:D3168,"&gt;"&amp;$B$2))</f>
        <v/>
      </c>
      <c r="H870">
        <f>IF(AutoClaim_Data!D870&lt;=$B$2,IF(AutoClaim_Data!E870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0">
        <f>(F870-H870)^2</f>
        <v/>
      </c>
      <c r="J870">
        <f>--(E870="Validation")</f>
        <v/>
      </c>
    </row>
    <row r="871">
      <c r="D871">
        <f>AutoClaim_Data!A871</f>
        <v/>
      </c>
      <c r="E871">
        <f>AutoClaim_Data!B871</f>
        <v/>
      </c>
      <c r="F871">
        <f>AutoClaim_Data!C871</f>
        <v/>
      </c>
      <c r="G871">
        <f>IF(AutoClaim_Data!D871&lt;=$B$2,AVERAGEIFS(AutoClaim_Data!C2:C3168,AutoClaim_Data!B2:B3168,"Train",AutoClaim_Data!D2:D3168,"&lt;="&amp;$B$2),AVERAGEIFS(AutoClaim_Data!C2:C3168,AutoClaim_Data!B2:B3168,"Train",AutoClaim_Data!D2:D3168,"&gt;"&amp;$B$2))</f>
        <v/>
      </c>
      <c r="H871">
        <f>IF(AutoClaim_Data!D871&lt;=$B$2,IF(AutoClaim_Data!E871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1">
        <f>(F871-H871)^2</f>
        <v/>
      </c>
      <c r="J871">
        <f>--(E871="Validation")</f>
        <v/>
      </c>
    </row>
    <row r="872">
      <c r="D872">
        <f>AutoClaim_Data!A872</f>
        <v/>
      </c>
      <c r="E872">
        <f>AutoClaim_Data!B872</f>
        <v/>
      </c>
      <c r="F872">
        <f>AutoClaim_Data!C872</f>
        <v/>
      </c>
      <c r="G872">
        <f>IF(AutoClaim_Data!D872&lt;=$B$2,AVERAGEIFS(AutoClaim_Data!C2:C3168,AutoClaim_Data!B2:B3168,"Train",AutoClaim_Data!D2:D3168,"&lt;="&amp;$B$2),AVERAGEIFS(AutoClaim_Data!C2:C3168,AutoClaim_Data!B2:B3168,"Train",AutoClaim_Data!D2:D3168,"&gt;"&amp;$B$2))</f>
        <v/>
      </c>
      <c r="H872">
        <f>IF(AutoClaim_Data!D872&lt;=$B$2,IF(AutoClaim_Data!E872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2">
        <f>(F872-H872)^2</f>
        <v/>
      </c>
      <c r="J872">
        <f>--(E872="Validation")</f>
        <v/>
      </c>
    </row>
    <row r="873">
      <c r="D873">
        <f>AutoClaim_Data!A873</f>
        <v/>
      </c>
      <c r="E873">
        <f>AutoClaim_Data!B873</f>
        <v/>
      </c>
      <c r="F873">
        <f>AutoClaim_Data!C873</f>
        <v/>
      </c>
      <c r="G873">
        <f>IF(AutoClaim_Data!D873&lt;=$B$2,AVERAGEIFS(AutoClaim_Data!C2:C3168,AutoClaim_Data!B2:B3168,"Train",AutoClaim_Data!D2:D3168,"&lt;="&amp;$B$2),AVERAGEIFS(AutoClaim_Data!C2:C3168,AutoClaim_Data!B2:B3168,"Train",AutoClaim_Data!D2:D3168,"&gt;"&amp;$B$2))</f>
        <v/>
      </c>
      <c r="H873">
        <f>IF(AutoClaim_Data!D873&lt;=$B$2,IF(AutoClaim_Data!E873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3">
        <f>(F873-H873)^2</f>
        <v/>
      </c>
      <c r="J873">
        <f>--(E873="Validation")</f>
        <v/>
      </c>
    </row>
    <row r="874">
      <c r="D874">
        <f>AutoClaim_Data!A874</f>
        <v/>
      </c>
      <c r="E874">
        <f>AutoClaim_Data!B874</f>
        <v/>
      </c>
      <c r="F874">
        <f>AutoClaim_Data!C874</f>
        <v/>
      </c>
      <c r="G874">
        <f>IF(AutoClaim_Data!D874&lt;=$B$2,AVERAGEIFS(AutoClaim_Data!C2:C3168,AutoClaim_Data!B2:B3168,"Train",AutoClaim_Data!D2:D3168,"&lt;="&amp;$B$2),AVERAGEIFS(AutoClaim_Data!C2:C3168,AutoClaim_Data!B2:B3168,"Train",AutoClaim_Data!D2:D3168,"&gt;"&amp;$B$2))</f>
        <v/>
      </c>
      <c r="H874">
        <f>IF(AutoClaim_Data!D874&lt;=$B$2,IF(AutoClaim_Data!E874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4">
        <f>(F874-H874)^2</f>
        <v/>
      </c>
      <c r="J874">
        <f>--(E874="Validation")</f>
        <v/>
      </c>
    </row>
    <row r="875">
      <c r="D875">
        <f>AutoClaim_Data!A875</f>
        <v/>
      </c>
      <c r="E875">
        <f>AutoClaim_Data!B875</f>
        <v/>
      </c>
      <c r="F875">
        <f>AutoClaim_Data!C875</f>
        <v/>
      </c>
      <c r="G875">
        <f>IF(AutoClaim_Data!D875&lt;=$B$2,AVERAGEIFS(AutoClaim_Data!C2:C3168,AutoClaim_Data!B2:B3168,"Train",AutoClaim_Data!D2:D3168,"&lt;="&amp;$B$2),AVERAGEIFS(AutoClaim_Data!C2:C3168,AutoClaim_Data!B2:B3168,"Train",AutoClaim_Data!D2:D3168,"&gt;"&amp;$B$2))</f>
        <v/>
      </c>
      <c r="H875">
        <f>IF(AutoClaim_Data!D875&lt;=$B$2,IF(AutoClaim_Data!E875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5">
        <f>(F875-H875)^2</f>
        <v/>
      </c>
      <c r="J875">
        <f>--(E875="Validation")</f>
        <v/>
      </c>
    </row>
    <row r="876">
      <c r="D876">
        <f>AutoClaim_Data!A876</f>
        <v/>
      </c>
      <c r="E876">
        <f>AutoClaim_Data!B876</f>
        <v/>
      </c>
      <c r="F876">
        <f>AutoClaim_Data!C876</f>
        <v/>
      </c>
      <c r="G876">
        <f>IF(AutoClaim_Data!D876&lt;=$B$2,AVERAGEIFS(AutoClaim_Data!C2:C3168,AutoClaim_Data!B2:B3168,"Train",AutoClaim_Data!D2:D3168,"&lt;="&amp;$B$2),AVERAGEIFS(AutoClaim_Data!C2:C3168,AutoClaim_Data!B2:B3168,"Train",AutoClaim_Data!D2:D3168,"&gt;"&amp;$B$2))</f>
        <v/>
      </c>
      <c r="H876">
        <f>IF(AutoClaim_Data!D876&lt;=$B$2,IF(AutoClaim_Data!E876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6">
        <f>(F876-H876)^2</f>
        <v/>
      </c>
      <c r="J876">
        <f>--(E876="Validation")</f>
        <v/>
      </c>
    </row>
    <row r="877">
      <c r="D877">
        <f>AutoClaim_Data!A877</f>
        <v/>
      </c>
      <c r="E877">
        <f>AutoClaim_Data!B877</f>
        <v/>
      </c>
      <c r="F877">
        <f>AutoClaim_Data!C877</f>
        <v/>
      </c>
      <c r="G877">
        <f>IF(AutoClaim_Data!D877&lt;=$B$2,AVERAGEIFS(AutoClaim_Data!C2:C3168,AutoClaim_Data!B2:B3168,"Train",AutoClaim_Data!D2:D3168,"&lt;="&amp;$B$2),AVERAGEIFS(AutoClaim_Data!C2:C3168,AutoClaim_Data!B2:B3168,"Train",AutoClaim_Data!D2:D3168,"&gt;"&amp;$B$2))</f>
        <v/>
      </c>
      <c r="H877">
        <f>IF(AutoClaim_Data!D877&lt;=$B$2,IF(AutoClaim_Data!E877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7">
        <f>(F877-H877)^2</f>
        <v/>
      </c>
      <c r="J877">
        <f>--(E877="Validation")</f>
        <v/>
      </c>
    </row>
    <row r="878">
      <c r="D878">
        <f>AutoClaim_Data!A878</f>
        <v/>
      </c>
      <c r="E878">
        <f>AutoClaim_Data!B878</f>
        <v/>
      </c>
      <c r="F878">
        <f>AutoClaim_Data!C878</f>
        <v/>
      </c>
      <c r="G878">
        <f>IF(AutoClaim_Data!D878&lt;=$B$2,AVERAGEIFS(AutoClaim_Data!C2:C3168,AutoClaim_Data!B2:B3168,"Train",AutoClaim_Data!D2:D3168,"&lt;="&amp;$B$2),AVERAGEIFS(AutoClaim_Data!C2:C3168,AutoClaim_Data!B2:B3168,"Train",AutoClaim_Data!D2:D3168,"&gt;"&amp;$B$2))</f>
        <v/>
      </c>
      <c r="H878">
        <f>IF(AutoClaim_Data!D878&lt;=$B$2,IF(AutoClaim_Data!E878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8">
        <f>(F878-H878)^2</f>
        <v/>
      </c>
      <c r="J878">
        <f>--(E878="Validation")</f>
        <v/>
      </c>
    </row>
    <row r="879">
      <c r="D879">
        <f>AutoClaim_Data!A879</f>
        <v/>
      </c>
      <c r="E879">
        <f>AutoClaim_Data!B879</f>
        <v/>
      </c>
      <c r="F879">
        <f>AutoClaim_Data!C879</f>
        <v/>
      </c>
      <c r="G879">
        <f>IF(AutoClaim_Data!D879&lt;=$B$2,AVERAGEIFS(AutoClaim_Data!C2:C3168,AutoClaim_Data!B2:B3168,"Train",AutoClaim_Data!D2:D3168,"&lt;="&amp;$B$2),AVERAGEIFS(AutoClaim_Data!C2:C3168,AutoClaim_Data!B2:B3168,"Train",AutoClaim_Data!D2:D3168,"&gt;"&amp;$B$2))</f>
        <v/>
      </c>
      <c r="H879">
        <f>IF(AutoClaim_Data!D879&lt;=$B$2,IF(AutoClaim_Data!E879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79">
        <f>(F879-H879)^2</f>
        <v/>
      </c>
      <c r="J879">
        <f>--(E879="Validation")</f>
        <v/>
      </c>
    </row>
    <row r="880">
      <c r="D880">
        <f>AutoClaim_Data!A880</f>
        <v/>
      </c>
      <c r="E880">
        <f>AutoClaim_Data!B880</f>
        <v/>
      </c>
      <c r="F880">
        <f>AutoClaim_Data!C880</f>
        <v/>
      </c>
      <c r="G880">
        <f>IF(AutoClaim_Data!D880&lt;=$B$2,AVERAGEIFS(AutoClaim_Data!C2:C3168,AutoClaim_Data!B2:B3168,"Train",AutoClaim_Data!D2:D3168,"&lt;="&amp;$B$2),AVERAGEIFS(AutoClaim_Data!C2:C3168,AutoClaim_Data!B2:B3168,"Train",AutoClaim_Data!D2:D3168,"&gt;"&amp;$B$2))</f>
        <v/>
      </c>
      <c r="H880">
        <f>IF(AutoClaim_Data!D880&lt;=$B$2,IF(AutoClaim_Data!E880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0">
        <f>(F880-H880)^2</f>
        <v/>
      </c>
      <c r="J880">
        <f>--(E880="Validation")</f>
        <v/>
      </c>
    </row>
    <row r="881">
      <c r="D881">
        <f>AutoClaim_Data!A881</f>
        <v/>
      </c>
      <c r="E881">
        <f>AutoClaim_Data!B881</f>
        <v/>
      </c>
      <c r="F881">
        <f>AutoClaim_Data!C881</f>
        <v/>
      </c>
      <c r="G881">
        <f>IF(AutoClaim_Data!D881&lt;=$B$2,AVERAGEIFS(AutoClaim_Data!C2:C3168,AutoClaim_Data!B2:B3168,"Train",AutoClaim_Data!D2:D3168,"&lt;="&amp;$B$2),AVERAGEIFS(AutoClaim_Data!C2:C3168,AutoClaim_Data!B2:B3168,"Train",AutoClaim_Data!D2:D3168,"&gt;"&amp;$B$2))</f>
        <v/>
      </c>
      <c r="H881">
        <f>IF(AutoClaim_Data!D881&lt;=$B$2,IF(AutoClaim_Data!E881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1">
        <f>(F881-H881)^2</f>
        <v/>
      </c>
      <c r="J881">
        <f>--(E881="Validation")</f>
        <v/>
      </c>
    </row>
    <row r="882">
      <c r="D882">
        <f>AutoClaim_Data!A882</f>
        <v/>
      </c>
      <c r="E882">
        <f>AutoClaim_Data!B882</f>
        <v/>
      </c>
      <c r="F882">
        <f>AutoClaim_Data!C882</f>
        <v/>
      </c>
      <c r="G882">
        <f>IF(AutoClaim_Data!D882&lt;=$B$2,AVERAGEIFS(AutoClaim_Data!C2:C3168,AutoClaim_Data!B2:B3168,"Train",AutoClaim_Data!D2:D3168,"&lt;="&amp;$B$2),AVERAGEIFS(AutoClaim_Data!C2:C3168,AutoClaim_Data!B2:B3168,"Train",AutoClaim_Data!D2:D3168,"&gt;"&amp;$B$2))</f>
        <v/>
      </c>
      <c r="H882">
        <f>IF(AutoClaim_Data!D882&lt;=$B$2,IF(AutoClaim_Data!E882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2">
        <f>(F882-H882)^2</f>
        <v/>
      </c>
      <c r="J882">
        <f>--(E882="Validation")</f>
        <v/>
      </c>
    </row>
    <row r="883">
      <c r="D883">
        <f>AutoClaim_Data!A883</f>
        <v/>
      </c>
      <c r="E883">
        <f>AutoClaim_Data!B883</f>
        <v/>
      </c>
      <c r="F883">
        <f>AutoClaim_Data!C883</f>
        <v/>
      </c>
      <c r="G883">
        <f>IF(AutoClaim_Data!D883&lt;=$B$2,AVERAGEIFS(AutoClaim_Data!C2:C3168,AutoClaim_Data!B2:B3168,"Train",AutoClaim_Data!D2:D3168,"&lt;="&amp;$B$2),AVERAGEIFS(AutoClaim_Data!C2:C3168,AutoClaim_Data!B2:B3168,"Train",AutoClaim_Data!D2:D3168,"&gt;"&amp;$B$2))</f>
        <v/>
      </c>
      <c r="H883">
        <f>IF(AutoClaim_Data!D883&lt;=$B$2,IF(AutoClaim_Data!E883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3">
        <f>(F883-H883)^2</f>
        <v/>
      </c>
      <c r="J883">
        <f>--(E883="Validation")</f>
        <v/>
      </c>
    </row>
    <row r="884">
      <c r="D884">
        <f>AutoClaim_Data!A884</f>
        <v/>
      </c>
      <c r="E884">
        <f>AutoClaim_Data!B884</f>
        <v/>
      </c>
      <c r="F884">
        <f>AutoClaim_Data!C884</f>
        <v/>
      </c>
      <c r="G884">
        <f>IF(AutoClaim_Data!D884&lt;=$B$2,AVERAGEIFS(AutoClaim_Data!C2:C3168,AutoClaim_Data!B2:B3168,"Train",AutoClaim_Data!D2:D3168,"&lt;="&amp;$B$2),AVERAGEIFS(AutoClaim_Data!C2:C3168,AutoClaim_Data!B2:B3168,"Train",AutoClaim_Data!D2:D3168,"&gt;"&amp;$B$2))</f>
        <v/>
      </c>
      <c r="H884">
        <f>IF(AutoClaim_Data!D884&lt;=$B$2,IF(AutoClaim_Data!E884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4">
        <f>(F884-H884)^2</f>
        <v/>
      </c>
      <c r="J884">
        <f>--(E884="Validation")</f>
        <v/>
      </c>
    </row>
    <row r="885">
      <c r="D885">
        <f>AutoClaim_Data!A885</f>
        <v/>
      </c>
      <c r="E885">
        <f>AutoClaim_Data!B885</f>
        <v/>
      </c>
      <c r="F885">
        <f>AutoClaim_Data!C885</f>
        <v/>
      </c>
      <c r="G885">
        <f>IF(AutoClaim_Data!D885&lt;=$B$2,AVERAGEIFS(AutoClaim_Data!C2:C3168,AutoClaim_Data!B2:B3168,"Train",AutoClaim_Data!D2:D3168,"&lt;="&amp;$B$2),AVERAGEIFS(AutoClaim_Data!C2:C3168,AutoClaim_Data!B2:B3168,"Train",AutoClaim_Data!D2:D3168,"&gt;"&amp;$B$2))</f>
        <v/>
      </c>
      <c r="H885">
        <f>IF(AutoClaim_Data!D885&lt;=$B$2,IF(AutoClaim_Data!E885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5">
        <f>(F885-H885)^2</f>
        <v/>
      </c>
      <c r="J885">
        <f>--(E885="Validation")</f>
        <v/>
      </c>
    </row>
    <row r="886">
      <c r="D886">
        <f>AutoClaim_Data!A886</f>
        <v/>
      </c>
      <c r="E886">
        <f>AutoClaim_Data!B886</f>
        <v/>
      </c>
      <c r="F886">
        <f>AutoClaim_Data!C886</f>
        <v/>
      </c>
      <c r="G886">
        <f>IF(AutoClaim_Data!D886&lt;=$B$2,AVERAGEIFS(AutoClaim_Data!C2:C3168,AutoClaim_Data!B2:B3168,"Train",AutoClaim_Data!D2:D3168,"&lt;="&amp;$B$2),AVERAGEIFS(AutoClaim_Data!C2:C3168,AutoClaim_Data!B2:B3168,"Train",AutoClaim_Data!D2:D3168,"&gt;"&amp;$B$2))</f>
        <v/>
      </c>
      <c r="H886">
        <f>IF(AutoClaim_Data!D886&lt;=$B$2,IF(AutoClaim_Data!E886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6">
        <f>(F886-H886)^2</f>
        <v/>
      </c>
      <c r="J886">
        <f>--(E886="Validation")</f>
        <v/>
      </c>
    </row>
    <row r="887">
      <c r="D887">
        <f>AutoClaim_Data!A887</f>
        <v/>
      </c>
      <c r="E887">
        <f>AutoClaim_Data!B887</f>
        <v/>
      </c>
      <c r="F887">
        <f>AutoClaim_Data!C887</f>
        <v/>
      </c>
      <c r="G887">
        <f>IF(AutoClaim_Data!D887&lt;=$B$2,AVERAGEIFS(AutoClaim_Data!C2:C3168,AutoClaim_Data!B2:B3168,"Train",AutoClaim_Data!D2:D3168,"&lt;="&amp;$B$2),AVERAGEIFS(AutoClaim_Data!C2:C3168,AutoClaim_Data!B2:B3168,"Train",AutoClaim_Data!D2:D3168,"&gt;"&amp;$B$2))</f>
        <v/>
      </c>
      <c r="H887">
        <f>IF(AutoClaim_Data!D887&lt;=$B$2,IF(AutoClaim_Data!E887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7">
        <f>(F887-H887)^2</f>
        <v/>
      </c>
      <c r="J887">
        <f>--(E887="Validation")</f>
        <v/>
      </c>
    </row>
    <row r="888">
      <c r="D888">
        <f>AutoClaim_Data!A888</f>
        <v/>
      </c>
      <c r="E888">
        <f>AutoClaim_Data!B888</f>
        <v/>
      </c>
      <c r="F888">
        <f>AutoClaim_Data!C888</f>
        <v/>
      </c>
      <c r="G888">
        <f>IF(AutoClaim_Data!D888&lt;=$B$2,AVERAGEIFS(AutoClaim_Data!C2:C3168,AutoClaim_Data!B2:B3168,"Train",AutoClaim_Data!D2:D3168,"&lt;="&amp;$B$2),AVERAGEIFS(AutoClaim_Data!C2:C3168,AutoClaim_Data!B2:B3168,"Train",AutoClaim_Data!D2:D3168,"&gt;"&amp;$B$2))</f>
        <v/>
      </c>
      <c r="H888">
        <f>IF(AutoClaim_Data!D888&lt;=$B$2,IF(AutoClaim_Data!E888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8">
        <f>(F888-H888)^2</f>
        <v/>
      </c>
      <c r="J888">
        <f>--(E888="Validation")</f>
        <v/>
      </c>
    </row>
    <row r="889">
      <c r="D889">
        <f>AutoClaim_Data!A889</f>
        <v/>
      </c>
      <c r="E889">
        <f>AutoClaim_Data!B889</f>
        <v/>
      </c>
      <c r="F889">
        <f>AutoClaim_Data!C889</f>
        <v/>
      </c>
      <c r="G889">
        <f>IF(AutoClaim_Data!D889&lt;=$B$2,AVERAGEIFS(AutoClaim_Data!C2:C3168,AutoClaim_Data!B2:B3168,"Train",AutoClaim_Data!D2:D3168,"&lt;="&amp;$B$2),AVERAGEIFS(AutoClaim_Data!C2:C3168,AutoClaim_Data!B2:B3168,"Train",AutoClaim_Data!D2:D3168,"&gt;"&amp;$B$2))</f>
        <v/>
      </c>
      <c r="H889">
        <f>IF(AutoClaim_Data!D889&lt;=$B$2,IF(AutoClaim_Data!E889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89">
        <f>(F889-H889)^2</f>
        <v/>
      </c>
      <c r="J889">
        <f>--(E889="Validation")</f>
        <v/>
      </c>
    </row>
    <row r="890">
      <c r="D890">
        <f>AutoClaim_Data!A890</f>
        <v/>
      </c>
      <c r="E890">
        <f>AutoClaim_Data!B890</f>
        <v/>
      </c>
      <c r="F890">
        <f>AutoClaim_Data!C890</f>
        <v/>
      </c>
      <c r="G890">
        <f>IF(AutoClaim_Data!D890&lt;=$B$2,AVERAGEIFS(AutoClaim_Data!C2:C3168,AutoClaim_Data!B2:B3168,"Train",AutoClaim_Data!D2:D3168,"&lt;="&amp;$B$2),AVERAGEIFS(AutoClaim_Data!C2:C3168,AutoClaim_Data!B2:B3168,"Train",AutoClaim_Data!D2:D3168,"&gt;"&amp;$B$2))</f>
        <v/>
      </c>
      <c r="H890">
        <f>IF(AutoClaim_Data!D890&lt;=$B$2,IF(AutoClaim_Data!E890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0">
        <f>(F890-H890)^2</f>
        <v/>
      </c>
      <c r="J890">
        <f>--(E890="Validation")</f>
        <v/>
      </c>
    </row>
    <row r="891">
      <c r="D891">
        <f>AutoClaim_Data!A891</f>
        <v/>
      </c>
      <c r="E891">
        <f>AutoClaim_Data!B891</f>
        <v/>
      </c>
      <c r="F891">
        <f>AutoClaim_Data!C891</f>
        <v/>
      </c>
      <c r="G891">
        <f>IF(AutoClaim_Data!D891&lt;=$B$2,AVERAGEIFS(AutoClaim_Data!C2:C3168,AutoClaim_Data!B2:B3168,"Train",AutoClaim_Data!D2:D3168,"&lt;="&amp;$B$2),AVERAGEIFS(AutoClaim_Data!C2:C3168,AutoClaim_Data!B2:B3168,"Train",AutoClaim_Data!D2:D3168,"&gt;"&amp;$B$2))</f>
        <v/>
      </c>
      <c r="H891">
        <f>IF(AutoClaim_Data!D891&lt;=$B$2,IF(AutoClaim_Data!E891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1">
        <f>(F891-H891)^2</f>
        <v/>
      </c>
      <c r="J891">
        <f>--(E891="Validation")</f>
        <v/>
      </c>
    </row>
    <row r="892">
      <c r="D892">
        <f>AutoClaim_Data!A892</f>
        <v/>
      </c>
      <c r="E892">
        <f>AutoClaim_Data!B892</f>
        <v/>
      </c>
      <c r="F892">
        <f>AutoClaim_Data!C892</f>
        <v/>
      </c>
      <c r="G892">
        <f>IF(AutoClaim_Data!D892&lt;=$B$2,AVERAGEIFS(AutoClaim_Data!C2:C3168,AutoClaim_Data!B2:B3168,"Train",AutoClaim_Data!D2:D3168,"&lt;="&amp;$B$2),AVERAGEIFS(AutoClaim_Data!C2:C3168,AutoClaim_Data!B2:B3168,"Train",AutoClaim_Data!D2:D3168,"&gt;"&amp;$B$2))</f>
        <v/>
      </c>
      <c r="H892">
        <f>IF(AutoClaim_Data!D892&lt;=$B$2,IF(AutoClaim_Data!E892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2">
        <f>(F892-H892)^2</f>
        <v/>
      </c>
      <c r="J892">
        <f>--(E892="Validation")</f>
        <v/>
      </c>
    </row>
    <row r="893">
      <c r="D893">
        <f>AutoClaim_Data!A893</f>
        <v/>
      </c>
      <c r="E893">
        <f>AutoClaim_Data!B893</f>
        <v/>
      </c>
      <c r="F893">
        <f>AutoClaim_Data!C893</f>
        <v/>
      </c>
      <c r="G893">
        <f>IF(AutoClaim_Data!D893&lt;=$B$2,AVERAGEIFS(AutoClaim_Data!C2:C3168,AutoClaim_Data!B2:B3168,"Train",AutoClaim_Data!D2:D3168,"&lt;="&amp;$B$2),AVERAGEIFS(AutoClaim_Data!C2:C3168,AutoClaim_Data!B2:B3168,"Train",AutoClaim_Data!D2:D3168,"&gt;"&amp;$B$2))</f>
        <v/>
      </c>
      <c r="H893">
        <f>IF(AutoClaim_Data!D893&lt;=$B$2,IF(AutoClaim_Data!E893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3">
        <f>(F893-H893)^2</f>
        <v/>
      </c>
      <c r="J893">
        <f>--(E893="Validation")</f>
        <v/>
      </c>
    </row>
    <row r="894">
      <c r="D894">
        <f>AutoClaim_Data!A894</f>
        <v/>
      </c>
      <c r="E894">
        <f>AutoClaim_Data!B894</f>
        <v/>
      </c>
      <c r="F894">
        <f>AutoClaim_Data!C894</f>
        <v/>
      </c>
      <c r="G894">
        <f>IF(AutoClaim_Data!D894&lt;=$B$2,AVERAGEIFS(AutoClaim_Data!C2:C3168,AutoClaim_Data!B2:B3168,"Train",AutoClaim_Data!D2:D3168,"&lt;="&amp;$B$2),AVERAGEIFS(AutoClaim_Data!C2:C3168,AutoClaim_Data!B2:B3168,"Train",AutoClaim_Data!D2:D3168,"&gt;"&amp;$B$2))</f>
        <v/>
      </c>
      <c r="H894">
        <f>IF(AutoClaim_Data!D894&lt;=$B$2,IF(AutoClaim_Data!E894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4">
        <f>(F894-H894)^2</f>
        <v/>
      </c>
      <c r="J894">
        <f>--(E894="Validation")</f>
        <v/>
      </c>
    </row>
    <row r="895">
      <c r="D895">
        <f>AutoClaim_Data!A895</f>
        <v/>
      </c>
      <c r="E895">
        <f>AutoClaim_Data!B895</f>
        <v/>
      </c>
      <c r="F895">
        <f>AutoClaim_Data!C895</f>
        <v/>
      </c>
      <c r="G895">
        <f>IF(AutoClaim_Data!D895&lt;=$B$2,AVERAGEIFS(AutoClaim_Data!C2:C3168,AutoClaim_Data!B2:B3168,"Train",AutoClaim_Data!D2:D3168,"&lt;="&amp;$B$2),AVERAGEIFS(AutoClaim_Data!C2:C3168,AutoClaim_Data!B2:B3168,"Train",AutoClaim_Data!D2:D3168,"&gt;"&amp;$B$2))</f>
        <v/>
      </c>
      <c r="H895">
        <f>IF(AutoClaim_Data!D895&lt;=$B$2,IF(AutoClaim_Data!E895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5">
        <f>(F895-H895)^2</f>
        <v/>
      </c>
      <c r="J895">
        <f>--(E895="Validation")</f>
        <v/>
      </c>
    </row>
    <row r="896">
      <c r="D896">
        <f>AutoClaim_Data!A896</f>
        <v/>
      </c>
      <c r="E896">
        <f>AutoClaim_Data!B896</f>
        <v/>
      </c>
      <c r="F896">
        <f>AutoClaim_Data!C896</f>
        <v/>
      </c>
      <c r="G896">
        <f>IF(AutoClaim_Data!D896&lt;=$B$2,AVERAGEIFS(AutoClaim_Data!C2:C3168,AutoClaim_Data!B2:B3168,"Train",AutoClaim_Data!D2:D3168,"&lt;="&amp;$B$2),AVERAGEIFS(AutoClaim_Data!C2:C3168,AutoClaim_Data!B2:B3168,"Train",AutoClaim_Data!D2:D3168,"&gt;"&amp;$B$2))</f>
        <v/>
      </c>
      <c r="H896">
        <f>IF(AutoClaim_Data!D896&lt;=$B$2,IF(AutoClaim_Data!E896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6">
        <f>(F896-H896)^2</f>
        <v/>
      </c>
      <c r="J896">
        <f>--(E896="Validation")</f>
        <v/>
      </c>
    </row>
    <row r="897">
      <c r="D897">
        <f>AutoClaim_Data!A897</f>
        <v/>
      </c>
      <c r="E897">
        <f>AutoClaim_Data!B897</f>
        <v/>
      </c>
      <c r="F897">
        <f>AutoClaim_Data!C897</f>
        <v/>
      </c>
      <c r="G897">
        <f>IF(AutoClaim_Data!D897&lt;=$B$2,AVERAGEIFS(AutoClaim_Data!C2:C3168,AutoClaim_Data!B2:B3168,"Train",AutoClaim_Data!D2:D3168,"&lt;="&amp;$B$2),AVERAGEIFS(AutoClaim_Data!C2:C3168,AutoClaim_Data!B2:B3168,"Train",AutoClaim_Data!D2:D3168,"&gt;"&amp;$B$2))</f>
        <v/>
      </c>
      <c r="H897">
        <f>IF(AutoClaim_Data!D897&lt;=$B$2,IF(AutoClaim_Data!E897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7">
        <f>(F897-H897)^2</f>
        <v/>
      </c>
      <c r="J897">
        <f>--(E897="Validation")</f>
        <v/>
      </c>
    </row>
    <row r="898">
      <c r="D898">
        <f>AutoClaim_Data!A898</f>
        <v/>
      </c>
      <c r="E898">
        <f>AutoClaim_Data!B898</f>
        <v/>
      </c>
      <c r="F898">
        <f>AutoClaim_Data!C898</f>
        <v/>
      </c>
      <c r="G898">
        <f>IF(AutoClaim_Data!D898&lt;=$B$2,AVERAGEIFS(AutoClaim_Data!C2:C3168,AutoClaim_Data!B2:B3168,"Train",AutoClaim_Data!D2:D3168,"&lt;="&amp;$B$2),AVERAGEIFS(AutoClaim_Data!C2:C3168,AutoClaim_Data!B2:B3168,"Train",AutoClaim_Data!D2:D3168,"&gt;"&amp;$B$2))</f>
        <v/>
      </c>
      <c r="H898">
        <f>IF(AutoClaim_Data!D898&lt;=$B$2,IF(AutoClaim_Data!E898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8">
        <f>(F898-H898)^2</f>
        <v/>
      </c>
      <c r="J898">
        <f>--(E898="Validation")</f>
        <v/>
      </c>
    </row>
    <row r="899">
      <c r="D899">
        <f>AutoClaim_Data!A899</f>
        <v/>
      </c>
      <c r="E899">
        <f>AutoClaim_Data!B899</f>
        <v/>
      </c>
      <c r="F899">
        <f>AutoClaim_Data!C899</f>
        <v/>
      </c>
      <c r="G899">
        <f>IF(AutoClaim_Data!D899&lt;=$B$2,AVERAGEIFS(AutoClaim_Data!C2:C3168,AutoClaim_Data!B2:B3168,"Train",AutoClaim_Data!D2:D3168,"&lt;="&amp;$B$2),AVERAGEIFS(AutoClaim_Data!C2:C3168,AutoClaim_Data!B2:B3168,"Train",AutoClaim_Data!D2:D3168,"&gt;"&amp;$B$2))</f>
        <v/>
      </c>
      <c r="H899">
        <f>IF(AutoClaim_Data!D899&lt;=$B$2,IF(AutoClaim_Data!E899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899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899">
        <f>(F899-H899)^2</f>
        <v/>
      </c>
      <c r="J899">
        <f>--(E899="Validation")</f>
        <v/>
      </c>
    </row>
    <row r="900">
      <c r="D900">
        <f>AutoClaim_Data!A900</f>
        <v/>
      </c>
      <c r="E900">
        <f>AutoClaim_Data!B900</f>
        <v/>
      </c>
      <c r="F900">
        <f>AutoClaim_Data!C900</f>
        <v/>
      </c>
      <c r="G900">
        <f>IF(AutoClaim_Data!D900&lt;=$B$2,AVERAGEIFS(AutoClaim_Data!C2:C3168,AutoClaim_Data!B2:B3168,"Train",AutoClaim_Data!D2:D3168,"&lt;="&amp;$B$2),AVERAGEIFS(AutoClaim_Data!C2:C3168,AutoClaim_Data!B2:B3168,"Train",AutoClaim_Data!D2:D3168,"&gt;"&amp;$B$2))</f>
        <v/>
      </c>
      <c r="H900">
        <f>IF(AutoClaim_Data!D900&lt;=$B$2,IF(AutoClaim_Data!E900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0">
        <f>(F900-H900)^2</f>
        <v/>
      </c>
      <c r="J900">
        <f>--(E900="Validation")</f>
        <v/>
      </c>
    </row>
    <row r="901">
      <c r="D901">
        <f>AutoClaim_Data!A901</f>
        <v/>
      </c>
      <c r="E901">
        <f>AutoClaim_Data!B901</f>
        <v/>
      </c>
      <c r="F901">
        <f>AutoClaim_Data!C901</f>
        <v/>
      </c>
      <c r="G901">
        <f>IF(AutoClaim_Data!D901&lt;=$B$2,AVERAGEIFS(AutoClaim_Data!C2:C3168,AutoClaim_Data!B2:B3168,"Train",AutoClaim_Data!D2:D3168,"&lt;="&amp;$B$2),AVERAGEIFS(AutoClaim_Data!C2:C3168,AutoClaim_Data!B2:B3168,"Train",AutoClaim_Data!D2:D3168,"&gt;"&amp;$B$2))</f>
        <v/>
      </c>
      <c r="H901">
        <f>IF(AutoClaim_Data!D901&lt;=$B$2,IF(AutoClaim_Data!E901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1">
        <f>(F901-H901)^2</f>
        <v/>
      </c>
      <c r="J901">
        <f>--(E901="Validation")</f>
        <v/>
      </c>
    </row>
    <row r="902">
      <c r="D902">
        <f>AutoClaim_Data!A902</f>
        <v/>
      </c>
      <c r="E902">
        <f>AutoClaim_Data!B902</f>
        <v/>
      </c>
      <c r="F902">
        <f>AutoClaim_Data!C902</f>
        <v/>
      </c>
      <c r="G902">
        <f>IF(AutoClaim_Data!D902&lt;=$B$2,AVERAGEIFS(AutoClaim_Data!C2:C3168,AutoClaim_Data!B2:B3168,"Train",AutoClaim_Data!D2:D3168,"&lt;="&amp;$B$2),AVERAGEIFS(AutoClaim_Data!C2:C3168,AutoClaim_Data!B2:B3168,"Train",AutoClaim_Data!D2:D3168,"&gt;"&amp;$B$2))</f>
        <v/>
      </c>
      <c r="H902">
        <f>IF(AutoClaim_Data!D902&lt;=$B$2,IF(AutoClaim_Data!E902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2">
        <f>(F902-H902)^2</f>
        <v/>
      </c>
      <c r="J902">
        <f>--(E902="Validation")</f>
        <v/>
      </c>
    </row>
    <row r="903">
      <c r="D903">
        <f>AutoClaim_Data!A903</f>
        <v/>
      </c>
      <c r="E903">
        <f>AutoClaim_Data!B903</f>
        <v/>
      </c>
      <c r="F903">
        <f>AutoClaim_Data!C903</f>
        <v/>
      </c>
      <c r="G903">
        <f>IF(AutoClaim_Data!D903&lt;=$B$2,AVERAGEIFS(AutoClaim_Data!C2:C3168,AutoClaim_Data!B2:B3168,"Train",AutoClaim_Data!D2:D3168,"&lt;="&amp;$B$2),AVERAGEIFS(AutoClaim_Data!C2:C3168,AutoClaim_Data!B2:B3168,"Train",AutoClaim_Data!D2:D3168,"&gt;"&amp;$B$2))</f>
        <v/>
      </c>
      <c r="H903">
        <f>IF(AutoClaim_Data!D903&lt;=$B$2,IF(AutoClaim_Data!E903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3">
        <f>(F903-H903)^2</f>
        <v/>
      </c>
      <c r="J903">
        <f>--(E903="Validation")</f>
        <v/>
      </c>
    </row>
    <row r="904">
      <c r="D904">
        <f>AutoClaim_Data!A904</f>
        <v/>
      </c>
      <c r="E904">
        <f>AutoClaim_Data!B904</f>
        <v/>
      </c>
      <c r="F904">
        <f>AutoClaim_Data!C904</f>
        <v/>
      </c>
      <c r="G904">
        <f>IF(AutoClaim_Data!D904&lt;=$B$2,AVERAGEIFS(AutoClaim_Data!C2:C3168,AutoClaim_Data!B2:B3168,"Train",AutoClaim_Data!D2:D3168,"&lt;="&amp;$B$2),AVERAGEIFS(AutoClaim_Data!C2:C3168,AutoClaim_Data!B2:B3168,"Train",AutoClaim_Data!D2:D3168,"&gt;"&amp;$B$2))</f>
        <v/>
      </c>
      <c r="H904">
        <f>IF(AutoClaim_Data!D904&lt;=$B$2,IF(AutoClaim_Data!E904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4">
        <f>(F904-H904)^2</f>
        <v/>
      </c>
      <c r="J904">
        <f>--(E904="Validation")</f>
        <v/>
      </c>
    </row>
    <row r="905">
      <c r="D905">
        <f>AutoClaim_Data!A905</f>
        <v/>
      </c>
      <c r="E905">
        <f>AutoClaim_Data!B905</f>
        <v/>
      </c>
      <c r="F905">
        <f>AutoClaim_Data!C905</f>
        <v/>
      </c>
      <c r="G905">
        <f>IF(AutoClaim_Data!D905&lt;=$B$2,AVERAGEIFS(AutoClaim_Data!C2:C3168,AutoClaim_Data!B2:B3168,"Train",AutoClaim_Data!D2:D3168,"&lt;="&amp;$B$2),AVERAGEIFS(AutoClaim_Data!C2:C3168,AutoClaim_Data!B2:B3168,"Train",AutoClaim_Data!D2:D3168,"&gt;"&amp;$B$2))</f>
        <v/>
      </c>
      <c r="H905">
        <f>IF(AutoClaim_Data!D905&lt;=$B$2,IF(AutoClaim_Data!E905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5">
        <f>(F905-H905)^2</f>
        <v/>
      </c>
      <c r="J905">
        <f>--(E905="Validation")</f>
        <v/>
      </c>
    </row>
    <row r="906">
      <c r="D906">
        <f>AutoClaim_Data!A906</f>
        <v/>
      </c>
      <c r="E906">
        <f>AutoClaim_Data!B906</f>
        <v/>
      </c>
      <c r="F906">
        <f>AutoClaim_Data!C906</f>
        <v/>
      </c>
      <c r="G906">
        <f>IF(AutoClaim_Data!D906&lt;=$B$2,AVERAGEIFS(AutoClaim_Data!C2:C3168,AutoClaim_Data!B2:B3168,"Train",AutoClaim_Data!D2:D3168,"&lt;="&amp;$B$2),AVERAGEIFS(AutoClaim_Data!C2:C3168,AutoClaim_Data!B2:B3168,"Train",AutoClaim_Data!D2:D3168,"&gt;"&amp;$B$2))</f>
        <v/>
      </c>
      <c r="H906">
        <f>IF(AutoClaim_Data!D906&lt;=$B$2,IF(AutoClaim_Data!E906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6">
        <f>(F906-H906)^2</f>
        <v/>
      </c>
      <c r="J906">
        <f>--(E906="Validation")</f>
        <v/>
      </c>
    </row>
    <row r="907">
      <c r="D907">
        <f>AutoClaim_Data!A907</f>
        <v/>
      </c>
      <c r="E907">
        <f>AutoClaim_Data!B907</f>
        <v/>
      </c>
      <c r="F907">
        <f>AutoClaim_Data!C907</f>
        <v/>
      </c>
      <c r="G907">
        <f>IF(AutoClaim_Data!D907&lt;=$B$2,AVERAGEIFS(AutoClaim_Data!C2:C3168,AutoClaim_Data!B2:B3168,"Train",AutoClaim_Data!D2:D3168,"&lt;="&amp;$B$2),AVERAGEIFS(AutoClaim_Data!C2:C3168,AutoClaim_Data!B2:B3168,"Train",AutoClaim_Data!D2:D3168,"&gt;"&amp;$B$2))</f>
        <v/>
      </c>
      <c r="H907">
        <f>IF(AutoClaim_Data!D907&lt;=$B$2,IF(AutoClaim_Data!E907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7">
        <f>(F907-H907)^2</f>
        <v/>
      </c>
      <c r="J907">
        <f>--(E907="Validation")</f>
        <v/>
      </c>
    </row>
    <row r="908">
      <c r="D908">
        <f>AutoClaim_Data!A908</f>
        <v/>
      </c>
      <c r="E908">
        <f>AutoClaim_Data!B908</f>
        <v/>
      </c>
      <c r="F908">
        <f>AutoClaim_Data!C908</f>
        <v/>
      </c>
      <c r="G908">
        <f>IF(AutoClaim_Data!D908&lt;=$B$2,AVERAGEIFS(AutoClaim_Data!C2:C3168,AutoClaim_Data!B2:B3168,"Train",AutoClaim_Data!D2:D3168,"&lt;="&amp;$B$2),AVERAGEIFS(AutoClaim_Data!C2:C3168,AutoClaim_Data!B2:B3168,"Train",AutoClaim_Data!D2:D3168,"&gt;"&amp;$B$2))</f>
        <v/>
      </c>
      <c r="H908">
        <f>IF(AutoClaim_Data!D908&lt;=$B$2,IF(AutoClaim_Data!E908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8">
        <f>(F908-H908)^2</f>
        <v/>
      </c>
      <c r="J908">
        <f>--(E908="Validation")</f>
        <v/>
      </c>
    </row>
    <row r="909">
      <c r="D909">
        <f>AutoClaim_Data!A909</f>
        <v/>
      </c>
      <c r="E909">
        <f>AutoClaim_Data!B909</f>
        <v/>
      </c>
      <c r="F909">
        <f>AutoClaim_Data!C909</f>
        <v/>
      </c>
      <c r="G909">
        <f>IF(AutoClaim_Data!D909&lt;=$B$2,AVERAGEIFS(AutoClaim_Data!C2:C3168,AutoClaim_Data!B2:B3168,"Train",AutoClaim_Data!D2:D3168,"&lt;="&amp;$B$2),AVERAGEIFS(AutoClaim_Data!C2:C3168,AutoClaim_Data!B2:B3168,"Train",AutoClaim_Data!D2:D3168,"&gt;"&amp;$B$2))</f>
        <v/>
      </c>
      <c r="H909">
        <f>IF(AutoClaim_Data!D909&lt;=$B$2,IF(AutoClaim_Data!E909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09">
        <f>(F909-H909)^2</f>
        <v/>
      </c>
      <c r="J909">
        <f>--(E909="Validation")</f>
        <v/>
      </c>
    </row>
    <row r="910">
      <c r="D910">
        <f>AutoClaim_Data!A910</f>
        <v/>
      </c>
      <c r="E910">
        <f>AutoClaim_Data!B910</f>
        <v/>
      </c>
      <c r="F910">
        <f>AutoClaim_Data!C910</f>
        <v/>
      </c>
      <c r="G910">
        <f>IF(AutoClaim_Data!D910&lt;=$B$2,AVERAGEIFS(AutoClaim_Data!C2:C3168,AutoClaim_Data!B2:B3168,"Train",AutoClaim_Data!D2:D3168,"&lt;="&amp;$B$2),AVERAGEIFS(AutoClaim_Data!C2:C3168,AutoClaim_Data!B2:B3168,"Train",AutoClaim_Data!D2:D3168,"&gt;"&amp;$B$2))</f>
        <v/>
      </c>
      <c r="H910">
        <f>IF(AutoClaim_Data!D910&lt;=$B$2,IF(AutoClaim_Data!E910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0">
        <f>(F910-H910)^2</f>
        <v/>
      </c>
      <c r="J910">
        <f>--(E910="Validation")</f>
        <v/>
      </c>
    </row>
    <row r="911">
      <c r="D911">
        <f>AutoClaim_Data!A911</f>
        <v/>
      </c>
      <c r="E911">
        <f>AutoClaim_Data!B911</f>
        <v/>
      </c>
      <c r="F911">
        <f>AutoClaim_Data!C911</f>
        <v/>
      </c>
      <c r="G911">
        <f>IF(AutoClaim_Data!D911&lt;=$B$2,AVERAGEIFS(AutoClaim_Data!C2:C3168,AutoClaim_Data!B2:B3168,"Train",AutoClaim_Data!D2:D3168,"&lt;="&amp;$B$2),AVERAGEIFS(AutoClaim_Data!C2:C3168,AutoClaim_Data!B2:B3168,"Train",AutoClaim_Data!D2:D3168,"&gt;"&amp;$B$2))</f>
        <v/>
      </c>
      <c r="H911">
        <f>IF(AutoClaim_Data!D911&lt;=$B$2,IF(AutoClaim_Data!E911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1">
        <f>(F911-H911)^2</f>
        <v/>
      </c>
      <c r="J911">
        <f>--(E911="Validation")</f>
        <v/>
      </c>
    </row>
    <row r="912">
      <c r="D912">
        <f>AutoClaim_Data!A912</f>
        <v/>
      </c>
      <c r="E912">
        <f>AutoClaim_Data!B912</f>
        <v/>
      </c>
      <c r="F912">
        <f>AutoClaim_Data!C912</f>
        <v/>
      </c>
      <c r="G912">
        <f>IF(AutoClaim_Data!D912&lt;=$B$2,AVERAGEIFS(AutoClaim_Data!C2:C3168,AutoClaim_Data!B2:B3168,"Train",AutoClaim_Data!D2:D3168,"&lt;="&amp;$B$2),AVERAGEIFS(AutoClaim_Data!C2:C3168,AutoClaim_Data!B2:B3168,"Train",AutoClaim_Data!D2:D3168,"&gt;"&amp;$B$2))</f>
        <v/>
      </c>
      <c r="H912">
        <f>IF(AutoClaim_Data!D912&lt;=$B$2,IF(AutoClaim_Data!E912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2">
        <f>(F912-H912)^2</f>
        <v/>
      </c>
      <c r="J912">
        <f>--(E912="Validation")</f>
        <v/>
      </c>
    </row>
    <row r="913">
      <c r="D913">
        <f>AutoClaim_Data!A913</f>
        <v/>
      </c>
      <c r="E913">
        <f>AutoClaim_Data!B913</f>
        <v/>
      </c>
      <c r="F913">
        <f>AutoClaim_Data!C913</f>
        <v/>
      </c>
      <c r="G913">
        <f>IF(AutoClaim_Data!D913&lt;=$B$2,AVERAGEIFS(AutoClaim_Data!C2:C3168,AutoClaim_Data!B2:B3168,"Train",AutoClaim_Data!D2:D3168,"&lt;="&amp;$B$2),AVERAGEIFS(AutoClaim_Data!C2:C3168,AutoClaim_Data!B2:B3168,"Train",AutoClaim_Data!D2:D3168,"&gt;"&amp;$B$2))</f>
        <v/>
      </c>
      <c r="H913">
        <f>IF(AutoClaim_Data!D913&lt;=$B$2,IF(AutoClaim_Data!E913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3">
        <f>(F913-H913)^2</f>
        <v/>
      </c>
      <c r="J913">
        <f>--(E913="Validation")</f>
        <v/>
      </c>
    </row>
    <row r="914">
      <c r="D914">
        <f>AutoClaim_Data!A914</f>
        <v/>
      </c>
      <c r="E914">
        <f>AutoClaim_Data!B914</f>
        <v/>
      </c>
      <c r="F914">
        <f>AutoClaim_Data!C914</f>
        <v/>
      </c>
      <c r="G914">
        <f>IF(AutoClaim_Data!D914&lt;=$B$2,AVERAGEIFS(AutoClaim_Data!C2:C3168,AutoClaim_Data!B2:B3168,"Train",AutoClaim_Data!D2:D3168,"&lt;="&amp;$B$2),AVERAGEIFS(AutoClaim_Data!C2:C3168,AutoClaim_Data!B2:B3168,"Train",AutoClaim_Data!D2:D3168,"&gt;"&amp;$B$2))</f>
        <v/>
      </c>
      <c r="H914">
        <f>IF(AutoClaim_Data!D914&lt;=$B$2,IF(AutoClaim_Data!E914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4">
        <f>(F914-H914)^2</f>
        <v/>
      </c>
      <c r="J914">
        <f>--(E914="Validation")</f>
        <v/>
      </c>
    </row>
    <row r="915">
      <c r="D915">
        <f>AutoClaim_Data!A915</f>
        <v/>
      </c>
      <c r="E915">
        <f>AutoClaim_Data!B915</f>
        <v/>
      </c>
      <c r="F915">
        <f>AutoClaim_Data!C915</f>
        <v/>
      </c>
      <c r="G915">
        <f>IF(AutoClaim_Data!D915&lt;=$B$2,AVERAGEIFS(AutoClaim_Data!C2:C3168,AutoClaim_Data!B2:B3168,"Train",AutoClaim_Data!D2:D3168,"&lt;="&amp;$B$2),AVERAGEIFS(AutoClaim_Data!C2:C3168,AutoClaim_Data!B2:B3168,"Train",AutoClaim_Data!D2:D3168,"&gt;"&amp;$B$2))</f>
        <v/>
      </c>
      <c r="H915">
        <f>IF(AutoClaim_Data!D915&lt;=$B$2,IF(AutoClaim_Data!E915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5">
        <f>(F915-H915)^2</f>
        <v/>
      </c>
      <c r="J915">
        <f>--(E915="Validation")</f>
        <v/>
      </c>
    </row>
    <row r="916">
      <c r="D916">
        <f>AutoClaim_Data!A916</f>
        <v/>
      </c>
      <c r="E916">
        <f>AutoClaim_Data!B916</f>
        <v/>
      </c>
      <c r="F916">
        <f>AutoClaim_Data!C916</f>
        <v/>
      </c>
      <c r="G916">
        <f>IF(AutoClaim_Data!D916&lt;=$B$2,AVERAGEIFS(AutoClaim_Data!C2:C3168,AutoClaim_Data!B2:B3168,"Train",AutoClaim_Data!D2:D3168,"&lt;="&amp;$B$2),AVERAGEIFS(AutoClaim_Data!C2:C3168,AutoClaim_Data!B2:B3168,"Train",AutoClaim_Data!D2:D3168,"&gt;"&amp;$B$2))</f>
        <v/>
      </c>
      <c r="H916">
        <f>IF(AutoClaim_Data!D916&lt;=$B$2,IF(AutoClaim_Data!E916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6">
        <f>(F916-H916)^2</f>
        <v/>
      </c>
      <c r="J916">
        <f>--(E916="Validation")</f>
        <v/>
      </c>
    </row>
    <row r="917">
      <c r="D917">
        <f>AutoClaim_Data!A917</f>
        <v/>
      </c>
      <c r="E917">
        <f>AutoClaim_Data!B917</f>
        <v/>
      </c>
      <c r="F917">
        <f>AutoClaim_Data!C917</f>
        <v/>
      </c>
      <c r="G917">
        <f>IF(AutoClaim_Data!D917&lt;=$B$2,AVERAGEIFS(AutoClaim_Data!C2:C3168,AutoClaim_Data!B2:B3168,"Train",AutoClaim_Data!D2:D3168,"&lt;="&amp;$B$2),AVERAGEIFS(AutoClaim_Data!C2:C3168,AutoClaim_Data!B2:B3168,"Train",AutoClaim_Data!D2:D3168,"&gt;"&amp;$B$2))</f>
        <v/>
      </c>
      <c r="H917">
        <f>IF(AutoClaim_Data!D917&lt;=$B$2,IF(AutoClaim_Data!E917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7">
        <f>(F917-H917)^2</f>
        <v/>
      </c>
      <c r="J917">
        <f>--(E917="Validation")</f>
        <v/>
      </c>
    </row>
    <row r="918">
      <c r="D918">
        <f>AutoClaim_Data!A918</f>
        <v/>
      </c>
      <c r="E918">
        <f>AutoClaim_Data!B918</f>
        <v/>
      </c>
      <c r="F918">
        <f>AutoClaim_Data!C918</f>
        <v/>
      </c>
      <c r="G918">
        <f>IF(AutoClaim_Data!D918&lt;=$B$2,AVERAGEIFS(AutoClaim_Data!C2:C3168,AutoClaim_Data!B2:B3168,"Train",AutoClaim_Data!D2:D3168,"&lt;="&amp;$B$2),AVERAGEIFS(AutoClaim_Data!C2:C3168,AutoClaim_Data!B2:B3168,"Train",AutoClaim_Data!D2:D3168,"&gt;"&amp;$B$2))</f>
        <v/>
      </c>
      <c r="H918">
        <f>IF(AutoClaim_Data!D918&lt;=$B$2,IF(AutoClaim_Data!E918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8">
        <f>(F918-H918)^2</f>
        <v/>
      </c>
      <c r="J918">
        <f>--(E918="Validation")</f>
        <v/>
      </c>
    </row>
    <row r="919">
      <c r="D919">
        <f>AutoClaim_Data!A919</f>
        <v/>
      </c>
      <c r="E919">
        <f>AutoClaim_Data!B919</f>
        <v/>
      </c>
      <c r="F919">
        <f>AutoClaim_Data!C919</f>
        <v/>
      </c>
      <c r="G919">
        <f>IF(AutoClaim_Data!D919&lt;=$B$2,AVERAGEIFS(AutoClaim_Data!C2:C3168,AutoClaim_Data!B2:B3168,"Train",AutoClaim_Data!D2:D3168,"&lt;="&amp;$B$2),AVERAGEIFS(AutoClaim_Data!C2:C3168,AutoClaim_Data!B2:B3168,"Train",AutoClaim_Data!D2:D3168,"&gt;"&amp;$B$2))</f>
        <v/>
      </c>
      <c r="H919">
        <f>IF(AutoClaim_Data!D919&lt;=$B$2,IF(AutoClaim_Data!E919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19">
        <f>(F919-H919)^2</f>
        <v/>
      </c>
      <c r="J919">
        <f>--(E919="Validation")</f>
        <v/>
      </c>
    </row>
    <row r="920">
      <c r="D920">
        <f>AutoClaim_Data!A920</f>
        <v/>
      </c>
      <c r="E920">
        <f>AutoClaim_Data!B920</f>
        <v/>
      </c>
      <c r="F920">
        <f>AutoClaim_Data!C920</f>
        <v/>
      </c>
      <c r="G920">
        <f>IF(AutoClaim_Data!D920&lt;=$B$2,AVERAGEIFS(AutoClaim_Data!C2:C3168,AutoClaim_Data!B2:B3168,"Train",AutoClaim_Data!D2:D3168,"&lt;="&amp;$B$2),AVERAGEIFS(AutoClaim_Data!C2:C3168,AutoClaim_Data!B2:B3168,"Train",AutoClaim_Data!D2:D3168,"&gt;"&amp;$B$2))</f>
        <v/>
      </c>
      <c r="H920">
        <f>IF(AutoClaim_Data!D920&lt;=$B$2,IF(AutoClaim_Data!E920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0">
        <f>(F920-H920)^2</f>
        <v/>
      </c>
      <c r="J920">
        <f>--(E920="Validation")</f>
        <v/>
      </c>
    </row>
    <row r="921">
      <c r="D921">
        <f>AutoClaim_Data!A921</f>
        <v/>
      </c>
      <c r="E921">
        <f>AutoClaim_Data!B921</f>
        <v/>
      </c>
      <c r="F921">
        <f>AutoClaim_Data!C921</f>
        <v/>
      </c>
      <c r="G921">
        <f>IF(AutoClaim_Data!D921&lt;=$B$2,AVERAGEIFS(AutoClaim_Data!C2:C3168,AutoClaim_Data!B2:B3168,"Train",AutoClaim_Data!D2:D3168,"&lt;="&amp;$B$2),AVERAGEIFS(AutoClaim_Data!C2:C3168,AutoClaim_Data!B2:B3168,"Train",AutoClaim_Data!D2:D3168,"&gt;"&amp;$B$2))</f>
        <v/>
      </c>
      <c r="H921">
        <f>IF(AutoClaim_Data!D921&lt;=$B$2,IF(AutoClaim_Data!E921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1">
        <f>(F921-H921)^2</f>
        <v/>
      </c>
      <c r="J921">
        <f>--(E921="Validation")</f>
        <v/>
      </c>
    </row>
    <row r="922">
      <c r="D922">
        <f>AutoClaim_Data!A922</f>
        <v/>
      </c>
      <c r="E922">
        <f>AutoClaim_Data!B922</f>
        <v/>
      </c>
      <c r="F922">
        <f>AutoClaim_Data!C922</f>
        <v/>
      </c>
      <c r="G922">
        <f>IF(AutoClaim_Data!D922&lt;=$B$2,AVERAGEIFS(AutoClaim_Data!C2:C3168,AutoClaim_Data!B2:B3168,"Train",AutoClaim_Data!D2:D3168,"&lt;="&amp;$B$2),AVERAGEIFS(AutoClaim_Data!C2:C3168,AutoClaim_Data!B2:B3168,"Train",AutoClaim_Data!D2:D3168,"&gt;"&amp;$B$2))</f>
        <v/>
      </c>
      <c r="H922">
        <f>IF(AutoClaim_Data!D922&lt;=$B$2,IF(AutoClaim_Data!E922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2">
        <f>(F922-H922)^2</f>
        <v/>
      </c>
      <c r="J922">
        <f>--(E922="Validation")</f>
        <v/>
      </c>
    </row>
    <row r="923">
      <c r="D923">
        <f>AutoClaim_Data!A923</f>
        <v/>
      </c>
      <c r="E923">
        <f>AutoClaim_Data!B923</f>
        <v/>
      </c>
      <c r="F923">
        <f>AutoClaim_Data!C923</f>
        <v/>
      </c>
      <c r="G923">
        <f>IF(AutoClaim_Data!D923&lt;=$B$2,AVERAGEIFS(AutoClaim_Data!C2:C3168,AutoClaim_Data!B2:B3168,"Train",AutoClaim_Data!D2:D3168,"&lt;="&amp;$B$2),AVERAGEIFS(AutoClaim_Data!C2:C3168,AutoClaim_Data!B2:B3168,"Train",AutoClaim_Data!D2:D3168,"&gt;"&amp;$B$2))</f>
        <v/>
      </c>
      <c r="H923">
        <f>IF(AutoClaim_Data!D923&lt;=$B$2,IF(AutoClaim_Data!E923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3">
        <f>(F923-H923)^2</f>
        <v/>
      </c>
      <c r="J923">
        <f>--(E923="Validation")</f>
        <v/>
      </c>
    </row>
    <row r="924">
      <c r="D924">
        <f>AutoClaim_Data!A924</f>
        <v/>
      </c>
      <c r="E924">
        <f>AutoClaim_Data!B924</f>
        <v/>
      </c>
      <c r="F924">
        <f>AutoClaim_Data!C924</f>
        <v/>
      </c>
      <c r="G924">
        <f>IF(AutoClaim_Data!D924&lt;=$B$2,AVERAGEIFS(AutoClaim_Data!C2:C3168,AutoClaim_Data!B2:B3168,"Train",AutoClaim_Data!D2:D3168,"&lt;="&amp;$B$2),AVERAGEIFS(AutoClaim_Data!C2:C3168,AutoClaim_Data!B2:B3168,"Train",AutoClaim_Data!D2:D3168,"&gt;"&amp;$B$2))</f>
        <v/>
      </c>
      <c r="H924">
        <f>IF(AutoClaim_Data!D924&lt;=$B$2,IF(AutoClaim_Data!E924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4">
        <f>(F924-H924)^2</f>
        <v/>
      </c>
      <c r="J924">
        <f>--(E924="Validation")</f>
        <v/>
      </c>
    </row>
    <row r="925">
      <c r="D925">
        <f>AutoClaim_Data!A925</f>
        <v/>
      </c>
      <c r="E925">
        <f>AutoClaim_Data!B925</f>
        <v/>
      </c>
      <c r="F925">
        <f>AutoClaim_Data!C925</f>
        <v/>
      </c>
      <c r="G925">
        <f>IF(AutoClaim_Data!D925&lt;=$B$2,AVERAGEIFS(AutoClaim_Data!C2:C3168,AutoClaim_Data!B2:B3168,"Train",AutoClaim_Data!D2:D3168,"&lt;="&amp;$B$2),AVERAGEIFS(AutoClaim_Data!C2:C3168,AutoClaim_Data!B2:B3168,"Train",AutoClaim_Data!D2:D3168,"&gt;"&amp;$B$2))</f>
        <v/>
      </c>
      <c r="H925">
        <f>IF(AutoClaim_Data!D925&lt;=$B$2,IF(AutoClaim_Data!E925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5">
        <f>(F925-H925)^2</f>
        <v/>
      </c>
      <c r="J925">
        <f>--(E925="Validation")</f>
        <v/>
      </c>
    </row>
    <row r="926">
      <c r="D926">
        <f>AutoClaim_Data!A926</f>
        <v/>
      </c>
      <c r="E926">
        <f>AutoClaim_Data!B926</f>
        <v/>
      </c>
      <c r="F926">
        <f>AutoClaim_Data!C926</f>
        <v/>
      </c>
      <c r="G926">
        <f>IF(AutoClaim_Data!D926&lt;=$B$2,AVERAGEIFS(AutoClaim_Data!C2:C3168,AutoClaim_Data!B2:B3168,"Train",AutoClaim_Data!D2:D3168,"&lt;="&amp;$B$2),AVERAGEIFS(AutoClaim_Data!C2:C3168,AutoClaim_Data!B2:B3168,"Train",AutoClaim_Data!D2:D3168,"&gt;"&amp;$B$2))</f>
        <v/>
      </c>
      <c r="H926">
        <f>IF(AutoClaim_Data!D926&lt;=$B$2,IF(AutoClaim_Data!E926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6">
        <f>(F926-H926)^2</f>
        <v/>
      </c>
      <c r="J926">
        <f>--(E926="Validation")</f>
        <v/>
      </c>
    </row>
    <row r="927">
      <c r="D927">
        <f>AutoClaim_Data!A927</f>
        <v/>
      </c>
      <c r="E927">
        <f>AutoClaim_Data!B927</f>
        <v/>
      </c>
      <c r="F927">
        <f>AutoClaim_Data!C927</f>
        <v/>
      </c>
      <c r="G927">
        <f>IF(AutoClaim_Data!D927&lt;=$B$2,AVERAGEIFS(AutoClaim_Data!C2:C3168,AutoClaim_Data!B2:B3168,"Train",AutoClaim_Data!D2:D3168,"&lt;="&amp;$B$2),AVERAGEIFS(AutoClaim_Data!C2:C3168,AutoClaim_Data!B2:B3168,"Train",AutoClaim_Data!D2:D3168,"&gt;"&amp;$B$2))</f>
        <v/>
      </c>
      <c r="H927">
        <f>IF(AutoClaim_Data!D927&lt;=$B$2,IF(AutoClaim_Data!E927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7">
        <f>(F927-H927)^2</f>
        <v/>
      </c>
      <c r="J927">
        <f>--(E927="Validation")</f>
        <v/>
      </c>
    </row>
    <row r="928">
      <c r="D928">
        <f>AutoClaim_Data!A928</f>
        <v/>
      </c>
      <c r="E928">
        <f>AutoClaim_Data!B928</f>
        <v/>
      </c>
      <c r="F928">
        <f>AutoClaim_Data!C928</f>
        <v/>
      </c>
      <c r="G928">
        <f>IF(AutoClaim_Data!D928&lt;=$B$2,AVERAGEIFS(AutoClaim_Data!C2:C3168,AutoClaim_Data!B2:B3168,"Train",AutoClaim_Data!D2:D3168,"&lt;="&amp;$B$2),AVERAGEIFS(AutoClaim_Data!C2:C3168,AutoClaim_Data!B2:B3168,"Train",AutoClaim_Data!D2:D3168,"&gt;"&amp;$B$2))</f>
        <v/>
      </c>
      <c r="H928">
        <f>IF(AutoClaim_Data!D928&lt;=$B$2,IF(AutoClaim_Data!E928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8">
        <f>(F928-H928)^2</f>
        <v/>
      </c>
      <c r="J928">
        <f>--(E928="Validation")</f>
        <v/>
      </c>
    </row>
    <row r="929">
      <c r="D929">
        <f>AutoClaim_Data!A929</f>
        <v/>
      </c>
      <c r="E929">
        <f>AutoClaim_Data!B929</f>
        <v/>
      </c>
      <c r="F929">
        <f>AutoClaim_Data!C929</f>
        <v/>
      </c>
      <c r="G929">
        <f>IF(AutoClaim_Data!D929&lt;=$B$2,AVERAGEIFS(AutoClaim_Data!C2:C3168,AutoClaim_Data!B2:B3168,"Train",AutoClaim_Data!D2:D3168,"&lt;="&amp;$B$2),AVERAGEIFS(AutoClaim_Data!C2:C3168,AutoClaim_Data!B2:B3168,"Train",AutoClaim_Data!D2:D3168,"&gt;"&amp;$B$2))</f>
        <v/>
      </c>
      <c r="H929">
        <f>IF(AutoClaim_Data!D929&lt;=$B$2,IF(AutoClaim_Data!E929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29">
        <f>(F929-H929)^2</f>
        <v/>
      </c>
      <c r="J929">
        <f>--(E929="Validation")</f>
        <v/>
      </c>
    </row>
    <row r="930">
      <c r="D930">
        <f>AutoClaim_Data!A930</f>
        <v/>
      </c>
      <c r="E930">
        <f>AutoClaim_Data!B930</f>
        <v/>
      </c>
      <c r="F930">
        <f>AutoClaim_Data!C930</f>
        <v/>
      </c>
      <c r="G930">
        <f>IF(AutoClaim_Data!D930&lt;=$B$2,AVERAGEIFS(AutoClaim_Data!C2:C3168,AutoClaim_Data!B2:B3168,"Train",AutoClaim_Data!D2:D3168,"&lt;="&amp;$B$2),AVERAGEIFS(AutoClaim_Data!C2:C3168,AutoClaim_Data!B2:B3168,"Train",AutoClaim_Data!D2:D3168,"&gt;"&amp;$B$2))</f>
        <v/>
      </c>
      <c r="H930">
        <f>IF(AutoClaim_Data!D930&lt;=$B$2,IF(AutoClaim_Data!E930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0">
        <f>(F930-H930)^2</f>
        <v/>
      </c>
      <c r="J930">
        <f>--(E930="Validation")</f>
        <v/>
      </c>
    </row>
    <row r="931">
      <c r="D931">
        <f>AutoClaim_Data!A931</f>
        <v/>
      </c>
      <c r="E931">
        <f>AutoClaim_Data!B931</f>
        <v/>
      </c>
      <c r="F931">
        <f>AutoClaim_Data!C931</f>
        <v/>
      </c>
      <c r="G931">
        <f>IF(AutoClaim_Data!D931&lt;=$B$2,AVERAGEIFS(AutoClaim_Data!C2:C3168,AutoClaim_Data!B2:B3168,"Train",AutoClaim_Data!D2:D3168,"&lt;="&amp;$B$2),AVERAGEIFS(AutoClaim_Data!C2:C3168,AutoClaim_Data!B2:B3168,"Train",AutoClaim_Data!D2:D3168,"&gt;"&amp;$B$2))</f>
        <v/>
      </c>
      <c r="H931">
        <f>IF(AutoClaim_Data!D931&lt;=$B$2,IF(AutoClaim_Data!E931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1">
        <f>(F931-H931)^2</f>
        <v/>
      </c>
      <c r="J931">
        <f>--(E931="Validation")</f>
        <v/>
      </c>
    </row>
    <row r="932">
      <c r="D932">
        <f>AutoClaim_Data!A932</f>
        <v/>
      </c>
      <c r="E932">
        <f>AutoClaim_Data!B932</f>
        <v/>
      </c>
      <c r="F932">
        <f>AutoClaim_Data!C932</f>
        <v/>
      </c>
      <c r="G932">
        <f>IF(AutoClaim_Data!D932&lt;=$B$2,AVERAGEIFS(AutoClaim_Data!C2:C3168,AutoClaim_Data!B2:B3168,"Train",AutoClaim_Data!D2:D3168,"&lt;="&amp;$B$2),AVERAGEIFS(AutoClaim_Data!C2:C3168,AutoClaim_Data!B2:B3168,"Train",AutoClaim_Data!D2:D3168,"&gt;"&amp;$B$2))</f>
        <v/>
      </c>
      <c r="H932">
        <f>IF(AutoClaim_Data!D932&lt;=$B$2,IF(AutoClaim_Data!E932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2">
        <f>(F932-H932)^2</f>
        <v/>
      </c>
      <c r="J932">
        <f>--(E932="Validation")</f>
        <v/>
      </c>
    </row>
    <row r="933">
      <c r="D933">
        <f>AutoClaim_Data!A933</f>
        <v/>
      </c>
      <c r="E933">
        <f>AutoClaim_Data!B933</f>
        <v/>
      </c>
      <c r="F933">
        <f>AutoClaim_Data!C933</f>
        <v/>
      </c>
      <c r="G933">
        <f>IF(AutoClaim_Data!D933&lt;=$B$2,AVERAGEIFS(AutoClaim_Data!C2:C3168,AutoClaim_Data!B2:B3168,"Train",AutoClaim_Data!D2:D3168,"&lt;="&amp;$B$2),AVERAGEIFS(AutoClaim_Data!C2:C3168,AutoClaim_Data!B2:B3168,"Train",AutoClaim_Data!D2:D3168,"&gt;"&amp;$B$2))</f>
        <v/>
      </c>
      <c r="H933">
        <f>IF(AutoClaim_Data!D933&lt;=$B$2,IF(AutoClaim_Data!E933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3">
        <f>(F933-H933)^2</f>
        <v/>
      </c>
      <c r="J933">
        <f>--(E933="Validation")</f>
        <v/>
      </c>
    </row>
    <row r="934">
      <c r="D934">
        <f>AutoClaim_Data!A934</f>
        <v/>
      </c>
      <c r="E934">
        <f>AutoClaim_Data!B934</f>
        <v/>
      </c>
      <c r="F934">
        <f>AutoClaim_Data!C934</f>
        <v/>
      </c>
      <c r="G934">
        <f>IF(AutoClaim_Data!D934&lt;=$B$2,AVERAGEIFS(AutoClaim_Data!C2:C3168,AutoClaim_Data!B2:B3168,"Train",AutoClaim_Data!D2:D3168,"&lt;="&amp;$B$2),AVERAGEIFS(AutoClaim_Data!C2:C3168,AutoClaim_Data!B2:B3168,"Train",AutoClaim_Data!D2:D3168,"&gt;"&amp;$B$2))</f>
        <v/>
      </c>
      <c r="H934">
        <f>IF(AutoClaim_Data!D934&lt;=$B$2,IF(AutoClaim_Data!E934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4">
        <f>(F934-H934)^2</f>
        <v/>
      </c>
      <c r="J934">
        <f>--(E934="Validation")</f>
        <v/>
      </c>
    </row>
    <row r="935">
      <c r="D935">
        <f>AutoClaim_Data!A935</f>
        <v/>
      </c>
      <c r="E935">
        <f>AutoClaim_Data!B935</f>
        <v/>
      </c>
      <c r="F935">
        <f>AutoClaim_Data!C935</f>
        <v/>
      </c>
      <c r="G935">
        <f>IF(AutoClaim_Data!D935&lt;=$B$2,AVERAGEIFS(AutoClaim_Data!C2:C3168,AutoClaim_Data!B2:B3168,"Train",AutoClaim_Data!D2:D3168,"&lt;="&amp;$B$2),AVERAGEIFS(AutoClaim_Data!C2:C3168,AutoClaim_Data!B2:B3168,"Train",AutoClaim_Data!D2:D3168,"&gt;"&amp;$B$2))</f>
        <v/>
      </c>
      <c r="H935">
        <f>IF(AutoClaim_Data!D935&lt;=$B$2,IF(AutoClaim_Data!E935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5">
        <f>(F935-H935)^2</f>
        <v/>
      </c>
      <c r="J935">
        <f>--(E935="Validation")</f>
        <v/>
      </c>
    </row>
    <row r="936">
      <c r="D936">
        <f>AutoClaim_Data!A936</f>
        <v/>
      </c>
      <c r="E936">
        <f>AutoClaim_Data!B936</f>
        <v/>
      </c>
      <c r="F936">
        <f>AutoClaim_Data!C936</f>
        <v/>
      </c>
      <c r="G936">
        <f>IF(AutoClaim_Data!D936&lt;=$B$2,AVERAGEIFS(AutoClaim_Data!C2:C3168,AutoClaim_Data!B2:B3168,"Train",AutoClaim_Data!D2:D3168,"&lt;="&amp;$B$2),AVERAGEIFS(AutoClaim_Data!C2:C3168,AutoClaim_Data!B2:B3168,"Train",AutoClaim_Data!D2:D3168,"&gt;"&amp;$B$2))</f>
        <v/>
      </c>
      <c r="H936">
        <f>IF(AutoClaim_Data!D936&lt;=$B$2,IF(AutoClaim_Data!E936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6">
        <f>(F936-H936)^2</f>
        <v/>
      </c>
      <c r="J936">
        <f>--(E936="Validation")</f>
        <v/>
      </c>
    </row>
    <row r="937">
      <c r="D937">
        <f>AutoClaim_Data!A937</f>
        <v/>
      </c>
      <c r="E937">
        <f>AutoClaim_Data!B937</f>
        <v/>
      </c>
      <c r="F937">
        <f>AutoClaim_Data!C937</f>
        <v/>
      </c>
      <c r="G937">
        <f>IF(AutoClaim_Data!D937&lt;=$B$2,AVERAGEIFS(AutoClaim_Data!C2:C3168,AutoClaim_Data!B2:B3168,"Train",AutoClaim_Data!D2:D3168,"&lt;="&amp;$B$2),AVERAGEIFS(AutoClaim_Data!C2:C3168,AutoClaim_Data!B2:B3168,"Train",AutoClaim_Data!D2:D3168,"&gt;"&amp;$B$2))</f>
        <v/>
      </c>
      <c r="H937">
        <f>IF(AutoClaim_Data!D937&lt;=$B$2,IF(AutoClaim_Data!E937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7">
        <f>(F937-H937)^2</f>
        <v/>
      </c>
      <c r="J937">
        <f>--(E937="Validation")</f>
        <v/>
      </c>
    </row>
    <row r="938">
      <c r="D938">
        <f>AutoClaim_Data!A938</f>
        <v/>
      </c>
      <c r="E938">
        <f>AutoClaim_Data!B938</f>
        <v/>
      </c>
      <c r="F938">
        <f>AutoClaim_Data!C938</f>
        <v/>
      </c>
      <c r="G938">
        <f>IF(AutoClaim_Data!D938&lt;=$B$2,AVERAGEIFS(AutoClaim_Data!C2:C3168,AutoClaim_Data!B2:B3168,"Train",AutoClaim_Data!D2:D3168,"&lt;="&amp;$B$2),AVERAGEIFS(AutoClaim_Data!C2:C3168,AutoClaim_Data!B2:B3168,"Train",AutoClaim_Data!D2:D3168,"&gt;"&amp;$B$2))</f>
        <v/>
      </c>
      <c r="H938">
        <f>IF(AutoClaim_Data!D938&lt;=$B$2,IF(AutoClaim_Data!E938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8">
        <f>(F938-H938)^2</f>
        <v/>
      </c>
      <c r="J938">
        <f>--(E938="Validation")</f>
        <v/>
      </c>
    </row>
    <row r="939">
      <c r="D939">
        <f>AutoClaim_Data!A939</f>
        <v/>
      </c>
      <c r="E939">
        <f>AutoClaim_Data!B939</f>
        <v/>
      </c>
      <c r="F939">
        <f>AutoClaim_Data!C939</f>
        <v/>
      </c>
      <c r="G939">
        <f>IF(AutoClaim_Data!D939&lt;=$B$2,AVERAGEIFS(AutoClaim_Data!C2:C3168,AutoClaim_Data!B2:B3168,"Train",AutoClaim_Data!D2:D3168,"&lt;="&amp;$B$2),AVERAGEIFS(AutoClaim_Data!C2:C3168,AutoClaim_Data!B2:B3168,"Train",AutoClaim_Data!D2:D3168,"&gt;"&amp;$B$2))</f>
        <v/>
      </c>
      <c r="H939">
        <f>IF(AutoClaim_Data!D939&lt;=$B$2,IF(AutoClaim_Data!E939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39">
        <f>(F939-H939)^2</f>
        <v/>
      </c>
      <c r="J939">
        <f>--(E939="Validation")</f>
        <v/>
      </c>
    </row>
    <row r="940">
      <c r="D940">
        <f>AutoClaim_Data!A940</f>
        <v/>
      </c>
      <c r="E940">
        <f>AutoClaim_Data!B940</f>
        <v/>
      </c>
      <c r="F940">
        <f>AutoClaim_Data!C940</f>
        <v/>
      </c>
      <c r="G940">
        <f>IF(AutoClaim_Data!D940&lt;=$B$2,AVERAGEIFS(AutoClaim_Data!C2:C3168,AutoClaim_Data!B2:B3168,"Train",AutoClaim_Data!D2:D3168,"&lt;="&amp;$B$2),AVERAGEIFS(AutoClaim_Data!C2:C3168,AutoClaim_Data!B2:B3168,"Train",AutoClaim_Data!D2:D3168,"&gt;"&amp;$B$2))</f>
        <v/>
      </c>
      <c r="H940">
        <f>IF(AutoClaim_Data!D940&lt;=$B$2,IF(AutoClaim_Data!E940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0">
        <f>(F940-H940)^2</f>
        <v/>
      </c>
      <c r="J940">
        <f>--(E940="Validation")</f>
        <v/>
      </c>
    </row>
    <row r="941">
      <c r="D941">
        <f>AutoClaim_Data!A941</f>
        <v/>
      </c>
      <c r="E941">
        <f>AutoClaim_Data!B941</f>
        <v/>
      </c>
      <c r="F941">
        <f>AutoClaim_Data!C941</f>
        <v/>
      </c>
      <c r="G941">
        <f>IF(AutoClaim_Data!D941&lt;=$B$2,AVERAGEIFS(AutoClaim_Data!C2:C3168,AutoClaim_Data!B2:B3168,"Train",AutoClaim_Data!D2:D3168,"&lt;="&amp;$B$2),AVERAGEIFS(AutoClaim_Data!C2:C3168,AutoClaim_Data!B2:B3168,"Train",AutoClaim_Data!D2:D3168,"&gt;"&amp;$B$2))</f>
        <v/>
      </c>
      <c r="H941">
        <f>IF(AutoClaim_Data!D941&lt;=$B$2,IF(AutoClaim_Data!E941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1">
        <f>(F941-H941)^2</f>
        <v/>
      </c>
      <c r="J941">
        <f>--(E941="Validation")</f>
        <v/>
      </c>
    </row>
    <row r="942">
      <c r="D942">
        <f>AutoClaim_Data!A942</f>
        <v/>
      </c>
      <c r="E942">
        <f>AutoClaim_Data!B942</f>
        <v/>
      </c>
      <c r="F942">
        <f>AutoClaim_Data!C942</f>
        <v/>
      </c>
      <c r="G942">
        <f>IF(AutoClaim_Data!D942&lt;=$B$2,AVERAGEIFS(AutoClaim_Data!C2:C3168,AutoClaim_Data!B2:B3168,"Train",AutoClaim_Data!D2:D3168,"&lt;="&amp;$B$2),AVERAGEIFS(AutoClaim_Data!C2:C3168,AutoClaim_Data!B2:B3168,"Train",AutoClaim_Data!D2:D3168,"&gt;"&amp;$B$2))</f>
        <v/>
      </c>
      <c r="H942">
        <f>IF(AutoClaim_Data!D942&lt;=$B$2,IF(AutoClaim_Data!E942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2">
        <f>(F942-H942)^2</f>
        <v/>
      </c>
      <c r="J942">
        <f>--(E942="Validation")</f>
        <v/>
      </c>
    </row>
    <row r="943">
      <c r="D943">
        <f>AutoClaim_Data!A943</f>
        <v/>
      </c>
      <c r="E943">
        <f>AutoClaim_Data!B943</f>
        <v/>
      </c>
      <c r="F943">
        <f>AutoClaim_Data!C943</f>
        <v/>
      </c>
      <c r="G943">
        <f>IF(AutoClaim_Data!D943&lt;=$B$2,AVERAGEIFS(AutoClaim_Data!C2:C3168,AutoClaim_Data!B2:B3168,"Train",AutoClaim_Data!D2:D3168,"&lt;="&amp;$B$2),AVERAGEIFS(AutoClaim_Data!C2:C3168,AutoClaim_Data!B2:B3168,"Train",AutoClaim_Data!D2:D3168,"&gt;"&amp;$B$2))</f>
        <v/>
      </c>
      <c r="H943">
        <f>IF(AutoClaim_Data!D943&lt;=$B$2,IF(AutoClaim_Data!E943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3">
        <f>(F943-H943)^2</f>
        <v/>
      </c>
      <c r="J943">
        <f>--(E943="Validation")</f>
        <v/>
      </c>
    </row>
    <row r="944">
      <c r="D944">
        <f>AutoClaim_Data!A944</f>
        <v/>
      </c>
      <c r="E944">
        <f>AutoClaim_Data!B944</f>
        <v/>
      </c>
      <c r="F944">
        <f>AutoClaim_Data!C944</f>
        <v/>
      </c>
      <c r="G944">
        <f>IF(AutoClaim_Data!D944&lt;=$B$2,AVERAGEIFS(AutoClaim_Data!C2:C3168,AutoClaim_Data!B2:B3168,"Train",AutoClaim_Data!D2:D3168,"&lt;="&amp;$B$2),AVERAGEIFS(AutoClaim_Data!C2:C3168,AutoClaim_Data!B2:B3168,"Train",AutoClaim_Data!D2:D3168,"&gt;"&amp;$B$2))</f>
        <v/>
      </c>
      <c r="H944">
        <f>IF(AutoClaim_Data!D944&lt;=$B$2,IF(AutoClaim_Data!E944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4">
        <f>(F944-H944)^2</f>
        <v/>
      </c>
      <c r="J944">
        <f>--(E944="Validation")</f>
        <v/>
      </c>
    </row>
    <row r="945">
      <c r="D945">
        <f>AutoClaim_Data!A945</f>
        <v/>
      </c>
      <c r="E945">
        <f>AutoClaim_Data!B945</f>
        <v/>
      </c>
      <c r="F945">
        <f>AutoClaim_Data!C945</f>
        <v/>
      </c>
      <c r="G945">
        <f>IF(AutoClaim_Data!D945&lt;=$B$2,AVERAGEIFS(AutoClaim_Data!C2:C3168,AutoClaim_Data!B2:B3168,"Train",AutoClaim_Data!D2:D3168,"&lt;="&amp;$B$2),AVERAGEIFS(AutoClaim_Data!C2:C3168,AutoClaim_Data!B2:B3168,"Train",AutoClaim_Data!D2:D3168,"&gt;"&amp;$B$2))</f>
        <v/>
      </c>
      <c r="H945">
        <f>IF(AutoClaim_Data!D945&lt;=$B$2,IF(AutoClaim_Data!E945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5">
        <f>(F945-H945)^2</f>
        <v/>
      </c>
      <c r="J945">
        <f>--(E945="Validation")</f>
        <v/>
      </c>
    </row>
    <row r="946">
      <c r="D946">
        <f>AutoClaim_Data!A946</f>
        <v/>
      </c>
      <c r="E946">
        <f>AutoClaim_Data!B946</f>
        <v/>
      </c>
      <c r="F946">
        <f>AutoClaim_Data!C946</f>
        <v/>
      </c>
      <c r="G946">
        <f>IF(AutoClaim_Data!D946&lt;=$B$2,AVERAGEIFS(AutoClaim_Data!C2:C3168,AutoClaim_Data!B2:B3168,"Train",AutoClaim_Data!D2:D3168,"&lt;="&amp;$B$2),AVERAGEIFS(AutoClaim_Data!C2:C3168,AutoClaim_Data!B2:B3168,"Train",AutoClaim_Data!D2:D3168,"&gt;"&amp;$B$2))</f>
        <v/>
      </c>
      <c r="H946">
        <f>IF(AutoClaim_Data!D946&lt;=$B$2,IF(AutoClaim_Data!E946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6">
        <f>(F946-H946)^2</f>
        <v/>
      </c>
      <c r="J946">
        <f>--(E946="Validation")</f>
        <v/>
      </c>
    </row>
    <row r="947">
      <c r="D947">
        <f>AutoClaim_Data!A947</f>
        <v/>
      </c>
      <c r="E947">
        <f>AutoClaim_Data!B947</f>
        <v/>
      </c>
      <c r="F947">
        <f>AutoClaim_Data!C947</f>
        <v/>
      </c>
      <c r="G947">
        <f>IF(AutoClaim_Data!D947&lt;=$B$2,AVERAGEIFS(AutoClaim_Data!C2:C3168,AutoClaim_Data!B2:B3168,"Train",AutoClaim_Data!D2:D3168,"&lt;="&amp;$B$2),AVERAGEIFS(AutoClaim_Data!C2:C3168,AutoClaim_Data!B2:B3168,"Train",AutoClaim_Data!D2:D3168,"&gt;"&amp;$B$2))</f>
        <v/>
      </c>
      <c r="H947">
        <f>IF(AutoClaim_Data!D947&lt;=$B$2,IF(AutoClaim_Data!E947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7">
        <f>(F947-H947)^2</f>
        <v/>
      </c>
      <c r="J947">
        <f>--(E947="Validation")</f>
        <v/>
      </c>
    </row>
    <row r="948">
      <c r="D948">
        <f>AutoClaim_Data!A948</f>
        <v/>
      </c>
      <c r="E948">
        <f>AutoClaim_Data!B948</f>
        <v/>
      </c>
      <c r="F948">
        <f>AutoClaim_Data!C948</f>
        <v/>
      </c>
      <c r="G948">
        <f>IF(AutoClaim_Data!D948&lt;=$B$2,AVERAGEIFS(AutoClaim_Data!C2:C3168,AutoClaim_Data!B2:B3168,"Train",AutoClaim_Data!D2:D3168,"&lt;="&amp;$B$2),AVERAGEIFS(AutoClaim_Data!C2:C3168,AutoClaim_Data!B2:B3168,"Train",AutoClaim_Data!D2:D3168,"&gt;"&amp;$B$2))</f>
        <v/>
      </c>
      <c r="H948">
        <f>IF(AutoClaim_Data!D948&lt;=$B$2,IF(AutoClaim_Data!E948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8">
        <f>(F948-H948)^2</f>
        <v/>
      </c>
      <c r="J948">
        <f>--(E948="Validation")</f>
        <v/>
      </c>
    </row>
    <row r="949">
      <c r="D949">
        <f>AutoClaim_Data!A949</f>
        <v/>
      </c>
      <c r="E949">
        <f>AutoClaim_Data!B949</f>
        <v/>
      </c>
      <c r="F949">
        <f>AutoClaim_Data!C949</f>
        <v/>
      </c>
      <c r="G949">
        <f>IF(AutoClaim_Data!D949&lt;=$B$2,AVERAGEIFS(AutoClaim_Data!C2:C3168,AutoClaim_Data!B2:B3168,"Train",AutoClaim_Data!D2:D3168,"&lt;="&amp;$B$2),AVERAGEIFS(AutoClaim_Data!C2:C3168,AutoClaim_Data!B2:B3168,"Train",AutoClaim_Data!D2:D3168,"&gt;"&amp;$B$2))</f>
        <v/>
      </c>
      <c r="H949">
        <f>IF(AutoClaim_Data!D949&lt;=$B$2,IF(AutoClaim_Data!E949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49">
        <f>(F949-H949)^2</f>
        <v/>
      </c>
      <c r="J949">
        <f>--(E949="Validation")</f>
        <v/>
      </c>
    </row>
    <row r="950">
      <c r="D950">
        <f>AutoClaim_Data!A950</f>
        <v/>
      </c>
      <c r="E950">
        <f>AutoClaim_Data!B950</f>
        <v/>
      </c>
      <c r="F950">
        <f>AutoClaim_Data!C950</f>
        <v/>
      </c>
      <c r="G950">
        <f>IF(AutoClaim_Data!D950&lt;=$B$2,AVERAGEIFS(AutoClaim_Data!C2:C3168,AutoClaim_Data!B2:B3168,"Train",AutoClaim_Data!D2:D3168,"&lt;="&amp;$B$2),AVERAGEIFS(AutoClaim_Data!C2:C3168,AutoClaim_Data!B2:B3168,"Train",AutoClaim_Data!D2:D3168,"&gt;"&amp;$B$2))</f>
        <v/>
      </c>
      <c r="H950">
        <f>IF(AutoClaim_Data!D950&lt;=$B$2,IF(AutoClaim_Data!E950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0">
        <f>(F950-H950)^2</f>
        <v/>
      </c>
      <c r="J950">
        <f>--(E950="Validation")</f>
        <v/>
      </c>
    </row>
    <row r="951">
      <c r="D951">
        <f>AutoClaim_Data!A951</f>
        <v/>
      </c>
      <c r="E951">
        <f>AutoClaim_Data!B951</f>
        <v/>
      </c>
      <c r="F951">
        <f>AutoClaim_Data!C951</f>
        <v/>
      </c>
      <c r="G951">
        <f>IF(AutoClaim_Data!D951&lt;=$B$2,AVERAGEIFS(AutoClaim_Data!C2:C3168,AutoClaim_Data!B2:B3168,"Train",AutoClaim_Data!D2:D3168,"&lt;="&amp;$B$2),AVERAGEIFS(AutoClaim_Data!C2:C3168,AutoClaim_Data!B2:B3168,"Train",AutoClaim_Data!D2:D3168,"&gt;"&amp;$B$2))</f>
        <v/>
      </c>
      <c r="H951">
        <f>IF(AutoClaim_Data!D951&lt;=$B$2,IF(AutoClaim_Data!E951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1">
        <f>(F951-H951)^2</f>
        <v/>
      </c>
      <c r="J951">
        <f>--(E951="Validation")</f>
        <v/>
      </c>
    </row>
    <row r="952">
      <c r="D952">
        <f>AutoClaim_Data!A952</f>
        <v/>
      </c>
      <c r="E952">
        <f>AutoClaim_Data!B952</f>
        <v/>
      </c>
      <c r="F952">
        <f>AutoClaim_Data!C952</f>
        <v/>
      </c>
      <c r="G952">
        <f>IF(AutoClaim_Data!D952&lt;=$B$2,AVERAGEIFS(AutoClaim_Data!C2:C3168,AutoClaim_Data!B2:B3168,"Train",AutoClaim_Data!D2:D3168,"&lt;="&amp;$B$2),AVERAGEIFS(AutoClaim_Data!C2:C3168,AutoClaim_Data!B2:B3168,"Train",AutoClaim_Data!D2:D3168,"&gt;"&amp;$B$2))</f>
        <v/>
      </c>
      <c r="H952">
        <f>IF(AutoClaim_Data!D952&lt;=$B$2,IF(AutoClaim_Data!E952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2">
        <f>(F952-H952)^2</f>
        <v/>
      </c>
      <c r="J952">
        <f>--(E952="Validation")</f>
        <v/>
      </c>
    </row>
    <row r="953">
      <c r="D953">
        <f>AutoClaim_Data!A953</f>
        <v/>
      </c>
      <c r="E953">
        <f>AutoClaim_Data!B953</f>
        <v/>
      </c>
      <c r="F953">
        <f>AutoClaim_Data!C953</f>
        <v/>
      </c>
      <c r="G953">
        <f>IF(AutoClaim_Data!D953&lt;=$B$2,AVERAGEIFS(AutoClaim_Data!C2:C3168,AutoClaim_Data!B2:B3168,"Train",AutoClaim_Data!D2:D3168,"&lt;="&amp;$B$2),AVERAGEIFS(AutoClaim_Data!C2:C3168,AutoClaim_Data!B2:B3168,"Train",AutoClaim_Data!D2:D3168,"&gt;"&amp;$B$2))</f>
        <v/>
      </c>
      <c r="H953">
        <f>IF(AutoClaim_Data!D953&lt;=$B$2,IF(AutoClaim_Data!E953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3">
        <f>(F953-H953)^2</f>
        <v/>
      </c>
      <c r="J953">
        <f>--(E953="Validation")</f>
        <v/>
      </c>
    </row>
    <row r="954">
      <c r="D954">
        <f>AutoClaim_Data!A954</f>
        <v/>
      </c>
      <c r="E954">
        <f>AutoClaim_Data!B954</f>
        <v/>
      </c>
      <c r="F954">
        <f>AutoClaim_Data!C954</f>
        <v/>
      </c>
      <c r="G954">
        <f>IF(AutoClaim_Data!D954&lt;=$B$2,AVERAGEIFS(AutoClaim_Data!C2:C3168,AutoClaim_Data!B2:B3168,"Train",AutoClaim_Data!D2:D3168,"&lt;="&amp;$B$2),AVERAGEIFS(AutoClaim_Data!C2:C3168,AutoClaim_Data!B2:B3168,"Train",AutoClaim_Data!D2:D3168,"&gt;"&amp;$B$2))</f>
        <v/>
      </c>
      <c r="H954">
        <f>IF(AutoClaim_Data!D954&lt;=$B$2,IF(AutoClaim_Data!E954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4">
        <f>(F954-H954)^2</f>
        <v/>
      </c>
      <c r="J954">
        <f>--(E954="Validation")</f>
        <v/>
      </c>
    </row>
    <row r="955">
      <c r="D955">
        <f>AutoClaim_Data!A955</f>
        <v/>
      </c>
      <c r="E955">
        <f>AutoClaim_Data!B955</f>
        <v/>
      </c>
      <c r="F955">
        <f>AutoClaim_Data!C955</f>
        <v/>
      </c>
      <c r="G955">
        <f>IF(AutoClaim_Data!D955&lt;=$B$2,AVERAGEIFS(AutoClaim_Data!C2:C3168,AutoClaim_Data!B2:B3168,"Train",AutoClaim_Data!D2:D3168,"&lt;="&amp;$B$2),AVERAGEIFS(AutoClaim_Data!C2:C3168,AutoClaim_Data!B2:B3168,"Train",AutoClaim_Data!D2:D3168,"&gt;"&amp;$B$2))</f>
        <v/>
      </c>
      <c r="H955">
        <f>IF(AutoClaim_Data!D955&lt;=$B$2,IF(AutoClaim_Data!E955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5">
        <f>(F955-H955)^2</f>
        <v/>
      </c>
      <c r="J955">
        <f>--(E955="Validation")</f>
        <v/>
      </c>
    </row>
    <row r="956">
      <c r="D956">
        <f>AutoClaim_Data!A956</f>
        <v/>
      </c>
      <c r="E956">
        <f>AutoClaim_Data!B956</f>
        <v/>
      </c>
      <c r="F956">
        <f>AutoClaim_Data!C956</f>
        <v/>
      </c>
      <c r="G956">
        <f>IF(AutoClaim_Data!D956&lt;=$B$2,AVERAGEIFS(AutoClaim_Data!C2:C3168,AutoClaim_Data!B2:B3168,"Train",AutoClaim_Data!D2:D3168,"&lt;="&amp;$B$2),AVERAGEIFS(AutoClaim_Data!C2:C3168,AutoClaim_Data!B2:B3168,"Train",AutoClaim_Data!D2:D3168,"&gt;"&amp;$B$2))</f>
        <v/>
      </c>
      <c r="H956">
        <f>IF(AutoClaim_Data!D956&lt;=$B$2,IF(AutoClaim_Data!E956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6">
        <f>(F956-H956)^2</f>
        <v/>
      </c>
      <c r="J956">
        <f>--(E956="Validation")</f>
        <v/>
      </c>
    </row>
    <row r="957">
      <c r="D957">
        <f>AutoClaim_Data!A957</f>
        <v/>
      </c>
      <c r="E957">
        <f>AutoClaim_Data!B957</f>
        <v/>
      </c>
      <c r="F957">
        <f>AutoClaim_Data!C957</f>
        <v/>
      </c>
      <c r="G957">
        <f>IF(AutoClaim_Data!D957&lt;=$B$2,AVERAGEIFS(AutoClaim_Data!C2:C3168,AutoClaim_Data!B2:B3168,"Train",AutoClaim_Data!D2:D3168,"&lt;="&amp;$B$2),AVERAGEIFS(AutoClaim_Data!C2:C3168,AutoClaim_Data!B2:B3168,"Train",AutoClaim_Data!D2:D3168,"&gt;"&amp;$B$2))</f>
        <v/>
      </c>
      <c r="H957">
        <f>IF(AutoClaim_Data!D957&lt;=$B$2,IF(AutoClaim_Data!E957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7">
        <f>(F957-H957)^2</f>
        <v/>
      </c>
      <c r="J957">
        <f>--(E957="Validation")</f>
        <v/>
      </c>
    </row>
    <row r="958">
      <c r="D958">
        <f>AutoClaim_Data!A958</f>
        <v/>
      </c>
      <c r="E958">
        <f>AutoClaim_Data!B958</f>
        <v/>
      </c>
      <c r="F958">
        <f>AutoClaim_Data!C958</f>
        <v/>
      </c>
      <c r="G958">
        <f>IF(AutoClaim_Data!D958&lt;=$B$2,AVERAGEIFS(AutoClaim_Data!C2:C3168,AutoClaim_Data!B2:B3168,"Train",AutoClaim_Data!D2:D3168,"&lt;="&amp;$B$2),AVERAGEIFS(AutoClaim_Data!C2:C3168,AutoClaim_Data!B2:B3168,"Train",AutoClaim_Data!D2:D3168,"&gt;"&amp;$B$2))</f>
        <v/>
      </c>
      <c r="H958">
        <f>IF(AutoClaim_Data!D958&lt;=$B$2,IF(AutoClaim_Data!E958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8">
        <f>(F958-H958)^2</f>
        <v/>
      </c>
      <c r="J958">
        <f>--(E958="Validation")</f>
        <v/>
      </c>
    </row>
    <row r="959">
      <c r="D959">
        <f>AutoClaim_Data!A959</f>
        <v/>
      </c>
      <c r="E959">
        <f>AutoClaim_Data!B959</f>
        <v/>
      </c>
      <c r="F959">
        <f>AutoClaim_Data!C959</f>
        <v/>
      </c>
      <c r="G959">
        <f>IF(AutoClaim_Data!D959&lt;=$B$2,AVERAGEIFS(AutoClaim_Data!C2:C3168,AutoClaim_Data!B2:B3168,"Train",AutoClaim_Data!D2:D3168,"&lt;="&amp;$B$2),AVERAGEIFS(AutoClaim_Data!C2:C3168,AutoClaim_Data!B2:B3168,"Train",AutoClaim_Data!D2:D3168,"&gt;"&amp;$B$2))</f>
        <v/>
      </c>
      <c r="H959">
        <f>IF(AutoClaim_Data!D959&lt;=$B$2,IF(AutoClaim_Data!E959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59">
        <f>(F959-H959)^2</f>
        <v/>
      </c>
      <c r="J959">
        <f>--(E959="Validation")</f>
        <v/>
      </c>
    </row>
    <row r="960">
      <c r="D960">
        <f>AutoClaim_Data!A960</f>
        <v/>
      </c>
      <c r="E960">
        <f>AutoClaim_Data!B960</f>
        <v/>
      </c>
      <c r="F960">
        <f>AutoClaim_Data!C960</f>
        <v/>
      </c>
      <c r="G960">
        <f>IF(AutoClaim_Data!D960&lt;=$B$2,AVERAGEIFS(AutoClaim_Data!C2:C3168,AutoClaim_Data!B2:B3168,"Train",AutoClaim_Data!D2:D3168,"&lt;="&amp;$B$2),AVERAGEIFS(AutoClaim_Data!C2:C3168,AutoClaim_Data!B2:B3168,"Train",AutoClaim_Data!D2:D3168,"&gt;"&amp;$B$2))</f>
        <v/>
      </c>
      <c r="H960">
        <f>IF(AutoClaim_Data!D960&lt;=$B$2,IF(AutoClaim_Data!E960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0">
        <f>(F960-H960)^2</f>
        <v/>
      </c>
      <c r="J960">
        <f>--(E960="Validation")</f>
        <v/>
      </c>
    </row>
    <row r="961">
      <c r="D961">
        <f>AutoClaim_Data!A961</f>
        <v/>
      </c>
      <c r="E961">
        <f>AutoClaim_Data!B961</f>
        <v/>
      </c>
      <c r="F961">
        <f>AutoClaim_Data!C961</f>
        <v/>
      </c>
      <c r="G961">
        <f>IF(AutoClaim_Data!D961&lt;=$B$2,AVERAGEIFS(AutoClaim_Data!C2:C3168,AutoClaim_Data!B2:B3168,"Train",AutoClaim_Data!D2:D3168,"&lt;="&amp;$B$2),AVERAGEIFS(AutoClaim_Data!C2:C3168,AutoClaim_Data!B2:B3168,"Train",AutoClaim_Data!D2:D3168,"&gt;"&amp;$B$2))</f>
        <v/>
      </c>
      <c r="H961">
        <f>IF(AutoClaim_Data!D961&lt;=$B$2,IF(AutoClaim_Data!E961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1">
        <f>(F961-H961)^2</f>
        <v/>
      </c>
      <c r="J961">
        <f>--(E961="Validation")</f>
        <v/>
      </c>
    </row>
    <row r="962">
      <c r="D962">
        <f>AutoClaim_Data!A962</f>
        <v/>
      </c>
      <c r="E962">
        <f>AutoClaim_Data!B962</f>
        <v/>
      </c>
      <c r="F962">
        <f>AutoClaim_Data!C962</f>
        <v/>
      </c>
      <c r="G962">
        <f>IF(AutoClaim_Data!D962&lt;=$B$2,AVERAGEIFS(AutoClaim_Data!C2:C3168,AutoClaim_Data!B2:B3168,"Train",AutoClaim_Data!D2:D3168,"&lt;="&amp;$B$2),AVERAGEIFS(AutoClaim_Data!C2:C3168,AutoClaim_Data!B2:B3168,"Train",AutoClaim_Data!D2:D3168,"&gt;"&amp;$B$2))</f>
        <v/>
      </c>
      <c r="H962">
        <f>IF(AutoClaim_Data!D962&lt;=$B$2,IF(AutoClaim_Data!E962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2">
        <f>(F962-H962)^2</f>
        <v/>
      </c>
      <c r="J962">
        <f>--(E962="Validation")</f>
        <v/>
      </c>
    </row>
    <row r="963">
      <c r="D963">
        <f>AutoClaim_Data!A963</f>
        <v/>
      </c>
      <c r="E963">
        <f>AutoClaim_Data!B963</f>
        <v/>
      </c>
      <c r="F963">
        <f>AutoClaim_Data!C963</f>
        <v/>
      </c>
      <c r="G963">
        <f>IF(AutoClaim_Data!D963&lt;=$B$2,AVERAGEIFS(AutoClaim_Data!C2:C3168,AutoClaim_Data!B2:B3168,"Train",AutoClaim_Data!D2:D3168,"&lt;="&amp;$B$2),AVERAGEIFS(AutoClaim_Data!C2:C3168,AutoClaim_Data!B2:B3168,"Train",AutoClaim_Data!D2:D3168,"&gt;"&amp;$B$2))</f>
        <v/>
      </c>
      <c r="H963">
        <f>IF(AutoClaim_Data!D963&lt;=$B$2,IF(AutoClaim_Data!E963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3">
        <f>(F963-H963)^2</f>
        <v/>
      </c>
      <c r="J963">
        <f>--(E963="Validation")</f>
        <v/>
      </c>
    </row>
    <row r="964">
      <c r="D964">
        <f>AutoClaim_Data!A964</f>
        <v/>
      </c>
      <c r="E964">
        <f>AutoClaim_Data!B964</f>
        <v/>
      </c>
      <c r="F964">
        <f>AutoClaim_Data!C964</f>
        <v/>
      </c>
      <c r="G964">
        <f>IF(AutoClaim_Data!D964&lt;=$B$2,AVERAGEIFS(AutoClaim_Data!C2:C3168,AutoClaim_Data!B2:B3168,"Train",AutoClaim_Data!D2:D3168,"&lt;="&amp;$B$2),AVERAGEIFS(AutoClaim_Data!C2:C3168,AutoClaim_Data!B2:B3168,"Train",AutoClaim_Data!D2:D3168,"&gt;"&amp;$B$2))</f>
        <v/>
      </c>
      <c r="H964">
        <f>IF(AutoClaim_Data!D964&lt;=$B$2,IF(AutoClaim_Data!E964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4">
        <f>(F964-H964)^2</f>
        <v/>
      </c>
      <c r="J964">
        <f>--(E964="Validation")</f>
        <v/>
      </c>
    </row>
    <row r="965">
      <c r="D965">
        <f>AutoClaim_Data!A965</f>
        <v/>
      </c>
      <c r="E965">
        <f>AutoClaim_Data!B965</f>
        <v/>
      </c>
      <c r="F965">
        <f>AutoClaim_Data!C965</f>
        <v/>
      </c>
      <c r="G965">
        <f>IF(AutoClaim_Data!D965&lt;=$B$2,AVERAGEIFS(AutoClaim_Data!C2:C3168,AutoClaim_Data!B2:B3168,"Train",AutoClaim_Data!D2:D3168,"&lt;="&amp;$B$2),AVERAGEIFS(AutoClaim_Data!C2:C3168,AutoClaim_Data!B2:B3168,"Train",AutoClaim_Data!D2:D3168,"&gt;"&amp;$B$2))</f>
        <v/>
      </c>
      <c r="H965">
        <f>IF(AutoClaim_Data!D965&lt;=$B$2,IF(AutoClaim_Data!E965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5">
        <f>(F965-H965)^2</f>
        <v/>
      </c>
      <c r="J965">
        <f>--(E965="Validation")</f>
        <v/>
      </c>
    </row>
    <row r="966">
      <c r="D966">
        <f>AutoClaim_Data!A966</f>
        <v/>
      </c>
      <c r="E966">
        <f>AutoClaim_Data!B966</f>
        <v/>
      </c>
      <c r="F966">
        <f>AutoClaim_Data!C966</f>
        <v/>
      </c>
      <c r="G966">
        <f>IF(AutoClaim_Data!D966&lt;=$B$2,AVERAGEIFS(AutoClaim_Data!C2:C3168,AutoClaim_Data!B2:B3168,"Train",AutoClaim_Data!D2:D3168,"&lt;="&amp;$B$2),AVERAGEIFS(AutoClaim_Data!C2:C3168,AutoClaim_Data!B2:B3168,"Train",AutoClaim_Data!D2:D3168,"&gt;"&amp;$B$2))</f>
        <v/>
      </c>
      <c r="H966">
        <f>IF(AutoClaim_Data!D966&lt;=$B$2,IF(AutoClaim_Data!E966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6">
        <f>(F966-H966)^2</f>
        <v/>
      </c>
      <c r="J966">
        <f>--(E966="Validation")</f>
        <v/>
      </c>
    </row>
    <row r="967">
      <c r="D967">
        <f>AutoClaim_Data!A967</f>
        <v/>
      </c>
      <c r="E967">
        <f>AutoClaim_Data!B967</f>
        <v/>
      </c>
      <c r="F967">
        <f>AutoClaim_Data!C967</f>
        <v/>
      </c>
      <c r="G967">
        <f>IF(AutoClaim_Data!D967&lt;=$B$2,AVERAGEIFS(AutoClaim_Data!C2:C3168,AutoClaim_Data!B2:B3168,"Train",AutoClaim_Data!D2:D3168,"&lt;="&amp;$B$2),AVERAGEIFS(AutoClaim_Data!C2:C3168,AutoClaim_Data!B2:B3168,"Train",AutoClaim_Data!D2:D3168,"&gt;"&amp;$B$2))</f>
        <v/>
      </c>
      <c r="H967">
        <f>IF(AutoClaim_Data!D967&lt;=$B$2,IF(AutoClaim_Data!E967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7">
        <f>(F967-H967)^2</f>
        <v/>
      </c>
      <c r="J967">
        <f>--(E967="Validation")</f>
        <v/>
      </c>
    </row>
    <row r="968">
      <c r="D968">
        <f>AutoClaim_Data!A968</f>
        <v/>
      </c>
      <c r="E968">
        <f>AutoClaim_Data!B968</f>
        <v/>
      </c>
      <c r="F968">
        <f>AutoClaim_Data!C968</f>
        <v/>
      </c>
      <c r="G968">
        <f>IF(AutoClaim_Data!D968&lt;=$B$2,AVERAGEIFS(AutoClaim_Data!C2:C3168,AutoClaim_Data!B2:B3168,"Train",AutoClaim_Data!D2:D3168,"&lt;="&amp;$B$2),AVERAGEIFS(AutoClaim_Data!C2:C3168,AutoClaim_Data!B2:B3168,"Train",AutoClaim_Data!D2:D3168,"&gt;"&amp;$B$2))</f>
        <v/>
      </c>
      <c r="H968">
        <f>IF(AutoClaim_Data!D968&lt;=$B$2,IF(AutoClaim_Data!E968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8">
        <f>(F968-H968)^2</f>
        <v/>
      </c>
      <c r="J968">
        <f>--(E968="Validation")</f>
        <v/>
      </c>
    </row>
    <row r="969">
      <c r="D969">
        <f>AutoClaim_Data!A969</f>
        <v/>
      </c>
      <c r="E969">
        <f>AutoClaim_Data!B969</f>
        <v/>
      </c>
      <c r="F969">
        <f>AutoClaim_Data!C969</f>
        <v/>
      </c>
      <c r="G969">
        <f>IF(AutoClaim_Data!D969&lt;=$B$2,AVERAGEIFS(AutoClaim_Data!C2:C3168,AutoClaim_Data!B2:B3168,"Train",AutoClaim_Data!D2:D3168,"&lt;="&amp;$B$2),AVERAGEIFS(AutoClaim_Data!C2:C3168,AutoClaim_Data!B2:B3168,"Train",AutoClaim_Data!D2:D3168,"&gt;"&amp;$B$2))</f>
        <v/>
      </c>
      <c r="H969">
        <f>IF(AutoClaim_Data!D969&lt;=$B$2,IF(AutoClaim_Data!E969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69">
        <f>(F969-H969)^2</f>
        <v/>
      </c>
      <c r="J969">
        <f>--(E969="Validation")</f>
        <v/>
      </c>
    </row>
    <row r="970">
      <c r="D970">
        <f>AutoClaim_Data!A970</f>
        <v/>
      </c>
      <c r="E970">
        <f>AutoClaim_Data!B970</f>
        <v/>
      </c>
      <c r="F970">
        <f>AutoClaim_Data!C970</f>
        <v/>
      </c>
      <c r="G970">
        <f>IF(AutoClaim_Data!D970&lt;=$B$2,AVERAGEIFS(AutoClaim_Data!C2:C3168,AutoClaim_Data!B2:B3168,"Train",AutoClaim_Data!D2:D3168,"&lt;="&amp;$B$2),AVERAGEIFS(AutoClaim_Data!C2:C3168,AutoClaim_Data!B2:B3168,"Train",AutoClaim_Data!D2:D3168,"&gt;"&amp;$B$2))</f>
        <v/>
      </c>
      <c r="H970">
        <f>IF(AutoClaim_Data!D970&lt;=$B$2,IF(AutoClaim_Data!E970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0">
        <f>(F970-H970)^2</f>
        <v/>
      </c>
      <c r="J970">
        <f>--(E970="Validation")</f>
        <v/>
      </c>
    </row>
    <row r="971">
      <c r="D971">
        <f>AutoClaim_Data!A971</f>
        <v/>
      </c>
      <c r="E971">
        <f>AutoClaim_Data!B971</f>
        <v/>
      </c>
      <c r="F971">
        <f>AutoClaim_Data!C971</f>
        <v/>
      </c>
      <c r="G971">
        <f>IF(AutoClaim_Data!D971&lt;=$B$2,AVERAGEIFS(AutoClaim_Data!C2:C3168,AutoClaim_Data!B2:B3168,"Train",AutoClaim_Data!D2:D3168,"&lt;="&amp;$B$2),AVERAGEIFS(AutoClaim_Data!C2:C3168,AutoClaim_Data!B2:B3168,"Train",AutoClaim_Data!D2:D3168,"&gt;"&amp;$B$2))</f>
        <v/>
      </c>
      <c r="H971">
        <f>IF(AutoClaim_Data!D971&lt;=$B$2,IF(AutoClaim_Data!E971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1">
        <f>(F971-H971)^2</f>
        <v/>
      </c>
      <c r="J971">
        <f>--(E971="Validation")</f>
        <v/>
      </c>
    </row>
    <row r="972">
      <c r="D972">
        <f>AutoClaim_Data!A972</f>
        <v/>
      </c>
      <c r="E972">
        <f>AutoClaim_Data!B972</f>
        <v/>
      </c>
      <c r="F972">
        <f>AutoClaim_Data!C972</f>
        <v/>
      </c>
      <c r="G972">
        <f>IF(AutoClaim_Data!D972&lt;=$B$2,AVERAGEIFS(AutoClaim_Data!C2:C3168,AutoClaim_Data!B2:B3168,"Train",AutoClaim_Data!D2:D3168,"&lt;="&amp;$B$2),AVERAGEIFS(AutoClaim_Data!C2:C3168,AutoClaim_Data!B2:B3168,"Train",AutoClaim_Data!D2:D3168,"&gt;"&amp;$B$2))</f>
        <v/>
      </c>
      <c r="H972">
        <f>IF(AutoClaim_Data!D972&lt;=$B$2,IF(AutoClaim_Data!E972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2">
        <f>(F972-H972)^2</f>
        <v/>
      </c>
      <c r="J972">
        <f>--(E972="Validation")</f>
        <v/>
      </c>
    </row>
    <row r="973">
      <c r="D973">
        <f>AutoClaim_Data!A973</f>
        <v/>
      </c>
      <c r="E973">
        <f>AutoClaim_Data!B973</f>
        <v/>
      </c>
      <c r="F973">
        <f>AutoClaim_Data!C973</f>
        <v/>
      </c>
      <c r="G973">
        <f>IF(AutoClaim_Data!D973&lt;=$B$2,AVERAGEIFS(AutoClaim_Data!C2:C3168,AutoClaim_Data!B2:B3168,"Train",AutoClaim_Data!D2:D3168,"&lt;="&amp;$B$2),AVERAGEIFS(AutoClaim_Data!C2:C3168,AutoClaim_Data!B2:B3168,"Train",AutoClaim_Data!D2:D3168,"&gt;"&amp;$B$2))</f>
        <v/>
      </c>
      <c r="H973">
        <f>IF(AutoClaim_Data!D973&lt;=$B$2,IF(AutoClaim_Data!E973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3">
        <f>(F973-H973)^2</f>
        <v/>
      </c>
      <c r="J973">
        <f>--(E973="Validation")</f>
        <v/>
      </c>
    </row>
    <row r="974">
      <c r="D974">
        <f>AutoClaim_Data!A974</f>
        <v/>
      </c>
      <c r="E974">
        <f>AutoClaim_Data!B974</f>
        <v/>
      </c>
      <c r="F974">
        <f>AutoClaim_Data!C974</f>
        <v/>
      </c>
      <c r="G974">
        <f>IF(AutoClaim_Data!D974&lt;=$B$2,AVERAGEIFS(AutoClaim_Data!C2:C3168,AutoClaim_Data!B2:B3168,"Train",AutoClaim_Data!D2:D3168,"&lt;="&amp;$B$2),AVERAGEIFS(AutoClaim_Data!C2:C3168,AutoClaim_Data!B2:B3168,"Train",AutoClaim_Data!D2:D3168,"&gt;"&amp;$B$2))</f>
        <v/>
      </c>
      <c r="H974">
        <f>IF(AutoClaim_Data!D974&lt;=$B$2,IF(AutoClaim_Data!E974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4">
        <f>(F974-H974)^2</f>
        <v/>
      </c>
      <c r="J974">
        <f>--(E974="Validation")</f>
        <v/>
      </c>
    </row>
    <row r="975">
      <c r="D975">
        <f>AutoClaim_Data!A975</f>
        <v/>
      </c>
      <c r="E975">
        <f>AutoClaim_Data!B975</f>
        <v/>
      </c>
      <c r="F975">
        <f>AutoClaim_Data!C975</f>
        <v/>
      </c>
      <c r="G975">
        <f>IF(AutoClaim_Data!D975&lt;=$B$2,AVERAGEIFS(AutoClaim_Data!C2:C3168,AutoClaim_Data!B2:B3168,"Train",AutoClaim_Data!D2:D3168,"&lt;="&amp;$B$2),AVERAGEIFS(AutoClaim_Data!C2:C3168,AutoClaim_Data!B2:B3168,"Train",AutoClaim_Data!D2:D3168,"&gt;"&amp;$B$2))</f>
        <v/>
      </c>
      <c r="H975">
        <f>IF(AutoClaim_Data!D975&lt;=$B$2,IF(AutoClaim_Data!E975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5">
        <f>(F975-H975)^2</f>
        <v/>
      </c>
      <c r="J975">
        <f>--(E975="Validation")</f>
        <v/>
      </c>
    </row>
    <row r="976">
      <c r="D976">
        <f>AutoClaim_Data!A976</f>
        <v/>
      </c>
      <c r="E976">
        <f>AutoClaim_Data!B976</f>
        <v/>
      </c>
      <c r="F976">
        <f>AutoClaim_Data!C976</f>
        <v/>
      </c>
      <c r="G976">
        <f>IF(AutoClaim_Data!D976&lt;=$B$2,AVERAGEIFS(AutoClaim_Data!C2:C3168,AutoClaim_Data!B2:B3168,"Train",AutoClaim_Data!D2:D3168,"&lt;="&amp;$B$2),AVERAGEIFS(AutoClaim_Data!C2:C3168,AutoClaim_Data!B2:B3168,"Train",AutoClaim_Data!D2:D3168,"&gt;"&amp;$B$2))</f>
        <v/>
      </c>
      <c r="H976">
        <f>IF(AutoClaim_Data!D976&lt;=$B$2,IF(AutoClaim_Data!E976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6">
        <f>(F976-H976)^2</f>
        <v/>
      </c>
      <c r="J976">
        <f>--(E976="Validation")</f>
        <v/>
      </c>
    </row>
    <row r="977">
      <c r="D977">
        <f>AutoClaim_Data!A977</f>
        <v/>
      </c>
      <c r="E977">
        <f>AutoClaim_Data!B977</f>
        <v/>
      </c>
      <c r="F977">
        <f>AutoClaim_Data!C977</f>
        <v/>
      </c>
      <c r="G977">
        <f>IF(AutoClaim_Data!D977&lt;=$B$2,AVERAGEIFS(AutoClaim_Data!C2:C3168,AutoClaim_Data!B2:B3168,"Train",AutoClaim_Data!D2:D3168,"&lt;="&amp;$B$2),AVERAGEIFS(AutoClaim_Data!C2:C3168,AutoClaim_Data!B2:B3168,"Train",AutoClaim_Data!D2:D3168,"&gt;"&amp;$B$2))</f>
        <v/>
      </c>
      <c r="H977">
        <f>IF(AutoClaim_Data!D977&lt;=$B$2,IF(AutoClaim_Data!E977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7">
        <f>(F977-H977)^2</f>
        <v/>
      </c>
      <c r="J977">
        <f>--(E977="Validation")</f>
        <v/>
      </c>
    </row>
    <row r="978">
      <c r="D978">
        <f>AutoClaim_Data!A978</f>
        <v/>
      </c>
      <c r="E978">
        <f>AutoClaim_Data!B978</f>
        <v/>
      </c>
      <c r="F978">
        <f>AutoClaim_Data!C978</f>
        <v/>
      </c>
      <c r="G978">
        <f>IF(AutoClaim_Data!D978&lt;=$B$2,AVERAGEIFS(AutoClaim_Data!C2:C3168,AutoClaim_Data!B2:B3168,"Train",AutoClaim_Data!D2:D3168,"&lt;="&amp;$B$2),AVERAGEIFS(AutoClaim_Data!C2:C3168,AutoClaim_Data!B2:B3168,"Train",AutoClaim_Data!D2:D3168,"&gt;"&amp;$B$2))</f>
        <v/>
      </c>
      <c r="H978">
        <f>IF(AutoClaim_Data!D978&lt;=$B$2,IF(AutoClaim_Data!E978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8">
        <f>(F978-H978)^2</f>
        <v/>
      </c>
      <c r="J978">
        <f>--(E978="Validation")</f>
        <v/>
      </c>
    </row>
    <row r="979">
      <c r="D979">
        <f>AutoClaim_Data!A979</f>
        <v/>
      </c>
      <c r="E979">
        <f>AutoClaim_Data!B979</f>
        <v/>
      </c>
      <c r="F979">
        <f>AutoClaim_Data!C979</f>
        <v/>
      </c>
      <c r="G979">
        <f>IF(AutoClaim_Data!D979&lt;=$B$2,AVERAGEIFS(AutoClaim_Data!C2:C3168,AutoClaim_Data!B2:B3168,"Train",AutoClaim_Data!D2:D3168,"&lt;="&amp;$B$2),AVERAGEIFS(AutoClaim_Data!C2:C3168,AutoClaim_Data!B2:B3168,"Train",AutoClaim_Data!D2:D3168,"&gt;"&amp;$B$2))</f>
        <v/>
      </c>
      <c r="H979">
        <f>IF(AutoClaim_Data!D979&lt;=$B$2,IF(AutoClaim_Data!E979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79">
        <f>(F979-H979)^2</f>
        <v/>
      </c>
      <c r="J979">
        <f>--(E979="Validation")</f>
        <v/>
      </c>
    </row>
    <row r="980">
      <c r="D980">
        <f>AutoClaim_Data!A980</f>
        <v/>
      </c>
      <c r="E980">
        <f>AutoClaim_Data!B980</f>
        <v/>
      </c>
      <c r="F980">
        <f>AutoClaim_Data!C980</f>
        <v/>
      </c>
      <c r="G980">
        <f>IF(AutoClaim_Data!D980&lt;=$B$2,AVERAGEIFS(AutoClaim_Data!C2:C3168,AutoClaim_Data!B2:B3168,"Train",AutoClaim_Data!D2:D3168,"&lt;="&amp;$B$2),AVERAGEIFS(AutoClaim_Data!C2:C3168,AutoClaim_Data!B2:B3168,"Train",AutoClaim_Data!D2:D3168,"&gt;"&amp;$B$2))</f>
        <v/>
      </c>
      <c r="H980">
        <f>IF(AutoClaim_Data!D980&lt;=$B$2,IF(AutoClaim_Data!E980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0">
        <f>(F980-H980)^2</f>
        <v/>
      </c>
      <c r="J980">
        <f>--(E980="Validation")</f>
        <v/>
      </c>
    </row>
    <row r="981">
      <c r="D981">
        <f>AutoClaim_Data!A981</f>
        <v/>
      </c>
      <c r="E981">
        <f>AutoClaim_Data!B981</f>
        <v/>
      </c>
      <c r="F981">
        <f>AutoClaim_Data!C981</f>
        <v/>
      </c>
      <c r="G981">
        <f>IF(AutoClaim_Data!D981&lt;=$B$2,AVERAGEIFS(AutoClaim_Data!C2:C3168,AutoClaim_Data!B2:B3168,"Train",AutoClaim_Data!D2:D3168,"&lt;="&amp;$B$2),AVERAGEIFS(AutoClaim_Data!C2:C3168,AutoClaim_Data!B2:B3168,"Train",AutoClaim_Data!D2:D3168,"&gt;"&amp;$B$2))</f>
        <v/>
      </c>
      <c r="H981">
        <f>IF(AutoClaim_Data!D981&lt;=$B$2,IF(AutoClaim_Data!E981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1">
        <f>(F981-H981)^2</f>
        <v/>
      </c>
      <c r="J981">
        <f>--(E981="Validation")</f>
        <v/>
      </c>
    </row>
    <row r="982">
      <c r="D982">
        <f>AutoClaim_Data!A982</f>
        <v/>
      </c>
      <c r="E982">
        <f>AutoClaim_Data!B982</f>
        <v/>
      </c>
      <c r="F982">
        <f>AutoClaim_Data!C982</f>
        <v/>
      </c>
      <c r="G982">
        <f>IF(AutoClaim_Data!D982&lt;=$B$2,AVERAGEIFS(AutoClaim_Data!C2:C3168,AutoClaim_Data!B2:B3168,"Train",AutoClaim_Data!D2:D3168,"&lt;="&amp;$B$2),AVERAGEIFS(AutoClaim_Data!C2:C3168,AutoClaim_Data!B2:B3168,"Train",AutoClaim_Data!D2:D3168,"&gt;"&amp;$B$2))</f>
        <v/>
      </c>
      <c r="H982">
        <f>IF(AutoClaim_Data!D982&lt;=$B$2,IF(AutoClaim_Data!E982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2">
        <f>(F982-H982)^2</f>
        <v/>
      </c>
      <c r="J982">
        <f>--(E982="Validation")</f>
        <v/>
      </c>
    </row>
    <row r="983">
      <c r="D983">
        <f>AutoClaim_Data!A983</f>
        <v/>
      </c>
      <c r="E983">
        <f>AutoClaim_Data!B983</f>
        <v/>
      </c>
      <c r="F983">
        <f>AutoClaim_Data!C983</f>
        <v/>
      </c>
      <c r="G983">
        <f>IF(AutoClaim_Data!D983&lt;=$B$2,AVERAGEIFS(AutoClaim_Data!C2:C3168,AutoClaim_Data!B2:B3168,"Train",AutoClaim_Data!D2:D3168,"&lt;="&amp;$B$2),AVERAGEIFS(AutoClaim_Data!C2:C3168,AutoClaim_Data!B2:B3168,"Train",AutoClaim_Data!D2:D3168,"&gt;"&amp;$B$2))</f>
        <v/>
      </c>
      <c r="H983">
        <f>IF(AutoClaim_Data!D983&lt;=$B$2,IF(AutoClaim_Data!E983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3">
        <f>(F983-H983)^2</f>
        <v/>
      </c>
      <c r="J983">
        <f>--(E983="Validation")</f>
        <v/>
      </c>
    </row>
    <row r="984">
      <c r="D984">
        <f>AutoClaim_Data!A984</f>
        <v/>
      </c>
      <c r="E984">
        <f>AutoClaim_Data!B984</f>
        <v/>
      </c>
      <c r="F984">
        <f>AutoClaim_Data!C984</f>
        <v/>
      </c>
      <c r="G984">
        <f>IF(AutoClaim_Data!D984&lt;=$B$2,AVERAGEIFS(AutoClaim_Data!C2:C3168,AutoClaim_Data!B2:B3168,"Train",AutoClaim_Data!D2:D3168,"&lt;="&amp;$B$2),AVERAGEIFS(AutoClaim_Data!C2:C3168,AutoClaim_Data!B2:B3168,"Train",AutoClaim_Data!D2:D3168,"&gt;"&amp;$B$2))</f>
        <v/>
      </c>
      <c r="H984">
        <f>IF(AutoClaim_Data!D984&lt;=$B$2,IF(AutoClaim_Data!E984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4">
        <f>(F984-H984)^2</f>
        <v/>
      </c>
      <c r="J984">
        <f>--(E984="Validation")</f>
        <v/>
      </c>
    </row>
    <row r="985">
      <c r="D985">
        <f>AutoClaim_Data!A985</f>
        <v/>
      </c>
      <c r="E985">
        <f>AutoClaim_Data!B985</f>
        <v/>
      </c>
      <c r="F985">
        <f>AutoClaim_Data!C985</f>
        <v/>
      </c>
      <c r="G985">
        <f>IF(AutoClaim_Data!D985&lt;=$B$2,AVERAGEIFS(AutoClaim_Data!C2:C3168,AutoClaim_Data!B2:B3168,"Train",AutoClaim_Data!D2:D3168,"&lt;="&amp;$B$2),AVERAGEIFS(AutoClaim_Data!C2:C3168,AutoClaim_Data!B2:B3168,"Train",AutoClaim_Data!D2:D3168,"&gt;"&amp;$B$2))</f>
        <v/>
      </c>
      <c r="H985">
        <f>IF(AutoClaim_Data!D985&lt;=$B$2,IF(AutoClaim_Data!E985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5">
        <f>(F985-H985)^2</f>
        <v/>
      </c>
      <c r="J985">
        <f>--(E985="Validation")</f>
        <v/>
      </c>
    </row>
    <row r="986">
      <c r="D986">
        <f>AutoClaim_Data!A986</f>
        <v/>
      </c>
      <c r="E986">
        <f>AutoClaim_Data!B986</f>
        <v/>
      </c>
      <c r="F986">
        <f>AutoClaim_Data!C986</f>
        <v/>
      </c>
      <c r="G986">
        <f>IF(AutoClaim_Data!D986&lt;=$B$2,AVERAGEIFS(AutoClaim_Data!C2:C3168,AutoClaim_Data!B2:B3168,"Train",AutoClaim_Data!D2:D3168,"&lt;="&amp;$B$2),AVERAGEIFS(AutoClaim_Data!C2:C3168,AutoClaim_Data!B2:B3168,"Train",AutoClaim_Data!D2:D3168,"&gt;"&amp;$B$2))</f>
        <v/>
      </c>
      <c r="H986">
        <f>IF(AutoClaim_Data!D986&lt;=$B$2,IF(AutoClaim_Data!E986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6">
        <f>(F986-H986)^2</f>
        <v/>
      </c>
      <c r="J986">
        <f>--(E986="Validation")</f>
        <v/>
      </c>
    </row>
    <row r="987">
      <c r="D987">
        <f>AutoClaim_Data!A987</f>
        <v/>
      </c>
      <c r="E987">
        <f>AutoClaim_Data!B987</f>
        <v/>
      </c>
      <c r="F987">
        <f>AutoClaim_Data!C987</f>
        <v/>
      </c>
      <c r="G987">
        <f>IF(AutoClaim_Data!D987&lt;=$B$2,AVERAGEIFS(AutoClaim_Data!C2:C3168,AutoClaim_Data!B2:B3168,"Train",AutoClaim_Data!D2:D3168,"&lt;="&amp;$B$2),AVERAGEIFS(AutoClaim_Data!C2:C3168,AutoClaim_Data!B2:B3168,"Train",AutoClaim_Data!D2:D3168,"&gt;"&amp;$B$2))</f>
        <v/>
      </c>
      <c r="H987">
        <f>IF(AutoClaim_Data!D987&lt;=$B$2,IF(AutoClaim_Data!E987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7">
        <f>(F987-H987)^2</f>
        <v/>
      </c>
      <c r="J987">
        <f>--(E987="Validation")</f>
        <v/>
      </c>
    </row>
    <row r="988">
      <c r="D988">
        <f>AutoClaim_Data!A988</f>
        <v/>
      </c>
      <c r="E988">
        <f>AutoClaim_Data!B988</f>
        <v/>
      </c>
      <c r="F988">
        <f>AutoClaim_Data!C988</f>
        <v/>
      </c>
      <c r="G988">
        <f>IF(AutoClaim_Data!D988&lt;=$B$2,AVERAGEIFS(AutoClaim_Data!C2:C3168,AutoClaim_Data!B2:B3168,"Train",AutoClaim_Data!D2:D3168,"&lt;="&amp;$B$2),AVERAGEIFS(AutoClaim_Data!C2:C3168,AutoClaim_Data!B2:B3168,"Train",AutoClaim_Data!D2:D3168,"&gt;"&amp;$B$2))</f>
        <v/>
      </c>
      <c r="H988">
        <f>IF(AutoClaim_Data!D988&lt;=$B$2,IF(AutoClaim_Data!E988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8">
        <f>(F988-H988)^2</f>
        <v/>
      </c>
      <c r="J988">
        <f>--(E988="Validation")</f>
        <v/>
      </c>
    </row>
    <row r="989">
      <c r="D989">
        <f>AutoClaim_Data!A989</f>
        <v/>
      </c>
      <c r="E989">
        <f>AutoClaim_Data!B989</f>
        <v/>
      </c>
      <c r="F989">
        <f>AutoClaim_Data!C989</f>
        <v/>
      </c>
      <c r="G989">
        <f>IF(AutoClaim_Data!D989&lt;=$B$2,AVERAGEIFS(AutoClaim_Data!C2:C3168,AutoClaim_Data!B2:B3168,"Train",AutoClaim_Data!D2:D3168,"&lt;="&amp;$B$2),AVERAGEIFS(AutoClaim_Data!C2:C3168,AutoClaim_Data!B2:B3168,"Train",AutoClaim_Data!D2:D3168,"&gt;"&amp;$B$2))</f>
        <v/>
      </c>
      <c r="H989">
        <f>IF(AutoClaim_Data!D989&lt;=$B$2,IF(AutoClaim_Data!E989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89">
        <f>(F989-H989)^2</f>
        <v/>
      </c>
      <c r="J989">
        <f>--(E989="Validation")</f>
        <v/>
      </c>
    </row>
    <row r="990">
      <c r="D990">
        <f>AutoClaim_Data!A990</f>
        <v/>
      </c>
      <c r="E990">
        <f>AutoClaim_Data!B990</f>
        <v/>
      </c>
      <c r="F990">
        <f>AutoClaim_Data!C990</f>
        <v/>
      </c>
      <c r="G990">
        <f>IF(AutoClaim_Data!D990&lt;=$B$2,AVERAGEIFS(AutoClaim_Data!C2:C3168,AutoClaim_Data!B2:B3168,"Train",AutoClaim_Data!D2:D3168,"&lt;="&amp;$B$2),AVERAGEIFS(AutoClaim_Data!C2:C3168,AutoClaim_Data!B2:B3168,"Train",AutoClaim_Data!D2:D3168,"&gt;"&amp;$B$2))</f>
        <v/>
      </c>
      <c r="H990">
        <f>IF(AutoClaim_Data!D990&lt;=$B$2,IF(AutoClaim_Data!E990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0">
        <f>(F990-H990)^2</f>
        <v/>
      </c>
      <c r="J990">
        <f>--(E990="Validation")</f>
        <v/>
      </c>
    </row>
    <row r="991">
      <c r="D991">
        <f>AutoClaim_Data!A991</f>
        <v/>
      </c>
      <c r="E991">
        <f>AutoClaim_Data!B991</f>
        <v/>
      </c>
      <c r="F991">
        <f>AutoClaim_Data!C991</f>
        <v/>
      </c>
      <c r="G991">
        <f>IF(AutoClaim_Data!D991&lt;=$B$2,AVERAGEIFS(AutoClaim_Data!C2:C3168,AutoClaim_Data!B2:B3168,"Train",AutoClaim_Data!D2:D3168,"&lt;="&amp;$B$2),AVERAGEIFS(AutoClaim_Data!C2:C3168,AutoClaim_Data!B2:B3168,"Train",AutoClaim_Data!D2:D3168,"&gt;"&amp;$B$2))</f>
        <v/>
      </c>
      <c r="H991">
        <f>IF(AutoClaim_Data!D991&lt;=$B$2,IF(AutoClaim_Data!E991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1">
        <f>(F991-H991)^2</f>
        <v/>
      </c>
      <c r="J991">
        <f>--(E991="Validation")</f>
        <v/>
      </c>
    </row>
    <row r="992">
      <c r="D992">
        <f>AutoClaim_Data!A992</f>
        <v/>
      </c>
      <c r="E992">
        <f>AutoClaim_Data!B992</f>
        <v/>
      </c>
      <c r="F992">
        <f>AutoClaim_Data!C992</f>
        <v/>
      </c>
      <c r="G992">
        <f>IF(AutoClaim_Data!D992&lt;=$B$2,AVERAGEIFS(AutoClaim_Data!C2:C3168,AutoClaim_Data!B2:B3168,"Train",AutoClaim_Data!D2:D3168,"&lt;="&amp;$B$2),AVERAGEIFS(AutoClaim_Data!C2:C3168,AutoClaim_Data!B2:B3168,"Train",AutoClaim_Data!D2:D3168,"&gt;"&amp;$B$2))</f>
        <v/>
      </c>
      <c r="H992">
        <f>IF(AutoClaim_Data!D992&lt;=$B$2,IF(AutoClaim_Data!E992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2">
        <f>(F992-H992)^2</f>
        <v/>
      </c>
      <c r="J992">
        <f>--(E992="Validation")</f>
        <v/>
      </c>
    </row>
    <row r="993">
      <c r="D993">
        <f>AutoClaim_Data!A993</f>
        <v/>
      </c>
      <c r="E993">
        <f>AutoClaim_Data!B993</f>
        <v/>
      </c>
      <c r="F993">
        <f>AutoClaim_Data!C993</f>
        <v/>
      </c>
      <c r="G993">
        <f>IF(AutoClaim_Data!D993&lt;=$B$2,AVERAGEIFS(AutoClaim_Data!C2:C3168,AutoClaim_Data!B2:B3168,"Train",AutoClaim_Data!D2:D3168,"&lt;="&amp;$B$2),AVERAGEIFS(AutoClaim_Data!C2:C3168,AutoClaim_Data!B2:B3168,"Train",AutoClaim_Data!D2:D3168,"&gt;"&amp;$B$2))</f>
        <v/>
      </c>
      <c r="H993">
        <f>IF(AutoClaim_Data!D993&lt;=$B$2,IF(AutoClaim_Data!E993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3">
        <f>(F993-H993)^2</f>
        <v/>
      </c>
      <c r="J993">
        <f>--(E993="Validation")</f>
        <v/>
      </c>
    </row>
    <row r="994">
      <c r="D994">
        <f>AutoClaim_Data!A994</f>
        <v/>
      </c>
      <c r="E994">
        <f>AutoClaim_Data!B994</f>
        <v/>
      </c>
      <c r="F994">
        <f>AutoClaim_Data!C994</f>
        <v/>
      </c>
      <c r="G994">
        <f>IF(AutoClaim_Data!D994&lt;=$B$2,AVERAGEIFS(AutoClaim_Data!C2:C3168,AutoClaim_Data!B2:B3168,"Train",AutoClaim_Data!D2:D3168,"&lt;="&amp;$B$2),AVERAGEIFS(AutoClaim_Data!C2:C3168,AutoClaim_Data!B2:B3168,"Train",AutoClaim_Data!D2:D3168,"&gt;"&amp;$B$2))</f>
        <v/>
      </c>
      <c r="H994">
        <f>IF(AutoClaim_Data!D994&lt;=$B$2,IF(AutoClaim_Data!E994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4">
        <f>(F994-H994)^2</f>
        <v/>
      </c>
      <c r="J994">
        <f>--(E994="Validation")</f>
        <v/>
      </c>
    </row>
    <row r="995">
      <c r="D995">
        <f>AutoClaim_Data!A995</f>
        <v/>
      </c>
      <c r="E995">
        <f>AutoClaim_Data!B995</f>
        <v/>
      </c>
      <c r="F995">
        <f>AutoClaim_Data!C995</f>
        <v/>
      </c>
      <c r="G995">
        <f>IF(AutoClaim_Data!D995&lt;=$B$2,AVERAGEIFS(AutoClaim_Data!C2:C3168,AutoClaim_Data!B2:B3168,"Train",AutoClaim_Data!D2:D3168,"&lt;="&amp;$B$2),AVERAGEIFS(AutoClaim_Data!C2:C3168,AutoClaim_Data!B2:B3168,"Train",AutoClaim_Data!D2:D3168,"&gt;"&amp;$B$2))</f>
        <v/>
      </c>
      <c r="H995">
        <f>IF(AutoClaim_Data!D995&lt;=$B$2,IF(AutoClaim_Data!E995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5">
        <f>(F995-H995)^2</f>
        <v/>
      </c>
      <c r="J995">
        <f>--(E995="Validation")</f>
        <v/>
      </c>
    </row>
    <row r="996">
      <c r="D996">
        <f>AutoClaim_Data!A996</f>
        <v/>
      </c>
      <c r="E996">
        <f>AutoClaim_Data!B996</f>
        <v/>
      </c>
      <c r="F996">
        <f>AutoClaim_Data!C996</f>
        <v/>
      </c>
      <c r="G996">
        <f>IF(AutoClaim_Data!D996&lt;=$B$2,AVERAGEIFS(AutoClaim_Data!C2:C3168,AutoClaim_Data!B2:B3168,"Train",AutoClaim_Data!D2:D3168,"&lt;="&amp;$B$2),AVERAGEIFS(AutoClaim_Data!C2:C3168,AutoClaim_Data!B2:B3168,"Train",AutoClaim_Data!D2:D3168,"&gt;"&amp;$B$2))</f>
        <v/>
      </c>
      <c r="H996">
        <f>IF(AutoClaim_Data!D996&lt;=$B$2,IF(AutoClaim_Data!E996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6">
        <f>(F996-H996)^2</f>
        <v/>
      </c>
      <c r="J996">
        <f>--(E996="Validation")</f>
        <v/>
      </c>
    </row>
    <row r="997">
      <c r="D997">
        <f>AutoClaim_Data!A997</f>
        <v/>
      </c>
      <c r="E997">
        <f>AutoClaim_Data!B997</f>
        <v/>
      </c>
      <c r="F997">
        <f>AutoClaim_Data!C997</f>
        <v/>
      </c>
      <c r="G997">
        <f>IF(AutoClaim_Data!D997&lt;=$B$2,AVERAGEIFS(AutoClaim_Data!C2:C3168,AutoClaim_Data!B2:B3168,"Train",AutoClaim_Data!D2:D3168,"&lt;="&amp;$B$2),AVERAGEIFS(AutoClaim_Data!C2:C3168,AutoClaim_Data!B2:B3168,"Train",AutoClaim_Data!D2:D3168,"&gt;"&amp;$B$2))</f>
        <v/>
      </c>
      <c r="H997">
        <f>IF(AutoClaim_Data!D997&lt;=$B$2,IF(AutoClaim_Data!E997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7">
        <f>(F997-H997)^2</f>
        <v/>
      </c>
      <c r="J997">
        <f>--(E997="Validation")</f>
        <v/>
      </c>
    </row>
    <row r="998">
      <c r="D998">
        <f>AutoClaim_Data!A998</f>
        <v/>
      </c>
      <c r="E998">
        <f>AutoClaim_Data!B998</f>
        <v/>
      </c>
      <c r="F998">
        <f>AutoClaim_Data!C998</f>
        <v/>
      </c>
      <c r="G998">
        <f>IF(AutoClaim_Data!D998&lt;=$B$2,AVERAGEIFS(AutoClaim_Data!C2:C3168,AutoClaim_Data!B2:B3168,"Train",AutoClaim_Data!D2:D3168,"&lt;="&amp;$B$2),AVERAGEIFS(AutoClaim_Data!C2:C3168,AutoClaim_Data!B2:B3168,"Train",AutoClaim_Data!D2:D3168,"&gt;"&amp;$B$2))</f>
        <v/>
      </c>
      <c r="H998">
        <f>IF(AutoClaim_Data!D998&lt;=$B$2,IF(AutoClaim_Data!E998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8">
        <f>(F998-H998)^2</f>
        <v/>
      </c>
      <c r="J998">
        <f>--(E998="Validation")</f>
        <v/>
      </c>
    </row>
    <row r="999">
      <c r="D999">
        <f>AutoClaim_Data!A999</f>
        <v/>
      </c>
      <c r="E999">
        <f>AutoClaim_Data!B999</f>
        <v/>
      </c>
      <c r="F999">
        <f>AutoClaim_Data!C999</f>
        <v/>
      </c>
      <c r="G999">
        <f>IF(AutoClaim_Data!D999&lt;=$B$2,AVERAGEIFS(AutoClaim_Data!C2:C3168,AutoClaim_Data!B2:B3168,"Train",AutoClaim_Data!D2:D3168,"&lt;="&amp;$B$2),AVERAGEIFS(AutoClaim_Data!C2:C3168,AutoClaim_Data!B2:B3168,"Train",AutoClaim_Data!D2:D3168,"&gt;"&amp;$B$2))</f>
        <v/>
      </c>
      <c r="H999">
        <f>IF(AutoClaim_Data!D999&lt;=$B$2,IF(AutoClaim_Data!E999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999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999">
        <f>(F999-H999)^2</f>
        <v/>
      </c>
      <c r="J999">
        <f>--(E999="Validation")</f>
        <v/>
      </c>
    </row>
    <row r="1000">
      <c r="D1000">
        <f>AutoClaim_Data!A1000</f>
        <v/>
      </c>
      <c r="E1000">
        <f>AutoClaim_Data!B1000</f>
        <v/>
      </c>
      <c r="F1000">
        <f>AutoClaim_Data!C1000</f>
        <v/>
      </c>
      <c r="G1000">
        <f>IF(AutoClaim_Data!D1000&lt;=$B$2,AVERAGEIFS(AutoClaim_Data!C2:C3168,AutoClaim_Data!B2:B3168,"Train",AutoClaim_Data!D2:D3168,"&lt;="&amp;$B$2),AVERAGEIFS(AutoClaim_Data!C2:C3168,AutoClaim_Data!B2:B3168,"Train",AutoClaim_Data!D2:D3168,"&gt;"&amp;$B$2))</f>
        <v/>
      </c>
      <c r="H1000">
        <f>IF(AutoClaim_Data!D1000&lt;=$B$2,IF(AutoClaim_Data!E1000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0">
        <f>(F1000-H1000)^2</f>
        <v/>
      </c>
      <c r="J1000">
        <f>--(E1000="Validation")</f>
        <v/>
      </c>
    </row>
    <row r="1001">
      <c r="D1001">
        <f>AutoClaim_Data!A1001</f>
        <v/>
      </c>
      <c r="E1001">
        <f>AutoClaim_Data!B1001</f>
        <v/>
      </c>
      <c r="F1001">
        <f>AutoClaim_Data!C1001</f>
        <v/>
      </c>
      <c r="G1001">
        <f>IF(AutoClaim_Data!D1001&lt;=$B$2,AVERAGEIFS(AutoClaim_Data!C2:C3168,AutoClaim_Data!B2:B3168,"Train",AutoClaim_Data!D2:D3168,"&lt;="&amp;$B$2),AVERAGEIFS(AutoClaim_Data!C2:C3168,AutoClaim_Data!B2:B3168,"Train",AutoClaim_Data!D2:D3168,"&gt;"&amp;$B$2))</f>
        <v/>
      </c>
      <c r="H1001">
        <f>IF(AutoClaim_Data!D1001&lt;=$B$2,IF(AutoClaim_Data!E1001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1">
        <f>(F1001-H1001)^2</f>
        <v/>
      </c>
      <c r="J1001">
        <f>--(E1001="Validation")</f>
        <v/>
      </c>
    </row>
    <row r="1002">
      <c r="D1002">
        <f>AutoClaim_Data!A1002</f>
        <v/>
      </c>
      <c r="E1002">
        <f>AutoClaim_Data!B1002</f>
        <v/>
      </c>
      <c r="F1002">
        <f>AutoClaim_Data!C1002</f>
        <v/>
      </c>
      <c r="G1002">
        <f>IF(AutoClaim_Data!D1002&lt;=$B$2,AVERAGEIFS(AutoClaim_Data!C2:C3168,AutoClaim_Data!B2:B3168,"Train",AutoClaim_Data!D2:D3168,"&lt;="&amp;$B$2),AVERAGEIFS(AutoClaim_Data!C2:C3168,AutoClaim_Data!B2:B3168,"Train",AutoClaim_Data!D2:D3168,"&gt;"&amp;$B$2))</f>
        <v/>
      </c>
      <c r="H1002">
        <f>IF(AutoClaim_Data!D1002&lt;=$B$2,IF(AutoClaim_Data!E1002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2">
        <f>(F1002-H1002)^2</f>
        <v/>
      </c>
      <c r="J1002">
        <f>--(E1002="Validation")</f>
        <v/>
      </c>
    </row>
    <row r="1003">
      <c r="D1003">
        <f>AutoClaim_Data!A1003</f>
        <v/>
      </c>
      <c r="E1003">
        <f>AutoClaim_Data!B1003</f>
        <v/>
      </c>
      <c r="F1003">
        <f>AutoClaim_Data!C1003</f>
        <v/>
      </c>
      <c r="G1003">
        <f>IF(AutoClaim_Data!D1003&lt;=$B$2,AVERAGEIFS(AutoClaim_Data!C2:C3168,AutoClaim_Data!B2:B3168,"Train",AutoClaim_Data!D2:D3168,"&lt;="&amp;$B$2),AVERAGEIFS(AutoClaim_Data!C2:C3168,AutoClaim_Data!B2:B3168,"Train",AutoClaim_Data!D2:D3168,"&gt;"&amp;$B$2))</f>
        <v/>
      </c>
      <c r="H1003">
        <f>IF(AutoClaim_Data!D1003&lt;=$B$2,IF(AutoClaim_Data!E1003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3">
        <f>(F1003-H1003)^2</f>
        <v/>
      </c>
      <c r="J1003">
        <f>--(E1003="Validation")</f>
        <v/>
      </c>
    </row>
    <row r="1004">
      <c r="D1004">
        <f>AutoClaim_Data!A1004</f>
        <v/>
      </c>
      <c r="E1004">
        <f>AutoClaim_Data!B1004</f>
        <v/>
      </c>
      <c r="F1004">
        <f>AutoClaim_Data!C1004</f>
        <v/>
      </c>
      <c r="G1004">
        <f>IF(AutoClaim_Data!D1004&lt;=$B$2,AVERAGEIFS(AutoClaim_Data!C2:C3168,AutoClaim_Data!B2:B3168,"Train",AutoClaim_Data!D2:D3168,"&lt;="&amp;$B$2),AVERAGEIFS(AutoClaim_Data!C2:C3168,AutoClaim_Data!B2:B3168,"Train",AutoClaim_Data!D2:D3168,"&gt;"&amp;$B$2))</f>
        <v/>
      </c>
      <c r="H1004">
        <f>IF(AutoClaim_Data!D1004&lt;=$B$2,IF(AutoClaim_Data!E1004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4">
        <f>(F1004-H1004)^2</f>
        <v/>
      </c>
      <c r="J1004">
        <f>--(E1004="Validation")</f>
        <v/>
      </c>
    </row>
    <row r="1005">
      <c r="D1005">
        <f>AutoClaim_Data!A1005</f>
        <v/>
      </c>
      <c r="E1005">
        <f>AutoClaim_Data!B1005</f>
        <v/>
      </c>
      <c r="F1005">
        <f>AutoClaim_Data!C1005</f>
        <v/>
      </c>
      <c r="G1005">
        <f>IF(AutoClaim_Data!D1005&lt;=$B$2,AVERAGEIFS(AutoClaim_Data!C2:C3168,AutoClaim_Data!B2:B3168,"Train",AutoClaim_Data!D2:D3168,"&lt;="&amp;$B$2),AVERAGEIFS(AutoClaim_Data!C2:C3168,AutoClaim_Data!B2:B3168,"Train",AutoClaim_Data!D2:D3168,"&gt;"&amp;$B$2))</f>
        <v/>
      </c>
      <c r="H1005">
        <f>IF(AutoClaim_Data!D1005&lt;=$B$2,IF(AutoClaim_Data!E1005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5">
        <f>(F1005-H1005)^2</f>
        <v/>
      </c>
      <c r="J1005">
        <f>--(E1005="Validation")</f>
        <v/>
      </c>
    </row>
    <row r="1006">
      <c r="D1006">
        <f>AutoClaim_Data!A1006</f>
        <v/>
      </c>
      <c r="E1006">
        <f>AutoClaim_Data!B1006</f>
        <v/>
      </c>
      <c r="F1006">
        <f>AutoClaim_Data!C1006</f>
        <v/>
      </c>
      <c r="G1006">
        <f>IF(AutoClaim_Data!D1006&lt;=$B$2,AVERAGEIFS(AutoClaim_Data!C2:C3168,AutoClaim_Data!B2:B3168,"Train",AutoClaim_Data!D2:D3168,"&lt;="&amp;$B$2),AVERAGEIFS(AutoClaim_Data!C2:C3168,AutoClaim_Data!B2:B3168,"Train",AutoClaim_Data!D2:D3168,"&gt;"&amp;$B$2))</f>
        <v/>
      </c>
      <c r="H1006">
        <f>IF(AutoClaim_Data!D1006&lt;=$B$2,IF(AutoClaim_Data!E1006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6">
        <f>(F1006-H1006)^2</f>
        <v/>
      </c>
      <c r="J1006">
        <f>--(E1006="Validation")</f>
        <v/>
      </c>
    </row>
    <row r="1007">
      <c r="D1007">
        <f>AutoClaim_Data!A1007</f>
        <v/>
      </c>
      <c r="E1007">
        <f>AutoClaim_Data!B1007</f>
        <v/>
      </c>
      <c r="F1007">
        <f>AutoClaim_Data!C1007</f>
        <v/>
      </c>
      <c r="G1007">
        <f>IF(AutoClaim_Data!D1007&lt;=$B$2,AVERAGEIFS(AutoClaim_Data!C2:C3168,AutoClaim_Data!B2:B3168,"Train",AutoClaim_Data!D2:D3168,"&lt;="&amp;$B$2),AVERAGEIFS(AutoClaim_Data!C2:C3168,AutoClaim_Data!B2:B3168,"Train",AutoClaim_Data!D2:D3168,"&gt;"&amp;$B$2))</f>
        <v/>
      </c>
      <c r="H1007">
        <f>IF(AutoClaim_Data!D1007&lt;=$B$2,IF(AutoClaim_Data!E1007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7">
        <f>(F1007-H1007)^2</f>
        <v/>
      </c>
      <c r="J1007">
        <f>--(E1007="Validation")</f>
        <v/>
      </c>
    </row>
    <row r="1008">
      <c r="D1008">
        <f>AutoClaim_Data!A1008</f>
        <v/>
      </c>
      <c r="E1008">
        <f>AutoClaim_Data!B1008</f>
        <v/>
      </c>
      <c r="F1008">
        <f>AutoClaim_Data!C1008</f>
        <v/>
      </c>
      <c r="G1008">
        <f>IF(AutoClaim_Data!D1008&lt;=$B$2,AVERAGEIFS(AutoClaim_Data!C2:C3168,AutoClaim_Data!B2:B3168,"Train",AutoClaim_Data!D2:D3168,"&lt;="&amp;$B$2),AVERAGEIFS(AutoClaim_Data!C2:C3168,AutoClaim_Data!B2:B3168,"Train",AutoClaim_Data!D2:D3168,"&gt;"&amp;$B$2))</f>
        <v/>
      </c>
      <c r="H1008">
        <f>IF(AutoClaim_Data!D1008&lt;=$B$2,IF(AutoClaim_Data!E1008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8">
        <f>(F1008-H1008)^2</f>
        <v/>
      </c>
      <c r="J1008">
        <f>--(E1008="Validation")</f>
        <v/>
      </c>
    </row>
    <row r="1009">
      <c r="D1009">
        <f>AutoClaim_Data!A1009</f>
        <v/>
      </c>
      <c r="E1009">
        <f>AutoClaim_Data!B1009</f>
        <v/>
      </c>
      <c r="F1009">
        <f>AutoClaim_Data!C1009</f>
        <v/>
      </c>
      <c r="G1009">
        <f>IF(AutoClaim_Data!D1009&lt;=$B$2,AVERAGEIFS(AutoClaim_Data!C2:C3168,AutoClaim_Data!B2:B3168,"Train",AutoClaim_Data!D2:D3168,"&lt;="&amp;$B$2),AVERAGEIFS(AutoClaim_Data!C2:C3168,AutoClaim_Data!B2:B3168,"Train",AutoClaim_Data!D2:D3168,"&gt;"&amp;$B$2))</f>
        <v/>
      </c>
      <c r="H1009">
        <f>IF(AutoClaim_Data!D1009&lt;=$B$2,IF(AutoClaim_Data!E1009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09">
        <f>(F1009-H1009)^2</f>
        <v/>
      </c>
      <c r="J1009">
        <f>--(E1009="Validation")</f>
        <v/>
      </c>
    </row>
    <row r="1010">
      <c r="D1010">
        <f>AutoClaim_Data!A1010</f>
        <v/>
      </c>
      <c r="E1010">
        <f>AutoClaim_Data!B1010</f>
        <v/>
      </c>
      <c r="F1010">
        <f>AutoClaim_Data!C1010</f>
        <v/>
      </c>
      <c r="G1010">
        <f>IF(AutoClaim_Data!D1010&lt;=$B$2,AVERAGEIFS(AutoClaim_Data!C2:C3168,AutoClaim_Data!B2:B3168,"Train",AutoClaim_Data!D2:D3168,"&lt;="&amp;$B$2),AVERAGEIFS(AutoClaim_Data!C2:C3168,AutoClaim_Data!B2:B3168,"Train",AutoClaim_Data!D2:D3168,"&gt;"&amp;$B$2))</f>
        <v/>
      </c>
      <c r="H1010">
        <f>IF(AutoClaim_Data!D1010&lt;=$B$2,IF(AutoClaim_Data!E1010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0">
        <f>(F1010-H1010)^2</f>
        <v/>
      </c>
      <c r="J1010">
        <f>--(E1010="Validation")</f>
        <v/>
      </c>
    </row>
    <row r="1011">
      <c r="D1011">
        <f>AutoClaim_Data!A1011</f>
        <v/>
      </c>
      <c r="E1011">
        <f>AutoClaim_Data!B1011</f>
        <v/>
      </c>
      <c r="F1011">
        <f>AutoClaim_Data!C1011</f>
        <v/>
      </c>
      <c r="G1011">
        <f>IF(AutoClaim_Data!D1011&lt;=$B$2,AVERAGEIFS(AutoClaim_Data!C2:C3168,AutoClaim_Data!B2:B3168,"Train",AutoClaim_Data!D2:D3168,"&lt;="&amp;$B$2),AVERAGEIFS(AutoClaim_Data!C2:C3168,AutoClaim_Data!B2:B3168,"Train",AutoClaim_Data!D2:D3168,"&gt;"&amp;$B$2))</f>
        <v/>
      </c>
      <c r="H1011">
        <f>IF(AutoClaim_Data!D1011&lt;=$B$2,IF(AutoClaim_Data!E1011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1">
        <f>(F1011-H1011)^2</f>
        <v/>
      </c>
      <c r="J1011">
        <f>--(E1011="Validation")</f>
        <v/>
      </c>
    </row>
    <row r="1012">
      <c r="D1012">
        <f>AutoClaim_Data!A1012</f>
        <v/>
      </c>
      <c r="E1012">
        <f>AutoClaim_Data!B1012</f>
        <v/>
      </c>
      <c r="F1012">
        <f>AutoClaim_Data!C1012</f>
        <v/>
      </c>
      <c r="G1012">
        <f>IF(AutoClaim_Data!D1012&lt;=$B$2,AVERAGEIFS(AutoClaim_Data!C2:C3168,AutoClaim_Data!B2:B3168,"Train",AutoClaim_Data!D2:D3168,"&lt;="&amp;$B$2),AVERAGEIFS(AutoClaim_Data!C2:C3168,AutoClaim_Data!B2:B3168,"Train",AutoClaim_Data!D2:D3168,"&gt;"&amp;$B$2))</f>
        <v/>
      </c>
      <c r="H1012">
        <f>IF(AutoClaim_Data!D1012&lt;=$B$2,IF(AutoClaim_Data!E1012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2">
        <f>(F1012-H1012)^2</f>
        <v/>
      </c>
      <c r="J1012">
        <f>--(E1012="Validation")</f>
        <v/>
      </c>
    </row>
    <row r="1013">
      <c r="D1013">
        <f>AutoClaim_Data!A1013</f>
        <v/>
      </c>
      <c r="E1013">
        <f>AutoClaim_Data!B1013</f>
        <v/>
      </c>
      <c r="F1013">
        <f>AutoClaim_Data!C1013</f>
        <v/>
      </c>
      <c r="G1013">
        <f>IF(AutoClaim_Data!D1013&lt;=$B$2,AVERAGEIFS(AutoClaim_Data!C2:C3168,AutoClaim_Data!B2:B3168,"Train",AutoClaim_Data!D2:D3168,"&lt;="&amp;$B$2),AVERAGEIFS(AutoClaim_Data!C2:C3168,AutoClaim_Data!B2:B3168,"Train",AutoClaim_Data!D2:D3168,"&gt;"&amp;$B$2))</f>
        <v/>
      </c>
      <c r="H1013">
        <f>IF(AutoClaim_Data!D1013&lt;=$B$2,IF(AutoClaim_Data!E1013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3">
        <f>(F1013-H1013)^2</f>
        <v/>
      </c>
      <c r="J1013">
        <f>--(E1013="Validation")</f>
        <v/>
      </c>
    </row>
    <row r="1014">
      <c r="D1014">
        <f>AutoClaim_Data!A1014</f>
        <v/>
      </c>
      <c r="E1014">
        <f>AutoClaim_Data!B1014</f>
        <v/>
      </c>
      <c r="F1014">
        <f>AutoClaim_Data!C1014</f>
        <v/>
      </c>
      <c r="G1014">
        <f>IF(AutoClaim_Data!D1014&lt;=$B$2,AVERAGEIFS(AutoClaim_Data!C2:C3168,AutoClaim_Data!B2:B3168,"Train",AutoClaim_Data!D2:D3168,"&lt;="&amp;$B$2),AVERAGEIFS(AutoClaim_Data!C2:C3168,AutoClaim_Data!B2:B3168,"Train",AutoClaim_Data!D2:D3168,"&gt;"&amp;$B$2))</f>
        <v/>
      </c>
      <c r="H1014">
        <f>IF(AutoClaim_Data!D1014&lt;=$B$2,IF(AutoClaim_Data!E1014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4">
        <f>(F1014-H1014)^2</f>
        <v/>
      </c>
      <c r="J1014">
        <f>--(E1014="Validation")</f>
        <v/>
      </c>
    </row>
    <row r="1015">
      <c r="D1015">
        <f>AutoClaim_Data!A1015</f>
        <v/>
      </c>
      <c r="E1015">
        <f>AutoClaim_Data!B1015</f>
        <v/>
      </c>
      <c r="F1015">
        <f>AutoClaim_Data!C1015</f>
        <v/>
      </c>
      <c r="G1015">
        <f>IF(AutoClaim_Data!D1015&lt;=$B$2,AVERAGEIFS(AutoClaim_Data!C2:C3168,AutoClaim_Data!B2:B3168,"Train",AutoClaim_Data!D2:D3168,"&lt;="&amp;$B$2),AVERAGEIFS(AutoClaim_Data!C2:C3168,AutoClaim_Data!B2:B3168,"Train",AutoClaim_Data!D2:D3168,"&gt;"&amp;$B$2))</f>
        <v/>
      </c>
      <c r="H1015">
        <f>IF(AutoClaim_Data!D1015&lt;=$B$2,IF(AutoClaim_Data!E1015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5">
        <f>(F1015-H1015)^2</f>
        <v/>
      </c>
      <c r="J1015">
        <f>--(E1015="Validation")</f>
        <v/>
      </c>
    </row>
    <row r="1016">
      <c r="D1016">
        <f>AutoClaim_Data!A1016</f>
        <v/>
      </c>
      <c r="E1016">
        <f>AutoClaim_Data!B1016</f>
        <v/>
      </c>
      <c r="F1016">
        <f>AutoClaim_Data!C1016</f>
        <v/>
      </c>
      <c r="G1016">
        <f>IF(AutoClaim_Data!D1016&lt;=$B$2,AVERAGEIFS(AutoClaim_Data!C2:C3168,AutoClaim_Data!B2:B3168,"Train",AutoClaim_Data!D2:D3168,"&lt;="&amp;$B$2),AVERAGEIFS(AutoClaim_Data!C2:C3168,AutoClaim_Data!B2:B3168,"Train",AutoClaim_Data!D2:D3168,"&gt;"&amp;$B$2))</f>
        <v/>
      </c>
      <c r="H1016">
        <f>IF(AutoClaim_Data!D1016&lt;=$B$2,IF(AutoClaim_Data!E1016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6">
        <f>(F1016-H1016)^2</f>
        <v/>
      </c>
      <c r="J1016">
        <f>--(E1016="Validation")</f>
        <v/>
      </c>
    </row>
    <row r="1017">
      <c r="D1017">
        <f>AutoClaim_Data!A1017</f>
        <v/>
      </c>
      <c r="E1017">
        <f>AutoClaim_Data!B1017</f>
        <v/>
      </c>
      <c r="F1017">
        <f>AutoClaim_Data!C1017</f>
        <v/>
      </c>
      <c r="G1017">
        <f>IF(AutoClaim_Data!D1017&lt;=$B$2,AVERAGEIFS(AutoClaim_Data!C2:C3168,AutoClaim_Data!B2:B3168,"Train",AutoClaim_Data!D2:D3168,"&lt;="&amp;$B$2),AVERAGEIFS(AutoClaim_Data!C2:C3168,AutoClaim_Data!B2:B3168,"Train",AutoClaim_Data!D2:D3168,"&gt;"&amp;$B$2))</f>
        <v/>
      </c>
      <c r="H1017">
        <f>IF(AutoClaim_Data!D1017&lt;=$B$2,IF(AutoClaim_Data!E1017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7">
        <f>(F1017-H1017)^2</f>
        <v/>
      </c>
      <c r="J1017">
        <f>--(E1017="Validation")</f>
        <v/>
      </c>
    </row>
    <row r="1018">
      <c r="D1018">
        <f>AutoClaim_Data!A1018</f>
        <v/>
      </c>
      <c r="E1018">
        <f>AutoClaim_Data!B1018</f>
        <v/>
      </c>
      <c r="F1018">
        <f>AutoClaim_Data!C1018</f>
        <v/>
      </c>
      <c r="G1018">
        <f>IF(AutoClaim_Data!D1018&lt;=$B$2,AVERAGEIFS(AutoClaim_Data!C2:C3168,AutoClaim_Data!B2:B3168,"Train",AutoClaim_Data!D2:D3168,"&lt;="&amp;$B$2),AVERAGEIFS(AutoClaim_Data!C2:C3168,AutoClaim_Data!B2:B3168,"Train",AutoClaim_Data!D2:D3168,"&gt;"&amp;$B$2))</f>
        <v/>
      </c>
      <c r="H1018">
        <f>IF(AutoClaim_Data!D1018&lt;=$B$2,IF(AutoClaim_Data!E1018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8">
        <f>(F1018-H1018)^2</f>
        <v/>
      </c>
      <c r="J1018">
        <f>--(E1018="Validation")</f>
        <v/>
      </c>
    </row>
    <row r="1019">
      <c r="D1019">
        <f>AutoClaim_Data!A1019</f>
        <v/>
      </c>
      <c r="E1019">
        <f>AutoClaim_Data!B1019</f>
        <v/>
      </c>
      <c r="F1019">
        <f>AutoClaim_Data!C1019</f>
        <v/>
      </c>
      <c r="G1019">
        <f>IF(AutoClaim_Data!D1019&lt;=$B$2,AVERAGEIFS(AutoClaim_Data!C2:C3168,AutoClaim_Data!B2:B3168,"Train",AutoClaim_Data!D2:D3168,"&lt;="&amp;$B$2),AVERAGEIFS(AutoClaim_Data!C2:C3168,AutoClaim_Data!B2:B3168,"Train",AutoClaim_Data!D2:D3168,"&gt;"&amp;$B$2))</f>
        <v/>
      </c>
      <c r="H1019">
        <f>IF(AutoClaim_Data!D1019&lt;=$B$2,IF(AutoClaim_Data!E1019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19">
        <f>(F1019-H1019)^2</f>
        <v/>
      </c>
      <c r="J1019">
        <f>--(E1019="Validation")</f>
        <v/>
      </c>
    </row>
    <row r="1020">
      <c r="D1020">
        <f>AutoClaim_Data!A1020</f>
        <v/>
      </c>
      <c r="E1020">
        <f>AutoClaim_Data!B1020</f>
        <v/>
      </c>
      <c r="F1020">
        <f>AutoClaim_Data!C1020</f>
        <v/>
      </c>
      <c r="G1020">
        <f>IF(AutoClaim_Data!D1020&lt;=$B$2,AVERAGEIFS(AutoClaim_Data!C2:C3168,AutoClaim_Data!B2:B3168,"Train",AutoClaim_Data!D2:D3168,"&lt;="&amp;$B$2),AVERAGEIFS(AutoClaim_Data!C2:C3168,AutoClaim_Data!B2:B3168,"Train",AutoClaim_Data!D2:D3168,"&gt;"&amp;$B$2))</f>
        <v/>
      </c>
      <c r="H1020">
        <f>IF(AutoClaim_Data!D1020&lt;=$B$2,IF(AutoClaim_Data!E1020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0">
        <f>(F1020-H1020)^2</f>
        <v/>
      </c>
      <c r="J1020">
        <f>--(E1020="Validation")</f>
        <v/>
      </c>
    </row>
    <row r="1021">
      <c r="D1021">
        <f>AutoClaim_Data!A1021</f>
        <v/>
      </c>
      <c r="E1021">
        <f>AutoClaim_Data!B1021</f>
        <v/>
      </c>
      <c r="F1021">
        <f>AutoClaim_Data!C1021</f>
        <v/>
      </c>
      <c r="G1021">
        <f>IF(AutoClaim_Data!D1021&lt;=$B$2,AVERAGEIFS(AutoClaim_Data!C2:C3168,AutoClaim_Data!B2:B3168,"Train",AutoClaim_Data!D2:D3168,"&lt;="&amp;$B$2),AVERAGEIFS(AutoClaim_Data!C2:C3168,AutoClaim_Data!B2:B3168,"Train",AutoClaim_Data!D2:D3168,"&gt;"&amp;$B$2))</f>
        <v/>
      </c>
      <c r="H1021">
        <f>IF(AutoClaim_Data!D1021&lt;=$B$2,IF(AutoClaim_Data!E1021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1">
        <f>(F1021-H1021)^2</f>
        <v/>
      </c>
      <c r="J1021">
        <f>--(E1021="Validation")</f>
        <v/>
      </c>
    </row>
    <row r="1022">
      <c r="D1022">
        <f>AutoClaim_Data!A1022</f>
        <v/>
      </c>
      <c r="E1022">
        <f>AutoClaim_Data!B1022</f>
        <v/>
      </c>
      <c r="F1022">
        <f>AutoClaim_Data!C1022</f>
        <v/>
      </c>
      <c r="G1022">
        <f>IF(AutoClaim_Data!D1022&lt;=$B$2,AVERAGEIFS(AutoClaim_Data!C2:C3168,AutoClaim_Data!B2:B3168,"Train",AutoClaim_Data!D2:D3168,"&lt;="&amp;$B$2),AVERAGEIFS(AutoClaim_Data!C2:C3168,AutoClaim_Data!B2:B3168,"Train",AutoClaim_Data!D2:D3168,"&gt;"&amp;$B$2))</f>
        <v/>
      </c>
      <c r="H1022">
        <f>IF(AutoClaim_Data!D1022&lt;=$B$2,IF(AutoClaim_Data!E1022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2">
        <f>(F1022-H1022)^2</f>
        <v/>
      </c>
      <c r="J1022">
        <f>--(E1022="Validation")</f>
        <v/>
      </c>
    </row>
    <row r="1023">
      <c r="D1023">
        <f>AutoClaim_Data!A1023</f>
        <v/>
      </c>
      <c r="E1023">
        <f>AutoClaim_Data!B1023</f>
        <v/>
      </c>
      <c r="F1023">
        <f>AutoClaim_Data!C1023</f>
        <v/>
      </c>
      <c r="G1023">
        <f>IF(AutoClaim_Data!D1023&lt;=$B$2,AVERAGEIFS(AutoClaim_Data!C2:C3168,AutoClaim_Data!B2:B3168,"Train",AutoClaim_Data!D2:D3168,"&lt;="&amp;$B$2),AVERAGEIFS(AutoClaim_Data!C2:C3168,AutoClaim_Data!B2:B3168,"Train",AutoClaim_Data!D2:D3168,"&gt;"&amp;$B$2))</f>
        <v/>
      </c>
      <c r="H1023">
        <f>IF(AutoClaim_Data!D1023&lt;=$B$2,IF(AutoClaim_Data!E1023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3">
        <f>(F1023-H1023)^2</f>
        <v/>
      </c>
      <c r="J1023">
        <f>--(E1023="Validation")</f>
        <v/>
      </c>
    </row>
    <row r="1024">
      <c r="D1024">
        <f>AutoClaim_Data!A1024</f>
        <v/>
      </c>
      <c r="E1024">
        <f>AutoClaim_Data!B1024</f>
        <v/>
      </c>
      <c r="F1024">
        <f>AutoClaim_Data!C1024</f>
        <v/>
      </c>
      <c r="G1024">
        <f>IF(AutoClaim_Data!D1024&lt;=$B$2,AVERAGEIFS(AutoClaim_Data!C2:C3168,AutoClaim_Data!B2:B3168,"Train",AutoClaim_Data!D2:D3168,"&lt;="&amp;$B$2),AVERAGEIFS(AutoClaim_Data!C2:C3168,AutoClaim_Data!B2:B3168,"Train",AutoClaim_Data!D2:D3168,"&gt;"&amp;$B$2))</f>
        <v/>
      </c>
      <c r="H1024">
        <f>IF(AutoClaim_Data!D1024&lt;=$B$2,IF(AutoClaim_Data!E1024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4">
        <f>(F1024-H1024)^2</f>
        <v/>
      </c>
      <c r="J1024">
        <f>--(E1024="Validation")</f>
        <v/>
      </c>
    </row>
    <row r="1025">
      <c r="D1025">
        <f>AutoClaim_Data!A1025</f>
        <v/>
      </c>
      <c r="E1025">
        <f>AutoClaim_Data!B1025</f>
        <v/>
      </c>
      <c r="F1025">
        <f>AutoClaim_Data!C1025</f>
        <v/>
      </c>
      <c r="G1025">
        <f>IF(AutoClaim_Data!D1025&lt;=$B$2,AVERAGEIFS(AutoClaim_Data!C2:C3168,AutoClaim_Data!B2:B3168,"Train",AutoClaim_Data!D2:D3168,"&lt;="&amp;$B$2),AVERAGEIFS(AutoClaim_Data!C2:C3168,AutoClaim_Data!B2:B3168,"Train",AutoClaim_Data!D2:D3168,"&gt;"&amp;$B$2))</f>
        <v/>
      </c>
      <c r="H1025">
        <f>IF(AutoClaim_Data!D1025&lt;=$B$2,IF(AutoClaim_Data!E1025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5">
        <f>(F1025-H1025)^2</f>
        <v/>
      </c>
      <c r="J1025">
        <f>--(E1025="Validation")</f>
        <v/>
      </c>
    </row>
    <row r="1026">
      <c r="D1026">
        <f>AutoClaim_Data!A1026</f>
        <v/>
      </c>
      <c r="E1026">
        <f>AutoClaim_Data!B1026</f>
        <v/>
      </c>
      <c r="F1026">
        <f>AutoClaim_Data!C1026</f>
        <v/>
      </c>
      <c r="G1026">
        <f>IF(AutoClaim_Data!D1026&lt;=$B$2,AVERAGEIFS(AutoClaim_Data!C2:C3168,AutoClaim_Data!B2:B3168,"Train",AutoClaim_Data!D2:D3168,"&lt;="&amp;$B$2),AVERAGEIFS(AutoClaim_Data!C2:C3168,AutoClaim_Data!B2:B3168,"Train",AutoClaim_Data!D2:D3168,"&gt;"&amp;$B$2))</f>
        <v/>
      </c>
      <c r="H1026">
        <f>IF(AutoClaim_Data!D1026&lt;=$B$2,IF(AutoClaim_Data!E1026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6">
        <f>(F1026-H1026)^2</f>
        <v/>
      </c>
      <c r="J1026">
        <f>--(E1026="Validation")</f>
        <v/>
      </c>
    </row>
    <row r="1027">
      <c r="D1027">
        <f>AutoClaim_Data!A1027</f>
        <v/>
      </c>
      <c r="E1027">
        <f>AutoClaim_Data!B1027</f>
        <v/>
      </c>
      <c r="F1027">
        <f>AutoClaim_Data!C1027</f>
        <v/>
      </c>
      <c r="G1027">
        <f>IF(AutoClaim_Data!D1027&lt;=$B$2,AVERAGEIFS(AutoClaim_Data!C2:C3168,AutoClaim_Data!B2:B3168,"Train",AutoClaim_Data!D2:D3168,"&lt;="&amp;$B$2),AVERAGEIFS(AutoClaim_Data!C2:C3168,AutoClaim_Data!B2:B3168,"Train",AutoClaim_Data!D2:D3168,"&gt;"&amp;$B$2))</f>
        <v/>
      </c>
      <c r="H1027">
        <f>IF(AutoClaim_Data!D1027&lt;=$B$2,IF(AutoClaim_Data!E1027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7">
        <f>(F1027-H1027)^2</f>
        <v/>
      </c>
      <c r="J1027">
        <f>--(E1027="Validation")</f>
        <v/>
      </c>
    </row>
    <row r="1028">
      <c r="D1028">
        <f>AutoClaim_Data!A1028</f>
        <v/>
      </c>
      <c r="E1028">
        <f>AutoClaim_Data!B1028</f>
        <v/>
      </c>
      <c r="F1028">
        <f>AutoClaim_Data!C1028</f>
        <v/>
      </c>
      <c r="G1028">
        <f>IF(AutoClaim_Data!D1028&lt;=$B$2,AVERAGEIFS(AutoClaim_Data!C2:C3168,AutoClaim_Data!B2:B3168,"Train",AutoClaim_Data!D2:D3168,"&lt;="&amp;$B$2),AVERAGEIFS(AutoClaim_Data!C2:C3168,AutoClaim_Data!B2:B3168,"Train",AutoClaim_Data!D2:D3168,"&gt;"&amp;$B$2))</f>
        <v/>
      </c>
      <c r="H1028">
        <f>IF(AutoClaim_Data!D1028&lt;=$B$2,IF(AutoClaim_Data!E1028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8">
        <f>(F1028-H1028)^2</f>
        <v/>
      </c>
      <c r="J1028">
        <f>--(E1028="Validation")</f>
        <v/>
      </c>
    </row>
    <row r="1029">
      <c r="D1029">
        <f>AutoClaim_Data!A1029</f>
        <v/>
      </c>
      <c r="E1029">
        <f>AutoClaim_Data!B1029</f>
        <v/>
      </c>
      <c r="F1029">
        <f>AutoClaim_Data!C1029</f>
        <v/>
      </c>
      <c r="G1029">
        <f>IF(AutoClaim_Data!D1029&lt;=$B$2,AVERAGEIFS(AutoClaim_Data!C2:C3168,AutoClaim_Data!B2:B3168,"Train",AutoClaim_Data!D2:D3168,"&lt;="&amp;$B$2),AVERAGEIFS(AutoClaim_Data!C2:C3168,AutoClaim_Data!B2:B3168,"Train",AutoClaim_Data!D2:D3168,"&gt;"&amp;$B$2))</f>
        <v/>
      </c>
      <c r="H1029">
        <f>IF(AutoClaim_Data!D1029&lt;=$B$2,IF(AutoClaim_Data!E1029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29">
        <f>(F1029-H1029)^2</f>
        <v/>
      </c>
      <c r="J1029">
        <f>--(E1029="Validation")</f>
        <v/>
      </c>
    </row>
    <row r="1030">
      <c r="D1030">
        <f>AutoClaim_Data!A1030</f>
        <v/>
      </c>
      <c r="E1030">
        <f>AutoClaim_Data!B1030</f>
        <v/>
      </c>
      <c r="F1030">
        <f>AutoClaim_Data!C1030</f>
        <v/>
      </c>
      <c r="G1030">
        <f>IF(AutoClaim_Data!D1030&lt;=$B$2,AVERAGEIFS(AutoClaim_Data!C2:C3168,AutoClaim_Data!B2:B3168,"Train",AutoClaim_Data!D2:D3168,"&lt;="&amp;$B$2),AVERAGEIFS(AutoClaim_Data!C2:C3168,AutoClaim_Data!B2:B3168,"Train",AutoClaim_Data!D2:D3168,"&gt;"&amp;$B$2))</f>
        <v/>
      </c>
      <c r="H1030">
        <f>IF(AutoClaim_Data!D1030&lt;=$B$2,IF(AutoClaim_Data!E1030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0">
        <f>(F1030-H1030)^2</f>
        <v/>
      </c>
      <c r="J1030">
        <f>--(E1030="Validation")</f>
        <v/>
      </c>
    </row>
    <row r="1031">
      <c r="D1031">
        <f>AutoClaim_Data!A1031</f>
        <v/>
      </c>
      <c r="E1031">
        <f>AutoClaim_Data!B1031</f>
        <v/>
      </c>
      <c r="F1031">
        <f>AutoClaim_Data!C1031</f>
        <v/>
      </c>
      <c r="G1031">
        <f>IF(AutoClaim_Data!D1031&lt;=$B$2,AVERAGEIFS(AutoClaim_Data!C2:C3168,AutoClaim_Data!B2:B3168,"Train",AutoClaim_Data!D2:D3168,"&lt;="&amp;$B$2),AVERAGEIFS(AutoClaim_Data!C2:C3168,AutoClaim_Data!B2:B3168,"Train",AutoClaim_Data!D2:D3168,"&gt;"&amp;$B$2))</f>
        <v/>
      </c>
      <c r="H1031">
        <f>IF(AutoClaim_Data!D1031&lt;=$B$2,IF(AutoClaim_Data!E1031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1">
        <f>(F1031-H1031)^2</f>
        <v/>
      </c>
      <c r="J1031">
        <f>--(E1031="Validation")</f>
        <v/>
      </c>
    </row>
    <row r="1032">
      <c r="D1032">
        <f>AutoClaim_Data!A1032</f>
        <v/>
      </c>
      <c r="E1032">
        <f>AutoClaim_Data!B1032</f>
        <v/>
      </c>
      <c r="F1032">
        <f>AutoClaim_Data!C1032</f>
        <v/>
      </c>
      <c r="G1032">
        <f>IF(AutoClaim_Data!D1032&lt;=$B$2,AVERAGEIFS(AutoClaim_Data!C2:C3168,AutoClaim_Data!B2:B3168,"Train",AutoClaim_Data!D2:D3168,"&lt;="&amp;$B$2),AVERAGEIFS(AutoClaim_Data!C2:C3168,AutoClaim_Data!B2:B3168,"Train",AutoClaim_Data!D2:D3168,"&gt;"&amp;$B$2))</f>
        <v/>
      </c>
      <c r="H1032">
        <f>IF(AutoClaim_Data!D1032&lt;=$B$2,IF(AutoClaim_Data!E1032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2">
        <f>(F1032-H1032)^2</f>
        <v/>
      </c>
      <c r="J1032">
        <f>--(E1032="Validation")</f>
        <v/>
      </c>
    </row>
    <row r="1033">
      <c r="D1033">
        <f>AutoClaim_Data!A1033</f>
        <v/>
      </c>
      <c r="E1033">
        <f>AutoClaim_Data!B1033</f>
        <v/>
      </c>
      <c r="F1033">
        <f>AutoClaim_Data!C1033</f>
        <v/>
      </c>
      <c r="G1033">
        <f>IF(AutoClaim_Data!D1033&lt;=$B$2,AVERAGEIFS(AutoClaim_Data!C2:C3168,AutoClaim_Data!B2:B3168,"Train",AutoClaim_Data!D2:D3168,"&lt;="&amp;$B$2),AVERAGEIFS(AutoClaim_Data!C2:C3168,AutoClaim_Data!B2:B3168,"Train",AutoClaim_Data!D2:D3168,"&gt;"&amp;$B$2))</f>
        <v/>
      </c>
      <c r="H1033">
        <f>IF(AutoClaim_Data!D1033&lt;=$B$2,IF(AutoClaim_Data!E1033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3">
        <f>(F1033-H1033)^2</f>
        <v/>
      </c>
      <c r="J1033">
        <f>--(E1033="Validation")</f>
        <v/>
      </c>
    </row>
    <row r="1034">
      <c r="D1034">
        <f>AutoClaim_Data!A1034</f>
        <v/>
      </c>
      <c r="E1034">
        <f>AutoClaim_Data!B1034</f>
        <v/>
      </c>
      <c r="F1034">
        <f>AutoClaim_Data!C1034</f>
        <v/>
      </c>
      <c r="G1034">
        <f>IF(AutoClaim_Data!D1034&lt;=$B$2,AVERAGEIFS(AutoClaim_Data!C2:C3168,AutoClaim_Data!B2:B3168,"Train",AutoClaim_Data!D2:D3168,"&lt;="&amp;$B$2),AVERAGEIFS(AutoClaim_Data!C2:C3168,AutoClaim_Data!B2:B3168,"Train",AutoClaim_Data!D2:D3168,"&gt;"&amp;$B$2))</f>
        <v/>
      </c>
      <c r="H1034">
        <f>IF(AutoClaim_Data!D1034&lt;=$B$2,IF(AutoClaim_Data!E1034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4">
        <f>(F1034-H1034)^2</f>
        <v/>
      </c>
      <c r="J1034">
        <f>--(E1034="Validation")</f>
        <v/>
      </c>
    </row>
    <row r="1035">
      <c r="D1035">
        <f>AutoClaim_Data!A1035</f>
        <v/>
      </c>
      <c r="E1035">
        <f>AutoClaim_Data!B1035</f>
        <v/>
      </c>
      <c r="F1035">
        <f>AutoClaim_Data!C1035</f>
        <v/>
      </c>
      <c r="G1035">
        <f>IF(AutoClaim_Data!D1035&lt;=$B$2,AVERAGEIFS(AutoClaim_Data!C2:C3168,AutoClaim_Data!B2:B3168,"Train",AutoClaim_Data!D2:D3168,"&lt;="&amp;$B$2),AVERAGEIFS(AutoClaim_Data!C2:C3168,AutoClaim_Data!B2:B3168,"Train",AutoClaim_Data!D2:D3168,"&gt;"&amp;$B$2))</f>
        <v/>
      </c>
      <c r="H1035">
        <f>IF(AutoClaim_Data!D1035&lt;=$B$2,IF(AutoClaim_Data!E1035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5">
        <f>(F1035-H1035)^2</f>
        <v/>
      </c>
      <c r="J1035">
        <f>--(E1035="Validation")</f>
        <v/>
      </c>
    </row>
    <row r="1036">
      <c r="D1036">
        <f>AutoClaim_Data!A1036</f>
        <v/>
      </c>
      <c r="E1036">
        <f>AutoClaim_Data!B1036</f>
        <v/>
      </c>
      <c r="F1036">
        <f>AutoClaim_Data!C1036</f>
        <v/>
      </c>
      <c r="G1036">
        <f>IF(AutoClaim_Data!D1036&lt;=$B$2,AVERAGEIFS(AutoClaim_Data!C2:C3168,AutoClaim_Data!B2:B3168,"Train",AutoClaim_Data!D2:D3168,"&lt;="&amp;$B$2),AVERAGEIFS(AutoClaim_Data!C2:C3168,AutoClaim_Data!B2:B3168,"Train",AutoClaim_Data!D2:D3168,"&gt;"&amp;$B$2))</f>
        <v/>
      </c>
      <c r="H1036">
        <f>IF(AutoClaim_Data!D1036&lt;=$B$2,IF(AutoClaim_Data!E1036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6">
        <f>(F1036-H1036)^2</f>
        <v/>
      </c>
      <c r="J1036">
        <f>--(E1036="Validation")</f>
        <v/>
      </c>
    </row>
    <row r="1037">
      <c r="D1037">
        <f>AutoClaim_Data!A1037</f>
        <v/>
      </c>
      <c r="E1037">
        <f>AutoClaim_Data!B1037</f>
        <v/>
      </c>
      <c r="F1037">
        <f>AutoClaim_Data!C1037</f>
        <v/>
      </c>
      <c r="G1037">
        <f>IF(AutoClaim_Data!D1037&lt;=$B$2,AVERAGEIFS(AutoClaim_Data!C2:C3168,AutoClaim_Data!B2:B3168,"Train",AutoClaim_Data!D2:D3168,"&lt;="&amp;$B$2),AVERAGEIFS(AutoClaim_Data!C2:C3168,AutoClaim_Data!B2:B3168,"Train",AutoClaim_Data!D2:D3168,"&gt;"&amp;$B$2))</f>
        <v/>
      </c>
      <c r="H1037">
        <f>IF(AutoClaim_Data!D1037&lt;=$B$2,IF(AutoClaim_Data!E1037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7">
        <f>(F1037-H1037)^2</f>
        <v/>
      </c>
      <c r="J1037">
        <f>--(E1037="Validation")</f>
        <v/>
      </c>
    </row>
    <row r="1038">
      <c r="D1038">
        <f>AutoClaim_Data!A1038</f>
        <v/>
      </c>
      <c r="E1038">
        <f>AutoClaim_Data!B1038</f>
        <v/>
      </c>
      <c r="F1038">
        <f>AutoClaim_Data!C1038</f>
        <v/>
      </c>
      <c r="G1038">
        <f>IF(AutoClaim_Data!D1038&lt;=$B$2,AVERAGEIFS(AutoClaim_Data!C2:C3168,AutoClaim_Data!B2:B3168,"Train",AutoClaim_Data!D2:D3168,"&lt;="&amp;$B$2),AVERAGEIFS(AutoClaim_Data!C2:C3168,AutoClaim_Data!B2:B3168,"Train",AutoClaim_Data!D2:D3168,"&gt;"&amp;$B$2))</f>
        <v/>
      </c>
      <c r="H1038">
        <f>IF(AutoClaim_Data!D1038&lt;=$B$2,IF(AutoClaim_Data!E1038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8">
        <f>(F1038-H1038)^2</f>
        <v/>
      </c>
      <c r="J1038">
        <f>--(E1038="Validation")</f>
        <v/>
      </c>
    </row>
    <row r="1039">
      <c r="D1039">
        <f>AutoClaim_Data!A1039</f>
        <v/>
      </c>
      <c r="E1039">
        <f>AutoClaim_Data!B1039</f>
        <v/>
      </c>
      <c r="F1039">
        <f>AutoClaim_Data!C1039</f>
        <v/>
      </c>
      <c r="G1039">
        <f>IF(AutoClaim_Data!D1039&lt;=$B$2,AVERAGEIFS(AutoClaim_Data!C2:C3168,AutoClaim_Data!B2:B3168,"Train",AutoClaim_Data!D2:D3168,"&lt;="&amp;$B$2),AVERAGEIFS(AutoClaim_Data!C2:C3168,AutoClaim_Data!B2:B3168,"Train",AutoClaim_Data!D2:D3168,"&gt;"&amp;$B$2))</f>
        <v/>
      </c>
      <c r="H1039">
        <f>IF(AutoClaim_Data!D1039&lt;=$B$2,IF(AutoClaim_Data!E1039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39">
        <f>(F1039-H1039)^2</f>
        <v/>
      </c>
      <c r="J1039">
        <f>--(E1039="Validation")</f>
        <v/>
      </c>
    </row>
    <row r="1040">
      <c r="D1040">
        <f>AutoClaim_Data!A1040</f>
        <v/>
      </c>
      <c r="E1040">
        <f>AutoClaim_Data!B1040</f>
        <v/>
      </c>
      <c r="F1040">
        <f>AutoClaim_Data!C1040</f>
        <v/>
      </c>
      <c r="G1040">
        <f>IF(AutoClaim_Data!D1040&lt;=$B$2,AVERAGEIFS(AutoClaim_Data!C2:C3168,AutoClaim_Data!B2:B3168,"Train",AutoClaim_Data!D2:D3168,"&lt;="&amp;$B$2),AVERAGEIFS(AutoClaim_Data!C2:C3168,AutoClaim_Data!B2:B3168,"Train",AutoClaim_Data!D2:D3168,"&gt;"&amp;$B$2))</f>
        <v/>
      </c>
      <c r="H1040">
        <f>IF(AutoClaim_Data!D1040&lt;=$B$2,IF(AutoClaim_Data!E1040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0">
        <f>(F1040-H1040)^2</f>
        <v/>
      </c>
      <c r="J1040">
        <f>--(E1040="Validation")</f>
        <v/>
      </c>
    </row>
    <row r="1041">
      <c r="D1041">
        <f>AutoClaim_Data!A1041</f>
        <v/>
      </c>
      <c r="E1041">
        <f>AutoClaim_Data!B1041</f>
        <v/>
      </c>
      <c r="F1041">
        <f>AutoClaim_Data!C1041</f>
        <v/>
      </c>
      <c r="G1041">
        <f>IF(AutoClaim_Data!D1041&lt;=$B$2,AVERAGEIFS(AutoClaim_Data!C2:C3168,AutoClaim_Data!B2:B3168,"Train",AutoClaim_Data!D2:D3168,"&lt;="&amp;$B$2),AVERAGEIFS(AutoClaim_Data!C2:C3168,AutoClaim_Data!B2:B3168,"Train",AutoClaim_Data!D2:D3168,"&gt;"&amp;$B$2))</f>
        <v/>
      </c>
      <c r="H1041">
        <f>IF(AutoClaim_Data!D1041&lt;=$B$2,IF(AutoClaim_Data!E1041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1">
        <f>(F1041-H1041)^2</f>
        <v/>
      </c>
      <c r="J1041">
        <f>--(E1041="Validation")</f>
        <v/>
      </c>
    </row>
    <row r="1042">
      <c r="D1042">
        <f>AutoClaim_Data!A1042</f>
        <v/>
      </c>
      <c r="E1042">
        <f>AutoClaim_Data!B1042</f>
        <v/>
      </c>
      <c r="F1042">
        <f>AutoClaim_Data!C1042</f>
        <v/>
      </c>
      <c r="G1042">
        <f>IF(AutoClaim_Data!D1042&lt;=$B$2,AVERAGEIFS(AutoClaim_Data!C2:C3168,AutoClaim_Data!B2:B3168,"Train",AutoClaim_Data!D2:D3168,"&lt;="&amp;$B$2),AVERAGEIFS(AutoClaim_Data!C2:C3168,AutoClaim_Data!B2:B3168,"Train",AutoClaim_Data!D2:D3168,"&gt;"&amp;$B$2))</f>
        <v/>
      </c>
      <c r="H1042">
        <f>IF(AutoClaim_Data!D1042&lt;=$B$2,IF(AutoClaim_Data!E1042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2">
        <f>(F1042-H1042)^2</f>
        <v/>
      </c>
      <c r="J1042">
        <f>--(E1042="Validation")</f>
        <v/>
      </c>
    </row>
    <row r="1043">
      <c r="D1043">
        <f>AutoClaim_Data!A1043</f>
        <v/>
      </c>
      <c r="E1043">
        <f>AutoClaim_Data!B1043</f>
        <v/>
      </c>
      <c r="F1043">
        <f>AutoClaim_Data!C1043</f>
        <v/>
      </c>
      <c r="G1043">
        <f>IF(AutoClaim_Data!D1043&lt;=$B$2,AVERAGEIFS(AutoClaim_Data!C2:C3168,AutoClaim_Data!B2:B3168,"Train",AutoClaim_Data!D2:D3168,"&lt;="&amp;$B$2),AVERAGEIFS(AutoClaim_Data!C2:C3168,AutoClaim_Data!B2:B3168,"Train",AutoClaim_Data!D2:D3168,"&gt;"&amp;$B$2))</f>
        <v/>
      </c>
      <c r="H1043">
        <f>IF(AutoClaim_Data!D1043&lt;=$B$2,IF(AutoClaim_Data!E1043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3">
        <f>(F1043-H1043)^2</f>
        <v/>
      </c>
      <c r="J1043">
        <f>--(E1043="Validation")</f>
        <v/>
      </c>
    </row>
    <row r="1044">
      <c r="D1044">
        <f>AutoClaim_Data!A1044</f>
        <v/>
      </c>
      <c r="E1044">
        <f>AutoClaim_Data!B1044</f>
        <v/>
      </c>
      <c r="F1044">
        <f>AutoClaim_Data!C1044</f>
        <v/>
      </c>
      <c r="G1044">
        <f>IF(AutoClaim_Data!D1044&lt;=$B$2,AVERAGEIFS(AutoClaim_Data!C2:C3168,AutoClaim_Data!B2:B3168,"Train",AutoClaim_Data!D2:D3168,"&lt;="&amp;$B$2),AVERAGEIFS(AutoClaim_Data!C2:C3168,AutoClaim_Data!B2:B3168,"Train",AutoClaim_Data!D2:D3168,"&gt;"&amp;$B$2))</f>
        <v/>
      </c>
      <c r="H1044">
        <f>IF(AutoClaim_Data!D1044&lt;=$B$2,IF(AutoClaim_Data!E1044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4">
        <f>(F1044-H1044)^2</f>
        <v/>
      </c>
      <c r="J1044">
        <f>--(E1044="Validation")</f>
        <v/>
      </c>
    </row>
    <row r="1045">
      <c r="D1045">
        <f>AutoClaim_Data!A1045</f>
        <v/>
      </c>
      <c r="E1045">
        <f>AutoClaim_Data!B1045</f>
        <v/>
      </c>
      <c r="F1045">
        <f>AutoClaim_Data!C1045</f>
        <v/>
      </c>
      <c r="G1045">
        <f>IF(AutoClaim_Data!D1045&lt;=$B$2,AVERAGEIFS(AutoClaim_Data!C2:C3168,AutoClaim_Data!B2:B3168,"Train",AutoClaim_Data!D2:D3168,"&lt;="&amp;$B$2),AVERAGEIFS(AutoClaim_Data!C2:C3168,AutoClaim_Data!B2:B3168,"Train",AutoClaim_Data!D2:D3168,"&gt;"&amp;$B$2))</f>
        <v/>
      </c>
      <c r="H1045">
        <f>IF(AutoClaim_Data!D1045&lt;=$B$2,IF(AutoClaim_Data!E1045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5">
        <f>(F1045-H1045)^2</f>
        <v/>
      </c>
      <c r="J1045">
        <f>--(E1045="Validation")</f>
        <v/>
      </c>
    </row>
    <row r="1046">
      <c r="D1046">
        <f>AutoClaim_Data!A1046</f>
        <v/>
      </c>
      <c r="E1046">
        <f>AutoClaim_Data!B1046</f>
        <v/>
      </c>
      <c r="F1046">
        <f>AutoClaim_Data!C1046</f>
        <v/>
      </c>
      <c r="G1046">
        <f>IF(AutoClaim_Data!D1046&lt;=$B$2,AVERAGEIFS(AutoClaim_Data!C2:C3168,AutoClaim_Data!B2:B3168,"Train",AutoClaim_Data!D2:D3168,"&lt;="&amp;$B$2),AVERAGEIFS(AutoClaim_Data!C2:C3168,AutoClaim_Data!B2:B3168,"Train",AutoClaim_Data!D2:D3168,"&gt;"&amp;$B$2))</f>
        <v/>
      </c>
      <c r="H1046">
        <f>IF(AutoClaim_Data!D1046&lt;=$B$2,IF(AutoClaim_Data!E1046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6">
        <f>(F1046-H1046)^2</f>
        <v/>
      </c>
      <c r="J1046">
        <f>--(E1046="Validation")</f>
        <v/>
      </c>
    </row>
    <row r="1047">
      <c r="D1047">
        <f>AutoClaim_Data!A1047</f>
        <v/>
      </c>
      <c r="E1047">
        <f>AutoClaim_Data!B1047</f>
        <v/>
      </c>
      <c r="F1047">
        <f>AutoClaim_Data!C1047</f>
        <v/>
      </c>
      <c r="G1047">
        <f>IF(AutoClaim_Data!D1047&lt;=$B$2,AVERAGEIFS(AutoClaim_Data!C2:C3168,AutoClaim_Data!B2:B3168,"Train",AutoClaim_Data!D2:D3168,"&lt;="&amp;$B$2),AVERAGEIFS(AutoClaim_Data!C2:C3168,AutoClaim_Data!B2:B3168,"Train",AutoClaim_Data!D2:D3168,"&gt;"&amp;$B$2))</f>
        <v/>
      </c>
      <c r="H1047">
        <f>IF(AutoClaim_Data!D1047&lt;=$B$2,IF(AutoClaim_Data!E1047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7">
        <f>(F1047-H1047)^2</f>
        <v/>
      </c>
      <c r="J1047">
        <f>--(E1047="Validation")</f>
        <v/>
      </c>
    </row>
    <row r="1048">
      <c r="D1048">
        <f>AutoClaim_Data!A1048</f>
        <v/>
      </c>
      <c r="E1048">
        <f>AutoClaim_Data!B1048</f>
        <v/>
      </c>
      <c r="F1048">
        <f>AutoClaim_Data!C1048</f>
        <v/>
      </c>
      <c r="G1048">
        <f>IF(AutoClaim_Data!D1048&lt;=$B$2,AVERAGEIFS(AutoClaim_Data!C2:C3168,AutoClaim_Data!B2:B3168,"Train",AutoClaim_Data!D2:D3168,"&lt;="&amp;$B$2),AVERAGEIFS(AutoClaim_Data!C2:C3168,AutoClaim_Data!B2:B3168,"Train",AutoClaim_Data!D2:D3168,"&gt;"&amp;$B$2))</f>
        <v/>
      </c>
      <c r="H1048">
        <f>IF(AutoClaim_Data!D1048&lt;=$B$2,IF(AutoClaim_Data!E1048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8">
        <f>(F1048-H1048)^2</f>
        <v/>
      </c>
      <c r="J1048">
        <f>--(E1048="Validation")</f>
        <v/>
      </c>
    </row>
    <row r="1049">
      <c r="D1049">
        <f>AutoClaim_Data!A1049</f>
        <v/>
      </c>
      <c r="E1049">
        <f>AutoClaim_Data!B1049</f>
        <v/>
      </c>
      <c r="F1049">
        <f>AutoClaim_Data!C1049</f>
        <v/>
      </c>
      <c r="G1049">
        <f>IF(AutoClaim_Data!D1049&lt;=$B$2,AVERAGEIFS(AutoClaim_Data!C2:C3168,AutoClaim_Data!B2:B3168,"Train",AutoClaim_Data!D2:D3168,"&lt;="&amp;$B$2),AVERAGEIFS(AutoClaim_Data!C2:C3168,AutoClaim_Data!B2:B3168,"Train",AutoClaim_Data!D2:D3168,"&gt;"&amp;$B$2))</f>
        <v/>
      </c>
      <c r="H1049">
        <f>IF(AutoClaim_Data!D1049&lt;=$B$2,IF(AutoClaim_Data!E1049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49">
        <f>(F1049-H1049)^2</f>
        <v/>
      </c>
      <c r="J1049">
        <f>--(E1049="Validation")</f>
        <v/>
      </c>
    </row>
    <row r="1050">
      <c r="D1050">
        <f>AutoClaim_Data!A1050</f>
        <v/>
      </c>
      <c r="E1050">
        <f>AutoClaim_Data!B1050</f>
        <v/>
      </c>
      <c r="F1050">
        <f>AutoClaim_Data!C1050</f>
        <v/>
      </c>
      <c r="G1050">
        <f>IF(AutoClaim_Data!D1050&lt;=$B$2,AVERAGEIFS(AutoClaim_Data!C2:C3168,AutoClaim_Data!B2:B3168,"Train",AutoClaim_Data!D2:D3168,"&lt;="&amp;$B$2),AVERAGEIFS(AutoClaim_Data!C2:C3168,AutoClaim_Data!B2:B3168,"Train",AutoClaim_Data!D2:D3168,"&gt;"&amp;$B$2))</f>
        <v/>
      </c>
      <c r="H1050">
        <f>IF(AutoClaim_Data!D1050&lt;=$B$2,IF(AutoClaim_Data!E1050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0">
        <f>(F1050-H1050)^2</f>
        <v/>
      </c>
      <c r="J1050">
        <f>--(E1050="Validation")</f>
        <v/>
      </c>
    </row>
    <row r="1051">
      <c r="D1051">
        <f>AutoClaim_Data!A1051</f>
        <v/>
      </c>
      <c r="E1051">
        <f>AutoClaim_Data!B1051</f>
        <v/>
      </c>
      <c r="F1051">
        <f>AutoClaim_Data!C1051</f>
        <v/>
      </c>
      <c r="G1051">
        <f>IF(AutoClaim_Data!D1051&lt;=$B$2,AVERAGEIFS(AutoClaim_Data!C2:C3168,AutoClaim_Data!B2:B3168,"Train",AutoClaim_Data!D2:D3168,"&lt;="&amp;$B$2),AVERAGEIFS(AutoClaim_Data!C2:C3168,AutoClaim_Data!B2:B3168,"Train",AutoClaim_Data!D2:D3168,"&gt;"&amp;$B$2))</f>
        <v/>
      </c>
      <c r="H1051">
        <f>IF(AutoClaim_Data!D1051&lt;=$B$2,IF(AutoClaim_Data!E1051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1">
        <f>(F1051-H1051)^2</f>
        <v/>
      </c>
      <c r="J1051">
        <f>--(E1051="Validation")</f>
        <v/>
      </c>
    </row>
    <row r="1052">
      <c r="D1052">
        <f>AutoClaim_Data!A1052</f>
        <v/>
      </c>
      <c r="E1052">
        <f>AutoClaim_Data!B1052</f>
        <v/>
      </c>
      <c r="F1052">
        <f>AutoClaim_Data!C1052</f>
        <v/>
      </c>
      <c r="G1052">
        <f>IF(AutoClaim_Data!D1052&lt;=$B$2,AVERAGEIFS(AutoClaim_Data!C2:C3168,AutoClaim_Data!B2:B3168,"Train",AutoClaim_Data!D2:D3168,"&lt;="&amp;$B$2),AVERAGEIFS(AutoClaim_Data!C2:C3168,AutoClaim_Data!B2:B3168,"Train",AutoClaim_Data!D2:D3168,"&gt;"&amp;$B$2))</f>
        <v/>
      </c>
      <c r="H1052">
        <f>IF(AutoClaim_Data!D1052&lt;=$B$2,IF(AutoClaim_Data!E1052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2">
        <f>(F1052-H1052)^2</f>
        <v/>
      </c>
      <c r="J1052">
        <f>--(E1052="Validation")</f>
        <v/>
      </c>
    </row>
    <row r="1053">
      <c r="D1053">
        <f>AutoClaim_Data!A1053</f>
        <v/>
      </c>
      <c r="E1053">
        <f>AutoClaim_Data!B1053</f>
        <v/>
      </c>
      <c r="F1053">
        <f>AutoClaim_Data!C1053</f>
        <v/>
      </c>
      <c r="G1053">
        <f>IF(AutoClaim_Data!D1053&lt;=$B$2,AVERAGEIFS(AutoClaim_Data!C2:C3168,AutoClaim_Data!B2:B3168,"Train",AutoClaim_Data!D2:D3168,"&lt;="&amp;$B$2),AVERAGEIFS(AutoClaim_Data!C2:C3168,AutoClaim_Data!B2:B3168,"Train",AutoClaim_Data!D2:D3168,"&gt;"&amp;$B$2))</f>
        <v/>
      </c>
      <c r="H1053">
        <f>IF(AutoClaim_Data!D1053&lt;=$B$2,IF(AutoClaim_Data!E1053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3">
        <f>(F1053-H1053)^2</f>
        <v/>
      </c>
      <c r="J1053">
        <f>--(E1053="Validation")</f>
        <v/>
      </c>
    </row>
    <row r="1054">
      <c r="D1054">
        <f>AutoClaim_Data!A1054</f>
        <v/>
      </c>
      <c r="E1054">
        <f>AutoClaim_Data!B1054</f>
        <v/>
      </c>
      <c r="F1054">
        <f>AutoClaim_Data!C1054</f>
        <v/>
      </c>
      <c r="G1054">
        <f>IF(AutoClaim_Data!D1054&lt;=$B$2,AVERAGEIFS(AutoClaim_Data!C2:C3168,AutoClaim_Data!B2:B3168,"Train",AutoClaim_Data!D2:D3168,"&lt;="&amp;$B$2),AVERAGEIFS(AutoClaim_Data!C2:C3168,AutoClaim_Data!B2:B3168,"Train",AutoClaim_Data!D2:D3168,"&gt;"&amp;$B$2))</f>
        <v/>
      </c>
      <c r="H1054">
        <f>IF(AutoClaim_Data!D1054&lt;=$B$2,IF(AutoClaim_Data!E1054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4">
        <f>(F1054-H1054)^2</f>
        <v/>
      </c>
      <c r="J1054">
        <f>--(E1054="Validation")</f>
        <v/>
      </c>
    </row>
    <row r="1055">
      <c r="D1055">
        <f>AutoClaim_Data!A1055</f>
        <v/>
      </c>
      <c r="E1055">
        <f>AutoClaim_Data!B1055</f>
        <v/>
      </c>
      <c r="F1055">
        <f>AutoClaim_Data!C1055</f>
        <v/>
      </c>
      <c r="G1055">
        <f>IF(AutoClaim_Data!D1055&lt;=$B$2,AVERAGEIFS(AutoClaim_Data!C2:C3168,AutoClaim_Data!B2:B3168,"Train",AutoClaim_Data!D2:D3168,"&lt;="&amp;$B$2),AVERAGEIFS(AutoClaim_Data!C2:C3168,AutoClaim_Data!B2:B3168,"Train",AutoClaim_Data!D2:D3168,"&gt;"&amp;$B$2))</f>
        <v/>
      </c>
      <c r="H1055">
        <f>IF(AutoClaim_Data!D1055&lt;=$B$2,IF(AutoClaim_Data!E1055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5">
        <f>(F1055-H1055)^2</f>
        <v/>
      </c>
      <c r="J1055">
        <f>--(E1055="Validation")</f>
        <v/>
      </c>
    </row>
    <row r="1056">
      <c r="D1056">
        <f>AutoClaim_Data!A1056</f>
        <v/>
      </c>
      <c r="E1056">
        <f>AutoClaim_Data!B1056</f>
        <v/>
      </c>
      <c r="F1056">
        <f>AutoClaim_Data!C1056</f>
        <v/>
      </c>
      <c r="G1056">
        <f>IF(AutoClaim_Data!D1056&lt;=$B$2,AVERAGEIFS(AutoClaim_Data!C2:C3168,AutoClaim_Data!B2:B3168,"Train",AutoClaim_Data!D2:D3168,"&lt;="&amp;$B$2),AVERAGEIFS(AutoClaim_Data!C2:C3168,AutoClaim_Data!B2:B3168,"Train",AutoClaim_Data!D2:D3168,"&gt;"&amp;$B$2))</f>
        <v/>
      </c>
      <c r="H1056">
        <f>IF(AutoClaim_Data!D1056&lt;=$B$2,IF(AutoClaim_Data!E1056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6">
        <f>(F1056-H1056)^2</f>
        <v/>
      </c>
      <c r="J1056">
        <f>--(E1056="Validation")</f>
        <v/>
      </c>
    </row>
    <row r="1057">
      <c r="D1057">
        <f>AutoClaim_Data!A1057</f>
        <v/>
      </c>
      <c r="E1057">
        <f>AutoClaim_Data!B1057</f>
        <v/>
      </c>
      <c r="F1057">
        <f>AutoClaim_Data!C1057</f>
        <v/>
      </c>
      <c r="G1057">
        <f>IF(AutoClaim_Data!D1057&lt;=$B$2,AVERAGEIFS(AutoClaim_Data!C2:C3168,AutoClaim_Data!B2:B3168,"Train",AutoClaim_Data!D2:D3168,"&lt;="&amp;$B$2),AVERAGEIFS(AutoClaim_Data!C2:C3168,AutoClaim_Data!B2:B3168,"Train",AutoClaim_Data!D2:D3168,"&gt;"&amp;$B$2))</f>
        <v/>
      </c>
      <c r="H1057">
        <f>IF(AutoClaim_Data!D1057&lt;=$B$2,IF(AutoClaim_Data!E1057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7">
        <f>(F1057-H1057)^2</f>
        <v/>
      </c>
      <c r="J1057">
        <f>--(E1057="Validation")</f>
        <v/>
      </c>
    </row>
    <row r="1058">
      <c r="D1058">
        <f>AutoClaim_Data!A1058</f>
        <v/>
      </c>
      <c r="E1058">
        <f>AutoClaim_Data!B1058</f>
        <v/>
      </c>
      <c r="F1058">
        <f>AutoClaim_Data!C1058</f>
        <v/>
      </c>
      <c r="G1058">
        <f>IF(AutoClaim_Data!D1058&lt;=$B$2,AVERAGEIFS(AutoClaim_Data!C2:C3168,AutoClaim_Data!B2:B3168,"Train",AutoClaim_Data!D2:D3168,"&lt;="&amp;$B$2),AVERAGEIFS(AutoClaim_Data!C2:C3168,AutoClaim_Data!B2:B3168,"Train",AutoClaim_Data!D2:D3168,"&gt;"&amp;$B$2))</f>
        <v/>
      </c>
      <c r="H1058">
        <f>IF(AutoClaim_Data!D1058&lt;=$B$2,IF(AutoClaim_Data!E1058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8">
        <f>(F1058-H1058)^2</f>
        <v/>
      </c>
      <c r="J1058">
        <f>--(E1058="Validation")</f>
        <v/>
      </c>
    </row>
    <row r="1059">
      <c r="D1059">
        <f>AutoClaim_Data!A1059</f>
        <v/>
      </c>
      <c r="E1059">
        <f>AutoClaim_Data!B1059</f>
        <v/>
      </c>
      <c r="F1059">
        <f>AutoClaim_Data!C1059</f>
        <v/>
      </c>
      <c r="G1059">
        <f>IF(AutoClaim_Data!D1059&lt;=$B$2,AVERAGEIFS(AutoClaim_Data!C2:C3168,AutoClaim_Data!B2:B3168,"Train",AutoClaim_Data!D2:D3168,"&lt;="&amp;$B$2),AVERAGEIFS(AutoClaim_Data!C2:C3168,AutoClaim_Data!B2:B3168,"Train",AutoClaim_Data!D2:D3168,"&gt;"&amp;$B$2))</f>
        <v/>
      </c>
      <c r="H1059">
        <f>IF(AutoClaim_Data!D1059&lt;=$B$2,IF(AutoClaim_Data!E1059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59">
        <f>(F1059-H1059)^2</f>
        <v/>
      </c>
      <c r="J1059">
        <f>--(E1059="Validation")</f>
        <v/>
      </c>
    </row>
    <row r="1060">
      <c r="D1060">
        <f>AutoClaim_Data!A1060</f>
        <v/>
      </c>
      <c r="E1060">
        <f>AutoClaim_Data!B1060</f>
        <v/>
      </c>
      <c r="F1060">
        <f>AutoClaim_Data!C1060</f>
        <v/>
      </c>
      <c r="G1060">
        <f>IF(AutoClaim_Data!D1060&lt;=$B$2,AVERAGEIFS(AutoClaim_Data!C2:C3168,AutoClaim_Data!B2:B3168,"Train",AutoClaim_Data!D2:D3168,"&lt;="&amp;$B$2),AVERAGEIFS(AutoClaim_Data!C2:C3168,AutoClaim_Data!B2:B3168,"Train",AutoClaim_Data!D2:D3168,"&gt;"&amp;$B$2))</f>
        <v/>
      </c>
      <c r="H1060">
        <f>IF(AutoClaim_Data!D1060&lt;=$B$2,IF(AutoClaim_Data!E1060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0">
        <f>(F1060-H1060)^2</f>
        <v/>
      </c>
      <c r="J1060">
        <f>--(E1060="Validation")</f>
        <v/>
      </c>
    </row>
    <row r="1061">
      <c r="D1061">
        <f>AutoClaim_Data!A1061</f>
        <v/>
      </c>
      <c r="E1061">
        <f>AutoClaim_Data!B1061</f>
        <v/>
      </c>
      <c r="F1061">
        <f>AutoClaim_Data!C1061</f>
        <v/>
      </c>
      <c r="G1061">
        <f>IF(AutoClaim_Data!D1061&lt;=$B$2,AVERAGEIFS(AutoClaim_Data!C2:C3168,AutoClaim_Data!B2:B3168,"Train",AutoClaim_Data!D2:D3168,"&lt;="&amp;$B$2),AVERAGEIFS(AutoClaim_Data!C2:C3168,AutoClaim_Data!B2:B3168,"Train",AutoClaim_Data!D2:D3168,"&gt;"&amp;$B$2))</f>
        <v/>
      </c>
      <c r="H1061">
        <f>IF(AutoClaim_Data!D1061&lt;=$B$2,IF(AutoClaim_Data!E1061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1">
        <f>(F1061-H1061)^2</f>
        <v/>
      </c>
      <c r="J1061">
        <f>--(E1061="Validation")</f>
        <v/>
      </c>
    </row>
    <row r="1062">
      <c r="D1062">
        <f>AutoClaim_Data!A1062</f>
        <v/>
      </c>
      <c r="E1062">
        <f>AutoClaim_Data!B1062</f>
        <v/>
      </c>
      <c r="F1062">
        <f>AutoClaim_Data!C1062</f>
        <v/>
      </c>
      <c r="G1062">
        <f>IF(AutoClaim_Data!D1062&lt;=$B$2,AVERAGEIFS(AutoClaim_Data!C2:C3168,AutoClaim_Data!B2:B3168,"Train",AutoClaim_Data!D2:D3168,"&lt;="&amp;$B$2),AVERAGEIFS(AutoClaim_Data!C2:C3168,AutoClaim_Data!B2:B3168,"Train",AutoClaim_Data!D2:D3168,"&gt;"&amp;$B$2))</f>
        <v/>
      </c>
      <c r="H1062">
        <f>IF(AutoClaim_Data!D1062&lt;=$B$2,IF(AutoClaim_Data!E1062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2">
        <f>(F1062-H1062)^2</f>
        <v/>
      </c>
      <c r="J1062">
        <f>--(E1062="Validation")</f>
        <v/>
      </c>
    </row>
    <row r="1063">
      <c r="D1063">
        <f>AutoClaim_Data!A1063</f>
        <v/>
      </c>
      <c r="E1063">
        <f>AutoClaim_Data!B1063</f>
        <v/>
      </c>
      <c r="F1063">
        <f>AutoClaim_Data!C1063</f>
        <v/>
      </c>
      <c r="G1063">
        <f>IF(AutoClaim_Data!D1063&lt;=$B$2,AVERAGEIFS(AutoClaim_Data!C2:C3168,AutoClaim_Data!B2:B3168,"Train",AutoClaim_Data!D2:D3168,"&lt;="&amp;$B$2),AVERAGEIFS(AutoClaim_Data!C2:C3168,AutoClaim_Data!B2:B3168,"Train",AutoClaim_Data!D2:D3168,"&gt;"&amp;$B$2))</f>
        <v/>
      </c>
      <c r="H1063">
        <f>IF(AutoClaim_Data!D1063&lt;=$B$2,IF(AutoClaim_Data!E1063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3">
        <f>(F1063-H1063)^2</f>
        <v/>
      </c>
      <c r="J1063">
        <f>--(E1063="Validation")</f>
        <v/>
      </c>
    </row>
    <row r="1064">
      <c r="D1064">
        <f>AutoClaim_Data!A1064</f>
        <v/>
      </c>
      <c r="E1064">
        <f>AutoClaim_Data!B1064</f>
        <v/>
      </c>
      <c r="F1064">
        <f>AutoClaim_Data!C1064</f>
        <v/>
      </c>
      <c r="G1064">
        <f>IF(AutoClaim_Data!D1064&lt;=$B$2,AVERAGEIFS(AutoClaim_Data!C2:C3168,AutoClaim_Data!B2:B3168,"Train",AutoClaim_Data!D2:D3168,"&lt;="&amp;$B$2),AVERAGEIFS(AutoClaim_Data!C2:C3168,AutoClaim_Data!B2:B3168,"Train",AutoClaim_Data!D2:D3168,"&gt;"&amp;$B$2))</f>
        <v/>
      </c>
      <c r="H1064">
        <f>IF(AutoClaim_Data!D1064&lt;=$B$2,IF(AutoClaim_Data!E1064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4">
        <f>(F1064-H1064)^2</f>
        <v/>
      </c>
      <c r="J1064">
        <f>--(E1064="Validation")</f>
        <v/>
      </c>
    </row>
    <row r="1065">
      <c r="D1065">
        <f>AutoClaim_Data!A1065</f>
        <v/>
      </c>
      <c r="E1065">
        <f>AutoClaim_Data!B1065</f>
        <v/>
      </c>
      <c r="F1065">
        <f>AutoClaim_Data!C1065</f>
        <v/>
      </c>
      <c r="G1065">
        <f>IF(AutoClaim_Data!D1065&lt;=$B$2,AVERAGEIFS(AutoClaim_Data!C2:C3168,AutoClaim_Data!B2:B3168,"Train",AutoClaim_Data!D2:D3168,"&lt;="&amp;$B$2),AVERAGEIFS(AutoClaim_Data!C2:C3168,AutoClaim_Data!B2:B3168,"Train",AutoClaim_Data!D2:D3168,"&gt;"&amp;$B$2))</f>
        <v/>
      </c>
      <c r="H1065">
        <f>IF(AutoClaim_Data!D1065&lt;=$B$2,IF(AutoClaim_Data!E1065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5">
        <f>(F1065-H1065)^2</f>
        <v/>
      </c>
      <c r="J1065">
        <f>--(E1065="Validation")</f>
        <v/>
      </c>
    </row>
    <row r="1066">
      <c r="D1066">
        <f>AutoClaim_Data!A1066</f>
        <v/>
      </c>
      <c r="E1066">
        <f>AutoClaim_Data!B1066</f>
        <v/>
      </c>
      <c r="F1066">
        <f>AutoClaim_Data!C1066</f>
        <v/>
      </c>
      <c r="G1066">
        <f>IF(AutoClaim_Data!D1066&lt;=$B$2,AVERAGEIFS(AutoClaim_Data!C2:C3168,AutoClaim_Data!B2:B3168,"Train",AutoClaim_Data!D2:D3168,"&lt;="&amp;$B$2),AVERAGEIFS(AutoClaim_Data!C2:C3168,AutoClaim_Data!B2:B3168,"Train",AutoClaim_Data!D2:D3168,"&gt;"&amp;$B$2))</f>
        <v/>
      </c>
      <c r="H1066">
        <f>IF(AutoClaim_Data!D1066&lt;=$B$2,IF(AutoClaim_Data!E1066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6">
        <f>(F1066-H1066)^2</f>
        <v/>
      </c>
      <c r="J1066">
        <f>--(E1066="Validation")</f>
        <v/>
      </c>
    </row>
    <row r="1067">
      <c r="D1067">
        <f>AutoClaim_Data!A1067</f>
        <v/>
      </c>
      <c r="E1067">
        <f>AutoClaim_Data!B1067</f>
        <v/>
      </c>
      <c r="F1067">
        <f>AutoClaim_Data!C1067</f>
        <v/>
      </c>
      <c r="G1067">
        <f>IF(AutoClaim_Data!D1067&lt;=$B$2,AVERAGEIFS(AutoClaim_Data!C2:C3168,AutoClaim_Data!B2:B3168,"Train",AutoClaim_Data!D2:D3168,"&lt;="&amp;$B$2),AVERAGEIFS(AutoClaim_Data!C2:C3168,AutoClaim_Data!B2:B3168,"Train",AutoClaim_Data!D2:D3168,"&gt;"&amp;$B$2))</f>
        <v/>
      </c>
      <c r="H1067">
        <f>IF(AutoClaim_Data!D1067&lt;=$B$2,IF(AutoClaim_Data!E1067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7">
        <f>(F1067-H1067)^2</f>
        <v/>
      </c>
      <c r="J1067">
        <f>--(E1067="Validation")</f>
        <v/>
      </c>
    </row>
    <row r="1068">
      <c r="D1068">
        <f>AutoClaim_Data!A1068</f>
        <v/>
      </c>
      <c r="E1068">
        <f>AutoClaim_Data!B1068</f>
        <v/>
      </c>
      <c r="F1068">
        <f>AutoClaim_Data!C1068</f>
        <v/>
      </c>
      <c r="G1068">
        <f>IF(AutoClaim_Data!D1068&lt;=$B$2,AVERAGEIFS(AutoClaim_Data!C2:C3168,AutoClaim_Data!B2:B3168,"Train",AutoClaim_Data!D2:D3168,"&lt;="&amp;$B$2),AVERAGEIFS(AutoClaim_Data!C2:C3168,AutoClaim_Data!B2:B3168,"Train",AutoClaim_Data!D2:D3168,"&gt;"&amp;$B$2))</f>
        <v/>
      </c>
      <c r="H1068">
        <f>IF(AutoClaim_Data!D1068&lt;=$B$2,IF(AutoClaim_Data!E1068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8">
        <f>(F1068-H1068)^2</f>
        <v/>
      </c>
      <c r="J1068">
        <f>--(E1068="Validation")</f>
        <v/>
      </c>
    </row>
    <row r="1069">
      <c r="D1069">
        <f>AutoClaim_Data!A1069</f>
        <v/>
      </c>
      <c r="E1069">
        <f>AutoClaim_Data!B1069</f>
        <v/>
      </c>
      <c r="F1069">
        <f>AutoClaim_Data!C1069</f>
        <v/>
      </c>
      <c r="G1069">
        <f>IF(AutoClaim_Data!D1069&lt;=$B$2,AVERAGEIFS(AutoClaim_Data!C2:C3168,AutoClaim_Data!B2:B3168,"Train",AutoClaim_Data!D2:D3168,"&lt;="&amp;$B$2),AVERAGEIFS(AutoClaim_Data!C2:C3168,AutoClaim_Data!B2:B3168,"Train",AutoClaim_Data!D2:D3168,"&gt;"&amp;$B$2))</f>
        <v/>
      </c>
      <c r="H1069">
        <f>IF(AutoClaim_Data!D1069&lt;=$B$2,IF(AutoClaim_Data!E1069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69">
        <f>(F1069-H1069)^2</f>
        <v/>
      </c>
      <c r="J1069">
        <f>--(E1069="Validation")</f>
        <v/>
      </c>
    </row>
    <row r="1070">
      <c r="D1070">
        <f>AutoClaim_Data!A1070</f>
        <v/>
      </c>
      <c r="E1070">
        <f>AutoClaim_Data!B1070</f>
        <v/>
      </c>
      <c r="F1070">
        <f>AutoClaim_Data!C1070</f>
        <v/>
      </c>
      <c r="G1070">
        <f>IF(AutoClaim_Data!D1070&lt;=$B$2,AVERAGEIFS(AutoClaim_Data!C2:C3168,AutoClaim_Data!B2:B3168,"Train",AutoClaim_Data!D2:D3168,"&lt;="&amp;$B$2),AVERAGEIFS(AutoClaim_Data!C2:C3168,AutoClaim_Data!B2:B3168,"Train",AutoClaim_Data!D2:D3168,"&gt;"&amp;$B$2))</f>
        <v/>
      </c>
      <c r="H1070">
        <f>IF(AutoClaim_Data!D1070&lt;=$B$2,IF(AutoClaim_Data!E1070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0">
        <f>(F1070-H1070)^2</f>
        <v/>
      </c>
      <c r="J1070">
        <f>--(E1070="Validation")</f>
        <v/>
      </c>
    </row>
    <row r="1071">
      <c r="D1071">
        <f>AutoClaim_Data!A1071</f>
        <v/>
      </c>
      <c r="E1071">
        <f>AutoClaim_Data!B1071</f>
        <v/>
      </c>
      <c r="F1071">
        <f>AutoClaim_Data!C1071</f>
        <v/>
      </c>
      <c r="G1071">
        <f>IF(AutoClaim_Data!D1071&lt;=$B$2,AVERAGEIFS(AutoClaim_Data!C2:C3168,AutoClaim_Data!B2:B3168,"Train",AutoClaim_Data!D2:D3168,"&lt;="&amp;$B$2),AVERAGEIFS(AutoClaim_Data!C2:C3168,AutoClaim_Data!B2:B3168,"Train",AutoClaim_Data!D2:D3168,"&gt;"&amp;$B$2))</f>
        <v/>
      </c>
      <c r="H1071">
        <f>IF(AutoClaim_Data!D1071&lt;=$B$2,IF(AutoClaim_Data!E1071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1">
        <f>(F1071-H1071)^2</f>
        <v/>
      </c>
      <c r="J1071">
        <f>--(E1071="Validation")</f>
        <v/>
      </c>
    </row>
    <row r="1072">
      <c r="D1072">
        <f>AutoClaim_Data!A1072</f>
        <v/>
      </c>
      <c r="E1072">
        <f>AutoClaim_Data!B1072</f>
        <v/>
      </c>
      <c r="F1072">
        <f>AutoClaim_Data!C1072</f>
        <v/>
      </c>
      <c r="G1072">
        <f>IF(AutoClaim_Data!D1072&lt;=$B$2,AVERAGEIFS(AutoClaim_Data!C2:C3168,AutoClaim_Data!B2:B3168,"Train",AutoClaim_Data!D2:D3168,"&lt;="&amp;$B$2),AVERAGEIFS(AutoClaim_Data!C2:C3168,AutoClaim_Data!B2:B3168,"Train",AutoClaim_Data!D2:D3168,"&gt;"&amp;$B$2))</f>
        <v/>
      </c>
      <c r="H1072">
        <f>IF(AutoClaim_Data!D1072&lt;=$B$2,IF(AutoClaim_Data!E1072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2">
        <f>(F1072-H1072)^2</f>
        <v/>
      </c>
      <c r="J1072">
        <f>--(E1072="Validation")</f>
        <v/>
      </c>
    </row>
    <row r="1073">
      <c r="D1073">
        <f>AutoClaim_Data!A1073</f>
        <v/>
      </c>
      <c r="E1073">
        <f>AutoClaim_Data!B1073</f>
        <v/>
      </c>
      <c r="F1073">
        <f>AutoClaim_Data!C1073</f>
        <v/>
      </c>
      <c r="G1073">
        <f>IF(AutoClaim_Data!D1073&lt;=$B$2,AVERAGEIFS(AutoClaim_Data!C2:C3168,AutoClaim_Data!B2:B3168,"Train",AutoClaim_Data!D2:D3168,"&lt;="&amp;$B$2),AVERAGEIFS(AutoClaim_Data!C2:C3168,AutoClaim_Data!B2:B3168,"Train",AutoClaim_Data!D2:D3168,"&gt;"&amp;$B$2))</f>
        <v/>
      </c>
      <c r="H1073">
        <f>IF(AutoClaim_Data!D1073&lt;=$B$2,IF(AutoClaim_Data!E1073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3">
        <f>(F1073-H1073)^2</f>
        <v/>
      </c>
      <c r="J1073">
        <f>--(E1073="Validation")</f>
        <v/>
      </c>
    </row>
    <row r="1074">
      <c r="D1074">
        <f>AutoClaim_Data!A1074</f>
        <v/>
      </c>
      <c r="E1074">
        <f>AutoClaim_Data!B1074</f>
        <v/>
      </c>
      <c r="F1074">
        <f>AutoClaim_Data!C1074</f>
        <v/>
      </c>
      <c r="G1074">
        <f>IF(AutoClaim_Data!D1074&lt;=$B$2,AVERAGEIFS(AutoClaim_Data!C2:C3168,AutoClaim_Data!B2:B3168,"Train",AutoClaim_Data!D2:D3168,"&lt;="&amp;$B$2),AVERAGEIFS(AutoClaim_Data!C2:C3168,AutoClaim_Data!B2:B3168,"Train",AutoClaim_Data!D2:D3168,"&gt;"&amp;$B$2))</f>
        <v/>
      </c>
      <c r="H1074">
        <f>IF(AutoClaim_Data!D1074&lt;=$B$2,IF(AutoClaim_Data!E1074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4">
        <f>(F1074-H1074)^2</f>
        <v/>
      </c>
      <c r="J1074">
        <f>--(E1074="Validation")</f>
        <v/>
      </c>
    </row>
    <row r="1075">
      <c r="D1075">
        <f>AutoClaim_Data!A1075</f>
        <v/>
      </c>
      <c r="E1075">
        <f>AutoClaim_Data!B1075</f>
        <v/>
      </c>
      <c r="F1075">
        <f>AutoClaim_Data!C1075</f>
        <v/>
      </c>
      <c r="G1075">
        <f>IF(AutoClaim_Data!D1075&lt;=$B$2,AVERAGEIFS(AutoClaim_Data!C2:C3168,AutoClaim_Data!B2:B3168,"Train",AutoClaim_Data!D2:D3168,"&lt;="&amp;$B$2),AVERAGEIFS(AutoClaim_Data!C2:C3168,AutoClaim_Data!B2:B3168,"Train",AutoClaim_Data!D2:D3168,"&gt;"&amp;$B$2))</f>
        <v/>
      </c>
      <c r="H1075">
        <f>IF(AutoClaim_Data!D1075&lt;=$B$2,IF(AutoClaim_Data!E1075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5">
        <f>(F1075-H1075)^2</f>
        <v/>
      </c>
      <c r="J1075">
        <f>--(E1075="Validation")</f>
        <v/>
      </c>
    </row>
    <row r="1076">
      <c r="D1076">
        <f>AutoClaim_Data!A1076</f>
        <v/>
      </c>
      <c r="E1076">
        <f>AutoClaim_Data!B1076</f>
        <v/>
      </c>
      <c r="F1076">
        <f>AutoClaim_Data!C1076</f>
        <v/>
      </c>
      <c r="G1076">
        <f>IF(AutoClaim_Data!D1076&lt;=$B$2,AVERAGEIFS(AutoClaim_Data!C2:C3168,AutoClaim_Data!B2:B3168,"Train",AutoClaim_Data!D2:D3168,"&lt;="&amp;$B$2),AVERAGEIFS(AutoClaim_Data!C2:C3168,AutoClaim_Data!B2:B3168,"Train",AutoClaim_Data!D2:D3168,"&gt;"&amp;$B$2))</f>
        <v/>
      </c>
      <c r="H1076">
        <f>IF(AutoClaim_Data!D1076&lt;=$B$2,IF(AutoClaim_Data!E1076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6">
        <f>(F1076-H1076)^2</f>
        <v/>
      </c>
      <c r="J1076">
        <f>--(E1076="Validation")</f>
        <v/>
      </c>
    </row>
    <row r="1077">
      <c r="D1077">
        <f>AutoClaim_Data!A1077</f>
        <v/>
      </c>
      <c r="E1077">
        <f>AutoClaim_Data!B1077</f>
        <v/>
      </c>
      <c r="F1077">
        <f>AutoClaim_Data!C1077</f>
        <v/>
      </c>
      <c r="G1077">
        <f>IF(AutoClaim_Data!D1077&lt;=$B$2,AVERAGEIFS(AutoClaim_Data!C2:C3168,AutoClaim_Data!B2:B3168,"Train",AutoClaim_Data!D2:D3168,"&lt;="&amp;$B$2),AVERAGEIFS(AutoClaim_Data!C2:C3168,AutoClaim_Data!B2:B3168,"Train",AutoClaim_Data!D2:D3168,"&gt;"&amp;$B$2))</f>
        <v/>
      </c>
      <c r="H1077">
        <f>IF(AutoClaim_Data!D1077&lt;=$B$2,IF(AutoClaim_Data!E1077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7">
        <f>(F1077-H1077)^2</f>
        <v/>
      </c>
      <c r="J1077">
        <f>--(E1077="Validation")</f>
        <v/>
      </c>
    </row>
    <row r="1078">
      <c r="D1078">
        <f>AutoClaim_Data!A1078</f>
        <v/>
      </c>
      <c r="E1078">
        <f>AutoClaim_Data!B1078</f>
        <v/>
      </c>
      <c r="F1078">
        <f>AutoClaim_Data!C1078</f>
        <v/>
      </c>
      <c r="G1078">
        <f>IF(AutoClaim_Data!D1078&lt;=$B$2,AVERAGEIFS(AutoClaim_Data!C2:C3168,AutoClaim_Data!B2:B3168,"Train",AutoClaim_Data!D2:D3168,"&lt;="&amp;$B$2),AVERAGEIFS(AutoClaim_Data!C2:C3168,AutoClaim_Data!B2:B3168,"Train",AutoClaim_Data!D2:D3168,"&gt;"&amp;$B$2))</f>
        <v/>
      </c>
      <c r="H1078">
        <f>IF(AutoClaim_Data!D1078&lt;=$B$2,IF(AutoClaim_Data!E1078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8">
        <f>(F1078-H1078)^2</f>
        <v/>
      </c>
      <c r="J1078">
        <f>--(E1078="Validation")</f>
        <v/>
      </c>
    </row>
    <row r="1079">
      <c r="D1079">
        <f>AutoClaim_Data!A1079</f>
        <v/>
      </c>
      <c r="E1079">
        <f>AutoClaim_Data!B1079</f>
        <v/>
      </c>
      <c r="F1079">
        <f>AutoClaim_Data!C1079</f>
        <v/>
      </c>
      <c r="G1079">
        <f>IF(AutoClaim_Data!D1079&lt;=$B$2,AVERAGEIFS(AutoClaim_Data!C2:C3168,AutoClaim_Data!B2:B3168,"Train",AutoClaim_Data!D2:D3168,"&lt;="&amp;$B$2),AVERAGEIFS(AutoClaim_Data!C2:C3168,AutoClaim_Data!B2:B3168,"Train",AutoClaim_Data!D2:D3168,"&gt;"&amp;$B$2))</f>
        <v/>
      </c>
      <c r="H1079">
        <f>IF(AutoClaim_Data!D1079&lt;=$B$2,IF(AutoClaim_Data!E1079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79">
        <f>(F1079-H1079)^2</f>
        <v/>
      </c>
      <c r="J1079">
        <f>--(E1079="Validation")</f>
        <v/>
      </c>
    </row>
    <row r="1080">
      <c r="D1080">
        <f>AutoClaim_Data!A1080</f>
        <v/>
      </c>
      <c r="E1080">
        <f>AutoClaim_Data!B1080</f>
        <v/>
      </c>
      <c r="F1080">
        <f>AutoClaim_Data!C1080</f>
        <v/>
      </c>
      <c r="G1080">
        <f>IF(AutoClaim_Data!D1080&lt;=$B$2,AVERAGEIFS(AutoClaim_Data!C2:C3168,AutoClaim_Data!B2:B3168,"Train",AutoClaim_Data!D2:D3168,"&lt;="&amp;$B$2),AVERAGEIFS(AutoClaim_Data!C2:C3168,AutoClaim_Data!B2:B3168,"Train",AutoClaim_Data!D2:D3168,"&gt;"&amp;$B$2))</f>
        <v/>
      </c>
      <c r="H1080">
        <f>IF(AutoClaim_Data!D1080&lt;=$B$2,IF(AutoClaim_Data!E1080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0">
        <f>(F1080-H1080)^2</f>
        <v/>
      </c>
      <c r="J1080">
        <f>--(E1080="Validation")</f>
        <v/>
      </c>
    </row>
    <row r="1081">
      <c r="D1081">
        <f>AutoClaim_Data!A1081</f>
        <v/>
      </c>
      <c r="E1081">
        <f>AutoClaim_Data!B1081</f>
        <v/>
      </c>
      <c r="F1081">
        <f>AutoClaim_Data!C1081</f>
        <v/>
      </c>
      <c r="G1081">
        <f>IF(AutoClaim_Data!D1081&lt;=$B$2,AVERAGEIFS(AutoClaim_Data!C2:C3168,AutoClaim_Data!B2:B3168,"Train",AutoClaim_Data!D2:D3168,"&lt;="&amp;$B$2),AVERAGEIFS(AutoClaim_Data!C2:C3168,AutoClaim_Data!B2:B3168,"Train",AutoClaim_Data!D2:D3168,"&gt;"&amp;$B$2))</f>
        <v/>
      </c>
      <c r="H1081">
        <f>IF(AutoClaim_Data!D1081&lt;=$B$2,IF(AutoClaim_Data!E1081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1">
        <f>(F1081-H1081)^2</f>
        <v/>
      </c>
      <c r="J1081">
        <f>--(E1081="Validation")</f>
        <v/>
      </c>
    </row>
    <row r="1082">
      <c r="D1082">
        <f>AutoClaim_Data!A1082</f>
        <v/>
      </c>
      <c r="E1082">
        <f>AutoClaim_Data!B1082</f>
        <v/>
      </c>
      <c r="F1082">
        <f>AutoClaim_Data!C1082</f>
        <v/>
      </c>
      <c r="G1082">
        <f>IF(AutoClaim_Data!D1082&lt;=$B$2,AVERAGEIFS(AutoClaim_Data!C2:C3168,AutoClaim_Data!B2:B3168,"Train",AutoClaim_Data!D2:D3168,"&lt;="&amp;$B$2),AVERAGEIFS(AutoClaim_Data!C2:C3168,AutoClaim_Data!B2:B3168,"Train",AutoClaim_Data!D2:D3168,"&gt;"&amp;$B$2))</f>
        <v/>
      </c>
      <c r="H1082">
        <f>IF(AutoClaim_Data!D1082&lt;=$B$2,IF(AutoClaim_Data!E1082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2">
        <f>(F1082-H1082)^2</f>
        <v/>
      </c>
      <c r="J1082">
        <f>--(E1082="Validation")</f>
        <v/>
      </c>
    </row>
    <row r="1083">
      <c r="D1083">
        <f>AutoClaim_Data!A1083</f>
        <v/>
      </c>
      <c r="E1083">
        <f>AutoClaim_Data!B1083</f>
        <v/>
      </c>
      <c r="F1083">
        <f>AutoClaim_Data!C1083</f>
        <v/>
      </c>
      <c r="G1083">
        <f>IF(AutoClaim_Data!D1083&lt;=$B$2,AVERAGEIFS(AutoClaim_Data!C2:C3168,AutoClaim_Data!B2:B3168,"Train",AutoClaim_Data!D2:D3168,"&lt;="&amp;$B$2),AVERAGEIFS(AutoClaim_Data!C2:C3168,AutoClaim_Data!B2:B3168,"Train",AutoClaim_Data!D2:D3168,"&gt;"&amp;$B$2))</f>
        <v/>
      </c>
      <c r="H1083">
        <f>IF(AutoClaim_Data!D1083&lt;=$B$2,IF(AutoClaim_Data!E1083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3">
        <f>(F1083-H1083)^2</f>
        <v/>
      </c>
      <c r="J1083">
        <f>--(E1083="Validation")</f>
        <v/>
      </c>
    </row>
    <row r="1084">
      <c r="D1084">
        <f>AutoClaim_Data!A1084</f>
        <v/>
      </c>
      <c r="E1084">
        <f>AutoClaim_Data!B1084</f>
        <v/>
      </c>
      <c r="F1084">
        <f>AutoClaim_Data!C1084</f>
        <v/>
      </c>
      <c r="G1084">
        <f>IF(AutoClaim_Data!D1084&lt;=$B$2,AVERAGEIFS(AutoClaim_Data!C2:C3168,AutoClaim_Data!B2:B3168,"Train",AutoClaim_Data!D2:D3168,"&lt;="&amp;$B$2),AVERAGEIFS(AutoClaim_Data!C2:C3168,AutoClaim_Data!B2:B3168,"Train",AutoClaim_Data!D2:D3168,"&gt;"&amp;$B$2))</f>
        <v/>
      </c>
      <c r="H1084">
        <f>IF(AutoClaim_Data!D1084&lt;=$B$2,IF(AutoClaim_Data!E1084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4">
        <f>(F1084-H1084)^2</f>
        <v/>
      </c>
      <c r="J1084">
        <f>--(E1084="Validation")</f>
        <v/>
      </c>
    </row>
    <row r="1085">
      <c r="D1085">
        <f>AutoClaim_Data!A1085</f>
        <v/>
      </c>
      <c r="E1085">
        <f>AutoClaim_Data!B1085</f>
        <v/>
      </c>
      <c r="F1085">
        <f>AutoClaim_Data!C1085</f>
        <v/>
      </c>
      <c r="G1085">
        <f>IF(AutoClaim_Data!D1085&lt;=$B$2,AVERAGEIFS(AutoClaim_Data!C2:C3168,AutoClaim_Data!B2:B3168,"Train",AutoClaim_Data!D2:D3168,"&lt;="&amp;$B$2),AVERAGEIFS(AutoClaim_Data!C2:C3168,AutoClaim_Data!B2:B3168,"Train",AutoClaim_Data!D2:D3168,"&gt;"&amp;$B$2))</f>
        <v/>
      </c>
      <c r="H1085">
        <f>IF(AutoClaim_Data!D1085&lt;=$B$2,IF(AutoClaim_Data!E1085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5">
        <f>(F1085-H1085)^2</f>
        <v/>
      </c>
      <c r="J1085">
        <f>--(E1085="Validation")</f>
        <v/>
      </c>
    </row>
    <row r="1086">
      <c r="D1086">
        <f>AutoClaim_Data!A1086</f>
        <v/>
      </c>
      <c r="E1086">
        <f>AutoClaim_Data!B1086</f>
        <v/>
      </c>
      <c r="F1086">
        <f>AutoClaim_Data!C1086</f>
        <v/>
      </c>
      <c r="G1086">
        <f>IF(AutoClaim_Data!D1086&lt;=$B$2,AVERAGEIFS(AutoClaim_Data!C2:C3168,AutoClaim_Data!B2:B3168,"Train",AutoClaim_Data!D2:D3168,"&lt;="&amp;$B$2),AVERAGEIFS(AutoClaim_Data!C2:C3168,AutoClaim_Data!B2:B3168,"Train",AutoClaim_Data!D2:D3168,"&gt;"&amp;$B$2))</f>
        <v/>
      </c>
      <c r="H1086">
        <f>IF(AutoClaim_Data!D1086&lt;=$B$2,IF(AutoClaim_Data!E1086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6">
        <f>(F1086-H1086)^2</f>
        <v/>
      </c>
      <c r="J1086">
        <f>--(E1086="Validation")</f>
        <v/>
      </c>
    </row>
    <row r="1087">
      <c r="D1087">
        <f>AutoClaim_Data!A1087</f>
        <v/>
      </c>
      <c r="E1087">
        <f>AutoClaim_Data!B1087</f>
        <v/>
      </c>
      <c r="F1087">
        <f>AutoClaim_Data!C1087</f>
        <v/>
      </c>
      <c r="G1087">
        <f>IF(AutoClaim_Data!D1087&lt;=$B$2,AVERAGEIFS(AutoClaim_Data!C2:C3168,AutoClaim_Data!B2:B3168,"Train",AutoClaim_Data!D2:D3168,"&lt;="&amp;$B$2),AVERAGEIFS(AutoClaim_Data!C2:C3168,AutoClaim_Data!B2:B3168,"Train",AutoClaim_Data!D2:D3168,"&gt;"&amp;$B$2))</f>
        <v/>
      </c>
      <c r="H1087">
        <f>IF(AutoClaim_Data!D1087&lt;=$B$2,IF(AutoClaim_Data!E1087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7">
        <f>(F1087-H1087)^2</f>
        <v/>
      </c>
      <c r="J1087">
        <f>--(E1087="Validation")</f>
        <v/>
      </c>
    </row>
    <row r="1088">
      <c r="D1088">
        <f>AutoClaim_Data!A1088</f>
        <v/>
      </c>
      <c r="E1088">
        <f>AutoClaim_Data!B1088</f>
        <v/>
      </c>
      <c r="F1088">
        <f>AutoClaim_Data!C1088</f>
        <v/>
      </c>
      <c r="G1088">
        <f>IF(AutoClaim_Data!D1088&lt;=$B$2,AVERAGEIFS(AutoClaim_Data!C2:C3168,AutoClaim_Data!B2:B3168,"Train",AutoClaim_Data!D2:D3168,"&lt;="&amp;$B$2),AVERAGEIFS(AutoClaim_Data!C2:C3168,AutoClaim_Data!B2:B3168,"Train",AutoClaim_Data!D2:D3168,"&gt;"&amp;$B$2))</f>
        <v/>
      </c>
      <c r="H1088">
        <f>IF(AutoClaim_Data!D1088&lt;=$B$2,IF(AutoClaim_Data!E1088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8">
        <f>(F1088-H1088)^2</f>
        <v/>
      </c>
      <c r="J1088">
        <f>--(E1088="Validation")</f>
        <v/>
      </c>
    </row>
    <row r="1089">
      <c r="D1089">
        <f>AutoClaim_Data!A1089</f>
        <v/>
      </c>
      <c r="E1089">
        <f>AutoClaim_Data!B1089</f>
        <v/>
      </c>
      <c r="F1089">
        <f>AutoClaim_Data!C1089</f>
        <v/>
      </c>
      <c r="G1089">
        <f>IF(AutoClaim_Data!D1089&lt;=$B$2,AVERAGEIFS(AutoClaim_Data!C2:C3168,AutoClaim_Data!B2:B3168,"Train",AutoClaim_Data!D2:D3168,"&lt;="&amp;$B$2),AVERAGEIFS(AutoClaim_Data!C2:C3168,AutoClaim_Data!B2:B3168,"Train",AutoClaim_Data!D2:D3168,"&gt;"&amp;$B$2))</f>
        <v/>
      </c>
      <c r="H1089">
        <f>IF(AutoClaim_Data!D1089&lt;=$B$2,IF(AutoClaim_Data!E1089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89">
        <f>(F1089-H1089)^2</f>
        <v/>
      </c>
      <c r="J1089">
        <f>--(E1089="Validation")</f>
        <v/>
      </c>
    </row>
    <row r="1090">
      <c r="D1090">
        <f>AutoClaim_Data!A1090</f>
        <v/>
      </c>
      <c r="E1090">
        <f>AutoClaim_Data!B1090</f>
        <v/>
      </c>
      <c r="F1090">
        <f>AutoClaim_Data!C1090</f>
        <v/>
      </c>
      <c r="G1090">
        <f>IF(AutoClaim_Data!D1090&lt;=$B$2,AVERAGEIFS(AutoClaim_Data!C2:C3168,AutoClaim_Data!B2:B3168,"Train",AutoClaim_Data!D2:D3168,"&lt;="&amp;$B$2),AVERAGEIFS(AutoClaim_Data!C2:C3168,AutoClaim_Data!B2:B3168,"Train",AutoClaim_Data!D2:D3168,"&gt;"&amp;$B$2))</f>
        <v/>
      </c>
      <c r="H1090">
        <f>IF(AutoClaim_Data!D1090&lt;=$B$2,IF(AutoClaim_Data!E1090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0">
        <f>(F1090-H1090)^2</f>
        <v/>
      </c>
      <c r="J1090">
        <f>--(E1090="Validation")</f>
        <v/>
      </c>
    </row>
    <row r="1091">
      <c r="D1091">
        <f>AutoClaim_Data!A1091</f>
        <v/>
      </c>
      <c r="E1091">
        <f>AutoClaim_Data!B1091</f>
        <v/>
      </c>
      <c r="F1091">
        <f>AutoClaim_Data!C1091</f>
        <v/>
      </c>
      <c r="G1091">
        <f>IF(AutoClaim_Data!D1091&lt;=$B$2,AVERAGEIFS(AutoClaim_Data!C2:C3168,AutoClaim_Data!B2:B3168,"Train",AutoClaim_Data!D2:D3168,"&lt;="&amp;$B$2),AVERAGEIFS(AutoClaim_Data!C2:C3168,AutoClaim_Data!B2:B3168,"Train",AutoClaim_Data!D2:D3168,"&gt;"&amp;$B$2))</f>
        <v/>
      </c>
      <c r="H1091">
        <f>IF(AutoClaim_Data!D1091&lt;=$B$2,IF(AutoClaim_Data!E1091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1">
        <f>(F1091-H1091)^2</f>
        <v/>
      </c>
      <c r="J1091">
        <f>--(E1091="Validation")</f>
        <v/>
      </c>
    </row>
    <row r="1092">
      <c r="D1092">
        <f>AutoClaim_Data!A1092</f>
        <v/>
      </c>
      <c r="E1092">
        <f>AutoClaim_Data!B1092</f>
        <v/>
      </c>
      <c r="F1092">
        <f>AutoClaim_Data!C1092</f>
        <v/>
      </c>
      <c r="G1092">
        <f>IF(AutoClaim_Data!D1092&lt;=$B$2,AVERAGEIFS(AutoClaim_Data!C2:C3168,AutoClaim_Data!B2:B3168,"Train",AutoClaim_Data!D2:D3168,"&lt;="&amp;$B$2),AVERAGEIFS(AutoClaim_Data!C2:C3168,AutoClaim_Data!B2:B3168,"Train",AutoClaim_Data!D2:D3168,"&gt;"&amp;$B$2))</f>
        <v/>
      </c>
      <c r="H1092">
        <f>IF(AutoClaim_Data!D1092&lt;=$B$2,IF(AutoClaim_Data!E1092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2">
        <f>(F1092-H1092)^2</f>
        <v/>
      </c>
      <c r="J1092">
        <f>--(E1092="Validation")</f>
        <v/>
      </c>
    </row>
    <row r="1093">
      <c r="D1093">
        <f>AutoClaim_Data!A1093</f>
        <v/>
      </c>
      <c r="E1093">
        <f>AutoClaim_Data!B1093</f>
        <v/>
      </c>
      <c r="F1093">
        <f>AutoClaim_Data!C1093</f>
        <v/>
      </c>
      <c r="G1093">
        <f>IF(AutoClaim_Data!D1093&lt;=$B$2,AVERAGEIFS(AutoClaim_Data!C2:C3168,AutoClaim_Data!B2:B3168,"Train",AutoClaim_Data!D2:D3168,"&lt;="&amp;$B$2),AVERAGEIFS(AutoClaim_Data!C2:C3168,AutoClaim_Data!B2:B3168,"Train",AutoClaim_Data!D2:D3168,"&gt;"&amp;$B$2))</f>
        <v/>
      </c>
      <c r="H1093">
        <f>IF(AutoClaim_Data!D1093&lt;=$B$2,IF(AutoClaim_Data!E1093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3">
        <f>(F1093-H1093)^2</f>
        <v/>
      </c>
      <c r="J1093">
        <f>--(E1093="Validation")</f>
        <v/>
      </c>
    </row>
    <row r="1094">
      <c r="D1094">
        <f>AutoClaim_Data!A1094</f>
        <v/>
      </c>
      <c r="E1094">
        <f>AutoClaim_Data!B1094</f>
        <v/>
      </c>
      <c r="F1094">
        <f>AutoClaim_Data!C1094</f>
        <v/>
      </c>
      <c r="G1094">
        <f>IF(AutoClaim_Data!D1094&lt;=$B$2,AVERAGEIFS(AutoClaim_Data!C2:C3168,AutoClaim_Data!B2:B3168,"Train",AutoClaim_Data!D2:D3168,"&lt;="&amp;$B$2),AVERAGEIFS(AutoClaim_Data!C2:C3168,AutoClaim_Data!B2:B3168,"Train",AutoClaim_Data!D2:D3168,"&gt;"&amp;$B$2))</f>
        <v/>
      </c>
      <c r="H1094">
        <f>IF(AutoClaim_Data!D1094&lt;=$B$2,IF(AutoClaim_Data!E1094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4">
        <f>(F1094-H1094)^2</f>
        <v/>
      </c>
      <c r="J1094">
        <f>--(E1094="Validation")</f>
        <v/>
      </c>
    </row>
    <row r="1095">
      <c r="D1095">
        <f>AutoClaim_Data!A1095</f>
        <v/>
      </c>
      <c r="E1095">
        <f>AutoClaim_Data!B1095</f>
        <v/>
      </c>
      <c r="F1095">
        <f>AutoClaim_Data!C1095</f>
        <v/>
      </c>
      <c r="G1095">
        <f>IF(AutoClaim_Data!D1095&lt;=$B$2,AVERAGEIFS(AutoClaim_Data!C2:C3168,AutoClaim_Data!B2:B3168,"Train",AutoClaim_Data!D2:D3168,"&lt;="&amp;$B$2),AVERAGEIFS(AutoClaim_Data!C2:C3168,AutoClaim_Data!B2:B3168,"Train",AutoClaim_Data!D2:D3168,"&gt;"&amp;$B$2))</f>
        <v/>
      </c>
      <c r="H1095">
        <f>IF(AutoClaim_Data!D1095&lt;=$B$2,IF(AutoClaim_Data!E1095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5">
        <f>(F1095-H1095)^2</f>
        <v/>
      </c>
      <c r="J1095">
        <f>--(E1095="Validation")</f>
        <v/>
      </c>
    </row>
    <row r="1096">
      <c r="D1096">
        <f>AutoClaim_Data!A1096</f>
        <v/>
      </c>
      <c r="E1096">
        <f>AutoClaim_Data!B1096</f>
        <v/>
      </c>
      <c r="F1096">
        <f>AutoClaim_Data!C1096</f>
        <v/>
      </c>
      <c r="G1096">
        <f>IF(AutoClaim_Data!D1096&lt;=$B$2,AVERAGEIFS(AutoClaim_Data!C2:C3168,AutoClaim_Data!B2:B3168,"Train",AutoClaim_Data!D2:D3168,"&lt;="&amp;$B$2),AVERAGEIFS(AutoClaim_Data!C2:C3168,AutoClaim_Data!B2:B3168,"Train",AutoClaim_Data!D2:D3168,"&gt;"&amp;$B$2))</f>
        <v/>
      </c>
      <c r="H1096">
        <f>IF(AutoClaim_Data!D1096&lt;=$B$2,IF(AutoClaim_Data!E1096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6">
        <f>(F1096-H1096)^2</f>
        <v/>
      </c>
      <c r="J1096">
        <f>--(E1096="Validation")</f>
        <v/>
      </c>
    </row>
    <row r="1097">
      <c r="D1097">
        <f>AutoClaim_Data!A1097</f>
        <v/>
      </c>
      <c r="E1097">
        <f>AutoClaim_Data!B1097</f>
        <v/>
      </c>
      <c r="F1097">
        <f>AutoClaim_Data!C1097</f>
        <v/>
      </c>
      <c r="G1097">
        <f>IF(AutoClaim_Data!D1097&lt;=$B$2,AVERAGEIFS(AutoClaim_Data!C2:C3168,AutoClaim_Data!B2:B3168,"Train",AutoClaim_Data!D2:D3168,"&lt;="&amp;$B$2),AVERAGEIFS(AutoClaim_Data!C2:C3168,AutoClaim_Data!B2:B3168,"Train",AutoClaim_Data!D2:D3168,"&gt;"&amp;$B$2))</f>
        <v/>
      </c>
      <c r="H1097">
        <f>IF(AutoClaim_Data!D1097&lt;=$B$2,IF(AutoClaim_Data!E1097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7">
        <f>(F1097-H1097)^2</f>
        <v/>
      </c>
      <c r="J1097">
        <f>--(E1097="Validation")</f>
        <v/>
      </c>
    </row>
    <row r="1098">
      <c r="D1098">
        <f>AutoClaim_Data!A1098</f>
        <v/>
      </c>
      <c r="E1098">
        <f>AutoClaim_Data!B1098</f>
        <v/>
      </c>
      <c r="F1098">
        <f>AutoClaim_Data!C1098</f>
        <v/>
      </c>
      <c r="G1098">
        <f>IF(AutoClaim_Data!D1098&lt;=$B$2,AVERAGEIFS(AutoClaim_Data!C2:C3168,AutoClaim_Data!B2:B3168,"Train",AutoClaim_Data!D2:D3168,"&lt;="&amp;$B$2),AVERAGEIFS(AutoClaim_Data!C2:C3168,AutoClaim_Data!B2:B3168,"Train",AutoClaim_Data!D2:D3168,"&gt;"&amp;$B$2))</f>
        <v/>
      </c>
      <c r="H1098">
        <f>IF(AutoClaim_Data!D1098&lt;=$B$2,IF(AutoClaim_Data!E1098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8">
        <f>(F1098-H1098)^2</f>
        <v/>
      </c>
      <c r="J1098">
        <f>--(E1098="Validation")</f>
        <v/>
      </c>
    </row>
    <row r="1099">
      <c r="D1099">
        <f>AutoClaim_Data!A1099</f>
        <v/>
      </c>
      <c r="E1099">
        <f>AutoClaim_Data!B1099</f>
        <v/>
      </c>
      <c r="F1099">
        <f>AutoClaim_Data!C1099</f>
        <v/>
      </c>
      <c r="G1099">
        <f>IF(AutoClaim_Data!D1099&lt;=$B$2,AVERAGEIFS(AutoClaim_Data!C2:C3168,AutoClaim_Data!B2:B3168,"Train",AutoClaim_Data!D2:D3168,"&lt;="&amp;$B$2),AVERAGEIFS(AutoClaim_Data!C2:C3168,AutoClaim_Data!B2:B3168,"Train",AutoClaim_Data!D2:D3168,"&gt;"&amp;$B$2))</f>
        <v/>
      </c>
      <c r="H1099">
        <f>IF(AutoClaim_Data!D1099&lt;=$B$2,IF(AutoClaim_Data!E1099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1099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099">
        <f>(F1099-H1099)^2</f>
        <v/>
      </c>
      <c r="J1099">
        <f>--(E1099="Validation")</f>
        <v/>
      </c>
    </row>
    <row r="1100">
      <c r="D1100">
        <f>AutoClaim_Data!A1100</f>
        <v/>
      </c>
      <c r="E1100">
        <f>AutoClaim_Data!B1100</f>
        <v/>
      </c>
      <c r="F1100">
        <f>AutoClaim_Data!C1100</f>
        <v/>
      </c>
      <c r="G1100">
        <f>IF(AutoClaim_Data!D1100&lt;=$B$2,AVERAGEIFS(AutoClaim_Data!C2:C3168,AutoClaim_Data!B2:B3168,"Train",AutoClaim_Data!D2:D3168,"&lt;="&amp;$B$2),AVERAGEIFS(AutoClaim_Data!C2:C3168,AutoClaim_Data!B2:B3168,"Train",AutoClaim_Data!D2:D3168,"&gt;"&amp;$B$2))</f>
        <v/>
      </c>
      <c r="H1100">
        <f>IF(AutoClaim_Data!D1100&lt;=$B$2,IF(AutoClaim_Data!E1100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0">
        <f>(F1100-H1100)^2</f>
        <v/>
      </c>
      <c r="J1100">
        <f>--(E1100="Validation")</f>
        <v/>
      </c>
    </row>
    <row r="1101">
      <c r="D1101">
        <f>AutoClaim_Data!A1101</f>
        <v/>
      </c>
      <c r="E1101">
        <f>AutoClaim_Data!B1101</f>
        <v/>
      </c>
      <c r="F1101">
        <f>AutoClaim_Data!C1101</f>
        <v/>
      </c>
      <c r="G1101">
        <f>IF(AutoClaim_Data!D1101&lt;=$B$2,AVERAGEIFS(AutoClaim_Data!C2:C3168,AutoClaim_Data!B2:B3168,"Train",AutoClaim_Data!D2:D3168,"&lt;="&amp;$B$2),AVERAGEIFS(AutoClaim_Data!C2:C3168,AutoClaim_Data!B2:B3168,"Train",AutoClaim_Data!D2:D3168,"&gt;"&amp;$B$2))</f>
        <v/>
      </c>
      <c r="H1101">
        <f>IF(AutoClaim_Data!D1101&lt;=$B$2,IF(AutoClaim_Data!E1101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1">
        <f>(F1101-H1101)^2</f>
        <v/>
      </c>
      <c r="J1101">
        <f>--(E1101="Validation")</f>
        <v/>
      </c>
    </row>
    <row r="1102">
      <c r="D1102">
        <f>AutoClaim_Data!A1102</f>
        <v/>
      </c>
      <c r="E1102">
        <f>AutoClaim_Data!B1102</f>
        <v/>
      </c>
      <c r="F1102">
        <f>AutoClaim_Data!C1102</f>
        <v/>
      </c>
      <c r="G1102">
        <f>IF(AutoClaim_Data!D1102&lt;=$B$2,AVERAGEIFS(AutoClaim_Data!C2:C3168,AutoClaim_Data!B2:B3168,"Train",AutoClaim_Data!D2:D3168,"&lt;="&amp;$B$2),AVERAGEIFS(AutoClaim_Data!C2:C3168,AutoClaim_Data!B2:B3168,"Train",AutoClaim_Data!D2:D3168,"&gt;"&amp;$B$2))</f>
        <v/>
      </c>
      <c r="H1102">
        <f>IF(AutoClaim_Data!D1102&lt;=$B$2,IF(AutoClaim_Data!E1102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2">
        <f>(F1102-H1102)^2</f>
        <v/>
      </c>
      <c r="J1102">
        <f>--(E1102="Validation")</f>
        <v/>
      </c>
    </row>
    <row r="1103">
      <c r="D1103">
        <f>AutoClaim_Data!A1103</f>
        <v/>
      </c>
      <c r="E1103">
        <f>AutoClaim_Data!B1103</f>
        <v/>
      </c>
      <c r="F1103">
        <f>AutoClaim_Data!C1103</f>
        <v/>
      </c>
      <c r="G1103">
        <f>IF(AutoClaim_Data!D1103&lt;=$B$2,AVERAGEIFS(AutoClaim_Data!C2:C3168,AutoClaim_Data!B2:B3168,"Train",AutoClaim_Data!D2:D3168,"&lt;="&amp;$B$2),AVERAGEIFS(AutoClaim_Data!C2:C3168,AutoClaim_Data!B2:B3168,"Train",AutoClaim_Data!D2:D3168,"&gt;"&amp;$B$2))</f>
        <v/>
      </c>
      <c r="H1103">
        <f>IF(AutoClaim_Data!D1103&lt;=$B$2,IF(AutoClaim_Data!E1103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3">
        <f>(F1103-H1103)^2</f>
        <v/>
      </c>
      <c r="J1103">
        <f>--(E1103="Validation")</f>
        <v/>
      </c>
    </row>
    <row r="1104">
      <c r="D1104">
        <f>AutoClaim_Data!A1104</f>
        <v/>
      </c>
      <c r="E1104">
        <f>AutoClaim_Data!B1104</f>
        <v/>
      </c>
      <c r="F1104">
        <f>AutoClaim_Data!C1104</f>
        <v/>
      </c>
      <c r="G1104">
        <f>IF(AutoClaim_Data!D1104&lt;=$B$2,AVERAGEIFS(AutoClaim_Data!C2:C3168,AutoClaim_Data!B2:B3168,"Train",AutoClaim_Data!D2:D3168,"&lt;="&amp;$B$2),AVERAGEIFS(AutoClaim_Data!C2:C3168,AutoClaim_Data!B2:B3168,"Train",AutoClaim_Data!D2:D3168,"&gt;"&amp;$B$2))</f>
        <v/>
      </c>
      <c r="H1104">
        <f>IF(AutoClaim_Data!D1104&lt;=$B$2,IF(AutoClaim_Data!E1104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4">
        <f>(F1104-H1104)^2</f>
        <v/>
      </c>
      <c r="J1104">
        <f>--(E1104="Validation")</f>
        <v/>
      </c>
    </row>
    <row r="1105">
      <c r="D1105">
        <f>AutoClaim_Data!A1105</f>
        <v/>
      </c>
      <c r="E1105">
        <f>AutoClaim_Data!B1105</f>
        <v/>
      </c>
      <c r="F1105">
        <f>AutoClaim_Data!C1105</f>
        <v/>
      </c>
      <c r="G1105">
        <f>IF(AutoClaim_Data!D1105&lt;=$B$2,AVERAGEIFS(AutoClaim_Data!C2:C3168,AutoClaim_Data!B2:B3168,"Train",AutoClaim_Data!D2:D3168,"&lt;="&amp;$B$2),AVERAGEIFS(AutoClaim_Data!C2:C3168,AutoClaim_Data!B2:B3168,"Train",AutoClaim_Data!D2:D3168,"&gt;"&amp;$B$2))</f>
        <v/>
      </c>
      <c r="H1105">
        <f>IF(AutoClaim_Data!D1105&lt;=$B$2,IF(AutoClaim_Data!E1105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5">
        <f>(F1105-H1105)^2</f>
        <v/>
      </c>
      <c r="J1105">
        <f>--(E1105="Validation")</f>
        <v/>
      </c>
    </row>
    <row r="1106">
      <c r="D1106">
        <f>AutoClaim_Data!A1106</f>
        <v/>
      </c>
      <c r="E1106">
        <f>AutoClaim_Data!B1106</f>
        <v/>
      </c>
      <c r="F1106">
        <f>AutoClaim_Data!C1106</f>
        <v/>
      </c>
      <c r="G1106">
        <f>IF(AutoClaim_Data!D1106&lt;=$B$2,AVERAGEIFS(AutoClaim_Data!C2:C3168,AutoClaim_Data!B2:B3168,"Train",AutoClaim_Data!D2:D3168,"&lt;="&amp;$B$2),AVERAGEIFS(AutoClaim_Data!C2:C3168,AutoClaim_Data!B2:B3168,"Train",AutoClaim_Data!D2:D3168,"&gt;"&amp;$B$2))</f>
        <v/>
      </c>
      <c r="H1106">
        <f>IF(AutoClaim_Data!D1106&lt;=$B$2,IF(AutoClaim_Data!E1106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6">
        <f>(F1106-H1106)^2</f>
        <v/>
      </c>
      <c r="J1106">
        <f>--(E1106="Validation")</f>
        <v/>
      </c>
    </row>
    <row r="1107">
      <c r="D1107">
        <f>AutoClaim_Data!A1107</f>
        <v/>
      </c>
      <c r="E1107">
        <f>AutoClaim_Data!B1107</f>
        <v/>
      </c>
      <c r="F1107">
        <f>AutoClaim_Data!C1107</f>
        <v/>
      </c>
      <c r="G1107">
        <f>IF(AutoClaim_Data!D1107&lt;=$B$2,AVERAGEIFS(AutoClaim_Data!C2:C3168,AutoClaim_Data!B2:B3168,"Train",AutoClaim_Data!D2:D3168,"&lt;="&amp;$B$2),AVERAGEIFS(AutoClaim_Data!C2:C3168,AutoClaim_Data!B2:B3168,"Train",AutoClaim_Data!D2:D3168,"&gt;"&amp;$B$2))</f>
        <v/>
      </c>
      <c r="H1107">
        <f>IF(AutoClaim_Data!D1107&lt;=$B$2,IF(AutoClaim_Data!E1107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7">
        <f>(F1107-H1107)^2</f>
        <v/>
      </c>
      <c r="J1107">
        <f>--(E1107="Validation")</f>
        <v/>
      </c>
    </row>
    <row r="1108">
      <c r="D1108">
        <f>AutoClaim_Data!A1108</f>
        <v/>
      </c>
      <c r="E1108">
        <f>AutoClaim_Data!B1108</f>
        <v/>
      </c>
      <c r="F1108">
        <f>AutoClaim_Data!C1108</f>
        <v/>
      </c>
      <c r="G1108">
        <f>IF(AutoClaim_Data!D1108&lt;=$B$2,AVERAGEIFS(AutoClaim_Data!C2:C3168,AutoClaim_Data!B2:B3168,"Train",AutoClaim_Data!D2:D3168,"&lt;="&amp;$B$2),AVERAGEIFS(AutoClaim_Data!C2:C3168,AutoClaim_Data!B2:B3168,"Train",AutoClaim_Data!D2:D3168,"&gt;"&amp;$B$2))</f>
        <v/>
      </c>
      <c r="H1108">
        <f>IF(AutoClaim_Data!D1108&lt;=$B$2,IF(AutoClaim_Data!E1108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8">
        <f>(F1108-H1108)^2</f>
        <v/>
      </c>
      <c r="J1108">
        <f>--(E1108="Validation")</f>
        <v/>
      </c>
    </row>
    <row r="1109">
      <c r="D1109">
        <f>AutoClaim_Data!A1109</f>
        <v/>
      </c>
      <c r="E1109">
        <f>AutoClaim_Data!B1109</f>
        <v/>
      </c>
      <c r="F1109">
        <f>AutoClaim_Data!C1109</f>
        <v/>
      </c>
      <c r="G1109">
        <f>IF(AutoClaim_Data!D1109&lt;=$B$2,AVERAGEIFS(AutoClaim_Data!C2:C3168,AutoClaim_Data!B2:B3168,"Train",AutoClaim_Data!D2:D3168,"&lt;="&amp;$B$2),AVERAGEIFS(AutoClaim_Data!C2:C3168,AutoClaim_Data!B2:B3168,"Train",AutoClaim_Data!D2:D3168,"&gt;"&amp;$B$2))</f>
        <v/>
      </c>
      <c r="H1109">
        <f>IF(AutoClaim_Data!D1109&lt;=$B$2,IF(AutoClaim_Data!E1109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09">
        <f>(F1109-H1109)^2</f>
        <v/>
      </c>
      <c r="J1109">
        <f>--(E1109="Validation")</f>
        <v/>
      </c>
    </row>
    <row r="1110">
      <c r="D1110">
        <f>AutoClaim_Data!A1110</f>
        <v/>
      </c>
      <c r="E1110">
        <f>AutoClaim_Data!B1110</f>
        <v/>
      </c>
      <c r="F1110">
        <f>AutoClaim_Data!C1110</f>
        <v/>
      </c>
      <c r="G1110">
        <f>IF(AutoClaim_Data!D1110&lt;=$B$2,AVERAGEIFS(AutoClaim_Data!C2:C3168,AutoClaim_Data!B2:B3168,"Train",AutoClaim_Data!D2:D3168,"&lt;="&amp;$B$2),AVERAGEIFS(AutoClaim_Data!C2:C3168,AutoClaim_Data!B2:B3168,"Train",AutoClaim_Data!D2:D3168,"&gt;"&amp;$B$2))</f>
        <v/>
      </c>
      <c r="H1110">
        <f>IF(AutoClaim_Data!D1110&lt;=$B$2,IF(AutoClaim_Data!E1110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0">
        <f>(F1110-H1110)^2</f>
        <v/>
      </c>
      <c r="J1110">
        <f>--(E1110="Validation")</f>
        <v/>
      </c>
    </row>
    <row r="1111">
      <c r="D1111">
        <f>AutoClaim_Data!A1111</f>
        <v/>
      </c>
      <c r="E1111">
        <f>AutoClaim_Data!B1111</f>
        <v/>
      </c>
      <c r="F1111">
        <f>AutoClaim_Data!C1111</f>
        <v/>
      </c>
      <c r="G1111">
        <f>IF(AutoClaim_Data!D1111&lt;=$B$2,AVERAGEIFS(AutoClaim_Data!C2:C3168,AutoClaim_Data!B2:B3168,"Train",AutoClaim_Data!D2:D3168,"&lt;="&amp;$B$2),AVERAGEIFS(AutoClaim_Data!C2:C3168,AutoClaim_Data!B2:B3168,"Train",AutoClaim_Data!D2:D3168,"&gt;"&amp;$B$2))</f>
        <v/>
      </c>
      <c r="H1111">
        <f>IF(AutoClaim_Data!D1111&lt;=$B$2,IF(AutoClaim_Data!E1111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1">
        <f>(F1111-H1111)^2</f>
        <v/>
      </c>
      <c r="J1111">
        <f>--(E1111="Validation")</f>
        <v/>
      </c>
    </row>
    <row r="1112">
      <c r="D1112">
        <f>AutoClaim_Data!A1112</f>
        <v/>
      </c>
      <c r="E1112">
        <f>AutoClaim_Data!B1112</f>
        <v/>
      </c>
      <c r="F1112">
        <f>AutoClaim_Data!C1112</f>
        <v/>
      </c>
      <c r="G1112">
        <f>IF(AutoClaim_Data!D1112&lt;=$B$2,AVERAGEIFS(AutoClaim_Data!C2:C3168,AutoClaim_Data!B2:B3168,"Train",AutoClaim_Data!D2:D3168,"&lt;="&amp;$B$2),AVERAGEIFS(AutoClaim_Data!C2:C3168,AutoClaim_Data!B2:B3168,"Train",AutoClaim_Data!D2:D3168,"&gt;"&amp;$B$2))</f>
        <v/>
      </c>
      <c r="H1112">
        <f>IF(AutoClaim_Data!D1112&lt;=$B$2,IF(AutoClaim_Data!E1112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2">
        <f>(F1112-H1112)^2</f>
        <v/>
      </c>
      <c r="J1112">
        <f>--(E1112="Validation")</f>
        <v/>
      </c>
    </row>
    <row r="1113">
      <c r="D1113">
        <f>AutoClaim_Data!A1113</f>
        <v/>
      </c>
      <c r="E1113">
        <f>AutoClaim_Data!B1113</f>
        <v/>
      </c>
      <c r="F1113">
        <f>AutoClaim_Data!C1113</f>
        <v/>
      </c>
      <c r="G1113">
        <f>IF(AutoClaim_Data!D1113&lt;=$B$2,AVERAGEIFS(AutoClaim_Data!C2:C3168,AutoClaim_Data!B2:B3168,"Train",AutoClaim_Data!D2:D3168,"&lt;="&amp;$B$2),AVERAGEIFS(AutoClaim_Data!C2:C3168,AutoClaim_Data!B2:B3168,"Train",AutoClaim_Data!D2:D3168,"&gt;"&amp;$B$2))</f>
        <v/>
      </c>
      <c r="H1113">
        <f>IF(AutoClaim_Data!D1113&lt;=$B$2,IF(AutoClaim_Data!E1113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3">
        <f>(F1113-H1113)^2</f>
        <v/>
      </c>
      <c r="J1113">
        <f>--(E1113="Validation")</f>
        <v/>
      </c>
    </row>
    <row r="1114">
      <c r="D1114">
        <f>AutoClaim_Data!A1114</f>
        <v/>
      </c>
      <c r="E1114">
        <f>AutoClaim_Data!B1114</f>
        <v/>
      </c>
      <c r="F1114">
        <f>AutoClaim_Data!C1114</f>
        <v/>
      </c>
      <c r="G1114">
        <f>IF(AutoClaim_Data!D1114&lt;=$B$2,AVERAGEIFS(AutoClaim_Data!C2:C3168,AutoClaim_Data!B2:B3168,"Train",AutoClaim_Data!D2:D3168,"&lt;="&amp;$B$2),AVERAGEIFS(AutoClaim_Data!C2:C3168,AutoClaim_Data!B2:B3168,"Train",AutoClaim_Data!D2:D3168,"&gt;"&amp;$B$2))</f>
        <v/>
      </c>
      <c r="H1114">
        <f>IF(AutoClaim_Data!D1114&lt;=$B$2,IF(AutoClaim_Data!E1114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4">
        <f>(F1114-H1114)^2</f>
        <v/>
      </c>
      <c r="J1114">
        <f>--(E1114="Validation")</f>
        <v/>
      </c>
    </row>
    <row r="1115">
      <c r="D1115">
        <f>AutoClaim_Data!A1115</f>
        <v/>
      </c>
      <c r="E1115">
        <f>AutoClaim_Data!B1115</f>
        <v/>
      </c>
      <c r="F1115">
        <f>AutoClaim_Data!C1115</f>
        <v/>
      </c>
      <c r="G1115">
        <f>IF(AutoClaim_Data!D1115&lt;=$B$2,AVERAGEIFS(AutoClaim_Data!C2:C3168,AutoClaim_Data!B2:B3168,"Train",AutoClaim_Data!D2:D3168,"&lt;="&amp;$B$2),AVERAGEIFS(AutoClaim_Data!C2:C3168,AutoClaim_Data!B2:B3168,"Train",AutoClaim_Data!D2:D3168,"&gt;"&amp;$B$2))</f>
        <v/>
      </c>
      <c r="H1115">
        <f>IF(AutoClaim_Data!D1115&lt;=$B$2,IF(AutoClaim_Data!E1115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5">
        <f>(F1115-H1115)^2</f>
        <v/>
      </c>
      <c r="J1115">
        <f>--(E1115="Validation")</f>
        <v/>
      </c>
    </row>
    <row r="1116">
      <c r="D1116">
        <f>AutoClaim_Data!A1116</f>
        <v/>
      </c>
      <c r="E1116">
        <f>AutoClaim_Data!B1116</f>
        <v/>
      </c>
      <c r="F1116">
        <f>AutoClaim_Data!C1116</f>
        <v/>
      </c>
      <c r="G1116">
        <f>IF(AutoClaim_Data!D1116&lt;=$B$2,AVERAGEIFS(AutoClaim_Data!C2:C3168,AutoClaim_Data!B2:B3168,"Train",AutoClaim_Data!D2:D3168,"&lt;="&amp;$B$2),AVERAGEIFS(AutoClaim_Data!C2:C3168,AutoClaim_Data!B2:B3168,"Train",AutoClaim_Data!D2:D3168,"&gt;"&amp;$B$2))</f>
        <v/>
      </c>
      <c r="H1116">
        <f>IF(AutoClaim_Data!D1116&lt;=$B$2,IF(AutoClaim_Data!E1116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6">
        <f>(F1116-H1116)^2</f>
        <v/>
      </c>
      <c r="J1116">
        <f>--(E1116="Validation")</f>
        <v/>
      </c>
    </row>
    <row r="1117">
      <c r="D1117">
        <f>AutoClaim_Data!A1117</f>
        <v/>
      </c>
      <c r="E1117">
        <f>AutoClaim_Data!B1117</f>
        <v/>
      </c>
      <c r="F1117">
        <f>AutoClaim_Data!C1117</f>
        <v/>
      </c>
      <c r="G1117">
        <f>IF(AutoClaim_Data!D1117&lt;=$B$2,AVERAGEIFS(AutoClaim_Data!C2:C3168,AutoClaim_Data!B2:B3168,"Train",AutoClaim_Data!D2:D3168,"&lt;="&amp;$B$2),AVERAGEIFS(AutoClaim_Data!C2:C3168,AutoClaim_Data!B2:B3168,"Train",AutoClaim_Data!D2:D3168,"&gt;"&amp;$B$2))</f>
        <v/>
      </c>
      <c r="H1117">
        <f>IF(AutoClaim_Data!D1117&lt;=$B$2,IF(AutoClaim_Data!E1117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7">
        <f>(F1117-H1117)^2</f>
        <v/>
      </c>
      <c r="J1117">
        <f>--(E1117="Validation")</f>
        <v/>
      </c>
    </row>
    <row r="1118">
      <c r="D1118">
        <f>AutoClaim_Data!A1118</f>
        <v/>
      </c>
      <c r="E1118">
        <f>AutoClaim_Data!B1118</f>
        <v/>
      </c>
      <c r="F1118">
        <f>AutoClaim_Data!C1118</f>
        <v/>
      </c>
      <c r="G1118">
        <f>IF(AutoClaim_Data!D1118&lt;=$B$2,AVERAGEIFS(AutoClaim_Data!C2:C3168,AutoClaim_Data!B2:B3168,"Train",AutoClaim_Data!D2:D3168,"&lt;="&amp;$B$2),AVERAGEIFS(AutoClaim_Data!C2:C3168,AutoClaim_Data!B2:B3168,"Train",AutoClaim_Data!D2:D3168,"&gt;"&amp;$B$2))</f>
        <v/>
      </c>
      <c r="H1118">
        <f>IF(AutoClaim_Data!D1118&lt;=$B$2,IF(AutoClaim_Data!E1118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8">
        <f>(F1118-H1118)^2</f>
        <v/>
      </c>
      <c r="J1118">
        <f>--(E1118="Validation")</f>
        <v/>
      </c>
    </row>
    <row r="1119">
      <c r="D1119">
        <f>AutoClaim_Data!A1119</f>
        <v/>
      </c>
      <c r="E1119">
        <f>AutoClaim_Data!B1119</f>
        <v/>
      </c>
      <c r="F1119">
        <f>AutoClaim_Data!C1119</f>
        <v/>
      </c>
      <c r="G1119">
        <f>IF(AutoClaim_Data!D1119&lt;=$B$2,AVERAGEIFS(AutoClaim_Data!C2:C3168,AutoClaim_Data!B2:B3168,"Train",AutoClaim_Data!D2:D3168,"&lt;="&amp;$B$2),AVERAGEIFS(AutoClaim_Data!C2:C3168,AutoClaim_Data!B2:B3168,"Train",AutoClaim_Data!D2:D3168,"&gt;"&amp;$B$2))</f>
        <v/>
      </c>
      <c r="H1119">
        <f>IF(AutoClaim_Data!D1119&lt;=$B$2,IF(AutoClaim_Data!E1119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19">
        <f>(F1119-H1119)^2</f>
        <v/>
      </c>
      <c r="J1119">
        <f>--(E1119="Validation")</f>
        <v/>
      </c>
    </row>
    <row r="1120">
      <c r="D1120">
        <f>AutoClaim_Data!A1120</f>
        <v/>
      </c>
      <c r="E1120">
        <f>AutoClaim_Data!B1120</f>
        <v/>
      </c>
      <c r="F1120">
        <f>AutoClaim_Data!C1120</f>
        <v/>
      </c>
      <c r="G1120">
        <f>IF(AutoClaim_Data!D1120&lt;=$B$2,AVERAGEIFS(AutoClaim_Data!C2:C3168,AutoClaim_Data!B2:B3168,"Train",AutoClaim_Data!D2:D3168,"&lt;="&amp;$B$2),AVERAGEIFS(AutoClaim_Data!C2:C3168,AutoClaim_Data!B2:B3168,"Train",AutoClaim_Data!D2:D3168,"&gt;"&amp;$B$2))</f>
        <v/>
      </c>
      <c r="H1120">
        <f>IF(AutoClaim_Data!D1120&lt;=$B$2,IF(AutoClaim_Data!E1120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0">
        <f>(F1120-H1120)^2</f>
        <v/>
      </c>
      <c r="J1120">
        <f>--(E1120="Validation")</f>
        <v/>
      </c>
    </row>
    <row r="1121">
      <c r="D1121">
        <f>AutoClaim_Data!A1121</f>
        <v/>
      </c>
      <c r="E1121">
        <f>AutoClaim_Data!B1121</f>
        <v/>
      </c>
      <c r="F1121">
        <f>AutoClaim_Data!C1121</f>
        <v/>
      </c>
      <c r="G1121">
        <f>IF(AutoClaim_Data!D1121&lt;=$B$2,AVERAGEIFS(AutoClaim_Data!C2:C3168,AutoClaim_Data!B2:B3168,"Train",AutoClaim_Data!D2:D3168,"&lt;="&amp;$B$2),AVERAGEIFS(AutoClaim_Data!C2:C3168,AutoClaim_Data!B2:B3168,"Train",AutoClaim_Data!D2:D3168,"&gt;"&amp;$B$2))</f>
        <v/>
      </c>
      <c r="H1121">
        <f>IF(AutoClaim_Data!D1121&lt;=$B$2,IF(AutoClaim_Data!E1121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1">
        <f>(F1121-H1121)^2</f>
        <v/>
      </c>
      <c r="J1121">
        <f>--(E1121="Validation")</f>
        <v/>
      </c>
    </row>
    <row r="1122">
      <c r="D1122">
        <f>AutoClaim_Data!A1122</f>
        <v/>
      </c>
      <c r="E1122">
        <f>AutoClaim_Data!B1122</f>
        <v/>
      </c>
      <c r="F1122">
        <f>AutoClaim_Data!C1122</f>
        <v/>
      </c>
      <c r="G1122">
        <f>IF(AutoClaim_Data!D1122&lt;=$B$2,AVERAGEIFS(AutoClaim_Data!C2:C3168,AutoClaim_Data!B2:B3168,"Train",AutoClaim_Data!D2:D3168,"&lt;="&amp;$B$2),AVERAGEIFS(AutoClaim_Data!C2:C3168,AutoClaim_Data!B2:B3168,"Train",AutoClaim_Data!D2:D3168,"&gt;"&amp;$B$2))</f>
        <v/>
      </c>
      <c r="H1122">
        <f>IF(AutoClaim_Data!D1122&lt;=$B$2,IF(AutoClaim_Data!E1122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2">
        <f>(F1122-H1122)^2</f>
        <v/>
      </c>
      <c r="J1122">
        <f>--(E1122="Validation")</f>
        <v/>
      </c>
    </row>
    <row r="1123">
      <c r="D1123">
        <f>AutoClaim_Data!A1123</f>
        <v/>
      </c>
      <c r="E1123">
        <f>AutoClaim_Data!B1123</f>
        <v/>
      </c>
      <c r="F1123">
        <f>AutoClaim_Data!C1123</f>
        <v/>
      </c>
      <c r="G1123">
        <f>IF(AutoClaim_Data!D1123&lt;=$B$2,AVERAGEIFS(AutoClaim_Data!C2:C3168,AutoClaim_Data!B2:B3168,"Train",AutoClaim_Data!D2:D3168,"&lt;="&amp;$B$2),AVERAGEIFS(AutoClaim_Data!C2:C3168,AutoClaim_Data!B2:B3168,"Train",AutoClaim_Data!D2:D3168,"&gt;"&amp;$B$2))</f>
        <v/>
      </c>
      <c r="H1123">
        <f>IF(AutoClaim_Data!D1123&lt;=$B$2,IF(AutoClaim_Data!E1123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3">
        <f>(F1123-H1123)^2</f>
        <v/>
      </c>
      <c r="J1123">
        <f>--(E1123="Validation")</f>
        <v/>
      </c>
    </row>
    <row r="1124">
      <c r="D1124">
        <f>AutoClaim_Data!A1124</f>
        <v/>
      </c>
      <c r="E1124">
        <f>AutoClaim_Data!B1124</f>
        <v/>
      </c>
      <c r="F1124">
        <f>AutoClaim_Data!C1124</f>
        <v/>
      </c>
      <c r="G1124">
        <f>IF(AutoClaim_Data!D1124&lt;=$B$2,AVERAGEIFS(AutoClaim_Data!C2:C3168,AutoClaim_Data!B2:B3168,"Train",AutoClaim_Data!D2:D3168,"&lt;="&amp;$B$2),AVERAGEIFS(AutoClaim_Data!C2:C3168,AutoClaim_Data!B2:B3168,"Train",AutoClaim_Data!D2:D3168,"&gt;"&amp;$B$2))</f>
        <v/>
      </c>
      <c r="H1124">
        <f>IF(AutoClaim_Data!D1124&lt;=$B$2,IF(AutoClaim_Data!E1124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4">
        <f>(F1124-H1124)^2</f>
        <v/>
      </c>
      <c r="J1124">
        <f>--(E1124="Validation")</f>
        <v/>
      </c>
    </row>
    <row r="1125">
      <c r="D1125">
        <f>AutoClaim_Data!A1125</f>
        <v/>
      </c>
      <c r="E1125">
        <f>AutoClaim_Data!B1125</f>
        <v/>
      </c>
      <c r="F1125">
        <f>AutoClaim_Data!C1125</f>
        <v/>
      </c>
      <c r="G1125">
        <f>IF(AutoClaim_Data!D1125&lt;=$B$2,AVERAGEIFS(AutoClaim_Data!C2:C3168,AutoClaim_Data!B2:B3168,"Train",AutoClaim_Data!D2:D3168,"&lt;="&amp;$B$2),AVERAGEIFS(AutoClaim_Data!C2:C3168,AutoClaim_Data!B2:B3168,"Train",AutoClaim_Data!D2:D3168,"&gt;"&amp;$B$2))</f>
        <v/>
      </c>
      <c r="H1125">
        <f>IF(AutoClaim_Data!D1125&lt;=$B$2,IF(AutoClaim_Data!E1125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5">
        <f>(F1125-H1125)^2</f>
        <v/>
      </c>
      <c r="J1125">
        <f>--(E1125="Validation")</f>
        <v/>
      </c>
    </row>
    <row r="1126">
      <c r="D1126">
        <f>AutoClaim_Data!A1126</f>
        <v/>
      </c>
      <c r="E1126">
        <f>AutoClaim_Data!B1126</f>
        <v/>
      </c>
      <c r="F1126">
        <f>AutoClaim_Data!C1126</f>
        <v/>
      </c>
      <c r="G1126">
        <f>IF(AutoClaim_Data!D1126&lt;=$B$2,AVERAGEIFS(AutoClaim_Data!C2:C3168,AutoClaim_Data!B2:B3168,"Train",AutoClaim_Data!D2:D3168,"&lt;="&amp;$B$2),AVERAGEIFS(AutoClaim_Data!C2:C3168,AutoClaim_Data!B2:B3168,"Train",AutoClaim_Data!D2:D3168,"&gt;"&amp;$B$2))</f>
        <v/>
      </c>
      <c r="H1126">
        <f>IF(AutoClaim_Data!D1126&lt;=$B$2,IF(AutoClaim_Data!E1126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6">
        <f>(F1126-H1126)^2</f>
        <v/>
      </c>
      <c r="J1126">
        <f>--(E1126="Validation")</f>
        <v/>
      </c>
    </row>
    <row r="1127">
      <c r="D1127">
        <f>AutoClaim_Data!A1127</f>
        <v/>
      </c>
      <c r="E1127">
        <f>AutoClaim_Data!B1127</f>
        <v/>
      </c>
      <c r="F1127">
        <f>AutoClaim_Data!C1127</f>
        <v/>
      </c>
      <c r="G1127">
        <f>IF(AutoClaim_Data!D1127&lt;=$B$2,AVERAGEIFS(AutoClaim_Data!C2:C3168,AutoClaim_Data!B2:B3168,"Train",AutoClaim_Data!D2:D3168,"&lt;="&amp;$B$2),AVERAGEIFS(AutoClaim_Data!C2:C3168,AutoClaim_Data!B2:B3168,"Train",AutoClaim_Data!D2:D3168,"&gt;"&amp;$B$2))</f>
        <v/>
      </c>
      <c r="H1127">
        <f>IF(AutoClaim_Data!D1127&lt;=$B$2,IF(AutoClaim_Data!E1127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7">
        <f>(F1127-H1127)^2</f>
        <v/>
      </c>
      <c r="J1127">
        <f>--(E1127="Validation")</f>
        <v/>
      </c>
    </row>
    <row r="1128">
      <c r="D1128">
        <f>AutoClaim_Data!A1128</f>
        <v/>
      </c>
      <c r="E1128">
        <f>AutoClaim_Data!B1128</f>
        <v/>
      </c>
      <c r="F1128">
        <f>AutoClaim_Data!C1128</f>
        <v/>
      </c>
      <c r="G1128">
        <f>IF(AutoClaim_Data!D1128&lt;=$B$2,AVERAGEIFS(AutoClaim_Data!C2:C3168,AutoClaim_Data!B2:B3168,"Train",AutoClaim_Data!D2:D3168,"&lt;="&amp;$B$2),AVERAGEIFS(AutoClaim_Data!C2:C3168,AutoClaim_Data!B2:B3168,"Train",AutoClaim_Data!D2:D3168,"&gt;"&amp;$B$2))</f>
        <v/>
      </c>
      <c r="H1128">
        <f>IF(AutoClaim_Data!D1128&lt;=$B$2,IF(AutoClaim_Data!E1128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8">
        <f>(F1128-H1128)^2</f>
        <v/>
      </c>
      <c r="J1128">
        <f>--(E1128="Validation")</f>
        <v/>
      </c>
    </row>
    <row r="1129">
      <c r="D1129">
        <f>AutoClaim_Data!A1129</f>
        <v/>
      </c>
      <c r="E1129">
        <f>AutoClaim_Data!B1129</f>
        <v/>
      </c>
      <c r="F1129">
        <f>AutoClaim_Data!C1129</f>
        <v/>
      </c>
      <c r="G1129">
        <f>IF(AutoClaim_Data!D1129&lt;=$B$2,AVERAGEIFS(AutoClaim_Data!C2:C3168,AutoClaim_Data!B2:B3168,"Train",AutoClaim_Data!D2:D3168,"&lt;="&amp;$B$2),AVERAGEIFS(AutoClaim_Data!C2:C3168,AutoClaim_Data!B2:B3168,"Train",AutoClaim_Data!D2:D3168,"&gt;"&amp;$B$2))</f>
        <v/>
      </c>
      <c r="H1129">
        <f>IF(AutoClaim_Data!D1129&lt;=$B$2,IF(AutoClaim_Data!E1129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29">
        <f>(F1129-H1129)^2</f>
        <v/>
      </c>
      <c r="J1129">
        <f>--(E1129="Validation")</f>
        <v/>
      </c>
    </row>
    <row r="1130">
      <c r="D1130">
        <f>AutoClaim_Data!A1130</f>
        <v/>
      </c>
      <c r="E1130">
        <f>AutoClaim_Data!B1130</f>
        <v/>
      </c>
      <c r="F1130">
        <f>AutoClaim_Data!C1130</f>
        <v/>
      </c>
      <c r="G1130">
        <f>IF(AutoClaim_Data!D1130&lt;=$B$2,AVERAGEIFS(AutoClaim_Data!C2:C3168,AutoClaim_Data!B2:B3168,"Train",AutoClaim_Data!D2:D3168,"&lt;="&amp;$B$2),AVERAGEIFS(AutoClaim_Data!C2:C3168,AutoClaim_Data!B2:B3168,"Train",AutoClaim_Data!D2:D3168,"&gt;"&amp;$B$2))</f>
        <v/>
      </c>
      <c r="H1130">
        <f>IF(AutoClaim_Data!D1130&lt;=$B$2,IF(AutoClaim_Data!E1130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0">
        <f>(F1130-H1130)^2</f>
        <v/>
      </c>
      <c r="J1130">
        <f>--(E1130="Validation")</f>
        <v/>
      </c>
    </row>
    <row r="1131">
      <c r="D1131">
        <f>AutoClaim_Data!A1131</f>
        <v/>
      </c>
      <c r="E1131">
        <f>AutoClaim_Data!B1131</f>
        <v/>
      </c>
      <c r="F1131">
        <f>AutoClaim_Data!C1131</f>
        <v/>
      </c>
      <c r="G1131">
        <f>IF(AutoClaim_Data!D1131&lt;=$B$2,AVERAGEIFS(AutoClaim_Data!C2:C3168,AutoClaim_Data!B2:B3168,"Train",AutoClaim_Data!D2:D3168,"&lt;="&amp;$B$2),AVERAGEIFS(AutoClaim_Data!C2:C3168,AutoClaim_Data!B2:B3168,"Train",AutoClaim_Data!D2:D3168,"&gt;"&amp;$B$2))</f>
        <v/>
      </c>
      <c r="H1131">
        <f>IF(AutoClaim_Data!D1131&lt;=$B$2,IF(AutoClaim_Data!E1131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1">
        <f>(F1131-H1131)^2</f>
        <v/>
      </c>
      <c r="J1131">
        <f>--(E1131="Validation")</f>
        <v/>
      </c>
    </row>
    <row r="1132">
      <c r="D1132">
        <f>AutoClaim_Data!A1132</f>
        <v/>
      </c>
      <c r="E1132">
        <f>AutoClaim_Data!B1132</f>
        <v/>
      </c>
      <c r="F1132">
        <f>AutoClaim_Data!C1132</f>
        <v/>
      </c>
      <c r="G1132">
        <f>IF(AutoClaim_Data!D1132&lt;=$B$2,AVERAGEIFS(AutoClaim_Data!C2:C3168,AutoClaim_Data!B2:B3168,"Train",AutoClaim_Data!D2:D3168,"&lt;="&amp;$B$2),AVERAGEIFS(AutoClaim_Data!C2:C3168,AutoClaim_Data!B2:B3168,"Train",AutoClaim_Data!D2:D3168,"&gt;"&amp;$B$2))</f>
        <v/>
      </c>
      <c r="H1132">
        <f>IF(AutoClaim_Data!D1132&lt;=$B$2,IF(AutoClaim_Data!E1132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2">
        <f>(F1132-H1132)^2</f>
        <v/>
      </c>
      <c r="J1132">
        <f>--(E1132="Validation")</f>
        <v/>
      </c>
    </row>
    <row r="1133">
      <c r="D1133">
        <f>AutoClaim_Data!A1133</f>
        <v/>
      </c>
      <c r="E1133">
        <f>AutoClaim_Data!B1133</f>
        <v/>
      </c>
      <c r="F1133">
        <f>AutoClaim_Data!C1133</f>
        <v/>
      </c>
      <c r="G1133">
        <f>IF(AutoClaim_Data!D1133&lt;=$B$2,AVERAGEIFS(AutoClaim_Data!C2:C3168,AutoClaim_Data!B2:B3168,"Train",AutoClaim_Data!D2:D3168,"&lt;="&amp;$B$2),AVERAGEIFS(AutoClaim_Data!C2:C3168,AutoClaim_Data!B2:B3168,"Train",AutoClaim_Data!D2:D3168,"&gt;"&amp;$B$2))</f>
        <v/>
      </c>
      <c r="H1133">
        <f>IF(AutoClaim_Data!D1133&lt;=$B$2,IF(AutoClaim_Data!E1133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3">
        <f>(F1133-H1133)^2</f>
        <v/>
      </c>
      <c r="J1133">
        <f>--(E1133="Validation")</f>
        <v/>
      </c>
    </row>
    <row r="1134">
      <c r="D1134">
        <f>AutoClaim_Data!A1134</f>
        <v/>
      </c>
      <c r="E1134">
        <f>AutoClaim_Data!B1134</f>
        <v/>
      </c>
      <c r="F1134">
        <f>AutoClaim_Data!C1134</f>
        <v/>
      </c>
      <c r="G1134">
        <f>IF(AutoClaim_Data!D1134&lt;=$B$2,AVERAGEIFS(AutoClaim_Data!C2:C3168,AutoClaim_Data!B2:B3168,"Train",AutoClaim_Data!D2:D3168,"&lt;="&amp;$B$2),AVERAGEIFS(AutoClaim_Data!C2:C3168,AutoClaim_Data!B2:B3168,"Train",AutoClaim_Data!D2:D3168,"&gt;"&amp;$B$2))</f>
        <v/>
      </c>
      <c r="H1134">
        <f>IF(AutoClaim_Data!D1134&lt;=$B$2,IF(AutoClaim_Data!E1134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4">
        <f>(F1134-H1134)^2</f>
        <v/>
      </c>
      <c r="J1134">
        <f>--(E1134="Validation")</f>
        <v/>
      </c>
    </row>
    <row r="1135">
      <c r="D1135">
        <f>AutoClaim_Data!A1135</f>
        <v/>
      </c>
      <c r="E1135">
        <f>AutoClaim_Data!B1135</f>
        <v/>
      </c>
      <c r="F1135">
        <f>AutoClaim_Data!C1135</f>
        <v/>
      </c>
      <c r="G1135">
        <f>IF(AutoClaim_Data!D1135&lt;=$B$2,AVERAGEIFS(AutoClaim_Data!C2:C3168,AutoClaim_Data!B2:B3168,"Train",AutoClaim_Data!D2:D3168,"&lt;="&amp;$B$2),AVERAGEIFS(AutoClaim_Data!C2:C3168,AutoClaim_Data!B2:B3168,"Train",AutoClaim_Data!D2:D3168,"&gt;"&amp;$B$2))</f>
        <v/>
      </c>
      <c r="H1135">
        <f>IF(AutoClaim_Data!D1135&lt;=$B$2,IF(AutoClaim_Data!E1135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5">
        <f>(F1135-H1135)^2</f>
        <v/>
      </c>
      <c r="J1135">
        <f>--(E1135="Validation")</f>
        <v/>
      </c>
    </row>
    <row r="1136">
      <c r="D1136">
        <f>AutoClaim_Data!A1136</f>
        <v/>
      </c>
      <c r="E1136">
        <f>AutoClaim_Data!B1136</f>
        <v/>
      </c>
      <c r="F1136">
        <f>AutoClaim_Data!C1136</f>
        <v/>
      </c>
      <c r="G1136">
        <f>IF(AutoClaim_Data!D1136&lt;=$B$2,AVERAGEIFS(AutoClaim_Data!C2:C3168,AutoClaim_Data!B2:B3168,"Train",AutoClaim_Data!D2:D3168,"&lt;="&amp;$B$2),AVERAGEIFS(AutoClaim_Data!C2:C3168,AutoClaim_Data!B2:B3168,"Train",AutoClaim_Data!D2:D3168,"&gt;"&amp;$B$2))</f>
        <v/>
      </c>
      <c r="H1136">
        <f>IF(AutoClaim_Data!D1136&lt;=$B$2,IF(AutoClaim_Data!E1136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6">
        <f>(F1136-H1136)^2</f>
        <v/>
      </c>
      <c r="J1136">
        <f>--(E1136="Validation")</f>
        <v/>
      </c>
    </row>
    <row r="1137">
      <c r="D1137">
        <f>AutoClaim_Data!A1137</f>
        <v/>
      </c>
      <c r="E1137">
        <f>AutoClaim_Data!B1137</f>
        <v/>
      </c>
      <c r="F1137">
        <f>AutoClaim_Data!C1137</f>
        <v/>
      </c>
      <c r="G1137">
        <f>IF(AutoClaim_Data!D1137&lt;=$B$2,AVERAGEIFS(AutoClaim_Data!C2:C3168,AutoClaim_Data!B2:B3168,"Train",AutoClaim_Data!D2:D3168,"&lt;="&amp;$B$2),AVERAGEIFS(AutoClaim_Data!C2:C3168,AutoClaim_Data!B2:B3168,"Train",AutoClaim_Data!D2:D3168,"&gt;"&amp;$B$2))</f>
        <v/>
      </c>
      <c r="H1137">
        <f>IF(AutoClaim_Data!D1137&lt;=$B$2,IF(AutoClaim_Data!E1137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7">
        <f>(F1137-H1137)^2</f>
        <v/>
      </c>
      <c r="J1137">
        <f>--(E1137="Validation")</f>
        <v/>
      </c>
    </row>
    <row r="1138">
      <c r="D1138">
        <f>AutoClaim_Data!A1138</f>
        <v/>
      </c>
      <c r="E1138">
        <f>AutoClaim_Data!B1138</f>
        <v/>
      </c>
      <c r="F1138">
        <f>AutoClaim_Data!C1138</f>
        <v/>
      </c>
      <c r="G1138">
        <f>IF(AutoClaim_Data!D1138&lt;=$B$2,AVERAGEIFS(AutoClaim_Data!C2:C3168,AutoClaim_Data!B2:B3168,"Train",AutoClaim_Data!D2:D3168,"&lt;="&amp;$B$2),AVERAGEIFS(AutoClaim_Data!C2:C3168,AutoClaim_Data!B2:B3168,"Train",AutoClaim_Data!D2:D3168,"&gt;"&amp;$B$2))</f>
        <v/>
      </c>
      <c r="H1138">
        <f>IF(AutoClaim_Data!D1138&lt;=$B$2,IF(AutoClaim_Data!E1138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8">
        <f>(F1138-H1138)^2</f>
        <v/>
      </c>
      <c r="J1138">
        <f>--(E1138="Validation")</f>
        <v/>
      </c>
    </row>
    <row r="1139">
      <c r="D1139">
        <f>AutoClaim_Data!A1139</f>
        <v/>
      </c>
      <c r="E1139">
        <f>AutoClaim_Data!B1139</f>
        <v/>
      </c>
      <c r="F1139">
        <f>AutoClaim_Data!C1139</f>
        <v/>
      </c>
      <c r="G1139">
        <f>IF(AutoClaim_Data!D1139&lt;=$B$2,AVERAGEIFS(AutoClaim_Data!C2:C3168,AutoClaim_Data!B2:B3168,"Train",AutoClaim_Data!D2:D3168,"&lt;="&amp;$B$2),AVERAGEIFS(AutoClaim_Data!C2:C3168,AutoClaim_Data!B2:B3168,"Train",AutoClaim_Data!D2:D3168,"&gt;"&amp;$B$2))</f>
        <v/>
      </c>
      <c r="H1139">
        <f>IF(AutoClaim_Data!D1139&lt;=$B$2,IF(AutoClaim_Data!E1139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39">
        <f>(F1139-H1139)^2</f>
        <v/>
      </c>
      <c r="J1139">
        <f>--(E1139="Validation")</f>
        <v/>
      </c>
    </row>
    <row r="1140">
      <c r="D1140">
        <f>AutoClaim_Data!A1140</f>
        <v/>
      </c>
      <c r="E1140">
        <f>AutoClaim_Data!B1140</f>
        <v/>
      </c>
      <c r="F1140">
        <f>AutoClaim_Data!C1140</f>
        <v/>
      </c>
      <c r="G1140">
        <f>IF(AutoClaim_Data!D1140&lt;=$B$2,AVERAGEIFS(AutoClaim_Data!C2:C3168,AutoClaim_Data!B2:B3168,"Train",AutoClaim_Data!D2:D3168,"&lt;="&amp;$B$2),AVERAGEIFS(AutoClaim_Data!C2:C3168,AutoClaim_Data!B2:B3168,"Train",AutoClaim_Data!D2:D3168,"&gt;"&amp;$B$2))</f>
        <v/>
      </c>
      <c r="H1140">
        <f>IF(AutoClaim_Data!D1140&lt;=$B$2,IF(AutoClaim_Data!E1140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0">
        <f>(F1140-H1140)^2</f>
        <v/>
      </c>
      <c r="J1140">
        <f>--(E1140="Validation")</f>
        <v/>
      </c>
    </row>
    <row r="1141">
      <c r="D1141">
        <f>AutoClaim_Data!A1141</f>
        <v/>
      </c>
      <c r="E1141">
        <f>AutoClaim_Data!B1141</f>
        <v/>
      </c>
      <c r="F1141">
        <f>AutoClaim_Data!C1141</f>
        <v/>
      </c>
      <c r="G1141">
        <f>IF(AutoClaim_Data!D1141&lt;=$B$2,AVERAGEIFS(AutoClaim_Data!C2:C3168,AutoClaim_Data!B2:B3168,"Train",AutoClaim_Data!D2:D3168,"&lt;="&amp;$B$2),AVERAGEIFS(AutoClaim_Data!C2:C3168,AutoClaim_Data!B2:B3168,"Train",AutoClaim_Data!D2:D3168,"&gt;"&amp;$B$2))</f>
        <v/>
      </c>
      <c r="H1141">
        <f>IF(AutoClaim_Data!D1141&lt;=$B$2,IF(AutoClaim_Data!E1141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1">
        <f>(F1141-H1141)^2</f>
        <v/>
      </c>
      <c r="J1141">
        <f>--(E1141="Validation")</f>
        <v/>
      </c>
    </row>
    <row r="1142">
      <c r="D1142">
        <f>AutoClaim_Data!A1142</f>
        <v/>
      </c>
      <c r="E1142">
        <f>AutoClaim_Data!B1142</f>
        <v/>
      </c>
      <c r="F1142">
        <f>AutoClaim_Data!C1142</f>
        <v/>
      </c>
      <c r="G1142">
        <f>IF(AutoClaim_Data!D1142&lt;=$B$2,AVERAGEIFS(AutoClaim_Data!C2:C3168,AutoClaim_Data!B2:B3168,"Train",AutoClaim_Data!D2:D3168,"&lt;="&amp;$B$2),AVERAGEIFS(AutoClaim_Data!C2:C3168,AutoClaim_Data!B2:B3168,"Train",AutoClaim_Data!D2:D3168,"&gt;"&amp;$B$2))</f>
        <v/>
      </c>
      <c r="H1142">
        <f>IF(AutoClaim_Data!D1142&lt;=$B$2,IF(AutoClaim_Data!E1142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2">
        <f>(F1142-H1142)^2</f>
        <v/>
      </c>
      <c r="J1142">
        <f>--(E1142="Validation")</f>
        <v/>
      </c>
    </row>
    <row r="1143">
      <c r="D1143">
        <f>AutoClaim_Data!A1143</f>
        <v/>
      </c>
      <c r="E1143">
        <f>AutoClaim_Data!B1143</f>
        <v/>
      </c>
      <c r="F1143">
        <f>AutoClaim_Data!C1143</f>
        <v/>
      </c>
      <c r="G1143">
        <f>IF(AutoClaim_Data!D1143&lt;=$B$2,AVERAGEIFS(AutoClaim_Data!C2:C3168,AutoClaim_Data!B2:B3168,"Train",AutoClaim_Data!D2:D3168,"&lt;="&amp;$B$2),AVERAGEIFS(AutoClaim_Data!C2:C3168,AutoClaim_Data!B2:B3168,"Train",AutoClaim_Data!D2:D3168,"&gt;"&amp;$B$2))</f>
        <v/>
      </c>
      <c r="H1143">
        <f>IF(AutoClaim_Data!D1143&lt;=$B$2,IF(AutoClaim_Data!E1143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3">
        <f>(F1143-H1143)^2</f>
        <v/>
      </c>
      <c r="J1143">
        <f>--(E1143="Validation")</f>
        <v/>
      </c>
    </row>
    <row r="1144">
      <c r="D1144">
        <f>AutoClaim_Data!A1144</f>
        <v/>
      </c>
      <c r="E1144">
        <f>AutoClaim_Data!B1144</f>
        <v/>
      </c>
      <c r="F1144">
        <f>AutoClaim_Data!C1144</f>
        <v/>
      </c>
      <c r="G1144">
        <f>IF(AutoClaim_Data!D1144&lt;=$B$2,AVERAGEIFS(AutoClaim_Data!C2:C3168,AutoClaim_Data!B2:B3168,"Train",AutoClaim_Data!D2:D3168,"&lt;="&amp;$B$2),AVERAGEIFS(AutoClaim_Data!C2:C3168,AutoClaim_Data!B2:B3168,"Train",AutoClaim_Data!D2:D3168,"&gt;"&amp;$B$2))</f>
        <v/>
      </c>
      <c r="H1144">
        <f>IF(AutoClaim_Data!D1144&lt;=$B$2,IF(AutoClaim_Data!E1144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4">
        <f>(F1144-H1144)^2</f>
        <v/>
      </c>
      <c r="J1144">
        <f>--(E1144="Validation")</f>
        <v/>
      </c>
    </row>
    <row r="1145">
      <c r="D1145">
        <f>AutoClaim_Data!A1145</f>
        <v/>
      </c>
      <c r="E1145">
        <f>AutoClaim_Data!B1145</f>
        <v/>
      </c>
      <c r="F1145">
        <f>AutoClaim_Data!C1145</f>
        <v/>
      </c>
      <c r="G1145">
        <f>IF(AutoClaim_Data!D1145&lt;=$B$2,AVERAGEIFS(AutoClaim_Data!C2:C3168,AutoClaim_Data!B2:B3168,"Train",AutoClaim_Data!D2:D3168,"&lt;="&amp;$B$2),AVERAGEIFS(AutoClaim_Data!C2:C3168,AutoClaim_Data!B2:B3168,"Train",AutoClaim_Data!D2:D3168,"&gt;"&amp;$B$2))</f>
        <v/>
      </c>
      <c r="H1145">
        <f>IF(AutoClaim_Data!D1145&lt;=$B$2,IF(AutoClaim_Data!E1145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5">
        <f>(F1145-H1145)^2</f>
        <v/>
      </c>
      <c r="J1145">
        <f>--(E1145="Validation")</f>
        <v/>
      </c>
    </row>
    <row r="1146">
      <c r="D1146">
        <f>AutoClaim_Data!A1146</f>
        <v/>
      </c>
      <c r="E1146">
        <f>AutoClaim_Data!B1146</f>
        <v/>
      </c>
      <c r="F1146">
        <f>AutoClaim_Data!C1146</f>
        <v/>
      </c>
      <c r="G1146">
        <f>IF(AutoClaim_Data!D1146&lt;=$B$2,AVERAGEIFS(AutoClaim_Data!C2:C3168,AutoClaim_Data!B2:B3168,"Train",AutoClaim_Data!D2:D3168,"&lt;="&amp;$B$2),AVERAGEIFS(AutoClaim_Data!C2:C3168,AutoClaim_Data!B2:B3168,"Train",AutoClaim_Data!D2:D3168,"&gt;"&amp;$B$2))</f>
        <v/>
      </c>
      <c r="H1146">
        <f>IF(AutoClaim_Data!D1146&lt;=$B$2,IF(AutoClaim_Data!E1146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6">
        <f>(F1146-H1146)^2</f>
        <v/>
      </c>
      <c r="J1146">
        <f>--(E1146="Validation")</f>
        <v/>
      </c>
    </row>
    <row r="1147">
      <c r="D1147">
        <f>AutoClaim_Data!A1147</f>
        <v/>
      </c>
      <c r="E1147">
        <f>AutoClaim_Data!B1147</f>
        <v/>
      </c>
      <c r="F1147">
        <f>AutoClaim_Data!C1147</f>
        <v/>
      </c>
      <c r="G1147">
        <f>IF(AutoClaim_Data!D1147&lt;=$B$2,AVERAGEIFS(AutoClaim_Data!C2:C3168,AutoClaim_Data!B2:B3168,"Train",AutoClaim_Data!D2:D3168,"&lt;="&amp;$B$2),AVERAGEIFS(AutoClaim_Data!C2:C3168,AutoClaim_Data!B2:B3168,"Train",AutoClaim_Data!D2:D3168,"&gt;"&amp;$B$2))</f>
        <v/>
      </c>
      <c r="H1147">
        <f>IF(AutoClaim_Data!D1147&lt;=$B$2,IF(AutoClaim_Data!E1147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7">
        <f>(F1147-H1147)^2</f>
        <v/>
      </c>
      <c r="J1147">
        <f>--(E1147="Validation")</f>
        <v/>
      </c>
    </row>
    <row r="1148">
      <c r="D1148">
        <f>AutoClaim_Data!A1148</f>
        <v/>
      </c>
      <c r="E1148">
        <f>AutoClaim_Data!B1148</f>
        <v/>
      </c>
      <c r="F1148">
        <f>AutoClaim_Data!C1148</f>
        <v/>
      </c>
      <c r="G1148">
        <f>IF(AutoClaim_Data!D1148&lt;=$B$2,AVERAGEIFS(AutoClaim_Data!C2:C3168,AutoClaim_Data!B2:B3168,"Train",AutoClaim_Data!D2:D3168,"&lt;="&amp;$B$2),AVERAGEIFS(AutoClaim_Data!C2:C3168,AutoClaim_Data!B2:B3168,"Train",AutoClaim_Data!D2:D3168,"&gt;"&amp;$B$2))</f>
        <v/>
      </c>
      <c r="H1148">
        <f>IF(AutoClaim_Data!D1148&lt;=$B$2,IF(AutoClaim_Data!E1148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8">
        <f>(F1148-H1148)^2</f>
        <v/>
      </c>
      <c r="J1148">
        <f>--(E1148="Validation")</f>
        <v/>
      </c>
    </row>
    <row r="1149">
      <c r="D1149">
        <f>AutoClaim_Data!A1149</f>
        <v/>
      </c>
      <c r="E1149">
        <f>AutoClaim_Data!B1149</f>
        <v/>
      </c>
      <c r="F1149">
        <f>AutoClaim_Data!C1149</f>
        <v/>
      </c>
      <c r="G1149">
        <f>IF(AutoClaim_Data!D1149&lt;=$B$2,AVERAGEIFS(AutoClaim_Data!C2:C3168,AutoClaim_Data!B2:B3168,"Train",AutoClaim_Data!D2:D3168,"&lt;="&amp;$B$2),AVERAGEIFS(AutoClaim_Data!C2:C3168,AutoClaim_Data!B2:B3168,"Train",AutoClaim_Data!D2:D3168,"&gt;"&amp;$B$2))</f>
        <v/>
      </c>
      <c r="H1149">
        <f>IF(AutoClaim_Data!D1149&lt;=$B$2,IF(AutoClaim_Data!E1149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49">
        <f>(F1149-H1149)^2</f>
        <v/>
      </c>
      <c r="J1149">
        <f>--(E1149="Validation")</f>
        <v/>
      </c>
    </row>
    <row r="1150">
      <c r="D1150">
        <f>AutoClaim_Data!A1150</f>
        <v/>
      </c>
      <c r="E1150">
        <f>AutoClaim_Data!B1150</f>
        <v/>
      </c>
      <c r="F1150">
        <f>AutoClaim_Data!C1150</f>
        <v/>
      </c>
      <c r="G1150">
        <f>IF(AutoClaim_Data!D1150&lt;=$B$2,AVERAGEIFS(AutoClaim_Data!C2:C3168,AutoClaim_Data!B2:B3168,"Train",AutoClaim_Data!D2:D3168,"&lt;="&amp;$B$2),AVERAGEIFS(AutoClaim_Data!C2:C3168,AutoClaim_Data!B2:B3168,"Train",AutoClaim_Data!D2:D3168,"&gt;"&amp;$B$2))</f>
        <v/>
      </c>
      <c r="H1150">
        <f>IF(AutoClaim_Data!D1150&lt;=$B$2,IF(AutoClaim_Data!E1150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0">
        <f>(F1150-H1150)^2</f>
        <v/>
      </c>
      <c r="J1150">
        <f>--(E1150="Validation")</f>
        <v/>
      </c>
    </row>
    <row r="1151">
      <c r="D1151">
        <f>AutoClaim_Data!A1151</f>
        <v/>
      </c>
      <c r="E1151">
        <f>AutoClaim_Data!B1151</f>
        <v/>
      </c>
      <c r="F1151">
        <f>AutoClaim_Data!C1151</f>
        <v/>
      </c>
      <c r="G1151">
        <f>IF(AutoClaim_Data!D1151&lt;=$B$2,AVERAGEIFS(AutoClaim_Data!C2:C3168,AutoClaim_Data!B2:B3168,"Train",AutoClaim_Data!D2:D3168,"&lt;="&amp;$B$2),AVERAGEIFS(AutoClaim_Data!C2:C3168,AutoClaim_Data!B2:B3168,"Train",AutoClaim_Data!D2:D3168,"&gt;"&amp;$B$2))</f>
        <v/>
      </c>
      <c r="H1151">
        <f>IF(AutoClaim_Data!D1151&lt;=$B$2,IF(AutoClaim_Data!E1151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1">
        <f>(F1151-H1151)^2</f>
        <v/>
      </c>
      <c r="J1151">
        <f>--(E1151="Validation")</f>
        <v/>
      </c>
    </row>
    <row r="1152">
      <c r="D1152">
        <f>AutoClaim_Data!A1152</f>
        <v/>
      </c>
      <c r="E1152">
        <f>AutoClaim_Data!B1152</f>
        <v/>
      </c>
      <c r="F1152">
        <f>AutoClaim_Data!C1152</f>
        <v/>
      </c>
      <c r="G1152">
        <f>IF(AutoClaim_Data!D1152&lt;=$B$2,AVERAGEIFS(AutoClaim_Data!C2:C3168,AutoClaim_Data!B2:B3168,"Train",AutoClaim_Data!D2:D3168,"&lt;="&amp;$B$2),AVERAGEIFS(AutoClaim_Data!C2:C3168,AutoClaim_Data!B2:B3168,"Train",AutoClaim_Data!D2:D3168,"&gt;"&amp;$B$2))</f>
        <v/>
      </c>
      <c r="H1152">
        <f>IF(AutoClaim_Data!D1152&lt;=$B$2,IF(AutoClaim_Data!E1152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2">
        <f>(F1152-H1152)^2</f>
        <v/>
      </c>
      <c r="J1152">
        <f>--(E1152="Validation")</f>
        <v/>
      </c>
    </row>
    <row r="1153">
      <c r="D1153">
        <f>AutoClaim_Data!A1153</f>
        <v/>
      </c>
      <c r="E1153">
        <f>AutoClaim_Data!B1153</f>
        <v/>
      </c>
      <c r="F1153">
        <f>AutoClaim_Data!C1153</f>
        <v/>
      </c>
      <c r="G1153">
        <f>IF(AutoClaim_Data!D1153&lt;=$B$2,AVERAGEIFS(AutoClaim_Data!C2:C3168,AutoClaim_Data!B2:B3168,"Train",AutoClaim_Data!D2:D3168,"&lt;="&amp;$B$2),AVERAGEIFS(AutoClaim_Data!C2:C3168,AutoClaim_Data!B2:B3168,"Train",AutoClaim_Data!D2:D3168,"&gt;"&amp;$B$2))</f>
        <v/>
      </c>
      <c r="H1153">
        <f>IF(AutoClaim_Data!D1153&lt;=$B$2,IF(AutoClaim_Data!E1153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3">
        <f>(F1153-H1153)^2</f>
        <v/>
      </c>
      <c r="J1153">
        <f>--(E1153="Validation")</f>
        <v/>
      </c>
    </row>
    <row r="1154">
      <c r="D1154">
        <f>AutoClaim_Data!A1154</f>
        <v/>
      </c>
      <c r="E1154">
        <f>AutoClaim_Data!B1154</f>
        <v/>
      </c>
      <c r="F1154">
        <f>AutoClaim_Data!C1154</f>
        <v/>
      </c>
      <c r="G1154">
        <f>IF(AutoClaim_Data!D1154&lt;=$B$2,AVERAGEIFS(AutoClaim_Data!C2:C3168,AutoClaim_Data!B2:B3168,"Train",AutoClaim_Data!D2:D3168,"&lt;="&amp;$B$2),AVERAGEIFS(AutoClaim_Data!C2:C3168,AutoClaim_Data!B2:B3168,"Train",AutoClaim_Data!D2:D3168,"&gt;"&amp;$B$2))</f>
        <v/>
      </c>
      <c r="H1154">
        <f>IF(AutoClaim_Data!D1154&lt;=$B$2,IF(AutoClaim_Data!E1154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4">
        <f>(F1154-H1154)^2</f>
        <v/>
      </c>
      <c r="J1154">
        <f>--(E1154="Validation")</f>
        <v/>
      </c>
    </row>
    <row r="1155">
      <c r="D1155">
        <f>AutoClaim_Data!A1155</f>
        <v/>
      </c>
      <c r="E1155">
        <f>AutoClaim_Data!B1155</f>
        <v/>
      </c>
      <c r="F1155">
        <f>AutoClaim_Data!C1155</f>
        <v/>
      </c>
      <c r="G1155">
        <f>IF(AutoClaim_Data!D1155&lt;=$B$2,AVERAGEIFS(AutoClaim_Data!C2:C3168,AutoClaim_Data!B2:B3168,"Train",AutoClaim_Data!D2:D3168,"&lt;="&amp;$B$2),AVERAGEIFS(AutoClaim_Data!C2:C3168,AutoClaim_Data!B2:B3168,"Train",AutoClaim_Data!D2:D3168,"&gt;"&amp;$B$2))</f>
        <v/>
      </c>
      <c r="H1155">
        <f>IF(AutoClaim_Data!D1155&lt;=$B$2,IF(AutoClaim_Data!E1155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5">
        <f>(F1155-H1155)^2</f>
        <v/>
      </c>
      <c r="J1155">
        <f>--(E1155="Validation")</f>
        <v/>
      </c>
    </row>
    <row r="1156">
      <c r="D1156">
        <f>AutoClaim_Data!A1156</f>
        <v/>
      </c>
      <c r="E1156">
        <f>AutoClaim_Data!B1156</f>
        <v/>
      </c>
      <c r="F1156">
        <f>AutoClaim_Data!C1156</f>
        <v/>
      </c>
      <c r="G1156">
        <f>IF(AutoClaim_Data!D1156&lt;=$B$2,AVERAGEIFS(AutoClaim_Data!C2:C3168,AutoClaim_Data!B2:B3168,"Train",AutoClaim_Data!D2:D3168,"&lt;="&amp;$B$2),AVERAGEIFS(AutoClaim_Data!C2:C3168,AutoClaim_Data!B2:B3168,"Train",AutoClaim_Data!D2:D3168,"&gt;"&amp;$B$2))</f>
        <v/>
      </c>
      <c r="H1156">
        <f>IF(AutoClaim_Data!D1156&lt;=$B$2,IF(AutoClaim_Data!E1156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6">
        <f>(F1156-H1156)^2</f>
        <v/>
      </c>
      <c r="J1156">
        <f>--(E1156="Validation")</f>
        <v/>
      </c>
    </row>
    <row r="1157">
      <c r="D1157">
        <f>AutoClaim_Data!A1157</f>
        <v/>
      </c>
      <c r="E1157">
        <f>AutoClaim_Data!B1157</f>
        <v/>
      </c>
      <c r="F1157">
        <f>AutoClaim_Data!C1157</f>
        <v/>
      </c>
      <c r="G1157">
        <f>IF(AutoClaim_Data!D1157&lt;=$B$2,AVERAGEIFS(AutoClaim_Data!C2:C3168,AutoClaim_Data!B2:B3168,"Train",AutoClaim_Data!D2:D3168,"&lt;="&amp;$B$2),AVERAGEIFS(AutoClaim_Data!C2:C3168,AutoClaim_Data!B2:B3168,"Train",AutoClaim_Data!D2:D3168,"&gt;"&amp;$B$2))</f>
        <v/>
      </c>
      <c r="H1157">
        <f>IF(AutoClaim_Data!D1157&lt;=$B$2,IF(AutoClaim_Data!E1157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7">
        <f>(F1157-H1157)^2</f>
        <v/>
      </c>
      <c r="J1157">
        <f>--(E1157="Validation")</f>
        <v/>
      </c>
    </row>
    <row r="1158">
      <c r="D1158">
        <f>AutoClaim_Data!A1158</f>
        <v/>
      </c>
      <c r="E1158">
        <f>AutoClaim_Data!B1158</f>
        <v/>
      </c>
      <c r="F1158">
        <f>AutoClaim_Data!C1158</f>
        <v/>
      </c>
      <c r="G1158">
        <f>IF(AutoClaim_Data!D1158&lt;=$B$2,AVERAGEIFS(AutoClaim_Data!C2:C3168,AutoClaim_Data!B2:B3168,"Train",AutoClaim_Data!D2:D3168,"&lt;="&amp;$B$2),AVERAGEIFS(AutoClaim_Data!C2:C3168,AutoClaim_Data!B2:B3168,"Train",AutoClaim_Data!D2:D3168,"&gt;"&amp;$B$2))</f>
        <v/>
      </c>
      <c r="H1158">
        <f>IF(AutoClaim_Data!D1158&lt;=$B$2,IF(AutoClaim_Data!E1158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8">
        <f>(F1158-H1158)^2</f>
        <v/>
      </c>
      <c r="J1158">
        <f>--(E1158="Validation")</f>
        <v/>
      </c>
    </row>
    <row r="1159">
      <c r="D1159">
        <f>AutoClaim_Data!A1159</f>
        <v/>
      </c>
      <c r="E1159">
        <f>AutoClaim_Data!B1159</f>
        <v/>
      </c>
      <c r="F1159">
        <f>AutoClaim_Data!C1159</f>
        <v/>
      </c>
      <c r="G1159">
        <f>IF(AutoClaim_Data!D1159&lt;=$B$2,AVERAGEIFS(AutoClaim_Data!C2:C3168,AutoClaim_Data!B2:B3168,"Train",AutoClaim_Data!D2:D3168,"&lt;="&amp;$B$2),AVERAGEIFS(AutoClaim_Data!C2:C3168,AutoClaim_Data!B2:B3168,"Train",AutoClaim_Data!D2:D3168,"&gt;"&amp;$B$2))</f>
        <v/>
      </c>
      <c r="H1159">
        <f>IF(AutoClaim_Data!D1159&lt;=$B$2,IF(AutoClaim_Data!E1159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59">
        <f>(F1159-H1159)^2</f>
        <v/>
      </c>
      <c r="J1159">
        <f>--(E1159="Validation")</f>
        <v/>
      </c>
    </row>
    <row r="1160">
      <c r="D1160">
        <f>AutoClaim_Data!A1160</f>
        <v/>
      </c>
      <c r="E1160">
        <f>AutoClaim_Data!B1160</f>
        <v/>
      </c>
      <c r="F1160">
        <f>AutoClaim_Data!C1160</f>
        <v/>
      </c>
      <c r="G1160">
        <f>IF(AutoClaim_Data!D1160&lt;=$B$2,AVERAGEIFS(AutoClaim_Data!C2:C3168,AutoClaim_Data!B2:B3168,"Train",AutoClaim_Data!D2:D3168,"&lt;="&amp;$B$2),AVERAGEIFS(AutoClaim_Data!C2:C3168,AutoClaim_Data!B2:B3168,"Train",AutoClaim_Data!D2:D3168,"&gt;"&amp;$B$2))</f>
        <v/>
      </c>
      <c r="H1160">
        <f>IF(AutoClaim_Data!D1160&lt;=$B$2,IF(AutoClaim_Data!E1160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0">
        <f>(F1160-H1160)^2</f>
        <v/>
      </c>
      <c r="J1160">
        <f>--(E1160="Validation")</f>
        <v/>
      </c>
    </row>
    <row r="1161">
      <c r="D1161">
        <f>AutoClaim_Data!A1161</f>
        <v/>
      </c>
      <c r="E1161">
        <f>AutoClaim_Data!B1161</f>
        <v/>
      </c>
      <c r="F1161">
        <f>AutoClaim_Data!C1161</f>
        <v/>
      </c>
      <c r="G1161">
        <f>IF(AutoClaim_Data!D1161&lt;=$B$2,AVERAGEIFS(AutoClaim_Data!C2:C3168,AutoClaim_Data!B2:B3168,"Train",AutoClaim_Data!D2:D3168,"&lt;="&amp;$B$2),AVERAGEIFS(AutoClaim_Data!C2:C3168,AutoClaim_Data!B2:B3168,"Train",AutoClaim_Data!D2:D3168,"&gt;"&amp;$B$2))</f>
        <v/>
      </c>
      <c r="H1161">
        <f>IF(AutoClaim_Data!D1161&lt;=$B$2,IF(AutoClaim_Data!E1161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1">
        <f>(F1161-H1161)^2</f>
        <v/>
      </c>
      <c r="J1161">
        <f>--(E1161="Validation")</f>
        <v/>
      </c>
    </row>
    <row r="1162">
      <c r="D1162">
        <f>AutoClaim_Data!A1162</f>
        <v/>
      </c>
      <c r="E1162">
        <f>AutoClaim_Data!B1162</f>
        <v/>
      </c>
      <c r="F1162">
        <f>AutoClaim_Data!C1162</f>
        <v/>
      </c>
      <c r="G1162">
        <f>IF(AutoClaim_Data!D1162&lt;=$B$2,AVERAGEIFS(AutoClaim_Data!C2:C3168,AutoClaim_Data!B2:B3168,"Train",AutoClaim_Data!D2:D3168,"&lt;="&amp;$B$2),AVERAGEIFS(AutoClaim_Data!C2:C3168,AutoClaim_Data!B2:B3168,"Train",AutoClaim_Data!D2:D3168,"&gt;"&amp;$B$2))</f>
        <v/>
      </c>
      <c r="H1162">
        <f>IF(AutoClaim_Data!D1162&lt;=$B$2,IF(AutoClaim_Data!E1162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2">
        <f>(F1162-H1162)^2</f>
        <v/>
      </c>
      <c r="J1162">
        <f>--(E1162="Validation")</f>
        <v/>
      </c>
    </row>
    <row r="1163">
      <c r="D1163">
        <f>AutoClaim_Data!A1163</f>
        <v/>
      </c>
      <c r="E1163">
        <f>AutoClaim_Data!B1163</f>
        <v/>
      </c>
      <c r="F1163">
        <f>AutoClaim_Data!C1163</f>
        <v/>
      </c>
      <c r="G1163">
        <f>IF(AutoClaim_Data!D1163&lt;=$B$2,AVERAGEIFS(AutoClaim_Data!C2:C3168,AutoClaim_Data!B2:B3168,"Train",AutoClaim_Data!D2:D3168,"&lt;="&amp;$B$2),AVERAGEIFS(AutoClaim_Data!C2:C3168,AutoClaim_Data!B2:B3168,"Train",AutoClaim_Data!D2:D3168,"&gt;"&amp;$B$2))</f>
        <v/>
      </c>
      <c r="H1163">
        <f>IF(AutoClaim_Data!D1163&lt;=$B$2,IF(AutoClaim_Data!E1163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3">
        <f>(F1163-H1163)^2</f>
        <v/>
      </c>
      <c r="J1163">
        <f>--(E1163="Validation")</f>
        <v/>
      </c>
    </row>
    <row r="1164">
      <c r="D1164">
        <f>AutoClaim_Data!A1164</f>
        <v/>
      </c>
      <c r="E1164">
        <f>AutoClaim_Data!B1164</f>
        <v/>
      </c>
      <c r="F1164">
        <f>AutoClaim_Data!C1164</f>
        <v/>
      </c>
      <c r="G1164">
        <f>IF(AutoClaim_Data!D1164&lt;=$B$2,AVERAGEIFS(AutoClaim_Data!C2:C3168,AutoClaim_Data!B2:B3168,"Train",AutoClaim_Data!D2:D3168,"&lt;="&amp;$B$2),AVERAGEIFS(AutoClaim_Data!C2:C3168,AutoClaim_Data!B2:B3168,"Train",AutoClaim_Data!D2:D3168,"&gt;"&amp;$B$2))</f>
        <v/>
      </c>
      <c r="H1164">
        <f>IF(AutoClaim_Data!D1164&lt;=$B$2,IF(AutoClaim_Data!E1164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4">
        <f>(F1164-H1164)^2</f>
        <v/>
      </c>
      <c r="J1164">
        <f>--(E1164="Validation")</f>
        <v/>
      </c>
    </row>
    <row r="1165">
      <c r="D1165">
        <f>AutoClaim_Data!A1165</f>
        <v/>
      </c>
      <c r="E1165">
        <f>AutoClaim_Data!B1165</f>
        <v/>
      </c>
      <c r="F1165">
        <f>AutoClaim_Data!C1165</f>
        <v/>
      </c>
      <c r="G1165">
        <f>IF(AutoClaim_Data!D1165&lt;=$B$2,AVERAGEIFS(AutoClaim_Data!C2:C3168,AutoClaim_Data!B2:B3168,"Train",AutoClaim_Data!D2:D3168,"&lt;="&amp;$B$2),AVERAGEIFS(AutoClaim_Data!C2:C3168,AutoClaim_Data!B2:B3168,"Train",AutoClaim_Data!D2:D3168,"&gt;"&amp;$B$2))</f>
        <v/>
      </c>
      <c r="H1165">
        <f>IF(AutoClaim_Data!D1165&lt;=$B$2,IF(AutoClaim_Data!E1165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5">
        <f>(F1165-H1165)^2</f>
        <v/>
      </c>
      <c r="J1165">
        <f>--(E1165="Validation")</f>
        <v/>
      </c>
    </row>
    <row r="1166">
      <c r="D1166">
        <f>AutoClaim_Data!A1166</f>
        <v/>
      </c>
      <c r="E1166">
        <f>AutoClaim_Data!B1166</f>
        <v/>
      </c>
      <c r="F1166">
        <f>AutoClaim_Data!C1166</f>
        <v/>
      </c>
      <c r="G1166">
        <f>IF(AutoClaim_Data!D1166&lt;=$B$2,AVERAGEIFS(AutoClaim_Data!C2:C3168,AutoClaim_Data!B2:B3168,"Train",AutoClaim_Data!D2:D3168,"&lt;="&amp;$B$2),AVERAGEIFS(AutoClaim_Data!C2:C3168,AutoClaim_Data!B2:B3168,"Train",AutoClaim_Data!D2:D3168,"&gt;"&amp;$B$2))</f>
        <v/>
      </c>
      <c r="H1166">
        <f>IF(AutoClaim_Data!D1166&lt;=$B$2,IF(AutoClaim_Data!E1166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6">
        <f>(F1166-H1166)^2</f>
        <v/>
      </c>
      <c r="J1166">
        <f>--(E1166="Validation")</f>
        <v/>
      </c>
    </row>
    <row r="1167">
      <c r="D1167">
        <f>AutoClaim_Data!A1167</f>
        <v/>
      </c>
      <c r="E1167">
        <f>AutoClaim_Data!B1167</f>
        <v/>
      </c>
      <c r="F1167">
        <f>AutoClaim_Data!C1167</f>
        <v/>
      </c>
      <c r="G1167">
        <f>IF(AutoClaim_Data!D1167&lt;=$B$2,AVERAGEIFS(AutoClaim_Data!C2:C3168,AutoClaim_Data!B2:B3168,"Train",AutoClaim_Data!D2:D3168,"&lt;="&amp;$B$2),AVERAGEIFS(AutoClaim_Data!C2:C3168,AutoClaim_Data!B2:B3168,"Train",AutoClaim_Data!D2:D3168,"&gt;"&amp;$B$2))</f>
        <v/>
      </c>
      <c r="H1167">
        <f>IF(AutoClaim_Data!D1167&lt;=$B$2,IF(AutoClaim_Data!E1167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7">
        <f>(F1167-H1167)^2</f>
        <v/>
      </c>
      <c r="J1167">
        <f>--(E1167="Validation")</f>
        <v/>
      </c>
    </row>
    <row r="1168">
      <c r="D1168">
        <f>AutoClaim_Data!A1168</f>
        <v/>
      </c>
      <c r="E1168">
        <f>AutoClaim_Data!B1168</f>
        <v/>
      </c>
      <c r="F1168">
        <f>AutoClaim_Data!C1168</f>
        <v/>
      </c>
      <c r="G1168">
        <f>IF(AutoClaim_Data!D1168&lt;=$B$2,AVERAGEIFS(AutoClaim_Data!C2:C3168,AutoClaim_Data!B2:B3168,"Train",AutoClaim_Data!D2:D3168,"&lt;="&amp;$B$2),AVERAGEIFS(AutoClaim_Data!C2:C3168,AutoClaim_Data!B2:B3168,"Train",AutoClaim_Data!D2:D3168,"&gt;"&amp;$B$2))</f>
        <v/>
      </c>
      <c r="H1168">
        <f>IF(AutoClaim_Data!D1168&lt;=$B$2,IF(AutoClaim_Data!E1168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8">
        <f>(F1168-H1168)^2</f>
        <v/>
      </c>
      <c r="J1168">
        <f>--(E1168="Validation")</f>
        <v/>
      </c>
    </row>
    <row r="1169">
      <c r="D1169">
        <f>AutoClaim_Data!A1169</f>
        <v/>
      </c>
      <c r="E1169">
        <f>AutoClaim_Data!B1169</f>
        <v/>
      </c>
      <c r="F1169">
        <f>AutoClaim_Data!C1169</f>
        <v/>
      </c>
      <c r="G1169">
        <f>IF(AutoClaim_Data!D1169&lt;=$B$2,AVERAGEIFS(AutoClaim_Data!C2:C3168,AutoClaim_Data!B2:B3168,"Train",AutoClaim_Data!D2:D3168,"&lt;="&amp;$B$2),AVERAGEIFS(AutoClaim_Data!C2:C3168,AutoClaim_Data!B2:B3168,"Train",AutoClaim_Data!D2:D3168,"&gt;"&amp;$B$2))</f>
        <v/>
      </c>
      <c r="H1169">
        <f>IF(AutoClaim_Data!D1169&lt;=$B$2,IF(AutoClaim_Data!E1169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69">
        <f>(F1169-H1169)^2</f>
        <v/>
      </c>
      <c r="J1169">
        <f>--(E1169="Validation")</f>
        <v/>
      </c>
    </row>
    <row r="1170">
      <c r="D1170">
        <f>AutoClaim_Data!A1170</f>
        <v/>
      </c>
      <c r="E1170">
        <f>AutoClaim_Data!B1170</f>
        <v/>
      </c>
      <c r="F1170">
        <f>AutoClaim_Data!C1170</f>
        <v/>
      </c>
      <c r="G1170">
        <f>IF(AutoClaim_Data!D1170&lt;=$B$2,AVERAGEIFS(AutoClaim_Data!C2:C3168,AutoClaim_Data!B2:B3168,"Train",AutoClaim_Data!D2:D3168,"&lt;="&amp;$B$2),AVERAGEIFS(AutoClaim_Data!C2:C3168,AutoClaim_Data!B2:B3168,"Train",AutoClaim_Data!D2:D3168,"&gt;"&amp;$B$2))</f>
        <v/>
      </c>
      <c r="H1170">
        <f>IF(AutoClaim_Data!D1170&lt;=$B$2,IF(AutoClaim_Data!E1170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0">
        <f>(F1170-H1170)^2</f>
        <v/>
      </c>
      <c r="J1170">
        <f>--(E1170="Validation")</f>
        <v/>
      </c>
    </row>
    <row r="1171">
      <c r="D1171">
        <f>AutoClaim_Data!A1171</f>
        <v/>
      </c>
      <c r="E1171">
        <f>AutoClaim_Data!B1171</f>
        <v/>
      </c>
      <c r="F1171">
        <f>AutoClaim_Data!C1171</f>
        <v/>
      </c>
      <c r="G1171">
        <f>IF(AutoClaim_Data!D1171&lt;=$B$2,AVERAGEIFS(AutoClaim_Data!C2:C3168,AutoClaim_Data!B2:B3168,"Train",AutoClaim_Data!D2:D3168,"&lt;="&amp;$B$2),AVERAGEIFS(AutoClaim_Data!C2:C3168,AutoClaim_Data!B2:B3168,"Train",AutoClaim_Data!D2:D3168,"&gt;"&amp;$B$2))</f>
        <v/>
      </c>
      <c r="H1171">
        <f>IF(AutoClaim_Data!D1171&lt;=$B$2,IF(AutoClaim_Data!E1171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1">
        <f>(F1171-H1171)^2</f>
        <v/>
      </c>
      <c r="J1171">
        <f>--(E1171="Validation")</f>
        <v/>
      </c>
    </row>
    <row r="1172">
      <c r="D1172">
        <f>AutoClaim_Data!A1172</f>
        <v/>
      </c>
      <c r="E1172">
        <f>AutoClaim_Data!B1172</f>
        <v/>
      </c>
      <c r="F1172">
        <f>AutoClaim_Data!C1172</f>
        <v/>
      </c>
      <c r="G1172">
        <f>IF(AutoClaim_Data!D1172&lt;=$B$2,AVERAGEIFS(AutoClaim_Data!C2:C3168,AutoClaim_Data!B2:B3168,"Train",AutoClaim_Data!D2:D3168,"&lt;="&amp;$B$2),AVERAGEIFS(AutoClaim_Data!C2:C3168,AutoClaim_Data!B2:B3168,"Train",AutoClaim_Data!D2:D3168,"&gt;"&amp;$B$2))</f>
        <v/>
      </c>
      <c r="H1172">
        <f>IF(AutoClaim_Data!D1172&lt;=$B$2,IF(AutoClaim_Data!E1172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2">
        <f>(F1172-H1172)^2</f>
        <v/>
      </c>
      <c r="J1172">
        <f>--(E1172="Validation")</f>
        <v/>
      </c>
    </row>
    <row r="1173">
      <c r="D1173">
        <f>AutoClaim_Data!A1173</f>
        <v/>
      </c>
      <c r="E1173">
        <f>AutoClaim_Data!B1173</f>
        <v/>
      </c>
      <c r="F1173">
        <f>AutoClaim_Data!C1173</f>
        <v/>
      </c>
      <c r="G1173">
        <f>IF(AutoClaim_Data!D1173&lt;=$B$2,AVERAGEIFS(AutoClaim_Data!C2:C3168,AutoClaim_Data!B2:B3168,"Train",AutoClaim_Data!D2:D3168,"&lt;="&amp;$B$2),AVERAGEIFS(AutoClaim_Data!C2:C3168,AutoClaim_Data!B2:B3168,"Train",AutoClaim_Data!D2:D3168,"&gt;"&amp;$B$2))</f>
        <v/>
      </c>
      <c r="H1173">
        <f>IF(AutoClaim_Data!D1173&lt;=$B$2,IF(AutoClaim_Data!E1173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3">
        <f>(F1173-H1173)^2</f>
        <v/>
      </c>
      <c r="J1173">
        <f>--(E1173="Validation")</f>
        <v/>
      </c>
    </row>
    <row r="1174">
      <c r="D1174">
        <f>AutoClaim_Data!A1174</f>
        <v/>
      </c>
      <c r="E1174">
        <f>AutoClaim_Data!B1174</f>
        <v/>
      </c>
      <c r="F1174">
        <f>AutoClaim_Data!C1174</f>
        <v/>
      </c>
      <c r="G1174">
        <f>IF(AutoClaim_Data!D1174&lt;=$B$2,AVERAGEIFS(AutoClaim_Data!C2:C3168,AutoClaim_Data!B2:B3168,"Train",AutoClaim_Data!D2:D3168,"&lt;="&amp;$B$2),AVERAGEIFS(AutoClaim_Data!C2:C3168,AutoClaim_Data!B2:B3168,"Train",AutoClaim_Data!D2:D3168,"&gt;"&amp;$B$2))</f>
        <v/>
      </c>
      <c r="H1174">
        <f>IF(AutoClaim_Data!D1174&lt;=$B$2,IF(AutoClaim_Data!E1174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4">
        <f>(F1174-H1174)^2</f>
        <v/>
      </c>
      <c r="J1174">
        <f>--(E1174="Validation")</f>
        <v/>
      </c>
    </row>
    <row r="1175">
      <c r="D1175">
        <f>AutoClaim_Data!A1175</f>
        <v/>
      </c>
      <c r="E1175">
        <f>AutoClaim_Data!B1175</f>
        <v/>
      </c>
      <c r="F1175">
        <f>AutoClaim_Data!C1175</f>
        <v/>
      </c>
      <c r="G1175">
        <f>IF(AutoClaim_Data!D1175&lt;=$B$2,AVERAGEIFS(AutoClaim_Data!C2:C3168,AutoClaim_Data!B2:B3168,"Train",AutoClaim_Data!D2:D3168,"&lt;="&amp;$B$2),AVERAGEIFS(AutoClaim_Data!C2:C3168,AutoClaim_Data!B2:B3168,"Train",AutoClaim_Data!D2:D3168,"&gt;"&amp;$B$2))</f>
        <v/>
      </c>
      <c r="H1175">
        <f>IF(AutoClaim_Data!D1175&lt;=$B$2,IF(AutoClaim_Data!E1175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5">
        <f>(F1175-H1175)^2</f>
        <v/>
      </c>
      <c r="J1175">
        <f>--(E1175="Validation")</f>
        <v/>
      </c>
    </row>
    <row r="1176">
      <c r="D1176">
        <f>AutoClaim_Data!A1176</f>
        <v/>
      </c>
      <c r="E1176">
        <f>AutoClaim_Data!B1176</f>
        <v/>
      </c>
      <c r="F1176">
        <f>AutoClaim_Data!C1176</f>
        <v/>
      </c>
      <c r="G1176">
        <f>IF(AutoClaim_Data!D1176&lt;=$B$2,AVERAGEIFS(AutoClaim_Data!C2:C3168,AutoClaim_Data!B2:B3168,"Train",AutoClaim_Data!D2:D3168,"&lt;="&amp;$B$2),AVERAGEIFS(AutoClaim_Data!C2:C3168,AutoClaim_Data!B2:B3168,"Train",AutoClaim_Data!D2:D3168,"&gt;"&amp;$B$2))</f>
        <v/>
      </c>
      <c r="H1176">
        <f>IF(AutoClaim_Data!D1176&lt;=$B$2,IF(AutoClaim_Data!E1176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6">
        <f>(F1176-H1176)^2</f>
        <v/>
      </c>
      <c r="J1176">
        <f>--(E1176="Validation")</f>
        <v/>
      </c>
    </row>
    <row r="1177">
      <c r="D1177">
        <f>AutoClaim_Data!A1177</f>
        <v/>
      </c>
      <c r="E1177">
        <f>AutoClaim_Data!B1177</f>
        <v/>
      </c>
      <c r="F1177">
        <f>AutoClaim_Data!C1177</f>
        <v/>
      </c>
      <c r="G1177">
        <f>IF(AutoClaim_Data!D1177&lt;=$B$2,AVERAGEIFS(AutoClaim_Data!C2:C3168,AutoClaim_Data!B2:B3168,"Train",AutoClaim_Data!D2:D3168,"&lt;="&amp;$B$2),AVERAGEIFS(AutoClaim_Data!C2:C3168,AutoClaim_Data!B2:B3168,"Train",AutoClaim_Data!D2:D3168,"&gt;"&amp;$B$2))</f>
        <v/>
      </c>
      <c r="H1177">
        <f>IF(AutoClaim_Data!D1177&lt;=$B$2,IF(AutoClaim_Data!E1177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7">
        <f>(F1177-H1177)^2</f>
        <v/>
      </c>
      <c r="J1177">
        <f>--(E1177="Validation")</f>
        <v/>
      </c>
    </row>
    <row r="1178">
      <c r="D1178">
        <f>AutoClaim_Data!A1178</f>
        <v/>
      </c>
      <c r="E1178">
        <f>AutoClaim_Data!B1178</f>
        <v/>
      </c>
      <c r="F1178">
        <f>AutoClaim_Data!C1178</f>
        <v/>
      </c>
      <c r="G1178">
        <f>IF(AutoClaim_Data!D1178&lt;=$B$2,AVERAGEIFS(AutoClaim_Data!C2:C3168,AutoClaim_Data!B2:B3168,"Train",AutoClaim_Data!D2:D3168,"&lt;="&amp;$B$2),AVERAGEIFS(AutoClaim_Data!C2:C3168,AutoClaim_Data!B2:B3168,"Train",AutoClaim_Data!D2:D3168,"&gt;"&amp;$B$2))</f>
        <v/>
      </c>
      <c r="H1178">
        <f>IF(AutoClaim_Data!D1178&lt;=$B$2,IF(AutoClaim_Data!E1178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8">
        <f>(F1178-H1178)^2</f>
        <v/>
      </c>
      <c r="J1178">
        <f>--(E1178="Validation")</f>
        <v/>
      </c>
    </row>
    <row r="1179">
      <c r="D1179">
        <f>AutoClaim_Data!A1179</f>
        <v/>
      </c>
      <c r="E1179">
        <f>AutoClaim_Data!B1179</f>
        <v/>
      </c>
      <c r="F1179">
        <f>AutoClaim_Data!C1179</f>
        <v/>
      </c>
      <c r="G1179">
        <f>IF(AutoClaim_Data!D1179&lt;=$B$2,AVERAGEIFS(AutoClaim_Data!C2:C3168,AutoClaim_Data!B2:B3168,"Train",AutoClaim_Data!D2:D3168,"&lt;="&amp;$B$2),AVERAGEIFS(AutoClaim_Data!C2:C3168,AutoClaim_Data!B2:B3168,"Train",AutoClaim_Data!D2:D3168,"&gt;"&amp;$B$2))</f>
        <v/>
      </c>
      <c r="H1179">
        <f>IF(AutoClaim_Data!D1179&lt;=$B$2,IF(AutoClaim_Data!E1179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79">
        <f>(F1179-H1179)^2</f>
        <v/>
      </c>
      <c r="J1179">
        <f>--(E1179="Validation")</f>
        <v/>
      </c>
    </row>
    <row r="1180">
      <c r="D1180">
        <f>AutoClaim_Data!A1180</f>
        <v/>
      </c>
      <c r="E1180">
        <f>AutoClaim_Data!B1180</f>
        <v/>
      </c>
      <c r="F1180">
        <f>AutoClaim_Data!C1180</f>
        <v/>
      </c>
      <c r="G1180">
        <f>IF(AutoClaim_Data!D1180&lt;=$B$2,AVERAGEIFS(AutoClaim_Data!C2:C3168,AutoClaim_Data!B2:B3168,"Train",AutoClaim_Data!D2:D3168,"&lt;="&amp;$B$2),AVERAGEIFS(AutoClaim_Data!C2:C3168,AutoClaim_Data!B2:B3168,"Train",AutoClaim_Data!D2:D3168,"&gt;"&amp;$B$2))</f>
        <v/>
      </c>
      <c r="H1180">
        <f>IF(AutoClaim_Data!D1180&lt;=$B$2,IF(AutoClaim_Data!E1180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0">
        <f>(F1180-H1180)^2</f>
        <v/>
      </c>
      <c r="J1180">
        <f>--(E1180="Validation")</f>
        <v/>
      </c>
    </row>
    <row r="1181">
      <c r="D1181">
        <f>AutoClaim_Data!A1181</f>
        <v/>
      </c>
      <c r="E1181">
        <f>AutoClaim_Data!B1181</f>
        <v/>
      </c>
      <c r="F1181">
        <f>AutoClaim_Data!C1181</f>
        <v/>
      </c>
      <c r="G1181">
        <f>IF(AutoClaim_Data!D1181&lt;=$B$2,AVERAGEIFS(AutoClaim_Data!C2:C3168,AutoClaim_Data!B2:B3168,"Train",AutoClaim_Data!D2:D3168,"&lt;="&amp;$B$2),AVERAGEIFS(AutoClaim_Data!C2:C3168,AutoClaim_Data!B2:B3168,"Train",AutoClaim_Data!D2:D3168,"&gt;"&amp;$B$2))</f>
        <v/>
      </c>
      <c r="H1181">
        <f>IF(AutoClaim_Data!D1181&lt;=$B$2,IF(AutoClaim_Data!E1181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1">
        <f>(F1181-H1181)^2</f>
        <v/>
      </c>
      <c r="J1181">
        <f>--(E1181="Validation")</f>
        <v/>
      </c>
    </row>
    <row r="1182">
      <c r="D1182">
        <f>AutoClaim_Data!A1182</f>
        <v/>
      </c>
      <c r="E1182">
        <f>AutoClaim_Data!B1182</f>
        <v/>
      </c>
      <c r="F1182">
        <f>AutoClaim_Data!C1182</f>
        <v/>
      </c>
      <c r="G1182">
        <f>IF(AutoClaim_Data!D1182&lt;=$B$2,AVERAGEIFS(AutoClaim_Data!C2:C3168,AutoClaim_Data!B2:B3168,"Train",AutoClaim_Data!D2:D3168,"&lt;="&amp;$B$2),AVERAGEIFS(AutoClaim_Data!C2:C3168,AutoClaim_Data!B2:B3168,"Train",AutoClaim_Data!D2:D3168,"&gt;"&amp;$B$2))</f>
        <v/>
      </c>
      <c r="H1182">
        <f>IF(AutoClaim_Data!D1182&lt;=$B$2,IF(AutoClaim_Data!E1182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2">
        <f>(F1182-H1182)^2</f>
        <v/>
      </c>
      <c r="J1182">
        <f>--(E1182="Validation")</f>
        <v/>
      </c>
    </row>
    <row r="1183">
      <c r="D1183">
        <f>AutoClaim_Data!A1183</f>
        <v/>
      </c>
      <c r="E1183">
        <f>AutoClaim_Data!B1183</f>
        <v/>
      </c>
      <c r="F1183">
        <f>AutoClaim_Data!C1183</f>
        <v/>
      </c>
      <c r="G1183">
        <f>IF(AutoClaim_Data!D1183&lt;=$B$2,AVERAGEIFS(AutoClaim_Data!C2:C3168,AutoClaim_Data!B2:B3168,"Train",AutoClaim_Data!D2:D3168,"&lt;="&amp;$B$2),AVERAGEIFS(AutoClaim_Data!C2:C3168,AutoClaim_Data!B2:B3168,"Train",AutoClaim_Data!D2:D3168,"&gt;"&amp;$B$2))</f>
        <v/>
      </c>
      <c r="H1183">
        <f>IF(AutoClaim_Data!D1183&lt;=$B$2,IF(AutoClaim_Data!E1183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3">
        <f>(F1183-H1183)^2</f>
        <v/>
      </c>
      <c r="J1183">
        <f>--(E1183="Validation")</f>
        <v/>
      </c>
    </row>
    <row r="1184">
      <c r="D1184">
        <f>AutoClaim_Data!A1184</f>
        <v/>
      </c>
      <c r="E1184">
        <f>AutoClaim_Data!B1184</f>
        <v/>
      </c>
      <c r="F1184">
        <f>AutoClaim_Data!C1184</f>
        <v/>
      </c>
      <c r="G1184">
        <f>IF(AutoClaim_Data!D1184&lt;=$B$2,AVERAGEIFS(AutoClaim_Data!C2:C3168,AutoClaim_Data!B2:B3168,"Train",AutoClaim_Data!D2:D3168,"&lt;="&amp;$B$2),AVERAGEIFS(AutoClaim_Data!C2:C3168,AutoClaim_Data!B2:B3168,"Train",AutoClaim_Data!D2:D3168,"&gt;"&amp;$B$2))</f>
        <v/>
      </c>
      <c r="H1184">
        <f>IF(AutoClaim_Data!D1184&lt;=$B$2,IF(AutoClaim_Data!E1184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4">
        <f>(F1184-H1184)^2</f>
        <v/>
      </c>
      <c r="J1184">
        <f>--(E1184="Validation")</f>
        <v/>
      </c>
    </row>
    <row r="1185">
      <c r="D1185">
        <f>AutoClaim_Data!A1185</f>
        <v/>
      </c>
      <c r="E1185">
        <f>AutoClaim_Data!B1185</f>
        <v/>
      </c>
      <c r="F1185">
        <f>AutoClaim_Data!C1185</f>
        <v/>
      </c>
      <c r="G1185">
        <f>IF(AutoClaim_Data!D1185&lt;=$B$2,AVERAGEIFS(AutoClaim_Data!C2:C3168,AutoClaim_Data!B2:B3168,"Train",AutoClaim_Data!D2:D3168,"&lt;="&amp;$B$2),AVERAGEIFS(AutoClaim_Data!C2:C3168,AutoClaim_Data!B2:B3168,"Train",AutoClaim_Data!D2:D3168,"&gt;"&amp;$B$2))</f>
        <v/>
      </c>
      <c r="H1185">
        <f>IF(AutoClaim_Data!D1185&lt;=$B$2,IF(AutoClaim_Data!E1185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5">
        <f>(F1185-H1185)^2</f>
        <v/>
      </c>
      <c r="J1185">
        <f>--(E1185="Validation")</f>
        <v/>
      </c>
    </row>
    <row r="1186">
      <c r="D1186">
        <f>AutoClaim_Data!A1186</f>
        <v/>
      </c>
      <c r="E1186">
        <f>AutoClaim_Data!B1186</f>
        <v/>
      </c>
      <c r="F1186">
        <f>AutoClaim_Data!C1186</f>
        <v/>
      </c>
      <c r="G1186">
        <f>IF(AutoClaim_Data!D1186&lt;=$B$2,AVERAGEIFS(AutoClaim_Data!C2:C3168,AutoClaim_Data!B2:B3168,"Train",AutoClaim_Data!D2:D3168,"&lt;="&amp;$B$2),AVERAGEIFS(AutoClaim_Data!C2:C3168,AutoClaim_Data!B2:B3168,"Train",AutoClaim_Data!D2:D3168,"&gt;"&amp;$B$2))</f>
        <v/>
      </c>
      <c r="H1186">
        <f>IF(AutoClaim_Data!D1186&lt;=$B$2,IF(AutoClaim_Data!E1186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6">
        <f>(F1186-H1186)^2</f>
        <v/>
      </c>
      <c r="J1186">
        <f>--(E1186="Validation")</f>
        <v/>
      </c>
    </row>
    <row r="1187">
      <c r="D1187">
        <f>AutoClaim_Data!A1187</f>
        <v/>
      </c>
      <c r="E1187">
        <f>AutoClaim_Data!B1187</f>
        <v/>
      </c>
      <c r="F1187">
        <f>AutoClaim_Data!C1187</f>
        <v/>
      </c>
      <c r="G1187">
        <f>IF(AutoClaim_Data!D1187&lt;=$B$2,AVERAGEIFS(AutoClaim_Data!C2:C3168,AutoClaim_Data!B2:B3168,"Train",AutoClaim_Data!D2:D3168,"&lt;="&amp;$B$2),AVERAGEIFS(AutoClaim_Data!C2:C3168,AutoClaim_Data!B2:B3168,"Train",AutoClaim_Data!D2:D3168,"&gt;"&amp;$B$2))</f>
        <v/>
      </c>
      <c r="H1187">
        <f>IF(AutoClaim_Data!D1187&lt;=$B$2,IF(AutoClaim_Data!E1187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7">
        <f>(F1187-H1187)^2</f>
        <v/>
      </c>
      <c r="J1187">
        <f>--(E1187="Validation")</f>
        <v/>
      </c>
    </row>
    <row r="1188">
      <c r="D1188">
        <f>AutoClaim_Data!A1188</f>
        <v/>
      </c>
      <c r="E1188">
        <f>AutoClaim_Data!B1188</f>
        <v/>
      </c>
      <c r="F1188">
        <f>AutoClaim_Data!C1188</f>
        <v/>
      </c>
      <c r="G1188">
        <f>IF(AutoClaim_Data!D1188&lt;=$B$2,AVERAGEIFS(AutoClaim_Data!C2:C3168,AutoClaim_Data!B2:B3168,"Train",AutoClaim_Data!D2:D3168,"&lt;="&amp;$B$2),AVERAGEIFS(AutoClaim_Data!C2:C3168,AutoClaim_Data!B2:B3168,"Train",AutoClaim_Data!D2:D3168,"&gt;"&amp;$B$2))</f>
        <v/>
      </c>
      <c r="H1188">
        <f>IF(AutoClaim_Data!D1188&lt;=$B$2,IF(AutoClaim_Data!E1188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8">
        <f>(F1188-H1188)^2</f>
        <v/>
      </c>
      <c r="J1188">
        <f>--(E1188="Validation")</f>
        <v/>
      </c>
    </row>
    <row r="1189">
      <c r="D1189">
        <f>AutoClaim_Data!A1189</f>
        <v/>
      </c>
      <c r="E1189">
        <f>AutoClaim_Data!B1189</f>
        <v/>
      </c>
      <c r="F1189">
        <f>AutoClaim_Data!C1189</f>
        <v/>
      </c>
      <c r="G1189">
        <f>IF(AutoClaim_Data!D1189&lt;=$B$2,AVERAGEIFS(AutoClaim_Data!C2:C3168,AutoClaim_Data!B2:B3168,"Train",AutoClaim_Data!D2:D3168,"&lt;="&amp;$B$2),AVERAGEIFS(AutoClaim_Data!C2:C3168,AutoClaim_Data!B2:B3168,"Train",AutoClaim_Data!D2:D3168,"&gt;"&amp;$B$2))</f>
        <v/>
      </c>
      <c r="H1189">
        <f>IF(AutoClaim_Data!D1189&lt;=$B$2,IF(AutoClaim_Data!E1189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89">
        <f>(F1189-H1189)^2</f>
        <v/>
      </c>
      <c r="J1189">
        <f>--(E1189="Validation")</f>
        <v/>
      </c>
    </row>
    <row r="1190">
      <c r="D1190">
        <f>AutoClaim_Data!A1190</f>
        <v/>
      </c>
      <c r="E1190">
        <f>AutoClaim_Data!B1190</f>
        <v/>
      </c>
      <c r="F1190">
        <f>AutoClaim_Data!C1190</f>
        <v/>
      </c>
      <c r="G1190">
        <f>IF(AutoClaim_Data!D1190&lt;=$B$2,AVERAGEIFS(AutoClaim_Data!C2:C3168,AutoClaim_Data!B2:B3168,"Train",AutoClaim_Data!D2:D3168,"&lt;="&amp;$B$2),AVERAGEIFS(AutoClaim_Data!C2:C3168,AutoClaim_Data!B2:B3168,"Train",AutoClaim_Data!D2:D3168,"&gt;"&amp;$B$2))</f>
        <v/>
      </c>
      <c r="H1190">
        <f>IF(AutoClaim_Data!D1190&lt;=$B$2,IF(AutoClaim_Data!E1190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0">
        <f>(F1190-H1190)^2</f>
        <v/>
      </c>
      <c r="J1190">
        <f>--(E1190="Validation")</f>
        <v/>
      </c>
    </row>
    <row r="1191">
      <c r="D1191">
        <f>AutoClaim_Data!A1191</f>
        <v/>
      </c>
      <c r="E1191">
        <f>AutoClaim_Data!B1191</f>
        <v/>
      </c>
      <c r="F1191">
        <f>AutoClaim_Data!C1191</f>
        <v/>
      </c>
      <c r="G1191">
        <f>IF(AutoClaim_Data!D1191&lt;=$B$2,AVERAGEIFS(AutoClaim_Data!C2:C3168,AutoClaim_Data!B2:B3168,"Train",AutoClaim_Data!D2:D3168,"&lt;="&amp;$B$2),AVERAGEIFS(AutoClaim_Data!C2:C3168,AutoClaim_Data!B2:B3168,"Train",AutoClaim_Data!D2:D3168,"&gt;"&amp;$B$2))</f>
        <v/>
      </c>
      <c r="H1191">
        <f>IF(AutoClaim_Data!D1191&lt;=$B$2,IF(AutoClaim_Data!E1191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1">
        <f>(F1191-H1191)^2</f>
        <v/>
      </c>
      <c r="J1191">
        <f>--(E1191="Validation")</f>
        <v/>
      </c>
    </row>
    <row r="1192">
      <c r="D1192">
        <f>AutoClaim_Data!A1192</f>
        <v/>
      </c>
      <c r="E1192">
        <f>AutoClaim_Data!B1192</f>
        <v/>
      </c>
      <c r="F1192">
        <f>AutoClaim_Data!C1192</f>
        <v/>
      </c>
      <c r="G1192">
        <f>IF(AutoClaim_Data!D1192&lt;=$B$2,AVERAGEIFS(AutoClaim_Data!C2:C3168,AutoClaim_Data!B2:B3168,"Train",AutoClaim_Data!D2:D3168,"&lt;="&amp;$B$2),AVERAGEIFS(AutoClaim_Data!C2:C3168,AutoClaim_Data!B2:B3168,"Train",AutoClaim_Data!D2:D3168,"&gt;"&amp;$B$2))</f>
        <v/>
      </c>
      <c r="H1192">
        <f>IF(AutoClaim_Data!D1192&lt;=$B$2,IF(AutoClaim_Data!E1192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2">
        <f>(F1192-H1192)^2</f>
        <v/>
      </c>
      <c r="J1192">
        <f>--(E1192="Validation")</f>
        <v/>
      </c>
    </row>
    <row r="1193">
      <c r="D1193">
        <f>AutoClaim_Data!A1193</f>
        <v/>
      </c>
      <c r="E1193">
        <f>AutoClaim_Data!B1193</f>
        <v/>
      </c>
      <c r="F1193">
        <f>AutoClaim_Data!C1193</f>
        <v/>
      </c>
      <c r="G1193">
        <f>IF(AutoClaim_Data!D1193&lt;=$B$2,AVERAGEIFS(AutoClaim_Data!C2:C3168,AutoClaim_Data!B2:B3168,"Train",AutoClaim_Data!D2:D3168,"&lt;="&amp;$B$2),AVERAGEIFS(AutoClaim_Data!C2:C3168,AutoClaim_Data!B2:B3168,"Train",AutoClaim_Data!D2:D3168,"&gt;"&amp;$B$2))</f>
        <v/>
      </c>
      <c r="H1193">
        <f>IF(AutoClaim_Data!D1193&lt;=$B$2,IF(AutoClaim_Data!E1193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3">
        <f>(F1193-H1193)^2</f>
        <v/>
      </c>
      <c r="J1193">
        <f>--(E1193="Validation")</f>
        <v/>
      </c>
    </row>
    <row r="1194">
      <c r="D1194">
        <f>AutoClaim_Data!A1194</f>
        <v/>
      </c>
      <c r="E1194">
        <f>AutoClaim_Data!B1194</f>
        <v/>
      </c>
      <c r="F1194">
        <f>AutoClaim_Data!C1194</f>
        <v/>
      </c>
      <c r="G1194">
        <f>IF(AutoClaim_Data!D1194&lt;=$B$2,AVERAGEIFS(AutoClaim_Data!C2:C3168,AutoClaim_Data!B2:B3168,"Train",AutoClaim_Data!D2:D3168,"&lt;="&amp;$B$2),AVERAGEIFS(AutoClaim_Data!C2:C3168,AutoClaim_Data!B2:B3168,"Train",AutoClaim_Data!D2:D3168,"&gt;"&amp;$B$2))</f>
        <v/>
      </c>
      <c r="H1194">
        <f>IF(AutoClaim_Data!D1194&lt;=$B$2,IF(AutoClaim_Data!E1194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4">
        <f>(F1194-H1194)^2</f>
        <v/>
      </c>
      <c r="J1194">
        <f>--(E1194="Validation")</f>
        <v/>
      </c>
    </row>
    <row r="1195">
      <c r="D1195">
        <f>AutoClaim_Data!A1195</f>
        <v/>
      </c>
      <c r="E1195">
        <f>AutoClaim_Data!B1195</f>
        <v/>
      </c>
      <c r="F1195">
        <f>AutoClaim_Data!C1195</f>
        <v/>
      </c>
      <c r="G1195">
        <f>IF(AutoClaim_Data!D1195&lt;=$B$2,AVERAGEIFS(AutoClaim_Data!C2:C3168,AutoClaim_Data!B2:B3168,"Train",AutoClaim_Data!D2:D3168,"&lt;="&amp;$B$2),AVERAGEIFS(AutoClaim_Data!C2:C3168,AutoClaim_Data!B2:B3168,"Train",AutoClaim_Data!D2:D3168,"&gt;"&amp;$B$2))</f>
        <v/>
      </c>
      <c r="H1195">
        <f>IF(AutoClaim_Data!D1195&lt;=$B$2,IF(AutoClaim_Data!E1195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5">
        <f>(F1195-H1195)^2</f>
        <v/>
      </c>
      <c r="J1195">
        <f>--(E1195="Validation")</f>
        <v/>
      </c>
    </row>
    <row r="1196">
      <c r="D1196">
        <f>AutoClaim_Data!A1196</f>
        <v/>
      </c>
      <c r="E1196">
        <f>AutoClaim_Data!B1196</f>
        <v/>
      </c>
      <c r="F1196">
        <f>AutoClaim_Data!C1196</f>
        <v/>
      </c>
      <c r="G1196">
        <f>IF(AutoClaim_Data!D1196&lt;=$B$2,AVERAGEIFS(AutoClaim_Data!C2:C3168,AutoClaim_Data!B2:B3168,"Train",AutoClaim_Data!D2:D3168,"&lt;="&amp;$B$2),AVERAGEIFS(AutoClaim_Data!C2:C3168,AutoClaim_Data!B2:B3168,"Train",AutoClaim_Data!D2:D3168,"&gt;"&amp;$B$2))</f>
        <v/>
      </c>
      <c r="H1196">
        <f>IF(AutoClaim_Data!D1196&lt;=$B$2,IF(AutoClaim_Data!E1196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6">
        <f>(F1196-H1196)^2</f>
        <v/>
      </c>
      <c r="J1196">
        <f>--(E1196="Validation")</f>
        <v/>
      </c>
    </row>
    <row r="1197">
      <c r="D1197">
        <f>AutoClaim_Data!A1197</f>
        <v/>
      </c>
      <c r="E1197">
        <f>AutoClaim_Data!B1197</f>
        <v/>
      </c>
      <c r="F1197">
        <f>AutoClaim_Data!C1197</f>
        <v/>
      </c>
      <c r="G1197">
        <f>IF(AutoClaim_Data!D1197&lt;=$B$2,AVERAGEIFS(AutoClaim_Data!C2:C3168,AutoClaim_Data!B2:B3168,"Train",AutoClaim_Data!D2:D3168,"&lt;="&amp;$B$2),AVERAGEIFS(AutoClaim_Data!C2:C3168,AutoClaim_Data!B2:B3168,"Train",AutoClaim_Data!D2:D3168,"&gt;"&amp;$B$2))</f>
        <v/>
      </c>
      <c r="H1197">
        <f>IF(AutoClaim_Data!D1197&lt;=$B$2,IF(AutoClaim_Data!E1197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7">
        <f>(F1197-H1197)^2</f>
        <v/>
      </c>
      <c r="J1197">
        <f>--(E1197="Validation")</f>
        <v/>
      </c>
    </row>
    <row r="1198">
      <c r="D1198">
        <f>AutoClaim_Data!A1198</f>
        <v/>
      </c>
      <c r="E1198">
        <f>AutoClaim_Data!B1198</f>
        <v/>
      </c>
      <c r="F1198">
        <f>AutoClaim_Data!C1198</f>
        <v/>
      </c>
      <c r="G1198">
        <f>IF(AutoClaim_Data!D1198&lt;=$B$2,AVERAGEIFS(AutoClaim_Data!C2:C3168,AutoClaim_Data!B2:B3168,"Train",AutoClaim_Data!D2:D3168,"&lt;="&amp;$B$2),AVERAGEIFS(AutoClaim_Data!C2:C3168,AutoClaim_Data!B2:B3168,"Train",AutoClaim_Data!D2:D3168,"&gt;"&amp;$B$2))</f>
        <v/>
      </c>
      <c r="H1198">
        <f>IF(AutoClaim_Data!D1198&lt;=$B$2,IF(AutoClaim_Data!E1198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8">
        <f>(F1198-H1198)^2</f>
        <v/>
      </c>
      <c r="J1198">
        <f>--(E1198="Validation")</f>
        <v/>
      </c>
    </row>
    <row r="1199">
      <c r="D1199">
        <f>AutoClaim_Data!A1199</f>
        <v/>
      </c>
      <c r="E1199">
        <f>AutoClaim_Data!B1199</f>
        <v/>
      </c>
      <c r="F1199">
        <f>AutoClaim_Data!C1199</f>
        <v/>
      </c>
      <c r="G1199">
        <f>IF(AutoClaim_Data!D1199&lt;=$B$2,AVERAGEIFS(AutoClaim_Data!C2:C3168,AutoClaim_Data!B2:B3168,"Train",AutoClaim_Data!D2:D3168,"&lt;="&amp;$B$2),AVERAGEIFS(AutoClaim_Data!C2:C3168,AutoClaim_Data!B2:B3168,"Train",AutoClaim_Data!D2:D3168,"&gt;"&amp;$B$2))</f>
        <v/>
      </c>
      <c r="H1199">
        <f>IF(AutoClaim_Data!D1199&lt;=$B$2,IF(AutoClaim_Data!E1199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1199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199">
        <f>(F1199-H1199)^2</f>
        <v/>
      </c>
      <c r="J1199">
        <f>--(E1199="Validation")</f>
        <v/>
      </c>
    </row>
    <row r="1200">
      <c r="D1200">
        <f>AutoClaim_Data!A1200</f>
        <v/>
      </c>
      <c r="E1200">
        <f>AutoClaim_Data!B1200</f>
        <v/>
      </c>
      <c r="F1200">
        <f>AutoClaim_Data!C1200</f>
        <v/>
      </c>
      <c r="G1200">
        <f>IF(AutoClaim_Data!D1200&lt;=$B$2,AVERAGEIFS(AutoClaim_Data!C2:C3168,AutoClaim_Data!B2:B3168,"Train",AutoClaim_Data!D2:D3168,"&lt;="&amp;$B$2),AVERAGEIFS(AutoClaim_Data!C2:C3168,AutoClaim_Data!B2:B3168,"Train",AutoClaim_Data!D2:D3168,"&gt;"&amp;$B$2))</f>
        <v/>
      </c>
      <c r="H1200">
        <f>IF(AutoClaim_Data!D1200&lt;=$B$2,IF(AutoClaim_Data!E1200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0">
        <f>(F1200-H1200)^2</f>
        <v/>
      </c>
      <c r="J1200">
        <f>--(E1200="Validation")</f>
        <v/>
      </c>
    </row>
    <row r="1201">
      <c r="D1201">
        <f>AutoClaim_Data!A1201</f>
        <v/>
      </c>
      <c r="E1201">
        <f>AutoClaim_Data!B1201</f>
        <v/>
      </c>
      <c r="F1201">
        <f>AutoClaim_Data!C1201</f>
        <v/>
      </c>
      <c r="G1201">
        <f>IF(AutoClaim_Data!D1201&lt;=$B$2,AVERAGEIFS(AutoClaim_Data!C2:C3168,AutoClaim_Data!B2:B3168,"Train",AutoClaim_Data!D2:D3168,"&lt;="&amp;$B$2),AVERAGEIFS(AutoClaim_Data!C2:C3168,AutoClaim_Data!B2:B3168,"Train",AutoClaim_Data!D2:D3168,"&gt;"&amp;$B$2))</f>
        <v/>
      </c>
      <c r="H1201">
        <f>IF(AutoClaim_Data!D1201&lt;=$B$2,IF(AutoClaim_Data!E1201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1">
        <f>(F1201-H1201)^2</f>
        <v/>
      </c>
      <c r="J1201">
        <f>--(E1201="Validation")</f>
        <v/>
      </c>
    </row>
    <row r="1202">
      <c r="D1202">
        <f>AutoClaim_Data!A1202</f>
        <v/>
      </c>
      <c r="E1202">
        <f>AutoClaim_Data!B1202</f>
        <v/>
      </c>
      <c r="F1202">
        <f>AutoClaim_Data!C1202</f>
        <v/>
      </c>
      <c r="G1202">
        <f>IF(AutoClaim_Data!D1202&lt;=$B$2,AVERAGEIFS(AutoClaim_Data!C2:C3168,AutoClaim_Data!B2:B3168,"Train",AutoClaim_Data!D2:D3168,"&lt;="&amp;$B$2),AVERAGEIFS(AutoClaim_Data!C2:C3168,AutoClaim_Data!B2:B3168,"Train",AutoClaim_Data!D2:D3168,"&gt;"&amp;$B$2))</f>
        <v/>
      </c>
      <c r="H1202">
        <f>IF(AutoClaim_Data!D1202&lt;=$B$2,IF(AutoClaim_Data!E1202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2">
        <f>(F1202-H1202)^2</f>
        <v/>
      </c>
      <c r="J1202">
        <f>--(E1202="Validation")</f>
        <v/>
      </c>
    </row>
    <row r="1203">
      <c r="D1203">
        <f>AutoClaim_Data!A1203</f>
        <v/>
      </c>
      <c r="E1203">
        <f>AutoClaim_Data!B1203</f>
        <v/>
      </c>
      <c r="F1203">
        <f>AutoClaim_Data!C1203</f>
        <v/>
      </c>
      <c r="G1203">
        <f>IF(AutoClaim_Data!D1203&lt;=$B$2,AVERAGEIFS(AutoClaim_Data!C2:C3168,AutoClaim_Data!B2:B3168,"Train",AutoClaim_Data!D2:D3168,"&lt;="&amp;$B$2),AVERAGEIFS(AutoClaim_Data!C2:C3168,AutoClaim_Data!B2:B3168,"Train",AutoClaim_Data!D2:D3168,"&gt;"&amp;$B$2))</f>
        <v/>
      </c>
      <c r="H1203">
        <f>IF(AutoClaim_Data!D1203&lt;=$B$2,IF(AutoClaim_Data!E1203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3">
        <f>(F1203-H1203)^2</f>
        <v/>
      </c>
      <c r="J1203">
        <f>--(E1203="Validation")</f>
        <v/>
      </c>
    </row>
    <row r="1204">
      <c r="D1204">
        <f>AutoClaim_Data!A1204</f>
        <v/>
      </c>
      <c r="E1204">
        <f>AutoClaim_Data!B1204</f>
        <v/>
      </c>
      <c r="F1204">
        <f>AutoClaim_Data!C1204</f>
        <v/>
      </c>
      <c r="G1204">
        <f>IF(AutoClaim_Data!D1204&lt;=$B$2,AVERAGEIFS(AutoClaim_Data!C2:C3168,AutoClaim_Data!B2:B3168,"Train",AutoClaim_Data!D2:D3168,"&lt;="&amp;$B$2),AVERAGEIFS(AutoClaim_Data!C2:C3168,AutoClaim_Data!B2:B3168,"Train",AutoClaim_Data!D2:D3168,"&gt;"&amp;$B$2))</f>
        <v/>
      </c>
      <c r="H1204">
        <f>IF(AutoClaim_Data!D1204&lt;=$B$2,IF(AutoClaim_Data!E1204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4">
        <f>(F1204-H1204)^2</f>
        <v/>
      </c>
      <c r="J1204">
        <f>--(E1204="Validation")</f>
        <v/>
      </c>
    </row>
    <row r="1205">
      <c r="D1205">
        <f>AutoClaim_Data!A1205</f>
        <v/>
      </c>
      <c r="E1205">
        <f>AutoClaim_Data!B1205</f>
        <v/>
      </c>
      <c r="F1205">
        <f>AutoClaim_Data!C1205</f>
        <v/>
      </c>
      <c r="G1205">
        <f>IF(AutoClaim_Data!D1205&lt;=$B$2,AVERAGEIFS(AutoClaim_Data!C2:C3168,AutoClaim_Data!B2:B3168,"Train",AutoClaim_Data!D2:D3168,"&lt;="&amp;$B$2),AVERAGEIFS(AutoClaim_Data!C2:C3168,AutoClaim_Data!B2:B3168,"Train",AutoClaim_Data!D2:D3168,"&gt;"&amp;$B$2))</f>
        <v/>
      </c>
      <c r="H1205">
        <f>IF(AutoClaim_Data!D1205&lt;=$B$2,IF(AutoClaim_Data!E1205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5">
        <f>(F1205-H1205)^2</f>
        <v/>
      </c>
      <c r="J1205">
        <f>--(E1205="Validation")</f>
        <v/>
      </c>
    </row>
    <row r="1206">
      <c r="D1206">
        <f>AutoClaim_Data!A1206</f>
        <v/>
      </c>
      <c r="E1206">
        <f>AutoClaim_Data!B1206</f>
        <v/>
      </c>
      <c r="F1206">
        <f>AutoClaim_Data!C1206</f>
        <v/>
      </c>
      <c r="G1206">
        <f>IF(AutoClaim_Data!D1206&lt;=$B$2,AVERAGEIFS(AutoClaim_Data!C2:C3168,AutoClaim_Data!B2:B3168,"Train",AutoClaim_Data!D2:D3168,"&lt;="&amp;$B$2),AVERAGEIFS(AutoClaim_Data!C2:C3168,AutoClaim_Data!B2:B3168,"Train",AutoClaim_Data!D2:D3168,"&gt;"&amp;$B$2))</f>
        <v/>
      </c>
      <c r="H1206">
        <f>IF(AutoClaim_Data!D1206&lt;=$B$2,IF(AutoClaim_Data!E1206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6">
        <f>(F1206-H1206)^2</f>
        <v/>
      </c>
      <c r="J1206">
        <f>--(E1206="Validation")</f>
        <v/>
      </c>
    </row>
    <row r="1207">
      <c r="D1207">
        <f>AutoClaim_Data!A1207</f>
        <v/>
      </c>
      <c r="E1207">
        <f>AutoClaim_Data!B1207</f>
        <v/>
      </c>
      <c r="F1207">
        <f>AutoClaim_Data!C1207</f>
        <v/>
      </c>
      <c r="G1207">
        <f>IF(AutoClaim_Data!D1207&lt;=$B$2,AVERAGEIFS(AutoClaim_Data!C2:C3168,AutoClaim_Data!B2:B3168,"Train",AutoClaim_Data!D2:D3168,"&lt;="&amp;$B$2),AVERAGEIFS(AutoClaim_Data!C2:C3168,AutoClaim_Data!B2:B3168,"Train",AutoClaim_Data!D2:D3168,"&gt;"&amp;$B$2))</f>
        <v/>
      </c>
      <c r="H1207">
        <f>IF(AutoClaim_Data!D1207&lt;=$B$2,IF(AutoClaim_Data!E1207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7">
        <f>(F1207-H1207)^2</f>
        <v/>
      </c>
      <c r="J1207">
        <f>--(E1207="Validation")</f>
        <v/>
      </c>
    </row>
    <row r="1208">
      <c r="D1208">
        <f>AutoClaim_Data!A1208</f>
        <v/>
      </c>
      <c r="E1208">
        <f>AutoClaim_Data!B1208</f>
        <v/>
      </c>
      <c r="F1208">
        <f>AutoClaim_Data!C1208</f>
        <v/>
      </c>
      <c r="G1208">
        <f>IF(AutoClaim_Data!D1208&lt;=$B$2,AVERAGEIFS(AutoClaim_Data!C2:C3168,AutoClaim_Data!B2:B3168,"Train",AutoClaim_Data!D2:D3168,"&lt;="&amp;$B$2),AVERAGEIFS(AutoClaim_Data!C2:C3168,AutoClaim_Data!B2:B3168,"Train",AutoClaim_Data!D2:D3168,"&gt;"&amp;$B$2))</f>
        <v/>
      </c>
      <c r="H1208">
        <f>IF(AutoClaim_Data!D1208&lt;=$B$2,IF(AutoClaim_Data!E1208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8">
        <f>(F1208-H1208)^2</f>
        <v/>
      </c>
      <c r="J1208">
        <f>--(E1208="Validation")</f>
        <v/>
      </c>
    </row>
    <row r="1209">
      <c r="D1209">
        <f>AutoClaim_Data!A1209</f>
        <v/>
      </c>
      <c r="E1209">
        <f>AutoClaim_Data!B1209</f>
        <v/>
      </c>
      <c r="F1209">
        <f>AutoClaim_Data!C1209</f>
        <v/>
      </c>
      <c r="G1209">
        <f>IF(AutoClaim_Data!D1209&lt;=$B$2,AVERAGEIFS(AutoClaim_Data!C2:C3168,AutoClaim_Data!B2:B3168,"Train",AutoClaim_Data!D2:D3168,"&lt;="&amp;$B$2),AVERAGEIFS(AutoClaim_Data!C2:C3168,AutoClaim_Data!B2:B3168,"Train",AutoClaim_Data!D2:D3168,"&gt;"&amp;$B$2))</f>
        <v/>
      </c>
      <c r="H1209">
        <f>IF(AutoClaim_Data!D1209&lt;=$B$2,IF(AutoClaim_Data!E1209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09">
        <f>(F1209-H1209)^2</f>
        <v/>
      </c>
      <c r="J1209">
        <f>--(E1209="Validation")</f>
        <v/>
      </c>
    </row>
    <row r="1210">
      <c r="D1210">
        <f>AutoClaim_Data!A1210</f>
        <v/>
      </c>
      <c r="E1210">
        <f>AutoClaim_Data!B1210</f>
        <v/>
      </c>
      <c r="F1210">
        <f>AutoClaim_Data!C1210</f>
        <v/>
      </c>
      <c r="G1210">
        <f>IF(AutoClaim_Data!D1210&lt;=$B$2,AVERAGEIFS(AutoClaim_Data!C2:C3168,AutoClaim_Data!B2:B3168,"Train",AutoClaim_Data!D2:D3168,"&lt;="&amp;$B$2),AVERAGEIFS(AutoClaim_Data!C2:C3168,AutoClaim_Data!B2:B3168,"Train",AutoClaim_Data!D2:D3168,"&gt;"&amp;$B$2))</f>
        <v/>
      </c>
      <c r="H1210">
        <f>IF(AutoClaim_Data!D1210&lt;=$B$2,IF(AutoClaim_Data!E1210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0">
        <f>(F1210-H1210)^2</f>
        <v/>
      </c>
      <c r="J1210">
        <f>--(E1210="Validation")</f>
        <v/>
      </c>
    </row>
    <row r="1211">
      <c r="D1211">
        <f>AutoClaim_Data!A1211</f>
        <v/>
      </c>
      <c r="E1211">
        <f>AutoClaim_Data!B1211</f>
        <v/>
      </c>
      <c r="F1211">
        <f>AutoClaim_Data!C1211</f>
        <v/>
      </c>
      <c r="G1211">
        <f>IF(AutoClaim_Data!D1211&lt;=$B$2,AVERAGEIFS(AutoClaim_Data!C2:C3168,AutoClaim_Data!B2:B3168,"Train",AutoClaim_Data!D2:D3168,"&lt;="&amp;$B$2),AVERAGEIFS(AutoClaim_Data!C2:C3168,AutoClaim_Data!B2:B3168,"Train",AutoClaim_Data!D2:D3168,"&gt;"&amp;$B$2))</f>
        <v/>
      </c>
      <c r="H1211">
        <f>IF(AutoClaim_Data!D1211&lt;=$B$2,IF(AutoClaim_Data!E1211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1">
        <f>(F1211-H1211)^2</f>
        <v/>
      </c>
      <c r="J1211">
        <f>--(E1211="Validation")</f>
        <v/>
      </c>
    </row>
    <row r="1212">
      <c r="D1212">
        <f>AutoClaim_Data!A1212</f>
        <v/>
      </c>
      <c r="E1212">
        <f>AutoClaim_Data!B1212</f>
        <v/>
      </c>
      <c r="F1212">
        <f>AutoClaim_Data!C1212</f>
        <v/>
      </c>
      <c r="G1212">
        <f>IF(AutoClaim_Data!D1212&lt;=$B$2,AVERAGEIFS(AutoClaim_Data!C2:C3168,AutoClaim_Data!B2:B3168,"Train",AutoClaim_Data!D2:D3168,"&lt;="&amp;$B$2),AVERAGEIFS(AutoClaim_Data!C2:C3168,AutoClaim_Data!B2:B3168,"Train",AutoClaim_Data!D2:D3168,"&gt;"&amp;$B$2))</f>
        <v/>
      </c>
      <c r="H1212">
        <f>IF(AutoClaim_Data!D1212&lt;=$B$2,IF(AutoClaim_Data!E1212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2">
        <f>(F1212-H1212)^2</f>
        <v/>
      </c>
      <c r="J1212">
        <f>--(E1212="Validation")</f>
        <v/>
      </c>
    </row>
    <row r="1213">
      <c r="D1213">
        <f>AutoClaim_Data!A1213</f>
        <v/>
      </c>
      <c r="E1213">
        <f>AutoClaim_Data!B1213</f>
        <v/>
      </c>
      <c r="F1213">
        <f>AutoClaim_Data!C1213</f>
        <v/>
      </c>
      <c r="G1213">
        <f>IF(AutoClaim_Data!D1213&lt;=$B$2,AVERAGEIFS(AutoClaim_Data!C2:C3168,AutoClaim_Data!B2:B3168,"Train",AutoClaim_Data!D2:D3168,"&lt;="&amp;$B$2),AVERAGEIFS(AutoClaim_Data!C2:C3168,AutoClaim_Data!B2:B3168,"Train",AutoClaim_Data!D2:D3168,"&gt;"&amp;$B$2))</f>
        <v/>
      </c>
      <c r="H1213">
        <f>IF(AutoClaim_Data!D1213&lt;=$B$2,IF(AutoClaim_Data!E1213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3">
        <f>(F1213-H1213)^2</f>
        <v/>
      </c>
      <c r="J1213">
        <f>--(E1213="Validation")</f>
        <v/>
      </c>
    </row>
    <row r="1214">
      <c r="D1214">
        <f>AutoClaim_Data!A1214</f>
        <v/>
      </c>
      <c r="E1214">
        <f>AutoClaim_Data!B1214</f>
        <v/>
      </c>
      <c r="F1214">
        <f>AutoClaim_Data!C1214</f>
        <v/>
      </c>
      <c r="G1214">
        <f>IF(AutoClaim_Data!D1214&lt;=$B$2,AVERAGEIFS(AutoClaim_Data!C2:C3168,AutoClaim_Data!B2:B3168,"Train",AutoClaim_Data!D2:D3168,"&lt;="&amp;$B$2),AVERAGEIFS(AutoClaim_Data!C2:C3168,AutoClaim_Data!B2:B3168,"Train",AutoClaim_Data!D2:D3168,"&gt;"&amp;$B$2))</f>
        <v/>
      </c>
      <c r="H1214">
        <f>IF(AutoClaim_Data!D1214&lt;=$B$2,IF(AutoClaim_Data!E1214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4">
        <f>(F1214-H1214)^2</f>
        <v/>
      </c>
      <c r="J1214">
        <f>--(E1214="Validation")</f>
        <v/>
      </c>
    </row>
    <row r="1215">
      <c r="D1215">
        <f>AutoClaim_Data!A1215</f>
        <v/>
      </c>
      <c r="E1215">
        <f>AutoClaim_Data!B1215</f>
        <v/>
      </c>
      <c r="F1215">
        <f>AutoClaim_Data!C1215</f>
        <v/>
      </c>
      <c r="G1215">
        <f>IF(AutoClaim_Data!D1215&lt;=$B$2,AVERAGEIFS(AutoClaim_Data!C2:C3168,AutoClaim_Data!B2:B3168,"Train",AutoClaim_Data!D2:D3168,"&lt;="&amp;$B$2),AVERAGEIFS(AutoClaim_Data!C2:C3168,AutoClaim_Data!B2:B3168,"Train",AutoClaim_Data!D2:D3168,"&gt;"&amp;$B$2))</f>
        <v/>
      </c>
      <c r="H1215">
        <f>IF(AutoClaim_Data!D1215&lt;=$B$2,IF(AutoClaim_Data!E1215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5">
        <f>(F1215-H1215)^2</f>
        <v/>
      </c>
      <c r="J1215">
        <f>--(E1215="Validation")</f>
        <v/>
      </c>
    </row>
    <row r="1216">
      <c r="D1216">
        <f>AutoClaim_Data!A1216</f>
        <v/>
      </c>
      <c r="E1216">
        <f>AutoClaim_Data!B1216</f>
        <v/>
      </c>
      <c r="F1216">
        <f>AutoClaim_Data!C1216</f>
        <v/>
      </c>
      <c r="G1216">
        <f>IF(AutoClaim_Data!D1216&lt;=$B$2,AVERAGEIFS(AutoClaim_Data!C2:C3168,AutoClaim_Data!B2:B3168,"Train",AutoClaim_Data!D2:D3168,"&lt;="&amp;$B$2),AVERAGEIFS(AutoClaim_Data!C2:C3168,AutoClaim_Data!B2:B3168,"Train",AutoClaim_Data!D2:D3168,"&gt;"&amp;$B$2))</f>
        <v/>
      </c>
      <c r="H1216">
        <f>IF(AutoClaim_Data!D1216&lt;=$B$2,IF(AutoClaim_Data!E1216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6">
        <f>(F1216-H1216)^2</f>
        <v/>
      </c>
      <c r="J1216">
        <f>--(E1216="Validation")</f>
        <v/>
      </c>
    </row>
    <row r="1217">
      <c r="D1217">
        <f>AutoClaim_Data!A1217</f>
        <v/>
      </c>
      <c r="E1217">
        <f>AutoClaim_Data!B1217</f>
        <v/>
      </c>
      <c r="F1217">
        <f>AutoClaim_Data!C1217</f>
        <v/>
      </c>
      <c r="G1217">
        <f>IF(AutoClaim_Data!D1217&lt;=$B$2,AVERAGEIFS(AutoClaim_Data!C2:C3168,AutoClaim_Data!B2:B3168,"Train",AutoClaim_Data!D2:D3168,"&lt;="&amp;$B$2),AVERAGEIFS(AutoClaim_Data!C2:C3168,AutoClaim_Data!B2:B3168,"Train",AutoClaim_Data!D2:D3168,"&gt;"&amp;$B$2))</f>
        <v/>
      </c>
      <c r="H1217">
        <f>IF(AutoClaim_Data!D1217&lt;=$B$2,IF(AutoClaim_Data!E1217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7">
        <f>(F1217-H1217)^2</f>
        <v/>
      </c>
      <c r="J1217">
        <f>--(E1217="Validation")</f>
        <v/>
      </c>
    </row>
    <row r="1218">
      <c r="D1218">
        <f>AutoClaim_Data!A1218</f>
        <v/>
      </c>
      <c r="E1218">
        <f>AutoClaim_Data!B1218</f>
        <v/>
      </c>
      <c r="F1218">
        <f>AutoClaim_Data!C1218</f>
        <v/>
      </c>
      <c r="G1218">
        <f>IF(AutoClaim_Data!D1218&lt;=$B$2,AVERAGEIFS(AutoClaim_Data!C2:C3168,AutoClaim_Data!B2:B3168,"Train",AutoClaim_Data!D2:D3168,"&lt;="&amp;$B$2),AVERAGEIFS(AutoClaim_Data!C2:C3168,AutoClaim_Data!B2:B3168,"Train",AutoClaim_Data!D2:D3168,"&gt;"&amp;$B$2))</f>
        <v/>
      </c>
      <c r="H1218">
        <f>IF(AutoClaim_Data!D1218&lt;=$B$2,IF(AutoClaim_Data!E1218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8">
        <f>(F1218-H1218)^2</f>
        <v/>
      </c>
      <c r="J1218">
        <f>--(E1218="Validation")</f>
        <v/>
      </c>
    </row>
    <row r="1219">
      <c r="D1219">
        <f>AutoClaim_Data!A1219</f>
        <v/>
      </c>
      <c r="E1219">
        <f>AutoClaim_Data!B1219</f>
        <v/>
      </c>
      <c r="F1219">
        <f>AutoClaim_Data!C1219</f>
        <v/>
      </c>
      <c r="G1219">
        <f>IF(AutoClaim_Data!D1219&lt;=$B$2,AVERAGEIFS(AutoClaim_Data!C2:C3168,AutoClaim_Data!B2:B3168,"Train",AutoClaim_Data!D2:D3168,"&lt;="&amp;$B$2),AVERAGEIFS(AutoClaim_Data!C2:C3168,AutoClaim_Data!B2:B3168,"Train",AutoClaim_Data!D2:D3168,"&gt;"&amp;$B$2))</f>
        <v/>
      </c>
      <c r="H1219">
        <f>IF(AutoClaim_Data!D1219&lt;=$B$2,IF(AutoClaim_Data!E1219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19">
        <f>(F1219-H1219)^2</f>
        <v/>
      </c>
      <c r="J1219">
        <f>--(E1219="Validation")</f>
        <v/>
      </c>
    </row>
    <row r="1220">
      <c r="D1220">
        <f>AutoClaim_Data!A1220</f>
        <v/>
      </c>
      <c r="E1220">
        <f>AutoClaim_Data!B1220</f>
        <v/>
      </c>
      <c r="F1220">
        <f>AutoClaim_Data!C1220</f>
        <v/>
      </c>
      <c r="G1220">
        <f>IF(AutoClaim_Data!D1220&lt;=$B$2,AVERAGEIFS(AutoClaim_Data!C2:C3168,AutoClaim_Data!B2:B3168,"Train",AutoClaim_Data!D2:D3168,"&lt;="&amp;$B$2),AVERAGEIFS(AutoClaim_Data!C2:C3168,AutoClaim_Data!B2:B3168,"Train",AutoClaim_Data!D2:D3168,"&gt;"&amp;$B$2))</f>
        <v/>
      </c>
      <c r="H1220">
        <f>IF(AutoClaim_Data!D1220&lt;=$B$2,IF(AutoClaim_Data!E1220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0">
        <f>(F1220-H1220)^2</f>
        <v/>
      </c>
      <c r="J1220">
        <f>--(E1220="Validation")</f>
        <v/>
      </c>
    </row>
    <row r="1221">
      <c r="D1221">
        <f>AutoClaim_Data!A1221</f>
        <v/>
      </c>
      <c r="E1221">
        <f>AutoClaim_Data!B1221</f>
        <v/>
      </c>
      <c r="F1221">
        <f>AutoClaim_Data!C1221</f>
        <v/>
      </c>
      <c r="G1221">
        <f>IF(AutoClaim_Data!D1221&lt;=$B$2,AVERAGEIFS(AutoClaim_Data!C2:C3168,AutoClaim_Data!B2:B3168,"Train",AutoClaim_Data!D2:D3168,"&lt;="&amp;$B$2),AVERAGEIFS(AutoClaim_Data!C2:C3168,AutoClaim_Data!B2:B3168,"Train",AutoClaim_Data!D2:D3168,"&gt;"&amp;$B$2))</f>
        <v/>
      </c>
      <c r="H1221">
        <f>IF(AutoClaim_Data!D1221&lt;=$B$2,IF(AutoClaim_Data!E1221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1">
        <f>(F1221-H1221)^2</f>
        <v/>
      </c>
      <c r="J1221">
        <f>--(E1221="Validation")</f>
        <v/>
      </c>
    </row>
    <row r="1222">
      <c r="D1222">
        <f>AutoClaim_Data!A1222</f>
        <v/>
      </c>
      <c r="E1222">
        <f>AutoClaim_Data!B1222</f>
        <v/>
      </c>
      <c r="F1222">
        <f>AutoClaim_Data!C1222</f>
        <v/>
      </c>
      <c r="G1222">
        <f>IF(AutoClaim_Data!D1222&lt;=$B$2,AVERAGEIFS(AutoClaim_Data!C2:C3168,AutoClaim_Data!B2:B3168,"Train",AutoClaim_Data!D2:D3168,"&lt;="&amp;$B$2),AVERAGEIFS(AutoClaim_Data!C2:C3168,AutoClaim_Data!B2:B3168,"Train",AutoClaim_Data!D2:D3168,"&gt;"&amp;$B$2))</f>
        <v/>
      </c>
      <c r="H1222">
        <f>IF(AutoClaim_Data!D1222&lt;=$B$2,IF(AutoClaim_Data!E1222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2">
        <f>(F1222-H1222)^2</f>
        <v/>
      </c>
      <c r="J1222">
        <f>--(E1222="Validation")</f>
        <v/>
      </c>
    </row>
    <row r="1223">
      <c r="D1223">
        <f>AutoClaim_Data!A1223</f>
        <v/>
      </c>
      <c r="E1223">
        <f>AutoClaim_Data!B1223</f>
        <v/>
      </c>
      <c r="F1223">
        <f>AutoClaim_Data!C1223</f>
        <v/>
      </c>
      <c r="G1223">
        <f>IF(AutoClaim_Data!D1223&lt;=$B$2,AVERAGEIFS(AutoClaim_Data!C2:C3168,AutoClaim_Data!B2:B3168,"Train",AutoClaim_Data!D2:D3168,"&lt;="&amp;$B$2),AVERAGEIFS(AutoClaim_Data!C2:C3168,AutoClaim_Data!B2:B3168,"Train",AutoClaim_Data!D2:D3168,"&gt;"&amp;$B$2))</f>
        <v/>
      </c>
      <c r="H1223">
        <f>IF(AutoClaim_Data!D1223&lt;=$B$2,IF(AutoClaim_Data!E1223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3">
        <f>(F1223-H1223)^2</f>
        <v/>
      </c>
      <c r="J1223">
        <f>--(E1223="Validation")</f>
        <v/>
      </c>
    </row>
    <row r="1224">
      <c r="D1224">
        <f>AutoClaim_Data!A1224</f>
        <v/>
      </c>
      <c r="E1224">
        <f>AutoClaim_Data!B1224</f>
        <v/>
      </c>
      <c r="F1224">
        <f>AutoClaim_Data!C1224</f>
        <v/>
      </c>
      <c r="G1224">
        <f>IF(AutoClaim_Data!D1224&lt;=$B$2,AVERAGEIFS(AutoClaim_Data!C2:C3168,AutoClaim_Data!B2:B3168,"Train",AutoClaim_Data!D2:D3168,"&lt;="&amp;$B$2),AVERAGEIFS(AutoClaim_Data!C2:C3168,AutoClaim_Data!B2:B3168,"Train",AutoClaim_Data!D2:D3168,"&gt;"&amp;$B$2))</f>
        <v/>
      </c>
      <c r="H1224">
        <f>IF(AutoClaim_Data!D1224&lt;=$B$2,IF(AutoClaim_Data!E1224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4">
        <f>(F1224-H1224)^2</f>
        <v/>
      </c>
      <c r="J1224">
        <f>--(E1224="Validation")</f>
        <v/>
      </c>
    </row>
    <row r="1225">
      <c r="D1225">
        <f>AutoClaim_Data!A1225</f>
        <v/>
      </c>
      <c r="E1225">
        <f>AutoClaim_Data!B1225</f>
        <v/>
      </c>
      <c r="F1225">
        <f>AutoClaim_Data!C1225</f>
        <v/>
      </c>
      <c r="G1225">
        <f>IF(AutoClaim_Data!D1225&lt;=$B$2,AVERAGEIFS(AutoClaim_Data!C2:C3168,AutoClaim_Data!B2:B3168,"Train",AutoClaim_Data!D2:D3168,"&lt;="&amp;$B$2),AVERAGEIFS(AutoClaim_Data!C2:C3168,AutoClaim_Data!B2:B3168,"Train",AutoClaim_Data!D2:D3168,"&gt;"&amp;$B$2))</f>
        <v/>
      </c>
      <c r="H1225">
        <f>IF(AutoClaim_Data!D1225&lt;=$B$2,IF(AutoClaim_Data!E1225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5">
        <f>(F1225-H1225)^2</f>
        <v/>
      </c>
      <c r="J1225">
        <f>--(E1225="Validation")</f>
        <v/>
      </c>
    </row>
    <row r="1226">
      <c r="D1226">
        <f>AutoClaim_Data!A1226</f>
        <v/>
      </c>
      <c r="E1226">
        <f>AutoClaim_Data!B1226</f>
        <v/>
      </c>
      <c r="F1226">
        <f>AutoClaim_Data!C1226</f>
        <v/>
      </c>
      <c r="G1226">
        <f>IF(AutoClaim_Data!D1226&lt;=$B$2,AVERAGEIFS(AutoClaim_Data!C2:C3168,AutoClaim_Data!B2:B3168,"Train",AutoClaim_Data!D2:D3168,"&lt;="&amp;$B$2),AVERAGEIFS(AutoClaim_Data!C2:C3168,AutoClaim_Data!B2:B3168,"Train",AutoClaim_Data!D2:D3168,"&gt;"&amp;$B$2))</f>
        <v/>
      </c>
      <c r="H1226">
        <f>IF(AutoClaim_Data!D1226&lt;=$B$2,IF(AutoClaim_Data!E1226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6">
        <f>(F1226-H1226)^2</f>
        <v/>
      </c>
      <c r="J1226">
        <f>--(E1226="Validation")</f>
        <v/>
      </c>
    </row>
    <row r="1227">
      <c r="D1227">
        <f>AutoClaim_Data!A1227</f>
        <v/>
      </c>
      <c r="E1227">
        <f>AutoClaim_Data!B1227</f>
        <v/>
      </c>
      <c r="F1227">
        <f>AutoClaim_Data!C1227</f>
        <v/>
      </c>
      <c r="G1227">
        <f>IF(AutoClaim_Data!D1227&lt;=$B$2,AVERAGEIFS(AutoClaim_Data!C2:C3168,AutoClaim_Data!B2:B3168,"Train",AutoClaim_Data!D2:D3168,"&lt;="&amp;$B$2),AVERAGEIFS(AutoClaim_Data!C2:C3168,AutoClaim_Data!B2:B3168,"Train",AutoClaim_Data!D2:D3168,"&gt;"&amp;$B$2))</f>
        <v/>
      </c>
      <c r="H1227">
        <f>IF(AutoClaim_Data!D1227&lt;=$B$2,IF(AutoClaim_Data!E1227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7">
        <f>(F1227-H1227)^2</f>
        <v/>
      </c>
      <c r="J1227">
        <f>--(E1227="Validation")</f>
        <v/>
      </c>
    </row>
    <row r="1228">
      <c r="D1228">
        <f>AutoClaim_Data!A1228</f>
        <v/>
      </c>
      <c r="E1228">
        <f>AutoClaim_Data!B1228</f>
        <v/>
      </c>
      <c r="F1228">
        <f>AutoClaim_Data!C1228</f>
        <v/>
      </c>
      <c r="G1228">
        <f>IF(AutoClaim_Data!D1228&lt;=$B$2,AVERAGEIFS(AutoClaim_Data!C2:C3168,AutoClaim_Data!B2:B3168,"Train",AutoClaim_Data!D2:D3168,"&lt;="&amp;$B$2),AVERAGEIFS(AutoClaim_Data!C2:C3168,AutoClaim_Data!B2:B3168,"Train",AutoClaim_Data!D2:D3168,"&gt;"&amp;$B$2))</f>
        <v/>
      </c>
      <c r="H1228">
        <f>IF(AutoClaim_Data!D1228&lt;=$B$2,IF(AutoClaim_Data!E1228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8">
        <f>(F1228-H1228)^2</f>
        <v/>
      </c>
      <c r="J1228">
        <f>--(E1228="Validation")</f>
        <v/>
      </c>
    </row>
    <row r="1229">
      <c r="D1229">
        <f>AutoClaim_Data!A1229</f>
        <v/>
      </c>
      <c r="E1229">
        <f>AutoClaim_Data!B1229</f>
        <v/>
      </c>
      <c r="F1229">
        <f>AutoClaim_Data!C1229</f>
        <v/>
      </c>
      <c r="G1229">
        <f>IF(AutoClaim_Data!D1229&lt;=$B$2,AVERAGEIFS(AutoClaim_Data!C2:C3168,AutoClaim_Data!B2:B3168,"Train",AutoClaim_Data!D2:D3168,"&lt;="&amp;$B$2),AVERAGEIFS(AutoClaim_Data!C2:C3168,AutoClaim_Data!B2:B3168,"Train",AutoClaim_Data!D2:D3168,"&gt;"&amp;$B$2))</f>
        <v/>
      </c>
      <c r="H1229">
        <f>IF(AutoClaim_Data!D1229&lt;=$B$2,IF(AutoClaim_Data!E1229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29">
        <f>(F1229-H1229)^2</f>
        <v/>
      </c>
      <c r="J1229">
        <f>--(E1229="Validation")</f>
        <v/>
      </c>
    </row>
    <row r="1230">
      <c r="D1230">
        <f>AutoClaim_Data!A1230</f>
        <v/>
      </c>
      <c r="E1230">
        <f>AutoClaim_Data!B1230</f>
        <v/>
      </c>
      <c r="F1230">
        <f>AutoClaim_Data!C1230</f>
        <v/>
      </c>
      <c r="G1230">
        <f>IF(AutoClaim_Data!D1230&lt;=$B$2,AVERAGEIFS(AutoClaim_Data!C2:C3168,AutoClaim_Data!B2:B3168,"Train",AutoClaim_Data!D2:D3168,"&lt;="&amp;$B$2),AVERAGEIFS(AutoClaim_Data!C2:C3168,AutoClaim_Data!B2:B3168,"Train",AutoClaim_Data!D2:D3168,"&gt;"&amp;$B$2))</f>
        <v/>
      </c>
      <c r="H1230">
        <f>IF(AutoClaim_Data!D1230&lt;=$B$2,IF(AutoClaim_Data!E1230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0">
        <f>(F1230-H1230)^2</f>
        <v/>
      </c>
      <c r="J1230">
        <f>--(E1230="Validation")</f>
        <v/>
      </c>
    </row>
    <row r="1231">
      <c r="D1231">
        <f>AutoClaim_Data!A1231</f>
        <v/>
      </c>
      <c r="E1231">
        <f>AutoClaim_Data!B1231</f>
        <v/>
      </c>
      <c r="F1231">
        <f>AutoClaim_Data!C1231</f>
        <v/>
      </c>
      <c r="G1231">
        <f>IF(AutoClaim_Data!D1231&lt;=$B$2,AVERAGEIFS(AutoClaim_Data!C2:C3168,AutoClaim_Data!B2:B3168,"Train",AutoClaim_Data!D2:D3168,"&lt;="&amp;$B$2),AVERAGEIFS(AutoClaim_Data!C2:C3168,AutoClaim_Data!B2:B3168,"Train",AutoClaim_Data!D2:D3168,"&gt;"&amp;$B$2))</f>
        <v/>
      </c>
      <c r="H1231">
        <f>IF(AutoClaim_Data!D1231&lt;=$B$2,IF(AutoClaim_Data!E1231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1">
        <f>(F1231-H1231)^2</f>
        <v/>
      </c>
      <c r="J1231">
        <f>--(E1231="Validation")</f>
        <v/>
      </c>
    </row>
    <row r="1232">
      <c r="D1232">
        <f>AutoClaim_Data!A1232</f>
        <v/>
      </c>
      <c r="E1232">
        <f>AutoClaim_Data!B1232</f>
        <v/>
      </c>
      <c r="F1232">
        <f>AutoClaim_Data!C1232</f>
        <v/>
      </c>
      <c r="G1232">
        <f>IF(AutoClaim_Data!D1232&lt;=$B$2,AVERAGEIFS(AutoClaim_Data!C2:C3168,AutoClaim_Data!B2:B3168,"Train",AutoClaim_Data!D2:D3168,"&lt;="&amp;$B$2),AVERAGEIFS(AutoClaim_Data!C2:C3168,AutoClaim_Data!B2:B3168,"Train",AutoClaim_Data!D2:D3168,"&gt;"&amp;$B$2))</f>
        <v/>
      </c>
      <c r="H1232">
        <f>IF(AutoClaim_Data!D1232&lt;=$B$2,IF(AutoClaim_Data!E1232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2">
        <f>(F1232-H1232)^2</f>
        <v/>
      </c>
      <c r="J1232">
        <f>--(E1232="Validation")</f>
        <v/>
      </c>
    </row>
    <row r="1233">
      <c r="D1233">
        <f>AutoClaim_Data!A1233</f>
        <v/>
      </c>
      <c r="E1233">
        <f>AutoClaim_Data!B1233</f>
        <v/>
      </c>
      <c r="F1233">
        <f>AutoClaim_Data!C1233</f>
        <v/>
      </c>
      <c r="G1233">
        <f>IF(AutoClaim_Data!D1233&lt;=$B$2,AVERAGEIFS(AutoClaim_Data!C2:C3168,AutoClaim_Data!B2:B3168,"Train",AutoClaim_Data!D2:D3168,"&lt;="&amp;$B$2),AVERAGEIFS(AutoClaim_Data!C2:C3168,AutoClaim_Data!B2:B3168,"Train",AutoClaim_Data!D2:D3168,"&gt;"&amp;$B$2))</f>
        <v/>
      </c>
      <c r="H1233">
        <f>IF(AutoClaim_Data!D1233&lt;=$B$2,IF(AutoClaim_Data!E1233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3">
        <f>(F1233-H1233)^2</f>
        <v/>
      </c>
      <c r="J1233">
        <f>--(E1233="Validation")</f>
        <v/>
      </c>
    </row>
    <row r="1234">
      <c r="D1234">
        <f>AutoClaim_Data!A1234</f>
        <v/>
      </c>
      <c r="E1234">
        <f>AutoClaim_Data!B1234</f>
        <v/>
      </c>
      <c r="F1234">
        <f>AutoClaim_Data!C1234</f>
        <v/>
      </c>
      <c r="G1234">
        <f>IF(AutoClaim_Data!D1234&lt;=$B$2,AVERAGEIFS(AutoClaim_Data!C2:C3168,AutoClaim_Data!B2:B3168,"Train",AutoClaim_Data!D2:D3168,"&lt;="&amp;$B$2),AVERAGEIFS(AutoClaim_Data!C2:C3168,AutoClaim_Data!B2:B3168,"Train",AutoClaim_Data!D2:D3168,"&gt;"&amp;$B$2))</f>
        <v/>
      </c>
      <c r="H1234">
        <f>IF(AutoClaim_Data!D1234&lt;=$B$2,IF(AutoClaim_Data!E1234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4">
        <f>(F1234-H1234)^2</f>
        <v/>
      </c>
      <c r="J1234">
        <f>--(E1234="Validation")</f>
        <v/>
      </c>
    </row>
    <row r="1235">
      <c r="D1235">
        <f>AutoClaim_Data!A1235</f>
        <v/>
      </c>
      <c r="E1235">
        <f>AutoClaim_Data!B1235</f>
        <v/>
      </c>
      <c r="F1235">
        <f>AutoClaim_Data!C1235</f>
        <v/>
      </c>
      <c r="G1235">
        <f>IF(AutoClaim_Data!D1235&lt;=$B$2,AVERAGEIFS(AutoClaim_Data!C2:C3168,AutoClaim_Data!B2:B3168,"Train",AutoClaim_Data!D2:D3168,"&lt;="&amp;$B$2),AVERAGEIFS(AutoClaim_Data!C2:C3168,AutoClaim_Data!B2:B3168,"Train",AutoClaim_Data!D2:D3168,"&gt;"&amp;$B$2))</f>
        <v/>
      </c>
      <c r="H1235">
        <f>IF(AutoClaim_Data!D1235&lt;=$B$2,IF(AutoClaim_Data!E1235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5">
        <f>(F1235-H1235)^2</f>
        <v/>
      </c>
      <c r="J1235">
        <f>--(E1235="Validation")</f>
        <v/>
      </c>
    </row>
    <row r="1236">
      <c r="D1236">
        <f>AutoClaim_Data!A1236</f>
        <v/>
      </c>
      <c r="E1236">
        <f>AutoClaim_Data!B1236</f>
        <v/>
      </c>
      <c r="F1236">
        <f>AutoClaim_Data!C1236</f>
        <v/>
      </c>
      <c r="G1236">
        <f>IF(AutoClaim_Data!D1236&lt;=$B$2,AVERAGEIFS(AutoClaim_Data!C2:C3168,AutoClaim_Data!B2:B3168,"Train",AutoClaim_Data!D2:D3168,"&lt;="&amp;$B$2),AVERAGEIFS(AutoClaim_Data!C2:C3168,AutoClaim_Data!B2:B3168,"Train",AutoClaim_Data!D2:D3168,"&gt;"&amp;$B$2))</f>
        <v/>
      </c>
      <c r="H1236">
        <f>IF(AutoClaim_Data!D1236&lt;=$B$2,IF(AutoClaim_Data!E1236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6">
        <f>(F1236-H1236)^2</f>
        <v/>
      </c>
      <c r="J1236">
        <f>--(E1236="Validation")</f>
        <v/>
      </c>
    </row>
    <row r="1237">
      <c r="D1237">
        <f>AutoClaim_Data!A1237</f>
        <v/>
      </c>
      <c r="E1237">
        <f>AutoClaim_Data!B1237</f>
        <v/>
      </c>
      <c r="F1237">
        <f>AutoClaim_Data!C1237</f>
        <v/>
      </c>
      <c r="G1237">
        <f>IF(AutoClaim_Data!D1237&lt;=$B$2,AVERAGEIFS(AutoClaim_Data!C2:C3168,AutoClaim_Data!B2:B3168,"Train",AutoClaim_Data!D2:D3168,"&lt;="&amp;$B$2),AVERAGEIFS(AutoClaim_Data!C2:C3168,AutoClaim_Data!B2:B3168,"Train",AutoClaim_Data!D2:D3168,"&gt;"&amp;$B$2))</f>
        <v/>
      </c>
      <c r="H1237">
        <f>IF(AutoClaim_Data!D1237&lt;=$B$2,IF(AutoClaim_Data!E1237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7">
        <f>(F1237-H1237)^2</f>
        <v/>
      </c>
      <c r="J1237">
        <f>--(E1237="Validation")</f>
        <v/>
      </c>
    </row>
    <row r="1238">
      <c r="D1238">
        <f>AutoClaim_Data!A1238</f>
        <v/>
      </c>
      <c r="E1238">
        <f>AutoClaim_Data!B1238</f>
        <v/>
      </c>
      <c r="F1238">
        <f>AutoClaim_Data!C1238</f>
        <v/>
      </c>
      <c r="G1238">
        <f>IF(AutoClaim_Data!D1238&lt;=$B$2,AVERAGEIFS(AutoClaim_Data!C2:C3168,AutoClaim_Data!B2:B3168,"Train",AutoClaim_Data!D2:D3168,"&lt;="&amp;$B$2),AVERAGEIFS(AutoClaim_Data!C2:C3168,AutoClaim_Data!B2:B3168,"Train",AutoClaim_Data!D2:D3168,"&gt;"&amp;$B$2))</f>
        <v/>
      </c>
      <c r="H1238">
        <f>IF(AutoClaim_Data!D1238&lt;=$B$2,IF(AutoClaim_Data!E1238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8">
        <f>(F1238-H1238)^2</f>
        <v/>
      </c>
      <c r="J1238">
        <f>--(E1238="Validation")</f>
        <v/>
      </c>
    </row>
    <row r="1239">
      <c r="D1239">
        <f>AutoClaim_Data!A1239</f>
        <v/>
      </c>
      <c r="E1239">
        <f>AutoClaim_Data!B1239</f>
        <v/>
      </c>
      <c r="F1239">
        <f>AutoClaim_Data!C1239</f>
        <v/>
      </c>
      <c r="G1239">
        <f>IF(AutoClaim_Data!D1239&lt;=$B$2,AVERAGEIFS(AutoClaim_Data!C2:C3168,AutoClaim_Data!B2:B3168,"Train",AutoClaim_Data!D2:D3168,"&lt;="&amp;$B$2),AVERAGEIFS(AutoClaim_Data!C2:C3168,AutoClaim_Data!B2:B3168,"Train",AutoClaim_Data!D2:D3168,"&gt;"&amp;$B$2))</f>
        <v/>
      </c>
      <c r="H1239">
        <f>IF(AutoClaim_Data!D1239&lt;=$B$2,IF(AutoClaim_Data!E1239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39">
        <f>(F1239-H1239)^2</f>
        <v/>
      </c>
      <c r="J1239">
        <f>--(E1239="Validation")</f>
        <v/>
      </c>
    </row>
    <row r="1240">
      <c r="D1240">
        <f>AutoClaim_Data!A1240</f>
        <v/>
      </c>
      <c r="E1240">
        <f>AutoClaim_Data!B1240</f>
        <v/>
      </c>
      <c r="F1240">
        <f>AutoClaim_Data!C1240</f>
        <v/>
      </c>
      <c r="G1240">
        <f>IF(AutoClaim_Data!D1240&lt;=$B$2,AVERAGEIFS(AutoClaim_Data!C2:C3168,AutoClaim_Data!B2:B3168,"Train",AutoClaim_Data!D2:D3168,"&lt;="&amp;$B$2),AVERAGEIFS(AutoClaim_Data!C2:C3168,AutoClaim_Data!B2:B3168,"Train",AutoClaim_Data!D2:D3168,"&gt;"&amp;$B$2))</f>
        <v/>
      </c>
      <c r="H1240">
        <f>IF(AutoClaim_Data!D1240&lt;=$B$2,IF(AutoClaim_Data!E1240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0">
        <f>(F1240-H1240)^2</f>
        <v/>
      </c>
      <c r="J1240">
        <f>--(E1240="Validation")</f>
        <v/>
      </c>
    </row>
    <row r="1241">
      <c r="D1241">
        <f>AutoClaim_Data!A1241</f>
        <v/>
      </c>
      <c r="E1241">
        <f>AutoClaim_Data!B1241</f>
        <v/>
      </c>
      <c r="F1241">
        <f>AutoClaim_Data!C1241</f>
        <v/>
      </c>
      <c r="G1241">
        <f>IF(AutoClaim_Data!D1241&lt;=$B$2,AVERAGEIFS(AutoClaim_Data!C2:C3168,AutoClaim_Data!B2:B3168,"Train",AutoClaim_Data!D2:D3168,"&lt;="&amp;$B$2),AVERAGEIFS(AutoClaim_Data!C2:C3168,AutoClaim_Data!B2:B3168,"Train",AutoClaim_Data!D2:D3168,"&gt;"&amp;$B$2))</f>
        <v/>
      </c>
      <c r="H1241">
        <f>IF(AutoClaim_Data!D1241&lt;=$B$2,IF(AutoClaim_Data!E1241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1">
        <f>(F1241-H1241)^2</f>
        <v/>
      </c>
      <c r="J1241">
        <f>--(E1241="Validation")</f>
        <v/>
      </c>
    </row>
    <row r="1242">
      <c r="D1242">
        <f>AutoClaim_Data!A1242</f>
        <v/>
      </c>
      <c r="E1242">
        <f>AutoClaim_Data!B1242</f>
        <v/>
      </c>
      <c r="F1242">
        <f>AutoClaim_Data!C1242</f>
        <v/>
      </c>
      <c r="G1242">
        <f>IF(AutoClaim_Data!D1242&lt;=$B$2,AVERAGEIFS(AutoClaim_Data!C2:C3168,AutoClaim_Data!B2:B3168,"Train",AutoClaim_Data!D2:D3168,"&lt;="&amp;$B$2),AVERAGEIFS(AutoClaim_Data!C2:C3168,AutoClaim_Data!B2:B3168,"Train",AutoClaim_Data!D2:D3168,"&gt;"&amp;$B$2))</f>
        <v/>
      </c>
      <c r="H1242">
        <f>IF(AutoClaim_Data!D1242&lt;=$B$2,IF(AutoClaim_Data!E1242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2">
        <f>(F1242-H1242)^2</f>
        <v/>
      </c>
      <c r="J1242">
        <f>--(E1242="Validation")</f>
        <v/>
      </c>
    </row>
    <row r="1243">
      <c r="D1243">
        <f>AutoClaim_Data!A1243</f>
        <v/>
      </c>
      <c r="E1243">
        <f>AutoClaim_Data!B1243</f>
        <v/>
      </c>
      <c r="F1243">
        <f>AutoClaim_Data!C1243</f>
        <v/>
      </c>
      <c r="G1243">
        <f>IF(AutoClaim_Data!D1243&lt;=$B$2,AVERAGEIFS(AutoClaim_Data!C2:C3168,AutoClaim_Data!B2:B3168,"Train",AutoClaim_Data!D2:D3168,"&lt;="&amp;$B$2),AVERAGEIFS(AutoClaim_Data!C2:C3168,AutoClaim_Data!B2:B3168,"Train",AutoClaim_Data!D2:D3168,"&gt;"&amp;$B$2))</f>
        <v/>
      </c>
      <c r="H1243">
        <f>IF(AutoClaim_Data!D1243&lt;=$B$2,IF(AutoClaim_Data!E1243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3">
        <f>(F1243-H1243)^2</f>
        <v/>
      </c>
      <c r="J1243">
        <f>--(E1243="Validation")</f>
        <v/>
      </c>
    </row>
    <row r="1244">
      <c r="D1244">
        <f>AutoClaim_Data!A1244</f>
        <v/>
      </c>
      <c r="E1244">
        <f>AutoClaim_Data!B1244</f>
        <v/>
      </c>
      <c r="F1244">
        <f>AutoClaim_Data!C1244</f>
        <v/>
      </c>
      <c r="G1244">
        <f>IF(AutoClaim_Data!D1244&lt;=$B$2,AVERAGEIFS(AutoClaim_Data!C2:C3168,AutoClaim_Data!B2:B3168,"Train",AutoClaim_Data!D2:D3168,"&lt;="&amp;$B$2),AVERAGEIFS(AutoClaim_Data!C2:C3168,AutoClaim_Data!B2:B3168,"Train",AutoClaim_Data!D2:D3168,"&gt;"&amp;$B$2))</f>
        <v/>
      </c>
      <c r="H1244">
        <f>IF(AutoClaim_Data!D1244&lt;=$B$2,IF(AutoClaim_Data!E1244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4">
        <f>(F1244-H1244)^2</f>
        <v/>
      </c>
      <c r="J1244">
        <f>--(E1244="Validation")</f>
        <v/>
      </c>
    </row>
    <row r="1245">
      <c r="D1245">
        <f>AutoClaim_Data!A1245</f>
        <v/>
      </c>
      <c r="E1245">
        <f>AutoClaim_Data!B1245</f>
        <v/>
      </c>
      <c r="F1245">
        <f>AutoClaim_Data!C1245</f>
        <v/>
      </c>
      <c r="G1245">
        <f>IF(AutoClaim_Data!D1245&lt;=$B$2,AVERAGEIFS(AutoClaim_Data!C2:C3168,AutoClaim_Data!B2:B3168,"Train",AutoClaim_Data!D2:D3168,"&lt;="&amp;$B$2),AVERAGEIFS(AutoClaim_Data!C2:C3168,AutoClaim_Data!B2:B3168,"Train",AutoClaim_Data!D2:D3168,"&gt;"&amp;$B$2))</f>
        <v/>
      </c>
      <c r="H1245">
        <f>IF(AutoClaim_Data!D1245&lt;=$B$2,IF(AutoClaim_Data!E1245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5">
        <f>(F1245-H1245)^2</f>
        <v/>
      </c>
      <c r="J1245">
        <f>--(E1245="Validation")</f>
        <v/>
      </c>
    </row>
    <row r="1246">
      <c r="D1246">
        <f>AutoClaim_Data!A1246</f>
        <v/>
      </c>
      <c r="E1246">
        <f>AutoClaim_Data!B1246</f>
        <v/>
      </c>
      <c r="F1246">
        <f>AutoClaim_Data!C1246</f>
        <v/>
      </c>
      <c r="G1246">
        <f>IF(AutoClaim_Data!D1246&lt;=$B$2,AVERAGEIFS(AutoClaim_Data!C2:C3168,AutoClaim_Data!B2:B3168,"Train",AutoClaim_Data!D2:D3168,"&lt;="&amp;$B$2),AVERAGEIFS(AutoClaim_Data!C2:C3168,AutoClaim_Data!B2:B3168,"Train",AutoClaim_Data!D2:D3168,"&gt;"&amp;$B$2))</f>
        <v/>
      </c>
      <c r="H1246">
        <f>IF(AutoClaim_Data!D1246&lt;=$B$2,IF(AutoClaim_Data!E1246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6">
        <f>(F1246-H1246)^2</f>
        <v/>
      </c>
      <c r="J1246">
        <f>--(E1246="Validation")</f>
        <v/>
      </c>
    </row>
    <row r="1247">
      <c r="D1247">
        <f>AutoClaim_Data!A1247</f>
        <v/>
      </c>
      <c r="E1247">
        <f>AutoClaim_Data!B1247</f>
        <v/>
      </c>
      <c r="F1247">
        <f>AutoClaim_Data!C1247</f>
        <v/>
      </c>
      <c r="G1247">
        <f>IF(AutoClaim_Data!D1247&lt;=$B$2,AVERAGEIFS(AutoClaim_Data!C2:C3168,AutoClaim_Data!B2:B3168,"Train",AutoClaim_Data!D2:D3168,"&lt;="&amp;$B$2),AVERAGEIFS(AutoClaim_Data!C2:C3168,AutoClaim_Data!B2:B3168,"Train",AutoClaim_Data!D2:D3168,"&gt;"&amp;$B$2))</f>
        <v/>
      </c>
      <c r="H1247">
        <f>IF(AutoClaim_Data!D1247&lt;=$B$2,IF(AutoClaim_Data!E1247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7">
        <f>(F1247-H1247)^2</f>
        <v/>
      </c>
      <c r="J1247">
        <f>--(E1247="Validation")</f>
        <v/>
      </c>
    </row>
    <row r="1248">
      <c r="D1248">
        <f>AutoClaim_Data!A1248</f>
        <v/>
      </c>
      <c r="E1248">
        <f>AutoClaim_Data!B1248</f>
        <v/>
      </c>
      <c r="F1248">
        <f>AutoClaim_Data!C1248</f>
        <v/>
      </c>
      <c r="G1248">
        <f>IF(AutoClaim_Data!D1248&lt;=$B$2,AVERAGEIFS(AutoClaim_Data!C2:C3168,AutoClaim_Data!B2:B3168,"Train",AutoClaim_Data!D2:D3168,"&lt;="&amp;$B$2),AVERAGEIFS(AutoClaim_Data!C2:C3168,AutoClaim_Data!B2:B3168,"Train",AutoClaim_Data!D2:D3168,"&gt;"&amp;$B$2))</f>
        <v/>
      </c>
      <c r="H1248">
        <f>IF(AutoClaim_Data!D1248&lt;=$B$2,IF(AutoClaim_Data!E1248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8">
        <f>(F1248-H1248)^2</f>
        <v/>
      </c>
      <c r="J1248">
        <f>--(E1248="Validation")</f>
        <v/>
      </c>
    </row>
    <row r="1249">
      <c r="D1249">
        <f>AutoClaim_Data!A1249</f>
        <v/>
      </c>
      <c r="E1249">
        <f>AutoClaim_Data!B1249</f>
        <v/>
      </c>
      <c r="F1249">
        <f>AutoClaim_Data!C1249</f>
        <v/>
      </c>
      <c r="G1249">
        <f>IF(AutoClaim_Data!D1249&lt;=$B$2,AVERAGEIFS(AutoClaim_Data!C2:C3168,AutoClaim_Data!B2:B3168,"Train",AutoClaim_Data!D2:D3168,"&lt;="&amp;$B$2),AVERAGEIFS(AutoClaim_Data!C2:C3168,AutoClaim_Data!B2:B3168,"Train",AutoClaim_Data!D2:D3168,"&gt;"&amp;$B$2))</f>
        <v/>
      </c>
      <c r="H1249">
        <f>IF(AutoClaim_Data!D1249&lt;=$B$2,IF(AutoClaim_Data!E1249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49">
        <f>(F1249-H1249)^2</f>
        <v/>
      </c>
      <c r="J1249">
        <f>--(E1249="Validation")</f>
        <v/>
      </c>
    </row>
    <row r="1250">
      <c r="D1250">
        <f>AutoClaim_Data!A1250</f>
        <v/>
      </c>
      <c r="E1250">
        <f>AutoClaim_Data!B1250</f>
        <v/>
      </c>
      <c r="F1250">
        <f>AutoClaim_Data!C1250</f>
        <v/>
      </c>
      <c r="G1250">
        <f>IF(AutoClaim_Data!D1250&lt;=$B$2,AVERAGEIFS(AutoClaim_Data!C2:C3168,AutoClaim_Data!B2:B3168,"Train",AutoClaim_Data!D2:D3168,"&lt;="&amp;$B$2),AVERAGEIFS(AutoClaim_Data!C2:C3168,AutoClaim_Data!B2:B3168,"Train",AutoClaim_Data!D2:D3168,"&gt;"&amp;$B$2))</f>
        <v/>
      </c>
      <c r="H1250">
        <f>IF(AutoClaim_Data!D1250&lt;=$B$2,IF(AutoClaim_Data!E1250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0">
        <f>(F1250-H1250)^2</f>
        <v/>
      </c>
      <c r="J1250">
        <f>--(E1250="Validation")</f>
        <v/>
      </c>
    </row>
    <row r="1251">
      <c r="D1251">
        <f>AutoClaim_Data!A1251</f>
        <v/>
      </c>
      <c r="E1251">
        <f>AutoClaim_Data!B1251</f>
        <v/>
      </c>
      <c r="F1251">
        <f>AutoClaim_Data!C1251</f>
        <v/>
      </c>
      <c r="G1251">
        <f>IF(AutoClaim_Data!D1251&lt;=$B$2,AVERAGEIFS(AutoClaim_Data!C2:C3168,AutoClaim_Data!B2:B3168,"Train",AutoClaim_Data!D2:D3168,"&lt;="&amp;$B$2),AVERAGEIFS(AutoClaim_Data!C2:C3168,AutoClaim_Data!B2:B3168,"Train",AutoClaim_Data!D2:D3168,"&gt;"&amp;$B$2))</f>
        <v/>
      </c>
      <c r="H1251">
        <f>IF(AutoClaim_Data!D1251&lt;=$B$2,IF(AutoClaim_Data!E1251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1">
        <f>(F1251-H1251)^2</f>
        <v/>
      </c>
      <c r="J1251">
        <f>--(E1251="Validation")</f>
        <v/>
      </c>
    </row>
    <row r="1252">
      <c r="D1252">
        <f>AutoClaim_Data!A1252</f>
        <v/>
      </c>
      <c r="E1252">
        <f>AutoClaim_Data!B1252</f>
        <v/>
      </c>
      <c r="F1252">
        <f>AutoClaim_Data!C1252</f>
        <v/>
      </c>
      <c r="G1252">
        <f>IF(AutoClaim_Data!D1252&lt;=$B$2,AVERAGEIFS(AutoClaim_Data!C2:C3168,AutoClaim_Data!B2:B3168,"Train",AutoClaim_Data!D2:D3168,"&lt;="&amp;$B$2),AVERAGEIFS(AutoClaim_Data!C2:C3168,AutoClaim_Data!B2:B3168,"Train",AutoClaim_Data!D2:D3168,"&gt;"&amp;$B$2))</f>
        <v/>
      </c>
      <c r="H1252">
        <f>IF(AutoClaim_Data!D1252&lt;=$B$2,IF(AutoClaim_Data!E1252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2">
        <f>(F1252-H1252)^2</f>
        <v/>
      </c>
      <c r="J1252">
        <f>--(E1252="Validation")</f>
        <v/>
      </c>
    </row>
    <row r="1253">
      <c r="D1253">
        <f>AutoClaim_Data!A1253</f>
        <v/>
      </c>
      <c r="E1253">
        <f>AutoClaim_Data!B1253</f>
        <v/>
      </c>
      <c r="F1253">
        <f>AutoClaim_Data!C1253</f>
        <v/>
      </c>
      <c r="G1253">
        <f>IF(AutoClaim_Data!D1253&lt;=$B$2,AVERAGEIFS(AutoClaim_Data!C2:C3168,AutoClaim_Data!B2:B3168,"Train",AutoClaim_Data!D2:D3168,"&lt;="&amp;$B$2),AVERAGEIFS(AutoClaim_Data!C2:C3168,AutoClaim_Data!B2:B3168,"Train",AutoClaim_Data!D2:D3168,"&gt;"&amp;$B$2))</f>
        <v/>
      </c>
      <c r="H1253">
        <f>IF(AutoClaim_Data!D1253&lt;=$B$2,IF(AutoClaim_Data!E1253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3">
        <f>(F1253-H1253)^2</f>
        <v/>
      </c>
      <c r="J1253">
        <f>--(E1253="Validation")</f>
        <v/>
      </c>
    </row>
    <row r="1254">
      <c r="D1254">
        <f>AutoClaim_Data!A1254</f>
        <v/>
      </c>
      <c r="E1254">
        <f>AutoClaim_Data!B1254</f>
        <v/>
      </c>
      <c r="F1254">
        <f>AutoClaim_Data!C1254</f>
        <v/>
      </c>
      <c r="G1254">
        <f>IF(AutoClaim_Data!D1254&lt;=$B$2,AVERAGEIFS(AutoClaim_Data!C2:C3168,AutoClaim_Data!B2:B3168,"Train",AutoClaim_Data!D2:D3168,"&lt;="&amp;$B$2),AVERAGEIFS(AutoClaim_Data!C2:C3168,AutoClaim_Data!B2:B3168,"Train",AutoClaim_Data!D2:D3168,"&gt;"&amp;$B$2))</f>
        <v/>
      </c>
      <c r="H1254">
        <f>IF(AutoClaim_Data!D1254&lt;=$B$2,IF(AutoClaim_Data!E1254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4">
        <f>(F1254-H1254)^2</f>
        <v/>
      </c>
      <c r="J1254">
        <f>--(E1254="Validation")</f>
        <v/>
      </c>
    </row>
    <row r="1255">
      <c r="D1255">
        <f>AutoClaim_Data!A1255</f>
        <v/>
      </c>
      <c r="E1255">
        <f>AutoClaim_Data!B1255</f>
        <v/>
      </c>
      <c r="F1255">
        <f>AutoClaim_Data!C1255</f>
        <v/>
      </c>
      <c r="G1255">
        <f>IF(AutoClaim_Data!D1255&lt;=$B$2,AVERAGEIFS(AutoClaim_Data!C2:C3168,AutoClaim_Data!B2:B3168,"Train",AutoClaim_Data!D2:D3168,"&lt;="&amp;$B$2),AVERAGEIFS(AutoClaim_Data!C2:C3168,AutoClaim_Data!B2:B3168,"Train",AutoClaim_Data!D2:D3168,"&gt;"&amp;$B$2))</f>
        <v/>
      </c>
      <c r="H1255">
        <f>IF(AutoClaim_Data!D1255&lt;=$B$2,IF(AutoClaim_Data!E1255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5">
        <f>(F1255-H1255)^2</f>
        <v/>
      </c>
      <c r="J1255">
        <f>--(E1255="Validation")</f>
        <v/>
      </c>
    </row>
    <row r="1256">
      <c r="D1256">
        <f>AutoClaim_Data!A1256</f>
        <v/>
      </c>
      <c r="E1256">
        <f>AutoClaim_Data!B1256</f>
        <v/>
      </c>
      <c r="F1256">
        <f>AutoClaim_Data!C1256</f>
        <v/>
      </c>
      <c r="G1256">
        <f>IF(AutoClaim_Data!D1256&lt;=$B$2,AVERAGEIFS(AutoClaim_Data!C2:C3168,AutoClaim_Data!B2:B3168,"Train",AutoClaim_Data!D2:D3168,"&lt;="&amp;$B$2),AVERAGEIFS(AutoClaim_Data!C2:C3168,AutoClaim_Data!B2:B3168,"Train",AutoClaim_Data!D2:D3168,"&gt;"&amp;$B$2))</f>
        <v/>
      </c>
      <c r="H1256">
        <f>IF(AutoClaim_Data!D1256&lt;=$B$2,IF(AutoClaim_Data!E1256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6">
        <f>(F1256-H1256)^2</f>
        <v/>
      </c>
      <c r="J1256">
        <f>--(E1256="Validation")</f>
        <v/>
      </c>
    </row>
    <row r="1257">
      <c r="D1257">
        <f>AutoClaim_Data!A1257</f>
        <v/>
      </c>
      <c r="E1257">
        <f>AutoClaim_Data!B1257</f>
        <v/>
      </c>
      <c r="F1257">
        <f>AutoClaim_Data!C1257</f>
        <v/>
      </c>
      <c r="G1257">
        <f>IF(AutoClaim_Data!D1257&lt;=$B$2,AVERAGEIFS(AutoClaim_Data!C2:C3168,AutoClaim_Data!B2:B3168,"Train",AutoClaim_Data!D2:D3168,"&lt;="&amp;$B$2),AVERAGEIFS(AutoClaim_Data!C2:C3168,AutoClaim_Data!B2:B3168,"Train",AutoClaim_Data!D2:D3168,"&gt;"&amp;$B$2))</f>
        <v/>
      </c>
      <c r="H1257">
        <f>IF(AutoClaim_Data!D1257&lt;=$B$2,IF(AutoClaim_Data!E1257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7">
        <f>(F1257-H1257)^2</f>
        <v/>
      </c>
      <c r="J1257">
        <f>--(E1257="Validation")</f>
        <v/>
      </c>
    </row>
    <row r="1258">
      <c r="D1258">
        <f>AutoClaim_Data!A1258</f>
        <v/>
      </c>
      <c r="E1258">
        <f>AutoClaim_Data!B1258</f>
        <v/>
      </c>
      <c r="F1258">
        <f>AutoClaim_Data!C1258</f>
        <v/>
      </c>
      <c r="G1258">
        <f>IF(AutoClaim_Data!D1258&lt;=$B$2,AVERAGEIFS(AutoClaim_Data!C2:C3168,AutoClaim_Data!B2:B3168,"Train",AutoClaim_Data!D2:D3168,"&lt;="&amp;$B$2),AVERAGEIFS(AutoClaim_Data!C2:C3168,AutoClaim_Data!B2:B3168,"Train",AutoClaim_Data!D2:D3168,"&gt;"&amp;$B$2))</f>
        <v/>
      </c>
      <c r="H1258">
        <f>IF(AutoClaim_Data!D1258&lt;=$B$2,IF(AutoClaim_Data!E1258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8">
        <f>(F1258-H1258)^2</f>
        <v/>
      </c>
      <c r="J1258">
        <f>--(E1258="Validation")</f>
        <v/>
      </c>
    </row>
    <row r="1259">
      <c r="D1259">
        <f>AutoClaim_Data!A1259</f>
        <v/>
      </c>
      <c r="E1259">
        <f>AutoClaim_Data!B1259</f>
        <v/>
      </c>
      <c r="F1259">
        <f>AutoClaim_Data!C1259</f>
        <v/>
      </c>
      <c r="G1259">
        <f>IF(AutoClaim_Data!D1259&lt;=$B$2,AVERAGEIFS(AutoClaim_Data!C2:C3168,AutoClaim_Data!B2:B3168,"Train",AutoClaim_Data!D2:D3168,"&lt;="&amp;$B$2),AVERAGEIFS(AutoClaim_Data!C2:C3168,AutoClaim_Data!B2:B3168,"Train",AutoClaim_Data!D2:D3168,"&gt;"&amp;$B$2))</f>
        <v/>
      </c>
      <c r="H1259">
        <f>IF(AutoClaim_Data!D1259&lt;=$B$2,IF(AutoClaim_Data!E1259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59">
        <f>(F1259-H1259)^2</f>
        <v/>
      </c>
      <c r="J1259">
        <f>--(E1259="Validation")</f>
        <v/>
      </c>
    </row>
    <row r="1260">
      <c r="D1260">
        <f>AutoClaim_Data!A1260</f>
        <v/>
      </c>
      <c r="E1260">
        <f>AutoClaim_Data!B1260</f>
        <v/>
      </c>
      <c r="F1260">
        <f>AutoClaim_Data!C1260</f>
        <v/>
      </c>
      <c r="G1260">
        <f>IF(AutoClaim_Data!D1260&lt;=$B$2,AVERAGEIFS(AutoClaim_Data!C2:C3168,AutoClaim_Data!B2:B3168,"Train",AutoClaim_Data!D2:D3168,"&lt;="&amp;$B$2),AVERAGEIFS(AutoClaim_Data!C2:C3168,AutoClaim_Data!B2:B3168,"Train",AutoClaim_Data!D2:D3168,"&gt;"&amp;$B$2))</f>
        <v/>
      </c>
      <c r="H1260">
        <f>IF(AutoClaim_Data!D1260&lt;=$B$2,IF(AutoClaim_Data!E1260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0">
        <f>(F1260-H1260)^2</f>
        <v/>
      </c>
      <c r="J1260">
        <f>--(E1260="Validation")</f>
        <v/>
      </c>
    </row>
    <row r="1261">
      <c r="D1261">
        <f>AutoClaim_Data!A1261</f>
        <v/>
      </c>
      <c r="E1261">
        <f>AutoClaim_Data!B1261</f>
        <v/>
      </c>
      <c r="F1261">
        <f>AutoClaim_Data!C1261</f>
        <v/>
      </c>
      <c r="G1261">
        <f>IF(AutoClaim_Data!D1261&lt;=$B$2,AVERAGEIFS(AutoClaim_Data!C2:C3168,AutoClaim_Data!B2:B3168,"Train",AutoClaim_Data!D2:D3168,"&lt;="&amp;$B$2),AVERAGEIFS(AutoClaim_Data!C2:C3168,AutoClaim_Data!B2:B3168,"Train",AutoClaim_Data!D2:D3168,"&gt;"&amp;$B$2))</f>
        <v/>
      </c>
      <c r="H1261">
        <f>IF(AutoClaim_Data!D1261&lt;=$B$2,IF(AutoClaim_Data!E1261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1">
        <f>(F1261-H1261)^2</f>
        <v/>
      </c>
      <c r="J1261">
        <f>--(E1261="Validation")</f>
        <v/>
      </c>
    </row>
    <row r="1262">
      <c r="D1262">
        <f>AutoClaim_Data!A1262</f>
        <v/>
      </c>
      <c r="E1262">
        <f>AutoClaim_Data!B1262</f>
        <v/>
      </c>
      <c r="F1262">
        <f>AutoClaim_Data!C1262</f>
        <v/>
      </c>
      <c r="G1262">
        <f>IF(AutoClaim_Data!D1262&lt;=$B$2,AVERAGEIFS(AutoClaim_Data!C2:C3168,AutoClaim_Data!B2:B3168,"Train",AutoClaim_Data!D2:D3168,"&lt;="&amp;$B$2),AVERAGEIFS(AutoClaim_Data!C2:C3168,AutoClaim_Data!B2:B3168,"Train",AutoClaim_Data!D2:D3168,"&gt;"&amp;$B$2))</f>
        <v/>
      </c>
      <c r="H1262">
        <f>IF(AutoClaim_Data!D1262&lt;=$B$2,IF(AutoClaim_Data!E1262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2">
        <f>(F1262-H1262)^2</f>
        <v/>
      </c>
      <c r="J1262">
        <f>--(E1262="Validation")</f>
        <v/>
      </c>
    </row>
    <row r="1263">
      <c r="D1263">
        <f>AutoClaim_Data!A1263</f>
        <v/>
      </c>
      <c r="E1263">
        <f>AutoClaim_Data!B1263</f>
        <v/>
      </c>
      <c r="F1263">
        <f>AutoClaim_Data!C1263</f>
        <v/>
      </c>
      <c r="G1263">
        <f>IF(AutoClaim_Data!D1263&lt;=$B$2,AVERAGEIFS(AutoClaim_Data!C2:C3168,AutoClaim_Data!B2:B3168,"Train",AutoClaim_Data!D2:D3168,"&lt;="&amp;$B$2),AVERAGEIFS(AutoClaim_Data!C2:C3168,AutoClaim_Data!B2:B3168,"Train",AutoClaim_Data!D2:D3168,"&gt;"&amp;$B$2))</f>
        <v/>
      </c>
      <c r="H1263">
        <f>IF(AutoClaim_Data!D1263&lt;=$B$2,IF(AutoClaim_Data!E1263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3">
        <f>(F1263-H1263)^2</f>
        <v/>
      </c>
      <c r="J1263">
        <f>--(E1263="Validation")</f>
        <v/>
      </c>
    </row>
    <row r="1264">
      <c r="D1264">
        <f>AutoClaim_Data!A1264</f>
        <v/>
      </c>
      <c r="E1264">
        <f>AutoClaim_Data!B1264</f>
        <v/>
      </c>
      <c r="F1264">
        <f>AutoClaim_Data!C1264</f>
        <v/>
      </c>
      <c r="G1264">
        <f>IF(AutoClaim_Data!D1264&lt;=$B$2,AVERAGEIFS(AutoClaim_Data!C2:C3168,AutoClaim_Data!B2:B3168,"Train",AutoClaim_Data!D2:D3168,"&lt;="&amp;$B$2),AVERAGEIFS(AutoClaim_Data!C2:C3168,AutoClaim_Data!B2:B3168,"Train",AutoClaim_Data!D2:D3168,"&gt;"&amp;$B$2))</f>
        <v/>
      </c>
      <c r="H1264">
        <f>IF(AutoClaim_Data!D1264&lt;=$B$2,IF(AutoClaim_Data!E1264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4">
        <f>(F1264-H1264)^2</f>
        <v/>
      </c>
      <c r="J1264">
        <f>--(E1264="Validation")</f>
        <v/>
      </c>
    </row>
    <row r="1265">
      <c r="D1265">
        <f>AutoClaim_Data!A1265</f>
        <v/>
      </c>
      <c r="E1265">
        <f>AutoClaim_Data!B1265</f>
        <v/>
      </c>
      <c r="F1265">
        <f>AutoClaim_Data!C1265</f>
        <v/>
      </c>
      <c r="G1265">
        <f>IF(AutoClaim_Data!D1265&lt;=$B$2,AVERAGEIFS(AutoClaim_Data!C2:C3168,AutoClaim_Data!B2:B3168,"Train",AutoClaim_Data!D2:D3168,"&lt;="&amp;$B$2),AVERAGEIFS(AutoClaim_Data!C2:C3168,AutoClaim_Data!B2:B3168,"Train",AutoClaim_Data!D2:D3168,"&gt;"&amp;$B$2))</f>
        <v/>
      </c>
      <c r="H1265">
        <f>IF(AutoClaim_Data!D1265&lt;=$B$2,IF(AutoClaim_Data!E1265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5">
        <f>(F1265-H1265)^2</f>
        <v/>
      </c>
      <c r="J1265">
        <f>--(E1265="Validation")</f>
        <v/>
      </c>
    </row>
    <row r="1266">
      <c r="D1266">
        <f>AutoClaim_Data!A1266</f>
        <v/>
      </c>
      <c r="E1266">
        <f>AutoClaim_Data!B1266</f>
        <v/>
      </c>
      <c r="F1266">
        <f>AutoClaim_Data!C1266</f>
        <v/>
      </c>
      <c r="G1266">
        <f>IF(AutoClaim_Data!D1266&lt;=$B$2,AVERAGEIFS(AutoClaim_Data!C2:C3168,AutoClaim_Data!B2:B3168,"Train",AutoClaim_Data!D2:D3168,"&lt;="&amp;$B$2),AVERAGEIFS(AutoClaim_Data!C2:C3168,AutoClaim_Data!B2:B3168,"Train",AutoClaim_Data!D2:D3168,"&gt;"&amp;$B$2))</f>
        <v/>
      </c>
      <c r="H1266">
        <f>IF(AutoClaim_Data!D1266&lt;=$B$2,IF(AutoClaim_Data!E1266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6">
        <f>(F1266-H1266)^2</f>
        <v/>
      </c>
      <c r="J1266">
        <f>--(E1266="Validation")</f>
        <v/>
      </c>
    </row>
    <row r="1267">
      <c r="D1267">
        <f>AutoClaim_Data!A1267</f>
        <v/>
      </c>
      <c r="E1267">
        <f>AutoClaim_Data!B1267</f>
        <v/>
      </c>
      <c r="F1267">
        <f>AutoClaim_Data!C1267</f>
        <v/>
      </c>
      <c r="G1267">
        <f>IF(AutoClaim_Data!D1267&lt;=$B$2,AVERAGEIFS(AutoClaim_Data!C2:C3168,AutoClaim_Data!B2:B3168,"Train",AutoClaim_Data!D2:D3168,"&lt;="&amp;$B$2),AVERAGEIFS(AutoClaim_Data!C2:C3168,AutoClaim_Data!B2:B3168,"Train",AutoClaim_Data!D2:D3168,"&gt;"&amp;$B$2))</f>
        <v/>
      </c>
      <c r="H1267">
        <f>IF(AutoClaim_Data!D1267&lt;=$B$2,IF(AutoClaim_Data!E1267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7">
        <f>(F1267-H1267)^2</f>
        <v/>
      </c>
      <c r="J1267">
        <f>--(E1267="Validation")</f>
        <v/>
      </c>
    </row>
    <row r="1268">
      <c r="D1268">
        <f>AutoClaim_Data!A1268</f>
        <v/>
      </c>
      <c r="E1268">
        <f>AutoClaim_Data!B1268</f>
        <v/>
      </c>
      <c r="F1268">
        <f>AutoClaim_Data!C1268</f>
        <v/>
      </c>
      <c r="G1268">
        <f>IF(AutoClaim_Data!D1268&lt;=$B$2,AVERAGEIFS(AutoClaim_Data!C2:C3168,AutoClaim_Data!B2:B3168,"Train",AutoClaim_Data!D2:D3168,"&lt;="&amp;$B$2),AVERAGEIFS(AutoClaim_Data!C2:C3168,AutoClaim_Data!B2:B3168,"Train",AutoClaim_Data!D2:D3168,"&gt;"&amp;$B$2))</f>
        <v/>
      </c>
      <c r="H1268">
        <f>IF(AutoClaim_Data!D1268&lt;=$B$2,IF(AutoClaim_Data!E1268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8">
        <f>(F1268-H1268)^2</f>
        <v/>
      </c>
      <c r="J1268">
        <f>--(E1268="Validation")</f>
        <v/>
      </c>
    </row>
    <row r="1269">
      <c r="D1269">
        <f>AutoClaim_Data!A1269</f>
        <v/>
      </c>
      <c r="E1269">
        <f>AutoClaim_Data!B1269</f>
        <v/>
      </c>
      <c r="F1269">
        <f>AutoClaim_Data!C1269</f>
        <v/>
      </c>
      <c r="G1269">
        <f>IF(AutoClaim_Data!D1269&lt;=$B$2,AVERAGEIFS(AutoClaim_Data!C2:C3168,AutoClaim_Data!B2:B3168,"Train",AutoClaim_Data!D2:D3168,"&lt;="&amp;$B$2),AVERAGEIFS(AutoClaim_Data!C2:C3168,AutoClaim_Data!B2:B3168,"Train",AutoClaim_Data!D2:D3168,"&gt;"&amp;$B$2))</f>
        <v/>
      </c>
      <c r="H1269">
        <f>IF(AutoClaim_Data!D1269&lt;=$B$2,IF(AutoClaim_Data!E1269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69">
        <f>(F1269-H1269)^2</f>
        <v/>
      </c>
      <c r="J1269">
        <f>--(E1269="Validation")</f>
        <v/>
      </c>
    </row>
    <row r="1270">
      <c r="D1270">
        <f>AutoClaim_Data!A1270</f>
        <v/>
      </c>
      <c r="E1270">
        <f>AutoClaim_Data!B1270</f>
        <v/>
      </c>
      <c r="F1270">
        <f>AutoClaim_Data!C1270</f>
        <v/>
      </c>
      <c r="G1270">
        <f>IF(AutoClaim_Data!D1270&lt;=$B$2,AVERAGEIFS(AutoClaim_Data!C2:C3168,AutoClaim_Data!B2:B3168,"Train",AutoClaim_Data!D2:D3168,"&lt;="&amp;$B$2),AVERAGEIFS(AutoClaim_Data!C2:C3168,AutoClaim_Data!B2:B3168,"Train",AutoClaim_Data!D2:D3168,"&gt;"&amp;$B$2))</f>
        <v/>
      </c>
      <c r="H1270">
        <f>IF(AutoClaim_Data!D1270&lt;=$B$2,IF(AutoClaim_Data!E1270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0">
        <f>(F1270-H1270)^2</f>
        <v/>
      </c>
      <c r="J1270">
        <f>--(E1270="Validation")</f>
        <v/>
      </c>
    </row>
    <row r="1271">
      <c r="D1271">
        <f>AutoClaim_Data!A1271</f>
        <v/>
      </c>
      <c r="E1271">
        <f>AutoClaim_Data!B1271</f>
        <v/>
      </c>
      <c r="F1271">
        <f>AutoClaim_Data!C1271</f>
        <v/>
      </c>
      <c r="G1271">
        <f>IF(AutoClaim_Data!D1271&lt;=$B$2,AVERAGEIFS(AutoClaim_Data!C2:C3168,AutoClaim_Data!B2:B3168,"Train",AutoClaim_Data!D2:D3168,"&lt;="&amp;$B$2),AVERAGEIFS(AutoClaim_Data!C2:C3168,AutoClaim_Data!B2:B3168,"Train",AutoClaim_Data!D2:D3168,"&gt;"&amp;$B$2))</f>
        <v/>
      </c>
      <c r="H1271">
        <f>IF(AutoClaim_Data!D1271&lt;=$B$2,IF(AutoClaim_Data!E1271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1">
        <f>(F1271-H1271)^2</f>
        <v/>
      </c>
      <c r="J1271">
        <f>--(E1271="Validation")</f>
        <v/>
      </c>
    </row>
    <row r="1272">
      <c r="D1272">
        <f>AutoClaim_Data!A1272</f>
        <v/>
      </c>
      <c r="E1272">
        <f>AutoClaim_Data!B1272</f>
        <v/>
      </c>
      <c r="F1272">
        <f>AutoClaim_Data!C1272</f>
        <v/>
      </c>
      <c r="G1272">
        <f>IF(AutoClaim_Data!D1272&lt;=$B$2,AVERAGEIFS(AutoClaim_Data!C2:C3168,AutoClaim_Data!B2:B3168,"Train",AutoClaim_Data!D2:D3168,"&lt;="&amp;$B$2),AVERAGEIFS(AutoClaim_Data!C2:C3168,AutoClaim_Data!B2:B3168,"Train",AutoClaim_Data!D2:D3168,"&gt;"&amp;$B$2))</f>
        <v/>
      </c>
      <c r="H1272">
        <f>IF(AutoClaim_Data!D1272&lt;=$B$2,IF(AutoClaim_Data!E1272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2">
        <f>(F1272-H1272)^2</f>
        <v/>
      </c>
      <c r="J1272">
        <f>--(E1272="Validation")</f>
        <v/>
      </c>
    </row>
    <row r="1273">
      <c r="D1273">
        <f>AutoClaim_Data!A1273</f>
        <v/>
      </c>
      <c r="E1273">
        <f>AutoClaim_Data!B1273</f>
        <v/>
      </c>
      <c r="F1273">
        <f>AutoClaim_Data!C1273</f>
        <v/>
      </c>
      <c r="G1273">
        <f>IF(AutoClaim_Data!D1273&lt;=$B$2,AVERAGEIFS(AutoClaim_Data!C2:C3168,AutoClaim_Data!B2:B3168,"Train",AutoClaim_Data!D2:D3168,"&lt;="&amp;$B$2),AVERAGEIFS(AutoClaim_Data!C2:C3168,AutoClaim_Data!B2:B3168,"Train",AutoClaim_Data!D2:D3168,"&gt;"&amp;$B$2))</f>
        <v/>
      </c>
      <c r="H1273">
        <f>IF(AutoClaim_Data!D1273&lt;=$B$2,IF(AutoClaim_Data!E1273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3">
        <f>(F1273-H1273)^2</f>
        <v/>
      </c>
      <c r="J1273">
        <f>--(E1273="Validation")</f>
        <v/>
      </c>
    </row>
    <row r="1274">
      <c r="D1274">
        <f>AutoClaim_Data!A1274</f>
        <v/>
      </c>
      <c r="E1274">
        <f>AutoClaim_Data!B1274</f>
        <v/>
      </c>
      <c r="F1274">
        <f>AutoClaim_Data!C1274</f>
        <v/>
      </c>
      <c r="G1274">
        <f>IF(AutoClaim_Data!D1274&lt;=$B$2,AVERAGEIFS(AutoClaim_Data!C2:C3168,AutoClaim_Data!B2:B3168,"Train",AutoClaim_Data!D2:D3168,"&lt;="&amp;$B$2),AVERAGEIFS(AutoClaim_Data!C2:C3168,AutoClaim_Data!B2:B3168,"Train",AutoClaim_Data!D2:D3168,"&gt;"&amp;$B$2))</f>
        <v/>
      </c>
      <c r="H1274">
        <f>IF(AutoClaim_Data!D1274&lt;=$B$2,IF(AutoClaim_Data!E1274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4">
        <f>(F1274-H1274)^2</f>
        <v/>
      </c>
      <c r="J1274">
        <f>--(E1274="Validation")</f>
        <v/>
      </c>
    </row>
    <row r="1275">
      <c r="D1275">
        <f>AutoClaim_Data!A1275</f>
        <v/>
      </c>
      <c r="E1275">
        <f>AutoClaim_Data!B1275</f>
        <v/>
      </c>
      <c r="F1275">
        <f>AutoClaim_Data!C1275</f>
        <v/>
      </c>
      <c r="G1275">
        <f>IF(AutoClaim_Data!D1275&lt;=$B$2,AVERAGEIFS(AutoClaim_Data!C2:C3168,AutoClaim_Data!B2:B3168,"Train",AutoClaim_Data!D2:D3168,"&lt;="&amp;$B$2),AVERAGEIFS(AutoClaim_Data!C2:C3168,AutoClaim_Data!B2:B3168,"Train",AutoClaim_Data!D2:D3168,"&gt;"&amp;$B$2))</f>
        <v/>
      </c>
      <c r="H1275">
        <f>IF(AutoClaim_Data!D1275&lt;=$B$2,IF(AutoClaim_Data!E1275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5">
        <f>(F1275-H1275)^2</f>
        <v/>
      </c>
      <c r="J1275">
        <f>--(E1275="Validation")</f>
        <v/>
      </c>
    </row>
    <row r="1276">
      <c r="D1276">
        <f>AutoClaim_Data!A1276</f>
        <v/>
      </c>
      <c r="E1276">
        <f>AutoClaim_Data!B1276</f>
        <v/>
      </c>
      <c r="F1276">
        <f>AutoClaim_Data!C1276</f>
        <v/>
      </c>
      <c r="G1276">
        <f>IF(AutoClaim_Data!D1276&lt;=$B$2,AVERAGEIFS(AutoClaim_Data!C2:C3168,AutoClaim_Data!B2:B3168,"Train",AutoClaim_Data!D2:D3168,"&lt;="&amp;$B$2),AVERAGEIFS(AutoClaim_Data!C2:C3168,AutoClaim_Data!B2:B3168,"Train",AutoClaim_Data!D2:D3168,"&gt;"&amp;$B$2))</f>
        <v/>
      </c>
      <c r="H1276">
        <f>IF(AutoClaim_Data!D1276&lt;=$B$2,IF(AutoClaim_Data!E1276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6">
        <f>(F1276-H1276)^2</f>
        <v/>
      </c>
      <c r="J1276">
        <f>--(E1276="Validation")</f>
        <v/>
      </c>
    </row>
    <row r="1277">
      <c r="D1277">
        <f>AutoClaim_Data!A1277</f>
        <v/>
      </c>
      <c r="E1277">
        <f>AutoClaim_Data!B1277</f>
        <v/>
      </c>
      <c r="F1277">
        <f>AutoClaim_Data!C1277</f>
        <v/>
      </c>
      <c r="G1277">
        <f>IF(AutoClaim_Data!D1277&lt;=$B$2,AVERAGEIFS(AutoClaim_Data!C2:C3168,AutoClaim_Data!B2:B3168,"Train",AutoClaim_Data!D2:D3168,"&lt;="&amp;$B$2),AVERAGEIFS(AutoClaim_Data!C2:C3168,AutoClaim_Data!B2:B3168,"Train",AutoClaim_Data!D2:D3168,"&gt;"&amp;$B$2))</f>
        <v/>
      </c>
      <c r="H1277">
        <f>IF(AutoClaim_Data!D1277&lt;=$B$2,IF(AutoClaim_Data!E1277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7">
        <f>(F1277-H1277)^2</f>
        <v/>
      </c>
      <c r="J1277">
        <f>--(E1277="Validation")</f>
        <v/>
      </c>
    </row>
    <row r="1278">
      <c r="D1278">
        <f>AutoClaim_Data!A1278</f>
        <v/>
      </c>
      <c r="E1278">
        <f>AutoClaim_Data!B1278</f>
        <v/>
      </c>
      <c r="F1278">
        <f>AutoClaim_Data!C1278</f>
        <v/>
      </c>
      <c r="G1278">
        <f>IF(AutoClaim_Data!D1278&lt;=$B$2,AVERAGEIFS(AutoClaim_Data!C2:C3168,AutoClaim_Data!B2:B3168,"Train",AutoClaim_Data!D2:D3168,"&lt;="&amp;$B$2),AVERAGEIFS(AutoClaim_Data!C2:C3168,AutoClaim_Data!B2:B3168,"Train",AutoClaim_Data!D2:D3168,"&gt;"&amp;$B$2))</f>
        <v/>
      </c>
      <c r="H1278">
        <f>IF(AutoClaim_Data!D1278&lt;=$B$2,IF(AutoClaim_Data!E1278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8">
        <f>(F1278-H1278)^2</f>
        <v/>
      </c>
      <c r="J1278">
        <f>--(E1278="Validation")</f>
        <v/>
      </c>
    </row>
    <row r="1279">
      <c r="D1279">
        <f>AutoClaim_Data!A1279</f>
        <v/>
      </c>
      <c r="E1279">
        <f>AutoClaim_Data!B1279</f>
        <v/>
      </c>
      <c r="F1279">
        <f>AutoClaim_Data!C1279</f>
        <v/>
      </c>
      <c r="G1279">
        <f>IF(AutoClaim_Data!D1279&lt;=$B$2,AVERAGEIFS(AutoClaim_Data!C2:C3168,AutoClaim_Data!B2:B3168,"Train",AutoClaim_Data!D2:D3168,"&lt;="&amp;$B$2),AVERAGEIFS(AutoClaim_Data!C2:C3168,AutoClaim_Data!B2:B3168,"Train",AutoClaim_Data!D2:D3168,"&gt;"&amp;$B$2))</f>
        <v/>
      </c>
      <c r="H1279">
        <f>IF(AutoClaim_Data!D1279&lt;=$B$2,IF(AutoClaim_Data!E1279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79">
        <f>(F1279-H1279)^2</f>
        <v/>
      </c>
      <c r="J1279">
        <f>--(E1279="Validation")</f>
        <v/>
      </c>
    </row>
    <row r="1280">
      <c r="D1280">
        <f>AutoClaim_Data!A1280</f>
        <v/>
      </c>
      <c r="E1280">
        <f>AutoClaim_Data!B1280</f>
        <v/>
      </c>
      <c r="F1280">
        <f>AutoClaim_Data!C1280</f>
        <v/>
      </c>
      <c r="G1280">
        <f>IF(AutoClaim_Data!D1280&lt;=$B$2,AVERAGEIFS(AutoClaim_Data!C2:C3168,AutoClaim_Data!B2:B3168,"Train",AutoClaim_Data!D2:D3168,"&lt;="&amp;$B$2),AVERAGEIFS(AutoClaim_Data!C2:C3168,AutoClaim_Data!B2:B3168,"Train",AutoClaim_Data!D2:D3168,"&gt;"&amp;$B$2))</f>
        <v/>
      </c>
      <c r="H1280">
        <f>IF(AutoClaim_Data!D1280&lt;=$B$2,IF(AutoClaim_Data!E1280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0">
        <f>(F1280-H1280)^2</f>
        <v/>
      </c>
      <c r="J1280">
        <f>--(E1280="Validation")</f>
        <v/>
      </c>
    </row>
    <row r="1281">
      <c r="D1281">
        <f>AutoClaim_Data!A1281</f>
        <v/>
      </c>
      <c r="E1281">
        <f>AutoClaim_Data!B1281</f>
        <v/>
      </c>
      <c r="F1281">
        <f>AutoClaim_Data!C1281</f>
        <v/>
      </c>
      <c r="G1281">
        <f>IF(AutoClaim_Data!D1281&lt;=$B$2,AVERAGEIFS(AutoClaim_Data!C2:C3168,AutoClaim_Data!B2:B3168,"Train",AutoClaim_Data!D2:D3168,"&lt;="&amp;$B$2),AVERAGEIFS(AutoClaim_Data!C2:C3168,AutoClaim_Data!B2:B3168,"Train",AutoClaim_Data!D2:D3168,"&gt;"&amp;$B$2))</f>
        <v/>
      </c>
      <c r="H1281">
        <f>IF(AutoClaim_Data!D1281&lt;=$B$2,IF(AutoClaim_Data!E1281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1">
        <f>(F1281-H1281)^2</f>
        <v/>
      </c>
      <c r="J1281">
        <f>--(E1281="Validation")</f>
        <v/>
      </c>
    </row>
    <row r="1282">
      <c r="D1282">
        <f>AutoClaim_Data!A1282</f>
        <v/>
      </c>
      <c r="E1282">
        <f>AutoClaim_Data!B1282</f>
        <v/>
      </c>
      <c r="F1282">
        <f>AutoClaim_Data!C1282</f>
        <v/>
      </c>
      <c r="G1282">
        <f>IF(AutoClaim_Data!D1282&lt;=$B$2,AVERAGEIFS(AutoClaim_Data!C2:C3168,AutoClaim_Data!B2:B3168,"Train",AutoClaim_Data!D2:D3168,"&lt;="&amp;$B$2),AVERAGEIFS(AutoClaim_Data!C2:C3168,AutoClaim_Data!B2:B3168,"Train",AutoClaim_Data!D2:D3168,"&gt;"&amp;$B$2))</f>
        <v/>
      </c>
      <c r="H1282">
        <f>IF(AutoClaim_Data!D1282&lt;=$B$2,IF(AutoClaim_Data!E1282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2">
        <f>(F1282-H1282)^2</f>
        <v/>
      </c>
      <c r="J1282">
        <f>--(E1282="Validation")</f>
        <v/>
      </c>
    </row>
    <row r="1283">
      <c r="D1283">
        <f>AutoClaim_Data!A1283</f>
        <v/>
      </c>
      <c r="E1283">
        <f>AutoClaim_Data!B1283</f>
        <v/>
      </c>
      <c r="F1283">
        <f>AutoClaim_Data!C1283</f>
        <v/>
      </c>
      <c r="G1283">
        <f>IF(AutoClaim_Data!D1283&lt;=$B$2,AVERAGEIFS(AutoClaim_Data!C2:C3168,AutoClaim_Data!B2:B3168,"Train",AutoClaim_Data!D2:D3168,"&lt;="&amp;$B$2),AVERAGEIFS(AutoClaim_Data!C2:C3168,AutoClaim_Data!B2:B3168,"Train",AutoClaim_Data!D2:D3168,"&gt;"&amp;$B$2))</f>
        <v/>
      </c>
      <c r="H1283">
        <f>IF(AutoClaim_Data!D1283&lt;=$B$2,IF(AutoClaim_Data!E1283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3">
        <f>(F1283-H1283)^2</f>
        <v/>
      </c>
      <c r="J1283">
        <f>--(E1283="Validation")</f>
        <v/>
      </c>
    </row>
    <row r="1284">
      <c r="D1284">
        <f>AutoClaim_Data!A1284</f>
        <v/>
      </c>
      <c r="E1284">
        <f>AutoClaim_Data!B1284</f>
        <v/>
      </c>
      <c r="F1284">
        <f>AutoClaim_Data!C1284</f>
        <v/>
      </c>
      <c r="G1284">
        <f>IF(AutoClaim_Data!D1284&lt;=$B$2,AVERAGEIFS(AutoClaim_Data!C2:C3168,AutoClaim_Data!B2:B3168,"Train",AutoClaim_Data!D2:D3168,"&lt;="&amp;$B$2),AVERAGEIFS(AutoClaim_Data!C2:C3168,AutoClaim_Data!B2:B3168,"Train",AutoClaim_Data!D2:D3168,"&gt;"&amp;$B$2))</f>
        <v/>
      </c>
      <c r="H1284">
        <f>IF(AutoClaim_Data!D1284&lt;=$B$2,IF(AutoClaim_Data!E1284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4">
        <f>(F1284-H1284)^2</f>
        <v/>
      </c>
      <c r="J1284">
        <f>--(E1284="Validation")</f>
        <v/>
      </c>
    </row>
    <row r="1285">
      <c r="D1285">
        <f>AutoClaim_Data!A1285</f>
        <v/>
      </c>
      <c r="E1285">
        <f>AutoClaim_Data!B1285</f>
        <v/>
      </c>
      <c r="F1285">
        <f>AutoClaim_Data!C1285</f>
        <v/>
      </c>
      <c r="G1285">
        <f>IF(AutoClaim_Data!D1285&lt;=$B$2,AVERAGEIFS(AutoClaim_Data!C2:C3168,AutoClaim_Data!B2:B3168,"Train",AutoClaim_Data!D2:D3168,"&lt;="&amp;$B$2),AVERAGEIFS(AutoClaim_Data!C2:C3168,AutoClaim_Data!B2:B3168,"Train",AutoClaim_Data!D2:D3168,"&gt;"&amp;$B$2))</f>
        <v/>
      </c>
      <c r="H1285">
        <f>IF(AutoClaim_Data!D1285&lt;=$B$2,IF(AutoClaim_Data!E1285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5">
        <f>(F1285-H1285)^2</f>
        <v/>
      </c>
      <c r="J1285">
        <f>--(E1285="Validation")</f>
        <v/>
      </c>
    </row>
    <row r="1286">
      <c r="D1286">
        <f>AutoClaim_Data!A1286</f>
        <v/>
      </c>
      <c r="E1286">
        <f>AutoClaim_Data!B1286</f>
        <v/>
      </c>
      <c r="F1286">
        <f>AutoClaim_Data!C1286</f>
        <v/>
      </c>
      <c r="G1286">
        <f>IF(AutoClaim_Data!D1286&lt;=$B$2,AVERAGEIFS(AutoClaim_Data!C2:C3168,AutoClaim_Data!B2:B3168,"Train",AutoClaim_Data!D2:D3168,"&lt;="&amp;$B$2),AVERAGEIFS(AutoClaim_Data!C2:C3168,AutoClaim_Data!B2:B3168,"Train",AutoClaim_Data!D2:D3168,"&gt;"&amp;$B$2))</f>
        <v/>
      </c>
      <c r="H1286">
        <f>IF(AutoClaim_Data!D1286&lt;=$B$2,IF(AutoClaim_Data!E1286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6">
        <f>(F1286-H1286)^2</f>
        <v/>
      </c>
      <c r="J1286">
        <f>--(E1286="Validation")</f>
        <v/>
      </c>
    </row>
    <row r="1287">
      <c r="D1287">
        <f>AutoClaim_Data!A1287</f>
        <v/>
      </c>
      <c r="E1287">
        <f>AutoClaim_Data!B1287</f>
        <v/>
      </c>
      <c r="F1287">
        <f>AutoClaim_Data!C1287</f>
        <v/>
      </c>
      <c r="G1287">
        <f>IF(AutoClaim_Data!D1287&lt;=$B$2,AVERAGEIFS(AutoClaim_Data!C2:C3168,AutoClaim_Data!B2:B3168,"Train",AutoClaim_Data!D2:D3168,"&lt;="&amp;$B$2),AVERAGEIFS(AutoClaim_Data!C2:C3168,AutoClaim_Data!B2:B3168,"Train",AutoClaim_Data!D2:D3168,"&gt;"&amp;$B$2))</f>
        <v/>
      </c>
      <c r="H1287">
        <f>IF(AutoClaim_Data!D1287&lt;=$B$2,IF(AutoClaim_Data!E1287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7">
        <f>(F1287-H1287)^2</f>
        <v/>
      </c>
      <c r="J1287">
        <f>--(E1287="Validation")</f>
        <v/>
      </c>
    </row>
    <row r="1288">
      <c r="D1288">
        <f>AutoClaim_Data!A1288</f>
        <v/>
      </c>
      <c r="E1288">
        <f>AutoClaim_Data!B1288</f>
        <v/>
      </c>
      <c r="F1288">
        <f>AutoClaim_Data!C1288</f>
        <v/>
      </c>
      <c r="G1288">
        <f>IF(AutoClaim_Data!D1288&lt;=$B$2,AVERAGEIFS(AutoClaim_Data!C2:C3168,AutoClaim_Data!B2:B3168,"Train",AutoClaim_Data!D2:D3168,"&lt;="&amp;$B$2),AVERAGEIFS(AutoClaim_Data!C2:C3168,AutoClaim_Data!B2:B3168,"Train",AutoClaim_Data!D2:D3168,"&gt;"&amp;$B$2))</f>
        <v/>
      </c>
      <c r="H1288">
        <f>IF(AutoClaim_Data!D1288&lt;=$B$2,IF(AutoClaim_Data!E1288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8">
        <f>(F1288-H1288)^2</f>
        <v/>
      </c>
      <c r="J1288">
        <f>--(E1288="Validation")</f>
        <v/>
      </c>
    </row>
    <row r="1289">
      <c r="D1289">
        <f>AutoClaim_Data!A1289</f>
        <v/>
      </c>
      <c r="E1289">
        <f>AutoClaim_Data!B1289</f>
        <v/>
      </c>
      <c r="F1289">
        <f>AutoClaim_Data!C1289</f>
        <v/>
      </c>
      <c r="G1289">
        <f>IF(AutoClaim_Data!D1289&lt;=$B$2,AVERAGEIFS(AutoClaim_Data!C2:C3168,AutoClaim_Data!B2:B3168,"Train",AutoClaim_Data!D2:D3168,"&lt;="&amp;$B$2),AVERAGEIFS(AutoClaim_Data!C2:C3168,AutoClaim_Data!B2:B3168,"Train",AutoClaim_Data!D2:D3168,"&gt;"&amp;$B$2))</f>
        <v/>
      </c>
      <c r="H1289">
        <f>IF(AutoClaim_Data!D1289&lt;=$B$2,IF(AutoClaim_Data!E1289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89">
        <f>(F1289-H1289)^2</f>
        <v/>
      </c>
      <c r="J1289">
        <f>--(E1289="Validation")</f>
        <v/>
      </c>
    </row>
    <row r="1290">
      <c r="D1290">
        <f>AutoClaim_Data!A1290</f>
        <v/>
      </c>
      <c r="E1290">
        <f>AutoClaim_Data!B1290</f>
        <v/>
      </c>
      <c r="F1290">
        <f>AutoClaim_Data!C1290</f>
        <v/>
      </c>
      <c r="G1290">
        <f>IF(AutoClaim_Data!D1290&lt;=$B$2,AVERAGEIFS(AutoClaim_Data!C2:C3168,AutoClaim_Data!B2:B3168,"Train",AutoClaim_Data!D2:D3168,"&lt;="&amp;$B$2),AVERAGEIFS(AutoClaim_Data!C2:C3168,AutoClaim_Data!B2:B3168,"Train",AutoClaim_Data!D2:D3168,"&gt;"&amp;$B$2))</f>
        <v/>
      </c>
      <c r="H1290">
        <f>IF(AutoClaim_Data!D1290&lt;=$B$2,IF(AutoClaim_Data!E1290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0">
        <f>(F1290-H1290)^2</f>
        <v/>
      </c>
      <c r="J1290">
        <f>--(E1290="Validation")</f>
        <v/>
      </c>
    </row>
    <row r="1291">
      <c r="D1291">
        <f>AutoClaim_Data!A1291</f>
        <v/>
      </c>
      <c r="E1291">
        <f>AutoClaim_Data!B1291</f>
        <v/>
      </c>
      <c r="F1291">
        <f>AutoClaim_Data!C1291</f>
        <v/>
      </c>
      <c r="G1291">
        <f>IF(AutoClaim_Data!D1291&lt;=$B$2,AVERAGEIFS(AutoClaim_Data!C2:C3168,AutoClaim_Data!B2:B3168,"Train",AutoClaim_Data!D2:D3168,"&lt;="&amp;$B$2),AVERAGEIFS(AutoClaim_Data!C2:C3168,AutoClaim_Data!B2:B3168,"Train",AutoClaim_Data!D2:D3168,"&gt;"&amp;$B$2))</f>
        <v/>
      </c>
      <c r="H1291">
        <f>IF(AutoClaim_Data!D1291&lt;=$B$2,IF(AutoClaim_Data!E1291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1">
        <f>(F1291-H1291)^2</f>
        <v/>
      </c>
      <c r="J1291">
        <f>--(E1291="Validation")</f>
        <v/>
      </c>
    </row>
    <row r="1292">
      <c r="D1292">
        <f>AutoClaim_Data!A1292</f>
        <v/>
      </c>
      <c r="E1292">
        <f>AutoClaim_Data!B1292</f>
        <v/>
      </c>
      <c r="F1292">
        <f>AutoClaim_Data!C1292</f>
        <v/>
      </c>
      <c r="G1292">
        <f>IF(AutoClaim_Data!D1292&lt;=$B$2,AVERAGEIFS(AutoClaim_Data!C2:C3168,AutoClaim_Data!B2:B3168,"Train",AutoClaim_Data!D2:D3168,"&lt;="&amp;$B$2),AVERAGEIFS(AutoClaim_Data!C2:C3168,AutoClaim_Data!B2:B3168,"Train",AutoClaim_Data!D2:D3168,"&gt;"&amp;$B$2))</f>
        <v/>
      </c>
      <c r="H1292">
        <f>IF(AutoClaim_Data!D1292&lt;=$B$2,IF(AutoClaim_Data!E1292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2">
        <f>(F1292-H1292)^2</f>
        <v/>
      </c>
      <c r="J1292">
        <f>--(E1292="Validation")</f>
        <v/>
      </c>
    </row>
    <row r="1293">
      <c r="D1293">
        <f>AutoClaim_Data!A1293</f>
        <v/>
      </c>
      <c r="E1293">
        <f>AutoClaim_Data!B1293</f>
        <v/>
      </c>
      <c r="F1293">
        <f>AutoClaim_Data!C1293</f>
        <v/>
      </c>
      <c r="G1293">
        <f>IF(AutoClaim_Data!D1293&lt;=$B$2,AVERAGEIFS(AutoClaim_Data!C2:C3168,AutoClaim_Data!B2:B3168,"Train",AutoClaim_Data!D2:D3168,"&lt;="&amp;$B$2),AVERAGEIFS(AutoClaim_Data!C2:C3168,AutoClaim_Data!B2:B3168,"Train",AutoClaim_Data!D2:D3168,"&gt;"&amp;$B$2))</f>
        <v/>
      </c>
      <c r="H1293">
        <f>IF(AutoClaim_Data!D1293&lt;=$B$2,IF(AutoClaim_Data!E1293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3">
        <f>(F1293-H1293)^2</f>
        <v/>
      </c>
      <c r="J1293">
        <f>--(E1293="Validation")</f>
        <v/>
      </c>
    </row>
    <row r="1294">
      <c r="D1294">
        <f>AutoClaim_Data!A1294</f>
        <v/>
      </c>
      <c r="E1294">
        <f>AutoClaim_Data!B1294</f>
        <v/>
      </c>
      <c r="F1294">
        <f>AutoClaim_Data!C1294</f>
        <v/>
      </c>
      <c r="G1294">
        <f>IF(AutoClaim_Data!D1294&lt;=$B$2,AVERAGEIFS(AutoClaim_Data!C2:C3168,AutoClaim_Data!B2:B3168,"Train",AutoClaim_Data!D2:D3168,"&lt;="&amp;$B$2),AVERAGEIFS(AutoClaim_Data!C2:C3168,AutoClaim_Data!B2:B3168,"Train",AutoClaim_Data!D2:D3168,"&gt;"&amp;$B$2))</f>
        <v/>
      </c>
      <c r="H1294">
        <f>IF(AutoClaim_Data!D1294&lt;=$B$2,IF(AutoClaim_Data!E1294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4">
        <f>(F1294-H1294)^2</f>
        <v/>
      </c>
      <c r="J1294">
        <f>--(E1294="Validation")</f>
        <v/>
      </c>
    </row>
    <row r="1295">
      <c r="D1295">
        <f>AutoClaim_Data!A1295</f>
        <v/>
      </c>
      <c r="E1295">
        <f>AutoClaim_Data!B1295</f>
        <v/>
      </c>
      <c r="F1295">
        <f>AutoClaim_Data!C1295</f>
        <v/>
      </c>
      <c r="G1295">
        <f>IF(AutoClaim_Data!D1295&lt;=$B$2,AVERAGEIFS(AutoClaim_Data!C2:C3168,AutoClaim_Data!B2:B3168,"Train",AutoClaim_Data!D2:D3168,"&lt;="&amp;$B$2),AVERAGEIFS(AutoClaim_Data!C2:C3168,AutoClaim_Data!B2:B3168,"Train",AutoClaim_Data!D2:D3168,"&gt;"&amp;$B$2))</f>
        <v/>
      </c>
      <c r="H1295">
        <f>IF(AutoClaim_Data!D1295&lt;=$B$2,IF(AutoClaim_Data!E1295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5">
        <f>(F1295-H1295)^2</f>
        <v/>
      </c>
      <c r="J1295">
        <f>--(E1295="Validation")</f>
        <v/>
      </c>
    </row>
    <row r="1296">
      <c r="D1296">
        <f>AutoClaim_Data!A1296</f>
        <v/>
      </c>
      <c r="E1296">
        <f>AutoClaim_Data!B1296</f>
        <v/>
      </c>
      <c r="F1296">
        <f>AutoClaim_Data!C1296</f>
        <v/>
      </c>
      <c r="G1296">
        <f>IF(AutoClaim_Data!D1296&lt;=$B$2,AVERAGEIFS(AutoClaim_Data!C2:C3168,AutoClaim_Data!B2:B3168,"Train",AutoClaim_Data!D2:D3168,"&lt;="&amp;$B$2),AVERAGEIFS(AutoClaim_Data!C2:C3168,AutoClaim_Data!B2:B3168,"Train",AutoClaim_Data!D2:D3168,"&gt;"&amp;$B$2))</f>
        <v/>
      </c>
      <c r="H1296">
        <f>IF(AutoClaim_Data!D1296&lt;=$B$2,IF(AutoClaim_Data!E1296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6">
        <f>(F1296-H1296)^2</f>
        <v/>
      </c>
      <c r="J1296">
        <f>--(E1296="Validation")</f>
        <v/>
      </c>
    </row>
    <row r="1297">
      <c r="D1297">
        <f>AutoClaim_Data!A1297</f>
        <v/>
      </c>
      <c r="E1297">
        <f>AutoClaim_Data!B1297</f>
        <v/>
      </c>
      <c r="F1297">
        <f>AutoClaim_Data!C1297</f>
        <v/>
      </c>
      <c r="G1297">
        <f>IF(AutoClaim_Data!D1297&lt;=$B$2,AVERAGEIFS(AutoClaim_Data!C2:C3168,AutoClaim_Data!B2:B3168,"Train",AutoClaim_Data!D2:D3168,"&lt;="&amp;$B$2),AVERAGEIFS(AutoClaim_Data!C2:C3168,AutoClaim_Data!B2:B3168,"Train",AutoClaim_Data!D2:D3168,"&gt;"&amp;$B$2))</f>
        <v/>
      </c>
      <c r="H1297">
        <f>IF(AutoClaim_Data!D1297&lt;=$B$2,IF(AutoClaim_Data!E1297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7">
        <f>(F1297-H1297)^2</f>
        <v/>
      </c>
      <c r="J1297">
        <f>--(E1297="Validation")</f>
        <v/>
      </c>
    </row>
    <row r="1298">
      <c r="D1298">
        <f>AutoClaim_Data!A1298</f>
        <v/>
      </c>
      <c r="E1298">
        <f>AutoClaim_Data!B1298</f>
        <v/>
      </c>
      <c r="F1298">
        <f>AutoClaim_Data!C1298</f>
        <v/>
      </c>
      <c r="G1298">
        <f>IF(AutoClaim_Data!D1298&lt;=$B$2,AVERAGEIFS(AutoClaim_Data!C2:C3168,AutoClaim_Data!B2:B3168,"Train",AutoClaim_Data!D2:D3168,"&lt;="&amp;$B$2),AVERAGEIFS(AutoClaim_Data!C2:C3168,AutoClaim_Data!B2:B3168,"Train",AutoClaim_Data!D2:D3168,"&gt;"&amp;$B$2))</f>
        <v/>
      </c>
      <c r="H1298">
        <f>IF(AutoClaim_Data!D1298&lt;=$B$2,IF(AutoClaim_Data!E1298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8">
        <f>(F1298-H1298)^2</f>
        <v/>
      </c>
      <c r="J1298">
        <f>--(E1298="Validation")</f>
        <v/>
      </c>
    </row>
    <row r="1299">
      <c r="D1299">
        <f>AutoClaim_Data!A1299</f>
        <v/>
      </c>
      <c r="E1299">
        <f>AutoClaim_Data!B1299</f>
        <v/>
      </c>
      <c r="F1299">
        <f>AutoClaim_Data!C1299</f>
        <v/>
      </c>
      <c r="G1299">
        <f>IF(AutoClaim_Data!D1299&lt;=$B$2,AVERAGEIFS(AutoClaim_Data!C2:C3168,AutoClaim_Data!B2:B3168,"Train",AutoClaim_Data!D2:D3168,"&lt;="&amp;$B$2),AVERAGEIFS(AutoClaim_Data!C2:C3168,AutoClaim_Data!B2:B3168,"Train",AutoClaim_Data!D2:D3168,"&gt;"&amp;$B$2))</f>
        <v/>
      </c>
      <c r="H1299">
        <f>IF(AutoClaim_Data!D1299&lt;=$B$2,IF(AutoClaim_Data!E1299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1299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299">
        <f>(F1299-H1299)^2</f>
        <v/>
      </c>
      <c r="J1299">
        <f>--(E1299="Validation")</f>
        <v/>
      </c>
    </row>
    <row r="1300">
      <c r="D1300">
        <f>AutoClaim_Data!A1300</f>
        <v/>
      </c>
      <c r="E1300">
        <f>AutoClaim_Data!B1300</f>
        <v/>
      </c>
      <c r="F1300">
        <f>AutoClaim_Data!C1300</f>
        <v/>
      </c>
      <c r="G1300">
        <f>IF(AutoClaim_Data!D1300&lt;=$B$2,AVERAGEIFS(AutoClaim_Data!C2:C3168,AutoClaim_Data!B2:B3168,"Train",AutoClaim_Data!D2:D3168,"&lt;="&amp;$B$2),AVERAGEIFS(AutoClaim_Data!C2:C3168,AutoClaim_Data!B2:B3168,"Train",AutoClaim_Data!D2:D3168,"&gt;"&amp;$B$2))</f>
        <v/>
      </c>
      <c r="H1300">
        <f>IF(AutoClaim_Data!D1300&lt;=$B$2,IF(AutoClaim_Data!E1300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0">
        <f>(F1300-H1300)^2</f>
        <v/>
      </c>
      <c r="J1300">
        <f>--(E1300="Validation")</f>
        <v/>
      </c>
    </row>
    <row r="1301">
      <c r="D1301">
        <f>AutoClaim_Data!A1301</f>
        <v/>
      </c>
      <c r="E1301">
        <f>AutoClaim_Data!B1301</f>
        <v/>
      </c>
      <c r="F1301">
        <f>AutoClaim_Data!C1301</f>
        <v/>
      </c>
      <c r="G1301">
        <f>IF(AutoClaim_Data!D1301&lt;=$B$2,AVERAGEIFS(AutoClaim_Data!C2:C3168,AutoClaim_Data!B2:B3168,"Train",AutoClaim_Data!D2:D3168,"&lt;="&amp;$B$2),AVERAGEIFS(AutoClaim_Data!C2:C3168,AutoClaim_Data!B2:B3168,"Train",AutoClaim_Data!D2:D3168,"&gt;"&amp;$B$2))</f>
        <v/>
      </c>
      <c r="H1301">
        <f>IF(AutoClaim_Data!D1301&lt;=$B$2,IF(AutoClaim_Data!E1301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1">
        <f>(F1301-H1301)^2</f>
        <v/>
      </c>
      <c r="J1301">
        <f>--(E1301="Validation")</f>
        <v/>
      </c>
    </row>
    <row r="1302">
      <c r="D1302">
        <f>AutoClaim_Data!A1302</f>
        <v/>
      </c>
      <c r="E1302">
        <f>AutoClaim_Data!B1302</f>
        <v/>
      </c>
      <c r="F1302">
        <f>AutoClaim_Data!C1302</f>
        <v/>
      </c>
      <c r="G1302">
        <f>IF(AutoClaim_Data!D1302&lt;=$B$2,AVERAGEIFS(AutoClaim_Data!C2:C3168,AutoClaim_Data!B2:B3168,"Train",AutoClaim_Data!D2:D3168,"&lt;="&amp;$B$2),AVERAGEIFS(AutoClaim_Data!C2:C3168,AutoClaim_Data!B2:B3168,"Train",AutoClaim_Data!D2:D3168,"&gt;"&amp;$B$2))</f>
        <v/>
      </c>
      <c r="H1302">
        <f>IF(AutoClaim_Data!D1302&lt;=$B$2,IF(AutoClaim_Data!E1302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2">
        <f>(F1302-H1302)^2</f>
        <v/>
      </c>
      <c r="J1302">
        <f>--(E1302="Validation")</f>
        <v/>
      </c>
    </row>
    <row r="1303">
      <c r="D1303">
        <f>AutoClaim_Data!A1303</f>
        <v/>
      </c>
      <c r="E1303">
        <f>AutoClaim_Data!B1303</f>
        <v/>
      </c>
      <c r="F1303">
        <f>AutoClaim_Data!C1303</f>
        <v/>
      </c>
      <c r="G1303">
        <f>IF(AutoClaim_Data!D1303&lt;=$B$2,AVERAGEIFS(AutoClaim_Data!C2:C3168,AutoClaim_Data!B2:B3168,"Train",AutoClaim_Data!D2:D3168,"&lt;="&amp;$B$2),AVERAGEIFS(AutoClaim_Data!C2:C3168,AutoClaim_Data!B2:B3168,"Train",AutoClaim_Data!D2:D3168,"&gt;"&amp;$B$2))</f>
        <v/>
      </c>
      <c r="H1303">
        <f>IF(AutoClaim_Data!D1303&lt;=$B$2,IF(AutoClaim_Data!E1303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3">
        <f>(F1303-H1303)^2</f>
        <v/>
      </c>
      <c r="J1303">
        <f>--(E1303="Validation")</f>
        <v/>
      </c>
    </row>
    <row r="1304">
      <c r="D1304">
        <f>AutoClaim_Data!A1304</f>
        <v/>
      </c>
      <c r="E1304">
        <f>AutoClaim_Data!B1304</f>
        <v/>
      </c>
      <c r="F1304">
        <f>AutoClaim_Data!C1304</f>
        <v/>
      </c>
      <c r="G1304">
        <f>IF(AutoClaim_Data!D1304&lt;=$B$2,AVERAGEIFS(AutoClaim_Data!C2:C3168,AutoClaim_Data!B2:B3168,"Train",AutoClaim_Data!D2:D3168,"&lt;="&amp;$B$2),AVERAGEIFS(AutoClaim_Data!C2:C3168,AutoClaim_Data!B2:B3168,"Train",AutoClaim_Data!D2:D3168,"&gt;"&amp;$B$2))</f>
        <v/>
      </c>
      <c r="H1304">
        <f>IF(AutoClaim_Data!D1304&lt;=$B$2,IF(AutoClaim_Data!E1304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4">
        <f>(F1304-H1304)^2</f>
        <v/>
      </c>
      <c r="J1304">
        <f>--(E1304="Validation")</f>
        <v/>
      </c>
    </row>
    <row r="1305">
      <c r="D1305">
        <f>AutoClaim_Data!A1305</f>
        <v/>
      </c>
      <c r="E1305">
        <f>AutoClaim_Data!B1305</f>
        <v/>
      </c>
      <c r="F1305">
        <f>AutoClaim_Data!C1305</f>
        <v/>
      </c>
      <c r="G1305">
        <f>IF(AutoClaim_Data!D1305&lt;=$B$2,AVERAGEIFS(AutoClaim_Data!C2:C3168,AutoClaim_Data!B2:B3168,"Train",AutoClaim_Data!D2:D3168,"&lt;="&amp;$B$2),AVERAGEIFS(AutoClaim_Data!C2:C3168,AutoClaim_Data!B2:B3168,"Train",AutoClaim_Data!D2:D3168,"&gt;"&amp;$B$2))</f>
        <v/>
      </c>
      <c r="H1305">
        <f>IF(AutoClaim_Data!D1305&lt;=$B$2,IF(AutoClaim_Data!E1305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5">
        <f>(F1305-H1305)^2</f>
        <v/>
      </c>
      <c r="J1305">
        <f>--(E1305="Validation")</f>
        <v/>
      </c>
    </row>
    <row r="1306">
      <c r="D1306">
        <f>AutoClaim_Data!A1306</f>
        <v/>
      </c>
      <c r="E1306">
        <f>AutoClaim_Data!B1306</f>
        <v/>
      </c>
      <c r="F1306">
        <f>AutoClaim_Data!C1306</f>
        <v/>
      </c>
      <c r="G1306">
        <f>IF(AutoClaim_Data!D1306&lt;=$B$2,AVERAGEIFS(AutoClaim_Data!C2:C3168,AutoClaim_Data!B2:B3168,"Train",AutoClaim_Data!D2:D3168,"&lt;="&amp;$B$2),AVERAGEIFS(AutoClaim_Data!C2:C3168,AutoClaim_Data!B2:B3168,"Train",AutoClaim_Data!D2:D3168,"&gt;"&amp;$B$2))</f>
        <v/>
      </c>
      <c r="H1306">
        <f>IF(AutoClaim_Data!D1306&lt;=$B$2,IF(AutoClaim_Data!E1306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6">
        <f>(F1306-H1306)^2</f>
        <v/>
      </c>
      <c r="J1306">
        <f>--(E1306="Validation")</f>
        <v/>
      </c>
    </row>
    <row r="1307">
      <c r="D1307">
        <f>AutoClaim_Data!A1307</f>
        <v/>
      </c>
      <c r="E1307">
        <f>AutoClaim_Data!B1307</f>
        <v/>
      </c>
      <c r="F1307">
        <f>AutoClaim_Data!C1307</f>
        <v/>
      </c>
      <c r="G1307">
        <f>IF(AutoClaim_Data!D1307&lt;=$B$2,AVERAGEIFS(AutoClaim_Data!C2:C3168,AutoClaim_Data!B2:B3168,"Train",AutoClaim_Data!D2:D3168,"&lt;="&amp;$B$2),AVERAGEIFS(AutoClaim_Data!C2:C3168,AutoClaim_Data!B2:B3168,"Train",AutoClaim_Data!D2:D3168,"&gt;"&amp;$B$2))</f>
        <v/>
      </c>
      <c r="H1307">
        <f>IF(AutoClaim_Data!D1307&lt;=$B$2,IF(AutoClaim_Data!E1307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7">
        <f>(F1307-H1307)^2</f>
        <v/>
      </c>
      <c r="J1307">
        <f>--(E1307="Validation")</f>
        <v/>
      </c>
    </row>
    <row r="1308">
      <c r="D1308">
        <f>AutoClaim_Data!A1308</f>
        <v/>
      </c>
      <c r="E1308">
        <f>AutoClaim_Data!B1308</f>
        <v/>
      </c>
      <c r="F1308">
        <f>AutoClaim_Data!C1308</f>
        <v/>
      </c>
      <c r="G1308">
        <f>IF(AutoClaim_Data!D1308&lt;=$B$2,AVERAGEIFS(AutoClaim_Data!C2:C3168,AutoClaim_Data!B2:B3168,"Train",AutoClaim_Data!D2:D3168,"&lt;="&amp;$B$2),AVERAGEIFS(AutoClaim_Data!C2:C3168,AutoClaim_Data!B2:B3168,"Train",AutoClaim_Data!D2:D3168,"&gt;"&amp;$B$2))</f>
        <v/>
      </c>
      <c r="H1308">
        <f>IF(AutoClaim_Data!D1308&lt;=$B$2,IF(AutoClaim_Data!E1308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8">
        <f>(F1308-H1308)^2</f>
        <v/>
      </c>
      <c r="J1308">
        <f>--(E1308="Validation")</f>
        <v/>
      </c>
    </row>
    <row r="1309">
      <c r="D1309">
        <f>AutoClaim_Data!A1309</f>
        <v/>
      </c>
      <c r="E1309">
        <f>AutoClaim_Data!B1309</f>
        <v/>
      </c>
      <c r="F1309">
        <f>AutoClaim_Data!C1309</f>
        <v/>
      </c>
      <c r="G1309">
        <f>IF(AutoClaim_Data!D1309&lt;=$B$2,AVERAGEIFS(AutoClaim_Data!C2:C3168,AutoClaim_Data!B2:B3168,"Train",AutoClaim_Data!D2:D3168,"&lt;="&amp;$B$2),AVERAGEIFS(AutoClaim_Data!C2:C3168,AutoClaim_Data!B2:B3168,"Train",AutoClaim_Data!D2:D3168,"&gt;"&amp;$B$2))</f>
        <v/>
      </c>
      <c r="H1309">
        <f>IF(AutoClaim_Data!D1309&lt;=$B$2,IF(AutoClaim_Data!E1309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09">
        <f>(F1309-H1309)^2</f>
        <v/>
      </c>
      <c r="J1309">
        <f>--(E1309="Validation")</f>
        <v/>
      </c>
    </row>
    <row r="1310">
      <c r="D1310">
        <f>AutoClaim_Data!A1310</f>
        <v/>
      </c>
      <c r="E1310">
        <f>AutoClaim_Data!B1310</f>
        <v/>
      </c>
      <c r="F1310">
        <f>AutoClaim_Data!C1310</f>
        <v/>
      </c>
      <c r="G1310">
        <f>IF(AutoClaim_Data!D1310&lt;=$B$2,AVERAGEIFS(AutoClaim_Data!C2:C3168,AutoClaim_Data!B2:B3168,"Train",AutoClaim_Data!D2:D3168,"&lt;="&amp;$B$2),AVERAGEIFS(AutoClaim_Data!C2:C3168,AutoClaim_Data!B2:B3168,"Train",AutoClaim_Data!D2:D3168,"&gt;"&amp;$B$2))</f>
        <v/>
      </c>
      <c r="H1310">
        <f>IF(AutoClaim_Data!D1310&lt;=$B$2,IF(AutoClaim_Data!E1310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0">
        <f>(F1310-H1310)^2</f>
        <v/>
      </c>
      <c r="J1310">
        <f>--(E1310="Validation")</f>
        <v/>
      </c>
    </row>
    <row r="1311">
      <c r="D1311">
        <f>AutoClaim_Data!A1311</f>
        <v/>
      </c>
      <c r="E1311">
        <f>AutoClaim_Data!B1311</f>
        <v/>
      </c>
      <c r="F1311">
        <f>AutoClaim_Data!C1311</f>
        <v/>
      </c>
      <c r="G1311">
        <f>IF(AutoClaim_Data!D1311&lt;=$B$2,AVERAGEIFS(AutoClaim_Data!C2:C3168,AutoClaim_Data!B2:B3168,"Train",AutoClaim_Data!D2:D3168,"&lt;="&amp;$B$2),AVERAGEIFS(AutoClaim_Data!C2:C3168,AutoClaim_Data!B2:B3168,"Train",AutoClaim_Data!D2:D3168,"&gt;"&amp;$B$2))</f>
        <v/>
      </c>
      <c r="H1311">
        <f>IF(AutoClaim_Data!D1311&lt;=$B$2,IF(AutoClaim_Data!E1311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1">
        <f>(F1311-H1311)^2</f>
        <v/>
      </c>
      <c r="J1311">
        <f>--(E1311="Validation")</f>
        <v/>
      </c>
    </row>
    <row r="1312">
      <c r="D1312">
        <f>AutoClaim_Data!A1312</f>
        <v/>
      </c>
      <c r="E1312">
        <f>AutoClaim_Data!B1312</f>
        <v/>
      </c>
      <c r="F1312">
        <f>AutoClaim_Data!C1312</f>
        <v/>
      </c>
      <c r="G1312">
        <f>IF(AutoClaim_Data!D1312&lt;=$B$2,AVERAGEIFS(AutoClaim_Data!C2:C3168,AutoClaim_Data!B2:B3168,"Train",AutoClaim_Data!D2:D3168,"&lt;="&amp;$B$2),AVERAGEIFS(AutoClaim_Data!C2:C3168,AutoClaim_Data!B2:B3168,"Train",AutoClaim_Data!D2:D3168,"&gt;"&amp;$B$2))</f>
        <v/>
      </c>
      <c r="H1312">
        <f>IF(AutoClaim_Data!D1312&lt;=$B$2,IF(AutoClaim_Data!E1312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2">
        <f>(F1312-H1312)^2</f>
        <v/>
      </c>
      <c r="J1312">
        <f>--(E1312="Validation")</f>
        <v/>
      </c>
    </row>
    <row r="1313">
      <c r="D1313">
        <f>AutoClaim_Data!A1313</f>
        <v/>
      </c>
      <c r="E1313">
        <f>AutoClaim_Data!B1313</f>
        <v/>
      </c>
      <c r="F1313">
        <f>AutoClaim_Data!C1313</f>
        <v/>
      </c>
      <c r="G1313">
        <f>IF(AutoClaim_Data!D1313&lt;=$B$2,AVERAGEIFS(AutoClaim_Data!C2:C3168,AutoClaim_Data!B2:B3168,"Train",AutoClaim_Data!D2:D3168,"&lt;="&amp;$B$2),AVERAGEIFS(AutoClaim_Data!C2:C3168,AutoClaim_Data!B2:B3168,"Train",AutoClaim_Data!D2:D3168,"&gt;"&amp;$B$2))</f>
        <v/>
      </c>
      <c r="H1313">
        <f>IF(AutoClaim_Data!D1313&lt;=$B$2,IF(AutoClaim_Data!E1313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3">
        <f>(F1313-H1313)^2</f>
        <v/>
      </c>
      <c r="J1313">
        <f>--(E1313="Validation")</f>
        <v/>
      </c>
    </row>
    <row r="1314">
      <c r="D1314">
        <f>AutoClaim_Data!A1314</f>
        <v/>
      </c>
      <c r="E1314">
        <f>AutoClaim_Data!B1314</f>
        <v/>
      </c>
      <c r="F1314">
        <f>AutoClaim_Data!C1314</f>
        <v/>
      </c>
      <c r="G1314">
        <f>IF(AutoClaim_Data!D1314&lt;=$B$2,AVERAGEIFS(AutoClaim_Data!C2:C3168,AutoClaim_Data!B2:B3168,"Train",AutoClaim_Data!D2:D3168,"&lt;="&amp;$B$2),AVERAGEIFS(AutoClaim_Data!C2:C3168,AutoClaim_Data!B2:B3168,"Train",AutoClaim_Data!D2:D3168,"&gt;"&amp;$B$2))</f>
        <v/>
      </c>
      <c r="H1314">
        <f>IF(AutoClaim_Data!D1314&lt;=$B$2,IF(AutoClaim_Data!E1314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4">
        <f>(F1314-H1314)^2</f>
        <v/>
      </c>
      <c r="J1314">
        <f>--(E1314="Validation")</f>
        <v/>
      </c>
    </row>
    <row r="1315">
      <c r="D1315">
        <f>AutoClaim_Data!A1315</f>
        <v/>
      </c>
      <c r="E1315">
        <f>AutoClaim_Data!B1315</f>
        <v/>
      </c>
      <c r="F1315">
        <f>AutoClaim_Data!C1315</f>
        <v/>
      </c>
      <c r="G1315">
        <f>IF(AutoClaim_Data!D1315&lt;=$B$2,AVERAGEIFS(AutoClaim_Data!C2:C3168,AutoClaim_Data!B2:B3168,"Train",AutoClaim_Data!D2:D3168,"&lt;="&amp;$B$2),AVERAGEIFS(AutoClaim_Data!C2:C3168,AutoClaim_Data!B2:B3168,"Train",AutoClaim_Data!D2:D3168,"&gt;"&amp;$B$2))</f>
        <v/>
      </c>
      <c r="H1315">
        <f>IF(AutoClaim_Data!D1315&lt;=$B$2,IF(AutoClaim_Data!E1315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5">
        <f>(F1315-H1315)^2</f>
        <v/>
      </c>
      <c r="J1315">
        <f>--(E1315="Validation")</f>
        <v/>
      </c>
    </row>
    <row r="1316">
      <c r="D1316">
        <f>AutoClaim_Data!A1316</f>
        <v/>
      </c>
      <c r="E1316">
        <f>AutoClaim_Data!B1316</f>
        <v/>
      </c>
      <c r="F1316">
        <f>AutoClaim_Data!C1316</f>
        <v/>
      </c>
      <c r="G1316">
        <f>IF(AutoClaim_Data!D1316&lt;=$B$2,AVERAGEIFS(AutoClaim_Data!C2:C3168,AutoClaim_Data!B2:B3168,"Train",AutoClaim_Data!D2:D3168,"&lt;="&amp;$B$2),AVERAGEIFS(AutoClaim_Data!C2:C3168,AutoClaim_Data!B2:B3168,"Train",AutoClaim_Data!D2:D3168,"&gt;"&amp;$B$2))</f>
        <v/>
      </c>
      <c r="H1316">
        <f>IF(AutoClaim_Data!D1316&lt;=$B$2,IF(AutoClaim_Data!E1316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6">
        <f>(F1316-H1316)^2</f>
        <v/>
      </c>
      <c r="J1316">
        <f>--(E1316="Validation")</f>
        <v/>
      </c>
    </row>
    <row r="1317">
      <c r="D1317">
        <f>AutoClaim_Data!A1317</f>
        <v/>
      </c>
      <c r="E1317">
        <f>AutoClaim_Data!B1317</f>
        <v/>
      </c>
      <c r="F1317">
        <f>AutoClaim_Data!C1317</f>
        <v/>
      </c>
      <c r="G1317">
        <f>IF(AutoClaim_Data!D1317&lt;=$B$2,AVERAGEIFS(AutoClaim_Data!C2:C3168,AutoClaim_Data!B2:B3168,"Train",AutoClaim_Data!D2:D3168,"&lt;="&amp;$B$2),AVERAGEIFS(AutoClaim_Data!C2:C3168,AutoClaim_Data!B2:B3168,"Train",AutoClaim_Data!D2:D3168,"&gt;"&amp;$B$2))</f>
        <v/>
      </c>
      <c r="H1317">
        <f>IF(AutoClaim_Data!D1317&lt;=$B$2,IF(AutoClaim_Data!E1317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7">
        <f>(F1317-H1317)^2</f>
        <v/>
      </c>
      <c r="J1317">
        <f>--(E1317="Validation")</f>
        <v/>
      </c>
    </row>
    <row r="1318">
      <c r="D1318">
        <f>AutoClaim_Data!A1318</f>
        <v/>
      </c>
      <c r="E1318">
        <f>AutoClaim_Data!B1318</f>
        <v/>
      </c>
      <c r="F1318">
        <f>AutoClaim_Data!C1318</f>
        <v/>
      </c>
      <c r="G1318">
        <f>IF(AutoClaim_Data!D1318&lt;=$B$2,AVERAGEIFS(AutoClaim_Data!C2:C3168,AutoClaim_Data!B2:B3168,"Train",AutoClaim_Data!D2:D3168,"&lt;="&amp;$B$2),AVERAGEIFS(AutoClaim_Data!C2:C3168,AutoClaim_Data!B2:B3168,"Train",AutoClaim_Data!D2:D3168,"&gt;"&amp;$B$2))</f>
        <v/>
      </c>
      <c r="H1318">
        <f>IF(AutoClaim_Data!D1318&lt;=$B$2,IF(AutoClaim_Data!E1318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8">
        <f>(F1318-H1318)^2</f>
        <v/>
      </c>
      <c r="J1318">
        <f>--(E1318="Validation")</f>
        <v/>
      </c>
    </row>
    <row r="1319">
      <c r="D1319">
        <f>AutoClaim_Data!A1319</f>
        <v/>
      </c>
      <c r="E1319">
        <f>AutoClaim_Data!B1319</f>
        <v/>
      </c>
      <c r="F1319">
        <f>AutoClaim_Data!C1319</f>
        <v/>
      </c>
      <c r="G1319">
        <f>IF(AutoClaim_Data!D1319&lt;=$B$2,AVERAGEIFS(AutoClaim_Data!C2:C3168,AutoClaim_Data!B2:B3168,"Train",AutoClaim_Data!D2:D3168,"&lt;="&amp;$B$2),AVERAGEIFS(AutoClaim_Data!C2:C3168,AutoClaim_Data!B2:B3168,"Train",AutoClaim_Data!D2:D3168,"&gt;"&amp;$B$2))</f>
        <v/>
      </c>
      <c r="H1319">
        <f>IF(AutoClaim_Data!D1319&lt;=$B$2,IF(AutoClaim_Data!E1319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19">
        <f>(F1319-H1319)^2</f>
        <v/>
      </c>
      <c r="J1319">
        <f>--(E1319="Validation")</f>
        <v/>
      </c>
    </row>
    <row r="1320">
      <c r="D1320">
        <f>AutoClaim_Data!A1320</f>
        <v/>
      </c>
      <c r="E1320">
        <f>AutoClaim_Data!B1320</f>
        <v/>
      </c>
      <c r="F1320">
        <f>AutoClaim_Data!C1320</f>
        <v/>
      </c>
      <c r="G1320">
        <f>IF(AutoClaim_Data!D1320&lt;=$B$2,AVERAGEIFS(AutoClaim_Data!C2:C3168,AutoClaim_Data!B2:B3168,"Train",AutoClaim_Data!D2:D3168,"&lt;="&amp;$B$2),AVERAGEIFS(AutoClaim_Data!C2:C3168,AutoClaim_Data!B2:B3168,"Train",AutoClaim_Data!D2:D3168,"&gt;"&amp;$B$2))</f>
        <v/>
      </c>
      <c r="H1320">
        <f>IF(AutoClaim_Data!D1320&lt;=$B$2,IF(AutoClaim_Data!E1320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0">
        <f>(F1320-H1320)^2</f>
        <v/>
      </c>
      <c r="J1320">
        <f>--(E1320="Validation")</f>
        <v/>
      </c>
    </row>
    <row r="1321">
      <c r="D1321">
        <f>AutoClaim_Data!A1321</f>
        <v/>
      </c>
      <c r="E1321">
        <f>AutoClaim_Data!B1321</f>
        <v/>
      </c>
      <c r="F1321">
        <f>AutoClaim_Data!C1321</f>
        <v/>
      </c>
      <c r="G1321">
        <f>IF(AutoClaim_Data!D1321&lt;=$B$2,AVERAGEIFS(AutoClaim_Data!C2:C3168,AutoClaim_Data!B2:B3168,"Train",AutoClaim_Data!D2:D3168,"&lt;="&amp;$B$2),AVERAGEIFS(AutoClaim_Data!C2:C3168,AutoClaim_Data!B2:B3168,"Train",AutoClaim_Data!D2:D3168,"&gt;"&amp;$B$2))</f>
        <v/>
      </c>
      <c r="H1321">
        <f>IF(AutoClaim_Data!D1321&lt;=$B$2,IF(AutoClaim_Data!E1321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1">
        <f>(F1321-H1321)^2</f>
        <v/>
      </c>
      <c r="J1321">
        <f>--(E1321="Validation")</f>
        <v/>
      </c>
    </row>
    <row r="1322">
      <c r="D1322">
        <f>AutoClaim_Data!A1322</f>
        <v/>
      </c>
      <c r="E1322">
        <f>AutoClaim_Data!B1322</f>
        <v/>
      </c>
      <c r="F1322">
        <f>AutoClaim_Data!C1322</f>
        <v/>
      </c>
      <c r="G1322">
        <f>IF(AutoClaim_Data!D1322&lt;=$B$2,AVERAGEIFS(AutoClaim_Data!C2:C3168,AutoClaim_Data!B2:B3168,"Train",AutoClaim_Data!D2:D3168,"&lt;="&amp;$B$2),AVERAGEIFS(AutoClaim_Data!C2:C3168,AutoClaim_Data!B2:B3168,"Train",AutoClaim_Data!D2:D3168,"&gt;"&amp;$B$2))</f>
        <v/>
      </c>
      <c r="H1322">
        <f>IF(AutoClaim_Data!D1322&lt;=$B$2,IF(AutoClaim_Data!E1322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2">
        <f>(F1322-H1322)^2</f>
        <v/>
      </c>
      <c r="J1322">
        <f>--(E1322="Validation")</f>
        <v/>
      </c>
    </row>
    <row r="1323">
      <c r="D1323">
        <f>AutoClaim_Data!A1323</f>
        <v/>
      </c>
      <c r="E1323">
        <f>AutoClaim_Data!B1323</f>
        <v/>
      </c>
      <c r="F1323">
        <f>AutoClaim_Data!C1323</f>
        <v/>
      </c>
      <c r="G1323">
        <f>IF(AutoClaim_Data!D1323&lt;=$B$2,AVERAGEIFS(AutoClaim_Data!C2:C3168,AutoClaim_Data!B2:B3168,"Train",AutoClaim_Data!D2:D3168,"&lt;="&amp;$B$2),AVERAGEIFS(AutoClaim_Data!C2:C3168,AutoClaim_Data!B2:B3168,"Train",AutoClaim_Data!D2:D3168,"&gt;"&amp;$B$2))</f>
        <v/>
      </c>
      <c r="H1323">
        <f>IF(AutoClaim_Data!D1323&lt;=$B$2,IF(AutoClaim_Data!E1323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3">
        <f>(F1323-H1323)^2</f>
        <v/>
      </c>
      <c r="J1323">
        <f>--(E1323="Validation")</f>
        <v/>
      </c>
    </row>
    <row r="1324">
      <c r="D1324">
        <f>AutoClaim_Data!A1324</f>
        <v/>
      </c>
      <c r="E1324">
        <f>AutoClaim_Data!B1324</f>
        <v/>
      </c>
      <c r="F1324">
        <f>AutoClaim_Data!C1324</f>
        <v/>
      </c>
      <c r="G1324">
        <f>IF(AutoClaim_Data!D1324&lt;=$B$2,AVERAGEIFS(AutoClaim_Data!C2:C3168,AutoClaim_Data!B2:B3168,"Train",AutoClaim_Data!D2:D3168,"&lt;="&amp;$B$2),AVERAGEIFS(AutoClaim_Data!C2:C3168,AutoClaim_Data!B2:B3168,"Train",AutoClaim_Data!D2:D3168,"&gt;"&amp;$B$2))</f>
        <v/>
      </c>
      <c r="H1324">
        <f>IF(AutoClaim_Data!D1324&lt;=$B$2,IF(AutoClaim_Data!E1324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4">
        <f>(F1324-H1324)^2</f>
        <v/>
      </c>
      <c r="J1324">
        <f>--(E1324="Validation")</f>
        <v/>
      </c>
    </row>
    <row r="1325">
      <c r="D1325">
        <f>AutoClaim_Data!A1325</f>
        <v/>
      </c>
      <c r="E1325">
        <f>AutoClaim_Data!B1325</f>
        <v/>
      </c>
      <c r="F1325">
        <f>AutoClaim_Data!C1325</f>
        <v/>
      </c>
      <c r="G1325">
        <f>IF(AutoClaim_Data!D1325&lt;=$B$2,AVERAGEIFS(AutoClaim_Data!C2:C3168,AutoClaim_Data!B2:B3168,"Train",AutoClaim_Data!D2:D3168,"&lt;="&amp;$B$2),AVERAGEIFS(AutoClaim_Data!C2:C3168,AutoClaim_Data!B2:B3168,"Train",AutoClaim_Data!D2:D3168,"&gt;"&amp;$B$2))</f>
        <v/>
      </c>
      <c r="H1325">
        <f>IF(AutoClaim_Data!D1325&lt;=$B$2,IF(AutoClaim_Data!E1325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5">
        <f>(F1325-H1325)^2</f>
        <v/>
      </c>
      <c r="J1325">
        <f>--(E1325="Validation")</f>
        <v/>
      </c>
    </row>
    <row r="1326">
      <c r="D1326">
        <f>AutoClaim_Data!A1326</f>
        <v/>
      </c>
      <c r="E1326">
        <f>AutoClaim_Data!B1326</f>
        <v/>
      </c>
      <c r="F1326">
        <f>AutoClaim_Data!C1326</f>
        <v/>
      </c>
      <c r="G1326">
        <f>IF(AutoClaim_Data!D1326&lt;=$B$2,AVERAGEIFS(AutoClaim_Data!C2:C3168,AutoClaim_Data!B2:B3168,"Train",AutoClaim_Data!D2:D3168,"&lt;="&amp;$B$2),AVERAGEIFS(AutoClaim_Data!C2:C3168,AutoClaim_Data!B2:B3168,"Train",AutoClaim_Data!D2:D3168,"&gt;"&amp;$B$2))</f>
        <v/>
      </c>
      <c r="H1326">
        <f>IF(AutoClaim_Data!D1326&lt;=$B$2,IF(AutoClaim_Data!E1326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6">
        <f>(F1326-H1326)^2</f>
        <v/>
      </c>
      <c r="J1326">
        <f>--(E1326="Validation")</f>
        <v/>
      </c>
    </row>
    <row r="1327">
      <c r="D1327">
        <f>AutoClaim_Data!A1327</f>
        <v/>
      </c>
      <c r="E1327">
        <f>AutoClaim_Data!B1327</f>
        <v/>
      </c>
      <c r="F1327">
        <f>AutoClaim_Data!C1327</f>
        <v/>
      </c>
      <c r="G1327">
        <f>IF(AutoClaim_Data!D1327&lt;=$B$2,AVERAGEIFS(AutoClaim_Data!C2:C3168,AutoClaim_Data!B2:B3168,"Train",AutoClaim_Data!D2:D3168,"&lt;="&amp;$B$2),AVERAGEIFS(AutoClaim_Data!C2:C3168,AutoClaim_Data!B2:B3168,"Train",AutoClaim_Data!D2:D3168,"&gt;"&amp;$B$2))</f>
        <v/>
      </c>
      <c r="H1327">
        <f>IF(AutoClaim_Data!D1327&lt;=$B$2,IF(AutoClaim_Data!E1327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7">
        <f>(F1327-H1327)^2</f>
        <v/>
      </c>
      <c r="J1327">
        <f>--(E1327="Validation")</f>
        <v/>
      </c>
    </row>
    <row r="1328">
      <c r="D1328">
        <f>AutoClaim_Data!A1328</f>
        <v/>
      </c>
      <c r="E1328">
        <f>AutoClaim_Data!B1328</f>
        <v/>
      </c>
      <c r="F1328">
        <f>AutoClaim_Data!C1328</f>
        <v/>
      </c>
      <c r="G1328">
        <f>IF(AutoClaim_Data!D1328&lt;=$B$2,AVERAGEIFS(AutoClaim_Data!C2:C3168,AutoClaim_Data!B2:B3168,"Train",AutoClaim_Data!D2:D3168,"&lt;="&amp;$B$2),AVERAGEIFS(AutoClaim_Data!C2:C3168,AutoClaim_Data!B2:B3168,"Train",AutoClaim_Data!D2:D3168,"&gt;"&amp;$B$2))</f>
        <v/>
      </c>
      <c r="H1328">
        <f>IF(AutoClaim_Data!D1328&lt;=$B$2,IF(AutoClaim_Data!E1328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8">
        <f>(F1328-H1328)^2</f>
        <v/>
      </c>
      <c r="J1328">
        <f>--(E1328="Validation")</f>
        <v/>
      </c>
    </row>
    <row r="1329">
      <c r="D1329">
        <f>AutoClaim_Data!A1329</f>
        <v/>
      </c>
      <c r="E1329">
        <f>AutoClaim_Data!B1329</f>
        <v/>
      </c>
      <c r="F1329">
        <f>AutoClaim_Data!C1329</f>
        <v/>
      </c>
      <c r="G1329">
        <f>IF(AutoClaim_Data!D1329&lt;=$B$2,AVERAGEIFS(AutoClaim_Data!C2:C3168,AutoClaim_Data!B2:B3168,"Train",AutoClaim_Data!D2:D3168,"&lt;="&amp;$B$2),AVERAGEIFS(AutoClaim_Data!C2:C3168,AutoClaim_Data!B2:B3168,"Train",AutoClaim_Data!D2:D3168,"&gt;"&amp;$B$2))</f>
        <v/>
      </c>
      <c r="H1329">
        <f>IF(AutoClaim_Data!D1329&lt;=$B$2,IF(AutoClaim_Data!E1329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29">
        <f>(F1329-H1329)^2</f>
        <v/>
      </c>
      <c r="J1329">
        <f>--(E1329="Validation")</f>
        <v/>
      </c>
    </row>
    <row r="1330">
      <c r="D1330">
        <f>AutoClaim_Data!A1330</f>
        <v/>
      </c>
      <c r="E1330">
        <f>AutoClaim_Data!B1330</f>
        <v/>
      </c>
      <c r="F1330">
        <f>AutoClaim_Data!C1330</f>
        <v/>
      </c>
      <c r="G1330">
        <f>IF(AutoClaim_Data!D1330&lt;=$B$2,AVERAGEIFS(AutoClaim_Data!C2:C3168,AutoClaim_Data!B2:B3168,"Train",AutoClaim_Data!D2:D3168,"&lt;="&amp;$B$2),AVERAGEIFS(AutoClaim_Data!C2:C3168,AutoClaim_Data!B2:B3168,"Train",AutoClaim_Data!D2:D3168,"&gt;"&amp;$B$2))</f>
        <v/>
      </c>
      <c r="H1330">
        <f>IF(AutoClaim_Data!D1330&lt;=$B$2,IF(AutoClaim_Data!E1330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0">
        <f>(F1330-H1330)^2</f>
        <v/>
      </c>
      <c r="J1330">
        <f>--(E1330="Validation")</f>
        <v/>
      </c>
    </row>
    <row r="1331">
      <c r="D1331">
        <f>AutoClaim_Data!A1331</f>
        <v/>
      </c>
      <c r="E1331">
        <f>AutoClaim_Data!B1331</f>
        <v/>
      </c>
      <c r="F1331">
        <f>AutoClaim_Data!C1331</f>
        <v/>
      </c>
      <c r="G1331">
        <f>IF(AutoClaim_Data!D1331&lt;=$B$2,AVERAGEIFS(AutoClaim_Data!C2:C3168,AutoClaim_Data!B2:B3168,"Train",AutoClaim_Data!D2:D3168,"&lt;="&amp;$B$2),AVERAGEIFS(AutoClaim_Data!C2:C3168,AutoClaim_Data!B2:B3168,"Train",AutoClaim_Data!D2:D3168,"&gt;"&amp;$B$2))</f>
        <v/>
      </c>
      <c r="H1331">
        <f>IF(AutoClaim_Data!D1331&lt;=$B$2,IF(AutoClaim_Data!E1331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1">
        <f>(F1331-H1331)^2</f>
        <v/>
      </c>
      <c r="J1331">
        <f>--(E1331="Validation")</f>
        <v/>
      </c>
    </row>
    <row r="1332">
      <c r="D1332">
        <f>AutoClaim_Data!A1332</f>
        <v/>
      </c>
      <c r="E1332">
        <f>AutoClaim_Data!B1332</f>
        <v/>
      </c>
      <c r="F1332">
        <f>AutoClaim_Data!C1332</f>
        <v/>
      </c>
      <c r="G1332">
        <f>IF(AutoClaim_Data!D1332&lt;=$B$2,AVERAGEIFS(AutoClaim_Data!C2:C3168,AutoClaim_Data!B2:B3168,"Train",AutoClaim_Data!D2:D3168,"&lt;="&amp;$B$2),AVERAGEIFS(AutoClaim_Data!C2:C3168,AutoClaim_Data!B2:B3168,"Train",AutoClaim_Data!D2:D3168,"&gt;"&amp;$B$2))</f>
        <v/>
      </c>
      <c r="H1332">
        <f>IF(AutoClaim_Data!D1332&lt;=$B$2,IF(AutoClaim_Data!E1332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2">
        <f>(F1332-H1332)^2</f>
        <v/>
      </c>
      <c r="J1332">
        <f>--(E1332="Validation")</f>
        <v/>
      </c>
    </row>
    <row r="1333">
      <c r="D1333">
        <f>AutoClaim_Data!A1333</f>
        <v/>
      </c>
      <c r="E1333">
        <f>AutoClaim_Data!B1333</f>
        <v/>
      </c>
      <c r="F1333">
        <f>AutoClaim_Data!C1333</f>
        <v/>
      </c>
      <c r="G1333">
        <f>IF(AutoClaim_Data!D1333&lt;=$B$2,AVERAGEIFS(AutoClaim_Data!C2:C3168,AutoClaim_Data!B2:B3168,"Train",AutoClaim_Data!D2:D3168,"&lt;="&amp;$B$2),AVERAGEIFS(AutoClaim_Data!C2:C3168,AutoClaim_Data!B2:B3168,"Train",AutoClaim_Data!D2:D3168,"&gt;"&amp;$B$2))</f>
        <v/>
      </c>
      <c r="H1333">
        <f>IF(AutoClaim_Data!D1333&lt;=$B$2,IF(AutoClaim_Data!E1333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3">
        <f>(F1333-H1333)^2</f>
        <v/>
      </c>
      <c r="J1333">
        <f>--(E1333="Validation")</f>
        <v/>
      </c>
    </row>
    <row r="1334">
      <c r="D1334">
        <f>AutoClaim_Data!A1334</f>
        <v/>
      </c>
      <c r="E1334">
        <f>AutoClaim_Data!B1334</f>
        <v/>
      </c>
      <c r="F1334">
        <f>AutoClaim_Data!C1334</f>
        <v/>
      </c>
      <c r="G1334">
        <f>IF(AutoClaim_Data!D1334&lt;=$B$2,AVERAGEIFS(AutoClaim_Data!C2:C3168,AutoClaim_Data!B2:B3168,"Train",AutoClaim_Data!D2:D3168,"&lt;="&amp;$B$2),AVERAGEIFS(AutoClaim_Data!C2:C3168,AutoClaim_Data!B2:B3168,"Train",AutoClaim_Data!D2:D3168,"&gt;"&amp;$B$2))</f>
        <v/>
      </c>
      <c r="H1334">
        <f>IF(AutoClaim_Data!D1334&lt;=$B$2,IF(AutoClaim_Data!E1334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4">
        <f>(F1334-H1334)^2</f>
        <v/>
      </c>
      <c r="J1334">
        <f>--(E1334="Validation")</f>
        <v/>
      </c>
    </row>
    <row r="1335">
      <c r="D1335">
        <f>AutoClaim_Data!A1335</f>
        <v/>
      </c>
      <c r="E1335">
        <f>AutoClaim_Data!B1335</f>
        <v/>
      </c>
      <c r="F1335">
        <f>AutoClaim_Data!C1335</f>
        <v/>
      </c>
      <c r="G1335">
        <f>IF(AutoClaim_Data!D1335&lt;=$B$2,AVERAGEIFS(AutoClaim_Data!C2:C3168,AutoClaim_Data!B2:B3168,"Train",AutoClaim_Data!D2:D3168,"&lt;="&amp;$B$2),AVERAGEIFS(AutoClaim_Data!C2:C3168,AutoClaim_Data!B2:B3168,"Train",AutoClaim_Data!D2:D3168,"&gt;"&amp;$B$2))</f>
        <v/>
      </c>
      <c r="H1335">
        <f>IF(AutoClaim_Data!D1335&lt;=$B$2,IF(AutoClaim_Data!E1335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5">
        <f>(F1335-H1335)^2</f>
        <v/>
      </c>
      <c r="J1335">
        <f>--(E1335="Validation")</f>
        <v/>
      </c>
    </row>
    <row r="1336">
      <c r="D1336">
        <f>AutoClaim_Data!A1336</f>
        <v/>
      </c>
      <c r="E1336">
        <f>AutoClaim_Data!B1336</f>
        <v/>
      </c>
      <c r="F1336">
        <f>AutoClaim_Data!C1336</f>
        <v/>
      </c>
      <c r="G1336">
        <f>IF(AutoClaim_Data!D1336&lt;=$B$2,AVERAGEIFS(AutoClaim_Data!C2:C3168,AutoClaim_Data!B2:B3168,"Train",AutoClaim_Data!D2:D3168,"&lt;="&amp;$B$2),AVERAGEIFS(AutoClaim_Data!C2:C3168,AutoClaim_Data!B2:B3168,"Train",AutoClaim_Data!D2:D3168,"&gt;"&amp;$B$2))</f>
        <v/>
      </c>
      <c r="H1336">
        <f>IF(AutoClaim_Data!D1336&lt;=$B$2,IF(AutoClaim_Data!E1336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6">
        <f>(F1336-H1336)^2</f>
        <v/>
      </c>
      <c r="J1336">
        <f>--(E1336="Validation")</f>
        <v/>
      </c>
    </row>
    <row r="1337">
      <c r="D1337">
        <f>AutoClaim_Data!A1337</f>
        <v/>
      </c>
      <c r="E1337">
        <f>AutoClaim_Data!B1337</f>
        <v/>
      </c>
      <c r="F1337">
        <f>AutoClaim_Data!C1337</f>
        <v/>
      </c>
      <c r="G1337">
        <f>IF(AutoClaim_Data!D1337&lt;=$B$2,AVERAGEIFS(AutoClaim_Data!C2:C3168,AutoClaim_Data!B2:B3168,"Train",AutoClaim_Data!D2:D3168,"&lt;="&amp;$B$2),AVERAGEIFS(AutoClaim_Data!C2:C3168,AutoClaim_Data!B2:B3168,"Train",AutoClaim_Data!D2:D3168,"&gt;"&amp;$B$2))</f>
        <v/>
      </c>
      <c r="H1337">
        <f>IF(AutoClaim_Data!D1337&lt;=$B$2,IF(AutoClaim_Data!E1337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7">
        <f>(F1337-H1337)^2</f>
        <v/>
      </c>
      <c r="J1337">
        <f>--(E1337="Validation")</f>
        <v/>
      </c>
    </row>
    <row r="1338">
      <c r="D1338">
        <f>AutoClaim_Data!A1338</f>
        <v/>
      </c>
      <c r="E1338">
        <f>AutoClaim_Data!B1338</f>
        <v/>
      </c>
      <c r="F1338">
        <f>AutoClaim_Data!C1338</f>
        <v/>
      </c>
      <c r="G1338">
        <f>IF(AutoClaim_Data!D1338&lt;=$B$2,AVERAGEIFS(AutoClaim_Data!C2:C3168,AutoClaim_Data!B2:B3168,"Train",AutoClaim_Data!D2:D3168,"&lt;="&amp;$B$2),AVERAGEIFS(AutoClaim_Data!C2:C3168,AutoClaim_Data!B2:B3168,"Train",AutoClaim_Data!D2:D3168,"&gt;"&amp;$B$2))</f>
        <v/>
      </c>
      <c r="H1338">
        <f>IF(AutoClaim_Data!D1338&lt;=$B$2,IF(AutoClaim_Data!E1338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8">
        <f>(F1338-H1338)^2</f>
        <v/>
      </c>
      <c r="J1338">
        <f>--(E1338="Validation")</f>
        <v/>
      </c>
    </row>
    <row r="1339">
      <c r="D1339">
        <f>AutoClaim_Data!A1339</f>
        <v/>
      </c>
      <c r="E1339">
        <f>AutoClaim_Data!B1339</f>
        <v/>
      </c>
      <c r="F1339">
        <f>AutoClaim_Data!C1339</f>
        <v/>
      </c>
      <c r="G1339">
        <f>IF(AutoClaim_Data!D1339&lt;=$B$2,AVERAGEIFS(AutoClaim_Data!C2:C3168,AutoClaim_Data!B2:B3168,"Train",AutoClaim_Data!D2:D3168,"&lt;="&amp;$B$2),AVERAGEIFS(AutoClaim_Data!C2:C3168,AutoClaim_Data!B2:B3168,"Train",AutoClaim_Data!D2:D3168,"&gt;"&amp;$B$2))</f>
        <v/>
      </c>
      <c r="H1339">
        <f>IF(AutoClaim_Data!D1339&lt;=$B$2,IF(AutoClaim_Data!E1339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39">
        <f>(F1339-H1339)^2</f>
        <v/>
      </c>
      <c r="J1339">
        <f>--(E1339="Validation")</f>
        <v/>
      </c>
    </row>
    <row r="1340">
      <c r="D1340">
        <f>AutoClaim_Data!A1340</f>
        <v/>
      </c>
      <c r="E1340">
        <f>AutoClaim_Data!B1340</f>
        <v/>
      </c>
      <c r="F1340">
        <f>AutoClaim_Data!C1340</f>
        <v/>
      </c>
      <c r="G1340">
        <f>IF(AutoClaim_Data!D1340&lt;=$B$2,AVERAGEIFS(AutoClaim_Data!C2:C3168,AutoClaim_Data!B2:B3168,"Train",AutoClaim_Data!D2:D3168,"&lt;="&amp;$B$2),AVERAGEIFS(AutoClaim_Data!C2:C3168,AutoClaim_Data!B2:B3168,"Train",AutoClaim_Data!D2:D3168,"&gt;"&amp;$B$2))</f>
        <v/>
      </c>
      <c r="H1340">
        <f>IF(AutoClaim_Data!D1340&lt;=$B$2,IF(AutoClaim_Data!E1340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0">
        <f>(F1340-H1340)^2</f>
        <v/>
      </c>
      <c r="J1340">
        <f>--(E1340="Validation")</f>
        <v/>
      </c>
    </row>
    <row r="1341">
      <c r="D1341">
        <f>AutoClaim_Data!A1341</f>
        <v/>
      </c>
      <c r="E1341">
        <f>AutoClaim_Data!B1341</f>
        <v/>
      </c>
      <c r="F1341">
        <f>AutoClaim_Data!C1341</f>
        <v/>
      </c>
      <c r="G1341">
        <f>IF(AutoClaim_Data!D1341&lt;=$B$2,AVERAGEIFS(AutoClaim_Data!C2:C3168,AutoClaim_Data!B2:B3168,"Train",AutoClaim_Data!D2:D3168,"&lt;="&amp;$B$2),AVERAGEIFS(AutoClaim_Data!C2:C3168,AutoClaim_Data!B2:B3168,"Train",AutoClaim_Data!D2:D3168,"&gt;"&amp;$B$2))</f>
        <v/>
      </c>
      <c r="H1341">
        <f>IF(AutoClaim_Data!D1341&lt;=$B$2,IF(AutoClaim_Data!E1341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1">
        <f>(F1341-H1341)^2</f>
        <v/>
      </c>
      <c r="J1341">
        <f>--(E1341="Validation")</f>
        <v/>
      </c>
    </row>
    <row r="1342">
      <c r="D1342">
        <f>AutoClaim_Data!A1342</f>
        <v/>
      </c>
      <c r="E1342">
        <f>AutoClaim_Data!B1342</f>
        <v/>
      </c>
      <c r="F1342">
        <f>AutoClaim_Data!C1342</f>
        <v/>
      </c>
      <c r="G1342">
        <f>IF(AutoClaim_Data!D1342&lt;=$B$2,AVERAGEIFS(AutoClaim_Data!C2:C3168,AutoClaim_Data!B2:B3168,"Train",AutoClaim_Data!D2:D3168,"&lt;="&amp;$B$2),AVERAGEIFS(AutoClaim_Data!C2:C3168,AutoClaim_Data!B2:B3168,"Train",AutoClaim_Data!D2:D3168,"&gt;"&amp;$B$2))</f>
        <v/>
      </c>
      <c r="H1342">
        <f>IF(AutoClaim_Data!D1342&lt;=$B$2,IF(AutoClaim_Data!E1342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2">
        <f>(F1342-H1342)^2</f>
        <v/>
      </c>
      <c r="J1342">
        <f>--(E1342="Validation")</f>
        <v/>
      </c>
    </row>
    <row r="1343">
      <c r="D1343">
        <f>AutoClaim_Data!A1343</f>
        <v/>
      </c>
      <c r="E1343">
        <f>AutoClaim_Data!B1343</f>
        <v/>
      </c>
      <c r="F1343">
        <f>AutoClaim_Data!C1343</f>
        <v/>
      </c>
      <c r="G1343">
        <f>IF(AutoClaim_Data!D1343&lt;=$B$2,AVERAGEIFS(AutoClaim_Data!C2:C3168,AutoClaim_Data!B2:B3168,"Train",AutoClaim_Data!D2:D3168,"&lt;="&amp;$B$2),AVERAGEIFS(AutoClaim_Data!C2:C3168,AutoClaim_Data!B2:B3168,"Train",AutoClaim_Data!D2:D3168,"&gt;"&amp;$B$2))</f>
        <v/>
      </c>
      <c r="H1343">
        <f>IF(AutoClaim_Data!D1343&lt;=$B$2,IF(AutoClaim_Data!E1343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3">
        <f>(F1343-H1343)^2</f>
        <v/>
      </c>
      <c r="J1343">
        <f>--(E1343="Validation")</f>
        <v/>
      </c>
    </row>
    <row r="1344">
      <c r="D1344">
        <f>AutoClaim_Data!A1344</f>
        <v/>
      </c>
      <c r="E1344">
        <f>AutoClaim_Data!B1344</f>
        <v/>
      </c>
      <c r="F1344">
        <f>AutoClaim_Data!C1344</f>
        <v/>
      </c>
      <c r="G1344">
        <f>IF(AutoClaim_Data!D1344&lt;=$B$2,AVERAGEIFS(AutoClaim_Data!C2:C3168,AutoClaim_Data!B2:B3168,"Train",AutoClaim_Data!D2:D3168,"&lt;="&amp;$B$2),AVERAGEIFS(AutoClaim_Data!C2:C3168,AutoClaim_Data!B2:B3168,"Train",AutoClaim_Data!D2:D3168,"&gt;"&amp;$B$2))</f>
        <v/>
      </c>
      <c r="H1344">
        <f>IF(AutoClaim_Data!D1344&lt;=$B$2,IF(AutoClaim_Data!E1344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4">
        <f>(F1344-H1344)^2</f>
        <v/>
      </c>
      <c r="J1344">
        <f>--(E1344="Validation")</f>
        <v/>
      </c>
    </row>
    <row r="1345">
      <c r="D1345">
        <f>AutoClaim_Data!A1345</f>
        <v/>
      </c>
      <c r="E1345">
        <f>AutoClaim_Data!B1345</f>
        <v/>
      </c>
      <c r="F1345">
        <f>AutoClaim_Data!C1345</f>
        <v/>
      </c>
      <c r="G1345">
        <f>IF(AutoClaim_Data!D1345&lt;=$B$2,AVERAGEIFS(AutoClaim_Data!C2:C3168,AutoClaim_Data!B2:B3168,"Train",AutoClaim_Data!D2:D3168,"&lt;="&amp;$B$2),AVERAGEIFS(AutoClaim_Data!C2:C3168,AutoClaim_Data!B2:B3168,"Train",AutoClaim_Data!D2:D3168,"&gt;"&amp;$B$2))</f>
        <v/>
      </c>
      <c r="H1345">
        <f>IF(AutoClaim_Data!D1345&lt;=$B$2,IF(AutoClaim_Data!E1345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5">
        <f>(F1345-H1345)^2</f>
        <v/>
      </c>
      <c r="J1345">
        <f>--(E1345="Validation")</f>
        <v/>
      </c>
    </row>
    <row r="1346">
      <c r="D1346">
        <f>AutoClaim_Data!A1346</f>
        <v/>
      </c>
      <c r="E1346">
        <f>AutoClaim_Data!B1346</f>
        <v/>
      </c>
      <c r="F1346">
        <f>AutoClaim_Data!C1346</f>
        <v/>
      </c>
      <c r="G1346">
        <f>IF(AutoClaim_Data!D1346&lt;=$B$2,AVERAGEIFS(AutoClaim_Data!C2:C3168,AutoClaim_Data!B2:B3168,"Train",AutoClaim_Data!D2:D3168,"&lt;="&amp;$B$2),AVERAGEIFS(AutoClaim_Data!C2:C3168,AutoClaim_Data!B2:B3168,"Train",AutoClaim_Data!D2:D3168,"&gt;"&amp;$B$2))</f>
        <v/>
      </c>
      <c r="H1346">
        <f>IF(AutoClaim_Data!D1346&lt;=$B$2,IF(AutoClaim_Data!E1346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6">
        <f>(F1346-H1346)^2</f>
        <v/>
      </c>
      <c r="J1346">
        <f>--(E1346="Validation")</f>
        <v/>
      </c>
    </row>
    <row r="1347">
      <c r="D1347">
        <f>AutoClaim_Data!A1347</f>
        <v/>
      </c>
      <c r="E1347">
        <f>AutoClaim_Data!B1347</f>
        <v/>
      </c>
      <c r="F1347">
        <f>AutoClaim_Data!C1347</f>
        <v/>
      </c>
      <c r="G1347">
        <f>IF(AutoClaim_Data!D1347&lt;=$B$2,AVERAGEIFS(AutoClaim_Data!C2:C3168,AutoClaim_Data!B2:B3168,"Train",AutoClaim_Data!D2:D3168,"&lt;="&amp;$B$2),AVERAGEIFS(AutoClaim_Data!C2:C3168,AutoClaim_Data!B2:B3168,"Train",AutoClaim_Data!D2:D3168,"&gt;"&amp;$B$2))</f>
        <v/>
      </c>
      <c r="H1347">
        <f>IF(AutoClaim_Data!D1347&lt;=$B$2,IF(AutoClaim_Data!E1347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7">
        <f>(F1347-H1347)^2</f>
        <v/>
      </c>
      <c r="J1347">
        <f>--(E1347="Validation")</f>
        <v/>
      </c>
    </row>
    <row r="1348">
      <c r="D1348">
        <f>AutoClaim_Data!A1348</f>
        <v/>
      </c>
      <c r="E1348">
        <f>AutoClaim_Data!B1348</f>
        <v/>
      </c>
      <c r="F1348">
        <f>AutoClaim_Data!C1348</f>
        <v/>
      </c>
      <c r="G1348">
        <f>IF(AutoClaim_Data!D1348&lt;=$B$2,AVERAGEIFS(AutoClaim_Data!C2:C3168,AutoClaim_Data!B2:B3168,"Train",AutoClaim_Data!D2:D3168,"&lt;="&amp;$B$2),AVERAGEIFS(AutoClaim_Data!C2:C3168,AutoClaim_Data!B2:B3168,"Train",AutoClaim_Data!D2:D3168,"&gt;"&amp;$B$2))</f>
        <v/>
      </c>
      <c r="H1348">
        <f>IF(AutoClaim_Data!D1348&lt;=$B$2,IF(AutoClaim_Data!E1348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8">
        <f>(F1348-H1348)^2</f>
        <v/>
      </c>
      <c r="J1348">
        <f>--(E1348="Validation")</f>
        <v/>
      </c>
    </row>
    <row r="1349">
      <c r="D1349">
        <f>AutoClaim_Data!A1349</f>
        <v/>
      </c>
      <c r="E1349">
        <f>AutoClaim_Data!B1349</f>
        <v/>
      </c>
      <c r="F1349">
        <f>AutoClaim_Data!C1349</f>
        <v/>
      </c>
      <c r="G1349">
        <f>IF(AutoClaim_Data!D1349&lt;=$B$2,AVERAGEIFS(AutoClaim_Data!C2:C3168,AutoClaim_Data!B2:B3168,"Train",AutoClaim_Data!D2:D3168,"&lt;="&amp;$B$2),AVERAGEIFS(AutoClaim_Data!C2:C3168,AutoClaim_Data!B2:B3168,"Train",AutoClaim_Data!D2:D3168,"&gt;"&amp;$B$2))</f>
        <v/>
      </c>
      <c r="H1349">
        <f>IF(AutoClaim_Data!D1349&lt;=$B$2,IF(AutoClaim_Data!E1349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49">
        <f>(F1349-H1349)^2</f>
        <v/>
      </c>
      <c r="J1349">
        <f>--(E1349="Validation")</f>
        <v/>
      </c>
    </row>
    <row r="1350">
      <c r="D1350">
        <f>AutoClaim_Data!A1350</f>
        <v/>
      </c>
      <c r="E1350">
        <f>AutoClaim_Data!B1350</f>
        <v/>
      </c>
      <c r="F1350">
        <f>AutoClaim_Data!C1350</f>
        <v/>
      </c>
      <c r="G1350">
        <f>IF(AutoClaim_Data!D1350&lt;=$B$2,AVERAGEIFS(AutoClaim_Data!C2:C3168,AutoClaim_Data!B2:B3168,"Train",AutoClaim_Data!D2:D3168,"&lt;="&amp;$B$2),AVERAGEIFS(AutoClaim_Data!C2:C3168,AutoClaim_Data!B2:B3168,"Train",AutoClaim_Data!D2:D3168,"&gt;"&amp;$B$2))</f>
        <v/>
      </c>
      <c r="H1350">
        <f>IF(AutoClaim_Data!D1350&lt;=$B$2,IF(AutoClaim_Data!E1350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0">
        <f>(F1350-H1350)^2</f>
        <v/>
      </c>
      <c r="J1350">
        <f>--(E1350="Validation")</f>
        <v/>
      </c>
    </row>
    <row r="1351">
      <c r="D1351">
        <f>AutoClaim_Data!A1351</f>
        <v/>
      </c>
      <c r="E1351">
        <f>AutoClaim_Data!B1351</f>
        <v/>
      </c>
      <c r="F1351">
        <f>AutoClaim_Data!C1351</f>
        <v/>
      </c>
      <c r="G1351">
        <f>IF(AutoClaim_Data!D1351&lt;=$B$2,AVERAGEIFS(AutoClaim_Data!C2:C3168,AutoClaim_Data!B2:B3168,"Train",AutoClaim_Data!D2:D3168,"&lt;="&amp;$B$2),AVERAGEIFS(AutoClaim_Data!C2:C3168,AutoClaim_Data!B2:B3168,"Train",AutoClaim_Data!D2:D3168,"&gt;"&amp;$B$2))</f>
        <v/>
      </c>
      <c r="H1351">
        <f>IF(AutoClaim_Data!D1351&lt;=$B$2,IF(AutoClaim_Data!E1351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1">
        <f>(F1351-H1351)^2</f>
        <v/>
      </c>
      <c r="J1351">
        <f>--(E1351="Validation")</f>
        <v/>
      </c>
    </row>
    <row r="1352">
      <c r="D1352">
        <f>AutoClaim_Data!A1352</f>
        <v/>
      </c>
      <c r="E1352">
        <f>AutoClaim_Data!B1352</f>
        <v/>
      </c>
      <c r="F1352">
        <f>AutoClaim_Data!C1352</f>
        <v/>
      </c>
      <c r="G1352">
        <f>IF(AutoClaim_Data!D1352&lt;=$B$2,AVERAGEIFS(AutoClaim_Data!C2:C3168,AutoClaim_Data!B2:B3168,"Train",AutoClaim_Data!D2:D3168,"&lt;="&amp;$B$2),AVERAGEIFS(AutoClaim_Data!C2:C3168,AutoClaim_Data!B2:B3168,"Train",AutoClaim_Data!D2:D3168,"&gt;"&amp;$B$2))</f>
        <v/>
      </c>
      <c r="H1352">
        <f>IF(AutoClaim_Data!D1352&lt;=$B$2,IF(AutoClaim_Data!E1352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2">
        <f>(F1352-H1352)^2</f>
        <v/>
      </c>
      <c r="J1352">
        <f>--(E1352="Validation")</f>
        <v/>
      </c>
    </row>
    <row r="1353">
      <c r="D1353">
        <f>AutoClaim_Data!A1353</f>
        <v/>
      </c>
      <c r="E1353">
        <f>AutoClaim_Data!B1353</f>
        <v/>
      </c>
      <c r="F1353">
        <f>AutoClaim_Data!C1353</f>
        <v/>
      </c>
      <c r="G1353">
        <f>IF(AutoClaim_Data!D1353&lt;=$B$2,AVERAGEIFS(AutoClaim_Data!C2:C3168,AutoClaim_Data!B2:B3168,"Train",AutoClaim_Data!D2:D3168,"&lt;="&amp;$B$2),AVERAGEIFS(AutoClaim_Data!C2:C3168,AutoClaim_Data!B2:B3168,"Train",AutoClaim_Data!D2:D3168,"&gt;"&amp;$B$2))</f>
        <v/>
      </c>
      <c r="H1353">
        <f>IF(AutoClaim_Data!D1353&lt;=$B$2,IF(AutoClaim_Data!E1353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3">
        <f>(F1353-H1353)^2</f>
        <v/>
      </c>
      <c r="J1353">
        <f>--(E1353="Validation")</f>
        <v/>
      </c>
    </row>
    <row r="1354">
      <c r="D1354">
        <f>AutoClaim_Data!A1354</f>
        <v/>
      </c>
      <c r="E1354">
        <f>AutoClaim_Data!B1354</f>
        <v/>
      </c>
      <c r="F1354">
        <f>AutoClaim_Data!C1354</f>
        <v/>
      </c>
      <c r="G1354">
        <f>IF(AutoClaim_Data!D1354&lt;=$B$2,AVERAGEIFS(AutoClaim_Data!C2:C3168,AutoClaim_Data!B2:B3168,"Train",AutoClaim_Data!D2:D3168,"&lt;="&amp;$B$2),AVERAGEIFS(AutoClaim_Data!C2:C3168,AutoClaim_Data!B2:B3168,"Train",AutoClaim_Data!D2:D3168,"&gt;"&amp;$B$2))</f>
        <v/>
      </c>
      <c r="H1354">
        <f>IF(AutoClaim_Data!D1354&lt;=$B$2,IF(AutoClaim_Data!E1354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4">
        <f>(F1354-H1354)^2</f>
        <v/>
      </c>
      <c r="J1354">
        <f>--(E1354="Validation")</f>
        <v/>
      </c>
    </row>
    <row r="1355">
      <c r="D1355">
        <f>AutoClaim_Data!A1355</f>
        <v/>
      </c>
      <c r="E1355">
        <f>AutoClaim_Data!B1355</f>
        <v/>
      </c>
      <c r="F1355">
        <f>AutoClaim_Data!C1355</f>
        <v/>
      </c>
      <c r="G1355">
        <f>IF(AutoClaim_Data!D1355&lt;=$B$2,AVERAGEIFS(AutoClaim_Data!C2:C3168,AutoClaim_Data!B2:B3168,"Train",AutoClaim_Data!D2:D3168,"&lt;="&amp;$B$2),AVERAGEIFS(AutoClaim_Data!C2:C3168,AutoClaim_Data!B2:B3168,"Train",AutoClaim_Data!D2:D3168,"&gt;"&amp;$B$2))</f>
        <v/>
      </c>
      <c r="H1355">
        <f>IF(AutoClaim_Data!D1355&lt;=$B$2,IF(AutoClaim_Data!E1355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5">
        <f>(F1355-H1355)^2</f>
        <v/>
      </c>
      <c r="J1355">
        <f>--(E1355="Validation")</f>
        <v/>
      </c>
    </row>
    <row r="1356">
      <c r="D1356">
        <f>AutoClaim_Data!A1356</f>
        <v/>
      </c>
      <c r="E1356">
        <f>AutoClaim_Data!B1356</f>
        <v/>
      </c>
      <c r="F1356">
        <f>AutoClaim_Data!C1356</f>
        <v/>
      </c>
      <c r="G1356">
        <f>IF(AutoClaim_Data!D1356&lt;=$B$2,AVERAGEIFS(AutoClaim_Data!C2:C3168,AutoClaim_Data!B2:B3168,"Train",AutoClaim_Data!D2:D3168,"&lt;="&amp;$B$2),AVERAGEIFS(AutoClaim_Data!C2:C3168,AutoClaim_Data!B2:B3168,"Train",AutoClaim_Data!D2:D3168,"&gt;"&amp;$B$2))</f>
        <v/>
      </c>
      <c r="H1356">
        <f>IF(AutoClaim_Data!D1356&lt;=$B$2,IF(AutoClaim_Data!E1356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6">
        <f>(F1356-H1356)^2</f>
        <v/>
      </c>
      <c r="J1356">
        <f>--(E1356="Validation")</f>
        <v/>
      </c>
    </row>
    <row r="1357">
      <c r="D1357">
        <f>AutoClaim_Data!A1357</f>
        <v/>
      </c>
      <c r="E1357">
        <f>AutoClaim_Data!B1357</f>
        <v/>
      </c>
      <c r="F1357">
        <f>AutoClaim_Data!C1357</f>
        <v/>
      </c>
      <c r="G1357">
        <f>IF(AutoClaim_Data!D1357&lt;=$B$2,AVERAGEIFS(AutoClaim_Data!C2:C3168,AutoClaim_Data!B2:B3168,"Train",AutoClaim_Data!D2:D3168,"&lt;="&amp;$B$2),AVERAGEIFS(AutoClaim_Data!C2:C3168,AutoClaim_Data!B2:B3168,"Train",AutoClaim_Data!D2:D3168,"&gt;"&amp;$B$2))</f>
        <v/>
      </c>
      <c r="H1357">
        <f>IF(AutoClaim_Data!D1357&lt;=$B$2,IF(AutoClaim_Data!E1357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7">
        <f>(F1357-H1357)^2</f>
        <v/>
      </c>
      <c r="J1357">
        <f>--(E1357="Validation")</f>
        <v/>
      </c>
    </row>
    <row r="1358">
      <c r="D1358">
        <f>AutoClaim_Data!A1358</f>
        <v/>
      </c>
      <c r="E1358">
        <f>AutoClaim_Data!B1358</f>
        <v/>
      </c>
      <c r="F1358">
        <f>AutoClaim_Data!C1358</f>
        <v/>
      </c>
      <c r="G1358">
        <f>IF(AutoClaim_Data!D1358&lt;=$B$2,AVERAGEIFS(AutoClaim_Data!C2:C3168,AutoClaim_Data!B2:B3168,"Train",AutoClaim_Data!D2:D3168,"&lt;="&amp;$B$2),AVERAGEIFS(AutoClaim_Data!C2:C3168,AutoClaim_Data!B2:B3168,"Train",AutoClaim_Data!D2:D3168,"&gt;"&amp;$B$2))</f>
        <v/>
      </c>
      <c r="H1358">
        <f>IF(AutoClaim_Data!D1358&lt;=$B$2,IF(AutoClaim_Data!E1358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8">
        <f>(F1358-H1358)^2</f>
        <v/>
      </c>
      <c r="J1358">
        <f>--(E1358="Validation")</f>
        <v/>
      </c>
    </row>
    <row r="1359">
      <c r="D1359">
        <f>AutoClaim_Data!A1359</f>
        <v/>
      </c>
      <c r="E1359">
        <f>AutoClaim_Data!B1359</f>
        <v/>
      </c>
      <c r="F1359">
        <f>AutoClaim_Data!C1359</f>
        <v/>
      </c>
      <c r="G1359">
        <f>IF(AutoClaim_Data!D1359&lt;=$B$2,AVERAGEIFS(AutoClaim_Data!C2:C3168,AutoClaim_Data!B2:B3168,"Train",AutoClaim_Data!D2:D3168,"&lt;="&amp;$B$2),AVERAGEIFS(AutoClaim_Data!C2:C3168,AutoClaim_Data!B2:B3168,"Train",AutoClaim_Data!D2:D3168,"&gt;"&amp;$B$2))</f>
        <v/>
      </c>
      <c r="H1359">
        <f>IF(AutoClaim_Data!D1359&lt;=$B$2,IF(AutoClaim_Data!E1359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59">
        <f>(F1359-H1359)^2</f>
        <v/>
      </c>
      <c r="J1359">
        <f>--(E1359="Validation")</f>
        <v/>
      </c>
    </row>
    <row r="1360">
      <c r="D1360">
        <f>AutoClaim_Data!A1360</f>
        <v/>
      </c>
      <c r="E1360">
        <f>AutoClaim_Data!B1360</f>
        <v/>
      </c>
      <c r="F1360">
        <f>AutoClaim_Data!C1360</f>
        <v/>
      </c>
      <c r="G1360">
        <f>IF(AutoClaim_Data!D1360&lt;=$B$2,AVERAGEIFS(AutoClaim_Data!C2:C3168,AutoClaim_Data!B2:B3168,"Train",AutoClaim_Data!D2:D3168,"&lt;="&amp;$B$2),AVERAGEIFS(AutoClaim_Data!C2:C3168,AutoClaim_Data!B2:B3168,"Train",AutoClaim_Data!D2:D3168,"&gt;"&amp;$B$2))</f>
        <v/>
      </c>
      <c r="H1360">
        <f>IF(AutoClaim_Data!D1360&lt;=$B$2,IF(AutoClaim_Data!E1360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0">
        <f>(F1360-H1360)^2</f>
        <v/>
      </c>
      <c r="J1360">
        <f>--(E1360="Validation")</f>
        <v/>
      </c>
    </row>
    <row r="1361">
      <c r="D1361">
        <f>AutoClaim_Data!A1361</f>
        <v/>
      </c>
      <c r="E1361">
        <f>AutoClaim_Data!B1361</f>
        <v/>
      </c>
      <c r="F1361">
        <f>AutoClaim_Data!C1361</f>
        <v/>
      </c>
      <c r="G1361">
        <f>IF(AutoClaim_Data!D1361&lt;=$B$2,AVERAGEIFS(AutoClaim_Data!C2:C3168,AutoClaim_Data!B2:B3168,"Train",AutoClaim_Data!D2:D3168,"&lt;="&amp;$B$2),AVERAGEIFS(AutoClaim_Data!C2:C3168,AutoClaim_Data!B2:B3168,"Train",AutoClaim_Data!D2:D3168,"&gt;"&amp;$B$2))</f>
        <v/>
      </c>
      <c r="H1361">
        <f>IF(AutoClaim_Data!D1361&lt;=$B$2,IF(AutoClaim_Data!E1361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1">
        <f>(F1361-H1361)^2</f>
        <v/>
      </c>
      <c r="J1361">
        <f>--(E1361="Validation")</f>
        <v/>
      </c>
    </row>
    <row r="1362">
      <c r="D1362">
        <f>AutoClaim_Data!A1362</f>
        <v/>
      </c>
      <c r="E1362">
        <f>AutoClaim_Data!B1362</f>
        <v/>
      </c>
      <c r="F1362">
        <f>AutoClaim_Data!C1362</f>
        <v/>
      </c>
      <c r="G1362">
        <f>IF(AutoClaim_Data!D1362&lt;=$B$2,AVERAGEIFS(AutoClaim_Data!C2:C3168,AutoClaim_Data!B2:B3168,"Train",AutoClaim_Data!D2:D3168,"&lt;="&amp;$B$2),AVERAGEIFS(AutoClaim_Data!C2:C3168,AutoClaim_Data!B2:B3168,"Train",AutoClaim_Data!D2:D3168,"&gt;"&amp;$B$2))</f>
        <v/>
      </c>
      <c r="H1362">
        <f>IF(AutoClaim_Data!D1362&lt;=$B$2,IF(AutoClaim_Data!E1362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2">
        <f>(F1362-H1362)^2</f>
        <v/>
      </c>
      <c r="J1362">
        <f>--(E1362="Validation")</f>
        <v/>
      </c>
    </row>
    <row r="1363">
      <c r="D1363">
        <f>AutoClaim_Data!A1363</f>
        <v/>
      </c>
      <c r="E1363">
        <f>AutoClaim_Data!B1363</f>
        <v/>
      </c>
      <c r="F1363">
        <f>AutoClaim_Data!C1363</f>
        <v/>
      </c>
      <c r="G1363">
        <f>IF(AutoClaim_Data!D1363&lt;=$B$2,AVERAGEIFS(AutoClaim_Data!C2:C3168,AutoClaim_Data!B2:B3168,"Train",AutoClaim_Data!D2:D3168,"&lt;="&amp;$B$2),AVERAGEIFS(AutoClaim_Data!C2:C3168,AutoClaim_Data!B2:B3168,"Train",AutoClaim_Data!D2:D3168,"&gt;"&amp;$B$2))</f>
        <v/>
      </c>
      <c r="H1363">
        <f>IF(AutoClaim_Data!D1363&lt;=$B$2,IF(AutoClaim_Data!E1363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3">
        <f>(F1363-H1363)^2</f>
        <v/>
      </c>
      <c r="J1363">
        <f>--(E1363="Validation")</f>
        <v/>
      </c>
    </row>
    <row r="1364">
      <c r="D1364">
        <f>AutoClaim_Data!A1364</f>
        <v/>
      </c>
      <c r="E1364">
        <f>AutoClaim_Data!B1364</f>
        <v/>
      </c>
      <c r="F1364">
        <f>AutoClaim_Data!C1364</f>
        <v/>
      </c>
      <c r="G1364">
        <f>IF(AutoClaim_Data!D1364&lt;=$B$2,AVERAGEIFS(AutoClaim_Data!C2:C3168,AutoClaim_Data!B2:B3168,"Train",AutoClaim_Data!D2:D3168,"&lt;="&amp;$B$2),AVERAGEIFS(AutoClaim_Data!C2:C3168,AutoClaim_Data!B2:B3168,"Train",AutoClaim_Data!D2:D3168,"&gt;"&amp;$B$2))</f>
        <v/>
      </c>
      <c r="H1364">
        <f>IF(AutoClaim_Data!D1364&lt;=$B$2,IF(AutoClaim_Data!E1364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4">
        <f>(F1364-H1364)^2</f>
        <v/>
      </c>
      <c r="J1364">
        <f>--(E1364="Validation")</f>
        <v/>
      </c>
    </row>
    <row r="1365">
      <c r="D1365">
        <f>AutoClaim_Data!A1365</f>
        <v/>
      </c>
      <c r="E1365">
        <f>AutoClaim_Data!B1365</f>
        <v/>
      </c>
      <c r="F1365">
        <f>AutoClaim_Data!C1365</f>
        <v/>
      </c>
      <c r="G1365">
        <f>IF(AutoClaim_Data!D1365&lt;=$B$2,AVERAGEIFS(AutoClaim_Data!C2:C3168,AutoClaim_Data!B2:B3168,"Train",AutoClaim_Data!D2:D3168,"&lt;="&amp;$B$2),AVERAGEIFS(AutoClaim_Data!C2:C3168,AutoClaim_Data!B2:B3168,"Train",AutoClaim_Data!D2:D3168,"&gt;"&amp;$B$2))</f>
        <v/>
      </c>
      <c r="H1365">
        <f>IF(AutoClaim_Data!D1365&lt;=$B$2,IF(AutoClaim_Data!E1365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5">
        <f>(F1365-H1365)^2</f>
        <v/>
      </c>
      <c r="J1365">
        <f>--(E1365="Validation")</f>
        <v/>
      </c>
    </row>
    <row r="1366">
      <c r="D1366">
        <f>AutoClaim_Data!A1366</f>
        <v/>
      </c>
      <c r="E1366">
        <f>AutoClaim_Data!B1366</f>
        <v/>
      </c>
      <c r="F1366">
        <f>AutoClaim_Data!C1366</f>
        <v/>
      </c>
      <c r="G1366">
        <f>IF(AutoClaim_Data!D1366&lt;=$B$2,AVERAGEIFS(AutoClaim_Data!C2:C3168,AutoClaim_Data!B2:B3168,"Train",AutoClaim_Data!D2:D3168,"&lt;="&amp;$B$2),AVERAGEIFS(AutoClaim_Data!C2:C3168,AutoClaim_Data!B2:B3168,"Train",AutoClaim_Data!D2:D3168,"&gt;"&amp;$B$2))</f>
        <v/>
      </c>
      <c r="H1366">
        <f>IF(AutoClaim_Data!D1366&lt;=$B$2,IF(AutoClaim_Data!E1366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6">
        <f>(F1366-H1366)^2</f>
        <v/>
      </c>
      <c r="J1366">
        <f>--(E1366="Validation")</f>
        <v/>
      </c>
    </row>
    <row r="1367">
      <c r="D1367">
        <f>AutoClaim_Data!A1367</f>
        <v/>
      </c>
      <c r="E1367">
        <f>AutoClaim_Data!B1367</f>
        <v/>
      </c>
      <c r="F1367">
        <f>AutoClaim_Data!C1367</f>
        <v/>
      </c>
      <c r="G1367">
        <f>IF(AutoClaim_Data!D1367&lt;=$B$2,AVERAGEIFS(AutoClaim_Data!C2:C3168,AutoClaim_Data!B2:B3168,"Train",AutoClaim_Data!D2:D3168,"&lt;="&amp;$B$2),AVERAGEIFS(AutoClaim_Data!C2:C3168,AutoClaim_Data!B2:B3168,"Train",AutoClaim_Data!D2:D3168,"&gt;"&amp;$B$2))</f>
        <v/>
      </c>
      <c r="H1367">
        <f>IF(AutoClaim_Data!D1367&lt;=$B$2,IF(AutoClaim_Data!E1367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7">
        <f>(F1367-H1367)^2</f>
        <v/>
      </c>
      <c r="J1367">
        <f>--(E1367="Validation")</f>
        <v/>
      </c>
    </row>
    <row r="1368">
      <c r="D1368">
        <f>AutoClaim_Data!A1368</f>
        <v/>
      </c>
      <c r="E1368">
        <f>AutoClaim_Data!B1368</f>
        <v/>
      </c>
      <c r="F1368">
        <f>AutoClaim_Data!C1368</f>
        <v/>
      </c>
      <c r="G1368">
        <f>IF(AutoClaim_Data!D1368&lt;=$B$2,AVERAGEIFS(AutoClaim_Data!C2:C3168,AutoClaim_Data!B2:B3168,"Train",AutoClaim_Data!D2:D3168,"&lt;="&amp;$B$2),AVERAGEIFS(AutoClaim_Data!C2:C3168,AutoClaim_Data!B2:B3168,"Train",AutoClaim_Data!D2:D3168,"&gt;"&amp;$B$2))</f>
        <v/>
      </c>
      <c r="H1368">
        <f>IF(AutoClaim_Data!D1368&lt;=$B$2,IF(AutoClaim_Data!E1368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8">
        <f>(F1368-H1368)^2</f>
        <v/>
      </c>
      <c r="J1368">
        <f>--(E1368="Validation")</f>
        <v/>
      </c>
    </row>
    <row r="1369">
      <c r="D1369">
        <f>AutoClaim_Data!A1369</f>
        <v/>
      </c>
      <c r="E1369">
        <f>AutoClaim_Data!B1369</f>
        <v/>
      </c>
      <c r="F1369">
        <f>AutoClaim_Data!C1369</f>
        <v/>
      </c>
      <c r="G1369">
        <f>IF(AutoClaim_Data!D1369&lt;=$B$2,AVERAGEIFS(AutoClaim_Data!C2:C3168,AutoClaim_Data!B2:B3168,"Train",AutoClaim_Data!D2:D3168,"&lt;="&amp;$B$2),AVERAGEIFS(AutoClaim_Data!C2:C3168,AutoClaim_Data!B2:B3168,"Train",AutoClaim_Data!D2:D3168,"&gt;"&amp;$B$2))</f>
        <v/>
      </c>
      <c r="H1369">
        <f>IF(AutoClaim_Data!D1369&lt;=$B$2,IF(AutoClaim_Data!E1369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69">
        <f>(F1369-H1369)^2</f>
        <v/>
      </c>
      <c r="J1369">
        <f>--(E1369="Validation")</f>
        <v/>
      </c>
    </row>
    <row r="1370">
      <c r="D1370">
        <f>AutoClaim_Data!A1370</f>
        <v/>
      </c>
      <c r="E1370">
        <f>AutoClaim_Data!B1370</f>
        <v/>
      </c>
      <c r="F1370">
        <f>AutoClaim_Data!C1370</f>
        <v/>
      </c>
      <c r="G1370">
        <f>IF(AutoClaim_Data!D1370&lt;=$B$2,AVERAGEIFS(AutoClaim_Data!C2:C3168,AutoClaim_Data!B2:B3168,"Train",AutoClaim_Data!D2:D3168,"&lt;="&amp;$B$2),AVERAGEIFS(AutoClaim_Data!C2:C3168,AutoClaim_Data!B2:B3168,"Train",AutoClaim_Data!D2:D3168,"&gt;"&amp;$B$2))</f>
        <v/>
      </c>
      <c r="H1370">
        <f>IF(AutoClaim_Data!D1370&lt;=$B$2,IF(AutoClaim_Data!E1370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0">
        <f>(F1370-H1370)^2</f>
        <v/>
      </c>
      <c r="J1370">
        <f>--(E1370="Validation")</f>
        <v/>
      </c>
    </row>
    <row r="1371">
      <c r="D1371">
        <f>AutoClaim_Data!A1371</f>
        <v/>
      </c>
      <c r="E1371">
        <f>AutoClaim_Data!B1371</f>
        <v/>
      </c>
      <c r="F1371">
        <f>AutoClaim_Data!C1371</f>
        <v/>
      </c>
      <c r="G1371">
        <f>IF(AutoClaim_Data!D1371&lt;=$B$2,AVERAGEIFS(AutoClaim_Data!C2:C3168,AutoClaim_Data!B2:B3168,"Train",AutoClaim_Data!D2:D3168,"&lt;="&amp;$B$2),AVERAGEIFS(AutoClaim_Data!C2:C3168,AutoClaim_Data!B2:B3168,"Train",AutoClaim_Data!D2:D3168,"&gt;"&amp;$B$2))</f>
        <v/>
      </c>
      <c r="H1371">
        <f>IF(AutoClaim_Data!D1371&lt;=$B$2,IF(AutoClaim_Data!E1371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1">
        <f>(F1371-H1371)^2</f>
        <v/>
      </c>
      <c r="J1371">
        <f>--(E1371="Validation")</f>
        <v/>
      </c>
    </row>
    <row r="1372">
      <c r="D1372">
        <f>AutoClaim_Data!A1372</f>
        <v/>
      </c>
      <c r="E1372">
        <f>AutoClaim_Data!B1372</f>
        <v/>
      </c>
      <c r="F1372">
        <f>AutoClaim_Data!C1372</f>
        <v/>
      </c>
      <c r="G1372">
        <f>IF(AutoClaim_Data!D1372&lt;=$B$2,AVERAGEIFS(AutoClaim_Data!C2:C3168,AutoClaim_Data!B2:B3168,"Train",AutoClaim_Data!D2:D3168,"&lt;="&amp;$B$2),AVERAGEIFS(AutoClaim_Data!C2:C3168,AutoClaim_Data!B2:B3168,"Train",AutoClaim_Data!D2:D3168,"&gt;"&amp;$B$2))</f>
        <v/>
      </c>
      <c r="H1372">
        <f>IF(AutoClaim_Data!D1372&lt;=$B$2,IF(AutoClaim_Data!E1372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2">
        <f>(F1372-H1372)^2</f>
        <v/>
      </c>
      <c r="J1372">
        <f>--(E1372="Validation")</f>
        <v/>
      </c>
    </row>
    <row r="1373">
      <c r="D1373">
        <f>AutoClaim_Data!A1373</f>
        <v/>
      </c>
      <c r="E1373">
        <f>AutoClaim_Data!B1373</f>
        <v/>
      </c>
      <c r="F1373">
        <f>AutoClaim_Data!C1373</f>
        <v/>
      </c>
      <c r="G1373">
        <f>IF(AutoClaim_Data!D1373&lt;=$B$2,AVERAGEIFS(AutoClaim_Data!C2:C3168,AutoClaim_Data!B2:B3168,"Train",AutoClaim_Data!D2:D3168,"&lt;="&amp;$B$2),AVERAGEIFS(AutoClaim_Data!C2:C3168,AutoClaim_Data!B2:B3168,"Train",AutoClaim_Data!D2:D3168,"&gt;"&amp;$B$2))</f>
        <v/>
      </c>
      <c r="H1373">
        <f>IF(AutoClaim_Data!D1373&lt;=$B$2,IF(AutoClaim_Data!E1373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3">
        <f>(F1373-H1373)^2</f>
        <v/>
      </c>
      <c r="J1373">
        <f>--(E1373="Validation")</f>
        <v/>
      </c>
    </row>
    <row r="1374">
      <c r="D1374">
        <f>AutoClaim_Data!A1374</f>
        <v/>
      </c>
      <c r="E1374">
        <f>AutoClaim_Data!B1374</f>
        <v/>
      </c>
      <c r="F1374">
        <f>AutoClaim_Data!C1374</f>
        <v/>
      </c>
      <c r="G1374">
        <f>IF(AutoClaim_Data!D1374&lt;=$B$2,AVERAGEIFS(AutoClaim_Data!C2:C3168,AutoClaim_Data!B2:B3168,"Train",AutoClaim_Data!D2:D3168,"&lt;="&amp;$B$2),AVERAGEIFS(AutoClaim_Data!C2:C3168,AutoClaim_Data!B2:B3168,"Train",AutoClaim_Data!D2:D3168,"&gt;"&amp;$B$2))</f>
        <v/>
      </c>
      <c r="H1374">
        <f>IF(AutoClaim_Data!D1374&lt;=$B$2,IF(AutoClaim_Data!E1374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4">
        <f>(F1374-H1374)^2</f>
        <v/>
      </c>
      <c r="J1374">
        <f>--(E1374="Validation")</f>
        <v/>
      </c>
    </row>
    <row r="1375">
      <c r="D1375">
        <f>AutoClaim_Data!A1375</f>
        <v/>
      </c>
      <c r="E1375">
        <f>AutoClaim_Data!B1375</f>
        <v/>
      </c>
      <c r="F1375">
        <f>AutoClaim_Data!C1375</f>
        <v/>
      </c>
      <c r="G1375">
        <f>IF(AutoClaim_Data!D1375&lt;=$B$2,AVERAGEIFS(AutoClaim_Data!C2:C3168,AutoClaim_Data!B2:B3168,"Train",AutoClaim_Data!D2:D3168,"&lt;="&amp;$B$2),AVERAGEIFS(AutoClaim_Data!C2:C3168,AutoClaim_Data!B2:B3168,"Train",AutoClaim_Data!D2:D3168,"&gt;"&amp;$B$2))</f>
        <v/>
      </c>
      <c r="H1375">
        <f>IF(AutoClaim_Data!D1375&lt;=$B$2,IF(AutoClaim_Data!E1375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5">
        <f>(F1375-H1375)^2</f>
        <v/>
      </c>
      <c r="J1375">
        <f>--(E1375="Validation")</f>
        <v/>
      </c>
    </row>
    <row r="1376">
      <c r="D1376">
        <f>AutoClaim_Data!A1376</f>
        <v/>
      </c>
      <c r="E1376">
        <f>AutoClaim_Data!B1376</f>
        <v/>
      </c>
      <c r="F1376">
        <f>AutoClaim_Data!C1376</f>
        <v/>
      </c>
      <c r="G1376">
        <f>IF(AutoClaim_Data!D1376&lt;=$B$2,AVERAGEIFS(AutoClaim_Data!C2:C3168,AutoClaim_Data!B2:B3168,"Train",AutoClaim_Data!D2:D3168,"&lt;="&amp;$B$2),AVERAGEIFS(AutoClaim_Data!C2:C3168,AutoClaim_Data!B2:B3168,"Train",AutoClaim_Data!D2:D3168,"&gt;"&amp;$B$2))</f>
        <v/>
      </c>
      <c r="H1376">
        <f>IF(AutoClaim_Data!D1376&lt;=$B$2,IF(AutoClaim_Data!E1376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6">
        <f>(F1376-H1376)^2</f>
        <v/>
      </c>
      <c r="J1376">
        <f>--(E1376="Validation")</f>
        <v/>
      </c>
    </row>
    <row r="1377">
      <c r="D1377">
        <f>AutoClaim_Data!A1377</f>
        <v/>
      </c>
      <c r="E1377">
        <f>AutoClaim_Data!B1377</f>
        <v/>
      </c>
      <c r="F1377">
        <f>AutoClaim_Data!C1377</f>
        <v/>
      </c>
      <c r="G1377">
        <f>IF(AutoClaim_Data!D1377&lt;=$B$2,AVERAGEIFS(AutoClaim_Data!C2:C3168,AutoClaim_Data!B2:B3168,"Train",AutoClaim_Data!D2:D3168,"&lt;="&amp;$B$2),AVERAGEIFS(AutoClaim_Data!C2:C3168,AutoClaim_Data!B2:B3168,"Train",AutoClaim_Data!D2:D3168,"&gt;"&amp;$B$2))</f>
        <v/>
      </c>
      <c r="H1377">
        <f>IF(AutoClaim_Data!D1377&lt;=$B$2,IF(AutoClaim_Data!E1377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7">
        <f>(F1377-H1377)^2</f>
        <v/>
      </c>
      <c r="J1377">
        <f>--(E1377="Validation")</f>
        <v/>
      </c>
    </row>
    <row r="1378">
      <c r="D1378">
        <f>AutoClaim_Data!A1378</f>
        <v/>
      </c>
      <c r="E1378">
        <f>AutoClaim_Data!B1378</f>
        <v/>
      </c>
      <c r="F1378">
        <f>AutoClaim_Data!C1378</f>
        <v/>
      </c>
      <c r="G1378">
        <f>IF(AutoClaim_Data!D1378&lt;=$B$2,AVERAGEIFS(AutoClaim_Data!C2:C3168,AutoClaim_Data!B2:B3168,"Train",AutoClaim_Data!D2:D3168,"&lt;="&amp;$B$2),AVERAGEIFS(AutoClaim_Data!C2:C3168,AutoClaim_Data!B2:B3168,"Train",AutoClaim_Data!D2:D3168,"&gt;"&amp;$B$2))</f>
        <v/>
      </c>
      <c r="H1378">
        <f>IF(AutoClaim_Data!D1378&lt;=$B$2,IF(AutoClaim_Data!E1378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8">
        <f>(F1378-H1378)^2</f>
        <v/>
      </c>
      <c r="J1378">
        <f>--(E1378="Validation")</f>
        <v/>
      </c>
    </row>
    <row r="1379">
      <c r="D1379">
        <f>AutoClaim_Data!A1379</f>
        <v/>
      </c>
      <c r="E1379">
        <f>AutoClaim_Data!B1379</f>
        <v/>
      </c>
      <c r="F1379">
        <f>AutoClaim_Data!C1379</f>
        <v/>
      </c>
      <c r="G1379">
        <f>IF(AutoClaim_Data!D1379&lt;=$B$2,AVERAGEIFS(AutoClaim_Data!C2:C3168,AutoClaim_Data!B2:B3168,"Train",AutoClaim_Data!D2:D3168,"&lt;="&amp;$B$2),AVERAGEIFS(AutoClaim_Data!C2:C3168,AutoClaim_Data!B2:B3168,"Train",AutoClaim_Data!D2:D3168,"&gt;"&amp;$B$2))</f>
        <v/>
      </c>
      <c r="H1379">
        <f>IF(AutoClaim_Data!D1379&lt;=$B$2,IF(AutoClaim_Data!E1379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79">
        <f>(F1379-H1379)^2</f>
        <v/>
      </c>
      <c r="J1379">
        <f>--(E1379="Validation")</f>
        <v/>
      </c>
    </row>
    <row r="1380">
      <c r="D1380">
        <f>AutoClaim_Data!A1380</f>
        <v/>
      </c>
      <c r="E1380">
        <f>AutoClaim_Data!B1380</f>
        <v/>
      </c>
      <c r="F1380">
        <f>AutoClaim_Data!C1380</f>
        <v/>
      </c>
      <c r="G1380">
        <f>IF(AutoClaim_Data!D1380&lt;=$B$2,AVERAGEIFS(AutoClaim_Data!C2:C3168,AutoClaim_Data!B2:B3168,"Train",AutoClaim_Data!D2:D3168,"&lt;="&amp;$B$2),AVERAGEIFS(AutoClaim_Data!C2:C3168,AutoClaim_Data!B2:B3168,"Train",AutoClaim_Data!D2:D3168,"&gt;"&amp;$B$2))</f>
        <v/>
      </c>
      <c r="H1380">
        <f>IF(AutoClaim_Data!D1380&lt;=$B$2,IF(AutoClaim_Data!E1380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0">
        <f>(F1380-H1380)^2</f>
        <v/>
      </c>
      <c r="J1380">
        <f>--(E1380="Validation")</f>
        <v/>
      </c>
    </row>
    <row r="1381">
      <c r="D1381">
        <f>AutoClaim_Data!A1381</f>
        <v/>
      </c>
      <c r="E1381">
        <f>AutoClaim_Data!B1381</f>
        <v/>
      </c>
      <c r="F1381">
        <f>AutoClaim_Data!C1381</f>
        <v/>
      </c>
      <c r="G1381">
        <f>IF(AutoClaim_Data!D1381&lt;=$B$2,AVERAGEIFS(AutoClaim_Data!C2:C3168,AutoClaim_Data!B2:B3168,"Train",AutoClaim_Data!D2:D3168,"&lt;="&amp;$B$2),AVERAGEIFS(AutoClaim_Data!C2:C3168,AutoClaim_Data!B2:B3168,"Train",AutoClaim_Data!D2:D3168,"&gt;"&amp;$B$2))</f>
        <v/>
      </c>
      <c r="H1381">
        <f>IF(AutoClaim_Data!D1381&lt;=$B$2,IF(AutoClaim_Data!E1381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1">
        <f>(F1381-H1381)^2</f>
        <v/>
      </c>
      <c r="J1381">
        <f>--(E1381="Validation")</f>
        <v/>
      </c>
    </row>
    <row r="1382">
      <c r="D1382">
        <f>AutoClaim_Data!A1382</f>
        <v/>
      </c>
      <c r="E1382">
        <f>AutoClaim_Data!B1382</f>
        <v/>
      </c>
      <c r="F1382">
        <f>AutoClaim_Data!C1382</f>
        <v/>
      </c>
      <c r="G1382">
        <f>IF(AutoClaim_Data!D1382&lt;=$B$2,AVERAGEIFS(AutoClaim_Data!C2:C3168,AutoClaim_Data!B2:B3168,"Train",AutoClaim_Data!D2:D3168,"&lt;="&amp;$B$2),AVERAGEIFS(AutoClaim_Data!C2:C3168,AutoClaim_Data!B2:B3168,"Train",AutoClaim_Data!D2:D3168,"&gt;"&amp;$B$2))</f>
        <v/>
      </c>
      <c r="H1382">
        <f>IF(AutoClaim_Data!D1382&lt;=$B$2,IF(AutoClaim_Data!E1382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2">
        <f>(F1382-H1382)^2</f>
        <v/>
      </c>
      <c r="J1382">
        <f>--(E1382="Validation")</f>
        <v/>
      </c>
    </row>
    <row r="1383">
      <c r="D1383">
        <f>AutoClaim_Data!A1383</f>
        <v/>
      </c>
      <c r="E1383">
        <f>AutoClaim_Data!B1383</f>
        <v/>
      </c>
      <c r="F1383">
        <f>AutoClaim_Data!C1383</f>
        <v/>
      </c>
      <c r="G1383">
        <f>IF(AutoClaim_Data!D1383&lt;=$B$2,AVERAGEIFS(AutoClaim_Data!C2:C3168,AutoClaim_Data!B2:B3168,"Train",AutoClaim_Data!D2:D3168,"&lt;="&amp;$B$2),AVERAGEIFS(AutoClaim_Data!C2:C3168,AutoClaim_Data!B2:B3168,"Train",AutoClaim_Data!D2:D3168,"&gt;"&amp;$B$2))</f>
        <v/>
      </c>
      <c r="H1383">
        <f>IF(AutoClaim_Data!D1383&lt;=$B$2,IF(AutoClaim_Data!E1383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3">
        <f>(F1383-H1383)^2</f>
        <v/>
      </c>
      <c r="J1383">
        <f>--(E1383="Validation")</f>
        <v/>
      </c>
    </row>
    <row r="1384">
      <c r="D1384">
        <f>AutoClaim_Data!A1384</f>
        <v/>
      </c>
      <c r="E1384">
        <f>AutoClaim_Data!B1384</f>
        <v/>
      </c>
      <c r="F1384">
        <f>AutoClaim_Data!C1384</f>
        <v/>
      </c>
      <c r="G1384">
        <f>IF(AutoClaim_Data!D1384&lt;=$B$2,AVERAGEIFS(AutoClaim_Data!C2:C3168,AutoClaim_Data!B2:B3168,"Train",AutoClaim_Data!D2:D3168,"&lt;="&amp;$B$2),AVERAGEIFS(AutoClaim_Data!C2:C3168,AutoClaim_Data!B2:B3168,"Train",AutoClaim_Data!D2:D3168,"&gt;"&amp;$B$2))</f>
        <v/>
      </c>
      <c r="H1384">
        <f>IF(AutoClaim_Data!D1384&lt;=$B$2,IF(AutoClaim_Data!E1384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4">
        <f>(F1384-H1384)^2</f>
        <v/>
      </c>
      <c r="J1384">
        <f>--(E1384="Validation")</f>
        <v/>
      </c>
    </row>
    <row r="1385">
      <c r="D1385">
        <f>AutoClaim_Data!A1385</f>
        <v/>
      </c>
      <c r="E1385">
        <f>AutoClaim_Data!B1385</f>
        <v/>
      </c>
      <c r="F1385">
        <f>AutoClaim_Data!C1385</f>
        <v/>
      </c>
      <c r="G1385">
        <f>IF(AutoClaim_Data!D1385&lt;=$B$2,AVERAGEIFS(AutoClaim_Data!C2:C3168,AutoClaim_Data!B2:B3168,"Train",AutoClaim_Data!D2:D3168,"&lt;="&amp;$B$2),AVERAGEIFS(AutoClaim_Data!C2:C3168,AutoClaim_Data!B2:B3168,"Train",AutoClaim_Data!D2:D3168,"&gt;"&amp;$B$2))</f>
        <v/>
      </c>
      <c r="H1385">
        <f>IF(AutoClaim_Data!D1385&lt;=$B$2,IF(AutoClaim_Data!E1385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5">
        <f>(F1385-H1385)^2</f>
        <v/>
      </c>
      <c r="J1385">
        <f>--(E1385="Validation")</f>
        <v/>
      </c>
    </row>
    <row r="1386">
      <c r="D1386">
        <f>AutoClaim_Data!A1386</f>
        <v/>
      </c>
      <c r="E1386">
        <f>AutoClaim_Data!B1386</f>
        <v/>
      </c>
      <c r="F1386">
        <f>AutoClaim_Data!C1386</f>
        <v/>
      </c>
      <c r="G1386">
        <f>IF(AutoClaim_Data!D1386&lt;=$B$2,AVERAGEIFS(AutoClaim_Data!C2:C3168,AutoClaim_Data!B2:B3168,"Train",AutoClaim_Data!D2:D3168,"&lt;="&amp;$B$2),AVERAGEIFS(AutoClaim_Data!C2:C3168,AutoClaim_Data!B2:B3168,"Train",AutoClaim_Data!D2:D3168,"&gt;"&amp;$B$2))</f>
        <v/>
      </c>
      <c r="H1386">
        <f>IF(AutoClaim_Data!D1386&lt;=$B$2,IF(AutoClaim_Data!E1386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6">
        <f>(F1386-H1386)^2</f>
        <v/>
      </c>
      <c r="J1386">
        <f>--(E1386="Validation")</f>
        <v/>
      </c>
    </row>
    <row r="1387">
      <c r="D1387">
        <f>AutoClaim_Data!A1387</f>
        <v/>
      </c>
      <c r="E1387">
        <f>AutoClaim_Data!B1387</f>
        <v/>
      </c>
      <c r="F1387">
        <f>AutoClaim_Data!C1387</f>
        <v/>
      </c>
      <c r="G1387">
        <f>IF(AutoClaim_Data!D1387&lt;=$B$2,AVERAGEIFS(AutoClaim_Data!C2:C3168,AutoClaim_Data!B2:B3168,"Train",AutoClaim_Data!D2:D3168,"&lt;="&amp;$B$2),AVERAGEIFS(AutoClaim_Data!C2:C3168,AutoClaim_Data!B2:B3168,"Train",AutoClaim_Data!D2:D3168,"&gt;"&amp;$B$2))</f>
        <v/>
      </c>
      <c r="H1387">
        <f>IF(AutoClaim_Data!D1387&lt;=$B$2,IF(AutoClaim_Data!E1387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7">
        <f>(F1387-H1387)^2</f>
        <v/>
      </c>
      <c r="J1387">
        <f>--(E1387="Validation")</f>
        <v/>
      </c>
    </row>
    <row r="1388">
      <c r="D1388">
        <f>AutoClaim_Data!A1388</f>
        <v/>
      </c>
      <c r="E1388">
        <f>AutoClaim_Data!B1388</f>
        <v/>
      </c>
      <c r="F1388">
        <f>AutoClaim_Data!C1388</f>
        <v/>
      </c>
      <c r="G1388">
        <f>IF(AutoClaim_Data!D1388&lt;=$B$2,AVERAGEIFS(AutoClaim_Data!C2:C3168,AutoClaim_Data!B2:B3168,"Train",AutoClaim_Data!D2:D3168,"&lt;="&amp;$B$2),AVERAGEIFS(AutoClaim_Data!C2:C3168,AutoClaim_Data!B2:B3168,"Train",AutoClaim_Data!D2:D3168,"&gt;"&amp;$B$2))</f>
        <v/>
      </c>
      <c r="H1388">
        <f>IF(AutoClaim_Data!D1388&lt;=$B$2,IF(AutoClaim_Data!E1388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8">
        <f>(F1388-H1388)^2</f>
        <v/>
      </c>
      <c r="J1388">
        <f>--(E1388="Validation")</f>
        <v/>
      </c>
    </row>
    <row r="1389">
      <c r="D1389">
        <f>AutoClaim_Data!A1389</f>
        <v/>
      </c>
      <c r="E1389">
        <f>AutoClaim_Data!B1389</f>
        <v/>
      </c>
      <c r="F1389">
        <f>AutoClaim_Data!C1389</f>
        <v/>
      </c>
      <c r="G1389">
        <f>IF(AutoClaim_Data!D1389&lt;=$B$2,AVERAGEIFS(AutoClaim_Data!C2:C3168,AutoClaim_Data!B2:B3168,"Train",AutoClaim_Data!D2:D3168,"&lt;="&amp;$B$2),AVERAGEIFS(AutoClaim_Data!C2:C3168,AutoClaim_Data!B2:B3168,"Train",AutoClaim_Data!D2:D3168,"&gt;"&amp;$B$2))</f>
        <v/>
      </c>
      <c r="H1389">
        <f>IF(AutoClaim_Data!D1389&lt;=$B$2,IF(AutoClaim_Data!E1389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89">
        <f>(F1389-H1389)^2</f>
        <v/>
      </c>
      <c r="J1389">
        <f>--(E1389="Validation")</f>
        <v/>
      </c>
    </row>
    <row r="1390">
      <c r="D1390">
        <f>AutoClaim_Data!A1390</f>
        <v/>
      </c>
      <c r="E1390">
        <f>AutoClaim_Data!B1390</f>
        <v/>
      </c>
      <c r="F1390">
        <f>AutoClaim_Data!C1390</f>
        <v/>
      </c>
      <c r="G1390">
        <f>IF(AutoClaim_Data!D1390&lt;=$B$2,AVERAGEIFS(AutoClaim_Data!C2:C3168,AutoClaim_Data!B2:B3168,"Train",AutoClaim_Data!D2:D3168,"&lt;="&amp;$B$2),AVERAGEIFS(AutoClaim_Data!C2:C3168,AutoClaim_Data!B2:B3168,"Train",AutoClaim_Data!D2:D3168,"&gt;"&amp;$B$2))</f>
        <v/>
      </c>
      <c r="H1390">
        <f>IF(AutoClaim_Data!D1390&lt;=$B$2,IF(AutoClaim_Data!E1390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0">
        <f>(F1390-H1390)^2</f>
        <v/>
      </c>
      <c r="J1390">
        <f>--(E1390="Validation")</f>
        <v/>
      </c>
    </row>
    <row r="1391">
      <c r="D1391">
        <f>AutoClaim_Data!A1391</f>
        <v/>
      </c>
      <c r="E1391">
        <f>AutoClaim_Data!B1391</f>
        <v/>
      </c>
      <c r="F1391">
        <f>AutoClaim_Data!C1391</f>
        <v/>
      </c>
      <c r="G1391">
        <f>IF(AutoClaim_Data!D1391&lt;=$B$2,AVERAGEIFS(AutoClaim_Data!C2:C3168,AutoClaim_Data!B2:B3168,"Train",AutoClaim_Data!D2:D3168,"&lt;="&amp;$B$2),AVERAGEIFS(AutoClaim_Data!C2:C3168,AutoClaim_Data!B2:B3168,"Train",AutoClaim_Data!D2:D3168,"&gt;"&amp;$B$2))</f>
        <v/>
      </c>
      <c r="H1391">
        <f>IF(AutoClaim_Data!D1391&lt;=$B$2,IF(AutoClaim_Data!E1391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1">
        <f>(F1391-H1391)^2</f>
        <v/>
      </c>
      <c r="J1391">
        <f>--(E1391="Validation")</f>
        <v/>
      </c>
    </row>
    <row r="1392">
      <c r="D1392">
        <f>AutoClaim_Data!A1392</f>
        <v/>
      </c>
      <c r="E1392">
        <f>AutoClaim_Data!B1392</f>
        <v/>
      </c>
      <c r="F1392">
        <f>AutoClaim_Data!C1392</f>
        <v/>
      </c>
      <c r="G1392">
        <f>IF(AutoClaim_Data!D1392&lt;=$B$2,AVERAGEIFS(AutoClaim_Data!C2:C3168,AutoClaim_Data!B2:B3168,"Train",AutoClaim_Data!D2:D3168,"&lt;="&amp;$B$2),AVERAGEIFS(AutoClaim_Data!C2:C3168,AutoClaim_Data!B2:B3168,"Train",AutoClaim_Data!D2:D3168,"&gt;"&amp;$B$2))</f>
        <v/>
      </c>
      <c r="H1392">
        <f>IF(AutoClaim_Data!D1392&lt;=$B$2,IF(AutoClaim_Data!E1392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2">
        <f>(F1392-H1392)^2</f>
        <v/>
      </c>
      <c r="J1392">
        <f>--(E1392="Validation")</f>
        <v/>
      </c>
    </row>
    <row r="1393">
      <c r="D1393">
        <f>AutoClaim_Data!A1393</f>
        <v/>
      </c>
      <c r="E1393">
        <f>AutoClaim_Data!B1393</f>
        <v/>
      </c>
      <c r="F1393">
        <f>AutoClaim_Data!C1393</f>
        <v/>
      </c>
      <c r="G1393">
        <f>IF(AutoClaim_Data!D1393&lt;=$B$2,AVERAGEIFS(AutoClaim_Data!C2:C3168,AutoClaim_Data!B2:B3168,"Train",AutoClaim_Data!D2:D3168,"&lt;="&amp;$B$2),AVERAGEIFS(AutoClaim_Data!C2:C3168,AutoClaim_Data!B2:B3168,"Train",AutoClaim_Data!D2:D3168,"&gt;"&amp;$B$2))</f>
        <v/>
      </c>
      <c r="H1393">
        <f>IF(AutoClaim_Data!D1393&lt;=$B$2,IF(AutoClaim_Data!E1393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3">
        <f>(F1393-H1393)^2</f>
        <v/>
      </c>
      <c r="J1393">
        <f>--(E1393="Validation")</f>
        <v/>
      </c>
    </row>
    <row r="1394">
      <c r="D1394">
        <f>AutoClaim_Data!A1394</f>
        <v/>
      </c>
      <c r="E1394">
        <f>AutoClaim_Data!B1394</f>
        <v/>
      </c>
      <c r="F1394">
        <f>AutoClaim_Data!C1394</f>
        <v/>
      </c>
      <c r="G1394">
        <f>IF(AutoClaim_Data!D1394&lt;=$B$2,AVERAGEIFS(AutoClaim_Data!C2:C3168,AutoClaim_Data!B2:B3168,"Train",AutoClaim_Data!D2:D3168,"&lt;="&amp;$B$2),AVERAGEIFS(AutoClaim_Data!C2:C3168,AutoClaim_Data!B2:B3168,"Train",AutoClaim_Data!D2:D3168,"&gt;"&amp;$B$2))</f>
        <v/>
      </c>
      <c r="H1394">
        <f>IF(AutoClaim_Data!D1394&lt;=$B$2,IF(AutoClaim_Data!E1394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4">
        <f>(F1394-H1394)^2</f>
        <v/>
      </c>
      <c r="J1394">
        <f>--(E1394="Validation")</f>
        <v/>
      </c>
    </row>
    <row r="1395">
      <c r="D1395">
        <f>AutoClaim_Data!A1395</f>
        <v/>
      </c>
      <c r="E1395">
        <f>AutoClaim_Data!B1395</f>
        <v/>
      </c>
      <c r="F1395">
        <f>AutoClaim_Data!C1395</f>
        <v/>
      </c>
      <c r="G1395">
        <f>IF(AutoClaim_Data!D1395&lt;=$B$2,AVERAGEIFS(AutoClaim_Data!C2:C3168,AutoClaim_Data!B2:B3168,"Train",AutoClaim_Data!D2:D3168,"&lt;="&amp;$B$2),AVERAGEIFS(AutoClaim_Data!C2:C3168,AutoClaim_Data!B2:B3168,"Train",AutoClaim_Data!D2:D3168,"&gt;"&amp;$B$2))</f>
        <v/>
      </c>
      <c r="H1395">
        <f>IF(AutoClaim_Data!D1395&lt;=$B$2,IF(AutoClaim_Data!E1395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5">
        <f>(F1395-H1395)^2</f>
        <v/>
      </c>
      <c r="J1395">
        <f>--(E1395="Validation")</f>
        <v/>
      </c>
    </row>
    <row r="1396">
      <c r="D1396">
        <f>AutoClaim_Data!A1396</f>
        <v/>
      </c>
      <c r="E1396">
        <f>AutoClaim_Data!B1396</f>
        <v/>
      </c>
      <c r="F1396">
        <f>AutoClaim_Data!C1396</f>
        <v/>
      </c>
      <c r="G1396">
        <f>IF(AutoClaim_Data!D1396&lt;=$B$2,AVERAGEIFS(AutoClaim_Data!C2:C3168,AutoClaim_Data!B2:B3168,"Train",AutoClaim_Data!D2:D3168,"&lt;="&amp;$B$2),AVERAGEIFS(AutoClaim_Data!C2:C3168,AutoClaim_Data!B2:B3168,"Train",AutoClaim_Data!D2:D3168,"&gt;"&amp;$B$2))</f>
        <v/>
      </c>
      <c r="H1396">
        <f>IF(AutoClaim_Data!D1396&lt;=$B$2,IF(AutoClaim_Data!E1396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6">
        <f>(F1396-H1396)^2</f>
        <v/>
      </c>
      <c r="J1396">
        <f>--(E1396="Validation")</f>
        <v/>
      </c>
    </row>
    <row r="1397">
      <c r="D1397">
        <f>AutoClaim_Data!A1397</f>
        <v/>
      </c>
      <c r="E1397">
        <f>AutoClaim_Data!B1397</f>
        <v/>
      </c>
      <c r="F1397">
        <f>AutoClaim_Data!C1397</f>
        <v/>
      </c>
      <c r="G1397">
        <f>IF(AutoClaim_Data!D1397&lt;=$B$2,AVERAGEIFS(AutoClaim_Data!C2:C3168,AutoClaim_Data!B2:B3168,"Train",AutoClaim_Data!D2:D3168,"&lt;="&amp;$B$2),AVERAGEIFS(AutoClaim_Data!C2:C3168,AutoClaim_Data!B2:B3168,"Train",AutoClaim_Data!D2:D3168,"&gt;"&amp;$B$2))</f>
        <v/>
      </c>
      <c r="H1397">
        <f>IF(AutoClaim_Data!D1397&lt;=$B$2,IF(AutoClaim_Data!E1397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7">
        <f>(F1397-H1397)^2</f>
        <v/>
      </c>
      <c r="J1397">
        <f>--(E1397="Validation")</f>
        <v/>
      </c>
    </row>
    <row r="1398">
      <c r="D1398">
        <f>AutoClaim_Data!A1398</f>
        <v/>
      </c>
      <c r="E1398">
        <f>AutoClaim_Data!B1398</f>
        <v/>
      </c>
      <c r="F1398">
        <f>AutoClaim_Data!C1398</f>
        <v/>
      </c>
      <c r="G1398">
        <f>IF(AutoClaim_Data!D1398&lt;=$B$2,AVERAGEIFS(AutoClaim_Data!C2:C3168,AutoClaim_Data!B2:B3168,"Train",AutoClaim_Data!D2:D3168,"&lt;="&amp;$B$2),AVERAGEIFS(AutoClaim_Data!C2:C3168,AutoClaim_Data!B2:B3168,"Train",AutoClaim_Data!D2:D3168,"&gt;"&amp;$B$2))</f>
        <v/>
      </c>
      <c r="H1398">
        <f>IF(AutoClaim_Data!D1398&lt;=$B$2,IF(AutoClaim_Data!E1398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8">
        <f>(F1398-H1398)^2</f>
        <v/>
      </c>
      <c r="J1398">
        <f>--(E1398="Validation")</f>
        <v/>
      </c>
    </row>
    <row r="1399">
      <c r="D1399">
        <f>AutoClaim_Data!A1399</f>
        <v/>
      </c>
      <c r="E1399">
        <f>AutoClaim_Data!B1399</f>
        <v/>
      </c>
      <c r="F1399">
        <f>AutoClaim_Data!C1399</f>
        <v/>
      </c>
      <c r="G1399">
        <f>IF(AutoClaim_Data!D1399&lt;=$B$2,AVERAGEIFS(AutoClaim_Data!C2:C3168,AutoClaim_Data!B2:B3168,"Train",AutoClaim_Data!D2:D3168,"&lt;="&amp;$B$2),AVERAGEIFS(AutoClaim_Data!C2:C3168,AutoClaim_Data!B2:B3168,"Train",AutoClaim_Data!D2:D3168,"&gt;"&amp;$B$2))</f>
        <v/>
      </c>
      <c r="H1399">
        <f>IF(AutoClaim_Data!D1399&lt;=$B$2,IF(AutoClaim_Data!E1399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1399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399">
        <f>(F1399-H1399)^2</f>
        <v/>
      </c>
      <c r="J1399">
        <f>--(E1399="Validation")</f>
        <v/>
      </c>
    </row>
    <row r="1400">
      <c r="D1400">
        <f>AutoClaim_Data!A1400</f>
        <v/>
      </c>
      <c r="E1400">
        <f>AutoClaim_Data!B1400</f>
        <v/>
      </c>
      <c r="F1400">
        <f>AutoClaim_Data!C1400</f>
        <v/>
      </c>
      <c r="G1400">
        <f>IF(AutoClaim_Data!D1400&lt;=$B$2,AVERAGEIFS(AutoClaim_Data!C2:C3168,AutoClaim_Data!B2:B3168,"Train",AutoClaim_Data!D2:D3168,"&lt;="&amp;$B$2),AVERAGEIFS(AutoClaim_Data!C2:C3168,AutoClaim_Data!B2:B3168,"Train",AutoClaim_Data!D2:D3168,"&gt;"&amp;$B$2))</f>
        <v/>
      </c>
      <c r="H1400">
        <f>IF(AutoClaim_Data!D1400&lt;=$B$2,IF(AutoClaim_Data!E1400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0">
        <f>(F1400-H1400)^2</f>
        <v/>
      </c>
      <c r="J1400">
        <f>--(E1400="Validation")</f>
        <v/>
      </c>
    </row>
    <row r="1401">
      <c r="D1401">
        <f>AutoClaim_Data!A1401</f>
        <v/>
      </c>
      <c r="E1401">
        <f>AutoClaim_Data!B1401</f>
        <v/>
      </c>
      <c r="F1401">
        <f>AutoClaim_Data!C1401</f>
        <v/>
      </c>
      <c r="G1401">
        <f>IF(AutoClaim_Data!D1401&lt;=$B$2,AVERAGEIFS(AutoClaim_Data!C2:C3168,AutoClaim_Data!B2:B3168,"Train",AutoClaim_Data!D2:D3168,"&lt;="&amp;$B$2),AVERAGEIFS(AutoClaim_Data!C2:C3168,AutoClaim_Data!B2:B3168,"Train",AutoClaim_Data!D2:D3168,"&gt;"&amp;$B$2))</f>
        <v/>
      </c>
      <c r="H1401">
        <f>IF(AutoClaim_Data!D1401&lt;=$B$2,IF(AutoClaim_Data!E1401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1">
        <f>(F1401-H1401)^2</f>
        <v/>
      </c>
      <c r="J1401">
        <f>--(E1401="Validation")</f>
        <v/>
      </c>
    </row>
    <row r="1402">
      <c r="D1402">
        <f>AutoClaim_Data!A1402</f>
        <v/>
      </c>
      <c r="E1402">
        <f>AutoClaim_Data!B1402</f>
        <v/>
      </c>
      <c r="F1402">
        <f>AutoClaim_Data!C1402</f>
        <v/>
      </c>
      <c r="G1402">
        <f>IF(AutoClaim_Data!D1402&lt;=$B$2,AVERAGEIFS(AutoClaim_Data!C2:C3168,AutoClaim_Data!B2:B3168,"Train",AutoClaim_Data!D2:D3168,"&lt;="&amp;$B$2),AVERAGEIFS(AutoClaim_Data!C2:C3168,AutoClaim_Data!B2:B3168,"Train",AutoClaim_Data!D2:D3168,"&gt;"&amp;$B$2))</f>
        <v/>
      </c>
      <c r="H1402">
        <f>IF(AutoClaim_Data!D1402&lt;=$B$2,IF(AutoClaim_Data!E1402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2">
        <f>(F1402-H1402)^2</f>
        <v/>
      </c>
      <c r="J1402">
        <f>--(E1402="Validation")</f>
        <v/>
      </c>
    </row>
    <row r="1403">
      <c r="D1403">
        <f>AutoClaim_Data!A1403</f>
        <v/>
      </c>
      <c r="E1403">
        <f>AutoClaim_Data!B1403</f>
        <v/>
      </c>
      <c r="F1403">
        <f>AutoClaim_Data!C1403</f>
        <v/>
      </c>
      <c r="G1403">
        <f>IF(AutoClaim_Data!D1403&lt;=$B$2,AVERAGEIFS(AutoClaim_Data!C2:C3168,AutoClaim_Data!B2:B3168,"Train",AutoClaim_Data!D2:D3168,"&lt;="&amp;$B$2),AVERAGEIFS(AutoClaim_Data!C2:C3168,AutoClaim_Data!B2:B3168,"Train",AutoClaim_Data!D2:D3168,"&gt;"&amp;$B$2))</f>
        <v/>
      </c>
      <c r="H1403">
        <f>IF(AutoClaim_Data!D1403&lt;=$B$2,IF(AutoClaim_Data!E1403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3">
        <f>(F1403-H1403)^2</f>
        <v/>
      </c>
      <c r="J1403">
        <f>--(E1403="Validation")</f>
        <v/>
      </c>
    </row>
    <row r="1404">
      <c r="D1404">
        <f>AutoClaim_Data!A1404</f>
        <v/>
      </c>
      <c r="E1404">
        <f>AutoClaim_Data!B1404</f>
        <v/>
      </c>
      <c r="F1404">
        <f>AutoClaim_Data!C1404</f>
        <v/>
      </c>
      <c r="G1404">
        <f>IF(AutoClaim_Data!D1404&lt;=$B$2,AVERAGEIFS(AutoClaim_Data!C2:C3168,AutoClaim_Data!B2:B3168,"Train",AutoClaim_Data!D2:D3168,"&lt;="&amp;$B$2),AVERAGEIFS(AutoClaim_Data!C2:C3168,AutoClaim_Data!B2:B3168,"Train",AutoClaim_Data!D2:D3168,"&gt;"&amp;$B$2))</f>
        <v/>
      </c>
      <c r="H1404">
        <f>IF(AutoClaim_Data!D1404&lt;=$B$2,IF(AutoClaim_Data!E1404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4">
        <f>(F1404-H1404)^2</f>
        <v/>
      </c>
      <c r="J1404">
        <f>--(E1404="Validation")</f>
        <v/>
      </c>
    </row>
    <row r="1405">
      <c r="D1405">
        <f>AutoClaim_Data!A1405</f>
        <v/>
      </c>
      <c r="E1405">
        <f>AutoClaim_Data!B1405</f>
        <v/>
      </c>
      <c r="F1405">
        <f>AutoClaim_Data!C1405</f>
        <v/>
      </c>
      <c r="G1405">
        <f>IF(AutoClaim_Data!D1405&lt;=$B$2,AVERAGEIFS(AutoClaim_Data!C2:C3168,AutoClaim_Data!B2:B3168,"Train",AutoClaim_Data!D2:D3168,"&lt;="&amp;$B$2),AVERAGEIFS(AutoClaim_Data!C2:C3168,AutoClaim_Data!B2:B3168,"Train",AutoClaim_Data!D2:D3168,"&gt;"&amp;$B$2))</f>
        <v/>
      </c>
      <c r="H1405">
        <f>IF(AutoClaim_Data!D1405&lt;=$B$2,IF(AutoClaim_Data!E1405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5">
        <f>(F1405-H1405)^2</f>
        <v/>
      </c>
      <c r="J1405">
        <f>--(E1405="Validation")</f>
        <v/>
      </c>
    </row>
    <row r="1406">
      <c r="D1406">
        <f>AutoClaim_Data!A1406</f>
        <v/>
      </c>
      <c r="E1406">
        <f>AutoClaim_Data!B1406</f>
        <v/>
      </c>
      <c r="F1406">
        <f>AutoClaim_Data!C1406</f>
        <v/>
      </c>
      <c r="G1406">
        <f>IF(AutoClaim_Data!D1406&lt;=$B$2,AVERAGEIFS(AutoClaim_Data!C2:C3168,AutoClaim_Data!B2:B3168,"Train",AutoClaim_Data!D2:D3168,"&lt;="&amp;$B$2),AVERAGEIFS(AutoClaim_Data!C2:C3168,AutoClaim_Data!B2:B3168,"Train",AutoClaim_Data!D2:D3168,"&gt;"&amp;$B$2))</f>
        <v/>
      </c>
      <c r="H1406">
        <f>IF(AutoClaim_Data!D1406&lt;=$B$2,IF(AutoClaim_Data!E1406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6">
        <f>(F1406-H1406)^2</f>
        <v/>
      </c>
      <c r="J1406">
        <f>--(E1406="Validation")</f>
        <v/>
      </c>
    </row>
    <row r="1407">
      <c r="D1407">
        <f>AutoClaim_Data!A1407</f>
        <v/>
      </c>
      <c r="E1407">
        <f>AutoClaim_Data!B1407</f>
        <v/>
      </c>
      <c r="F1407">
        <f>AutoClaim_Data!C1407</f>
        <v/>
      </c>
      <c r="G1407">
        <f>IF(AutoClaim_Data!D1407&lt;=$B$2,AVERAGEIFS(AutoClaim_Data!C2:C3168,AutoClaim_Data!B2:B3168,"Train",AutoClaim_Data!D2:D3168,"&lt;="&amp;$B$2),AVERAGEIFS(AutoClaim_Data!C2:C3168,AutoClaim_Data!B2:B3168,"Train",AutoClaim_Data!D2:D3168,"&gt;"&amp;$B$2))</f>
        <v/>
      </c>
      <c r="H1407">
        <f>IF(AutoClaim_Data!D1407&lt;=$B$2,IF(AutoClaim_Data!E1407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7">
        <f>(F1407-H1407)^2</f>
        <v/>
      </c>
      <c r="J1407">
        <f>--(E1407="Validation")</f>
        <v/>
      </c>
    </row>
    <row r="1408">
      <c r="D1408">
        <f>AutoClaim_Data!A1408</f>
        <v/>
      </c>
      <c r="E1408">
        <f>AutoClaim_Data!B1408</f>
        <v/>
      </c>
      <c r="F1408">
        <f>AutoClaim_Data!C1408</f>
        <v/>
      </c>
      <c r="G1408">
        <f>IF(AutoClaim_Data!D1408&lt;=$B$2,AVERAGEIFS(AutoClaim_Data!C2:C3168,AutoClaim_Data!B2:B3168,"Train",AutoClaim_Data!D2:D3168,"&lt;="&amp;$B$2),AVERAGEIFS(AutoClaim_Data!C2:C3168,AutoClaim_Data!B2:B3168,"Train",AutoClaim_Data!D2:D3168,"&gt;"&amp;$B$2))</f>
        <v/>
      </c>
      <c r="H1408">
        <f>IF(AutoClaim_Data!D1408&lt;=$B$2,IF(AutoClaim_Data!E1408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8">
        <f>(F1408-H1408)^2</f>
        <v/>
      </c>
      <c r="J1408">
        <f>--(E1408="Validation")</f>
        <v/>
      </c>
    </row>
    <row r="1409">
      <c r="D1409">
        <f>AutoClaim_Data!A1409</f>
        <v/>
      </c>
      <c r="E1409">
        <f>AutoClaim_Data!B1409</f>
        <v/>
      </c>
      <c r="F1409">
        <f>AutoClaim_Data!C1409</f>
        <v/>
      </c>
      <c r="G1409">
        <f>IF(AutoClaim_Data!D1409&lt;=$B$2,AVERAGEIFS(AutoClaim_Data!C2:C3168,AutoClaim_Data!B2:B3168,"Train",AutoClaim_Data!D2:D3168,"&lt;="&amp;$B$2),AVERAGEIFS(AutoClaim_Data!C2:C3168,AutoClaim_Data!B2:B3168,"Train",AutoClaim_Data!D2:D3168,"&gt;"&amp;$B$2))</f>
        <v/>
      </c>
      <c r="H1409">
        <f>IF(AutoClaim_Data!D1409&lt;=$B$2,IF(AutoClaim_Data!E1409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09">
        <f>(F1409-H1409)^2</f>
        <v/>
      </c>
      <c r="J1409">
        <f>--(E1409="Validation")</f>
        <v/>
      </c>
    </row>
    <row r="1410">
      <c r="D1410">
        <f>AutoClaim_Data!A1410</f>
        <v/>
      </c>
      <c r="E1410">
        <f>AutoClaim_Data!B1410</f>
        <v/>
      </c>
      <c r="F1410">
        <f>AutoClaim_Data!C1410</f>
        <v/>
      </c>
      <c r="G1410">
        <f>IF(AutoClaim_Data!D1410&lt;=$B$2,AVERAGEIFS(AutoClaim_Data!C2:C3168,AutoClaim_Data!B2:B3168,"Train",AutoClaim_Data!D2:D3168,"&lt;="&amp;$B$2),AVERAGEIFS(AutoClaim_Data!C2:C3168,AutoClaim_Data!B2:B3168,"Train",AutoClaim_Data!D2:D3168,"&gt;"&amp;$B$2))</f>
        <v/>
      </c>
      <c r="H1410">
        <f>IF(AutoClaim_Data!D1410&lt;=$B$2,IF(AutoClaim_Data!E1410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0">
        <f>(F1410-H1410)^2</f>
        <v/>
      </c>
      <c r="J1410">
        <f>--(E1410="Validation")</f>
        <v/>
      </c>
    </row>
    <row r="1411">
      <c r="D1411">
        <f>AutoClaim_Data!A1411</f>
        <v/>
      </c>
      <c r="E1411">
        <f>AutoClaim_Data!B1411</f>
        <v/>
      </c>
      <c r="F1411">
        <f>AutoClaim_Data!C1411</f>
        <v/>
      </c>
      <c r="G1411">
        <f>IF(AutoClaim_Data!D1411&lt;=$B$2,AVERAGEIFS(AutoClaim_Data!C2:C3168,AutoClaim_Data!B2:B3168,"Train",AutoClaim_Data!D2:D3168,"&lt;="&amp;$B$2),AVERAGEIFS(AutoClaim_Data!C2:C3168,AutoClaim_Data!B2:B3168,"Train",AutoClaim_Data!D2:D3168,"&gt;"&amp;$B$2))</f>
        <v/>
      </c>
      <c r="H1411">
        <f>IF(AutoClaim_Data!D1411&lt;=$B$2,IF(AutoClaim_Data!E1411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1">
        <f>(F1411-H1411)^2</f>
        <v/>
      </c>
      <c r="J1411">
        <f>--(E1411="Validation")</f>
        <v/>
      </c>
    </row>
    <row r="1412">
      <c r="D1412">
        <f>AutoClaim_Data!A1412</f>
        <v/>
      </c>
      <c r="E1412">
        <f>AutoClaim_Data!B1412</f>
        <v/>
      </c>
      <c r="F1412">
        <f>AutoClaim_Data!C1412</f>
        <v/>
      </c>
      <c r="G1412">
        <f>IF(AutoClaim_Data!D1412&lt;=$B$2,AVERAGEIFS(AutoClaim_Data!C2:C3168,AutoClaim_Data!B2:B3168,"Train",AutoClaim_Data!D2:D3168,"&lt;="&amp;$B$2),AVERAGEIFS(AutoClaim_Data!C2:C3168,AutoClaim_Data!B2:B3168,"Train",AutoClaim_Data!D2:D3168,"&gt;"&amp;$B$2))</f>
        <v/>
      </c>
      <c r="H1412">
        <f>IF(AutoClaim_Data!D1412&lt;=$B$2,IF(AutoClaim_Data!E1412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2">
        <f>(F1412-H1412)^2</f>
        <v/>
      </c>
      <c r="J1412">
        <f>--(E1412="Validation")</f>
        <v/>
      </c>
    </row>
    <row r="1413">
      <c r="D1413">
        <f>AutoClaim_Data!A1413</f>
        <v/>
      </c>
      <c r="E1413">
        <f>AutoClaim_Data!B1413</f>
        <v/>
      </c>
      <c r="F1413">
        <f>AutoClaim_Data!C1413</f>
        <v/>
      </c>
      <c r="G1413">
        <f>IF(AutoClaim_Data!D1413&lt;=$B$2,AVERAGEIFS(AutoClaim_Data!C2:C3168,AutoClaim_Data!B2:B3168,"Train",AutoClaim_Data!D2:D3168,"&lt;="&amp;$B$2),AVERAGEIFS(AutoClaim_Data!C2:C3168,AutoClaim_Data!B2:B3168,"Train",AutoClaim_Data!D2:D3168,"&gt;"&amp;$B$2))</f>
        <v/>
      </c>
      <c r="H1413">
        <f>IF(AutoClaim_Data!D1413&lt;=$B$2,IF(AutoClaim_Data!E1413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3">
        <f>(F1413-H1413)^2</f>
        <v/>
      </c>
      <c r="J1413">
        <f>--(E1413="Validation")</f>
        <v/>
      </c>
    </row>
    <row r="1414">
      <c r="D1414">
        <f>AutoClaim_Data!A1414</f>
        <v/>
      </c>
      <c r="E1414">
        <f>AutoClaim_Data!B1414</f>
        <v/>
      </c>
      <c r="F1414">
        <f>AutoClaim_Data!C1414</f>
        <v/>
      </c>
      <c r="G1414">
        <f>IF(AutoClaim_Data!D1414&lt;=$B$2,AVERAGEIFS(AutoClaim_Data!C2:C3168,AutoClaim_Data!B2:B3168,"Train",AutoClaim_Data!D2:D3168,"&lt;="&amp;$B$2),AVERAGEIFS(AutoClaim_Data!C2:C3168,AutoClaim_Data!B2:B3168,"Train",AutoClaim_Data!D2:D3168,"&gt;"&amp;$B$2))</f>
        <v/>
      </c>
      <c r="H1414">
        <f>IF(AutoClaim_Data!D1414&lt;=$B$2,IF(AutoClaim_Data!E1414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4">
        <f>(F1414-H1414)^2</f>
        <v/>
      </c>
      <c r="J1414">
        <f>--(E1414="Validation")</f>
        <v/>
      </c>
    </row>
    <row r="1415">
      <c r="D1415">
        <f>AutoClaim_Data!A1415</f>
        <v/>
      </c>
      <c r="E1415">
        <f>AutoClaim_Data!B1415</f>
        <v/>
      </c>
      <c r="F1415">
        <f>AutoClaim_Data!C1415</f>
        <v/>
      </c>
      <c r="G1415">
        <f>IF(AutoClaim_Data!D1415&lt;=$B$2,AVERAGEIFS(AutoClaim_Data!C2:C3168,AutoClaim_Data!B2:B3168,"Train",AutoClaim_Data!D2:D3168,"&lt;="&amp;$B$2),AVERAGEIFS(AutoClaim_Data!C2:C3168,AutoClaim_Data!B2:B3168,"Train",AutoClaim_Data!D2:D3168,"&gt;"&amp;$B$2))</f>
        <v/>
      </c>
      <c r="H1415">
        <f>IF(AutoClaim_Data!D1415&lt;=$B$2,IF(AutoClaim_Data!E1415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5">
        <f>(F1415-H1415)^2</f>
        <v/>
      </c>
      <c r="J1415">
        <f>--(E1415="Validation")</f>
        <v/>
      </c>
    </row>
    <row r="1416">
      <c r="D1416">
        <f>AutoClaim_Data!A1416</f>
        <v/>
      </c>
      <c r="E1416">
        <f>AutoClaim_Data!B1416</f>
        <v/>
      </c>
      <c r="F1416">
        <f>AutoClaim_Data!C1416</f>
        <v/>
      </c>
      <c r="G1416">
        <f>IF(AutoClaim_Data!D1416&lt;=$B$2,AVERAGEIFS(AutoClaim_Data!C2:C3168,AutoClaim_Data!B2:B3168,"Train",AutoClaim_Data!D2:D3168,"&lt;="&amp;$B$2),AVERAGEIFS(AutoClaim_Data!C2:C3168,AutoClaim_Data!B2:B3168,"Train",AutoClaim_Data!D2:D3168,"&gt;"&amp;$B$2))</f>
        <v/>
      </c>
      <c r="H1416">
        <f>IF(AutoClaim_Data!D1416&lt;=$B$2,IF(AutoClaim_Data!E1416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6">
        <f>(F1416-H1416)^2</f>
        <v/>
      </c>
      <c r="J1416">
        <f>--(E1416="Validation")</f>
        <v/>
      </c>
    </row>
    <row r="1417">
      <c r="D1417">
        <f>AutoClaim_Data!A1417</f>
        <v/>
      </c>
      <c r="E1417">
        <f>AutoClaim_Data!B1417</f>
        <v/>
      </c>
      <c r="F1417">
        <f>AutoClaim_Data!C1417</f>
        <v/>
      </c>
      <c r="G1417">
        <f>IF(AutoClaim_Data!D1417&lt;=$B$2,AVERAGEIFS(AutoClaim_Data!C2:C3168,AutoClaim_Data!B2:B3168,"Train",AutoClaim_Data!D2:D3168,"&lt;="&amp;$B$2),AVERAGEIFS(AutoClaim_Data!C2:C3168,AutoClaim_Data!B2:B3168,"Train",AutoClaim_Data!D2:D3168,"&gt;"&amp;$B$2))</f>
        <v/>
      </c>
      <c r="H1417">
        <f>IF(AutoClaim_Data!D1417&lt;=$B$2,IF(AutoClaim_Data!E1417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7">
        <f>(F1417-H1417)^2</f>
        <v/>
      </c>
      <c r="J1417">
        <f>--(E1417="Validation")</f>
        <v/>
      </c>
    </row>
    <row r="1418">
      <c r="D1418">
        <f>AutoClaim_Data!A1418</f>
        <v/>
      </c>
      <c r="E1418">
        <f>AutoClaim_Data!B1418</f>
        <v/>
      </c>
      <c r="F1418">
        <f>AutoClaim_Data!C1418</f>
        <v/>
      </c>
      <c r="G1418">
        <f>IF(AutoClaim_Data!D1418&lt;=$B$2,AVERAGEIFS(AutoClaim_Data!C2:C3168,AutoClaim_Data!B2:B3168,"Train",AutoClaim_Data!D2:D3168,"&lt;="&amp;$B$2),AVERAGEIFS(AutoClaim_Data!C2:C3168,AutoClaim_Data!B2:B3168,"Train",AutoClaim_Data!D2:D3168,"&gt;"&amp;$B$2))</f>
        <v/>
      </c>
      <c r="H1418">
        <f>IF(AutoClaim_Data!D1418&lt;=$B$2,IF(AutoClaim_Data!E1418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8">
        <f>(F1418-H1418)^2</f>
        <v/>
      </c>
      <c r="J1418">
        <f>--(E1418="Validation")</f>
        <v/>
      </c>
    </row>
    <row r="1419">
      <c r="D1419">
        <f>AutoClaim_Data!A1419</f>
        <v/>
      </c>
      <c r="E1419">
        <f>AutoClaim_Data!B1419</f>
        <v/>
      </c>
      <c r="F1419">
        <f>AutoClaim_Data!C1419</f>
        <v/>
      </c>
      <c r="G1419">
        <f>IF(AutoClaim_Data!D1419&lt;=$B$2,AVERAGEIFS(AutoClaim_Data!C2:C3168,AutoClaim_Data!B2:B3168,"Train",AutoClaim_Data!D2:D3168,"&lt;="&amp;$B$2),AVERAGEIFS(AutoClaim_Data!C2:C3168,AutoClaim_Data!B2:B3168,"Train",AutoClaim_Data!D2:D3168,"&gt;"&amp;$B$2))</f>
        <v/>
      </c>
      <c r="H1419">
        <f>IF(AutoClaim_Data!D1419&lt;=$B$2,IF(AutoClaim_Data!E1419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19">
        <f>(F1419-H1419)^2</f>
        <v/>
      </c>
      <c r="J1419">
        <f>--(E1419="Validation")</f>
        <v/>
      </c>
    </row>
    <row r="1420">
      <c r="D1420">
        <f>AutoClaim_Data!A1420</f>
        <v/>
      </c>
      <c r="E1420">
        <f>AutoClaim_Data!B1420</f>
        <v/>
      </c>
      <c r="F1420">
        <f>AutoClaim_Data!C1420</f>
        <v/>
      </c>
      <c r="G1420">
        <f>IF(AutoClaim_Data!D1420&lt;=$B$2,AVERAGEIFS(AutoClaim_Data!C2:C3168,AutoClaim_Data!B2:B3168,"Train",AutoClaim_Data!D2:D3168,"&lt;="&amp;$B$2),AVERAGEIFS(AutoClaim_Data!C2:C3168,AutoClaim_Data!B2:B3168,"Train",AutoClaim_Data!D2:D3168,"&gt;"&amp;$B$2))</f>
        <v/>
      </c>
      <c r="H1420">
        <f>IF(AutoClaim_Data!D1420&lt;=$B$2,IF(AutoClaim_Data!E1420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0">
        <f>(F1420-H1420)^2</f>
        <v/>
      </c>
      <c r="J1420">
        <f>--(E1420="Validation")</f>
        <v/>
      </c>
    </row>
    <row r="1421">
      <c r="D1421">
        <f>AutoClaim_Data!A1421</f>
        <v/>
      </c>
      <c r="E1421">
        <f>AutoClaim_Data!B1421</f>
        <v/>
      </c>
      <c r="F1421">
        <f>AutoClaim_Data!C1421</f>
        <v/>
      </c>
      <c r="G1421">
        <f>IF(AutoClaim_Data!D1421&lt;=$B$2,AVERAGEIFS(AutoClaim_Data!C2:C3168,AutoClaim_Data!B2:B3168,"Train",AutoClaim_Data!D2:D3168,"&lt;="&amp;$B$2),AVERAGEIFS(AutoClaim_Data!C2:C3168,AutoClaim_Data!B2:B3168,"Train",AutoClaim_Data!D2:D3168,"&gt;"&amp;$B$2))</f>
        <v/>
      </c>
      <c r="H1421">
        <f>IF(AutoClaim_Data!D1421&lt;=$B$2,IF(AutoClaim_Data!E1421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1">
        <f>(F1421-H1421)^2</f>
        <v/>
      </c>
      <c r="J1421">
        <f>--(E1421="Validation")</f>
        <v/>
      </c>
    </row>
    <row r="1422">
      <c r="D1422">
        <f>AutoClaim_Data!A1422</f>
        <v/>
      </c>
      <c r="E1422">
        <f>AutoClaim_Data!B1422</f>
        <v/>
      </c>
      <c r="F1422">
        <f>AutoClaim_Data!C1422</f>
        <v/>
      </c>
      <c r="G1422">
        <f>IF(AutoClaim_Data!D1422&lt;=$B$2,AVERAGEIFS(AutoClaim_Data!C2:C3168,AutoClaim_Data!B2:B3168,"Train",AutoClaim_Data!D2:D3168,"&lt;="&amp;$B$2),AVERAGEIFS(AutoClaim_Data!C2:C3168,AutoClaim_Data!B2:B3168,"Train",AutoClaim_Data!D2:D3168,"&gt;"&amp;$B$2))</f>
        <v/>
      </c>
      <c r="H1422">
        <f>IF(AutoClaim_Data!D1422&lt;=$B$2,IF(AutoClaim_Data!E1422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2">
        <f>(F1422-H1422)^2</f>
        <v/>
      </c>
      <c r="J1422">
        <f>--(E1422="Validation")</f>
        <v/>
      </c>
    </row>
    <row r="1423">
      <c r="D1423">
        <f>AutoClaim_Data!A1423</f>
        <v/>
      </c>
      <c r="E1423">
        <f>AutoClaim_Data!B1423</f>
        <v/>
      </c>
      <c r="F1423">
        <f>AutoClaim_Data!C1423</f>
        <v/>
      </c>
      <c r="G1423">
        <f>IF(AutoClaim_Data!D1423&lt;=$B$2,AVERAGEIFS(AutoClaim_Data!C2:C3168,AutoClaim_Data!B2:B3168,"Train",AutoClaim_Data!D2:D3168,"&lt;="&amp;$B$2),AVERAGEIFS(AutoClaim_Data!C2:C3168,AutoClaim_Data!B2:B3168,"Train",AutoClaim_Data!D2:D3168,"&gt;"&amp;$B$2))</f>
        <v/>
      </c>
      <c r="H1423">
        <f>IF(AutoClaim_Data!D1423&lt;=$B$2,IF(AutoClaim_Data!E1423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3">
        <f>(F1423-H1423)^2</f>
        <v/>
      </c>
      <c r="J1423">
        <f>--(E1423="Validation")</f>
        <v/>
      </c>
    </row>
    <row r="1424">
      <c r="D1424">
        <f>AutoClaim_Data!A1424</f>
        <v/>
      </c>
      <c r="E1424">
        <f>AutoClaim_Data!B1424</f>
        <v/>
      </c>
      <c r="F1424">
        <f>AutoClaim_Data!C1424</f>
        <v/>
      </c>
      <c r="G1424">
        <f>IF(AutoClaim_Data!D1424&lt;=$B$2,AVERAGEIFS(AutoClaim_Data!C2:C3168,AutoClaim_Data!B2:B3168,"Train",AutoClaim_Data!D2:D3168,"&lt;="&amp;$B$2),AVERAGEIFS(AutoClaim_Data!C2:C3168,AutoClaim_Data!B2:B3168,"Train",AutoClaim_Data!D2:D3168,"&gt;"&amp;$B$2))</f>
        <v/>
      </c>
      <c r="H1424">
        <f>IF(AutoClaim_Data!D1424&lt;=$B$2,IF(AutoClaim_Data!E1424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4">
        <f>(F1424-H1424)^2</f>
        <v/>
      </c>
      <c r="J1424">
        <f>--(E1424="Validation")</f>
        <v/>
      </c>
    </row>
    <row r="1425">
      <c r="D1425">
        <f>AutoClaim_Data!A1425</f>
        <v/>
      </c>
      <c r="E1425">
        <f>AutoClaim_Data!B1425</f>
        <v/>
      </c>
      <c r="F1425">
        <f>AutoClaim_Data!C1425</f>
        <v/>
      </c>
      <c r="G1425">
        <f>IF(AutoClaim_Data!D1425&lt;=$B$2,AVERAGEIFS(AutoClaim_Data!C2:C3168,AutoClaim_Data!B2:B3168,"Train",AutoClaim_Data!D2:D3168,"&lt;="&amp;$B$2),AVERAGEIFS(AutoClaim_Data!C2:C3168,AutoClaim_Data!B2:B3168,"Train",AutoClaim_Data!D2:D3168,"&gt;"&amp;$B$2))</f>
        <v/>
      </c>
      <c r="H1425">
        <f>IF(AutoClaim_Data!D1425&lt;=$B$2,IF(AutoClaim_Data!E1425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5">
        <f>(F1425-H1425)^2</f>
        <v/>
      </c>
      <c r="J1425">
        <f>--(E1425="Validation")</f>
        <v/>
      </c>
    </row>
    <row r="1426">
      <c r="D1426">
        <f>AutoClaim_Data!A1426</f>
        <v/>
      </c>
      <c r="E1426">
        <f>AutoClaim_Data!B1426</f>
        <v/>
      </c>
      <c r="F1426">
        <f>AutoClaim_Data!C1426</f>
        <v/>
      </c>
      <c r="G1426">
        <f>IF(AutoClaim_Data!D1426&lt;=$B$2,AVERAGEIFS(AutoClaim_Data!C2:C3168,AutoClaim_Data!B2:B3168,"Train",AutoClaim_Data!D2:D3168,"&lt;="&amp;$B$2),AVERAGEIFS(AutoClaim_Data!C2:C3168,AutoClaim_Data!B2:B3168,"Train",AutoClaim_Data!D2:D3168,"&gt;"&amp;$B$2))</f>
        <v/>
      </c>
      <c r="H1426">
        <f>IF(AutoClaim_Data!D1426&lt;=$B$2,IF(AutoClaim_Data!E1426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6">
        <f>(F1426-H1426)^2</f>
        <v/>
      </c>
      <c r="J1426">
        <f>--(E1426="Validation")</f>
        <v/>
      </c>
    </row>
    <row r="1427">
      <c r="D1427">
        <f>AutoClaim_Data!A1427</f>
        <v/>
      </c>
      <c r="E1427">
        <f>AutoClaim_Data!B1427</f>
        <v/>
      </c>
      <c r="F1427">
        <f>AutoClaim_Data!C1427</f>
        <v/>
      </c>
      <c r="G1427">
        <f>IF(AutoClaim_Data!D1427&lt;=$B$2,AVERAGEIFS(AutoClaim_Data!C2:C3168,AutoClaim_Data!B2:B3168,"Train",AutoClaim_Data!D2:D3168,"&lt;="&amp;$B$2),AVERAGEIFS(AutoClaim_Data!C2:C3168,AutoClaim_Data!B2:B3168,"Train",AutoClaim_Data!D2:D3168,"&gt;"&amp;$B$2))</f>
        <v/>
      </c>
      <c r="H1427">
        <f>IF(AutoClaim_Data!D1427&lt;=$B$2,IF(AutoClaim_Data!E1427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7">
        <f>(F1427-H1427)^2</f>
        <v/>
      </c>
      <c r="J1427">
        <f>--(E1427="Validation")</f>
        <v/>
      </c>
    </row>
    <row r="1428">
      <c r="D1428">
        <f>AutoClaim_Data!A1428</f>
        <v/>
      </c>
      <c r="E1428">
        <f>AutoClaim_Data!B1428</f>
        <v/>
      </c>
      <c r="F1428">
        <f>AutoClaim_Data!C1428</f>
        <v/>
      </c>
      <c r="G1428">
        <f>IF(AutoClaim_Data!D1428&lt;=$B$2,AVERAGEIFS(AutoClaim_Data!C2:C3168,AutoClaim_Data!B2:B3168,"Train",AutoClaim_Data!D2:D3168,"&lt;="&amp;$B$2),AVERAGEIFS(AutoClaim_Data!C2:C3168,AutoClaim_Data!B2:B3168,"Train",AutoClaim_Data!D2:D3168,"&gt;"&amp;$B$2))</f>
        <v/>
      </c>
      <c r="H1428">
        <f>IF(AutoClaim_Data!D1428&lt;=$B$2,IF(AutoClaim_Data!E1428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8">
        <f>(F1428-H1428)^2</f>
        <v/>
      </c>
      <c r="J1428">
        <f>--(E1428="Validation")</f>
        <v/>
      </c>
    </row>
    <row r="1429">
      <c r="D1429">
        <f>AutoClaim_Data!A1429</f>
        <v/>
      </c>
      <c r="E1429">
        <f>AutoClaim_Data!B1429</f>
        <v/>
      </c>
      <c r="F1429">
        <f>AutoClaim_Data!C1429</f>
        <v/>
      </c>
      <c r="G1429">
        <f>IF(AutoClaim_Data!D1429&lt;=$B$2,AVERAGEIFS(AutoClaim_Data!C2:C3168,AutoClaim_Data!B2:B3168,"Train",AutoClaim_Data!D2:D3168,"&lt;="&amp;$B$2),AVERAGEIFS(AutoClaim_Data!C2:C3168,AutoClaim_Data!B2:B3168,"Train",AutoClaim_Data!D2:D3168,"&gt;"&amp;$B$2))</f>
        <v/>
      </c>
      <c r="H1429">
        <f>IF(AutoClaim_Data!D1429&lt;=$B$2,IF(AutoClaim_Data!E1429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29">
        <f>(F1429-H1429)^2</f>
        <v/>
      </c>
      <c r="J1429">
        <f>--(E1429="Validation")</f>
        <v/>
      </c>
    </row>
    <row r="1430">
      <c r="D1430">
        <f>AutoClaim_Data!A1430</f>
        <v/>
      </c>
      <c r="E1430">
        <f>AutoClaim_Data!B1430</f>
        <v/>
      </c>
      <c r="F1430">
        <f>AutoClaim_Data!C1430</f>
        <v/>
      </c>
      <c r="G1430">
        <f>IF(AutoClaim_Data!D1430&lt;=$B$2,AVERAGEIFS(AutoClaim_Data!C2:C3168,AutoClaim_Data!B2:B3168,"Train",AutoClaim_Data!D2:D3168,"&lt;="&amp;$B$2),AVERAGEIFS(AutoClaim_Data!C2:C3168,AutoClaim_Data!B2:B3168,"Train",AutoClaim_Data!D2:D3168,"&gt;"&amp;$B$2))</f>
        <v/>
      </c>
      <c r="H1430">
        <f>IF(AutoClaim_Data!D1430&lt;=$B$2,IF(AutoClaim_Data!E1430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0">
        <f>(F1430-H1430)^2</f>
        <v/>
      </c>
      <c r="J1430">
        <f>--(E1430="Validation")</f>
        <v/>
      </c>
    </row>
    <row r="1431">
      <c r="D1431">
        <f>AutoClaim_Data!A1431</f>
        <v/>
      </c>
      <c r="E1431">
        <f>AutoClaim_Data!B1431</f>
        <v/>
      </c>
      <c r="F1431">
        <f>AutoClaim_Data!C1431</f>
        <v/>
      </c>
      <c r="G1431">
        <f>IF(AutoClaim_Data!D1431&lt;=$B$2,AVERAGEIFS(AutoClaim_Data!C2:C3168,AutoClaim_Data!B2:B3168,"Train",AutoClaim_Data!D2:D3168,"&lt;="&amp;$B$2),AVERAGEIFS(AutoClaim_Data!C2:C3168,AutoClaim_Data!B2:B3168,"Train",AutoClaim_Data!D2:D3168,"&gt;"&amp;$B$2))</f>
        <v/>
      </c>
      <c r="H1431">
        <f>IF(AutoClaim_Data!D1431&lt;=$B$2,IF(AutoClaim_Data!E1431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1">
        <f>(F1431-H1431)^2</f>
        <v/>
      </c>
      <c r="J1431">
        <f>--(E1431="Validation")</f>
        <v/>
      </c>
    </row>
    <row r="1432">
      <c r="D1432">
        <f>AutoClaim_Data!A1432</f>
        <v/>
      </c>
      <c r="E1432">
        <f>AutoClaim_Data!B1432</f>
        <v/>
      </c>
      <c r="F1432">
        <f>AutoClaim_Data!C1432</f>
        <v/>
      </c>
      <c r="G1432">
        <f>IF(AutoClaim_Data!D1432&lt;=$B$2,AVERAGEIFS(AutoClaim_Data!C2:C3168,AutoClaim_Data!B2:B3168,"Train",AutoClaim_Data!D2:D3168,"&lt;="&amp;$B$2),AVERAGEIFS(AutoClaim_Data!C2:C3168,AutoClaim_Data!B2:B3168,"Train",AutoClaim_Data!D2:D3168,"&gt;"&amp;$B$2))</f>
        <v/>
      </c>
      <c r="H1432">
        <f>IF(AutoClaim_Data!D1432&lt;=$B$2,IF(AutoClaim_Data!E1432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2">
        <f>(F1432-H1432)^2</f>
        <v/>
      </c>
      <c r="J1432">
        <f>--(E1432="Validation")</f>
        <v/>
      </c>
    </row>
    <row r="1433">
      <c r="D1433">
        <f>AutoClaim_Data!A1433</f>
        <v/>
      </c>
      <c r="E1433">
        <f>AutoClaim_Data!B1433</f>
        <v/>
      </c>
      <c r="F1433">
        <f>AutoClaim_Data!C1433</f>
        <v/>
      </c>
      <c r="G1433">
        <f>IF(AutoClaim_Data!D1433&lt;=$B$2,AVERAGEIFS(AutoClaim_Data!C2:C3168,AutoClaim_Data!B2:B3168,"Train",AutoClaim_Data!D2:D3168,"&lt;="&amp;$B$2),AVERAGEIFS(AutoClaim_Data!C2:C3168,AutoClaim_Data!B2:B3168,"Train",AutoClaim_Data!D2:D3168,"&gt;"&amp;$B$2))</f>
        <v/>
      </c>
      <c r="H1433">
        <f>IF(AutoClaim_Data!D1433&lt;=$B$2,IF(AutoClaim_Data!E1433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3">
        <f>(F1433-H1433)^2</f>
        <v/>
      </c>
      <c r="J1433">
        <f>--(E1433="Validation")</f>
        <v/>
      </c>
    </row>
    <row r="1434">
      <c r="D1434">
        <f>AutoClaim_Data!A1434</f>
        <v/>
      </c>
      <c r="E1434">
        <f>AutoClaim_Data!B1434</f>
        <v/>
      </c>
      <c r="F1434">
        <f>AutoClaim_Data!C1434</f>
        <v/>
      </c>
      <c r="G1434">
        <f>IF(AutoClaim_Data!D1434&lt;=$B$2,AVERAGEIFS(AutoClaim_Data!C2:C3168,AutoClaim_Data!B2:B3168,"Train",AutoClaim_Data!D2:D3168,"&lt;="&amp;$B$2),AVERAGEIFS(AutoClaim_Data!C2:C3168,AutoClaim_Data!B2:B3168,"Train",AutoClaim_Data!D2:D3168,"&gt;"&amp;$B$2))</f>
        <v/>
      </c>
      <c r="H1434">
        <f>IF(AutoClaim_Data!D1434&lt;=$B$2,IF(AutoClaim_Data!E1434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4">
        <f>(F1434-H1434)^2</f>
        <v/>
      </c>
      <c r="J1434">
        <f>--(E1434="Validation")</f>
        <v/>
      </c>
    </row>
    <row r="1435">
      <c r="D1435">
        <f>AutoClaim_Data!A1435</f>
        <v/>
      </c>
      <c r="E1435">
        <f>AutoClaim_Data!B1435</f>
        <v/>
      </c>
      <c r="F1435">
        <f>AutoClaim_Data!C1435</f>
        <v/>
      </c>
      <c r="G1435">
        <f>IF(AutoClaim_Data!D1435&lt;=$B$2,AVERAGEIFS(AutoClaim_Data!C2:C3168,AutoClaim_Data!B2:B3168,"Train",AutoClaim_Data!D2:D3168,"&lt;="&amp;$B$2),AVERAGEIFS(AutoClaim_Data!C2:C3168,AutoClaim_Data!B2:B3168,"Train",AutoClaim_Data!D2:D3168,"&gt;"&amp;$B$2))</f>
        <v/>
      </c>
      <c r="H1435">
        <f>IF(AutoClaim_Data!D1435&lt;=$B$2,IF(AutoClaim_Data!E1435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5">
        <f>(F1435-H1435)^2</f>
        <v/>
      </c>
      <c r="J1435">
        <f>--(E1435="Validation")</f>
        <v/>
      </c>
    </row>
    <row r="1436">
      <c r="D1436">
        <f>AutoClaim_Data!A1436</f>
        <v/>
      </c>
      <c r="E1436">
        <f>AutoClaim_Data!B1436</f>
        <v/>
      </c>
      <c r="F1436">
        <f>AutoClaim_Data!C1436</f>
        <v/>
      </c>
      <c r="G1436">
        <f>IF(AutoClaim_Data!D1436&lt;=$B$2,AVERAGEIFS(AutoClaim_Data!C2:C3168,AutoClaim_Data!B2:B3168,"Train",AutoClaim_Data!D2:D3168,"&lt;="&amp;$B$2),AVERAGEIFS(AutoClaim_Data!C2:C3168,AutoClaim_Data!B2:B3168,"Train",AutoClaim_Data!D2:D3168,"&gt;"&amp;$B$2))</f>
        <v/>
      </c>
      <c r="H1436">
        <f>IF(AutoClaim_Data!D1436&lt;=$B$2,IF(AutoClaim_Data!E1436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6">
        <f>(F1436-H1436)^2</f>
        <v/>
      </c>
      <c r="J1436">
        <f>--(E1436="Validation")</f>
        <v/>
      </c>
    </row>
    <row r="1437">
      <c r="D1437">
        <f>AutoClaim_Data!A1437</f>
        <v/>
      </c>
      <c r="E1437">
        <f>AutoClaim_Data!B1437</f>
        <v/>
      </c>
      <c r="F1437">
        <f>AutoClaim_Data!C1437</f>
        <v/>
      </c>
      <c r="G1437">
        <f>IF(AutoClaim_Data!D1437&lt;=$B$2,AVERAGEIFS(AutoClaim_Data!C2:C3168,AutoClaim_Data!B2:B3168,"Train",AutoClaim_Data!D2:D3168,"&lt;="&amp;$B$2),AVERAGEIFS(AutoClaim_Data!C2:C3168,AutoClaim_Data!B2:B3168,"Train",AutoClaim_Data!D2:D3168,"&gt;"&amp;$B$2))</f>
        <v/>
      </c>
      <c r="H1437">
        <f>IF(AutoClaim_Data!D1437&lt;=$B$2,IF(AutoClaim_Data!E1437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7">
        <f>(F1437-H1437)^2</f>
        <v/>
      </c>
      <c r="J1437">
        <f>--(E1437="Validation")</f>
        <v/>
      </c>
    </row>
    <row r="1438">
      <c r="D1438">
        <f>AutoClaim_Data!A1438</f>
        <v/>
      </c>
      <c r="E1438">
        <f>AutoClaim_Data!B1438</f>
        <v/>
      </c>
      <c r="F1438">
        <f>AutoClaim_Data!C1438</f>
        <v/>
      </c>
      <c r="G1438">
        <f>IF(AutoClaim_Data!D1438&lt;=$B$2,AVERAGEIFS(AutoClaim_Data!C2:C3168,AutoClaim_Data!B2:B3168,"Train",AutoClaim_Data!D2:D3168,"&lt;="&amp;$B$2),AVERAGEIFS(AutoClaim_Data!C2:C3168,AutoClaim_Data!B2:B3168,"Train",AutoClaim_Data!D2:D3168,"&gt;"&amp;$B$2))</f>
        <v/>
      </c>
      <c r="H1438">
        <f>IF(AutoClaim_Data!D1438&lt;=$B$2,IF(AutoClaim_Data!E1438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8">
        <f>(F1438-H1438)^2</f>
        <v/>
      </c>
      <c r="J1438">
        <f>--(E1438="Validation")</f>
        <v/>
      </c>
    </row>
    <row r="1439">
      <c r="D1439">
        <f>AutoClaim_Data!A1439</f>
        <v/>
      </c>
      <c r="E1439">
        <f>AutoClaim_Data!B1439</f>
        <v/>
      </c>
      <c r="F1439">
        <f>AutoClaim_Data!C1439</f>
        <v/>
      </c>
      <c r="G1439">
        <f>IF(AutoClaim_Data!D1439&lt;=$B$2,AVERAGEIFS(AutoClaim_Data!C2:C3168,AutoClaim_Data!B2:B3168,"Train",AutoClaim_Data!D2:D3168,"&lt;="&amp;$B$2),AVERAGEIFS(AutoClaim_Data!C2:C3168,AutoClaim_Data!B2:B3168,"Train",AutoClaim_Data!D2:D3168,"&gt;"&amp;$B$2))</f>
        <v/>
      </c>
      <c r="H1439">
        <f>IF(AutoClaim_Data!D1439&lt;=$B$2,IF(AutoClaim_Data!E1439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39">
        <f>(F1439-H1439)^2</f>
        <v/>
      </c>
      <c r="J1439">
        <f>--(E1439="Validation")</f>
        <v/>
      </c>
    </row>
    <row r="1440">
      <c r="D1440">
        <f>AutoClaim_Data!A1440</f>
        <v/>
      </c>
      <c r="E1440">
        <f>AutoClaim_Data!B1440</f>
        <v/>
      </c>
      <c r="F1440">
        <f>AutoClaim_Data!C1440</f>
        <v/>
      </c>
      <c r="G1440">
        <f>IF(AutoClaim_Data!D1440&lt;=$B$2,AVERAGEIFS(AutoClaim_Data!C2:C3168,AutoClaim_Data!B2:B3168,"Train",AutoClaim_Data!D2:D3168,"&lt;="&amp;$B$2),AVERAGEIFS(AutoClaim_Data!C2:C3168,AutoClaim_Data!B2:B3168,"Train",AutoClaim_Data!D2:D3168,"&gt;"&amp;$B$2))</f>
        <v/>
      </c>
      <c r="H1440">
        <f>IF(AutoClaim_Data!D1440&lt;=$B$2,IF(AutoClaim_Data!E1440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0">
        <f>(F1440-H1440)^2</f>
        <v/>
      </c>
      <c r="J1440">
        <f>--(E1440="Validation")</f>
        <v/>
      </c>
    </row>
    <row r="1441">
      <c r="D1441">
        <f>AutoClaim_Data!A1441</f>
        <v/>
      </c>
      <c r="E1441">
        <f>AutoClaim_Data!B1441</f>
        <v/>
      </c>
      <c r="F1441">
        <f>AutoClaim_Data!C1441</f>
        <v/>
      </c>
      <c r="G1441">
        <f>IF(AutoClaim_Data!D1441&lt;=$B$2,AVERAGEIFS(AutoClaim_Data!C2:C3168,AutoClaim_Data!B2:B3168,"Train",AutoClaim_Data!D2:D3168,"&lt;="&amp;$B$2),AVERAGEIFS(AutoClaim_Data!C2:C3168,AutoClaim_Data!B2:B3168,"Train",AutoClaim_Data!D2:D3168,"&gt;"&amp;$B$2))</f>
        <v/>
      </c>
      <c r="H1441">
        <f>IF(AutoClaim_Data!D1441&lt;=$B$2,IF(AutoClaim_Data!E1441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1">
        <f>(F1441-H1441)^2</f>
        <v/>
      </c>
      <c r="J1441">
        <f>--(E1441="Validation")</f>
        <v/>
      </c>
    </row>
    <row r="1442">
      <c r="D1442">
        <f>AutoClaim_Data!A1442</f>
        <v/>
      </c>
      <c r="E1442">
        <f>AutoClaim_Data!B1442</f>
        <v/>
      </c>
      <c r="F1442">
        <f>AutoClaim_Data!C1442</f>
        <v/>
      </c>
      <c r="G1442">
        <f>IF(AutoClaim_Data!D1442&lt;=$B$2,AVERAGEIFS(AutoClaim_Data!C2:C3168,AutoClaim_Data!B2:B3168,"Train",AutoClaim_Data!D2:D3168,"&lt;="&amp;$B$2),AVERAGEIFS(AutoClaim_Data!C2:C3168,AutoClaim_Data!B2:B3168,"Train",AutoClaim_Data!D2:D3168,"&gt;"&amp;$B$2))</f>
        <v/>
      </c>
      <c r="H1442">
        <f>IF(AutoClaim_Data!D1442&lt;=$B$2,IF(AutoClaim_Data!E1442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2">
        <f>(F1442-H1442)^2</f>
        <v/>
      </c>
      <c r="J1442">
        <f>--(E1442="Validation")</f>
        <v/>
      </c>
    </row>
    <row r="1443">
      <c r="D1443">
        <f>AutoClaim_Data!A1443</f>
        <v/>
      </c>
      <c r="E1443">
        <f>AutoClaim_Data!B1443</f>
        <v/>
      </c>
      <c r="F1443">
        <f>AutoClaim_Data!C1443</f>
        <v/>
      </c>
      <c r="G1443">
        <f>IF(AutoClaim_Data!D1443&lt;=$B$2,AVERAGEIFS(AutoClaim_Data!C2:C3168,AutoClaim_Data!B2:B3168,"Train",AutoClaim_Data!D2:D3168,"&lt;="&amp;$B$2),AVERAGEIFS(AutoClaim_Data!C2:C3168,AutoClaim_Data!B2:B3168,"Train",AutoClaim_Data!D2:D3168,"&gt;"&amp;$B$2))</f>
        <v/>
      </c>
      <c r="H1443">
        <f>IF(AutoClaim_Data!D1443&lt;=$B$2,IF(AutoClaim_Data!E1443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3">
        <f>(F1443-H1443)^2</f>
        <v/>
      </c>
      <c r="J1443">
        <f>--(E1443="Validation")</f>
        <v/>
      </c>
    </row>
    <row r="1444">
      <c r="D1444">
        <f>AutoClaim_Data!A1444</f>
        <v/>
      </c>
      <c r="E1444">
        <f>AutoClaim_Data!B1444</f>
        <v/>
      </c>
      <c r="F1444">
        <f>AutoClaim_Data!C1444</f>
        <v/>
      </c>
      <c r="G1444">
        <f>IF(AutoClaim_Data!D1444&lt;=$B$2,AVERAGEIFS(AutoClaim_Data!C2:C3168,AutoClaim_Data!B2:B3168,"Train",AutoClaim_Data!D2:D3168,"&lt;="&amp;$B$2),AVERAGEIFS(AutoClaim_Data!C2:C3168,AutoClaim_Data!B2:B3168,"Train",AutoClaim_Data!D2:D3168,"&gt;"&amp;$B$2))</f>
        <v/>
      </c>
      <c r="H1444">
        <f>IF(AutoClaim_Data!D1444&lt;=$B$2,IF(AutoClaim_Data!E1444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4">
        <f>(F1444-H1444)^2</f>
        <v/>
      </c>
      <c r="J1444">
        <f>--(E1444="Validation")</f>
        <v/>
      </c>
    </row>
    <row r="1445">
      <c r="D1445">
        <f>AutoClaim_Data!A1445</f>
        <v/>
      </c>
      <c r="E1445">
        <f>AutoClaim_Data!B1445</f>
        <v/>
      </c>
      <c r="F1445">
        <f>AutoClaim_Data!C1445</f>
        <v/>
      </c>
      <c r="G1445">
        <f>IF(AutoClaim_Data!D1445&lt;=$B$2,AVERAGEIFS(AutoClaim_Data!C2:C3168,AutoClaim_Data!B2:B3168,"Train",AutoClaim_Data!D2:D3168,"&lt;="&amp;$B$2),AVERAGEIFS(AutoClaim_Data!C2:C3168,AutoClaim_Data!B2:B3168,"Train",AutoClaim_Data!D2:D3168,"&gt;"&amp;$B$2))</f>
        <v/>
      </c>
      <c r="H1445">
        <f>IF(AutoClaim_Data!D1445&lt;=$B$2,IF(AutoClaim_Data!E1445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5">
        <f>(F1445-H1445)^2</f>
        <v/>
      </c>
      <c r="J1445">
        <f>--(E1445="Validation")</f>
        <v/>
      </c>
    </row>
    <row r="1446">
      <c r="D1446">
        <f>AutoClaim_Data!A1446</f>
        <v/>
      </c>
      <c r="E1446">
        <f>AutoClaim_Data!B1446</f>
        <v/>
      </c>
      <c r="F1446">
        <f>AutoClaim_Data!C1446</f>
        <v/>
      </c>
      <c r="G1446">
        <f>IF(AutoClaim_Data!D1446&lt;=$B$2,AVERAGEIFS(AutoClaim_Data!C2:C3168,AutoClaim_Data!B2:B3168,"Train",AutoClaim_Data!D2:D3168,"&lt;="&amp;$B$2),AVERAGEIFS(AutoClaim_Data!C2:C3168,AutoClaim_Data!B2:B3168,"Train",AutoClaim_Data!D2:D3168,"&gt;"&amp;$B$2))</f>
        <v/>
      </c>
      <c r="H1446">
        <f>IF(AutoClaim_Data!D1446&lt;=$B$2,IF(AutoClaim_Data!E1446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6">
        <f>(F1446-H1446)^2</f>
        <v/>
      </c>
      <c r="J1446">
        <f>--(E1446="Validation")</f>
        <v/>
      </c>
    </row>
    <row r="1447">
      <c r="D1447">
        <f>AutoClaim_Data!A1447</f>
        <v/>
      </c>
      <c r="E1447">
        <f>AutoClaim_Data!B1447</f>
        <v/>
      </c>
      <c r="F1447">
        <f>AutoClaim_Data!C1447</f>
        <v/>
      </c>
      <c r="G1447">
        <f>IF(AutoClaim_Data!D1447&lt;=$B$2,AVERAGEIFS(AutoClaim_Data!C2:C3168,AutoClaim_Data!B2:B3168,"Train",AutoClaim_Data!D2:D3168,"&lt;="&amp;$B$2),AVERAGEIFS(AutoClaim_Data!C2:C3168,AutoClaim_Data!B2:B3168,"Train",AutoClaim_Data!D2:D3168,"&gt;"&amp;$B$2))</f>
        <v/>
      </c>
      <c r="H1447">
        <f>IF(AutoClaim_Data!D1447&lt;=$B$2,IF(AutoClaim_Data!E1447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7">
        <f>(F1447-H1447)^2</f>
        <v/>
      </c>
      <c r="J1447">
        <f>--(E1447="Validation")</f>
        <v/>
      </c>
    </row>
    <row r="1448">
      <c r="D1448">
        <f>AutoClaim_Data!A1448</f>
        <v/>
      </c>
      <c r="E1448">
        <f>AutoClaim_Data!B1448</f>
        <v/>
      </c>
      <c r="F1448">
        <f>AutoClaim_Data!C1448</f>
        <v/>
      </c>
      <c r="G1448">
        <f>IF(AutoClaim_Data!D1448&lt;=$B$2,AVERAGEIFS(AutoClaim_Data!C2:C3168,AutoClaim_Data!B2:B3168,"Train",AutoClaim_Data!D2:D3168,"&lt;="&amp;$B$2),AVERAGEIFS(AutoClaim_Data!C2:C3168,AutoClaim_Data!B2:B3168,"Train",AutoClaim_Data!D2:D3168,"&gt;"&amp;$B$2))</f>
        <v/>
      </c>
      <c r="H1448">
        <f>IF(AutoClaim_Data!D1448&lt;=$B$2,IF(AutoClaim_Data!E1448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8">
        <f>(F1448-H1448)^2</f>
        <v/>
      </c>
      <c r="J1448">
        <f>--(E1448="Validation")</f>
        <v/>
      </c>
    </row>
    <row r="1449">
      <c r="D1449">
        <f>AutoClaim_Data!A1449</f>
        <v/>
      </c>
      <c r="E1449">
        <f>AutoClaim_Data!B1449</f>
        <v/>
      </c>
      <c r="F1449">
        <f>AutoClaim_Data!C1449</f>
        <v/>
      </c>
      <c r="G1449">
        <f>IF(AutoClaim_Data!D1449&lt;=$B$2,AVERAGEIFS(AutoClaim_Data!C2:C3168,AutoClaim_Data!B2:B3168,"Train",AutoClaim_Data!D2:D3168,"&lt;="&amp;$B$2),AVERAGEIFS(AutoClaim_Data!C2:C3168,AutoClaim_Data!B2:B3168,"Train",AutoClaim_Data!D2:D3168,"&gt;"&amp;$B$2))</f>
        <v/>
      </c>
      <c r="H1449">
        <f>IF(AutoClaim_Data!D1449&lt;=$B$2,IF(AutoClaim_Data!E1449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49">
        <f>(F1449-H1449)^2</f>
        <v/>
      </c>
      <c r="J1449">
        <f>--(E1449="Validation")</f>
        <v/>
      </c>
    </row>
    <row r="1450">
      <c r="D1450">
        <f>AutoClaim_Data!A1450</f>
        <v/>
      </c>
      <c r="E1450">
        <f>AutoClaim_Data!B1450</f>
        <v/>
      </c>
      <c r="F1450">
        <f>AutoClaim_Data!C1450</f>
        <v/>
      </c>
      <c r="G1450">
        <f>IF(AutoClaim_Data!D1450&lt;=$B$2,AVERAGEIFS(AutoClaim_Data!C2:C3168,AutoClaim_Data!B2:B3168,"Train",AutoClaim_Data!D2:D3168,"&lt;="&amp;$B$2),AVERAGEIFS(AutoClaim_Data!C2:C3168,AutoClaim_Data!B2:B3168,"Train",AutoClaim_Data!D2:D3168,"&gt;"&amp;$B$2))</f>
        <v/>
      </c>
      <c r="H1450">
        <f>IF(AutoClaim_Data!D1450&lt;=$B$2,IF(AutoClaim_Data!E1450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0">
        <f>(F1450-H1450)^2</f>
        <v/>
      </c>
      <c r="J1450">
        <f>--(E1450="Validation")</f>
        <v/>
      </c>
    </row>
    <row r="1451">
      <c r="D1451">
        <f>AutoClaim_Data!A1451</f>
        <v/>
      </c>
      <c r="E1451">
        <f>AutoClaim_Data!B1451</f>
        <v/>
      </c>
      <c r="F1451">
        <f>AutoClaim_Data!C1451</f>
        <v/>
      </c>
      <c r="G1451">
        <f>IF(AutoClaim_Data!D1451&lt;=$B$2,AVERAGEIFS(AutoClaim_Data!C2:C3168,AutoClaim_Data!B2:B3168,"Train",AutoClaim_Data!D2:D3168,"&lt;="&amp;$B$2),AVERAGEIFS(AutoClaim_Data!C2:C3168,AutoClaim_Data!B2:B3168,"Train",AutoClaim_Data!D2:D3168,"&gt;"&amp;$B$2))</f>
        <v/>
      </c>
      <c r="H1451">
        <f>IF(AutoClaim_Data!D1451&lt;=$B$2,IF(AutoClaim_Data!E1451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1">
        <f>(F1451-H1451)^2</f>
        <v/>
      </c>
      <c r="J1451">
        <f>--(E1451="Validation")</f>
        <v/>
      </c>
    </row>
    <row r="1452">
      <c r="D1452">
        <f>AutoClaim_Data!A1452</f>
        <v/>
      </c>
      <c r="E1452">
        <f>AutoClaim_Data!B1452</f>
        <v/>
      </c>
      <c r="F1452">
        <f>AutoClaim_Data!C1452</f>
        <v/>
      </c>
      <c r="G1452">
        <f>IF(AutoClaim_Data!D1452&lt;=$B$2,AVERAGEIFS(AutoClaim_Data!C2:C3168,AutoClaim_Data!B2:B3168,"Train",AutoClaim_Data!D2:D3168,"&lt;="&amp;$B$2),AVERAGEIFS(AutoClaim_Data!C2:C3168,AutoClaim_Data!B2:B3168,"Train",AutoClaim_Data!D2:D3168,"&gt;"&amp;$B$2))</f>
        <v/>
      </c>
      <c r="H1452">
        <f>IF(AutoClaim_Data!D1452&lt;=$B$2,IF(AutoClaim_Data!E1452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2">
        <f>(F1452-H1452)^2</f>
        <v/>
      </c>
      <c r="J1452">
        <f>--(E1452="Validation")</f>
        <v/>
      </c>
    </row>
    <row r="1453">
      <c r="D1453">
        <f>AutoClaim_Data!A1453</f>
        <v/>
      </c>
      <c r="E1453">
        <f>AutoClaim_Data!B1453</f>
        <v/>
      </c>
      <c r="F1453">
        <f>AutoClaim_Data!C1453</f>
        <v/>
      </c>
      <c r="G1453">
        <f>IF(AutoClaim_Data!D1453&lt;=$B$2,AVERAGEIFS(AutoClaim_Data!C2:C3168,AutoClaim_Data!B2:B3168,"Train",AutoClaim_Data!D2:D3168,"&lt;="&amp;$B$2),AVERAGEIFS(AutoClaim_Data!C2:C3168,AutoClaim_Data!B2:B3168,"Train",AutoClaim_Data!D2:D3168,"&gt;"&amp;$B$2))</f>
        <v/>
      </c>
      <c r="H1453">
        <f>IF(AutoClaim_Data!D1453&lt;=$B$2,IF(AutoClaim_Data!E1453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3">
        <f>(F1453-H1453)^2</f>
        <v/>
      </c>
      <c r="J1453">
        <f>--(E1453="Validation")</f>
        <v/>
      </c>
    </row>
    <row r="1454">
      <c r="D1454">
        <f>AutoClaim_Data!A1454</f>
        <v/>
      </c>
      <c r="E1454">
        <f>AutoClaim_Data!B1454</f>
        <v/>
      </c>
      <c r="F1454">
        <f>AutoClaim_Data!C1454</f>
        <v/>
      </c>
      <c r="G1454">
        <f>IF(AutoClaim_Data!D1454&lt;=$B$2,AVERAGEIFS(AutoClaim_Data!C2:C3168,AutoClaim_Data!B2:B3168,"Train",AutoClaim_Data!D2:D3168,"&lt;="&amp;$B$2),AVERAGEIFS(AutoClaim_Data!C2:C3168,AutoClaim_Data!B2:B3168,"Train",AutoClaim_Data!D2:D3168,"&gt;"&amp;$B$2))</f>
        <v/>
      </c>
      <c r="H1454">
        <f>IF(AutoClaim_Data!D1454&lt;=$B$2,IF(AutoClaim_Data!E1454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4">
        <f>(F1454-H1454)^2</f>
        <v/>
      </c>
      <c r="J1454">
        <f>--(E1454="Validation")</f>
        <v/>
      </c>
    </row>
    <row r="1455">
      <c r="D1455">
        <f>AutoClaim_Data!A1455</f>
        <v/>
      </c>
      <c r="E1455">
        <f>AutoClaim_Data!B1455</f>
        <v/>
      </c>
      <c r="F1455">
        <f>AutoClaim_Data!C1455</f>
        <v/>
      </c>
      <c r="G1455">
        <f>IF(AutoClaim_Data!D1455&lt;=$B$2,AVERAGEIFS(AutoClaim_Data!C2:C3168,AutoClaim_Data!B2:B3168,"Train",AutoClaim_Data!D2:D3168,"&lt;="&amp;$B$2),AVERAGEIFS(AutoClaim_Data!C2:C3168,AutoClaim_Data!B2:B3168,"Train",AutoClaim_Data!D2:D3168,"&gt;"&amp;$B$2))</f>
        <v/>
      </c>
      <c r="H1455">
        <f>IF(AutoClaim_Data!D1455&lt;=$B$2,IF(AutoClaim_Data!E1455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5">
        <f>(F1455-H1455)^2</f>
        <v/>
      </c>
      <c r="J1455">
        <f>--(E1455="Validation")</f>
        <v/>
      </c>
    </row>
    <row r="1456">
      <c r="D1456">
        <f>AutoClaim_Data!A1456</f>
        <v/>
      </c>
      <c r="E1456">
        <f>AutoClaim_Data!B1456</f>
        <v/>
      </c>
      <c r="F1456">
        <f>AutoClaim_Data!C1456</f>
        <v/>
      </c>
      <c r="G1456">
        <f>IF(AutoClaim_Data!D1456&lt;=$B$2,AVERAGEIFS(AutoClaim_Data!C2:C3168,AutoClaim_Data!B2:B3168,"Train",AutoClaim_Data!D2:D3168,"&lt;="&amp;$B$2),AVERAGEIFS(AutoClaim_Data!C2:C3168,AutoClaim_Data!B2:B3168,"Train",AutoClaim_Data!D2:D3168,"&gt;"&amp;$B$2))</f>
        <v/>
      </c>
      <c r="H1456">
        <f>IF(AutoClaim_Data!D1456&lt;=$B$2,IF(AutoClaim_Data!E1456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6">
        <f>(F1456-H1456)^2</f>
        <v/>
      </c>
      <c r="J1456">
        <f>--(E1456="Validation")</f>
        <v/>
      </c>
    </row>
    <row r="1457">
      <c r="D1457">
        <f>AutoClaim_Data!A1457</f>
        <v/>
      </c>
      <c r="E1457">
        <f>AutoClaim_Data!B1457</f>
        <v/>
      </c>
      <c r="F1457">
        <f>AutoClaim_Data!C1457</f>
        <v/>
      </c>
      <c r="G1457">
        <f>IF(AutoClaim_Data!D1457&lt;=$B$2,AVERAGEIFS(AutoClaim_Data!C2:C3168,AutoClaim_Data!B2:B3168,"Train",AutoClaim_Data!D2:D3168,"&lt;="&amp;$B$2),AVERAGEIFS(AutoClaim_Data!C2:C3168,AutoClaim_Data!B2:B3168,"Train",AutoClaim_Data!D2:D3168,"&gt;"&amp;$B$2))</f>
        <v/>
      </c>
      <c r="H1457">
        <f>IF(AutoClaim_Data!D1457&lt;=$B$2,IF(AutoClaim_Data!E1457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7">
        <f>(F1457-H1457)^2</f>
        <v/>
      </c>
      <c r="J1457">
        <f>--(E1457="Validation")</f>
        <v/>
      </c>
    </row>
    <row r="1458">
      <c r="D1458">
        <f>AutoClaim_Data!A1458</f>
        <v/>
      </c>
      <c r="E1458">
        <f>AutoClaim_Data!B1458</f>
        <v/>
      </c>
      <c r="F1458">
        <f>AutoClaim_Data!C1458</f>
        <v/>
      </c>
      <c r="G1458">
        <f>IF(AutoClaim_Data!D1458&lt;=$B$2,AVERAGEIFS(AutoClaim_Data!C2:C3168,AutoClaim_Data!B2:B3168,"Train",AutoClaim_Data!D2:D3168,"&lt;="&amp;$B$2),AVERAGEIFS(AutoClaim_Data!C2:C3168,AutoClaim_Data!B2:B3168,"Train",AutoClaim_Data!D2:D3168,"&gt;"&amp;$B$2))</f>
        <v/>
      </c>
      <c r="H1458">
        <f>IF(AutoClaim_Data!D1458&lt;=$B$2,IF(AutoClaim_Data!E1458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8">
        <f>(F1458-H1458)^2</f>
        <v/>
      </c>
      <c r="J1458">
        <f>--(E1458="Validation")</f>
        <v/>
      </c>
    </row>
    <row r="1459">
      <c r="D1459">
        <f>AutoClaim_Data!A1459</f>
        <v/>
      </c>
      <c r="E1459">
        <f>AutoClaim_Data!B1459</f>
        <v/>
      </c>
      <c r="F1459">
        <f>AutoClaim_Data!C1459</f>
        <v/>
      </c>
      <c r="G1459">
        <f>IF(AutoClaim_Data!D1459&lt;=$B$2,AVERAGEIFS(AutoClaim_Data!C2:C3168,AutoClaim_Data!B2:B3168,"Train",AutoClaim_Data!D2:D3168,"&lt;="&amp;$B$2),AVERAGEIFS(AutoClaim_Data!C2:C3168,AutoClaim_Data!B2:B3168,"Train",AutoClaim_Data!D2:D3168,"&gt;"&amp;$B$2))</f>
        <v/>
      </c>
      <c r="H1459">
        <f>IF(AutoClaim_Data!D1459&lt;=$B$2,IF(AutoClaim_Data!E1459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59">
        <f>(F1459-H1459)^2</f>
        <v/>
      </c>
      <c r="J1459">
        <f>--(E1459="Validation")</f>
        <v/>
      </c>
    </row>
    <row r="1460">
      <c r="D1460">
        <f>AutoClaim_Data!A1460</f>
        <v/>
      </c>
      <c r="E1460">
        <f>AutoClaim_Data!B1460</f>
        <v/>
      </c>
      <c r="F1460">
        <f>AutoClaim_Data!C1460</f>
        <v/>
      </c>
      <c r="G1460">
        <f>IF(AutoClaim_Data!D1460&lt;=$B$2,AVERAGEIFS(AutoClaim_Data!C2:C3168,AutoClaim_Data!B2:B3168,"Train",AutoClaim_Data!D2:D3168,"&lt;="&amp;$B$2),AVERAGEIFS(AutoClaim_Data!C2:C3168,AutoClaim_Data!B2:B3168,"Train",AutoClaim_Data!D2:D3168,"&gt;"&amp;$B$2))</f>
        <v/>
      </c>
      <c r="H1460">
        <f>IF(AutoClaim_Data!D1460&lt;=$B$2,IF(AutoClaim_Data!E1460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0">
        <f>(F1460-H1460)^2</f>
        <v/>
      </c>
      <c r="J1460">
        <f>--(E1460="Validation")</f>
        <v/>
      </c>
    </row>
    <row r="1461">
      <c r="D1461">
        <f>AutoClaim_Data!A1461</f>
        <v/>
      </c>
      <c r="E1461">
        <f>AutoClaim_Data!B1461</f>
        <v/>
      </c>
      <c r="F1461">
        <f>AutoClaim_Data!C1461</f>
        <v/>
      </c>
      <c r="G1461">
        <f>IF(AutoClaim_Data!D1461&lt;=$B$2,AVERAGEIFS(AutoClaim_Data!C2:C3168,AutoClaim_Data!B2:B3168,"Train",AutoClaim_Data!D2:D3168,"&lt;="&amp;$B$2),AVERAGEIFS(AutoClaim_Data!C2:C3168,AutoClaim_Data!B2:B3168,"Train",AutoClaim_Data!D2:D3168,"&gt;"&amp;$B$2))</f>
        <v/>
      </c>
      <c r="H1461">
        <f>IF(AutoClaim_Data!D1461&lt;=$B$2,IF(AutoClaim_Data!E1461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1">
        <f>(F1461-H1461)^2</f>
        <v/>
      </c>
      <c r="J1461">
        <f>--(E1461="Validation")</f>
        <v/>
      </c>
    </row>
    <row r="1462">
      <c r="D1462">
        <f>AutoClaim_Data!A1462</f>
        <v/>
      </c>
      <c r="E1462">
        <f>AutoClaim_Data!B1462</f>
        <v/>
      </c>
      <c r="F1462">
        <f>AutoClaim_Data!C1462</f>
        <v/>
      </c>
      <c r="G1462">
        <f>IF(AutoClaim_Data!D1462&lt;=$B$2,AVERAGEIFS(AutoClaim_Data!C2:C3168,AutoClaim_Data!B2:B3168,"Train",AutoClaim_Data!D2:D3168,"&lt;="&amp;$B$2),AVERAGEIFS(AutoClaim_Data!C2:C3168,AutoClaim_Data!B2:B3168,"Train",AutoClaim_Data!D2:D3168,"&gt;"&amp;$B$2))</f>
        <v/>
      </c>
      <c r="H1462">
        <f>IF(AutoClaim_Data!D1462&lt;=$B$2,IF(AutoClaim_Data!E1462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2">
        <f>(F1462-H1462)^2</f>
        <v/>
      </c>
      <c r="J1462">
        <f>--(E1462="Validation")</f>
        <v/>
      </c>
    </row>
    <row r="1463">
      <c r="D1463">
        <f>AutoClaim_Data!A1463</f>
        <v/>
      </c>
      <c r="E1463">
        <f>AutoClaim_Data!B1463</f>
        <v/>
      </c>
      <c r="F1463">
        <f>AutoClaim_Data!C1463</f>
        <v/>
      </c>
      <c r="G1463">
        <f>IF(AutoClaim_Data!D1463&lt;=$B$2,AVERAGEIFS(AutoClaim_Data!C2:C3168,AutoClaim_Data!B2:B3168,"Train",AutoClaim_Data!D2:D3168,"&lt;="&amp;$B$2),AVERAGEIFS(AutoClaim_Data!C2:C3168,AutoClaim_Data!B2:B3168,"Train",AutoClaim_Data!D2:D3168,"&gt;"&amp;$B$2))</f>
        <v/>
      </c>
      <c r="H1463">
        <f>IF(AutoClaim_Data!D1463&lt;=$B$2,IF(AutoClaim_Data!E1463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3">
        <f>(F1463-H1463)^2</f>
        <v/>
      </c>
      <c r="J1463">
        <f>--(E1463="Validation")</f>
        <v/>
      </c>
    </row>
    <row r="1464">
      <c r="D1464">
        <f>AutoClaim_Data!A1464</f>
        <v/>
      </c>
      <c r="E1464">
        <f>AutoClaim_Data!B1464</f>
        <v/>
      </c>
      <c r="F1464">
        <f>AutoClaim_Data!C1464</f>
        <v/>
      </c>
      <c r="G1464">
        <f>IF(AutoClaim_Data!D1464&lt;=$B$2,AVERAGEIFS(AutoClaim_Data!C2:C3168,AutoClaim_Data!B2:B3168,"Train",AutoClaim_Data!D2:D3168,"&lt;="&amp;$B$2),AVERAGEIFS(AutoClaim_Data!C2:C3168,AutoClaim_Data!B2:B3168,"Train",AutoClaim_Data!D2:D3168,"&gt;"&amp;$B$2))</f>
        <v/>
      </c>
      <c r="H1464">
        <f>IF(AutoClaim_Data!D1464&lt;=$B$2,IF(AutoClaim_Data!E1464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4">
        <f>(F1464-H1464)^2</f>
        <v/>
      </c>
      <c r="J1464">
        <f>--(E1464="Validation")</f>
        <v/>
      </c>
    </row>
    <row r="1465">
      <c r="D1465">
        <f>AutoClaim_Data!A1465</f>
        <v/>
      </c>
      <c r="E1465">
        <f>AutoClaim_Data!B1465</f>
        <v/>
      </c>
      <c r="F1465">
        <f>AutoClaim_Data!C1465</f>
        <v/>
      </c>
      <c r="G1465">
        <f>IF(AutoClaim_Data!D1465&lt;=$B$2,AVERAGEIFS(AutoClaim_Data!C2:C3168,AutoClaim_Data!B2:B3168,"Train",AutoClaim_Data!D2:D3168,"&lt;="&amp;$B$2),AVERAGEIFS(AutoClaim_Data!C2:C3168,AutoClaim_Data!B2:B3168,"Train",AutoClaim_Data!D2:D3168,"&gt;"&amp;$B$2))</f>
        <v/>
      </c>
      <c r="H1465">
        <f>IF(AutoClaim_Data!D1465&lt;=$B$2,IF(AutoClaim_Data!E1465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5">
        <f>(F1465-H1465)^2</f>
        <v/>
      </c>
      <c r="J1465">
        <f>--(E1465="Validation")</f>
        <v/>
      </c>
    </row>
    <row r="1466">
      <c r="D1466">
        <f>AutoClaim_Data!A1466</f>
        <v/>
      </c>
      <c r="E1466">
        <f>AutoClaim_Data!B1466</f>
        <v/>
      </c>
      <c r="F1466">
        <f>AutoClaim_Data!C1466</f>
        <v/>
      </c>
      <c r="G1466">
        <f>IF(AutoClaim_Data!D1466&lt;=$B$2,AVERAGEIFS(AutoClaim_Data!C2:C3168,AutoClaim_Data!B2:B3168,"Train",AutoClaim_Data!D2:D3168,"&lt;="&amp;$B$2),AVERAGEIFS(AutoClaim_Data!C2:C3168,AutoClaim_Data!B2:B3168,"Train",AutoClaim_Data!D2:D3168,"&gt;"&amp;$B$2))</f>
        <v/>
      </c>
      <c r="H1466">
        <f>IF(AutoClaim_Data!D1466&lt;=$B$2,IF(AutoClaim_Data!E1466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6">
        <f>(F1466-H1466)^2</f>
        <v/>
      </c>
      <c r="J1466">
        <f>--(E1466="Validation")</f>
        <v/>
      </c>
    </row>
    <row r="1467">
      <c r="D1467">
        <f>AutoClaim_Data!A1467</f>
        <v/>
      </c>
      <c r="E1467">
        <f>AutoClaim_Data!B1467</f>
        <v/>
      </c>
      <c r="F1467">
        <f>AutoClaim_Data!C1467</f>
        <v/>
      </c>
      <c r="G1467">
        <f>IF(AutoClaim_Data!D1467&lt;=$B$2,AVERAGEIFS(AutoClaim_Data!C2:C3168,AutoClaim_Data!B2:B3168,"Train",AutoClaim_Data!D2:D3168,"&lt;="&amp;$B$2),AVERAGEIFS(AutoClaim_Data!C2:C3168,AutoClaim_Data!B2:B3168,"Train",AutoClaim_Data!D2:D3168,"&gt;"&amp;$B$2))</f>
        <v/>
      </c>
      <c r="H1467">
        <f>IF(AutoClaim_Data!D1467&lt;=$B$2,IF(AutoClaim_Data!E1467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7">
        <f>(F1467-H1467)^2</f>
        <v/>
      </c>
      <c r="J1467">
        <f>--(E1467="Validation")</f>
        <v/>
      </c>
    </row>
    <row r="1468">
      <c r="D1468">
        <f>AutoClaim_Data!A1468</f>
        <v/>
      </c>
      <c r="E1468">
        <f>AutoClaim_Data!B1468</f>
        <v/>
      </c>
      <c r="F1468">
        <f>AutoClaim_Data!C1468</f>
        <v/>
      </c>
      <c r="G1468">
        <f>IF(AutoClaim_Data!D1468&lt;=$B$2,AVERAGEIFS(AutoClaim_Data!C2:C3168,AutoClaim_Data!B2:B3168,"Train",AutoClaim_Data!D2:D3168,"&lt;="&amp;$B$2),AVERAGEIFS(AutoClaim_Data!C2:C3168,AutoClaim_Data!B2:B3168,"Train",AutoClaim_Data!D2:D3168,"&gt;"&amp;$B$2))</f>
        <v/>
      </c>
      <c r="H1468">
        <f>IF(AutoClaim_Data!D1468&lt;=$B$2,IF(AutoClaim_Data!E1468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8">
        <f>(F1468-H1468)^2</f>
        <v/>
      </c>
      <c r="J1468">
        <f>--(E1468="Validation")</f>
        <v/>
      </c>
    </row>
    <row r="1469">
      <c r="D1469">
        <f>AutoClaim_Data!A1469</f>
        <v/>
      </c>
      <c r="E1469">
        <f>AutoClaim_Data!B1469</f>
        <v/>
      </c>
      <c r="F1469">
        <f>AutoClaim_Data!C1469</f>
        <v/>
      </c>
      <c r="G1469">
        <f>IF(AutoClaim_Data!D1469&lt;=$B$2,AVERAGEIFS(AutoClaim_Data!C2:C3168,AutoClaim_Data!B2:B3168,"Train",AutoClaim_Data!D2:D3168,"&lt;="&amp;$B$2),AVERAGEIFS(AutoClaim_Data!C2:C3168,AutoClaim_Data!B2:B3168,"Train",AutoClaim_Data!D2:D3168,"&gt;"&amp;$B$2))</f>
        <v/>
      </c>
      <c r="H1469">
        <f>IF(AutoClaim_Data!D1469&lt;=$B$2,IF(AutoClaim_Data!E1469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69">
        <f>(F1469-H1469)^2</f>
        <v/>
      </c>
      <c r="J1469">
        <f>--(E1469="Validation")</f>
        <v/>
      </c>
    </row>
    <row r="1470">
      <c r="D1470">
        <f>AutoClaim_Data!A1470</f>
        <v/>
      </c>
      <c r="E1470">
        <f>AutoClaim_Data!B1470</f>
        <v/>
      </c>
      <c r="F1470">
        <f>AutoClaim_Data!C1470</f>
        <v/>
      </c>
      <c r="G1470">
        <f>IF(AutoClaim_Data!D1470&lt;=$B$2,AVERAGEIFS(AutoClaim_Data!C2:C3168,AutoClaim_Data!B2:B3168,"Train",AutoClaim_Data!D2:D3168,"&lt;="&amp;$B$2),AVERAGEIFS(AutoClaim_Data!C2:C3168,AutoClaim_Data!B2:B3168,"Train",AutoClaim_Data!D2:D3168,"&gt;"&amp;$B$2))</f>
        <v/>
      </c>
      <c r="H1470">
        <f>IF(AutoClaim_Data!D1470&lt;=$B$2,IF(AutoClaim_Data!E1470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0">
        <f>(F1470-H1470)^2</f>
        <v/>
      </c>
      <c r="J1470">
        <f>--(E1470="Validation")</f>
        <v/>
      </c>
    </row>
    <row r="1471">
      <c r="D1471">
        <f>AutoClaim_Data!A1471</f>
        <v/>
      </c>
      <c r="E1471">
        <f>AutoClaim_Data!B1471</f>
        <v/>
      </c>
      <c r="F1471">
        <f>AutoClaim_Data!C1471</f>
        <v/>
      </c>
      <c r="G1471">
        <f>IF(AutoClaim_Data!D1471&lt;=$B$2,AVERAGEIFS(AutoClaim_Data!C2:C3168,AutoClaim_Data!B2:B3168,"Train",AutoClaim_Data!D2:D3168,"&lt;="&amp;$B$2),AVERAGEIFS(AutoClaim_Data!C2:C3168,AutoClaim_Data!B2:B3168,"Train",AutoClaim_Data!D2:D3168,"&gt;"&amp;$B$2))</f>
        <v/>
      </c>
      <c r="H1471">
        <f>IF(AutoClaim_Data!D1471&lt;=$B$2,IF(AutoClaim_Data!E1471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1">
        <f>(F1471-H1471)^2</f>
        <v/>
      </c>
      <c r="J1471">
        <f>--(E1471="Validation")</f>
        <v/>
      </c>
    </row>
    <row r="1472">
      <c r="D1472">
        <f>AutoClaim_Data!A1472</f>
        <v/>
      </c>
      <c r="E1472">
        <f>AutoClaim_Data!B1472</f>
        <v/>
      </c>
      <c r="F1472">
        <f>AutoClaim_Data!C1472</f>
        <v/>
      </c>
      <c r="G1472">
        <f>IF(AutoClaim_Data!D1472&lt;=$B$2,AVERAGEIFS(AutoClaim_Data!C2:C3168,AutoClaim_Data!B2:B3168,"Train",AutoClaim_Data!D2:D3168,"&lt;="&amp;$B$2),AVERAGEIFS(AutoClaim_Data!C2:C3168,AutoClaim_Data!B2:B3168,"Train",AutoClaim_Data!D2:D3168,"&gt;"&amp;$B$2))</f>
        <v/>
      </c>
      <c r="H1472">
        <f>IF(AutoClaim_Data!D1472&lt;=$B$2,IF(AutoClaim_Data!E1472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2">
        <f>(F1472-H1472)^2</f>
        <v/>
      </c>
      <c r="J1472">
        <f>--(E1472="Validation")</f>
        <v/>
      </c>
    </row>
    <row r="1473">
      <c r="D1473">
        <f>AutoClaim_Data!A1473</f>
        <v/>
      </c>
      <c r="E1473">
        <f>AutoClaim_Data!B1473</f>
        <v/>
      </c>
      <c r="F1473">
        <f>AutoClaim_Data!C1473</f>
        <v/>
      </c>
      <c r="G1473">
        <f>IF(AutoClaim_Data!D1473&lt;=$B$2,AVERAGEIFS(AutoClaim_Data!C2:C3168,AutoClaim_Data!B2:B3168,"Train",AutoClaim_Data!D2:D3168,"&lt;="&amp;$B$2),AVERAGEIFS(AutoClaim_Data!C2:C3168,AutoClaim_Data!B2:B3168,"Train",AutoClaim_Data!D2:D3168,"&gt;"&amp;$B$2))</f>
        <v/>
      </c>
      <c r="H1473">
        <f>IF(AutoClaim_Data!D1473&lt;=$B$2,IF(AutoClaim_Data!E1473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3">
        <f>(F1473-H1473)^2</f>
        <v/>
      </c>
      <c r="J1473">
        <f>--(E1473="Validation")</f>
        <v/>
      </c>
    </row>
    <row r="1474">
      <c r="D1474">
        <f>AutoClaim_Data!A1474</f>
        <v/>
      </c>
      <c r="E1474">
        <f>AutoClaim_Data!B1474</f>
        <v/>
      </c>
      <c r="F1474">
        <f>AutoClaim_Data!C1474</f>
        <v/>
      </c>
      <c r="G1474">
        <f>IF(AutoClaim_Data!D1474&lt;=$B$2,AVERAGEIFS(AutoClaim_Data!C2:C3168,AutoClaim_Data!B2:B3168,"Train",AutoClaim_Data!D2:D3168,"&lt;="&amp;$B$2),AVERAGEIFS(AutoClaim_Data!C2:C3168,AutoClaim_Data!B2:B3168,"Train",AutoClaim_Data!D2:D3168,"&gt;"&amp;$B$2))</f>
        <v/>
      </c>
      <c r="H1474">
        <f>IF(AutoClaim_Data!D1474&lt;=$B$2,IF(AutoClaim_Data!E1474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4">
        <f>(F1474-H1474)^2</f>
        <v/>
      </c>
      <c r="J1474">
        <f>--(E1474="Validation")</f>
        <v/>
      </c>
    </row>
    <row r="1475">
      <c r="D1475">
        <f>AutoClaim_Data!A1475</f>
        <v/>
      </c>
      <c r="E1475">
        <f>AutoClaim_Data!B1475</f>
        <v/>
      </c>
      <c r="F1475">
        <f>AutoClaim_Data!C1475</f>
        <v/>
      </c>
      <c r="G1475">
        <f>IF(AutoClaim_Data!D1475&lt;=$B$2,AVERAGEIFS(AutoClaim_Data!C2:C3168,AutoClaim_Data!B2:B3168,"Train",AutoClaim_Data!D2:D3168,"&lt;="&amp;$B$2),AVERAGEIFS(AutoClaim_Data!C2:C3168,AutoClaim_Data!B2:B3168,"Train",AutoClaim_Data!D2:D3168,"&gt;"&amp;$B$2))</f>
        <v/>
      </c>
      <c r="H1475">
        <f>IF(AutoClaim_Data!D1475&lt;=$B$2,IF(AutoClaim_Data!E1475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5">
        <f>(F1475-H1475)^2</f>
        <v/>
      </c>
      <c r="J1475">
        <f>--(E1475="Validation")</f>
        <v/>
      </c>
    </row>
    <row r="1476">
      <c r="D1476">
        <f>AutoClaim_Data!A1476</f>
        <v/>
      </c>
      <c r="E1476">
        <f>AutoClaim_Data!B1476</f>
        <v/>
      </c>
      <c r="F1476">
        <f>AutoClaim_Data!C1476</f>
        <v/>
      </c>
      <c r="G1476">
        <f>IF(AutoClaim_Data!D1476&lt;=$B$2,AVERAGEIFS(AutoClaim_Data!C2:C3168,AutoClaim_Data!B2:B3168,"Train",AutoClaim_Data!D2:D3168,"&lt;="&amp;$B$2),AVERAGEIFS(AutoClaim_Data!C2:C3168,AutoClaim_Data!B2:B3168,"Train",AutoClaim_Data!D2:D3168,"&gt;"&amp;$B$2))</f>
        <v/>
      </c>
      <c r="H1476">
        <f>IF(AutoClaim_Data!D1476&lt;=$B$2,IF(AutoClaim_Data!E1476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6">
        <f>(F1476-H1476)^2</f>
        <v/>
      </c>
      <c r="J1476">
        <f>--(E1476="Validation")</f>
        <v/>
      </c>
    </row>
    <row r="1477">
      <c r="D1477">
        <f>AutoClaim_Data!A1477</f>
        <v/>
      </c>
      <c r="E1477">
        <f>AutoClaim_Data!B1477</f>
        <v/>
      </c>
      <c r="F1477">
        <f>AutoClaim_Data!C1477</f>
        <v/>
      </c>
      <c r="G1477">
        <f>IF(AutoClaim_Data!D1477&lt;=$B$2,AVERAGEIFS(AutoClaim_Data!C2:C3168,AutoClaim_Data!B2:B3168,"Train",AutoClaim_Data!D2:D3168,"&lt;="&amp;$B$2),AVERAGEIFS(AutoClaim_Data!C2:C3168,AutoClaim_Data!B2:B3168,"Train",AutoClaim_Data!D2:D3168,"&gt;"&amp;$B$2))</f>
        <v/>
      </c>
      <c r="H1477">
        <f>IF(AutoClaim_Data!D1477&lt;=$B$2,IF(AutoClaim_Data!E1477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7">
        <f>(F1477-H1477)^2</f>
        <v/>
      </c>
      <c r="J1477">
        <f>--(E1477="Validation")</f>
        <v/>
      </c>
    </row>
    <row r="1478">
      <c r="D1478">
        <f>AutoClaim_Data!A1478</f>
        <v/>
      </c>
      <c r="E1478">
        <f>AutoClaim_Data!B1478</f>
        <v/>
      </c>
      <c r="F1478">
        <f>AutoClaim_Data!C1478</f>
        <v/>
      </c>
      <c r="G1478">
        <f>IF(AutoClaim_Data!D1478&lt;=$B$2,AVERAGEIFS(AutoClaim_Data!C2:C3168,AutoClaim_Data!B2:B3168,"Train",AutoClaim_Data!D2:D3168,"&lt;="&amp;$B$2),AVERAGEIFS(AutoClaim_Data!C2:C3168,AutoClaim_Data!B2:B3168,"Train",AutoClaim_Data!D2:D3168,"&gt;"&amp;$B$2))</f>
        <v/>
      </c>
      <c r="H1478">
        <f>IF(AutoClaim_Data!D1478&lt;=$B$2,IF(AutoClaim_Data!E1478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8">
        <f>(F1478-H1478)^2</f>
        <v/>
      </c>
      <c r="J1478">
        <f>--(E1478="Validation")</f>
        <v/>
      </c>
    </row>
    <row r="1479">
      <c r="D1479">
        <f>AutoClaim_Data!A1479</f>
        <v/>
      </c>
      <c r="E1479">
        <f>AutoClaim_Data!B1479</f>
        <v/>
      </c>
      <c r="F1479">
        <f>AutoClaim_Data!C1479</f>
        <v/>
      </c>
      <c r="G1479">
        <f>IF(AutoClaim_Data!D1479&lt;=$B$2,AVERAGEIFS(AutoClaim_Data!C2:C3168,AutoClaim_Data!B2:B3168,"Train",AutoClaim_Data!D2:D3168,"&lt;="&amp;$B$2),AVERAGEIFS(AutoClaim_Data!C2:C3168,AutoClaim_Data!B2:B3168,"Train",AutoClaim_Data!D2:D3168,"&gt;"&amp;$B$2))</f>
        <v/>
      </c>
      <c r="H1479">
        <f>IF(AutoClaim_Data!D1479&lt;=$B$2,IF(AutoClaim_Data!E1479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79">
        <f>(F1479-H1479)^2</f>
        <v/>
      </c>
      <c r="J1479">
        <f>--(E1479="Validation")</f>
        <v/>
      </c>
    </row>
    <row r="1480">
      <c r="D1480">
        <f>AutoClaim_Data!A1480</f>
        <v/>
      </c>
      <c r="E1480">
        <f>AutoClaim_Data!B1480</f>
        <v/>
      </c>
      <c r="F1480">
        <f>AutoClaim_Data!C1480</f>
        <v/>
      </c>
      <c r="G1480">
        <f>IF(AutoClaim_Data!D1480&lt;=$B$2,AVERAGEIFS(AutoClaim_Data!C2:C3168,AutoClaim_Data!B2:B3168,"Train",AutoClaim_Data!D2:D3168,"&lt;="&amp;$B$2),AVERAGEIFS(AutoClaim_Data!C2:C3168,AutoClaim_Data!B2:B3168,"Train",AutoClaim_Data!D2:D3168,"&gt;"&amp;$B$2))</f>
        <v/>
      </c>
      <c r="H1480">
        <f>IF(AutoClaim_Data!D1480&lt;=$B$2,IF(AutoClaim_Data!E1480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0">
        <f>(F1480-H1480)^2</f>
        <v/>
      </c>
      <c r="J1480">
        <f>--(E1480="Validation")</f>
        <v/>
      </c>
    </row>
    <row r="1481">
      <c r="D1481">
        <f>AutoClaim_Data!A1481</f>
        <v/>
      </c>
      <c r="E1481">
        <f>AutoClaim_Data!B1481</f>
        <v/>
      </c>
      <c r="F1481">
        <f>AutoClaim_Data!C1481</f>
        <v/>
      </c>
      <c r="G1481">
        <f>IF(AutoClaim_Data!D1481&lt;=$B$2,AVERAGEIFS(AutoClaim_Data!C2:C3168,AutoClaim_Data!B2:B3168,"Train",AutoClaim_Data!D2:D3168,"&lt;="&amp;$B$2),AVERAGEIFS(AutoClaim_Data!C2:C3168,AutoClaim_Data!B2:B3168,"Train",AutoClaim_Data!D2:D3168,"&gt;"&amp;$B$2))</f>
        <v/>
      </c>
      <c r="H1481">
        <f>IF(AutoClaim_Data!D1481&lt;=$B$2,IF(AutoClaim_Data!E1481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1">
        <f>(F1481-H1481)^2</f>
        <v/>
      </c>
      <c r="J1481">
        <f>--(E1481="Validation")</f>
        <v/>
      </c>
    </row>
    <row r="1482">
      <c r="D1482">
        <f>AutoClaim_Data!A1482</f>
        <v/>
      </c>
      <c r="E1482">
        <f>AutoClaim_Data!B1482</f>
        <v/>
      </c>
      <c r="F1482">
        <f>AutoClaim_Data!C1482</f>
        <v/>
      </c>
      <c r="G1482">
        <f>IF(AutoClaim_Data!D1482&lt;=$B$2,AVERAGEIFS(AutoClaim_Data!C2:C3168,AutoClaim_Data!B2:B3168,"Train",AutoClaim_Data!D2:D3168,"&lt;="&amp;$B$2),AVERAGEIFS(AutoClaim_Data!C2:C3168,AutoClaim_Data!B2:B3168,"Train",AutoClaim_Data!D2:D3168,"&gt;"&amp;$B$2))</f>
        <v/>
      </c>
      <c r="H1482">
        <f>IF(AutoClaim_Data!D1482&lt;=$B$2,IF(AutoClaim_Data!E1482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2">
        <f>(F1482-H1482)^2</f>
        <v/>
      </c>
      <c r="J1482">
        <f>--(E1482="Validation")</f>
        <v/>
      </c>
    </row>
    <row r="1483">
      <c r="D1483">
        <f>AutoClaim_Data!A1483</f>
        <v/>
      </c>
      <c r="E1483">
        <f>AutoClaim_Data!B1483</f>
        <v/>
      </c>
      <c r="F1483">
        <f>AutoClaim_Data!C1483</f>
        <v/>
      </c>
      <c r="G1483">
        <f>IF(AutoClaim_Data!D1483&lt;=$B$2,AVERAGEIFS(AutoClaim_Data!C2:C3168,AutoClaim_Data!B2:B3168,"Train",AutoClaim_Data!D2:D3168,"&lt;="&amp;$B$2),AVERAGEIFS(AutoClaim_Data!C2:C3168,AutoClaim_Data!B2:B3168,"Train",AutoClaim_Data!D2:D3168,"&gt;"&amp;$B$2))</f>
        <v/>
      </c>
      <c r="H1483">
        <f>IF(AutoClaim_Data!D1483&lt;=$B$2,IF(AutoClaim_Data!E1483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3">
        <f>(F1483-H1483)^2</f>
        <v/>
      </c>
      <c r="J1483">
        <f>--(E1483="Validation")</f>
        <v/>
      </c>
    </row>
    <row r="1484">
      <c r="D1484">
        <f>AutoClaim_Data!A1484</f>
        <v/>
      </c>
      <c r="E1484">
        <f>AutoClaim_Data!B1484</f>
        <v/>
      </c>
      <c r="F1484">
        <f>AutoClaim_Data!C1484</f>
        <v/>
      </c>
      <c r="G1484">
        <f>IF(AutoClaim_Data!D1484&lt;=$B$2,AVERAGEIFS(AutoClaim_Data!C2:C3168,AutoClaim_Data!B2:B3168,"Train",AutoClaim_Data!D2:D3168,"&lt;="&amp;$B$2),AVERAGEIFS(AutoClaim_Data!C2:C3168,AutoClaim_Data!B2:B3168,"Train",AutoClaim_Data!D2:D3168,"&gt;"&amp;$B$2))</f>
        <v/>
      </c>
      <c r="H1484">
        <f>IF(AutoClaim_Data!D1484&lt;=$B$2,IF(AutoClaim_Data!E1484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4">
        <f>(F1484-H1484)^2</f>
        <v/>
      </c>
      <c r="J1484">
        <f>--(E1484="Validation")</f>
        <v/>
      </c>
    </row>
    <row r="1485">
      <c r="D1485">
        <f>AutoClaim_Data!A1485</f>
        <v/>
      </c>
      <c r="E1485">
        <f>AutoClaim_Data!B1485</f>
        <v/>
      </c>
      <c r="F1485">
        <f>AutoClaim_Data!C1485</f>
        <v/>
      </c>
      <c r="G1485">
        <f>IF(AutoClaim_Data!D1485&lt;=$B$2,AVERAGEIFS(AutoClaim_Data!C2:C3168,AutoClaim_Data!B2:B3168,"Train",AutoClaim_Data!D2:D3168,"&lt;="&amp;$B$2),AVERAGEIFS(AutoClaim_Data!C2:C3168,AutoClaim_Data!B2:B3168,"Train",AutoClaim_Data!D2:D3168,"&gt;"&amp;$B$2))</f>
        <v/>
      </c>
      <c r="H1485">
        <f>IF(AutoClaim_Data!D1485&lt;=$B$2,IF(AutoClaim_Data!E1485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5">
        <f>(F1485-H1485)^2</f>
        <v/>
      </c>
      <c r="J1485">
        <f>--(E1485="Validation")</f>
        <v/>
      </c>
    </row>
    <row r="1486">
      <c r="D1486">
        <f>AutoClaim_Data!A1486</f>
        <v/>
      </c>
      <c r="E1486">
        <f>AutoClaim_Data!B1486</f>
        <v/>
      </c>
      <c r="F1486">
        <f>AutoClaim_Data!C1486</f>
        <v/>
      </c>
      <c r="G1486">
        <f>IF(AutoClaim_Data!D1486&lt;=$B$2,AVERAGEIFS(AutoClaim_Data!C2:C3168,AutoClaim_Data!B2:B3168,"Train",AutoClaim_Data!D2:D3168,"&lt;="&amp;$B$2),AVERAGEIFS(AutoClaim_Data!C2:C3168,AutoClaim_Data!B2:B3168,"Train",AutoClaim_Data!D2:D3168,"&gt;"&amp;$B$2))</f>
        <v/>
      </c>
      <c r="H1486">
        <f>IF(AutoClaim_Data!D1486&lt;=$B$2,IF(AutoClaim_Data!E1486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6">
        <f>(F1486-H1486)^2</f>
        <v/>
      </c>
      <c r="J1486">
        <f>--(E1486="Validation")</f>
        <v/>
      </c>
    </row>
    <row r="1487">
      <c r="D1487">
        <f>AutoClaim_Data!A1487</f>
        <v/>
      </c>
      <c r="E1487">
        <f>AutoClaim_Data!B1487</f>
        <v/>
      </c>
      <c r="F1487">
        <f>AutoClaim_Data!C1487</f>
        <v/>
      </c>
      <c r="G1487">
        <f>IF(AutoClaim_Data!D1487&lt;=$B$2,AVERAGEIFS(AutoClaim_Data!C2:C3168,AutoClaim_Data!B2:B3168,"Train",AutoClaim_Data!D2:D3168,"&lt;="&amp;$B$2),AVERAGEIFS(AutoClaim_Data!C2:C3168,AutoClaim_Data!B2:B3168,"Train",AutoClaim_Data!D2:D3168,"&gt;"&amp;$B$2))</f>
        <v/>
      </c>
      <c r="H1487">
        <f>IF(AutoClaim_Data!D1487&lt;=$B$2,IF(AutoClaim_Data!E1487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7">
        <f>(F1487-H1487)^2</f>
        <v/>
      </c>
      <c r="J1487">
        <f>--(E1487="Validation")</f>
        <v/>
      </c>
    </row>
    <row r="1488">
      <c r="D1488">
        <f>AutoClaim_Data!A1488</f>
        <v/>
      </c>
      <c r="E1488">
        <f>AutoClaim_Data!B1488</f>
        <v/>
      </c>
      <c r="F1488">
        <f>AutoClaim_Data!C1488</f>
        <v/>
      </c>
      <c r="G1488">
        <f>IF(AutoClaim_Data!D1488&lt;=$B$2,AVERAGEIFS(AutoClaim_Data!C2:C3168,AutoClaim_Data!B2:B3168,"Train",AutoClaim_Data!D2:D3168,"&lt;="&amp;$B$2),AVERAGEIFS(AutoClaim_Data!C2:C3168,AutoClaim_Data!B2:B3168,"Train",AutoClaim_Data!D2:D3168,"&gt;"&amp;$B$2))</f>
        <v/>
      </c>
      <c r="H1488">
        <f>IF(AutoClaim_Data!D1488&lt;=$B$2,IF(AutoClaim_Data!E1488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8">
        <f>(F1488-H1488)^2</f>
        <v/>
      </c>
      <c r="J1488">
        <f>--(E1488="Validation")</f>
        <v/>
      </c>
    </row>
    <row r="1489">
      <c r="D1489">
        <f>AutoClaim_Data!A1489</f>
        <v/>
      </c>
      <c r="E1489">
        <f>AutoClaim_Data!B1489</f>
        <v/>
      </c>
      <c r="F1489">
        <f>AutoClaim_Data!C1489</f>
        <v/>
      </c>
      <c r="G1489">
        <f>IF(AutoClaim_Data!D1489&lt;=$B$2,AVERAGEIFS(AutoClaim_Data!C2:C3168,AutoClaim_Data!B2:B3168,"Train",AutoClaim_Data!D2:D3168,"&lt;="&amp;$B$2),AVERAGEIFS(AutoClaim_Data!C2:C3168,AutoClaim_Data!B2:B3168,"Train",AutoClaim_Data!D2:D3168,"&gt;"&amp;$B$2))</f>
        <v/>
      </c>
      <c r="H1489">
        <f>IF(AutoClaim_Data!D1489&lt;=$B$2,IF(AutoClaim_Data!E1489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89">
        <f>(F1489-H1489)^2</f>
        <v/>
      </c>
      <c r="J1489">
        <f>--(E1489="Validation")</f>
        <v/>
      </c>
    </row>
    <row r="1490">
      <c r="D1490">
        <f>AutoClaim_Data!A1490</f>
        <v/>
      </c>
      <c r="E1490">
        <f>AutoClaim_Data!B1490</f>
        <v/>
      </c>
      <c r="F1490">
        <f>AutoClaim_Data!C1490</f>
        <v/>
      </c>
      <c r="G1490">
        <f>IF(AutoClaim_Data!D1490&lt;=$B$2,AVERAGEIFS(AutoClaim_Data!C2:C3168,AutoClaim_Data!B2:B3168,"Train",AutoClaim_Data!D2:D3168,"&lt;="&amp;$B$2),AVERAGEIFS(AutoClaim_Data!C2:C3168,AutoClaim_Data!B2:B3168,"Train",AutoClaim_Data!D2:D3168,"&gt;"&amp;$B$2))</f>
        <v/>
      </c>
      <c r="H1490">
        <f>IF(AutoClaim_Data!D1490&lt;=$B$2,IF(AutoClaim_Data!E1490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0">
        <f>(F1490-H1490)^2</f>
        <v/>
      </c>
      <c r="J1490">
        <f>--(E1490="Validation")</f>
        <v/>
      </c>
    </row>
    <row r="1491">
      <c r="D1491">
        <f>AutoClaim_Data!A1491</f>
        <v/>
      </c>
      <c r="E1491">
        <f>AutoClaim_Data!B1491</f>
        <v/>
      </c>
      <c r="F1491">
        <f>AutoClaim_Data!C1491</f>
        <v/>
      </c>
      <c r="G1491">
        <f>IF(AutoClaim_Data!D1491&lt;=$B$2,AVERAGEIFS(AutoClaim_Data!C2:C3168,AutoClaim_Data!B2:B3168,"Train",AutoClaim_Data!D2:D3168,"&lt;="&amp;$B$2),AVERAGEIFS(AutoClaim_Data!C2:C3168,AutoClaim_Data!B2:B3168,"Train",AutoClaim_Data!D2:D3168,"&gt;"&amp;$B$2))</f>
        <v/>
      </c>
      <c r="H1491">
        <f>IF(AutoClaim_Data!D1491&lt;=$B$2,IF(AutoClaim_Data!E1491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1">
        <f>(F1491-H1491)^2</f>
        <v/>
      </c>
      <c r="J1491">
        <f>--(E1491="Validation")</f>
        <v/>
      </c>
    </row>
    <row r="1492">
      <c r="D1492">
        <f>AutoClaim_Data!A1492</f>
        <v/>
      </c>
      <c r="E1492">
        <f>AutoClaim_Data!B1492</f>
        <v/>
      </c>
      <c r="F1492">
        <f>AutoClaim_Data!C1492</f>
        <v/>
      </c>
      <c r="G1492">
        <f>IF(AutoClaim_Data!D1492&lt;=$B$2,AVERAGEIFS(AutoClaim_Data!C2:C3168,AutoClaim_Data!B2:B3168,"Train",AutoClaim_Data!D2:D3168,"&lt;="&amp;$B$2),AVERAGEIFS(AutoClaim_Data!C2:C3168,AutoClaim_Data!B2:B3168,"Train",AutoClaim_Data!D2:D3168,"&gt;"&amp;$B$2))</f>
        <v/>
      </c>
      <c r="H1492">
        <f>IF(AutoClaim_Data!D1492&lt;=$B$2,IF(AutoClaim_Data!E1492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2">
        <f>(F1492-H1492)^2</f>
        <v/>
      </c>
      <c r="J1492">
        <f>--(E1492="Validation")</f>
        <v/>
      </c>
    </row>
    <row r="1493">
      <c r="D1493">
        <f>AutoClaim_Data!A1493</f>
        <v/>
      </c>
      <c r="E1493">
        <f>AutoClaim_Data!B1493</f>
        <v/>
      </c>
      <c r="F1493">
        <f>AutoClaim_Data!C1493</f>
        <v/>
      </c>
      <c r="G1493">
        <f>IF(AutoClaim_Data!D1493&lt;=$B$2,AVERAGEIFS(AutoClaim_Data!C2:C3168,AutoClaim_Data!B2:B3168,"Train",AutoClaim_Data!D2:D3168,"&lt;="&amp;$B$2),AVERAGEIFS(AutoClaim_Data!C2:C3168,AutoClaim_Data!B2:B3168,"Train",AutoClaim_Data!D2:D3168,"&gt;"&amp;$B$2))</f>
        <v/>
      </c>
      <c r="H1493">
        <f>IF(AutoClaim_Data!D1493&lt;=$B$2,IF(AutoClaim_Data!E1493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3">
        <f>(F1493-H1493)^2</f>
        <v/>
      </c>
      <c r="J1493">
        <f>--(E1493="Validation")</f>
        <v/>
      </c>
    </row>
    <row r="1494">
      <c r="D1494">
        <f>AutoClaim_Data!A1494</f>
        <v/>
      </c>
      <c r="E1494">
        <f>AutoClaim_Data!B1494</f>
        <v/>
      </c>
      <c r="F1494">
        <f>AutoClaim_Data!C1494</f>
        <v/>
      </c>
      <c r="G1494">
        <f>IF(AutoClaim_Data!D1494&lt;=$B$2,AVERAGEIFS(AutoClaim_Data!C2:C3168,AutoClaim_Data!B2:B3168,"Train",AutoClaim_Data!D2:D3168,"&lt;="&amp;$B$2),AVERAGEIFS(AutoClaim_Data!C2:C3168,AutoClaim_Data!B2:B3168,"Train",AutoClaim_Data!D2:D3168,"&gt;"&amp;$B$2))</f>
        <v/>
      </c>
      <c r="H1494">
        <f>IF(AutoClaim_Data!D1494&lt;=$B$2,IF(AutoClaim_Data!E1494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4">
        <f>(F1494-H1494)^2</f>
        <v/>
      </c>
      <c r="J1494">
        <f>--(E1494="Validation")</f>
        <v/>
      </c>
    </row>
    <row r="1495">
      <c r="D1495">
        <f>AutoClaim_Data!A1495</f>
        <v/>
      </c>
      <c r="E1495">
        <f>AutoClaim_Data!B1495</f>
        <v/>
      </c>
      <c r="F1495">
        <f>AutoClaim_Data!C1495</f>
        <v/>
      </c>
      <c r="G1495">
        <f>IF(AutoClaim_Data!D1495&lt;=$B$2,AVERAGEIFS(AutoClaim_Data!C2:C3168,AutoClaim_Data!B2:B3168,"Train",AutoClaim_Data!D2:D3168,"&lt;="&amp;$B$2),AVERAGEIFS(AutoClaim_Data!C2:C3168,AutoClaim_Data!B2:B3168,"Train",AutoClaim_Data!D2:D3168,"&gt;"&amp;$B$2))</f>
        <v/>
      </c>
      <c r="H1495">
        <f>IF(AutoClaim_Data!D1495&lt;=$B$2,IF(AutoClaim_Data!E1495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5">
        <f>(F1495-H1495)^2</f>
        <v/>
      </c>
      <c r="J1495">
        <f>--(E1495="Validation")</f>
        <v/>
      </c>
    </row>
    <row r="1496">
      <c r="D1496">
        <f>AutoClaim_Data!A1496</f>
        <v/>
      </c>
      <c r="E1496">
        <f>AutoClaim_Data!B1496</f>
        <v/>
      </c>
      <c r="F1496">
        <f>AutoClaim_Data!C1496</f>
        <v/>
      </c>
      <c r="G1496">
        <f>IF(AutoClaim_Data!D1496&lt;=$B$2,AVERAGEIFS(AutoClaim_Data!C2:C3168,AutoClaim_Data!B2:B3168,"Train",AutoClaim_Data!D2:D3168,"&lt;="&amp;$B$2),AVERAGEIFS(AutoClaim_Data!C2:C3168,AutoClaim_Data!B2:B3168,"Train",AutoClaim_Data!D2:D3168,"&gt;"&amp;$B$2))</f>
        <v/>
      </c>
      <c r="H1496">
        <f>IF(AutoClaim_Data!D1496&lt;=$B$2,IF(AutoClaim_Data!E1496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6">
        <f>(F1496-H1496)^2</f>
        <v/>
      </c>
      <c r="J1496">
        <f>--(E1496="Validation")</f>
        <v/>
      </c>
    </row>
    <row r="1497">
      <c r="D1497">
        <f>AutoClaim_Data!A1497</f>
        <v/>
      </c>
      <c r="E1497">
        <f>AutoClaim_Data!B1497</f>
        <v/>
      </c>
      <c r="F1497">
        <f>AutoClaim_Data!C1497</f>
        <v/>
      </c>
      <c r="G1497">
        <f>IF(AutoClaim_Data!D1497&lt;=$B$2,AVERAGEIFS(AutoClaim_Data!C2:C3168,AutoClaim_Data!B2:B3168,"Train",AutoClaim_Data!D2:D3168,"&lt;="&amp;$B$2),AVERAGEIFS(AutoClaim_Data!C2:C3168,AutoClaim_Data!B2:B3168,"Train",AutoClaim_Data!D2:D3168,"&gt;"&amp;$B$2))</f>
        <v/>
      </c>
      <c r="H1497">
        <f>IF(AutoClaim_Data!D1497&lt;=$B$2,IF(AutoClaim_Data!E1497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7">
        <f>(F1497-H1497)^2</f>
        <v/>
      </c>
      <c r="J1497">
        <f>--(E1497="Validation")</f>
        <v/>
      </c>
    </row>
    <row r="1498">
      <c r="D1498">
        <f>AutoClaim_Data!A1498</f>
        <v/>
      </c>
      <c r="E1498">
        <f>AutoClaim_Data!B1498</f>
        <v/>
      </c>
      <c r="F1498">
        <f>AutoClaim_Data!C1498</f>
        <v/>
      </c>
      <c r="G1498">
        <f>IF(AutoClaim_Data!D1498&lt;=$B$2,AVERAGEIFS(AutoClaim_Data!C2:C3168,AutoClaim_Data!B2:B3168,"Train",AutoClaim_Data!D2:D3168,"&lt;="&amp;$B$2),AVERAGEIFS(AutoClaim_Data!C2:C3168,AutoClaim_Data!B2:B3168,"Train",AutoClaim_Data!D2:D3168,"&gt;"&amp;$B$2))</f>
        <v/>
      </c>
      <c r="H1498">
        <f>IF(AutoClaim_Data!D1498&lt;=$B$2,IF(AutoClaim_Data!E1498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8">
        <f>(F1498-H1498)^2</f>
        <v/>
      </c>
      <c r="J1498">
        <f>--(E1498="Validation")</f>
        <v/>
      </c>
    </row>
    <row r="1499">
      <c r="D1499">
        <f>AutoClaim_Data!A1499</f>
        <v/>
      </c>
      <c r="E1499">
        <f>AutoClaim_Data!B1499</f>
        <v/>
      </c>
      <c r="F1499">
        <f>AutoClaim_Data!C1499</f>
        <v/>
      </c>
      <c r="G1499">
        <f>IF(AutoClaim_Data!D1499&lt;=$B$2,AVERAGEIFS(AutoClaim_Data!C2:C3168,AutoClaim_Data!B2:B3168,"Train",AutoClaim_Data!D2:D3168,"&lt;="&amp;$B$2),AVERAGEIFS(AutoClaim_Data!C2:C3168,AutoClaim_Data!B2:B3168,"Train",AutoClaim_Data!D2:D3168,"&gt;"&amp;$B$2))</f>
        <v/>
      </c>
      <c r="H1499">
        <f>IF(AutoClaim_Data!D1499&lt;=$B$2,IF(AutoClaim_Data!E1499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1499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499">
        <f>(F1499-H1499)^2</f>
        <v/>
      </c>
      <c r="J1499">
        <f>--(E1499="Validation")</f>
        <v/>
      </c>
    </row>
    <row r="1500">
      <c r="D1500">
        <f>AutoClaim_Data!A1500</f>
        <v/>
      </c>
      <c r="E1500">
        <f>AutoClaim_Data!B1500</f>
        <v/>
      </c>
      <c r="F1500">
        <f>AutoClaim_Data!C1500</f>
        <v/>
      </c>
      <c r="G1500">
        <f>IF(AutoClaim_Data!D1500&lt;=$B$2,AVERAGEIFS(AutoClaim_Data!C2:C3168,AutoClaim_Data!B2:B3168,"Train",AutoClaim_Data!D2:D3168,"&lt;="&amp;$B$2),AVERAGEIFS(AutoClaim_Data!C2:C3168,AutoClaim_Data!B2:B3168,"Train",AutoClaim_Data!D2:D3168,"&gt;"&amp;$B$2))</f>
        <v/>
      </c>
      <c r="H1500">
        <f>IF(AutoClaim_Data!D1500&lt;=$B$2,IF(AutoClaim_Data!E1500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0">
        <f>(F1500-H1500)^2</f>
        <v/>
      </c>
      <c r="J1500">
        <f>--(E1500="Validation")</f>
        <v/>
      </c>
    </row>
    <row r="1501">
      <c r="D1501">
        <f>AutoClaim_Data!A1501</f>
        <v/>
      </c>
      <c r="E1501">
        <f>AutoClaim_Data!B1501</f>
        <v/>
      </c>
      <c r="F1501">
        <f>AutoClaim_Data!C1501</f>
        <v/>
      </c>
      <c r="G1501">
        <f>IF(AutoClaim_Data!D1501&lt;=$B$2,AVERAGEIFS(AutoClaim_Data!C2:C3168,AutoClaim_Data!B2:B3168,"Train",AutoClaim_Data!D2:D3168,"&lt;="&amp;$B$2),AVERAGEIFS(AutoClaim_Data!C2:C3168,AutoClaim_Data!B2:B3168,"Train",AutoClaim_Data!D2:D3168,"&gt;"&amp;$B$2))</f>
        <v/>
      </c>
      <c r="H1501">
        <f>IF(AutoClaim_Data!D1501&lt;=$B$2,IF(AutoClaim_Data!E1501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1">
        <f>(F1501-H1501)^2</f>
        <v/>
      </c>
      <c r="J1501">
        <f>--(E1501="Validation")</f>
        <v/>
      </c>
    </row>
    <row r="1502">
      <c r="D1502">
        <f>AutoClaim_Data!A1502</f>
        <v/>
      </c>
      <c r="E1502">
        <f>AutoClaim_Data!B1502</f>
        <v/>
      </c>
      <c r="F1502">
        <f>AutoClaim_Data!C1502</f>
        <v/>
      </c>
      <c r="G1502">
        <f>IF(AutoClaim_Data!D1502&lt;=$B$2,AVERAGEIFS(AutoClaim_Data!C2:C3168,AutoClaim_Data!B2:B3168,"Train",AutoClaim_Data!D2:D3168,"&lt;="&amp;$B$2),AVERAGEIFS(AutoClaim_Data!C2:C3168,AutoClaim_Data!B2:B3168,"Train",AutoClaim_Data!D2:D3168,"&gt;"&amp;$B$2))</f>
        <v/>
      </c>
      <c r="H1502">
        <f>IF(AutoClaim_Data!D1502&lt;=$B$2,IF(AutoClaim_Data!E1502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2">
        <f>(F1502-H1502)^2</f>
        <v/>
      </c>
      <c r="J1502">
        <f>--(E1502="Validation")</f>
        <v/>
      </c>
    </row>
    <row r="1503">
      <c r="D1503">
        <f>AutoClaim_Data!A1503</f>
        <v/>
      </c>
      <c r="E1503">
        <f>AutoClaim_Data!B1503</f>
        <v/>
      </c>
      <c r="F1503">
        <f>AutoClaim_Data!C1503</f>
        <v/>
      </c>
      <c r="G1503">
        <f>IF(AutoClaim_Data!D1503&lt;=$B$2,AVERAGEIFS(AutoClaim_Data!C2:C3168,AutoClaim_Data!B2:B3168,"Train",AutoClaim_Data!D2:D3168,"&lt;="&amp;$B$2),AVERAGEIFS(AutoClaim_Data!C2:C3168,AutoClaim_Data!B2:B3168,"Train",AutoClaim_Data!D2:D3168,"&gt;"&amp;$B$2))</f>
        <v/>
      </c>
      <c r="H1503">
        <f>IF(AutoClaim_Data!D1503&lt;=$B$2,IF(AutoClaim_Data!E1503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3">
        <f>(F1503-H1503)^2</f>
        <v/>
      </c>
      <c r="J1503">
        <f>--(E1503="Validation")</f>
        <v/>
      </c>
    </row>
    <row r="1504">
      <c r="D1504">
        <f>AutoClaim_Data!A1504</f>
        <v/>
      </c>
      <c r="E1504">
        <f>AutoClaim_Data!B1504</f>
        <v/>
      </c>
      <c r="F1504">
        <f>AutoClaim_Data!C1504</f>
        <v/>
      </c>
      <c r="G1504">
        <f>IF(AutoClaim_Data!D1504&lt;=$B$2,AVERAGEIFS(AutoClaim_Data!C2:C3168,AutoClaim_Data!B2:B3168,"Train",AutoClaim_Data!D2:D3168,"&lt;="&amp;$B$2),AVERAGEIFS(AutoClaim_Data!C2:C3168,AutoClaim_Data!B2:B3168,"Train",AutoClaim_Data!D2:D3168,"&gt;"&amp;$B$2))</f>
        <v/>
      </c>
      <c r="H1504">
        <f>IF(AutoClaim_Data!D1504&lt;=$B$2,IF(AutoClaim_Data!E1504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4">
        <f>(F1504-H1504)^2</f>
        <v/>
      </c>
      <c r="J1504">
        <f>--(E1504="Validation")</f>
        <v/>
      </c>
    </row>
    <row r="1505">
      <c r="D1505">
        <f>AutoClaim_Data!A1505</f>
        <v/>
      </c>
      <c r="E1505">
        <f>AutoClaim_Data!B1505</f>
        <v/>
      </c>
      <c r="F1505">
        <f>AutoClaim_Data!C1505</f>
        <v/>
      </c>
      <c r="G1505">
        <f>IF(AutoClaim_Data!D1505&lt;=$B$2,AVERAGEIFS(AutoClaim_Data!C2:C3168,AutoClaim_Data!B2:B3168,"Train",AutoClaim_Data!D2:D3168,"&lt;="&amp;$B$2),AVERAGEIFS(AutoClaim_Data!C2:C3168,AutoClaim_Data!B2:B3168,"Train",AutoClaim_Data!D2:D3168,"&gt;"&amp;$B$2))</f>
        <v/>
      </c>
      <c r="H1505">
        <f>IF(AutoClaim_Data!D1505&lt;=$B$2,IF(AutoClaim_Data!E1505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5">
        <f>(F1505-H1505)^2</f>
        <v/>
      </c>
      <c r="J1505">
        <f>--(E1505="Validation")</f>
        <v/>
      </c>
    </row>
    <row r="1506">
      <c r="D1506">
        <f>AutoClaim_Data!A1506</f>
        <v/>
      </c>
      <c r="E1506">
        <f>AutoClaim_Data!B1506</f>
        <v/>
      </c>
      <c r="F1506">
        <f>AutoClaim_Data!C1506</f>
        <v/>
      </c>
      <c r="G1506">
        <f>IF(AutoClaim_Data!D1506&lt;=$B$2,AVERAGEIFS(AutoClaim_Data!C2:C3168,AutoClaim_Data!B2:B3168,"Train",AutoClaim_Data!D2:D3168,"&lt;="&amp;$B$2),AVERAGEIFS(AutoClaim_Data!C2:C3168,AutoClaim_Data!B2:B3168,"Train",AutoClaim_Data!D2:D3168,"&gt;"&amp;$B$2))</f>
        <v/>
      </c>
      <c r="H1506">
        <f>IF(AutoClaim_Data!D1506&lt;=$B$2,IF(AutoClaim_Data!E1506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6">
        <f>(F1506-H1506)^2</f>
        <v/>
      </c>
      <c r="J1506">
        <f>--(E1506="Validation")</f>
        <v/>
      </c>
    </row>
    <row r="1507">
      <c r="D1507">
        <f>AutoClaim_Data!A1507</f>
        <v/>
      </c>
      <c r="E1507">
        <f>AutoClaim_Data!B1507</f>
        <v/>
      </c>
      <c r="F1507">
        <f>AutoClaim_Data!C1507</f>
        <v/>
      </c>
      <c r="G1507">
        <f>IF(AutoClaim_Data!D1507&lt;=$B$2,AVERAGEIFS(AutoClaim_Data!C2:C3168,AutoClaim_Data!B2:B3168,"Train",AutoClaim_Data!D2:D3168,"&lt;="&amp;$B$2),AVERAGEIFS(AutoClaim_Data!C2:C3168,AutoClaim_Data!B2:B3168,"Train",AutoClaim_Data!D2:D3168,"&gt;"&amp;$B$2))</f>
        <v/>
      </c>
      <c r="H1507">
        <f>IF(AutoClaim_Data!D1507&lt;=$B$2,IF(AutoClaim_Data!E1507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7">
        <f>(F1507-H1507)^2</f>
        <v/>
      </c>
      <c r="J1507">
        <f>--(E1507="Validation")</f>
        <v/>
      </c>
    </row>
    <row r="1508">
      <c r="D1508">
        <f>AutoClaim_Data!A1508</f>
        <v/>
      </c>
      <c r="E1508">
        <f>AutoClaim_Data!B1508</f>
        <v/>
      </c>
      <c r="F1508">
        <f>AutoClaim_Data!C1508</f>
        <v/>
      </c>
      <c r="G1508">
        <f>IF(AutoClaim_Data!D1508&lt;=$B$2,AVERAGEIFS(AutoClaim_Data!C2:C3168,AutoClaim_Data!B2:B3168,"Train",AutoClaim_Data!D2:D3168,"&lt;="&amp;$B$2),AVERAGEIFS(AutoClaim_Data!C2:C3168,AutoClaim_Data!B2:B3168,"Train",AutoClaim_Data!D2:D3168,"&gt;"&amp;$B$2))</f>
        <v/>
      </c>
      <c r="H1508">
        <f>IF(AutoClaim_Data!D1508&lt;=$B$2,IF(AutoClaim_Data!E1508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8">
        <f>(F1508-H1508)^2</f>
        <v/>
      </c>
      <c r="J1508">
        <f>--(E1508="Validation")</f>
        <v/>
      </c>
    </row>
    <row r="1509">
      <c r="D1509">
        <f>AutoClaim_Data!A1509</f>
        <v/>
      </c>
      <c r="E1509">
        <f>AutoClaim_Data!B1509</f>
        <v/>
      </c>
      <c r="F1509">
        <f>AutoClaim_Data!C1509</f>
        <v/>
      </c>
      <c r="G1509">
        <f>IF(AutoClaim_Data!D1509&lt;=$B$2,AVERAGEIFS(AutoClaim_Data!C2:C3168,AutoClaim_Data!B2:B3168,"Train",AutoClaim_Data!D2:D3168,"&lt;="&amp;$B$2),AVERAGEIFS(AutoClaim_Data!C2:C3168,AutoClaim_Data!B2:B3168,"Train",AutoClaim_Data!D2:D3168,"&gt;"&amp;$B$2))</f>
        <v/>
      </c>
      <c r="H1509">
        <f>IF(AutoClaim_Data!D1509&lt;=$B$2,IF(AutoClaim_Data!E1509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09">
        <f>(F1509-H1509)^2</f>
        <v/>
      </c>
      <c r="J1509">
        <f>--(E1509="Validation")</f>
        <v/>
      </c>
    </row>
    <row r="1510">
      <c r="D1510">
        <f>AutoClaim_Data!A1510</f>
        <v/>
      </c>
      <c r="E1510">
        <f>AutoClaim_Data!B1510</f>
        <v/>
      </c>
      <c r="F1510">
        <f>AutoClaim_Data!C1510</f>
        <v/>
      </c>
      <c r="G1510">
        <f>IF(AutoClaim_Data!D1510&lt;=$B$2,AVERAGEIFS(AutoClaim_Data!C2:C3168,AutoClaim_Data!B2:B3168,"Train",AutoClaim_Data!D2:D3168,"&lt;="&amp;$B$2),AVERAGEIFS(AutoClaim_Data!C2:C3168,AutoClaim_Data!B2:B3168,"Train",AutoClaim_Data!D2:D3168,"&gt;"&amp;$B$2))</f>
        <v/>
      </c>
      <c r="H1510">
        <f>IF(AutoClaim_Data!D1510&lt;=$B$2,IF(AutoClaim_Data!E1510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0">
        <f>(F1510-H1510)^2</f>
        <v/>
      </c>
      <c r="J1510">
        <f>--(E1510="Validation")</f>
        <v/>
      </c>
    </row>
    <row r="1511">
      <c r="D1511">
        <f>AutoClaim_Data!A1511</f>
        <v/>
      </c>
      <c r="E1511">
        <f>AutoClaim_Data!B1511</f>
        <v/>
      </c>
      <c r="F1511">
        <f>AutoClaim_Data!C1511</f>
        <v/>
      </c>
      <c r="G1511">
        <f>IF(AutoClaim_Data!D1511&lt;=$B$2,AVERAGEIFS(AutoClaim_Data!C2:C3168,AutoClaim_Data!B2:B3168,"Train",AutoClaim_Data!D2:D3168,"&lt;="&amp;$B$2),AVERAGEIFS(AutoClaim_Data!C2:C3168,AutoClaim_Data!B2:B3168,"Train",AutoClaim_Data!D2:D3168,"&gt;"&amp;$B$2))</f>
        <v/>
      </c>
      <c r="H1511">
        <f>IF(AutoClaim_Data!D1511&lt;=$B$2,IF(AutoClaim_Data!E1511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1">
        <f>(F1511-H1511)^2</f>
        <v/>
      </c>
      <c r="J1511">
        <f>--(E1511="Validation")</f>
        <v/>
      </c>
    </row>
    <row r="1512">
      <c r="D1512">
        <f>AutoClaim_Data!A1512</f>
        <v/>
      </c>
      <c r="E1512">
        <f>AutoClaim_Data!B1512</f>
        <v/>
      </c>
      <c r="F1512">
        <f>AutoClaim_Data!C1512</f>
        <v/>
      </c>
      <c r="G1512">
        <f>IF(AutoClaim_Data!D1512&lt;=$B$2,AVERAGEIFS(AutoClaim_Data!C2:C3168,AutoClaim_Data!B2:B3168,"Train",AutoClaim_Data!D2:D3168,"&lt;="&amp;$B$2),AVERAGEIFS(AutoClaim_Data!C2:C3168,AutoClaim_Data!B2:B3168,"Train",AutoClaim_Data!D2:D3168,"&gt;"&amp;$B$2))</f>
        <v/>
      </c>
      <c r="H1512">
        <f>IF(AutoClaim_Data!D1512&lt;=$B$2,IF(AutoClaim_Data!E1512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2">
        <f>(F1512-H1512)^2</f>
        <v/>
      </c>
      <c r="J1512">
        <f>--(E1512="Validation")</f>
        <v/>
      </c>
    </row>
    <row r="1513">
      <c r="D1513">
        <f>AutoClaim_Data!A1513</f>
        <v/>
      </c>
      <c r="E1513">
        <f>AutoClaim_Data!B1513</f>
        <v/>
      </c>
      <c r="F1513">
        <f>AutoClaim_Data!C1513</f>
        <v/>
      </c>
      <c r="G1513">
        <f>IF(AutoClaim_Data!D1513&lt;=$B$2,AVERAGEIFS(AutoClaim_Data!C2:C3168,AutoClaim_Data!B2:B3168,"Train",AutoClaim_Data!D2:D3168,"&lt;="&amp;$B$2),AVERAGEIFS(AutoClaim_Data!C2:C3168,AutoClaim_Data!B2:B3168,"Train",AutoClaim_Data!D2:D3168,"&gt;"&amp;$B$2))</f>
        <v/>
      </c>
      <c r="H1513">
        <f>IF(AutoClaim_Data!D1513&lt;=$B$2,IF(AutoClaim_Data!E1513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3">
        <f>(F1513-H1513)^2</f>
        <v/>
      </c>
      <c r="J1513">
        <f>--(E1513="Validation")</f>
        <v/>
      </c>
    </row>
    <row r="1514">
      <c r="D1514">
        <f>AutoClaim_Data!A1514</f>
        <v/>
      </c>
      <c r="E1514">
        <f>AutoClaim_Data!B1514</f>
        <v/>
      </c>
      <c r="F1514">
        <f>AutoClaim_Data!C1514</f>
        <v/>
      </c>
      <c r="G1514">
        <f>IF(AutoClaim_Data!D1514&lt;=$B$2,AVERAGEIFS(AutoClaim_Data!C2:C3168,AutoClaim_Data!B2:B3168,"Train",AutoClaim_Data!D2:D3168,"&lt;="&amp;$B$2),AVERAGEIFS(AutoClaim_Data!C2:C3168,AutoClaim_Data!B2:B3168,"Train",AutoClaim_Data!D2:D3168,"&gt;"&amp;$B$2))</f>
        <v/>
      </c>
      <c r="H1514">
        <f>IF(AutoClaim_Data!D1514&lt;=$B$2,IF(AutoClaim_Data!E1514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4">
        <f>(F1514-H1514)^2</f>
        <v/>
      </c>
      <c r="J1514">
        <f>--(E1514="Validation")</f>
        <v/>
      </c>
    </row>
    <row r="1515">
      <c r="D1515">
        <f>AutoClaim_Data!A1515</f>
        <v/>
      </c>
      <c r="E1515">
        <f>AutoClaim_Data!B1515</f>
        <v/>
      </c>
      <c r="F1515">
        <f>AutoClaim_Data!C1515</f>
        <v/>
      </c>
      <c r="G1515">
        <f>IF(AutoClaim_Data!D1515&lt;=$B$2,AVERAGEIFS(AutoClaim_Data!C2:C3168,AutoClaim_Data!B2:B3168,"Train",AutoClaim_Data!D2:D3168,"&lt;="&amp;$B$2),AVERAGEIFS(AutoClaim_Data!C2:C3168,AutoClaim_Data!B2:B3168,"Train",AutoClaim_Data!D2:D3168,"&gt;"&amp;$B$2))</f>
        <v/>
      </c>
      <c r="H1515">
        <f>IF(AutoClaim_Data!D1515&lt;=$B$2,IF(AutoClaim_Data!E1515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5">
        <f>(F1515-H1515)^2</f>
        <v/>
      </c>
      <c r="J1515">
        <f>--(E1515="Validation")</f>
        <v/>
      </c>
    </row>
    <row r="1516">
      <c r="D1516">
        <f>AutoClaim_Data!A1516</f>
        <v/>
      </c>
      <c r="E1516">
        <f>AutoClaim_Data!B1516</f>
        <v/>
      </c>
      <c r="F1516">
        <f>AutoClaim_Data!C1516</f>
        <v/>
      </c>
      <c r="G1516">
        <f>IF(AutoClaim_Data!D1516&lt;=$B$2,AVERAGEIFS(AutoClaim_Data!C2:C3168,AutoClaim_Data!B2:B3168,"Train",AutoClaim_Data!D2:D3168,"&lt;="&amp;$B$2),AVERAGEIFS(AutoClaim_Data!C2:C3168,AutoClaim_Data!B2:B3168,"Train",AutoClaim_Data!D2:D3168,"&gt;"&amp;$B$2))</f>
        <v/>
      </c>
      <c r="H1516">
        <f>IF(AutoClaim_Data!D1516&lt;=$B$2,IF(AutoClaim_Data!E1516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6">
        <f>(F1516-H1516)^2</f>
        <v/>
      </c>
      <c r="J1516">
        <f>--(E1516="Validation")</f>
        <v/>
      </c>
    </row>
    <row r="1517">
      <c r="D1517">
        <f>AutoClaim_Data!A1517</f>
        <v/>
      </c>
      <c r="E1517">
        <f>AutoClaim_Data!B1517</f>
        <v/>
      </c>
      <c r="F1517">
        <f>AutoClaim_Data!C1517</f>
        <v/>
      </c>
      <c r="G1517">
        <f>IF(AutoClaim_Data!D1517&lt;=$B$2,AVERAGEIFS(AutoClaim_Data!C2:C3168,AutoClaim_Data!B2:B3168,"Train",AutoClaim_Data!D2:D3168,"&lt;="&amp;$B$2),AVERAGEIFS(AutoClaim_Data!C2:C3168,AutoClaim_Data!B2:B3168,"Train",AutoClaim_Data!D2:D3168,"&gt;"&amp;$B$2))</f>
        <v/>
      </c>
      <c r="H1517">
        <f>IF(AutoClaim_Data!D1517&lt;=$B$2,IF(AutoClaim_Data!E1517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7">
        <f>(F1517-H1517)^2</f>
        <v/>
      </c>
      <c r="J1517">
        <f>--(E1517="Validation")</f>
        <v/>
      </c>
    </row>
    <row r="1518">
      <c r="D1518">
        <f>AutoClaim_Data!A1518</f>
        <v/>
      </c>
      <c r="E1518">
        <f>AutoClaim_Data!B1518</f>
        <v/>
      </c>
      <c r="F1518">
        <f>AutoClaim_Data!C1518</f>
        <v/>
      </c>
      <c r="G1518">
        <f>IF(AutoClaim_Data!D1518&lt;=$B$2,AVERAGEIFS(AutoClaim_Data!C2:C3168,AutoClaim_Data!B2:B3168,"Train",AutoClaim_Data!D2:D3168,"&lt;="&amp;$B$2),AVERAGEIFS(AutoClaim_Data!C2:C3168,AutoClaim_Data!B2:B3168,"Train",AutoClaim_Data!D2:D3168,"&gt;"&amp;$B$2))</f>
        <v/>
      </c>
      <c r="H1518">
        <f>IF(AutoClaim_Data!D1518&lt;=$B$2,IF(AutoClaim_Data!E1518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8">
        <f>(F1518-H1518)^2</f>
        <v/>
      </c>
      <c r="J1518">
        <f>--(E1518="Validation")</f>
        <v/>
      </c>
    </row>
    <row r="1519">
      <c r="D1519">
        <f>AutoClaim_Data!A1519</f>
        <v/>
      </c>
      <c r="E1519">
        <f>AutoClaim_Data!B1519</f>
        <v/>
      </c>
      <c r="F1519">
        <f>AutoClaim_Data!C1519</f>
        <v/>
      </c>
      <c r="G1519">
        <f>IF(AutoClaim_Data!D1519&lt;=$B$2,AVERAGEIFS(AutoClaim_Data!C2:C3168,AutoClaim_Data!B2:B3168,"Train",AutoClaim_Data!D2:D3168,"&lt;="&amp;$B$2),AVERAGEIFS(AutoClaim_Data!C2:C3168,AutoClaim_Data!B2:B3168,"Train",AutoClaim_Data!D2:D3168,"&gt;"&amp;$B$2))</f>
        <v/>
      </c>
      <c r="H1519">
        <f>IF(AutoClaim_Data!D1519&lt;=$B$2,IF(AutoClaim_Data!E1519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19">
        <f>(F1519-H1519)^2</f>
        <v/>
      </c>
      <c r="J1519">
        <f>--(E1519="Validation")</f>
        <v/>
      </c>
    </row>
    <row r="1520">
      <c r="D1520">
        <f>AutoClaim_Data!A1520</f>
        <v/>
      </c>
      <c r="E1520">
        <f>AutoClaim_Data!B1520</f>
        <v/>
      </c>
      <c r="F1520">
        <f>AutoClaim_Data!C1520</f>
        <v/>
      </c>
      <c r="G1520">
        <f>IF(AutoClaim_Data!D1520&lt;=$B$2,AVERAGEIFS(AutoClaim_Data!C2:C3168,AutoClaim_Data!B2:B3168,"Train",AutoClaim_Data!D2:D3168,"&lt;="&amp;$B$2),AVERAGEIFS(AutoClaim_Data!C2:C3168,AutoClaim_Data!B2:B3168,"Train",AutoClaim_Data!D2:D3168,"&gt;"&amp;$B$2))</f>
        <v/>
      </c>
      <c r="H1520">
        <f>IF(AutoClaim_Data!D1520&lt;=$B$2,IF(AutoClaim_Data!E1520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0">
        <f>(F1520-H1520)^2</f>
        <v/>
      </c>
      <c r="J1520">
        <f>--(E1520="Validation")</f>
        <v/>
      </c>
    </row>
    <row r="1521">
      <c r="D1521">
        <f>AutoClaim_Data!A1521</f>
        <v/>
      </c>
      <c r="E1521">
        <f>AutoClaim_Data!B1521</f>
        <v/>
      </c>
      <c r="F1521">
        <f>AutoClaim_Data!C1521</f>
        <v/>
      </c>
      <c r="G1521">
        <f>IF(AutoClaim_Data!D1521&lt;=$B$2,AVERAGEIFS(AutoClaim_Data!C2:C3168,AutoClaim_Data!B2:B3168,"Train",AutoClaim_Data!D2:D3168,"&lt;="&amp;$B$2),AVERAGEIFS(AutoClaim_Data!C2:C3168,AutoClaim_Data!B2:B3168,"Train",AutoClaim_Data!D2:D3168,"&gt;"&amp;$B$2))</f>
        <v/>
      </c>
      <c r="H1521">
        <f>IF(AutoClaim_Data!D1521&lt;=$B$2,IF(AutoClaim_Data!E1521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1">
        <f>(F1521-H1521)^2</f>
        <v/>
      </c>
      <c r="J1521">
        <f>--(E1521="Validation")</f>
        <v/>
      </c>
    </row>
    <row r="1522">
      <c r="D1522">
        <f>AutoClaim_Data!A1522</f>
        <v/>
      </c>
      <c r="E1522">
        <f>AutoClaim_Data!B1522</f>
        <v/>
      </c>
      <c r="F1522">
        <f>AutoClaim_Data!C1522</f>
        <v/>
      </c>
      <c r="G1522">
        <f>IF(AutoClaim_Data!D1522&lt;=$B$2,AVERAGEIFS(AutoClaim_Data!C2:C3168,AutoClaim_Data!B2:B3168,"Train",AutoClaim_Data!D2:D3168,"&lt;="&amp;$B$2),AVERAGEIFS(AutoClaim_Data!C2:C3168,AutoClaim_Data!B2:B3168,"Train",AutoClaim_Data!D2:D3168,"&gt;"&amp;$B$2))</f>
        <v/>
      </c>
      <c r="H1522">
        <f>IF(AutoClaim_Data!D1522&lt;=$B$2,IF(AutoClaim_Data!E1522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2">
        <f>(F1522-H1522)^2</f>
        <v/>
      </c>
      <c r="J1522">
        <f>--(E1522="Validation")</f>
        <v/>
      </c>
    </row>
    <row r="1523">
      <c r="D1523">
        <f>AutoClaim_Data!A1523</f>
        <v/>
      </c>
      <c r="E1523">
        <f>AutoClaim_Data!B1523</f>
        <v/>
      </c>
      <c r="F1523">
        <f>AutoClaim_Data!C1523</f>
        <v/>
      </c>
      <c r="G1523">
        <f>IF(AutoClaim_Data!D1523&lt;=$B$2,AVERAGEIFS(AutoClaim_Data!C2:C3168,AutoClaim_Data!B2:B3168,"Train",AutoClaim_Data!D2:D3168,"&lt;="&amp;$B$2),AVERAGEIFS(AutoClaim_Data!C2:C3168,AutoClaim_Data!B2:B3168,"Train",AutoClaim_Data!D2:D3168,"&gt;"&amp;$B$2))</f>
        <v/>
      </c>
      <c r="H1523">
        <f>IF(AutoClaim_Data!D1523&lt;=$B$2,IF(AutoClaim_Data!E1523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3">
        <f>(F1523-H1523)^2</f>
        <v/>
      </c>
      <c r="J1523">
        <f>--(E1523="Validation")</f>
        <v/>
      </c>
    </row>
    <row r="1524">
      <c r="D1524">
        <f>AutoClaim_Data!A1524</f>
        <v/>
      </c>
      <c r="E1524">
        <f>AutoClaim_Data!B1524</f>
        <v/>
      </c>
      <c r="F1524">
        <f>AutoClaim_Data!C1524</f>
        <v/>
      </c>
      <c r="G1524">
        <f>IF(AutoClaim_Data!D1524&lt;=$B$2,AVERAGEIFS(AutoClaim_Data!C2:C3168,AutoClaim_Data!B2:B3168,"Train",AutoClaim_Data!D2:D3168,"&lt;="&amp;$B$2),AVERAGEIFS(AutoClaim_Data!C2:C3168,AutoClaim_Data!B2:B3168,"Train",AutoClaim_Data!D2:D3168,"&gt;"&amp;$B$2))</f>
        <v/>
      </c>
      <c r="H1524">
        <f>IF(AutoClaim_Data!D1524&lt;=$B$2,IF(AutoClaim_Data!E1524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4">
        <f>(F1524-H1524)^2</f>
        <v/>
      </c>
      <c r="J1524">
        <f>--(E1524="Validation")</f>
        <v/>
      </c>
    </row>
    <row r="1525">
      <c r="D1525">
        <f>AutoClaim_Data!A1525</f>
        <v/>
      </c>
      <c r="E1525">
        <f>AutoClaim_Data!B1525</f>
        <v/>
      </c>
      <c r="F1525">
        <f>AutoClaim_Data!C1525</f>
        <v/>
      </c>
      <c r="G1525">
        <f>IF(AutoClaim_Data!D1525&lt;=$B$2,AVERAGEIFS(AutoClaim_Data!C2:C3168,AutoClaim_Data!B2:B3168,"Train",AutoClaim_Data!D2:D3168,"&lt;="&amp;$B$2),AVERAGEIFS(AutoClaim_Data!C2:C3168,AutoClaim_Data!B2:B3168,"Train",AutoClaim_Data!D2:D3168,"&gt;"&amp;$B$2))</f>
        <v/>
      </c>
      <c r="H1525">
        <f>IF(AutoClaim_Data!D1525&lt;=$B$2,IF(AutoClaim_Data!E1525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5">
        <f>(F1525-H1525)^2</f>
        <v/>
      </c>
      <c r="J1525">
        <f>--(E1525="Validation")</f>
        <v/>
      </c>
    </row>
    <row r="1526">
      <c r="D1526">
        <f>AutoClaim_Data!A1526</f>
        <v/>
      </c>
      <c r="E1526">
        <f>AutoClaim_Data!B1526</f>
        <v/>
      </c>
      <c r="F1526">
        <f>AutoClaim_Data!C1526</f>
        <v/>
      </c>
      <c r="G1526">
        <f>IF(AutoClaim_Data!D1526&lt;=$B$2,AVERAGEIFS(AutoClaim_Data!C2:C3168,AutoClaim_Data!B2:B3168,"Train",AutoClaim_Data!D2:D3168,"&lt;="&amp;$B$2),AVERAGEIFS(AutoClaim_Data!C2:C3168,AutoClaim_Data!B2:B3168,"Train",AutoClaim_Data!D2:D3168,"&gt;"&amp;$B$2))</f>
        <v/>
      </c>
      <c r="H1526">
        <f>IF(AutoClaim_Data!D1526&lt;=$B$2,IF(AutoClaim_Data!E1526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6">
        <f>(F1526-H1526)^2</f>
        <v/>
      </c>
      <c r="J1526">
        <f>--(E1526="Validation")</f>
        <v/>
      </c>
    </row>
    <row r="1527">
      <c r="D1527">
        <f>AutoClaim_Data!A1527</f>
        <v/>
      </c>
      <c r="E1527">
        <f>AutoClaim_Data!B1527</f>
        <v/>
      </c>
      <c r="F1527">
        <f>AutoClaim_Data!C1527</f>
        <v/>
      </c>
      <c r="G1527">
        <f>IF(AutoClaim_Data!D1527&lt;=$B$2,AVERAGEIFS(AutoClaim_Data!C2:C3168,AutoClaim_Data!B2:B3168,"Train",AutoClaim_Data!D2:D3168,"&lt;="&amp;$B$2),AVERAGEIFS(AutoClaim_Data!C2:C3168,AutoClaim_Data!B2:B3168,"Train",AutoClaim_Data!D2:D3168,"&gt;"&amp;$B$2))</f>
        <v/>
      </c>
      <c r="H1527">
        <f>IF(AutoClaim_Data!D1527&lt;=$B$2,IF(AutoClaim_Data!E1527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7">
        <f>(F1527-H1527)^2</f>
        <v/>
      </c>
      <c r="J1527">
        <f>--(E1527="Validation")</f>
        <v/>
      </c>
    </row>
    <row r="1528">
      <c r="D1528">
        <f>AutoClaim_Data!A1528</f>
        <v/>
      </c>
      <c r="E1528">
        <f>AutoClaim_Data!B1528</f>
        <v/>
      </c>
      <c r="F1528">
        <f>AutoClaim_Data!C1528</f>
        <v/>
      </c>
      <c r="G1528">
        <f>IF(AutoClaim_Data!D1528&lt;=$B$2,AVERAGEIFS(AutoClaim_Data!C2:C3168,AutoClaim_Data!B2:B3168,"Train",AutoClaim_Data!D2:D3168,"&lt;="&amp;$B$2),AVERAGEIFS(AutoClaim_Data!C2:C3168,AutoClaim_Data!B2:B3168,"Train",AutoClaim_Data!D2:D3168,"&gt;"&amp;$B$2))</f>
        <v/>
      </c>
      <c r="H1528">
        <f>IF(AutoClaim_Data!D1528&lt;=$B$2,IF(AutoClaim_Data!E1528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8">
        <f>(F1528-H1528)^2</f>
        <v/>
      </c>
      <c r="J1528">
        <f>--(E1528="Validation")</f>
        <v/>
      </c>
    </row>
    <row r="1529">
      <c r="D1529">
        <f>AutoClaim_Data!A1529</f>
        <v/>
      </c>
      <c r="E1529">
        <f>AutoClaim_Data!B1529</f>
        <v/>
      </c>
      <c r="F1529">
        <f>AutoClaim_Data!C1529</f>
        <v/>
      </c>
      <c r="G1529">
        <f>IF(AutoClaim_Data!D1529&lt;=$B$2,AVERAGEIFS(AutoClaim_Data!C2:C3168,AutoClaim_Data!B2:B3168,"Train",AutoClaim_Data!D2:D3168,"&lt;="&amp;$B$2),AVERAGEIFS(AutoClaim_Data!C2:C3168,AutoClaim_Data!B2:B3168,"Train",AutoClaim_Data!D2:D3168,"&gt;"&amp;$B$2))</f>
        <v/>
      </c>
      <c r="H1529">
        <f>IF(AutoClaim_Data!D1529&lt;=$B$2,IF(AutoClaim_Data!E1529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29">
        <f>(F1529-H1529)^2</f>
        <v/>
      </c>
      <c r="J1529">
        <f>--(E1529="Validation")</f>
        <v/>
      </c>
    </row>
    <row r="1530">
      <c r="D1530">
        <f>AutoClaim_Data!A1530</f>
        <v/>
      </c>
      <c r="E1530">
        <f>AutoClaim_Data!B1530</f>
        <v/>
      </c>
      <c r="F1530">
        <f>AutoClaim_Data!C1530</f>
        <v/>
      </c>
      <c r="G1530">
        <f>IF(AutoClaim_Data!D1530&lt;=$B$2,AVERAGEIFS(AutoClaim_Data!C2:C3168,AutoClaim_Data!B2:B3168,"Train",AutoClaim_Data!D2:D3168,"&lt;="&amp;$B$2),AVERAGEIFS(AutoClaim_Data!C2:C3168,AutoClaim_Data!B2:B3168,"Train",AutoClaim_Data!D2:D3168,"&gt;"&amp;$B$2))</f>
        <v/>
      </c>
      <c r="H1530">
        <f>IF(AutoClaim_Data!D1530&lt;=$B$2,IF(AutoClaim_Data!E1530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0">
        <f>(F1530-H1530)^2</f>
        <v/>
      </c>
      <c r="J1530">
        <f>--(E1530="Validation")</f>
        <v/>
      </c>
    </row>
    <row r="1531">
      <c r="D1531">
        <f>AutoClaim_Data!A1531</f>
        <v/>
      </c>
      <c r="E1531">
        <f>AutoClaim_Data!B1531</f>
        <v/>
      </c>
      <c r="F1531">
        <f>AutoClaim_Data!C1531</f>
        <v/>
      </c>
      <c r="G1531">
        <f>IF(AutoClaim_Data!D1531&lt;=$B$2,AVERAGEIFS(AutoClaim_Data!C2:C3168,AutoClaim_Data!B2:B3168,"Train",AutoClaim_Data!D2:D3168,"&lt;="&amp;$B$2),AVERAGEIFS(AutoClaim_Data!C2:C3168,AutoClaim_Data!B2:B3168,"Train",AutoClaim_Data!D2:D3168,"&gt;"&amp;$B$2))</f>
        <v/>
      </c>
      <c r="H1531">
        <f>IF(AutoClaim_Data!D1531&lt;=$B$2,IF(AutoClaim_Data!E1531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1">
        <f>(F1531-H1531)^2</f>
        <v/>
      </c>
      <c r="J1531">
        <f>--(E1531="Validation")</f>
        <v/>
      </c>
    </row>
    <row r="1532">
      <c r="D1532">
        <f>AutoClaim_Data!A1532</f>
        <v/>
      </c>
      <c r="E1532">
        <f>AutoClaim_Data!B1532</f>
        <v/>
      </c>
      <c r="F1532">
        <f>AutoClaim_Data!C1532</f>
        <v/>
      </c>
      <c r="G1532">
        <f>IF(AutoClaim_Data!D1532&lt;=$B$2,AVERAGEIFS(AutoClaim_Data!C2:C3168,AutoClaim_Data!B2:B3168,"Train",AutoClaim_Data!D2:D3168,"&lt;="&amp;$B$2),AVERAGEIFS(AutoClaim_Data!C2:C3168,AutoClaim_Data!B2:B3168,"Train",AutoClaim_Data!D2:D3168,"&gt;"&amp;$B$2))</f>
        <v/>
      </c>
      <c r="H1532">
        <f>IF(AutoClaim_Data!D1532&lt;=$B$2,IF(AutoClaim_Data!E1532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2">
        <f>(F1532-H1532)^2</f>
        <v/>
      </c>
      <c r="J1532">
        <f>--(E1532="Validation")</f>
        <v/>
      </c>
    </row>
    <row r="1533">
      <c r="D1533">
        <f>AutoClaim_Data!A1533</f>
        <v/>
      </c>
      <c r="E1533">
        <f>AutoClaim_Data!B1533</f>
        <v/>
      </c>
      <c r="F1533">
        <f>AutoClaim_Data!C1533</f>
        <v/>
      </c>
      <c r="G1533">
        <f>IF(AutoClaim_Data!D1533&lt;=$B$2,AVERAGEIFS(AutoClaim_Data!C2:C3168,AutoClaim_Data!B2:B3168,"Train",AutoClaim_Data!D2:D3168,"&lt;="&amp;$B$2),AVERAGEIFS(AutoClaim_Data!C2:C3168,AutoClaim_Data!B2:B3168,"Train",AutoClaim_Data!D2:D3168,"&gt;"&amp;$B$2))</f>
        <v/>
      </c>
      <c r="H1533">
        <f>IF(AutoClaim_Data!D1533&lt;=$B$2,IF(AutoClaim_Data!E1533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3">
        <f>(F1533-H1533)^2</f>
        <v/>
      </c>
      <c r="J1533">
        <f>--(E1533="Validation")</f>
        <v/>
      </c>
    </row>
    <row r="1534">
      <c r="D1534">
        <f>AutoClaim_Data!A1534</f>
        <v/>
      </c>
      <c r="E1534">
        <f>AutoClaim_Data!B1534</f>
        <v/>
      </c>
      <c r="F1534">
        <f>AutoClaim_Data!C1534</f>
        <v/>
      </c>
      <c r="G1534">
        <f>IF(AutoClaim_Data!D1534&lt;=$B$2,AVERAGEIFS(AutoClaim_Data!C2:C3168,AutoClaim_Data!B2:B3168,"Train",AutoClaim_Data!D2:D3168,"&lt;="&amp;$B$2),AVERAGEIFS(AutoClaim_Data!C2:C3168,AutoClaim_Data!B2:B3168,"Train",AutoClaim_Data!D2:D3168,"&gt;"&amp;$B$2))</f>
        <v/>
      </c>
      <c r="H1534">
        <f>IF(AutoClaim_Data!D1534&lt;=$B$2,IF(AutoClaim_Data!E1534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4">
        <f>(F1534-H1534)^2</f>
        <v/>
      </c>
      <c r="J1534">
        <f>--(E1534="Validation")</f>
        <v/>
      </c>
    </row>
    <row r="1535">
      <c r="D1535">
        <f>AutoClaim_Data!A1535</f>
        <v/>
      </c>
      <c r="E1535">
        <f>AutoClaim_Data!B1535</f>
        <v/>
      </c>
      <c r="F1535">
        <f>AutoClaim_Data!C1535</f>
        <v/>
      </c>
      <c r="G1535">
        <f>IF(AutoClaim_Data!D1535&lt;=$B$2,AVERAGEIFS(AutoClaim_Data!C2:C3168,AutoClaim_Data!B2:B3168,"Train",AutoClaim_Data!D2:D3168,"&lt;="&amp;$B$2),AVERAGEIFS(AutoClaim_Data!C2:C3168,AutoClaim_Data!B2:B3168,"Train",AutoClaim_Data!D2:D3168,"&gt;"&amp;$B$2))</f>
        <v/>
      </c>
      <c r="H1535">
        <f>IF(AutoClaim_Data!D1535&lt;=$B$2,IF(AutoClaim_Data!E1535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5">
        <f>(F1535-H1535)^2</f>
        <v/>
      </c>
      <c r="J1535">
        <f>--(E1535="Validation")</f>
        <v/>
      </c>
    </row>
    <row r="1536">
      <c r="D1536">
        <f>AutoClaim_Data!A1536</f>
        <v/>
      </c>
      <c r="E1536">
        <f>AutoClaim_Data!B1536</f>
        <v/>
      </c>
      <c r="F1536">
        <f>AutoClaim_Data!C1536</f>
        <v/>
      </c>
      <c r="G1536">
        <f>IF(AutoClaim_Data!D1536&lt;=$B$2,AVERAGEIFS(AutoClaim_Data!C2:C3168,AutoClaim_Data!B2:B3168,"Train",AutoClaim_Data!D2:D3168,"&lt;="&amp;$B$2),AVERAGEIFS(AutoClaim_Data!C2:C3168,AutoClaim_Data!B2:B3168,"Train",AutoClaim_Data!D2:D3168,"&gt;"&amp;$B$2))</f>
        <v/>
      </c>
      <c r="H1536">
        <f>IF(AutoClaim_Data!D1536&lt;=$B$2,IF(AutoClaim_Data!E1536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6">
        <f>(F1536-H1536)^2</f>
        <v/>
      </c>
      <c r="J1536">
        <f>--(E1536="Validation")</f>
        <v/>
      </c>
    </row>
    <row r="1537">
      <c r="D1537">
        <f>AutoClaim_Data!A1537</f>
        <v/>
      </c>
      <c r="E1537">
        <f>AutoClaim_Data!B1537</f>
        <v/>
      </c>
      <c r="F1537">
        <f>AutoClaim_Data!C1537</f>
        <v/>
      </c>
      <c r="G1537">
        <f>IF(AutoClaim_Data!D1537&lt;=$B$2,AVERAGEIFS(AutoClaim_Data!C2:C3168,AutoClaim_Data!B2:B3168,"Train",AutoClaim_Data!D2:D3168,"&lt;="&amp;$B$2),AVERAGEIFS(AutoClaim_Data!C2:C3168,AutoClaim_Data!B2:B3168,"Train",AutoClaim_Data!D2:D3168,"&gt;"&amp;$B$2))</f>
        <v/>
      </c>
      <c r="H1537">
        <f>IF(AutoClaim_Data!D1537&lt;=$B$2,IF(AutoClaim_Data!E1537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7">
        <f>(F1537-H1537)^2</f>
        <v/>
      </c>
      <c r="J1537">
        <f>--(E1537="Validation")</f>
        <v/>
      </c>
    </row>
    <row r="1538">
      <c r="D1538">
        <f>AutoClaim_Data!A1538</f>
        <v/>
      </c>
      <c r="E1538">
        <f>AutoClaim_Data!B1538</f>
        <v/>
      </c>
      <c r="F1538">
        <f>AutoClaim_Data!C1538</f>
        <v/>
      </c>
      <c r="G1538">
        <f>IF(AutoClaim_Data!D1538&lt;=$B$2,AVERAGEIFS(AutoClaim_Data!C2:C3168,AutoClaim_Data!B2:B3168,"Train",AutoClaim_Data!D2:D3168,"&lt;="&amp;$B$2),AVERAGEIFS(AutoClaim_Data!C2:C3168,AutoClaim_Data!B2:B3168,"Train",AutoClaim_Data!D2:D3168,"&gt;"&amp;$B$2))</f>
        <v/>
      </c>
      <c r="H1538">
        <f>IF(AutoClaim_Data!D1538&lt;=$B$2,IF(AutoClaim_Data!E1538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8">
        <f>(F1538-H1538)^2</f>
        <v/>
      </c>
      <c r="J1538">
        <f>--(E1538="Validation")</f>
        <v/>
      </c>
    </row>
    <row r="1539">
      <c r="D1539">
        <f>AutoClaim_Data!A1539</f>
        <v/>
      </c>
      <c r="E1539">
        <f>AutoClaim_Data!B1539</f>
        <v/>
      </c>
      <c r="F1539">
        <f>AutoClaim_Data!C1539</f>
        <v/>
      </c>
      <c r="G1539">
        <f>IF(AutoClaim_Data!D1539&lt;=$B$2,AVERAGEIFS(AutoClaim_Data!C2:C3168,AutoClaim_Data!B2:B3168,"Train",AutoClaim_Data!D2:D3168,"&lt;="&amp;$B$2),AVERAGEIFS(AutoClaim_Data!C2:C3168,AutoClaim_Data!B2:B3168,"Train",AutoClaim_Data!D2:D3168,"&gt;"&amp;$B$2))</f>
        <v/>
      </c>
      <c r="H1539">
        <f>IF(AutoClaim_Data!D1539&lt;=$B$2,IF(AutoClaim_Data!E1539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39">
        <f>(F1539-H1539)^2</f>
        <v/>
      </c>
      <c r="J1539">
        <f>--(E1539="Validation")</f>
        <v/>
      </c>
    </row>
    <row r="1540">
      <c r="D1540">
        <f>AutoClaim_Data!A1540</f>
        <v/>
      </c>
      <c r="E1540">
        <f>AutoClaim_Data!B1540</f>
        <v/>
      </c>
      <c r="F1540">
        <f>AutoClaim_Data!C1540</f>
        <v/>
      </c>
      <c r="G1540">
        <f>IF(AutoClaim_Data!D1540&lt;=$B$2,AVERAGEIFS(AutoClaim_Data!C2:C3168,AutoClaim_Data!B2:B3168,"Train",AutoClaim_Data!D2:D3168,"&lt;="&amp;$B$2),AVERAGEIFS(AutoClaim_Data!C2:C3168,AutoClaim_Data!B2:B3168,"Train",AutoClaim_Data!D2:D3168,"&gt;"&amp;$B$2))</f>
        <v/>
      </c>
      <c r="H1540">
        <f>IF(AutoClaim_Data!D1540&lt;=$B$2,IF(AutoClaim_Data!E1540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0">
        <f>(F1540-H1540)^2</f>
        <v/>
      </c>
      <c r="J1540">
        <f>--(E1540="Validation")</f>
        <v/>
      </c>
    </row>
    <row r="1541">
      <c r="D1541">
        <f>AutoClaim_Data!A1541</f>
        <v/>
      </c>
      <c r="E1541">
        <f>AutoClaim_Data!B1541</f>
        <v/>
      </c>
      <c r="F1541">
        <f>AutoClaim_Data!C1541</f>
        <v/>
      </c>
      <c r="G1541">
        <f>IF(AutoClaim_Data!D1541&lt;=$B$2,AVERAGEIFS(AutoClaim_Data!C2:C3168,AutoClaim_Data!B2:B3168,"Train",AutoClaim_Data!D2:D3168,"&lt;="&amp;$B$2),AVERAGEIFS(AutoClaim_Data!C2:C3168,AutoClaim_Data!B2:B3168,"Train",AutoClaim_Data!D2:D3168,"&gt;"&amp;$B$2))</f>
        <v/>
      </c>
      <c r="H1541">
        <f>IF(AutoClaim_Data!D1541&lt;=$B$2,IF(AutoClaim_Data!E1541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1">
        <f>(F1541-H1541)^2</f>
        <v/>
      </c>
      <c r="J1541">
        <f>--(E1541="Validation")</f>
        <v/>
      </c>
    </row>
    <row r="1542">
      <c r="D1542">
        <f>AutoClaim_Data!A1542</f>
        <v/>
      </c>
      <c r="E1542">
        <f>AutoClaim_Data!B1542</f>
        <v/>
      </c>
      <c r="F1542">
        <f>AutoClaim_Data!C1542</f>
        <v/>
      </c>
      <c r="G1542">
        <f>IF(AutoClaim_Data!D1542&lt;=$B$2,AVERAGEIFS(AutoClaim_Data!C2:C3168,AutoClaim_Data!B2:B3168,"Train",AutoClaim_Data!D2:D3168,"&lt;="&amp;$B$2),AVERAGEIFS(AutoClaim_Data!C2:C3168,AutoClaim_Data!B2:B3168,"Train",AutoClaim_Data!D2:D3168,"&gt;"&amp;$B$2))</f>
        <v/>
      </c>
      <c r="H1542">
        <f>IF(AutoClaim_Data!D1542&lt;=$B$2,IF(AutoClaim_Data!E1542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2">
        <f>(F1542-H1542)^2</f>
        <v/>
      </c>
      <c r="J1542">
        <f>--(E1542="Validation")</f>
        <v/>
      </c>
    </row>
    <row r="1543">
      <c r="D1543">
        <f>AutoClaim_Data!A1543</f>
        <v/>
      </c>
      <c r="E1543">
        <f>AutoClaim_Data!B1543</f>
        <v/>
      </c>
      <c r="F1543">
        <f>AutoClaim_Data!C1543</f>
        <v/>
      </c>
      <c r="G1543">
        <f>IF(AutoClaim_Data!D1543&lt;=$B$2,AVERAGEIFS(AutoClaim_Data!C2:C3168,AutoClaim_Data!B2:B3168,"Train",AutoClaim_Data!D2:D3168,"&lt;="&amp;$B$2),AVERAGEIFS(AutoClaim_Data!C2:C3168,AutoClaim_Data!B2:B3168,"Train",AutoClaim_Data!D2:D3168,"&gt;"&amp;$B$2))</f>
        <v/>
      </c>
      <c r="H1543">
        <f>IF(AutoClaim_Data!D1543&lt;=$B$2,IF(AutoClaim_Data!E1543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3">
        <f>(F1543-H1543)^2</f>
        <v/>
      </c>
      <c r="J1543">
        <f>--(E1543="Validation")</f>
        <v/>
      </c>
    </row>
    <row r="1544">
      <c r="D1544">
        <f>AutoClaim_Data!A1544</f>
        <v/>
      </c>
      <c r="E1544">
        <f>AutoClaim_Data!B1544</f>
        <v/>
      </c>
      <c r="F1544">
        <f>AutoClaim_Data!C1544</f>
        <v/>
      </c>
      <c r="G1544">
        <f>IF(AutoClaim_Data!D1544&lt;=$B$2,AVERAGEIFS(AutoClaim_Data!C2:C3168,AutoClaim_Data!B2:B3168,"Train",AutoClaim_Data!D2:D3168,"&lt;="&amp;$B$2),AVERAGEIFS(AutoClaim_Data!C2:C3168,AutoClaim_Data!B2:B3168,"Train",AutoClaim_Data!D2:D3168,"&gt;"&amp;$B$2))</f>
        <v/>
      </c>
      <c r="H1544">
        <f>IF(AutoClaim_Data!D1544&lt;=$B$2,IF(AutoClaim_Data!E1544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4">
        <f>(F1544-H1544)^2</f>
        <v/>
      </c>
      <c r="J1544">
        <f>--(E1544="Validation")</f>
        <v/>
      </c>
    </row>
    <row r="1545">
      <c r="D1545">
        <f>AutoClaim_Data!A1545</f>
        <v/>
      </c>
      <c r="E1545">
        <f>AutoClaim_Data!B1545</f>
        <v/>
      </c>
      <c r="F1545">
        <f>AutoClaim_Data!C1545</f>
        <v/>
      </c>
      <c r="G1545">
        <f>IF(AutoClaim_Data!D1545&lt;=$B$2,AVERAGEIFS(AutoClaim_Data!C2:C3168,AutoClaim_Data!B2:B3168,"Train",AutoClaim_Data!D2:D3168,"&lt;="&amp;$B$2),AVERAGEIFS(AutoClaim_Data!C2:C3168,AutoClaim_Data!B2:B3168,"Train",AutoClaim_Data!D2:D3168,"&gt;"&amp;$B$2))</f>
        <v/>
      </c>
      <c r="H1545">
        <f>IF(AutoClaim_Data!D1545&lt;=$B$2,IF(AutoClaim_Data!E1545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5">
        <f>(F1545-H1545)^2</f>
        <v/>
      </c>
      <c r="J1545">
        <f>--(E1545="Validation")</f>
        <v/>
      </c>
    </row>
    <row r="1546">
      <c r="D1546">
        <f>AutoClaim_Data!A1546</f>
        <v/>
      </c>
      <c r="E1546">
        <f>AutoClaim_Data!B1546</f>
        <v/>
      </c>
      <c r="F1546">
        <f>AutoClaim_Data!C1546</f>
        <v/>
      </c>
      <c r="G1546">
        <f>IF(AutoClaim_Data!D1546&lt;=$B$2,AVERAGEIFS(AutoClaim_Data!C2:C3168,AutoClaim_Data!B2:B3168,"Train",AutoClaim_Data!D2:D3168,"&lt;="&amp;$B$2),AVERAGEIFS(AutoClaim_Data!C2:C3168,AutoClaim_Data!B2:B3168,"Train",AutoClaim_Data!D2:D3168,"&gt;"&amp;$B$2))</f>
        <v/>
      </c>
      <c r="H1546">
        <f>IF(AutoClaim_Data!D1546&lt;=$B$2,IF(AutoClaim_Data!E1546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6">
        <f>(F1546-H1546)^2</f>
        <v/>
      </c>
      <c r="J1546">
        <f>--(E1546="Validation")</f>
        <v/>
      </c>
    </row>
    <row r="1547">
      <c r="D1547">
        <f>AutoClaim_Data!A1547</f>
        <v/>
      </c>
      <c r="E1547">
        <f>AutoClaim_Data!B1547</f>
        <v/>
      </c>
      <c r="F1547">
        <f>AutoClaim_Data!C1547</f>
        <v/>
      </c>
      <c r="G1547">
        <f>IF(AutoClaim_Data!D1547&lt;=$B$2,AVERAGEIFS(AutoClaim_Data!C2:C3168,AutoClaim_Data!B2:B3168,"Train",AutoClaim_Data!D2:D3168,"&lt;="&amp;$B$2),AVERAGEIFS(AutoClaim_Data!C2:C3168,AutoClaim_Data!B2:B3168,"Train",AutoClaim_Data!D2:D3168,"&gt;"&amp;$B$2))</f>
        <v/>
      </c>
      <c r="H1547">
        <f>IF(AutoClaim_Data!D1547&lt;=$B$2,IF(AutoClaim_Data!E1547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7">
        <f>(F1547-H1547)^2</f>
        <v/>
      </c>
      <c r="J1547">
        <f>--(E1547="Validation")</f>
        <v/>
      </c>
    </row>
    <row r="1548">
      <c r="D1548">
        <f>AutoClaim_Data!A1548</f>
        <v/>
      </c>
      <c r="E1548">
        <f>AutoClaim_Data!B1548</f>
        <v/>
      </c>
      <c r="F1548">
        <f>AutoClaim_Data!C1548</f>
        <v/>
      </c>
      <c r="G1548">
        <f>IF(AutoClaim_Data!D1548&lt;=$B$2,AVERAGEIFS(AutoClaim_Data!C2:C3168,AutoClaim_Data!B2:B3168,"Train",AutoClaim_Data!D2:D3168,"&lt;="&amp;$B$2),AVERAGEIFS(AutoClaim_Data!C2:C3168,AutoClaim_Data!B2:B3168,"Train",AutoClaim_Data!D2:D3168,"&gt;"&amp;$B$2))</f>
        <v/>
      </c>
      <c r="H1548">
        <f>IF(AutoClaim_Data!D1548&lt;=$B$2,IF(AutoClaim_Data!E1548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8">
        <f>(F1548-H1548)^2</f>
        <v/>
      </c>
      <c r="J1548">
        <f>--(E1548="Validation")</f>
        <v/>
      </c>
    </row>
    <row r="1549">
      <c r="D1549">
        <f>AutoClaim_Data!A1549</f>
        <v/>
      </c>
      <c r="E1549">
        <f>AutoClaim_Data!B1549</f>
        <v/>
      </c>
      <c r="F1549">
        <f>AutoClaim_Data!C1549</f>
        <v/>
      </c>
      <c r="G1549">
        <f>IF(AutoClaim_Data!D1549&lt;=$B$2,AVERAGEIFS(AutoClaim_Data!C2:C3168,AutoClaim_Data!B2:B3168,"Train",AutoClaim_Data!D2:D3168,"&lt;="&amp;$B$2),AVERAGEIFS(AutoClaim_Data!C2:C3168,AutoClaim_Data!B2:B3168,"Train",AutoClaim_Data!D2:D3168,"&gt;"&amp;$B$2))</f>
        <v/>
      </c>
      <c r="H1549">
        <f>IF(AutoClaim_Data!D1549&lt;=$B$2,IF(AutoClaim_Data!E1549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49">
        <f>(F1549-H1549)^2</f>
        <v/>
      </c>
      <c r="J1549">
        <f>--(E1549="Validation")</f>
        <v/>
      </c>
    </row>
    <row r="1550">
      <c r="D1550">
        <f>AutoClaim_Data!A1550</f>
        <v/>
      </c>
      <c r="E1550">
        <f>AutoClaim_Data!B1550</f>
        <v/>
      </c>
      <c r="F1550">
        <f>AutoClaim_Data!C1550</f>
        <v/>
      </c>
      <c r="G1550">
        <f>IF(AutoClaim_Data!D1550&lt;=$B$2,AVERAGEIFS(AutoClaim_Data!C2:C3168,AutoClaim_Data!B2:B3168,"Train",AutoClaim_Data!D2:D3168,"&lt;="&amp;$B$2),AVERAGEIFS(AutoClaim_Data!C2:C3168,AutoClaim_Data!B2:B3168,"Train",AutoClaim_Data!D2:D3168,"&gt;"&amp;$B$2))</f>
        <v/>
      </c>
      <c r="H1550">
        <f>IF(AutoClaim_Data!D1550&lt;=$B$2,IF(AutoClaim_Data!E1550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0">
        <f>(F1550-H1550)^2</f>
        <v/>
      </c>
      <c r="J1550">
        <f>--(E1550="Validation")</f>
        <v/>
      </c>
    </row>
    <row r="1551">
      <c r="D1551">
        <f>AutoClaim_Data!A1551</f>
        <v/>
      </c>
      <c r="E1551">
        <f>AutoClaim_Data!B1551</f>
        <v/>
      </c>
      <c r="F1551">
        <f>AutoClaim_Data!C1551</f>
        <v/>
      </c>
      <c r="G1551">
        <f>IF(AutoClaim_Data!D1551&lt;=$B$2,AVERAGEIFS(AutoClaim_Data!C2:C3168,AutoClaim_Data!B2:B3168,"Train",AutoClaim_Data!D2:D3168,"&lt;="&amp;$B$2),AVERAGEIFS(AutoClaim_Data!C2:C3168,AutoClaim_Data!B2:B3168,"Train",AutoClaim_Data!D2:D3168,"&gt;"&amp;$B$2))</f>
        <v/>
      </c>
      <c r="H1551">
        <f>IF(AutoClaim_Data!D1551&lt;=$B$2,IF(AutoClaim_Data!E1551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1">
        <f>(F1551-H1551)^2</f>
        <v/>
      </c>
      <c r="J1551">
        <f>--(E1551="Validation")</f>
        <v/>
      </c>
    </row>
    <row r="1552">
      <c r="D1552">
        <f>AutoClaim_Data!A1552</f>
        <v/>
      </c>
      <c r="E1552">
        <f>AutoClaim_Data!B1552</f>
        <v/>
      </c>
      <c r="F1552">
        <f>AutoClaim_Data!C1552</f>
        <v/>
      </c>
      <c r="G1552">
        <f>IF(AutoClaim_Data!D1552&lt;=$B$2,AVERAGEIFS(AutoClaim_Data!C2:C3168,AutoClaim_Data!B2:B3168,"Train",AutoClaim_Data!D2:D3168,"&lt;="&amp;$B$2),AVERAGEIFS(AutoClaim_Data!C2:C3168,AutoClaim_Data!B2:B3168,"Train",AutoClaim_Data!D2:D3168,"&gt;"&amp;$B$2))</f>
        <v/>
      </c>
      <c r="H1552">
        <f>IF(AutoClaim_Data!D1552&lt;=$B$2,IF(AutoClaim_Data!E1552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2">
        <f>(F1552-H1552)^2</f>
        <v/>
      </c>
      <c r="J1552">
        <f>--(E1552="Validation")</f>
        <v/>
      </c>
    </row>
    <row r="1553">
      <c r="D1553">
        <f>AutoClaim_Data!A1553</f>
        <v/>
      </c>
      <c r="E1553">
        <f>AutoClaim_Data!B1553</f>
        <v/>
      </c>
      <c r="F1553">
        <f>AutoClaim_Data!C1553</f>
        <v/>
      </c>
      <c r="G1553">
        <f>IF(AutoClaim_Data!D1553&lt;=$B$2,AVERAGEIFS(AutoClaim_Data!C2:C3168,AutoClaim_Data!B2:B3168,"Train",AutoClaim_Data!D2:D3168,"&lt;="&amp;$B$2),AVERAGEIFS(AutoClaim_Data!C2:C3168,AutoClaim_Data!B2:B3168,"Train",AutoClaim_Data!D2:D3168,"&gt;"&amp;$B$2))</f>
        <v/>
      </c>
      <c r="H1553">
        <f>IF(AutoClaim_Data!D1553&lt;=$B$2,IF(AutoClaim_Data!E1553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3">
        <f>(F1553-H1553)^2</f>
        <v/>
      </c>
      <c r="J1553">
        <f>--(E1553="Validation")</f>
        <v/>
      </c>
    </row>
    <row r="1554">
      <c r="D1554">
        <f>AutoClaim_Data!A1554</f>
        <v/>
      </c>
      <c r="E1554">
        <f>AutoClaim_Data!B1554</f>
        <v/>
      </c>
      <c r="F1554">
        <f>AutoClaim_Data!C1554</f>
        <v/>
      </c>
      <c r="G1554">
        <f>IF(AutoClaim_Data!D1554&lt;=$B$2,AVERAGEIFS(AutoClaim_Data!C2:C3168,AutoClaim_Data!B2:B3168,"Train",AutoClaim_Data!D2:D3168,"&lt;="&amp;$B$2),AVERAGEIFS(AutoClaim_Data!C2:C3168,AutoClaim_Data!B2:B3168,"Train",AutoClaim_Data!D2:D3168,"&gt;"&amp;$B$2))</f>
        <v/>
      </c>
      <c r="H1554">
        <f>IF(AutoClaim_Data!D1554&lt;=$B$2,IF(AutoClaim_Data!E1554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4">
        <f>(F1554-H1554)^2</f>
        <v/>
      </c>
      <c r="J1554">
        <f>--(E1554="Validation")</f>
        <v/>
      </c>
    </row>
    <row r="1555">
      <c r="D1555">
        <f>AutoClaim_Data!A1555</f>
        <v/>
      </c>
      <c r="E1555">
        <f>AutoClaim_Data!B1555</f>
        <v/>
      </c>
      <c r="F1555">
        <f>AutoClaim_Data!C1555</f>
        <v/>
      </c>
      <c r="G1555">
        <f>IF(AutoClaim_Data!D1555&lt;=$B$2,AVERAGEIFS(AutoClaim_Data!C2:C3168,AutoClaim_Data!B2:B3168,"Train",AutoClaim_Data!D2:D3168,"&lt;="&amp;$B$2),AVERAGEIFS(AutoClaim_Data!C2:C3168,AutoClaim_Data!B2:B3168,"Train",AutoClaim_Data!D2:D3168,"&gt;"&amp;$B$2))</f>
        <v/>
      </c>
      <c r="H1555">
        <f>IF(AutoClaim_Data!D1555&lt;=$B$2,IF(AutoClaim_Data!E1555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5">
        <f>(F1555-H1555)^2</f>
        <v/>
      </c>
      <c r="J1555">
        <f>--(E1555="Validation")</f>
        <v/>
      </c>
    </row>
    <row r="1556">
      <c r="D1556">
        <f>AutoClaim_Data!A1556</f>
        <v/>
      </c>
      <c r="E1556">
        <f>AutoClaim_Data!B1556</f>
        <v/>
      </c>
      <c r="F1556">
        <f>AutoClaim_Data!C1556</f>
        <v/>
      </c>
      <c r="G1556">
        <f>IF(AutoClaim_Data!D1556&lt;=$B$2,AVERAGEIFS(AutoClaim_Data!C2:C3168,AutoClaim_Data!B2:B3168,"Train",AutoClaim_Data!D2:D3168,"&lt;="&amp;$B$2),AVERAGEIFS(AutoClaim_Data!C2:C3168,AutoClaim_Data!B2:B3168,"Train",AutoClaim_Data!D2:D3168,"&gt;"&amp;$B$2))</f>
        <v/>
      </c>
      <c r="H1556">
        <f>IF(AutoClaim_Data!D1556&lt;=$B$2,IF(AutoClaim_Data!E1556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6">
        <f>(F1556-H1556)^2</f>
        <v/>
      </c>
      <c r="J1556">
        <f>--(E1556="Validation")</f>
        <v/>
      </c>
    </row>
    <row r="1557">
      <c r="D1557">
        <f>AutoClaim_Data!A1557</f>
        <v/>
      </c>
      <c r="E1557">
        <f>AutoClaim_Data!B1557</f>
        <v/>
      </c>
      <c r="F1557">
        <f>AutoClaim_Data!C1557</f>
        <v/>
      </c>
      <c r="G1557">
        <f>IF(AutoClaim_Data!D1557&lt;=$B$2,AVERAGEIFS(AutoClaim_Data!C2:C3168,AutoClaim_Data!B2:B3168,"Train",AutoClaim_Data!D2:D3168,"&lt;="&amp;$B$2),AVERAGEIFS(AutoClaim_Data!C2:C3168,AutoClaim_Data!B2:B3168,"Train",AutoClaim_Data!D2:D3168,"&gt;"&amp;$B$2))</f>
        <v/>
      </c>
      <c r="H1557">
        <f>IF(AutoClaim_Data!D1557&lt;=$B$2,IF(AutoClaim_Data!E1557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7">
        <f>(F1557-H1557)^2</f>
        <v/>
      </c>
      <c r="J1557">
        <f>--(E1557="Validation")</f>
        <v/>
      </c>
    </row>
    <row r="1558">
      <c r="D1558">
        <f>AutoClaim_Data!A1558</f>
        <v/>
      </c>
      <c r="E1558">
        <f>AutoClaim_Data!B1558</f>
        <v/>
      </c>
      <c r="F1558">
        <f>AutoClaim_Data!C1558</f>
        <v/>
      </c>
      <c r="G1558">
        <f>IF(AutoClaim_Data!D1558&lt;=$B$2,AVERAGEIFS(AutoClaim_Data!C2:C3168,AutoClaim_Data!B2:B3168,"Train",AutoClaim_Data!D2:D3168,"&lt;="&amp;$B$2),AVERAGEIFS(AutoClaim_Data!C2:C3168,AutoClaim_Data!B2:B3168,"Train",AutoClaim_Data!D2:D3168,"&gt;"&amp;$B$2))</f>
        <v/>
      </c>
      <c r="H1558">
        <f>IF(AutoClaim_Data!D1558&lt;=$B$2,IF(AutoClaim_Data!E1558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8">
        <f>(F1558-H1558)^2</f>
        <v/>
      </c>
      <c r="J1558">
        <f>--(E1558="Validation")</f>
        <v/>
      </c>
    </row>
    <row r="1559">
      <c r="D1559">
        <f>AutoClaim_Data!A1559</f>
        <v/>
      </c>
      <c r="E1559">
        <f>AutoClaim_Data!B1559</f>
        <v/>
      </c>
      <c r="F1559">
        <f>AutoClaim_Data!C1559</f>
        <v/>
      </c>
      <c r="G1559">
        <f>IF(AutoClaim_Data!D1559&lt;=$B$2,AVERAGEIFS(AutoClaim_Data!C2:C3168,AutoClaim_Data!B2:B3168,"Train",AutoClaim_Data!D2:D3168,"&lt;="&amp;$B$2),AVERAGEIFS(AutoClaim_Data!C2:C3168,AutoClaim_Data!B2:B3168,"Train",AutoClaim_Data!D2:D3168,"&gt;"&amp;$B$2))</f>
        <v/>
      </c>
      <c r="H1559">
        <f>IF(AutoClaim_Data!D1559&lt;=$B$2,IF(AutoClaim_Data!E1559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59">
        <f>(F1559-H1559)^2</f>
        <v/>
      </c>
      <c r="J1559">
        <f>--(E1559="Validation")</f>
        <v/>
      </c>
    </row>
    <row r="1560">
      <c r="D1560">
        <f>AutoClaim_Data!A1560</f>
        <v/>
      </c>
      <c r="E1560">
        <f>AutoClaim_Data!B1560</f>
        <v/>
      </c>
      <c r="F1560">
        <f>AutoClaim_Data!C1560</f>
        <v/>
      </c>
      <c r="G1560">
        <f>IF(AutoClaim_Data!D1560&lt;=$B$2,AVERAGEIFS(AutoClaim_Data!C2:C3168,AutoClaim_Data!B2:B3168,"Train",AutoClaim_Data!D2:D3168,"&lt;="&amp;$B$2),AVERAGEIFS(AutoClaim_Data!C2:C3168,AutoClaim_Data!B2:B3168,"Train",AutoClaim_Data!D2:D3168,"&gt;"&amp;$B$2))</f>
        <v/>
      </c>
      <c r="H1560">
        <f>IF(AutoClaim_Data!D1560&lt;=$B$2,IF(AutoClaim_Data!E1560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0">
        <f>(F1560-H1560)^2</f>
        <v/>
      </c>
      <c r="J1560">
        <f>--(E1560="Validation")</f>
        <v/>
      </c>
    </row>
    <row r="1561">
      <c r="D1561">
        <f>AutoClaim_Data!A1561</f>
        <v/>
      </c>
      <c r="E1561">
        <f>AutoClaim_Data!B1561</f>
        <v/>
      </c>
      <c r="F1561">
        <f>AutoClaim_Data!C1561</f>
        <v/>
      </c>
      <c r="G1561">
        <f>IF(AutoClaim_Data!D1561&lt;=$B$2,AVERAGEIFS(AutoClaim_Data!C2:C3168,AutoClaim_Data!B2:B3168,"Train",AutoClaim_Data!D2:D3168,"&lt;="&amp;$B$2),AVERAGEIFS(AutoClaim_Data!C2:C3168,AutoClaim_Data!B2:B3168,"Train",AutoClaim_Data!D2:D3168,"&gt;"&amp;$B$2))</f>
        <v/>
      </c>
      <c r="H1561">
        <f>IF(AutoClaim_Data!D1561&lt;=$B$2,IF(AutoClaim_Data!E1561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1">
        <f>(F1561-H1561)^2</f>
        <v/>
      </c>
      <c r="J1561">
        <f>--(E1561="Validation")</f>
        <v/>
      </c>
    </row>
    <row r="1562">
      <c r="D1562">
        <f>AutoClaim_Data!A1562</f>
        <v/>
      </c>
      <c r="E1562">
        <f>AutoClaim_Data!B1562</f>
        <v/>
      </c>
      <c r="F1562">
        <f>AutoClaim_Data!C1562</f>
        <v/>
      </c>
      <c r="G1562">
        <f>IF(AutoClaim_Data!D1562&lt;=$B$2,AVERAGEIFS(AutoClaim_Data!C2:C3168,AutoClaim_Data!B2:B3168,"Train",AutoClaim_Data!D2:D3168,"&lt;="&amp;$B$2),AVERAGEIFS(AutoClaim_Data!C2:C3168,AutoClaim_Data!B2:B3168,"Train",AutoClaim_Data!D2:D3168,"&gt;"&amp;$B$2))</f>
        <v/>
      </c>
      <c r="H1562">
        <f>IF(AutoClaim_Data!D1562&lt;=$B$2,IF(AutoClaim_Data!E1562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2">
        <f>(F1562-H1562)^2</f>
        <v/>
      </c>
      <c r="J1562">
        <f>--(E1562="Validation")</f>
        <v/>
      </c>
    </row>
    <row r="1563">
      <c r="D1563">
        <f>AutoClaim_Data!A1563</f>
        <v/>
      </c>
      <c r="E1563">
        <f>AutoClaim_Data!B1563</f>
        <v/>
      </c>
      <c r="F1563">
        <f>AutoClaim_Data!C1563</f>
        <v/>
      </c>
      <c r="G1563">
        <f>IF(AutoClaim_Data!D1563&lt;=$B$2,AVERAGEIFS(AutoClaim_Data!C2:C3168,AutoClaim_Data!B2:B3168,"Train",AutoClaim_Data!D2:D3168,"&lt;="&amp;$B$2),AVERAGEIFS(AutoClaim_Data!C2:C3168,AutoClaim_Data!B2:B3168,"Train",AutoClaim_Data!D2:D3168,"&gt;"&amp;$B$2))</f>
        <v/>
      </c>
      <c r="H1563">
        <f>IF(AutoClaim_Data!D1563&lt;=$B$2,IF(AutoClaim_Data!E1563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3">
        <f>(F1563-H1563)^2</f>
        <v/>
      </c>
      <c r="J1563">
        <f>--(E1563="Validation")</f>
        <v/>
      </c>
    </row>
    <row r="1564">
      <c r="D1564">
        <f>AutoClaim_Data!A1564</f>
        <v/>
      </c>
      <c r="E1564">
        <f>AutoClaim_Data!B1564</f>
        <v/>
      </c>
      <c r="F1564">
        <f>AutoClaim_Data!C1564</f>
        <v/>
      </c>
      <c r="G1564">
        <f>IF(AutoClaim_Data!D1564&lt;=$B$2,AVERAGEIFS(AutoClaim_Data!C2:C3168,AutoClaim_Data!B2:B3168,"Train",AutoClaim_Data!D2:D3168,"&lt;="&amp;$B$2),AVERAGEIFS(AutoClaim_Data!C2:C3168,AutoClaim_Data!B2:B3168,"Train",AutoClaim_Data!D2:D3168,"&gt;"&amp;$B$2))</f>
        <v/>
      </c>
      <c r="H1564">
        <f>IF(AutoClaim_Data!D1564&lt;=$B$2,IF(AutoClaim_Data!E1564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4">
        <f>(F1564-H1564)^2</f>
        <v/>
      </c>
      <c r="J1564">
        <f>--(E1564="Validation")</f>
        <v/>
      </c>
    </row>
    <row r="1565">
      <c r="D1565">
        <f>AutoClaim_Data!A1565</f>
        <v/>
      </c>
      <c r="E1565">
        <f>AutoClaim_Data!B1565</f>
        <v/>
      </c>
      <c r="F1565">
        <f>AutoClaim_Data!C1565</f>
        <v/>
      </c>
      <c r="G1565">
        <f>IF(AutoClaim_Data!D1565&lt;=$B$2,AVERAGEIFS(AutoClaim_Data!C2:C3168,AutoClaim_Data!B2:B3168,"Train",AutoClaim_Data!D2:D3168,"&lt;="&amp;$B$2),AVERAGEIFS(AutoClaim_Data!C2:C3168,AutoClaim_Data!B2:B3168,"Train",AutoClaim_Data!D2:D3168,"&gt;"&amp;$B$2))</f>
        <v/>
      </c>
      <c r="H1565">
        <f>IF(AutoClaim_Data!D1565&lt;=$B$2,IF(AutoClaim_Data!E1565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5">
        <f>(F1565-H1565)^2</f>
        <v/>
      </c>
      <c r="J1565">
        <f>--(E1565="Validation")</f>
        <v/>
      </c>
    </row>
    <row r="1566">
      <c r="D1566">
        <f>AutoClaim_Data!A1566</f>
        <v/>
      </c>
      <c r="E1566">
        <f>AutoClaim_Data!B1566</f>
        <v/>
      </c>
      <c r="F1566">
        <f>AutoClaim_Data!C1566</f>
        <v/>
      </c>
      <c r="G1566">
        <f>IF(AutoClaim_Data!D1566&lt;=$B$2,AVERAGEIFS(AutoClaim_Data!C2:C3168,AutoClaim_Data!B2:B3168,"Train",AutoClaim_Data!D2:D3168,"&lt;="&amp;$B$2),AVERAGEIFS(AutoClaim_Data!C2:C3168,AutoClaim_Data!B2:B3168,"Train",AutoClaim_Data!D2:D3168,"&gt;"&amp;$B$2))</f>
        <v/>
      </c>
      <c r="H1566">
        <f>IF(AutoClaim_Data!D1566&lt;=$B$2,IF(AutoClaim_Data!E1566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6">
        <f>(F1566-H1566)^2</f>
        <v/>
      </c>
      <c r="J1566">
        <f>--(E1566="Validation")</f>
        <v/>
      </c>
    </row>
    <row r="1567">
      <c r="D1567">
        <f>AutoClaim_Data!A1567</f>
        <v/>
      </c>
      <c r="E1567">
        <f>AutoClaim_Data!B1567</f>
        <v/>
      </c>
      <c r="F1567">
        <f>AutoClaim_Data!C1567</f>
        <v/>
      </c>
      <c r="G1567">
        <f>IF(AutoClaim_Data!D1567&lt;=$B$2,AVERAGEIFS(AutoClaim_Data!C2:C3168,AutoClaim_Data!B2:B3168,"Train",AutoClaim_Data!D2:D3168,"&lt;="&amp;$B$2),AVERAGEIFS(AutoClaim_Data!C2:C3168,AutoClaim_Data!B2:B3168,"Train",AutoClaim_Data!D2:D3168,"&gt;"&amp;$B$2))</f>
        <v/>
      </c>
      <c r="H1567">
        <f>IF(AutoClaim_Data!D1567&lt;=$B$2,IF(AutoClaim_Data!E1567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7">
        <f>(F1567-H1567)^2</f>
        <v/>
      </c>
      <c r="J1567">
        <f>--(E1567="Validation")</f>
        <v/>
      </c>
    </row>
    <row r="1568">
      <c r="D1568">
        <f>AutoClaim_Data!A1568</f>
        <v/>
      </c>
      <c r="E1568">
        <f>AutoClaim_Data!B1568</f>
        <v/>
      </c>
      <c r="F1568">
        <f>AutoClaim_Data!C1568</f>
        <v/>
      </c>
      <c r="G1568">
        <f>IF(AutoClaim_Data!D1568&lt;=$B$2,AVERAGEIFS(AutoClaim_Data!C2:C3168,AutoClaim_Data!B2:B3168,"Train",AutoClaim_Data!D2:D3168,"&lt;="&amp;$B$2),AVERAGEIFS(AutoClaim_Data!C2:C3168,AutoClaim_Data!B2:B3168,"Train",AutoClaim_Data!D2:D3168,"&gt;"&amp;$B$2))</f>
        <v/>
      </c>
      <c r="H1568">
        <f>IF(AutoClaim_Data!D1568&lt;=$B$2,IF(AutoClaim_Data!E1568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8">
        <f>(F1568-H1568)^2</f>
        <v/>
      </c>
      <c r="J1568">
        <f>--(E1568="Validation")</f>
        <v/>
      </c>
    </row>
    <row r="1569">
      <c r="D1569">
        <f>AutoClaim_Data!A1569</f>
        <v/>
      </c>
      <c r="E1569">
        <f>AutoClaim_Data!B1569</f>
        <v/>
      </c>
      <c r="F1569">
        <f>AutoClaim_Data!C1569</f>
        <v/>
      </c>
      <c r="G1569">
        <f>IF(AutoClaim_Data!D1569&lt;=$B$2,AVERAGEIFS(AutoClaim_Data!C2:C3168,AutoClaim_Data!B2:B3168,"Train",AutoClaim_Data!D2:D3168,"&lt;="&amp;$B$2),AVERAGEIFS(AutoClaim_Data!C2:C3168,AutoClaim_Data!B2:B3168,"Train",AutoClaim_Data!D2:D3168,"&gt;"&amp;$B$2))</f>
        <v/>
      </c>
      <c r="H1569">
        <f>IF(AutoClaim_Data!D1569&lt;=$B$2,IF(AutoClaim_Data!E1569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69">
        <f>(F1569-H1569)^2</f>
        <v/>
      </c>
      <c r="J1569">
        <f>--(E1569="Validation")</f>
        <v/>
      </c>
    </row>
    <row r="1570">
      <c r="D1570">
        <f>AutoClaim_Data!A1570</f>
        <v/>
      </c>
      <c r="E1570">
        <f>AutoClaim_Data!B1570</f>
        <v/>
      </c>
      <c r="F1570">
        <f>AutoClaim_Data!C1570</f>
        <v/>
      </c>
      <c r="G1570">
        <f>IF(AutoClaim_Data!D1570&lt;=$B$2,AVERAGEIFS(AutoClaim_Data!C2:C3168,AutoClaim_Data!B2:B3168,"Train",AutoClaim_Data!D2:D3168,"&lt;="&amp;$B$2),AVERAGEIFS(AutoClaim_Data!C2:C3168,AutoClaim_Data!B2:B3168,"Train",AutoClaim_Data!D2:D3168,"&gt;"&amp;$B$2))</f>
        <v/>
      </c>
      <c r="H1570">
        <f>IF(AutoClaim_Data!D1570&lt;=$B$2,IF(AutoClaim_Data!E1570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0">
        <f>(F1570-H1570)^2</f>
        <v/>
      </c>
      <c r="J1570">
        <f>--(E1570="Validation")</f>
        <v/>
      </c>
    </row>
    <row r="1571">
      <c r="D1571">
        <f>AutoClaim_Data!A1571</f>
        <v/>
      </c>
      <c r="E1571">
        <f>AutoClaim_Data!B1571</f>
        <v/>
      </c>
      <c r="F1571">
        <f>AutoClaim_Data!C1571</f>
        <v/>
      </c>
      <c r="G1571">
        <f>IF(AutoClaim_Data!D1571&lt;=$B$2,AVERAGEIFS(AutoClaim_Data!C2:C3168,AutoClaim_Data!B2:B3168,"Train",AutoClaim_Data!D2:D3168,"&lt;="&amp;$B$2),AVERAGEIFS(AutoClaim_Data!C2:C3168,AutoClaim_Data!B2:B3168,"Train",AutoClaim_Data!D2:D3168,"&gt;"&amp;$B$2))</f>
        <v/>
      </c>
      <c r="H1571">
        <f>IF(AutoClaim_Data!D1571&lt;=$B$2,IF(AutoClaim_Data!E1571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1">
        <f>(F1571-H1571)^2</f>
        <v/>
      </c>
      <c r="J1571">
        <f>--(E1571="Validation")</f>
        <v/>
      </c>
    </row>
    <row r="1572">
      <c r="D1572">
        <f>AutoClaim_Data!A1572</f>
        <v/>
      </c>
      <c r="E1572">
        <f>AutoClaim_Data!B1572</f>
        <v/>
      </c>
      <c r="F1572">
        <f>AutoClaim_Data!C1572</f>
        <v/>
      </c>
      <c r="G1572">
        <f>IF(AutoClaim_Data!D1572&lt;=$B$2,AVERAGEIFS(AutoClaim_Data!C2:C3168,AutoClaim_Data!B2:B3168,"Train",AutoClaim_Data!D2:D3168,"&lt;="&amp;$B$2),AVERAGEIFS(AutoClaim_Data!C2:C3168,AutoClaim_Data!B2:B3168,"Train",AutoClaim_Data!D2:D3168,"&gt;"&amp;$B$2))</f>
        <v/>
      </c>
      <c r="H1572">
        <f>IF(AutoClaim_Data!D1572&lt;=$B$2,IF(AutoClaim_Data!E1572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2">
        <f>(F1572-H1572)^2</f>
        <v/>
      </c>
      <c r="J1572">
        <f>--(E1572="Validation")</f>
        <v/>
      </c>
    </row>
    <row r="1573">
      <c r="D1573">
        <f>AutoClaim_Data!A1573</f>
        <v/>
      </c>
      <c r="E1573">
        <f>AutoClaim_Data!B1573</f>
        <v/>
      </c>
      <c r="F1573">
        <f>AutoClaim_Data!C1573</f>
        <v/>
      </c>
      <c r="G1573">
        <f>IF(AutoClaim_Data!D1573&lt;=$B$2,AVERAGEIFS(AutoClaim_Data!C2:C3168,AutoClaim_Data!B2:B3168,"Train",AutoClaim_Data!D2:D3168,"&lt;="&amp;$B$2),AVERAGEIFS(AutoClaim_Data!C2:C3168,AutoClaim_Data!B2:B3168,"Train",AutoClaim_Data!D2:D3168,"&gt;"&amp;$B$2))</f>
        <v/>
      </c>
      <c r="H1573">
        <f>IF(AutoClaim_Data!D1573&lt;=$B$2,IF(AutoClaim_Data!E1573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3">
        <f>(F1573-H1573)^2</f>
        <v/>
      </c>
      <c r="J1573">
        <f>--(E1573="Validation")</f>
        <v/>
      </c>
    </row>
    <row r="1574">
      <c r="D1574">
        <f>AutoClaim_Data!A1574</f>
        <v/>
      </c>
      <c r="E1574">
        <f>AutoClaim_Data!B1574</f>
        <v/>
      </c>
      <c r="F1574">
        <f>AutoClaim_Data!C1574</f>
        <v/>
      </c>
      <c r="G1574">
        <f>IF(AutoClaim_Data!D1574&lt;=$B$2,AVERAGEIFS(AutoClaim_Data!C2:C3168,AutoClaim_Data!B2:B3168,"Train",AutoClaim_Data!D2:D3168,"&lt;="&amp;$B$2),AVERAGEIFS(AutoClaim_Data!C2:C3168,AutoClaim_Data!B2:B3168,"Train",AutoClaim_Data!D2:D3168,"&gt;"&amp;$B$2))</f>
        <v/>
      </c>
      <c r="H1574">
        <f>IF(AutoClaim_Data!D1574&lt;=$B$2,IF(AutoClaim_Data!E1574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4">
        <f>(F1574-H1574)^2</f>
        <v/>
      </c>
      <c r="J1574">
        <f>--(E1574="Validation")</f>
        <v/>
      </c>
    </row>
    <row r="1575">
      <c r="D1575">
        <f>AutoClaim_Data!A1575</f>
        <v/>
      </c>
      <c r="E1575">
        <f>AutoClaim_Data!B1575</f>
        <v/>
      </c>
      <c r="F1575">
        <f>AutoClaim_Data!C1575</f>
        <v/>
      </c>
      <c r="G1575">
        <f>IF(AutoClaim_Data!D1575&lt;=$B$2,AVERAGEIFS(AutoClaim_Data!C2:C3168,AutoClaim_Data!B2:B3168,"Train",AutoClaim_Data!D2:D3168,"&lt;="&amp;$B$2),AVERAGEIFS(AutoClaim_Data!C2:C3168,AutoClaim_Data!B2:B3168,"Train",AutoClaim_Data!D2:D3168,"&gt;"&amp;$B$2))</f>
        <v/>
      </c>
      <c r="H1575">
        <f>IF(AutoClaim_Data!D1575&lt;=$B$2,IF(AutoClaim_Data!E1575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5">
        <f>(F1575-H1575)^2</f>
        <v/>
      </c>
      <c r="J1575">
        <f>--(E1575="Validation")</f>
        <v/>
      </c>
    </row>
    <row r="1576">
      <c r="D1576">
        <f>AutoClaim_Data!A1576</f>
        <v/>
      </c>
      <c r="E1576">
        <f>AutoClaim_Data!B1576</f>
        <v/>
      </c>
      <c r="F1576">
        <f>AutoClaim_Data!C1576</f>
        <v/>
      </c>
      <c r="G1576">
        <f>IF(AutoClaim_Data!D1576&lt;=$B$2,AVERAGEIFS(AutoClaim_Data!C2:C3168,AutoClaim_Data!B2:B3168,"Train",AutoClaim_Data!D2:D3168,"&lt;="&amp;$B$2),AVERAGEIFS(AutoClaim_Data!C2:C3168,AutoClaim_Data!B2:B3168,"Train",AutoClaim_Data!D2:D3168,"&gt;"&amp;$B$2))</f>
        <v/>
      </c>
      <c r="H1576">
        <f>IF(AutoClaim_Data!D1576&lt;=$B$2,IF(AutoClaim_Data!E1576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6">
        <f>(F1576-H1576)^2</f>
        <v/>
      </c>
      <c r="J1576">
        <f>--(E1576="Validation")</f>
        <v/>
      </c>
    </row>
    <row r="1577">
      <c r="D1577">
        <f>AutoClaim_Data!A1577</f>
        <v/>
      </c>
      <c r="E1577">
        <f>AutoClaim_Data!B1577</f>
        <v/>
      </c>
      <c r="F1577">
        <f>AutoClaim_Data!C1577</f>
        <v/>
      </c>
      <c r="G1577">
        <f>IF(AutoClaim_Data!D1577&lt;=$B$2,AVERAGEIFS(AutoClaim_Data!C2:C3168,AutoClaim_Data!B2:B3168,"Train",AutoClaim_Data!D2:D3168,"&lt;="&amp;$B$2),AVERAGEIFS(AutoClaim_Data!C2:C3168,AutoClaim_Data!B2:B3168,"Train",AutoClaim_Data!D2:D3168,"&gt;"&amp;$B$2))</f>
        <v/>
      </c>
      <c r="H1577">
        <f>IF(AutoClaim_Data!D1577&lt;=$B$2,IF(AutoClaim_Data!E1577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7">
        <f>(F1577-H1577)^2</f>
        <v/>
      </c>
      <c r="J1577">
        <f>--(E1577="Validation")</f>
        <v/>
      </c>
    </row>
    <row r="1578">
      <c r="D1578">
        <f>AutoClaim_Data!A1578</f>
        <v/>
      </c>
      <c r="E1578">
        <f>AutoClaim_Data!B1578</f>
        <v/>
      </c>
      <c r="F1578">
        <f>AutoClaim_Data!C1578</f>
        <v/>
      </c>
      <c r="G1578">
        <f>IF(AutoClaim_Data!D1578&lt;=$B$2,AVERAGEIFS(AutoClaim_Data!C2:C3168,AutoClaim_Data!B2:B3168,"Train",AutoClaim_Data!D2:D3168,"&lt;="&amp;$B$2),AVERAGEIFS(AutoClaim_Data!C2:C3168,AutoClaim_Data!B2:B3168,"Train",AutoClaim_Data!D2:D3168,"&gt;"&amp;$B$2))</f>
        <v/>
      </c>
      <c r="H1578">
        <f>IF(AutoClaim_Data!D1578&lt;=$B$2,IF(AutoClaim_Data!E1578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8">
        <f>(F1578-H1578)^2</f>
        <v/>
      </c>
      <c r="J1578">
        <f>--(E1578="Validation")</f>
        <v/>
      </c>
    </row>
    <row r="1579">
      <c r="D1579">
        <f>AutoClaim_Data!A1579</f>
        <v/>
      </c>
      <c r="E1579">
        <f>AutoClaim_Data!B1579</f>
        <v/>
      </c>
      <c r="F1579">
        <f>AutoClaim_Data!C1579</f>
        <v/>
      </c>
      <c r="G1579">
        <f>IF(AutoClaim_Data!D1579&lt;=$B$2,AVERAGEIFS(AutoClaim_Data!C2:C3168,AutoClaim_Data!B2:B3168,"Train",AutoClaim_Data!D2:D3168,"&lt;="&amp;$B$2),AVERAGEIFS(AutoClaim_Data!C2:C3168,AutoClaim_Data!B2:B3168,"Train",AutoClaim_Data!D2:D3168,"&gt;"&amp;$B$2))</f>
        <v/>
      </c>
      <c r="H1579">
        <f>IF(AutoClaim_Data!D1579&lt;=$B$2,IF(AutoClaim_Data!E1579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79">
        <f>(F1579-H1579)^2</f>
        <v/>
      </c>
      <c r="J1579">
        <f>--(E1579="Validation")</f>
        <v/>
      </c>
    </row>
    <row r="1580">
      <c r="D1580">
        <f>AutoClaim_Data!A1580</f>
        <v/>
      </c>
      <c r="E1580">
        <f>AutoClaim_Data!B1580</f>
        <v/>
      </c>
      <c r="F1580">
        <f>AutoClaim_Data!C1580</f>
        <v/>
      </c>
      <c r="G1580">
        <f>IF(AutoClaim_Data!D1580&lt;=$B$2,AVERAGEIFS(AutoClaim_Data!C2:C3168,AutoClaim_Data!B2:B3168,"Train",AutoClaim_Data!D2:D3168,"&lt;="&amp;$B$2),AVERAGEIFS(AutoClaim_Data!C2:C3168,AutoClaim_Data!B2:B3168,"Train",AutoClaim_Data!D2:D3168,"&gt;"&amp;$B$2))</f>
        <v/>
      </c>
      <c r="H1580">
        <f>IF(AutoClaim_Data!D1580&lt;=$B$2,IF(AutoClaim_Data!E1580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0">
        <f>(F1580-H1580)^2</f>
        <v/>
      </c>
      <c r="J1580">
        <f>--(E1580="Validation")</f>
        <v/>
      </c>
    </row>
    <row r="1581">
      <c r="D1581">
        <f>AutoClaim_Data!A1581</f>
        <v/>
      </c>
      <c r="E1581">
        <f>AutoClaim_Data!B1581</f>
        <v/>
      </c>
      <c r="F1581">
        <f>AutoClaim_Data!C1581</f>
        <v/>
      </c>
      <c r="G1581">
        <f>IF(AutoClaim_Data!D1581&lt;=$B$2,AVERAGEIFS(AutoClaim_Data!C2:C3168,AutoClaim_Data!B2:B3168,"Train",AutoClaim_Data!D2:D3168,"&lt;="&amp;$B$2),AVERAGEIFS(AutoClaim_Data!C2:C3168,AutoClaim_Data!B2:B3168,"Train",AutoClaim_Data!D2:D3168,"&gt;"&amp;$B$2))</f>
        <v/>
      </c>
      <c r="H1581">
        <f>IF(AutoClaim_Data!D1581&lt;=$B$2,IF(AutoClaim_Data!E1581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1">
        <f>(F1581-H1581)^2</f>
        <v/>
      </c>
      <c r="J1581">
        <f>--(E1581="Validation")</f>
        <v/>
      </c>
    </row>
    <row r="1582">
      <c r="D1582">
        <f>AutoClaim_Data!A1582</f>
        <v/>
      </c>
      <c r="E1582">
        <f>AutoClaim_Data!B1582</f>
        <v/>
      </c>
      <c r="F1582">
        <f>AutoClaim_Data!C1582</f>
        <v/>
      </c>
      <c r="G1582">
        <f>IF(AutoClaim_Data!D1582&lt;=$B$2,AVERAGEIFS(AutoClaim_Data!C2:C3168,AutoClaim_Data!B2:B3168,"Train",AutoClaim_Data!D2:D3168,"&lt;="&amp;$B$2),AVERAGEIFS(AutoClaim_Data!C2:C3168,AutoClaim_Data!B2:B3168,"Train",AutoClaim_Data!D2:D3168,"&gt;"&amp;$B$2))</f>
        <v/>
      </c>
      <c r="H1582">
        <f>IF(AutoClaim_Data!D1582&lt;=$B$2,IF(AutoClaim_Data!E1582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2">
        <f>(F1582-H1582)^2</f>
        <v/>
      </c>
      <c r="J1582">
        <f>--(E1582="Validation")</f>
        <v/>
      </c>
    </row>
    <row r="1583">
      <c r="D1583">
        <f>AutoClaim_Data!A1583</f>
        <v/>
      </c>
      <c r="E1583">
        <f>AutoClaim_Data!B1583</f>
        <v/>
      </c>
      <c r="F1583">
        <f>AutoClaim_Data!C1583</f>
        <v/>
      </c>
      <c r="G1583">
        <f>IF(AutoClaim_Data!D1583&lt;=$B$2,AVERAGEIFS(AutoClaim_Data!C2:C3168,AutoClaim_Data!B2:B3168,"Train",AutoClaim_Data!D2:D3168,"&lt;="&amp;$B$2),AVERAGEIFS(AutoClaim_Data!C2:C3168,AutoClaim_Data!B2:B3168,"Train",AutoClaim_Data!D2:D3168,"&gt;"&amp;$B$2))</f>
        <v/>
      </c>
      <c r="H1583">
        <f>IF(AutoClaim_Data!D1583&lt;=$B$2,IF(AutoClaim_Data!E1583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3">
        <f>(F1583-H1583)^2</f>
        <v/>
      </c>
      <c r="J1583">
        <f>--(E1583="Validation")</f>
        <v/>
      </c>
    </row>
    <row r="1584">
      <c r="D1584">
        <f>AutoClaim_Data!A1584</f>
        <v/>
      </c>
      <c r="E1584">
        <f>AutoClaim_Data!B1584</f>
        <v/>
      </c>
      <c r="F1584">
        <f>AutoClaim_Data!C1584</f>
        <v/>
      </c>
      <c r="G1584">
        <f>IF(AutoClaim_Data!D1584&lt;=$B$2,AVERAGEIFS(AutoClaim_Data!C2:C3168,AutoClaim_Data!B2:B3168,"Train",AutoClaim_Data!D2:D3168,"&lt;="&amp;$B$2),AVERAGEIFS(AutoClaim_Data!C2:C3168,AutoClaim_Data!B2:B3168,"Train",AutoClaim_Data!D2:D3168,"&gt;"&amp;$B$2))</f>
        <v/>
      </c>
      <c r="H1584">
        <f>IF(AutoClaim_Data!D1584&lt;=$B$2,IF(AutoClaim_Data!E1584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4">
        <f>(F1584-H1584)^2</f>
        <v/>
      </c>
      <c r="J1584">
        <f>--(E1584="Validation")</f>
        <v/>
      </c>
    </row>
    <row r="1585">
      <c r="D1585">
        <f>AutoClaim_Data!A1585</f>
        <v/>
      </c>
      <c r="E1585">
        <f>AutoClaim_Data!B1585</f>
        <v/>
      </c>
      <c r="F1585">
        <f>AutoClaim_Data!C1585</f>
        <v/>
      </c>
      <c r="G1585">
        <f>IF(AutoClaim_Data!D1585&lt;=$B$2,AVERAGEIFS(AutoClaim_Data!C2:C3168,AutoClaim_Data!B2:B3168,"Train",AutoClaim_Data!D2:D3168,"&lt;="&amp;$B$2),AVERAGEIFS(AutoClaim_Data!C2:C3168,AutoClaim_Data!B2:B3168,"Train",AutoClaim_Data!D2:D3168,"&gt;"&amp;$B$2))</f>
        <v/>
      </c>
      <c r="H1585">
        <f>IF(AutoClaim_Data!D1585&lt;=$B$2,IF(AutoClaim_Data!E1585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5">
        <f>(F1585-H1585)^2</f>
        <v/>
      </c>
      <c r="J1585">
        <f>--(E1585="Validation")</f>
        <v/>
      </c>
    </row>
    <row r="1586">
      <c r="D1586">
        <f>AutoClaim_Data!A1586</f>
        <v/>
      </c>
      <c r="E1586">
        <f>AutoClaim_Data!B1586</f>
        <v/>
      </c>
      <c r="F1586">
        <f>AutoClaim_Data!C1586</f>
        <v/>
      </c>
      <c r="G1586">
        <f>IF(AutoClaim_Data!D1586&lt;=$B$2,AVERAGEIFS(AutoClaim_Data!C2:C3168,AutoClaim_Data!B2:B3168,"Train",AutoClaim_Data!D2:D3168,"&lt;="&amp;$B$2),AVERAGEIFS(AutoClaim_Data!C2:C3168,AutoClaim_Data!B2:B3168,"Train",AutoClaim_Data!D2:D3168,"&gt;"&amp;$B$2))</f>
        <v/>
      </c>
      <c r="H1586">
        <f>IF(AutoClaim_Data!D1586&lt;=$B$2,IF(AutoClaim_Data!E1586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6">
        <f>(F1586-H1586)^2</f>
        <v/>
      </c>
      <c r="J1586">
        <f>--(E1586="Validation")</f>
        <v/>
      </c>
    </row>
    <row r="1587">
      <c r="D1587">
        <f>AutoClaim_Data!A1587</f>
        <v/>
      </c>
      <c r="E1587">
        <f>AutoClaim_Data!B1587</f>
        <v/>
      </c>
      <c r="F1587">
        <f>AutoClaim_Data!C1587</f>
        <v/>
      </c>
      <c r="G1587">
        <f>IF(AutoClaim_Data!D1587&lt;=$B$2,AVERAGEIFS(AutoClaim_Data!C2:C3168,AutoClaim_Data!B2:B3168,"Train",AutoClaim_Data!D2:D3168,"&lt;="&amp;$B$2),AVERAGEIFS(AutoClaim_Data!C2:C3168,AutoClaim_Data!B2:B3168,"Train",AutoClaim_Data!D2:D3168,"&gt;"&amp;$B$2))</f>
        <v/>
      </c>
      <c r="H1587">
        <f>IF(AutoClaim_Data!D1587&lt;=$B$2,IF(AutoClaim_Data!E1587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7">
        <f>(F1587-H1587)^2</f>
        <v/>
      </c>
      <c r="J1587">
        <f>--(E1587="Validation")</f>
        <v/>
      </c>
    </row>
    <row r="1588">
      <c r="D1588">
        <f>AutoClaim_Data!A1588</f>
        <v/>
      </c>
      <c r="E1588">
        <f>AutoClaim_Data!B1588</f>
        <v/>
      </c>
      <c r="F1588">
        <f>AutoClaim_Data!C1588</f>
        <v/>
      </c>
      <c r="G1588">
        <f>IF(AutoClaim_Data!D1588&lt;=$B$2,AVERAGEIFS(AutoClaim_Data!C2:C3168,AutoClaim_Data!B2:B3168,"Train",AutoClaim_Data!D2:D3168,"&lt;="&amp;$B$2),AVERAGEIFS(AutoClaim_Data!C2:C3168,AutoClaim_Data!B2:B3168,"Train",AutoClaim_Data!D2:D3168,"&gt;"&amp;$B$2))</f>
        <v/>
      </c>
      <c r="H1588">
        <f>IF(AutoClaim_Data!D1588&lt;=$B$2,IF(AutoClaim_Data!E1588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8">
        <f>(F1588-H1588)^2</f>
        <v/>
      </c>
      <c r="J1588">
        <f>--(E1588="Validation")</f>
        <v/>
      </c>
    </row>
    <row r="1589">
      <c r="D1589">
        <f>AutoClaim_Data!A1589</f>
        <v/>
      </c>
      <c r="E1589">
        <f>AutoClaim_Data!B1589</f>
        <v/>
      </c>
      <c r="F1589">
        <f>AutoClaim_Data!C1589</f>
        <v/>
      </c>
      <c r="G1589">
        <f>IF(AutoClaim_Data!D1589&lt;=$B$2,AVERAGEIFS(AutoClaim_Data!C2:C3168,AutoClaim_Data!B2:B3168,"Train",AutoClaim_Data!D2:D3168,"&lt;="&amp;$B$2),AVERAGEIFS(AutoClaim_Data!C2:C3168,AutoClaim_Data!B2:B3168,"Train",AutoClaim_Data!D2:D3168,"&gt;"&amp;$B$2))</f>
        <v/>
      </c>
      <c r="H1589">
        <f>IF(AutoClaim_Data!D1589&lt;=$B$2,IF(AutoClaim_Data!E1589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89">
        <f>(F1589-H1589)^2</f>
        <v/>
      </c>
      <c r="J1589">
        <f>--(E1589="Validation")</f>
        <v/>
      </c>
    </row>
    <row r="1590">
      <c r="D1590">
        <f>AutoClaim_Data!A1590</f>
        <v/>
      </c>
      <c r="E1590">
        <f>AutoClaim_Data!B1590</f>
        <v/>
      </c>
      <c r="F1590">
        <f>AutoClaim_Data!C1590</f>
        <v/>
      </c>
      <c r="G1590">
        <f>IF(AutoClaim_Data!D1590&lt;=$B$2,AVERAGEIFS(AutoClaim_Data!C2:C3168,AutoClaim_Data!B2:B3168,"Train",AutoClaim_Data!D2:D3168,"&lt;="&amp;$B$2),AVERAGEIFS(AutoClaim_Data!C2:C3168,AutoClaim_Data!B2:B3168,"Train",AutoClaim_Data!D2:D3168,"&gt;"&amp;$B$2))</f>
        <v/>
      </c>
      <c r="H1590">
        <f>IF(AutoClaim_Data!D1590&lt;=$B$2,IF(AutoClaim_Data!E1590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0">
        <f>(F1590-H1590)^2</f>
        <v/>
      </c>
      <c r="J1590">
        <f>--(E1590="Validation")</f>
        <v/>
      </c>
    </row>
    <row r="1591">
      <c r="D1591">
        <f>AutoClaim_Data!A1591</f>
        <v/>
      </c>
      <c r="E1591">
        <f>AutoClaim_Data!B1591</f>
        <v/>
      </c>
      <c r="F1591">
        <f>AutoClaim_Data!C1591</f>
        <v/>
      </c>
      <c r="G1591">
        <f>IF(AutoClaim_Data!D1591&lt;=$B$2,AVERAGEIFS(AutoClaim_Data!C2:C3168,AutoClaim_Data!B2:B3168,"Train",AutoClaim_Data!D2:D3168,"&lt;="&amp;$B$2),AVERAGEIFS(AutoClaim_Data!C2:C3168,AutoClaim_Data!B2:B3168,"Train",AutoClaim_Data!D2:D3168,"&gt;"&amp;$B$2))</f>
        <v/>
      </c>
      <c r="H1591">
        <f>IF(AutoClaim_Data!D1591&lt;=$B$2,IF(AutoClaim_Data!E1591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1">
        <f>(F1591-H1591)^2</f>
        <v/>
      </c>
      <c r="J1591">
        <f>--(E1591="Validation")</f>
        <v/>
      </c>
    </row>
    <row r="1592">
      <c r="D1592">
        <f>AutoClaim_Data!A1592</f>
        <v/>
      </c>
      <c r="E1592">
        <f>AutoClaim_Data!B1592</f>
        <v/>
      </c>
      <c r="F1592">
        <f>AutoClaim_Data!C1592</f>
        <v/>
      </c>
      <c r="G1592">
        <f>IF(AutoClaim_Data!D1592&lt;=$B$2,AVERAGEIFS(AutoClaim_Data!C2:C3168,AutoClaim_Data!B2:B3168,"Train",AutoClaim_Data!D2:D3168,"&lt;="&amp;$B$2),AVERAGEIFS(AutoClaim_Data!C2:C3168,AutoClaim_Data!B2:B3168,"Train",AutoClaim_Data!D2:D3168,"&gt;"&amp;$B$2))</f>
        <v/>
      </c>
      <c r="H1592">
        <f>IF(AutoClaim_Data!D1592&lt;=$B$2,IF(AutoClaim_Data!E1592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2">
        <f>(F1592-H1592)^2</f>
        <v/>
      </c>
      <c r="J1592">
        <f>--(E1592="Validation")</f>
        <v/>
      </c>
    </row>
    <row r="1593">
      <c r="D1593">
        <f>AutoClaim_Data!A1593</f>
        <v/>
      </c>
      <c r="E1593">
        <f>AutoClaim_Data!B1593</f>
        <v/>
      </c>
      <c r="F1593">
        <f>AutoClaim_Data!C1593</f>
        <v/>
      </c>
      <c r="G1593">
        <f>IF(AutoClaim_Data!D1593&lt;=$B$2,AVERAGEIFS(AutoClaim_Data!C2:C3168,AutoClaim_Data!B2:B3168,"Train",AutoClaim_Data!D2:D3168,"&lt;="&amp;$B$2),AVERAGEIFS(AutoClaim_Data!C2:C3168,AutoClaim_Data!B2:B3168,"Train",AutoClaim_Data!D2:D3168,"&gt;"&amp;$B$2))</f>
        <v/>
      </c>
      <c r="H1593">
        <f>IF(AutoClaim_Data!D1593&lt;=$B$2,IF(AutoClaim_Data!E1593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3">
        <f>(F1593-H1593)^2</f>
        <v/>
      </c>
      <c r="J1593">
        <f>--(E1593="Validation")</f>
        <v/>
      </c>
    </row>
    <row r="1594">
      <c r="D1594">
        <f>AutoClaim_Data!A1594</f>
        <v/>
      </c>
      <c r="E1594">
        <f>AutoClaim_Data!B1594</f>
        <v/>
      </c>
      <c r="F1594">
        <f>AutoClaim_Data!C1594</f>
        <v/>
      </c>
      <c r="G1594">
        <f>IF(AutoClaim_Data!D1594&lt;=$B$2,AVERAGEIFS(AutoClaim_Data!C2:C3168,AutoClaim_Data!B2:B3168,"Train",AutoClaim_Data!D2:D3168,"&lt;="&amp;$B$2),AVERAGEIFS(AutoClaim_Data!C2:C3168,AutoClaim_Data!B2:B3168,"Train",AutoClaim_Data!D2:D3168,"&gt;"&amp;$B$2))</f>
        <v/>
      </c>
      <c r="H1594">
        <f>IF(AutoClaim_Data!D1594&lt;=$B$2,IF(AutoClaim_Data!E1594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4">
        <f>(F1594-H1594)^2</f>
        <v/>
      </c>
      <c r="J1594">
        <f>--(E1594="Validation")</f>
        <v/>
      </c>
    </row>
    <row r="1595">
      <c r="D1595">
        <f>AutoClaim_Data!A1595</f>
        <v/>
      </c>
      <c r="E1595">
        <f>AutoClaim_Data!B1595</f>
        <v/>
      </c>
      <c r="F1595">
        <f>AutoClaim_Data!C1595</f>
        <v/>
      </c>
      <c r="G1595">
        <f>IF(AutoClaim_Data!D1595&lt;=$B$2,AVERAGEIFS(AutoClaim_Data!C2:C3168,AutoClaim_Data!B2:B3168,"Train",AutoClaim_Data!D2:D3168,"&lt;="&amp;$B$2),AVERAGEIFS(AutoClaim_Data!C2:C3168,AutoClaim_Data!B2:B3168,"Train",AutoClaim_Data!D2:D3168,"&gt;"&amp;$B$2))</f>
        <v/>
      </c>
      <c r="H1595">
        <f>IF(AutoClaim_Data!D1595&lt;=$B$2,IF(AutoClaim_Data!E1595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5">
        <f>(F1595-H1595)^2</f>
        <v/>
      </c>
      <c r="J1595">
        <f>--(E1595="Validation")</f>
        <v/>
      </c>
    </row>
    <row r="1596">
      <c r="D1596">
        <f>AutoClaim_Data!A1596</f>
        <v/>
      </c>
      <c r="E1596">
        <f>AutoClaim_Data!B1596</f>
        <v/>
      </c>
      <c r="F1596">
        <f>AutoClaim_Data!C1596</f>
        <v/>
      </c>
      <c r="G1596">
        <f>IF(AutoClaim_Data!D1596&lt;=$B$2,AVERAGEIFS(AutoClaim_Data!C2:C3168,AutoClaim_Data!B2:B3168,"Train",AutoClaim_Data!D2:D3168,"&lt;="&amp;$B$2),AVERAGEIFS(AutoClaim_Data!C2:C3168,AutoClaim_Data!B2:B3168,"Train",AutoClaim_Data!D2:D3168,"&gt;"&amp;$B$2))</f>
        <v/>
      </c>
      <c r="H1596">
        <f>IF(AutoClaim_Data!D1596&lt;=$B$2,IF(AutoClaim_Data!E1596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6">
        <f>(F1596-H1596)^2</f>
        <v/>
      </c>
      <c r="J1596">
        <f>--(E1596="Validation")</f>
        <v/>
      </c>
    </row>
    <row r="1597">
      <c r="D1597">
        <f>AutoClaim_Data!A1597</f>
        <v/>
      </c>
      <c r="E1597">
        <f>AutoClaim_Data!B1597</f>
        <v/>
      </c>
      <c r="F1597">
        <f>AutoClaim_Data!C1597</f>
        <v/>
      </c>
      <c r="G1597">
        <f>IF(AutoClaim_Data!D1597&lt;=$B$2,AVERAGEIFS(AutoClaim_Data!C2:C3168,AutoClaim_Data!B2:B3168,"Train",AutoClaim_Data!D2:D3168,"&lt;="&amp;$B$2),AVERAGEIFS(AutoClaim_Data!C2:C3168,AutoClaim_Data!B2:B3168,"Train",AutoClaim_Data!D2:D3168,"&gt;"&amp;$B$2))</f>
        <v/>
      </c>
      <c r="H1597">
        <f>IF(AutoClaim_Data!D1597&lt;=$B$2,IF(AutoClaim_Data!E1597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7">
        <f>(F1597-H1597)^2</f>
        <v/>
      </c>
      <c r="J1597">
        <f>--(E1597="Validation")</f>
        <v/>
      </c>
    </row>
    <row r="1598">
      <c r="D1598">
        <f>AutoClaim_Data!A1598</f>
        <v/>
      </c>
      <c r="E1598">
        <f>AutoClaim_Data!B1598</f>
        <v/>
      </c>
      <c r="F1598">
        <f>AutoClaim_Data!C1598</f>
        <v/>
      </c>
      <c r="G1598">
        <f>IF(AutoClaim_Data!D1598&lt;=$B$2,AVERAGEIFS(AutoClaim_Data!C2:C3168,AutoClaim_Data!B2:B3168,"Train",AutoClaim_Data!D2:D3168,"&lt;="&amp;$B$2),AVERAGEIFS(AutoClaim_Data!C2:C3168,AutoClaim_Data!B2:B3168,"Train",AutoClaim_Data!D2:D3168,"&gt;"&amp;$B$2))</f>
        <v/>
      </c>
      <c r="H1598">
        <f>IF(AutoClaim_Data!D1598&lt;=$B$2,IF(AutoClaim_Data!E1598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8">
        <f>(F1598-H1598)^2</f>
        <v/>
      </c>
      <c r="J1598">
        <f>--(E1598="Validation")</f>
        <v/>
      </c>
    </row>
    <row r="1599">
      <c r="D1599">
        <f>AutoClaim_Data!A1599</f>
        <v/>
      </c>
      <c r="E1599">
        <f>AutoClaim_Data!B1599</f>
        <v/>
      </c>
      <c r="F1599">
        <f>AutoClaim_Data!C1599</f>
        <v/>
      </c>
      <c r="G1599">
        <f>IF(AutoClaim_Data!D1599&lt;=$B$2,AVERAGEIFS(AutoClaim_Data!C2:C3168,AutoClaim_Data!B2:B3168,"Train",AutoClaim_Data!D2:D3168,"&lt;="&amp;$B$2),AVERAGEIFS(AutoClaim_Data!C2:C3168,AutoClaim_Data!B2:B3168,"Train",AutoClaim_Data!D2:D3168,"&gt;"&amp;$B$2))</f>
        <v/>
      </c>
      <c r="H1599">
        <f>IF(AutoClaim_Data!D1599&lt;=$B$2,IF(AutoClaim_Data!E1599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1599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599">
        <f>(F1599-H1599)^2</f>
        <v/>
      </c>
      <c r="J1599">
        <f>--(E1599="Validation")</f>
        <v/>
      </c>
    </row>
    <row r="1600">
      <c r="D1600">
        <f>AutoClaim_Data!A1600</f>
        <v/>
      </c>
      <c r="E1600">
        <f>AutoClaim_Data!B1600</f>
        <v/>
      </c>
      <c r="F1600">
        <f>AutoClaim_Data!C1600</f>
        <v/>
      </c>
      <c r="G1600">
        <f>IF(AutoClaim_Data!D1600&lt;=$B$2,AVERAGEIFS(AutoClaim_Data!C2:C3168,AutoClaim_Data!B2:B3168,"Train",AutoClaim_Data!D2:D3168,"&lt;="&amp;$B$2),AVERAGEIFS(AutoClaim_Data!C2:C3168,AutoClaim_Data!B2:B3168,"Train",AutoClaim_Data!D2:D3168,"&gt;"&amp;$B$2))</f>
        <v/>
      </c>
      <c r="H1600">
        <f>IF(AutoClaim_Data!D1600&lt;=$B$2,IF(AutoClaim_Data!E1600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0">
        <f>(F1600-H1600)^2</f>
        <v/>
      </c>
      <c r="J1600">
        <f>--(E1600="Validation")</f>
        <v/>
      </c>
    </row>
    <row r="1601">
      <c r="D1601">
        <f>AutoClaim_Data!A1601</f>
        <v/>
      </c>
      <c r="E1601">
        <f>AutoClaim_Data!B1601</f>
        <v/>
      </c>
      <c r="F1601">
        <f>AutoClaim_Data!C1601</f>
        <v/>
      </c>
      <c r="G1601">
        <f>IF(AutoClaim_Data!D1601&lt;=$B$2,AVERAGEIFS(AutoClaim_Data!C2:C3168,AutoClaim_Data!B2:B3168,"Train",AutoClaim_Data!D2:D3168,"&lt;="&amp;$B$2),AVERAGEIFS(AutoClaim_Data!C2:C3168,AutoClaim_Data!B2:B3168,"Train",AutoClaim_Data!D2:D3168,"&gt;"&amp;$B$2))</f>
        <v/>
      </c>
      <c r="H1601">
        <f>IF(AutoClaim_Data!D1601&lt;=$B$2,IF(AutoClaim_Data!E1601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1">
        <f>(F1601-H1601)^2</f>
        <v/>
      </c>
      <c r="J1601">
        <f>--(E1601="Validation")</f>
        <v/>
      </c>
    </row>
    <row r="1602">
      <c r="D1602">
        <f>AutoClaim_Data!A1602</f>
        <v/>
      </c>
      <c r="E1602">
        <f>AutoClaim_Data!B1602</f>
        <v/>
      </c>
      <c r="F1602">
        <f>AutoClaim_Data!C1602</f>
        <v/>
      </c>
      <c r="G1602">
        <f>IF(AutoClaim_Data!D1602&lt;=$B$2,AVERAGEIFS(AutoClaim_Data!C2:C3168,AutoClaim_Data!B2:B3168,"Train",AutoClaim_Data!D2:D3168,"&lt;="&amp;$B$2),AVERAGEIFS(AutoClaim_Data!C2:C3168,AutoClaim_Data!B2:B3168,"Train",AutoClaim_Data!D2:D3168,"&gt;"&amp;$B$2))</f>
        <v/>
      </c>
      <c r="H1602">
        <f>IF(AutoClaim_Data!D1602&lt;=$B$2,IF(AutoClaim_Data!E1602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2">
        <f>(F1602-H1602)^2</f>
        <v/>
      </c>
      <c r="J1602">
        <f>--(E1602="Validation")</f>
        <v/>
      </c>
    </row>
    <row r="1603">
      <c r="D1603">
        <f>AutoClaim_Data!A1603</f>
        <v/>
      </c>
      <c r="E1603">
        <f>AutoClaim_Data!B1603</f>
        <v/>
      </c>
      <c r="F1603">
        <f>AutoClaim_Data!C1603</f>
        <v/>
      </c>
      <c r="G1603">
        <f>IF(AutoClaim_Data!D1603&lt;=$B$2,AVERAGEIFS(AutoClaim_Data!C2:C3168,AutoClaim_Data!B2:B3168,"Train",AutoClaim_Data!D2:D3168,"&lt;="&amp;$B$2),AVERAGEIFS(AutoClaim_Data!C2:C3168,AutoClaim_Data!B2:B3168,"Train",AutoClaim_Data!D2:D3168,"&gt;"&amp;$B$2))</f>
        <v/>
      </c>
      <c r="H1603">
        <f>IF(AutoClaim_Data!D1603&lt;=$B$2,IF(AutoClaim_Data!E1603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3">
        <f>(F1603-H1603)^2</f>
        <v/>
      </c>
      <c r="J1603">
        <f>--(E1603="Validation")</f>
        <v/>
      </c>
    </row>
    <row r="1604">
      <c r="D1604">
        <f>AutoClaim_Data!A1604</f>
        <v/>
      </c>
      <c r="E1604">
        <f>AutoClaim_Data!B1604</f>
        <v/>
      </c>
      <c r="F1604">
        <f>AutoClaim_Data!C1604</f>
        <v/>
      </c>
      <c r="G1604">
        <f>IF(AutoClaim_Data!D1604&lt;=$B$2,AVERAGEIFS(AutoClaim_Data!C2:C3168,AutoClaim_Data!B2:B3168,"Train",AutoClaim_Data!D2:D3168,"&lt;="&amp;$B$2),AVERAGEIFS(AutoClaim_Data!C2:C3168,AutoClaim_Data!B2:B3168,"Train",AutoClaim_Data!D2:D3168,"&gt;"&amp;$B$2))</f>
        <v/>
      </c>
      <c r="H1604">
        <f>IF(AutoClaim_Data!D1604&lt;=$B$2,IF(AutoClaim_Data!E1604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4">
        <f>(F1604-H1604)^2</f>
        <v/>
      </c>
      <c r="J1604">
        <f>--(E1604="Validation")</f>
        <v/>
      </c>
    </row>
    <row r="1605">
      <c r="D1605">
        <f>AutoClaim_Data!A1605</f>
        <v/>
      </c>
      <c r="E1605">
        <f>AutoClaim_Data!B1605</f>
        <v/>
      </c>
      <c r="F1605">
        <f>AutoClaim_Data!C1605</f>
        <v/>
      </c>
      <c r="G1605">
        <f>IF(AutoClaim_Data!D1605&lt;=$B$2,AVERAGEIFS(AutoClaim_Data!C2:C3168,AutoClaim_Data!B2:B3168,"Train",AutoClaim_Data!D2:D3168,"&lt;="&amp;$B$2),AVERAGEIFS(AutoClaim_Data!C2:C3168,AutoClaim_Data!B2:B3168,"Train",AutoClaim_Data!D2:D3168,"&gt;"&amp;$B$2))</f>
        <v/>
      </c>
      <c r="H1605">
        <f>IF(AutoClaim_Data!D1605&lt;=$B$2,IF(AutoClaim_Data!E1605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5">
        <f>(F1605-H1605)^2</f>
        <v/>
      </c>
      <c r="J1605">
        <f>--(E1605="Validation")</f>
        <v/>
      </c>
    </row>
    <row r="1606">
      <c r="D1606">
        <f>AutoClaim_Data!A1606</f>
        <v/>
      </c>
      <c r="E1606">
        <f>AutoClaim_Data!B1606</f>
        <v/>
      </c>
      <c r="F1606">
        <f>AutoClaim_Data!C1606</f>
        <v/>
      </c>
      <c r="G1606">
        <f>IF(AutoClaim_Data!D1606&lt;=$B$2,AVERAGEIFS(AutoClaim_Data!C2:C3168,AutoClaim_Data!B2:B3168,"Train",AutoClaim_Data!D2:D3168,"&lt;="&amp;$B$2),AVERAGEIFS(AutoClaim_Data!C2:C3168,AutoClaim_Data!B2:B3168,"Train",AutoClaim_Data!D2:D3168,"&gt;"&amp;$B$2))</f>
        <v/>
      </c>
      <c r="H1606">
        <f>IF(AutoClaim_Data!D1606&lt;=$B$2,IF(AutoClaim_Data!E1606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6">
        <f>(F1606-H1606)^2</f>
        <v/>
      </c>
      <c r="J1606">
        <f>--(E1606="Validation")</f>
        <v/>
      </c>
    </row>
    <row r="1607">
      <c r="D1607">
        <f>AutoClaim_Data!A1607</f>
        <v/>
      </c>
      <c r="E1607">
        <f>AutoClaim_Data!B1607</f>
        <v/>
      </c>
      <c r="F1607">
        <f>AutoClaim_Data!C1607</f>
        <v/>
      </c>
      <c r="G1607">
        <f>IF(AutoClaim_Data!D1607&lt;=$B$2,AVERAGEIFS(AutoClaim_Data!C2:C3168,AutoClaim_Data!B2:B3168,"Train",AutoClaim_Data!D2:D3168,"&lt;="&amp;$B$2),AVERAGEIFS(AutoClaim_Data!C2:C3168,AutoClaim_Data!B2:B3168,"Train",AutoClaim_Data!D2:D3168,"&gt;"&amp;$B$2))</f>
        <v/>
      </c>
      <c r="H1607">
        <f>IF(AutoClaim_Data!D1607&lt;=$B$2,IF(AutoClaim_Data!E1607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7">
        <f>(F1607-H1607)^2</f>
        <v/>
      </c>
      <c r="J1607">
        <f>--(E1607="Validation")</f>
        <v/>
      </c>
    </row>
    <row r="1608">
      <c r="D1608">
        <f>AutoClaim_Data!A1608</f>
        <v/>
      </c>
      <c r="E1608">
        <f>AutoClaim_Data!B1608</f>
        <v/>
      </c>
      <c r="F1608">
        <f>AutoClaim_Data!C1608</f>
        <v/>
      </c>
      <c r="G1608">
        <f>IF(AutoClaim_Data!D1608&lt;=$B$2,AVERAGEIFS(AutoClaim_Data!C2:C3168,AutoClaim_Data!B2:B3168,"Train",AutoClaim_Data!D2:D3168,"&lt;="&amp;$B$2),AVERAGEIFS(AutoClaim_Data!C2:C3168,AutoClaim_Data!B2:B3168,"Train",AutoClaim_Data!D2:D3168,"&gt;"&amp;$B$2))</f>
        <v/>
      </c>
      <c r="H1608">
        <f>IF(AutoClaim_Data!D1608&lt;=$B$2,IF(AutoClaim_Data!E1608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8">
        <f>(F1608-H1608)^2</f>
        <v/>
      </c>
      <c r="J1608">
        <f>--(E1608="Validation")</f>
        <v/>
      </c>
    </row>
    <row r="1609">
      <c r="D1609">
        <f>AutoClaim_Data!A1609</f>
        <v/>
      </c>
      <c r="E1609">
        <f>AutoClaim_Data!B1609</f>
        <v/>
      </c>
      <c r="F1609">
        <f>AutoClaim_Data!C1609</f>
        <v/>
      </c>
      <c r="G1609">
        <f>IF(AutoClaim_Data!D1609&lt;=$B$2,AVERAGEIFS(AutoClaim_Data!C2:C3168,AutoClaim_Data!B2:B3168,"Train",AutoClaim_Data!D2:D3168,"&lt;="&amp;$B$2),AVERAGEIFS(AutoClaim_Data!C2:C3168,AutoClaim_Data!B2:B3168,"Train",AutoClaim_Data!D2:D3168,"&gt;"&amp;$B$2))</f>
        <v/>
      </c>
      <c r="H1609">
        <f>IF(AutoClaim_Data!D1609&lt;=$B$2,IF(AutoClaim_Data!E1609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09">
        <f>(F1609-H1609)^2</f>
        <v/>
      </c>
      <c r="J1609">
        <f>--(E1609="Validation")</f>
        <v/>
      </c>
    </row>
    <row r="1610">
      <c r="D1610">
        <f>AutoClaim_Data!A1610</f>
        <v/>
      </c>
      <c r="E1610">
        <f>AutoClaim_Data!B1610</f>
        <v/>
      </c>
      <c r="F1610">
        <f>AutoClaim_Data!C1610</f>
        <v/>
      </c>
      <c r="G1610">
        <f>IF(AutoClaim_Data!D1610&lt;=$B$2,AVERAGEIFS(AutoClaim_Data!C2:C3168,AutoClaim_Data!B2:B3168,"Train",AutoClaim_Data!D2:D3168,"&lt;="&amp;$B$2),AVERAGEIFS(AutoClaim_Data!C2:C3168,AutoClaim_Data!B2:B3168,"Train",AutoClaim_Data!D2:D3168,"&gt;"&amp;$B$2))</f>
        <v/>
      </c>
      <c r="H1610">
        <f>IF(AutoClaim_Data!D1610&lt;=$B$2,IF(AutoClaim_Data!E1610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0">
        <f>(F1610-H1610)^2</f>
        <v/>
      </c>
      <c r="J1610">
        <f>--(E1610="Validation")</f>
        <v/>
      </c>
    </row>
    <row r="1611">
      <c r="D1611">
        <f>AutoClaim_Data!A1611</f>
        <v/>
      </c>
      <c r="E1611">
        <f>AutoClaim_Data!B1611</f>
        <v/>
      </c>
      <c r="F1611">
        <f>AutoClaim_Data!C1611</f>
        <v/>
      </c>
      <c r="G1611">
        <f>IF(AutoClaim_Data!D1611&lt;=$B$2,AVERAGEIFS(AutoClaim_Data!C2:C3168,AutoClaim_Data!B2:B3168,"Train",AutoClaim_Data!D2:D3168,"&lt;="&amp;$B$2),AVERAGEIFS(AutoClaim_Data!C2:C3168,AutoClaim_Data!B2:B3168,"Train",AutoClaim_Data!D2:D3168,"&gt;"&amp;$B$2))</f>
        <v/>
      </c>
      <c r="H1611">
        <f>IF(AutoClaim_Data!D1611&lt;=$B$2,IF(AutoClaim_Data!E1611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1">
        <f>(F1611-H1611)^2</f>
        <v/>
      </c>
      <c r="J1611">
        <f>--(E1611="Validation")</f>
        <v/>
      </c>
    </row>
    <row r="1612">
      <c r="D1612">
        <f>AutoClaim_Data!A1612</f>
        <v/>
      </c>
      <c r="E1612">
        <f>AutoClaim_Data!B1612</f>
        <v/>
      </c>
      <c r="F1612">
        <f>AutoClaim_Data!C1612</f>
        <v/>
      </c>
      <c r="G1612">
        <f>IF(AutoClaim_Data!D1612&lt;=$B$2,AVERAGEIFS(AutoClaim_Data!C2:C3168,AutoClaim_Data!B2:B3168,"Train",AutoClaim_Data!D2:D3168,"&lt;="&amp;$B$2),AVERAGEIFS(AutoClaim_Data!C2:C3168,AutoClaim_Data!B2:B3168,"Train",AutoClaim_Data!D2:D3168,"&gt;"&amp;$B$2))</f>
        <v/>
      </c>
      <c r="H1612">
        <f>IF(AutoClaim_Data!D1612&lt;=$B$2,IF(AutoClaim_Data!E1612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2">
        <f>(F1612-H1612)^2</f>
        <v/>
      </c>
      <c r="J1612">
        <f>--(E1612="Validation")</f>
        <v/>
      </c>
    </row>
    <row r="1613">
      <c r="D1613">
        <f>AutoClaim_Data!A1613</f>
        <v/>
      </c>
      <c r="E1613">
        <f>AutoClaim_Data!B1613</f>
        <v/>
      </c>
      <c r="F1613">
        <f>AutoClaim_Data!C1613</f>
        <v/>
      </c>
      <c r="G1613">
        <f>IF(AutoClaim_Data!D1613&lt;=$B$2,AVERAGEIFS(AutoClaim_Data!C2:C3168,AutoClaim_Data!B2:B3168,"Train",AutoClaim_Data!D2:D3168,"&lt;="&amp;$B$2),AVERAGEIFS(AutoClaim_Data!C2:C3168,AutoClaim_Data!B2:B3168,"Train",AutoClaim_Data!D2:D3168,"&gt;"&amp;$B$2))</f>
        <v/>
      </c>
      <c r="H1613">
        <f>IF(AutoClaim_Data!D1613&lt;=$B$2,IF(AutoClaim_Data!E1613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3">
        <f>(F1613-H1613)^2</f>
        <v/>
      </c>
      <c r="J1613">
        <f>--(E1613="Validation")</f>
        <v/>
      </c>
    </row>
    <row r="1614">
      <c r="D1614">
        <f>AutoClaim_Data!A1614</f>
        <v/>
      </c>
      <c r="E1614">
        <f>AutoClaim_Data!B1614</f>
        <v/>
      </c>
      <c r="F1614">
        <f>AutoClaim_Data!C1614</f>
        <v/>
      </c>
      <c r="G1614">
        <f>IF(AutoClaim_Data!D1614&lt;=$B$2,AVERAGEIFS(AutoClaim_Data!C2:C3168,AutoClaim_Data!B2:B3168,"Train",AutoClaim_Data!D2:D3168,"&lt;="&amp;$B$2),AVERAGEIFS(AutoClaim_Data!C2:C3168,AutoClaim_Data!B2:B3168,"Train",AutoClaim_Data!D2:D3168,"&gt;"&amp;$B$2))</f>
        <v/>
      </c>
      <c r="H1614">
        <f>IF(AutoClaim_Data!D1614&lt;=$B$2,IF(AutoClaim_Data!E1614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4">
        <f>(F1614-H1614)^2</f>
        <v/>
      </c>
      <c r="J1614">
        <f>--(E1614="Validation")</f>
        <v/>
      </c>
    </row>
    <row r="1615">
      <c r="D1615">
        <f>AutoClaim_Data!A1615</f>
        <v/>
      </c>
      <c r="E1615">
        <f>AutoClaim_Data!B1615</f>
        <v/>
      </c>
      <c r="F1615">
        <f>AutoClaim_Data!C1615</f>
        <v/>
      </c>
      <c r="G1615">
        <f>IF(AutoClaim_Data!D1615&lt;=$B$2,AVERAGEIFS(AutoClaim_Data!C2:C3168,AutoClaim_Data!B2:B3168,"Train",AutoClaim_Data!D2:D3168,"&lt;="&amp;$B$2),AVERAGEIFS(AutoClaim_Data!C2:C3168,AutoClaim_Data!B2:B3168,"Train",AutoClaim_Data!D2:D3168,"&gt;"&amp;$B$2))</f>
        <v/>
      </c>
      <c r="H1615">
        <f>IF(AutoClaim_Data!D1615&lt;=$B$2,IF(AutoClaim_Data!E1615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5">
        <f>(F1615-H1615)^2</f>
        <v/>
      </c>
      <c r="J1615">
        <f>--(E1615="Validation")</f>
        <v/>
      </c>
    </row>
    <row r="1616">
      <c r="D1616">
        <f>AutoClaim_Data!A1616</f>
        <v/>
      </c>
      <c r="E1616">
        <f>AutoClaim_Data!B1616</f>
        <v/>
      </c>
      <c r="F1616">
        <f>AutoClaim_Data!C1616</f>
        <v/>
      </c>
      <c r="G1616">
        <f>IF(AutoClaim_Data!D1616&lt;=$B$2,AVERAGEIFS(AutoClaim_Data!C2:C3168,AutoClaim_Data!B2:B3168,"Train",AutoClaim_Data!D2:D3168,"&lt;="&amp;$B$2),AVERAGEIFS(AutoClaim_Data!C2:C3168,AutoClaim_Data!B2:B3168,"Train",AutoClaim_Data!D2:D3168,"&gt;"&amp;$B$2))</f>
        <v/>
      </c>
      <c r="H1616">
        <f>IF(AutoClaim_Data!D1616&lt;=$B$2,IF(AutoClaim_Data!E1616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6">
        <f>(F1616-H1616)^2</f>
        <v/>
      </c>
      <c r="J1616">
        <f>--(E1616="Validation")</f>
        <v/>
      </c>
    </row>
    <row r="1617">
      <c r="D1617">
        <f>AutoClaim_Data!A1617</f>
        <v/>
      </c>
      <c r="E1617">
        <f>AutoClaim_Data!B1617</f>
        <v/>
      </c>
      <c r="F1617">
        <f>AutoClaim_Data!C1617</f>
        <v/>
      </c>
      <c r="G1617">
        <f>IF(AutoClaim_Data!D1617&lt;=$B$2,AVERAGEIFS(AutoClaim_Data!C2:C3168,AutoClaim_Data!B2:B3168,"Train",AutoClaim_Data!D2:D3168,"&lt;="&amp;$B$2),AVERAGEIFS(AutoClaim_Data!C2:C3168,AutoClaim_Data!B2:B3168,"Train",AutoClaim_Data!D2:D3168,"&gt;"&amp;$B$2))</f>
        <v/>
      </c>
      <c r="H1617">
        <f>IF(AutoClaim_Data!D1617&lt;=$B$2,IF(AutoClaim_Data!E1617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7">
        <f>(F1617-H1617)^2</f>
        <v/>
      </c>
      <c r="J1617">
        <f>--(E1617="Validation")</f>
        <v/>
      </c>
    </row>
    <row r="1618">
      <c r="D1618">
        <f>AutoClaim_Data!A1618</f>
        <v/>
      </c>
      <c r="E1618">
        <f>AutoClaim_Data!B1618</f>
        <v/>
      </c>
      <c r="F1618">
        <f>AutoClaim_Data!C1618</f>
        <v/>
      </c>
      <c r="G1618">
        <f>IF(AutoClaim_Data!D1618&lt;=$B$2,AVERAGEIFS(AutoClaim_Data!C2:C3168,AutoClaim_Data!B2:B3168,"Train",AutoClaim_Data!D2:D3168,"&lt;="&amp;$B$2),AVERAGEIFS(AutoClaim_Data!C2:C3168,AutoClaim_Data!B2:B3168,"Train",AutoClaim_Data!D2:D3168,"&gt;"&amp;$B$2))</f>
        <v/>
      </c>
      <c r="H1618">
        <f>IF(AutoClaim_Data!D1618&lt;=$B$2,IF(AutoClaim_Data!E1618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8">
        <f>(F1618-H1618)^2</f>
        <v/>
      </c>
      <c r="J1618">
        <f>--(E1618="Validation")</f>
        <v/>
      </c>
    </row>
    <row r="1619">
      <c r="D1619">
        <f>AutoClaim_Data!A1619</f>
        <v/>
      </c>
      <c r="E1619">
        <f>AutoClaim_Data!B1619</f>
        <v/>
      </c>
      <c r="F1619">
        <f>AutoClaim_Data!C1619</f>
        <v/>
      </c>
      <c r="G1619">
        <f>IF(AutoClaim_Data!D1619&lt;=$B$2,AVERAGEIFS(AutoClaim_Data!C2:C3168,AutoClaim_Data!B2:B3168,"Train",AutoClaim_Data!D2:D3168,"&lt;="&amp;$B$2),AVERAGEIFS(AutoClaim_Data!C2:C3168,AutoClaim_Data!B2:B3168,"Train",AutoClaim_Data!D2:D3168,"&gt;"&amp;$B$2))</f>
        <v/>
      </c>
      <c r="H1619">
        <f>IF(AutoClaim_Data!D1619&lt;=$B$2,IF(AutoClaim_Data!E1619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19">
        <f>(F1619-H1619)^2</f>
        <v/>
      </c>
      <c r="J1619">
        <f>--(E1619="Validation")</f>
        <v/>
      </c>
    </row>
    <row r="1620">
      <c r="D1620">
        <f>AutoClaim_Data!A1620</f>
        <v/>
      </c>
      <c r="E1620">
        <f>AutoClaim_Data!B1620</f>
        <v/>
      </c>
      <c r="F1620">
        <f>AutoClaim_Data!C1620</f>
        <v/>
      </c>
      <c r="G1620">
        <f>IF(AutoClaim_Data!D1620&lt;=$B$2,AVERAGEIFS(AutoClaim_Data!C2:C3168,AutoClaim_Data!B2:B3168,"Train",AutoClaim_Data!D2:D3168,"&lt;="&amp;$B$2),AVERAGEIFS(AutoClaim_Data!C2:C3168,AutoClaim_Data!B2:B3168,"Train",AutoClaim_Data!D2:D3168,"&gt;"&amp;$B$2))</f>
        <v/>
      </c>
      <c r="H1620">
        <f>IF(AutoClaim_Data!D1620&lt;=$B$2,IF(AutoClaim_Data!E1620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0">
        <f>(F1620-H1620)^2</f>
        <v/>
      </c>
      <c r="J1620">
        <f>--(E1620="Validation")</f>
        <v/>
      </c>
    </row>
    <row r="1621">
      <c r="D1621">
        <f>AutoClaim_Data!A1621</f>
        <v/>
      </c>
      <c r="E1621">
        <f>AutoClaim_Data!B1621</f>
        <v/>
      </c>
      <c r="F1621">
        <f>AutoClaim_Data!C1621</f>
        <v/>
      </c>
      <c r="G1621">
        <f>IF(AutoClaim_Data!D1621&lt;=$B$2,AVERAGEIFS(AutoClaim_Data!C2:C3168,AutoClaim_Data!B2:B3168,"Train",AutoClaim_Data!D2:D3168,"&lt;="&amp;$B$2),AVERAGEIFS(AutoClaim_Data!C2:C3168,AutoClaim_Data!B2:B3168,"Train",AutoClaim_Data!D2:D3168,"&gt;"&amp;$B$2))</f>
        <v/>
      </c>
      <c r="H1621">
        <f>IF(AutoClaim_Data!D1621&lt;=$B$2,IF(AutoClaim_Data!E1621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1">
        <f>(F1621-H1621)^2</f>
        <v/>
      </c>
      <c r="J1621">
        <f>--(E1621="Validation")</f>
        <v/>
      </c>
    </row>
    <row r="1622">
      <c r="D1622">
        <f>AutoClaim_Data!A1622</f>
        <v/>
      </c>
      <c r="E1622">
        <f>AutoClaim_Data!B1622</f>
        <v/>
      </c>
      <c r="F1622">
        <f>AutoClaim_Data!C1622</f>
        <v/>
      </c>
      <c r="G1622">
        <f>IF(AutoClaim_Data!D1622&lt;=$B$2,AVERAGEIFS(AutoClaim_Data!C2:C3168,AutoClaim_Data!B2:B3168,"Train",AutoClaim_Data!D2:D3168,"&lt;="&amp;$B$2),AVERAGEIFS(AutoClaim_Data!C2:C3168,AutoClaim_Data!B2:B3168,"Train",AutoClaim_Data!D2:D3168,"&gt;"&amp;$B$2))</f>
        <v/>
      </c>
      <c r="H1622">
        <f>IF(AutoClaim_Data!D1622&lt;=$B$2,IF(AutoClaim_Data!E1622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2">
        <f>(F1622-H1622)^2</f>
        <v/>
      </c>
      <c r="J1622">
        <f>--(E1622="Validation")</f>
        <v/>
      </c>
    </row>
    <row r="1623">
      <c r="D1623">
        <f>AutoClaim_Data!A1623</f>
        <v/>
      </c>
      <c r="E1623">
        <f>AutoClaim_Data!B1623</f>
        <v/>
      </c>
      <c r="F1623">
        <f>AutoClaim_Data!C1623</f>
        <v/>
      </c>
      <c r="G1623">
        <f>IF(AutoClaim_Data!D1623&lt;=$B$2,AVERAGEIFS(AutoClaim_Data!C2:C3168,AutoClaim_Data!B2:B3168,"Train",AutoClaim_Data!D2:D3168,"&lt;="&amp;$B$2),AVERAGEIFS(AutoClaim_Data!C2:C3168,AutoClaim_Data!B2:B3168,"Train",AutoClaim_Data!D2:D3168,"&gt;"&amp;$B$2))</f>
        <v/>
      </c>
      <c r="H1623">
        <f>IF(AutoClaim_Data!D1623&lt;=$B$2,IF(AutoClaim_Data!E1623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3">
        <f>(F1623-H1623)^2</f>
        <v/>
      </c>
      <c r="J1623">
        <f>--(E1623="Validation")</f>
        <v/>
      </c>
    </row>
    <row r="1624">
      <c r="D1624">
        <f>AutoClaim_Data!A1624</f>
        <v/>
      </c>
      <c r="E1624">
        <f>AutoClaim_Data!B1624</f>
        <v/>
      </c>
      <c r="F1624">
        <f>AutoClaim_Data!C1624</f>
        <v/>
      </c>
      <c r="G1624">
        <f>IF(AutoClaim_Data!D1624&lt;=$B$2,AVERAGEIFS(AutoClaim_Data!C2:C3168,AutoClaim_Data!B2:B3168,"Train",AutoClaim_Data!D2:D3168,"&lt;="&amp;$B$2),AVERAGEIFS(AutoClaim_Data!C2:C3168,AutoClaim_Data!B2:B3168,"Train",AutoClaim_Data!D2:D3168,"&gt;"&amp;$B$2))</f>
        <v/>
      </c>
      <c r="H1624">
        <f>IF(AutoClaim_Data!D1624&lt;=$B$2,IF(AutoClaim_Data!E1624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4">
        <f>(F1624-H1624)^2</f>
        <v/>
      </c>
      <c r="J1624">
        <f>--(E1624="Validation")</f>
        <v/>
      </c>
    </row>
    <row r="1625">
      <c r="D1625">
        <f>AutoClaim_Data!A1625</f>
        <v/>
      </c>
      <c r="E1625">
        <f>AutoClaim_Data!B1625</f>
        <v/>
      </c>
      <c r="F1625">
        <f>AutoClaim_Data!C1625</f>
        <v/>
      </c>
      <c r="G1625">
        <f>IF(AutoClaim_Data!D1625&lt;=$B$2,AVERAGEIFS(AutoClaim_Data!C2:C3168,AutoClaim_Data!B2:B3168,"Train",AutoClaim_Data!D2:D3168,"&lt;="&amp;$B$2),AVERAGEIFS(AutoClaim_Data!C2:C3168,AutoClaim_Data!B2:B3168,"Train",AutoClaim_Data!D2:D3168,"&gt;"&amp;$B$2))</f>
        <v/>
      </c>
      <c r="H1625">
        <f>IF(AutoClaim_Data!D1625&lt;=$B$2,IF(AutoClaim_Data!E1625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5">
        <f>(F1625-H1625)^2</f>
        <v/>
      </c>
      <c r="J1625">
        <f>--(E1625="Validation")</f>
        <v/>
      </c>
    </row>
    <row r="1626">
      <c r="D1626">
        <f>AutoClaim_Data!A1626</f>
        <v/>
      </c>
      <c r="E1626">
        <f>AutoClaim_Data!B1626</f>
        <v/>
      </c>
      <c r="F1626">
        <f>AutoClaim_Data!C1626</f>
        <v/>
      </c>
      <c r="G1626">
        <f>IF(AutoClaim_Data!D1626&lt;=$B$2,AVERAGEIFS(AutoClaim_Data!C2:C3168,AutoClaim_Data!B2:B3168,"Train",AutoClaim_Data!D2:D3168,"&lt;="&amp;$B$2),AVERAGEIFS(AutoClaim_Data!C2:C3168,AutoClaim_Data!B2:B3168,"Train",AutoClaim_Data!D2:D3168,"&gt;"&amp;$B$2))</f>
        <v/>
      </c>
      <c r="H1626">
        <f>IF(AutoClaim_Data!D1626&lt;=$B$2,IF(AutoClaim_Data!E1626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6">
        <f>(F1626-H1626)^2</f>
        <v/>
      </c>
      <c r="J1626">
        <f>--(E1626="Validation")</f>
        <v/>
      </c>
    </row>
    <row r="1627">
      <c r="D1627">
        <f>AutoClaim_Data!A1627</f>
        <v/>
      </c>
      <c r="E1627">
        <f>AutoClaim_Data!B1627</f>
        <v/>
      </c>
      <c r="F1627">
        <f>AutoClaim_Data!C1627</f>
        <v/>
      </c>
      <c r="G1627">
        <f>IF(AutoClaim_Data!D1627&lt;=$B$2,AVERAGEIFS(AutoClaim_Data!C2:C3168,AutoClaim_Data!B2:B3168,"Train",AutoClaim_Data!D2:D3168,"&lt;="&amp;$B$2),AVERAGEIFS(AutoClaim_Data!C2:C3168,AutoClaim_Data!B2:B3168,"Train",AutoClaim_Data!D2:D3168,"&gt;"&amp;$B$2))</f>
        <v/>
      </c>
      <c r="H1627">
        <f>IF(AutoClaim_Data!D1627&lt;=$B$2,IF(AutoClaim_Data!E1627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7">
        <f>(F1627-H1627)^2</f>
        <v/>
      </c>
      <c r="J1627">
        <f>--(E1627="Validation")</f>
        <v/>
      </c>
    </row>
    <row r="1628">
      <c r="D1628">
        <f>AutoClaim_Data!A1628</f>
        <v/>
      </c>
      <c r="E1628">
        <f>AutoClaim_Data!B1628</f>
        <v/>
      </c>
      <c r="F1628">
        <f>AutoClaim_Data!C1628</f>
        <v/>
      </c>
      <c r="G1628">
        <f>IF(AutoClaim_Data!D1628&lt;=$B$2,AVERAGEIFS(AutoClaim_Data!C2:C3168,AutoClaim_Data!B2:B3168,"Train",AutoClaim_Data!D2:D3168,"&lt;="&amp;$B$2),AVERAGEIFS(AutoClaim_Data!C2:C3168,AutoClaim_Data!B2:B3168,"Train",AutoClaim_Data!D2:D3168,"&gt;"&amp;$B$2))</f>
        <v/>
      </c>
      <c r="H1628">
        <f>IF(AutoClaim_Data!D1628&lt;=$B$2,IF(AutoClaim_Data!E1628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8">
        <f>(F1628-H1628)^2</f>
        <v/>
      </c>
      <c r="J1628">
        <f>--(E1628="Validation")</f>
        <v/>
      </c>
    </row>
    <row r="1629">
      <c r="D1629">
        <f>AutoClaim_Data!A1629</f>
        <v/>
      </c>
      <c r="E1629">
        <f>AutoClaim_Data!B1629</f>
        <v/>
      </c>
      <c r="F1629">
        <f>AutoClaim_Data!C1629</f>
        <v/>
      </c>
      <c r="G1629">
        <f>IF(AutoClaim_Data!D1629&lt;=$B$2,AVERAGEIFS(AutoClaim_Data!C2:C3168,AutoClaim_Data!B2:B3168,"Train",AutoClaim_Data!D2:D3168,"&lt;="&amp;$B$2),AVERAGEIFS(AutoClaim_Data!C2:C3168,AutoClaim_Data!B2:B3168,"Train",AutoClaim_Data!D2:D3168,"&gt;"&amp;$B$2))</f>
        <v/>
      </c>
      <c r="H1629">
        <f>IF(AutoClaim_Data!D1629&lt;=$B$2,IF(AutoClaim_Data!E1629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29">
        <f>(F1629-H1629)^2</f>
        <v/>
      </c>
      <c r="J1629">
        <f>--(E1629="Validation")</f>
        <v/>
      </c>
    </row>
    <row r="1630">
      <c r="D1630">
        <f>AutoClaim_Data!A1630</f>
        <v/>
      </c>
      <c r="E1630">
        <f>AutoClaim_Data!B1630</f>
        <v/>
      </c>
      <c r="F1630">
        <f>AutoClaim_Data!C1630</f>
        <v/>
      </c>
      <c r="G1630">
        <f>IF(AutoClaim_Data!D1630&lt;=$B$2,AVERAGEIFS(AutoClaim_Data!C2:C3168,AutoClaim_Data!B2:B3168,"Train",AutoClaim_Data!D2:D3168,"&lt;="&amp;$B$2),AVERAGEIFS(AutoClaim_Data!C2:C3168,AutoClaim_Data!B2:B3168,"Train",AutoClaim_Data!D2:D3168,"&gt;"&amp;$B$2))</f>
        <v/>
      </c>
      <c r="H1630">
        <f>IF(AutoClaim_Data!D1630&lt;=$B$2,IF(AutoClaim_Data!E1630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0">
        <f>(F1630-H1630)^2</f>
        <v/>
      </c>
      <c r="J1630">
        <f>--(E1630="Validation")</f>
        <v/>
      </c>
    </row>
    <row r="1631">
      <c r="D1631">
        <f>AutoClaim_Data!A1631</f>
        <v/>
      </c>
      <c r="E1631">
        <f>AutoClaim_Data!B1631</f>
        <v/>
      </c>
      <c r="F1631">
        <f>AutoClaim_Data!C1631</f>
        <v/>
      </c>
      <c r="G1631">
        <f>IF(AutoClaim_Data!D1631&lt;=$B$2,AVERAGEIFS(AutoClaim_Data!C2:C3168,AutoClaim_Data!B2:B3168,"Train",AutoClaim_Data!D2:D3168,"&lt;="&amp;$B$2),AVERAGEIFS(AutoClaim_Data!C2:C3168,AutoClaim_Data!B2:B3168,"Train",AutoClaim_Data!D2:D3168,"&gt;"&amp;$B$2))</f>
        <v/>
      </c>
      <c r="H1631">
        <f>IF(AutoClaim_Data!D1631&lt;=$B$2,IF(AutoClaim_Data!E1631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1">
        <f>(F1631-H1631)^2</f>
        <v/>
      </c>
      <c r="J1631">
        <f>--(E1631="Validation")</f>
        <v/>
      </c>
    </row>
    <row r="1632">
      <c r="D1632">
        <f>AutoClaim_Data!A1632</f>
        <v/>
      </c>
      <c r="E1632">
        <f>AutoClaim_Data!B1632</f>
        <v/>
      </c>
      <c r="F1632">
        <f>AutoClaim_Data!C1632</f>
        <v/>
      </c>
      <c r="G1632">
        <f>IF(AutoClaim_Data!D1632&lt;=$B$2,AVERAGEIFS(AutoClaim_Data!C2:C3168,AutoClaim_Data!B2:B3168,"Train",AutoClaim_Data!D2:D3168,"&lt;="&amp;$B$2),AVERAGEIFS(AutoClaim_Data!C2:C3168,AutoClaim_Data!B2:B3168,"Train",AutoClaim_Data!D2:D3168,"&gt;"&amp;$B$2))</f>
        <v/>
      </c>
      <c r="H1632">
        <f>IF(AutoClaim_Data!D1632&lt;=$B$2,IF(AutoClaim_Data!E1632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2">
        <f>(F1632-H1632)^2</f>
        <v/>
      </c>
      <c r="J1632">
        <f>--(E1632="Validation")</f>
        <v/>
      </c>
    </row>
    <row r="1633">
      <c r="D1633">
        <f>AutoClaim_Data!A1633</f>
        <v/>
      </c>
      <c r="E1633">
        <f>AutoClaim_Data!B1633</f>
        <v/>
      </c>
      <c r="F1633">
        <f>AutoClaim_Data!C1633</f>
        <v/>
      </c>
      <c r="G1633">
        <f>IF(AutoClaim_Data!D1633&lt;=$B$2,AVERAGEIFS(AutoClaim_Data!C2:C3168,AutoClaim_Data!B2:B3168,"Train",AutoClaim_Data!D2:D3168,"&lt;="&amp;$B$2),AVERAGEIFS(AutoClaim_Data!C2:C3168,AutoClaim_Data!B2:B3168,"Train",AutoClaim_Data!D2:D3168,"&gt;"&amp;$B$2))</f>
        <v/>
      </c>
      <c r="H1633">
        <f>IF(AutoClaim_Data!D1633&lt;=$B$2,IF(AutoClaim_Data!E1633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3">
        <f>(F1633-H1633)^2</f>
        <v/>
      </c>
      <c r="J1633">
        <f>--(E1633="Validation")</f>
        <v/>
      </c>
    </row>
    <row r="1634">
      <c r="D1634">
        <f>AutoClaim_Data!A1634</f>
        <v/>
      </c>
      <c r="E1634">
        <f>AutoClaim_Data!B1634</f>
        <v/>
      </c>
      <c r="F1634">
        <f>AutoClaim_Data!C1634</f>
        <v/>
      </c>
      <c r="G1634">
        <f>IF(AutoClaim_Data!D1634&lt;=$B$2,AVERAGEIFS(AutoClaim_Data!C2:C3168,AutoClaim_Data!B2:B3168,"Train",AutoClaim_Data!D2:D3168,"&lt;="&amp;$B$2),AVERAGEIFS(AutoClaim_Data!C2:C3168,AutoClaim_Data!B2:B3168,"Train",AutoClaim_Data!D2:D3168,"&gt;"&amp;$B$2))</f>
        <v/>
      </c>
      <c r="H1634">
        <f>IF(AutoClaim_Data!D1634&lt;=$B$2,IF(AutoClaim_Data!E1634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4">
        <f>(F1634-H1634)^2</f>
        <v/>
      </c>
      <c r="J1634">
        <f>--(E1634="Validation")</f>
        <v/>
      </c>
    </row>
    <row r="1635">
      <c r="D1635">
        <f>AutoClaim_Data!A1635</f>
        <v/>
      </c>
      <c r="E1635">
        <f>AutoClaim_Data!B1635</f>
        <v/>
      </c>
      <c r="F1635">
        <f>AutoClaim_Data!C1635</f>
        <v/>
      </c>
      <c r="G1635">
        <f>IF(AutoClaim_Data!D1635&lt;=$B$2,AVERAGEIFS(AutoClaim_Data!C2:C3168,AutoClaim_Data!B2:B3168,"Train",AutoClaim_Data!D2:D3168,"&lt;="&amp;$B$2),AVERAGEIFS(AutoClaim_Data!C2:C3168,AutoClaim_Data!B2:B3168,"Train",AutoClaim_Data!D2:D3168,"&gt;"&amp;$B$2))</f>
        <v/>
      </c>
      <c r="H1635">
        <f>IF(AutoClaim_Data!D1635&lt;=$B$2,IF(AutoClaim_Data!E1635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5">
        <f>(F1635-H1635)^2</f>
        <v/>
      </c>
      <c r="J1635">
        <f>--(E1635="Validation")</f>
        <v/>
      </c>
    </row>
    <row r="1636">
      <c r="D1636">
        <f>AutoClaim_Data!A1636</f>
        <v/>
      </c>
      <c r="E1636">
        <f>AutoClaim_Data!B1636</f>
        <v/>
      </c>
      <c r="F1636">
        <f>AutoClaim_Data!C1636</f>
        <v/>
      </c>
      <c r="G1636">
        <f>IF(AutoClaim_Data!D1636&lt;=$B$2,AVERAGEIFS(AutoClaim_Data!C2:C3168,AutoClaim_Data!B2:B3168,"Train",AutoClaim_Data!D2:D3168,"&lt;="&amp;$B$2),AVERAGEIFS(AutoClaim_Data!C2:C3168,AutoClaim_Data!B2:B3168,"Train",AutoClaim_Data!D2:D3168,"&gt;"&amp;$B$2))</f>
        <v/>
      </c>
      <c r="H1636">
        <f>IF(AutoClaim_Data!D1636&lt;=$B$2,IF(AutoClaim_Data!E1636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6">
        <f>(F1636-H1636)^2</f>
        <v/>
      </c>
      <c r="J1636">
        <f>--(E1636="Validation")</f>
        <v/>
      </c>
    </row>
    <row r="1637">
      <c r="D1637">
        <f>AutoClaim_Data!A1637</f>
        <v/>
      </c>
      <c r="E1637">
        <f>AutoClaim_Data!B1637</f>
        <v/>
      </c>
      <c r="F1637">
        <f>AutoClaim_Data!C1637</f>
        <v/>
      </c>
      <c r="G1637">
        <f>IF(AutoClaim_Data!D1637&lt;=$B$2,AVERAGEIFS(AutoClaim_Data!C2:C3168,AutoClaim_Data!B2:B3168,"Train",AutoClaim_Data!D2:D3168,"&lt;="&amp;$B$2),AVERAGEIFS(AutoClaim_Data!C2:C3168,AutoClaim_Data!B2:B3168,"Train",AutoClaim_Data!D2:D3168,"&gt;"&amp;$B$2))</f>
        <v/>
      </c>
      <c r="H1637">
        <f>IF(AutoClaim_Data!D1637&lt;=$B$2,IF(AutoClaim_Data!E1637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7">
        <f>(F1637-H1637)^2</f>
        <v/>
      </c>
      <c r="J1637">
        <f>--(E1637="Validation")</f>
        <v/>
      </c>
    </row>
    <row r="1638">
      <c r="D1638">
        <f>AutoClaim_Data!A1638</f>
        <v/>
      </c>
      <c r="E1638">
        <f>AutoClaim_Data!B1638</f>
        <v/>
      </c>
      <c r="F1638">
        <f>AutoClaim_Data!C1638</f>
        <v/>
      </c>
      <c r="G1638">
        <f>IF(AutoClaim_Data!D1638&lt;=$B$2,AVERAGEIFS(AutoClaim_Data!C2:C3168,AutoClaim_Data!B2:B3168,"Train",AutoClaim_Data!D2:D3168,"&lt;="&amp;$B$2),AVERAGEIFS(AutoClaim_Data!C2:C3168,AutoClaim_Data!B2:B3168,"Train",AutoClaim_Data!D2:D3168,"&gt;"&amp;$B$2))</f>
        <v/>
      </c>
      <c r="H1638">
        <f>IF(AutoClaim_Data!D1638&lt;=$B$2,IF(AutoClaim_Data!E1638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8">
        <f>(F1638-H1638)^2</f>
        <v/>
      </c>
      <c r="J1638">
        <f>--(E1638="Validation")</f>
        <v/>
      </c>
    </row>
    <row r="1639">
      <c r="D1639">
        <f>AutoClaim_Data!A1639</f>
        <v/>
      </c>
      <c r="E1639">
        <f>AutoClaim_Data!B1639</f>
        <v/>
      </c>
      <c r="F1639">
        <f>AutoClaim_Data!C1639</f>
        <v/>
      </c>
      <c r="G1639">
        <f>IF(AutoClaim_Data!D1639&lt;=$B$2,AVERAGEIFS(AutoClaim_Data!C2:C3168,AutoClaim_Data!B2:B3168,"Train",AutoClaim_Data!D2:D3168,"&lt;="&amp;$B$2),AVERAGEIFS(AutoClaim_Data!C2:C3168,AutoClaim_Data!B2:B3168,"Train",AutoClaim_Data!D2:D3168,"&gt;"&amp;$B$2))</f>
        <v/>
      </c>
      <c r="H1639">
        <f>IF(AutoClaim_Data!D1639&lt;=$B$2,IF(AutoClaim_Data!E1639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39">
        <f>(F1639-H1639)^2</f>
        <v/>
      </c>
      <c r="J1639">
        <f>--(E1639="Validation")</f>
        <v/>
      </c>
    </row>
    <row r="1640">
      <c r="D1640">
        <f>AutoClaim_Data!A1640</f>
        <v/>
      </c>
      <c r="E1640">
        <f>AutoClaim_Data!B1640</f>
        <v/>
      </c>
      <c r="F1640">
        <f>AutoClaim_Data!C1640</f>
        <v/>
      </c>
      <c r="G1640">
        <f>IF(AutoClaim_Data!D1640&lt;=$B$2,AVERAGEIFS(AutoClaim_Data!C2:C3168,AutoClaim_Data!B2:B3168,"Train",AutoClaim_Data!D2:D3168,"&lt;="&amp;$B$2),AVERAGEIFS(AutoClaim_Data!C2:C3168,AutoClaim_Data!B2:B3168,"Train",AutoClaim_Data!D2:D3168,"&gt;"&amp;$B$2))</f>
        <v/>
      </c>
      <c r="H1640">
        <f>IF(AutoClaim_Data!D1640&lt;=$B$2,IF(AutoClaim_Data!E1640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0">
        <f>(F1640-H1640)^2</f>
        <v/>
      </c>
      <c r="J1640">
        <f>--(E1640="Validation")</f>
        <v/>
      </c>
    </row>
    <row r="1641">
      <c r="D1641">
        <f>AutoClaim_Data!A1641</f>
        <v/>
      </c>
      <c r="E1641">
        <f>AutoClaim_Data!B1641</f>
        <v/>
      </c>
      <c r="F1641">
        <f>AutoClaim_Data!C1641</f>
        <v/>
      </c>
      <c r="G1641">
        <f>IF(AutoClaim_Data!D1641&lt;=$B$2,AVERAGEIFS(AutoClaim_Data!C2:C3168,AutoClaim_Data!B2:B3168,"Train",AutoClaim_Data!D2:D3168,"&lt;="&amp;$B$2),AVERAGEIFS(AutoClaim_Data!C2:C3168,AutoClaim_Data!B2:B3168,"Train",AutoClaim_Data!D2:D3168,"&gt;"&amp;$B$2))</f>
        <v/>
      </c>
      <c r="H1641">
        <f>IF(AutoClaim_Data!D1641&lt;=$B$2,IF(AutoClaim_Data!E1641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1">
        <f>(F1641-H1641)^2</f>
        <v/>
      </c>
      <c r="J1641">
        <f>--(E1641="Validation")</f>
        <v/>
      </c>
    </row>
    <row r="1642">
      <c r="D1642">
        <f>AutoClaim_Data!A1642</f>
        <v/>
      </c>
      <c r="E1642">
        <f>AutoClaim_Data!B1642</f>
        <v/>
      </c>
      <c r="F1642">
        <f>AutoClaim_Data!C1642</f>
        <v/>
      </c>
      <c r="G1642">
        <f>IF(AutoClaim_Data!D1642&lt;=$B$2,AVERAGEIFS(AutoClaim_Data!C2:C3168,AutoClaim_Data!B2:B3168,"Train",AutoClaim_Data!D2:D3168,"&lt;="&amp;$B$2),AVERAGEIFS(AutoClaim_Data!C2:C3168,AutoClaim_Data!B2:B3168,"Train",AutoClaim_Data!D2:D3168,"&gt;"&amp;$B$2))</f>
        <v/>
      </c>
      <c r="H1642">
        <f>IF(AutoClaim_Data!D1642&lt;=$B$2,IF(AutoClaim_Data!E1642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2">
        <f>(F1642-H1642)^2</f>
        <v/>
      </c>
      <c r="J1642">
        <f>--(E1642="Validation")</f>
        <v/>
      </c>
    </row>
    <row r="1643">
      <c r="D1643">
        <f>AutoClaim_Data!A1643</f>
        <v/>
      </c>
      <c r="E1643">
        <f>AutoClaim_Data!B1643</f>
        <v/>
      </c>
      <c r="F1643">
        <f>AutoClaim_Data!C1643</f>
        <v/>
      </c>
      <c r="G1643">
        <f>IF(AutoClaim_Data!D1643&lt;=$B$2,AVERAGEIFS(AutoClaim_Data!C2:C3168,AutoClaim_Data!B2:B3168,"Train",AutoClaim_Data!D2:D3168,"&lt;="&amp;$B$2),AVERAGEIFS(AutoClaim_Data!C2:C3168,AutoClaim_Data!B2:B3168,"Train",AutoClaim_Data!D2:D3168,"&gt;"&amp;$B$2))</f>
        <v/>
      </c>
      <c r="H1643">
        <f>IF(AutoClaim_Data!D1643&lt;=$B$2,IF(AutoClaim_Data!E1643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3">
        <f>(F1643-H1643)^2</f>
        <v/>
      </c>
      <c r="J1643">
        <f>--(E1643="Validation")</f>
        <v/>
      </c>
    </row>
    <row r="1644">
      <c r="D1644">
        <f>AutoClaim_Data!A1644</f>
        <v/>
      </c>
      <c r="E1644">
        <f>AutoClaim_Data!B1644</f>
        <v/>
      </c>
      <c r="F1644">
        <f>AutoClaim_Data!C1644</f>
        <v/>
      </c>
      <c r="G1644">
        <f>IF(AutoClaim_Data!D1644&lt;=$B$2,AVERAGEIFS(AutoClaim_Data!C2:C3168,AutoClaim_Data!B2:B3168,"Train",AutoClaim_Data!D2:D3168,"&lt;="&amp;$B$2),AVERAGEIFS(AutoClaim_Data!C2:C3168,AutoClaim_Data!B2:B3168,"Train",AutoClaim_Data!D2:D3168,"&gt;"&amp;$B$2))</f>
        <v/>
      </c>
      <c r="H1644">
        <f>IF(AutoClaim_Data!D1644&lt;=$B$2,IF(AutoClaim_Data!E1644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4">
        <f>(F1644-H1644)^2</f>
        <v/>
      </c>
      <c r="J1644">
        <f>--(E1644="Validation")</f>
        <v/>
      </c>
    </row>
    <row r="1645">
      <c r="D1645">
        <f>AutoClaim_Data!A1645</f>
        <v/>
      </c>
      <c r="E1645">
        <f>AutoClaim_Data!B1645</f>
        <v/>
      </c>
      <c r="F1645">
        <f>AutoClaim_Data!C1645</f>
        <v/>
      </c>
      <c r="G1645">
        <f>IF(AutoClaim_Data!D1645&lt;=$B$2,AVERAGEIFS(AutoClaim_Data!C2:C3168,AutoClaim_Data!B2:B3168,"Train",AutoClaim_Data!D2:D3168,"&lt;="&amp;$B$2),AVERAGEIFS(AutoClaim_Data!C2:C3168,AutoClaim_Data!B2:B3168,"Train",AutoClaim_Data!D2:D3168,"&gt;"&amp;$B$2))</f>
        <v/>
      </c>
      <c r="H1645">
        <f>IF(AutoClaim_Data!D1645&lt;=$B$2,IF(AutoClaim_Data!E1645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5">
        <f>(F1645-H1645)^2</f>
        <v/>
      </c>
      <c r="J1645">
        <f>--(E1645="Validation")</f>
        <v/>
      </c>
    </row>
    <row r="1646">
      <c r="D1646">
        <f>AutoClaim_Data!A1646</f>
        <v/>
      </c>
      <c r="E1646">
        <f>AutoClaim_Data!B1646</f>
        <v/>
      </c>
      <c r="F1646">
        <f>AutoClaim_Data!C1646</f>
        <v/>
      </c>
      <c r="G1646">
        <f>IF(AutoClaim_Data!D1646&lt;=$B$2,AVERAGEIFS(AutoClaim_Data!C2:C3168,AutoClaim_Data!B2:B3168,"Train",AutoClaim_Data!D2:D3168,"&lt;="&amp;$B$2),AVERAGEIFS(AutoClaim_Data!C2:C3168,AutoClaim_Data!B2:B3168,"Train",AutoClaim_Data!D2:D3168,"&gt;"&amp;$B$2))</f>
        <v/>
      </c>
      <c r="H1646">
        <f>IF(AutoClaim_Data!D1646&lt;=$B$2,IF(AutoClaim_Data!E1646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6">
        <f>(F1646-H1646)^2</f>
        <v/>
      </c>
      <c r="J1646">
        <f>--(E1646="Validation")</f>
        <v/>
      </c>
    </row>
    <row r="1647">
      <c r="D1647">
        <f>AutoClaim_Data!A1647</f>
        <v/>
      </c>
      <c r="E1647">
        <f>AutoClaim_Data!B1647</f>
        <v/>
      </c>
      <c r="F1647">
        <f>AutoClaim_Data!C1647</f>
        <v/>
      </c>
      <c r="G1647">
        <f>IF(AutoClaim_Data!D1647&lt;=$B$2,AVERAGEIFS(AutoClaim_Data!C2:C3168,AutoClaim_Data!B2:B3168,"Train",AutoClaim_Data!D2:D3168,"&lt;="&amp;$B$2),AVERAGEIFS(AutoClaim_Data!C2:C3168,AutoClaim_Data!B2:B3168,"Train",AutoClaim_Data!D2:D3168,"&gt;"&amp;$B$2))</f>
        <v/>
      </c>
      <c r="H1647">
        <f>IF(AutoClaim_Data!D1647&lt;=$B$2,IF(AutoClaim_Data!E1647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7">
        <f>(F1647-H1647)^2</f>
        <v/>
      </c>
      <c r="J1647">
        <f>--(E1647="Validation")</f>
        <v/>
      </c>
    </row>
    <row r="1648">
      <c r="D1648">
        <f>AutoClaim_Data!A1648</f>
        <v/>
      </c>
      <c r="E1648">
        <f>AutoClaim_Data!B1648</f>
        <v/>
      </c>
      <c r="F1648">
        <f>AutoClaim_Data!C1648</f>
        <v/>
      </c>
      <c r="G1648">
        <f>IF(AutoClaim_Data!D1648&lt;=$B$2,AVERAGEIFS(AutoClaim_Data!C2:C3168,AutoClaim_Data!B2:B3168,"Train",AutoClaim_Data!D2:D3168,"&lt;="&amp;$B$2),AVERAGEIFS(AutoClaim_Data!C2:C3168,AutoClaim_Data!B2:B3168,"Train",AutoClaim_Data!D2:D3168,"&gt;"&amp;$B$2))</f>
        <v/>
      </c>
      <c r="H1648">
        <f>IF(AutoClaim_Data!D1648&lt;=$B$2,IF(AutoClaim_Data!E1648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8">
        <f>(F1648-H1648)^2</f>
        <v/>
      </c>
      <c r="J1648">
        <f>--(E1648="Validation")</f>
        <v/>
      </c>
    </row>
    <row r="1649">
      <c r="D1649">
        <f>AutoClaim_Data!A1649</f>
        <v/>
      </c>
      <c r="E1649">
        <f>AutoClaim_Data!B1649</f>
        <v/>
      </c>
      <c r="F1649">
        <f>AutoClaim_Data!C1649</f>
        <v/>
      </c>
      <c r="G1649">
        <f>IF(AutoClaim_Data!D1649&lt;=$B$2,AVERAGEIFS(AutoClaim_Data!C2:C3168,AutoClaim_Data!B2:B3168,"Train",AutoClaim_Data!D2:D3168,"&lt;="&amp;$B$2),AVERAGEIFS(AutoClaim_Data!C2:C3168,AutoClaim_Data!B2:B3168,"Train",AutoClaim_Data!D2:D3168,"&gt;"&amp;$B$2))</f>
        <v/>
      </c>
      <c r="H1649">
        <f>IF(AutoClaim_Data!D1649&lt;=$B$2,IF(AutoClaim_Data!E1649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49">
        <f>(F1649-H1649)^2</f>
        <v/>
      </c>
      <c r="J1649">
        <f>--(E1649="Validation")</f>
        <v/>
      </c>
    </row>
    <row r="1650">
      <c r="D1650">
        <f>AutoClaim_Data!A1650</f>
        <v/>
      </c>
      <c r="E1650">
        <f>AutoClaim_Data!B1650</f>
        <v/>
      </c>
      <c r="F1650">
        <f>AutoClaim_Data!C1650</f>
        <v/>
      </c>
      <c r="G1650">
        <f>IF(AutoClaim_Data!D1650&lt;=$B$2,AVERAGEIFS(AutoClaim_Data!C2:C3168,AutoClaim_Data!B2:B3168,"Train",AutoClaim_Data!D2:D3168,"&lt;="&amp;$B$2),AVERAGEIFS(AutoClaim_Data!C2:C3168,AutoClaim_Data!B2:B3168,"Train",AutoClaim_Data!D2:D3168,"&gt;"&amp;$B$2))</f>
        <v/>
      </c>
      <c r="H1650">
        <f>IF(AutoClaim_Data!D1650&lt;=$B$2,IF(AutoClaim_Data!E1650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0">
        <f>(F1650-H1650)^2</f>
        <v/>
      </c>
      <c r="J1650">
        <f>--(E1650="Validation")</f>
        <v/>
      </c>
    </row>
    <row r="1651">
      <c r="D1651">
        <f>AutoClaim_Data!A1651</f>
        <v/>
      </c>
      <c r="E1651">
        <f>AutoClaim_Data!B1651</f>
        <v/>
      </c>
      <c r="F1651">
        <f>AutoClaim_Data!C1651</f>
        <v/>
      </c>
      <c r="G1651">
        <f>IF(AutoClaim_Data!D1651&lt;=$B$2,AVERAGEIFS(AutoClaim_Data!C2:C3168,AutoClaim_Data!B2:B3168,"Train",AutoClaim_Data!D2:D3168,"&lt;="&amp;$B$2),AVERAGEIFS(AutoClaim_Data!C2:C3168,AutoClaim_Data!B2:B3168,"Train",AutoClaim_Data!D2:D3168,"&gt;"&amp;$B$2))</f>
        <v/>
      </c>
      <c r="H1651">
        <f>IF(AutoClaim_Data!D1651&lt;=$B$2,IF(AutoClaim_Data!E1651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1">
        <f>(F1651-H1651)^2</f>
        <v/>
      </c>
      <c r="J1651">
        <f>--(E1651="Validation")</f>
        <v/>
      </c>
    </row>
    <row r="1652">
      <c r="D1652">
        <f>AutoClaim_Data!A1652</f>
        <v/>
      </c>
      <c r="E1652">
        <f>AutoClaim_Data!B1652</f>
        <v/>
      </c>
      <c r="F1652">
        <f>AutoClaim_Data!C1652</f>
        <v/>
      </c>
      <c r="G1652">
        <f>IF(AutoClaim_Data!D1652&lt;=$B$2,AVERAGEIFS(AutoClaim_Data!C2:C3168,AutoClaim_Data!B2:B3168,"Train",AutoClaim_Data!D2:D3168,"&lt;="&amp;$B$2),AVERAGEIFS(AutoClaim_Data!C2:C3168,AutoClaim_Data!B2:B3168,"Train",AutoClaim_Data!D2:D3168,"&gt;"&amp;$B$2))</f>
        <v/>
      </c>
      <c r="H1652">
        <f>IF(AutoClaim_Data!D1652&lt;=$B$2,IF(AutoClaim_Data!E1652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2">
        <f>(F1652-H1652)^2</f>
        <v/>
      </c>
      <c r="J1652">
        <f>--(E1652="Validation")</f>
        <v/>
      </c>
    </row>
    <row r="1653">
      <c r="D1653">
        <f>AutoClaim_Data!A1653</f>
        <v/>
      </c>
      <c r="E1653">
        <f>AutoClaim_Data!B1653</f>
        <v/>
      </c>
      <c r="F1653">
        <f>AutoClaim_Data!C1653</f>
        <v/>
      </c>
      <c r="G1653">
        <f>IF(AutoClaim_Data!D1653&lt;=$B$2,AVERAGEIFS(AutoClaim_Data!C2:C3168,AutoClaim_Data!B2:B3168,"Train",AutoClaim_Data!D2:D3168,"&lt;="&amp;$B$2),AVERAGEIFS(AutoClaim_Data!C2:C3168,AutoClaim_Data!B2:B3168,"Train",AutoClaim_Data!D2:D3168,"&gt;"&amp;$B$2))</f>
        <v/>
      </c>
      <c r="H1653">
        <f>IF(AutoClaim_Data!D1653&lt;=$B$2,IF(AutoClaim_Data!E1653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3">
        <f>(F1653-H1653)^2</f>
        <v/>
      </c>
      <c r="J1653">
        <f>--(E1653="Validation")</f>
        <v/>
      </c>
    </row>
    <row r="1654">
      <c r="D1654">
        <f>AutoClaim_Data!A1654</f>
        <v/>
      </c>
      <c r="E1654">
        <f>AutoClaim_Data!B1654</f>
        <v/>
      </c>
      <c r="F1654">
        <f>AutoClaim_Data!C1654</f>
        <v/>
      </c>
      <c r="G1654">
        <f>IF(AutoClaim_Data!D1654&lt;=$B$2,AVERAGEIFS(AutoClaim_Data!C2:C3168,AutoClaim_Data!B2:B3168,"Train",AutoClaim_Data!D2:D3168,"&lt;="&amp;$B$2),AVERAGEIFS(AutoClaim_Data!C2:C3168,AutoClaim_Data!B2:B3168,"Train",AutoClaim_Data!D2:D3168,"&gt;"&amp;$B$2))</f>
        <v/>
      </c>
      <c r="H1654">
        <f>IF(AutoClaim_Data!D1654&lt;=$B$2,IF(AutoClaim_Data!E1654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4">
        <f>(F1654-H1654)^2</f>
        <v/>
      </c>
      <c r="J1654">
        <f>--(E1654="Validation")</f>
        <v/>
      </c>
    </row>
    <row r="1655">
      <c r="D1655">
        <f>AutoClaim_Data!A1655</f>
        <v/>
      </c>
      <c r="E1655">
        <f>AutoClaim_Data!B1655</f>
        <v/>
      </c>
      <c r="F1655">
        <f>AutoClaim_Data!C1655</f>
        <v/>
      </c>
      <c r="G1655">
        <f>IF(AutoClaim_Data!D1655&lt;=$B$2,AVERAGEIFS(AutoClaim_Data!C2:C3168,AutoClaim_Data!B2:B3168,"Train",AutoClaim_Data!D2:D3168,"&lt;="&amp;$B$2),AVERAGEIFS(AutoClaim_Data!C2:C3168,AutoClaim_Data!B2:B3168,"Train",AutoClaim_Data!D2:D3168,"&gt;"&amp;$B$2))</f>
        <v/>
      </c>
      <c r="H1655">
        <f>IF(AutoClaim_Data!D1655&lt;=$B$2,IF(AutoClaim_Data!E1655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5">
        <f>(F1655-H1655)^2</f>
        <v/>
      </c>
      <c r="J1655">
        <f>--(E1655="Validation")</f>
        <v/>
      </c>
    </row>
    <row r="1656">
      <c r="D1656">
        <f>AutoClaim_Data!A1656</f>
        <v/>
      </c>
      <c r="E1656">
        <f>AutoClaim_Data!B1656</f>
        <v/>
      </c>
      <c r="F1656">
        <f>AutoClaim_Data!C1656</f>
        <v/>
      </c>
      <c r="G1656">
        <f>IF(AutoClaim_Data!D1656&lt;=$B$2,AVERAGEIFS(AutoClaim_Data!C2:C3168,AutoClaim_Data!B2:B3168,"Train",AutoClaim_Data!D2:D3168,"&lt;="&amp;$B$2),AVERAGEIFS(AutoClaim_Data!C2:C3168,AutoClaim_Data!B2:B3168,"Train",AutoClaim_Data!D2:D3168,"&gt;"&amp;$B$2))</f>
        <v/>
      </c>
      <c r="H1656">
        <f>IF(AutoClaim_Data!D1656&lt;=$B$2,IF(AutoClaim_Data!E1656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6">
        <f>(F1656-H1656)^2</f>
        <v/>
      </c>
      <c r="J1656">
        <f>--(E1656="Validation")</f>
        <v/>
      </c>
    </row>
    <row r="1657">
      <c r="D1657">
        <f>AutoClaim_Data!A1657</f>
        <v/>
      </c>
      <c r="E1657">
        <f>AutoClaim_Data!B1657</f>
        <v/>
      </c>
      <c r="F1657">
        <f>AutoClaim_Data!C1657</f>
        <v/>
      </c>
      <c r="G1657">
        <f>IF(AutoClaim_Data!D1657&lt;=$B$2,AVERAGEIFS(AutoClaim_Data!C2:C3168,AutoClaim_Data!B2:B3168,"Train",AutoClaim_Data!D2:D3168,"&lt;="&amp;$B$2),AVERAGEIFS(AutoClaim_Data!C2:C3168,AutoClaim_Data!B2:B3168,"Train",AutoClaim_Data!D2:D3168,"&gt;"&amp;$B$2))</f>
        <v/>
      </c>
      <c r="H1657">
        <f>IF(AutoClaim_Data!D1657&lt;=$B$2,IF(AutoClaim_Data!E1657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7">
        <f>(F1657-H1657)^2</f>
        <v/>
      </c>
      <c r="J1657">
        <f>--(E1657="Validation")</f>
        <v/>
      </c>
    </row>
    <row r="1658">
      <c r="D1658">
        <f>AutoClaim_Data!A1658</f>
        <v/>
      </c>
      <c r="E1658">
        <f>AutoClaim_Data!B1658</f>
        <v/>
      </c>
      <c r="F1658">
        <f>AutoClaim_Data!C1658</f>
        <v/>
      </c>
      <c r="G1658">
        <f>IF(AutoClaim_Data!D1658&lt;=$B$2,AVERAGEIFS(AutoClaim_Data!C2:C3168,AutoClaim_Data!B2:B3168,"Train",AutoClaim_Data!D2:D3168,"&lt;="&amp;$B$2),AVERAGEIFS(AutoClaim_Data!C2:C3168,AutoClaim_Data!B2:B3168,"Train",AutoClaim_Data!D2:D3168,"&gt;"&amp;$B$2))</f>
        <v/>
      </c>
      <c r="H1658">
        <f>IF(AutoClaim_Data!D1658&lt;=$B$2,IF(AutoClaim_Data!E1658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8">
        <f>(F1658-H1658)^2</f>
        <v/>
      </c>
      <c r="J1658">
        <f>--(E1658="Validation")</f>
        <v/>
      </c>
    </row>
    <row r="1659">
      <c r="D1659">
        <f>AutoClaim_Data!A1659</f>
        <v/>
      </c>
      <c r="E1659">
        <f>AutoClaim_Data!B1659</f>
        <v/>
      </c>
      <c r="F1659">
        <f>AutoClaim_Data!C1659</f>
        <v/>
      </c>
      <c r="G1659">
        <f>IF(AutoClaim_Data!D1659&lt;=$B$2,AVERAGEIFS(AutoClaim_Data!C2:C3168,AutoClaim_Data!B2:B3168,"Train",AutoClaim_Data!D2:D3168,"&lt;="&amp;$B$2),AVERAGEIFS(AutoClaim_Data!C2:C3168,AutoClaim_Data!B2:B3168,"Train",AutoClaim_Data!D2:D3168,"&gt;"&amp;$B$2))</f>
        <v/>
      </c>
      <c r="H1659">
        <f>IF(AutoClaim_Data!D1659&lt;=$B$2,IF(AutoClaim_Data!E1659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59">
        <f>(F1659-H1659)^2</f>
        <v/>
      </c>
      <c r="J1659">
        <f>--(E1659="Validation")</f>
        <v/>
      </c>
    </row>
    <row r="1660">
      <c r="D1660">
        <f>AutoClaim_Data!A1660</f>
        <v/>
      </c>
      <c r="E1660">
        <f>AutoClaim_Data!B1660</f>
        <v/>
      </c>
      <c r="F1660">
        <f>AutoClaim_Data!C1660</f>
        <v/>
      </c>
      <c r="G1660">
        <f>IF(AutoClaim_Data!D1660&lt;=$B$2,AVERAGEIFS(AutoClaim_Data!C2:C3168,AutoClaim_Data!B2:B3168,"Train",AutoClaim_Data!D2:D3168,"&lt;="&amp;$B$2),AVERAGEIFS(AutoClaim_Data!C2:C3168,AutoClaim_Data!B2:B3168,"Train",AutoClaim_Data!D2:D3168,"&gt;"&amp;$B$2))</f>
        <v/>
      </c>
      <c r="H1660">
        <f>IF(AutoClaim_Data!D1660&lt;=$B$2,IF(AutoClaim_Data!E1660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0">
        <f>(F1660-H1660)^2</f>
        <v/>
      </c>
      <c r="J1660">
        <f>--(E1660="Validation")</f>
        <v/>
      </c>
    </row>
    <row r="1661">
      <c r="D1661">
        <f>AutoClaim_Data!A1661</f>
        <v/>
      </c>
      <c r="E1661">
        <f>AutoClaim_Data!B1661</f>
        <v/>
      </c>
      <c r="F1661">
        <f>AutoClaim_Data!C1661</f>
        <v/>
      </c>
      <c r="G1661">
        <f>IF(AutoClaim_Data!D1661&lt;=$B$2,AVERAGEIFS(AutoClaim_Data!C2:C3168,AutoClaim_Data!B2:B3168,"Train",AutoClaim_Data!D2:D3168,"&lt;="&amp;$B$2),AVERAGEIFS(AutoClaim_Data!C2:C3168,AutoClaim_Data!B2:B3168,"Train",AutoClaim_Data!D2:D3168,"&gt;"&amp;$B$2))</f>
        <v/>
      </c>
      <c r="H1661">
        <f>IF(AutoClaim_Data!D1661&lt;=$B$2,IF(AutoClaim_Data!E1661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1">
        <f>(F1661-H1661)^2</f>
        <v/>
      </c>
      <c r="J1661">
        <f>--(E1661="Validation")</f>
        <v/>
      </c>
    </row>
    <row r="1662">
      <c r="D1662">
        <f>AutoClaim_Data!A1662</f>
        <v/>
      </c>
      <c r="E1662">
        <f>AutoClaim_Data!B1662</f>
        <v/>
      </c>
      <c r="F1662">
        <f>AutoClaim_Data!C1662</f>
        <v/>
      </c>
      <c r="G1662">
        <f>IF(AutoClaim_Data!D1662&lt;=$B$2,AVERAGEIFS(AutoClaim_Data!C2:C3168,AutoClaim_Data!B2:B3168,"Train",AutoClaim_Data!D2:D3168,"&lt;="&amp;$B$2),AVERAGEIFS(AutoClaim_Data!C2:C3168,AutoClaim_Data!B2:B3168,"Train",AutoClaim_Data!D2:D3168,"&gt;"&amp;$B$2))</f>
        <v/>
      </c>
      <c r="H1662">
        <f>IF(AutoClaim_Data!D1662&lt;=$B$2,IF(AutoClaim_Data!E1662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2">
        <f>(F1662-H1662)^2</f>
        <v/>
      </c>
      <c r="J1662">
        <f>--(E1662="Validation")</f>
        <v/>
      </c>
    </row>
    <row r="1663">
      <c r="D1663">
        <f>AutoClaim_Data!A1663</f>
        <v/>
      </c>
      <c r="E1663">
        <f>AutoClaim_Data!B1663</f>
        <v/>
      </c>
      <c r="F1663">
        <f>AutoClaim_Data!C1663</f>
        <v/>
      </c>
      <c r="G1663">
        <f>IF(AutoClaim_Data!D1663&lt;=$B$2,AVERAGEIFS(AutoClaim_Data!C2:C3168,AutoClaim_Data!B2:B3168,"Train",AutoClaim_Data!D2:D3168,"&lt;="&amp;$B$2),AVERAGEIFS(AutoClaim_Data!C2:C3168,AutoClaim_Data!B2:B3168,"Train",AutoClaim_Data!D2:D3168,"&gt;"&amp;$B$2))</f>
        <v/>
      </c>
      <c r="H1663">
        <f>IF(AutoClaim_Data!D1663&lt;=$B$2,IF(AutoClaim_Data!E1663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3">
        <f>(F1663-H1663)^2</f>
        <v/>
      </c>
      <c r="J1663">
        <f>--(E1663="Validation")</f>
        <v/>
      </c>
    </row>
    <row r="1664">
      <c r="D1664">
        <f>AutoClaim_Data!A1664</f>
        <v/>
      </c>
      <c r="E1664">
        <f>AutoClaim_Data!B1664</f>
        <v/>
      </c>
      <c r="F1664">
        <f>AutoClaim_Data!C1664</f>
        <v/>
      </c>
      <c r="G1664">
        <f>IF(AutoClaim_Data!D1664&lt;=$B$2,AVERAGEIFS(AutoClaim_Data!C2:C3168,AutoClaim_Data!B2:B3168,"Train",AutoClaim_Data!D2:D3168,"&lt;="&amp;$B$2),AVERAGEIFS(AutoClaim_Data!C2:C3168,AutoClaim_Data!B2:B3168,"Train",AutoClaim_Data!D2:D3168,"&gt;"&amp;$B$2))</f>
        <v/>
      </c>
      <c r="H1664">
        <f>IF(AutoClaim_Data!D1664&lt;=$B$2,IF(AutoClaim_Data!E1664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4">
        <f>(F1664-H1664)^2</f>
        <v/>
      </c>
      <c r="J1664">
        <f>--(E1664="Validation")</f>
        <v/>
      </c>
    </row>
    <row r="1665">
      <c r="D1665">
        <f>AutoClaim_Data!A1665</f>
        <v/>
      </c>
      <c r="E1665">
        <f>AutoClaim_Data!B1665</f>
        <v/>
      </c>
      <c r="F1665">
        <f>AutoClaim_Data!C1665</f>
        <v/>
      </c>
      <c r="G1665">
        <f>IF(AutoClaim_Data!D1665&lt;=$B$2,AVERAGEIFS(AutoClaim_Data!C2:C3168,AutoClaim_Data!B2:B3168,"Train",AutoClaim_Data!D2:D3168,"&lt;="&amp;$B$2),AVERAGEIFS(AutoClaim_Data!C2:C3168,AutoClaim_Data!B2:B3168,"Train",AutoClaim_Data!D2:D3168,"&gt;"&amp;$B$2))</f>
        <v/>
      </c>
      <c r="H1665">
        <f>IF(AutoClaim_Data!D1665&lt;=$B$2,IF(AutoClaim_Data!E1665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5">
        <f>(F1665-H1665)^2</f>
        <v/>
      </c>
      <c r="J1665">
        <f>--(E1665="Validation")</f>
        <v/>
      </c>
    </row>
    <row r="1666">
      <c r="D1666">
        <f>AutoClaim_Data!A1666</f>
        <v/>
      </c>
      <c r="E1666">
        <f>AutoClaim_Data!B1666</f>
        <v/>
      </c>
      <c r="F1666">
        <f>AutoClaim_Data!C1666</f>
        <v/>
      </c>
      <c r="G1666">
        <f>IF(AutoClaim_Data!D1666&lt;=$B$2,AVERAGEIFS(AutoClaim_Data!C2:C3168,AutoClaim_Data!B2:B3168,"Train",AutoClaim_Data!D2:D3168,"&lt;="&amp;$B$2),AVERAGEIFS(AutoClaim_Data!C2:C3168,AutoClaim_Data!B2:B3168,"Train",AutoClaim_Data!D2:D3168,"&gt;"&amp;$B$2))</f>
        <v/>
      </c>
      <c r="H1666">
        <f>IF(AutoClaim_Data!D1666&lt;=$B$2,IF(AutoClaim_Data!E1666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6">
        <f>(F1666-H1666)^2</f>
        <v/>
      </c>
      <c r="J1666">
        <f>--(E1666="Validation")</f>
        <v/>
      </c>
    </row>
    <row r="1667">
      <c r="D1667">
        <f>AutoClaim_Data!A1667</f>
        <v/>
      </c>
      <c r="E1667">
        <f>AutoClaim_Data!B1667</f>
        <v/>
      </c>
      <c r="F1667">
        <f>AutoClaim_Data!C1667</f>
        <v/>
      </c>
      <c r="G1667">
        <f>IF(AutoClaim_Data!D1667&lt;=$B$2,AVERAGEIFS(AutoClaim_Data!C2:C3168,AutoClaim_Data!B2:B3168,"Train",AutoClaim_Data!D2:D3168,"&lt;="&amp;$B$2),AVERAGEIFS(AutoClaim_Data!C2:C3168,AutoClaim_Data!B2:B3168,"Train",AutoClaim_Data!D2:D3168,"&gt;"&amp;$B$2))</f>
        <v/>
      </c>
      <c r="H1667">
        <f>IF(AutoClaim_Data!D1667&lt;=$B$2,IF(AutoClaim_Data!E1667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7">
        <f>(F1667-H1667)^2</f>
        <v/>
      </c>
      <c r="J1667">
        <f>--(E1667="Validation")</f>
        <v/>
      </c>
    </row>
    <row r="1668">
      <c r="D1668">
        <f>AutoClaim_Data!A1668</f>
        <v/>
      </c>
      <c r="E1668">
        <f>AutoClaim_Data!B1668</f>
        <v/>
      </c>
      <c r="F1668">
        <f>AutoClaim_Data!C1668</f>
        <v/>
      </c>
      <c r="G1668">
        <f>IF(AutoClaim_Data!D1668&lt;=$B$2,AVERAGEIFS(AutoClaim_Data!C2:C3168,AutoClaim_Data!B2:B3168,"Train",AutoClaim_Data!D2:D3168,"&lt;="&amp;$B$2),AVERAGEIFS(AutoClaim_Data!C2:C3168,AutoClaim_Data!B2:B3168,"Train",AutoClaim_Data!D2:D3168,"&gt;"&amp;$B$2))</f>
        <v/>
      </c>
      <c r="H1668">
        <f>IF(AutoClaim_Data!D1668&lt;=$B$2,IF(AutoClaim_Data!E1668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8">
        <f>(F1668-H1668)^2</f>
        <v/>
      </c>
      <c r="J1668">
        <f>--(E1668="Validation")</f>
        <v/>
      </c>
    </row>
    <row r="1669">
      <c r="D1669">
        <f>AutoClaim_Data!A1669</f>
        <v/>
      </c>
      <c r="E1669">
        <f>AutoClaim_Data!B1669</f>
        <v/>
      </c>
      <c r="F1669">
        <f>AutoClaim_Data!C1669</f>
        <v/>
      </c>
      <c r="G1669">
        <f>IF(AutoClaim_Data!D1669&lt;=$B$2,AVERAGEIFS(AutoClaim_Data!C2:C3168,AutoClaim_Data!B2:B3168,"Train",AutoClaim_Data!D2:D3168,"&lt;="&amp;$B$2),AVERAGEIFS(AutoClaim_Data!C2:C3168,AutoClaim_Data!B2:B3168,"Train",AutoClaim_Data!D2:D3168,"&gt;"&amp;$B$2))</f>
        <v/>
      </c>
      <c r="H1669">
        <f>IF(AutoClaim_Data!D1669&lt;=$B$2,IF(AutoClaim_Data!E1669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69">
        <f>(F1669-H1669)^2</f>
        <v/>
      </c>
      <c r="J1669">
        <f>--(E1669="Validation")</f>
        <v/>
      </c>
    </row>
    <row r="1670">
      <c r="D1670">
        <f>AutoClaim_Data!A1670</f>
        <v/>
      </c>
      <c r="E1670">
        <f>AutoClaim_Data!B1670</f>
        <v/>
      </c>
      <c r="F1670">
        <f>AutoClaim_Data!C1670</f>
        <v/>
      </c>
      <c r="G1670">
        <f>IF(AutoClaim_Data!D1670&lt;=$B$2,AVERAGEIFS(AutoClaim_Data!C2:C3168,AutoClaim_Data!B2:B3168,"Train",AutoClaim_Data!D2:D3168,"&lt;="&amp;$B$2),AVERAGEIFS(AutoClaim_Data!C2:C3168,AutoClaim_Data!B2:B3168,"Train",AutoClaim_Data!D2:D3168,"&gt;"&amp;$B$2))</f>
        <v/>
      </c>
      <c r="H1670">
        <f>IF(AutoClaim_Data!D1670&lt;=$B$2,IF(AutoClaim_Data!E1670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0">
        <f>(F1670-H1670)^2</f>
        <v/>
      </c>
      <c r="J1670">
        <f>--(E1670="Validation")</f>
        <v/>
      </c>
    </row>
    <row r="1671">
      <c r="D1671">
        <f>AutoClaim_Data!A1671</f>
        <v/>
      </c>
      <c r="E1671">
        <f>AutoClaim_Data!B1671</f>
        <v/>
      </c>
      <c r="F1671">
        <f>AutoClaim_Data!C1671</f>
        <v/>
      </c>
      <c r="G1671">
        <f>IF(AutoClaim_Data!D1671&lt;=$B$2,AVERAGEIFS(AutoClaim_Data!C2:C3168,AutoClaim_Data!B2:B3168,"Train",AutoClaim_Data!D2:D3168,"&lt;="&amp;$B$2),AVERAGEIFS(AutoClaim_Data!C2:C3168,AutoClaim_Data!B2:B3168,"Train",AutoClaim_Data!D2:D3168,"&gt;"&amp;$B$2))</f>
        <v/>
      </c>
      <c r="H1671">
        <f>IF(AutoClaim_Data!D1671&lt;=$B$2,IF(AutoClaim_Data!E1671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1">
        <f>(F1671-H1671)^2</f>
        <v/>
      </c>
      <c r="J1671">
        <f>--(E1671="Validation")</f>
        <v/>
      </c>
    </row>
    <row r="1672">
      <c r="D1672">
        <f>AutoClaim_Data!A1672</f>
        <v/>
      </c>
      <c r="E1672">
        <f>AutoClaim_Data!B1672</f>
        <v/>
      </c>
      <c r="F1672">
        <f>AutoClaim_Data!C1672</f>
        <v/>
      </c>
      <c r="G1672">
        <f>IF(AutoClaim_Data!D1672&lt;=$B$2,AVERAGEIFS(AutoClaim_Data!C2:C3168,AutoClaim_Data!B2:B3168,"Train",AutoClaim_Data!D2:D3168,"&lt;="&amp;$B$2),AVERAGEIFS(AutoClaim_Data!C2:C3168,AutoClaim_Data!B2:B3168,"Train",AutoClaim_Data!D2:D3168,"&gt;"&amp;$B$2))</f>
        <v/>
      </c>
      <c r="H1672">
        <f>IF(AutoClaim_Data!D1672&lt;=$B$2,IF(AutoClaim_Data!E1672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2">
        <f>(F1672-H1672)^2</f>
        <v/>
      </c>
      <c r="J1672">
        <f>--(E1672="Validation")</f>
        <v/>
      </c>
    </row>
    <row r="1673">
      <c r="D1673">
        <f>AutoClaim_Data!A1673</f>
        <v/>
      </c>
      <c r="E1673">
        <f>AutoClaim_Data!B1673</f>
        <v/>
      </c>
      <c r="F1673">
        <f>AutoClaim_Data!C1673</f>
        <v/>
      </c>
      <c r="G1673">
        <f>IF(AutoClaim_Data!D1673&lt;=$B$2,AVERAGEIFS(AutoClaim_Data!C2:C3168,AutoClaim_Data!B2:B3168,"Train",AutoClaim_Data!D2:D3168,"&lt;="&amp;$B$2),AVERAGEIFS(AutoClaim_Data!C2:C3168,AutoClaim_Data!B2:B3168,"Train",AutoClaim_Data!D2:D3168,"&gt;"&amp;$B$2))</f>
        <v/>
      </c>
      <c r="H1673">
        <f>IF(AutoClaim_Data!D1673&lt;=$B$2,IF(AutoClaim_Data!E1673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3">
        <f>(F1673-H1673)^2</f>
        <v/>
      </c>
      <c r="J1673">
        <f>--(E1673="Validation")</f>
        <v/>
      </c>
    </row>
    <row r="1674">
      <c r="D1674">
        <f>AutoClaim_Data!A1674</f>
        <v/>
      </c>
      <c r="E1674">
        <f>AutoClaim_Data!B1674</f>
        <v/>
      </c>
      <c r="F1674">
        <f>AutoClaim_Data!C1674</f>
        <v/>
      </c>
      <c r="G1674">
        <f>IF(AutoClaim_Data!D1674&lt;=$B$2,AVERAGEIFS(AutoClaim_Data!C2:C3168,AutoClaim_Data!B2:B3168,"Train",AutoClaim_Data!D2:D3168,"&lt;="&amp;$B$2),AVERAGEIFS(AutoClaim_Data!C2:C3168,AutoClaim_Data!B2:B3168,"Train",AutoClaim_Data!D2:D3168,"&gt;"&amp;$B$2))</f>
        <v/>
      </c>
      <c r="H1674">
        <f>IF(AutoClaim_Data!D1674&lt;=$B$2,IF(AutoClaim_Data!E1674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4">
        <f>(F1674-H1674)^2</f>
        <v/>
      </c>
      <c r="J1674">
        <f>--(E1674="Validation")</f>
        <v/>
      </c>
    </row>
    <row r="1675">
      <c r="D1675">
        <f>AutoClaim_Data!A1675</f>
        <v/>
      </c>
      <c r="E1675">
        <f>AutoClaim_Data!B1675</f>
        <v/>
      </c>
      <c r="F1675">
        <f>AutoClaim_Data!C1675</f>
        <v/>
      </c>
      <c r="G1675">
        <f>IF(AutoClaim_Data!D1675&lt;=$B$2,AVERAGEIFS(AutoClaim_Data!C2:C3168,AutoClaim_Data!B2:B3168,"Train",AutoClaim_Data!D2:D3168,"&lt;="&amp;$B$2),AVERAGEIFS(AutoClaim_Data!C2:C3168,AutoClaim_Data!B2:B3168,"Train",AutoClaim_Data!D2:D3168,"&gt;"&amp;$B$2))</f>
        <v/>
      </c>
      <c r="H1675">
        <f>IF(AutoClaim_Data!D1675&lt;=$B$2,IF(AutoClaim_Data!E1675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5">
        <f>(F1675-H1675)^2</f>
        <v/>
      </c>
      <c r="J1675">
        <f>--(E1675="Validation")</f>
        <v/>
      </c>
    </row>
    <row r="1676">
      <c r="D1676">
        <f>AutoClaim_Data!A1676</f>
        <v/>
      </c>
      <c r="E1676">
        <f>AutoClaim_Data!B1676</f>
        <v/>
      </c>
      <c r="F1676">
        <f>AutoClaim_Data!C1676</f>
        <v/>
      </c>
      <c r="G1676">
        <f>IF(AutoClaim_Data!D1676&lt;=$B$2,AVERAGEIFS(AutoClaim_Data!C2:C3168,AutoClaim_Data!B2:B3168,"Train",AutoClaim_Data!D2:D3168,"&lt;="&amp;$B$2),AVERAGEIFS(AutoClaim_Data!C2:C3168,AutoClaim_Data!B2:B3168,"Train",AutoClaim_Data!D2:D3168,"&gt;"&amp;$B$2))</f>
        <v/>
      </c>
      <c r="H1676">
        <f>IF(AutoClaim_Data!D1676&lt;=$B$2,IF(AutoClaim_Data!E1676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6">
        <f>(F1676-H1676)^2</f>
        <v/>
      </c>
      <c r="J1676">
        <f>--(E1676="Validation")</f>
        <v/>
      </c>
    </row>
    <row r="1677">
      <c r="D1677">
        <f>AutoClaim_Data!A1677</f>
        <v/>
      </c>
      <c r="E1677">
        <f>AutoClaim_Data!B1677</f>
        <v/>
      </c>
      <c r="F1677">
        <f>AutoClaim_Data!C1677</f>
        <v/>
      </c>
      <c r="G1677">
        <f>IF(AutoClaim_Data!D1677&lt;=$B$2,AVERAGEIFS(AutoClaim_Data!C2:C3168,AutoClaim_Data!B2:B3168,"Train",AutoClaim_Data!D2:D3168,"&lt;="&amp;$B$2),AVERAGEIFS(AutoClaim_Data!C2:C3168,AutoClaim_Data!B2:B3168,"Train",AutoClaim_Data!D2:D3168,"&gt;"&amp;$B$2))</f>
        <v/>
      </c>
      <c r="H1677">
        <f>IF(AutoClaim_Data!D1677&lt;=$B$2,IF(AutoClaim_Data!E1677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7">
        <f>(F1677-H1677)^2</f>
        <v/>
      </c>
      <c r="J1677">
        <f>--(E1677="Validation")</f>
        <v/>
      </c>
    </row>
    <row r="1678">
      <c r="D1678">
        <f>AutoClaim_Data!A1678</f>
        <v/>
      </c>
      <c r="E1678">
        <f>AutoClaim_Data!B1678</f>
        <v/>
      </c>
      <c r="F1678">
        <f>AutoClaim_Data!C1678</f>
        <v/>
      </c>
      <c r="G1678">
        <f>IF(AutoClaim_Data!D1678&lt;=$B$2,AVERAGEIFS(AutoClaim_Data!C2:C3168,AutoClaim_Data!B2:B3168,"Train",AutoClaim_Data!D2:D3168,"&lt;="&amp;$B$2),AVERAGEIFS(AutoClaim_Data!C2:C3168,AutoClaim_Data!B2:B3168,"Train",AutoClaim_Data!D2:D3168,"&gt;"&amp;$B$2))</f>
        <v/>
      </c>
      <c r="H1678">
        <f>IF(AutoClaim_Data!D1678&lt;=$B$2,IF(AutoClaim_Data!E1678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8">
        <f>(F1678-H1678)^2</f>
        <v/>
      </c>
      <c r="J1678">
        <f>--(E1678="Validation")</f>
        <v/>
      </c>
    </row>
    <row r="1679">
      <c r="D1679">
        <f>AutoClaim_Data!A1679</f>
        <v/>
      </c>
      <c r="E1679">
        <f>AutoClaim_Data!B1679</f>
        <v/>
      </c>
      <c r="F1679">
        <f>AutoClaim_Data!C1679</f>
        <v/>
      </c>
      <c r="G1679">
        <f>IF(AutoClaim_Data!D1679&lt;=$B$2,AVERAGEIFS(AutoClaim_Data!C2:C3168,AutoClaim_Data!B2:B3168,"Train",AutoClaim_Data!D2:D3168,"&lt;="&amp;$B$2),AVERAGEIFS(AutoClaim_Data!C2:C3168,AutoClaim_Data!B2:B3168,"Train",AutoClaim_Data!D2:D3168,"&gt;"&amp;$B$2))</f>
        <v/>
      </c>
      <c r="H1679">
        <f>IF(AutoClaim_Data!D1679&lt;=$B$2,IF(AutoClaim_Data!E1679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79">
        <f>(F1679-H1679)^2</f>
        <v/>
      </c>
      <c r="J1679">
        <f>--(E1679="Validation")</f>
        <v/>
      </c>
    </row>
    <row r="1680">
      <c r="D1680">
        <f>AutoClaim_Data!A1680</f>
        <v/>
      </c>
      <c r="E1680">
        <f>AutoClaim_Data!B1680</f>
        <v/>
      </c>
      <c r="F1680">
        <f>AutoClaim_Data!C1680</f>
        <v/>
      </c>
      <c r="G1680">
        <f>IF(AutoClaim_Data!D1680&lt;=$B$2,AVERAGEIFS(AutoClaim_Data!C2:C3168,AutoClaim_Data!B2:B3168,"Train",AutoClaim_Data!D2:D3168,"&lt;="&amp;$B$2),AVERAGEIFS(AutoClaim_Data!C2:C3168,AutoClaim_Data!B2:B3168,"Train",AutoClaim_Data!D2:D3168,"&gt;"&amp;$B$2))</f>
        <v/>
      </c>
      <c r="H1680">
        <f>IF(AutoClaim_Data!D1680&lt;=$B$2,IF(AutoClaim_Data!E1680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0">
        <f>(F1680-H1680)^2</f>
        <v/>
      </c>
      <c r="J1680">
        <f>--(E1680="Validation")</f>
        <v/>
      </c>
    </row>
    <row r="1681">
      <c r="D1681">
        <f>AutoClaim_Data!A1681</f>
        <v/>
      </c>
      <c r="E1681">
        <f>AutoClaim_Data!B1681</f>
        <v/>
      </c>
      <c r="F1681">
        <f>AutoClaim_Data!C1681</f>
        <v/>
      </c>
      <c r="G1681">
        <f>IF(AutoClaim_Data!D1681&lt;=$B$2,AVERAGEIFS(AutoClaim_Data!C2:C3168,AutoClaim_Data!B2:B3168,"Train",AutoClaim_Data!D2:D3168,"&lt;="&amp;$B$2),AVERAGEIFS(AutoClaim_Data!C2:C3168,AutoClaim_Data!B2:B3168,"Train",AutoClaim_Data!D2:D3168,"&gt;"&amp;$B$2))</f>
        <v/>
      </c>
      <c r="H1681">
        <f>IF(AutoClaim_Data!D1681&lt;=$B$2,IF(AutoClaim_Data!E1681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1">
        <f>(F1681-H1681)^2</f>
        <v/>
      </c>
      <c r="J1681">
        <f>--(E1681="Validation")</f>
        <v/>
      </c>
    </row>
    <row r="1682">
      <c r="D1682">
        <f>AutoClaim_Data!A1682</f>
        <v/>
      </c>
      <c r="E1682">
        <f>AutoClaim_Data!B1682</f>
        <v/>
      </c>
      <c r="F1682">
        <f>AutoClaim_Data!C1682</f>
        <v/>
      </c>
      <c r="G1682">
        <f>IF(AutoClaim_Data!D1682&lt;=$B$2,AVERAGEIFS(AutoClaim_Data!C2:C3168,AutoClaim_Data!B2:B3168,"Train",AutoClaim_Data!D2:D3168,"&lt;="&amp;$B$2),AVERAGEIFS(AutoClaim_Data!C2:C3168,AutoClaim_Data!B2:B3168,"Train",AutoClaim_Data!D2:D3168,"&gt;"&amp;$B$2))</f>
        <v/>
      </c>
      <c r="H1682">
        <f>IF(AutoClaim_Data!D1682&lt;=$B$2,IF(AutoClaim_Data!E1682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2">
        <f>(F1682-H1682)^2</f>
        <v/>
      </c>
      <c r="J1682">
        <f>--(E1682="Validation")</f>
        <v/>
      </c>
    </row>
    <row r="1683">
      <c r="D1683">
        <f>AutoClaim_Data!A1683</f>
        <v/>
      </c>
      <c r="E1683">
        <f>AutoClaim_Data!B1683</f>
        <v/>
      </c>
      <c r="F1683">
        <f>AutoClaim_Data!C1683</f>
        <v/>
      </c>
      <c r="G1683">
        <f>IF(AutoClaim_Data!D1683&lt;=$B$2,AVERAGEIFS(AutoClaim_Data!C2:C3168,AutoClaim_Data!B2:B3168,"Train",AutoClaim_Data!D2:D3168,"&lt;="&amp;$B$2),AVERAGEIFS(AutoClaim_Data!C2:C3168,AutoClaim_Data!B2:B3168,"Train",AutoClaim_Data!D2:D3168,"&gt;"&amp;$B$2))</f>
        <v/>
      </c>
      <c r="H1683">
        <f>IF(AutoClaim_Data!D1683&lt;=$B$2,IF(AutoClaim_Data!E1683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3">
        <f>(F1683-H1683)^2</f>
        <v/>
      </c>
      <c r="J1683">
        <f>--(E1683="Validation")</f>
        <v/>
      </c>
    </row>
    <row r="1684">
      <c r="D1684">
        <f>AutoClaim_Data!A1684</f>
        <v/>
      </c>
      <c r="E1684">
        <f>AutoClaim_Data!B1684</f>
        <v/>
      </c>
      <c r="F1684">
        <f>AutoClaim_Data!C1684</f>
        <v/>
      </c>
      <c r="G1684">
        <f>IF(AutoClaim_Data!D1684&lt;=$B$2,AVERAGEIFS(AutoClaim_Data!C2:C3168,AutoClaim_Data!B2:B3168,"Train",AutoClaim_Data!D2:D3168,"&lt;="&amp;$B$2),AVERAGEIFS(AutoClaim_Data!C2:C3168,AutoClaim_Data!B2:B3168,"Train",AutoClaim_Data!D2:D3168,"&gt;"&amp;$B$2))</f>
        <v/>
      </c>
      <c r="H1684">
        <f>IF(AutoClaim_Data!D1684&lt;=$B$2,IF(AutoClaim_Data!E1684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4">
        <f>(F1684-H1684)^2</f>
        <v/>
      </c>
      <c r="J1684">
        <f>--(E1684="Validation")</f>
        <v/>
      </c>
    </row>
    <row r="1685">
      <c r="D1685">
        <f>AutoClaim_Data!A1685</f>
        <v/>
      </c>
      <c r="E1685">
        <f>AutoClaim_Data!B1685</f>
        <v/>
      </c>
      <c r="F1685">
        <f>AutoClaim_Data!C1685</f>
        <v/>
      </c>
      <c r="G1685">
        <f>IF(AutoClaim_Data!D1685&lt;=$B$2,AVERAGEIFS(AutoClaim_Data!C2:C3168,AutoClaim_Data!B2:B3168,"Train",AutoClaim_Data!D2:D3168,"&lt;="&amp;$B$2),AVERAGEIFS(AutoClaim_Data!C2:C3168,AutoClaim_Data!B2:B3168,"Train",AutoClaim_Data!D2:D3168,"&gt;"&amp;$B$2))</f>
        <v/>
      </c>
      <c r="H1685">
        <f>IF(AutoClaim_Data!D1685&lt;=$B$2,IF(AutoClaim_Data!E1685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5">
        <f>(F1685-H1685)^2</f>
        <v/>
      </c>
      <c r="J1685">
        <f>--(E1685="Validation")</f>
        <v/>
      </c>
    </row>
    <row r="1686">
      <c r="D1686">
        <f>AutoClaim_Data!A1686</f>
        <v/>
      </c>
      <c r="E1686">
        <f>AutoClaim_Data!B1686</f>
        <v/>
      </c>
      <c r="F1686">
        <f>AutoClaim_Data!C1686</f>
        <v/>
      </c>
      <c r="G1686">
        <f>IF(AutoClaim_Data!D1686&lt;=$B$2,AVERAGEIFS(AutoClaim_Data!C2:C3168,AutoClaim_Data!B2:B3168,"Train",AutoClaim_Data!D2:D3168,"&lt;="&amp;$B$2),AVERAGEIFS(AutoClaim_Data!C2:C3168,AutoClaim_Data!B2:B3168,"Train",AutoClaim_Data!D2:D3168,"&gt;"&amp;$B$2))</f>
        <v/>
      </c>
      <c r="H1686">
        <f>IF(AutoClaim_Data!D1686&lt;=$B$2,IF(AutoClaim_Data!E1686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6">
        <f>(F1686-H1686)^2</f>
        <v/>
      </c>
      <c r="J1686">
        <f>--(E1686="Validation")</f>
        <v/>
      </c>
    </row>
    <row r="1687">
      <c r="D1687">
        <f>AutoClaim_Data!A1687</f>
        <v/>
      </c>
      <c r="E1687">
        <f>AutoClaim_Data!B1687</f>
        <v/>
      </c>
      <c r="F1687">
        <f>AutoClaim_Data!C1687</f>
        <v/>
      </c>
      <c r="G1687">
        <f>IF(AutoClaim_Data!D1687&lt;=$B$2,AVERAGEIFS(AutoClaim_Data!C2:C3168,AutoClaim_Data!B2:B3168,"Train",AutoClaim_Data!D2:D3168,"&lt;="&amp;$B$2),AVERAGEIFS(AutoClaim_Data!C2:C3168,AutoClaim_Data!B2:B3168,"Train",AutoClaim_Data!D2:D3168,"&gt;"&amp;$B$2))</f>
        <v/>
      </c>
      <c r="H1687">
        <f>IF(AutoClaim_Data!D1687&lt;=$B$2,IF(AutoClaim_Data!E1687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7">
        <f>(F1687-H1687)^2</f>
        <v/>
      </c>
      <c r="J1687">
        <f>--(E1687="Validation")</f>
        <v/>
      </c>
    </row>
    <row r="1688">
      <c r="D1688">
        <f>AutoClaim_Data!A1688</f>
        <v/>
      </c>
      <c r="E1688">
        <f>AutoClaim_Data!B1688</f>
        <v/>
      </c>
      <c r="F1688">
        <f>AutoClaim_Data!C1688</f>
        <v/>
      </c>
      <c r="G1688">
        <f>IF(AutoClaim_Data!D1688&lt;=$B$2,AVERAGEIFS(AutoClaim_Data!C2:C3168,AutoClaim_Data!B2:B3168,"Train",AutoClaim_Data!D2:D3168,"&lt;="&amp;$B$2),AVERAGEIFS(AutoClaim_Data!C2:C3168,AutoClaim_Data!B2:B3168,"Train",AutoClaim_Data!D2:D3168,"&gt;"&amp;$B$2))</f>
        <v/>
      </c>
      <c r="H1688">
        <f>IF(AutoClaim_Data!D1688&lt;=$B$2,IF(AutoClaim_Data!E1688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8">
        <f>(F1688-H1688)^2</f>
        <v/>
      </c>
      <c r="J1688">
        <f>--(E1688="Validation")</f>
        <v/>
      </c>
    </row>
    <row r="1689">
      <c r="D1689">
        <f>AutoClaim_Data!A1689</f>
        <v/>
      </c>
      <c r="E1689">
        <f>AutoClaim_Data!B1689</f>
        <v/>
      </c>
      <c r="F1689">
        <f>AutoClaim_Data!C1689</f>
        <v/>
      </c>
      <c r="G1689">
        <f>IF(AutoClaim_Data!D1689&lt;=$B$2,AVERAGEIFS(AutoClaim_Data!C2:C3168,AutoClaim_Data!B2:B3168,"Train",AutoClaim_Data!D2:D3168,"&lt;="&amp;$B$2),AVERAGEIFS(AutoClaim_Data!C2:C3168,AutoClaim_Data!B2:B3168,"Train",AutoClaim_Data!D2:D3168,"&gt;"&amp;$B$2))</f>
        <v/>
      </c>
      <c r="H1689">
        <f>IF(AutoClaim_Data!D1689&lt;=$B$2,IF(AutoClaim_Data!E1689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89">
        <f>(F1689-H1689)^2</f>
        <v/>
      </c>
      <c r="J1689">
        <f>--(E1689="Validation")</f>
        <v/>
      </c>
    </row>
    <row r="1690">
      <c r="D1690">
        <f>AutoClaim_Data!A1690</f>
        <v/>
      </c>
      <c r="E1690">
        <f>AutoClaim_Data!B1690</f>
        <v/>
      </c>
      <c r="F1690">
        <f>AutoClaim_Data!C1690</f>
        <v/>
      </c>
      <c r="G1690">
        <f>IF(AutoClaim_Data!D1690&lt;=$B$2,AVERAGEIFS(AutoClaim_Data!C2:C3168,AutoClaim_Data!B2:B3168,"Train",AutoClaim_Data!D2:D3168,"&lt;="&amp;$B$2),AVERAGEIFS(AutoClaim_Data!C2:C3168,AutoClaim_Data!B2:B3168,"Train",AutoClaim_Data!D2:D3168,"&gt;"&amp;$B$2))</f>
        <v/>
      </c>
      <c r="H1690">
        <f>IF(AutoClaim_Data!D1690&lt;=$B$2,IF(AutoClaim_Data!E1690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0">
        <f>(F1690-H1690)^2</f>
        <v/>
      </c>
      <c r="J1690">
        <f>--(E1690="Validation")</f>
        <v/>
      </c>
    </row>
    <row r="1691">
      <c r="D1691">
        <f>AutoClaim_Data!A1691</f>
        <v/>
      </c>
      <c r="E1691">
        <f>AutoClaim_Data!B1691</f>
        <v/>
      </c>
      <c r="F1691">
        <f>AutoClaim_Data!C1691</f>
        <v/>
      </c>
      <c r="G1691">
        <f>IF(AutoClaim_Data!D1691&lt;=$B$2,AVERAGEIFS(AutoClaim_Data!C2:C3168,AutoClaim_Data!B2:B3168,"Train",AutoClaim_Data!D2:D3168,"&lt;="&amp;$B$2),AVERAGEIFS(AutoClaim_Data!C2:C3168,AutoClaim_Data!B2:B3168,"Train",AutoClaim_Data!D2:D3168,"&gt;"&amp;$B$2))</f>
        <v/>
      </c>
      <c r="H1691">
        <f>IF(AutoClaim_Data!D1691&lt;=$B$2,IF(AutoClaim_Data!E1691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1">
        <f>(F1691-H1691)^2</f>
        <v/>
      </c>
      <c r="J1691">
        <f>--(E1691="Validation")</f>
        <v/>
      </c>
    </row>
    <row r="1692">
      <c r="D1692">
        <f>AutoClaim_Data!A1692</f>
        <v/>
      </c>
      <c r="E1692">
        <f>AutoClaim_Data!B1692</f>
        <v/>
      </c>
      <c r="F1692">
        <f>AutoClaim_Data!C1692</f>
        <v/>
      </c>
      <c r="G1692">
        <f>IF(AutoClaim_Data!D1692&lt;=$B$2,AVERAGEIFS(AutoClaim_Data!C2:C3168,AutoClaim_Data!B2:B3168,"Train",AutoClaim_Data!D2:D3168,"&lt;="&amp;$B$2),AVERAGEIFS(AutoClaim_Data!C2:C3168,AutoClaim_Data!B2:B3168,"Train",AutoClaim_Data!D2:D3168,"&gt;"&amp;$B$2))</f>
        <v/>
      </c>
      <c r="H1692">
        <f>IF(AutoClaim_Data!D1692&lt;=$B$2,IF(AutoClaim_Data!E1692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2">
        <f>(F1692-H1692)^2</f>
        <v/>
      </c>
      <c r="J1692">
        <f>--(E1692="Validation")</f>
        <v/>
      </c>
    </row>
    <row r="1693">
      <c r="D1693">
        <f>AutoClaim_Data!A1693</f>
        <v/>
      </c>
      <c r="E1693">
        <f>AutoClaim_Data!B1693</f>
        <v/>
      </c>
      <c r="F1693">
        <f>AutoClaim_Data!C1693</f>
        <v/>
      </c>
      <c r="G1693">
        <f>IF(AutoClaim_Data!D1693&lt;=$B$2,AVERAGEIFS(AutoClaim_Data!C2:C3168,AutoClaim_Data!B2:B3168,"Train",AutoClaim_Data!D2:D3168,"&lt;="&amp;$B$2),AVERAGEIFS(AutoClaim_Data!C2:C3168,AutoClaim_Data!B2:B3168,"Train",AutoClaim_Data!D2:D3168,"&gt;"&amp;$B$2))</f>
        <v/>
      </c>
      <c r="H1693">
        <f>IF(AutoClaim_Data!D1693&lt;=$B$2,IF(AutoClaim_Data!E1693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3">
        <f>(F1693-H1693)^2</f>
        <v/>
      </c>
      <c r="J1693">
        <f>--(E1693="Validation")</f>
        <v/>
      </c>
    </row>
    <row r="1694">
      <c r="D1694">
        <f>AutoClaim_Data!A1694</f>
        <v/>
      </c>
      <c r="E1694">
        <f>AutoClaim_Data!B1694</f>
        <v/>
      </c>
      <c r="F1694">
        <f>AutoClaim_Data!C1694</f>
        <v/>
      </c>
      <c r="G1694">
        <f>IF(AutoClaim_Data!D1694&lt;=$B$2,AVERAGEIFS(AutoClaim_Data!C2:C3168,AutoClaim_Data!B2:B3168,"Train",AutoClaim_Data!D2:D3168,"&lt;="&amp;$B$2),AVERAGEIFS(AutoClaim_Data!C2:C3168,AutoClaim_Data!B2:B3168,"Train",AutoClaim_Data!D2:D3168,"&gt;"&amp;$B$2))</f>
        <v/>
      </c>
      <c r="H1694">
        <f>IF(AutoClaim_Data!D1694&lt;=$B$2,IF(AutoClaim_Data!E1694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4">
        <f>(F1694-H1694)^2</f>
        <v/>
      </c>
      <c r="J1694">
        <f>--(E1694="Validation")</f>
        <v/>
      </c>
    </row>
    <row r="1695">
      <c r="D1695">
        <f>AutoClaim_Data!A1695</f>
        <v/>
      </c>
      <c r="E1695">
        <f>AutoClaim_Data!B1695</f>
        <v/>
      </c>
      <c r="F1695">
        <f>AutoClaim_Data!C1695</f>
        <v/>
      </c>
      <c r="G1695">
        <f>IF(AutoClaim_Data!D1695&lt;=$B$2,AVERAGEIFS(AutoClaim_Data!C2:C3168,AutoClaim_Data!B2:B3168,"Train",AutoClaim_Data!D2:D3168,"&lt;="&amp;$B$2),AVERAGEIFS(AutoClaim_Data!C2:C3168,AutoClaim_Data!B2:B3168,"Train",AutoClaim_Data!D2:D3168,"&gt;"&amp;$B$2))</f>
        <v/>
      </c>
      <c r="H1695">
        <f>IF(AutoClaim_Data!D1695&lt;=$B$2,IF(AutoClaim_Data!E1695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5">
        <f>(F1695-H1695)^2</f>
        <v/>
      </c>
      <c r="J1695">
        <f>--(E1695="Validation")</f>
        <v/>
      </c>
    </row>
    <row r="1696">
      <c r="D1696">
        <f>AutoClaim_Data!A1696</f>
        <v/>
      </c>
      <c r="E1696">
        <f>AutoClaim_Data!B1696</f>
        <v/>
      </c>
      <c r="F1696">
        <f>AutoClaim_Data!C1696</f>
        <v/>
      </c>
      <c r="G1696">
        <f>IF(AutoClaim_Data!D1696&lt;=$B$2,AVERAGEIFS(AutoClaim_Data!C2:C3168,AutoClaim_Data!B2:B3168,"Train",AutoClaim_Data!D2:D3168,"&lt;="&amp;$B$2),AVERAGEIFS(AutoClaim_Data!C2:C3168,AutoClaim_Data!B2:B3168,"Train",AutoClaim_Data!D2:D3168,"&gt;"&amp;$B$2))</f>
        <v/>
      </c>
      <c r="H1696">
        <f>IF(AutoClaim_Data!D1696&lt;=$B$2,IF(AutoClaim_Data!E1696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6">
        <f>(F1696-H1696)^2</f>
        <v/>
      </c>
      <c r="J1696">
        <f>--(E1696="Validation")</f>
        <v/>
      </c>
    </row>
    <row r="1697">
      <c r="D1697">
        <f>AutoClaim_Data!A1697</f>
        <v/>
      </c>
      <c r="E1697">
        <f>AutoClaim_Data!B1697</f>
        <v/>
      </c>
      <c r="F1697">
        <f>AutoClaim_Data!C1697</f>
        <v/>
      </c>
      <c r="G1697">
        <f>IF(AutoClaim_Data!D1697&lt;=$B$2,AVERAGEIFS(AutoClaim_Data!C2:C3168,AutoClaim_Data!B2:B3168,"Train",AutoClaim_Data!D2:D3168,"&lt;="&amp;$B$2),AVERAGEIFS(AutoClaim_Data!C2:C3168,AutoClaim_Data!B2:B3168,"Train",AutoClaim_Data!D2:D3168,"&gt;"&amp;$B$2))</f>
        <v/>
      </c>
      <c r="H1697">
        <f>IF(AutoClaim_Data!D1697&lt;=$B$2,IF(AutoClaim_Data!E1697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7">
        <f>(F1697-H1697)^2</f>
        <v/>
      </c>
      <c r="J1697">
        <f>--(E1697="Validation")</f>
        <v/>
      </c>
    </row>
    <row r="1698">
      <c r="D1698">
        <f>AutoClaim_Data!A1698</f>
        <v/>
      </c>
      <c r="E1698">
        <f>AutoClaim_Data!B1698</f>
        <v/>
      </c>
      <c r="F1698">
        <f>AutoClaim_Data!C1698</f>
        <v/>
      </c>
      <c r="G1698">
        <f>IF(AutoClaim_Data!D1698&lt;=$B$2,AVERAGEIFS(AutoClaim_Data!C2:C3168,AutoClaim_Data!B2:B3168,"Train",AutoClaim_Data!D2:D3168,"&lt;="&amp;$B$2),AVERAGEIFS(AutoClaim_Data!C2:C3168,AutoClaim_Data!B2:B3168,"Train",AutoClaim_Data!D2:D3168,"&gt;"&amp;$B$2))</f>
        <v/>
      </c>
      <c r="H1698">
        <f>IF(AutoClaim_Data!D1698&lt;=$B$2,IF(AutoClaim_Data!E1698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8">
        <f>(F1698-H1698)^2</f>
        <v/>
      </c>
      <c r="J1698">
        <f>--(E1698="Validation")</f>
        <v/>
      </c>
    </row>
    <row r="1699">
      <c r="D1699">
        <f>AutoClaim_Data!A1699</f>
        <v/>
      </c>
      <c r="E1699">
        <f>AutoClaim_Data!B1699</f>
        <v/>
      </c>
      <c r="F1699">
        <f>AutoClaim_Data!C1699</f>
        <v/>
      </c>
      <c r="G1699">
        <f>IF(AutoClaim_Data!D1699&lt;=$B$2,AVERAGEIFS(AutoClaim_Data!C2:C3168,AutoClaim_Data!B2:B3168,"Train",AutoClaim_Data!D2:D3168,"&lt;="&amp;$B$2),AVERAGEIFS(AutoClaim_Data!C2:C3168,AutoClaim_Data!B2:B3168,"Train",AutoClaim_Data!D2:D3168,"&gt;"&amp;$B$2))</f>
        <v/>
      </c>
      <c r="H1699">
        <f>IF(AutoClaim_Data!D1699&lt;=$B$2,IF(AutoClaim_Data!E1699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1699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699">
        <f>(F1699-H1699)^2</f>
        <v/>
      </c>
      <c r="J1699">
        <f>--(E1699="Validation")</f>
        <v/>
      </c>
    </row>
    <row r="1700">
      <c r="D1700">
        <f>AutoClaim_Data!A1700</f>
        <v/>
      </c>
      <c r="E1700">
        <f>AutoClaim_Data!B1700</f>
        <v/>
      </c>
      <c r="F1700">
        <f>AutoClaim_Data!C1700</f>
        <v/>
      </c>
      <c r="G1700">
        <f>IF(AutoClaim_Data!D1700&lt;=$B$2,AVERAGEIFS(AutoClaim_Data!C2:C3168,AutoClaim_Data!B2:B3168,"Train",AutoClaim_Data!D2:D3168,"&lt;="&amp;$B$2),AVERAGEIFS(AutoClaim_Data!C2:C3168,AutoClaim_Data!B2:B3168,"Train",AutoClaim_Data!D2:D3168,"&gt;"&amp;$B$2))</f>
        <v/>
      </c>
      <c r="H1700">
        <f>IF(AutoClaim_Data!D1700&lt;=$B$2,IF(AutoClaim_Data!E1700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0">
        <f>(F1700-H1700)^2</f>
        <v/>
      </c>
      <c r="J1700">
        <f>--(E1700="Validation")</f>
        <v/>
      </c>
    </row>
    <row r="1701">
      <c r="D1701">
        <f>AutoClaim_Data!A1701</f>
        <v/>
      </c>
      <c r="E1701">
        <f>AutoClaim_Data!B1701</f>
        <v/>
      </c>
      <c r="F1701">
        <f>AutoClaim_Data!C1701</f>
        <v/>
      </c>
      <c r="G1701">
        <f>IF(AutoClaim_Data!D1701&lt;=$B$2,AVERAGEIFS(AutoClaim_Data!C2:C3168,AutoClaim_Data!B2:B3168,"Train",AutoClaim_Data!D2:D3168,"&lt;="&amp;$B$2),AVERAGEIFS(AutoClaim_Data!C2:C3168,AutoClaim_Data!B2:B3168,"Train",AutoClaim_Data!D2:D3168,"&gt;"&amp;$B$2))</f>
        <v/>
      </c>
      <c r="H1701">
        <f>IF(AutoClaim_Data!D1701&lt;=$B$2,IF(AutoClaim_Data!E1701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1">
        <f>(F1701-H1701)^2</f>
        <v/>
      </c>
      <c r="J1701">
        <f>--(E1701="Validation")</f>
        <v/>
      </c>
    </row>
    <row r="1702">
      <c r="D1702">
        <f>AutoClaim_Data!A1702</f>
        <v/>
      </c>
      <c r="E1702">
        <f>AutoClaim_Data!B1702</f>
        <v/>
      </c>
      <c r="F1702">
        <f>AutoClaim_Data!C1702</f>
        <v/>
      </c>
      <c r="G1702">
        <f>IF(AutoClaim_Data!D1702&lt;=$B$2,AVERAGEIFS(AutoClaim_Data!C2:C3168,AutoClaim_Data!B2:B3168,"Train",AutoClaim_Data!D2:D3168,"&lt;="&amp;$B$2),AVERAGEIFS(AutoClaim_Data!C2:C3168,AutoClaim_Data!B2:B3168,"Train",AutoClaim_Data!D2:D3168,"&gt;"&amp;$B$2))</f>
        <v/>
      </c>
      <c r="H1702">
        <f>IF(AutoClaim_Data!D1702&lt;=$B$2,IF(AutoClaim_Data!E1702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2">
        <f>(F1702-H1702)^2</f>
        <v/>
      </c>
      <c r="J1702">
        <f>--(E1702="Validation")</f>
        <v/>
      </c>
    </row>
    <row r="1703">
      <c r="D1703">
        <f>AutoClaim_Data!A1703</f>
        <v/>
      </c>
      <c r="E1703">
        <f>AutoClaim_Data!B1703</f>
        <v/>
      </c>
      <c r="F1703">
        <f>AutoClaim_Data!C1703</f>
        <v/>
      </c>
      <c r="G1703">
        <f>IF(AutoClaim_Data!D1703&lt;=$B$2,AVERAGEIFS(AutoClaim_Data!C2:C3168,AutoClaim_Data!B2:B3168,"Train",AutoClaim_Data!D2:D3168,"&lt;="&amp;$B$2),AVERAGEIFS(AutoClaim_Data!C2:C3168,AutoClaim_Data!B2:B3168,"Train",AutoClaim_Data!D2:D3168,"&gt;"&amp;$B$2))</f>
        <v/>
      </c>
      <c r="H1703">
        <f>IF(AutoClaim_Data!D1703&lt;=$B$2,IF(AutoClaim_Data!E1703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3">
        <f>(F1703-H1703)^2</f>
        <v/>
      </c>
      <c r="J1703">
        <f>--(E1703="Validation")</f>
        <v/>
      </c>
    </row>
    <row r="1704">
      <c r="D1704">
        <f>AutoClaim_Data!A1704</f>
        <v/>
      </c>
      <c r="E1704">
        <f>AutoClaim_Data!B1704</f>
        <v/>
      </c>
      <c r="F1704">
        <f>AutoClaim_Data!C1704</f>
        <v/>
      </c>
      <c r="G1704">
        <f>IF(AutoClaim_Data!D1704&lt;=$B$2,AVERAGEIFS(AutoClaim_Data!C2:C3168,AutoClaim_Data!B2:B3168,"Train",AutoClaim_Data!D2:D3168,"&lt;="&amp;$B$2),AVERAGEIFS(AutoClaim_Data!C2:C3168,AutoClaim_Data!B2:B3168,"Train",AutoClaim_Data!D2:D3168,"&gt;"&amp;$B$2))</f>
        <v/>
      </c>
      <c r="H1704">
        <f>IF(AutoClaim_Data!D1704&lt;=$B$2,IF(AutoClaim_Data!E1704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4">
        <f>(F1704-H1704)^2</f>
        <v/>
      </c>
      <c r="J1704">
        <f>--(E1704="Validation")</f>
        <v/>
      </c>
    </row>
    <row r="1705">
      <c r="D1705">
        <f>AutoClaim_Data!A1705</f>
        <v/>
      </c>
      <c r="E1705">
        <f>AutoClaim_Data!B1705</f>
        <v/>
      </c>
      <c r="F1705">
        <f>AutoClaim_Data!C1705</f>
        <v/>
      </c>
      <c r="G1705">
        <f>IF(AutoClaim_Data!D1705&lt;=$B$2,AVERAGEIFS(AutoClaim_Data!C2:C3168,AutoClaim_Data!B2:B3168,"Train",AutoClaim_Data!D2:D3168,"&lt;="&amp;$B$2),AVERAGEIFS(AutoClaim_Data!C2:C3168,AutoClaim_Data!B2:B3168,"Train",AutoClaim_Data!D2:D3168,"&gt;"&amp;$B$2))</f>
        <v/>
      </c>
      <c r="H1705">
        <f>IF(AutoClaim_Data!D1705&lt;=$B$2,IF(AutoClaim_Data!E1705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5">
        <f>(F1705-H1705)^2</f>
        <v/>
      </c>
      <c r="J1705">
        <f>--(E1705="Validation")</f>
        <v/>
      </c>
    </row>
    <row r="1706">
      <c r="D1706">
        <f>AutoClaim_Data!A1706</f>
        <v/>
      </c>
      <c r="E1706">
        <f>AutoClaim_Data!B1706</f>
        <v/>
      </c>
      <c r="F1706">
        <f>AutoClaim_Data!C1706</f>
        <v/>
      </c>
      <c r="G1706">
        <f>IF(AutoClaim_Data!D1706&lt;=$B$2,AVERAGEIFS(AutoClaim_Data!C2:C3168,AutoClaim_Data!B2:B3168,"Train",AutoClaim_Data!D2:D3168,"&lt;="&amp;$B$2),AVERAGEIFS(AutoClaim_Data!C2:C3168,AutoClaim_Data!B2:B3168,"Train",AutoClaim_Data!D2:D3168,"&gt;"&amp;$B$2))</f>
        <v/>
      </c>
      <c r="H1706">
        <f>IF(AutoClaim_Data!D1706&lt;=$B$2,IF(AutoClaim_Data!E1706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6">
        <f>(F1706-H1706)^2</f>
        <v/>
      </c>
      <c r="J1706">
        <f>--(E1706="Validation")</f>
        <v/>
      </c>
    </row>
    <row r="1707">
      <c r="D1707">
        <f>AutoClaim_Data!A1707</f>
        <v/>
      </c>
      <c r="E1707">
        <f>AutoClaim_Data!B1707</f>
        <v/>
      </c>
      <c r="F1707">
        <f>AutoClaim_Data!C1707</f>
        <v/>
      </c>
      <c r="G1707">
        <f>IF(AutoClaim_Data!D1707&lt;=$B$2,AVERAGEIFS(AutoClaim_Data!C2:C3168,AutoClaim_Data!B2:B3168,"Train",AutoClaim_Data!D2:D3168,"&lt;="&amp;$B$2),AVERAGEIFS(AutoClaim_Data!C2:C3168,AutoClaim_Data!B2:B3168,"Train",AutoClaim_Data!D2:D3168,"&gt;"&amp;$B$2))</f>
        <v/>
      </c>
      <c r="H1707">
        <f>IF(AutoClaim_Data!D1707&lt;=$B$2,IF(AutoClaim_Data!E1707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7">
        <f>(F1707-H1707)^2</f>
        <v/>
      </c>
      <c r="J1707">
        <f>--(E1707="Validation")</f>
        <v/>
      </c>
    </row>
    <row r="1708">
      <c r="D1708">
        <f>AutoClaim_Data!A1708</f>
        <v/>
      </c>
      <c r="E1708">
        <f>AutoClaim_Data!B1708</f>
        <v/>
      </c>
      <c r="F1708">
        <f>AutoClaim_Data!C1708</f>
        <v/>
      </c>
      <c r="G1708">
        <f>IF(AutoClaim_Data!D1708&lt;=$B$2,AVERAGEIFS(AutoClaim_Data!C2:C3168,AutoClaim_Data!B2:B3168,"Train",AutoClaim_Data!D2:D3168,"&lt;="&amp;$B$2),AVERAGEIFS(AutoClaim_Data!C2:C3168,AutoClaim_Data!B2:B3168,"Train",AutoClaim_Data!D2:D3168,"&gt;"&amp;$B$2))</f>
        <v/>
      </c>
      <c r="H1708">
        <f>IF(AutoClaim_Data!D1708&lt;=$B$2,IF(AutoClaim_Data!E1708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8">
        <f>(F1708-H1708)^2</f>
        <v/>
      </c>
      <c r="J1708">
        <f>--(E1708="Validation")</f>
        <v/>
      </c>
    </row>
    <row r="1709">
      <c r="D1709">
        <f>AutoClaim_Data!A1709</f>
        <v/>
      </c>
      <c r="E1709">
        <f>AutoClaim_Data!B1709</f>
        <v/>
      </c>
      <c r="F1709">
        <f>AutoClaim_Data!C1709</f>
        <v/>
      </c>
      <c r="G1709">
        <f>IF(AutoClaim_Data!D1709&lt;=$B$2,AVERAGEIFS(AutoClaim_Data!C2:C3168,AutoClaim_Data!B2:B3168,"Train",AutoClaim_Data!D2:D3168,"&lt;="&amp;$B$2),AVERAGEIFS(AutoClaim_Data!C2:C3168,AutoClaim_Data!B2:B3168,"Train",AutoClaim_Data!D2:D3168,"&gt;"&amp;$B$2))</f>
        <v/>
      </c>
      <c r="H1709">
        <f>IF(AutoClaim_Data!D1709&lt;=$B$2,IF(AutoClaim_Data!E1709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09">
        <f>(F1709-H1709)^2</f>
        <v/>
      </c>
      <c r="J1709">
        <f>--(E1709="Validation")</f>
        <v/>
      </c>
    </row>
    <row r="1710">
      <c r="D1710">
        <f>AutoClaim_Data!A1710</f>
        <v/>
      </c>
      <c r="E1710">
        <f>AutoClaim_Data!B1710</f>
        <v/>
      </c>
      <c r="F1710">
        <f>AutoClaim_Data!C1710</f>
        <v/>
      </c>
      <c r="G1710">
        <f>IF(AutoClaim_Data!D1710&lt;=$B$2,AVERAGEIFS(AutoClaim_Data!C2:C3168,AutoClaim_Data!B2:B3168,"Train",AutoClaim_Data!D2:D3168,"&lt;="&amp;$B$2),AVERAGEIFS(AutoClaim_Data!C2:C3168,AutoClaim_Data!B2:B3168,"Train",AutoClaim_Data!D2:D3168,"&gt;"&amp;$B$2))</f>
        <v/>
      </c>
      <c r="H1710">
        <f>IF(AutoClaim_Data!D1710&lt;=$B$2,IF(AutoClaim_Data!E1710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0">
        <f>(F1710-H1710)^2</f>
        <v/>
      </c>
      <c r="J1710">
        <f>--(E1710="Validation")</f>
        <v/>
      </c>
    </row>
    <row r="1711">
      <c r="D1711">
        <f>AutoClaim_Data!A1711</f>
        <v/>
      </c>
      <c r="E1711">
        <f>AutoClaim_Data!B1711</f>
        <v/>
      </c>
      <c r="F1711">
        <f>AutoClaim_Data!C1711</f>
        <v/>
      </c>
      <c r="G1711">
        <f>IF(AutoClaim_Data!D1711&lt;=$B$2,AVERAGEIFS(AutoClaim_Data!C2:C3168,AutoClaim_Data!B2:B3168,"Train",AutoClaim_Data!D2:D3168,"&lt;="&amp;$B$2),AVERAGEIFS(AutoClaim_Data!C2:C3168,AutoClaim_Data!B2:B3168,"Train",AutoClaim_Data!D2:D3168,"&gt;"&amp;$B$2))</f>
        <v/>
      </c>
      <c r="H1711">
        <f>IF(AutoClaim_Data!D1711&lt;=$B$2,IF(AutoClaim_Data!E1711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1">
        <f>(F1711-H1711)^2</f>
        <v/>
      </c>
      <c r="J1711">
        <f>--(E1711="Validation")</f>
        <v/>
      </c>
    </row>
    <row r="1712">
      <c r="D1712">
        <f>AutoClaim_Data!A1712</f>
        <v/>
      </c>
      <c r="E1712">
        <f>AutoClaim_Data!B1712</f>
        <v/>
      </c>
      <c r="F1712">
        <f>AutoClaim_Data!C1712</f>
        <v/>
      </c>
      <c r="G1712">
        <f>IF(AutoClaim_Data!D1712&lt;=$B$2,AVERAGEIFS(AutoClaim_Data!C2:C3168,AutoClaim_Data!B2:B3168,"Train",AutoClaim_Data!D2:D3168,"&lt;="&amp;$B$2),AVERAGEIFS(AutoClaim_Data!C2:C3168,AutoClaim_Data!B2:B3168,"Train",AutoClaim_Data!D2:D3168,"&gt;"&amp;$B$2))</f>
        <v/>
      </c>
      <c r="H1712">
        <f>IF(AutoClaim_Data!D1712&lt;=$B$2,IF(AutoClaim_Data!E1712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2">
        <f>(F1712-H1712)^2</f>
        <v/>
      </c>
      <c r="J1712">
        <f>--(E1712="Validation")</f>
        <v/>
      </c>
    </row>
    <row r="1713">
      <c r="D1713">
        <f>AutoClaim_Data!A1713</f>
        <v/>
      </c>
      <c r="E1713">
        <f>AutoClaim_Data!B1713</f>
        <v/>
      </c>
      <c r="F1713">
        <f>AutoClaim_Data!C1713</f>
        <v/>
      </c>
      <c r="G1713">
        <f>IF(AutoClaim_Data!D1713&lt;=$B$2,AVERAGEIFS(AutoClaim_Data!C2:C3168,AutoClaim_Data!B2:B3168,"Train",AutoClaim_Data!D2:D3168,"&lt;="&amp;$B$2),AVERAGEIFS(AutoClaim_Data!C2:C3168,AutoClaim_Data!B2:B3168,"Train",AutoClaim_Data!D2:D3168,"&gt;"&amp;$B$2))</f>
        <v/>
      </c>
      <c r="H1713">
        <f>IF(AutoClaim_Data!D1713&lt;=$B$2,IF(AutoClaim_Data!E1713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3">
        <f>(F1713-H1713)^2</f>
        <v/>
      </c>
      <c r="J1713">
        <f>--(E1713="Validation")</f>
        <v/>
      </c>
    </row>
    <row r="1714">
      <c r="D1714">
        <f>AutoClaim_Data!A1714</f>
        <v/>
      </c>
      <c r="E1714">
        <f>AutoClaim_Data!B1714</f>
        <v/>
      </c>
      <c r="F1714">
        <f>AutoClaim_Data!C1714</f>
        <v/>
      </c>
      <c r="G1714">
        <f>IF(AutoClaim_Data!D1714&lt;=$B$2,AVERAGEIFS(AutoClaim_Data!C2:C3168,AutoClaim_Data!B2:B3168,"Train",AutoClaim_Data!D2:D3168,"&lt;="&amp;$B$2),AVERAGEIFS(AutoClaim_Data!C2:C3168,AutoClaim_Data!B2:B3168,"Train",AutoClaim_Data!D2:D3168,"&gt;"&amp;$B$2))</f>
        <v/>
      </c>
      <c r="H1714">
        <f>IF(AutoClaim_Data!D1714&lt;=$B$2,IF(AutoClaim_Data!E1714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4">
        <f>(F1714-H1714)^2</f>
        <v/>
      </c>
      <c r="J1714">
        <f>--(E1714="Validation")</f>
        <v/>
      </c>
    </row>
    <row r="1715">
      <c r="D1715">
        <f>AutoClaim_Data!A1715</f>
        <v/>
      </c>
      <c r="E1715">
        <f>AutoClaim_Data!B1715</f>
        <v/>
      </c>
      <c r="F1715">
        <f>AutoClaim_Data!C1715</f>
        <v/>
      </c>
      <c r="G1715">
        <f>IF(AutoClaim_Data!D1715&lt;=$B$2,AVERAGEIFS(AutoClaim_Data!C2:C3168,AutoClaim_Data!B2:B3168,"Train",AutoClaim_Data!D2:D3168,"&lt;="&amp;$B$2),AVERAGEIFS(AutoClaim_Data!C2:C3168,AutoClaim_Data!B2:B3168,"Train",AutoClaim_Data!D2:D3168,"&gt;"&amp;$B$2))</f>
        <v/>
      </c>
      <c r="H1715">
        <f>IF(AutoClaim_Data!D1715&lt;=$B$2,IF(AutoClaim_Data!E1715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5">
        <f>(F1715-H1715)^2</f>
        <v/>
      </c>
      <c r="J1715">
        <f>--(E1715="Validation")</f>
        <v/>
      </c>
    </row>
    <row r="1716">
      <c r="D1716">
        <f>AutoClaim_Data!A1716</f>
        <v/>
      </c>
      <c r="E1716">
        <f>AutoClaim_Data!B1716</f>
        <v/>
      </c>
      <c r="F1716">
        <f>AutoClaim_Data!C1716</f>
        <v/>
      </c>
      <c r="G1716">
        <f>IF(AutoClaim_Data!D1716&lt;=$B$2,AVERAGEIFS(AutoClaim_Data!C2:C3168,AutoClaim_Data!B2:B3168,"Train",AutoClaim_Data!D2:D3168,"&lt;="&amp;$B$2),AVERAGEIFS(AutoClaim_Data!C2:C3168,AutoClaim_Data!B2:B3168,"Train",AutoClaim_Data!D2:D3168,"&gt;"&amp;$B$2))</f>
        <v/>
      </c>
      <c r="H1716">
        <f>IF(AutoClaim_Data!D1716&lt;=$B$2,IF(AutoClaim_Data!E1716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6">
        <f>(F1716-H1716)^2</f>
        <v/>
      </c>
      <c r="J1716">
        <f>--(E1716="Validation")</f>
        <v/>
      </c>
    </row>
    <row r="1717">
      <c r="D1717">
        <f>AutoClaim_Data!A1717</f>
        <v/>
      </c>
      <c r="E1717">
        <f>AutoClaim_Data!B1717</f>
        <v/>
      </c>
      <c r="F1717">
        <f>AutoClaim_Data!C1717</f>
        <v/>
      </c>
      <c r="G1717">
        <f>IF(AutoClaim_Data!D1717&lt;=$B$2,AVERAGEIFS(AutoClaim_Data!C2:C3168,AutoClaim_Data!B2:B3168,"Train",AutoClaim_Data!D2:D3168,"&lt;="&amp;$B$2),AVERAGEIFS(AutoClaim_Data!C2:C3168,AutoClaim_Data!B2:B3168,"Train",AutoClaim_Data!D2:D3168,"&gt;"&amp;$B$2))</f>
        <v/>
      </c>
      <c r="H1717">
        <f>IF(AutoClaim_Data!D1717&lt;=$B$2,IF(AutoClaim_Data!E1717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7">
        <f>(F1717-H1717)^2</f>
        <v/>
      </c>
      <c r="J1717">
        <f>--(E1717="Validation")</f>
        <v/>
      </c>
    </row>
    <row r="1718">
      <c r="D1718">
        <f>AutoClaim_Data!A1718</f>
        <v/>
      </c>
      <c r="E1718">
        <f>AutoClaim_Data!B1718</f>
        <v/>
      </c>
      <c r="F1718">
        <f>AutoClaim_Data!C1718</f>
        <v/>
      </c>
      <c r="G1718">
        <f>IF(AutoClaim_Data!D1718&lt;=$B$2,AVERAGEIFS(AutoClaim_Data!C2:C3168,AutoClaim_Data!B2:B3168,"Train",AutoClaim_Data!D2:D3168,"&lt;="&amp;$B$2),AVERAGEIFS(AutoClaim_Data!C2:C3168,AutoClaim_Data!B2:B3168,"Train",AutoClaim_Data!D2:D3168,"&gt;"&amp;$B$2))</f>
        <v/>
      </c>
      <c r="H1718">
        <f>IF(AutoClaim_Data!D1718&lt;=$B$2,IF(AutoClaim_Data!E1718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8">
        <f>(F1718-H1718)^2</f>
        <v/>
      </c>
      <c r="J1718">
        <f>--(E1718="Validation")</f>
        <v/>
      </c>
    </row>
    <row r="1719">
      <c r="D1719">
        <f>AutoClaim_Data!A1719</f>
        <v/>
      </c>
      <c r="E1719">
        <f>AutoClaim_Data!B1719</f>
        <v/>
      </c>
      <c r="F1719">
        <f>AutoClaim_Data!C1719</f>
        <v/>
      </c>
      <c r="G1719">
        <f>IF(AutoClaim_Data!D1719&lt;=$B$2,AVERAGEIFS(AutoClaim_Data!C2:C3168,AutoClaim_Data!B2:B3168,"Train",AutoClaim_Data!D2:D3168,"&lt;="&amp;$B$2),AVERAGEIFS(AutoClaim_Data!C2:C3168,AutoClaim_Data!B2:B3168,"Train",AutoClaim_Data!D2:D3168,"&gt;"&amp;$B$2))</f>
        <v/>
      </c>
      <c r="H1719">
        <f>IF(AutoClaim_Data!D1719&lt;=$B$2,IF(AutoClaim_Data!E1719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19">
        <f>(F1719-H1719)^2</f>
        <v/>
      </c>
      <c r="J1719">
        <f>--(E1719="Validation")</f>
        <v/>
      </c>
    </row>
    <row r="1720">
      <c r="D1720">
        <f>AutoClaim_Data!A1720</f>
        <v/>
      </c>
      <c r="E1720">
        <f>AutoClaim_Data!B1720</f>
        <v/>
      </c>
      <c r="F1720">
        <f>AutoClaim_Data!C1720</f>
        <v/>
      </c>
      <c r="G1720">
        <f>IF(AutoClaim_Data!D1720&lt;=$B$2,AVERAGEIFS(AutoClaim_Data!C2:C3168,AutoClaim_Data!B2:B3168,"Train",AutoClaim_Data!D2:D3168,"&lt;="&amp;$B$2),AVERAGEIFS(AutoClaim_Data!C2:C3168,AutoClaim_Data!B2:B3168,"Train",AutoClaim_Data!D2:D3168,"&gt;"&amp;$B$2))</f>
        <v/>
      </c>
      <c r="H1720">
        <f>IF(AutoClaim_Data!D1720&lt;=$B$2,IF(AutoClaim_Data!E1720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0">
        <f>(F1720-H1720)^2</f>
        <v/>
      </c>
      <c r="J1720">
        <f>--(E1720="Validation")</f>
        <v/>
      </c>
    </row>
    <row r="1721">
      <c r="D1721">
        <f>AutoClaim_Data!A1721</f>
        <v/>
      </c>
      <c r="E1721">
        <f>AutoClaim_Data!B1721</f>
        <v/>
      </c>
      <c r="F1721">
        <f>AutoClaim_Data!C1721</f>
        <v/>
      </c>
      <c r="G1721">
        <f>IF(AutoClaim_Data!D1721&lt;=$B$2,AVERAGEIFS(AutoClaim_Data!C2:C3168,AutoClaim_Data!B2:B3168,"Train",AutoClaim_Data!D2:D3168,"&lt;="&amp;$B$2),AVERAGEIFS(AutoClaim_Data!C2:C3168,AutoClaim_Data!B2:B3168,"Train",AutoClaim_Data!D2:D3168,"&gt;"&amp;$B$2))</f>
        <v/>
      </c>
      <c r="H1721">
        <f>IF(AutoClaim_Data!D1721&lt;=$B$2,IF(AutoClaim_Data!E1721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1">
        <f>(F1721-H1721)^2</f>
        <v/>
      </c>
      <c r="J1721">
        <f>--(E1721="Validation")</f>
        <v/>
      </c>
    </row>
    <row r="1722">
      <c r="D1722">
        <f>AutoClaim_Data!A1722</f>
        <v/>
      </c>
      <c r="E1722">
        <f>AutoClaim_Data!B1722</f>
        <v/>
      </c>
      <c r="F1722">
        <f>AutoClaim_Data!C1722</f>
        <v/>
      </c>
      <c r="G1722">
        <f>IF(AutoClaim_Data!D1722&lt;=$B$2,AVERAGEIFS(AutoClaim_Data!C2:C3168,AutoClaim_Data!B2:B3168,"Train",AutoClaim_Data!D2:D3168,"&lt;="&amp;$B$2),AVERAGEIFS(AutoClaim_Data!C2:C3168,AutoClaim_Data!B2:B3168,"Train",AutoClaim_Data!D2:D3168,"&gt;"&amp;$B$2))</f>
        <v/>
      </c>
      <c r="H1722">
        <f>IF(AutoClaim_Data!D1722&lt;=$B$2,IF(AutoClaim_Data!E1722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2">
        <f>(F1722-H1722)^2</f>
        <v/>
      </c>
      <c r="J1722">
        <f>--(E1722="Validation")</f>
        <v/>
      </c>
    </row>
    <row r="1723">
      <c r="D1723">
        <f>AutoClaim_Data!A1723</f>
        <v/>
      </c>
      <c r="E1723">
        <f>AutoClaim_Data!B1723</f>
        <v/>
      </c>
      <c r="F1723">
        <f>AutoClaim_Data!C1723</f>
        <v/>
      </c>
      <c r="G1723">
        <f>IF(AutoClaim_Data!D1723&lt;=$B$2,AVERAGEIFS(AutoClaim_Data!C2:C3168,AutoClaim_Data!B2:B3168,"Train",AutoClaim_Data!D2:D3168,"&lt;="&amp;$B$2),AVERAGEIFS(AutoClaim_Data!C2:C3168,AutoClaim_Data!B2:B3168,"Train",AutoClaim_Data!D2:D3168,"&gt;"&amp;$B$2))</f>
        <v/>
      </c>
      <c r="H1723">
        <f>IF(AutoClaim_Data!D1723&lt;=$B$2,IF(AutoClaim_Data!E1723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3">
        <f>(F1723-H1723)^2</f>
        <v/>
      </c>
      <c r="J1723">
        <f>--(E1723="Validation")</f>
        <v/>
      </c>
    </row>
    <row r="1724">
      <c r="D1724">
        <f>AutoClaim_Data!A1724</f>
        <v/>
      </c>
      <c r="E1724">
        <f>AutoClaim_Data!B1724</f>
        <v/>
      </c>
      <c r="F1724">
        <f>AutoClaim_Data!C1724</f>
        <v/>
      </c>
      <c r="G1724">
        <f>IF(AutoClaim_Data!D1724&lt;=$B$2,AVERAGEIFS(AutoClaim_Data!C2:C3168,AutoClaim_Data!B2:B3168,"Train",AutoClaim_Data!D2:D3168,"&lt;="&amp;$B$2),AVERAGEIFS(AutoClaim_Data!C2:C3168,AutoClaim_Data!B2:B3168,"Train",AutoClaim_Data!D2:D3168,"&gt;"&amp;$B$2))</f>
        <v/>
      </c>
      <c r="H1724">
        <f>IF(AutoClaim_Data!D1724&lt;=$B$2,IF(AutoClaim_Data!E1724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4">
        <f>(F1724-H1724)^2</f>
        <v/>
      </c>
      <c r="J1724">
        <f>--(E1724="Validation")</f>
        <v/>
      </c>
    </row>
    <row r="1725">
      <c r="D1725">
        <f>AutoClaim_Data!A1725</f>
        <v/>
      </c>
      <c r="E1725">
        <f>AutoClaim_Data!B1725</f>
        <v/>
      </c>
      <c r="F1725">
        <f>AutoClaim_Data!C1725</f>
        <v/>
      </c>
      <c r="G1725">
        <f>IF(AutoClaim_Data!D1725&lt;=$B$2,AVERAGEIFS(AutoClaim_Data!C2:C3168,AutoClaim_Data!B2:B3168,"Train",AutoClaim_Data!D2:D3168,"&lt;="&amp;$B$2),AVERAGEIFS(AutoClaim_Data!C2:C3168,AutoClaim_Data!B2:B3168,"Train",AutoClaim_Data!D2:D3168,"&gt;"&amp;$B$2))</f>
        <v/>
      </c>
      <c r="H1725">
        <f>IF(AutoClaim_Data!D1725&lt;=$B$2,IF(AutoClaim_Data!E1725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5">
        <f>(F1725-H1725)^2</f>
        <v/>
      </c>
      <c r="J1725">
        <f>--(E1725="Validation")</f>
        <v/>
      </c>
    </row>
    <row r="1726">
      <c r="D1726">
        <f>AutoClaim_Data!A1726</f>
        <v/>
      </c>
      <c r="E1726">
        <f>AutoClaim_Data!B1726</f>
        <v/>
      </c>
      <c r="F1726">
        <f>AutoClaim_Data!C1726</f>
        <v/>
      </c>
      <c r="G1726">
        <f>IF(AutoClaim_Data!D1726&lt;=$B$2,AVERAGEIFS(AutoClaim_Data!C2:C3168,AutoClaim_Data!B2:B3168,"Train",AutoClaim_Data!D2:D3168,"&lt;="&amp;$B$2),AVERAGEIFS(AutoClaim_Data!C2:C3168,AutoClaim_Data!B2:B3168,"Train",AutoClaim_Data!D2:D3168,"&gt;"&amp;$B$2))</f>
        <v/>
      </c>
      <c r="H1726">
        <f>IF(AutoClaim_Data!D1726&lt;=$B$2,IF(AutoClaim_Data!E1726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6">
        <f>(F1726-H1726)^2</f>
        <v/>
      </c>
      <c r="J1726">
        <f>--(E1726="Validation")</f>
        <v/>
      </c>
    </row>
    <row r="1727">
      <c r="D1727">
        <f>AutoClaim_Data!A1727</f>
        <v/>
      </c>
      <c r="E1727">
        <f>AutoClaim_Data!B1727</f>
        <v/>
      </c>
      <c r="F1727">
        <f>AutoClaim_Data!C1727</f>
        <v/>
      </c>
      <c r="G1727">
        <f>IF(AutoClaim_Data!D1727&lt;=$B$2,AVERAGEIFS(AutoClaim_Data!C2:C3168,AutoClaim_Data!B2:B3168,"Train",AutoClaim_Data!D2:D3168,"&lt;="&amp;$B$2),AVERAGEIFS(AutoClaim_Data!C2:C3168,AutoClaim_Data!B2:B3168,"Train",AutoClaim_Data!D2:D3168,"&gt;"&amp;$B$2))</f>
        <v/>
      </c>
      <c r="H1727">
        <f>IF(AutoClaim_Data!D1727&lt;=$B$2,IF(AutoClaim_Data!E1727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7">
        <f>(F1727-H1727)^2</f>
        <v/>
      </c>
      <c r="J1727">
        <f>--(E1727="Validation")</f>
        <v/>
      </c>
    </row>
    <row r="1728">
      <c r="D1728">
        <f>AutoClaim_Data!A1728</f>
        <v/>
      </c>
      <c r="E1728">
        <f>AutoClaim_Data!B1728</f>
        <v/>
      </c>
      <c r="F1728">
        <f>AutoClaim_Data!C1728</f>
        <v/>
      </c>
      <c r="G1728">
        <f>IF(AutoClaim_Data!D1728&lt;=$B$2,AVERAGEIFS(AutoClaim_Data!C2:C3168,AutoClaim_Data!B2:B3168,"Train",AutoClaim_Data!D2:D3168,"&lt;="&amp;$B$2),AVERAGEIFS(AutoClaim_Data!C2:C3168,AutoClaim_Data!B2:B3168,"Train",AutoClaim_Data!D2:D3168,"&gt;"&amp;$B$2))</f>
        <v/>
      </c>
      <c r="H1728">
        <f>IF(AutoClaim_Data!D1728&lt;=$B$2,IF(AutoClaim_Data!E1728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8">
        <f>(F1728-H1728)^2</f>
        <v/>
      </c>
      <c r="J1728">
        <f>--(E1728="Validation")</f>
        <v/>
      </c>
    </row>
    <row r="1729">
      <c r="D1729">
        <f>AutoClaim_Data!A1729</f>
        <v/>
      </c>
      <c r="E1729">
        <f>AutoClaim_Data!B1729</f>
        <v/>
      </c>
      <c r="F1729">
        <f>AutoClaim_Data!C1729</f>
        <v/>
      </c>
      <c r="G1729">
        <f>IF(AutoClaim_Data!D1729&lt;=$B$2,AVERAGEIFS(AutoClaim_Data!C2:C3168,AutoClaim_Data!B2:B3168,"Train",AutoClaim_Data!D2:D3168,"&lt;="&amp;$B$2),AVERAGEIFS(AutoClaim_Data!C2:C3168,AutoClaim_Data!B2:B3168,"Train",AutoClaim_Data!D2:D3168,"&gt;"&amp;$B$2))</f>
        <v/>
      </c>
      <c r="H1729">
        <f>IF(AutoClaim_Data!D1729&lt;=$B$2,IF(AutoClaim_Data!E1729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29">
        <f>(F1729-H1729)^2</f>
        <v/>
      </c>
      <c r="J1729">
        <f>--(E1729="Validation")</f>
        <v/>
      </c>
    </row>
    <row r="1730">
      <c r="D1730">
        <f>AutoClaim_Data!A1730</f>
        <v/>
      </c>
      <c r="E1730">
        <f>AutoClaim_Data!B1730</f>
        <v/>
      </c>
      <c r="F1730">
        <f>AutoClaim_Data!C1730</f>
        <v/>
      </c>
      <c r="G1730">
        <f>IF(AutoClaim_Data!D1730&lt;=$B$2,AVERAGEIFS(AutoClaim_Data!C2:C3168,AutoClaim_Data!B2:B3168,"Train",AutoClaim_Data!D2:D3168,"&lt;="&amp;$B$2),AVERAGEIFS(AutoClaim_Data!C2:C3168,AutoClaim_Data!B2:B3168,"Train",AutoClaim_Data!D2:D3168,"&gt;"&amp;$B$2))</f>
        <v/>
      </c>
      <c r="H1730">
        <f>IF(AutoClaim_Data!D1730&lt;=$B$2,IF(AutoClaim_Data!E1730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0">
        <f>(F1730-H1730)^2</f>
        <v/>
      </c>
      <c r="J1730">
        <f>--(E1730="Validation")</f>
        <v/>
      </c>
    </row>
    <row r="1731">
      <c r="D1731">
        <f>AutoClaim_Data!A1731</f>
        <v/>
      </c>
      <c r="E1731">
        <f>AutoClaim_Data!B1731</f>
        <v/>
      </c>
      <c r="F1731">
        <f>AutoClaim_Data!C1731</f>
        <v/>
      </c>
      <c r="G1731">
        <f>IF(AutoClaim_Data!D1731&lt;=$B$2,AVERAGEIFS(AutoClaim_Data!C2:C3168,AutoClaim_Data!B2:B3168,"Train",AutoClaim_Data!D2:D3168,"&lt;="&amp;$B$2),AVERAGEIFS(AutoClaim_Data!C2:C3168,AutoClaim_Data!B2:B3168,"Train",AutoClaim_Data!D2:D3168,"&gt;"&amp;$B$2))</f>
        <v/>
      </c>
      <c r="H1731">
        <f>IF(AutoClaim_Data!D1731&lt;=$B$2,IF(AutoClaim_Data!E1731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1">
        <f>(F1731-H1731)^2</f>
        <v/>
      </c>
      <c r="J1731">
        <f>--(E1731="Validation")</f>
        <v/>
      </c>
    </row>
    <row r="1732">
      <c r="D1732">
        <f>AutoClaim_Data!A1732</f>
        <v/>
      </c>
      <c r="E1732">
        <f>AutoClaim_Data!B1732</f>
        <v/>
      </c>
      <c r="F1732">
        <f>AutoClaim_Data!C1732</f>
        <v/>
      </c>
      <c r="G1732">
        <f>IF(AutoClaim_Data!D1732&lt;=$B$2,AVERAGEIFS(AutoClaim_Data!C2:C3168,AutoClaim_Data!B2:B3168,"Train",AutoClaim_Data!D2:D3168,"&lt;="&amp;$B$2),AVERAGEIFS(AutoClaim_Data!C2:C3168,AutoClaim_Data!B2:B3168,"Train",AutoClaim_Data!D2:D3168,"&gt;"&amp;$B$2))</f>
        <v/>
      </c>
      <c r="H1732">
        <f>IF(AutoClaim_Data!D1732&lt;=$B$2,IF(AutoClaim_Data!E1732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2">
        <f>(F1732-H1732)^2</f>
        <v/>
      </c>
      <c r="J1732">
        <f>--(E1732="Validation")</f>
        <v/>
      </c>
    </row>
    <row r="1733">
      <c r="D1733">
        <f>AutoClaim_Data!A1733</f>
        <v/>
      </c>
      <c r="E1733">
        <f>AutoClaim_Data!B1733</f>
        <v/>
      </c>
      <c r="F1733">
        <f>AutoClaim_Data!C1733</f>
        <v/>
      </c>
      <c r="G1733">
        <f>IF(AutoClaim_Data!D1733&lt;=$B$2,AVERAGEIFS(AutoClaim_Data!C2:C3168,AutoClaim_Data!B2:B3168,"Train",AutoClaim_Data!D2:D3168,"&lt;="&amp;$B$2),AVERAGEIFS(AutoClaim_Data!C2:C3168,AutoClaim_Data!B2:B3168,"Train",AutoClaim_Data!D2:D3168,"&gt;"&amp;$B$2))</f>
        <v/>
      </c>
      <c r="H1733">
        <f>IF(AutoClaim_Data!D1733&lt;=$B$2,IF(AutoClaim_Data!E1733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3">
        <f>(F1733-H1733)^2</f>
        <v/>
      </c>
      <c r="J1733">
        <f>--(E1733="Validation")</f>
        <v/>
      </c>
    </row>
    <row r="1734">
      <c r="D1734">
        <f>AutoClaim_Data!A1734</f>
        <v/>
      </c>
      <c r="E1734">
        <f>AutoClaim_Data!B1734</f>
        <v/>
      </c>
      <c r="F1734">
        <f>AutoClaim_Data!C1734</f>
        <v/>
      </c>
      <c r="G1734">
        <f>IF(AutoClaim_Data!D1734&lt;=$B$2,AVERAGEIFS(AutoClaim_Data!C2:C3168,AutoClaim_Data!B2:B3168,"Train",AutoClaim_Data!D2:D3168,"&lt;="&amp;$B$2),AVERAGEIFS(AutoClaim_Data!C2:C3168,AutoClaim_Data!B2:B3168,"Train",AutoClaim_Data!D2:D3168,"&gt;"&amp;$B$2))</f>
        <v/>
      </c>
      <c r="H1734">
        <f>IF(AutoClaim_Data!D1734&lt;=$B$2,IF(AutoClaim_Data!E1734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4">
        <f>(F1734-H1734)^2</f>
        <v/>
      </c>
      <c r="J1734">
        <f>--(E1734="Validation")</f>
        <v/>
      </c>
    </row>
    <row r="1735">
      <c r="D1735">
        <f>AutoClaim_Data!A1735</f>
        <v/>
      </c>
      <c r="E1735">
        <f>AutoClaim_Data!B1735</f>
        <v/>
      </c>
      <c r="F1735">
        <f>AutoClaim_Data!C1735</f>
        <v/>
      </c>
      <c r="G1735">
        <f>IF(AutoClaim_Data!D1735&lt;=$B$2,AVERAGEIFS(AutoClaim_Data!C2:C3168,AutoClaim_Data!B2:B3168,"Train",AutoClaim_Data!D2:D3168,"&lt;="&amp;$B$2),AVERAGEIFS(AutoClaim_Data!C2:C3168,AutoClaim_Data!B2:B3168,"Train",AutoClaim_Data!D2:D3168,"&gt;"&amp;$B$2))</f>
        <v/>
      </c>
      <c r="H1735">
        <f>IF(AutoClaim_Data!D1735&lt;=$B$2,IF(AutoClaim_Data!E1735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5">
        <f>(F1735-H1735)^2</f>
        <v/>
      </c>
      <c r="J1735">
        <f>--(E1735="Validation")</f>
        <v/>
      </c>
    </row>
    <row r="1736">
      <c r="D1736">
        <f>AutoClaim_Data!A1736</f>
        <v/>
      </c>
      <c r="E1736">
        <f>AutoClaim_Data!B1736</f>
        <v/>
      </c>
      <c r="F1736">
        <f>AutoClaim_Data!C1736</f>
        <v/>
      </c>
      <c r="G1736">
        <f>IF(AutoClaim_Data!D1736&lt;=$B$2,AVERAGEIFS(AutoClaim_Data!C2:C3168,AutoClaim_Data!B2:B3168,"Train",AutoClaim_Data!D2:D3168,"&lt;="&amp;$B$2),AVERAGEIFS(AutoClaim_Data!C2:C3168,AutoClaim_Data!B2:B3168,"Train",AutoClaim_Data!D2:D3168,"&gt;"&amp;$B$2))</f>
        <v/>
      </c>
      <c r="H1736">
        <f>IF(AutoClaim_Data!D1736&lt;=$B$2,IF(AutoClaim_Data!E1736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6">
        <f>(F1736-H1736)^2</f>
        <v/>
      </c>
      <c r="J1736">
        <f>--(E1736="Validation")</f>
        <v/>
      </c>
    </row>
    <row r="1737">
      <c r="D1737">
        <f>AutoClaim_Data!A1737</f>
        <v/>
      </c>
      <c r="E1737">
        <f>AutoClaim_Data!B1737</f>
        <v/>
      </c>
      <c r="F1737">
        <f>AutoClaim_Data!C1737</f>
        <v/>
      </c>
      <c r="G1737">
        <f>IF(AutoClaim_Data!D1737&lt;=$B$2,AVERAGEIFS(AutoClaim_Data!C2:C3168,AutoClaim_Data!B2:B3168,"Train",AutoClaim_Data!D2:D3168,"&lt;="&amp;$B$2),AVERAGEIFS(AutoClaim_Data!C2:C3168,AutoClaim_Data!B2:B3168,"Train",AutoClaim_Data!D2:D3168,"&gt;"&amp;$B$2))</f>
        <v/>
      </c>
      <c r="H1737">
        <f>IF(AutoClaim_Data!D1737&lt;=$B$2,IF(AutoClaim_Data!E1737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7">
        <f>(F1737-H1737)^2</f>
        <v/>
      </c>
      <c r="J1737">
        <f>--(E1737="Validation")</f>
        <v/>
      </c>
    </row>
    <row r="1738">
      <c r="D1738">
        <f>AutoClaim_Data!A1738</f>
        <v/>
      </c>
      <c r="E1738">
        <f>AutoClaim_Data!B1738</f>
        <v/>
      </c>
      <c r="F1738">
        <f>AutoClaim_Data!C1738</f>
        <v/>
      </c>
      <c r="G1738">
        <f>IF(AutoClaim_Data!D1738&lt;=$B$2,AVERAGEIFS(AutoClaim_Data!C2:C3168,AutoClaim_Data!B2:B3168,"Train",AutoClaim_Data!D2:D3168,"&lt;="&amp;$B$2),AVERAGEIFS(AutoClaim_Data!C2:C3168,AutoClaim_Data!B2:B3168,"Train",AutoClaim_Data!D2:D3168,"&gt;"&amp;$B$2))</f>
        <v/>
      </c>
      <c r="H1738">
        <f>IF(AutoClaim_Data!D1738&lt;=$B$2,IF(AutoClaim_Data!E1738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8">
        <f>(F1738-H1738)^2</f>
        <v/>
      </c>
      <c r="J1738">
        <f>--(E1738="Validation")</f>
        <v/>
      </c>
    </row>
    <row r="1739">
      <c r="D1739">
        <f>AutoClaim_Data!A1739</f>
        <v/>
      </c>
      <c r="E1739">
        <f>AutoClaim_Data!B1739</f>
        <v/>
      </c>
      <c r="F1739">
        <f>AutoClaim_Data!C1739</f>
        <v/>
      </c>
      <c r="G1739">
        <f>IF(AutoClaim_Data!D1739&lt;=$B$2,AVERAGEIFS(AutoClaim_Data!C2:C3168,AutoClaim_Data!B2:B3168,"Train",AutoClaim_Data!D2:D3168,"&lt;="&amp;$B$2),AVERAGEIFS(AutoClaim_Data!C2:C3168,AutoClaim_Data!B2:B3168,"Train",AutoClaim_Data!D2:D3168,"&gt;"&amp;$B$2))</f>
        <v/>
      </c>
      <c r="H1739">
        <f>IF(AutoClaim_Data!D1739&lt;=$B$2,IF(AutoClaim_Data!E1739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39">
        <f>(F1739-H1739)^2</f>
        <v/>
      </c>
      <c r="J1739">
        <f>--(E1739="Validation")</f>
        <v/>
      </c>
    </row>
    <row r="1740">
      <c r="D1740">
        <f>AutoClaim_Data!A1740</f>
        <v/>
      </c>
      <c r="E1740">
        <f>AutoClaim_Data!B1740</f>
        <v/>
      </c>
      <c r="F1740">
        <f>AutoClaim_Data!C1740</f>
        <v/>
      </c>
      <c r="G1740">
        <f>IF(AutoClaim_Data!D1740&lt;=$B$2,AVERAGEIFS(AutoClaim_Data!C2:C3168,AutoClaim_Data!B2:B3168,"Train",AutoClaim_Data!D2:D3168,"&lt;="&amp;$B$2),AVERAGEIFS(AutoClaim_Data!C2:C3168,AutoClaim_Data!B2:B3168,"Train",AutoClaim_Data!D2:D3168,"&gt;"&amp;$B$2))</f>
        <v/>
      </c>
      <c r="H1740">
        <f>IF(AutoClaim_Data!D1740&lt;=$B$2,IF(AutoClaim_Data!E1740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0">
        <f>(F1740-H1740)^2</f>
        <v/>
      </c>
      <c r="J1740">
        <f>--(E1740="Validation")</f>
        <v/>
      </c>
    </row>
    <row r="1741">
      <c r="D1741">
        <f>AutoClaim_Data!A1741</f>
        <v/>
      </c>
      <c r="E1741">
        <f>AutoClaim_Data!B1741</f>
        <v/>
      </c>
      <c r="F1741">
        <f>AutoClaim_Data!C1741</f>
        <v/>
      </c>
      <c r="G1741">
        <f>IF(AutoClaim_Data!D1741&lt;=$B$2,AVERAGEIFS(AutoClaim_Data!C2:C3168,AutoClaim_Data!B2:B3168,"Train",AutoClaim_Data!D2:D3168,"&lt;="&amp;$B$2),AVERAGEIFS(AutoClaim_Data!C2:C3168,AutoClaim_Data!B2:B3168,"Train",AutoClaim_Data!D2:D3168,"&gt;"&amp;$B$2))</f>
        <v/>
      </c>
      <c r="H1741">
        <f>IF(AutoClaim_Data!D1741&lt;=$B$2,IF(AutoClaim_Data!E1741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1">
        <f>(F1741-H1741)^2</f>
        <v/>
      </c>
      <c r="J1741">
        <f>--(E1741="Validation")</f>
        <v/>
      </c>
    </row>
    <row r="1742">
      <c r="D1742">
        <f>AutoClaim_Data!A1742</f>
        <v/>
      </c>
      <c r="E1742">
        <f>AutoClaim_Data!B1742</f>
        <v/>
      </c>
      <c r="F1742">
        <f>AutoClaim_Data!C1742</f>
        <v/>
      </c>
      <c r="G1742">
        <f>IF(AutoClaim_Data!D1742&lt;=$B$2,AVERAGEIFS(AutoClaim_Data!C2:C3168,AutoClaim_Data!B2:B3168,"Train",AutoClaim_Data!D2:D3168,"&lt;="&amp;$B$2),AVERAGEIFS(AutoClaim_Data!C2:C3168,AutoClaim_Data!B2:B3168,"Train",AutoClaim_Data!D2:D3168,"&gt;"&amp;$B$2))</f>
        <v/>
      </c>
      <c r="H1742">
        <f>IF(AutoClaim_Data!D1742&lt;=$B$2,IF(AutoClaim_Data!E1742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2">
        <f>(F1742-H1742)^2</f>
        <v/>
      </c>
      <c r="J1742">
        <f>--(E1742="Validation")</f>
        <v/>
      </c>
    </row>
    <row r="1743">
      <c r="D1743">
        <f>AutoClaim_Data!A1743</f>
        <v/>
      </c>
      <c r="E1743">
        <f>AutoClaim_Data!B1743</f>
        <v/>
      </c>
      <c r="F1743">
        <f>AutoClaim_Data!C1743</f>
        <v/>
      </c>
      <c r="G1743">
        <f>IF(AutoClaim_Data!D1743&lt;=$B$2,AVERAGEIFS(AutoClaim_Data!C2:C3168,AutoClaim_Data!B2:B3168,"Train",AutoClaim_Data!D2:D3168,"&lt;="&amp;$B$2),AVERAGEIFS(AutoClaim_Data!C2:C3168,AutoClaim_Data!B2:B3168,"Train",AutoClaim_Data!D2:D3168,"&gt;"&amp;$B$2))</f>
        <v/>
      </c>
      <c r="H1743">
        <f>IF(AutoClaim_Data!D1743&lt;=$B$2,IF(AutoClaim_Data!E1743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3">
        <f>(F1743-H1743)^2</f>
        <v/>
      </c>
      <c r="J1743">
        <f>--(E1743="Validation")</f>
        <v/>
      </c>
    </row>
    <row r="1744">
      <c r="D1744">
        <f>AutoClaim_Data!A1744</f>
        <v/>
      </c>
      <c r="E1744">
        <f>AutoClaim_Data!B1744</f>
        <v/>
      </c>
      <c r="F1744">
        <f>AutoClaim_Data!C1744</f>
        <v/>
      </c>
      <c r="G1744">
        <f>IF(AutoClaim_Data!D1744&lt;=$B$2,AVERAGEIFS(AutoClaim_Data!C2:C3168,AutoClaim_Data!B2:B3168,"Train",AutoClaim_Data!D2:D3168,"&lt;="&amp;$B$2),AVERAGEIFS(AutoClaim_Data!C2:C3168,AutoClaim_Data!B2:B3168,"Train",AutoClaim_Data!D2:D3168,"&gt;"&amp;$B$2))</f>
        <v/>
      </c>
      <c r="H1744">
        <f>IF(AutoClaim_Data!D1744&lt;=$B$2,IF(AutoClaim_Data!E1744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4">
        <f>(F1744-H1744)^2</f>
        <v/>
      </c>
      <c r="J1744">
        <f>--(E1744="Validation")</f>
        <v/>
      </c>
    </row>
    <row r="1745">
      <c r="D1745">
        <f>AutoClaim_Data!A1745</f>
        <v/>
      </c>
      <c r="E1745">
        <f>AutoClaim_Data!B1745</f>
        <v/>
      </c>
      <c r="F1745">
        <f>AutoClaim_Data!C1745</f>
        <v/>
      </c>
      <c r="G1745">
        <f>IF(AutoClaim_Data!D1745&lt;=$B$2,AVERAGEIFS(AutoClaim_Data!C2:C3168,AutoClaim_Data!B2:B3168,"Train",AutoClaim_Data!D2:D3168,"&lt;="&amp;$B$2),AVERAGEIFS(AutoClaim_Data!C2:C3168,AutoClaim_Data!B2:B3168,"Train",AutoClaim_Data!D2:D3168,"&gt;"&amp;$B$2))</f>
        <v/>
      </c>
      <c r="H1745">
        <f>IF(AutoClaim_Data!D1745&lt;=$B$2,IF(AutoClaim_Data!E1745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5">
        <f>(F1745-H1745)^2</f>
        <v/>
      </c>
      <c r="J1745">
        <f>--(E1745="Validation")</f>
        <v/>
      </c>
    </row>
    <row r="1746">
      <c r="D1746">
        <f>AutoClaim_Data!A1746</f>
        <v/>
      </c>
      <c r="E1746">
        <f>AutoClaim_Data!B1746</f>
        <v/>
      </c>
      <c r="F1746">
        <f>AutoClaim_Data!C1746</f>
        <v/>
      </c>
      <c r="G1746">
        <f>IF(AutoClaim_Data!D1746&lt;=$B$2,AVERAGEIFS(AutoClaim_Data!C2:C3168,AutoClaim_Data!B2:B3168,"Train",AutoClaim_Data!D2:D3168,"&lt;="&amp;$B$2),AVERAGEIFS(AutoClaim_Data!C2:C3168,AutoClaim_Data!B2:B3168,"Train",AutoClaim_Data!D2:D3168,"&gt;"&amp;$B$2))</f>
        <v/>
      </c>
      <c r="H1746">
        <f>IF(AutoClaim_Data!D1746&lt;=$B$2,IF(AutoClaim_Data!E1746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6">
        <f>(F1746-H1746)^2</f>
        <v/>
      </c>
      <c r="J1746">
        <f>--(E1746="Validation")</f>
        <v/>
      </c>
    </row>
    <row r="1747">
      <c r="D1747">
        <f>AutoClaim_Data!A1747</f>
        <v/>
      </c>
      <c r="E1747">
        <f>AutoClaim_Data!B1747</f>
        <v/>
      </c>
      <c r="F1747">
        <f>AutoClaim_Data!C1747</f>
        <v/>
      </c>
      <c r="G1747">
        <f>IF(AutoClaim_Data!D1747&lt;=$B$2,AVERAGEIFS(AutoClaim_Data!C2:C3168,AutoClaim_Data!B2:B3168,"Train",AutoClaim_Data!D2:D3168,"&lt;="&amp;$B$2),AVERAGEIFS(AutoClaim_Data!C2:C3168,AutoClaim_Data!B2:B3168,"Train",AutoClaim_Data!D2:D3168,"&gt;"&amp;$B$2))</f>
        <v/>
      </c>
      <c r="H1747">
        <f>IF(AutoClaim_Data!D1747&lt;=$B$2,IF(AutoClaim_Data!E1747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7">
        <f>(F1747-H1747)^2</f>
        <v/>
      </c>
      <c r="J1747">
        <f>--(E1747="Validation")</f>
        <v/>
      </c>
    </row>
    <row r="1748">
      <c r="D1748">
        <f>AutoClaim_Data!A1748</f>
        <v/>
      </c>
      <c r="E1748">
        <f>AutoClaim_Data!B1748</f>
        <v/>
      </c>
      <c r="F1748">
        <f>AutoClaim_Data!C1748</f>
        <v/>
      </c>
      <c r="G1748">
        <f>IF(AutoClaim_Data!D1748&lt;=$B$2,AVERAGEIFS(AutoClaim_Data!C2:C3168,AutoClaim_Data!B2:B3168,"Train",AutoClaim_Data!D2:D3168,"&lt;="&amp;$B$2),AVERAGEIFS(AutoClaim_Data!C2:C3168,AutoClaim_Data!B2:B3168,"Train",AutoClaim_Data!D2:D3168,"&gt;"&amp;$B$2))</f>
        <v/>
      </c>
      <c r="H1748">
        <f>IF(AutoClaim_Data!D1748&lt;=$B$2,IF(AutoClaim_Data!E1748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8">
        <f>(F1748-H1748)^2</f>
        <v/>
      </c>
      <c r="J1748">
        <f>--(E1748="Validation")</f>
        <v/>
      </c>
    </row>
    <row r="1749">
      <c r="D1749">
        <f>AutoClaim_Data!A1749</f>
        <v/>
      </c>
      <c r="E1749">
        <f>AutoClaim_Data!B1749</f>
        <v/>
      </c>
      <c r="F1749">
        <f>AutoClaim_Data!C1749</f>
        <v/>
      </c>
      <c r="G1749">
        <f>IF(AutoClaim_Data!D1749&lt;=$B$2,AVERAGEIFS(AutoClaim_Data!C2:C3168,AutoClaim_Data!B2:B3168,"Train",AutoClaim_Data!D2:D3168,"&lt;="&amp;$B$2),AVERAGEIFS(AutoClaim_Data!C2:C3168,AutoClaim_Data!B2:B3168,"Train",AutoClaim_Data!D2:D3168,"&gt;"&amp;$B$2))</f>
        <v/>
      </c>
      <c r="H1749">
        <f>IF(AutoClaim_Data!D1749&lt;=$B$2,IF(AutoClaim_Data!E1749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49">
        <f>(F1749-H1749)^2</f>
        <v/>
      </c>
      <c r="J1749">
        <f>--(E1749="Validation")</f>
        <v/>
      </c>
    </row>
    <row r="1750">
      <c r="D1750">
        <f>AutoClaim_Data!A1750</f>
        <v/>
      </c>
      <c r="E1750">
        <f>AutoClaim_Data!B1750</f>
        <v/>
      </c>
      <c r="F1750">
        <f>AutoClaim_Data!C1750</f>
        <v/>
      </c>
      <c r="G1750">
        <f>IF(AutoClaim_Data!D1750&lt;=$B$2,AVERAGEIFS(AutoClaim_Data!C2:C3168,AutoClaim_Data!B2:B3168,"Train",AutoClaim_Data!D2:D3168,"&lt;="&amp;$B$2),AVERAGEIFS(AutoClaim_Data!C2:C3168,AutoClaim_Data!B2:B3168,"Train",AutoClaim_Data!D2:D3168,"&gt;"&amp;$B$2))</f>
        <v/>
      </c>
      <c r="H1750">
        <f>IF(AutoClaim_Data!D1750&lt;=$B$2,IF(AutoClaim_Data!E1750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0">
        <f>(F1750-H1750)^2</f>
        <v/>
      </c>
      <c r="J1750">
        <f>--(E1750="Validation")</f>
        <v/>
      </c>
    </row>
    <row r="1751">
      <c r="D1751">
        <f>AutoClaim_Data!A1751</f>
        <v/>
      </c>
      <c r="E1751">
        <f>AutoClaim_Data!B1751</f>
        <v/>
      </c>
      <c r="F1751">
        <f>AutoClaim_Data!C1751</f>
        <v/>
      </c>
      <c r="G1751">
        <f>IF(AutoClaim_Data!D1751&lt;=$B$2,AVERAGEIFS(AutoClaim_Data!C2:C3168,AutoClaim_Data!B2:B3168,"Train",AutoClaim_Data!D2:D3168,"&lt;="&amp;$B$2),AVERAGEIFS(AutoClaim_Data!C2:C3168,AutoClaim_Data!B2:B3168,"Train",AutoClaim_Data!D2:D3168,"&gt;"&amp;$B$2))</f>
        <v/>
      </c>
      <c r="H1751">
        <f>IF(AutoClaim_Data!D1751&lt;=$B$2,IF(AutoClaim_Data!E1751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1">
        <f>(F1751-H1751)^2</f>
        <v/>
      </c>
      <c r="J1751">
        <f>--(E1751="Validation")</f>
        <v/>
      </c>
    </row>
    <row r="1752">
      <c r="D1752">
        <f>AutoClaim_Data!A1752</f>
        <v/>
      </c>
      <c r="E1752">
        <f>AutoClaim_Data!B1752</f>
        <v/>
      </c>
      <c r="F1752">
        <f>AutoClaim_Data!C1752</f>
        <v/>
      </c>
      <c r="G1752">
        <f>IF(AutoClaim_Data!D1752&lt;=$B$2,AVERAGEIFS(AutoClaim_Data!C2:C3168,AutoClaim_Data!B2:B3168,"Train",AutoClaim_Data!D2:D3168,"&lt;="&amp;$B$2),AVERAGEIFS(AutoClaim_Data!C2:C3168,AutoClaim_Data!B2:B3168,"Train",AutoClaim_Data!D2:D3168,"&gt;"&amp;$B$2))</f>
        <v/>
      </c>
      <c r="H1752">
        <f>IF(AutoClaim_Data!D1752&lt;=$B$2,IF(AutoClaim_Data!E1752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2">
        <f>(F1752-H1752)^2</f>
        <v/>
      </c>
      <c r="J1752">
        <f>--(E1752="Validation")</f>
        <v/>
      </c>
    </row>
    <row r="1753">
      <c r="D1753">
        <f>AutoClaim_Data!A1753</f>
        <v/>
      </c>
      <c r="E1753">
        <f>AutoClaim_Data!B1753</f>
        <v/>
      </c>
      <c r="F1753">
        <f>AutoClaim_Data!C1753</f>
        <v/>
      </c>
      <c r="G1753">
        <f>IF(AutoClaim_Data!D1753&lt;=$B$2,AVERAGEIFS(AutoClaim_Data!C2:C3168,AutoClaim_Data!B2:B3168,"Train",AutoClaim_Data!D2:D3168,"&lt;="&amp;$B$2),AVERAGEIFS(AutoClaim_Data!C2:C3168,AutoClaim_Data!B2:B3168,"Train",AutoClaim_Data!D2:D3168,"&gt;"&amp;$B$2))</f>
        <v/>
      </c>
      <c r="H1753">
        <f>IF(AutoClaim_Data!D1753&lt;=$B$2,IF(AutoClaim_Data!E1753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3">
        <f>(F1753-H1753)^2</f>
        <v/>
      </c>
      <c r="J1753">
        <f>--(E1753="Validation")</f>
        <v/>
      </c>
    </row>
    <row r="1754">
      <c r="D1754">
        <f>AutoClaim_Data!A1754</f>
        <v/>
      </c>
      <c r="E1754">
        <f>AutoClaim_Data!B1754</f>
        <v/>
      </c>
      <c r="F1754">
        <f>AutoClaim_Data!C1754</f>
        <v/>
      </c>
      <c r="G1754">
        <f>IF(AutoClaim_Data!D1754&lt;=$B$2,AVERAGEIFS(AutoClaim_Data!C2:C3168,AutoClaim_Data!B2:B3168,"Train",AutoClaim_Data!D2:D3168,"&lt;="&amp;$B$2),AVERAGEIFS(AutoClaim_Data!C2:C3168,AutoClaim_Data!B2:B3168,"Train",AutoClaim_Data!D2:D3168,"&gt;"&amp;$B$2))</f>
        <v/>
      </c>
      <c r="H1754">
        <f>IF(AutoClaim_Data!D1754&lt;=$B$2,IF(AutoClaim_Data!E1754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4">
        <f>(F1754-H1754)^2</f>
        <v/>
      </c>
      <c r="J1754">
        <f>--(E1754="Validation")</f>
        <v/>
      </c>
    </row>
    <row r="1755">
      <c r="D1755">
        <f>AutoClaim_Data!A1755</f>
        <v/>
      </c>
      <c r="E1755">
        <f>AutoClaim_Data!B1755</f>
        <v/>
      </c>
      <c r="F1755">
        <f>AutoClaim_Data!C1755</f>
        <v/>
      </c>
      <c r="G1755">
        <f>IF(AutoClaim_Data!D1755&lt;=$B$2,AVERAGEIFS(AutoClaim_Data!C2:C3168,AutoClaim_Data!B2:B3168,"Train",AutoClaim_Data!D2:D3168,"&lt;="&amp;$B$2),AVERAGEIFS(AutoClaim_Data!C2:C3168,AutoClaim_Data!B2:B3168,"Train",AutoClaim_Data!D2:D3168,"&gt;"&amp;$B$2))</f>
        <v/>
      </c>
      <c r="H1755">
        <f>IF(AutoClaim_Data!D1755&lt;=$B$2,IF(AutoClaim_Data!E1755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5">
        <f>(F1755-H1755)^2</f>
        <v/>
      </c>
      <c r="J1755">
        <f>--(E1755="Validation")</f>
        <v/>
      </c>
    </row>
    <row r="1756">
      <c r="D1756">
        <f>AutoClaim_Data!A1756</f>
        <v/>
      </c>
      <c r="E1756">
        <f>AutoClaim_Data!B1756</f>
        <v/>
      </c>
      <c r="F1756">
        <f>AutoClaim_Data!C1756</f>
        <v/>
      </c>
      <c r="G1756">
        <f>IF(AutoClaim_Data!D1756&lt;=$B$2,AVERAGEIFS(AutoClaim_Data!C2:C3168,AutoClaim_Data!B2:B3168,"Train",AutoClaim_Data!D2:D3168,"&lt;="&amp;$B$2),AVERAGEIFS(AutoClaim_Data!C2:C3168,AutoClaim_Data!B2:B3168,"Train",AutoClaim_Data!D2:D3168,"&gt;"&amp;$B$2))</f>
        <v/>
      </c>
      <c r="H1756">
        <f>IF(AutoClaim_Data!D1756&lt;=$B$2,IF(AutoClaim_Data!E1756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6">
        <f>(F1756-H1756)^2</f>
        <v/>
      </c>
      <c r="J1756">
        <f>--(E1756="Validation")</f>
        <v/>
      </c>
    </row>
    <row r="1757">
      <c r="D1757">
        <f>AutoClaim_Data!A1757</f>
        <v/>
      </c>
      <c r="E1757">
        <f>AutoClaim_Data!B1757</f>
        <v/>
      </c>
      <c r="F1757">
        <f>AutoClaim_Data!C1757</f>
        <v/>
      </c>
      <c r="G1757">
        <f>IF(AutoClaim_Data!D1757&lt;=$B$2,AVERAGEIFS(AutoClaim_Data!C2:C3168,AutoClaim_Data!B2:B3168,"Train",AutoClaim_Data!D2:D3168,"&lt;="&amp;$B$2),AVERAGEIFS(AutoClaim_Data!C2:C3168,AutoClaim_Data!B2:B3168,"Train",AutoClaim_Data!D2:D3168,"&gt;"&amp;$B$2))</f>
        <v/>
      </c>
      <c r="H1757">
        <f>IF(AutoClaim_Data!D1757&lt;=$B$2,IF(AutoClaim_Data!E1757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7">
        <f>(F1757-H1757)^2</f>
        <v/>
      </c>
      <c r="J1757">
        <f>--(E1757="Validation")</f>
        <v/>
      </c>
    </row>
    <row r="1758">
      <c r="D1758">
        <f>AutoClaim_Data!A1758</f>
        <v/>
      </c>
      <c r="E1758">
        <f>AutoClaim_Data!B1758</f>
        <v/>
      </c>
      <c r="F1758">
        <f>AutoClaim_Data!C1758</f>
        <v/>
      </c>
      <c r="G1758">
        <f>IF(AutoClaim_Data!D1758&lt;=$B$2,AVERAGEIFS(AutoClaim_Data!C2:C3168,AutoClaim_Data!B2:B3168,"Train",AutoClaim_Data!D2:D3168,"&lt;="&amp;$B$2),AVERAGEIFS(AutoClaim_Data!C2:C3168,AutoClaim_Data!B2:B3168,"Train",AutoClaim_Data!D2:D3168,"&gt;"&amp;$B$2))</f>
        <v/>
      </c>
      <c r="H1758">
        <f>IF(AutoClaim_Data!D1758&lt;=$B$2,IF(AutoClaim_Data!E1758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8">
        <f>(F1758-H1758)^2</f>
        <v/>
      </c>
      <c r="J1758">
        <f>--(E1758="Validation")</f>
        <v/>
      </c>
    </row>
    <row r="1759">
      <c r="D1759">
        <f>AutoClaim_Data!A1759</f>
        <v/>
      </c>
      <c r="E1759">
        <f>AutoClaim_Data!B1759</f>
        <v/>
      </c>
      <c r="F1759">
        <f>AutoClaim_Data!C1759</f>
        <v/>
      </c>
      <c r="G1759">
        <f>IF(AutoClaim_Data!D1759&lt;=$B$2,AVERAGEIFS(AutoClaim_Data!C2:C3168,AutoClaim_Data!B2:B3168,"Train",AutoClaim_Data!D2:D3168,"&lt;="&amp;$B$2),AVERAGEIFS(AutoClaim_Data!C2:C3168,AutoClaim_Data!B2:B3168,"Train",AutoClaim_Data!D2:D3168,"&gt;"&amp;$B$2))</f>
        <v/>
      </c>
      <c r="H1759">
        <f>IF(AutoClaim_Data!D1759&lt;=$B$2,IF(AutoClaim_Data!E1759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59">
        <f>(F1759-H1759)^2</f>
        <v/>
      </c>
      <c r="J1759">
        <f>--(E1759="Validation")</f>
        <v/>
      </c>
    </row>
    <row r="1760">
      <c r="D1760">
        <f>AutoClaim_Data!A1760</f>
        <v/>
      </c>
      <c r="E1760">
        <f>AutoClaim_Data!B1760</f>
        <v/>
      </c>
      <c r="F1760">
        <f>AutoClaim_Data!C1760</f>
        <v/>
      </c>
      <c r="G1760">
        <f>IF(AutoClaim_Data!D1760&lt;=$B$2,AVERAGEIFS(AutoClaim_Data!C2:C3168,AutoClaim_Data!B2:B3168,"Train",AutoClaim_Data!D2:D3168,"&lt;="&amp;$B$2),AVERAGEIFS(AutoClaim_Data!C2:C3168,AutoClaim_Data!B2:B3168,"Train",AutoClaim_Data!D2:D3168,"&gt;"&amp;$B$2))</f>
        <v/>
      </c>
      <c r="H1760">
        <f>IF(AutoClaim_Data!D1760&lt;=$B$2,IF(AutoClaim_Data!E1760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0">
        <f>(F1760-H1760)^2</f>
        <v/>
      </c>
      <c r="J1760">
        <f>--(E1760="Validation")</f>
        <v/>
      </c>
    </row>
    <row r="1761">
      <c r="D1761">
        <f>AutoClaim_Data!A1761</f>
        <v/>
      </c>
      <c r="E1761">
        <f>AutoClaim_Data!B1761</f>
        <v/>
      </c>
      <c r="F1761">
        <f>AutoClaim_Data!C1761</f>
        <v/>
      </c>
      <c r="G1761">
        <f>IF(AutoClaim_Data!D1761&lt;=$B$2,AVERAGEIFS(AutoClaim_Data!C2:C3168,AutoClaim_Data!B2:B3168,"Train",AutoClaim_Data!D2:D3168,"&lt;="&amp;$B$2),AVERAGEIFS(AutoClaim_Data!C2:C3168,AutoClaim_Data!B2:B3168,"Train",AutoClaim_Data!D2:D3168,"&gt;"&amp;$B$2))</f>
        <v/>
      </c>
      <c r="H1761">
        <f>IF(AutoClaim_Data!D1761&lt;=$B$2,IF(AutoClaim_Data!E1761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1">
        <f>(F1761-H1761)^2</f>
        <v/>
      </c>
      <c r="J1761">
        <f>--(E1761="Validation")</f>
        <v/>
      </c>
    </row>
    <row r="1762">
      <c r="D1762">
        <f>AutoClaim_Data!A1762</f>
        <v/>
      </c>
      <c r="E1762">
        <f>AutoClaim_Data!B1762</f>
        <v/>
      </c>
      <c r="F1762">
        <f>AutoClaim_Data!C1762</f>
        <v/>
      </c>
      <c r="G1762">
        <f>IF(AutoClaim_Data!D1762&lt;=$B$2,AVERAGEIFS(AutoClaim_Data!C2:C3168,AutoClaim_Data!B2:B3168,"Train",AutoClaim_Data!D2:D3168,"&lt;="&amp;$B$2),AVERAGEIFS(AutoClaim_Data!C2:C3168,AutoClaim_Data!B2:B3168,"Train",AutoClaim_Data!D2:D3168,"&gt;"&amp;$B$2))</f>
        <v/>
      </c>
      <c r="H1762">
        <f>IF(AutoClaim_Data!D1762&lt;=$B$2,IF(AutoClaim_Data!E1762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2">
        <f>(F1762-H1762)^2</f>
        <v/>
      </c>
      <c r="J1762">
        <f>--(E1762="Validation")</f>
        <v/>
      </c>
    </row>
    <row r="1763">
      <c r="D1763">
        <f>AutoClaim_Data!A1763</f>
        <v/>
      </c>
      <c r="E1763">
        <f>AutoClaim_Data!B1763</f>
        <v/>
      </c>
      <c r="F1763">
        <f>AutoClaim_Data!C1763</f>
        <v/>
      </c>
      <c r="G1763">
        <f>IF(AutoClaim_Data!D1763&lt;=$B$2,AVERAGEIFS(AutoClaim_Data!C2:C3168,AutoClaim_Data!B2:B3168,"Train",AutoClaim_Data!D2:D3168,"&lt;="&amp;$B$2),AVERAGEIFS(AutoClaim_Data!C2:C3168,AutoClaim_Data!B2:B3168,"Train",AutoClaim_Data!D2:D3168,"&gt;"&amp;$B$2))</f>
        <v/>
      </c>
      <c r="H1763">
        <f>IF(AutoClaim_Data!D1763&lt;=$B$2,IF(AutoClaim_Data!E1763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3">
        <f>(F1763-H1763)^2</f>
        <v/>
      </c>
      <c r="J1763">
        <f>--(E1763="Validation")</f>
        <v/>
      </c>
    </row>
    <row r="1764">
      <c r="D1764">
        <f>AutoClaim_Data!A1764</f>
        <v/>
      </c>
      <c r="E1764">
        <f>AutoClaim_Data!B1764</f>
        <v/>
      </c>
      <c r="F1764">
        <f>AutoClaim_Data!C1764</f>
        <v/>
      </c>
      <c r="G1764">
        <f>IF(AutoClaim_Data!D1764&lt;=$B$2,AVERAGEIFS(AutoClaim_Data!C2:C3168,AutoClaim_Data!B2:B3168,"Train",AutoClaim_Data!D2:D3168,"&lt;="&amp;$B$2),AVERAGEIFS(AutoClaim_Data!C2:C3168,AutoClaim_Data!B2:B3168,"Train",AutoClaim_Data!D2:D3168,"&gt;"&amp;$B$2))</f>
        <v/>
      </c>
      <c r="H1764">
        <f>IF(AutoClaim_Data!D1764&lt;=$B$2,IF(AutoClaim_Data!E1764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4">
        <f>(F1764-H1764)^2</f>
        <v/>
      </c>
      <c r="J1764">
        <f>--(E1764="Validation")</f>
        <v/>
      </c>
    </row>
    <row r="1765">
      <c r="D1765">
        <f>AutoClaim_Data!A1765</f>
        <v/>
      </c>
      <c r="E1765">
        <f>AutoClaim_Data!B1765</f>
        <v/>
      </c>
      <c r="F1765">
        <f>AutoClaim_Data!C1765</f>
        <v/>
      </c>
      <c r="G1765">
        <f>IF(AutoClaim_Data!D1765&lt;=$B$2,AVERAGEIFS(AutoClaim_Data!C2:C3168,AutoClaim_Data!B2:B3168,"Train",AutoClaim_Data!D2:D3168,"&lt;="&amp;$B$2),AVERAGEIFS(AutoClaim_Data!C2:C3168,AutoClaim_Data!B2:B3168,"Train",AutoClaim_Data!D2:D3168,"&gt;"&amp;$B$2))</f>
        <v/>
      </c>
      <c r="H1765">
        <f>IF(AutoClaim_Data!D1765&lt;=$B$2,IF(AutoClaim_Data!E1765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5">
        <f>(F1765-H1765)^2</f>
        <v/>
      </c>
      <c r="J1765">
        <f>--(E1765="Validation")</f>
        <v/>
      </c>
    </row>
    <row r="1766">
      <c r="D1766">
        <f>AutoClaim_Data!A1766</f>
        <v/>
      </c>
      <c r="E1766">
        <f>AutoClaim_Data!B1766</f>
        <v/>
      </c>
      <c r="F1766">
        <f>AutoClaim_Data!C1766</f>
        <v/>
      </c>
      <c r="G1766">
        <f>IF(AutoClaim_Data!D1766&lt;=$B$2,AVERAGEIFS(AutoClaim_Data!C2:C3168,AutoClaim_Data!B2:B3168,"Train",AutoClaim_Data!D2:D3168,"&lt;="&amp;$B$2),AVERAGEIFS(AutoClaim_Data!C2:C3168,AutoClaim_Data!B2:B3168,"Train",AutoClaim_Data!D2:D3168,"&gt;"&amp;$B$2))</f>
        <v/>
      </c>
      <c r="H1766">
        <f>IF(AutoClaim_Data!D1766&lt;=$B$2,IF(AutoClaim_Data!E1766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6">
        <f>(F1766-H1766)^2</f>
        <v/>
      </c>
      <c r="J1766">
        <f>--(E1766="Validation")</f>
        <v/>
      </c>
    </row>
    <row r="1767">
      <c r="D1767">
        <f>AutoClaim_Data!A1767</f>
        <v/>
      </c>
      <c r="E1767">
        <f>AutoClaim_Data!B1767</f>
        <v/>
      </c>
      <c r="F1767">
        <f>AutoClaim_Data!C1767</f>
        <v/>
      </c>
      <c r="G1767">
        <f>IF(AutoClaim_Data!D1767&lt;=$B$2,AVERAGEIFS(AutoClaim_Data!C2:C3168,AutoClaim_Data!B2:B3168,"Train",AutoClaim_Data!D2:D3168,"&lt;="&amp;$B$2),AVERAGEIFS(AutoClaim_Data!C2:C3168,AutoClaim_Data!B2:B3168,"Train",AutoClaim_Data!D2:D3168,"&gt;"&amp;$B$2))</f>
        <v/>
      </c>
      <c r="H1767">
        <f>IF(AutoClaim_Data!D1767&lt;=$B$2,IF(AutoClaim_Data!E1767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7">
        <f>(F1767-H1767)^2</f>
        <v/>
      </c>
      <c r="J1767">
        <f>--(E1767="Validation")</f>
        <v/>
      </c>
    </row>
    <row r="1768">
      <c r="D1768">
        <f>AutoClaim_Data!A1768</f>
        <v/>
      </c>
      <c r="E1768">
        <f>AutoClaim_Data!B1768</f>
        <v/>
      </c>
      <c r="F1768">
        <f>AutoClaim_Data!C1768</f>
        <v/>
      </c>
      <c r="G1768">
        <f>IF(AutoClaim_Data!D1768&lt;=$B$2,AVERAGEIFS(AutoClaim_Data!C2:C3168,AutoClaim_Data!B2:B3168,"Train",AutoClaim_Data!D2:D3168,"&lt;="&amp;$B$2),AVERAGEIFS(AutoClaim_Data!C2:C3168,AutoClaim_Data!B2:B3168,"Train",AutoClaim_Data!D2:D3168,"&gt;"&amp;$B$2))</f>
        <v/>
      </c>
      <c r="H1768">
        <f>IF(AutoClaim_Data!D1768&lt;=$B$2,IF(AutoClaim_Data!E1768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8">
        <f>(F1768-H1768)^2</f>
        <v/>
      </c>
      <c r="J1768">
        <f>--(E1768="Validation")</f>
        <v/>
      </c>
    </row>
    <row r="1769">
      <c r="D1769">
        <f>AutoClaim_Data!A1769</f>
        <v/>
      </c>
      <c r="E1769">
        <f>AutoClaim_Data!B1769</f>
        <v/>
      </c>
      <c r="F1769">
        <f>AutoClaim_Data!C1769</f>
        <v/>
      </c>
      <c r="G1769">
        <f>IF(AutoClaim_Data!D1769&lt;=$B$2,AVERAGEIFS(AutoClaim_Data!C2:C3168,AutoClaim_Data!B2:B3168,"Train",AutoClaim_Data!D2:D3168,"&lt;="&amp;$B$2),AVERAGEIFS(AutoClaim_Data!C2:C3168,AutoClaim_Data!B2:B3168,"Train",AutoClaim_Data!D2:D3168,"&gt;"&amp;$B$2))</f>
        <v/>
      </c>
      <c r="H1769">
        <f>IF(AutoClaim_Data!D1769&lt;=$B$2,IF(AutoClaim_Data!E1769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69">
        <f>(F1769-H1769)^2</f>
        <v/>
      </c>
      <c r="J1769">
        <f>--(E1769="Validation")</f>
        <v/>
      </c>
    </row>
    <row r="1770">
      <c r="D1770">
        <f>AutoClaim_Data!A1770</f>
        <v/>
      </c>
      <c r="E1770">
        <f>AutoClaim_Data!B1770</f>
        <v/>
      </c>
      <c r="F1770">
        <f>AutoClaim_Data!C1770</f>
        <v/>
      </c>
      <c r="G1770">
        <f>IF(AutoClaim_Data!D1770&lt;=$B$2,AVERAGEIFS(AutoClaim_Data!C2:C3168,AutoClaim_Data!B2:B3168,"Train",AutoClaim_Data!D2:D3168,"&lt;="&amp;$B$2),AVERAGEIFS(AutoClaim_Data!C2:C3168,AutoClaim_Data!B2:B3168,"Train",AutoClaim_Data!D2:D3168,"&gt;"&amp;$B$2))</f>
        <v/>
      </c>
      <c r="H1770">
        <f>IF(AutoClaim_Data!D1770&lt;=$B$2,IF(AutoClaim_Data!E1770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0">
        <f>(F1770-H1770)^2</f>
        <v/>
      </c>
      <c r="J1770">
        <f>--(E1770="Validation")</f>
        <v/>
      </c>
    </row>
    <row r="1771">
      <c r="D1771">
        <f>AutoClaim_Data!A1771</f>
        <v/>
      </c>
      <c r="E1771">
        <f>AutoClaim_Data!B1771</f>
        <v/>
      </c>
      <c r="F1771">
        <f>AutoClaim_Data!C1771</f>
        <v/>
      </c>
      <c r="G1771">
        <f>IF(AutoClaim_Data!D1771&lt;=$B$2,AVERAGEIFS(AutoClaim_Data!C2:C3168,AutoClaim_Data!B2:B3168,"Train",AutoClaim_Data!D2:D3168,"&lt;="&amp;$B$2),AVERAGEIFS(AutoClaim_Data!C2:C3168,AutoClaim_Data!B2:B3168,"Train",AutoClaim_Data!D2:D3168,"&gt;"&amp;$B$2))</f>
        <v/>
      </c>
      <c r="H1771">
        <f>IF(AutoClaim_Data!D1771&lt;=$B$2,IF(AutoClaim_Data!E1771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1">
        <f>(F1771-H1771)^2</f>
        <v/>
      </c>
      <c r="J1771">
        <f>--(E1771="Validation")</f>
        <v/>
      </c>
    </row>
    <row r="1772">
      <c r="D1772">
        <f>AutoClaim_Data!A1772</f>
        <v/>
      </c>
      <c r="E1772">
        <f>AutoClaim_Data!B1772</f>
        <v/>
      </c>
      <c r="F1772">
        <f>AutoClaim_Data!C1772</f>
        <v/>
      </c>
      <c r="G1772">
        <f>IF(AutoClaim_Data!D1772&lt;=$B$2,AVERAGEIFS(AutoClaim_Data!C2:C3168,AutoClaim_Data!B2:B3168,"Train",AutoClaim_Data!D2:D3168,"&lt;="&amp;$B$2),AVERAGEIFS(AutoClaim_Data!C2:C3168,AutoClaim_Data!B2:B3168,"Train",AutoClaim_Data!D2:D3168,"&gt;"&amp;$B$2))</f>
        <v/>
      </c>
      <c r="H1772">
        <f>IF(AutoClaim_Data!D1772&lt;=$B$2,IF(AutoClaim_Data!E1772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2">
        <f>(F1772-H1772)^2</f>
        <v/>
      </c>
      <c r="J1772">
        <f>--(E1772="Validation")</f>
        <v/>
      </c>
    </row>
    <row r="1773">
      <c r="D1773">
        <f>AutoClaim_Data!A1773</f>
        <v/>
      </c>
      <c r="E1773">
        <f>AutoClaim_Data!B1773</f>
        <v/>
      </c>
      <c r="F1773">
        <f>AutoClaim_Data!C1773</f>
        <v/>
      </c>
      <c r="G1773">
        <f>IF(AutoClaim_Data!D1773&lt;=$B$2,AVERAGEIFS(AutoClaim_Data!C2:C3168,AutoClaim_Data!B2:B3168,"Train",AutoClaim_Data!D2:D3168,"&lt;="&amp;$B$2),AVERAGEIFS(AutoClaim_Data!C2:C3168,AutoClaim_Data!B2:B3168,"Train",AutoClaim_Data!D2:D3168,"&gt;"&amp;$B$2))</f>
        <v/>
      </c>
      <c r="H1773">
        <f>IF(AutoClaim_Data!D1773&lt;=$B$2,IF(AutoClaim_Data!E1773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3">
        <f>(F1773-H1773)^2</f>
        <v/>
      </c>
      <c r="J1773">
        <f>--(E1773="Validation")</f>
        <v/>
      </c>
    </row>
    <row r="1774">
      <c r="D1774">
        <f>AutoClaim_Data!A1774</f>
        <v/>
      </c>
      <c r="E1774">
        <f>AutoClaim_Data!B1774</f>
        <v/>
      </c>
      <c r="F1774">
        <f>AutoClaim_Data!C1774</f>
        <v/>
      </c>
      <c r="G1774">
        <f>IF(AutoClaim_Data!D1774&lt;=$B$2,AVERAGEIFS(AutoClaim_Data!C2:C3168,AutoClaim_Data!B2:B3168,"Train",AutoClaim_Data!D2:D3168,"&lt;="&amp;$B$2),AVERAGEIFS(AutoClaim_Data!C2:C3168,AutoClaim_Data!B2:B3168,"Train",AutoClaim_Data!D2:D3168,"&gt;"&amp;$B$2))</f>
        <v/>
      </c>
      <c r="H1774">
        <f>IF(AutoClaim_Data!D1774&lt;=$B$2,IF(AutoClaim_Data!E1774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4">
        <f>(F1774-H1774)^2</f>
        <v/>
      </c>
      <c r="J1774">
        <f>--(E1774="Validation")</f>
        <v/>
      </c>
    </row>
    <row r="1775">
      <c r="D1775">
        <f>AutoClaim_Data!A1775</f>
        <v/>
      </c>
      <c r="E1775">
        <f>AutoClaim_Data!B1775</f>
        <v/>
      </c>
      <c r="F1775">
        <f>AutoClaim_Data!C1775</f>
        <v/>
      </c>
      <c r="G1775">
        <f>IF(AutoClaim_Data!D1775&lt;=$B$2,AVERAGEIFS(AutoClaim_Data!C2:C3168,AutoClaim_Data!B2:B3168,"Train",AutoClaim_Data!D2:D3168,"&lt;="&amp;$B$2),AVERAGEIFS(AutoClaim_Data!C2:C3168,AutoClaim_Data!B2:B3168,"Train",AutoClaim_Data!D2:D3168,"&gt;"&amp;$B$2))</f>
        <v/>
      </c>
      <c r="H1775">
        <f>IF(AutoClaim_Data!D1775&lt;=$B$2,IF(AutoClaim_Data!E1775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5">
        <f>(F1775-H1775)^2</f>
        <v/>
      </c>
      <c r="J1775">
        <f>--(E1775="Validation")</f>
        <v/>
      </c>
    </row>
    <row r="1776">
      <c r="D1776">
        <f>AutoClaim_Data!A1776</f>
        <v/>
      </c>
      <c r="E1776">
        <f>AutoClaim_Data!B1776</f>
        <v/>
      </c>
      <c r="F1776">
        <f>AutoClaim_Data!C1776</f>
        <v/>
      </c>
      <c r="G1776">
        <f>IF(AutoClaim_Data!D1776&lt;=$B$2,AVERAGEIFS(AutoClaim_Data!C2:C3168,AutoClaim_Data!B2:B3168,"Train",AutoClaim_Data!D2:D3168,"&lt;="&amp;$B$2),AVERAGEIFS(AutoClaim_Data!C2:C3168,AutoClaim_Data!B2:B3168,"Train",AutoClaim_Data!D2:D3168,"&gt;"&amp;$B$2))</f>
        <v/>
      </c>
      <c r="H1776">
        <f>IF(AutoClaim_Data!D1776&lt;=$B$2,IF(AutoClaim_Data!E1776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6">
        <f>(F1776-H1776)^2</f>
        <v/>
      </c>
      <c r="J1776">
        <f>--(E1776="Validation")</f>
        <v/>
      </c>
    </row>
    <row r="1777">
      <c r="D1777">
        <f>AutoClaim_Data!A1777</f>
        <v/>
      </c>
      <c r="E1777">
        <f>AutoClaim_Data!B1777</f>
        <v/>
      </c>
      <c r="F1777">
        <f>AutoClaim_Data!C1777</f>
        <v/>
      </c>
      <c r="G1777">
        <f>IF(AutoClaim_Data!D1777&lt;=$B$2,AVERAGEIFS(AutoClaim_Data!C2:C3168,AutoClaim_Data!B2:B3168,"Train",AutoClaim_Data!D2:D3168,"&lt;="&amp;$B$2),AVERAGEIFS(AutoClaim_Data!C2:C3168,AutoClaim_Data!B2:B3168,"Train",AutoClaim_Data!D2:D3168,"&gt;"&amp;$B$2))</f>
        <v/>
      </c>
      <c r="H1777">
        <f>IF(AutoClaim_Data!D1777&lt;=$B$2,IF(AutoClaim_Data!E1777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7">
        <f>(F1777-H1777)^2</f>
        <v/>
      </c>
      <c r="J1777">
        <f>--(E1777="Validation")</f>
        <v/>
      </c>
    </row>
    <row r="1778">
      <c r="D1778">
        <f>AutoClaim_Data!A1778</f>
        <v/>
      </c>
      <c r="E1778">
        <f>AutoClaim_Data!B1778</f>
        <v/>
      </c>
      <c r="F1778">
        <f>AutoClaim_Data!C1778</f>
        <v/>
      </c>
      <c r="G1778">
        <f>IF(AutoClaim_Data!D1778&lt;=$B$2,AVERAGEIFS(AutoClaim_Data!C2:C3168,AutoClaim_Data!B2:B3168,"Train",AutoClaim_Data!D2:D3168,"&lt;="&amp;$B$2),AVERAGEIFS(AutoClaim_Data!C2:C3168,AutoClaim_Data!B2:B3168,"Train",AutoClaim_Data!D2:D3168,"&gt;"&amp;$B$2))</f>
        <v/>
      </c>
      <c r="H1778">
        <f>IF(AutoClaim_Data!D1778&lt;=$B$2,IF(AutoClaim_Data!E1778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8">
        <f>(F1778-H1778)^2</f>
        <v/>
      </c>
      <c r="J1778">
        <f>--(E1778="Validation")</f>
        <v/>
      </c>
    </row>
    <row r="1779">
      <c r="D1779">
        <f>AutoClaim_Data!A1779</f>
        <v/>
      </c>
      <c r="E1779">
        <f>AutoClaim_Data!B1779</f>
        <v/>
      </c>
      <c r="F1779">
        <f>AutoClaim_Data!C1779</f>
        <v/>
      </c>
      <c r="G1779">
        <f>IF(AutoClaim_Data!D1779&lt;=$B$2,AVERAGEIFS(AutoClaim_Data!C2:C3168,AutoClaim_Data!B2:B3168,"Train",AutoClaim_Data!D2:D3168,"&lt;="&amp;$B$2),AVERAGEIFS(AutoClaim_Data!C2:C3168,AutoClaim_Data!B2:B3168,"Train",AutoClaim_Data!D2:D3168,"&gt;"&amp;$B$2))</f>
        <v/>
      </c>
      <c r="H1779">
        <f>IF(AutoClaim_Data!D1779&lt;=$B$2,IF(AutoClaim_Data!E1779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79">
        <f>(F1779-H1779)^2</f>
        <v/>
      </c>
      <c r="J1779">
        <f>--(E1779="Validation")</f>
        <v/>
      </c>
    </row>
    <row r="1780">
      <c r="D1780">
        <f>AutoClaim_Data!A1780</f>
        <v/>
      </c>
      <c r="E1780">
        <f>AutoClaim_Data!B1780</f>
        <v/>
      </c>
      <c r="F1780">
        <f>AutoClaim_Data!C1780</f>
        <v/>
      </c>
      <c r="G1780">
        <f>IF(AutoClaim_Data!D1780&lt;=$B$2,AVERAGEIFS(AutoClaim_Data!C2:C3168,AutoClaim_Data!B2:B3168,"Train",AutoClaim_Data!D2:D3168,"&lt;="&amp;$B$2),AVERAGEIFS(AutoClaim_Data!C2:C3168,AutoClaim_Data!B2:B3168,"Train",AutoClaim_Data!D2:D3168,"&gt;"&amp;$B$2))</f>
        <v/>
      </c>
      <c r="H1780">
        <f>IF(AutoClaim_Data!D1780&lt;=$B$2,IF(AutoClaim_Data!E1780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0">
        <f>(F1780-H1780)^2</f>
        <v/>
      </c>
      <c r="J1780">
        <f>--(E1780="Validation")</f>
        <v/>
      </c>
    </row>
    <row r="1781">
      <c r="D1781">
        <f>AutoClaim_Data!A1781</f>
        <v/>
      </c>
      <c r="E1781">
        <f>AutoClaim_Data!B1781</f>
        <v/>
      </c>
      <c r="F1781">
        <f>AutoClaim_Data!C1781</f>
        <v/>
      </c>
      <c r="G1781">
        <f>IF(AutoClaim_Data!D1781&lt;=$B$2,AVERAGEIFS(AutoClaim_Data!C2:C3168,AutoClaim_Data!B2:B3168,"Train",AutoClaim_Data!D2:D3168,"&lt;="&amp;$B$2),AVERAGEIFS(AutoClaim_Data!C2:C3168,AutoClaim_Data!B2:B3168,"Train",AutoClaim_Data!D2:D3168,"&gt;"&amp;$B$2))</f>
        <v/>
      </c>
      <c r="H1781">
        <f>IF(AutoClaim_Data!D1781&lt;=$B$2,IF(AutoClaim_Data!E1781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1">
        <f>(F1781-H1781)^2</f>
        <v/>
      </c>
      <c r="J1781">
        <f>--(E1781="Validation")</f>
        <v/>
      </c>
    </row>
    <row r="1782">
      <c r="D1782">
        <f>AutoClaim_Data!A1782</f>
        <v/>
      </c>
      <c r="E1782">
        <f>AutoClaim_Data!B1782</f>
        <v/>
      </c>
      <c r="F1782">
        <f>AutoClaim_Data!C1782</f>
        <v/>
      </c>
      <c r="G1782">
        <f>IF(AutoClaim_Data!D1782&lt;=$B$2,AVERAGEIFS(AutoClaim_Data!C2:C3168,AutoClaim_Data!B2:B3168,"Train",AutoClaim_Data!D2:D3168,"&lt;="&amp;$B$2),AVERAGEIFS(AutoClaim_Data!C2:C3168,AutoClaim_Data!B2:B3168,"Train",AutoClaim_Data!D2:D3168,"&gt;"&amp;$B$2))</f>
        <v/>
      </c>
      <c r="H1782">
        <f>IF(AutoClaim_Data!D1782&lt;=$B$2,IF(AutoClaim_Data!E1782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2">
        <f>(F1782-H1782)^2</f>
        <v/>
      </c>
      <c r="J1782">
        <f>--(E1782="Validation")</f>
        <v/>
      </c>
    </row>
    <row r="1783">
      <c r="D1783">
        <f>AutoClaim_Data!A1783</f>
        <v/>
      </c>
      <c r="E1783">
        <f>AutoClaim_Data!B1783</f>
        <v/>
      </c>
      <c r="F1783">
        <f>AutoClaim_Data!C1783</f>
        <v/>
      </c>
      <c r="G1783">
        <f>IF(AutoClaim_Data!D1783&lt;=$B$2,AVERAGEIFS(AutoClaim_Data!C2:C3168,AutoClaim_Data!B2:B3168,"Train",AutoClaim_Data!D2:D3168,"&lt;="&amp;$B$2),AVERAGEIFS(AutoClaim_Data!C2:C3168,AutoClaim_Data!B2:B3168,"Train",AutoClaim_Data!D2:D3168,"&gt;"&amp;$B$2))</f>
        <v/>
      </c>
      <c r="H1783">
        <f>IF(AutoClaim_Data!D1783&lt;=$B$2,IF(AutoClaim_Data!E1783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3">
        <f>(F1783-H1783)^2</f>
        <v/>
      </c>
      <c r="J1783">
        <f>--(E1783="Validation")</f>
        <v/>
      </c>
    </row>
    <row r="1784">
      <c r="D1784">
        <f>AutoClaim_Data!A1784</f>
        <v/>
      </c>
      <c r="E1784">
        <f>AutoClaim_Data!B1784</f>
        <v/>
      </c>
      <c r="F1784">
        <f>AutoClaim_Data!C1784</f>
        <v/>
      </c>
      <c r="G1784">
        <f>IF(AutoClaim_Data!D1784&lt;=$B$2,AVERAGEIFS(AutoClaim_Data!C2:C3168,AutoClaim_Data!B2:B3168,"Train",AutoClaim_Data!D2:D3168,"&lt;="&amp;$B$2),AVERAGEIFS(AutoClaim_Data!C2:C3168,AutoClaim_Data!B2:B3168,"Train",AutoClaim_Data!D2:D3168,"&gt;"&amp;$B$2))</f>
        <v/>
      </c>
      <c r="H1784">
        <f>IF(AutoClaim_Data!D1784&lt;=$B$2,IF(AutoClaim_Data!E1784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4">
        <f>(F1784-H1784)^2</f>
        <v/>
      </c>
      <c r="J1784">
        <f>--(E1784="Validation")</f>
        <v/>
      </c>
    </row>
    <row r="1785">
      <c r="D1785">
        <f>AutoClaim_Data!A1785</f>
        <v/>
      </c>
      <c r="E1785">
        <f>AutoClaim_Data!B1785</f>
        <v/>
      </c>
      <c r="F1785">
        <f>AutoClaim_Data!C1785</f>
        <v/>
      </c>
      <c r="G1785">
        <f>IF(AutoClaim_Data!D1785&lt;=$B$2,AVERAGEIFS(AutoClaim_Data!C2:C3168,AutoClaim_Data!B2:B3168,"Train",AutoClaim_Data!D2:D3168,"&lt;="&amp;$B$2),AVERAGEIFS(AutoClaim_Data!C2:C3168,AutoClaim_Data!B2:B3168,"Train",AutoClaim_Data!D2:D3168,"&gt;"&amp;$B$2))</f>
        <v/>
      </c>
      <c r="H1785">
        <f>IF(AutoClaim_Data!D1785&lt;=$B$2,IF(AutoClaim_Data!E1785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5">
        <f>(F1785-H1785)^2</f>
        <v/>
      </c>
      <c r="J1785">
        <f>--(E1785="Validation")</f>
        <v/>
      </c>
    </row>
    <row r="1786">
      <c r="D1786">
        <f>AutoClaim_Data!A1786</f>
        <v/>
      </c>
      <c r="E1786">
        <f>AutoClaim_Data!B1786</f>
        <v/>
      </c>
      <c r="F1786">
        <f>AutoClaim_Data!C1786</f>
        <v/>
      </c>
      <c r="G1786">
        <f>IF(AutoClaim_Data!D1786&lt;=$B$2,AVERAGEIFS(AutoClaim_Data!C2:C3168,AutoClaim_Data!B2:B3168,"Train",AutoClaim_Data!D2:D3168,"&lt;="&amp;$B$2),AVERAGEIFS(AutoClaim_Data!C2:C3168,AutoClaim_Data!B2:B3168,"Train",AutoClaim_Data!D2:D3168,"&gt;"&amp;$B$2))</f>
        <v/>
      </c>
      <c r="H1786">
        <f>IF(AutoClaim_Data!D1786&lt;=$B$2,IF(AutoClaim_Data!E1786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6">
        <f>(F1786-H1786)^2</f>
        <v/>
      </c>
      <c r="J1786">
        <f>--(E1786="Validation")</f>
        <v/>
      </c>
    </row>
    <row r="1787">
      <c r="D1787">
        <f>AutoClaim_Data!A1787</f>
        <v/>
      </c>
      <c r="E1787">
        <f>AutoClaim_Data!B1787</f>
        <v/>
      </c>
      <c r="F1787">
        <f>AutoClaim_Data!C1787</f>
        <v/>
      </c>
      <c r="G1787">
        <f>IF(AutoClaim_Data!D1787&lt;=$B$2,AVERAGEIFS(AutoClaim_Data!C2:C3168,AutoClaim_Data!B2:B3168,"Train",AutoClaim_Data!D2:D3168,"&lt;="&amp;$B$2),AVERAGEIFS(AutoClaim_Data!C2:C3168,AutoClaim_Data!B2:B3168,"Train",AutoClaim_Data!D2:D3168,"&gt;"&amp;$B$2))</f>
        <v/>
      </c>
      <c r="H1787">
        <f>IF(AutoClaim_Data!D1787&lt;=$B$2,IF(AutoClaim_Data!E1787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7">
        <f>(F1787-H1787)^2</f>
        <v/>
      </c>
      <c r="J1787">
        <f>--(E1787="Validation")</f>
        <v/>
      </c>
    </row>
    <row r="1788">
      <c r="D1788">
        <f>AutoClaim_Data!A1788</f>
        <v/>
      </c>
      <c r="E1788">
        <f>AutoClaim_Data!B1788</f>
        <v/>
      </c>
      <c r="F1788">
        <f>AutoClaim_Data!C1788</f>
        <v/>
      </c>
      <c r="G1788">
        <f>IF(AutoClaim_Data!D1788&lt;=$B$2,AVERAGEIFS(AutoClaim_Data!C2:C3168,AutoClaim_Data!B2:B3168,"Train",AutoClaim_Data!D2:D3168,"&lt;="&amp;$B$2),AVERAGEIFS(AutoClaim_Data!C2:C3168,AutoClaim_Data!B2:B3168,"Train",AutoClaim_Data!D2:D3168,"&gt;"&amp;$B$2))</f>
        <v/>
      </c>
      <c r="H1788">
        <f>IF(AutoClaim_Data!D1788&lt;=$B$2,IF(AutoClaim_Data!E1788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8">
        <f>(F1788-H1788)^2</f>
        <v/>
      </c>
      <c r="J1788">
        <f>--(E1788="Validation")</f>
        <v/>
      </c>
    </row>
    <row r="1789">
      <c r="D1789">
        <f>AutoClaim_Data!A1789</f>
        <v/>
      </c>
      <c r="E1789">
        <f>AutoClaim_Data!B1789</f>
        <v/>
      </c>
      <c r="F1789">
        <f>AutoClaim_Data!C1789</f>
        <v/>
      </c>
      <c r="G1789">
        <f>IF(AutoClaim_Data!D1789&lt;=$B$2,AVERAGEIFS(AutoClaim_Data!C2:C3168,AutoClaim_Data!B2:B3168,"Train",AutoClaim_Data!D2:D3168,"&lt;="&amp;$B$2),AVERAGEIFS(AutoClaim_Data!C2:C3168,AutoClaim_Data!B2:B3168,"Train",AutoClaim_Data!D2:D3168,"&gt;"&amp;$B$2))</f>
        <v/>
      </c>
      <c r="H1789">
        <f>IF(AutoClaim_Data!D1789&lt;=$B$2,IF(AutoClaim_Data!E1789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89">
        <f>(F1789-H1789)^2</f>
        <v/>
      </c>
      <c r="J1789">
        <f>--(E1789="Validation")</f>
        <v/>
      </c>
    </row>
    <row r="1790">
      <c r="D1790">
        <f>AutoClaim_Data!A1790</f>
        <v/>
      </c>
      <c r="E1790">
        <f>AutoClaim_Data!B1790</f>
        <v/>
      </c>
      <c r="F1790">
        <f>AutoClaim_Data!C1790</f>
        <v/>
      </c>
      <c r="G1790">
        <f>IF(AutoClaim_Data!D1790&lt;=$B$2,AVERAGEIFS(AutoClaim_Data!C2:C3168,AutoClaim_Data!B2:B3168,"Train",AutoClaim_Data!D2:D3168,"&lt;="&amp;$B$2),AVERAGEIFS(AutoClaim_Data!C2:C3168,AutoClaim_Data!B2:B3168,"Train",AutoClaim_Data!D2:D3168,"&gt;"&amp;$B$2))</f>
        <v/>
      </c>
      <c r="H1790">
        <f>IF(AutoClaim_Data!D1790&lt;=$B$2,IF(AutoClaim_Data!E1790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0">
        <f>(F1790-H1790)^2</f>
        <v/>
      </c>
      <c r="J1790">
        <f>--(E1790="Validation")</f>
        <v/>
      </c>
    </row>
    <row r="1791">
      <c r="D1791">
        <f>AutoClaim_Data!A1791</f>
        <v/>
      </c>
      <c r="E1791">
        <f>AutoClaim_Data!B1791</f>
        <v/>
      </c>
      <c r="F1791">
        <f>AutoClaim_Data!C1791</f>
        <v/>
      </c>
      <c r="G1791">
        <f>IF(AutoClaim_Data!D1791&lt;=$B$2,AVERAGEIFS(AutoClaim_Data!C2:C3168,AutoClaim_Data!B2:B3168,"Train",AutoClaim_Data!D2:D3168,"&lt;="&amp;$B$2),AVERAGEIFS(AutoClaim_Data!C2:C3168,AutoClaim_Data!B2:B3168,"Train",AutoClaim_Data!D2:D3168,"&gt;"&amp;$B$2))</f>
        <v/>
      </c>
      <c r="H1791">
        <f>IF(AutoClaim_Data!D1791&lt;=$B$2,IF(AutoClaim_Data!E1791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1">
        <f>(F1791-H1791)^2</f>
        <v/>
      </c>
      <c r="J1791">
        <f>--(E1791="Validation")</f>
        <v/>
      </c>
    </row>
    <row r="1792">
      <c r="D1792">
        <f>AutoClaim_Data!A1792</f>
        <v/>
      </c>
      <c r="E1792">
        <f>AutoClaim_Data!B1792</f>
        <v/>
      </c>
      <c r="F1792">
        <f>AutoClaim_Data!C1792</f>
        <v/>
      </c>
      <c r="G1792">
        <f>IF(AutoClaim_Data!D1792&lt;=$B$2,AVERAGEIFS(AutoClaim_Data!C2:C3168,AutoClaim_Data!B2:B3168,"Train",AutoClaim_Data!D2:D3168,"&lt;="&amp;$B$2),AVERAGEIFS(AutoClaim_Data!C2:C3168,AutoClaim_Data!B2:B3168,"Train",AutoClaim_Data!D2:D3168,"&gt;"&amp;$B$2))</f>
        <v/>
      </c>
      <c r="H1792">
        <f>IF(AutoClaim_Data!D1792&lt;=$B$2,IF(AutoClaim_Data!E1792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2">
        <f>(F1792-H1792)^2</f>
        <v/>
      </c>
      <c r="J1792">
        <f>--(E1792="Validation")</f>
        <v/>
      </c>
    </row>
    <row r="1793">
      <c r="D1793">
        <f>AutoClaim_Data!A1793</f>
        <v/>
      </c>
      <c r="E1793">
        <f>AutoClaim_Data!B1793</f>
        <v/>
      </c>
      <c r="F1793">
        <f>AutoClaim_Data!C1793</f>
        <v/>
      </c>
      <c r="G1793">
        <f>IF(AutoClaim_Data!D1793&lt;=$B$2,AVERAGEIFS(AutoClaim_Data!C2:C3168,AutoClaim_Data!B2:B3168,"Train",AutoClaim_Data!D2:D3168,"&lt;="&amp;$B$2),AVERAGEIFS(AutoClaim_Data!C2:C3168,AutoClaim_Data!B2:B3168,"Train",AutoClaim_Data!D2:D3168,"&gt;"&amp;$B$2))</f>
        <v/>
      </c>
      <c r="H1793">
        <f>IF(AutoClaim_Data!D1793&lt;=$B$2,IF(AutoClaim_Data!E1793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3">
        <f>(F1793-H1793)^2</f>
        <v/>
      </c>
      <c r="J1793">
        <f>--(E1793="Validation")</f>
        <v/>
      </c>
    </row>
    <row r="1794">
      <c r="D1794">
        <f>AutoClaim_Data!A1794</f>
        <v/>
      </c>
      <c r="E1794">
        <f>AutoClaim_Data!B1794</f>
        <v/>
      </c>
      <c r="F1794">
        <f>AutoClaim_Data!C1794</f>
        <v/>
      </c>
      <c r="G1794">
        <f>IF(AutoClaim_Data!D1794&lt;=$B$2,AVERAGEIFS(AutoClaim_Data!C2:C3168,AutoClaim_Data!B2:B3168,"Train",AutoClaim_Data!D2:D3168,"&lt;="&amp;$B$2),AVERAGEIFS(AutoClaim_Data!C2:C3168,AutoClaim_Data!B2:B3168,"Train",AutoClaim_Data!D2:D3168,"&gt;"&amp;$B$2))</f>
        <v/>
      </c>
      <c r="H1794">
        <f>IF(AutoClaim_Data!D1794&lt;=$B$2,IF(AutoClaim_Data!E1794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4">
        <f>(F1794-H1794)^2</f>
        <v/>
      </c>
      <c r="J1794">
        <f>--(E1794="Validation")</f>
        <v/>
      </c>
    </row>
    <row r="1795">
      <c r="D1795">
        <f>AutoClaim_Data!A1795</f>
        <v/>
      </c>
      <c r="E1795">
        <f>AutoClaim_Data!B1795</f>
        <v/>
      </c>
      <c r="F1795">
        <f>AutoClaim_Data!C1795</f>
        <v/>
      </c>
      <c r="G1795">
        <f>IF(AutoClaim_Data!D1795&lt;=$B$2,AVERAGEIFS(AutoClaim_Data!C2:C3168,AutoClaim_Data!B2:B3168,"Train",AutoClaim_Data!D2:D3168,"&lt;="&amp;$B$2),AVERAGEIFS(AutoClaim_Data!C2:C3168,AutoClaim_Data!B2:B3168,"Train",AutoClaim_Data!D2:D3168,"&gt;"&amp;$B$2))</f>
        <v/>
      </c>
      <c r="H1795">
        <f>IF(AutoClaim_Data!D1795&lt;=$B$2,IF(AutoClaim_Data!E1795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5">
        <f>(F1795-H1795)^2</f>
        <v/>
      </c>
      <c r="J1795">
        <f>--(E1795="Validation")</f>
        <v/>
      </c>
    </row>
    <row r="1796">
      <c r="D1796">
        <f>AutoClaim_Data!A1796</f>
        <v/>
      </c>
      <c r="E1796">
        <f>AutoClaim_Data!B1796</f>
        <v/>
      </c>
      <c r="F1796">
        <f>AutoClaim_Data!C1796</f>
        <v/>
      </c>
      <c r="G1796">
        <f>IF(AutoClaim_Data!D1796&lt;=$B$2,AVERAGEIFS(AutoClaim_Data!C2:C3168,AutoClaim_Data!B2:B3168,"Train",AutoClaim_Data!D2:D3168,"&lt;="&amp;$B$2),AVERAGEIFS(AutoClaim_Data!C2:C3168,AutoClaim_Data!B2:B3168,"Train",AutoClaim_Data!D2:D3168,"&gt;"&amp;$B$2))</f>
        <v/>
      </c>
      <c r="H1796">
        <f>IF(AutoClaim_Data!D1796&lt;=$B$2,IF(AutoClaim_Data!E1796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6">
        <f>(F1796-H1796)^2</f>
        <v/>
      </c>
      <c r="J1796">
        <f>--(E1796="Validation")</f>
        <v/>
      </c>
    </row>
    <row r="1797">
      <c r="D1797">
        <f>AutoClaim_Data!A1797</f>
        <v/>
      </c>
      <c r="E1797">
        <f>AutoClaim_Data!B1797</f>
        <v/>
      </c>
      <c r="F1797">
        <f>AutoClaim_Data!C1797</f>
        <v/>
      </c>
      <c r="G1797">
        <f>IF(AutoClaim_Data!D1797&lt;=$B$2,AVERAGEIFS(AutoClaim_Data!C2:C3168,AutoClaim_Data!B2:B3168,"Train",AutoClaim_Data!D2:D3168,"&lt;="&amp;$B$2),AVERAGEIFS(AutoClaim_Data!C2:C3168,AutoClaim_Data!B2:B3168,"Train",AutoClaim_Data!D2:D3168,"&gt;"&amp;$B$2))</f>
        <v/>
      </c>
      <c r="H1797">
        <f>IF(AutoClaim_Data!D1797&lt;=$B$2,IF(AutoClaim_Data!E1797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7">
        <f>(F1797-H1797)^2</f>
        <v/>
      </c>
      <c r="J1797">
        <f>--(E1797="Validation")</f>
        <v/>
      </c>
    </row>
    <row r="1798">
      <c r="D1798">
        <f>AutoClaim_Data!A1798</f>
        <v/>
      </c>
      <c r="E1798">
        <f>AutoClaim_Data!B1798</f>
        <v/>
      </c>
      <c r="F1798">
        <f>AutoClaim_Data!C1798</f>
        <v/>
      </c>
      <c r="G1798">
        <f>IF(AutoClaim_Data!D1798&lt;=$B$2,AVERAGEIFS(AutoClaim_Data!C2:C3168,AutoClaim_Data!B2:B3168,"Train",AutoClaim_Data!D2:D3168,"&lt;="&amp;$B$2),AVERAGEIFS(AutoClaim_Data!C2:C3168,AutoClaim_Data!B2:B3168,"Train",AutoClaim_Data!D2:D3168,"&gt;"&amp;$B$2))</f>
        <v/>
      </c>
      <c r="H1798">
        <f>IF(AutoClaim_Data!D1798&lt;=$B$2,IF(AutoClaim_Data!E1798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8">
        <f>(F1798-H1798)^2</f>
        <v/>
      </c>
      <c r="J1798">
        <f>--(E1798="Validation")</f>
        <v/>
      </c>
    </row>
    <row r="1799">
      <c r="D1799">
        <f>AutoClaim_Data!A1799</f>
        <v/>
      </c>
      <c r="E1799">
        <f>AutoClaim_Data!B1799</f>
        <v/>
      </c>
      <c r="F1799">
        <f>AutoClaim_Data!C1799</f>
        <v/>
      </c>
      <c r="G1799">
        <f>IF(AutoClaim_Data!D1799&lt;=$B$2,AVERAGEIFS(AutoClaim_Data!C2:C3168,AutoClaim_Data!B2:B3168,"Train",AutoClaim_Data!D2:D3168,"&lt;="&amp;$B$2),AVERAGEIFS(AutoClaim_Data!C2:C3168,AutoClaim_Data!B2:B3168,"Train",AutoClaim_Data!D2:D3168,"&gt;"&amp;$B$2))</f>
        <v/>
      </c>
      <c r="H1799">
        <f>IF(AutoClaim_Data!D1799&lt;=$B$2,IF(AutoClaim_Data!E1799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1799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799">
        <f>(F1799-H1799)^2</f>
        <v/>
      </c>
      <c r="J1799">
        <f>--(E1799="Validation")</f>
        <v/>
      </c>
    </row>
    <row r="1800">
      <c r="D1800">
        <f>AutoClaim_Data!A1800</f>
        <v/>
      </c>
      <c r="E1800">
        <f>AutoClaim_Data!B1800</f>
        <v/>
      </c>
      <c r="F1800">
        <f>AutoClaim_Data!C1800</f>
        <v/>
      </c>
      <c r="G1800">
        <f>IF(AutoClaim_Data!D1800&lt;=$B$2,AVERAGEIFS(AutoClaim_Data!C2:C3168,AutoClaim_Data!B2:B3168,"Train",AutoClaim_Data!D2:D3168,"&lt;="&amp;$B$2),AVERAGEIFS(AutoClaim_Data!C2:C3168,AutoClaim_Data!B2:B3168,"Train",AutoClaim_Data!D2:D3168,"&gt;"&amp;$B$2))</f>
        <v/>
      </c>
      <c r="H1800">
        <f>IF(AutoClaim_Data!D1800&lt;=$B$2,IF(AutoClaim_Data!E1800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0">
        <f>(F1800-H1800)^2</f>
        <v/>
      </c>
      <c r="J1800">
        <f>--(E1800="Validation")</f>
        <v/>
      </c>
    </row>
    <row r="1801">
      <c r="D1801">
        <f>AutoClaim_Data!A1801</f>
        <v/>
      </c>
      <c r="E1801">
        <f>AutoClaim_Data!B1801</f>
        <v/>
      </c>
      <c r="F1801">
        <f>AutoClaim_Data!C1801</f>
        <v/>
      </c>
      <c r="G1801">
        <f>IF(AutoClaim_Data!D1801&lt;=$B$2,AVERAGEIFS(AutoClaim_Data!C2:C3168,AutoClaim_Data!B2:B3168,"Train",AutoClaim_Data!D2:D3168,"&lt;="&amp;$B$2),AVERAGEIFS(AutoClaim_Data!C2:C3168,AutoClaim_Data!B2:B3168,"Train",AutoClaim_Data!D2:D3168,"&gt;"&amp;$B$2))</f>
        <v/>
      </c>
      <c r="H1801">
        <f>IF(AutoClaim_Data!D1801&lt;=$B$2,IF(AutoClaim_Data!E1801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1">
        <f>(F1801-H1801)^2</f>
        <v/>
      </c>
      <c r="J1801">
        <f>--(E1801="Validation")</f>
        <v/>
      </c>
    </row>
    <row r="1802">
      <c r="D1802">
        <f>AutoClaim_Data!A1802</f>
        <v/>
      </c>
      <c r="E1802">
        <f>AutoClaim_Data!B1802</f>
        <v/>
      </c>
      <c r="F1802">
        <f>AutoClaim_Data!C1802</f>
        <v/>
      </c>
      <c r="G1802">
        <f>IF(AutoClaim_Data!D1802&lt;=$B$2,AVERAGEIFS(AutoClaim_Data!C2:C3168,AutoClaim_Data!B2:B3168,"Train",AutoClaim_Data!D2:D3168,"&lt;="&amp;$B$2),AVERAGEIFS(AutoClaim_Data!C2:C3168,AutoClaim_Data!B2:B3168,"Train",AutoClaim_Data!D2:D3168,"&gt;"&amp;$B$2))</f>
        <v/>
      </c>
      <c r="H1802">
        <f>IF(AutoClaim_Data!D1802&lt;=$B$2,IF(AutoClaim_Data!E1802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2">
        <f>(F1802-H1802)^2</f>
        <v/>
      </c>
      <c r="J1802">
        <f>--(E1802="Validation")</f>
        <v/>
      </c>
    </row>
    <row r="1803">
      <c r="D1803">
        <f>AutoClaim_Data!A1803</f>
        <v/>
      </c>
      <c r="E1803">
        <f>AutoClaim_Data!B1803</f>
        <v/>
      </c>
      <c r="F1803">
        <f>AutoClaim_Data!C1803</f>
        <v/>
      </c>
      <c r="G1803">
        <f>IF(AutoClaim_Data!D1803&lt;=$B$2,AVERAGEIFS(AutoClaim_Data!C2:C3168,AutoClaim_Data!B2:B3168,"Train",AutoClaim_Data!D2:D3168,"&lt;="&amp;$B$2),AVERAGEIFS(AutoClaim_Data!C2:C3168,AutoClaim_Data!B2:B3168,"Train",AutoClaim_Data!D2:D3168,"&gt;"&amp;$B$2))</f>
        <v/>
      </c>
      <c r="H1803">
        <f>IF(AutoClaim_Data!D1803&lt;=$B$2,IF(AutoClaim_Data!E1803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3">
        <f>(F1803-H1803)^2</f>
        <v/>
      </c>
      <c r="J1803">
        <f>--(E1803="Validation")</f>
        <v/>
      </c>
    </row>
    <row r="1804">
      <c r="D1804">
        <f>AutoClaim_Data!A1804</f>
        <v/>
      </c>
      <c r="E1804">
        <f>AutoClaim_Data!B1804</f>
        <v/>
      </c>
      <c r="F1804">
        <f>AutoClaim_Data!C1804</f>
        <v/>
      </c>
      <c r="G1804">
        <f>IF(AutoClaim_Data!D1804&lt;=$B$2,AVERAGEIFS(AutoClaim_Data!C2:C3168,AutoClaim_Data!B2:B3168,"Train",AutoClaim_Data!D2:D3168,"&lt;="&amp;$B$2),AVERAGEIFS(AutoClaim_Data!C2:C3168,AutoClaim_Data!B2:B3168,"Train",AutoClaim_Data!D2:D3168,"&gt;"&amp;$B$2))</f>
        <v/>
      </c>
      <c r="H1804">
        <f>IF(AutoClaim_Data!D1804&lt;=$B$2,IF(AutoClaim_Data!E1804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4">
        <f>(F1804-H1804)^2</f>
        <v/>
      </c>
      <c r="J1804">
        <f>--(E1804="Validation")</f>
        <v/>
      </c>
    </row>
    <row r="1805">
      <c r="D1805">
        <f>AutoClaim_Data!A1805</f>
        <v/>
      </c>
      <c r="E1805">
        <f>AutoClaim_Data!B1805</f>
        <v/>
      </c>
      <c r="F1805">
        <f>AutoClaim_Data!C1805</f>
        <v/>
      </c>
      <c r="G1805">
        <f>IF(AutoClaim_Data!D1805&lt;=$B$2,AVERAGEIFS(AutoClaim_Data!C2:C3168,AutoClaim_Data!B2:B3168,"Train",AutoClaim_Data!D2:D3168,"&lt;="&amp;$B$2),AVERAGEIFS(AutoClaim_Data!C2:C3168,AutoClaim_Data!B2:B3168,"Train",AutoClaim_Data!D2:D3168,"&gt;"&amp;$B$2))</f>
        <v/>
      </c>
      <c r="H1805">
        <f>IF(AutoClaim_Data!D1805&lt;=$B$2,IF(AutoClaim_Data!E1805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5">
        <f>(F1805-H1805)^2</f>
        <v/>
      </c>
      <c r="J1805">
        <f>--(E1805="Validation")</f>
        <v/>
      </c>
    </row>
    <row r="1806">
      <c r="D1806">
        <f>AutoClaim_Data!A1806</f>
        <v/>
      </c>
      <c r="E1806">
        <f>AutoClaim_Data!B1806</f>
        <v/>
      </c>
      <c r="F1806">
        <f>AutoClaim_Data!C1806</f>
        <v/>
      </c>
      <c r="G1806">
        <f>IF(AutoClaim_Data!D1806&lt;=$B$2,AVERAGEIFS(AutoClaim_Data!C2:C3168,AutoClaim_Data!B2:B3168,"Train",AutoClaim_Data!D2:D3168,"&lt;="&amp;$B$2),AVERAGEIFS(AutoClaim_Data!C2:C3168,AutoClaim_Data!B2:B3168,"Train",AutoClaim_Data!D2:D3168,"&gt;"&amp;$B$2))</f>
        <v/>
      </c>
      <c r="H1806">
        <f>IF(AutoClaim_Data!D1806&lt;=$B$2,IF(AutoClaim_Data!E1806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6">
        <f>(F1806-H1806)^2</f>
        <v/>
      </c>
      <c r="J1806">
        <f>--(E1806="Validation")</f>
        <v/>
      </c>
    </row>
    <row r="1807">
      <c r="D1807">
        <f>AutoClaim_Data!A1807</f>
        <v/>
      </c>
      <c r="E1807">
        <f>AutoClaim_Data!B1807</f>
        <v/>
      </c>
      <c r="F1807">
        <f>AutoClaim_Data!C1807</f>
        <v/>
      </c>
      <c r="G1807">
        <f>IF(AutoClaim_Data!D1807&lt;=$B$2,AVERAGEIFS(AutoClaim_Data!C2:C3168,AutoClaim_Data!B2:B3168,"Train",AutoClaim_Data!D2:D3168,"&lt;="&amp;$B$2),AVERAGEIFS(AutoClaim_Data!C2:C3168,AutoClaim_Data!B2:B3168,"Train",AutoClaim_Data!D2:D3168,"&gt;"&amp;$B$2))</f>
        <v/>
      </c>
      <c r="H1807">
        <f>IF(AutoClaim_Data!D1807&lt;=$B$2,IF(AutoClaim_Data!E1807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7">
        <f>(F1807-H1807)^2</f>
        <v/>
      </c>
      <c r="J1807">
        <f>--(E1807="Validation")</f>
        <v/>
      </c>
    </row>
    <row r="1808">
      <c r="D1808">
        <f>AutoClaim_Data!A1808</f>
        <v/>
      </c>
      <c r="E1808">
        <f>AutoClaim_Data!B1808</f>
        <v/>
      </c>
      <c r="F1808">
        <f>AutoClaim_Data!C1808</f>
        <v/>
      </c>
      <c r="G1808">
        <f>IF(AutoClaim_Data!D1808&lt;=$B$2,AVERAGEIFS(AutoClaim_Data!C2:C3168,AutoClaim_Data!B2:B3168,"Train",AutoClaim_Data!D2:D3168,"&lt;="&amp;$B$2),AVERAGEIFS(AutoClaim_Data!C2:C3168,AutoClaim_Data!B2:B3168,"Train",AutoClaim_Data!D2:D3168,"&gt;"&amp;$B$2))</f>
        <v/>
      </c>
      <c r="H1808">
        <f>IF(AutoClaim_Data!D1808&lt;=$B$2,IF(AutoClaim_Data!E1808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8">
        <f>(F1808-H1808)^2</f>
        <v/>
      </c>
      <c r="J1808">
        <f>--(E1808="Validation")</f>
        <v/>
      </c>
    </row>
    <row r="1809">
      <c r="D1809">
        <f>AutoClaim_Data!A1809</f>
        <v/>
      </c>
      <c r="E1809">
        <f>AutoClaim_Data!B1809</f>
        <v/>
      </c>
      <c r="F1809">
        <f>AutoClaim_Data!C1809</f>
        <v/>
      </c>
      <c r="G1809">
        <f>IF(AutoClaim_Data!D1809&lt;=$B$2,AVERAGEIFS(AutoClaim_Data!C2:C3168,AutoClaim_Data!B2:B3168,"Train",AutoClaim_Data!D2:D3168,"&lt;="&amp;$B$2),AVERAGEIFS(AutoClaim_Data!C2:C3168,AutoClaim_Data!B2:B3168,"Train",AutoClaim_Data!D2:D3168,"&gt;"&amp;$B$2))</f>
        <v/>
      </c>
      <c r="H1809">
        <f>IF(AutoClaim_Data!D1809&lt;=$B$2,IF(AutoClaim_Data!E1809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09">
        <f>(F1809-H1809)^2</f>
        <v/>
      </c>
      <c r="J1809">
        <f>--(E1809="Validation")</f>
        <v/>
      </c>
    </row>
    <row r="1810">
      <c r="D1810">
        <f>AutoClaim_Data!A1810</f>
        <v/>
      </c>
      <c r="E1810">
        <f>AutoClaim_Data!B1810</f>
        <v/>
      </c>
      <c r="F1810">
        <f>AutoClaim_Data!C1810</f>
        <v/>
      </c>
      <c r="G1810">
        <f>IF(AutoClaim_Data!D1810&lt;=$B$2,AVERAGEIFS(AutoClaim_Data!C2:C3168,AutoClaim_Data!B2:B3168,"Train",AutoClaim_Data!D2:D3168,"&lt;="&amp;$B$2),AVERAGEIFS(AutoClaim_Data!C2:C3168,AutoClaim_Data!B2:B3168,"Train",AutoClaim_Data!D2:D3168,"&gt;"&amp;$B$2))</f>
        <v/>
      </c>
      <c r="H1810">
        <f>IF(AutoClaim_Data!D1810&lt;=$B$2,IF(AutoClaim_Data!E1810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0">
        <f>(F1810-H1810)^2</f>
        <v/>
      </c>
      <c r="J1810">
        <f>--(E1810="Validation")</f>
        <v/>
      </c>
    </row>
    <row r="1811">
      <c r="D1811">
        <f>AutoClaim_Data!A1811</f>
        <v/>
      </c>
      <c r="E1811">
        <f>AutoClaim_Data!B1811</f>
        <v/>
      </c>
      <c r="F1811">
        <f>AutoClaim_Data!C1811</f>
        <v/>
      </c>
      <c r="G1811">
        <f>IF(AutoClaim_Data!D1811&lt;=$B$2,AVERAGEIFS(AutoClaim_Data!C2:C3168,AutoClaim_Data!B2:B3168,"Train",AutoClaim_Data!D2:D3168,"&lt;="&amp;$B$2),AVERAGEIFS(AutoClaim_Data!C2:C3168,AutoClaim_Data!B2:B3168,"Train",AutoClaim_Data!D2:D3168,"&gt;"&amp;$B$2))</f>
        <v/>
      </c>
      <c r="H1811">
        <f>IF(AutoClaim_Data!D1811&lt;=$B$2,IF(AutoClaim_Data!E1811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1">
        <f>(F1811-H1811)^2</f>
        <v/>
      </c>
      <c r="J1811">
        <f>--(E1811="Validation")</f>
        <v/>
      </c>
    </row>
    <row r="1812">
      <c r="D1812">
        <f>AutoClaim_Data!A1812</f>
        <v/>
      </c>
      <c r="E1812">
        <f>AutoClaim_Data!B1812</f>
        <v/>
      </c>
      <c r="F1812">
        <f>AutoClaim_Data!C1812</f>
        <v/>
      </c>
      <c r="G1812">
        <f>IF(AutoClaim_Data!D1812&lt;=$B$2,AVERAGEIFS(AutoClaim_Data!C2:C3168,AutoClaim_Data!B2:B3168,"Train",AutoClaim_Data!D2:D3168,"&lt;="&amp;$B$2),AVERAGEIFS(AutoClaim_Data!C2:C3168,AutoClaim_Data!B2:B3168,"Train",AutoClaim_Data!D2:D3168,"&gt;"&amp;$B$2))</f>
        <v/>
      </c>
      <c r="H1812">
        <f>IF(AutoClaim_Data!D1812&lt;=$B$2,IF(AutoClaim_Data!E1812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2">
        <f>(F1812-H1812)^2</f>
        <v/>
      </c>
      <c r="J1812">
        <f>--(E1812="Validation")</f>
        <v/>
      </c>
    </row>
    <row r="1813">
      <c r="D1813">
        <f>AutoClaim_Data!A1813</f>
        <v/>
      </c>
      <c r="E1813">
        <f>AutoClaim_Data!B1813</f>
        <v/>
      </c>
      <c r="F1813">
        <f>AutoClaim_Data!C1813</f>
        <v/>
      </c>
      <c r="G1813">
        <f>IF(AutoClaim_Data!D1813&lt;=$B$2,AVERAGEIFS(AutoClaim_Data!C2:C3168,AutoClaim_Data!B2:B3168,"Train",AutoClaim_Data!D2:D3168,"&lt;="&amp;$B$2),AVERAGEIFS(AutoClaim_Data!C2:C3168,AutoClaim_Data!B2:B3168,"Train",AutoClaim_Data!D2:D3168,"&gt;"&amp;$B$2))</f>
        <v/>
      </c>
      <c r="H1813">
        <f>IF(AutoClaim_Data!D1813&lt;=$B$2,IF(AutoClaim_Data!E1813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3">
        <f>(F1813-H1813)^2</f>
        <v/>
      </c>
      <c r="J1813">
        <f>--(E1813="Validation")</f>
        <v/>
      </c>
    </row>
    <row r="1814">
      <c r="D1814">
        <f>AutoClaim_Data!A1814</f>
        <v/>
      </c>
      <c r="E1814">
        <f>AutoClaim_Data!B1814</f>
        <v/>
      </c>
      <c r="F1814">
        <f>AutoClaim_Data!C1814</f>
        <v/>
      </c>
      <c r="G1814">
        <f>IF(AutoClaim_Data!D1814&lt;=$B$2,AVERAGEIFS(AutoClaim_Data!C2:C3168,AutoClaim_Data!B2:B3168,"Train",AutoClaim_Data!D2:D3168,"&lt;="&amp;$B$2),AVERAGEIFS(AutoClaim_Data!C2:C3168,AutoClaim_Data!B2:B3168,"Train",AutoClaim_Data!D2:D3168,"&gt;"&amp;$B$2))</f>
        <v/>
      </c>
      <c r="H1814">
        <f>IF(AutoClaim_Data!D1814&lt;=$B$2,IF(AutoClaim_Data!E1814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4">
        <f>(F1814-H1814)^2</f>
        <v/>
      </c>
      <c r="J1814">
        <f>--(E1814="Validation")</f>
        <v/>
      </c>
    </row>
    <row r="1815">
      <c r="D1815">
        <f>AutoClaim_Data!A1815</f>
        <v/>
      </c>
      <c r="E1815">
        <f>AutoClaim_Data!B1815</f>
        <v/>
      </c>
      <c r="F1815">
        <f>AutoClaim_Data!C1815</f>
        <v/>
      </c>
      <c r="G1815">
        <f>IF(AutoClaim_Data!D1815&lt;=$B$2,AVERAGEIFS(AutoClaim_Data!C2:C3168,AutoClaim_Data!B2:B3168,"Train",AutoClaim_Data!D2:D3168,"&lt;="&amp;$B$2),AVERAGEIFS(AutoClaim_Data!C2:C3168,AutoClaim_Data!B2:B3168,"Train",AutoClaim_Data!D2:D3168,"&gt;"&amp;$B$2))</f>
        <v/>
      </c>
      <c r="H1815">
        <f>IF(AutoClaim_Data!D1815&lt;=$B$2,IF(AutoClaim_Data!E1815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5">
        <f>(F1815-H1815)^2</f>
        <v/>
      </c>
      <c r="J1815">
        <f>--(E1815="Validation")</f>
        <v/>
      </c>
    </row>
    <row r="1816">
      <c r="D1816">
        <f>AutoClaim_Data!A1816</f>
        <v/>
      </c>
      <c r="E1816">
        <f>AutoClaim_Data!B1816</f>
        <v/>
      </c>
      <c r="F1816">
        <f>AutoClaim_Data!C1816</f>
        <v/>
      </c>
      <c r="G1816">
        <f>IF(AutoClaim_Data!D1816&lt;=$B$2,AVERAGEIFS(AutoClaim_Data!C2:C3168,AutoClaim_Data!B2:B3168,"Train",AutoClaim_Data!D2:D3168,"&lt;="&amp;$B$2),AVERAGEIFS(AutoClaim_Data!C2:C3168,AutoClaim_Data!B2:B3168,"Train",AutoClaim_Data!D2:D3168,"&gt;"&amp;$B$2))</f>
        <v/>
      </c>
      <c r="H1816">
        <f>IF(AutoClaim_Data!D1816&lt;=$B$2,IF(AutoClaim_Data!E1816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6">
        <f>(F1816-H1816)^2</f>
        <v/>
      </c>
      <c r="J1816">
        <f>--(E1816="Validation")</f>
        <v/>
      </c>
    </row>
    <row r="1817">
      <c r="D1817">
        <f>AutoClaim_Data!A1817</f>
        <v/>
      </c>
      <c r="E1817">
        <f>AutoClaim_Data!B1817</f>
        <v/>
      </c>
      <c r="F1817">
        <f>AutoClaim_Data!C1817</f>
        <v/>
      </c>
      <c r="G1817">
        <f>IF(AutoClaim_Data!D1817&lt;=$B$2,AVERAGEIFS(AutoClaim_Data!C2:C3168,AutoClaim_Data!B2:B3168,"Train",AutoClaim_Data!D2:D3168,"&lt;="&amp;$B$2),AVERAGEIFS(AutoClaim_Data!C2:C3168,AutoClaim_Data!B2:B3168,"Train",AutoClaim_Data!D2:D3168,"&gt;"&amp;$B$2))</f>
        <v/>
      </c>
      <c r="H1817">
        <f>IF(AutoClaim_Data!D1817&lt;=$B$2,IF(AutoClaim_Data!E1817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7">
        <f>(F1817-H1817)^2</f>
        <v/>
      </c>
      <c r="J1817">
        <f>--(E1817="Validation")</f>
        <v/>
      </c>
    </row>
    <row r="1818">
      <c r="D1818">
        <f>AutoClaim_Data!A1818</f>
        <v/>
      </c>
      <c r="E1818">
        <f>AutoClaim_Data!B1818</f>
        <v/>
      </c>
      <c r="F1818">
        <f>AutoClaim_Data!C1818</f>
        <v/>
      </c>
      <c r="G1818">
        <f>IF(AutoClaim_Data!D1818&lt;=$B$2,AVERAGEIFS(AutoClaim_Data!C2:C3168,AutoClaim_Data!B2:B3168,"Train",AutoClaim_Data!D2:D3168,"&lt;="&amp;$B$2),AVERAGEIFS(AutoClaim_Data!C2:C3168,AutoClaim_Data!B2:B3168,"Train",AutoClaim_Data!D2:D3168,"&gt;"&amp;$B$2))</f>
        <v/>
      </c>
      <c r="H1818">
        <f>IF(AutoClaim_Data!D1818&lt;=$B$2,IF(AutoClaim_Data!E1818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8">
        <f>(F1818-H1818)^2</f>
        <v/>
      </c>
      <c r="J1818">
        <f>--(E1818="Validation")</f>
        <v/>
      </c>
    </row>
    <row r="1819">
      <c r="D1819">
        <f>AutoClaim_Data!A1819</f>
        <v/>
      </c>
      <c r="E1819">
        <f>AutoClaim_Data!B1819</f>
        <v/>
      </c>
      <c r="F1819">
        <f>AutoClaim_Data!C1819</f>
        <v/>
      </c>
      <c r="G1819">
        <f>IF(AutoClaim_Data!D1819&lt;=$B$2,AVERAGEIFS(AutoClaim_Data!C2:C3168,AutoClaim_Data!B2:B3168,"Train",AutoClaim_Data!D2:D3168,"&lt;="&amp;$B$2),AVERAGEIFS(AutoClaim_Data!C2:C3168,AutoClaim_Data!B2:B3168,"Train",AutoClaim_Data!D2:D3168,"&gt;"&amp;$B$2))</f>
        <v/>
      </c>
      <c r="H1819">
        <f>IF(AutoClaim_Data!D1819&lt;=$B$2,IF(AutoClaim_Data!E1819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19">
        <f>(F1819-H1819)^2</f>
        <v/>
      </c>
      <c r="J1819">
        <f>--(E1819="Validation")</f>
        <v/>
      </c>
    </row>
    <row r="1820">
      <c r="D1820">
        <f>AutoClaim_Data!A1820</f>
        <v/>
      </c>
      <c r="E1820">
        <f>AutoClaim_Data!B1820</f>
        <v/>
      </c>
      <c r="F1820">
        <f>AutoClaim_Data!C1820</f>
        <v/>
      </c>
      <c r="G1820">
        <f>IF(AutoClaim_Data!D1820&lt;=$B$2,AVERAGEIFS(AutoClaim_Data!C2:C3168,AutoClaim_Data!B2:B3168,"Train",AutoClaim_Data!D2:D3168,"&lt;="&amp;$B$2),AVERAGEIFS(AutoClaim_Data!C2:C3168,AutoClaim_Data!B2:B3168,"Train",AutoClaim_Data!D2:D3168,"&gt;"&amp;$B$2))</f>
        <v/>
      </c>
      <c r="H1820">
        <f>IF(AutoClaim_Data!D1820&lt;=$B$2,IF(AutoClaim_Data!E1820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0">
        <f>(F1820-H1820)^2</f>
        <v/>
      </c>
      <c r="J1820">
        <f>--(E1820="Validation")</f>
        <v/>
      </c>
    </row>
    <row r="1821">
      <c r="D1821">
        <f>AutoClaim_Data!A1821</f>
        <v/>
      </c>
      <c r="E1821">
        <f>AutoClaim_Data!B1821</f>
        <v/>
      </c>
      <c r="F1821">
        <f>AutoClaim_Data!C1821</f>
        <v/>
      </c>
      <c r="G1821">
        <f>IF(AutoClaim_Data!D1821&lt;=$B$2,AVERAGEIFS(AutoClaim_Data!C2:C3168,AutoClaim_Data!B2:B3168,"Train",AutoClaim_Data!D2:D3168,"&lt;="&amp;$B$2),AVERAGEIFS(AutoClaim_Data!C2:C3168,AutoClaim_Data!B2:B3168,"Train",AutoClaim_Data!D2:D3168,"&gt;"&amp;$B$2))</f>
        <v/>
      </c>
      <c r="H1821">
        <f>IF(AutoClaim_Data!D1821&lt;=$B$2,IF(AutoClaim_Data!E1821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1">
        <f>(F1821-H1821)^2</f>
        <v/>
      </c>
      <c r="J1821">
        <f>--(E1821="Validation")</f>
        <v/>
      </c>
    </row>
    <row r="1822">
      <c r="D1822">
        <f>AutoClaim_Data!A1822</f>
        <v/>
      </c>
      <c r="E1822">
        <f>AutoClaim_Data!B1822</f>
        <v/>
      </c>
      <c r="F1822">
        <f>AutoClaim_Data!C1822</f>
        <v/>
      </c>
      <c r="G1822">
        <f>IF(AutoClaim_Data!D1822&lt;=$B$2,AVERAGEIFS(AutoClaim_Data!C2:C3168,AutoClaim_Data!B2:B3168,"Train",AutoClaim_Data!D2:D3168,"&lt;="&amp;$B$2),AVERAGEIFS(AutoClaim_Data!C2:C3168,AutoClaim_Data!B2:B3168,"Train",AutoClaim_Data!D2:D3168,"&gt;"&amp;$B$2))</f>
        <v/>
      </c>
      <c r="H1822">
        <f>IF(AutoClaim_Data!D1822&lt;=$B$2,IF(AutoClaim_Data!E1822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2">
        <f>(F1822-H1822)^2</f>
        <v/>
      </c>
      <c r="J1822">
        <f>--(E1822="Validation")</f>
        <v/>
      </c>
    </row>
    <row r="1823">
      <c r="D1823">
        <f>AutoClaim_Data!A1823</f>
        <v/>
      </c>
      <c r="E1823">
        <f>AutoClaim_Data!B1823</f>
        <v/>
      </c>
      <c r="F1823">
        <f>AutoClaim_Data!C1823</f>
        <v/>
      </c>
      <c r="G1823">
        <f>IF(AutoClaim_Data!D1823&lt;=$B$2,AVERAGEIFS(AutoClaim_Data!C2:C3168,AutoClaim_Data!B2:B3168,"Train",AutoClaim_Data!D2:D3168,"&lt;="&amp;$B$2),AVERAGEIFS(AutoClaim_Data!C2:C3168,AutoClaim_Data!B2:B3168,"Train",AutoClaim_Data!D2:D3168,"&gt;"&amp;$B$2))</f>
        <v/>
      </c>
      <c r="H1823">
        <f>IF(AutoClaim_Data!D1823&lt;=$B$2,IF(AutoClaim_Data!E1823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3">
        <f>(F1823-H1823)^2</f>
        <v/>
      </c>
      <c r="J1823">
        <f>--(E1823="Validation")</f>
        <v/>
      </c>
    </row>
    <row r="1824">
      <c r="D1824">
        <f>AutoClaim_Data!A1824</f>
        <v/>
      </c>
      <c r="E1824">
        <f>AutoClaim_Data!B1824</f>
        <v/>
      </c>
      <c r="F1824">
        <f>AutoClaim_Data!C1824</f>
        <v/>
      </c>
      <c r="G1824">
        <f>IF(AutoClaim_Data!D1824&lt;=$B$2,AVERAGEIFS(AutoClaim_Data!C2:C3168,AutoClaim_Data!B2:B3168,"Train",AutoClaim_Data!D2:D3168,"&lt;="&amp;$B$2),AVERAGEIFS(AutoClaim_Data!C2:C3168,AutoClaim_Data!B2:B3168,"Train",AutoClaim_Data!D2:D3168,"&gt;"&amp;$B$2))</f>
        <v/>
      </c>
      <c r="H1824">
        <f>IF(AutoClaim_Data!D1824&lt;=$B$2,IF(AutoClaim_Data!E1824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4">
        <f>(F1824-H1824)^2</f>
        <v/>
      </c>
      <c r="J1824">
        <f>--(E1824="Validation")</f>
        <v/>
      </c>
    </row>
    <row r="1825">
      <c r="D1825">
        <f>AutoClaim_Data!A1825</f>
        <v/>
      </c>
      <c r="E1825">
        <f>AutoClaim_Data!B1825</f>
        <v/>
      </c>
      <c r="F1825">
        <f>AutoClaim_Data!C1825</f>
        <v/>
      </c>
      <c r="G1825">
        <f>IF(AutoClaim_Data!D1825&lt;=$B$2,AVERAGEIFS(AutoClaim_Data!C2:C3168,AutoClaim_Data!B2:B3168,"Train",AutoClaim_Data!D2:D3168,"&lt;="&amp;$B$2),AVERAGEIFS(AutoClaim_Data!C2:C3168,AutoClaim_Data!B2:B3168,"Train",AutoClaim_Data!D2:D3168,"&gt;"&amp;$B$2))</f>
        <v/>
      </c>
      <c r="H1825">
        <f>IF(AutoClaim_Data!D1825&lt;=$B$2,IF(AutoClaim_Data!E1825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5">
        <f>(F1825-H1825)^2</f>
        <v/>
      </c>
      <c r="J1825">
        <f>--(E1825="Validation")</f>
        <v/>
      </c>
    </row>
    <row r="1826">
      <c r="D1826">
        <f>AutoClaim_Data!A1826</f>
        <v/>
      </c>
      <c r="E1826">
        <f>AutoClaim_Data!B1826</f>
        <v/>
      </c>
      <c r="F1826">
        <f>AutoClaim_Data!C1826</f>
        <v/>
      </c>
      <c r="G1826">
        <f>IF(AutoClaim_Data!D1826&lt;=$B$2,AVERAGEIFS(AutoClaim_Data!C2:C3168,AutoClaim_Data!B2:B3168,"Train",AutoClaim_Data!D2:D3168,"&lt;="&amp;$B$2),AVERAGEIFS(AutoClaim_Data!C2:C3168,AutoClaim_Data!B2:B3168,"Train",AutoClaim_Data!D2:D3168,"&gt;"&amp;$B$2))</f>
        <v/>
      </c>
      <c r="H1826">
        <f>IF(AutoClaim_Data!D1826&lt;=$B$2,IF(AutoClaim_Data!E1826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6">
        <f>(F1826-H1826)^2</f>
        <v/>
      </c>
      <c r="J1826">
        <f>--(E1826="Validation")</f>
        <v/>
      </c>
    </row>
    <row r="1827">
      <c r="D1827">
        <f>AutoClaim_Data!A1827</f>
        <v/>
      </c>
      <c r="E1827">
        <f>AutoClaim_Data!B1827</f>
        <v/>
      </c>
      <c r="F1827">
        <f>AutoClaim_Data!C1827</f>
        <v/>
      </c>
      <c r="G1827">
        <f>IF(AutoClaim_Data!D1827&lt;=$B$2,AVERAGEIFS(AutoClaim_Data!C2:C3168,AutoClaim_Data!B2:B3168,"Train",AutoClaim_Data!D2:D3168,"&lt;="&amp;$B$2),AVERAGEIFS(AutoClaim_Data!C2:C3168,AutoClaim_Data!B2:B3168,"Train",AutoClaim_Data!D2:D3168,"&gt;"&amp;$B$2))</f>
        <v/>
      </c>
      <c r="H1827">
        <f>IF(AutoClaim_Data!D1827&lt;=$B$2,IF(AutoClaim_Data!E1827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7">
        <f>(F1827-H1827)^2</f>
        <v/>
      </c>
      <c r="J1827">
        <f>--(E1827="Validation")</f>
        <v/>
      </c>
    </row>
    <row r="1828">
      <c r="D1828">
        <f>AutoClaim_Data!A1828</f>
        <v/>
      </c>
      <c r="E1828">
        <f>AutoClaim_Data!B1828</f>
        <v/>
      </c>
      <c r="F1828">
        <f>AutoClaim_Data!C1828</f>
        <v/>
      </c>
      <c r="G1828">
        <f>IF(AutoClaim_Data!D1828&lt;=$B$2,AVERAGEIFS(AutoClaim_Data!C2:C3168,AutoClaim_Data!B2:B3168,"Train",AutoClaim_Data!D2:D3168,"&lt;="&amp;$B$2),AVERAGEIFS(AutoClaim_Data!C2:C3168,AutoClaim_Data!B2:B3168,"Train",AutoClaim_Data!D2:D3168,"&gt;"&amp;$B$2))</f>
        <v/>
      </c>
      <c r="H1828">
        <f>IF(AutoClaim_Data!D1828&lt;=$B$2,IF(AutoClaim_Data!E1828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8">
        <f>(F1828-H1828)^2</f>
        <v/>
      </c>
      <c r="J1828">
        <f>--(E1828="Validation")</f>
        <v/>
      </c>
    </row>
    <row r="1829">
      <c r="D1829">
        <f>AutoClaim_Data!A1829</f>
        <v/>
      </c>
      <c r="E1829">
        <f>AutoClaim_Data!B1829</f>
        <v/>
      </c>
      <c r="F1829">
        <f>AutoClaim_Data!C1829</f>
        <v/>
      </c>
      <c r="G1829">
        <f>IF(AutoClaim_Data!D1829&lt;=$B$2,AVERAGEIFS(AutoClaim_Data!C2:C3168,AutoClaim_Data!B2:B3168,"Train",AutoClaim_Data!D2:D3168,"&lt;="&amp;$B$2),AVERAGEIFS(AutoClaim_Data!C2:C3168,AutoClaim_Data!B2:B3168,"Train",AutoClaim_Data!D2:D3168,"&gt;"&amp;$B$2))</f>
        <v/>
      </c>
      <c r="H1829">
        <f>IF(AutoClaim_Data!D1829&lt;=$B$2,IF(AutoClaim_Data!E1829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29">
        <f>(F1829-H1829)^2</f>
        <v/>
      </c>
      <c r="J1829">
        <f>--(E1829="Validation")</f>
        <v/>
      </c>
    </row>
    <row r="1830">
      <c r="D1830">
        <f>AutoClaim_Data!A1830</f>
        <v/>
      </c>
      <c r="E1830">
        <f>AutoClaim_Data!B1830</f>
        <v/>
      </c>
      <c r="F1830">
        <f>AutoClaim_Data!C1830</f>
        <v/>
      </c>
      <c r="G1830">
        <f>IF(AutoClaim_Data!D1830&lt;=$B$2,AVERAGEIFS(AutoClaim_Data!C2:C3168,AutoClaim_Data!B2:B3168,"Train",AutoClaim_Data!D2:D3168,"&lt;="&amp;$B$2),AVERAGEIFS(AutoClaim_Data!C2:C3168,AutoClaim_Data!B2:B3168,"Train",AutoClaim_Data!D2:D3168,"&gt;"&amp;$B$2))</f>
        <v/>
      </c>
      <c r="H1830">
        <f>IF(AutoClaim_Data!D1830&lt;=$B$2,IF(AutoClaim_Data!E1830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0">
        <f>(F1830-H1830)^2</f>
        <v/>
      </c>
      <c r="J1830">
        <f>--(E1830="Validation")</f>
        <v/>
      </c>
    </row>
    <row r="1831">
      <c r="D1831">
        <f>AutoClaim_Data!A1831</f>
        <v/>
      </c>
      <c r="E1831">
        <f>AutoClaim_Data!B1831</f>
        <v/>
      </c>
      <c r="F1831">
        <f>AutoClaim_Data!C1831</f>
        <v/>
      </c>
      <c r="G1831">
        <f>IF(AutoClaim_Data!D1831&lt;=$B$2,AVERAGEIFS(AutoClaim_Data!C2:C3168,AutoClaim_Data!B2:B3168,"Train",AutoClaim_Data!D2:D3168,"&lt;="&amp;$B$2),AVERAGEIFS(AutoClaim_Data!C2:C3168,AutoClaim_Data!B2:B3168,"Train",AutoClaim_Data!D2:D3168,"&gt;"&amp;$B$2))</f>
        <v/>
      </c>
      <c r="H1831">
        <f>IF(AutoClaim_Data!D1831&lt;=$B$2,IF(AutoClaim_Data!E1831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1">
        <f>(F1831-H1831)^2</f>
        <v/>
      </c>
      <c r="J1831">
        <f>--(E1831="Validation")</f>
        <v/>
      </c>
    </row>
    <row r="1832">
      <c r="D1832">
        <f>AutoClaim_Data!A1832</f>
        <v/>
      </c>
      <c r="E1832">
        <f>AutoClaim_Data!B1832</f>
        <v/>
      </c>
      <c r="F1832">
        <f>AutoClaim_Data!C1832</f>
        <v/>
      </c>
      <c r="G1832">
        <f>IF(AutoClaim_Data!D1832&lt;=$B$2,AVERAGEIFS(AutoClaim_Data!C2:C3168,AutoClaim_Data!B2:B3168,"Train",AutoClaim_Data!D2:D3168,"&lt;="&amp;$B$2),AVERAGEIFS(AutoClaim_Data!C2:C3168,AutoClaim_Data!B2:B3168,"Train",AutoClaim_Data!D2:D3168,"&gt;"&amp;$B$2))</f>
        <v/>
      </c>
      <c r="H1832">
        <f>IF(AutoClaim_Data!D1832&lt;=$B$2,IF(AutoClaim_Data!E1832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2">
        <f>(F1832-H1832)^2</f>
        <v/>
      </c>
      <c r="J1832">
        <f>--(E1832="Validation")</f>
        <v/>
      </c>
    </row>
    <row r="1833">
      <c r="D1833">
        <f>AutoClaim_Data!A1833</f>
        <v/>
      </c>
      <c r="E1833">
        <f>AutoClaim_Data!B1833</f>
        <v/>
      </c>
      <c r="F1833">
        <f>AutoClaim_Data!C1833</f>
        <v/>
      </c>
      <c r="G1833">
        <f>IF(AutoClaim_Data!D1833&lt;=$B$2,AVERAGEIFS(AutoClaim_Data!C2:C3168,AutoClaim_Data!B2:B3168,"Train",AutoClaim_Data!D2:D3168,"&lt;="&amp;$B$2),AVERAGEIFS(AutoClaim_Data!C2:C3168,AutoClaim_Data!B2:B3168,"Train",AutoClaim_Data!D2:D3168,"&gt;"&amp;$B$2))</f>
        <v/>
      </c>
      <c r="H1833">
        <f>IF(AutoClaim_Data!D1833&lt;=$B$2,IF(AutoClaim_Data!E1833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3">
        <f>(F1833-H1833)^2</f>
        <v/>
      </c>
      <c r="J1833">
        <f>--(E1833="Validation")</f>
        <v/>
      </c>
    </row>
    <row r="1834">
      <c r="D1834">
        <f>AutoClaim_Data!A1834</f>
        <v/>
      </c>
      <c r="E1834">
        <f>AutoClaim_Data!B1834</f>
        <v/>
      </c>
      <c r="F1834">
        <f>AutoClaim_Data!C1834</f>
        <v/>
      </c>
      <c r="G1834">
        <f>IF(AutoClaim_Data!D1834&lt;=$B$2,AVERAGEIFS(AutoClaim_Data!C2:C3168,AutoClaim_Data!B2:B3168,"Train",AutoClaim_Data!D2:D3168,"&lt;="&amp;$B$2),AVERAGEIFS(AutoClaim_Data!C2:C3168,AutoClaim_Data!B2:B3168,"Train",AutoClaim_Data!D2:D3168,"&gt;"&amp;$B$2))</f>
        <v/>
      </c>
      <c r="H1834">
        <f>IF(AutoClaim_Data!D1834&lt;=$B$2,IF(AutoClaim_Data!E1834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4">
        <f>(F1834-H1834)^2</f>
        <v/>
      </c>
      <c r="J1834">
        <f>--(E1834="Validation")</f>
        <v/>
      </c>
    </row>
    <row r="1835">
      <c r="D1835">
        <f>AutoClaim_Data!A1835</f>
        <v/>
      </c>
      <c r="E1835">
        <f>AutoClaim_Data!B1835</f>
        <v/>
      </c>
      <c r="F1835">
        <f>AutoClaim_Data!C1835</f>
        <v/>
      </c>
      <c r="G1835">
        <f>IF(AutoClaim_Data!D1835&lt;=$B$2,AVERAGEIFS(AutoClaim_Data!C2:C3168,AutoClaim_Data!B2:B3168,"Train",AutoClaim_Data!D2:D3168,"&lt;="&amp;$B$2),AVERAGEIFS(AutoClaim_Data!C2:C3168,AutoClaim_Data!B2:B3168,"Train",AutoClaim_Data!D2:D3168,"&gt;"&amp;$B$2))</f>
        <v/>
      </c>
      <c r="H1835">
        <f>IF(AutoClaim_Data!D1835&lt;=$B$2,IF(AutoClaim_Data!E1835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5">
        <f>(F1835-H1835)^2</f>
        <v/>
      </c>
      <c r="J1835">
        <f>--(E1835="Validation")</f>
        <v/>
      </c>
    </row>
    <row r="1836">
      <c r="D1836">
        <f>AutoClaim_Data!A1836</f>
        <v/>
      </c>
      <c r="E1836">
        <f>AutoClaim_Data!B1836</f>
        <v/>
      </c>
      <c r="F1836">
        <f>AutoClaim_Data!C1836</f>
        <v/>
      </c>
      <c r="G1836">
        <f>IF(AutoClaim_Data!D1836&lt;=$B$2,AVERAGEIFS(AutoClaim_Data!C2:C3168,AutoClaim_Data!B2:B3168,"Train",AutoClaim_Data!D2:D3168,"&lt;="&amp;$B$2),AVERAGEIFS(AutoClaim_Data!C2:C3168,AutoClaim_Data!B2:B3168,"Train",AutoClaim_Data!D2:D3168,"&gt;"&amp;$B$2))</f>
        <v/>
      </c>
      <c r="H1836">
        <f>IF(AutoClaim_Data!D1836&lt;=$B$2,IF(AutoClaim_Data!E1836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6">
        <f>(F1836-H1836)^2</f>
        <v/>
      </c>
      <c r="J1836">
        <f>--(E1836="Validation")</f>
        <v/>
      </c>
    </row>
    <row r="1837">
      <c r="D1837">
        <f>AutoClaim_Data!A1837</f>
        <v/>
      </c>
      <c r="E1837">
        <f>AutoClaim_Data!B1837</f>
        <v/>
      </c>
      <c r="F1837">
        <f>AutoClaim_Data!C1837</f>
        <v/>
      </c>
      <c r="G1837">
        <f>IF(AutoClaim_Data!D1837&lt;=$B$2,AVERAGEIFS(AutoClaim_Data!C2:C3168,AutoClaim_Data!B2:B3168,"Train",AutoClaim_Data!D2:D3168,"&lt;="&amp;$B$2),AVERAGEIFS(AutoClaim_Data!C2:C3168,AutoClaim_Data!B2:B3168,"Train",AutoClaim_Data!D2:D3168,"&gt;"&amp;$B$2))</f>
        <v/>
      </c>
      <c r="H1837">
        <f>IF(AutoClaim_Data!D1837&lt;=$B$2,IF(AutoClaim_Data!E1837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7">
        <f>(F1837-H1837)^2</f>
        <v/>
      </c>
      <c r="J1837">
        <f>--(E1837="Validation")</f>
        <v/>
      </c>
    </row>
    <row r="1838">
      <c r="D1838">
        <f>AutoClaim_Data!A1838</f>
        <v/>
      </c>
      <c r="E1838">
        <f>AutoClaim_Data!B1838</f>
        <v/>
      </c>
      <c r="F1838">
        <f>AutoClaim_Data!C1838</f>
        <v/>
      </c>
      <c r="G1838">
        <f>IF(AutoClaim_Data!D1838&lt;=$B$2,AVERAGEIFS(AutoClaim_Data!C2:C3168,AutoClaim_Data!B2:B3168,"Train",AutoClaim_Data!D2:D3168,"&lt;="&amp;$B$2),AVERAGEIFS(AutoClaim_Data!C2:C3168,AutoClaim_Data!B2:B3168,"Train",AutoClaim_Data!D2:D3168,"&gt;"&amp;$B$2))</f>
        <v/>
      </c>
      <c r="H1838">
        <f>IF(AutoClaim_Data!D1838&lt;=$B$2,IF(AutoClaim_Data!E1838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8">
        <f>(F1838-H1838)^2</f>
        <v/>
      </c>
      <c r="J1838">
        <f>--(E1838="Validation")</f>
        <v/>
      </c>
    </row>
    <row r="1839">
      <c r="D1839">
        <f>AutoClaim_Data!A1839</f>
        <v/>
      </c>
      <c r="E1839">
        <f>AutoClaim_Data!B1839</f>
        <v/>
      </c>
      <c r="F1839">
        <f>AutoClaim_Data!C1839</f>
        <v/>
      </c>
      <c r="G1839">
        <f>IF(AutoClaim_Data!D1839&lt;=$B$2,AVERAGEIFS(AutoClaim_Data!C2:C3168,AutoClaim_Data!B2:B3168,"Train",AutoClaim_Data!D2:D3168,"&lt;="&amp;$B$2),AVERAGEIFS(AutoClaim_Data!C2:C3168,AutoClaim_Data!B2:B3168,"Train",AutoClaim_Data!D2:D3168,"&gt;"&amp;$B$2))</f>
        <v/>
      </c>
      <c r="H1839">
        <f>IF(AutoClaim_Data!D1839&lt;=$B$2,IF(AutoClaim_Data!E1839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39">
        <f>(F1839-H1839)^2</f>
        <v/>
      </c>
      <c r="J1839">
        <f>--(E1839="Validation")</f>
        <v/>
      </c>
    </row>
    <row r="1840">
      <c r="D1840">
        <f>AutoClaim_Data!A1840</f>
        <v/>
      </c>
      <c r="E1840">
        <f>AutoClaim_Data!B1840</f>
        <v/>
      </c>
      <c r="F1840">
        <f>AutoClaim_Data!C1840</f>
        <v/>
      </c>
      <c r="G1840">
        <f>IF(AutoClaim_Data!D1840&lt;=$B$2,AVERAGEIFS(AutoClaim_Data!C2:C3168,AutoClaim_Data!B2:B3168,"Train",AutoClaim_Data!D2:D3168,"&lt;="&amp;$B$2),AVERAGEIFS(AutoClaim_Data!C2:C3168,AutoClaim_Data!B2:B3168,"Train",AutoClaim_Data!D2:D3168,"&gt;"&amp;$B$2))</f>
        <v/>
      </c>
      <c r="H1840">
        <f>IF(AutoClaim_Data!D1840&lt;=$B$2,IF(AutoClaim_Data!E1840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0">
        <f>(F1840-H1840)^2</f>
        <v/>
      </c>
      <c r="J1840">
        <f>--(E1840="Validation")</f>
        <v/>
      </c>
    </row>
    <row r="1841">
      <c r="D1841">
        <f>AutoClaim_Data!A1841</f>
        <v/>
      </c>
      <c r="E1841">
        <f>AutoClaim_Data!B1841</f>
        <v/>
      </c>
      <c r="F1841">
        <f>AutoClaim_Data!C1841</f>
        <v/>
      </c>
      <c r="G1841">
        <f>IF(AutoClaim_Data!D1841&lt;=$B$2,AVERAGEIFS(AutoClaim_Data!C2:C3168,AutoClaim_Data!B2:B3168,"Train",AutoClaim_Data!D2:D3168,"&lt;="&amp;$B$2),AVERAGEIFS(AutoClaim_Data!C2:C3168,AutoClaim_Data!B2:B3168,"Train",AutoClaim_Data!D2:D3168,"&gt;"&amp;$B$2))</f>
        <v/>
      </c>
      <c r="H1841">
        <f>IF(AutoClaim_Data!D1841&lt;=$B$2,IF(AutoClaim_Data!E1841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1">
        <f>(F1841-H1841)^2</f>
        <v/>
      </c>
      <c r="J1841">
        <f>--(E1841="Validation")</f>
        <v/>
      </c>
    </row>
    <row r="1842">
      <c r="D1842">
        <f>AutoClaim_Data!A1842</f>
        <v/>
      </c>
      <c r="E1842">
        <f>AutoClaim_Data!B1842</f>
        <v/>
      </c>
      <c r="F1842">
        <f>AutoClaim_Data!C1842</f>
        <v/>
      </c>
      <c r="G1842">
        <f>IF(AutoClaim_Data!D1842&lt;=$B$2,AVERAGEIFS(AutoClaim_Data!C2:C3168,AutoClaim_Data!B2:B3168,"Train",AutoClaim_Data!D2:D3168,"&lt;="&amp;$B$2),AVERAGEIFS(AutoClaim_Data!C2:C3168,AutoClaim_Data!B2:B3168,"Train",AutoClaim_Data!D2:D3168,"&gt;"&amp;$B$2))</f>
        <v/>
      </c>
      <c r="H1842">
        <f>IF(AutoClaim_Data!D1842&lt;=$B$2,IF(AutoClaim_Data!E1842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2">
        <f>(F1842-H1842)^2</f>
        <v/>
      </c>
      <c r="J1842">
        <f>--(E1842="Validation")</f>
        <v/>
      </c>
    </row>
    <row r="1843">
      <c r="D1843">
        <f>AutoClaim_Data!A1843</f>
        <v/>
      </c>
      <c r="E1843">
        <f>AutoClaim_Data!B1843</f>
        <v/>
      </c>
      <c r="F1843">
        <f>AutoClaim_Data!C1843</f>
        <v/>
      </c>
      <c r="G1843">
        <f>IF(AutoClaim_Data!D1843&lt;=$B$2,AVERAGEIFS(AutoClaim_Data!C2:C3168,AutoClaim_Data!B2:B3168,"Train",AutoClaim_Data!D2:D3168,"&lt;="&amp;$B$2),AVERAGEIFS(AutoClaim_Data!C2:C3168,AutoClaim_Data!B2:B3168,"Train",AutoClaim_Data!D2:D3168,"&gt;"&amp;$B$2))</f>
        <v/>
      </c>
      <c r="H1843">
        <f>IF(AutoClaim_Data!D1843&lt;=$B$2,IF(AutoClaim_Data!E1843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3">
        <f>(F1843-H1843)^2</f>
        <v/>
      </c>
      <c r="J1843">
        <f>--(E1843="Validation")</f>
        <v/>
      </c>
    </row>
    <row r="1844">
      <c r="D1844">
        <f>AutoClaim_Data!A1844</f>
        <v/>
      </c>
      <c r="E1844">
        <f>AutoClaim_Data!B1844</f>
        <v/>
      </c>
      <c r="F1844">
        <f>AutoClaim_Data!C1844</f>
        <v/>
      </c>
      <c r="G1844">
        <f>IF(AutoClaim_Data!D1844&lt;=$B$2,AVERAGEIFS(AutoClaim_Data!C2:C3168,AutoClaim_Data!B2:B3168,"Train",AutoClaim_Data!D2:D3168,"&lt;="&amp;$B$2),AVERAGEIFS(AutoClaim_Data!C2:C3168,AutoClaim_Data!B2:B3168,"Train",AutoClaim_Data!D2:D3168,"&gt;"&amp;$B$2))</f>
        <v/>
      </c>
      <c r="H1844">
        <f>IF(AutoClaim_Data!D1844&lt;=$B$2,IF(AutoClaim_Data!E1844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4">
        <f>(F1844-H1844)^2</f>
        <v/>
      </c>
      <c r="J1844">
        <f>--(E1844="Validation")</f>
        <v/>
      </c>
    </row>
    <row r="1845">
      <c r="D1845">
        <f>AutoClaim_Data!A1845</f>
        <v/>
      </c>
      <c r="E1845">
        <f>AutoClaim_Data!B1845</f>
        <v/>
      </c>
      <c r="F1845">
        <f>AutoClaim_Data!C1845</f>
        <v/>
      </c>
      <c r="G1845">
        <f>IF(AutoClaim_Data!D1845&lt;=$B$2,AVERAGEIFS(AutoClaim_Data!C2:C3168,AutoClaim_Data!B2:B3168,"Train",AutoClaim_Data!D2:D3168,"&lt;="&amp;$B$2),AVERAGEIFS(AutoClaim_Data!C2:C3168,AutoClaim_Data!B2:B3168,"Train",AutoClaim_Data!D2:D3168,"&gt;"&amp;$B$2))</f>
        <v/>
      </c>
      <c r="H1845">
        <f>IF(AutoClaim_Data!D1845&lt;=$B$2,IF(AutoClaim_Data!E1845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5">
        <f>(F1845-H1845)^2</f>
        <v/>
      </c>
      <c r="J1845">
        <f>--(E1845="Validation")</f>
        <v/>
      </c>
    </row>
    <row r="1846">
      <c r="D1846">
        <f>AutoClaim_Data!A1846</f>
        <v/>
      </c>
      <c r="E1846">
        <f>AutoClaim_Data!B1846</f>
        <v/>
      </c>
      <c r="F1846">
        <f>AutoClaim_Data!C1846</f>
        <v/>
      </c>
      <c r="G1846">
        <f>IF(AutoClaim_Data!D1846&lt;=$B$2,AVERAGEIFS(AutoClaim_Data!C2:C3168,AutoClaim_Data!B2:B3168,"Train",AutoClaim_Data!D2:D3168,"&lt;="&amp;$B$2),AVERAGEIFS(AutoClaim_Data!C2:C3168,AutoClaim_Data!B2:B3168,"Train",AutoClaim_Data!D2:D3168,"&gt;"&amp;$B$2))</f>
        <v/>
      </c>
      <c r="H1846">
        <f>IF(AutoClaim_Data!D1846&lt;=$B$2,IF(AutoClaim_Data!E1846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6">
        <f>(F1846-H1846)^2</f>
        <v/>
      </c>
      <c r="J1846">
        <f>--(E1846="Validation")</f>
        <v/>
      </c>
    </row>
    <row r="1847">
      <c r="D1847">
        <f>AutoClaim_Data!A1847</f>
        <v/>
      </c>
      <c r="E1847">
        <f>AutoClaim_Data!B1847</f>
        <v/>
      </c>
      <c r="F1847">
        <f>AutoClaim_Data!C1847</f>
        <v/>
      </c>
      <c r="G1847">
        <f>IF(AutoClaim_Data!D1847&lt;=$B$2,AVERAGEIFS(AutoClaim_Data!C2:C3168,AutoClaim_Data!B2:B3168,"Train",AutoClaim_Data!D2:D3168,"&lt;="&amp;$B$2),AVERAGEIFS(AutoClaim_Data!C2:C3168,AutoClaim_Data!B2:B3168,"Train",AutoClaim_Data!D2:D3168,"&gt;"&amp;$B$2))</f>
        <v/>
      </c>
      <c r="H1847">
        <f>IF(AutoClaim_Data!D1847&lt;=$B$2,IF(AutoClaim_Data!E1847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7">
        <f>(F1847-H1847)^2</f>
        <v/>
      </c>
      <c r="J1847">
        <f>--(E1847="Validation")</f>
        <v/>
      </c>
    </row>
    <row r="1848">
      <c r="D1848">
        <f>AutoClaim_Data!A1848</f>
        <v/>
      </c>
      <c r="E1848">
        <f>AutoClaim_Data!B1848</f>
        <v/>
      </c>
      <c r="F1848">
        <f>AutoClaim_Data!C1848</f>
        <v/>
      </c>
      <c r="G1848">
        <f>IF(AutoClaim_Data!D1848&lt;=$B$2,AVERAGEIFS(AutoClaim_Data!C2:C3168,AutoClaim_Data!B2:B3168,"Train",AutoClaim_Data!D2:D3168,"&lt;="&amp;$B$2),AVERAGEIFS(AutoClaim_Data!C2:C3168,AutoClaim_Data!B2:B3168,"Train",AutoClaim_Data!D2:D3168,"&gt;"&amp;$B$2))</f>
        <v/>
      </c>
      <c r="H1848">
        <f>IF(AutoClaim_Data!D1848&lt;=$B$2,IF(AutoClaim_Data!E1848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8">
        <f>(F1848-H1848)^2</f>
        <v/>
      </c>
      <c r="J1848">
        <f>--(E1848="Validation")</f>
        <v/>
      </c>
    </row>
    <row r="1849">
      <c r="D1849">
        <f>AutoClaim_Data!A1849</f>
        <v/>
      </c>
      <c r="E1849">
        <f>AutoClaim_Data!B1849</f>
        <v/>
      </c>
      <c r="F1849">
        <f>AutoClaim_Data!C1849</f>
        <v/>
      </c>
      <c r="G1849">
        <f>IF(AutoClaim_Data!D1849&lt;=$B$2,AVERAGEIFS(AutoClaim_Data!C2:C3168,AutoClaim_Data!B2:B3168,"Train",AutoClaim_Data!D2:D3168,"&lt;="&amp;$B$2),AVERAGEIFS(AutoClaim_Data!C2:C3168,AutoClaim_Data!B2:B3168,"Train",AutoClaim_Data!D2:D3168,"&gt;"&amp;$B$2))</f>
        <v/>
      </c>
      <c r="H1849">
        <f>IF(AutoClaim_Data!D1849&lt;=$B$2,IF(AutoClaim_Data!E1849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49">
        <f>(F1849-H1849)^2</f>
        <v/>
      </c>
      <c r="J1849">
        <f>--(E1849="Validation")</f>
        <v/>
      </c>
    </row>
    <row r="1850">
      <c r="D1850">
        <f>AutoClaim_Data!A1850</f>
        <v/>
      </c>
      <c r="E1850">
        <f>AutoClaim_Data!B1850</f>
        <v/>
      </c>
      <c r="F1850">
        <f>AutoClaim_Data!C1850</f>
        <v/>
      </c>
      <c r="G1850">
        <f>IF(AutoClaim_Data!D1850&lt;=$B$2,AVERAGEIFS(AutoClaim_Data!C2:C3168,AutoClaim_Data!B2:B3168,"Train",AutoClaim_Data!D2:D3168,"&lt;="&amp;$B$2),AVERAGEIFS(AutoClaim_Data!C2:C3168,AutoClaim_Data!B2:B3168,"Train",AutoClaim_Data!D2:D3168,"&gt;"&amp;$B$2))</f>
        <v/>
      </c>
      <c r="H1850">
        <f>IF(AutoClaim_Data!D1850&lt;=$B$2,IF(AutoClaim_Data!E1850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0">
        <f>(F1850-H1850)^2</f>
        <v/>
      </c>
      <c r="J1850">
        <f>--(E1850="Validation")</f>
        <v/>
      </c>
    </row>
    <row r="1851">
      <c r="D1851">
        <f>AutoClaim_Data!A1851</f>
        <v/>
      </c>
      <c r="E1851">
        <f>AutoClaim_Data!B1851</f>
        <v/>
      </c>
      <c r="F1851">
        <f>AutoClaim_Data!C1851</f>
        <v/>
      </c>
      <c r="G1851">
        <f>IF(AutoClaim_Data!D1851&lt;=$B$2,AVERAGEIFS(AutoClaim_Data!C2:C3168,AutoClaim_Data!B2:B3168,"Train",AutoClaim_Data!D2:D3168,"&lt;="&amp;$B$2),AVERAGEIFS(AutoClaim_Data!C2:C3168,AutoClaim_Data!B2:B3168,"Train",AutoClaim_Data!D2:D3168,"&gt;"&amp;$B$2))</f>
        <v/>
      </c>
      <c r="H1851">
        <f>IF(AutoClaim_Data!D1851&lt;=$B$2,IF(AutoClaim_Data!E1851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1">
        <f>(F1851-H1851)^2</f>
        <v/>
      </c>
      <c r="J1851">
        <f>--(E1851="Validation")</f>
        <v/>
      </c>
    </row>
    <row r="1852">
      <c r="D1852">
        <f>AutoClaim_Data!A1852</f>
        <v/>
      </c>
      <c r="E1852">
        <f>AutoClaim_Data!B1852</f>
        <v/>
      </c>
      <c r="F1852">
        <f>AutoClaim_Data!C1852</f>
        <v/>
      </c>
      <c r="G1852">
        <f>IF(AutoClaim_Data!D1852&lt;=$B$2,AVERAGEIFS(AutoClaim_Data!C2:C3168,AutoClaim_Data!B2:B3168,"Train",AutoClaim_Data!D2:D3168,"&lt;="&amp;$B$2),AVERAGEIFS(AutoClaim_Data!C2:C3168,AutoClaim_Data!B2:B3168,"Train",AutoClaim_Data!D2:D3168,"&gt;"&amp;$B$2))</f>
        <v/>
      </c>
      <c r="H1852">
        <f>IF(AutoClaim_Data!D1852&lt;=$B$2,IF(AutoClaim_Data!E1852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2">
        <f>(F1852-H1852)^2</f>
        <v/>
      </c>
      <c r="J1852">
        <f>--(E1852="Validation")</f>
        <v/>
      </c>
    </row>
    <row r="1853">
      <c r="D1853">
        <f>AutoClaim_Data!A1853</f>
        <v/>
      </c>
      <c r="E1853">
        <f>AutoClaim_Data!B1853</f>
        <v/>
      </c>
      <c r="F1853">
        <f>AutoClaim_Data!C1853</f>
        <v/>
      </c>
      <c r="G1853">
        <f>IF(AutoClaim_Data!D1853&lt;=$B$2,AVERAGEIFS(AutoClaim_Data!C2:C3168,AutoClaim_Data!B2:B3168,"Train",AutoClaim_Data!D2:D3168,"&lt;="&amp;$B$2),AVERAGEIFS(AutoClaim_Data!C2:C3168,AutoClaim_Data!B2:B3168,"Train",AutoClaim_Data!D2:D3168,"&gt;"&amp;$B$2))</f>
        <v/>
      </c>
      <c r="H1853">
        <f>IF(AutoClaim_Data!D1853&lt;=$B$2,IF(AutoClaim_Data!E1853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3">
        <f>(F1853-H1853)^2</f>
        <v/>
      </c>
      <c r="J1853">
        <f>--(E1853="Validation")</f>
        <v/>
      </c>
    </row>
    <row r="1854">
      <c r="D1854">
        <f>AutoClaim_Data!A1854</f>
        <v/>
      </c>
      <c r="E1854">
        <f>AutoClaim_Data!B1854</f>
        <v/>
      </c>
      <c r="F1854">
        <f>AutoClaim_Data!C1854</f>
        <v/>
      </c>
      <c r="G1854">
        <f>IF(AutoClaim_Data!D1854&lt;=$B$2,AVERAGEIFS(AutoClaim_Data!C2:C3168,AutoClaim_Data!B2:B3168,"Train",AutoClaim_Data!D2:D3168,"&lt;="&amp;$B$2),AVERAGEIFS(AutoClaim_Data!C2:C3168,AutoClaim_Data!B2:B3168,"Train",AutoClaim_Data!D2:D3168,"&gt;"&amp;$B$2))</f>
        <v/>
      </c>
      <c r="H1854">
        <f>IF(AutoClaim_Data!D1854&lt;=$B$2,IF(AutoClaim_Data!E1854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4">
        <f>(F1854-H1854)^2</f>
        <v/>
      </c>
      <c r="J1854">
        <f>--(E1854="Validation")</f>
        <v/>
      </c>
    </row>
    <row r="1855">
      <c r="D1855">
        <f>AutoClaim_Data!A1855</f>
        <v/>
      </c>
      <c r="E1855">
        <f>AutoClaim_Data!B1855</f>
        <v/>
      </c>
      <c r="F1855">
        <f>AutoClaim_Data!C1855</f>
        <v/>
      </c>
      <c r="G1855">
        <f>IF(AutoClaim_Data!D1855&lt;=$B$2,AVERAGEIFS(AutoClaim_Data!C2:C3168,AutoClaim_Data!B2:B3168,"Train",AutoClaim_Data!D2:D3168,"&lt;="&amp;$B$2),AVERAGEIFS(AutoClaim_Data!C2:C3168,AutoClaim_Data!B2:B3168,"Train",AutoClaim_Data!D2:D3168,"&gt;"&amp;$B$2))</f>
        <v/>
      </c>
      <c r="H1855">
        <f>IF(AutoClaim_Data!D1855&lt;=$B$2,IF(AutoClaim_Data!E1855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5">
        <f>(F1855-H1855)^2</f>
        <v/>
      </c>
      <c r="J1855">
        <f>--(E1855="Validation")</f>
        <v/>
      </c>
    </row>
    <row r="1856">
      <c r="D1856">
        <f>AutoClaim_Data!A1856</f>
        <v/>
      </c>
      <c r="E1856">
        <f>AutoClaim_Data!B1856</f>
        <v/>
      </c>
      <c r="F1856">
        <f>AutoClaim_Data!C1856</f>
        <v/>
      </c>
      <c r="G1856">
        <f>IF(AutoClaim_Data!D1856&lt;=$B$2,AVERAGEIFS(AutoClaim_Data!C2:C3168,AutoClaim_Data!B2:B3168,"Train",AutoClaim_Data!D2:D3168,"&lt;="&amp;$B$2),AVERAGEIFS(AutoClaim_Data!C2:C3168,AutoClaim_Data!B2:B3168,"Train",AutoClaim_Data!D2:D3168,"&gt;"&amp;$B$2))</f>
        <v/>
      </c>
      <c r="H1856">
        <f>IF(AutoClaim_Data!D1856&lt;=$B$2,IF(AutoClaim_Data!E1856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6">
        <f>(F1856-H1856)^2</f>
        <v/>
      </c>
      <c r="J1856">
        <f>--(E1856="Validation")</f>
        <v/>
      </c>
    </row>
    <row r="1857">
      <c r="D1857">
        <f>AutoClaim_Data!A1857</f>
        <v/>
      </c>
      <c r="E1857">
        <f>AutoClaim_Data!B1857</f>
        <v/>
      </c>
      <c r="F1857">
        <f>AutoClaim_Data!C1857</f>
        <v/>
      </c>
      <c r="G1857">
        <f>IF(AutoClaim_Data!D1857&lt;=$B$2,AVERAGEIFS(AutoClaim_Data!C2:C3168,AutoClaim_Data!B2:B3168,"Train",AutoClaim_Data!D2:D3168,"&lt;="&amp;$B$2),AVERAGEIFS(AutoClaim_Data!C2:C3168,AutoClaim_Data!B2:B3168,"Train",AutoClaim_Data!D2:D3168,"&gt;"&amp;$B$2))</f>
        <v/>
      </c>
      <c r="H1857">
        <f>IF(AutoClaim_Data!D1857&lt;=$B$2,IF(AutoClaim_Data!E1857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7">
        <f>(F1857-H1857)^2</f>
        <v/>
      </c>
      <c r="J1857">
        <f>--(E1857="Validation")</f>
        <v/>
      </c>
    </row>
    <row r="1858">
      <c r="D1858">
        <f>AutoClaim_Data!A1858</f>
        <v/>
      </c>
      <c r="E1858">
        <f>AutoClaim_Data!B1858</f>
        <v/>
      </c>
      <c r="F1858">
        <f>AutoClaim_Data!C1858</f>
        <v/>
      </c>
      <c r="G1858">
        <f>IF(AutoClaim_Data!D1858&lt;=$B$2,AVERAGEIFS(AutoClaim_Data!C2:C3168,AutoClaim_Data!B2:B3168,"Train",AutoClaim_Data!D2:D3168,"&lt;="&amp;$B$2),AVERAGEIFS(AutoClaim_Data!C2:C3168,AutoClaim_Data!B2:B3168,"Train",AutoClaim_Data!D2:D3168,"&gt;"&amp;$B$2))</f>
        <v/>
      </c>
      <c r="H1858">
        <f>IF(AutoClaim_Data!D1858&lt;=$B$2,IF(AutoClaim_Data!E1858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8">
        <f>(F1858-H1858)^2</f>
        <v/>
      </c>
      <c r="J1858">
        <f>--(E1858="Validation")</f>
        <v/>
      </c>
    </row>
    <row r="1859">
      <c r="D1859">
        <f>AutoClaim_Data!A1859</f>
        <v/>
      </c>
      <c r="E1859">
        <f>AutoClaim_Data!B1859</f>
        <v/>
      </c>
      <c r="F1859">
        <f>AutoClaim_Data!C1859</f>
        <v/>
      </c>
      <c r="G1859">
        <f>IF(AutoClaim_Data!D1859&lt;=$B$2,AVERAGEIFS(AutoClaim_Data!C2:C3168,AutoClaim_Data!B2:B3168,"Train",AutoClaim_Data!D2:D3168,"&lt;="&amp;$B$2),AVERAGEIFS(AutoClaim_Data!C2:C3168,AutoClaim_Data!B2:B3168,"Train",AutoClaim_Data!D2:D3168,"&gt;"&amp;$B$2))</f>
        <v/>
      </c>
      <c r="H1859">
        <f>IF(AutoClaim_Data!D1859&lt;=$B$2,IF(AutoClaim_Data!E1859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59">
        <f>(F1859-H1859)^2</f>
        <v/>
      </c>
      <c r="J1859">
        <f>--(E1859="Validation")</f>
        <v/>
      </c>
    </row>
    <row r="1860">
      <c r="D1860">
        <f>AutoClaim_Data!A1860</f>
        <v/>
      </c>
      <c r="E1860">
        <f>AutoClaim_Data!B1860</f>
        <v/>
      </c>
      <c r="F1860">
        <f>AutoClaim_Data!C1860</f>
        <v/>
      </c>
      <c r="G1860">
        <f>IF(AutoClaim_Data!D1860&lt;=$B$2,AVERAGEIFS(AutoClaim_Data!C2:C3168,AutoClaim_Data!B2:B3168,"Train",AutoClaim_Data!D2:D3168,"&lt;="&amp;$B$2),AVERAGEIFS(AutoClaim_Data!C2:C3168,AutoClaim_Data!B2:B3168,"Train",AutoClaim_Data!D2:D3168,"&gt;"&amp;$B$2))</f>
        <v/>
      </c>
      <c r="H1860">
        <f>IF(AutoClaim_Data!D1860&lt;=$B$2,IF(AutoClaim_Data!E1860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0">
        <f>(F1860-H1860)^2</f>
        <v/>
      </c>
      <c r="J1860">
        <f>--(E1860="Validation")</f>
        <v/>
      </c>
    </row>
    <row r="1861">
      <c r="D1861">
        <f>AutoClaim_Data!A1861</f>
        <v/>
      </c>
      <c r="E1861">
        <f>AutoClaim_Data!B1861</f>
        <v/>
      </c>
      <c r="F1861">
        <f>AutoClaim_Data!C1861</f>
        <v/>
      </c>
      <c r="G1861">
        <f>IF(AutoClaim_Data!D1861&lt;=$B$2,AVERAGEIFS(AutoClaim_Data!C2:C3168,AutoClaim_Data!B2:B3168,"Train",AutoClaim_Data!D2:D3168,"&lt;="&amp;$B$2),AVERAGEIFS(AutoClaim_Data!C2:C3168,AutoClaim_Data!B2:B3168,"Train",AutoClaim_Data!D2:D3168,"&gt;"&amp;$B$2))</f>
        <v/>
      </c>
      <c r="H1861">
        <f>IF(AutoClaim_Data!D1861&lt;=$B$2,IF(AutoClaim_Data!E1861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1">
        <f>(F1861-H1861)^2</f>
        <v/>
      </c>
      <c r="J1861">
        <f>--(E1861="Validation")</f>
        <v/>
      </c>
    </row>
    <row r="1862">
      <c r="D1862">
        <f>AutoClaim_Data!A1862</f>
        <v/>
      </c>
      <c r="E1862">
        <f>AutoClaim_Data!B1862</f>
        <v/>
      </c>
      <c r="F1862">
        <f>AutoClaim_Data!C1862</f>
        <v/>
      </c>
      <c r="G1862">
        <f>IF(AutoClaim_Data!D1862&lt;=$B$2,AVERAGEIFS(AutoClaim_Data!C2:C3168,AutoClaim_Data!B2:B3168,"Train",AutoClaim_Data!D2:D3168,"&lt;="&amp;$B$2),AVERAGEIFS(AutoClaim_Data!C2:C3168,AutoClaim_Data!B2:B3168,"Train",AutoClaim_Data!D2:D3168,"&gt;"&amp;$B$2))</f>
        <v/>
      </c>
      <c r="H1862">
        <f>IF(AutoClaim_Data!D1862&lt;=$B$2,IF(AutoClaim_Data!E1862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2">
        <f>(F1862-H1862)^2</f>
        <v/>
      </c>
      <c r="J1862">
        <f>--(E1862="Validation")</f>
        <v/>
      </c>
    </row>
    <row r="1863">
      <c r="D1863">
        <f>AutoClaim_Data!A1863</f>
        <v/>
      </c>
      <c r="E1863">
        <f>AutoClaim_Data!B1863</f>
        <v/>
      </c>
      <c r="F1863">
        <f>AutoClaim_Data!C1863</f>
        <v/>
      </c>
      <c r="G1863">
        <f>IF(AutoClaim_Data!D1863&lt;=$B$2,AVERAGEIFS(AutoClaim_Data!C2:C3168,AutoClaim_Data!B2:B3168,"Train",AutoClaim_Data!D2:D3168,"&lt;="&amp;$B$2),AVERAGEIFS(AutoClaim_Data!C2:C3168,AutoClaim_Data!B2:B3168,"Train",AutoClaim_Data!D2:D3168,"&gt;"&amp;$B$2))</f>
        <v/>
      </c>
      <c r="H1863">
        <f>IF(AutoClaim_Data!D1863&lt;=$B$2,IF(AutoClaim_Data!E1863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3">
        <f>(F1863-H1863)^2</f>
        <v/>
      </c>
      <c r="J1863">
        <f>--(E1863="Validation")</f>
        <v/>
      </c>
    </row>
    <row r="1864">
      <c r="D1864">
        <f>AutoClaim_Data!A1864</f>
        <v/>
      </c>
      <c r="E1864">
        <f>AutoClaim_Data!B1864</f>
        <v/>
      </c>
      <c r="F1864">
        <f>AutoClaim_Data!C1864</f>
        <v/>
      </c>
      <c r="G1864">
        <f>IF(AutoClaim_Data!D1864&lt;=$B$2,AVERAGEIFS(AutoClaim_Data!C2:C3168,AutoClaim_Data!B2:B3168,"Train",AutoClaim_Data!D2:D3168,"&lt;="&amp;$B$2),AVERAGEIFS(AutoClaim_Data!C2:C3168,AutoClaim_Data!B2:B3168,"Train",AutoClaim_Data!D2:D3168,"&gt;"&amp;$B$2))</f>
        <v/>
      </c>
      <c r="H1864">
        <f>IF(AutoClaim_Data!D1864&lt;=$B$2,IF(AutoClaim_Data!E1864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4">
        <f>(F1864-H1864)^2</f>
        <v/>
      </c>
      <c r="J1864">
        <f>--(E1864="Validation")</f>
        <v/>
      </c>
    </row>
    <row r="1865">
      <c r="D1865">
        <f>AutoClaim_Data!A1865</f>
        <v/>
      </c>
      <c r="E1865">
        <f>AutoClaim_Data!B1865</f>
        <v/>
      </c>
      <c r="F1865">
        <f>AutoClaim_Data!C1865</f>
        <v/>
      </c>
      <c r="G1865">
        <f>IF(AutoClaim_Data!D1865&lt;=$B$2,AVERAGEIFS(AutoClaim_Data!C2:C3168,AutoClaim_Data!B2:B3168,"Train",AutoClaim_Data!D2:D3168,"&lt;="&amp;$B$2),AVERAGEIFS(AutoClaim_Data!C2:C3168,AutoClaim_Data!B2:B3168,"Train",AutoClaim_Data!D2:D3168,"&gt;"&amp;$B$2))</f>
        <v/>
      </c>
      <c r="H1865">
        <f>IF(AutoClaim_Data!D1865&lt;=$B$2,IF(AutoClaim_Data!E1865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5">
        <f>(F1865-H1865)^2</f>
        <v/>
      </c>
      <c r="J1865">
        <f>--(E1865="Validation")</f>
        <v/>
      </c>
    </row>
    <row r="1866">
      <c r="D1866">
        <f>AutoClaim_Data!A1866</f>
        <v/>
      </c>
      <c r="E1866">
        <f>AutoClaim_Data!B1866</f>
        <v/>
      </c>
      <c r="F1866">
        <f>AutoClaim_Data!C1866</f>
        <v/>
      </c>
      <c r="G1866">
        <f>IF(AutoClaim_Data!D1866&lt;=$B$2,AVERAGEIFS(AutoClaim_Data!C2:C3168,AutoClaim_Data!B2:B3168,"Train",AutoClaim_Data!D2:D3168,"&lt;="&amp;$B$2),AVERAGEIFS(AutoClaim_Data!C2:C3168,AutoClaim_Data!B2:B3168,"Train",AutoClaim_Data!D2:D3168,"&gt;"&amp;$B$2))</f>
        <v/>
      </c>
      <c r="H1866">
        <f>IF(AutoClaim_Data!D1866&lt;=$B$2,IF(AutoClaim_Data!E1866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6">
        <f>(F1866-H1866)^2</f>
        <v/>
      </c>
      <c r="J1866">
        <f>--(E1866="Validation")</f>
        <v/>
      </c>
    </row>
    <row r="1867">
      <c r="D1867">
        <f>AutoClaim_Data!A1867</f>
        <v/>
      </c>
      <c r="E1867">
        <f>AutoClaim_Data!B1867</f>
        <v/>
      </c>
      <c r="F1867">
        <f>AutoClaim_Data!C1867</f>
        <v/>
      </c>
      <c r="G1867">
        <f>IF(AutoClaim_Data!D1867&lt;=$B$2,AVERAGEIFS(AutoClaim_Data!C2:C3168,AutoClaim_Data!B2:B3168,"Train",AutoClaim_Data!D2:D3168,"&lt;="&amp;$B$2),AVERAGEIFS(AutoClaim_Data!C2:C3168,AutoClaim_Data!B2:B3168,"Train",AutoClaim_Data!D2:D3168,"&gt;"&amp;$B$2))</f>
        <v/>
      </c>
      <c r="H1867">
        <f>IF(AutoClaim_Data!D1867&lt;=$B$2,IF(AutoClaim_Data!E1867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7">
        <f>(F1867-H1867)^2</f>
        <v/>
      </c>
      <c r="J1867">
        <f>--(E1867="Validation")</f>
        <v/>
      </c>
    </row>
    <row r="1868">
      <c r="D1868">
        <f>AutoClaim_Data!A1868</f>
        <v/>
      </c>
      <c r="E1868">
        <f>AutoClaim_Data!B1868</f>
        <v/>
      </c>
      <c r="F1868">
        <f>AutoClaim_Data!C1868</f>
        <v/>
      </c>
      <c r="G1868">
        <f>IF(AutoClaim_Data!D1868&lt;=$B$2,AVERAGEIFS(AutoClaim_Data!C2:C3168,AutoClaim_Data!B2:B3168,"Train",AutoClaim_Data!D2:D3168,"&lt;="&amp;$B$2),AVERAGEIFS(AutoClaim_Data!C2:C3168,AutoClaim_Data!B2:B3168,"Train",AutoClaim_Data!D2:D3168,"&gt;"&amp;$B$2))</f>
        <v/>
      </c>
      <c r="H1868">
        <f>IF(AutoClaim_Data!D1868&lt;=$B$2,IF(AutoClaim_Data!E1868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8">
        <f>(F1868-H1868)^2</f>
        <v/>
      </c>
      <c r="J1868">
        <f>--(E1868="Validation")</f>
        <v/>
      </c>
    </row>
    <row r="1869">
      <c r="D1869">
        <f>AutoClaim_Data!A1869</f>
        <v/>
      </c>
      <c r="E1869">
        <f>AutoClaim_Data!B1869</f>
        <v/>
      </c>
      <c r="F1869">
        <f>AutoClaim_Data!C1869</f>
        <v/>
      </c>
      <c r="G1869">
        <f>IF(AutoClaim_Data!D1869&lt;=$B$2,AVERAGEIFS(AutoClaim_Data!C2:C3168,AutoClaim_Data!B2:B3168,"Train",AutoClaim_Data!D2:D3168,"&lt;="&amp;$B$2),AVERAGEIFS(AutoClaim_Data!C2:C3168,AutoClaim_Data!B2:B3168,"Train",AutoClaim_Data!D2:D3168,"&gt;"&amp;$B$2))</f>
        <v/>
      </c>
      <c r="H1869">
        <f>IF(AutoClaim_Data!D1869&lt;=$B$2,IF(AutoClaim_Data!E1869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69">
        <f>(F1869-H1869)^2</f>
        <v/>
      </c>
      <c r="J1869">
        <f>--(E1869="Validation")</f>
        <v/>
      </c>
    </row>
    <row r="1870">
      <c r="D1870">
        <f>AutoClaim_Data!A1870</f>
        <v/>
      </c>
      <c r="E1870">
        <f>AutoClaim_Data!B1870</f>
        <v/>
      </c>
      <c r="F1870">
        <f>AutoClaim_Data!C1870</f>
        <v/>
      </c>
      <c r="G1870">
        <f>IF(AutoClaim_Data!D1870&lt;=$B$2,AVERAGEIFS(AutoClaim_Data!C2:C3168,AutoClaim_Data!B2:B3168,"Train",AutoClaim_Data!D2:D3168,"&lt;="&amp;$B$2),AVERAGEIFS(AutoClaim_Data!C2:C3168,AutoClaim_Data!B2:B3168,"Train",AutoClaim_Data!D2:D3168,"&gt;"&amp;$B$2))</f>
        <v/>
      </c>
      <c r="H1870">
        <f>IF(AutoClaim_Data!D1870&lt;=$B$2,IF(AutoClaim_Data!E1870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0">
        <f>(F1870-H1870)^2</f>
        <v/>
      </c>
      <c r="J1870">
        <f>--(E1870="Validation")</f>
        <v/>
      </c>
    </row>
    <row r="1871">
      <c r="D1871">
        <f>AutoClaim_Data!A1871</f>
        <v/>
      </c>
      <c r="E1871">
        <f>AutoClaim_Data!B1871</f>
        <v/>
      </c>
      <c r="F1871">
        <f>AutoClaim_Data!C1871</f>
        <v/>
      </c>
      <c r="G1871">
        <f>IF(AutoClaim_Data!D1871&lt;=$B$2,AVERAGEIFS(AutoClaim_Data!C2:C3168,AutoClaim_Data!B2:B3168,"Train",AutoClaim_Data!D2:D3168,"&lt;="&amp;$B$2),AVERAGEIFS(AutoClaim_Data!C2:C3168,AutoClaim_Data!B2:B3168,"Train",AutoClaim_Data!D2:D3168,"&gt;"&amp;$B$2))</f>
        <v/>
      </c>
      <c r="H1871">
        <f>IF(AutoClaim_Data!D1871&lt;=$B$2,IF(AutoClaim_Data!E1871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1">
        <f>(F1871-H1871)^2</f>
        <v/>
      </c>
      <c r="J1871">
        <f>--(E1871="Validation")</f>
        <v/>
      </c>
    </row>
    <row r="1872">
      <c r="D1872">
        <f>AutoClaim_Data!A1872</f>
        <v/>
      </c>
      <c r="E1872">
        <f>AutoClaim_Data!B1872</f>
        <v/>
      </c>
      <c r="F1872">
        <f>AutoClaim_Data!C1872</f>
        <v/>
      </c>
      <c r="G1872">
        <f>IF(AutoClaim_Data!D1872&lt;=$B$2,AVERAGEIFS(AutoClaim_Data!C2:C3168,AutoClaim_Data!B2:B3168,"Train",AutoClaim_Data!D2:D3168,"&lt;="&amp;$B$2),AVERAGEIFS(AutoClaim_Data!C2:C3168,AutoClaim_Data!B2:B3168,"Train",AutoClaim_Data!D2:D3168,"&gt;"&amp;$B$2))</f>
        <v/>
      </c>
      <c r="H1872">
        <f>IF(AutoClaim_Data!D1872&lt;=$B$2,IF(AutoClaim_Data!E1872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2">
        <f>(F1872-H1872)^2</f>
        <v/>
      </c>
      <c r="J1872">
        <f>--(E1872="Validation")</f>
        <v/>
      </c>
    </row>
    <row r="1873">
      <c r="D1873">
        <f>AutoClaim_Data!A1873</f>
        <v/>
      </c>
      <c r="E1873">
        <f>AutoClaim_Data!B1873</f>
        <v/>
      </c>
      <c r="F1873">
        <f>AutoClaim_Data!C1873</f>
        <v/>
      </c>
      <c r="G1873">
        <f>IF(AutoClaim_Data!D1873&lt;=$B$2,AVERAGEIFS(AutoClaim_Data!C2:C3168,AutoClaim_Data!B2:B3168,"Train",AutoClaim_Data!D2:D3168,"&lt;="&amp;$B$2),AVERAGEIFS(AutoClaim_Data!C2:C3168,AutoClaim_Data!B2:B3168,"Train",AutoClaim_Data!D2:D3168,"&gt;"&amp;$B$2))</f>
        <v/>
      </c>
      <c r="H1873">
        <f>IF(AutoClaim_Data!D1873&lt;=$B$2,IF(AutoClaim_Data!E1873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3">
        <f>(F1873-H1873)^2</f>
        <v/>
      </c>
      <c r="J1873">
        <f>--(E1873="Validation")</f>
        <v/>
      </c>
    </row>
    <row r="1874">
      <c r="D1874">
        <f>AutoClaim_Data!A1874</f>
        <v/>
      </c>
      <c r="E1874">
        <f>AutoClaim_Data!B1874</f>
        <v/>
      </c>
      <c r="F1874">
        <f>AutoClaim_Data!C1874</f>
        <v/>
      </c>
      <c r="G1874">
        <f>IF(AutoClaim_Data!D1874&lt;=$B$2,AVERAGEIFS(AutoClaim_Data!C2:C3168,AutoClaim_Data!B2:B3168,"Train",AutoClaim_Data!D2:D3168,"&lt;="&amp;$B$2),AVERAGEIFS(AutoClaim_Data!C2:C3168,AutoClaim_Data!B2:B3168,"Train",AutoClaim_Data!D2:D3168,"&gt;"&amp;$B$2))</f>
        <v/>
      </c>
      <c r="H1874">
        <f>IF(AutoClaim_Data!D1874&lt;=$B$2,IF(AutoClaim_Data!E1874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4">
        <f>(F1874-H1874)^2</f>
        <v/>
      </c>
      <c r="J1874">
        <f>--(E1874="Validation")</f>
        <v/>
      </c>
    </row>
    <row r="1875">
      <c r="D1875">
        <f>AutoClaim_Data!A1875</f>
        <v/>
      </c>
      <c r="E1875">
        <f>AutoClaim_Data!B1875</f>
        <v/>
      </c>
      <c r="F1875">
        <f>AutoClaim_Data!C1875</f>
        <v/>
      </c>
      <c r="G1875">
        <f>IF(AutoClaim_Data!D1875&lt;=$B$2,AVERAGEIFS(AutoClaim_Data!C2:C3168,AutoClaim_Data!B2:B3168,"Train",AutoClaim_Data!D2:D3168,"&lt;="&amp;$B$2),AVERAGEIFS(AutoClaim_Data!C2:C3168,AutoClaim_Data!B2:B3168,"Train",AutoClaim_Data!D2:D3168,"&gt;"&amp;$B$2))</f>
        <v/>
      </c>
      <c r="H1875">
        <f>IF(AutoClaim_Data!D1875&lt;=$B$2,IF(AutoClaim_Data!E1875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5">
        <f>(F1875-H1875)^2</f>
        <v/>
      </c>
      <c r="J1875">
        <f>--(E1875="Validation")</f>
        <v/>
      </c>
    </row>
    <row r="1876">
      <c r="D1876">
        <f>AutoClaim_Data!A1876</f>
        <v/>
      </c>
      <c r="E1876">
        <f>AutoClaim_Data!B1876</f>
        <v/>
      </c>
      <c r="F1876">
        <f>AutoClaim_Data!C1876</f>
        <v/>
      </c>
      <c r="G1876">
        <f>IF(AutoClaim_Data!D1876&lt;=$B$2,AVERAGEIFS(AutoClaim_Data!C2:C3168,AutoClaim_Data!B2:B3168,"Train",AutoClaim_Data!D2:D3168,"&lt;="&amp;$B$2),AVERAGEIFS(AutoClaim_Data!C2:C3168,AutoClaim_Data!B2:B3168,"Train",AutoClaim_Data!D2:D3168,"&gt;"&amp;$B$2))</f>
        <v/>
      </c>
      <c r="H1876">
        <f>IF(AutoClaim_Data!D1876&lt;=$B$2,IF(AutoClaim_Data!E1876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6">
        <f>(F1876-H1876)^2</f>
        <v/>
      </c>
      <c r="J1876">
        <f>--(E1876="Validation")</f>
        <v/>
      </c>
    </row>
    <row r="1877">
      <c r="D1877">
        <f>AutoClaim_Data!A1877</f>
        <v/>
      </c>
      <c r="E1877">
        <f>AutoClaim_Data!B1877</f>
        <v/>
      </c>
      <c r="F1877">
        <f>AutoClaim_Data!C1877</f>
        <v/>
      </c>
      <c r="G1877">
        <f>IF(AutoClaim_Data!D1877&lt;=$B$2,AVERAGEIFS(AutoClaim_Data!C2:C3168,AutoClaim_Data!B2:B3168,"Train",AutoClaim_Data!D2:D3168,"&lt;="&amp;$B$2),AVERAGEIFS(AutoClaim_Data!C2:C3168,AutoClaim_Data!B2:B3168,"Train",AutoClaim_Data!D2:D3168,"&gt;"&amp;$B$2))</f>
        <v/>
      </c>
      <c r="H1877">
        <f>IF(AutoClaim_Data!D1877&lt;=$B$2,IF(AutoClaim_Data!E1877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7">
        <f>(F1877-H1877)^2</f>
        <v/>
      </c>
      <c r="J1877">
        <f>--(E1877="Validation")</f>
        <v/>
      </c>
    </row>
    <row r="1878">
      <c r="D1878">
        <f>AutoClaim_Data!A1878</f>
        <v/>
      </c>
      <c r="E1878">
        <f>AutoClaim_Data!B1878</f>
        <v/>
      </c>
      <c r="F1878">
        <f>AutoClaim_Data!C1878</f>
        <v/>
      </c>
      <c r="G1878">
        <f>IF(AutoClaim_Data!D1878&lt;=$B$2,AVERAGEIFS(AutoClaim_Data!C2:C3168,AutoClaim_Data!B2:B3168,"Train",AutoClaim_Data!D2:D3168,"&lt;="&amp;$B$2),AVERAGEIFS(AutoClaim_Data!C2:C3168,AutoClaim_Data!B2:B3168,"Train",AutoClaim_Data!D2:D3168,"&gt;"&amp;$B$2))</f>
        <v/>
      </c>
      <c r="H1878">
        <f>IF(AutoClaim_Data!D1878&lt;=$B$2,IF(AutoClaim_Data!E1878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8">
        <f>(F1878-H1878)^2</f>
        <v/>
      </c>
      <c r="J1878">
        <f>--(E1878="Validation")</f>
        <v/>
      </c>
    </row>
    <row r="1879">
      <c r="D1879">
        <f>AutoClaim_Data!A1879</f>
        <v/>
      </c>
      <c r="E1879">
        <f>AutoClaim_Data!B1879</f>
        <v/>
      </c>
      <c r="F1879">
        <f>AutoClaim_Data!C1879</f>
        <v/>
      </c>
      <c r="G1879">
        <f>IF(AutoClaim_Data!D1879&lt;=$B$2,AVERAGEIFS(AutoClaim_Data!C2:C3168,AutoClaim_Data!B2:B3168,"Train",AutoClaim_Data!D2:D3168,"&lt;="&amp;$B$2),AVERAGEIFS(AutoClaim_Data!C2:C3168,AutoClaim_Data!B2:B3168,"Train",AutoClaim_Data!D2:D3168,"&gt;"&amp;$B$2))</f>
        <v/>
      </c>
      <c r="H1879">
        <f>IF(AutoClaim_Data!D1879&lt;=$B$2,IF(AutoClaim_Data!E1879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79">
        <f>(F1879-H1879)^2</f>
        <v/>
      </c>
      <c r="J1879">
        <f>--(E1879="Validation")</f>
        <v/>
      </c>
    </row>
    <row r="1880">
      <c r="D1880">
        <f>AutoClaim_Data!A1880</f>
        <v/>
      </c>
      <c r="E1880">
        <f>AutoClaim_Data!B1880</f>
        <v/>
      </c>
      <c r="F1880">
        <f>AutoClaim_Data!C1880</f>
        <v/>
      </c>
      <c r="G1880">
        <f>IF(AutoClaim_Data!D1880&lt;=$B$2,AVERAGEIFS(AutoClaim_Data!C2:C3168,AutoClaim_Data!B2:B3168,"Train",AutoClaim_Data!D2:D3168,"&lt;="&amp;$B$2),AVERAGEIFS(AutoClaim_Data!C2:C3168,AutoClaim_Data!B2:B3168,"Train",AutoClaim_Data!D2:D3168,"&gt;"&amp;$B$2))</f>
        <v/>
      </c>
      <c r="H1880">
        <f>IF(AutoClaim_Data!D1880&lt;=$B$2,IF(AutoClaim_Data!E1880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0">
        <f>(F1880-H1880)^2</f>
        <v/>
      </c>
      <c r="J1880">
        <f>--(E1880="Validation")</f>
        <v/>
      </c>
    </row>
    <row r="1881">
      <c r="D1881">
        <f>AutoClaim_Data!A1881</f>
        <v/>
      </c>
      <c r="E1881">
        <f>AutoClaim_Data!B1881</f>
        <v/>
      </c>
      <c r="F1881">
        <f>AutoClaim_Data!C1881</f>
        <v/>
      </c>
      <c r="G1881">
        <f>IF(AutoClaim_Data!D1881&lt;=$B$2,AVERAGEIFS(AutoClaim_Data!C2:C3168,AutoClaim_Data!B2:B3168,"Train",AutoClaim_Data!D2:D3168,"&lt;="&amp;$B$2),AVERAGEIFS(AutoClaim_Data!C2:C3168,AutoClaim_Data!B2:B3168,"Train",AutoClaim_Data!D2:D3168,"&gt;"&amp;$B$2))</f>
        <v/>
      </c>
      <c r="H1881">
        <f>IF(AutoClaim_Data!D1881&lt;=$B$2,IF(AutoClaim_Data!E1881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1">
        <f>(F1881-H1881)^2</f>
        <v/>
      </c>
      <c r="J1881">
        <f>--(E1881="Validation")</f>
        <v/>
      </c>
    </row>
    <row r="1882">
      <c r="D1882">
        <f>AutoClaim_Data!A1882</f>
        <v/>
      </c>
      <c r="E1882">
        <f>AutoClaim_Data!B1882</f>
        <v/>
      </c>
      <c r="F1882">
        <f>AutoClaim_Data!C1882</f>
        <v/>
      </c>
      <c r="G1882">
        <f>IF(AutoClaim_Data!D1882&lt;=$B$2,AVERAGEIFS(AutoClaim_Data!C2:C3168,AutoClaim_Data!B2:B3168,"Train",AutoClaim_Data!D2:D3168,"&lt;="&amp;$B$2),AVERAGEIFS(AutoClaim_Data!C2:C3168,AutoClaim_Data!B2:B3168,"Train",AutoClaim_Data!D2:D3168,"&gt;"&amp;$B$2))</f>
        <v/>
      </c>
      <c r="H1882">
        <f>IF(AutoClaim_Data!D1882&lt;=$B$2,IF(AutoClaim_Data!E1882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2">
        <f>(F1882-H1882)^2</f>
        <v/>
      </c>
      <c r="J1882">
        <f>--(E1882="Validation")</f>
        <v/>
      </c>
    </row>
    <row r="1883">
      <c r="D1883">
        <f>AutoClaim_Data!A1883</f>
        <v/>
      </c>
      <c r="E1883">
        <f>AutoClaim_Data!B1883</f>
        <v/>
      </c>
      <c r="F1883">
        <f>AutoClaim_Data!C1883</f>
        <v/>
      </c>
      <c r="G1883">
        <f>IF(AutoClaim_Data!D1883&lt;=$B$2,AVERAGEIFS(AutoClaim_Data!C2:C3168,AutoClaim_Data!B2:B3168,"Train",AutoClaim_Data!D2:D3168,"&lt;="&amp;$B$2),AVERAGEIFS(AutoClaim_Data!C2:C3168,AutoClaim_Data!B2:B3168,"Train",AutoClaim_Data!D2:D3168,"&gt;"&amp;$B$2))</f>
        <v/>
      </c>
      <c r="H1883">
        <f>IF(AutoClaim_Data!D1883&lt;=$B$2,IF(AutoClaim_Data!E1883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3">
        <f>(F1883-H1883)^2</f>
        <v/>
      </c>
      <c r="J1883">
        <f>--(E1883="Validation")</f>
        <v/>
      </c>
    </row>
    <row r="1884">
      <c r="D1884">
        <f>AutoClaim_Data!A1884</f>
        <v/>
      </c>
      <c r="E1884">
        <f>AutoClaim_Data!B1884</f>
        <v/>
      </c>
      <c r="F1884">
        <f>AutoClaim_Data!C1884</f>
        <v/>
      </c>
      <c r="G1884">
        <f>IF(AutoClaim_Data!D1884&lt;=$B$2,AVERAGEIFS(AutoClaim_Data!C2:C3168,AutoClaim_Data!B2:B3168,"Train",AutoClaim_Data!D2:D3168,"&lt;="&amp;$B$2),AVERAGEIFS(AutoClaim_Data!C2:C3168,AutoClaim_Data!B2:B3168,"Train",AutoClaim_Data!D2:D3168,"&gt;"&amp;$B$2))</f>
        <v/>
      </c>
      <c r="H1884">
        <f>IF(AutoClaim_Data!D1884&lt;=$B$2,IF(AutoClaim_Data!E1884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4">
        <f>(F1884-H1884)^2</f>
        <v/>
      </c>
      <c r="J1884">
        <f>--(E1884="Validation")</f>
        <v/>
      </c>
    </row>
    <row r="1885">
      <c r="D1885">
        <f>AutoClaim_Data!A1885</f>
        <v/>
      </c>
      <c r="E1885">
        <f>AutoClaim_Data!B1885</f>
        <v/>
      </c>
      <c r="F1885">
        <f>AutoClaim_Data!C1885</f>
        <v/>
      </c>
      <c r="G1885">
        <f>IF(AutoClaim_Data!D1885&lt;=$B$2,AVERAGEIFS(AutoClaim_Data!C2:C3168,AutoClaim_Data!B2:B3168,"Train",AutoClaim_Data!D2:D3168,"&lt;="&amp;$B$2),AVERAGEIFS(AutoClaim_Data!C2:C3168,AutoClaim_Data!B2:B3168,"Train",AutoClaim_Data!D2:D3168,"&gt;"&amp;$B$2))</f>
        <v/>
      </c>
      <c r="H1885">
        <f>IF(AutoClaim_Data!D1885&lt;=$B$2,IF(AutoClaim_Data!E1885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5">
        <f>(F1885-H1885)^2</f>
        <v/>
      </c>
      <c r="J1885">
        <f>--(E1885="Validation")</f>
        <v/>
      </c>
    </row>
    <row r="1886">
      <c r="D1886">
        <f>AutoClaim_Data!A1886</f>
        <v/>
      </c>
      <c r="E1886">
        <f>AutoClaim_Data!B1886</f>
        <v/>
      </c>
      <c r="F1886">
        <f>AutoClaim_Data!C1886</f>
        <v/>
      </c>
      <c r="G1886">
        <f>IF(AutoClaim_Data!D1886&lt;=$B$2,AVERAGEIFS(AutoClaim_Data!C2:C3168,AutoClaim_Data!B2:B3168,"Train",AutoClaim_Data!D2:D3168,"&lt;="&amp;$B$2),AVERAGEIFS(AutoClaim_Data!C2:C3168,AutoClaim_Data!B2:B3168,"Train",AutoClaim_Data!D2:D3168,"&gt;"&amp;$B$2))</f>
        <v/>
      </c>
      <c r="H1886">
        <f>IF(AutoClaim_Data!D1886&lt;=$B$2,IF(AutoClaim_Data!E1886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6">
        <f>(F1886-H1886)^2</f>
        <v/>
      </c>
      <c r="J1886">
        <f>--(E1886="Validation")</f>
        <v/>
      </c>
    </row>
    <row r="1887">
      <c r="D1887">
        <f>AutoClaim_Data!A1887</f>
        <v/>
      </c>
      <c r="E1887">
        <f>AutoClaim_Data!B1887</f>
        <v/>
      </c>
      <c r="F1887">
        <f>AutoClaim_Data!C1887</f>
        <v/>
      </c>
      <c r="G1887">
        <f>IF(AutoClaim_Data!D1887&lt;=$B$2,AVERAGEIFS(AutoClaim_Data!C2:C3168,AutoClaim_Data!B2:B3168,"Train",AutoClaim_Data!D2:D3168,"&lt;="&amp;$B$2),AVERAGEIFS(AutoClaim_Data!C2:C3168,AutoClaim_Data!B2:B3168,"Train",AutoClaim_Data!D2:D3168,"&gt;"&amp;$B$2))</f>
        <v/>
      </c>
      <c r="H1887">
        <f>IF(AutoClaim_Data!D1887&lt;=$B$2,IF(AutoClaim_Data!E1887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7">
        <f>(F1887-H1887)^2</f>
        <v/>
      </c>
      <c r="J1887">
        <f>--(E1887="Validation")</f>
        <v/>
      </c>
    </row>
    <row r="1888">
      <c r="D1888">
        <f>AutoClaim_Data!A1888</f>
        <v/>
      </c>
      <c r="E1888">
        <f>AutoClaim_Data!B1888</f>
        <v/>
      </c>
      <c r="F1888">
        <f>AutoClaim_Data!C1888</f>
        <v/>
      </c>
      <c r="G1888">
        <f>IF(AutoClaim_Data!D1888&lt;=$B$2,AVERAGEIFS(AutoClaim_Data!C2:C3168,AutoClaim_Data!B2:B3168,"Train",AutoClaim_Data!D2:D3168,"&lt;="&amp;$B$2),AVERAGEIFS(AutoClaim_Data!C2:C3168,AutoClaim_Data!B2:B3168,"Train",AutoClaim_Data!D2:D3168,"&gt;"&amp;$B$2))</f>
        <v/>
      </c>
      <c r="H1888">
        <f>IF(AutoClaim_Data!D1888&lt;=$B$2,IF(AutoClaim_Data!E1888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8">
        <f>(F1888-H1888)^2</f>
        <v/>
      </c>
      <c r="J1888">
        <f>--(E1888="Validation")</f>
        <v/>
      </c>
    </row>
    <row r="1889">
      <c r="D1889">
        <f>AutoClaim_Data!A1889</f>
        <v/>
      </c>
      <c r="E1889">
        <f>AutoClaim_Data!B1889</f>
        <v/>
      </c>
      <c r="F1889">
        <f>AutoClaim_Data!C1889</f>
        <v/>
      </c>
      <c r="G1889">
        <f>IF(AutoClaim_Data!D1889&lt;=$B$2,AVERAGEIFS(AutoClaim_Data!C2:C3168,AutoClaim_Data!B2:B3168,"Train",AutoClaim_Data!D2:D3168,"&lt;="&amp;$B$2),AVERAGEIFS(AutoClaim_Data!C2:C3168,AutoClaim_Data!B2:B3168,"Train",AutoClaim_Data!D2:D3168,"&gt;"&amp;$B$2))</f>
        <v/>
      </c>
      <c r="H1889">
        <f>IF(AutoClaim_Data!D1889&lt;=$B$2,IF(AutoClaim_Data!E1889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89">
        <f>(F1889-H1889)^2</f>
        <v/>
      </c>
      <c r="J1889">
        <f>--(E1889="Validation")</f>
        <v/>
      </c>
    </row>
    <row r="1890">
      <c r="D1890">
        <f>AutoClaim_Data!A1890</f>
        <v/>
      </c>
      <c r="E1890">
        <f>AutoClaim_Data!B1890</f>
        <v/>
      </c>
      <c r="F1890">
        <f>AutoClaim_Data!C1890</f>
        <v/>
      </c>
      <c r="G1890">
        <f>IF(AutoClaim_Data!D1890&lt;=$B$2,AVERAGEIFS(AutoClaim_Data!C2:C3168,AutoClaim_Data!B2:B3168,"Train",AutoClaim_Data!D2:D3168,"&lt;="&amp;$B$2),AVERAGEIFS(AutoClaim_Data!C2:C3168,AutoClaim_Data!B2:B3168,"Train",AutoClaim_Data!D2:D3168,"&gt;"&amp;$B$2))</f>
        <v/>
      </c>
      <c r="H1890">
        <f>IF(AutoClaim_Data!D1890&lt;=$B$2,IF(AutoClaim_Data!E1890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0">
        <f>(F1890-H1890)^2</f>
        <v/>
      </c>
      <c r="J1890">
        <f>--(E1890="Validation")</f>
        <v/>
      </c>
    </row>
    <row r="1891">
      <c r="D1891">
        <f>AutoClaim_Data!A1891</f>
        <v/>
      </c>
      <c r="E1891">
        <f>AutoClaim_Data!B1891</f>
        <v/>
      </c>
      <c r="F1891">
        <f>AutoClaim_Data!C1891</f>
        <v/>
      </c>
      <c r="G1891">
        <f>IF(AutoClaim_Data!D1891&lt;=$B$2,AVERAGEIFS(AutoClaim_Data!C2:C3168,AutoClaim_Data!B2:B3168,"Train",AutoClaim_Data!D2:D3168,"&lt;="&amp;$B$2),AVERAGEIFS(AutoClaim_Data!C2:C3168,AutoClaim_Data!B2:B3168,"Train",AutoClaim_Data!D2:D3168,"&gt;"&amp;$B$2))</f>
        <v/>
      </c>
      <c r="H1891">
        <f>IF(AutoClaim_Data!D1891&lt;=$B$2,IF(AutoClaim_Data!E1891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1">
        <f>(F1891-H1891)^2</f>
        <v/>
      </c>
      <c r="J1891">
        <f>--(E1891="Validation")</f>
        <v/>
      </c>
    </row>
    <row r="1892">
      <c r="D1892">
        <f>AutoClaim_Data!A1892</f>
        <v/>
      </c>
      <c r="E1892">
        <f>AutoClaim_Data!B1892</f>
        <v/>
      </c>
      <c r="F1892">
        <f>AutoClaim_Data!C1892</f>
        <v/>
      </c>
      <c r="G1892">
        <f>IF(AutoClaim_Data!D1892&lt;=$B$2,AVERAGEIFS(AutoClaim_Data!C2:C3168,AutoClaim_Data!B2:B3168,"Train",AutoClaim_Data!D2:D3168,"&lt;="&amp;$B$2),AVERAGEIFS(AutoClaim_Data!C2:C3168,AutoClaim_Data!B2:B3168,"Train",AutoClaim_Data!D2:D3168,"&gt;"&amp;$B$2))</f>
        <v/>
      </c>
      <c r="H1892">
        <f>IF(AutoClaim_Data!D1892&lt;=$B$2,IF(AutoClaim_Data!E1892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2">
        <f>(F1892-H1892)^2</f>
        <v/>
      </c>
      <c r="J1892">
        <f>--(E1892="Validation")</f>
        <v/>
      </c>
    </row>
    <row r="1893">
      <c r="D1893">
        <f>AutoClaim_Data!A1893</f>
        <v/>
      </c>
      <c r="E1893">
        <f>AutoClaim_Data!B1893</f>
        <v/>
      </c>
      <c r="F1893">
        <f>AutoClaim_Data!C1893</f>
        <v/>
      </c>
      <c r="G1893">
        <f>IF(AutoClaim_Data!D1893&lt;=$B$2,AVERAGEIFS(AutoClaim_Data!C2:C3168,AutoClaim_Data!B2:B3168,"Train",AutoClaim_Data!D2:D3168,"&lt;="&amp;$B$2),AVERAGEIFS(AutoClaim_Data!C2:C3168,AutoClaim_Data!B2:B3168,"Train",AutoClaim_Data!D2:D3168,"&gt;"&amp;$B$2))</f>
        <v/>
      </c>
      <c r="H1893">
        <f>IF(AutoClaim_Data!D1893&lt;=$B$2,IF(AutoClaim_Data!E1893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3">
        <f>(F1893-H1893)^2</f>
        <v/>
      </c>
      <c r="J1893">
        <f>--(E1893="Validation")</f>
        <v/>
      </c>
    </row>
    <row r="1894">
      <c r="D1894">
        <f>AutoClaim_Data!A1894</f>
        <v/>
      </c>
      <c r="E1894">
        <f>AutoClaim_Data!B1894</f>
        <v/>
      </c>
      <c r="F1894">
        <f>AutoClaim_Data!C1894</f>
        <v/>
      </c>
      <c r="G1894">
        <f>IF(AutoClaim_Data!D1894&lt;=$B$2,AVERAGEIFS(AutoClaim_Data!C2:C3168,AutoClaim_Data!B2:B3168,"Train",AutoClaim_Data!D2:D3168,"&lt;="&amp;$B$2),AVERAGEIFS(AutoClaim_Data!C2:C3168,AutoClaim_Data!B2:B3168,"Train",AutoClaim_Data!D2:D3168,"&gt;"&amp;$B$2))</f>
        <v/>
      </c>
      <c r="H1894">
        <f>IF(AutoClaim_Data!D1894&lt;=$B$2,IF(AutoClaim_Data!E1894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4">
        <f>(F1894-H1894)^2</f>
        <v/>
      </c>
      <c r="J1894">
        <f>--(E1894="Validation")</f>
        <v/>
      </c>
    </row>
    <row r="1895">
      <c r="D1895">
        <f>AutoClaim_Data!A1895</f>
        <v/>
      </c>
      <c r="E1895">
        <f>AutoClaim_Data!B1895</f>
        <v/>
      </c>
      <c r="F1895">
        <f>AutoClaim_Data!C1895</f>
        <v/>
      </c>
      <c r="G1895">
        <f>IF(AutoClaim_Data!D1895&lt;=$B$2,AVERAGEIFS(AutoClaim_Data!C2:C3168,AutoClaim_Data!B2:B3168,"Train",AutoClaim_Data!D2:D3168,"&lt;="&amp;$B$2),AVERAGEIFS(AutoClaim_Data!C2:C3168,AutoClaim_Data!B2:B3168,"Train",AutoClaim_Data!D2:D3168,"&gt;"&amp;$B$2))</f>
        <v/>
      </c>
      <c r="H1895">
        <f>IF(AutoClaim_Data!D1895&lt;=$B$2,IF(AutoClaim_Data!E1895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5">
        <f>(F1895-H1895)^2</f>
        <v/>
      </c>
      <c r="J1895">
        <f>--(E1895="Validation")</f>
        <v/>
      </c>
    </row>
    <row r="1896">
      <c r="D1896">
        <f>AutoClaim_Data!A1896</f>
        <v/>
      </c>
      <c r="E1896">
        <f>AutoClaim_Data!B1896</f>
        <v/>
      </c>
      <c r="F1896">
        <f>AutoClaim_Data!C1896</f>
        <v/>
      </c>
      <c r="G1896">
        <f>IF(AutoClaim_Data!D1896&lt;=$B$2,AVERAGEIFS(AutoClaim_Data!C2:C3168,AutoClaim_Data!B2:B3168,"Train",AutoClaim_Data!D2:D3168,"&lt;="&amp;$B$2),AVERAGEIFS(AutoClaim_Data!C2:C3168,AutoClaim_Data!B2:B3168,"Train",AutoClaim_Data!D2:D3168,"&gt;"&amp;$B$2))</f>
        <v/>
      </c>
      <c r="H1896">
        <f>IF(AutoClaim_Data!D1896&lt;=$B$2,IF(AutoClaim_Data!E1896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6">
        <f>(F1896-H1896)^2</f>
        <v/>
      </c>
      <c r="J1896">
        <f>--(E1896="Validation")</f>
        <v/>
      </c>
    </row>
    <row r="1897">
      <c r="D1897">
        <f>AutoClaim_Data!A1897</f>
        <v/>
      </c>
      <c r="E1897">
        <f>AutoClaim_Data!B1897</f>
        <v/>
      </c>
      <c r="F1897">
        <f>AutoClaim_Data!C1897</f>
        <v/>
      </c>
      <c r="G1897">
        <f>IF(AutoClaim_Data!D1897&lt;=$B$2,AVERAGEIFS(AutoClaim_Data!C2:C3168,AutoClaim_Data!B2:B3168,"Train",AutoClaim_Data!D2:D3168,"&lt;="&amp;$B$2),AVERAGEIFS(AutoClaim_Data!C2:C3168,AutoClaim_Data!B2:B3168,"Train",AutoClaim_Data!D2:D3168,"&gt;"&amp;$B$2))</f>
        <v/>
      </c>
      <c r="H1897">
        <f>IF(AutoClaim_Data!D1897&lt;=$B$2,IF(AutoClaim_Data!E1897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7">
        <f>(F1897-H1897)^2</f>
        <v/>
      </c>
      <c r="J1897">
        <f>--(E1897="Validation")</f>
        <v/>
      </c>
    </row>
    <row r="1898">
      <c r="D1898">
        <f>AutoClaim_Data!A1898</f>
        <v/>
      </c>
      <c r="E1898">
        <f>AutoClaim_Data!B1898</f>
        <v/>
      </c>
      <c r="F1898">
        <f>AutoClaim_Data!C1898</f>
        <v/>
      </c>
      <c r="G1898">
        <f>IF(AutoClaim_Data!D1898&lt;=$B$2,AVERAGEIFS(AutoClaim_Data!C2:C3168,AutoClaim_Data!B2:B3168,"Train",AutoClaim_Data!D2:D3168,"&lt;="&amp;$B$2),AVERAGEIFS(AutoClaim_Data!C2:C3168,AutoClaim_Data!B2:B3168,"Train",AutoClaim_Data!D2:D3168,"&gt;"&amp;$B$2))</f>
        <v/>
      </c>
      <c r="H1898">
        <f>IF(AutoClaim_Data!D1898&lt;=$B$2,IF(AutoClaim_Data!E1898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8">
        <f>(F1898-H1898)^2</f>
        <v/>
      </c>
      <c r="J1898">
        <f>--(E1898="Validation")</f>
        <v/>
      </c>
    </row>
    <row r="1899">
      <c r="D1899">
        <f>AutoClaim_Data!A1899</f>
        <v/>
      </c>
      <c r="E1899">
        <f>AutoClaim_Data!B1899</f>
        <v/>
      </c>
      <c r="F1899">
        <f>AutoClaim_Data!C1899</f>
        <v/>
      </c>
      <c r="G1899">
        <f>IF(AutoClaim_Data!D1899&lt;=$B$2,AVERAGEIFS(AutoClaim_Data!C2:C3168,AutoClaim_Data!B2:B3168,"Train",AutoClaim_Data!D2:D3168,"&lt;="&amp;$B$2),AVERAGEIFS(AutoClaim_Data!C2:C3168,AutoClaim_Data!B2:B3168,"Train",AutoClaim_Data!D2:D3168,"&gt;"&amp;$B$2))</f>
        <v/>
      </c>
      <c r="H1899">
        <f>IF(AutoClaim_Data!D1899&lt;=$B$2,IF(AutoClaim_Data!E1899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1899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899">
        <f>(F1899-H1899)^2</f>
        <v/>
      </c>
      <c r="J1899">
        <f>--(E1899="Validation")</f>
        <v/>
      </c>
    </row>
    <row r="1900">
      <c r="D1900">
        <f>AutoClaim_Data!A1900</f>
        <v/>
      </c>
      <c r="E1900">
        <f>AutoClaim_Data!B1900</f>
        <v/>
      </c>
      <c r="F1900">
        <f>AutoClaim_Data!C1900</f>
        <v/>
      </c>
      <c r="G1900">
        <f>IF(AutoClaim_Data!D1900&lt;=$B$2,AVERAGEIFS(AutoClaim_Data!C2:C3168,AutoClaim_Data!B2:B3168,"Train",AutoClaim_Data!D2:D3168,"&lt;="&amp;$B$2),AVERAGEIFS(AutoClaim_Data!C2:C3168,AutoClaim_Data!B2:B3168,"Train",AutoClaim_Data!D2:D3168,"&gt;"&amp;$B$2))</f>
        <v/>
      </c>
      <c r="H1900">
        <f>IF(AutoClaim_Data!D1900&lt;=$B$2,IF(AutoClaim_Data!E1900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0">
        <f>(F1900-H1900)^2</f>
        <v/>
      </c>
      <c r="J1900">
        <f>--(E1900="Validation")</f>
        <v/>
      </c>
    </row>
    <row r="1901">
      <c r="D1901">
        <f>AutoClaim_Data!A1901</f>
        <v/>
      </c>
      <c r="E1901">
        <f>AutoClaim_Data!B1901</f>
        <v/>
      </c>
      <c r="F1901">
        <f>AutoClaim_Data!C1901</f>
        <v/>
      </c>
      <c r="G1901">
        <f>IF(AutoClaim_Data!D1901&lt;=$B$2,AVERAGEIFS(AutoClaim_Data!C2:C3168,AutoClaim_Data!B2:B3168,"Train",AutoClaim_Data!D2:D3168,"&lt;="&amp;$B$2),AVERAGEIFS(AutoClaim_Data!C2:C3168,AutoClaim_Data!B2:B3168,"Train",AutoClaim_Data!D2:D3168,"&gt;"&amp;$B$2))</f>
        <v/>
      </c>
      <c r="H1901">
        <f>IF(AutoClaim_Data!D1901&lt;=$B$2,IF(AutoClaim_Data!E1901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1">
        <f>(F1901-H1901)^2</f>
        <v/>
      </c>
      <c r="J1901">
        <f>--(E1901="Validation")</f>
        <v/>
      </c>
    </row>
    <row r="1902">
      <c r="D1902">
        <f>AutoClaim_Data!A1902</f>
        <v/>
      </c>
      <c r="E1902">
        <f>AutoClaim_Data!B1902</f>
        <v/>
      </c>
      <c r="F1902">
        <f>AutoClaim_Data!C1902</f>
        <v/>
      </c>
      <c r="G1902">
        <f>IF(AutoClaim_Data!D1902&lt;=$B$2,AVERAGEIFS(AutoClaim_Data!C2:C3168,AutoClaim_Data!B2:B3168,"Train",AutoClaim_Data!D2:D3168,"&lt;="&amp;$B$2),AVERAGEIFS(AutoClaim_Data!C2:C3168,AutoClaim_Data!B2:B3168,"Train",AutoClaim_Data!D2:D3168,"&gt;"&amp;$B$2))</f>
        <v/>
      </c>
      <c r="H1902">
        <f>IF(AutoClaim_Data!D1902&lt;=$B$2,IF(AutoClaim_Data!E1902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2">
        <f>(F1902-H1902)^2</f>
        <v/>
      </c>
      <c r="J1902">
        <f>--(E1902="Validation")</f>
        <v/>
      </c>
    </row>
    <row r="1903">
      <c r="D1903">
        <f>AutoClaim_Data!A1903</f>
        <v/>
      </c>
      <c r="E1903">
        <f>AutoClaim_Data!B1903</f>
        <v/>
      </c>
      <c r="F1903">
        <f>AutoClaim_Data!C1903</f>
        <v/>
      </c>
      <c r="G1903">
        <f>IF(AutoClaim_Data!D1903&lt;=$B$2,AVERAGEIFS(AutoClaim_Data!C2:C3168,AutoClaim_Data!B2:B3168,"Train",AutoClaim_Data!D2:D3168,"&lt;="&amp;$B$2),AVERAGEIFS(AutoClaim_Data!C2:C3168,AutoClaim_Data!B2:B3168,"Train",AutoClaim_Data!D2:D3168,"&gt;"&amp;$B$2))</f>
        <v/>
      </c>
      <c r="H1903">
        <f>IF(AutoClaim_Data!D1903&lt;=$B$2,IF(AutoClaim_Data!E1903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3">
        <f>(F1903-H1903)^2</f>
        <v/>
      </c>
      <c r="J1903">
        <f>--(E1903="Validation")</f>
        <v/>
      </c>
    </row>
    <row r="1904">
      <c r="D1904">
        <f>AutoClaim_Data!A1904</f>
        <v/>
      </c>
      <c r="E1904">
        <f>AutoClaim_Data!B1904</f>
        <v/>
      </c>
      <c r="F1904">
        <f>AutoClaim_Data!C1904</f>
        <v/>
      </c>
      <c r="G1904">
        <f>IF(AutoClaim_Data!D1904&lt;=$B$2,AVERAGEIFS(AutoClaim_Data!C2:C3168,AutoClaim_Data!B2:B3168,"Train",AutoClaim_Data!D2:D3168,"&lt;="&amp;$B$2),AVERAGEIFS(AutoClaim_Data!C2:C3168,AutoClaim_Data!B2:B3168,"Train",AutoClaim_Data!D2:D3168,"&gt;"&amp;$B$2))</f>
        <v/>
      </c>
      <c r="H1904">
        <f>IF(AutoClaim_Data!D1904&lt;=$B$2,IF(AutoClaim_Data!E1904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4">
        <f>(F1904-H1904)^2</f>
        <v/>
      </c>
      <c r="J1904">
        <f>--(E1904="Validation")</f>
        <v/>
      </c>
    </row>
    <row r="1905">
      <c r="D1905">
        <f>AutoClaim_Data!A1905</f>
        <v/>
      </c>
      <c r="E1905">
        <f>AutoClaim_Data!B1905</f>
        <v/>
      </c>
      <c r="F1905">
        <f>AutoClaim_Data!C1905</f>
        <v/>
      </c>
      <c r="G1905">
        <f>IF(AutoClaim_Data!D1905&lt;=$B$2,AVERAGEIFS(AutoClaim_Data!C2:C3168,AutoClaim_Data!B2:B3168,"Train",AutoClaim_Data!D2:D3168,"&lt;="&amp;$B$2),AVERAGEIFS(AutoClaim_Data!C2:C3168,AutoClaim_Data!B2:B3168,"Train",AutoClaim_Data!D2:D3168,"&gt;"&amp;$B$2))</f>
        <v/>
      </c>
      <c r="H1905">
        <f>IF(AutoClaim_Data!D1905&lt;=$B$2,IF(AutoClaim_Data!E1905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5">
        <f>(F1905-H1905)^2</f>
        <v/>
      </c>
      <c r="J1905">
        <f>--(E1905="Validation")</f>
        <v/>
      </c>
    </row>
    <row r="1906">
      <c r="D1906">
        <f>AutoClaim_Data!A1906</f>
        <v/>
      </c>
      <c r="E1906">
        <f>AutoClaim_Data!B1906</f>
        <v/>
      </c>
      <c r="F1906">
        <f>AutoClaim_Data!C1906</f>
        <v/>
      </c>
      <c r="G1906">
        <f>IF(AutoClaim_Data!D1906&lt;=$B$2,AVERAGEIFS(AutoClaim_Data!C2:C3168,AutoClaim_Data!B2:B3168,"Train",AutoClaim_Data!D2:D3168,"&lt;="&amp;$B$2),AVERAGEIFS(AutoClaim_Data!C2:C3168,AutoClaim_Data!B2:B3168,"Train",AutoClaim_Data!D2:D3168,"&gt;"&amp;$B$2))</f>
        <v/>
      </c>
      <c r="H1906">
        <f>IF(AutoClaim_Data!D1906&lt;=$B$2,IF(AutoClaim_Data!E1906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6">
        <f>(F1906-H1906)^2</f>
        <v/>
      </c>
      <c r="J1906">
        <f>--(E1906="Validation")</f>
        <v/>
      </c>
    </row>
    <row r="1907">
      <c r="D1907">
        <f>AutoClaim_Data!A1907</f>
        <v/>
      </c>
      <c r="E1907">
        <f>AutoClaim_Data!B1907</f>
        <v/>
      </c>
      <c r="F1907">
        <f>AutoClaim_Data!C1907</f>
        <v/>
      </c>
      <c r="G1907">
        <f>IF(AutoClaim_Data!D1907&lt;=$B$2,AVERAGEIFS(AutoClaim_Data!C2:C3168,AutoClaim_Data!B2:B3168,"Train",AutoClaim_Data!D2:D3168,"&lt;="&amp;$B$2),AVERAGEIFS(AutoClaim_Data!C2:C3168,AutoClaim_Data!B2:B3168,"Train",AutoClaim_Data!D2:D3168,"&gt;"&amp;$B$2))</f>
        <v/>
      </c>
      <c r="H1907">
        <f>IF(AutoClaim_Data!D1907&lt;=$B$2,IF(AutoClaim_Data!E1907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7">
        <f>(F1907-H1907)^2</f>
        <v/>
      </c>
      <c r="J1907">
        <f>--(E1907="Validation")</f>
        <v/>
      </c>
    </row>
    <row r="1908">
      <c r="D1908">
        <f>AutoClaim_Data!A1908</f>
        <v/>
      </c>
      <c r="E1908">
        <f>AutoClaim_Data!B1908</f>
        <v/>
      </c>
      <c r="F1908">
        <f>AutoClaim_Data!C1908</f>
        <v/>
      </c>
      <c r="G1908">
        <f>IF(AutoClaim_Data!D1908&lt;=$B$2,AVERAGEIFS(AutoClaim_Data!C2:C3168,AutoClaim_Data!B2:B3168,"Train",AutoClaim_Data!D2:D3168,"&lt;="&amp;$B$2),AVERAGEIFS(AutoClaim_Data!C2:C3168,AutoClaim_Data!B2:B3168,"Train",AutoClaim_Data!D2:D3168,"&gt;"&amp;$B$2))</f>
        <v/>
      </c>
      <c r="H1908">
        <f>IF(AutoClaim_Data!D1908&lt;=$B$2,IF(AutoClaim_Data!E1908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8">
        <f>(F1908-H1908)^2</f>
        <v/>
      </c>
      <c r="J1908">
        <f>--(E1908="Validation")</f>
        <v/>
      </c>
    </row>
    <row r="1909">
      <c r="D1909">
        <f>AutoClaim_Data!A1909</f>
        <v/>
      </c>
      <c r="E1909">
        <f>AutoClaim_Data!B1909</f>
        <v/>
      </c>
      <c r="F1909">
        <f>AutoClaim_Data!C1909</f>
        <v/>
      </c>
      <c r="G1909">
        <f>IF(AutoClaim_Data!D1909&lt;=$B$2,AVERAGEIFS(AutoClaim_Data!C2:C3168,AutoClaim_Data!B2:B3168,"Train",AutoClaim_Data!D2:D3168,"&lt;="&amp;$B$2),AVERAGEIFS(AutoClaim_Data!C2:C3168,AutoClaim_Data!B2:B3168,"Train",AutoClaim_Data!D2:D3168,"&gt;"&amp;$B$2))</f>
        <v/>
      </c>
      <c r="H1909">
        <f>IF(AutoClaim_Data!D1909&lt;=$B$2,IF(AutoClaim_Data!E1909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09">
        <f>(F1909-H1909)^2</f>
        <v/>
      </c>
      <c r="J1909">
        <f>--(E1909="Validation")</f>
        <v/>
      </c>
    </row>
    <row r="1910">
      <c r="D1910">
        <f>AutoClaim_Data!A1910</f>
        <v/>
      </c>
      <c r="E1910">
        <f>AutoClaim_Data!B1910</f>
        <v/>
      </c>
      <c r="F1910">
        <f>AutoClaim_Data!C1910</f>
        <v/>
      </c>
      <c r="G1910">
        <f>IF(AutoClaim_Data!D1910&lt;=$B$2,AVERAGEIFS(AutoClaim_Data!C2:C3168,AutoClaim_Data!B2:B3168,"Train",AutoClaim_Data!D2:D3168,"&lt;="&amp;$B$2),AVERAGEIFS(AutoClaim_Data!C2:C3168,AutoClaim_Data!B2:B3168,"Train",AutoClaim_Data!D2:D3168,"&gt;"&amp;$B$2))</f>
        <v/>
      </c>
      <c r="H1910">
        <f>IF(AutoClaim_Data!D1910&lt;=$B$2,IF(AutoClaim_Data!E1910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0">
        <f>(F1910-H1910)^2</f>
        <v/>
      </c>
      <c r="J1910">
        <f>--(E1910="Validation")</f>
        <v/>
      </c>
    </row>
    <row r="1911">
      <c r="D1911">
        <f>AutoClaim_Data!A1911</f>
        <v/>
      </c>
      <c r="E1911">
        <f>AutoClaim_Data!B1911</f>
        <v/>
      </c>
      <c r="F1911">
        <f>AutoClaim_Data!C1911</f>
        <v/>
      </c>
      <c r="G1911">
        <f>IF(AutoClaim_Data!D1911&lt;=$B$2,AVERAGEIFS(AutoClaim_Data!C2:C3168,AutoClaim_Data!B2:B3168,"Train",AutoClaim_Data!D2:D3168,"&lt;="&amp;$B$2),AVERAGEIFS(AutoClaim_Data!C2:C3168,AutoClaim_Data!B2:B3168,"Train",AutoClaim_Data!D2:D3168,"&gt;"&amp;$B$2))</f>
        <v/>
      </c>
      <c r="H1911">
        <f>IF(AutoClaim_Data!D1911&lt;=$B$2,IF(AutoClaim_Data!E1911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1">
        <f>(F1911-H1911)^2</f>
        <v/>
      </c>
      <c r="J1911">
        <f>--(E1911="Validation")</f>
        <v/>
      </c>
    </row>
    <row r="1912">
      <c r="D1912">
        <f>AutoClaim_Data!A1912</f>
        <v/>
      </c>
      <c r="E1912">
        <f>AutoClaim_Data!B1912</f>
        <v/>
      </c>
      <c r="F1912">
        <f>AutoClaim_Data!C1912</f>
        <v/>
      </c>
      <c r="G1912">
        <f>IF(AutoClaim_Data!D1912&lt;=$B$2,AVERAGEIFS(AutoClaim_Data!C2:C3168,AutoClaim_Data!B2:B3168,"Train",AutoClaim_Data!D2:D3168,"&lt;="&amp;$B$2),AVERAGEIFS(AutoClaim_Data!C2:C3168,AutoClaim_Data!B2:B3168,"Train",AutoClaim_Data!D2:D3168,"&gt;"&amp;$B$2))</f>
        <v/>
      </c>
      <c r="H1912">
        <f>IF(AutoClaim_Data!D1912&lt;=$B$2,IF(AutoClaim_Data!E1912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2">
        <f>(F1912-H1912)^2</f>
        <v/>
      </c>
      <c r="J1912">
        <f>--(E1912="Validation")</f>
        <v/>
      </c>
    </row>
    <row r="1913">
      <c r="D1913">
        <f>AutoClaim_Data!A1913</f>
        <v/>
      </c>
      <c r="E1913">
        <f>AutoClaim_Data!B1913</f>
        <v/>
      </c>
      <c r="F1913">
        <f>AutoClaim_Data!C1913</f>
        <v/>
      </c>
      <c r="G1913">
        <f>IF(AutoClaim_Data!D1913&lt;=$B$2,AVERAGEIFS(AutoClaim_Data!C2:C3168,AutoClaim_Data!B2:B3168,"Train",AutoClaim_Data!D2:D3168,"&lt;="&amp;$B$2),AVERAGEIFS(AutoClaim_Data!C2:C3168,AutoClaim_Data!B2:B3168,"Train",AutoClaim_Data!D2:D3168,"&gt;"&amp;$B$2))</f>
        <v/>
      </c>
      <c r="H1913">
        <f>IF(AutoClaim_Data!D1913&lt;=$B$2,IF(AutoClaim_Data!E1913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3">
        <f>(F1913-H1913)^2</f>
        <v/>
      </c>
      <c r="J1913">
        <f>--(E1913="Validation")</f>
        <v/>
      </c>
    </row>
    <row r="1914">
      <c r="D1914">
        <f>AutoClaim_Data!A1914</f>
        <v/>
      </c>
      <c r="E1914">
        <f>AutoClaim_Data!B1914</f>
        <v/>
      </c>
      <c r="F1914">
        <f>AutoClaim_Data!C1914</f>
        <v/>
      </c>
      <c r="G1914">
        <f>IF(AutoClaim_Data!D1914&lt;=$B$2,AVERAGEIFS(AutoClaim_Data!C2:C3168,AutoClaim_Data!B2:B3168,"Train",AutoClaim_Data!D2:D3168,"&lt;="&amp;$B$2),AVERAGEIFS(AutoClaim_Data!C2:C3168,AutoClaim_Data!B2:B3168,"Train",AutoClaim_Data!D2:D3168,"&gt;"&amp;$B$2))</f>
        <v/>
      </c>
      <c r="H1914">
        <f>IF(AutoClaim_Data!D1914&lt;=$B$2,IF(AutoClaim_Data!E1914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4">
        <f>(F1914-H1914)^2</f>
        <v/>
      </c>
      <c r="J1914">
        <f>--(E1914="Validation")</f>
        <v/>
      </c>
    </row>
    <row r="1915">
      <c r="D1915">
        <f>AutoClaim_Data!A1915</f>
        <v/>
      </c>
      <c r="E1915">
        <f>AutoClaim_Data!B1915</f>
        <v/>
      </c>
      <c r="F1915">
        <f>AutoClaim_Data!C1915</f>
        <v/>
      </c>
      <c r="G1915">
        <f>IF(AutoClaim_Data!D1915&lt;=$B$2,AVERAGEIFS(AutoClaim_Data!C2:C3168,AutoClaim_Data!B2:B3168,"Train",AutoClaim_Data!D2:D3168,"&lt;="&amp;$B$2),AVERAGEIFS(AutoClaim_Data!C2:C3168,AutoClaim_Data!B2:B3168,"Train",AutoClaim_Data!D2:D3168,"&gt;"&amp;$B$2))</f>
        <v/>
      </c>
      <c r="H1915">
        <f>IF(AutoClaim_Data!D1915&lt;=$B$2,IF(AutoClaim_Data!E1915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5">
        <f>(F1915-H1915)^2</f>
        <v/>
      </c>
      <c r="J1915">
        <f>--(E1915="Validation")</f>
        <v/>
      </c>
    </row>
    <row r="1916">
      <c r="D1916">
        <f>AutoClaim_Data!A1916</f>
        <v/>
      </c>
      <c r="E1916">
        <f>AutoClaim_Data!B1916</f>
        <v/>
      </c>
      <c r="F1916">
        <f>AutoClaim_Data!C1916</f>
        <v/>
      </c>
      <c r="G1916">
        <f>IF(AutoClaim_Data!D1916&lt;=$B$2,AVERAGEIFS(AutoClaim_Data!C2:C3168,AutoClaim_Data!B2:B3168,"Train",AutoClaim_Data!D2:D3168,"&lt;="&amp;$B$2),AVERAGEIFS(AutoClaim_Data!C2:C3168,AutoClaim_Data!B2:B3168,"Train",AutoClaim_Data!D2:D3168,"&gt;"&amp;$B$2))</f>
        <v/>
      </c>
      <c r="H1916">
        <f>IF(AutoClaim_Data!D1916&lt;=$B$2,IF(AutoClaim_Data!E1916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6">
        <f>(F1916-H1916)^2</f>
        <v/>
      </c>
      <c r="J1916">
        <f>--(E1916="Validation")</f>
        <v/>
      </c>
    </row>
    <row r="1917">
      <c r="D1917">
        <f>AutoClaim_Data!A1917</f>
        <v/>
      </c>
      <c r="E1917">
        <f>AutoClaim_Data!B1917</f>
        <v/>
      </c>
      <c r="F1917">
        <f>AutoClaim_Data!C1917</f>
        <v/>
      </c>
      <c r="G1917">
        <f>IF(AutoClaim_Data!D1917&lt;=$B$2,AVERAGEIFS(AutoClaim_Data!C2:C3168,AutoClaim_Data!B2:B3168,"Train",AutoClaim_Data!D2:D3168,"&lt;="&amp;$B$2),AVERAGEIFS(AutoClaim_Data!C2:C3168,AutoClaim_Data!B2:B3168,"Train",AutoClaim_Data!D2:D3168,"&gt;"&amp;$B$2))</f>
        <v/>
      </c>
      <c r="H1917">
        <f>IF(AutoClaim_Data!D1917&lt;=$B$2,IF(AutoClaim_Data!E1917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7">
        <f>(F1917-H1917)^2</f>
        <v/>
      </c>
      <c r="J1917">
        <f>--(E1917="Validation")</f>
        <v/>
      </c>
    </row>
    <row r="1918">
      <c r="D1918">
        <f>AutoClaim_Data!A1918</f>
        <v/>
      </c>
      <c r="E1918">
        <f>AutoClaim_Data!B1918</f>
        <v/>
      </c>
      <c r="F1918">
        <f>AutoClaim_Data!C1918</f>
        <v/>
      </c>
      <c r="G1918">
        <f>IF(AutoClaim_Data!D1918&lt;=$B$2,AVERAGEIFS(AutoClaim_Data!C2:C3168,AutoClaim_Data!B2:B3168,"Train",AutoClaim_Data!D2:D3168,"&lt;="&amp;$B$2),AVERAGEIFS(AutoClaim_Data!C2:C3168,AutoClaim_Data!B2:B3168,"Train",AutoClaim_Data!D2:D3168,"&gt;"&amp;$B$2))</f>
        <v/>
      </c>
      <c r="H1918">
        <f>IF(AutoClaim_Data!D1918&lt;=$B$2,IF(AutoClaim_Data!E1918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8">
        <f>(F1918-H1918)^2</f>
        <v/>
      </c>
      <c r="J1918">
        <f>--(E1918="Validation")</f>
        <v/>
      </c>
    </row>
    <row r="1919">
      <c r="D1919">
        <f>AutoClaim_Data!A1919</f>
        <v/>
      </c>
      <c r="E1919">
        <f>AutoClaim_Data!B1919</f>
        <v/>
      </c>
      <c r="F1919">
        <f>AutoClaim_Data!C1919</f>
        <v/>
      </c>
      <c r="G1919">
        <f>IF(AutoClaim_Data!D1919&lt;=$B$2,AVERAGEIFS(AutoClaim_Data!C2:C3168,AutoClaim_Data!B2:B3168,"Train",AutoClaim_Data!D2:D3168,"&lt;="&amp;$B$2),AVERAGEIFS(AutoClaim_Data!C2:C3168,AutoClaim_Data!B2:B3168,"Train",AutoClaim_Data!D2:D3168,"&gt;"&amp;$B$2))</f>
        <v/>
      </c>
      <c r="H1919">
        <f>IF(AutoClaim_Data!D1919&lt;=$B$2,IF(AutoClaim_Data!E1919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19">
        <f>(F1919-H1919)^2</f>
        <v/>
      </c>
      <c r="J1919">
        <f>--(E1919="Validation")</f>
        <v/>
      </c>
    </row>
    <row r="1920">
      <c r="D1920">
        <f>AutoClaim_Data!A1920</f>
        <v/>
      </c>
      <c r="E1920">
        <f>AutoClaim_Data!B1920</f>
        <v/>
      </c>
      <c r="F1920">
        <f>AutoClaim_Data!C1920</f>
        <v/>
      </c>
      <c r="G1920">
        <f>IF(AutoClaim_Data!D1920&lt;=$B$2,AVERAGEIFS(AutoClaim_Data!C2:C3168,AutoClaim_Data!B2:B3168,"Train",AutoClaim_Data!D2:D3168,"&lt;="&amp;$B$2),AVERAGEIFS(AutoClaim_Data!C2:C3168,AutoClaim_Data!B2:B3168,"Train",AutoClaim_Data!D2:D3168,"&gt;"&amp;$B$2))</f>
        <v/>
      </c>
      <c r="H1920">
        <f>IF(AutoClaim_Data!D1920&lt;=$B$2,IF(AutoClaim_Data!E1920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0">
        <f>(F1920-H1920)^2</f>
        <v/>
      </c>
      <c r="J1920">
        <f>--(E1920="Validation")</f>
        <v/>
      </c>
    </row>
    <row r="1921">
      <c r="D1921">
        <f>AutoClaim_Data!A1921</f>
        <v/>
      </c>
      <c r="E1921">
        <f>AutoClaim_Data!B1921</f>
        <v/>
      </c>
      <c r="F1921">
        <f>AutoClaim_Data!C1921</f>
        <v/>
      </c>
      <c r="G1921">
        <f>IF(AutoClaim_Data!D1921&lt;=$B$2,AVERAGEIFS(AutoClaim_Data!C2:C3168,AutoClaim_Data!B2:B3168,"Train",AutoClaim_Data!D2:D3168,"&lt;="&amp;$B$2),AVERAGEIFS(AutoClaim_Data!C2:C3168,AutoClaim_Data!B2:B3168,"Train",AutoClaim_Data!D2:D3168,"&gt;"&amp;$B$2))</f>
        <v/>
      </c>
      <c r="H1921">
        <f>IF(AutoClaim_Data!D1921&lt;=$B$2,IF(AutoClaim_Data!E1921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1">
        <f>(F1921-H1921)^2</f>
        <v/>
      </c>
      <c r="J1921">
        <f>--(E1921="Validation")</f>
        <v/>
      </c>
    </row>
    <row r="1922">
      <c r="D1922">
        <f>AutoClaim_Data!A1922</f>
        <v/>
      </c>
      <c r="E1922">
        <f>AutoClaim_Data!B1922</f>
        <v/>
      </c>
      <c r="F1922">
        <f>AutoClaim_Data!C1922</f>
        <v/>
      </c>
      <c r="G1922">
        <f>IF(AutoClaim_Data!D1922&lt;=$B$2,AVERAGEIFS(AutoClaim_Data!C2:C3168,AutoClaim_Data!B2:B3168,"Train",AutoClaim_Data!D2:D3168,"&lt;="&amp;$B$2),AVERAGEIFS(AutoClaim_Data!C2:C3168,AutoClaim_Data!B2:B3168,"Train",AutoClaim_Data!D2:D3168,"&gt;"&amp;$B$2))</f>
        <v/>
      </c>
      <c r="H1922">
        <f>IF(AutoClaim_Data!D1922&lt;=$B$2,IF(AutoClaim_Data!E1922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2">
        <f>(F1922-H1922)^2</f>
        <v/>
      </c>
      <c r="J1922">
        <f>--(E1922="Validation")</f>
        <v/>
      </c>
    </row>
    <row r="1923">
      <c r="D1923">
        <f>AutoClaim_Data!A1923</f>
        <v/>
      </c>
      <c r="E1923">
        <f>AutoClaim_Data!B1923</f>
        <v/>
      </c>
      <c r="F1923">
        <f>AutoClaim_Data!C1923</f>
        <v/>
      </c>
      <c r="G1923">
        <f>IF(AutoClaim_Data!D1923&lt;=$B$2,AVERAGEIFS(AutoClaim_Data!C2:C3168,AutoClaim_Data!B2:B3168,"Train",AutoClaim_Data!D2:D3168,"&lt;="&amp;$B$2),AVERAGEIFS(AutoClaim_Data!C2:C3168,AutoClaim_Data!B2:B3168,"Train",AutoClaim_Data!D2:D3168,"&gt;"&amp;$B$2))</f>
        <v/>
      </c>
      <c r="H1923">
        <f>IF(AutoClaim_Data!D1923&lt;=$B$2,IF(AutoClaim_Data!E1923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3">
        <f>(F1923-H1923)^2</f>
        <v/>
      </c>
      <c r="J1923">
        <f>--(E1923="Validation")</f>
        <v/>
      </c>
    </row>
    <row r="1924">
      <c r="D1924">
        <f>AutoClaim_Data!A1924</f>
        <v/>
      </c>
      <c r="E1924">
        <f>AutoClaim_Data!B1924</f>
        <v/>
      </c>
      <c r="F1924">
        <f>AutoClaim_Data!C1924</f>
        <v/>
      </c>
      <c r="G1924">
        <f>IF(AutoClaim_Data!D1924&lt;=$B$2,AVERAGEIFS(AutoClaim_Data!C2:C3168,AutoClaim_Data!B2:B3168,"Train",AutoClaim_Data!D2:D3168,"&lt;="&amp;$B$2),AVERAGEIFS(AutoClaim_Data!C2:C3168,AutoClaim_Data!B2:B3168,"Train",AutoClaim_Data!D2:D3168,"&gt;"&amp;$B$2))</f>
        <v/>
      </c>
      <c r="H1924">
        <f>IF(AutoClaim_Data!D1924&lt;=$B$2,IF(AutoClaim_Data!E1924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4">
        <f>(F1924-H1924)^2</f>
        <v/>
      </c>
      <c r="J1924">
        <f>--(E1924="Validation")</f>
        <v/>
      </c>
    </row>
    <row r="1925">
      <c r="D1925">
        <f>AutoClaim_Data!A1925</f>
        <v/>
      </c>
      <c r="E1925">
        <f>AutoClaim_Data!B1925</f>
        <v/>
      </c>
      <c r="F1925">
        <f>AutoClaim_Data!C1925</f>
        <v/>
      </c>
      <c r="G1925">
        <f>IF(AutoClaim_Data!D1925&lt;=$B$2,AVERAGEIFS(AutoClaim_Data!C2:C3168,AutoClaim_Data!B2:B3168,"Train",AutoClaim_Data!D2:D3168,"&lt;="&amp;$B$2),AVERAGEIFS(AutoClaim_Data!C2:C3168,AutoClaim_Data!B2:B3168,"Train",AutoClaim_Data!D2:D3168,"&gt;"&amp;$B$2))</f>
        <v/>
      </c>
      <c r="H1925">
        <f>IF(AutoClaim_Data!D1925&lt;=$B$2,IF(AutoClaim_Data!E1925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5">
        <f>(F1925-H1925)^2</f>
        <v/>
      </c>
      <c r="J1925">
        <f>--(E1925="Validation")</f>
        <v/>
      </c>
    </row>
    <row r="1926">
      <c r="D1926">
        <f>AutoClaim_Data!A1926</f>
        <v/>
      </c>
      <c r="E1926">
        <f>AutoClaim_Data!B1926</f>
        <v/>
      </c>
      <c r="F1926">
        <f>AutoClaim_Data!C1926</f>
        <v/>
      </c>
      <c r="G1926">
        <f>IF(AutoClaim_Data!D1926&lt;=$B$2,AVERAGEIFS(AutoClaim_Data!C2:C3168,AutoClaim_Data!B2:B3168,"Train",AutoClaim_Data!D2:D3168,"&lt;="&amp;$B$2),AVERAGEIFS(AutoClaim_Data!C2:C3168,AutoClaim_Data!B2:B3168,"Train",AutoClaim_Data!D2:D3168,"&gt;"&amp;$B$2))</f>
        <v/>
      </c>
      <c r="H1926">
        <f>IF(AutoClaim_Data!D1926&lt;=$B$2,IF(AutoClaim_Data!E1926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6">
        <f>(F1926-H1926)^2</f>
        <v/>
      </c>
      <c r="J1926">
        <f>--(E1926="Validation")</f>
        <v/>
      </c>
    </row>
    <row r="1927">
      <c r="D1927">
        <f>AutoClaim_Data!A1927</f>
        <v/>
      </c>
      <c r="E1927">
        <f>AutoClaim_Data!B1927</f>
        <v/>
      </c>
      <c r="F1927">
        <f>AutoClaim_Data!C1927</f>
        <v/>
      </c>
      <c r="G1927">
        <f>IF(AutoClaim_Data!D1927&lt;=$B$2,AVERAGEIFS(AutoClaim_Data!C2:C3168,AutoClaim_Data!B2:B3168,"Train",AutoClaim_Data!D2:D3168,"&lt;="&amp;$B$2),AVERAGEIFS(AutoClaim_Data!C2:C3168,AutoClaim_Data!B2:B3168,"Train",AutoClaim_Data!D2:D3168,"&gt;"&amp;$B$2))</f>
        <v/>
      </c>
      <c r="H1927">
        <f>IF(AutoClaim_Data!D1927&lt;=$B$2,IF(AutoClaim_Data!E1927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7">
        <f>(F1927-H1927)^2</f>
        <v/>
      </c>
      <c r="J1927">
        <f>--(E1927="Validation")</f>
        <v/>
      </c>
    </row>
    <row r="1928">
      <c r="D1928">
        <f>AutoClaim_Data!A1928</f>
        <v/>
      </c>
      <c r="E1928">
        <f>AutoClaim_Data!B1928</f>
        <v/>
      </c>
      <c r="F1928">
        <f>AutoClaim_Data!C1928</f>
        <v/>
      </c>
      <c r="G1928">
        <f>IF(AutoClaim_Data!D1928&lt;=$B$2,AVERAGEIFS(AutoClaim_Data!C2:C3168,AutoClaim_Data!B2:B3168,"Train",AutoClaim_Data!D2:D3168,"&lt;="&amp;$B$2),AVERAGEIFS(AutoClaim_Data!C2:C3168,AutoClaim_Data!B2:B3168,"Train",AutoClaim_Data!D2:D3168,"&gt;"&amp;$B$2))</f>
        <v/>
      </c>
      <c r="H1928">
        <f>IF(AutoClaim_Data!D1928&lt;=$B$2,IF(AutoClaim_Data!E1928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8">
        <f>(F1928-H1928)^2</f>
        <v/>
      </c>
      <c r="J1928">
        <f>--(E1928="Validation")</f>
        <v/>
      </c>
    </row>
    <row r="1929">
      <c r="D1929">
        <f>AutoClaim_Data!A1929</f>
        <v/>
      </c>
      <c r="E1929">
        <f>AutoClaim_Data!B1929</f>
        <v/>
      </c>
      <c r="F1929">
        <f>AutoClaim_Data!C1929</f>
        <v/>
      </c>
      <c r="G1929">
        <f>IF(AutoClaim_Data!D1929&lt;=$B$2,AVERAGEIFS(AutoClaim_Data!C2:C3168,AutoClaim_Data!B2:B3168,"Train",AutoClaim_Data!D2:D3168,"&lt;="&amp;$B$2),AVERAGEIFS(AutoClaim_Data!C2:C3168,AutoClaim_Data!B2:B3168,"Train",AutoClaim_Data!D2:D3168,"&gt;"&amp;$B$2))</f>
        <v/>
      </c>
      <c r="H1929">
        <f>IF(AutoClaim_Data!D1929&lt;=$B$2,IF(AutoClaim_Data!E1929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29">
        <f>(F1929-H1929)^2</f>
        <v/>
      </c>
      <c r="J1929">
        <f>--(E1929="Validation")</f>
        <v/>
      </c>
    </row>
    <row r="1930">
      <c r="D1930">
        <f>AutoClaim_Data!A1930</f>
        <v/>
      </c>
      <c r="E1930">
        <f>AutoClaim_Data!B1930</f>
        <v/>
      </c>
      <c r="F1930">
        <f>AutoClaim_Data!C1930</f>
        <v/>
      </c>
      <c r="G1930">
        <f>IF(AutoClaim_Data!D1930&lt;=$B$2,AVERAGEIFS(AutoClaim_Data!C2:C3168,AutoClaim_Data!B2:B3168,"Train",AutoClaim_Data!D2:D3168,"&lt;="&amp;$B$2),AVERAGEIFS(AutoClaim_Data!C2:C3168,AutoClaim_Data!B2:B3168,"Train",AutoClaim_Data!D2:D3168,"&gt;"&amp;$B$2))</f>
        <v/>
      </c>
      <c r="H1930">
        <f>IF(AutoClaim_Data!D1930&lt;=$B$2,IF(AutoClaim_Data!E1930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0">
        <f>(F1930-H1930)^2</f>
        <v/>
      </c>
      <c r="J1930">
        <f>--(E1930="Validation")</f>
        <v/>
      </c>
    </row>
    <row r="1931">
      <c r="D1931">
        <f>AutoClaim_Data!A1931</f>
        <v/>
      </c>
      <c r="E1931">
        <f>AutoClaim_Data!B1931</f>
        <v/>
      </c>
      <c r="F1931">
        <f>AutoClaim_Data!C1931</f>
        <v/>
      </c>
      <c r="G1931">
        <f>IF(AutoClaim_Data!D1931&lt;=$B$2,AVERAGEIFS(AutoClaim_Data!C2:C3168,AutoClaim_Data!B2:B3168,"Train",AutoClaim_Data!D2:D3168,"&lt;="&amp;$B$2),AVERAGEIFS(AutoClaim_Data!C2:C3168,AutoClaim_Data!B2:B3168,"Train",AutoClaim_Data!D2:D3168,"&gt;"&amp;$B$2))</f>
        <v/>
      </c>
      <c r="H1931">
        <f>IF(AutoClaim_Data!D1931&lt;=$B$2,IF(AutoClaim_Data!E1931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1">
        <f>(F1931-H1931)^2</f>
        <v/>
      </c>
      <c r="J1931">
        <f>--(E1931="Validation")</f>
        <v/>
      </c>
    </row>
    <row r="1932">
      <c r="D1932">
        <f>AutoClaim_Data!A1932</f>
        <v/>
      </c>
      <c r="E1932">
        <f>AutoClaim_Data!B1932</f>
        <v/>
      </c>
      <c r="F1932">
        <f>AutoClaim_Data!C1932</f>
        <v/>
      </c>
      <c r="G1932">
        <f>IF(AutoClaim_Data!D1932&lt;=$B$2,AVERAGEIFS(AutoClaim_Data!C2:C3168,AutoClaim_Data!B2:B3168,"Train",AutoClaim_Data!D2:D3168,"&lt;="&amp;$B$2),AVERAGEIFS(AutoClaim_Data!C2:C3168,AutoClaim_Data!B2:B3168,"Train",AutoClaim_Data!D2:D3168,"&gt;"&amp;$B$2))</f>
        <v/>
      </c>
      <c r="H1932">
        <f>IF(AutoClaim_Data!D1932&lt;=$B$2,IF(AutoClaim_Data!E1932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2">
        <f>(F1932-H1932)^2</f>
        <v/>
      </c>
      <c r="J1932">
        <f>--(E1932="Validation")</f>
        <v/>
      </c>
    </row>
    <row r="1933">
      <c r="D1933">
        <f>AutoClaim_Data!A1933</f>
        <v/>
      </c>
      <c r="E1933">
        <f>AutoClaim_Data!B1933</f>
        <v/>
      </c>
      <c r="F1933">
        <f>AutoClaim_Data!C1933</f>
        <v/>
      </c>
      <c r="G1933">
        <f>IF(AutoClaim_Data!D1933&lt;=$B$2,AVERAGEIFS(AutoClaim_Data!C2:C3168,AutoClaim_Data!B2:B3168,"Train",AutoClaim_Data!D2:D3168,"&lt;="&amp;$B$2),AVERAGEIFS(AutoClaim_Data!C2:C3168,AutoClaim_Data!B2:B3168,"Train",AutoClaim_Data!D2:D3168,"&gt;"&amp;$B$2))</f>
        <v/>
      </c>
      <c r="H1933">
        <f>IF(AutoClaim_Data!D1933&lt;=$B$2,IF(AutoClaim_Data!E1933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3">
        <f>(F1933-H1933)^2</f>
        <v/>
      </c>
      <c r="J1933">
        <f>--(E1933="Validation")</f>
        <v/>
      </c>
    </row>
    <row r="1934">
      <c r="D1934">
        <f>AutoClaim_Data!A1934</f>
        <v/>
      </c>
      <c r="E1934">
        <f>AutoClaim_Data!B1934</f>
        <v/>
      </c>
      <c r="F1934">
        <f>AutoClaim_Data!C1934</f>
        <v/>
      </c>
      <c r="G1934">
        <f>IF(AutoClaim_Data!D1934&lt;=$B$2,AVERAGEIFS(AutoClaim_Data!C2:C3168,AutoClaim_Data!B2:B3168,"Train",AutoClaim_Data!D2:D3168,"&lt;="&amp;$B$2),AVERAGEIFS(AutoClaim_Data!C2:C3168,AutoClaim_Data!B2:B3168,"Train",AutoClaim_Data!D2:D3168,"&gt;"&amp;$B$2))</f>
        <v/>
      </c>
      <c r="H1934">
        <f>IF(AutoClaim_Data!D1934&lt;=$B$2,IF(AutoClaim_Data!E1934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4">
        <f>(F1934-H1934)^2</f>
        <v/>
      </c>
      <c r="J1934">
        <f>--(E1934="Validation")</f>
        <v/>
      </c>
    </row>
    <row r="1935">
      <c r="D1935">
        <f>AutoClaim_Data!A1935</f>
        <v/>
      </c>
      <c r="E1935">
        <f>AutoClaim_Data!B1935</f>
        <v/>
      </c>
      <c r="F1935">
        <f>AutoClaim_Data!C1935</f>
        <v/>
      </c>
      <c r="G1935">
        <f>IF(AutoClaim_Data!D1935&lt;=$B$2,AVERAGEIFS(AutoClaim_Data!C2:C3168,AutoClaim_Data!B2:B3168,"Train",AutoClaim_Data!D2:D3168,"&lt;="&amp;$B$2),AVERAGEIFS(AutoClaim_Data!C2:C3168,AutoClaim_Data!B2:B3168,"Train",AutoClaim_Data!D2:D3168,"&gt;"&amp;$B$2))</f>
        <v/>
      </c>
      <c r="H1935">
        <f>IF(AutoClaim_Data!D1935&lt;=$B$2,IF(AutoClaim_Data!E1935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5">
        <f>(F1935-H1935)^2</f>
        <v/>
      </c>
      <c r="J1935">
        <f>--(E1935="Validation")</f>
        <v/>
      </c>
    </row>
    <row r="1936">
      <c r="D1936">
        <f>AutoClaim_Data!A1936</f>
        <v/>
      </c>
      <c r="E1936">
        <f>AutoClaim_Data!B1936</f>
        <v/>
      </c>
      <c r="F1936">
        <f>AutoClaim_Data!C1936</f>
        <v/>
      </c>
      <c r="G1936">
        <f>IF(AutoClaim_Data!D1936&lt;=$B$2,AVERAGEIFS(AutoClaim_Data!C2:C3168,AutoClaim_Data!B2:B3168,"Train",AutoClaim_Data!D2:D3168,"&lt;="&amp;$B$2),AVERAGEIFS(AutoClaim_Data!C2:C3168,AutoClaim_Data!B2:B3168,"Train",AutoClaim_Data!D2:D3168,"&gt;"&amp;$B$2))</f>
        <v/>
      </c>
      <c r="H1936">
        <f>IF(AutoClaim_Data!D1936&lt;=$B$2,IF(AutoClaim_Data!E1936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6">
        <f>(F1936-H1936)^2</f>
        <v/>
      </c>
      <c r="J1936">
        <f>--(E1936="Validation")</f>
        <v/>
      </c>
    </row>
    <row r="1937">
      <c r="D1937">
        <f>AutoClaim_Data!A1937</f>
        <v/>
      </c>
      <c r="E1937">
        <f>AutoClaim_Data!B1937</f>
        <v/>
      </c>
      <c r="F1937">
        <f>AutoClaim_Data!C1937</f>
        <v/>
      </c>
      <c r="G1937">
        <f>IF(AutoClaim_Data!D1937&lt;=$B$2,AVERAGEIFS(AutoClaim_Data!C2:C3168,AutoClaim_Data!B2:B3168,"Train",AutoClaim_Data!D2:D3168,"&lt;="&amp;$B$2),AVERAGEIFS(AutoClaim_Data!C2:C3168,AutoClaim_Data!B2:B3168,"Train",AutoClaim_Data!D2:D3168,"&gt;"&amp;$B$2))</f>
        <v/>
      </c>
      <c r="H1937">
        <f>IF(AutoClaim_Data!D1937&lt;=$B$2,IF(AutoClaim_Data!E1937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7">
        <f>(F1937-H1937)^2</f>
        <v/>
      </c>
      <c r="J1937">
        <f>--(E1937="Validation")</f>
        <v/>
      </c>
    </row>
    <row r="1938">
      <c r="D1938">
        <f>AutoClaim_Data!A1938</f>
        <v/>
      </c>
      <c r="E1938">
        <f>AutoClaim_Data!B1938</f>
        <v/>
      </c>
      <c r="F1938">
        <f>AutoClaim_Data!C1938</f>
        <v/>
      </c>
      <c r="G1938">
        <f>IF(AutoClaim_Data!D1938&lt;=$B$2,AVERAGEIFS(AutoClaim_Data!C2:C3168,AutoClaim_Data!B2:B3168,"Train",AutoClaim_Data!D2:D3168,"&lt;="&amp;$B$2),AVERAGEIFS(AutoClaim_Data!C2:C3168,AutoClaim_Data!B2:B3168,"Train",AutoClaim_Data!D2:D3168,"&gt;"&amp;$B$2))</f>
        <v/>
      </c>
      <c r="H1938">
        <f>IF(AutoClaim_Data!D1938&lt;=$B$2,IF(AutoClaim_Data!E1938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8">
        <f>(F1938-H1938)^2</f>
        <v/>
      </c>
      <c r="J1938">
        <f>--(E1938="Validation")</f>
        <v/>
      </c>
    </row>
    <row r="1939">
      <c r="D1939">
        <f>AutoClaim_Data!A1939</f>
        <v/>
      </c>
      <c r="E1939">
        <f>AutoClaim_Data!B1939</f>
        <v/>
      </c>
      <c r="F1939">
        <f>AutoClaim_Data!C1939</f>
        <v/>
      </c>
      <c r="G1939">
        <f>IF(AutoClaim_Data!D1939&lt;=$B$2,AVERAGEIFS(AutoClaim_Data!C2:C3168,AutoClaim_Data!B2:B3168,"Train",AutoClaim_Data!D2:D3168,"&lt;="&amp;$B$2),AVERAGEIFS(AutoClaim_Data!C2:C3168,AutoClaim_Data!B2:B3168,"Train",AutoClaim_Data!D2:D3168,"&gt;"&amp;$B$2))</f>
        <v/>
      </c>
      <c r="H1939">
        <f>IF(AutoClaim_Data!D1939&lt;=$B$2,IF(AutoClaim_Data!E1939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39">
        <f>(F1939-H1939)^2</f>
        <v/>
      </c>
      <c r="J1939">
        <f>--(E1939="Validation")</f>
        <v/>
      </c>
    </row>
    <row r="1940">
      <c r="D1940">
        <f>AutoClaim_Data!A1940</f>
        <v/>
      </c>
      <c r="E1940">
        <f>AutoClaim_Data!B1940</f>
        <v/>
      </c>
      <c r="F1940">
        <f>AutoClaim_Data!C1940</f>
        <v/>
      </c>
      <c r="G1940">
        <f>IF(AutoClaim_Data!D1940&lt;=$B$2,AVERAGEIFS(AutoClaim_Data!C2:C3168,AutoClaim_Data!B2:B3168,"Train",AutoClaim_Data!D2:D3168,"&lt;="&amp;$B$2),AVERAGEIFS(AutoClaim_Data!C2:C3168,AutoClaim_Data!B2:B3168,"Train",AutoClaim_Data!D2:D3168,"&gt;"&amp;$B$2))</f>
        <v/>
      </c>
      <c r="H1940">
        <f>IF(AutoClaim_Data!D1940&lt;=$B$2,IF(AutoClaim_Data!E1940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0">
        <f>(F1940-H1940)^2</f>
        <v/>
      </c>
      <c r="J1940">
        <f>--(E1940="Validation")</f>
        <v/>
      </c>
    </row>
    <row r="1941">
      <c r="D1941">
        <f>AutoClaim_Data!A1941</f>
        <v/>
      </c>
      <c r="E1941">
        <f>AutoClaim_Data!B1941</f>
        <v/>
      </c>
      <c r="F1941">
        <f>AutoClaim_Data!C1941</f>
        <v/>
      </c>
      <c r="G1941">
        <f>IF(AutoClaim_Data!D1941&lt;=$B$2,AVERAGEIFS(AutoClaim_Data!C2:C3168,AutoClaim_Data!B2:B3168,"Train",AutoClaim_Data!D2:D3168,"&lt;="&amp;$B$2),AVERAGEIFS(AutoClaim_Data!C2:C3168,AutoClaim_Data!B2:B3168,"Train",AutoClaim_Data!D2:D3168,"&gt;"&amp;$B$2))</f>
        <v/>
      </c>
      <c r="H1941">
        <f>IF(AutoClaim_Data!D1941&lt;=$B$2,IF(AutoClaim_Data!E1941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1">
        <f>(F1941-H1941)^2</f>
        <v/>
      </c>
      <c r="J1941">
        <f>--(E1941="Validation")</f>
        <v/>
      </c>
    </row>
    <row r="1942">
      <c r="D1942">
        <f>AutoClaim_Data!A1942</f>
        <v/>
      </c>
      <c r="E1942">
        <f>AutoClaim_Data!B1942</f>
        <v/>
      </c>
      <c r="F1942">
        <f>AutoClaim_Data!C1942</f>
        <v/>
      </c>
      <c r="G1942">
        <f>IF(AutoClaim_Data!D1942&lt;=$B$2,AVERAGEIFS(AutoClaim_Data!C2:C3168,AutoClaim_Data!B2:B3168,"Train",AutoClaim_Data!D2:D3168,"&lt;="&amp;$B$2),AVERAGEIFS(AutoClaim_Data!C2:C3168,AutoClaim_Data!B2:B3168,"Train",AutoClaim_Data!D2:D3168,"&gt;"&amp;$B$2))</f>
        <v/>
      </c>
      <c r="H1942">
        <f>IF(AutoClaim_Data!D1942&lt;=$B$2,IF(AutoClaim_Data!E1942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2">
        <f>(F1942-H1942)^2</f>
        <v/>
      </c>
      <c r="J1942">
        <f>--(E1942="Validation")</f>
        <v/>
      </c>
    </row>
    <row r="1943">
      <c r="D1943">
        <f>AutoClaim_Data!A1943</f>
        <v/>
      </c>
      <c r="E1943">
        <f>AutoClaim_Data!B1943</f>
        <v/>
      </c>
      <c r="F1943">
        <f>AutoClaim_Data!C1943</f>
        <v/>
      </c>
      <c r="G1943">
        <f>IF(AutoClaim_Data!D1943&lt;=$B$2,AVERAGEIFS(AutoClaim_Data!C2:C3168,AutoClaim_Data!B2:B3168,"Train",AutoClaim_Data!D2:D3168,"&lt;="&amp;$B$2),AVERAGEIFS(AutoClaim_Data!C2:C3168,AutoClaim_Data!B2:B3168,"Train",AutoClaim_Data!D2:D3168,"&gt;"&amp;$B$2))</f>
        <v/>
      </c>
      <c r="H1943">
        <f>IF(AutoClaim_Data!D1943&lt;=$B$2,IF(AutoClaim_Data!E1943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3">
        <f>(F1943-H1943)^2</f>
        <v/>
      </c>
      <c r="J1943">
        <f>--(E1943="Validation")</f>
        <v/>
      </c>
    </row>
    <row r="1944">
      <c r="D1944">
        <f>AutoClaim_Data!A1944</f>
        <v/>
      </c>
      <c r="E1944">
        <f>AutoClaim_Data!B1944</f>
        <v/>
      </c>
      <c r="F1944">
        <f>AutoClaim_Data!C1944</f>
        <v/>
      </c>
      <c r="G1944">
        <f>IF(AutoClaim_Data!D1944&lt;=$B$2,AVERAGEIFS(AutoClaim_Data!C2:C3168,AutoClaim_Data!B2:B3168,"Train",AutoClaim_Data!D2:D3168,"&lt;="&amp;$B$2),AVERAGEIFS(AutoClaim_Data!C2:C3168,AutoClaim_Data!B2:B3168,"Train",AutoClaim_Data!D2:D3168,"&gt;"&amp;$B$2))</f>
        <v/>
      </c>
      <c r="H1944">
        <f>IF(AutoClaim_Data!D1944&lt;=$B$2,IF(AutoClaim_Data!E1944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4">
        <f>(F1944-H1944)^2</f>
        <v/>
      </c>
      <c r="J1944">
        <f>--(E1944="Validation")</f>
        <v/>
      </c>
    </row>
    <row r="1945">
      <c r="D1945">
        <f>AutoClaim_Data!A1945</f>
        <v/>
      </c>
      <c r="E1945">
        <f>AutoClaim_Data!B1945</f>
        <v/>
      </c>
      <c r="F1945">
        <f>AutoClaim_Data!C1945</f>
        <v/>
      </c>
      <c r="G1945">
        <f>IF(AutoClaim_Data!D1945&lt;=$B$2,AVERAGEIFS(AutoClaim_Data!C2:C3168,AutoClaim_Data!B2:B3168,"Train",AutoClaim_Data!D2:D3168,"&lt;="&amp;$B$2),AVERAGEIFS(AutoClaim_Data!C2:C3168,AutoClaim_Data!B2:B3168,"Train",AutoClaim_Data!D2:D3168,"&gt;"&amp;$B$2))</f>
        <v/>
      </c>
      <c r="H1945">
        <f>IF(AutoClaim_Data!D1945&lt;=$B$2,IF(AutoClaim_Data!E1945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5">
        <f>(F1945-H1945)^2</f>
        <v/>
      </c>
      <c r="J1945">
        <f>--(E1945="Validation")</f>
        <v/>
      </c>
    </row>
    <row r="1946">
      <c r="D1946">
        <f>AutoClaim_Data!A1946</f>
        <v/>
      </c>
      <c r="E1946">
        <f>AutoClaim_Data!B1946</f>
        <v/>
      </c>
      <c r="F1946">
        <f>AutoClaim_Data!C1946</f>
        <v/>
      </c>
      <c r="G1946">
        <f>IF(AutoClaim_Data!D1946&lt;=$B$2,AVERAGEIFS(AutoClaim_Data!C2:C3168,AutoClaim_Data!B2:B3168,"Train",AutoClaim_Data!D2:D3168,"&lt;="&amp;$B$2),AVERAGEIFS(AutoClaim_Data!C2:C3168,AutoClaim_Data!B2:B3168,"Train",AutoClaim_Data!D2:D3168,"&gt;"&amp;$B$2))</f>
        <v/>
      </c>
      <c r="H1946">
        <f>IF(AutoClaim_Data!D1946&lt;=$B$2,IF(AutoClaim_Data!E1946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6">
        <f>(F1946-H1946)^2</f>
        <v/>
      </c>
      <c r="J1946">
        <f>--(E1946="Validation")</f>
        <v/>
      </c>
    </row>
    <row r="1947">
      <c r="D1947">
        <f>AutoClaim_Data!A1947</f>
        <v/>
      </c>
      <c r="E1947">
        <f>AutoClaim_Data!B1947</f>
        <v/>
      </c>
      <c r="F1947">
        <f>AutoClaim_Data!C1947</f>
        <v/>
      </c>
      <c r="G1947">
        <f>IF(AutoClaim_Data!D1947&lt;=$B$2,AVERAGEIFS(AutoClaim_Data!C2:C3168,AutoClaim_Data!B2:B3168,"Train",AutoClaim_Data!D2:D3168,"&lt;="&amp;$B$2),AVERAGEIFS(AutoClaim_Data!C2:C3168,AutoClaim_Data!B2:B3168,"Train",AutoClaim_Data!D2:D3168,"&gt;"&amp;$B$2))</f>
        <v/>
      </c>
      <c r="H1947">
        <f>IF(AutoClaim_Data!D1947&lt;=$B$2,IF(AutoClaim_Data!E1947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7">
        <f>(F1947-H1947)^2</f>
        <v/>
      </c>
      <c r="J1947">
        <f>--(E1947="Validation")</f>
        <v/>
      </c>
    </row>
    <row r="1948">
      <c r="D1948">
        <f>AutoClaim_Data!A1948</f>
        <v/>
      </c>
      <c r="E1948">
        <f>AutoClaim_Data!B1948</f>
        <v/>
      </c>
      <c r="F1948">
        <f>AutoClaim_Data!C1948</f>
        <v/>
      </c>
      <c r="G1948">
        <f>IF(AutoClaim_Data!D1948&lt;=$B$2,AVERAGEIFS(AutoClaim_Data!C2:C3168,AutoClaim_Data!B2:B3168,"Train",AutoClaim_Data!D2:D3168,"&lt;="&amp;$B$2),AVERAGEIFS(AutoClaim_Data!C2:C3168,AutoClaim_Data!B2:B3168,"Train",AutoClaim_Data!D2:D3168,"&gt;"&amp;$B$2))</f>
        <v/>
      </c>
      <c r="H1948">
        <f>IF(AutoClaim_Data!D1948&lt;=$B$2,IF(AutoClaim_Data!E1948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8">
        <f>(F1948-H1948)^2</f>
        <v/>
      </c>
      <c r="J1948">
        <f>--(E1948="Validation")</f>
        <v/>
      </c>
    </row>
    <row r="1949">
      <c r="D1949">
        <f>AutoClaim_Data!A1949</f>
        <v/>
      </c>
      <c r="E1949">
        <f>AutoClaim_Data!B1949</f>
        <v/>
      </c>
      <c r="F1949">
        <f>AutoClaim_Data!C1949</f>
        <v/>
      </c>
      <c r="G1949">
        <f>IF(AutoClaim_Data!D1949&lt;=$B$2,AVERAGEIFS(AutoClaim_Data!C2:C3168,AutoClaim_Data!B2:B3168,"Train",AutoClaim_Data!D2:D3168,"&lt;="&amp;$B$2),AVERAGEIFS(AutoClaim_Data!C2:C3168,AutoClaim_Data!B2:B3168,"Train",AutoClaim_Data!D2:D3168,"&gt;"&amp;$B$2))</f>
        <v/>
      </c>
      <c r="H1949">
        <f>IF(AutoClaim_Data!D1949&lt;=$B$2,IF(AutoClaim_Data!E1949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49">
        <f>(F1949-H1949)^2</f>
        <v/>
      </c>
      <c r="J1949">
        <f>--(E1949="Validation")</f>
        <v/>
      </c>
    </row>
    <row r="1950">
      <c r="D1950">
        <f>AutoClaim_Data!A1950</f>
        <v/>
      </c>
      <c r="E1950">
        <f>AutoClaim_Data!B1950</f>
        <v/>
      </c>
      <c r="F1950">
        <f>AutoClaim_Data!C1950</f>
        <v/>
      </c>
      <c r="G1950">
        <f>IF(AutoClaim_Data!D1950&lt;=$B$2,AVERAGEIFS(AutoClaim_Data!C2:C3168,AutoClaim_Data!B2:B3168,"Train",AutoClaim_Data!D2:D3168,"&lt;="&amp;$B$2),AVERAGEIFS(AutoClaim_Data!C2:C3168,AutoClaim_Data!B2:B3168,"Train",AutoClaim_Data!D2:D3168,"&gt;"&amp;$B$2))</f>
        <v/>
      </c>
      <c r="H1950">
        <f>IF(AutoClaim_Data!D1950&lt;=$B$2,IF(AutoClaim_Data!E1950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0">
        <f>(F1950-H1950)^2</f>
        <v/>
      </c>
      <c r="J1950">
        <f>--(E1950="Validation")</f>
        <v/>
      </c>
    </row>
    <row r="1951">
      <c r="D1951">
        <f>AutoClaim_Data!A1951</f>
        <v/>
      </c>
      <c r="E1951">
        <f>AutoClaim_Data!B1951</f>
        <v/>
      </c>
      <c r="F1951">
        <f>AutoClaim_Data!C1951</f>
        <v/>
      </c>
      <c r="G1951">
        <f>IF(AutoClaim_Data!D1951&lt;=$B$2,AVERAGEIFS(AutoClaim_Data!C2:C3168,AutoClaim_Data!B2:B3168,"Train",AutoClaim_Data!D2:D3168,"&lt;="&amp;$B$2),AVERAGEIFS(AutoClaim_Data!C2:C3168,AutoClaim_Data!B2:B3168,"Train",AutoClaim_Data!D2:D3168,"&gt;"&amp;$B$2))</f>
        <v/>
      </c>
      <c r="H1951">
        <f>IF(AutoClaim_Data!D1951&lt;=$B$2,IF(AutoClaim_Data!E1951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1">
        <f>(F1951-H1951)^2</f>
        <v/>
      </c>
      <c r="J1951">
        <f>--(E1951="Validation")</f>
        <v/>
      </c>
    </row>
    <row r="1952">
      <c r="D1952">
        <f>AutoClaim_Data!A1952</f>
        <v/>
      </c>
      <c r="E1952">
        <f>AutoClaim_Data!B1952</f>
        <v/>
      </c>
      <c r="F1952">
        <f>AutoClaim_Data!C1952</f>
        <v/>
      </c>
      <c r="G1952">
        <f>IF(AutoClaim_Data!D1952&lt;=$B$2,AVERAGEIFS(AutoClaim_Data!C2:C3168,AutoClaim_Data!B2:B3168,"Train",AutoClaim_Data!D2:D3168,"&lt;="&amp;$B$2),AVERAGEIFS(AutoClaim_Data!C2:C3168,AutoClaim_Data!B2:B3168,"Train",AutoClaim_Data!D2:D3168,"&gt;"&amp;$B$2))</f>
        <v/>
      </c>
      <c r="H1952">
        <f>IF(AutoClaim_Data!D1952&lt;=$B$2,IF(AutoClaim_Data!E1952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2">
        <f>(F1952-H1952)^2</f>
        <v/>
      </c>
      <c r="J1952">
        <f>--(E1952="Validation")</f>
        <v/>
      </c>
    </row>
    <row r="1953">
      <c r="D1953">
        <f>AutoClaim_Data!A1953</f>
        <v/>
      </c>
      <c r="E1953">
        <f>AutoClaim_Data!B1953</f>
        <v/>
      </c>
      <c r="F1953">
        <f>AutoClaim_Data!C1953</f>
        <v/>
      </c>
      <c r="G1953">
        <f>IF(AutoClaim_Data!D1953&lt;=$B$2,AVERAGEIFS(AutoClaim_Data!C2:C3168,AutoClaim_Data!B2:B3168,"Train",AutoClaim_Data!D2:D3168,"&lt;="&amp;$B$2),AVERAGEIFS(AutoClaim_Data!C2:C3168,AutoClaim_Data!B2:B3168,"Train",AutoClaim_Data!D2:D3168,"&gt;"&amp;$B$2))</f>
        <v/>
      </c>
      <c r="H1953">
        <f>IF(AutoClaim_Data!D1953&lt;=$B$2,IF(AutoClaim_Data!E1953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3">
        <f>(F1953-H1953)^2</f>
        <v/>
      </c>
      <c r="J1953">
        <f>--(E1953="Validation")</f>
        <v/>
      </c>
    </row>
    <row r="1954">
      <c r="D1954">
        <f>AutoClaim_Data!A1954</f>
        <v/>
      </c>
      <c r="E1954">
        <f>AutoClaim_Data!B1954</f>
        <v/>
      </c>
      <c r="F1954">
        <f>AutoClaim_Data!C1954</f>
        <v/>
      </c>
      <c r="G1954">
        <f>IF(AutoClaim_Data!D1954&lt;=$B$2,AVERAGEIFS(AutoClaim_Data!C2:C3168,AutoClaim_Data!B2:B3168,"Train",AutoClaim_Data!D2:D3168,"&lt;="&amp;$B$2),AVERAGEIFS(AutoClaim_Data!C2:C3168,AutoClaim_Data!B2:B3168,"Train",AutoClaim_Data!D2:D3168,"&gt;"&amp;$B$2))</f>
        <v/>
      </c>
      <c r="H1954">
        <f>IF(AutoClaim_Data!D1954&lt;=$B$2,IF(AutoClaim_Data!E1954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4">
        <f>(F1954-H1954)^2</f>
        <v/>
      </c>
      <c r="J1954">
        <f>--(E1954="Validation")</f>
        <v/>
      </c>
    </row>
    <row r="1955">
      <c r="D1955">
        <f>AutoClaim_Data!A1955</f>
        <v/>
      </c>
      <c r="E1955">
        <f>AutoClaim_Data!B1955</f>
        <v/>
      </c>
      <c r="F1955">
        <f>AutoClaim_Data!C1955</f>
        <v/>
      </c>
      <c r="G1955">
        <f>IF(AutoClaim_Data!D1955&lt;=$B$2,AVERAGEIFS(AutoClaim_Data!C2:C3168,AutoClaim_Data!B2:B3168,"Train",AutoClaim_Data!D2:D3168,"&lt;="&amp;$B$2),AVERAGEIFS(AutoClaim_Data!C2:C3168,AutoClaim_Data!B2:B3168,"Train",AutoClaim_Data!D2:D3168,"&gt;"&amp;$B$2))</f>
        <v/>
      </c>
      <c r="H1955">
        <f>IF(AutoClaim_Data!D1955&lt;=$B$2,IF(AutoClaim_Data!E1955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5">
        <f>(F1955-H1955)^2</f>
        <v/>
      </c>
      <c r="J1955">
        <f>--(E1955="Validation")</f>
        <v/>
      </c>
    </row>
    <row r="1956">
      <c r="D1956">
        <f>AutoClaim_Data!A1956</f>
        <v/>
      </c>
      <c r="E1956">
        <f>AutoClaim_Data!B1956</f>
        <v/>
      </c>
      <c r="F1956">
        <f>AutoClaim_Data!C1956</f>
        <v/>
      </c>
      <c r="G1956">
        <f>IF(AutoClaim_Data!D1956&lt;=$B$2,AVERAGEIFS(AutoClaim_Data!C2:C3168,AutoClaim_Data!B2:B3168,"Train",AutoClaim_Data!D2:D3168,"&lt;="&amp;$B$2),AVERAGEIFS(AutoClaim_Data!C2:C3168,AutoClaim_Data!B2:B3168,"Train",AutoClaim_Data!D2:D3168,"&gt;"&amp;$B$2))</f>
        <v/>
      </c>
      <c r="H1956">
        <f>IF(AutoClaim_Data!D1956&lt;=$B$2,IF(AutoClaim_Data!E1956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6">
        <f>(F1956-H1956)^2</f>
        <v/>
      </c>
      <c r="J1956">
        <f>--(E1956="Validation")</f>
        <v/>
      </c>
    </row>
    <row r="1957">
      <c r="D1957">
        <f>AutoClaim_Data!A1957</f>
        <v/>
      </c>
      <c r="E1957">
        <f>AutoClaim_Data!B1957</f>
        <v/>
      </c>
      <c r="F1957">
        <f>AutoClaim_Data!C1957</f>
        <v/>
      </c>
      <c r="G1957">
        <f>IF(AutoClaim_Data!D1957&lt;=$B$2,AVERAGEIFS(AutoClaim_Data!C2:C3168,AutoClaim_Data!B2:B3168,"Train",AutoClaim_Data!D2:D3168,"&lt;="&amp;$B$2),AVERAGEIFS(AutoClaim_Data!C2:C3168,AutoClaim_Data!B2:B3168,"Train",AutoClaim_Data!D2:D3168,"&gt;"&amp;$B$2))</f>
        <v/>
      </c>
      <c r="H1957">
        <f>IF(AutoClaim_Data!D1957&lt;=$B$2,IF(AutoClaim_Data!E1957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7">
        <f>(F1957-H1957)^2</f>
        <v/>
      </c>
      <c r="J1957">
        <f>--(E1957="Validation")</f>
        <v/>
      </c>
    </row>
    <row r="1958">
      <c r="D1958">
        <f>AutoClaim_Data!A1958</f>
        <v/>
      </c>
      <c r="E1958">
        <f>AutoClaim_Data!B1958</f>
        <v/>
      </c>
      <c r="F1958">
        <f>AutoClaim_Data!C1958</f>
        <v/>
      </c>
      <c r="G1958">
        <f>IF(AutoClaim_Data!D1958&lt;=$B$2,AVERAGEIFS(AutoClaim_Data!C2:C3168,AutoClaim_Data!B2:B3168,"Train",AutoClaim_Data!D2:D3168,"&lt;="&amp;$B$2),AVERAGEIFS(AutoClaim_Data!C2:C3168,AutoClaim_Data!B2:B3168,"Train",AutoClaim_Data!D2:D3168,"&gt;"&amp;$B$2))</f>
        <v/>
      </c>
      <c r="H1958">
        <f>IF(AutoClaim_Data!D1958&lt;=$B$2,IF(AutoClaim_Data!E1958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8">
        <f>(F1958-H1958)^2</f>
        <v/>
      </c>
      <c r="J1958">
        <f>--(E1958="Validation")</f>
        <v/>
      </c>
    </row>
    <row r="1959">
      <c r="D1959">
        <f>AutoClaim_Data!A1959</f>
        <v/>
      </c>
      <c r="E1959">
        <f>AutoClaim_Data!B1959</f>
        <v/>
      </c>
      <c r="F1959">
        <f>AutoClaim_Data!C1959</f>
        <v/>
      </c>
      <c r="G1959">
        <f>IF(AutoClaim_Data!D1959&lt;=$B$2,AVERAGEIFS(AutoClaim_Data!C2:C3168,AutoClaim_Data!B2:B3168,"Train",AutoClaim_Data!D2:D3168,"&lt;="&amp;$B$2),AVERAGEIFS(AutoClaim_Data!C2:C3168,AutoClaim_Data!B2:B3168,"Train",AutoClaim_Data!D2:D3168,"&gt;"&amp;$B$2))</f>
        <v/>
      </c>
      <c r="H1959">
        <f>IF(AutoClaim_Data!D1959&lt;=$B$2,IF(AutoClaim_Data!E1959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59">
        <f>(F1959-H1959)^2</f>
        <v/>
      </c>
      <c r="J1959">
        <f>--(E1959="Validation")</f>
        <v/>
      </c>
    </row>
    <row r="1960">
      <c r="D1960">
        <f>AutoClaim_Data!A1960</f>
        <v/>
      </c>
      <c r="E1960">
        <f>AutoClaim_Data!B1960</f>
        <v/>
      </c>
      <c r="F1960">
        <f>AutoClaim_Data!C1960</f>
        <v/>
      </c>
      <c r="G1960">
        <f>IF(AutoClaim_Data!D1960&lt;=$B$2,AVERAGEIFS(AutoClaim_Data!C2:C3168,AutoClaim_Data!B2:B3168,"Train",AutoClaim_Data!D2:D3168,"&lt;="&amp;$B$2),AVERAGEIFS(AutoClaim_Data!C2:C3168,AutoClaim_Data!B2:B3168,"Train",AutoClaim_Data!D2:D3168,"&gt;"&amp;$B$2))</f>
        <v/>
      </c>
      <c r="H1960">
        <f>IF(AutoClaim_Data!D1960&lt;=$B$2,IF(AutoClaim_Data!E1960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0">
        <f>(F1960-H1960)^2</f>
        <v/>
      </c>
      <c r="J1960">
        <f>--(E1960="Validation")</f>
        <v/>
      </c>
    </row>
    <row r="1961">
      <c r="D1961">
        <f>AutoClaim_Data!A1961</f>
        <v/>
      </c>
      <c r="E1961">
        <f>AutoClaim_Data!B1961</f>
        <v/>
      </c>
      <c r="F1961">
        <f>AutoClaim_Data!C1961</f>
        <v/>
      </c>
      <c r="G1961">
        <f>IF(AutoClaim_Data!D1961&lt;=$B$2,AVERAGEIFS(AutoClaim_Data!C2:C3168,AutoClaim_Data!B2:B3168,"Train",AutoClaim_Data!D2:D3168,"&lt;="&amp;$B$2),AVERAGEIFS(AutoClaim_Data!C2:C3168,AutoClaim_Data!B2:B3168,"Train",AutoClaim_Data!D2:D3168,"&gt;"&amp;$B$2))</f>
        <v/>
      </c>
      <c r="H1961">
        <f>IF(AutoClaim_Data!D1961&lt;=$B$2,IF(AutoClaim_Data!E1961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1">
        <f>(F1961-H1961)^2</f>
        <v/>
      </c>
      <c r="J1961">
        <f>--(E1961="Validation")</f>
        <v/>
      </c>
    </row>
    <row r="1962">
      <c r="D1962">
        <f>AutoClaim_Data!A1962</f>
        <v/>
      </c>
      <c r="E1962">
        <f>AutoClaim_Data!B1962</f>
        <v/>
      </c>
      <c r="F1962">
        <f>AutoClaim_Data!C1962</f>
        <v/>
      </c>
      <c r="G1962">
        <f>IF(AutoClaim_Data!D1962&lt;=$B$2,AVERAGEIFS(AutoClaim_Data!C2:C3168,AutoClaim_Data!B2:B3168,"Train",AutoClaim_Data!D2:D3168,"&lt;="&amp;$B$2),AVERAGEIFS(AutoClaim_Data!C2:C3168,AutoClaim_Data!B2:B3168,"Train",AutoClaim_Data!D2:D3168,"&gt;"&amp;$B$2))</f>
        <v/>
      </c>
      <c r="H1962">
        <f>IF(AutoClaim_Data!D1962&lt;=$B$2,IF(AutoClaim_Data!E1962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2">
        <f>(F1962-H1962)^2</f>
        <v/>
      </c>
      <c r="J1962">
        <f>--(E1962="Validation")</f>
        <v/>
      </c>
    </row>
    <row r="1963">
      <c r="D1963">
        <f>AutoClaim_Data!A1963</f>
        <v/>
      </c>
      <c r="E1963">
        <f>AutoClaim_Data!B1963</f>
        <v/>
      </c>
      <c r="F1963">
        <f>AutoClaim_Data!C1963</f>
        <v/>
      </c>
      <c r="G1963">
        <f>IF(AutoClaim_Data!D1963&lt;=$B$2,AVERAGEIFS(AutoClaim_Data!C2:C3168,AutoClaim_Data!B2:B3168,"Train",AutoClaim_Data!D2:D3168,"&lt;="&amp;$B$2),AVERAGEIFS(AutoClaim_Data!C2:C3168,AutoClaim_Data!B2:B3168,"Train",AutoClaim_Data!D2:D3168,"&gt;"&amp;$B$2))</f>
        <v/>
      </c>
      <c r="H1963">
        <f>IF(AutoClaim_Data!D1963&lt;=$B$2,IF(AutoClaim_Data!E1963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3">
        <f>(F1963-H1963)^2</f>
        <v/>
      </c>
      <c r="J1963">
        <f>--(E1963="Validation")</f>
        <v/>
      </c>
    </row>
    <row r="1964">
      <c r="D1964">
        <f>AutoClaim_Data!A1964</f>
        <v/>
      </c>
      <c r="E1964">
        <f>AutoClaim_Data!B1964</f>
        <v/>
      </c>
      <c r="F1964">
        <f>AutoClaim_Data!C1964</f>
        <v/>
      </c>
      <c r="G1964">
        <f>IF(AutoClaim_Data!D1964&lt;=$B$2,AVERAGEIFS(AutoClaim_Data!C2:C3168,AutoClaim_Data!B2:B3168,"Train",AutoClaim_Data!D2:D3168,"&lt;="&amp;$B$2),AVERAGEIFS(AutoClaim_Data!C2:C3168,AutoClaim_Data!B2:B3168,"Train",AutoClaim_Data!D2:D3168,"&gt;"&amp;$B$2))</f>
        <v/>
      </c>
      <c r="H1964">
        <f>IF(AutoClaim_Data!D1964&lt;=$B$2,IF(AutoClaim_Data!E1964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4">
        <f>(F1964-H1964)^2</f>
        <v/>
      </c>
      <c r="J1964">
        <f>--(E1964="Validation")</f>
        <v/>
      </c>
    </row>
    <row r="1965">
      <c r="D1965">
        <f>AutoClaim_Data!A1965</f>
        <v/>
      </c>
      <c r="E1965">
        <f>AutoClaim_Data!B1965</f>
        <v/>
      </c>
      <c r="F1965">
        <f>AutoClaim_Data!C1965</f>
        <v/>
      </c>
      <c r="G1965">
        <f>IF(AutoClaim_Data!D1965&lt;=$B$2,AVERAGEIFS(AutoClaim_Data!C2:C3168,AutoClaim_Data!B2:B3168,"Train",AutoClaim_Data!D2:D3168,"&lt;="&amp;$B$2),AVERAGEIFS(AutoClaim_Data!C2:C3168,AutoClaim_Data!B2:B3168,"Train",AutoClaim_Data!D2:D3168,"&gt;"&amp;$B$2))</f>
        <v/>
      </c>
      <c r="H1965">
        <f>IF(AutoClaim_Data!D1965&lt;=$B$2,IF(AutoClaim_Data!E1965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5">
        <f>(F1965-H1965)^2</f>
        <v/>
      </c>
      <c r="J1965">
        <f>--(E1965="Validation")</f>
        <v/>
      </c>
    </row>
    <row r="1966">
      <c r="D1966">
        <f>AutoClaim_Data!A1966</f>
        <v/>
      </c>
      <c r="E1966">
        <f>AutoClaim_Data!B1966</f>
        <v/>
      </c>
      <c r="F1966">
        <f>AutoClaim_Data!C1966</f>
        <v/>
      </c>
      <c r="G1966">
        <f>IF(AutoClaim_Data!D1966&lt;=$B$2,AVERAGEIFS(AutoClaim_Data!C2:C3168,AutoClaim_Data!B2:B3168,"Train",AutoClaim_Data!D2:D3168,"&lt;="&amp;$B$2),AVERAGEIFS(AutoClaim_Data!C2:C3168,AutoClaim_Data!B2:B3168,"Train",AutoClaim_Data!D2:D3168,"&gt;"&amp;$B$2))</f>
        <v/>
      </c>
      <c r="H1966">
        <f>IF(AutoClaim_Data!D1966&lt;=$B$2,IF(AutoClaim_Data!E1966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6">
        <f>(F1966-H1966)^2</f>
        <v/>
      </c>
      <c r="J1966">
        <f>--(E1966="Validation")</f>
        <v/>
      </c>
    </row>
    <row r="1967">
      <c r="D1967">
        <f>AutoClaim_Data!A1967</f>
        <v/>
      </c>
      <c r="E1967">
        <f>AutoClaim_Data!B1967</f>
        <v/>
      </c>
      <c r="F1967">
        <f>AutoClaim_Data!C1967</f>
        <v/>
      </c>
      <c r="G1967">
        <f>IF(AutoClaim_Data!D1967&lt;=$B$2,AVERAGEIFS(AutoClaim_Data!C2:C3168,AutoClaim_Data!B2:B3168,"Train",AutoClaim_Data!D2:D3168,"&lt;="&amp;$B$2),AVERAGEIFS(AutoClaim_Data!C2:C3168,AutoClaim_Data!B2:B3168,"Train",AutoClaim_Data!D2:D3168,"&gt;"&amp;$B$2))</f>
        <v/>
      </c>
      <c r="H1967">
        <f>IF(AutoClaim_Data!D1967&lt;=$B$2,IF(AutoClaim_Data!E1967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7">
        <f>(F1967-H1967)^2</f>
        <v/>
      </c>
      <c r="J1967">
        <f>--(E1967="Validation")</f>
        <v/>
      </c>
    </row>
    <row r="1968">
      <c r="D1968">
        <f>AutoClaim_Data!A1968</f>
        <v/>
      </c>
      <c r="E1968">
        <f>AutoClaim_Data!B1968</f>
        <v/>
      </c>
      <c r="F1968">
        <f>AutoClaim_Data!C1968</f>
        <v/>
      </c>
      <c r="G1968">
        <f>IF(AutoClaim_Data!D1968&lt;=$B$2,AVERAGEIFS(AutoClaim_Data!C2:C3168,AutoClaim_Data!B2:B3168,"Train",AutoClaim_Data!D2:D3168,"&lt;="&amp;$B$2),AVERAGEIFS(AutoClaim_Data!C2:C3168,AutoClaim_Data!B2:B3168,"Train",AutoClaim_Data!D2:D3168,"&gt;"&amp;$B$2))</f>
        <v/>
      </c>
      <c r="H1968">
        <f>IF(AutoClaim_Data!D1968&lt;=$B$2,IF(AutoClaim_Data!E1968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8">
        <f>(F1968-H1968)^2</f>
        <v/>
      </c>
      <c r="J1968">
        <f>--(E1968="Validation")</f>
        <v/>
      </c>
    </row>
    <row r="1969">
      <c r="D1969">
        <f>AutoClaim_Data!A1969</f>
        <v/>
      </c>
      <c r="E1969">
        <f>AutoClaim_Data!B1969</f>
        <v/>
      </c>
      <c r="F1969">
        <f>AutoClaim_Data!C1969</f>
        <v/>
      </c>
      <c r="G1969">
        <f>IF(AutoClaim_Data!D1969&lt;=$B$2,AVERAGEIFS(AutoClaim_Data!C2:C3168,AutoClaim_Data!B2:B3168,"Train",AutoClaim_Data!D2:D3168,"&lt;="&amp;$B$2),AVERAGEIFS(AutoClaim_Data!C2:C3168,AutoClaim_Data!B2:B3168,"Train",AutoClaim_Data!D2:D3168,"&gt;"&amp;$B$2))</f>
        <v/>
      </c>
      <c r="H1969">
        <f>IF(AutoClaim_Data!D1969&lt;=$B$2,IF(AutoClaim_Data!E1969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69">
        <f>(F1969-H1969)^2</f>
        <v/>
      </c>
      <c r="J1969">
        <f>--(E1969="Validation")</f>
        <v/>
      </c>
    </row>
    <row r="1970">
      <c r="D1970">
        <f>AutoClaim_Data!A1970</f>
        <v/>
      </c>
      <c r="E1970">
        <f>AutoClaim_Data!B1970</f>
        <v/>
      </c>
      <c r="F1970">
        <f>AutoClaim_Data!C1970</f>
        <v/>
      </c>
      <c r="G1970">
        <f>IF(AutoClaim_Data!D1970&lt;=$B$2,AVERAGEIFS(AutoClaim_Data!C2:C3168,AutoClaim_Data!B2:B3168,"Train",AutoClaim_Data!D2:D3168,"&lt;="&amp;$B$2),AVERAGEIFS(AutoClaim_Data!C2:C3168,AutoClaim_Data!B2:B3168,"Train",AutoClaim_Data!D2:D3168,"&gt;"&amp;$B$2))</f>
        <v/>
      </c>
      <c r="H1970">
        <f>IF(AutoClaim_Data!D1970&lt;=$B$2,IF(AutoClaim_Data!E1970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0">
        <f>(F1970-H1970)^2</f>
        <v/>
      </c>
      <c r="J1970">
        <f>--(E1970="Validation")</f>
        <v/>
      </c>
    </row>
    <row r="1971">
      <c r="D1971">
        <f>AutoClaim_Data!A1971</f>
        <v/>
      </c>
      <c r="E1971">
        <f>AutoClaim_Data!B1971</f>
        <v/>
      </c>
      <c r="F1971">
        <f>AutoClaim_Data!C1971</f>
        <v/>
      </c>
      <c r="G1971">
        <f>IF(AutoClaim_Data!D1971&lt;=$B$2,AVERAGEIFS(AutoClaim_Data!C2:C3168,AutoClaim_Data!B2:B3168,"Train",AutoClaim_Data!D2:D3168,"&lt;="&amp;$B$2),AVERAGEIFS(AutoClaim_Data!C2:C3168,AutoClaim_Data!B2:B3168,"Train",AutoClaim_Data!D2:D3168,"&gt;"&amp;$B$2))</f>
        <v/>
      </c>
      <c r="H1971">
        <f>IF(AutoClaim_Data!D1971&lt;=$B$2,IF(AutoClaim_Data!E1971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1">
        <f>(F1971-H1971)^2</f>
        <v/>
      </c>
      <c r="J1971">
        <f>--(E1971="Validation")</f>
        <v/>
      </c>
    </row>
    <row r="1972">
      <c r="D1972">
        <f>AutoClaim_Data!A1972</f>
        <v/>
      </c>
      <c r="E1972">
        <f>AutoClaim_Data!B1972</f>
        <v/>
      </c>
      <c r="F1972">
        <f>AutoClaim_Data!C1972</f>
        <v/>
      </c>
      <c r="G1972">
        <f>IF(AutoClaim_Data!D1972&lt;=$B$2,AVERAGEIFS(AutoClaim_Data!C2:C3168,AutoClaim_Data!B2:B3168,"Train",AutoClaim_Data!D2:D3168,"&lt;="&amp;$B$2),AVERAGEIFS(AutoClaim_Data!C2:C3168,AutoClaim_Data!B2:B3168,"Train",AutoClaim_Data!D2:D3168,"&gt;"&amp;$B$2))</f>
        <v/>
      </c>
      <c r="H1972">
        <f>IF(AutoClaim_Data!D1972&lt;=$B$2,IF(AutoClaim_Data!E1972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2">
        <f>(F1972-H1972)^2</f>
        <v/>
      </c>
      <c r="J1972">
        <f>--(E1972="Validation")</f>
        <v/>
      </c>
    </row>
    <row r="1973">
      <c r="D1973">
        <f>AutoClaim_Data!A1973</f>
        <v/>
      </c>
      <c r="E1973">
        <f>AutoClaim_Data!B1973</f>
        <v/>
      </c>
      <c r="F1973">
        <f>AutoClaim_Data!C1973</f>
        <v/>
      </c>
      <c r="G1973">
        <f>IF(AutoClaim_Data!D1973&lt;=$B$2,AVERAGEIFS(AutoClaim_Data!C2:C3168,AutoClaim_Data!B2:B3168,"Train",AutoClaim_Data!D2:D3168,"&lt;="&amp;$B$2),AVERAGEIFS(AutoClaim_Data!C2:C3168,AutoClaim_Data!B2:B3168,"Train",AutoClaim_Data!D2:D3168,"&gt;"&amp;$B$2))</f>
        <v/>
      </c>
      <c r="H1973">
        <f>IF(AutoClaim_Data!D1973&lt;=$B$2,IF(AutoClaim_Data!E1973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3">
        <f>(F1973-H1973)^2</f>
        <v/>
      </c>
      <c r="J1973">
        <f>--(E1973="Validation")</f>
        <v/>
      </c>
    </row>
    <row r="1974">
      <c r="D1974">
        <f>AutoClaim_Data!A1974</f>
        <v/>
      </c>
      <c r="E1974">
        <f>AutoClaim_Data!B1974</f>
        <v/>
      </c>
      <c r="F1974">
        <f>AutoClaim_Data!C1974</f>
        <v/>
      </c>
      <c r="G1974">
        <f>IF(AutoClaim_Data!D1974&lt;=$B$2,AVERAGEIFS(AutoClaim_Data!C2:C3168,AutoClaim_Data!B2:B3168,"Train",AutoClaim_Data!D2:D3168,"&lt;="&amp;$B$2),AVERAGEIFS(AutoClaim_Data!C2:C3168,AutoClaim_Data!B2:B3168,"Train",AutoClaim_Data!D2:D3168,"&gt;"&amp;$B$2))</f>
        <v/>
      </c>
      <c r="H1974">
        <f>IF(AutoClaim_Data!D1974&lt;=$B$2,IF(AutoClaim_Data!E1974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4">
        <f>(F1974-H1974)^2</f>
        <v/>
      </c>
      <c r="J1974">
        <f>--(E1974="Validation")</f>
        <v/>
      </c>
    </row>
    <row r="1975">
      <c r="D1975">
        <f>AutoClaim_Data!A1975</f>
        <v/>
      </c>
      <c r="E1975">
        <f>AutoClaim_Data!B1975</f>
        <v/>
      </c>
      <c r="F1975">
        <f>AutoClaim_Data!C1975</f>
        <v/>
      </c>
      <c r="G1975">
        <f>IF(AutoClaim_Data!D1975&lt;=$B$2,AVERAGEIFS(AutoClaim_Data!C2:C3168,AutoClaim_Data!B2:B3168,"Train",AutoClaim_Data!D2:D3168,"&lt;="&amp;$B$2),AVERAGEIFS(AutoClaim_Data!C2:C3168,AutoClaim_Data!B2:B3168,"Train",AutoClaim_Data!D2:D3168,"&gt;"&amp;$B$2))</f>
        <v/>
      </c>
      <c r="H1975">
        <f>IF(AutoClaim_Data!D1975&lt;=$B$2,IF(AutoClaim_Data!E1975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5">
        <f>(F1975-H1975)^2</f>
        <v/>
      </c>
      <c r="J1975">
        <f>--(E1975="Validation")</f>
        <v/>
      </c>
    </row>
    <row r="1976">
      <c r="D1976">
        <f>AutoClaim_Data!A1976</f>
        <v/>
      </c>
      <c r="E1976">
        <f>AutoClaim_Data!B1976</f>
        <v/>
      </c>
      <c r="F1976">
        <f>AutoClaim_Data!C1976</f>
        <v/>
      </c>
      <c r="G1976">
        <f>IF(AutoClaim_Data!D1976&lt;=$B$2,AVERAGEIFS(AutoClaim_Data!C2:C3168,AutoClaim_Data!B2:B3168,"Train",AutoClaim_Data!D2:D3168,"&lt;="&amp;$B$2),AVERAGEIFS(AutoClaim_Data!C2:C3168,AutoClaim_Data!B2:B3168,"Train",AutoClaim_Data!D2:D3168,"&gt;"&amp;$B$2))</f>
        <v/>
      </c>
      <c r="H1976">
        <f>IF(AutoClaim_Data!D1976&lt;=$B$2,IF(AutoClaim_Data!E1976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6">
        <f>(F1976-H1976)^2</f>
        <v/>
      </c>
      <c r="J1976">
        <f>--(E1976="Validation")</f>
        <v/>
      </c>
    </row>
    <row r="1977">
      <c r="D1977">
        <f>AutoClaim_Data!A1977</f>
        <v/>
      </c>
      <c r="E1977">
        <f>AutoClaim_Data!B1977</f>
        <v/>
      </c>
      <c r="F1977">
        <f>AutoClaim_Data!C1977</f>
        <v/>
      </c>
      <c r="G1977">
        <f>IF(AutoClaim_Data!D1977&lt;=$B$2,AVERAGEIFS(AutoClaim_Data!C2:C3168,AutoClaim_Data!B2:B3168,"Train",AutoClaim_Data!D2:D3168,"&lt;="&amp;$B$2),AVERAGEIFS(AutoClaim_Data!C2:C3168,AutoClaim_Data!B2:B3168,"Train",AutoClaim_Data!D2:D3168,"&gt;"&amp;$B$2))</f>
        <v/>
      </c>
      <c r="H1977">
        <f>IF(AutoClaim_Data!D1977&lt;=$B$2,IF(AutoClaim_Data!E1977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7">
        <f>(F1977-H1977)^2</f>
        <v/>
      </c>
      <c r="J1977">
        <f>--(E1977="Validation")</f>
        <v/>
      </c>
    </row>
    <row r="1978">
      <c r="D1978">
        <f>AutoClaim_Data!A1978</f>
        <v/>
      </c>
      <c r="E1978">
        <f>AutoClaim_Data!B1978</f>
        <v/>
      </c>
      <c r="F1978">
        <f>AutoClaim_Data!C1978</f>
        <v/>
      </c>
      <c r="G1978">
        <f>IF(AutoClaim_Data!D1978&lt;=$B$2,AVERAGEIFS(AutoClaim_Data!C2:C3168,AutoClaim_Data!B2:B3168,"Train",AutoClaim_Data!D2:D3168,"&lt;="&amp;$B$2),AVERAGEIFS(AutoClaim_Data!C2:C3168,AutoClaim_Data!B2:B3168,"Train",AutoClaim_Data!D2:D3168,"&gt;"&amp;$B$2))</f>
        <v/>
      </c>
      <c r="H1978">
        <f>IF(AutoClaim_Data!D1978&lt;=$B$2,IF(AutoClaim_Data!E1978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8">
        <f>(F1978-H1978)^2</f>
        <v/>
      </c>
      <c r="J1978">
        <f>--(E1978="Validation")</f>
        <v/>
      </c>
    </row>
    <row r="1979">
      <c r="D1979">
        <f>AutoClaim_Data!A1979</f>
        <v/>
      </c>
      <c r="E1979">
        <f>AutoClaim_Data!B1979</f>
        <v/>
      </c>
      <c r="F1979">
        <f>AutoClaim_Data!C1979</f>
        <v/>
      </c>
      <c r="G1979">
        <f>IF(AutoClaim_Data!D1979&lt;=$B$2,AVERAGEIFS(AutoClaim_Data!C2:C3168,AutoClaim_Data!B2:B3168,"Train",AutoClaim_Data!D2:D3168,"&lt;="&amp;$B$2),AVERAGEIFS(AutoClaim_Data!C2:C3168,AutoClaim_Data!B2:B3168,"Train",AutoClaim_Data!D2:D3168,"&gt;"&amp;$B$2))</f>
        <v/>
      </c>
      <c r="H1979">
        <f>IF(AutoClaim_Data!D1979&lt;=$B$2,IF(AutoClaim_Data!E1979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79">
        <f>(F1979-H1979)^2</f>
        <v/>
      </c>
      <c r="J1979">
        <f>--(E1979="Validation")</f>
        <v/>
      </c>
    </row>
    <row r="1980">
      <c r="D1980">
        <f>AutoClaim_Data!A1980</f>
        <v/>
      </c>
      <c r="E1980">
        <f>AutoClaim_Data!B1980</f>
        <v/>
      </c>
      <c r="F1980">
        <f>AutoClaim_Data!C1980</f>
        <v/>
      </c>
      <c r="G1980">
        <f>IF(AutoClaim_Data!D1980&lt;=$B$2,AVERAGEIFS(AutoClaim_Data!C2:C3168,AutoClaim_Data!B2:B3168,"Train",AutoClaim_Data!D2:D3168,"&lt;="&amp;$B$2),AVERAGEIFS(AutoClaim_Data!C2:C3168,AutoClaim_Data!B2:B3168,"Train",AutoClaim_Data!D2:D3168,"&gt;"&amp;$B$2))</f>
        <v/>
      </c>
      <c r="H1980">
        <f>IF(AutoClaim_Data!D1980&lt;=$B$2,IF(AutoClaim_Data!E1980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0">
        <f>(F1980-H1980)^2</f>
        <v/>
      </c>
      <c r="J1980">
        <f>--(E1980="Validation")</f>
        <v/>
      </c>
    </row>
    <row r="1981">
      <c r="D1981">
        <f>AutoClaim_Data!A1981</f>
        <v/>
      </c>
      <c r="E1981">
        <f>AutoClaim_Data!B1981</f>
        <v/>
      </c>
      <c r="F1981">
        <f>AutoClaim_Data!C1981</f>
        <v/>
      </c>
      <c r="G1981">
        <f>IF(AutoClaim_Data!D1981&lt;=$B$2,AVERAGEIFS(AutoClaim_Data!C2:C3168,AutoClaim_Data!B2:B3168,"Train",AutoClaim_Data!D2:D3168,"&lt;="&amp;$B$2),AVERAGEIFS(AutoClaim_Data!C2:C3168,AutoClaim_Data!B2:B3168,"Train",AutoClaim_Data!D2:D3168,"&gt;"&amp;$B$2))</f>
        <v/>
      </c>
      <c r="H1981">
        <f>IF(AutoClaim_Data!D1981&lt;=$B$2,IF(AutoClaim_Data!E1981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1">
        <f>(F1981-H1981)^2</f>
        <v/>
      </c>
      <c r="J1981">
        <f>--(E1981="Validation")</f>
        <v/>
      </c>
    </row>
    <row r="1982">
      <c r="D1982">
        <f>AutoClaim_Data!A1982</f>
        <v/>
      </c>
      <c r="E1982">
        <f>AutoClaim_Data!B1982</f>
        <v/>
      </c>
      <c r="F1982">
        <f>AutoClaim_Data!C1982</f>
        <v/>
      </c>
      <c r="G1982">
        <f>IF(AutoClaim_Data!D1982&lt;=$B$2,AVERAGEIFS(AutoClaim_Data!C2:C3168,AutoClaim_Data!B2:B3168,"Train",AutoClaim_Data!D2:D3168,"&lt;="&amp;$B$2),AVERAGEIFS(AutoClaim_Data!C2:C3168,AutoClaim_Data!B2:B3168,"Train",AutoClaim_Data!D2:D3168,"&gt;"&amp;$B$2))</f>
        <v/>
      </c>
      <c r="H1982">
        <f>IF(AutoClaim_Data!D1982&lt;=$B$2,IF(AutoClaim_Data!E1982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2">
        <f>(F1982-H1982)^2</f>
        <v/>
      </c>
      <c r="J1982">
        <f>--(E1982="Validation")</f>
        <v/>
      </c>
    </row>
    <row r="1983">
      <c r="D1983">
        <f>AutoClaim_Data!A1983</f>
        <v/>
      </c>
      <c r="E1983">
        <f>AutoClaim_Data!B1983</f>
        <v/>
      </c>
      <c r="F1983">
        <f>AutoClaim_Data!C1983</f>
        <v/>
      </c>
      <c r="G1983">
        <f>IF(AutoClaim_Data!D1983&lt;=$B$2,AVERAGEIFS(AutoClaim_Data!C2:C3168,AutoClaim_Data!B2:B3168,"Train",AutoClaim_Data!D2:D3168,"&lt;="&amp;$B$2),AVERAGEIFS(AutoClaim_Data!C2:C3168,AutoClaim_Data!B2:B3168,"Train",AutoClaim_Data!D2:D3168,"&gt;"&amp;$B$2))</f>
        <v/>
      </c>
      <c r="H1983">
        <f>IF(AutoClaim_Data!D1983&lt;=$B$2,IF(AutoClaim_Data!E1983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3">
        <f>(F1983-H1983)^2</f>
        <v/>
      </c>
      <c r="J1983">
        <f>--(E1983="Validation")</f>
        <v/>
      </c>
    </row>
    <row r="1984">
      <c r="D1984">
        <f>AutoClaim_Data!A1984</f>
        <v/>
      </c>
      <c r="E1984">
        <f>AutoClaim_Data!B1984</f>
        <v/>
      </c>
      <c r="F1984">
        <f>AutoClaim_Data!C1984</f>
        <v/>
      </c>
      <c r="G1984">
        <f>IF(AutoClaim_Data!D1984&lt;=$B$2,AVERAGEIFS(AutoClaim_Data!C2:C3168,AutoClaim_Data!B2:B3168,"Train",AutoClaim_Data!D2:D3168,"&lt;="&amp;$B$2),AVERAGEIFS(AutoClaim_Data!C2:C3168,AutoClaim_Data!B2:B3168,"Train",AutoClaim_Data!D2:D3168,"&gt;"&amp;$B$2))</f>
        <v/>
      </c>
      <c r="H1984">
        <f>IF(AutoClaim_Data!D1984&lt;=$B$2,IF(AutoClaim_Data!E1984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4">
        <f>(F1984-H1984)^2</f>
        <v/>
      </c>
      <c r="J1984">
        <f>--(E1984="Validation")</f>
        <v/>
      </c>
    </row>
    <row r="1985">
      <c r="D1985">
        <f>AutoClaim_Data!A1985</f>
        <v/>
      </c>
      <c r="E1985">
        <f>AutoClaim_Data!B1985</f>
        <v/>
      </c>
      <c r="F1985">
        <f>AutoClaim_Data!C1985</f>
        <v/>
      </c>
      <c r="G1985">
        <f>IF(AutoClaim_Data!D1985&lt;=$B$2,AVERAGEIFS(AutoClaim_Data!C2:C3168,AutoClaim_Data!B2:B3168,"Train",AutoClaim_Data!D2:D3168,"&lt;="&amp;$B$2),AVERAGEIFS(AutoClaim_Data!C2:C3168,AutoClaim_Data!B2:B3168,"Train",AutoClaim_Data!D2:D3168,"&gt;"&amp;$B$2))</f>
        <v/>
      </c>
      <c r="H1985">
        <f>IF(AutoClaim_Data!D1985&lt;=$B$2,IF(AutoClaim_Data!E1985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5">
        <f>(F1985-H1985)^2</f>
        <v/>
      </c>
      <c r="J1985">
        <f>--(E1985="Validation")</f>
        <v/>
      </c>
    </row>
    <row r="1986">
      <c r="D1986">
        <f>AutoClaim_Data!A1986</f>
        <v/>
      </c>
      <c r="E1986">
        <f>AutoClaim_Data!B1986</f>
        <v/>
      </c>
      <c r="F1986">
        <f>AutoClaim_Data!C1986</f>
        <v/>
      </c>
      <c r="G1986">
        <f>IF(AutoClaim_Data!D1986&lt;=$B$2,AVERAGEIFS(AutoClaim_Data!C2:C3168,AutoClaim_Data!B2:B3168,"Train",AutoClaim_Data!D2:D3168,"&lt;="&amp;$B$2),AVERAGEIFS(AutoClaim_Data!C2:C3168,AutoClaim_Data!B2:B3168,"Train",AutoClaim_Data!D2:D3168,"&gt;"&amp;$B$2))</f>
        <v/>
      </c>
      <c r="H1986">
        <f>IF(AutoClaim_Data!D1986&lt;=$B$2,IF(AutoClaim_Data!E1986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6">
        <f>(F1986-H1986)^2</f>
        <v/>
      </c>
      <c r="J1986">
        <f>--(E1986="Validation")</f>
        <v/>
      </c>
    </row>
    <row r="1987">
      <c r="D1987">
        <f>AutoClaim_Data!A1987</f>
        <v/>
      </c>
      <c r="E1987">
        <f>AutoClaim_Data!B1987</f>
        <v/>
      </c>
      <c r="F1987">
        <f>AutoClaim_Data!C1987</f>
        <v/>
      </c>
      <c r="G1987">
        <f>IF(AutoClaim_Data!D1987&lt;=$B$2,AVERAGEIFS(AutoClaim_Data!C2:C3168,AutoClaim_Data!B2:B3168,"Train",AutoClaim_Data!D2:D3168,"&lt;="&amp;$B$2),AVERAGEIFS(AutoClaim_Data!C2:C3168,AutoClaim_Data!B2:B3168,"Train",AutoClaim_Data!D2:D3168,"&gt;"&amp;$B$2))</f>
        <v/>
      </c>
      <c r="H1987">
        <f>IF(AutoClaim_Data!D1987&lt;=$B$2,IF(AutoClaim_Data!E1987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7">
        <f>(F1987-H1987)^2</f>
        <v/>
      </c>
      <c r="J1987">
        <f>--(E1987="Validation")</f>
        <v/>
      </c>
    </row>
    <row r="1988">
      <c r="D1988">
        <f>AutoClaim_Data!A1988</f>
        <v/>
      </c>
      <c r="E1988">
        <f>AutoClaim_Data!B1988</f>
        <v/>
      </c>
      <c r="F1988">
        <f>AutoClaim_Data!C1988</f>
        <v/>
      </c>
      <c r="G1988">
        <f>IF(AutoClaim_Data!D1988&lt;=$B$2,AVERAGEIFS(AutoClaim_Data!C2:C3168,AutoClaim_Data!B2:B3168,"Train",AutoClaim_Data!D2:D3168,"&lt;="&amp;$B$2),AVERAGEIFS(AutoClaim_Data!C2:C3168,AutoClaim_Data!B2:B3168,"Train",AutoClaim_Data!D2:D3168,"&gt;"&amp;$B$2))</f>
        <v/>
      </c>
      <c r="H1988">
        <f>IF(AutoClaim_Data!D1988&lt;=$B$2,IF(AutoClaim_Data!E1988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8">
        <f>(F1988-H1988)^2</f>
        <v/>
      </c>
      <c r="J1988">
        <f>--(E1988="Validation")</f>
        <v/>
      </c>
    </row>
    <row r="1989">
      <c r="D1989">
        <f>AutoClaim_Data!A1989</f>
        <v/>
      </c>
      <c r="E1989">
        <f>AutoClaim_Data!B1989</f>
        <v/>
      </c>
      <c r="F1989">
        <f>AutoClaim_Data!C1989</f>
        <v/>
      </c>
      <c r="G1989">
        <f>IF(AutoClaim_Data!D1989&lt;=$B$2,AVERAGEIFS(AutoClaim_Data!C2:C3168,AutoClaim_Data!B2:B3168,"Train",AutoClaim_Data!D2:D3168,"&lt;="&amp;$B$2),AVERAGEIFS(AutoClaim_Data!C2:C3168,AutoClaim_Data!B2:B3168,"Train",AutoClaim_Data!D2:D3168,"&gt;"&amp;$B$2))</f>
        <v/>
      </c>
      <c r="H1989">
        <f>IF(AutoClaim_Data!D1989&lt;=$B$2,IF(AutoClaim_Data!E1989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89">
        <f>(F1989-H1989)^2</f>
        <v/>
      </c>
      <c r="J1989">
        <f>--(E1989="Validation")</f>
        <v/>
      </c>
    </row>
    <row r="1990">
      <c r="D1990">
        <f>AutoClaim_Data!A1990</f>
        <v/>
      </c>
      <c r="E1990">
        <f>AutoClaim_Data!B1990</f>
        <v/>
      </c>
      <c r="F1990">
        <f>AutoClaim_Data!C1990</f>
        <v/>
      </c>
      <c r="G1990">
        <f>IF(AutoClaim_Data!D1990&lt;=$B$2,AVERAGEIFS(AutoClaim_Data!C2:C3168,AutoClaim_Data!B2:B3168,"Train",AutoClaim_Data!D2:D3168,"&lt;="&amp;$B$2),AVERAGEIFS(AutoClaim_Data!C2:C3168,AutoClaim_Data!B2:B3168,"Train",AutoClaim_Data!D2:D3168,"&gt;"&amp;$B$2))</f>
        <v/>
      </c>
      <c r="H1990">
        <f>IF(AutoClaim_Data!D1990&lt;=$B$2,IF(AutoClaim_Data!E1990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0">
        <f>(F1990-H1990)^2</f>
        <v/>
      </c>
      <c r="J1990">
        <f>--(E1990="Validation")</f>
        <v/>
      </c>
    </row>
    <row r="1991">
      <c r="D1991">
        <f>AutoClaim_Data!A1991</f>
        <v/>
      </c>
      <c r="E1991">
        <f>AutoClaim_Data!B1991</f>
        <v/>
      </c>
      <c r="F1991">
        <f>AutoClaim_Data!C1991</f>
        <v/>
      </c>
      <c r="G1991">
        <f>IF(AutoClaim_Data!D1991&lt;=$B$2,AVERAGEIFS(AutoClaim_Data!C2:C3168,AutoClaim_Data!B2:B3168,"Train",AutoClaim_Data!D2:D3168,"&lt;="&amp;$B$2),AVERAGEIFS(AutoClaim_Data!C2:C3168,AutoClaim_Data!B2:B3168,"Train",AutoClaim_Data!D2:D3168,"&gt;"&amp;$B$2))</f>
        <v/>
      </c>
      <c r="H1991">
        <f>IF(AutoClaim_Data!D1991&lt;=$B$2,IF(AutoClaim_Data!E1991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1">
        <f>(F1991-H1991)^2</f>
        <v/>
      </c>
      <c r="J1991">
        <f>--(E1991="Validation")</f>
        <v/>
      </c>
    </row>
    <row r="1992">
      <c r="D1992">
        <f>AutoClaim_Data!A1992</f>
        <v/>
      </c>
      <c r="E1992">
        <f>AutoClaim_Data!B1992</f>
        <v/>
      </c>
      <c r="F1992">
        <f>AutoClaim_Data!C1992</f>
        <v/>
      </c>
      <c r="G1992">
        <f>IF(AutoClaim_Data!D1992&lt;=$B$2,AVERAGEIFS(AutoClaim_Data!C2:C3168,AutoClaim_Data!B2:B3168,"Train",AutoClaim_Data!D2:D3168,"&lt;="&amp;$B$2),AVERAGEIFS(AutoClaim_Data!C2:C3168,AutoClaim_Data!B2:B3168,"Train",AutoClaim_Data!D2:D3168,"&gt;"&amp;$B$2))</f>
        <v/>
      </c>
      <c r="H1992">
        <f>IF(AutoClaim_Data!D1992&lt;=$B$2,IF(AutoClaim_Data!E1992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2">
        <f>(F1992-H1992)^2</f>
        <v/>
      </c>
      <c r="J1992">
        <f>--(E1992="Validation")</f>
        <v/>
      </c>
    </row>
    <row r="1993">
      <c r="D1993">
        <f>AutoClaim_Data!A1993</f>
        <v/>
      </c>
      <c r="E1993">
        <f>AutoClaim_Data!B1993</f>
        <v/>
      </c>
      <c r="F1993">
        <f>AutoClaim_Data!C1993</f>
        <v/>
      </c>
      <c r="G1993">
        <f>IF(AutoClaim_Data!D1993&lt;=$B$2,AVERAGEIFS(AutoClaim_Data!C2:C3168,AutoClaim_Data!B2:B3168,"Train",AutoClaim_Data!D2:D3168,"&lt;="&amp;$B$2),AVERAGEIFS(AutoClaim_Data!C2:C3168,AutoClaim_Data!B2:B3168,"Train",AutoClaim_Data!D2:D3168,"&gt;"&amp;$B$2))</f>
        <v/>
      </c>
      <c r="H1993">
        <f>IF(AutoClaim_Data!D1993&lt;=$B$2,IF(AutoClaim_Data!E1993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3">
        <f>(F1993-H1993)^2</f>
        <v/>
      </c>
      <c r="J1993">
        <f>--(E1993="Validation")</f>
        <v/>
      </c>
    </row>
    <row r="1994">
      <c r="D1994">
        <f>AutoClaim_Data!A1994</f>
        <v/>
      </c>
      <c r="E1994">
        <f>AutoClaim_Data!B1994</f>
        <v/>
      </c>
      <c r="F1994">
        <f>AutoClaim_Data!C1994</f>
        <v/>
      </c>
      <c r="G1994">
        <f>IF(AutoClaim_Data!D1994&lt;=$B$2,AVERAGEIFS(AutoClaim_Data!C2:C3168,AutoClaim_Data!B2:B3168,"Train",AutoClaim_Data!D2:D3168,"&lt;="&amp;$B$2),AVERAGEIFS(AutoClaim_Data!C2:C3168,AutoClaim_Data!B2:B3168,"Train",AutoClaim_Data!D2:D3168,"&gt;"&amp;$B$2))</f>
        <v/>
      </c>
      <c r="H1994">
        <f>IF(AutoClaim_Data!D1994&lt;=$B$2,IF(AutoClaim_Data!E1994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4">
        <f>(F1994-H1994)^2</f>
        <v/>
      </c>
      <c r="J1994">
        <f>--(E1994="Validation")</f>
        <v/>
      </c>
    </row>
    <row r="1995">
      <c r="D1995">
        <f>AutoClaim_Data!A1995</f>
        <v/>
      </c>
      <c r="E1995">
        <f>AutoClaim_Data!B1995</f>
        <v/>
      </c>
      <c r="F1995">
        <f>AutoClaim_Data!C1995</f>
        <v/>
      </c>
      <c r="G1995">
        <f>IF(AutoClaim_Data!D1995&lt;=$B$2,AVERAGEIFS(AutoClaim_Data!C2:C3168,AutoClaim_Data!B2:B3168,"Train",AutoClaim_Data!D2:D3168,"&lt;="&amp;$B$2),AVERAGEIFS(AutoClaim_Data!C2:C3168,AutoClaim_Data!B2:B3168,"Train",AutoClaim_Data!D2:D3168,"&gt;"&amp;$B$2))</f>
        <v/>
      </c>
      <c r="H1995">
        <f>IF(AutoClaim_Data!D1995&lt;=$B$2,IF(AutoClaim_Data!E1995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5">
        <f>(F1995-H1995)^2</f>
        <v/>
      </c>
      <c r="J1995">
        <f>--(E1995="Validation")</f>
        <v/>
      </c>
    </row>
    <row r="1996">
      <c r="D1996">
        <f>AutoClaim_Data!A1996</f>
        <v/>
      </c>
      <c r="E1996">
        <f>AutoClaim_Data!B1996</f>
        <v/>
      </c>
      <c r="F1996">
        <f>AutoClaim_Data!C1996</f>
        <v/>
      </c>
      <c r="G1996">
        <f>IF(AutoClaim_Data!D1996&lt;=$B$2,AVERAGEIFS(AutoClaim_Data!C2:C3168,AutoClaim_Data!B2:B3168,"Train",AutoClaim_Data!D2:D3168,"&lt;="&amp;$B$2),AVERAGEIFS(AutoClaim_Data!C2:C3168,AutoClaim_Data!B2:B3168,"Train",AutoClaim_Data!D2:D3168,"&gt;"&amp;$B$2))</f>
        <v/>
      </c>
      <c r="H1996">
        <f>IF(AutoClaim_Data!D1996&lt;=$B$2,IF(AutoClaim_Data!E1996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6">
        <f>(F1996-H1996)^2</f>
        <v/>
      </c>
      <c r="J1996">
        <f>--(E1996="Validation")</f>
        <v/>
      </c>
    </row>
    <row r="1997">
      <c r="D1997">
        <f>AutoClaim_Data!A1997</f>
        <v/>
      </c>
      <c r="E1997">
        <f>AutoClaim_Data!B1997</f>
        <v/>
      </c>
      <c r="F1997">
        <f>AutoClaim_Data!C1997</f>
        <v/>
      </c>
      <c r="G1997">
        <f>IF(AutoClaim_Data!D1997&lt;=$B$2,AVERAGEIFS(AutoClaim_Data!C2:C3168,AutoClaim_Data!B2:B3168,"Train",AutoClaim_Data!D2:D3168,"&lt;="&amp;$B$2),AVERAGEIFS(AutoClaim_Data!C2:C3168,AutoClaim_Data!B2:B3168,"Train",AutoClaim_Data!D2:D3168,"&gt;"&amp;$B$2))</f>
        <v/>
      </c>
      <c r="H1997">
        <f>IF(AutoClaim_Data!D1997&lt;=$B$2,IF(AutoClaim_Data!E1997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7">
        <f>(F1997-H1997)^2</f>
        <v/>
      </c>
      <c r="J1997">
        <f>--(E1997="Validation")</f>
        <v/>
      </c>
    </row>
    <row r="1998">
      <c r="D1998">
        <f>AutoClaim_Data!A1998</f>
        <v/>
      </c>
      <c r="E1998">
        <f>AutoClaim_Data!B1998</f>
        <v/>
      </c>
      <c r="F1998">
        <f>AutoClaim_Data!C1998</f>
        <v/>
      </c>
      <c r="G1998">
        <f>IF(AutoClaim_Data!D1998&lt;=$B$2,AVERAGEIFS(AutoClaim_Data!C2:C3168,AutoClaim_Data!B2:B3168,"Train",AutoClaim_Data!D2:D3168,"&lt;="&amp;$B$2),AVERAGEIFS(AutoClaim_Data!C2:C3168,AutoClaim_Data!B2:B3168,"Train",AutoClaim_Data!D2:D3168,"&gt;"&amp;$B$2))</f>
        <v/>
      </c>
      <c r="H1998">
        <f>IF(AutoClaim_Data!D1998&lt;=$B$2,IF(AutoClaim_Data!E1998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8">
        <f>(F1998-H1998)^2</f>
        <v/>
      </c>
      <c r="J1998">
        <f>--(E1998="Validation")</f>
        <v/>
      </c>
    </row>
    <row r="1999">
      <c r="D1999">
        <f>AutoClaim_Data!A1999</f>
        <v/>
      </c>
      <c r="E1999">
        <f>AutoClaim_Data!B1999</f>
        <v/>
      </c>
      <c r="F1999">
        <f>AutoClaim_Data!C1999</f>
        <v/>
      </c>
      <c r="G1999">
        <f>IF(AutoClaim_Data!D1999&lt;=$B$2,AVERAGEIFS(AutoClaim_Data!C2:C3168,AutoClaim_Data!B2:B3168,"Train",AutoClaim_Data!D2:D3168,"&lt;="&amp;$B$2),AVERAGEIFS(AutoClaim_Data!C2:C3168,AutoClaim_Data!B2:B3168,"Train",AutoClaim_Data!D2:D3168,"&gt;"&amp;$B$2))</f>
        <v/>
      </c>
      <c r="H1999">
        <f>IF(AutoClaim_Data!D1999&lt;=$B$2,IF(AutoClaim_Data!E1999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1999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1999">
        <f>(F1999-H1999)^2</f>
        <v/>
      </c>
      <c r="J1999">
        <f>--(E1999="Validation")</f>
        <v/>
      </c>
    </row>
    <row r="2000">
      <c r="D2000">
        <f>AutoClaim_Data!A2000</f>
        <v/>
      </c>
      <c r="E2000">
        <f>AutoClaim_Data!B2000</f>
        <v/>
      </c>
      <c r="F2000">
        <f>AutoClaim_Data!C2000</f>
        <v/>
      </c>
      <c r="G2000">
        <f>IF(AutoClaim_Data!D2000&lt;=$B$2,AVERAGEIFS(AutoClaim_Data!C2:C3168,AutoClaim_Data!B2:B3168,"Train",AutoClaim_Data!D2:D3168,"&lt;="&amp;$B$2),AVERAGEIFS(AutoClaim_Data!C2:C3168,AutoClaim_Data!B2:B3168,"Train",AutoClaim_Data!D2:D3168,"&gt;"&amp;$B$2))</f>
        <v/>
      </c>
      <c r="H2000">
        <f>IF(AutoClaim_Data!D2000&lt;=$B$2,IF(AutoClaim_Data!E2000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0">
        <f>(F2000-H2000)^2</f>
        <v/>
      </c>
      <c r="J2000">
        <f>--(E2000="Validation")</f>
        <v/>
      </c>
    </row>
    <row r="2001">
      <c r="D2001">
        <f>AutoClaim_Data!A2001</f>
        <v/>
      </c>
      <c r="E2001">
        <f>AutoClaim_Data!B2001</f>
        <v/>
      </c>
      <c r="F2001">
        <f>AutoClaim_Data!C2001</f>
        <v/>
      </c>
      <c r="G2001">
        <f>IF(AutoClaim_Data!D2001&lt;=$B$2,AVERAGEIFS(AutoClaim_Data!C2:C3168,AutoClaim_Data!B2:B3168,"Train",AutoClaim_Data!D2:D3168,"&lt;="&amp;$B$2),AVERAGEIFS(AutoClaim_Data!C2:C3168,AutoClaim_Data!B2:B3168,"Train",AutoClaim_Data!D2:D3168,"&gt;"&amp;$B$2))</f>
        <v/>
      </c>
      <c r="H2001">
        <f>IF(AutoClaim_Data!D2001&lt;=$B$2,IF(AutoClaim_Data!E2001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1">
        <f>(F2001-H2001)^2</f>
        <v/>
      </c>
      <c r="J2001">
        <f>--(E2001="Validation")</f>
        <v/>
      </c>
    </row>
    <row r="2002">
      <c r="D2002">
        <f>AutoClaim_Data!A2002</f>
        <v/>
      </c>
      <c r="E2002">
        <f>AutoClaim_Data!B2002</f>
        <v/>
      </c>
      <c r="F2002">
        <f>AutoClaim_Data!C2002</f>
        <v/>
      </c>
      <c r="G2002">
        <f>IF(AutoClaim_Data!D2002&lt;=$B$2,AVERAGEIFS(AutoClaim_Data!C2:C3168,AutoClaim_Data!B2:B3168,"Train",AutoClaim_Data!D2:D3168,"&lt;="&amp;$B$2),AVERAGEIFS(AutoClaim_Data!C2:C3168,AutoClaim_Data!B2:B3168,"Train",AutoClaim_Data!D2:D3168,"&gt;"&amp;$B$2))</f>
        <v/>
      </c>
      <c r="H2002">
        <f>IF(AutoClaim_Data!D2002&lt;=$B$2,IF(AutoClaim_Data!E2002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2">
        <f>(F2002-H2002)^2</f>
        <v/>
      </c>
      <c r="J2002">
        <f>--(E2002="Validation")</f>
        <v/>
      </c>
    </row>
    <row r="2003">
      <c r="D2003">
        <f>AutoClaim_Data!A2003</f>
        <v/>
      </c>
      <c r="E2003">
        <f>AutoClaim_Data!B2003</f>
        <v/>
      </c>
      <c r="F2003">
        <f>AutoClaim_Data!C2003</f>
        <v/>
      </c>
      <c r="G2003">
        <f>IF(AutoClaim_Data!D2003&lt;=$B$2,AVERAGEIFS(AutoClaim_Data!C2:C3168,AutoClaim_Data!B2:B3168,"Train",AutoClaim_Data!D2:D3168,"&lt;="&amp;$B$2),AVERAGEIFS(AutoClaim_Data!C2:C3168,AutoClaim_Data!B2:B3168,"Train",AutoClaim_Data!D2:D3168,"&gt;"&amp;$B$2))</f>
        <v/>
      </c>
      <c r="H2003">
        <f>IF(AutoClaim_Data!D2003&lt;=$B$2,IF(AutoClaim_Data!E2003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3">
        <f>(F2003-H2003)^2</f>
        <v/>
      </c>
      <c r="J2003">
        <f>--(E2003="Validation")</f>
        <v/>
      </c>
    </row>
    <row r="2004">
      <c r="D2004">
        <f>AutoClaim_Data!A2004</f>
        <v/>
      </c>
      <c r="E2004">
        <f>AutoClaim_Data!B2004</f>
        <v/>
      </c>
      <c r="F2004">
        <f>AutoClaim_Data!C2004</f>
        <v/>
      </c>
      <c r="G2004">
        <f>IF(AutoClaim_Data!D2004&lt;=$B$2,AVERAGEIFS(AutoClaim_Data!C2:C3168,AutoClaim_Data!B2:B3168,"Train",AutoClaim_Data!D2:D3168,"&lt;="&amp;$B$2),AVERAGEIFS(AutoClaim_Data!C2:C3168,AutoClaim_Data!B2:B3168,"Train",AutoClaim_Data!D2:D3168,"&gt;"&amp;$B$2))</f>
        <v/>
      </c>
      <c r="H2004">
        <f>IF(AutoClaim_Data!D2004&lt;=$B$2,IF(AutoClaim_Data!E2004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4">
        <f>(F2004-H2004)^2</f>
        <v/>
      </c>
      <c r="J2004">
        <f>--(E2004="Validation")</f>
        <v/>
      </c>
    </row>
    <row r="2005">
      <c r="D2005">
        <f>AutoClaim_Data!A2005</f>
        <v/>
      </c>
      <c r="E2005">
        <f>AutoClaim_Data!B2005</f>
        <v/>
      </c>
      <c r="F2005">
        <f>AutoClaim_Data!C2005</f>
        <v/>
      </c>
      <c r="G2005">
        <f>IF(AutoClaim_Data!D2005&lt;=$B$2,AVERAGEIFS(AutoClaim_Data!C2:C3168,AutoClaim_Data!B2:B3168,"Train",AutoClaim_Data!D2:D3168,"&lt;="&amp;$B$2),AVERAGEIFS(AutoClaim_Data!C2:C3168,AutoClaim_Data!B2:B3168,"Train",AutoClaim_Data!D2:D3168,"&gt;"&amp;$B$2))</f>
        <v/>
      </c>
      <c r="H2005">
        <f>IF(AutoClaim_Data!D2005&lt;=$B$2,IF(AutoClaim_Data!E2005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5">
        <f>(F2005-H2005)^2</f>
        <v/>
      </c>
      <c r="J2005">
        <f>--(E2005="Validation")</f>
        <v/>
      </c>
    </row>
    <row r="2006">
      <c r="D2006">
        <f>AutoClaim_Data!A2006</f>
        <v/>
      </c>
      <c r="E2006">
        <f>AutoClaim_Data!B2006</f>
        <v/>
      </c>
      <c r="F2006">
        <f>AutoClaim_Data!C2006</f>
        <v/>
      </c>
      <c r="G2006">
        <f>IF(AutoClaim_Data!D2006&lt;=$B$2,AVERAGEIFS(AutoClaim_Data!C2:C3168,AutoClaim_Data!B2:B3168,"Train",AutoClaim_Data!D2:D3168,"&lt;="&amp;$B$2),AVERAGEIFS(AutoClaim_Data!C2:C3168,AutoClaim_Data!B2:B3168,"Train",AutoClaim_Data!D2:D3168,"&gt;"&amp;$B$2))</f>
        <v/>
      </c>
      <c r="H2006">
        <f>IF(AutoClaim_Data!D2006&lt;=$B$2,IF(AutoClaim_Data!E2006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6">
        <f>(F2006-H2006)^2</f>
        <v/>
      </c>
      <c r="J2006">
        <f>--(E2006="Validation")</f>
        <v/>
      </c>
    </row>
    <row r="2007">
      <c r="D2007">
        <f>AutoClaim_Data!A2007</f>
        <v/>
      </c>
      <c r="E2007">
        <f>AutoClaim_Data!B2007</f>
        <v/>
      </c>
      <c r="F2007">
        <f>AutoClaim_Data!C2007</f>
        <v/>
      </c>
      <c r="G2007">
        <f>IF(AutoClaim_Data!D2007&lt;=$B$2,AVERAGEIFS(AutoClaim_Data!C2:C3168,AutoClaim_Data!B2:B3168,"Train",AutoClaim_Data!D2:D3168,"&lt;="&amp;$B$2),AVERAGEIFS(AutoClaim_Data!C2:C3168,AutoClaim_Data!B2:B3168,"Train",AutoClaim_Data!D2:D3168,"&gt;"&amp;$B$2))</f>
        <v/>
      </c>
      <c r="H2007">
        <f>IF(AutoClaim_Data!D2007&lt;=$B$2,IF(AutoClaim_Data!E2007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7">
        <f>(F2007-H2007)^2</f>
        <v/>
      </c>
      <c r="J2007">
        <f>--(E2007="Validation")</f>
        <v/>
      </c>
    </row>
    <row r="2008">
      <c r="D2008">
        <f>AutoClaim_Data!A2008</f>
        <v/>
      </c>
      <c r="E2008">
        <f>AutoClaim_Data!B2008</f>
        <v/>
      </c>
      <c r="F2008">
        <f>AutoClaim_Data!C2008</f>
        <v/>
      </c>
      <c r="G2008">
        <f>IF(AutoClaim_Data!D2008&lt;=$B$2,AVERAGEIFS(AutoClaim_Data!C2:C3168,AutoClaim_Data!B2:B3168,"Train",AutoClaim_Data!D2:D3168,"&lt;="&amp;$B$2),AVERAGEIFS(AutoClaim_Data!C2:C3168,AutoClaim_Data!B2:B3168,"Train",AutoClaim_Data!D2:D3168,"&gt;"&amp;$B$2))</f>
        <v/>
      </c>
      <c r="H2008">
        <f>IF(AutoClaim_Data!D2008&lt;=$B$2,IF(AutoClaim_Data!E2008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8">
        <f>(F2008-H2008)^2</f>
        <v/>
      </c>
      <c r="J2008">
        <f>--(E2008="Validation")</f>
        <v/>
      </c>
    </row>
    <row r="2009">
      <c r="D2009">
        <f>AutoClaim_Data!A2009</f>
        <v/>
      </c>
      <c r="E2009">
        <f>AutoClaim_Data!B2009</f>
        <v/>
      </c>
      <c r="F2009">
        <f>AutoClaim_Data!C2009</f>
        <v/>
      </c>
      <c r="G2009">
        <f>IF(AutoClaim_Data!D2009&lt;=$B$2,AVERAGEIFS(AutoClaim_Data!C2:C3168,AutoClaim_Data!B2:B3168,"Train",AutoClaim_Data!D2:D3168,"&lt;="&amp;$B$2),AVERAGEIFS(AutoClaim_Data!C2:C3168,AutoClaim_Data!B2:B3168,"Train",AutoClaim_Data!D2:D3168,"&gt;"&amp;$B$2))</f>
        <v/>
      </c>
      <c r="H2009">
        <f>IF(AutoClaim_Data!D2009&lt;=$B$2,IF(AutoClaim_Data!E2009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09">
        <f>(F2009-H2009)^2</f>
        <v/>
      </c>
      <c r="J2009">
        <f>--(E2009="Validation")</f>
        <v/>
      </c>
    </row>
    <row r="2010">
      <c r="D2010">
        <f>AutoClaim_Data!A2010</f>
        <v/>
      </c>
      <c r="E2010">
        <f>AutoClaim_Data!B2010</f>
        <v/>
      </c>
      <c r="F2010">
        <f>AutoClaim_Data!C2010</f>
        <v/>
      </c>
      <c r="G2010">
        <f>IF(AutoClaim_Data!D2010&lt;=$B$2,AVERAGEIFS(AutoClaim_Data!C2:C3168,AutoClaim_Data!B2:B3168,"Train",AutoClaim_Data!D2:D3168,"&lt;="&amp;$B$2),AVERAGEIFS(AutoClaim_Data!C2:C3168,AutoClaim_Data!B2:B3168,"Train",AutoClaim_Data!D2:D3168,"&gt;"&amp;$B$2))</f>
        <v/>
      </c>
      <c r="H2010">
        <f>IF(AutoClaim_Data!D2010&lt;=$B$2,IF(AutoClaim_Data!E2010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0">
        <f>(F2010-H2010)^2</f>
        <v/>
      </c>
      <c r="J2010">
        <f>--(E2010="Validation")</f>
        <v/>
      </c>
    </row>
    <row r="2011">
      <c r="D2011">
        <f>AutoClaim_Data!A2011</f>
        <v/>
      </c>
      <c r="E2011">
        <f>AutoClaim_Data!B2011</f>
        <v/>
      </c>
      <c r="F2011">
        <f>AutoClaim_Data!C2011</f>
        <v/>
      </c>
      <c r="G2011">
        <f>IF(AutoClaim_Data!D2011&lt;=$B$2,AVERAGEIFS(AutoClaim_Data!C2:C3168,AutoClaim_Data!B2:B3168,"Train",AutoClaim_Data!D2:D3168,"&lt;="&amp;$B$2),AVERAGEIFS(AutoClaim_Data!C2:C3168,AutoClaim_Data!B2:B3168,"Train",AutoClaim_Data!D2:D3168,"&gt;"&amp;$B$2))</f>
        <v/>
      </c>
      <c r="H2011">
        <f>IF(AutoClaim_Data!D2011&lt;=$B$2,IF(AutoClaim_Data!E2011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1">
        <f>(F2011-H2011)^2</f>
        <v/>
      </c>
      <c r="J2011">
        <f>--(E2011="Validation")</f>
        <v/>
      </c>
    </row>
    <row r="2012">
      <c r="D2012">
        <f>AutoClaim_Data!A2012</f>
        <v/>
      </c>
      <c r="E2012">
        <f>AutoClaim_Data!B2012</f>
        <v/>
      </c>
      <c r="F2012">
        <f>AutoClaim_Data!C2012</f>
        <v/>
      </c>
      <c r="G2012">
        <f>IF(AutoClaim_Data!D2012&lt;=$B$2,AVERAGEIFS(AutoClaim_Data!C2:C3168,AutoClaim_Data!B2:B3168,"Train",AutoClaim_Data!D2:D3168,"&lt;="&amp;$B$2),AVERAGEIFS(AutoClaim_Data!C2:C3168,AutoClaim_Data!B2:B3168,"Train",AutoClaim_Data!D2:D3168,"&gt;"&amp;$B$2))</f>
        <v/>
      </c>
      <c r="H2012">
        <f>IF(AutoClaim_Data!D2012&lt;=$B$2,IF(AutoClaim_Data!E2012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2">
        <f>(F2012-H2012)^2</f>
        <v/>
      </c>
      <c r="J2012">
        <f>--(E2012="Validation")</f>
        <v/>
      </c>
    </row>
    <row r="2013">
      <c r="D2013">
        <f>AutoClaim_Data!A2013</f>
        <v/>
      </c>
      <c r="E2013">
        <f>AutoClaim_Data!B2013</f>
        <v/>
      </c>
      <c r="F2013">
        <f>AutoClaim_Data!C2013</f>
        <v/>
      </c>
      <c r="G2013">
        <f>IF(AutoClaim_Data!D2013&lt;=$B$2,AVERAGEIFS(AutoClaim_Data!C2:C3168,AutoClaim_Data!B2:B3168,"Train",AutoClaim_Data!D2:D3168,"&lt;="&amp;$B$2),AVERAGEIFS(AutoClaim_Data!C2:C3168,AutoClaim_Data!B2:B3168,"Train",AutoClaim_Data!D2:D3168,"&gt;"&amp;$B$2))</f>
        <v/>
      </c>
      <c r="H2013">
        <f>IF(AutoClaim_Data!D2013&lt;=$B$2,IF(AutoClaim_Data!E2013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3">
        <f>(F2013-H2013)^2</f>
        <v/>
      </c>
      <c r="J2013">
        <f>--(E2013="Validation")</f>
        <v/>
      </c>
    </row>
    <row r="2014">
      <c r="D2014">
        <f>AutoClaim_Data!A2014</f>
        <v/>
      </c>
      <c r="E2014">
        <f>AutoClaim_Data!B2014</f>
        <v/>
      </c>
      <c r="F2014">
        <f>AutoClaim_Data!C2014</f>
        <v/>
      </c>
      <c r="G2014">
        <f>IF(AutoClaim_Data!D2014&lt;=$B$2,AVERAGEIFS(AutoClaim_Data!C2:C3168,AutoClaim_Data!B2:B3168,"Train",AutoClaim_Data!D2:D3168,"&lt;="&amp;$B$2),AVERAGEIFS(AutoClaim_Data!C2:C3168,AutoClaim_Data!B2:B3168,"Train",AutoClaim_Data!D2:D3168,"&gt;"&amp;$B$2))</f>
        <v/>
      </c>
      <c r="H2014">
        <f>IF(AutoClaim_Data!D2014&lt;=$B$2,IF(AutoClaim_Data!E2014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4">
        <f>(F2014-H2014)^2</f>
        <v/>
      </c>
      <c r="J2014">
        <f>--(E2014="Validation")</f>
        <v/>
      </c>
    </row>
    <row r="2015">
      <c r="D2015">
        <f>AutoClaim_Data!A2015</f>
        <v/>
      </c>
      <c r="E2015">
        <f>AutoClaim_Data!B2015</f>
        <v/>
      </c>
      <c r="F2015">
        <f>AutoClaim_Data!C2015</f>
        <v/>
      </c>
      <c r="G2015">
        <f>IF(AutoClaim_Data!D2015&lt;=$B$2,AVERAGEIFS(AutoClaim_Data!C2:C3168,AutoClaim_Data!B2:B3168,"Train",AutoClaim_Data!D2:D3168,"&lt;="&amp;$B$2),AVERAGEIFS(AutoClaim_Data!C2:C3168,AutoClaim_Data!B2:B3168,"Train",AutoClaim_Data!D2:D3168,"&gt;"&amp;$B$2))</f>
        <v/>
      </c>
      <c r="H2015">
        <f>IF(AutoClaim_Data!D2015&lt;=$B$2,IF(AutoClaim_Data!E2015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5">
        <f>(F2015-H2015)^2</f>
        <v/>
      </c>
      <c r="J2015">
        <f>--(E2015="Validation")</f>
        <v/>
      </c>
    </row>
    <row r="2016">
      <c r="D2016">
        <f>AutoClaim_Data!A2016</f>
        <v/>
      </c>
      <c r="E2016">
        <f>AutoClaim_Data!B2016</f>
        <v/>
      </c>
      <c r="F2016">
        <f>AutoClaim_Data!C2016</f>
        <v/>
      </c>
      <c r="G2016">
        <f>IF(AutoClaim_Data!D2016&lt;=$B$2,AVERAGEIFS(AutoClaim_Data!C2:C3168,AutoClaim_Data!B2:B3168,"Train",AutoClaim_Data!D2:D3168,"&lt;="&amp;$B$2),AVERAGEIFS(AutoClaim_Data!C2:C3168,AutoClaim_Data!B2:B3168,"Train",AutoClaim_Data!D2:D3168,"&gt;"&amp;$B$2))</f>
        <v/>
      </c>
      <c r="H2016">
        <f>IF(AutoClaim_Data!D2016&lt;=$B$2,IF(AutoClaim_Data!E2016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6">
        <f>(F2016-H2016)^2</f>
        <v/>
      </c>
      <c r="J2016">
        <f>--(E2016="Validation")</f>
        <v/>
      </c>
    </row>
    <row r="2017">
      <c r="D2017">
        <f>AutoClaim_Data!A2017</f>
        <v/>
      </c>
      <c r="E2017">
        <f>AutoClaim_Data!B2017</f>
        <v/>
      </c>
      <c r="F2017">
        <f>AutoClaim_Data!C2017</f>
        <v/>
      </c>
      <c r="G2017">
        <f>IF(AutoClaim_Data!D2017&lt;=$B$2,AVERAGEIFS(AutoClaim_Data!C2:C3168,AutoClaim_Data!B2:B3168,"Train",AutoClaim_Data!D2:D3168,"&lt;="&amp;$B$2),AVERAGEIFS(AutoClaim_Data!C2:C3168,AutoClaim_Data!B2:B3168,"Train",AutoClaim_Data!D2:D3168,"&gt;"&amp;$B$2))</f>
        <v/>
      </c>
      <c r="H2017">
        <f>IF(AutoClaim_Data!D2017&lt;=$B$2,IF(AutoClaim_Data!E2017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7">
        <f>(F2017-H2017)^2</f>
        <v/>
      </c>
      <c r="J2017">
        <f>--(E2017="Validation")</f>
        <v/>
      </c>
    </row>
    <row r="2018">
      <c r="D2018">
        <f>AutoClaim_Data!A2018</f>
        <v/>
      </c>
      <c r="E2018">
        <f>AutoClaim_Data!B2018</f>
        <v/>
      </c>
      <c r="F2018">
        <f>AutoClaim_Data!C2018</f>
        <v/>
      </c>
      <c r="G2018">
        <f>IF(AutoClaim_Data!D2018&lt;=$B$2,AVERAGEIFS(AutoClaim_Data!C2:C3168,AutoClaim_Data!B2:B3168,"Train",AutoClaim_Data!D2:D3168,"&lt;="&amp;$B$2),AVERAGEIFS(AutoClaim_Data!C2:C3168,AutoClaim_Data!B2:B3168,"Train",AutoClaim_Data!D2:D3168,"&gt;"&amp;$B$2))</f>
        <v/>
      </c>
      <c r="H2018">
        <f>IF(AutoClaim_Data!D2018&lt;=$B$2,IF(AutoClaim_Data!E2018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8">
        <f>(F2018-H2018)^2</f>
        <v/>
      </c>
      <c r="J2018">
        <f>--(E2018="Validation")</f>
        <v/>
      </c>
    </row>
    <row r="2019">
      <c r="D2019">
        <f>AutoClaim_Data!A2019</f>
        <v/>
      </c>
      <c r="E2019">
        <f>AutoClaim_Data!B2019</f>
        <v/>
      </c>
      <c r="F2019">
        <f>AutoClaim_Data!C2019</f>
        <v/>
      </c>
      <c r="G2019">
        <f>IF(AutoClaim_Data!D2019&lt;=$B$2,AVERAGEIFS(AutoClaim_Data!C2:C3168,AutoClaim_Data!B2:B3168,"Train",AutoClaim_Data!D2:D3168,"&lt;="&amp;$B$2),AVERAGEIFS(AutoClaim_Data!C2:C3168,AutoClaim_Data!B2:B3168,"Train",AutoClaim_Data!D2:D3168,"&gt;"&amp;$B$2))</f>
        <v/>
      </c>
      <c r="H2019">
        <f>IF(AutoClaim_Data!D2019&lt;=$B$2,IF(AutoClaim_Data!E2019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19">
        <f>(F2019-H2019)^2</f>
        <v/>
      </c>
      <c r="J2019">
        <f>--(E2019="Validation")</f>
        <v/>
      </c>
    </row>
    <row r="2020">
      <c r="D2020">
        <f>AutoClaim_Data!A2020</f>
        <v/>
      </c>
      <c r="E2020">
        <f>AutoClaim_Data!B2020</f>
        <v/>
      </c>
      <c r="F2020">
        <f>AutoClaim_Data!C2020</f>
        <v/>
      </c>
      <c r="G2020">
        <f>IF(AutoClaim_Data!D2020&lt;=$B$2,AVERAGEIFS(AutoClaim_Data!C2:C3168,AutoClaim_Data!B2:B3168,"Train",AutoClaim_Data!D2:D3168,"&lt;="&amp;$B$2),AVERAGEIFS(AutoClaim_Data!C2:C3168,AutoClaim_Data!B2:B3168,"Train",AutoClaim_Data!D2:D3168,"&gt;"&amp;$B$2))</f>
        <v/>
      </c>
      <c r="H2020">
        <f>IF(AutoClaim_Data!D2020&lt;=$B$2,IF(AutoClaim_Data!E2020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0">
        <f>(F2020-H2020)^2</f>
        <v/>
      </c>
      <c r="J2020">
        <f>--(E2020="Validation")</f>
        <v/>
      </c>
    </row>
    <row r="2021">
      <c r="D2021">
        <f>AutoClaim_Data!A2021</f>
        <v/>
      </c>
      <c r="E2021">
        <f>AutoClaim_Data!B2021</f>
        <v/>
      </c>
      <c r="F2021">
        <f>AutoClaim_Data!C2021</f>
        <v/>
      </c>
      <c r="G2021">
        <f>IF(AutoClaim_Data!D2021&lt;=$B$2,AVERAGEIFS(AutoClaim_Data!C2:C3168,AutoClaim_Data!B2:B3168,"Train",AutoClaim_Data!D2:D3168,"&lt;="&amp;$B$2),AVERAGEIFS(AutoClaim_Data!C2:C3168,AutoClaim_Data!B2:B3168,"Train",AutoClaim_Data!D2:D3168,"&gt;"&amp;$B$2))</f>
        <v/>
      </c>
      <c r="H2021">
        <f>IF(AutoClaim_Data!D2021&lt;=$B$2,IF(AutoClaim_Data!E2021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1">
        <f>(F2021-H2021)^2</f>
        <v/>
      </c>
      <c r="J2021">
        <f>--(E2021="Validation")</f>
        <v/>
      </c>
    </row>
    <row r="2022">
      <c r="D2022">
        <f>AutoClaim_Data!A2022</f>
        <v/>
      </c>
      <c r="E2022">
        <f>AutoClaim_Data!B2022</f>
        <v/>
      </c>
      <c r="F2022">
        <f>AutoClaim_Data!C2022</f>
        <v/>
      </c>
      <c r="G2022">
        <f>IF(AutoClaim_Data!D2022&lt;=$B$2,AVERAGEIFS(AutoClaim_Data!C2:C3168,AutoClaim_Data!B2:B3168,"Train",AutoClaim_Data!D2:D3168,"&lt;="&amp;$B$2),AVERAGEIFS(AutoClaim_Data!C2:C3168,AutoClaim_Data!B2:B3168,"Train",AutoClaim_Data!D2:D3168,"&gt;"&amp;$B$2))</f>
        <v/>
      </c>
      <c r="H2022">
        <f>IF(AutoClaim_Data!D2022&lt;=$B$2,IF(AutoClaim_Data!E2022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2">
        <f>(F2022-H2022)^2</f>
        <v/>
      </c>
      <c r="J2022">
        <f>--(E2022="Validation")</f>
        <v/>
      </c>
    </row>
    <row r="2023">
      <c r="D2023">
        <f>AutoClaim_Data!A2023</f>
        <v/>
      </c>
      <c r="E2023">
        <f>AutoClaim_Data!B2023</f>
        <v/>
      </c>
      <c r="F2023">
        <f>AutoClaim_Data!C2023</f>
        <v/>
      </c>
      <c r="G2023">
        <f>IF(AutoClaim_Data!D2023&lt;=$B$2,AVERAGEIFS(AutoClaim_Data!C2:C3168,AutoClaim_Data!B2:B3168,"Train",AutoClaim_Data!D2:D3168,"&lt;="&amp;$B$2),AVERAGEIFS(AutoClaim_Data!C2:C3168,AutoClaim_Data!B2:B3168,"Train",AutoClaim_Data!D2:D3168,"&gt;"&amp;$B$2))</f>
        <v/>
      </c>
      <c r="H2023">
        <f>IF(AutoClaim_Data!D2023&lt;=$B$2,IF(AutoClaim_Data!E2023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3">
        <f>(F2023-H2023)^2</f>
        <v/>
      </c>
      <c r="J2023">
        <f>--(E2023="Validation")</f>
        <v/>
      </c>
    </row>
    <row r="2024">
      <c r="D2024">
        <f>AutoClaim_Data!A2024</f>
        <v/>
      </c>
      <c r="E2024">
        <f>AutoClaim_Data!B2024</f>
        <v/>
      </c>
      <c r="F2024">
        <f>AutoClaim_Data!C2024</f>
        <v/>
      </c>
      <c r="G2024">
        <f>IF(AutoClaim_Data!D2024&lt;=$B$2,AVERAGEIFS(AutoClaim_Data!C2:C3168,AutoClaim_Data!B2:B3168,"Train",AutoClaim_Data!D2:D3168,"&lt;="&amp;$B$2),AVERAGEIFS(AutoClaim_Data!C2:C3168,AutoClaim_Data!B2:B3168,"Train",AutoClaim_Data!D2:D3168,"&gt;"&amp;$B$2))</f>
        <v/>
      </c>
      <c r="H2024">
        <f>IF(AutoClaim_Data!D2024&lt;=$B$2,IF(AutoClaim_Data!E2024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4">
        <f>(F2024-H2024)^2</f>
        <v/>
      </c>
      <c r="J2024">
        <f>--(E2024="Validation")</f>
        <v/>
      </c>
    </row>
    <row r="2025">
      <c r="D2025">
        <f>AutoClaim_Data!A2025</f>
        <v/>
      </c>
      <c r="E2025">
        <f>AutoClaim_Data!B2025</f>
        <v/>
      </c>
      <c r="F2025">
        <f>AutoClaim_Data!C2025</f>
        <v/>
      </c>
      <c r="G2025">
        <f>IF(AutoClaim_Data!D2025&lt;=$B$2,AVERAGEIFS(AutoClaim_Data!C2:C3168,AutoClaim_Data!B2:B3168,"Train",AutoClaim_Data!D2:D3168,"&lt;="&amp;$B$2),AVERAGEIFS(AutoClaim_Data!C2:C3168,AutoClaim_Data!B2:B3168,"Train",AutoClaim_Data!D2:D3168,"&gt;"&amp;$B$2))</f>
        <v/>
      </c>
      <c r="H2025">
        <f>IF(AutoClaim_Data!D2025&lt;=$B$2,IF(AutoClaim_Data!E2025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5">
        <f>(F2025-H2025)^2</f>
        <v/>
      </c>
      <c r="J2025">
        <f>--(E2025="Validation")</f>
        <v/>
      </c>
    </row>
    <row r="2026">
      <c r="D2026">
        <f>AutoClaim_Data!A2026</f>
        <v/>
      </c>
      <c r="E2026">
        <f>AutoClaim_Data!B2026</f>
        <v/>
      </c>
      <c r="F2026">
        <f>AutoClaim_Data!C2026</f>
        <v/>
      </c>
      <c r="G2026">
        <f>IF(AutoClaim_Data!D2026&lt;=$B$2,AVERAGEIFS(AutoClaim_Data!C2:C3168,AutoClaim_Data!B2:B3168,"Train",AutoClaim_Data!D2:D3168,"&lt;="&amp;$B$2),AVERAGEIFS(AutoClaim_Data!C2:C3168,AutoClaim_Data!B2:B3168,"Train",AutoClaim_Data!D2:D3168,"&gt;"&amp;$B$2))</f>
        <v/>
      </c>
      <c r="H2026">
        <f>IF(AutoClaim_Data!D2026&lt;=$B$2,IF(AutoClaim_Data!E2026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6">
        <f>(F2026-H2026)^2</f>
        <v/>
      </c>
      <c r="J2026">
        <f>--(E2026="Validation")</f>
        <v/>
      </c>
    </row>
    <row r="2027">
      <c r="D2027">
        <f>AutoClaim_Data!A2027</f>
        <v/>
      </c>
      <c r="E2027">
        <f>AutoClaim_Data!B2027</f>
        <v/>
      </c>
      <c r="F2027">
        <f>AutoClaim_Data!C2027</f>
        <v/>
      </c>
      <c r="G2027">
        <f>IF(AutoClaim_Data!D2027&lt;=$B$2,AVERAGEIFS(AutoClaim_Data!C2:C3168,AutoClaim_Data!B2:B3168,"Train",AutoClaim_Data!D2:D3168,"&lt;="&amp;$B$2),AVERAGEIFS(AutoClaim_Data!C2:C3168,AutoClaim_Data!B2:B3168,"Train",AutoClaim_Data!D2:D3168,"&gt;"&amp;$B$2))</f>
        <v/>
      </c>
      <c r="H2027">
        <f>IF(AutoClaim_Data!D2027&lt;=$B$2,IF(AutoClaim_Data!E2027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7">
        <f>(F2027-H2027)^2</f>
        <v/>
      </c>
      <c r="J2027">
        <f>--(E2027="Validation")</f>
        <v/>
      </c>
    </row>
    <row r="2028">
      <c r="D2028">
        <f>AutoClaim_Data!A2028</f>
        <v/>
      </c>
      <c r="E2028">
        <f>AutoClaim_Data!B2028</f>
        <v/>
      </c>
      <c r="F2028">
        <f>AutoClaim_Data!C2028</f>
        <v/>
      </c>
      <c r="G2028">
        <f>IF(AutoClaim_Data!D2028&lt;=$B$2,AVERAGEIFS(AutoClaim_Data!C2:C3168,AutoClaim_Data!B2:B3168,"Train",AutoClaim_Data!D2:D3168,"&lt;="&amp;$B$2),AVERAGEIFS(AutoClaim_Data!C2:C3168,AutoClaim_Data!B2:B3168,"Train",AutoClaim_Data!D2:D3168,"&gt;"&amp;$B$2))</f>
        <v/>
      </c>
      <c r="H2028">
        <f>IF(AutoClaim_Data!D2028&lt;=$B$2,IF(AutoClaim_Data!E2028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8">
        <f>(F2028-H2028)^2</f>
        <v/>
      </c>
      <c r="J2028">
        <f>--(E2028="Validation")</f>
        <v/>
      </c>
    </row>
    <row r="2029">
      <c r="D2029">
        <f>AutoClaim_Data!A2029</f>
        <v/>
      </c>
      <c r="E2029">
        <f>AutoClaim_Data!B2029</f>
        <v/>
      </c>
      <c r="F2029">
        <f>AutoClaim_Data!C2029</f>
        <v/>
      </c>
      <c r="G2029">
        <f>IF(AutoClaim_Data!D2029&lt;=$B$2,AVERAGEIFS(AutoClaim_Data!C2:C3168,AutoClaim_Data!B2:B3168,"Train",AutoClaim_Data!D2:D3168,"&lt;="&amp;$B$2),AVERAGEIFS(AutoClaim_Data!C2:C3168,AutoClaim_Data!B2:B3168,"Train",AutoClaim_Data!D2:D3168,"&gt;"&amp;$B$2))</f>
        <v/>
      </c>
      <c r="H2029">
        <f>IF(AutoClaim_Data!D2029&lt;=$B$2,IF(AutoClaim_Data!E2029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29">
        <f>(F2029-H2029)^2</f>
        <v/>
      </c>
      <c r="J2029">
        <f>--(E2029="Validation")</f>
        <v/>
      </c>
    </row>
    <row r="2030">
      <c r="D2030">
        <f>AutoClaim_Data!A2030</f>
        <v/>
      </c>
      <c r="E2030">
        <f>AutoClaim_Data!B2030</f>
        <v/>
      </c>
      <c r="F2030">
        <f>AutoClaim_Data!C2030</f>
        <v/>
      </c>
      <c r="G2030">
        <f>IF(AutoClaim_Data!D2030&lt;=$B$2,AVERAGEIFS(AutoClaim_Data!C2:C3168,AutoClaim_Data!B2:B3168,"Train",AutoClaim_Data!D2:D3168,"&lt;="&amp;$B$2),AVERAGEIFS(AutoClaim_Data!C2:C3168,AutoClaim_Data!B2:B3168,"Train",AutoClaim_Data!D2:D3168,"&gt;"&amp;$B$2))</f>
        <v/>
      </c>
      <c r="H2030">
        <f>IF(AutoClaim_Data!D2030&lt;=$B$2,IF(AutoClaim_Data!E2030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0">
        <f>(F2030-H2030)^2</f>
        <v/>
      </c>
      <c r="J2030">
        <f>--(E2030="Validation")</f>
        <v/>
      </c>
    </row>
    <row r="2031">
      <c r="D2031">
        <f>AutoClaim_Data!A2031</f>
        <v/>
      </c>
      <c r="E2031">
        <f>AutoClaim_Data!B2031</f>
        <v/>
      </c>
      <c r="F2031">
        <f>AutoClaim_Data!C2031</f>
        <v/>
      </c>
      <c r="G2031">
        <f>IF(AutoClaim_Data!D2031&lt;=$B$2,AVERAGEIFS(AutoClaim_Data!C2:C3168,AutoClaim_Data!B2:B3168,"Train",AutoClaim_Data!D2:D3168,"&lt;="&amp;$B$2),AVERAGEIFS(AutoClaim_Data!C2:C3168,AutoClaim_Data!B2:B3168,"Train",AutoClaim_Data!D2:D3168,"&gt;"&amp;$B$2))</f>
        <v/>
      </c>
      <c r="H2031">
        <f>IF(AutoClaim_Data!D2031&lt;=$B$2,IF(AutoClaim_Data!E2031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1">
        <f>(F2031-H2031)^2</f>
        <v/>
      </c>
      <c r="J2031">
        <f>--(E2031="Validation")</f>
        <v/>
      </c>
    </row>
    <row r="2032">
      <c r="D2032">
        <f>AutoClaim_Data!A2032</f>
        <v/>
      </c>
      <c r="E2032">
        <f>AutoClaim_Data!B2032</f>
        <v/>
      </c>
      <c r="F2032">
        <f>AutoClaim_Data!C2032</f>
        <v/>
      </c>
      <c r="G2032">
        <f>IF(AutoClaim_Data!D2032&lt;=$B$2,AVERAGEIFS(AutoClaim_Data!C2:C3168,AutoClaim_Data!B2:B3168,"Train",AutoClaim_Data!D2:D3168,"&lt;="&amp;$B$2),AVERAGEIFS(AutoClaim_Data!C2:C3168,AutoClaim_Data!B2:B3168,"Train",AutoClaim_Data!D2:D3168,"&gt;"&amp;$B$2))</f>
        <v/>
      </c>
      <c r="H2032">
        <f>IF(AutoClaim_Data!D2032&lt;=$B$2,IF(AutoClaim_Data!E2032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2">
        <f>(F2032-H2032)^2</f>
        <v/>
      </c>
      <c r="J2032">
        <f>--(E2032="Validation")</f>
        <v/>
      </c>
    </row>
    <row r="2033">
      <c r="D2033">
        <f>AutoClaim_Data!A2033</f>
        <v/>
      </c>
      <c r="E2033">
        <f>AutoClaim_Data!B2033</f>
        <v/>
      </c>
      <c r="F2033">
        <f>AutoClaim_Data!C2033</f>
        <v/>
      </c>
      <c r="G2033">
        <f>IF(AutoClaim_Data!D2033&lt;=$B$2,AVERAGEIFS(AutoClaim_Data!C2:C3168,AutoClaim_Data!B2:B3168,"Train",AutoClaim_Data!D2:D3168,"&lt;="&amp;$B$2),AVERAGEIFS(AutoClaim_Data!C2:C3168,AutoClaim_Data!B2:B3168,"Train",AutoClaim_Data!D2:D3168,"&gt;"&amp;$B$2))</f>
        <v/>
      </c>
      <c r="H2033">
        <f>IF(AutoClaim_Data!D2033&lt;=$B$2,IF(AutoClaim_Data!E2033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3">
        <f>(F2033-H2033)^2</f>
        <v/>
      </c>
      <c r="J2033">
        <f>--(E2033="Validation")</f>
        <v/>
      </c>
    </row>
    <row r="2034">
      <c r="D2034">
        <f>AutoClaim_Data!A2034</f>
        <v/>
      </c>
      <c r="E2034">
        <f>AutoClaim_Data!B2034</f>
        <v/>
      </c>
      <c r="F2034">
        <f>AutoClaim_Data!C2034</f>
        <v/>
      </c>
      <c r="G2034">
        <f>IF(AutoClaim_Data!D2034&lt;=$B$2,AVERAGEIFS(AutoClaim_Data!C2:C3168,AutoClaim_Data!B2:B3168,"Train",AutoClaim_Data!D2:D3168,"&lt;="&amp;$B$2),AVERAGEIFS(AutoClaim_Data!C2:C3168,AutoClaim_Data!B2:B3168,"Train",AutoClaim_Data!D2:D3168,"&gt;"&amp;$B$2))</f>
        <v/>
      </c>
      <c r="H2034">
        <f>IF(AutoClaim_Data!D2034&lt;=$B$2,IF(AutoClaim_Data!E2034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4">
        <f>(F2034-H2034)^2</f>
        <v/>
      </c>
      <c r="J2034">
        <f>--(E2034="Validation")</f>
        <v/>
      </c>
    </row>
    <row r="2035">
      <c r="D2035">
        <f>AutoClaim_Data!A2035</f>
        <v/>
      </c>
      <c r="E2035">
        <f>AutoClaim_Data!B2035</f>
        <v/>
      </c>
      <c r="F2035">
        <f>AutoClaim_Data!C2035</f>
        <v/>
      </c>
      <c r="G2035">
        <f>IF(AutoClaim_Data!D2035&lt;=$B$2,AVERAGEIFS(AutoClaim_Data!C2:C3168,AutoClaim_Data!B2:B3168,"Train",AutoClaim_Data!D2:D3168,"&lt;="&amp;$B$2),AVERAGEIFS(AutoClaim_Data!C2:C3168,AutoClaim_Data!B2:B3168,"Train",AutoClaim_Data!D2:D3168,"&gt;"&amp;$B$2))</f>
        <v/>
      </c>
      <c r="H2035">
        <f>IF(AutoClaim_Data!D2035&lt;=$B$2,IF(AutoClaim_Data!E2035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5">
        <f>(F2035-H2035)^2</f>
        <v/>
      </c>
      <c r="J2035">
        <f>--(E2035="Validation")</f>
        <v/>
      </c>
    </row>
    <row r="2036">
      <c r="D2036">
        <f>AutoClaim_Data!A2036</f>
        <v/>
      </c>
      <c r="E2036">
        <f>AutoClaim_Data!B2036</f>
        <v/>
      </c>
      <c r="F2036">
        <f>AutoClaim_Data!C2036</f>
        <v/>
      </c>
      <c r="G2036">
        <f>IF(AutoClaim_Data!D2036&lt;=$B$2,AVERAGEIFS(AutoClaim_Data!C2:C3168,AutoClaim_Data!B2:B3168,"Train",AutoClaim_Data!D2:D3168,"&lt;="&amp;$B$2),AVERAGEIFS(AutoClaim_Data!C2:C3168,AutoClaim_Data!B2:B3168,"Train",AutoClaim_Data!D2:D3168,"&gt;"&amp;$B$2))</f>
        <v/>
      </c>
      <c r="H2036">
        <f>IF(AutoClaim_Data!D2036&lt;=$B$2,IF(AutoClaim_Data!E2036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6">
        <f>(F2036-H2036)^2</f>
        <v/>
      </c>
      <c r="J2036">
        <f>--(E2036="Validation")</f>
        <v/>
      </c>
    </row>
    <row r="2037">
      <c r="D2037">
        <f>AutoClaim_Data!A2037</f>
        <v/>
      </c>
      <c r="E2037">
        <f>AutoClaim_Data!B2037</f>
        <v/>
      </c>
      <c r="F2037">
        <f>AutoClaim_Data!C2037</f>
        <v/>
      </c>
      <c r="G2037">
        <f>IF(AutoClaim_Data!D2037&lt;=$B$2,AVERAGEIFS(AutoClaim_Data!C2:C3168,AutoClaim_Data!B2:B3168,"Train",AutoClaim_Data!D2:D3168,"&lt;="&amp;$B$2),AVERAGEIFS(AutoClaim_Data!C2:C3168,AutoClaim_Data!B2:B3168,"Train",AutoClaim_Data!D2:D3168,"&gt;"&amp;$B$2))</f>
        <v/>
      </c>
      <c r="H2037">
        <f>IF(AutoClaim_Data!D2037&lt;=$B$2,IF(AutoClaim_Data!E2037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7">
        <f>(F2037-H2037)^2</f>
        <v/>
      </c>
      <c r="J2037">
        <f>--(E2037="Validation")</f>
        <v/>
      </c>
    </row>
    <row r="2038">
      <c r="D2038">
        <f>AutoClaim_Data!A2038</f>
        <v/>
      </c>
      <c r="E2038">
        <f>AutoClaim_Data!B2038</f>
        <v/>
      </c>
      <c r="F2038">
        <f>AutoClaim_Data!C2038</f>
        <v/>
      </c>
      <c r="G2038">
        <f>IF(AutoClaim_Data!D2038&lt;=$B$2,AVERAGEIFS(AutoClaim_Data!C2:C3168,AutoClaim_Data!B2:B3168,"Train",AutoClaim_Data!D2:D3168,"&lt;="&amp;$B$2),AVERAGEIFS(AutoClaim_Data!C2:C3168,AutoClaim_Data!B2:B3168,"Train",AutoClaim_Data!D2:D3168,"&gt;"&amp;$B$2))</f>
        <v/>
      </c>
      <c r="H2038">
        <f>IF(AutoClaim_Data!D2038&lt;=$B$2,IF(AutoClaim_Data!E2038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8">
        <f>(F2038-H2038)^2</f>
        <v/>
      </c>
      <c r="J2038">
        <f>--(E2038="Validation")</f>
        <v/>
      </c>
    </row>
    <row r="2039">
      <c r="D2039">
        <f>AutoClaim_Data!A2039</f>
        <v/>
      </c>
      <c r="E2039">
        <f>AutoClaim_Data!B2039</f>
        <v/>
      </c>
      <c r="F2039">
        <f>AutoClaim_Data!C2039</f>
        <v/>
      </c>
      <c r="G2039">
        <f>IF(AutoClaim_Data!D2039&lt;=$B$2,AVERAGEIFS(AutoClaim_Data!C2:C3168,AutoClaim_Data!B2:B3168,"Train",AutoClaim_Data!D2:D3168,"&lt;="&amp;$B$2),AVERAGEIFS(AutoClaim_Data!C2:C3168,AutoClaim_Data!B2:B3168,"Train",AutoClaim_Data!D2:D3168,"&gt;"&amp;$B$2))</f>
        <v/>
      </c>
      <c r="H2039">
        <f>IF(AutoClaim_Data!D2039&lt;=$B$2,IF(AutoClaim_Data!E2039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39">
        <f>(F2039-H2039)^2</f>
        <v/>
      </c>
      <c r="J2039">
        <f>--(E2039="Validation")</f>
        <v/>
      </c>
    </row>
    <row r="2040">
      <c r="D2040">
        <f>AutoClaim_Data!A2040</f>
        <v/>
      </c>
      <c r="E2040">
        <f>AutoClaim_Data!B2040</f>
        <v/>
      </c>
      <c r="F2040">
        <f>AutoClaim_Data!C2040</f>
        <v/>
      </c>
      <c r="G2040">
        <f>IF(AutoClaim_Data!D2040&lt;=$B$2,AVERAGEIFS(AutoClaim_Data!C2:C3168,AutoClaim_Data!B2:B3168,"Train",AutoClaim_Data!D2:D3168,"&lt;="&amp;$B$2),AVERAGEIFS(AutoClaim_Data!C2:C3168,AutoClaim_Data!B2:B3168,"Train",AutoClaim_Data!D2:D3168,"&gt;"&amp;$B$2))</f>
        <v/>
      </c>
      <c r="H2040">
        <f>IF(AutoClaim_Data!D2040&lt;=$B$2,IF(AutoClaim_Data!E2040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0">
        <f>(F2040-H2040)^2</f>
        <v/>
      </c>
      <c r="J2040">
        <f>--(E2040="Validation")</f>
        <v/>
      </c>
    </row>
    <row r="2041">
      <c r="D2041">
        <f>AutoClaim_Data!A2041</f>
        <v/>
      </c>
      <c r="E2041">
        <f>AutoClaim_Data!B2041</f>
        <v/>
      </c>
      <c r="F2041">
        <f>AutoClaim_Data!C2041</f>
        <v/>
      </c>
      <c r="G2041">
        <f>IF(AutoClaim_Data!D2041&lt;=$B$2,AVERAGEIFS(AutoClaim_Data!C2:C3168,AutoClaim_Data!B2:B3168,"Train",AutoClaim_Data!D2:D3168,"&lt;="&amp;$B$2),AVERAGEIFS(AutoClaim_Data!C2:C3168,AutoClaim_Data!B2:B3168,"Train",AutoClaim_Data!D2:D3168,"&gt;"&amp;$B$2))</f>
        <v/>
      </c>
      <c r="H2041">
        <f>IF(AutoClaim_Data!D2041&lt;=$B$2,IF(AutoClaim_Data!E2041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1">
        <f>(F2041-H2041)^2</f>
        <v/>
      </c>
      <c r="J2041">
        <f>--(E2041="Validation")</f>
        <v/>
      </c>
    </row>
    <row r="2042">
      <c r="D2042">
        <f>AutoClaim_Data!A2042</f>
        <v/>
      </c>
      <c r="E2042">
        <f>AutoClaim_Data!B2042</f>
        <v/>
      </c>
      <c r="F2042">
        <f>AutoClaim_Data!C2042</f>
        <v/>
      </c>
      <c r="G2042">
        <f>IF(AutoClaim_Data!D2042&lt;=$B$2,AVERAGEIFS(AutoClaim_Data!C2:C3168,AutoClaim_Data!B2:B3168,"Train",AutoClaim_Data!D2:D3168,"&lt;="&amp;$B$2),AVERAGEIFS(AutoClaim_Data!C2:C3168,AutoClaim_Data!B2:B3168,"Train",AutoClaim_Data!D2:D3168,"&gt;"&amp;$B$2))</f>
        <v/>
      </c>
      <c r="H2042">
        <f>IF(AutoClaim_Data!D2042&lt;=$B$2,IF(AutoClaim_Data!E2042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2">
        <f>(F2042-H2042)^2</f>
        <v/>
      </c>
      <c r="J2042">
        <f>--(E2042="Validation")</f>
        <v/>
      </c>
    </row>
    <row r="2043">
      <c r="D2043">
        <f>AutoClaim_Data!A2043</f>
        <v/>
      </c>
      <c r="E2043">
        <f>AutoClaim_Data!B2043</f>
        <v/>
      </c>
      <c r="F2043">
        <f>AutoClaim_Data!C2043</f>
        <v/>
      </c>
      <c r="G2043">
        <f>IF(AutoClaim_Data!D2043&lt;=$B$2,AVERAGEIFS(AutoClaim_Data!C2:C3168,AutoClaim_Data!B2:B3168,"Train",AutoClaim_Data!D2:D3168,"&lt;="&amp;$B$2),AVERAGEIFS(AutoClaim_Data!C2:C3168,AutoClaim_Data!B2:B3168,"Train",AutoClaim_Data!D2:D3168,"&gt;"&amp;$B$2))</f>
        <v/>
      </c>
      <c r="H2043">
        <f>IF(AutoClaim_Data!D2043&lt;=$B$2,IF(AutoClaim_Data!E2043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3">
        <f>(F2043-H2043)^2</f>
        <v/>
      </c>
      <c r="J2043">
        <f>--(E2043="Validation")</f>
        <v/>
      </c>
    </row>
    <row r="2044">
      <c r="D2044">
        <f>AutoClaim_Data!A2044</f>
        <v/>
      </c>
      <c r="E2044">
        <f>AutoClaim_Data!B2044</f>
        <v/>
      </c>
      <c r="F2044">
        <f>AutoClaim_Data!C2044</f>
        <v/>
      </c>
      <c r="G2044">
        <f>IF(AutoClaim_Data!D2044&lt;=$B$2,AVERAGEIFS(AutoClaim_Data!C2:C3168,AutoClaim_Data!B2:B3168,"Train",AutoClaim_Data!D2:D3168,"&lt;="&amp;$B$2),AVERAGEIFS(AutoClaim_Data!C2:C3168,AutoClaim_Data!B2:B3168,"Train",AutoClaim_Data!D2:D3168,"&gt;"&amp;$B$2))</f>
        <v/>
      </c>
      <c r="H2044">
        <f>IF(AutoClaim_Data!D2044&lt;=$B$2,IF(AutoClaim_Data!E2044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4">
        <f>(F2044-H2044)^2</f>
        <v/>
      </c>
      <c r="J2044">
        <f>--(E2044="Validation")</f>
        <v/>
      </c>
    </row>
    <row r="2045">
      <c r="D2045">
        <f>AutoClaim_Data!A2045</f>
        <v/>
      </c>
      <c r="E2045">
        <f>AutoClaim_Data!B2045</f>
        <v/>
      </c>
      <c r="F2045">
        <f>AutoClaim_Data!C2045</f>
        <v/>
      </c>
      <c r="G2045">
        <f>IF(AutoClaim_Data!D2045&lt;=$B$2,AVERAGEIFS(AutoClaim_Data!C2:C3168,AutoClaim_Data!B2:B3168,"Train",AutoClaim_Data!D2:D3168,"&lt;="&amp;$B$2),AVERAGEIFS(AutoClaim_Data!C2:C3168,AutoClaim_Data!B2:B3168,"Train",AutoClaim_Data!D2:D3168,"&gt;"&amp;$B$2))</f>
        <v/>
      </c>
      <c r="H2045">
        <f>IF(AutoClaim_Data!D2045&lt;=$B$2,IF(AutoClaim_Data!E2045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5">
        <f>(F2045-H2045)^2</f>
        <v/>
      </c>
      <c r="J2045">
        <f>--(E2045="Validation")</f>
        <v/>
      </c>
    </row>
    <row r="2046">
      <c r="D2046">
        <f>AutoClaim_Data!A2046</f>
        <v/>
      </c>
      <c r="E2046">
        <f>AutoClaim_Data!B2046</f>
        <v/>
      </c>
      <c r="F2046">
        <f>AutoClaim_Data!C2046</f>
        <v/>
      </c>
      <c r="G2046">
        <f>IF(AutoClaim_Data!D2046&lt;=$B$2,AVERAGEIFS(AutoClaim_Data!C2:C3168,AutoClaim_Data!B2:B3168,"Train",AutoClaim_Data!D2:D3168,"&lt;="&amp;$B$2),AVERAGEIFS(AutoClaim_Data!C2:C3168,AutoClaim_Data!B2:B3168,"Train",AutoClaim_Data!D2:D3168,"&gt;"&amp;$B$2))</f>
        <v/>
      </c>
      <c r="H2046">
        <f>IF(AutoClaim_Data!D2046&lt;=$B$2,IF(AutoClaim_Data!E2046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6">
        <f>(F2046-H2046)^2</f>
        <v/>
      </c>
      <c r="J2046">
        <f>--(E2046="Validation")</f>
        <v/>
      </c>
    </row>
    <row r="2047">
      <c r="D2047">
        <f>AutoClaim_Data!A2047</f>
        <v/>
      </c>
      <c r="E2047">
        <f>AutoClaim_Data!B2047</f>
        <v/>
      </c>
      <c r="F2047">
        <f>AutoClaim_Data!C2047</f>
        <v/>
      </c>
      <c r="G2047">
        <f>IF(AutoClaim_Data!D2047&lt;=$B$2,AVERAGEIFS(AutoClaim_Data!C2:C3168,AutoClaim_Data!B2:B3168,"Train",AutoClaim_Data!D2:D3168,"&lt;="&amp;$B$2),AVERAGEIFS(AutoClaim_Data!C2:C3168,AutoClaim_Data!B2:B3168,"Train",AutoClaim_Data!D2:D3168,"&gt;"&amp;$B$2))</f>
        <v/>
      </c>
      <c r="H2047">
        <f>IF(AutoClaim_Data!D2047&lt;=$B$2,IF(AutoClaim_Data!E2047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7">
        <f>(F2047-H2047)^2</f>
        <v/>
      </c>
      <c r="J2047">
        <f>--(E2047="Validation")</f>
        <v/>
      </c>
    </row>
    <row r="2048">
      <c r="D2048">
        <f>AutoClaim_Data!A2048</f>
        <v/>
      </c>
      <c r="E2048">
        <f>AutoClaim_Data!B2048</f>
        <v/>
      </c>
      <c r="F2048">
        <f>AutoClaim_Data!C2048</f>
        <v/>
      </c>
      <c r="G2048">
        <f>IF(AutoClaim_Data!D2048&lt;=$B$2,AVERAGEIFS(AutoClaim_Data!C2:C3168,AutoClaim_Data!B2:B3168,"Train",AutoClaim_Data!D2:D3168,"&lt;="&amp;$B$2),AVERAGEIFS(AutoClaim_Data!C2:C3168,AutoClaim_Data!B2:B3168,"Train",AutoClaim_Data!D2:D3168,"&gt;"&amp;$B$2))</f>
        <v/>
      </c>
      <c r="H2048">
        <f>IF(AutoClaim_Data!D2048&lt;=$B$2,IF(AutoClaim_Data!E2048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8">
        <f>(F2048-H2048)^2</f>
        <v/>
      </c>
      <c r="J2048">
        <f>--(E2048="Validation")</f>
        <v/>
      </c>
    </row>
    <row r="2049">
      <c r="D2049">
        <f>AutoClaim_Data!A2049</f>
        <v/>
      </c>
      <c r="E2049">
        <f>AutoClaim_Data!B2049</f>
        <v/>
      </c>
      <c r="F2049">
        <f>AutoClaim_Data!C2049</f>
        <v/>
      </c>
      <c r="G2049">
        <f>IF(AutoClaim_Data!D2049&lt;=$B$2,AVERAGEIFS(AutoClaim_Data!C2:C3168,AutoClaim_Data!B2:B3168,"Train",AutoClaim_Data!D2:D3168,"&lt;="&amp;$B$2),AVERAGEIFS(AutoClaim_Data!C2:C3168,AutoClaim_Data!B2:B3168,"Train",AutoClaim_Data!D2:D3168,"&gt;"&amp;$B$2))</f>
        <v/>
      </c>
      <c r="H2049">
        <f>IF(AutoClaim_Data!D2049&lt;=$B$2,IF(AutoClaim_Data!E2049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49">
        <f>(F2049-H2049)^2</f>
        <v/>
      </c>
      <c r="J2049">
        <f>--(E2049="Validation")</f>
        <v/>
      </c>
    </row>
    <row r="2050">
      <c r="D2050">
        <f>AutoClaim_Data!A2050</f>
        <v/>
      </c>
      <c r="E2050">
        <f>AutoClaim_Data!B2050</f>
        <v/>
      </c>
      <c r="F2050">
        <f>AutoClaim_Data!C2050</f>
        <v/>
      </c>
      <c r="G2050">
        <f>IF(AutoClaim_Data!D2050&lt;=$B$2,AVERAGEIFS(AutoClaim_Data!C2:C3168,AutoClaim_Data!B2:B3168,"Train",AutoClaim_Data!D2:D3168,"&lt;="&amp;$B$2),AVERAGEIFS(AutoClaim_Data!C2:C3168,AutoClaim_Data!B2:B3168,"Train",AutoClaim_Data!D2:D3168,"&gt;"&amp;$B$2))</f>
        <v/>
      </c>
      <c r="H2050">
        <f>IF(AutoClaim_Data!D2050&lt;=$B$2,IF(AutoClaim_Data!E2050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0">
        <f>(F2050-H2050)^2</f>
        <v/>
      </c>
      <c r="J2050">
        <f>--(E2050="Validation")</f>
        <v/>
      </c>
    </row>
    <row r="2051">
      <c r="D2051">
        <f>AutoClaim_Data!A2051</f>
        <v/>
      </c>
      <c r="E2051">
        <f>AutoClaim_Data!B2051</f>
        <v/>
      </c>
      <c r="F2051">
        <f>AutoClaim_Data!C2051</f>
        <v/>
      </c>
      <c r="G2051">
        <f>IF(AutoClaim_Data!D2051&lt;=$B$2,AVERAGEIFS(AutoClaim_Data!C2:C3168,AutoClaim_Data!B2:B3168,"Train",AutoClaim_Data!D2:D3168,"&lt;="&amp;$B$2),AVERAGEIFS(AutoClaim_Data!C2:C3168,AutoClaim_Data!B2:B3168,"Train",AutoClaim_Data!D2:D3168,"&gt;"&amp;$B$2))</f>
        <v/>
      </c>
      <c r="H2051">
        <f>IF(AutoClaim_Data!D2051&lt;=$B$2,IF(AutoClaim_Data!E2051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1">
        <f>(F2051-H2051)^2</f>
        <v/>
      </c>
      <c r="J2051">
        <f>--(E2051="Validation")</f>
        <v/>
      </c>
    </row>
    <row r="2052">
      <c r="D2052">
        <f>AutoClaim_Data!A2052</f>
        <v/>
      </c>
      <c r="E2052">
        <f>AutoClaim_Data!B2052</f>
        <v/>
      </c>
      <c r="F2052">
        <f>AutoClaim_Data!C2052</f>
        <v/>
      </c>
      <c r="G2052">
        <f>IF(AutoClaim_Data!D2052&lt;=$B$2,AVERAGEIFS(AutoClaim_Data!C2:C3168,AutoClaim_Data!B2:B3168,"Train",AutoClaim_Data!D2:D3168,"&lt;="&amp;$B$2),AVERAGEIFS(AutoClaim_Data!C2:C3168,AutoClaim_Data!B2:B3168,"Train",AutoClaim_Data!D2:D3168,"&gt;"&amp;$B$2))</f>
        <v/>
      </c>
      <c r="H2052">
        <f>IF(AutoClaim_Data!D2052&lt;=$B$2,IF(AutoClaim_Data!E2052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2">
        <f>(F2052-H2052)^2</f>
        <v/>
      </c>
      <c r="J2052">
        <f>--(E2052="Validation")</f>
        <v/>
      </c>
    </row>
    <row r="2053">
      <c r="D2053">
        <f>AutoClaim_Data!A2053</f>
        <v/>
      </c>
      <c r="E2053">
        <f>AutoClaim_Data!B2053</f>
        <v/>
      </c>
      <c r="F2053">
        <f>AutoClaim_Data!C2053</f>
        <v/>
      </c>
      <c r="G2053">
        <f>IF(AutoClaim_Data!D2053&lt;=$B$2,AVERAGEIFS(AutoClaim_Data!C2:C3168,AutoClaim_Data!B2:B3168,"Train",AutoClaim_Data!D2:D3168,"&lt;="&amp;$B$2),AVERAGEIFS(AutoClaim_Data!C2:C3168,AutoClaim_Data!B2:B3168,"Train",AutoClaim_Data!D2:D3168,"&gt;"&amp;$B$2))</f>
        <v/>
      </c>
      <c r="H2053">
        <f>IF(AutoClaim_Data!D2053&lt;=$B$2,IF(AutoClaim_Data!E2053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3">
        <f>(F2053-H2053)^2</f>
        <v/>
      </c>
      <c r="J2053">
        <f>--(E2053="Validation")</f>
        <v/>
      </c>
    </row>
    <row r="2054">
      <c r="D2054">
        <f>AutoClaim_Data!A2054</f>
        <v/>
      </c>
      <c r="E2054">
        <f>AutoClaim_Data!B2054</f>
        <v/>
      </c>
      <c r="F2054">
        <f>AutoClaim_Data!C2054</f>
        <v/>
      </c>
      <c r="G2054">
        <f>IF(AutoClaim_Data!D2054&lt;=$B$2,AVERAGEIFS(AutoClaim_Data!C2:C3168,AutoClaim_Data!B2:B3168,"Train",AutoClaim_Data!D2:D3168,"&lt;="&amp;$B$2),AVERAGEIFS(AutoClaim_Data!C2:C3168,AutoClaim_Data!B2:B3168,"Train",AutoClaim_Data!D2:D3168,"&gt;"&amp;$B$2))</f>
        <v/>
      </c>
      <c r="H2054">
        <f>IF(AutoClaim_Data!D2054&lt;=$B$2,IF(AutoClaim_Data!E2054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4">
        <f>(F2054-H2054)^2</f>
        <v/>
      </c>
      <c r="J2054">
        <f>--(E2054="Validation")</f>
        <v/>
      </c>
    </row>
    <row r="2055">
      <c r="D2055">
        <f>AutoClaim_Data!A2055</f>
        <v/>
      </c>
      <c r="E2055">
        <f>AutoClaim_Data!B2055</f>
        <v/>
      </c>
      <c r="F2055">
        <f>AutoClaim_Data!C2055</f>
        <v/>
      </c>
      <c r="G2055">
        <f>IF(AutoClaim_Data!D2055&lt;=$B$2,AVERAGEIFS(AutoClaim_Data!C2:C3168,AutoClaim_Data!B2:B3168,"Train",AutoClaim_Data!D2:D3168,"&lt;="&amp;$B$2),AVERAGEIFS(AutoClaim_Data!C2:C3168,AutoClaim_Data!B2:B3168,"Train",AutoClaim_Data!D2:D3168,"&gt;"&amp;$B$2))</f>
        <v/>
      </c>
      <c r="H2055">
        <f>IF(AutoClaim_Data!D2055&lt;=$B$2,IF(AutoClaim_Data!E2055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5">
        <f>(F2055-H2055)^2</f>
        <v/>
      </c>
      <c r="J2055">
        <f>--(E2055="Validation")</f>
        <v/>
      </c>
    </row>
    <row r="2056">
      <c r="D2056">
        <f>AutoClaim_Data!A2056</f>
        <v/>
      </c>
      <c r="E2056">
        <f>AutoClaim_Data!B2056</f>
        <v/>
      </c>
      <c r="F2056">
        <f>AutoClaim_Data!C2056</f>
        <v/>
      </c>
      <c r="G2056">
        <f>IF(AutoClaim_Data!D2056&lt;=$B$2,AVERAGEIFS(AutoClaim_Data!C2:C3168,AutoClaim_Data!B2:B3168,"Train",AutoClaim_Data!D2:D3168,"&lt;="&amp;$B$2),AVERAGEIFS(AutoClaim_Data!C2:C3168,AutoClaim_Data!B2:B3168,"Train",AutoClaim_Data!D2:D3168,"&gt;"&amp;$B$2))</f>
        <v/>
      </c>
      <c r="H2056">
        <f>IF(AutoClaim_Data!D2056&lt;=$B$2,IF(AutoClaim_Data!E2056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6">
        <f>(F2056-H2056)^2</f>
        <v/>
      </c>
      <c r="J2056">
        <f>--(E2056="Validation")</f>
        <v/>
      </c>
    </row>
    <row r="2057">
      <c r="D2057">
        <f>AutoClaim_Data!A2057</f>
        <v/>
      </c>
      <c r="E2057">
        <f>AutoClaim_Data!B2057</f>
        <v/>
      </c>
      <c r="F2057">
        <f>AutoClaim_Data!C2057</f>
        <v/>
      </c>
      <c r="G2057">
        <f>IF(AutoClaim_Data!D2057&lt;=$B$2,AVERAGEIFS(AutoClaim_Data!C2:C3168,AutoClaim_Data!B2:B3168,"Train",AutoClaim_Data!D2:D3168,"&lt;="&amp;$B$2),AVERAGEIFS(AutoClaim_Data!C2:C3168,AutoClaim_Data!B2:B3168,"Train",AutoClaim_Data!D2:D3168,"&gt;"&amp;$B$2))</f>
        <v/>
      </c>
      <c r="H2057">
        <f>IF(AutoClaim_Data!D2057&lt;=$B$2,IF(AutoClaim_Data!E2057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7">
        <f>(F2057-H2057)^2</f>
        <v/>
      </c>
      <c r="J2057">
        <f>--(E2057="Validation")</f>
        <v/>
      </c>
    </row>
    <row r="2058">
      <c r="D2058">
        <f>AutoClaim_Data!A2058</f>
        <v/>
      </c>
      <c r="E2058">
        <f>AutoClaim_Data!B2058</f>
        <v/>
      </c>
      <c r="F2058">
        <f>AutoClaim_Data!C2058</f>
        <v/>
      </c>
      <c r="G2058">
        <f>IF(AutoClaim_Data!D2058&lt;=$B$2,AVERAGEIFS(AutoClaim_Data!C2:C3168,AutoClaim_Data!B2:B3168,"Train",AutoClaim_Data!D2:D3168,"&lt;="&amp;$B$2),AVERAGEIFS(AutoClaim_Data!C2:C3168,AutoClaim_Data!B2:B3168,"Train",AutoClaim_Data!D2:D3168,"&gt;"&amp;$B$2))</f>
        <v/>
      </c>
      <c r="H2058">
        <f>IF(AutoClaim_Data!D2058&lt;=$B$2,IF(AutoClaim_Data!E2058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8">
        <f>(F2058-H2058)^2</f>
        <v/>
      </c>
      <c r="J2058">
        <f>--(E2058="Validation")</f>
        <v/>
      </c>
    </row>
    <row r="2059">
      <c r="D2059">
        <f>AutoClaim_Data!A2059</f>
        <v/>
      </c>
      <c r="E2059">
        <f>AutoClaim_Data!B2059</f>
        <v/>
      </c>
      <c r="F2059">
        <f>AutoClaim_Data!C2059</f>
        <v/>
      </c>
      <c r="G2059">
        <f>IF(AutoClaim_Data!D2059&lt;=$B$2,AVERAGEIFS(AutoClaim_Data!C2:C3168,AutoClaim_Data!B2:B3168,"Train",AutoClaim_Data!D2:D3168,"&lt;="&amp;$B$2),AVERAGEIFS(AutoClaim_Data!C2:C3168,AutoClaim_Data!B2:B3168,"Train",AutoClaim_Data!D2:D3168,"&gt;"&amp;$B$2))</f>
        <v/>
      </c>
      <c r="H2059">
        <f>IF(AutoClaim_Data!D2059&lt;=$B$2,IF(AutoClaim_Data!E2059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59">
        <f>(F2059-H2059)^2</f>
        <v/>
      </c>
      <c r="J2059">
        <f>--(E2059="Validation")</f>
        <v/>
      </c>
    </row>
    <row r="2060">
      <c r="D2060">
        <f>AutoClaim_Data!A2060</f>
        <v/>
      </c>
      <c r="E2060">
        <f>AutoClaim_Data!B2060</f>
        <v/>
      </c>
      <c r="F2060">
        <f>AutoClaim_Data!C2060</f>
        <v/>
      </c>
      <c r="G2060">
        <f>IF(AutoClaim_Data!D2060&lt;=$B$2,AVERAGEIFS(AutoClaim_Data!C2:C3168,AutoClaim_Data!B2:B3168,"Train",AutoClaim_Data!D2:D3168,"&lt;="&amp;$B$2),AVERAGEIFS(AutoClaim_Data!C2:C3168,AutoClaim_Data!B2:B3168,"Train",AutoClaim_Data!D2:D3168,"&gt;"&amp;$B$2))</f>
        <v/>
      </c>
      <c r="H2060">
        <f>IF(AutoClaim_Data!D2060&lt;=$B$2,IF(AutoClaim_Data!E2060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0">
        <f>(F2060-H2060)^2</f>
        <v/>
      </c>
      <c r="J2060">
        <f>--(E2060="Validation")</f>
        <v/>
      </c>
    </row>
    <row r="2061">
      <c r="D2061">
        <f>AutoClaim_Data!A2061</f>
        <v/>
      </c>
      <c r="E2061">
        <f>AutoClaim_Data!B2061</f>
        <v/>
      </c>
      <c r="F2061">
        <f>AutoClaim_Data!C2061</f>
        <v/>
      </c>
      <c r="G2061">
        <f>IF(AutoClaim_Data!D2061&lt;=$B$2,AVERAGEIFS(AutoClaim_Data!C2:C3168,AutoClaim_Data!B2:B3168,"Train",AutoClaim_Data!D2:D3168,"&lt;="&amp;$B$2),AVERAGEIFS(AutoClaim_Data!C2:C3168,AutoClaim_Data!B2:B3168,"Train",AutoClaim_Data!D2:D3168,"&gt;"&amp;$B$2))</f>
        <v/>
      </c>
      <c r="H2061">
        <f>IF(AutoClaim_Data!D2061&lt;=$B$2,IF(AutoClaim_Data!E2061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1">
        <f>(F2061-H2061)^2</f>
        <v/>
      </c>
      <c r="J2061">
        <f>--(E2061="Validation")</f>
        <v/>
      </c>
    </row>
    <row r="2062">
      <c r="D2062">
        <f>AutoClaim_Data!A2062</f>
        <v/>
      </c>
      <c r="E2062">
        <f>AutoClaim_Data!B2062</f>
        <v/>
      </c>
      <c r="F2062">
        <f>AutoClaim_Data!C2062</f>
        <v/>
      </c>
      <c r="G2062">
        <f>IF(AutoClaim_Data!D2062&lt;=$B$2,AVERAGEIFS(AutoClaim_Data!C2:C3168,AutoClaim_Data!B2:B3168,"Train",AutoClaim_Data!D2:D3168,"&lt;="&amp;$B$2),AVERAGEIFS(AutoClaim_Data!C2:C3168,AutoClaim_Data!B2:B3168,"Train",AutoClaim_Data!D2:D3168,"&gt;"&amp;$B$2))</f>
        <v/>
      </c>
      <c r="H2062">
        <f>IF(AutoClaim_Data!D2062&lt;=$B$2,IF(AutoClaim_Data!E2062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2">
        <f>(F2062-H2062)^2</f>
        <v/>
      </c>
      <c r="J2062">
        <f>--(E2062="Validation")</f>
        <v/>
      </c>
    </row>
    <row r="2063">
      <c r="D2063">
        <f>AutoClaim_Data!A2063</f>
        <v/>
      </c>
      <c r="E2063">
        <f>AutoClaim_Data!B2063</f>
        <v/>
      </c>
      <c r="F2063">
        <f>AutoClaim_Data!C2063</f>
        <v/>
      </c>
      <c r="G2063">
        <f>IF(AutoClaim_Data!D2063&lt;=$B$2,AVERAGEIFS(AutoClaim_Data!C2:C3168,AutoClaim_Data!B2:B3168,"Train",AutoClaim_Data!D2:D3168,"&lt;="&amp;$B$2),AVERAGEIFS(AutoClaim_Data!C2:C3168,AutoClaim_Data!B2:B3168,"Train",AutoClaim_Data!D2:D3168,"&gt;"&amp;$B$2))</f>
        <v/>
      </c>
      <c r="H2063">
        <f>IF(AutoClaim_Data!D2063&lt;=$B$2,IF(AutoClaim_Data!E2063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3">
        <f>(F2063-H2063)^2</f>
        <v/>
      </c>
      <c r="J2063">
        <f>--(E2063="Validation")</f>
        <v/>
      </c>
    </row>
    <row r="2064">
      <c r="D2064">
        <f>AutoClaim_Data!A2064</f>
        <v/>
      </c>
      <c r="E2064">
        <f>AutoClaim_Data!B2064</f>
        <v/>
      </c>
      <c r="F2064">
        <f>AutoClaim_Data!C2064</f>
        <v/>
      </c>
      <c r="G2064">
        <f>IF(AutoClaim_Data!D2064&lt;=$B$2,AVERAGEIFS(AutoClaim_Data!C2:C3168,AutoClaim_Data!B2:B3168,"Train",AutoClaim_Data!D2:D3168,"&lt;="&amp;$B$2),AVERAGEIFS(AutoClaim_Data!C2:C3168,AutoClaim_Data!B2:B3168,"Train",AutoClaim_Data!D2:D3168,"&gt;"&amp;$B$2))</f>
        <v/>
      </c>
      <c r="H2064">
        <f>IF(AutoClaim_Data!D2064&lt;=$B$2,IF(AutoClaim_Data!E2064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4">
        <f>(F2064-H2064)^2</f>
        <v/>
      </c>
      <c r="J2064">
        <f>--(E2064="Validation")</f>
        <v/>
      </c>
    </row>
    <row r="2065">
      <c r="D2065">
        <f>AutoClaim_Data!A2065</f>
        <v/>
      </c>
      <c r="E2065">
        <f>AutoClaim_Data!B2065</f>
        <v/>
      </c>
      <c r="F2065">
        <f>AutoClaim_Data!C2065</f>
        <v/>
      </c>
      <c r="G2065">
        <f>IF(AutoClaim_Data!D2065&lt;=$B$2,AVERAGEIFS(AutoClaim_Data!C2:C3168,AutoClaim_Data!B2:B3168,"Train",AutoClaim_Data!D2:D3168,"&lt;="&amp;$B$2),AVERAGEIFS(AutoClaim_Data!C2:C3168,AutoClaim_Data!B2:B3168,"Train",AutoClaim_Data!D2:D3168,"&gt;"&amp;$B$2))</f>
        <v/>
      </c>
      <c r="H2065">
        <f>IF(AutoClaim_Data!D2065&lt;=$B$2,IF(AutoClaim_Data!E2065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5">
        <f>(F2065-H2065)^2</f>
        <v/>
      </c>
      <c r="J2065">
        <f>--(E2065="Validation")</f>
        <v/>
      </c>
    </row>
    <row r="2066">
      <c r="D2066">
        <f>AutoClaim_Data!A2066</f>
        <v/>
      </c>
      <c r="E2066">
        <f>AutoClaim_Data!B2066</f>
        <v/>
      </c>
      <c r="F2066">
        <f>AutoClaim_Data!C2066</f>
        <v/>
      </c>
      <c r="G2066">
        <f>IF(AutoClaim_Data!D2066&lt;=$B$2,AVERAGEIFS(AutoClaim_Data!C2:C3168,AutoClaim_Data!B2:B3168,"Train",AutoClaim_Data!D2:D3168,"&lt;="&amp;$B$2),AVERAGEIFS(AutoClaim_Data!C2:C3168,AutoClaim_Data!B2:B3168,"Train",AutoClaim_Data!D2:D3168,"&gt;"&amp;$B$2))</f>
        <v/>
      </c>
      <c r="H2066">
        <f>IF(AutoClaim_Data!D2066&lt;=$B$2,IF(AutoClaim_Data!E2066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6">
        <f>(F2066-H2066)^2</f>
        <v/>
      </c>
      <c r="J2066">
        <f>--(E2066="Validation")</f>
        <v/>
      </c>
    </row>
    <row r="2067">
      <c r="D2067">
        <f>AutoClaim_Data!A2067</f>
        <v/>
      </c>
      <c r="E2067">
        <f>AutoClaim_Data!B2067</f>
        <v/>
      </c>
      <c r="F2067">
        <f>AutoClaim_Data!C2067</f>
        <v/>
      </c>
      <c r="G2067">
        <f>IF(AutoClaim_Data!D2067&lt;=$B$2,AVERAGEIFS(AutoClaim_Data!C2:C3168,AutoClaim_Data!B2:B3168,"Train",AutoClaim_Data!D2:D3168,"&lt;="&amp;$B$2),AVERAGEIFS(AutoClaim_Data!C2:C3168,AutoClaim_Data!B2:B3168,"Train",AutoClaim_Data!D2:D3168,"&gt;"&amp;$B$2))</f>
        <v/>
      </c>
      <c r="H2067">
        <f>IF(AutoClaim_Data!D2067&lt;=$B$2,IF(AutoClaim_Data!E2067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7">
        <f>(F2067-H2067)^2</f>
        <v/>
      </c>
      <c r="J2067">
        <f>--(E2067="Validation")</f>
        <v/>
      </c>
    </row>
    <row r="2068">
      <c r="D2068">
        <f>AutoClaim_Data!A2068</f>
        <v/>
      </c>
      <c r="E2068">
        <f>AutoClaim_Data!B2068</f>
        <v/>
      </c>
      <c r="F2068">
        <f>AutoClaim_Data!C2068</f>
        <v/>
      </c>
      <c r="G2068">
        <f>IF(AutoClaim_Data!D2068&lt;=$B$2,AVERAGEIFS(AutoClaim_Data!C2:C3168,AutoClaim_Data!B2:B3168,"Train",AutoClaim_Data!D2:D3168,"&lt;="&amp;$B$2),AVERAGEIFS(AutoClaim_Data!C2:C3168,AutoClaim_Data!B2:B3168,"Train",AutoClaim_Data!D2:D3168,"&gt;"&amp;$B$2))</f>
        <v/>
      </c>
      <c r="H2068">
        <f>IF(AutoClaim_Data!D2068&lt;=$B$2,IF(AutoClaim_Data!E2068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8">
        <f>(F2068-H2068)^2</f>
        <v/>
      </c>
      <c r="J2068">
        <f>--(E2068="Validation")</f>
        <v/>
      </c>
    </row>
    <row r="2069">
      <c r="D2069">
        <f>AutoClaim_Data!A2069</f>
        <v/>
      </c>
      <c r="E2069">
        <f>AutoClaim_Data!B2069</f>
        <v/>
      </c>
      <c r="F2069">
        <f>AutoClaim_Data!C2069</f>
        <v/>
      </c>
      <c r="G2069">
        <f>IF(AutoClaim_Data!D2069&lt;=$B$2,AVERAGEIFS(AutoClaim_Data!C2:C3168,AutoClaim_Data!B2:B3168,"Train",AutoClaim_Data!D2:D3168,"&lt;="&amp;$B$2),AVERAGEIFS(AutoClaim_Data!C2:C3168,AutoClaim_Data!B2:B3168,"Train",AutoClaim_Data!D2:D3168,"&gt;"&amp;$B$2))</f>
        <v/>
      </c>
      <c r="H2069">
        <f>IF(AutoClaim_Data!D2069&lt;=$B$2,IF(AutoClaim_Data!E2069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69">
        <f>(F2069-H2069)^2</f>
        <v/>
      </c>
      <c r="J2069">
        <f>--(E2069="Validation")</f>
        <v/>
      </c>
    </row>
    <row r="2070">
      <c r="D2070">
        <f>AutoClaim_Data!A2070</f>
        <v/>
      </c>
      <c r="E2070">
        <f>AutoClaim_Data!B2070</f>
        <v/>
      </c>
      <c r="F2070">
        <f>AutoClaim_Data!C2070</f>
        <v/>
      </c>
      <c r="G2070">
        <f>IF(AutoClaim_Data!D2070&lt;=$B$2,AVERAGEIFS(AutoClaim_Data!C2:C3168,AutoClaim_Data!B2:B3168,"Train",AutoClaim_Data!D2:D3168,"&lt;="&amp;$B$2),AVERAGEIFS(AutoClaim_Data!C2:C3168,AutoClaim_Data!B2:B3168,"Train",AutoClaim_Data!D2:D3168,"&gt;"&amp;$B$2))</f>
        <v/>
      </c>
      <c r="H2070">
        <f>IF(AutoClaim_Data!D2070&lt;=$B$2,IF(AutoClaim_Data!E2070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0">
        <f>(F2070-H2070)^2</f>
        <v/>
      </c>
      <c r="J2070">
        <f>--(E2070="Validation")</f>
        <v/>
      </c>
    </row>
    <row r="2071">
      <c r="D2071">
        <f>AutoClaim_Data!A2071</f>
        <v/>
      </c>
      <c r="E2071">
        <f>AutoClaim_Data!B2071</f>
        <v/>
      </c>
      <c r="F2071">
        <f>AutoClaim_Data!C2071</f>
        <v/>
      </c>
      <c r="G2071">
        <f>IF(AutoClaim_Data!D2071&lt;=$B$2,AVERAGEIFS(AutoClaim_Data!C2:C3168,AutoClaim_Data!B2:B3168,"Train",AutoClaim_Data!D2:D3168,"&lt;="&amp;$B$2),AVERAGEIFS(AutoClaim_Data!C2:C3168,AutoClaim_Data!B2:B3168,"Train",AutoClaim_Data!D2:D3168,"&gt;"&amp;$B$2))</f>
        <v/>
      </c>
      <c r="H2071">
        <f>IF(AutoClaim_Data!D2071&lt;=$B$2,IF(AutoClaim_Data!E2071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1">
        <f>(F2071-H2071)^2</f>
        <v/>
      </c>
      <c r="J2071">
        <f>--(E2071="Validation")</f>
        <v/>
      </c>
    </row>
    <row r="2072">
      <c r="D2072">
        <f>AutoClaim_Data!A2072</f>
        <v/>
      </c>
      <c r="E2072">
        <f>AutoClaim_Data!B2072</f>
        <v/>
      </c>
      <c r="F2072">
        <f>AutoClaim_Data!C2072</f>
        <v/>
      </c>
      <c r="G2072">
        <f>IF(AutoClaim_Data!D2072&lt;=$B$2,AVERAGEIFS(AutoClaim_Data!C2:C3168,AutoClaim_Data!B2:B3168,"Train",AutoClaim_Data!D2:D3168,"&lt;="&amp;$B$2),AVERAGEIFS(AutoClaim_Data!C2:C3168,AutoClaim_Data!B2:B3168,"Train",AutoClaim_Data!D2:D3168,"&gt;"&amp;$B$2))</f>
        <v/>
      </c>
      <c r="H2072">
        <f>IF(AutoClaim_Data!D2072&lt;=$B$2,IF(AutoClaim_Data!E2072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2">
        <f>(F2072-H2072)^2</f>
        <v/>
      </c>
      <c r="J2072">
        <f>--(E2072="Validation")</f>
        <v/>
      </c>
    </row>
    <row r="2073">
      <c r="D2073">
        <f>AutoClaim_Data!A2073</f>
        <v/>
      </c>
      <c r="E2073">
        <f>AutoClaim_Data!B2073</f>
        <v/>
      </c>
      <c r="F2073">
        <f>AutoClaim_Data!C2073</f>
        <v/>
      </c>
      <c r="G2073">
        <f>IF(AutoClaim_Data!D2073&lt;=$B$2,AVERAGEIFS(AutoClaim_Data!C2:C3168,AutoClaim_Data!B2:B3168,"Train",AutoClaim_Data!D2:D3168,"&lt;="&amp;$B$2),AVERAGEIFS(AutoClaim_Data!C2:C3168,AutoClaim_Data!B2:B3168,"Train",AutoClaim_Data!D2:D3168,"&gt;"&amp;$B$2))</f>
        <v/>
      </c>
      <c r="H2073">
        <f>IF(AutoClaim_Data!D2073&lt;=$B$2,IF(AutoClaim_Data!E2073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3">
        <f>(F2073-H2073)^2</f>
        <v/>
      </c>
      <c r="J2073">
        <f>--(E2073="Validation")</f>
        <v/>
      </c>
    </row>
    <row r="2074">
      <c r="D2074">
        <f>AutoClaim_Data!A2074</f>
        <v/>
      </c>
      <c r="E2074">
        <f>AutoClaim_Data!B2074</f>
        <v/>
      </c>
      <c r="F2074">
        <f>AutoClaim_Data!C2074</f>
        <v/>
      </c>
      <c r="G2074">
        <f>IF(AutoClaim_Data!D2074&lt;=$B$2,AVERAGEIFS(AutoClaim_Data!C2:C3168,AutoClaim_Data!B2:B3168,"Train",AutoClaim_Data!D2:D3168,"&lt;="&amp;$B$2),AVERAGEIFS(AutoClaim_Data!C2:C3168,AutoClaim_Data!B2:B3168,"Train",AutoClaim_Data!D2:D3168,"&gt;"&amp;$B$2))</f>
        <v/>
      </c>
      <c r="H2074">
        <f>IF(AutoClaim_Data!D2074&lt;=$B$2,IF(AutoClaim_Data!E2074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4">
        <f>(F2074-H2074)^2</f>
        <v/>
      </c>
      <c r="J2074">
        <f>--(E2074="Validation")</f>
        <v/>
      </c>
    </row>
    <row r="2075">
      <c r="D2075">
        <f>AutoClaim_Data!A2075</f>
        <v/>
      </c>
      <c r="E2075">
        <f>AutoClaim_Data!B2075</f>
        <v/>
      </c>
      <c r="F2075">
        <f>AutoClaim_Data!C2075</f>
        <v/>
      </c>
      <c r="G2075">
        <f>IF(AutoClaim_Data!D2075&lt;=$B$2,AVERAGEIFS(AutoClaim_Data!C2:C3168,AutoClaim_Data!B2:B3168,"Train",AutoClaim_Data!D2:D3168,"&lt;="&amp;$B$2),AVERAGEIFS(AutoClaim_Data!C2:C3168,AutoClaim_Data!B2:B3168,"Train",AutoClaim_Data!D2:D3168,"&gt;"&amp;$B$2))</f>
        <v/>
      </c>
      <c r="H2075">
        <f>IF(AutoClaim_Data!D2075&lt;=$B$2,IF(AutoClaim_Data!E2075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5">
        <f>(F2075-H2075)^2</f>
        <v/>
      </c>
      <c r="J2075">
        <f>--(E2075="Validation")</f>
        <v/>
      </c>
    </row>
    <row r="2076">
      <c r="D2076">
        <f>AutoClaim_Data!A2076</f>
        <v/>
      </c>
      <c r="E2076">
        <f>AutoClaim_Data!B2076</f>
        <v/>
      </c>
      <c r="F2076">
        <f>AutoClaim_Data!C2076</f>
        <v/>
      </c>
      <c r="G2076">
        <f>IF(AutoClaim_Data!D2076&lt;=$B$2,AVERAGEIFS(AutoClaim_Data!C2:C3168,AutoClaim_Data!B2:B3168,"Train",AutoClaim_Data!D2:D3168,"&lt;="&amp;$B$2),AVERAGEIFS(AutoClaim_Data!C2:C3168,AutoClaim_Data!B2:B3168,"Train",AutoClaim_Data!D2:D3168,"&gt;"&amp;$B$2))</f>
        <v/>
      </c>
      <c r="H2076">
        <f>IF(AutoClaim_Data!D2076&lt;=$B$2,IF(AutoClaim_Data!E2076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6">
        <f>(F2076-H2076)^2</f>
        <v/>
      </c>
      <c r="J2076">
        <f>--(E2076="Validation")</f>
        <v/>
      </c>
    </row>
    <row r="2077">
      <c r="D2077">
        <f>AutoClaim_Data!A2077</f>
        <v/>
      </c>
      <c r="E2077">
        <f>AutoClaim_Data!B2077</f>
        <v/>
      </c>
      <c r="F2077">
        <f>AutoClaim_Data!C2077</f>
        <v/>
      </c>
      <c r="G2077">
        <f>IF(AutoClaim_Data!D2077&lt;=$B$2,AVERAGEIFS(AutoClaim_Data!C2:C3168,AutoClaim_Data!B2:B3168,"Train",AutoClaim_Data!D2:D3168,"&lt;="&amp;$B$2),AVERAGEIFS(AutoClaim_Data!C2:C3168,AutoClaim_Data!B2:B3168,"Train",AutoClaim_Data!D2:D3168,"&gt;"&amp;$B$2))</f>
        <v/>
      </c>
      <c r="H2077">
        <f>IF(AutoClaim_Data!D2077&lt;=$B$2,IF(AutoClaim_Data!E2077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7">
        <f>(F2077-H2077)^2</f>
        <v/>
      </c>
      <c r="J2077">
        <f>--(E2077="Validation")</f>
        <v/>
      </c>
    </row>
    <row r="2078">
      <c r="D2078">
        <f>AutoClaim_Data!A2078</f>
        <v/>
      </c>
      <c r="E2078">
        <f>AutoClaim_Data!B2078</f>
        <v/>
      </c>
      <c r="F2078">
        <f>AutoClaim_Data!C2078</f>
        <v/>
      </c>
      <c r="G2078">
        <f>IF(AutoClaim_Data!D2078&lt;=$B$2,AVERAGEIFS(AutoClaim_Data!C2:C3168,AutoClaim_Data!B2:B3168,"Train",AutoClaim_Data!D2:D3168,"&lt;="&amp;$B$2),AVERAGEIFS(AutoClaim_Data!C2:C3168,AutoClaim_Data!B2:B3168,"Train",AutoClaim_Data!D2:D3168,"&gt;"&amp;$B$2))</f>
        <v/>
      </c>
      <c r="H2078">
        <f>IF(AutoClaim_Data!D2078&lt;=$B$2,IF(AutoClaim_Data!E2078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8">
        <f>(F2078-H2078)^2</f>
        <v/>
      </c>
      <c r="J2078">
        <f>--(E2078="Validation")</f>
        <v/>
      </c>
    </row>
    <row r="2079">
      <c r="D2079">
        <f>AutoClaim_Data!A2079</f>
        <v/>
      </c>
      <c r="E2079">
        <f>AutoClaim_Data!B2079</f>
        <v/>
      </c>
      <c r="F2079">
        <f>AutoClaim_Data!C2079</f>
        <v/>
      </c>
      <c r="G2079">
        <f>IF(AutoClaim_Data!D2079&lt;=$B$2,AVERAGEIFS(AutoClaim_Data!C2:C3168,AutoClaim_Data!B2:B3168,"Train",AutoClaim_Data!D2:D3168,"&lt;="&amp;$B$2),AVERAGEIFS(AutoClaim_Data!C2:C3168,AutoClaim_Data!B2:B3168,"Train",AutoClaim_Data!D2:D3168,"&gt;"&amp;$B$2))</f>
        <v/>
      </c>
      <c r="H2079">
        <f>IF(AutoClaim_Data!D2079&lt;=$B$2,IF(AutoClaim_Data!E2079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79">
        <f>(F2079-H2079)^2</f>
        <v/>
      </c>
      <c r="J2079">
        <f>--(E2079="Validation")</f>
        <v/>
      </c>
    </row>
    <row r="2080">
      <c r="D2080">
        <f>AutoClaim_Data!A2080</f>
        <v/>
      </c>
      <c r="E2080">
        <f>AutoClaim_Data!B2080</f>
        <v/>
      </c>
      <c r="F2080">
        <f>AutoClaim_Data!C2080</f>
        <v/>
      </c>
      <c r="G2080">
        <f>IF(AutoClaim_Data!D2080&lt;=$B$2,AVERAGEIFS(AutoClaim_Data!C2:C3168,AutoClaim_Data!B2:B3168,"Train",AutoClaim_Data!D2:D3168,"&lt;="&amp;$B$2),AVERAGEIFS(AutoClaim_Data!C2:C3168,AutoClaim_Data!B2:B3168,"Train",AutoClaim_Data!D2:D3168,"&gt;"&amp;$B$2))</f>
        <v/>
      </c>
      <c r="H2080">
        <f>IF(AutoClaim_Data!D2080&lt;=$B$2,IF(AutoClaim_Data!E2080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0">
        <f>(F2080-H2080)^2</f>
        <v/>
      </c>
      <c r="J2080">
        <f>--(E2080="Validation")</f>
        <v/>
      </c>
    </row>
    <row r="2081">
      <c r="D2081">
        <f>AutoClaim_Data!A2081</f>
        <v/>
      </c>
      <c r="E2081">
        <f>AutoClaim_Data!B2081</f>
        <v/>
      </c>
      <c r="F2081">
        <f>AutoClaim_Data!C2081</f>
        <v/>
      </c>
      <c r="G2081">
        <f>IF(AutoClaim_Data!D2081&lt;=$B$2,AVERAGEIFS(AutoClaim_Data!C2:C3168,AutoClaim_Data!B2:B3168,"Train",AutoClaim_Data!D2:D3168,"&lt;="&amp;$B$2),AVERAGEIFS(AutoClaim_Data!C2:C3168,AutoClaim_Data!B2:B3168,"Train",AutoClaim_Data!D2:D3168,"&gt;"&amp;$B$2))</f>
        <v/>
      </c>
      <c r="H2081">
        <f>IF(AutoClaim_Data!D2081&lt;=$B$2,IF(AutoClaim_Data!E2081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1">
        <f>(F2081-H2081)^2</f>
        <v/>
      </c>
      <c r="J2081">
        <f>--(E2081="Validation")</f>
        <v/>
      </c>
    </row>
    <row r="2082">
      <c r="D2082">
        <f>AutoClaim_Data!A2082</f>
        <v/>
      </c>
      <c r="E2082">
        <f>AutoClaim_Data!B2082</f>
        <v/>
      </c>
      <c r="F2082">
        <f>AutoClaim_Data!C2082</f>
        <v/>
      </c>
      <c r="G2082">
        <f>IF(AutoClaim_Data!D2082&lt;=$B$2,AVERAGEIFS(AutoClaim_Data!C2:C3168,AutoClaim_Data!B2:B3168,"Train",AutoClaim_Data!D2:D3168,"&lt;="&amp;$B$2),AVERAGEIFS(AutoClaim_Data!C2:C3168,AutoClaim_Data!B2:B3168,"Train",AutoClaim_Data!D2:D3168,"&gt;"&amp;$B$2))</f>
        <v/>
      </c>
      <c r="H2082">
        <f>IF(AutoClaim_Data!D2082&lt;=$B$2,IF(AutoClaim_Data!E2082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2">
        <f>(F2082-H2082)^2</f>
        <v/>
      </c>
      <c r="J2082">
        <f>--(E2082="Validation")</f>
        <v/>
      </c>
    </row>
    <row r="2083">
      <c r="D2083">
        <f>AutoClaim_Data!A2083</f>
        <v/>
      </c>
      <c r="E2083">
        <f>AutoClaim_Data!B2083</f>
        <v/>
      </c>
      <c r="F2083">
        <f>AutoClaim_Data!C2083</f>
        <v/>
      </c>
      <c r="G2083">
        <f>IF(AutoClaim_Data!D2083&lt;=$B$2,AVERAGEIFS(AutoClaim_Data!C2:C3168,AutoClaim_Data!B2:B3168,"Train",AutoClaim_Data!D2:D3168,"&lt;="&amp;$B$2),AVERAGEIFS(AutoClaim_Data!C2:C3168,AutoClaim_Data!B2:B3168,"Train",AutoClaim_Data!D2:D3168,"&gt;"&amp;$B$2))</f>
        <v/>
      </c>
      <c r="H2083">
        <f>IF(AutoClaim_Data!D2083&lt;=$B$2,IF(AutoClaim_Data!E2083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3">
        <f>(F2083-H2083)^2</f>
        <v/>
      </c>
      <c r="J2083">
        <f>--(E2083="Validation")</f>
        <v/>
      </c>
    </row>
    <row r="2084">
      <c r="D2084">
        <f>AutoClaim_Data!A2084</f>
        <v/>
      </c>
      <c r="E2084">
        <f>AutoClaim_Data!B2084</f>
        <v/>
      </c>
      <c r="F2084">
        <f>AutoClaim_Data!C2084</f>
        <v/>
      </c>
      <c r="G2084">
        <f>IF(AutoClaim_Data!D2084&lt;=$B$2,AVERAGEIFS(AutoClaim_Data!C2:C3168,AutoClaim_Data!B2:B3168,"Train",AutoClaim_Data!D2:D3168,"&lt;="&amp;$B$2),AVERAGEIFS(AutoClaim_Data!C2:C3168,AutoClaim_Data!B2:B3168,"Train",AutoClaim_Data!D2:D3168,"&gt;"&amp;$B$2))</f>
        <v/>
      </c>
      <c r="H2084">
        <f>IF(AutoClaim_Data!D2084&lt;=$B$2,IF(AutoClaim_Data!E2084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4">
        <f>(F2084-H2084)^2</f>
        <v/>
      </c>
      <c r="J2084">
        <f>--(E2084="Validation")</f>
        <v/>
      </c>
    </row>
    <row r="2085">
      <c r="D2085">
        <f>AutoClaim_Data!A2085</f>
        <v/>
      </c>
      <c r="E2085">
        <f>AutoClaim_Data!B2085</f>
        <v/>
      </c>
      <c r="F2085">
        <f>AutoClaim_Data!C2085</f>
        <v/>
      </c>
      <c r="G2085">
        <f>IF(AutoClaim_Data!D2085&lt;=$B$2,AVERAGEIFS(AutoClaim_Data!C2:C3168,AutoClaim_Data!B2:B3168,"Train",AutoClaim_Data!D2:D3168,"&lt;="&amp;$B$2),AVERAGEIFS(AutoClaim_Data!C2:C3168,AutoClaim_Data!B2:B3168,"Train",AutoClaim_Data!D2:D3168,"&gt;"&amp;$B$2))</f>
        <v/>
      </c>
      <c r="H2085">
        <f>IF(AutoClaim_Data!D2085&lt;=$B$2,IF(AutoClaim_Data!E2085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5">
        <f>(F2085-H2085)^2</f>
        <v/>
      </c>
      <c r="J2085">
        <f>--(E2085="Validation")</f>
        <v/>
      </c>
    </row>
    <row r="2086">
      <c r="D2086">
        <f>AutoClaim_Data!A2086</f>
        <v/>
      </c>
      <c r="E2086">
        <f>AutoClaim_Data!B2086</f>
        <v/>
      </c>
      <c r="F2086">
        <f>AutoClaim_Data!C2086</f>
        <v/>
      </c>
      <c r="G2086">
        <f>IF(AutoClaim_Data!D2086&lt;=$B$2,AVERAGEIFS(AutoClaim_Data!C2:C3168,AutoClaim_Data!B2:B3168,"Train",AutoClaim_Data!D2:D3168,"&lt;="&amp;$B$2),AVERAGEIFS(AutoClaim_Data!C2:C3168,AutoClaim_Data!B2:B3168,"Train",AutoClaim_Data!D2:D3168,"&gt;"&amp;$B$2))</f>
        <v/>
      </c>
      <c r="H2086">
        <f>IF(AutoClaim_Data!D2086&lt;=$B$2,IF(AutoClaim_Data!E2086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6">
        <f>(F2086-H2086)^2</f>
        <v/>
      </c>
      <c r="J2086">
        <f>--(E2086="Validation")</f>
        <v/>
      </c>
    </row>
    <row r="2087">
      <c r="D2087">
        <f>AutoClaim_Data!A2087</f>
        <v/>
      </c>
      <c r="E2087">
        <f>AutoClaim_Data!B2087</f>
        <v/>
      </c>
      <c r="F2087">
        <f>AutoClaim_Data!C2087</f>
        <v/>
      </c>
      <c r="G2087">
        <f>IF(AutoClaim_Data!D2087&lt;=$B$2,AVERAGEIFS(AutoClaim_Data!C2:C3168,AutoClaim_Data!B2:B3168,"Train",AutoClaim_Data!D2:D3168,"&lt;="&amp;$B$2),AVERAGEIFS(AutoClaim_Data!C2:C3168,AutoClaim_Data!B2:B3168,"Train",AutoClaim_Data!D2:D3168,"&gt;"&amp;$B$2))</f>
        <v/>
      </c>
      <c r="H2087">
        <f>IF(AutoClaim_Data!D2087&lt;=$B$2,IF(AutoClaim_Data!E2087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7">
        <f>(F2087-H2087)^2</f>
        <v/>
      </c>
      <c r="J2087">
        <f>--(E2087="Validation")</f>
        <v/>
      </c>
    </row>
    <row r="2088">
      <c r="D2088">
        <f>AutoClaim_Data!A2088</f>
        <v/>
      </c>
      <c r="E2088">
        <f>AutoClaim_Data!B2088</f>
        <v/>
      </c>
      <c r="F2088">
        <f>AutoClaim_Data!C2088</f>
        <v/>
      </c>
      <c r="G2088">
        <f>IF(AutoClaim_Data!D2088&lt;=$B$2,AVERAGEIFS(AutoClaim_Data!C2:C3168,AutoClaim_Data!B2:B3168,"Train",AutoClaim_Data!D2:D3168,"&lt;="&amp;$B$2),AVERAGEIFS(AutoClaim_Data!C2:C3168,AutoClaim_Data!B2:B3168,"Train",AutoClaim_Data!D2:D3168,"&gt;"&amp;$B$2))</f>
        <v/>
      </c>
      <c r="H2088">
        <f>IF(AutoClaim_Data!D2088&lt;=$B$2,IF(AutoClaim_Data!E2088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8">
        <f>(F2088-H2088)^2</f>
        <v/>
      </c>
      <c r="J2088">
        <f>--(E2088="Validation")</f>
        <v/>
      </c>
    </row>
    <row r="2089">
      <c r="D2089">
        <f>AutoClaim_Data!A2089</f>
        <v/>
      </c>
      <c r="E2089">
        <f>AutoClaim_Data!B2089</f>
        <v/>
      </c>
      <c r="F2089">
        <f>AutoClaim_Data!C2089</f>
        <v/>
      </c>
      <c r="G2089">
        <f>IF(AutoClaim_Data!D2089&lt;=$B$2,AVERAGEIFS(AutoClaim_Data!C2:C3168,AutoClaim_Data!B2:B3168,"Train",AutoClaim_Data!D2:D3168,"&lt;="&amp;$B$2),AVERAGEIFS(AutoClaim_Data!C2:C3168,AutoClaim_Data!B2:B3168,"Train",AutoClaim_Data!D2:D3168,"&gt;"&amp;$B$2))</f>
        <v/>
      </c>
      <c r="H2089">
        <f>IF(AutoClaim_Data!D2089&lt;=$B$2,IF(AutoClaim_Data!E2089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89">
        <f>(F2089-H2089)^2</f>
        <v/>
      </c>
      <c r="J2089">
        <f>--(E2089="Validation")</f>
        <v/>
      </c>
    </row>
    <row r="2090">
      <c r="D2090">
        <f>AutoClaim_Data!A2090</f>
        <v/>
      </c>
      <c r="E2090">
        <f>AutoClaim_Data!B2090</f>
        <v/>
      </c>
      <c r="F2090">
        <f>AutoClaim_Data!C2090</f>
        <v/>
      </c>
      <c r="G2090">
        <f>IF(AutoClaim_Data!D2090&lt;=$B$2,AVERAGEIFS(AutoClaim_Data!C2:C3168,AutoClaim_Data!B2:B3168,"Train",AutoClaim_Data!D2:D3168,"&lt;="&amp;$B$2),AVERAGEIFS(AutoClaim_Data!C2:C3168,AutoClaim_Data!B2:B3168,"Train",AutoClaim_Data!D2:D3168,"&gt;"&amp;$B$2))</f>
        <v/>
      </c>
      <c r="H2090">
        <f>IF(AutoClaim_Data!D2090&lt;=$B$2,IF(AutoClaim_Data!E2090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0">
        <f>(F2090-H2090)^2</f>
        <v/>
      </c>
      <c r="J2090">
        <f>--(E2090="Validation")</f>
        <v/>
      </c>
    </row>
    <row r="2091">
      <c r="D2091">
        <f>AutoClaim_Data!A2091</f>
        <v/>
      </c>
      <c r="E2091">
        <f>AutoClaim_Data!B2091</f>
        <v/>
      </c>
      <c r="F2091">
        <f>AutoClaim_Data!C2091</f>
        <v/>
      </c>
      <c r="G2091">
        <f>IF(AutoClaim_Data!D2091&lt;=$B$2,AVERAGEIFS(AutoClaim_Data!C2:C3168,AutoClaim_Data!B2:B3168,"Train",AutoClaim_Data!D2:D3168,"&lt;="&amp;$B$2),AVERAGEIFS(AutoClaim_Data!C2:C3168,AutoClaim_Data!B2:B3168,"Train",AutoClaim_Data!D2:D3168,"&gt;"&amp;$B$2))</f>
        <v/>
      </c>
      <c r="H2091">
        <f>IF(AutoClaim_Data!D2091&lt;=$B$2,IF(AutoClaim_Data!E2091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1">
        <f>(F2091-H2091)^2</f>
        <v/>
      </c>
      <c r="J2091">
        <f>--(E2091="Validation")</f>
        <v/>
      </c>
    </row>
    <row r="2092">
      <c r="D2092">
        <f>AutoClaim_Data!A2092</f>
        <v/>
      </c>
      <c r="E2092">
        <f>AutoClaim_Data!B2092</f>
        <v/>
      </c>
      <c r="F2092">
        <f>AutoClaim_Data!C2092</f>
        <v/>
      </c>
      <c r="G2092">
        <f>IF(AutoClaim_Data!D2092&lt;=$B$2,AVERAGEIFS(AutoClaim_Data!C2:C3168,AutoClaim_Data!B2:B3168,"Train",AutoClaim_Data!D2:D3168,"&lt;="&amp;$B$2),AVERAGEIFS(AutoClaim_Data!C2:C3168,AutoClaim_Data!B2:B3168,"Train",AutoClaim_Data!D2:D3168,"&gt;"&amp;$B$2))</f>
        <v/>
      </c>
      <c r="H2092">
        <f>IF(AutoClaim_Data!D2092&lt;=$B$2,IF(AutoClaim_Data!E2092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2">
        <f>(F2092-H2092)^2</f>
        <v/>
      </c>
      <c r="J2092">
        <f>--(E2092="Validation")</f>
        <v/>
      </c>
    </row>
    <row r="2093">
      <c r="D2093">
        <f>AutoClaim_Data!A2093</f>
        <v/>
      </c>
      <c r="E2093">
        <f>AutoClaim_Data!B2093</f>
        <v/>
      </c>
      <c r="F2093">
        <f>AutoClaim_Data!C2093</f>
        <v/>
      </c>
      <c r="G2093">
        <f>IF(AutoClaim_Data!D2093&lt;=$B$2,AVERAGEIFS(AutoClaim_Data!C2:C3168,AutoClaim_Data!B2:B3168,"Train",AutoClaim_Data!D2:D3168,"&lt;="&amp;$B$2),AVERAGEIFS(AutoClaim_Data!C2:C3168,AutoClaim_Data!B2:B3168,"Train",AutoClaim_Data!D2:D3168,"&gt;"&amp;$B$2))</f>
        <v/>
      </c>
      <c r="H2093">
        <f>IF(AutoClaim_Data!D2093&lt;=$B$2,IF(AutoClaim_Data!E2093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3">
        <f>(F2093-H2093)^2</f>
        <v/>
      </c>
      <c r="J2093">
        <f>--(E2093="Validation")</f>
        <v/>
      </c>
    </row>
    <row r="2094">
      <c r="D2094">
        <f>AutoClaim_Data!A2094</f>
        <v/>
      </c>
      <c r="E2094">
        <f>AutoClaim_Data!B2094</f>
        <v/>
      </c>
      <c r="F2094">
        <f>AutoClaim_Data!C2094</f>
        <v/>
      </c>
      <c r="G2094">
        <f>IF(AutoClaim_Data!D2094&lt;=$B$2,AVERAGEIFS(AutoClaim_Data!C2:C3168,AutoClaim_Data!B2:B3168,"Train",AutoClaim_Data!D2:D3168,"&lt;="&amp;$B$2),AVERAGEIFS(AutoClaim_Data!C2:C3168,AutoClaim_Data!B2:B3168,"Train",AutoClaim_Data!D2:D3168,"&gt;"&amp;$B$2))</f>
        <v/>
      </c>
      <c r="H2094">
        <f>IF(AutoClaim_Data!D2094&lt;=$B$2,IF(AutoClaim_Data!E2094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4">
        <f>(F2094-H2094)^2</f>
        <v/>
      </c>
      <c r="J2094">
        <f>--(E2094="Validation")</f>
        <v/>
      </c>
    </row>
    <row r="2095">
      <c r="D2095">
        <f>AutoClaim_Data!A2095</f>
        <v/>
      </c>
      <c r="E2095">
        <f>AutoClaim_Data!B2095</f>
        <v/>
      </c>
      <c r="F2095">
        <f>AutoClaim_Data!C2095</f>
        <v/>
      </c>
      <c r="G2095">
        <f>IF(AutoClaim_Data!D2095&lt;=$B$2,AVERAGEIFS(AutoClaim_Data!C2:C3168,AutoClaim_Data!B2:B3168,"Train",AutoClaim_Data!D2:D3168,"&lt;="&amp;$B$2),AVERAGEIFS(AutoClaim_Data!C2:C3168,AutoClaim_Data!B2:B3168,"Train",AutoClaim_Data!D2:D3168,"&gt;"&amp;$B$2))</f>
        <v/>
      </c>
      <c r="H2095">
        <f>IF(AutoClaim_Data!D2095&lt;=$B$2,IF(AutoClaim_Data!E2095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5">
        <f>(F2095-H2095)^2</f>
        <v/>
      </c>
      <c r="J2095">
        <f>--(E2095="Validation")</f>
        <v/>
      </c>
    </row>
    <row r="2096">
      <c r="D2096">
        <f>AutoClaim_Data!A2096</f>
        <v/>
      </c>
      <c r="E2096">
        <f>AutoClaim_Data!B2096</f>
        <v/>
      </c>
      <c r="F2096">
        <f>AutoClaim_Data!C2096</f>
        <v/>
      </c>
      <c r="G2096">
        <f>IF(AutoClaim_Data!D2096&lt;=$B$2,AVERAGEIFS(AutoClaim_Data!C2:C3168,AutoClaim_Data!B2:B3168,"Train",AutoClaim_Data!D2:D3168,"&lt;="&amp;$B$2),AVERAGEIFS(AutoClaim_Data!C2:C3168,AutoClaim_Data!B2:B3168,"Train",AutoClaim_Data!D2:D3168,"&gt;"&amp;$B$2))</f>
        <v/>
      </c>
      <c r="H2096">
        <f>IF(AutoClaim_Data!D2096&lt;=$B$2,IF(AutoClaim_Data!E2096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6">
        <f>(F2096-H2096)^2</f>
        <v/>
      </c>
      <c r="J2096">
        <f>--(E2096="Validation")</f>
        <v/>
      </c>
    </row>
    <row r="2097">
      <c r="D2097">
        <f>AutoClaim_Data!A2097</f>
        <v/>
      </c>
      <c r="E2097">
        <f>AutoClaim_Data!B2097</f>
        <v/>
      </c>
      <c r="F2097">
        <f>AutoClaim_Data!C2097</f>
        <v/>
      </c>
      <c r="G2097">
        <f>IF(AutoClaim_Data!D2097&lt;=$B$2,AVERAGEIFS(AutoClaim_Data!C2:C3168,AutoClaim_Data!B2:B3168,"Train",AutoClaim_Data!D2:D3168,"&lt;="&amp;$B$2),AVERAGEIFS(AutoClaim_Data!C2:C3168,AutoClaim_Data!B2:B3168,"Train",AutoClaim_Data!D2:D3168,"&gt;"&amp;$B$2))</f>
        <v/>
      </c>
      <c r="H2097">
        <f>IF(AutoClaim_Data!D2097&lt;=$B$2,IF(AutoClaim_Data!E2097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7">
        <f>(F2097-H2097)^2</f>
        <v/>
      </c>
      <c r="J2097">
        <f>--(E2097="Validation")</f>
        <v/>
      </c>
    </row>
    <row r="2098">
      <c r="D2098">
        <f>AutoClaim_Data!A2098</f>
        <v/>
      </c>
      <c r="E2098">
        <f>AutoClaim_Data!B2098</f>
        <v/>
      </c>
      <c r="F2098">
        <f>AutoClaim_Data!C2098</f>
        <v/>
      </c>
      <c r="G2098">
        <f>IF(AutoClaim_Data!D2098&lt;=$B$2,AVERAGEIFS(AutoClaim_Data!C2:C3168,AutoClaim_Data!B2:B3168,"Train",AutoClaim_Data!D2:D3168,"&lt;="&amp;$B$2),AVERAGEIFS(AutoClaim_Data!C2:C3168,AutoClaim_Data!B2:B3168,"Train",AutoClaim_Data!D2:D3168,"&gt;"&amp;$B$2))</f>
        <v/>
      </c>
      <c r="H2098">
        <f>IF(AutoClaim_Data!D2098&lt;=$B$2,IF(AutoClaim_Data!E2098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8">
        <f>(F2098-H2098)^2</f>
        <v/>
      </c>
      <c r="J2098">
        <f>--(E2098="Validation")</f>
        <v/>
      </c>
    </row>
    <row r="2099">
      <c r="D2099">
        <f>AutoClaim_Data!A2099</f>
        <v/>
      </c>
      <c r="E2099">
        <f>AutoClaim_Data!B2099</f>
        <v/>
      </c>
      <c r="F2099">
        <f>AutoClaim_Data!C2099</f>
        <v/>
      </c>
      <c r="G2099">
        <f>IF(AutoClaim_Data!D2099&lt;=$B$2,AVERAGEIFS(AutoClaim_Data!C2:C3168,AutoClaim_Data!B2:B3168,"Train",AutoClaim_Data!D2:D3168,"&lt;="&amp;$B$2),AVERAGEIFS(AutoClaim_Data!C2:C3168,AutoClaim_Data!B2:B3168,"Train",AutoClaim_Data!D2:D3168,"&gt;"&amp;$B$2))</f>
        <v/>
      </c>
      <c r="H2099">
        <f>IF(AutoClaim_Data!D2099&lt;=$B$2,IF(AutoClaim_Data!E2099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2099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099">
        <f>(F2099-H2099)^2</f>
        <v/>
      </c>
      <c r="J2099">
        <f>--(E2099="Validation")</f>
        <v/>
      </c>
    </row>
    <row r="2100">
      <c r="D2100">
        <f>AutoClaim_Data!A2100</f>
        <v/>
      </c>
      <c r="E2100">
        <f>AutoClaim_Data!B2100</f>
        <v/>
      </c>
      <c r="F2100">
        <f>AutoClaim_Data!C2100</f>
        <v/>
      </c>
      <c r="G2100">
        <f>IF(AutoClaim_Data!D2100&lt;=$B$2,AVERAGEIFS(AutoClaim_Data!C2:C3168,AutoClaim_Data!B2:B3168,"Train",AutoClaim_Data!D2:D3168,"&lt;="&amp;$B$2),AVERAGEIFS(AutoClaim_Data!C2:C3168,AutoClaim_Data!B2:B3168,"Train",AutoClaim_Data!D2:D3168,"&gt;"&amp;$B$2))</f>
        <v/>
      </c>
      <c r="H2100">
        <f>IF(AutoClaim_Data!D2100&lt;=$B$2,IF(AutoClaim_Data!E2100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0">
        <f>(F2100-H2100)^2</f>
        <v/>
      </c>
      <c r="J2100">
        <f>--(E2100="Validation")</f>
        <v/>
      </c>
    </row>
    <row r="2101">
      <c r="D2101">
        <f>AutoClaim_Data!A2101</f>
        <v/>
      </c>
      <c r="E2101">
        <f>AutoClaim_Data!B2101</f>
        <v/>
      </c>
      <c r="F2101">
        <f>AutoClaim_Data!C2101</f>
        <v/>
      </c>
      <c r="G2101">
        <f>IF(AutoClaim_Data!D2101&lt;=$B$2,AVERAGEIFS(AutoClaim_Data!C2:C3168,AutoClaim_Data!B2:B3168,"Train",AutoClaim_Data!D2:D3168,"&lt;="&amp;$B$2),AVERAGEIFS(AutoClaim_Data!C2:C3168,AutoClaim_Data!B2:B3168,"Train",AutoClaim_Data!D2:D3168,"&gt;"&amp;$B$2))</f>
        <v/>
      </c>
      <c r="H2101">
        <f>IF(AutoClaim_Data!D2101&lt;=$B$2,IF(AutoClaim_Data!E2101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1">
        <f>(F2101-H2101)^2</f>
        <v/>
      </c>
      <c r="J2101">
        <f>--(E2101="Validation")</f>
        <v/>
      </c>
    </row>
    <row r="2102">
      <c r="D2102">
        <f>AutoClaim_Data!A2102</f>
        <v/>
      </c>
      <c r="E2102">
        <f>AutoClaim_Data!B2102</f>
        <v/>
      </c>
      <c r="F2102">
        <f>AutoClaim_Data!C2102</f>
        <v/>
      </c>
      <c r="G2102">
        <f>IF(AutoClaim_Data!D2102&lt;=$B$2,AVERAGEIFS(AutoClaim_Data!C2:C3168,AutoClaim_Data!B2:B3168,"Train",AutoClaim_Data!D2:D3168,"&lt;="&amp;$B$2),AVERAGEIFS(AutoClaim_Data!C2:C3168,AutoClaim_Data!B2:B3168,"Train",AutoClaim_Data!D2:D3168,"&gt;"&amp;$B$2))</f>
        <v/>
      </c>
      <c r="H2102">
        <f>IF(AutoClaim_Data!D2102&lt;=$B$2,IF(AutoClaim_Data!E2102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2">
        <f>(F2102-H2102)^2</f>
        <v/>
      </c>
      <c r="J2102">
        <f>--(E2102="Validation")</f>
        <v/>
      </c>
    </row>
    <row r="2103">
      <c r="D2103">
        <f>AutoClaim_Data!A2103</f>
        <v/>
      </c>
      <c r="E2103">
        <f>AutoClaim_Data!B2103</f>
        <v/>
      </c>
      <c r="F2103">
        <f>AutoClaim_Data!C2103</f>
        <v/>
      </c>
      <c r="G2103">
        <f>IF(AutoClaim_Data!D2103&lt;=$B$2,AVERAGEIFS(AutoClaim_Data!C2:C3168,AutoClaim_Data!B2:B3168,"Train",AutoClaim_Data!D2:D3168,"&lt;="&amp;$B$2),AVERAGEIFS(AutoClaim_Data!C2:C3168,AutoClaim_Data!B2:B3168,"Train",AutoClaim_Data!D2:D3168,"&gt;"&amp;$B$2))</f>
        <v/>
      </c>
      <c r="H2103">
        <f>IF(AutoClaim_Data!D2103&lt;=$B$2,IF(AutoClaim_Data!E2103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3">
        <f>(F2103-H2103)^2</f>
        <v/>
      </c>
      <c r="J2103">
        <f>--(E2103="Validation")</f>
        <v/>
      </c>
    </row>
    <row r="2104">
      <c r="D2104">
        <f>AutoClaim_Data!A2104</f>
        <v/>
      </c>
      <c r="E2104">
        <f>AutoClaim_Data!B2104</f>
        <v/>
      </c>
      <c r="F2104">
        <f>AutoClaim_Data!C2104</f>
        <v/>
      </c>
      <c r="G2104">
        <f>IF(AutoClaim_Data!D2104&lt;=$B$2,AVERAGEIFS(AutoClaim_Data!C2:C3168,AutoClaim_Data!B2:B3168,"Train",AutoClaim_Data!D2:D3168,"&lt;="&amp;$B$2),AVERAGEIFS(AutoClaim_Data!C2:C3168,AutoClaim_Data!B2:B3168,"Train",AutoClaim_Data!D2:D3168,"&gt;"&amp;$B$2))</f>
        <v/>
      </c>
      <c r="H2104">
        <f>IF(AutoClaim_Data!D2104&lt;=$B$2,IF(AutoClaim_Data!E2104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4">
        <f>(F2104-H2104)^2</f>
        <v/>
      </c>
      <c r="J2104">
        <f>--(E2104="Validation")</f>
        <v/>
      </c>
    </row>
    <row r="2105">
      <c r="D2105">
        <f>AutoClaim_Data!A2105</f>
        <v/>
      </c>
      <c r="E2105">
        <f>AutoClaim_Data!B2105</f>
        <v/>
      </c>
      <c r="F2105">
        <f>AutoClaim_Data!C2105</f>
        <v/>
      </c>
      <c r="G2105">
        <f>IF(AutoClaim_Data!D2105&lt;=$B$2,AVERAGEIFS(AutoClaim_Data!C2:C3168,AutoClaim_Data!B2:B3168,"Train",AutoClaim_Data!D2:D3168,"&lt;="&amp;$B$2),AVERAGEIFS(AutoClaim_Data!C2:C3168,AutoClaim_Data!B2:B3168,"Train",AutoClaim_Data!D2:D3168,"&gt;"&amp;$B$2))</f>
        <v/>
      </c>
      <c r="H2105">
        <f>IF(AutoClaim_Data!D2105&lt;=$B$2,IF(AutoClaim_Data!E2105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5">
        <f>(F2105-H2105)^2</f>
        <v/>
      </c>
      <c r="J2105">
        <f>--(E2105="Validation")</f>
        <v/>
      </c>
    </row>
    <row r="2106">
      <c r="D2106">
        <f>AutoClaim_Data!A2106</f>
        <v/>
      </c>
      <c r="E2106">
        <f>AutoClaim_Data!B2106</f>
        <v/>
      </c>
      <c r="F2106">
        <f>AutoClaim_Data!C2106</f>
        <v/>
      </c>
      <c r="G2106">
        <f>IF(AutoClaim_Data!D2106&lt;=$B$2,AVERAGEIFS(AutoClaim_Data!C2:C3168,AutoClaim_Data!B2:B3168,"Train",AutoClaim_Data!D2:D3168,"&lt;="&amp;$B$2),AVERAGEIFS(AutoClaim_Data!C2:C3168,AutoClaim_Data!B2:B3168,"Train",AutoClaim_Data!D2:D3168,"&gt;"&amp;$B$2))</f>
        <v/>
      </c>
      <c r="H2106">
        <f>IF(AutoClaim_Data!D2106&lt;=$B$2,IF(AutoClaim_Data!E2106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6">
        <f>(F2106-H2106)^2</f>
        <v/>
      </c>
      <c r="J2106">
        <f>--(E2106="Validation")</f>
        <v/>
      </c>
    </row>
    <row r="2107">
      <c r="D2107">
        <f>AutoClaim_Data!A2107</f>
        <v/>
      </c>
      <c r="E2107">
        <f>AutoClaim_Data!B2107</f>
        <v/>
      </c>
      <c r="F2107">
        <f>AutoClaim_Data!C2107</f>
        <v/>
      </c>
      <c r="G2107">
        <f>IF(AutoClaim_Data!D2107&lt;=$B$2,AVERAGEIFS(AutoClaim_Data!C2:C3168,AutoClaim_Data!B2:B3168,"Train",AutoClaim_Data!D2:D3168,"&lt;="&amp;$B$2),AVERAGEIFS(AutoClaim_Data!C2:C3168,AutoClaim_Data!B2:B3168,"Train",AutoClaim_Data!D2:D3168,"&gt;"&amp;$B$2))</f>
        <v/>
      </c>
      <c r="H2107">
        <f>IF(AutoClaim_Data!D2107&lt;=$B$2,IF(AutoClaim_Data!E2107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7">
        <f>(F2107-H2107)^2</f>
        <v/>
      </c>
      <c r="J2107">
        <f>--(E2107="Validation")</f>
        <v/>
      </c>
    </row>
    <row r="2108">
      <c r="D2108">
        <f>AutoClaim_Data!A2108</f>
        <v/>
      </c>
      <c r="E2108">
        <f>AutoClaim_Data!B2108</f>
        <v/>
      </c>
      <c r="F2108">
        <f>AutoClaim_Data!C2108</f>
        <v/>
      </c>
      <c r="G2108">
        <f>IF(AutoClaim_Data!D2108&lt;=$B$2,AVERAGEIFS(AutoClaim_Data!C2:C3168,AutoClaim_Data!B2:B3168,"Train",AutoClaim_Data!D2:D3168,"&lt;="&amp;$B$2),AVERAGEIFS(AutoClaim_Data!C2:C3168,AutoClaim_Data!B2:B3168,"Train",AutoClaim_Data!D2:D3168,"&gt;"&amp;$B$2))</f>
        <v/>
      </c>
      <c r="H2108">
        <f>IF(AutoClaim_Data!D2108&lt;=$B$2,IF(AutoClaim_Data!E2108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8">
        <f>(F2108-H2108)^2</f>
        <v/>
      </c>
      <c r="J2108">
        <f>--(E2108="Validation")</f>
        <v/>
      </c>
    </row>
    <row r="2109">
      <c r="D2109">
        <f>AutoClaim_Data!A2109</f>
        <v/>
      </c>
      <c r="E2109">
        <f>AutoClaim_Data!B2109</f>
        <v/>
      </c>
      <c r="F2109">
        <f>AutoClaim_Data!C2109</f>
        <v/>
      </c>
      <c r="G2109">
        <f>IF(AutoClaim_Data!D2109&lt;=$B$2,AVERAGEIFS(AutoClaim_Data!C2:C3168,AutoClaim_Data!B2:B3168,"Train",AutoClaim_Data!D2:D3168,"&lt;="&amp;$B$2),AVERAGEIFS(AutoClaim_Data!C2:C3168,AutoClaim_Data!B2:B3168,"Train",AutoClaim_Data!D2:D3168,"&gt;"&amp;$B$2))</f>
        <v/>
      </c>
      <c r="H2109">
        <f>IF(AutoClaim_Data!D2109&lt;=$B$2,IF(AutoClaim_Data!E2109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09">
        <f>(F2109-H2109)^2</f>
        <v/>
      </c>
      <c r="J2109">
        <f>--(E2109="Validation")</f>
        <v/>
      </c>
    </row>
    <row r="2110">
      <c r="D2110">
        <f>AutoClaim_Data!A2110</f>
        <v/>
      </c>
      <c r="E2110">
        <f>AutoClaim_Data!B2110</f>
        <v/>
      </c>
      <c r="F2110">
        <f>AutoClaim_Data!C2110</f>
        <v/>
      </c>
      <c r="G2110">
        <f>IF(AutoClaim_Data!D2110&lt;=$B$2,AVERAGEIFS(AutoClaim_Data!C2:C3168,AutoClaim_Data!B2:B3168,"Train",AutoClaim_Data!D2:D3168,"&lt;="&amp;$B$2),AVERAGEIFS(AutoClaim_Data!C2:C3168,AutoClaim_Data!B2:B3168,"Train",AutoClaim_Data!D2:D3168,"&gt;"&amp;$B$2))</f>
        <v/>
      </c>
      <c r="H2110">
        <f>IF(AutoClaim_Data!D2110&lt;=$B$2,IF(AutoClaim_Data!E2110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0">
        <f>(F2110-H2110)^2</f>
        <v/>
      </c>
      <c r="J2110">
        <f>--(E2110="Validation")</f>
        <v/>
      </c>
    </row>
    <row r="2111">
      <c r="D2111">
        <f>AutoClaim_Data!A2111</f>
        <v/>
      </c>
      <c r="E2111">
        <f>AutoClaim_Data!B2111</f>
        <v/>
      </c>
      <c r="F2111">
        <f>AutoClaim_Data!C2111</f>
        <v/>
      </c>
      <c r="G2111">
        <f>IF(AutoClaim_Data!D2111&lt;=$B$2,AVERAGEIFS(AutoClaim_Data!C2:C3168,AutoClaim_Data!B2:B3168,"Train",AutoClaim_Data!D2:D3168,"&lt;="&amp;$B$2),AVERAGEIFS(AutoClaim_Data!C2:C3168,AutoClaim_Data!B2:B3168,"Train",AutoClaim_Data!D2:D3168,"&gt;"&amp;$B$2))</f>
        <v/>
      </c>
      <c r="H2111">
        <f>IF(AutoClaim_Data!D2111&lt;=$B$2,IF(AutoClaim_Data!E2111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1">
        <f>(F2111-H2111)^2</f>
        <v/>
      </c>
      <c r="J2111">
        <f>--(E2111="Validation")</f>
        <v/>
      </c>
    </row>
    <row r="2112">
      <c r="D2112">
        <f>AutoClaim_Data!A2112</f>
        <v/>
      </c>
      <c r="E2112">
        <f>AutoClaim_Data!B2112</f>
        <v/>
      </c>
      <c r="F2112">
        <f>AutoClaim_Data!C2112</f>
        <v/>
      </c>
      <c r="G2112">
        <f>IF(AutoClaim_Data!D2112&lt;=$B$2,AVERAGEIFS(AutoClaim_Data!C2:C3168,AutoClaim_Data!B2:B3168,"Train",AutoClaim_Data!D2:D3168,"&lt;="&amp;$B$2),AVERAGEIFS(AutoClaim_Data!C2:C3168,AutoClaim_Data!B2:B3168,"Train",AutoClaim_Data!D2:D3168,"&gt;"&amp;$B$2))</f>
        <v/>
      </c>
      <c r="H2112">
        <f>IF(AutoClaim_Data!D2112&lt;=$B$2,IF(AutoClaim_Data!E2112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2">
        <f>(F2112-H2112)^2</f>
        <v/>
      </c>
      <c r="J2112">
        <f>--(E2112="Validation")</f>
        <v/>
      </c>
    </row>
    <row r="2113">
      <c r="D2113">
        <f>AutoClaim_Data!A2113</f>
        <v/>
      </c>
      <c r="E2113">
        <f>AutoClaim_Data!B2113</f>
        <v/>
      </c>
      <c r="F2113">
        <f>AutoClaim_Data!C2113</f>
        <v/>
      </c>
      <c r="G2113">
        <f>IF(AutoClaim_Data!D2113&lt;=$B$2,AVERAGEIFS(AutoClaim_Data!C2:C3168,AutoClaim_Data!B2:B3168,"Train",AutoClaim_Data!D2:D3168,"&lt;="&amp;$B$2),AVERAGEIFS(AutoClaim_Data!C2:C3168,AutoClaim_Data!B2:B3168,"Train",AutoClaim_Data!D2:D3168,"&gt;"&amp;$B$2))</f>
        <v/>
      </c>
      <c r="H2113">
        <f>IF(AutoClaim_Data!D2113&lt;=$B$2,IF(AutoClaim_Data!E2113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3">
        <f>(F2113-H2113)^2</f>
        <v/>
      </c>
      <c r="J2113">
        <f>--(E2113="Validation")</f>
        <v/>
      </c>
    </row>
    <row r="2114">
      <c r="D2114">
        <f>AutoClaim_Data!A2114</f>
        <v/>
      </c>
      <c r="E2114">
        <f>AutoClaim_Data!B2114</f>
        <v/>
      </c>
      <c r="F2114">
        <f>AutoClaim_Data!C2114</f>
        <v/>
      </c>
      <c r="G2114">
        <f>IF(AutoClaim_Data!D2114&lt;=$B$2,AVERAGEIFS(AutoClaim_Data!C2:C3168,AutoClaim_Data!B2:B3168,"Train",AutoClaim_Data!D2:D3168,"&lt;="&amp;$B$2),AVERAGEIFS(AutoClaim_Data!C2:C3168,AutoClaim_Data!B2:B3168,"Train",AutoClaim_Data!D2:D3168,"&gt;"&amp;$B$2))</f>
        <v/>
      </c>
      <c r="H2114">
        <f>IF(AutoClaim_Data!D2114&lt;=$B$2,IF(AutoClaim_Data!E2114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4">
        <f>(F2114-H2114)^2</f>
        <v/>
      </c>
      <c r="J2114">
        <f>--(E2114="Validation")</f>
        <v/>
      </c>
    </row>
    <row r="2115">
      <c r="D2115">
        <f>AutoClaim_Data!A2115</f>
        <v/>
      </c>
      <c r="E2115">
        <f>AutoClaim_Data!B2115</f>
        <v/>
      </c>
      <c r="F2115">
        <f>AutoClaim_Data!C2115</f>
        <v/>
      </c>
      <c r="G2115">
        <f>IF(AutoClaim_Data!D2115&lt;=$B$2,AVERAGEIFS(AutoClaim_Data!C2:C3168,AutoClaim_Data!B2:B3168,"Train",AutoClaim_Data!D2:D3168,"&lt;="&amp;$B$2),AVERAGEIFS(AutoClaim_Data!C2:C3168,AutoClaim_Data!B2:B3168,"Train",AutoClaim_Data!D2:D3168,"&gt;"&amp;$B$2))</f>
        <v/>
      </c>
      <c r="H2115">
        <f>IF(AutoClaim_Data!D2115&lt;=$B$2,IF(AutoClaim_Data!E2115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5">
        <f>(F2115-H2115)^2</f>
        <v/>
      </c>
      <c r="J2115">
        <f>--(E2115="Validation")</f>
        <v/>
      </c>
    </row>
    <row r="2116">
      <c r="D2116">
        <f>AutoClaim_Data!A2116</f>
        <v/>
      </c>
      <c r="E2116">
        <f>AutoClaim_Data!B2116</f>
        <v/>
      </c>
      <c r="F2116">
        <f>AutoClaim_Data!C2116</f>
        <v/>
      </c>
      <c r="G2116">
        <f>IF(AutoClaim_Data!D2116&lt;=$B$2,AVERAGEIFS(AutoClaim_Data!C2:C3168,AutoClaim_Data!B2:B3168,"Train",AutoClaim_Data!D2:D3168,"&lt;="&amp;$B$2),AVERAGEIFS(AutoClaim_Data!C2:C3168,AutoClaim_Data!B2:B3168,"Train",AutoClaim_Data!D2:D3168,"&gt;"&amp;$B$2))</f>
        <v/>
      </c>
      <c r="H2116">
        <f>IF(AutoClaim_Data!D2116&lt;=$B$2,IF(AutoClaim_Data!E2116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6">
        <f>(F2116-H2116)^2</f>
        <v/>
      </c>
      <c r="J2116">
        <f>--(E2116="Validation")</f>
        <v/>
      </c>
    </row>
    <row r="2117">
      <c r="D2117">
        <f>AutoClaim_Data!A2117</f>
        <v/>
      </c>
      <c r="E2117">
        <f>AutoClaim_Data!B2117</f>
        <v/>
      </c>
      <c r="F2117">
        <f>AutoClaim_Data!C2117</f>
        <v/>
      </c>
      <c r="G2117">
        <f>IF(AutoClaim_Data!D2117&lt;=$B$2,AVERAGEIFS(AutoClaim_Data!C2:C3168,AutoClaim_Data!B2:B3168,"Train",AutoClaim_Data!D2:D3168,"&lt;="&amp;$B$2),AVERAGEIFS(AutoClaim_Data!C2:C3168,AutoClaim_Data!B2:B3168,"Train",AutoClaim_Data!D2:D3168,"&gt;"&amp;$B$2))</f>
        <v/>
      </c>
      <c r="H2117">
        <f>IF(AutoClaim_Data!D2117&lt;=$B$2,IF(AutoClaim_Data!E2117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7">
        <f>(F2117-H2117)^2</f>
        <v/>
      </c>
      <c r="J2117">
        <f>--(E2117="Validation")</f>
        <v/>
      </c>
    </row>
    <row r="2118">
      <c r="D2118">
        <f>AutoClaim_Data!A2118</f>
        <v/>
      </c>
      <c r="E2118">
        <f>AutoClaim_Data!B2118</f>
        <v/>
      </c>
      <c r="F2118">
        <f>AutoClaim_Data!C2118</f>
        <v/>
      </c>
      <c r="G2118">
        <f>IF(AutoClaim_Data!D2118&lt;=$B$2,AVERAGEIFS(AutoClaim_Data!C2:C3168,AutoClaim_Data!B2:B3168,"Train",AutoClaim_Data!D2:D3168,"&lt;="&amp;$B$2),AVERAGEIFS(AutoClaim_Data!C2:C3168,AutoClaim_Data!B2:B3168,"Train",AutoClaim_Data!D2:D3168,"&gt;"&amp;$B$2))</f>
        <v/>
      </c>
      <c r="H2118">
        <f>IF(AutoClaim_Data!D2118&lt;=$B$2,IF(AutoClaim_Data!E2118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8">
        <f>(F2118-H2118)^2</f>
        <v/>
      </c>
      <c r="J2118">
        <f>--(E2118="Validation")</f>
        <v/>
      </c>
    </row>
    <row r="2119">
      <c r="D2119">
        <f>AutoClaim_Data!A2119</f>
        <v/>
      </c>
      <c r="E2119">
        <f>AutoClaim_Data!B2119</f>
        <v/>
      </c>
      <c r="F2119">
        <f>AutoClaim_Data!C2119</f>
        <v/>
      </c>
      <c r="G2119">
        <f>IF(AutoClaim_Data!D2119&lt;=$B$2,AVERAGEIFS(AutoClaim_Data!C2:C3168,AutoClaim_Data!B2:B3168,"Train",AutoClaim_Data!D2:D3168,"&lt;="&amp;$B$2),AVERAGEIFS(AutoClaim_Data!C2:C3168,AutoClaim_Data!B2:B3168,"Train",AutoClaim_Data!D2:D3168,"&gt;"&amp;$B$2))</f>
        <v/>
      </c>
      <c r="H2119">
        <f>IF(AutoClaim_Data!D2119&lt;=$B$2,IF(AutoClaim_Data!E2119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19">
        <f>(F2119-H2119)^2</f>
        <v/>
      </c>
      <c r="J2119">
        <f>--(E2119="Validation")</f>
        <v/>
      </c>
    </row>
    <row r="2120">
      <c r="D2120">
        <f>AutoClaim_Data!A2120</f>
        <v/>
      </c>
      <c r="E2120">
        <f>AutoClaim_Data!B2120</f>
        <v/>
      </c>
      <c r="F2120">
        <f>AutoClaim_Data!C2120</f>
        <v/>
      </c>
      <c r="G2120">
        <f>IF(AutoClaim_Data!D2120&lt;=$B$2,AVERAGEIFS(AutoClaim_Data!C2:C3168,AutoClaim_Data!B2:B3168,"Train",AutoClaim_Data!D2:D3168,"&lt;="&amp;$B$2),AVERAGEIFS(AutoClaim_Data!C2:C3168,AutoClaim_Data!B2:B3168,"Train",AutoClaim_Data!D2:D3168,"&gt;"&amp;$B$2))</f>
        <v/>
      </c>
      <c r="H2120">
        <f>IF(AutoClaim_Data!D2120&lt;=$B$2,IF(AutoClaim_Data!E2120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0">
        <f>(F2120-H2120)^2</f>
        <v/>
      </c>
      <c r="J2120">
        <f>--(E2120="Validation")</f>
        <v/>
      </c>
    </row>
    <row r="2121">
      <c r="D2121">
        <f>AutoClaim_Data!A2121</f>
        <v/>
      </c>
      <c r="E2121">
        <f>AutoClaim_Data!B2121</f>
        <v/>
      </c>
      <c r="F2121">
        <f>AutoClaim_Data!C2121</f>
        <v/>
      </c>
      <c r="G2121">
        <f>IF(AutoClaim_Data!D2121&lt;=$B$2,AVERAGEIFS(AutoClaim_Data!C2:C3168,AutoClaim_Data!B2:B3168,"Train",AutoClaim_Data!D2:D3168,"&lt;="&amp;$B$2),AVERAGEIFS(AutoClaim_Data!C2:C3168,AutoClaim_Data!B2:B3168,"Train",AutoClaim_Data!D2:D3168,"&gt;"&amp;$B$2))</f>
        <v/>
      </c>
      <c r="H2121">
        <f>IF(AutoClaim_Data!D2121&lt;=$B$2,IF(AutoClaim_Data!E2121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1">
        <f>(F2121-H2121)^2</f>
        <v/>
      </c>
      <c r="J2121">
        <f>--(E2121="Validation")</f>
        <v/>
      </c>
    </row>
    <row r="2122">
      <c r="D2122">
        <f>AutoClaim_Data!A2122</f>
        <v/>
      </c>
      <c r="E2122">
        <f>AutoClaim_Data!B2122</f>
        <v/>
      </c>
      <c r="F2122">
        <f>AutoClaim_Data!C2122</f>
        <v/>
      </c>
      <c r="G2122">
        <f>IF(AutoClaim_Data!D2122&lt;=$B$2,AVERAGEIFS(AutoClaim_Data!C2:C3168,AutoClaim_Data!B2:B3168,"Train",AutoClaim_Data!D2:D3168,"&lt;="&amp;$B$2),AVERAGEIFS(AutoClaim_Data!C2:C3168,AutoClaim_Data!B2:B3168,"Train",AutoClaim_Data!D2:D3168,"&gt;"&amp;$B$2))</f>
        <v/>
      </c>
      <c r="H2122">
        <f>IF(AutoClaim_Data!D2122&lt;=$B$2,IF(AutoClaim_Data!E2122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2">
        <f>(F2122-H2122)^2</f>
        <v/>
      </c>
      <c r="J2122">
        <f>--(E2122="Validation")</f>
        <v/>
      </c>
    </row>
    <row r="2123">
      <c r="D2123">
        <f>AutoClaim_Data!A2123</f>
        <v/>
      </c>
      <c r="E2123">
        <f>AutoClaim_Data!B2123</f>
        <v/>
      </c>
      <c r="F2123">
        <f>AutoClaim_Data!C2123</f>
        <v/>
      </c>
      <c r="G2123">
        <f>IF(AutoClaim_Data!D2123&lt;=$B$2,AVERAGEIFS(AutoClaim_Data!C2:C3168,AutoClaim_Data!B2:B3168,"Train",AutoClaim_Data!D2:D3168,"&lt;="&amp;$B$2),AVERAGEIFS(AutoClaim_Data!C2:C3168,AutoClaim_Data!B2:B3168,"Train",AutoClaim_Data!D2:D3168,"&gt;"&amp;$B$2))</f>
        <v/>
      </c>
      <c r="H2123">
        <f>IF(AutoClaim_Data!D2123&lt;=$B$2,IF(AutoClaim_Data!E2123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3">
        <f>(F2123-H2123)^2</f>
        <v/>
      </c>
      <c r="J2123">
        <f>--(E2123="Validation")</f>
        <v/>
      </c>
    </row>
    <row r="2124">
      <c r="D2124">
        <f>AutoClaim_Data!A2124</f>
        <v/>
      </c>
      <c r="E2124">
        <f>AutoClaim_Data!B2124</f>
        <v/>
      </c>
      <c r="F2124">
        <f>AutoClaim_Data!C2124</f>
        <v/>
      </c>
      <c r="G2124">
        <f>IF(AutoClaim_Data!D2124&lt;=$B$2,AVERAGEIFS(AutoClaim_Data!C2:C3168,AutoClaim_Data!B2:B3168,"Train",AutoClaim_Data!D2:D3168,"&lt;="&amp;$B$2),AVERAGEIFS(AutoClaim_Data!C2:C3168,AutoClaim_Data!B2:B3168,"Train",AutoClaim_Data!D2:D3168,"&gt;"&amp;$B$2))</f>
        <v/>
      </c>
      <c r="H2124">
        <f>IF(AutoClaim_Data!D2124&lt;=$B$2,IF(AutoClaim_Data!E2124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4">
        <f>(F2124-H2124)^2</f>
        <v/>
      </c>
      <c r="J2124">
        <f>--(E2124="Validation")</f>
        <v/>
      </c>
    </row>
    <row r="2125">
      <c r="D2125">
        <f>AutoClaim_Data!A2125</f>
        <v/>
      </c>
      <c r="E2125">
        <f>AutoClaim_Data!B2125</f>
        <v/>
      </c>
      <c r="F2125">
        <f>AutoClaim_Data!C2125</f>
        <v/>
      </c>
      <c r="G2125">
        <f>IF(AutoClaim_Data!D2125&lt;=$B$2,AVERAGEIFS(AutoClaim_Data!C2:C3168,AutoClaim_Data!B2:B3168,"Train",AutoClaim_Data!D2:D3168,"&lt;="&amp;$B$2),AVERAGEIFS(AutoClaim_Data!C2:C3168,AutoClaim_Data!B2:B3168,"Train",AutoClaim_Data!D2:D3168,"&gt;"&amp;$B$2))</f>
        <v/>
      </c>
      <c r="H2125">
        <f>IF(AutoClaim_Data!D2125&lt;=$B$2,IF(AutoClaim_Data!E2125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5">
        <f>(F2125-H2125)^2</f>
        <v/>
      </c>
      <c r="J2125">
        <f>--(E2125="Validation")</f>
        <v/>
      </c>
    </row>
    <row r="2126">
      <c r="D2126">
        <f>AutoClaim_Data!A2126</f>
        <v/>
      </c>
      <c r="E2126">
        <f>AutoClaim_Data!B2126</f>
        <v/>
      </c>
      <c r="F2126">
        <f>AutoClaim_Data!C2126</f>
        <v/>
      </c>
      <c r="G2126">
        <f>IF(AutoClaim_Data!D2126&lt;=$B$2,AVERAGEIFS(AutoClaim_Data!C2:C3168,AutoClaim_Data!B2:B3168,"Train",AutoClaim_Data!D2:D3168,"&lt;="&amp;$B$2),AVERAGEIFS(AutoClaim_Data!C2:C3168,AutoClaim_Data!B2:B3168,"Train",AutoClaim_Data!D2:D3168,"&gt;"&amp;$B$2))</f>
        <v/>
      </c>
      <c r="H2126">
        <f>IF(AutoClaim_Data!D2126&lt;=$B$2,IF(AutoClaim_Data!E2126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6">
        <f>(F2126-H2126)^2</f>
        <v/>
      </c>
      <c r="J2126">
        <f>--(E2126="Validation")</f>
        <v/>
      </c>
    </row>
    <row r="2127">
      <c r="D2127">
        <f>AutoClaim_Data!A2127</f>
        <v/>
      </c>
      <c r="E2127">
        <f>AutoClaim_Data!B2127</f>
        <v/>
      </c>
      <c r="F2127">
        <f>AutoClaim_Data!C2127</f>
        <v/>
      </c>
      <c r="G2127">
        <f>IF(AutoClaim_Data!D2127&lt;=$B$2,AVERAGEIFS(AutoClaim_Data!C2:C3168,AutoClaim_Data!B2:B3168,"Train",AutoClaim_Data!D2:D3168,"&lt;="&amp;$B$2),AVERAGEIFS(AutoClaim_Data!C2:C3168,AutoClaim_Data!B2:B3168,"Train",AutoClaim_Data!D2:D3168,"&gt;"&amp;$B$2))</f>
        <v/>
      </c>
      <c r="H2127">
        <f>IF(AutoClaim_Data!D2127&lt;=$B$2,IF(AutoClaim_Data!E2127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7">
        <f>(F2127-H2127)^2</f>
        <v/>
      </c>
      <c r="J2127">
        <f>--(E2127="Validation")</f>
        <v/>
      </c>
    </row>
    <row r="2128">
      <c r="D2128">
        <f>AutoClaim_Data!A2128</f>
        <v/>
      </c>
      <c r="E2128">
        <f>AutoClaim_Data!B2128</f>
        <v/>
      </c>
      <c r="F2128">
        <f>AutoClaim_Data!C2128</f>
        <v/>
      </c>
      <c r="G2128">
        <f>IF(AutoClaim_Data!D2128&lt;=$B$2,AVERAGEIFS(AutoClaim_Data!C2:C3168,AutoClaim_Data!B2:B3168,"Train",AutoClaim_Data!D2:D3168,"&lt;="&amp;$B$2),AVERAGEIFS(AutoClaim_Data!C2:C3168,AutoClaim_Data!B2:B3168,"Train",AutoClaim_Data!D2:D3168,"&gt;"&amp;$B$2))</f>
        <v/>
      </c>
      <c r="H2128">
        <f>IF(AutoClaim_Data!D2128&lt;=$B$2,IF(AutoClaim_Data!E2128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8">
        <f>(F2128-H2128)^2</f>
        <v/>
      </c>
      <c r="J2128">
        <f>--(E2128="Validation")</f>
        <v/>
      </c>
    </row>
    <row r="2129">
      <c r="D2129">
        <f>AutoClaim_Data!A2129</f>
        <v/>
      </c>
      <c r="E2129">
        <f>AutoClaim_Data!B2129</f>
        <v/>
      </c>
      <c r="F2129">
        <f>AutoClaim_Data!C2129</f>
        <v/>
      </c>
      <c r="G2129">
        <f>IF(AutoClaim_Data!D2129&lt;=$B$2,AVERAGEIFS(AutoClaim_Data!C2:C3168,AutoClaim_Data!B2:B3168,"Train",AutoClaim_Data!D2:D3168,"&lt;="&amp;$B$2),AVERAGEIFS(AutoClaim_Data!C2:C3168,AutoClaim_Data!B2:B3168,"Train",AutoClaim_Data!D2:D3168,"&gt;"&amp;$B$2))</f>
        <v/>
      </c>
      <c r="H2129">
        <f>IF(AutoClaim_Data!D2129&lt;=$B$2,IF(AutoClaim_Data!E2129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29">
        <f>(F2129-H2129)^2</f>
        <v/>
      </c>
      <c r="J2129">
        <f>--(E2129="Validation")</f>
        <v/>
      </c>
    </row>
    <row r="2130">
      <c r="D2130">
        <f>AutoClaim_Data!A2130</f>
        <v/>
      </c>
      <c r="E2130">
        <f>AutoClaim_Data!B2130</f>
        <v/>
      </c>
      <c r="F2130">
        <f>AutoClaim_Data!C2130</f>
        <v/>
      </c>
      <c r="G2130">
        <f>IF(AutoClaim_Data!D2130&lt;=$B$2,AVERAGEIFS(AutoClaim_Data!C2:C3168,AutoClaim_Data!B2:B3168,"Train",AutoClaim_Data!D2:D3168,"&lt;="&amp;$B$2),AVERAGEIFS(AutoClaim_Data!C2:C3168,AutoClaim_Data!B2:B3168,"Train",AutoClaim_Data!D2:D3168,"&gt;"&amp;$B$2))</f>
        <v/>
      </c>
      <c r="H2130">
        <f>IF(AutoClaim_Data!D2130&lt;=$B$2,IF(AutoClaim_Data!E2130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0">
        <f>(F2130-H2130)^2</f>
        <v/>
      </c>
      <c r="J2130">
        <f>--(E2130="Validation")</f>
        <v/>
      </c>
    </row>
    <row r="2131">
      <c r="D2131">
        <f>AutoClaim_Data!A2131</f>
        <v/>
      </c>
      <c r="E2131">
        <f>AutoClaim_Data!B2131</f>
        <v/>
      </c>
      <c r="F2131">
        <f>AutoClaim_Data!C2131</f>
        <v/>
      </c>
      <c r="G2131">
        <f>IF(AutoClaim_Data!D2131&lt;=$B$2,AVERAGEIFS(AutoClaim_Data!C2:C3168,AutoClaim_Data!B2:B3168,"Train",AutoClaim_Data!D2:D3168,"&lt;="&amp;$B$2),AVERAGEIFS(AutoClaim_Data!C2:C3168,AutoClaim_Data!B2:B3168,"Train",AutoClaim_Data!D2:D3168,"&gt;"&amp;$B$2))</f>
        <v/>
      </c>
      <c r="H2131">
        <f>IF(AutoClaim_Data!D2131&lt;=$B$2,IF(AutoClaim_Data!E2131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1">
        <f>(F2131-H2131)^2</f>
        <v/>
      </c>
      <c r="J2131">
        <f>--(E2131="Validation")</f>
        <v/>
      </c>
    </row>
    <row r="2132">
      <c r="D2132">
        <f>AutoClaim_Data!A2132</f>
        <v/>
      </c>
      <c r="E2132">
        <f>AutoClaim_Data!B2132</f>
        <v/>
      </c>
      <c r="F2132">
        <f>AutoClaim_Data!C2132</f>
        <v/>
      </c>
      <c r="G2132">
        <f>IF(AutoClaim_Data!D2132&lt;=$B$2,AVERAGEIFS(AutoClaim_Data!C2:C3168,AutoClaim_Data!B2:B3168,"Train",AutoClaim_Data!D2:D3168,"&lt;="&amp;$B$2),AVERAGEIFS(AutoClaim_Data!C2:C3168,AutoClaim_Data!B2:B3168,"Train",AutoClaim_Data!D2:D3168,"&gt;"&amp;$B$2))</f>
        <v/>
      </c>
      <c r="H2132">
        <f>IF(AutoClaim_Data!D2132&lt;=$B$2,IF(AutoClaim_Data!E2132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2">
        <f>(F2132-H2132)^2</f>
        <v/>
      </c>
      <c r="J2132">
        <f>--(E2132="Validation")</f>
        <v/>
      </c>
    </row>
    <row r="2133">
      <c r="D2133">
        <f>AutoClaim_Data!A2133</f>
        <v/>
      </c>
      <c r="E2133">
        <f>AutoClaim_Data!B2133</f>
        <v/>
      </c>
      <c r="F2133">
        <f>AutoClaim_Data!C2133</f>
        <v/>
      </c>
      <c r="G2133">
        <f>IF(AutoClaim_Data!D2133&lt;=$B$2,AVERAGEIFS(AutoClaim_Data!C2:C3168,AutoClaim_Data!B2:B3168,"Train",AutoClaim_Data!D2:D3168,"&lt;="&amp;$B$2),AVERAGEIFS(AutoClaim_Data!C2:C3168,AutoClaim_Data!B2:B3168,"Train",AutoClaim_Data!D2:D3168,"&gt;"&amp;$B$2))</f>
        <v/>
      </c>
      <c r="H2133">
        <f>IF(AutoClaim_Data!D2133&lt;=$B$2,IF(AutoClaim_Data!E2133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3">
        <f>(F2133-H2133)^2</f>
        <v/>
      </c>
      <c r="J2133">
        <f>--(E2133="Validation")</f>
        <v/>
      </c>
    </row>
    <row r="2134">
      <c r="D2134">
        <f>AutoClaim_Data!A2134</f>
        <v/>
      </c>
      <c r="E2134">
        <f>AutoClaim_Data!B2134</f>
        <v/>
      </c>
      <c r="F2134">
        <f>AutoClaim_Data!C2134</f>
        <v/>
      </c>
      <c r="G2134">
        <f>IF(AutoClaim_Data!D2134&lt;=$B$2,AVERAGEIFS(AutoClaim_Data!C2:C3168,AutoClaim_Data!B2:B3168,"Train",AutoClaim_Data!D2:D3168,"&lt;="&amp;$B$2),AVERAGEIFS(AutoClaim_Data!C2:C3168,AutoClaim_Data!B2:B3168,"Train",AutoClaim_Data!D2:D3168,"&gt;"&amp;$B$2))</f>
        <v/>
      </c>
      <c r="H2134">
        <f>IF(AutoClaim_Data!D2134&lt;=$B$2,IF(AutoClaim_Data!E2134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4">
        <f>(F2134-H2134)^2</f>
        <v/>
      </c>
      <c r="J2134">
        <f>--(E2134="Validation")</f>
        <v/>
      </c>
    </row>
    <row r="2135">
      <c r="D2135">
        <f>AutoClaim_Data!A2135</f>
        <v/>
      </c>
      <c r="E2135">
        <f>AutoClaim_Data!B2135</f>
        <v/>
      </c>
      <c r="F2135">
        <f>AutoClaim_Data!C2135</f>
        <v/>
      </c>
      <c r="G2135">
        <f>IF(AutoClaim_Data!D2135&lt;=$B$2,AVERAGEIFS(AutoClaim_Data!C2:C3168,AutoClaim_Data!B2:B3168,"Train",AutoClaim_Data!D2:D3168,"&lt;="&amp;$B$2),AVERAGEIFS(AutoClaim_Data!C2:C3168,AutoClaim_Data!B2:B3168,"Train",AutoClaim_Data!D2:D3168,"&gt;"&amp;$B$2))</f>
        <v/>
      </c>
      <c r="H2135">
        <f>IF(AutoClaim_Data!D2135&lt;=$B$2,IF(AutoClaim_Data!E2135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5">
        <f>(F2135-H2135)^2</f>
        <v/>
      </c>
      <c r="J2135">
        <f>--(E2135="Validation")</f>
        <v/>
      </c>
    </row>
    <row r="2136">
      <c r="D2136">
        <f>AutoClaim_Data!A2136</f>
        <v/>
      </c>
      <c r="E2136">
        <f>AutoClaim_Data!B2136</f>
        <v/>
      </c>
      <c r="F2136">
        <f>AutoClaim_Data!C2136</f>
        <v/>
      </c>
      <c r="G2136">
        <f>IF(AutoClaim_Data!D2136&lt;=$B$2,AVERAGEIFS(AutoClaim_Data!C2:C3168,AutoClaim_Data!B2:B3168,"Train",AutoClaim_Data!D2:D3168,"&lt;="&amp;$B$2),AVERAGEIFS(AutoClaim_Data!C2:C3168,AutoClaim_Data!B2:B3168,"Train",AutoClaim_Data!D2:D3168,"&gt;"&amp;$B$2))</f>
        <v/>
      </c>
      <c r="H2136">
        <f>IF(AutoClaim_Data!D2136&lt;=$B$2,IF(AutoClaim_Data!E2136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6">
        <f>(F2136-H2136)^2</f>
        <v/>
      </c>
      <c r="J2136">
        <f>--(E2136="Validation")</f>
        <v/>
      </c>
    </row>
    <row r="2137">
      <c r="D2137">
        <f>AutoClaim_Data!A2137</f>
        <v/>
      </c>
      <c r="E2137">
        <f>AutoClaim_Data!B2137</f>
        <v/>
      </c>
      <c r="F2137">
        <f>AutoClaim_Data!C2137</f>
        <v/>
      </c>
      <c r="G2137">
        <f>IF(AutoClaim_Data!D2137&lt;=$B$2,AVERAGEIFS(AutoClaim_Data!C2:C3168,AutoClaim_Data!B2:B3168,"Train",AutoClaim_Data!D2:D3168,"&lt;="&amp;$B$2),AVERAGEIFS(AutoClaim_Data!C2:C3168,AutoClaim_Data!B2:B3168,"Train",AutoClaim_Data!D2:D3168,"&gt;"&amp;$B$2))</f>
        <v/>
      </c>
      <c r="H2137">
        <f>IF(AutoClaim_Data!D2137&lt;=$B$2,IF(AutoClaim_Data!E2137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7">
        <f>(F2137-H2137)^2</f>
        <v/>
      </c>
      <c r="J2137">
        <f>--(E2137="Validation")</f>
        <v/>
      </c>
    </row>
    <row r="2138">
      <c r="D2138">
        <f>AutoClaim_Data!A2138</f>
        <v/>
      </c>
      <c r="E2138">
        <f>AutoClaim_Data!B2138</f>
        <v/>
      </c>
      <c r="F2138">
        <f>AutoClaim_Data!C2138</f>
        <v/>
      </c>
      <c r="G2138">
        <f>IF(AutoClaim_Data!D2138&lt;=$B$2,AVERAGEIFS(AutoClaim_Data!C2:C3168,AutoClaim_Data!B2:B3168,"Train",AutoClaim_Data!D2:D3168,"&lt;="&amp;$B$2),AVERAGEIFS(AutoClaim_Data!C2:C3168,AutoClaim_Data!B2:B3168,"Train",AutoClaim_Data!D2:D3168,"&gt;"&amp;$B$2))</f>
        <v/>
      </c>
      <c r="H2138">
        <f>IF(AutoClaim_Data!D2138&lt;=$B$2,IF(AutoClaim_Data!E2138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8">
        <f>(F2138-H2138)^2</f>
        <v/>
      </c>
      <c r="J2138">
        <f>--(E2138="Validation")</f>
        <v/>
      </c>
    </row>
    <row r="2139">
      <c r="D2139">
        <f>AutoClaim_Data!A2139</f>
        <v/>
      </c>
      <c r="E2139">
        <f>AutoClaim_Data!B2139</f>
        <v/>
      </c>
      <c r="F2139">
        <f>AutoClaim_Data!C2139</f>
        <v/>
      </c>
      <c r="G2139">
        <f>IF(AutoClaim_Data!D2139&lt;=$B$2,AVERAGEIFS(AutoClaim_Data!C2:C3168,AutoClaim_Data!B2:B3168,"Train",AutoClaim_Data!D2:D3168,"&lt;="&amp;$B$2),AVERAGEIFS(AutoClaim_Data!C2:C3168,AutoClaim_Data!B2:B3168,"Train",AutoClaim_Data!D2:D3168,"&gt;"&amp;$B$2))</f>
        <v/>
      </c>
      <c r="H2139">
        <f>IF(AutoClaim_Data!D2139&lt;=$B$2,IF(AutoClaim_Data!E2139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39">
        <f>(F2139-H2139)^2</f>
        <v/>
      </c>
      <c r="J2139">
        <f>--(E2139="Validation")</f>
        <v/>
      </c>
    </row>
    <row r="2140">
      <c r="D2140">
        <f>AutoClaim_Data!A2140</f>
        <v/>
      </c>
      <c r="E2140">
        <f>AutoClaim_Data!B2140</f>
        <v/>
      </c>
      <c r="F2140">
        <f>AutoClaim_Data!C2140</f>
        <v/>
      </c>
      <c r="G2140">
        <f>IF(AutoClaim_Data!D2140&lt;=$B$2,AVERAGEIFS(AutoClaim_Data!C2:C3168,AutoClaim_Data!B2:B3168,"Train",AutoClaim_Data!D2:D3168,"&lt;="&amp;$B$2),AVERAGEIFS(AutoClaim_Data!C2:C3168,AutoClaim_Data!B2:B3168,"Train",AutoClaim_Data!D2:D3168,"&gt;"&amp;$B$2))</f>
        <v/>
      </c>
      <c r="H2140">
        <f>IF(AutoClaim_Data!D2140&lt;=$B$2,IF(AutoClaim_Data!E2140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0">
        <f>(F2140-H2140)^2</f>
        <v/>
      </c>
      <c r="J2140">
        <f>--(E2140="Validation")</f>
        <v/>
      </c>
    </row>
    <row r="2141">
      <c r="D2141">
        <f>AutoClaim_Data!A2141</f>
        <v/>
      </c>
      <c r="E2141">
        <f>AutoClaim_Data!B2141</f>
        <v/>
      </c>
      <c r="F2141">
        <f>AutoClaim_Data!C2141</f>
        <v/>
      </c>
      <c r="G2141">
        <f>IF(AutoClaim_Data!D2141&lt;=$B$2,AVERAGEIFS(AutoClaim_Data!C2:C3168,AutoClaim_Data!B2:B3168,"Train",AutoClaim_Data!D2:D3168,"&lt;="&amp;$B$2),AVERAGEIFS(AutoClaim_Data!C2:C3168,AutoClaim_Data!B2:B3168,"Train",AutoClaim_Data!D2:D3168,"&gt;"&amp;$B$2))</f>
        <v/>
      </c>
      <c r="H2141">
        <f>IF(AutoClaim_Data!D2141&lt;=$B$2,IF(AutoClaim_Data!E2141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1">
        <f>(F2141-H2141)^2</f>
        <v/>
      </c>
      <c r="J2141">
        <f>--(E2141="Validation")</f>
        <v/>
      </c>
    </row>
    <row r="2142">
      <c r="D2142">
        <f>AutoClaim_Data!A2142</f>
        <v/>
      </c>
      <c r="E2142">
        <f>AutoClaim_Data!B2142</f>
        <v/>
      </c>
      <c r="F2142">
        <f>AutoClaim_Data!C2142</f>
        <v/>
      </c>
      <c r="G2142">
        <f>IF(AutoClaim_Data!D2142&lt;=$B$2,AVERAGEIFS(AutoClaim_Data!C2:C3168,AutoClaim_Data!B2:B3168,"Train",AutoClaim_Data!D2:D3168,"&lt;="&amp;$B$2),AVERAGEIFS(AutoClaim_Data!C2:C3168,AutoClaim_Data!B2:B3168,"Train",AutoClaim_Data!D2:D3168,"&gt;"&amp;$B$2))</f>
        <v/>
      </c>
      <c r="H2142">
        <f>IF(AutoClaim_Data!D2142&lt;=$B$2,IF(AutoClaim_Data!E2142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2">
        <f>(F2142-H2142)^2</f>
        <v/>
      </c>
      <c r="J2142">
        <f>--(E2142="Validation")</f>
        <v/>
      </c>
    </row>
    <row r="2143">
      <c r="D2143">
        <f>AutoClaim_Data!A2143</f>
        <v/>
      </c>
      <c r="E2143">
        <f>AutoClaim_Data!B2143</f>
        <v/>
      </c>
      <c r="F2143">
        <f>AutoClaim_Data!C2143</f>
        <v/>
      </c>
      <c r="G2143">
        <f>IF(AutoClaim_Data!D2143&lt;=$B$2,AVERAGEIFS(AutoClaim_Data!C2:C3168,AutoClaim_Data!B2:B3168,"Train",AutoClaim_Data!D2:D3168,"&lt;="&amp;$B$2),AVERAGEIFS(AutoClaim_Data!C2:C3168,AutoClaim_Data!B2:B3168,"Train",AutoClaim_Data!D2:D3168,"&gt;"&amp;$B$2))</f>
        <v/>
      </c>
      <c r="H2143">
        <f>IF(AutoClaim_Data!D2143&lt;=$B$2,IF(AutoClaim_Data!E2143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3">
        <f>(F2143-H2143)^2</f>
        <v/>
      </c>
      <c r="J2143">
        <f>--(E2143="Validation")</f>
        <v/>
      </c>
    </row>
    <row r="2144">
      <c r="D2144">
        <f>AutoClaim_Data!A2144</f>
        <v/>
      </c>
      <c r="E2144">
        <f>AutoClaim_Data!B2144</f>
        <v/>
      </c>
      <c r="F2144">
        <f>AutoClaim_Data!C2144</f>
        <v/>
      </c>
      <c r="G2144">
        <f>IF(AutoClaim_Data!D2144&lt;=$B$2,AVERAGEIFS(AutoClaim_Data!C2:C3168,AutoClaim_Data!B2:B3168,"Train",AutoClaim_Data!D2:D3168,"&lt;="&amp;$B$2),AVERAGEIFS(AutoClaim_Data!C2:C3168,AutoClaim_Data!B2:B3168,"Train",AutoClaim_Data!D2:D3168,"&gt;"&amp;$B$2))</f>
        <v/>
      </c>
      <c r="H2144">
        <f>IF(AutoClaim_Data!D2144&lt;=$B$2,IF(AutoClaim_Data!E2144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4">
        <f>(F2144-H2144)^2</f>
        <v/>
      </c>
      <c r="J2144">
        <f>--(E2144="Validation")</f>
        <v/>
      </c>
    </row>
    <row r="2145">
      <c r="D2145">
        <f>AutoClaim_Data!A2145</f>
        <v/>
      </c>
      <c r="E2145">
        <f>AutoClaim_Data!B2145</f>
        <v/>
      </c>
      <c r="F2145">
        <f>AutoClaim_Data!C2145</f>
        <v/>
      </c>
      <c r="G2145">
        <f>IF(AutoClaim_Data!D2145&lt;=$B$2,AVERAGEIFS(AutoClaim_Data!C2:C3168,AutoClaim_Data!B2:B3168,"Train",AutoClaim_Data!D2:D3168,"&lt;="&amp;$B$2),AVERAGEIFS(AutoClaim_Data!C2:C3168,AutoClaim_Data!B2:B3168,"Train",AutoClaim_Data!D2:D3168,"&gt;"&amp;$B$2))</f>
        <v/>
      </c>
      <c r="H2145">
        <f>IF(AutoClaim_Data!D2145&lt;=$B$2,IF(AutoClaim_Data!E2145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5">
        <f>(F2145-H2145)^2</f>
        <v/>
      </c>
      <c r="J2145">
        <f>--(E2145="Validation")</f>
        <v/>
      </c>
    </row>
    <row r="2146">
      <c r="D2146">
        <f>AutoClaim_Data!A2146</f>
        <v/>
      </c>
      <c r="E2146">
        <f>AutoClaim_Data!B2146</f>
        <v/>
      </c>
      <c r="F2146">
        <f>AutoClaim_Data!C2146</f>
        <v/>
      </c>
      <c r="G2146">
        <f>IF(AutoClaim_Data!D2146&lt;=$B$2,AVERAGEIFS(AutoClaim_Data!C2:C3168,AutoClaim_Data!B2:B3168,"Train",AutoClaim_Data!D2:D3168,"&lt;="&amp;$B$2),AVERAGEIFS(AutoClaim_Data!C2:C3168,AutoClaim_Data!B2:B3168,"Train",AutoClaim_Data!D2:D3168,"&gt;"&amp;$B$2))</f>
        <v/>
      </c>
      <c r="H2146">
        <f>IF(AutoClaim_Data!D2146&lt;=$B$2,IF(AutoClaim_Data!E2146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6">
        <f>(F2146-H2146)^2</f>
        <v/>
      </c>
      <c r="J2146">
        <f>--(E2146="Validation")</f>
        <v/>
      </c>
    </row>
    <row r="2147">
      <c r="D2147">
        <f>AutoClaim_Data!A2147</f>
        <v/>
      </c>
      <c r="E2147">
        <f>AutoClaim_Data!B2147</f>
        <v/>
      </c>
      <c r="F2147">
        <f>AutoClaim_Data!C2147</f>
        <v/>
      </c>
      <c r="G2147">
        <f>IF(AutoClaim_Data!D2147&lt;=$B$2,AVERAGEIFS(AutoClaim_Data!C2:C3168,AutoClaim_Data!B2:B3168,"Train",AutoClaim_Data!D2:D3168,"&lt;="&amp;$B$2),AVERAGEIFS(AutoClaim_Data!C2:C3168,AutoClaim_Data!B2:B3168,"Train",AutoClaim_Data!D2:D3168,"&gt;"&amp;$B$2))</f>
        <v/>
      </c>
      <c r="H2147">
        <f>IF(AutoClaim_Data!D2147&lt;=$B$2,IF(AutoClaim_Data!E2147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7">
        <f>(F2147-H2147)^2</f>
        <v/>
      </c>
      <c r="J2147">
        <f>--(E2147="Validation")</f>
        <v/>
      </c>
    </row>
    <row r="2148">
      <c r="D2148">
        <f>AutoClaim_Data!A2148</f>
        <v/>
      </c>
      <c r="E2148">
        <f>AutoClaim_Data!B2148</f>
        <v/>
      </c>
      <c r="F2148">
        <f>AutoClaim_Data!C2148</f>
        <v/>
      </c>
      <c r="G2148">
        <f>IF(AutoClaim_Data!D2148&lt;=$B$2,AVERAGEIFS(AutoClaim_Data!C2:C3168,AutoClaim_Data!B2:B3168,"Train",AutoClaim_Data!D2:D3168,"&lt;="&amp;$B$2),AVERAGEIFS(AutoClaim_Data!C2:C3168,AutoClaim_Data!B2:B3168,"Train",AutoClaim_Data!D2:D3168,"&gt;"&amp;$B$2))</f>
        <v/>
      </c>
      <c r="H2148">
        <f>IF(AutoClaim_Data!D2148&lt;=$B$2,IF(AutoClaim_Data!E2148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8">
        <f>(F2148-H2148)^2</f>
        <v/>
      </c>
      <c r="J2148">
        <f>--(E2148="Validation")</f>
        <v/>
      </c>
    </row>
    <row r="2149">
      <c r="D2149">
        <f>AutoClaim_Data!A2149</f>
        <v/>
      </c>
      <c r="E2149">
        <f>AutoClaim_Data!B2149</f>
        <v/>
      </c>
      <c r="F2149">
        <f>AutoClaim_Data!C2149</f>
        <v/>
      </c>
      <c r="G2149">
        <f>IF(AutoClaim_Data!D2149&lt;=$B$2,AVERAGEIFS(AutoClaim_Data!C2:C3168,AutoClaim_Data!B2:B3168,"Train",AutoClaim_Data!D2:D3168,"&lt;="&amp;$B$2),AVERAGEIFS(AutoClaim_Data!C2:C3168,AutoClaim_Data!B2:B3168,"Train",AutoClaim_Data!D2:D3168,"&gt;"&amp;$B$2))</f>
        <v/>
      </c>
      <c r="H2149">
        <f>IF(AutoClaim_Data!D2149&lt;=$B$2,IF(AutoClaim_Data!E2149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49">
        <f>(F2149-H2149)^2</f>
        <v/>
      </c>
      <c r="J2149">
        <f>--(E2149="Validation")</f>
        <v/>
      </c>
    </row>
    <row r="2150">
      <c r="D2150">
        <f>AutoClaim_Data!A2150</f>
        <v/>
      </c>
      <c r="E2150">
        <f>AutoClaim_Data!B2150</f>
        <v/>
      </c>
      <c r="F2150">
        <f>AutoClaim_Data!C2150</f>
        <v/>
      </c>
      <c r="G2150">
        <f>IF(AutoClaim_Data!D2150&lt;=$B$2,AVERAGEIFS(AutoClaim_Data!C2:C3168,AutoClaim_Data!B2:B3168,"Train",AutoClaim_Data!D2:D3168,"&lt;="&amp;$B$2),AVERAGEIFS(AutoClaim_Data!C2:C3168,AutoClaim_Data!B2:B3168,"Train",AutoClaim_Data!D2:D3168,"&gt;"&amp;$B$2))</f>
        <v/>
      </c>
      <c r="H2150">
        <f>IF(AutoClaim_Data!D2150&lt;=$B$2,IF(AutoClaim_Data!E2150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0">
        <f>(F2150-H2150)^2</f>
        <v/>
      </c>
      <c r="J2150">
        <f>--(E2150="Validation")</f>
        <v/>
      </c>
    </row>
    <row r="2151">
      <c r="D2151">
        <f>AutoClaim_Data!A2151</f>
        <v/>
      </c>
      <c r="E2151">
        <f>AutoClaim_Data!B2151</f>
        <v/>
      </c>
      <c r="F2151">
        <f>AutoClaim_Data!C2151</f>
        <v/>
      </c>
      <c r="G2151">
        <f>IF(AutoClaim_Data!D2151&lt;=$B$2,AVERAGEIFS(AutoClaim_Data!C2:C3168,AutoClaim_Data!B2:B3168,"Train",AutoClaim_Data!D2:D3168,"&lt;="&amp;$B$2),AVERAGEIFS(AutoClaim_Data!C2:C3168,AutoClaim_Data!B2:B3168,"Train",AutoClaim_Data!D2:D3168,"&gt;"&amp;$B$2))</f>
        <v/>
      </c>
      <c r="H2151">
        <f>IF(AutoClaim_Data!D2151&lt;=$B$2,IF(AutoClaim_Data!E2151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1">
        <f>(F2151-H2151)^2</f>
        <v/>
      </c>
      <c r="J2151">
        <f>--(E2151="Validation")</f>
        <v/>
      </c>
    </row>
    <row r="2152">
      <c r="D2152">
        <f>AutoClaim_Data!A2152</f>
        <v/>
      </c>
      <c r="E2152">
        <f>AutoClaim_Data!B2152</f>
        <v/>
      </c>
      <c r="F2152">
        <f>AutoClaim_Data!C2152</f>
        <v/>
      </c>
      <c r="G2152">
        <f>IF(AutoClaim_Data!D2152&lt;=$B$2,AVERAGEIFS(AutoClaim_Data!C2:C3168,AutoClaim_Data!B2:B3168,"Train",AutoClaim_Data!D2:D3168,"&lt;="&amp;$B$2),AVERAGEIFS(AutoClaim_Data!C2:C3168,AutoClaim_Data!B2:B3168,"Train",AutoClaim_Data!D2:D3168,"&gt;"&amp;$B$2))</f>
        <v/>
      </c>
      <c r="H2152">
        <f>IF(AutoClaim_Data!D2152&lt;=$B$2,IF(AutoClaim_Data!E2152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2">
        <f>(F2152-H2152)^2</f>
        <v/>
      </c>
      <c r="J2152">
        <f>--(E2152="Validation")</f>
        <v/>
      </c>
    </row>
    <row r="2153">
      <c r="D2153">
        <f>AutoClaim_Data!A2153</f>
        <v/>
      </c>
      <c r="E2153">
        <f>AutoClaim_Data!B2153</f>
        <v/>
      </c>
      <c r="F2153">
        <f>AutoClaim_Data!C2153</f>
        <v/>
      </c>
      <c r="G2153">
        <f>IF(AutoClaim_Data!D2153&lt;=$B$2,AVERAGEIFS(AutoClaim_Data!C2:C3168,AutoClaim_Data!B2:B3168,"Train",AutoClaim_Data!D2:D3168,"&lt;="&amp;$B$2),AVERAGEIFS(AutoClaim_Data!C2:C3168,AutoClaim_Data!B2:B3168,"Train",AutoClaim_Data!D2:D3168,"&gt;"&amp;$B$2))</f>
        <v/>
      </c>
      <c r="H2153">
        <f>IF(AutoClaim_Data!D2153&lt;=$B$2,IF(AutoClaim_Data!E2153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3">
        <f>(F2153-H2153)^2</f>
        <v/>
      </c>
      <c r="J2153">
        <f>--(E2153="Validation")</f>
        <v/>
      </c>
    </row>
    <row r="2154">
      <c r="D2154">
        <f>AutoClaim_Data!A2154</f>
        <v/>
      </c>
      <c r="E2154">
        <f>AutoClaim_Data!B2154</f>
        <v/>
      </c>
      <c r="F2154">
        <f>AutoClaim_Data!C2154</f>
        <v/>
      </c>
      <c r="G2154">
        <f>IF(AutoClaim_Data!D2154&lt;=$B$2,AVERAGEIFS(AutoClaim_Data!C2:C3168,AutoClaim_Data!B2:B3168,"Train",AutoClaim_Data!D2:D3168,"&lt;="&amp;$B$2),AVERAGEIFS(AutoClaim_Data!C2:C3168,AutoClaim_Data!B2:B3168,"Train",AutoClaim_Data!D2:D3168,"&gt;"&amp;$B$2))</f>
        <v/>
      </c>
      <c r="H2154">
        <f>IF(AutoClaim_Data!D2154&lt;=$B$2,IF(AutoClaim_Data!E2154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4">
        <f>(F2154-H2154)^2</f>
        <v/>
      </c>
      <c r="J2154">
        <f>--(E2154="Validation")</f>
        <v/>
      </c>
    </row>
    <row r="2155">
      <c r="D2155">
        <f>AutoClaim_Data!A2155</f>
        <v/>
      </c>
      <c r="E2155">
        <f>AutoClaim_Data!B2155</f>
        <v/>
      </c>
      <c r="F2155">
        <f>AutoClaim_Data!C2155</f>
        <v/>
      </c>
      <c r="G2155">
        <f>IF(AutoClaim_Data!D2155&lt;=$B$2,AVERAGEIFS(AutoClaim_Data!C2:C3168,AutoClaim_Data!B2:B3168,"Train",AutoClaim_Data!D2:D3168,"&lt;="&amp;$B$2),AVERAGEIFS(AutoClaim_Data!C2:C3168,AutoClaim_Data!B2:B3168,"Train",AutoClaim_Data!D2:D3168,"&gt;"&amp;$B$2))</f>
        <v/>
      </c>
      <c r="H2155">
        <f>IF(AutoClaim_Data!D2155&lt;=$B$2,IF(AutoClaim_Data!E2155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5">
        <f>(F2155-H2155)^2</f>
        <v/>
      </c>
      <c r="J2155">
        <f>--(E2155="Validation")</f>
        <v/>
      </c>
    </row>
    <row r="2156">
      <c r="D2156">
        <f>AutoClaim_Data!A2156</f>
        <v/>
      </c>
      <c r="E2156">
        <f>AutoClaim_Data!B2156</f>
        <v/>
      </c>
      <c r="F2156">
        <f>AutoClaim_Data!C2156</f>
        <v/>
      </c>
      <c r="G2156">
        <f>IF(AutoClaim_Data!D2156&lt;=$B$2,AVERAGEIFS(AutoClaim_Data!C2:C3168,AutoClaim_Data!B2:B3168,"Train",AutoClaim_Data!D2:D3168,"&lt;="&amp;$B$2),AVERAGEIFS(AutoClaim_Data!C2:C3168,AutoClaim_Data!B2:B3168,"Train",AutoClaim_Data!D2:D3168,"&gt;"&amp;$B$2))</f>
        <v/>
      </c>
      <c r="H2156">
        <f>IF(AutoClaim_Data!D2156&lt;=$B$2,IF(AutoClaim_Data!E2156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6">
        <f>(F2156-H2156)^2</f>
        <v/>
      </c>
      <c r="J2156">
        <f>--(E2156="Validation")</f>
        <v/>
      </c>
    </row>
    <row r="2157">
      <c r="D2157">
        <f>AutoClaim_Data!A2157</f>
        <v/>
      </c>
      <c r="E2157">
        <f>AutoClaim_Data!B2157</f>
        <v/>
      </c>
      <c r="F2157">
        <f>AutoClaim_Data!C2157</f>
        <v/>
      </c>
      <c r="G2157">
        <f>IF(AutoClaim_Data!D2157&lt;=$B$2,AVERAGEIFS(AutoClaim_Data!C2:C3168,AutoClaim_Data!B2:B3168,"Train",AutoClaim_Data!D2:D3168,"&lt;="&amp;$B$2),AVERAGEIFS(AutoClaim_Data!C2:C3168,AutoClaim_Data!B2:B3168,"Train",AutoClaim_Data!D2:D3168,"&gt;"&amp;$B$2))</f>
        <v/>
      </c>
      <c r="H2157">
        <f>IF(AutoClaim_Data!D2157&lt;=$B$2,IF(AutoClaim_Data!E2157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7">
        <f>(F2157-H2157)^2</f>
        <v/>
      </c>
      <c r="J2157">
        <f>--(E2157="Validation")</f>
        <v/>
      </c>
    </row>
    <row r="2158">
      <c r="D2158">
        <f>AutoClaim_Data!A2158</f>
        <v/>
      </c>
      <c r="E2158">
        <f>AutoClaim_Data!B2158</f>
        <v/>
      </c>
      <c r="F2158">
        <f>AutoClaim_Data!C2158</f>
        <v/>
      </c>
      <c r="G2158">
        <f>IF(AutoClaim_Data!D2158&lt;=$B$2,AVERAGEIFS(AutoClaim_Data!C2:C3168,AutoClaim_Data!B2:B3168,"Train",AutoClaim_Data!D2:D3168,"&lt;="&amp;$B$2),AVERAGEIFS(AutoClaim_Data!C2:C3168,AutoClaim_Data!B2:B3168,"Train",AutoClaim_Data!D2:D3168,"&gt;"&amp;$B$2))</f>
        <v/>
      </c>
      <c r="H2158">
        <f>IF(AutoClaim_Data!D2158&lt;=$B$2,IF(AutoClaim_Data!E2158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8">
        <f>(F2158-H2158)^2</f>
        <v/>
      </c>
      <c r="J2158">
        <f>--(E2158="Validation")</f>
        <v/>
      </c>
    </row>
    <row r="2159">
      <c r="D2159">
        <f>AutoClaim_Data!A2159</f>
        <v/>
      </c>
      <c r="E2159">
        <f>AutoClaim_Data!B2159</f>
        <v/>
      </c>
      <c r="F2159">
        <f>AutoClaim_Data!C2159</f>
        <v/>
      </c>
      <c r="G2159">
        <f>IF(AutoClaim_Data!D2159&lt;=$B$2,AVERAGEIFS(AutoClaim_Data!C2:C3168,AutoClaim_Data!B2:B3168,"Train",AutoClaim_Data!D2:D3168,"&lt;="&amp;$B$2),AVERAGEIFS(AutoClaim_Data!C2:C3168,AutoClaim_Data!B2:B3168,"Train",AutoClaim_Data!D2:D3168,"&gt;"&amp;$B$2))</f>
        <v/>
      </c>
      <c r="H2159">
        <f>IF(AutoClaim_Data!D2159&lt;=$B$2,IF(AutoClaim_Data!E2159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59">
        <f>(F2159-H2159)^2</f>
        <v/>
      </c>
      <c r="J2159">
        <f>--(E2159="Validation")</f>
        <v/>
      </c>
    </row>
    <row r="2160">
      <c r="D2160">
        <f>AutoClaim_Data!A2160</f>
        <v/>
      </c>
      <c r="E2160">
        <f>AutoClaim_Data!B2160</f>
        <v/>
      </c>
      <c r="F2160">
        <f>AutoClaim_Data!C2160</f>
        <v/>
      </c>
      <c r="G2160">
        <f>IF(AutoClaim_Data!D2160&lt;=$B$2,AVERAGEIFS(AutoClaim_Data!C2:C3168,AutoClaim_Data!B2:B3168,"Train",AutoClaim_Data!D2:D3168,"&lt;="&amp;$B$2),AVERAGEIFS(AutoClaim_Data!C2:C3168,AutoClaim_Data!B2:B3168,"Train",AutoClaim_Data!D2:D3168,"&gt;"&amp;$B$2))</f>
        <v/>
      </c>
      <c r="H2160">
        <f>IF(AutoClaim_Data!D2160&lt;=$B$2,IF(AutoClaim_Data!E2160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0">
        <f>(F2160-H2160)^2</f>
        <v/>
      </c>
      <c r="J2160">
        <f>--(E2160="Validation")</f>
        <v/>
      </c>
    </row>
    <row r="2161">
      <c r="D2161">
        <f>AutoClaim_Data!A2161</f>
        <v/>
      </c>
      <c r="E2161">
        <f>AutoClaim_Data!B2161</f>
        <v/>
      </c>
      <c r="F2161">
        <f>AutoClaim_Data!C2161</f>
        <v/>
      </c>
      <c r="G2161">
        <f>IF(AutoClaim_Data!D2161&lt;=$B$2,AVERAGEIFS(AutoClaim_Data!C2:C3168,AutoClaim_Data!B2:B3168,"Train",AutoClaim_Data!D2:D3168,"&lt;="&amp;$B$2),AVERAGEIFS(AutoClaim_Data!C2:C3168,AutoClaim_Data!B2:B3168,"Train",AutoClaim_Data!D2:D3168,"&gt;"&amp;$B$2))</f>
        <v/>
      </c>
      <c r="H2161">
        <f>IF(AutoClaim_Data!D2161&lt;=$B$2,IF(AutoClaim_Data!E2161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1">
        <f>(F2161-H2161)^2</f>
        <v/>
      </c>
      <c r="J2161">
        <f>--(E2161="Validation")</f>
        <v/>
      </c>
    </row>
    <row r="2162">
      <c r="D2162">
        <f>AutoClaim_Data!A2162</f>
        <v/>
      </c>
      <c r="E2162">
        <f>AutoClaim_Data!B2162</f>
        <v/>
      </c>
      <c r="F2162">
        <f>AutoClaim_Data!C2162</f>
        <v/>
      </c>
      <c r="G2162">
        <f>IF(AutoClaim_Data!D2162&lt;=$B$2,AVERAGEIFS(AutoClaim_Data!C2:C3168,AutoClaim_Data!B2:B3168,"Train",AutoClaim_Data!D2:D3168,"&lt;="&amp;$B$2),AVERAGEIFS(AutoClaim_Data!C2:C3168,AutoClaim_Data!B2:B3168,"Train",AutoClaim_Data!D2:D3168,"&gt;"&amp;$B$2))</f>
        <v/>
      </c>
      <c r="H2162">
        <f>IF(AutoClaim_Data!D2162&lt;=$B$2,IF(AutoClaim_Data!E2162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2">
        <f>(F2162-H2162)^2</f>
        <v/>
      </c>
      <c r="J2162">
        <f>--(E2162="Validation")</f>
        <v/>
      </c>
    </row>
    <row r="2163">
      <c r="D2163">
        <f>AutoClaim_Data!A2163</f>
        <v/>
      </c>
      <c r="E2163">
        <f>AutoClaim_Data!B2163</f>
        <v/>
      </c>
      <c r="F2163">
        <f>AutoClaim_Data!C2163</f>
        <v/>
      </c>
      <c r="G2163">
        <f>IF(AutoClaim_Data!D2163&lt;=$B$2,AVERAGEIFS(AutoClaim_Data!C2:C3168,AutoClaim_Data!B2:B3168,"Train",AutoClaim_Data!D2:D3168,"&lt;="&amp;$B$2),AVERAGEIFS(AutoClaim_Data!C2:C3168,AutoClaim_Data!B2:B3168,"Train",AutoClaim_Data!D2:D3168,"&gt;"&amp;$B$2))</f>
        <v/>
      </c>
      <c r="H2163">
        <f>IF(AutoClaim_Data!D2163&lt;=$B$2,IF(AutoClaim_Data!E2163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3">
        <f>(F2163-H2163)^2</f>
        <v/>
      </c>
      <c r="J2163">
        <f>--(E2163="Validation")</f>
        <v/>
      </c>
    </row>
    <row r="2164">
      <c r="D2164">
        <f>AutoClaim_Data!A2164</f>
        <v/>
      </c>
      <c r="E2164">
        <f>AutoClaim_Data!B2164</f>
        <v/>
      </c>
      <c r="F2164">
        <f>AutoClaim_Data!C2164</f>
        <v/>
      </c>
      <c r="G2164">
        <f>IF(AutoClaim_Data!D2164&lt;=$B$2,AVERAGEIFS(AutoClaim_Data!C2:C3168,AutoClaim_Data!B2:B3168,"Train",AutoClaim_Data!D2:D3168,"&lt;="&amp;$B$2),AVERAGEIFS(AutoClaim_Data!C2:C3168,AutoClaim_Data!B2:B3168,"Train",AutoClaim_Data!D2:D3168,"&gt;"&amp;$B$2))</f>
        <v/>
      </c>
      <c r="H2164">
        <f>IF(AutoClaim_Data!D2164&lt;=$B$2,IF(AutoClaim_Data!E2164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4">
        <f>(F2164-H2164)^2</f>
        <v/>
      </c>
      <c r="J2164">
        <f>--(E2164="Validation")</f>
        <v/>
      </c>
    </row>
    <row r="2165">
      <c r="D2165">
        <f>AutoClaim_Data!A2165</f>
        <v/>
      </c>
      <c r="E2165">
        <f>AutoClaim_Data!B2165</f>
        <v/>
      </c>
      <c r="F2165">
        <f>AutoClaim_Data!C2165</f>
        <v/>
      </c>
      <c r="G2165">
        <f>IF(AutoClaim_Data!D2165&lt;=$B$2,AVERAGEIFS(AutoClaim_Data!C2:C3168,AutoClaim_Data!B2:B3168,"Train",AutoClaim_Data!D2:D3168,"&lt;="&amp;$B$2),AVERAGEIFS(AutoClaim_Data!C2:C3168,AutoClaim_Data!B2:B3168,"Train",AutoClaim_Data!D2:D3168,"&gt;"&amp;$B$2))</f>
        <v/>
      </c>
      <c r="H2165">
        <f>IF(AutoClaim_Data!D2165&lt;=$B$2,IF(AutoClaim_Data!E2165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5">
        <f>(F2165-H2165)^2</f>
        <v/>
      </c>
      <c r="J2165">
        <f>--(E2165="Validation")</f>
        <v/>
      </c>
    </row>
    <row r="2166">
      <c r="D2166">
        <f>AutoClaim_Data!A2166</f>
        <v/>
      </c>
      <c r="E2166">
        <f>AutoClaim_Data!B2166</f>
        <v/>
      </c>
      <c r="F2166">
        <f>AutoClaim_Data!C2166</f>
        <v/>
      </c>
      <c r="G2166">
        <f>IF(AutoClaim_Data!D2166&lt;=$B$2,AVERAGEIFS(AutoClaim_Data!C2:C3168,AutoClaim_Data!B2:B3168,"Train",AutoClaim_Data!D2:D3168,"&lt;="&amp;$B$2),AVERAGEIFS(AutoClaim_Data!C2:C3168,AutoClaim_Data!B2:B3168,"Train",AutoClaim_Data!D2:D3168,"&gt;"&amp;$B$2))</f>
        <v/>
      </c>
      <c r="H2166">
        <f>IF(AutoClaim_Data!D2166&lt;=$B$2,IF(AutoClaim_Data!E2166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6">
        <f>(F2166-H2166)^2</f>
        <v/>
      </c>
      <c r="J2166">
        <f>--(E2166="Validation")</f>
        <v/>
      </c>
    </row>
    <row r="2167">
      <c r="D2167">
        <f>AutoClaim_Data!A2167</f>
        <v/>
      </c>
      <c r="E2167">
        <f>AutoClaim_Data!B2167</f>
        <v/>
      </c>
      <c r="F2167">
        <f>AutoClaim_Data!C2167</f>
        <v/>
      </c>
      <c r="G2167">
        <f>IF(AutoClaim_Data!D2167&lt;=$B$2,AVERAGEIFS(AutoClaim_Data!C2:C3168,AutoClaim_Data!B2:B3168,"Train",AutoClaim_Data!D2:D3168,"&lt;="&amp;$B$2),AVERAGEIFS(AutoClaim_Data!C2:C3168,AutoClaim_Data!B2:B3168,"Train",AutoClaim_Data!D2:D3168,"&gt;"&amp;$B$2))</f>
        <v/>
      </c>
      <c r="H2167">
        <f>IF(AutoClaim_Data!D2167&lt;=$B$2,IF(AutoClaim_Data!E2167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7">
        <f>(F2167-H2167)^2</f>
        <v/>
      </c>
      <c r="J2167">
        <f>--(E2167="Validation")</f>
        <v/>
      </c>
    </row>
    <row r="2168">
      <c r="D2168">
        <f>AutoClaim_Data!A2168</f>
        <v/>
      </c>
      <c r="E2168">
        <f>AutoClaim_Data!B2168</f>
        <v/>
      </c>
      <c r="F2168">
        <f>AutoClaim_Data!C2168</f>
        <v/>
      </c>
      <c r="G2168">
        <f>IF(AutoClaim_Data!D2168&lt;=$B$2,AVERAGEIFS(AutoClaim_Data!C2:C3168,AutoClaim_Data!B2:B3168,"Train",AutoClaim_Data!D2:D3168,"&lt;="&amp;$B$2),AVERAGEIFS(AutoClaim_Data!C2:C3168,AutoClaim_Data!B2:B3168,"Train",AutoClaim_Data!D2:D3168,"&gt;"&amp;$B$2))</f>
        <v/>
      </c>
      <c r="H2168">
        <f>IF(AutoClaim_Data!D2168&lt;=$B$2,IF(AutoClaim_Data!E2168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8">
        <f>(F2168-H2168)^2</f>
        <v/>
      </c>
      <c r="J2168">
        <f>--(E2168="Validation")</f>
        <v/>
      </c>
    </row>
    <row r="2169">
      <c r="D2169">
        <f>AutoClaim_Data!A2169</f>
        <v/>
      </c>
      <c r="E2169">
        <f>AutoClaim_Data!B2169</f>
        <v/>
      </c>
      <c r="F2169">
        <f>AutoClaim_Data!C2169</f>
        <v/>
      </c>
      <c r="G2169">
        <f>IF(AutoClaim_Data!D2169&lt;=$B$2,AVERAGEIFS(AutoClaim_Data!C2:C3168,AutoClaim_Data!B2:B3168,"Train",AutoClaim_Data!D2:D3168,"&lt;="&amp;$B$2),AVERAGEIFS(AutoClaim_Data!C2:C3168,AutoClaim_Data!B2:B3168,"Train",AutoClaim_Data!D2:D3168,"&gt;"&amp;$B$2))</f>
        <v/>
      </c>
      <c r="H2169">
        <f>IF(AutoClaim_Data!D2169&lt;=$B$2,IF(AutoClaim_Data!E2169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69">
        <f>(F2169-H2169)^2</f>
        <v/>
      </c>
      <c r="J2169">
        <f>--(E2169="Validation")</f>
        <v/>
      </c>
    </row>
    <row r="2170">
      <c r="D2170">
        <f>AutoClaim_Data!A2170</f>
        <v/>
      </c>
      <c r="E2170">
        <f>AutoClaim_Data!B2170</f>
        <v/>
      </c>
      <c r="F2170">
        <f>AutoClaim_Data!C2170</f>
        <v/>
      </c>
      <c r="G2170">
        <f>IF(AutoClaim_Data!D2170&lt;=$B$2,AVERAGEIFS(AutoClaim_Data!C2:C3168,AutoClaim_Data!B2:B3168,"Train",AutoClaim_Data!D2:D3168,"&lt;="&amp;$B$2),AVERAGEIFS(AutoClaim_Data!C2:C3168,AutoClaim_Data!B2:B3168,"Train",AutoClaim_Data!D2:D3168,"&gt;"&amp;$B$2))</f>
        <v/>
      </c>
      <c r="H2170">
        <f>IF(AutoClaim_Data!D2170&lt;=$B$2,IF(AutoClaim_Data!E2170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0">
        <f>(F2170-H2170)^2</f>
        <v/>
      </c>
      <c r="J2170">
        <f>--(E2170="Validation")</f>
        <v/>
      </c>
    </row>
    <row r="2171">
      <c r="D2171">
        <f>AutoClaim_Data!A2171</f>
        <v/>
      </c>
      <c r="E2171">
        <f>AutoClaim_Data!B2171</f>
        <v/>
      </c>
      <c r="F2171">
        <f>AutoClaim_Data!C2171</f>
        <v/>
      </c>
      <c r="G2171">
        <f>IF(AutoClaim_Data!D2171&lt;=$B$2,AVERAGEIFS(AutoClaim_Data!C2:C3168,AutoClaim_Data!B2:B3168,"Train",AutoClaim_Data!D2:D3168,"&lt;="&amp;$B$2),AVERAGEIFS(AutoClaim_Data!C2:C3168,AutoClaim_Data!B2:B3168,"Train",AutoClaim_Data!D2:D3168,"&gt;"&amp;$B$2))</f>
        <v/>
      </c>
      <c r="H2171">
        <f>IF(AutoClaim_Data!D2171&lt;=$B$2,IF(AutoClaim_Data!E2171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1">
        <f>(F2171-H2171)^2</f>
        <v/>
      </c>
      <c r="J2171">
        <f>--(E2171="Validation")</f>
        <v/>
      </c>
    </row>
    <row r="2172">
      <c r="D2172">
        <f>AutoClaim_Data!A2172</f>
        <v/>
      </c>
      <c r="E2172">
        <f>AutoClaim_Data!B2172</f>
        <v/>
      </c>
      <c r="F2172">
        <f>AutoClaim_Data!C2172</f>
        <v/>
      </c>
      <c r="G2172">
        <f>IF(AutoClaim_Data!D2172&lt;=$B$2,AVERAGEIFS(AutoClaim_Data!C2:C3168,AutoClaim_Data!B2:B3168,"Train",AutoClaim_Data!D2:D3168,"&lt;="&amp;$B$2),AVERAGEIFS(AutoClaim_Data!C2:C3168,AutoClaim_Data!B2:B3168,"Train",AutoClaim_Data!D2:D3168,"&gt;"&amp;$B$2))</f>
        <v/>
      </c>
      <c r="H2172">
        <f>IF(AutoClaim_Data!D2172&lt;=$B$2,IF(AutoClaim_Data!E2172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2">
        <f>(F2172-H2172)^2</f>
        <v/>
      </c>
      <c r="J2172">
        <f>--(E2172="Validation")</f>
        <v/>
      </c>
    </row>
    <row r="2173">
      <c r="D2173">
        <f>AutoClaim_Data!A2173</f>
        <v/>
      </c>
      <c r="E2173">
        <f>AutoClaim_Data!B2173</f>
        <v/>
      </c>
      <c r="F2173">
        <f>AutoClaim_Data!C2173</f>
        <v/>
      </c>
      <c r="G2173">
        <f>IF(AutoClaim_Data!D2173&lt;=$B$2,AVERAGEIFS(AutoClaim_Data!C2:C3168,AutoClaim_Data!B2:B3168,"Train",AutoClaim_Data!D2:D3168,"&lt;="&amp;$B$2),AVERAGEIFS(AutoClaim_Data!C2:C3168,AutoClaim_Data!B2:B3168,"Train",AutoClaim_Data!D2:D3168,"&gt;"&amp;$B$2))</f>
        <v/>
      </c>
      <c r="H2173">
        <f>IF(AutoClaim_Data!D2173&lt;=$B$2,IF(AutoClaim_Data!E2173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3">
        <f>(F2173-H2173)^2</f>
        <v/>
      </c>
      <c r="J2173">
        <f>--(E2173="Validation")</f>
        <v/>
      </c>
    </row>
    <row r="2174">
      <c r="D2174">
        <f>AutoClaim_Data!A2174</f>
        <v/>
      </c>
      <c r="E2174">
        <f>AutoClaim_Data!B2174</f>
        <v/>
      </c>
      <c r="F2174">
        <f>AutoClaim_Data!C2174</f>
        <v/>
      </c>
      <c r="G2174">
        <f>IF(AutoClaim_Data!D2174&lt;=$B$2,AVERAGEIFS(AutoClaim_Data!C2:C3168,AutoClaim_Data!B2:B3168,"Train",AutoClaim_Data!D2:D3168,"&lt;="&amp;$B$2),AVERAGEIFS(AutoClaim_Data!C2:C3168,AutoClaim_Data!B2:B3168,"Train",AutoClaim_Data!D2:D3168,"&gt;"&amp;$B$2))</f>
        <v/>
      </c>
      <c r="H2174">
        <f>IF(AutoClaim_Data!D2174&lt;=$B$2,IF(AutoClaim_Data!E2174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4">
        <f>(F2174-H2174)^2</f>
        <v/>
      </c>
      <c r="J2174">
        <f>--(E2174="Validation")</f>
        <v/>
      </c>
    </row>
    <row r="2175">
      <c r="D2175">
        <f>AutoClaim_Data!A2175</f>
        <v/>
      </c>
      <c r="E2175">
        <f>AutoClaim_Data!B2175</f>
        <v/>
      </c>
      <c r="F2175">
        <f>AutoClaim_Data!C2175</f>
        <v/>
      </c>
      <c r="G2175">
        <f>IF(AutoClaim_Data!D2175&lt;=$B$2,AVERAGEIFS(AutoClaim_Data!C2:C3168,AutoClaim_Data!B2:B3168,"Train",AutoClaim_Data!D2:D3168,"&lt;="&amp;$B$2),AVERAGEIFS(AutoClaim_Data!C2:C3168,AutoClaim_Data!B2:B3168,"Train",AutoClaim_Data!D2:D3168,"&gt;"&amp;$B$2))</f>
        <v/>
      </c>
      <c r="H2175">
        <f>IF(AutoClaim_Data!D2175&lt;=$B$2,IF(AutoClaim_Data!E2175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5">
        <f>(F2175-H2175)^2</f>
        <v/>
      </c>
      <c r="J2175">
        <f>--(E2175="Validation")</f>
        <v/>
      </c>
    </row>
    <row r="2176">
      <c r="D2176">
        <f>AutoClaim_Data!A2176</f>
        <v/>
      </c>
      <c r="E2176">
        <f>AutoClaim_Data!B2176</f>
        <v/>
      </c>
      <c r="F2176">
        <f>AutoClaim_Data!C2176</f>
        <v/>
      </c>
      <c r="G2176">
        <f>IF(AutoClaim_Data!D2176&lt;=$B$2,AVERAGEIFS(AutoClaim_Data!C2:C3168,AutoClaim_Data!B2:B3168,"Train",AutoClaim_Data!D2:D3168,"&lt;="&amp;$B$2),AVERAGEIFS(AutoClaim_Data!C2:C3168,AutoClaim_Data!B2:B3168,"Train",AutoClaim_Data!D2:D3168,"&gt;"&amp;$B$2))</f>
        <v/>
      </c>
      <c r="H2176">
        <f>IF(AutoClaim_Data!D2176&lt;=$B$2,IF(AutoClaim_Data!E2176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6">
        <f>(F2176-H2176)^2</f>
        <v/>
      </c>
      <c r="J2176">
        <f>--(E2176="Validation")</f>
        <v/>
      </c>
    </row>
    <row r="2177">
      <c r="D2177">
        <f>AutoClaim_Data!A2177</f>
        <v/>
      </c>
      <c r="E2177">
        <f>AutoClaim_Data!B2177</f>
        <v/>
      </c>
      <c r="F2177">
        <f>AutoClaim_Data!C2177</f>
        <v/>
      </c>
      <c r="G2177">
        <f>IF(AutoClaim_Data!D2177&lt;=$B$2,AVERAGEIFS(AutoClaim_Data!C2:C3168,AutoClaim_Data!B2:B3168,"Train",AutoClaim_Data!D2:D3168,"&lt;="&amp;$B$2),AVERAGEIFS(AutoClaim_Data!C2:C3168,AutoClaim_Data!B2:B3168,"Train",AutoClaim_Data!D2:D3168,"&gt;"&amp;$B$2))</f>
        <v/>
      </c>
      <c r="H2177">
        <f>IF(AutoClaim_Data!D2177&lt;=$B$2,IF(AutoClaim_Data!E2177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7">
        <f>(F2177-H2177)^2</f>
        <v/>
      </c>
      <c r="J2177">
        <f>--(E2177="Validation")</f>
        <v/>
      </c>
    </row>
    <row r="2178">
      <c r="D2178">
        <f>AutoClaim_Data!A2178</f>
        <v/>
      </c>
      <c r="E2178">
        <f>AutoClaim_Data!B2178</f>
        <v/>
      </c>
      <c r="F2178">
        <f>AutoClaim_Data!C2178</f>
        <v/>
      </c>
      <c r="G2178">
        <f>IF(AutoClaim_Data!D2178&lt;=$B$2,AVERAGEIFS(AutoClaim_Data!C2:C3168,AutoClaim_Data!B2:B3168,"Train",AutoClaim_Data!D2:D3168,"&lt;="&amp;$B$2),AVERAGEIFS(AutoClaim_Data!C2:C3168,AutoClaim_Data!B2:B3168,"Train",AutoClaim_Data!D2:D3168,"&gt;"&amp;$B$2))</f>
        <v/>
      </c>
      <c r="H2178">
        <f>IF(AutoClaim_Data!D2178&lt;=$B$2,IF(AutoClaim_Data!E2178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8">
        <f>(F2178-H2178)^2</f>
        <v/>
      </c>
      <c r="J2178">
        <f>--(E2178="Validation")</f>
        <v/>
      </c>
    </row>
    <row r="2179">
      <c r="D2179">
        <f>AutoClaim_Data!A2179</f>
        <v/>
      </c>
      <c r="E2179">
        <f>AutoClaim_Data!B2179</f>
        <v/>
      </c>
      <c r="F2179">
        <f>AutoClaim_Data!C2179</f>
        <v/>
      </c>
      <c r="G2179">
        <f>IF(AutoClaim_Data!D2179&lt;=$B$2,AVERAGEIFS(AutoClaim_Data!C2:C3168,AutoClaim_Data!B2:B3168,"Train",AutoClaim_Data!D2:D3168,"&lt;="&amp;$B$2),AVERAGEIFS(AutoClaim_Data!C2:C3168,AutoClaim_Data!B2:B3168,"Train",AutoClaim_Data!D2:D3168,"&gt;"&amp;$B$2))</f>
        <v/>
      </c>
      <c r="H2179">
        <f>IF(AutoClaim_Data!D2179&lt;=$B$2,IF(AutoClaim_Data!E2179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79">
        <f>(F2179-H2179)^2</f>
        <v/>
      </c>
      <c r="J2179">
        <f>--(E2179="Validation")</f>
        <v/>
      </c>
    </row>
    <row r="2180">
      <c r="D2180">
        <f>AutoClaim_Data!A2180</f>
        <v/>
      </c>
      <c r="E2180">
        <f>AutoClaim_Data!B2180</f>
        <v/>
      </c>
      <c r="F2180">
        <f>AutoClaim_Data!C2180</f>
        <v/>
      </c>
      <c r="G2180">
        <f>IF(AutoClaim_Data!D2180&lt;=$B$2,AVERAGEIFS(AutoClaim_Data!C2:C3168,AutoClaim_Data!B2:B3168,"Train",AutoClaim_Data!D2:D3168,"&lt;="&amp;$B$2),AVERAGEIFS(AutoClaim_Data!C2:C3168,AutoClaim_Data!B2:B3168,"Train",AutoClaim_Data!D2:D3168,"&gt;"&amp;$B$2))</f>
        <v/>
      </c>
      <c r="H2180">
        <f>IF(AutoClaim_Data!D2180&lt;=$B$2,IF(AutoClaim_Data!E2180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0">
        <f>(F2180-H2180)^2</f>
        <v/>
      </c>
      <c r="J2180">
        <f>--(E2180="Validation")</f>
        <v/>
      </c>
    </row>
    <row r="2181">
      <c r="D2181">
        <f>AutoClaim_Data!A2181</f>
        <v/>
      </c>
      <c r="E2181">
        <f>AutoClaim_Data!B2181</f>
        <v/>
      </c>
      <c r="F2181">
        <f>AutoClaim_Data!C2181</f>
        <v/>
      </c>
      <c r="G2181">
        <f>IF(AutoClaim_Data!D2181&lt;=$B$2,AVERAGEIFS(AutoClaim_Data!C2:C3168,AutoClaim_Data!B2:B3168,"Train",AutoClaim_Data!D2:D3168,"&lt;="&amp;$B$2),AVERAGEIFS(AutoClaim_Data!C2:C3168,AutoClaim_Data!B2:B3168,"Train",AutoClaim_Data!D2:D3168,"&gt;"&amp;$B$2))</f>
        <v/>
      </c>
      <c r="H2181">
        <f>IF(AutoClaim_Data!D2181&lt;=$B$2,IF(AutoClaim_Data!E2181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1">
        <f>(F2181-H2181)^2</f>
        <v/>
      </c>
      <c r="J2181">
        <f>--(E2181="Validation")</f>
        <v/>
      </c>
    </row>
    <row r="2182">
      <c r="D2182">
        <f>AutoClaim_Data!A2182</f>
        <v/>
      </c>
      <c r="E2182">
        <f>AutoClaim_Data!B2182</f>
        <v/>
      </c>
      <c r="F2182">
        <f>AutoClaim_Data!C2182</f>
        <v/>
      </c>
      <c r="G2182">
        <f>IF(AutoClaim_Data!D2182&lt;=$B$2,AVERAGEIFS(AutoClaim_Data!C2:C3168,AutoClaim_Data!B2:B3168,"Train",AutoClaim_Data!D2:D3168,"&lt;="&amp;$B$2),AVERAGEIFS(AutoClaim_Data!C2:C3168,AutoClaim_Data!B2:B3168,"Train",AutoClaim_Data!D2:D3168,"&gt;"&amp;$B$2))</f>
        <v/>
      </c>
      <c r="H2182">
        <f>IF(AutoClaim_Data!D2182&lt;=$B$2,IF(AutoClaim_Data!E2182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2">
        <f>(F2182-H2182)^2</f>
        <v/>
      </c>
      <c r="J2182">
        <f>--(E2182="Validation")</f>
        <v/>
      </c>
    </row>
    <row r="2183">
      <c r="D2183">
        <f>AutoClaim_Data!A2183</f>
        <v/>
      </c>
      <c r="E2183">
        <f>AutoClaim_Data!B2183</f>
        <v/>
      </c>
      <c r="F2183">
        <f>AutoClaim_Data!C2183</f>
        <v/>
      </c>
      <c r="G2183">
        <f>IF(AutoClaim_Data!D2183&lt;=$B$2,AVERAGEIFS(AutoClaim_Data!C2:C3168,AutoClaim_Data!B2:B3168,"Train",AutoClaim_Data!D2:D3168,"&lt;="&amp;$B$2),AVERAGEIFS(AutoClaim_Data!C2:C3168,AutoClaim_Data!B2:B3168,"Train",AutoClaim_Data!D2:D3168,"&gt;"&amp;$B$2))</f>
        <v/>
      </c>
      <c r="H2183">
        <f>IF(AutoClaim_Data!D2183&lt;=$B$2,IF(AutoClaim_Data!E2183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3">
        <f>(F2183-H2183)^2</f>
        <v/>
      </c>
      <c r="J2183">
        <f>--(E2183="Validation")</f>
        <v/>
      </c>
    </row>
    <row r="2184">
      <c r="D2184">
        <f>AutoClaim_Data!A2184</f>
        <v/>
      </c>
      <c r="E2184">
        <f>AutoClaim_Data!B2184</f>
        <v/>
      </c>
      <c r="F2184">
        <f>AutoClaim_Data!C2184</f>
        <v/>
      </c>
      <c r="G2184">
        <f>IF(AutoClaim_Data!D2184&lt;=$B$2,AVERAGEIFS(AutoClaim_Data!C2:C3168,AutoClaim_Data!B2:B3168,"Train",AutoClaim_Data!D2:D3168,"&lt;="&amp;$B$2),AVERAGEIFS(AutoClaim_Data!C2:C3168,AutoClaim_Data!B2:B3168,"Train",AutoClaim_Data!D2:D3168,"&gt;"&amp;$B$2))</f>
        <v/>
      </c>
      <c r="H2184">
        <f>IF(AutoClaim_Data!D2184&lt;=$B$2,IF(AutoClaim_Data!E2184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4">
        <f>(F2184-H2184)^2</f>
        <v/>
      </c>
      <c r="J2184">
        <f>--(E2184="Validation")</f>
        <v/>
      </c>
    </row>
    <row r="2185">
      <c r="D2185">
        <f>AutoClaim_Data!A2185</f>
        <v/>
      </c>
      <c r="E2185">
        <f>AutoClaim_Data!B2185</f>
        <v/>
      </c>
      <c r="F2185">
        <f>AutoClaim_Data!C2185</f>
        <v/>
      </c>
      <c r="G2185">
        <f>IF(AutoClaim_Data!D2185&lt;=$B$2,AVERAGEIFS(AutoClaim_Data!C2:C3168,AutoClaim_Data!B2:B3168,"Train",AutoClaim_Data!D2:D3168,"&lt;="&amp;$B$2),AVERAGEIFS(AutoClaim_Data!C2:C3168,AutoClaim_Data!B2:B3168,"Train",AutoClaim_Data!D2:D3168,"&gt;"&amp;$B$2))</f>
        <v/>
      </c>
      <c r="H2185">
        <f>IF(AutoClaim_Data!D2185&lt;=$B$2,IF(AutoClaim_Data!E2185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5">
        <f>(F2185-H2185)^2</f>
        <v/>
      </c>
      <c r="J2185">
        <f>--(E2185="Validation")</f>
        <v/>
      </c>
    </row>
    <row r="2186">
      <c r="D2186">
        <f>AutoClaim_Data!A2186</f>
        <v/>
      </c>
      <c r="E2186">
        <f>AutoClaim_Data!B2186</f>
        <v/>
      </c>
      <c r="F2186">
        <f>AutoClaim_Data!C2186</f>
        <v/>
      </c>
      <c r="G2186">
        <f>IF(AutoClaim_Data!D2186&lt;=$B$2,AVERAGEIFS(AutoClaim_Data!C2:C3168,AutoClaim_Data!B2:B3168,"Train",AutoClaim_Data!D2:D3168,"&lt;="&amp;$B$2),AVERAGEIFS(AutoClaim_Data!C2:C3168,AutoClaim_Data!B2:B3168,"Train",AutoClaim_Data!D2:D3168,"&gt;"&amp;$B$2))</f>
        <v/>
      </c>
      <c r="H2186">
        <f>IF(AutoClaim_Data!D2186&lt;=$B$2,IF(AutoClaim_Data!E2186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6">
        <f>(F2186-H2186)^2</f>
        <v/>
      </c>
      <c r="J2186">
        <f>--(E2186="Validation")</f>
        <v/>
      </c>
    </row>
    <row r="2187">
      <c r="D2187">
        <f>AutoClaim_Data!A2187</f>
        <v/>
      </c>
      <c r="E2187">
        <f>AutoClaim_Data!B2187</f>
        <v/>
      </c>
      <c r="F2187">
        <f>AutoClaim_Data!C2187</f>
        <v/>
      </c>
      <c r="G2187">
        <f>IF(AutoClaim_Data!D2187&lt;=$B$2,AVERAGEIFS(AutoClaim_Data!C2:C3168,AutoClaim_Data!B2:B3168,"Train",AutoClaim_Data!D2:D3168,"&lt;="&amp;$B$2),AVERAGEIFS(AutoClaim_Data!C2:C3168,AutoClaim_Data!B2:B3168,"Train",AutoClaim_Data!D2:D3168,"&gt;"&amp;$B$2))</f>
        <v/>
      </c>
      <c r="H2187">
        <f>IF(AutoClaim_Data!D2187&lt;=$B$2,IF(AutoClaim_Data!E2187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7">
        <f>(F2187-H2187)^2</f>
        <v/>
      </c>
      <c r="J2187">
        <f>--(E2187="Validation")</f>
        <v/>
      </c>
    </row>
    <row r="2188">
      <c r="D2188">
        <f>AutoClaim_Data!A2188</f>
        <v/>
      </c>
      <c r="E2188">
        <f>AutoClaim_Data!B2188</f>
        <v/>
      </c>
      <c r="F2188">
        <f>AutoClaim_Data!C2188</f>
        <v/>
      </c>
      <c r="G2188">
        <f>IF(AutoClaim_Data!D2188&lt;=$B$2,AVERAGEIFS(AutoClaim_Data!C2:C3168,AutoClaim_Data!B2:B3168,"Train",AutoClaim_Data!D2:D3168,"&lt;="&amp;$B$2),AVERAGEIFS(AutoClaim_Data!C2:C3168,AutoClaim_Data!B2:B3168,"Train",AutoClaim_Data!D2:D3168,"&gt;"&amp;$B$2))</f>
        <v/>
      </c>
      <c r="H2188">
        <f>IF(AutoClaim_Data!D2188&lt;=$B$2,IF(AutoClaim_Data!E2188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8">
        <f>(F2188-H2188)^2</f>
        <v/>
      </c>
      <c r="J2188">
        <f>--(E2188="Validation")</f>
        <v/>
      </c>
    </row>
    <row r="2189">
      <c r="D2189">
        <f>AutoClaim_Data!A2189</f>
        <v/>
      </c>
      <c r="E2189">
        <f>AutoClaim_Data!B2189</f>
        <v/>
      </c>
      <c r="F2189">
        <f>AutoClaim_Data!C2189</f>
        <v/>
      </c>
      <c r="G2189">
        <f>IF(AutoClaim_Data!D2189&lt;=$B$2,AVERAGEIFS(AutoClaim_Data!C2:C3168,AutoClaim_Data!B2:B3168,"Train",AutoClaim_Data!D2:D3168,"&lt;="&amp;$B$2),AVERAGEIFS(AutoClaim_Data!C2:C3168,AutoClaim_Data!B2:B3168,"Train",AutoClaim_Data!D2:D3168,"&gt;"&amp;$B$2))</f>
        <v/>
      </c>
      <c r="H2189">
        <f>IF(AutoClaim_Data!D2189&lt;=$B$2,IF(AutoClaim_Data!E2189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89">
        <f>(F2189-H2189)^2</f>
        <v/>
      </c>
      <c r="J2189">
        <f>--(E2189="Validation")</f>
        <v/>
      </c>
    </row>
    <row r="2190">
      <c r="D2190">
        <f>AutoClaim_Data!A2190</f>
        <v/>
      </c>
      <c r="E2190">
        <f>AutoClaim_Data!B2190</f>
        <v/>
      </c>
      <c r="F2190">
        <f>AutoClaim_Data!C2190</f>
        <v/>
      </c>
      <c r="G2190">
        <f>IF(AutoClaim_Data!D2190&lt;=$B$2,AVERAGEIFS(AutoClaim_Data!C2:C3168,AutoClaim_Data!B2:B3168,"Train",AutoClaim_Data!D2:D3168,"&lt;="&amp;$B$2),AVERAGEIFS(AutoClaim_Data!C2:C3168,AutoClaim_Data!B2:B3168,"Train",AutoClaim_Data!D2:D3168,"&gt;"&amp;$B$2))</f>
        <v/>
      </c>
      <c r="H2190">
        <f>IF(AutoClaim_Data!D2190&lt;=$B$2,IF(AutoClaim_Data!E2190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0">
        <f>(F2190-H2190)^2</f>
        <v/>
      </c>
      <c r="J2190">
        <f>--(E2190="Validation")</f>
        <v/>
      </c>
    </row>
    <row r="2191">
      <c r="D2191">
        <f>AutoClaim_Data!A2191</f>
        <v/>
      </c>
      <c r="E2191">
        <f>AutoClaim_Data!B2191</f>
        <v/>
      </c>
      <c r="F2191">
        <f>AutoClaim_Data!C2191</f>
        <v/>
      </c>
      <c r="G2191">
        <f>IF(AutoClaim_Data!D2191&lt;=$B$2,AVERAGEIFS(AutoClaim_Data!C2:C3168,AutoClaim_Data!B2:B3168,"Train",AutoClaim_Data!D2:D3168,"&lt;="&amp;$B$2),AVERAGEIFS(AutoClaim_Data!C2:C3168,AutoClaim_Data!B2:B3168,"Train",AutoClaim_Data!D2:D3168,"&gt;"&amp;$B$2))</f>
        <v/>
      </c>
      <c r="H2191">
        <f>IF(AutoClaim_Data!D2191&lt;=$B$2,IF(AutoClaim_Data!E2191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1">
        <f>(F2191-H2191)^2</f>
        <v/>
      </c>
      <c r="J2191">
        <f>--(E2191="Validation")</f>
        <v/>
      </c>
    </row>
    <row r="2192">
      <c r="D2192">
        <f>AutoClaim_Data!A2192</f>
        <v/>
      </c>
      <c r="E2192">
        <f>AutoClaim_Data!B2192</f>
        <v/>
      </c>
      <c r="F2192">
        <f>AutoClaim_Data!C2192</f>
        <v/>
      </c>
      <c r="G2192">
        <f>IF(AutoClaim_Data!D2192&lt;=$B$2,AVERAGEIFS(AutoClaim_Data!C2:C3168,AutoClaim_Data!B2:B3168,"Train",AutoClaim_Data!D2:D3168,"&lt;="&amp;$B$2),AVERAGEIFS(AutoClaim_Data!C2:C3168,AutoClaim_Data!B2:B3168,"Train",AutoClaim_Data!D2:D3168,"&gt;"&amp;$B$2))</f>
        <v/>
      </c>
      <c r="H2192">
        <f>IF(AutoClaim_Data!D2192&lt;=$B$2,IF(AutoClaim_Data!E2192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2">
        <f>(F2192-H2192)^2</f>
        <v/>
      </c>
      <c r="J2192">
        <f>--(E2192="Validation")</f>
        <v/>
      </c>
    </row>
    <row r="2193">
      <c r="D2193">
        <f>AutoClaim_Data!A2193</f>
        <v/>
      </c>
      <c r="E2193">
        <f>AutoClaim_Data!B2193</f>
        <v/>
      </c>
      <c r="F2193">
        <f>AutoClaim_Data!C2193</f>
        <v/>
      </c>
      <c r="G2193">
        <f>IF(AutoClaim_Data!D2193&lt;=$B$2,AVERAGEIFS(AutoClaim_Data!C2:C3168,AutoClaim_Data!B2:B3168,"Train",AutoClaim_Data!D2:D3168,"&lt;="&amp;$B$2),AVERAGEIFS(AutoClaim_Data!C2:C3168,AutoClaim_Data!B2:B3168,"Train",AutoClaim_Data!D2:D3168,"&gt;"&amp;$B$2))</f>
        <v/>
      </c>
      <c r="H2193">
        <f>IF(AutoClaim_Data!D2193&lt;=$B$2,IF(AutoClaim_Data!E2193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3">
        <f>(F2193-H2193)^2</f>
        <v/>
      </c>
      <c r="J2193">
        <f>--(E2193="Validation")</f>
        <v/>
      </c>
    </row>
    <row r="2194">
      <c r="D2194">
        <f>AutoClaim_Data!A2194</f>
        <v/>
      </c>
      <c r="E2194">
        <f>AutoClaim_Data!B2194</f>
        <v/>
      </c>
      <c r="F2194">
        <f>AutoClaim_Data!C2194</f>
        <v/>
      </c>
      <c r="G2194">
        <f>IF(AutoClaim_Data!D2194&lt;=$B$2,AVERAGEIFS(AutoClaim_Data!C2:C3168,AutoClaim_Data!B2:B3168,"Train",AutoClaim_Data!D2:D3168,"&lt;="&amp;$B$2),AVERAGEIFS(AutoClaim_Data!C2:C3168,AutoClaim_Data!B2:B3168,"Train",AutoClaim_Data!D2:D3168,"&gt;"&amp;$B$2))</f>
        <v/>
      </c>
      <c r="H2194">
        <f>IF(AutoClaim_Data!D2194&lt;=$B$2,IF(AutoClaim_Data!E2194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4">
        <f>(F2194-H2194)^2</f>
        <v/>
      </c>
      <c r="J2194">
        <f>--(E2194="Validation")</f>
        <v/>
      </c>
    </row>
    <row r="2195">
      <c r="D2195">
        <f>AutoClaim_Data!A2195</f>
        <v/>
      </c>
      <c r="E2195">
        <f>AutoClaim_Data!B2195</f>
        <v/>
      </c>
      <c r="F2195">
        <f>AutoClaim_Data!C2195</f>
        <v/>
      </c>
      <c r="G2195">
        <f>IF(AutoClaim_Data!D2195&lt;=$B$2,AVERAGEIFS(AutoClaim_Data!C2:C3168,AutoClaim_Data!B2:B3168,"Train",AutoClaim_Data!D2:D3168,"&lt;="&amp;$B$2),AVERAGEIFS(AutoClaim_Data!C2:C3168,AutoClaim_Data!B2:B3168,"Train",AutoClaim_Data!D2:D3168,"&gt;"&amp;$B$2))</f>
        <v/>
      </c>
      <c r="H2195">
        <f>IF(AutoClaim_Data!D2195&lt;=$B$2,IF(AutoClaim_Data!E2195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5">
        <f>(F2195-H2195)^2</f>
        <v/>
      </c>
      <c r="J2195">
        <f>--(E2195="Validation")</f>
        <v/>
      </c>
    </row>
    <row r="2196">
      <c r="D2196">
        <f>AutoClaim_Data!A2196</f>
        <v/>
      </c>
      <c r="E2196">
        <f>AutoClaim_Data!B2196</f>
        <v/>
      </c>
      <c r="F2196">
        <f>AutoClaim_Data!C2196</f>
        <v/>
      </c>
      <c r="G2196">
        <f>IF(AutoClaim_Data!D2196&lt;=$B$2,AVERAGEIFS(AutoClaim_Data!C2:C3168,AutoClaim_Data!B2:B3168,"Train",AutoClaim_Data!D2:D3168,"&lt;="&amp;$B$2),AVERAGEIFS(AutoClaim_Data!C2:C3168,AutoClaim_Data!B2:B3168,"Train",AutoClaim_Data!D2:D3168,"&gt;"&amp;$B$2))</f>
        <v/>
      </c>
      <c r="H2196">
        <f>IF(AutoClaim_Data!D2196&lt;=$B$2,IF(AutoClaim_Data!E2196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6">
        <f>(F2196-H2196)^2</f>
        <v/>
      </c>
      <c r="J2196">
        <f>--(E2196="Validation")</f>
        <v/>
      </c>
    </row>
    <row r="2197">
      <c r="D2197">
        <f>AutoClaim_Data!A2197</f>
        <v/>
      </c>
      <c r="E2197">
        <f>AutoClaim_Data!B2197</f>
        <v/>
      </c>
      <c r="F2197">
        <f>AutoClaim_Data!C2197</f>
        <v/>
      </c>
      <c r="G2197">
        <f>IF(AutoClaim_Data!D2197&lt;=$B$2,AVERAGEIFS(AutoClaim_Data!C2:C3168,AutoClaim_Data!B2:B3168,"Train",AutoClaim_Data!D2:D3168,"&lt;="&amp;$B$2),AVERAGEIFS(AutoClaim_Data!C2:C3168,AutoClaim_Data!B2:B3168,"Train",AutoClaim_Data!D2:D3168,"&gt;"&amp;$B$2))</f>
        <v/>
      </c>
      <c r="H2197">
        <f>IF(AutoClaim_Data!D2197&lt;=$B$2,IF(AutoClaim_Data!E2197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7">
        <f>(F2197-H2197)^2</f>
        <v/>
      </c>
      <c r="J2197">
        <f>--(E2197="Validation")</f>
        <v/>
      </c>
    </row>
    <row r="2198">
      <c r="D2198">
        <f>AutoClaim_Data!A2198</f>
        <v/>
      </c>
      <c r="E2198">
        <f>AutoClaim_Data!B2198</f>
        <v/>
      </c>
      <c r="F2198">
        <f>AutoClaim_Data!C2198</f>
        <v/>
      </c>
      <c r="G2198">
        <f>IF(AutoClaim_Data!D2198&lt;=$B$2,AVERAGEIFS(AutoClaim_Data!C2:C3168,AutoClaim_Data!B2:B3168,"Train",AutoClaim_Data!D2:D3168,"&lt;="&amp;$B$2),AVERAGEIFS(AutoClaim_Data!C2:C3168,AutoClaim_Data!B2:B3168,"Train",AutoClaim_Data!D2:D3168,"&gt;"&amp;$B$2))</f>
        <v/>
      </c>
      <c r="H2198">
        <f>IF(AutoClaim_Data!D2198&lt;=$B$2,IF(AutoClaim_Data!E2198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8">
        <f>(F2198-H2198)^2</f>
        <v/>
      </c>
      <c r="J2198">
        <f>--(E2198="Validation")</f>
        <v/>
      </c>
    </row>
    <row r="2199">
      <c r="D2199">
        <f>AutoClaim_Data!A2199</f>
        <v/>
      </c>
      <c r="E2199">
        <f>AutoClaim_Data!B2199</f>
        <v/>
      </c>
      <c r="F2199">
        <f>AutoClaim_Data!C2199</f>
        <v/>
      </c>
      <c r="G2199">
        <f>IF(AutoClaim_Data!D2199&lt;=$B$2,AVERAGEIFS(AutoClaim_Data!C2:C3168,AutoClaim_Data!B2:B3168,"Train",AutoClaim_Data!D2:D3168,"&lt;="&amp;$B$2),AVERAGEIFS(AutoClaim_Data!C2:C3168,AutoClaim_Data!B2:B3168,"Train",AutoClaim_Data!D2:D3168,"&gt;"&amp;$B$2))</f>
        <v/>
      </c>
      <c r="H2199">
        <f>IF(AutoClaim_Data!D2199&lt;=$B$2,IF(AutoClaim_Data!E2199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2199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199">
        <f>(F2199-H2199)^2</f>
        <v/>
      </c>
      <c r="J2199">
        <f>--(E2199="Validation")</f>
        <v/>
      </c>
    </row>
    <row r="2200">
      <c r="D2200">
        <f>AutoClaim_Data!A2200</f>
        <v/>
      </c>
      <c r="E2200">
        <f>AutoClaim_Data!B2200</f>
        <v/>
      </c>
      <c r="F2200">
        <f>AutoClaim_Data!C2200</f>
        <v/>
      </c>
      <c r="G2200">
        <f>IF(AutoClaim_Data!D2200&lt;=$B$2,AVERAGEIFS(AutoClaim_Data!C2:C3168,AutoClaim_Data!B2:B3168,"Train",AutoClaim_Data!D2:D3168,"&lt;="&amp;$B$2),AVERAGEIFS(AutoClaim_Data!C2:C3168,AutoClaim_Data!B2:B3168,"Train",AutoClaim_Data!D2:D3168,"&gt;"&amp;$B$2))</f>
        <v/>
      </c>
      <c r="H2200">
        <f>IF(AutoClaim_Data!D2200&lt;=$B$2,IF(AutoClaim_Data!E2200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0">
        <f>(F2200-H2200)^2</f>
        <v/>
      </c>
      <c r="J2200">
        <f>--(E2200="Validation")</f>
        <v/>
      </c>
    </row>
    <row r="2201">
      <c r="D2201">
        <f>AutoClaim_Data!A2201</f>
        <v/>
      </c>
      <c r="E2201">
        <f>AutoClaim_Data!B2201</f>
        <v/>
      </c>
      <c r="F2201">
        <f>AutoClaim_Data!C2201</f>
        <v/>
      </c>
      <c r="G2201">
        <f>IF(AutoClaim_Data!D2201&lt;=$B$2,AVERAGEIFS(AutoClaim_Data!C2:C3168,AutoClaim_Data!B2:B3168,"Train",AutoClaim_Data!D2:D3168,"&lt;="&amp;$B$2),AVERAGEIFS(AutoClaim_Data!C2:C3168,AutoClaim_Data!B2:B3168,"Train",AutoClaim_Data!D2:D3168,"&gt;"&amp;$B$2))</f>
        <v/>
      </c>
      <c r="H2201">
        <f>IF(AutoClaim_Data!D2201&lt;=$B$2,IF(AutoClaim_Data!E2201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1">
        <f>(F2201-H2201)^2</f>
        <v/>
      </c>
      <c r="J2201">
        <f>--(E2201="Validation")</f>
        <v/>
      </c>
    </row>
    <row r="2202">
      <c r="D2202">
        <f>AutoClaim_Data!A2202</f>
        <v/>
      </c>
      <c r="E2202">
        <f>AutoClaim_Data!B2202</f>
        <v/>
      </c>
      <c r="F2202">
        <f>AutoClaim_Data!C2202</f>
        <v/>
      </c>
      <c r="G2202">
        <f>IF(AutoClaim_Data!D2202&lt;=$B$2,AVERAGEIFS(AutoClaim_Data!C2:C3168,AutoClaim_Data!B2:B3168,"Train",AutoClaim_Data!D2:D3168,"&lt;="&amp;$B$2),AVERAGEIFS(AutoClaim_Data!C2:C3168,AutoClaim_Data!B2:B3168,"Train",AutoClaim_Data!D2:D3168,"&gt;"&amp;$B$2))</f>
        <v/>
      </c>
      <c r="H2202">
        <f>IF(AutoClaim_Data!D2202&lt;=$B$2,IF(AutoClaim_Data!E2202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2">
        <f>(F2202-H2202)^2</f>
        <v/>
      </c>
      <c r="J2202">
        <f>--(E2202="Validation")</f>
        <v/>
      </c>
    </row>
    <row r="2203">
      <c r="D2203">
        <f>AutoClaim_Data!A2203</f>
        <v/>
      </c>
      <c r="E2203">
        <f>AutoClaim_Data!B2203</f>
        <v/>
      </c>
      <c r="F2203">
        <f>AutoClaim_Data!C2203</f>
        <v/>
      </c>
      <c r="G2203">
        <f>IF(AutoClaim_Data!D2203&lt;=$B$2,AVERAGEIFS(AutoClaim_Data!C2:C3168,AutoClaim_Data!B2:B3168,"Train",AutoClaim_Data!D2:D3168,"&lt;="&amp;$B$2),AVERAGEIFS(AutoClaim_Data!C2:C3168,AutoClaim_Data!B2:B3168,"Train",AutoClaim_Data!D2:D3168,"&gt;"&amp;$B$2))</f>
        <v/>
      </c>
      <c r="H2203">
        <f>IF(AutoClaim_Data!D2203&lt;=$B$2,IF(AutoClaim_Data!E2203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3">
        <f>(F2203-H2203)^2</f>
        <v/>
      </c>
      <c r="J2203">
        <f>--(E2203="Validation")</f>
        <v/>
      </c>
    </row>
    <row r="2204">
      <c r="D2204">
        <f>AutoClaim_Data!A2204</f>
        <v/>
      </c>
      <c r="E2204">
        <f>AutoClaim_Data!B2204</f>
        <v/>
      </c>
      <c r="F2204">
        <f>AutoClaim_Data!C2204</f>
        <v/>
      </c>
      <c r="G2204">
        <f>IF(AutoClaim_Data!D2204&lt;=$B$2,AVERAGEIFS(AutoClaim_Data!C2:C3168,AutoClaim_Data!B2:B3168,"Train",AutoClaim_Data!D2:D3168,"&lt;="&amp;$B$2),AVERAGEIFS(AutoClaim_Data!C2:C3168,AutoClaim_Data!B2:B3168,"Train",AutoClaim_Data!D2:D3168,"&gt;"&amp;$B$2))</f>
        <v/>
      </c>
      <c r="H2204">
        <f>IF(AutoClaim_Data!D2204&lt;=$B$2,IF(AutoClaim_Data!E2204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4">
        <f>(F2204-H2204)^2</f>
        <v/>
      </c>
      <c r="J2204">
        <f>--(E2204="Validation")</f>
        <v/>
      </c>
    </row>
    <row r="2205">
      <c r="D2205">
        <f>AutoClaim_Data!A2205</f>
        <v/>
      </c>
      <c r="E2205">
        <f>AutoClaim_Data!B2205</f>
        <v/>
      </c>
      <c r="F2205">
        <f>AutoClaim_Data!C2205</f>
        <v/>
      </c>
      <c r="G2205">
        <f>IF(AutoClaim_Data!D2205&lt;=$B$2,AVERAGEIFS(AutoClaim_Data!C2:C3168,AutoClaim_Data!B2:B3168,"Train",AutoClaim_Data!D2:D3168,"&lt;="&amp;$B$2),AVERAGEIFS(AutoClaim_Data!C2:C3168,AutoClaim_Data!B2:B3168,"Train",AutoClaim_Data!D2:D3168,"&gt;"&amp;$B$2))</f>
        <v/>
      </c>
      <c r="H2205">
        <f>IF(AutoClaim_Data!D2205&lt;=$B$2,IF(AutoClaim_Data!E2205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5">
        <f>(F2205-H2205)^2</f>
        <v/>
      </c>
      <c r="J2205">
        <f>--(E2205="Validation")</f>
        <v/>
      </c>
    </row>
    <row r="2206">
      <c r="D2206">
        <f>AutoClaim_Data!A2206</f>
        <v/>
      </c>
      <c r="E2206">
        <f>AutoClaim_Data!B2206</f>
        <v/>
      </c>
      <c r="F2206">
        <f>AutoClaim_Data!C2206</f>
        <v/>
      </c>
      <c r="G2206">
        <f>IF(AutoClaim_Data!D2206&lt;=$B$2,AVERAGEIFS(AutoClaim_Data!C2:C3168,AutoClaim_Data!B2:B3168,"Train",AutoClaim_Data!D2:D3168,"&lt;="&amp;$B$2),AVERAGEIFS(AutoClaim_Data!C2:C3168,AutoClaim_Data!B2:B3168,"Train",AutoClaim_Data!D2:D3168,"&gt;"&amp;$B$2))</f>
        <v/>
      </c>
      <c r="H2206">
        <f>IF(AutoClaim_Data!D2206&lt;=$B$2,IF(AutoClaim_Data!E2206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6">
        <f>(F2206-H2206)^2</f>
        <v/>
      </c>
      <c r="J2206">
        <f>--(E2206="Validation")</f>
        <v/>
      </c>
    </row>
    <row r="2207">
      <c r="D2207">
        <f>AutoClaim_Data!A2207</f>
        <v/>
      </c>
      <c r="E2207">
        <f>AutoClaim_Data!B2207</f>
        <v/>
      </c>
      <c r="F2207">
        <f>AutoClaim_Data!C2207</f>
        <v/>
      </c>
      <c r="G2207">
        <f>IF(AutoClaim_Data!D2207&lt;=$B$2,AVERAGEIFS(AutoClaim_Data!C2:C3168,AutoClaim_Data!B2:B3168,"Train",AutoClaim_Data!D2:D3168,"&lt;="&amp;$B$2),AVERAGEIFS(AutoClaim_Data!C2:C3168,AutoClaim_Data!B2:B3168,"Train",AutoClaim_Data!D2:D3168,"&gt;"&amp;$B$2))</f>
        <v/>
      </c>
      <c r="H2207">
        <f>IF(AutoClaim_Data!D2207&lt;=$B$2,IF(AutoClaim_Data!E2207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7">
        <f>(F2207-H2207)^2</f>
        <v/>
      </c>
      <c r="J2207">
        <f>--(E2207="Validation")</f>
        <v/>
      </c>
    </row>
    <row r="2208">
      <c r="D2208">
        <f>AutoClaim_Data!A2208</f>
        <v/>
      </c>
      <c r="E2208">
        <f>AutoClaim_Data!B2208</f>
        <v/>
      </c>
      <c r="F2208">
        <f>AutoClaim_Data!C2208</f>
        <v/>
      </c>
      <c r="G2208">
        <f>IF(AutoClaim_Data!D2208&lt;=$B$2,AVERAGEIFS(AutoClaim_Data!C2:C3168,AutoClaim_Data!B2:B3168,"Train",AutoClaim_Data!D2:D3168,"&lt;="&amp;$B$2),AVERAGEIFS(AutoClaim_Data!C2:C3168,AutoClaim_Data!B2:B3168,"Train",AutoClaim_Data!D2:D3168,"&gt;"&amp;$B$2))</f>
        <v/>
      </c>
      <c r="H2208">
        <f>IF(AutoClaim_Data!D2208&lt;=$B$2,IF(AutoClaim_Data!E2208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8">
        <f>(F2208-H2208)^2</f>
        <v/>
      </c>
      <c r="J2208">
        <f>--(E2208="Validation")</f>
        <v/>
      </c>
    </row>
    <row r="2209">
      <c r="D2209">
        <f>AutoClaim_Data!A2209</f>
        <v/>
      </c>
      <c r="E2209">
        <f>AutoClaim_Data!B2209</f>
        <v/>
      </c>
      <c r="F2209">
        <f>AutoClaim_Data!C2209</f>
        <v/>
      </c>
      <c r="G2209">
        <f>IF(AutoClaim_Data!D2209&lt;=$B$2,AVERAGEIFS(AutoClaim_Data!C2:C3168,AutoClaim_Data!B2:B3168,"Train",AutoClaim_Data!D2:D3168,"&lt;="&amp;$B$2),AVERAGEIFS(AutoClaim_Data!C2:C3168,AutoClaim_Data!B2:B3168,"Train",AutoClaim_Data!D2:D3168,"&gt;"&amp;$B$2))</f>
        <v/>
      </c>
      <c r="H2209">
        <f>IF(AutoClaim_Data!D2209&lt;=$B$2,IF(AutoClaim_Data!E2209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09">
        <f>(F2209-H2209)^2</f>
        <v/>
      </c>
      <c r="J2209">
        <f>--(E2209="Validation")</f>
        <v/>
      </c>
    </row>
    <row r="2210">
      <c r="D2210">
        <f>AutoClaim_Data!A2210</f>
        <v/>
      </c>
      <c r="E2210">
        <f>AutoClaim_Data!B2210</f>
        <v/>
      </c>
      <c r="F2210">
        <f>AutoClaim_Data!C2210</f>
        <v/>
      </c>
      <c r="G2210">
        <f>IF(AutoClaim_Data!D2210&lt;=$B$2,AVERAGEIFS(AutoClaim_Data!C2:C3168,AutoClaim_Data!B2:B3168,"Train",AutoClaim_Data!D2:D3168,"&lt;="&amp;$B$2),AVERAGEIFS(AutoClaim_Data!C2:C3168,AutoClaim_Data!B2:B3168,"Train",AutoClaim_Data!D2:D3168,"&gt;"&amp;$B$2))</f>
        <v/>
      </c>
      <c r="H2210">
        <f>IF(AutoClaim_Data!D2210&lt;=$B$2,IF(AutoClaim_Data!E2210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0">
        <f>(F2210-H2210)^2</f>
        <v/>
      </c>
      <c r="J2210">
        <f>--(E2210="Validation")</f>
        <v/>
      </c>
    </row>
    <row r="2211">
      <c r="D2211">
        <f>AutoClaim_Data!A2211</f>
        <v/>
      </c>
      <c r="E2211">
        <f>AutoClaim_Data!B2211</f>
        <v/>
      </c>
      <c r="F2211">
        <f>AutoClaim_Data!C2211</f>
        <v/>
      </c>
      <c r="G2211">
        <f>IF(AutoClaim_Data!D2211&lt;=$B$2,AVERAGEIFS(AutoClaim_Data!C2:C3168,AutoClaim_Data!B2:B3168,"Train",AutoClaim_Data!D2:D3168,"&lt;="&amp;$B$2),AVERAGEIFS(AutoClaim_Data!C2:C3168,AutoClaim_Data!B2:B3168,"Train",AutoClaim_Data!D2:D3168,"&gt;"&amp;$B$2))</f>
        <v/>
      </c>
      <c r="H2211">
        <f>IF(AutoClaim_Data!D2211&lt;=$B$2,IF(AutoClaim_Data!E2211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1">
        <f>(F2211-H2211)^2</f>
        <v/>
      </c>
      <c r="J2211">
        <f>--(E2211="Validation")</f>
        <v/>
      </c>
    </row>
    <row r="2212">
      <c r="D2212">
        <f>AutoClaim_Data!A2212</f>
        <v/>
      </c>
      <c r="E2212">
        <f>AutoClaim_Data!B2212</f>
        <v/>
      </c>
      <c r="F2212">
        <f>AutoClaim_Data!C2212</f>
        <v/>
      </c>
      <c r="G2212">
        <f>IF(AutoClaim_Data!D2212&lt;=$B$2,AVERAGEIFS(AutoClaim_Data!C2:C3168,AutoClaim_Data!B2:B3168,"Train",AutoClaim_Data!D2:D3168,"&lt;="&amp;$B$2),AVERAGEIFS(AutoClaim_Data!C2:C3168,AutoClaim_Data!B2:B3168,"Train",AutoClaim_Data!D2:D3168,"&gt;"&amp;$B$2))</f>
        <v/>
      </c>
      <c r="H2212">
        <f>IF(AutoClaim_Data!D2212&lt;=$B$2,IF(AutoClaim_Data!E2212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2">
        <f>(F2212-H2212)^2</f>
        <v/>
      </c>
      <c r="J2212">
        <f>--(E2212="Validation")</f>
        <v/>
      </c>
    </row>
    <row r="2213">
      <c r="D2213">
        <f>AutoClaim_Data!A2213</f>
        <v/>
      </c>
      <c r="E2213">
        <f>AutoClaim_Data!B2213</f>
        <v/>
      </c>
      <c r="F2213">
        <f>AutoClaim_Data!C2213</f>
        <v/>
      </c>
      <c r="G2213">
        <f>IF(AutoClaim_Data!D2213&lt;=$B$2,AVERAGEIFS(AutoClaim_Data!C2:C3168,AutoClaim_Data!B2:B3168,"Train",AutoClaim_Data!D2:D3168,"&lt;="&amp;$B$2),AVERAGEIFS(AutoClaim_Data!C2:C3168,AutoClaim_Data!B2:B3168,"Train",AutoClaim_Data!D2:D3168,"&gt;"&amp;$B$2))</f>
        <v/>
      </c>
      <c r="H2213">
        <f>IF(AutoClaim_Data!D2213&lt;=$B$2,IF(AutoClaim_Data!E2213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3">
        <f>(F2213-H2213)^2</f>
        <v/>
      </c>
      <c r="J2213">
        <f>--(E2213="Validation")</f>
        <v/>
      </c>
    </row>
    <row r="2214">
      <c r="D2214">
        <f>AutoClaim_Data!A2214</f>
        <v/>
      </c>
      <c r="E2214">
        <f>AutoClaim_Data!B2214</f>
        <v/>
      </c>
      <c r="F2214">
        <f>AutoClaim_Data!C2214</f>
        <v/>
      </c>
      <c r="G2214">
        <f>IF(AutoClaim_Data!D2214&lt;=$B$2,AVERAGEIFS(AutoClaim_Data!C2:C3168,AutoClaim_Data!B2:B3168,"Train",AutoClaim_Data!D2:D3168,"&lt;="&amp;$B$2),AVERAGEIFS(AutoClaim_Data!C2:C3168,AutoClaim_Data!B2:B3168,"Train",AutoClaim_Data!D2:D3168,"&gt;"&amp;$B$2))</f>
        <v/>
      </c>
      <c r="H2214">
        <f>IF(AutoClaim_Data!D2214&lt;=$B$2,IF(AutoClaim_Data!E2214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4">
        <f>(F2214-H2214)^2</f>
        <v/>
      </c>
      <c r="J2214">
        <f>--(E2214="Validation")</f>
        <v/>
      </c>
    </row>
    <row r="2215">
      <c r="D2215">
        <f>AutoClaim_Data!A2215</f>
        <v/>
      </c>
      <c r="E2215">
        <f>AutoClaim_Data!B2215</f>
        <v/>
      </c>
      <c r="F2215">
        <f>AutoClaim_Data!C2215</f>
        <v/>
      </c>
      <c r="G2215">
        <f>IF(AutoClaim_Data!D2215&lt;=$B$2,AVERAGEIFS(AutoClaim_Data!C2:C3168,AutoClaim_Data!B2:B3168,"Train",AutoClaim_Data!D2:D3168,"&lt;="&amp;$B$2),AVERAGEIFS(AutoClaim_Data!C2:C3168,AutoClaim_Data!B2:B3168,"Train",AutoClaim_Data!D2:D3168,"&gt;"&amp;$B$2))</f>
        <v/>
      </c>
      <c r="H2215">
        <f>IF(AutoClaim_Data!D2215&lt;=$B$2,IF(AutoClaim_Data!E2215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5">
        <f>(F2215-H2215)^2</f>
        <v/>
      </c>
      <c r="J2215">
        <f>--(E2215="Validation")</f>
        <v/>
      </c>
    </row>
    <row r="2216">
      <c r="D2216">
        <f>AutoClaim_Data!A2216</f>
        <v/>
      </c>
      <c r="E2216">
        <f>AutoClaim_Data!B2216</f>
        <v/>
      </c>
      <c r="F2216">
        <f>AutoClaim_Data!C2216</f>
        <v/>
      </c>
      <c r="G2216">
        <f>IF(AutoClaim_Data!D2216&lt;=$B$2,AVERAGEIFS(AutoClaim_Data!C2:C3168,AutoClaim_Data!B2:B3168,"Train",AutoClaim_Data!D2:D3168,"&lt;="&amp;$B$2),AVERAGEIFS(AutoClaim_Data!C2:C3168,AutoClaim_Data!B2:B3168,"Train",AutoClaim_Data!D2:D3168,"&gt;"&amp;$B$2))</f>
        <v/>
      </c>
      <c r="H2216">
        <f>IF(AutoClaim_Data!D2216&lt;=$B$2,IF(AutoClaim_Data!E2216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6">
        <f>(F2216-H2216)^2</f>
        <v/>
      </c>
      <c r="J2216">
        <f>--(E2216="Validation")</f>
        <v/>
      </c>
    </row>
    <row r="2217">
      <c r="D2217">
        <f>AutoClaim_Data!A2217</f>
        <v/>
      </c>
      <c r="E2217">
        <f>AutoClaim_Data!B2217</f>
        <v/>
      </c>
      <c r="F2217">
        <f>AutoClaim_Data!C2217</f>
        <v/>
      </c>
      <c r="G2217">
        <f>IF(AutoClaim_Data!D2217&lt;=$B$2,AVERAGEIFS(AutoClaim_Data!C2:C3168,AutoClaim_Data!B2:B3168,"Train",AutoClaim_Data!D2:D3168,"&lt;="&amp;$B$2),AVERAGEIFS(AutoClaim_Data!C2:C3168,AutoClaim_Data!B2:B3168,"Train",AutoClaim_Data!D2:D3168,"&gt;"&amp;$B$2))</f>
        <v/>
      </c>
      <c r="H2217">
        <f>IF(AutoClaim_Data!D2217&lt;=$B$2,IF(AutoClaim_Data!E2217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7">
        <f>(F2217-H2217)^2</f>
        <v/>
      </c>
      <c r="J2217">
        <f>--(E2217="Validation")</f>
        <v/>
      </c>
    </row>
    <row r="2218">
      <c r="D2218">
        <f>AutoClaim_Data!A2218</f>
        <v/>
      </c>
      <c r="E2218">
        <f>AutoClaim_Data!B2218</f>
        <v/>
      </c>
      <c r="F2218">
        <f>AutoClaim_Data!C2218</f>
        <v/>
      </c>
      <c r="G2218">
        <f>IF(AutoClaim_Data!D2218&lt;=$B$2,AVERAGEIFS(AutoClaim_Data!C2:C3168,AutoClaim_Data!B2:B3168,"Train",AutoClaim_Data!D2:D3168,"&lt;="&amp;$B$2),AVERAGEIFS(AutoClaim_Data!C2:C3168,AutoClaim_Data!B2:B3168,"Train",AutoClaim_Data!D2:D3168,"&gt;"&amp;$B$2))</f>
        <v/>
      </c>
      <c r="H2218">
        <f>IF(AutoClaim_Data!D2218&lt;=$B$2,IF(AutoClaim_Data!E2218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8">
        <f>(F2218-H2218)^2</f>
        <v/>
      </c>
      <c r="J2218">
        <f>--(E2218="Validation")</f>
        <v/>
      </c>
    </row>
    <row r="2219">
      <c r="D2219">
        <f>AutoClaim_Data!A2219</f>
        <v/>
      </c>
      <c r="E2219">
        <f>AutoClaim_Data!B2219</f>
        <v/>
      </c>
      <c r="F2219">
        <f>AutoClaim_Data!C2219</f>
        <v/>
      </c>
      <c r="G2219">
        <f>IF(AutoClaim_Data!D2219&lt;=$B$2,AVERAGEIFS(AutoClaim_Data!C2:C3168,AutoClaim_Data!B2:B3168,"Train",AutoClaim_Data!D2:D3168,"&lt;="&amp;$B$2),AVERAGEIFS(AutoClaim_Data!C2:C3168,AutoClaim_Data!B2:B3168,"Train",AutoClaim_Data!D2:D3168,"&gt;"&amp;$B$2))</f>
        <v/>
      </c>
      <c r="H2219">
        <f>IF(AutoClaim_Data!D2219&lt;=$B$2,IF(AutoClaim_Data!E2219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19">
        <f>(F2219-H2219)^2</f>
        <v/>
      </c>
      <c r="J2219">
        <f>--(E2219="Validation")</f>
        <v/>
      </c>
    </row>
    <row r="2220">
      <c r="D2220">
        <f>AutoClaim_Data!A2220</f>
        <v/>
      </c>
      <c r="E2220">
        <f>AutoClaim_Data!B2220</f>
        <v/>
      </c>
      <c r="F2220">
        <f>AutoClaim_Data!C2220</f>
        <v/>
      </c>
      <c r="G2220">
        <f>IF(AutoClaim_Data!D2220&lt;=$B$2,AVERAGEIFS(AutoClaim_Data!C2:C3168,AutoClaim_Data!B2:B3168,"Train",AutoClaim_Data!D2:D3168,"&lt;="&amp;$B$2),AVERAGEIFS(AutoClaim_Data!C2:C3168,AutoClaim_Data!B2:B3168,"Train",AutoClaim_Data!D2:D3168,"&gt;"&amp;$B$2))</f>
        <v/>
      </c>
      <c r="H2220">
        <f>IF(AutoClaim_Data!D2220&lt;=$B$2,IF(AutoClaim_Data!E2220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0">
        <f>(F2220-H2220)^2</f>
        <v/>
      </c>
      <c r="J2220">
        <f>--(E2220="Validation")</f>
        <v/>
      </c>
    </row>
    <row r="2221">
      <c r="D2221">
        <f>AutoClaim_Data!A2221</f>
        <v/>
      </c>
      <c r="E2221">
        <f>AutoClaim_Data!B2221</f>
        <v/>
      </c>
      <c r="F2221">
        <f>AutoClaim_Data!C2221</f>
        <v/>
      </c>
      <c r="G2221">
        <f>IF(AutoClaim_Data!D2221&lt;=$B$2,AVERAGEIFS(AutoClaim_Data!C2:C3168,AutoClaim_Data!B2:B3168,"Train",AutoClaim_Data!D2:D3168,"&lt;="&amp;$B$2),AVERAGEIFS(AutoClaim_Data!C2:C3168,AutoClaim_Data!B2:B3168,"Train",AutoClaim_Data!D2:D3168,"&gt;"&amp;$B$2))</f>
        <v/>
      </c>
      <c r="H2221">
        <f>IF(AutoClaim_Data!D2221&lt;=$B$2,IF(AutoClaim_Data!E2221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1">
        <f>(F2221-H2221)^2</f>
        <v/>
      </c>
      <c r="J2221">
        <f>--(E2221="Validation")</f>
        <v/>
      </c>
    </row>
    <row r="2222">
      <c r="D2222">
        <f>AutoClaim_Data!A2222</f>
        <v/>
      </c>
      <c r="E2222">
        <f>AutoClaim_Data!B2222</f>
        <v/>
      </c>
      <c r="F2222">
        <f>AutoClaim_Data!C2222</f>
        <v/>
      </c>
      <c r="G2222">
        <f>IF(AutoClaim_Data!D2222&lt;=$B$2,AVERAGEIFS(AutoClaim_Data!C2:C3168,AutoClaim_Data!B2:B3168,"Train",AutoClaim_Data!D2:D3168,"&lt;="&amp;$B$2),AVERAGEIFS(AutoClaim_Data!C2:C3168,AutoClaim_Data!B2:B3168,"Train",AutoClaim_Data!D2:D3168,"&gt;"&amp;$B$2))</f>
        <v/>
      </c>
      <c r="H2222">
        <f>IF(AutoClaim_Data!D2222&lt;=$B$2,IF(AutoClaim_Data!E2222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2">
        <f>(F2222-H2222)^2</f>
        <v/>
      </c>
      <c r="J2222">
        <f>--(E2222="Validation")</f>
        <v/>
      </c>
    </row>
    <row r="2223">
      <c r="D2223">
        <f>AutoClaim_Data!A2223</f>
        <v/>
      </c>
      <c r="E2223">
        <f>AutoClaim_Data!B2223</f>
        <v/>
      </c>
      <c r="F2223">
        <f>AutoClaim_Data!C2223</f>
        <v/>
      </c>
      <c r="G2223">
        <f>IF(AutoClaim_Data!D2223&lt;=$B$2,AVERAGEIFS(AutoClaim_Data!C2:C3168,AutoClaim_Data!B2:B3168,"Train",AutoClaim_Data!D2:D3168,"&lt;="&amp;$B$2),AVERAGEIFS(AutoClaim_Data!C2:C3168,AutoClaim_Data!B2:B3168,"Train",AutoClaim_Data!D2:D3168,"&gt;"&amp;$B$2))</f>
        <v/>
      </c>
      <c r="H2223">
        <f>IF(AutoClaim_Data!D2223&lt;=$B$2,IF(AutoClaim_Data!E2223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3">
        <f>(F2223-H2223)^2</f>
        <v/>
      </c>
      <c r="J2223">
        <f>--(E2223="Validation")</f>
        <v/>
      </c>
    </row>
    <row r="2224">
      <c r="D2224">
        <f>AutoClaim_Data!A2224</f>
        <v/>
      </c>
      <c r="E2224">
        <f>AutoClaim_Data!B2224</f>
        <v/>
      </c>
      <c r="F2224">
        <f>AutoClaim_Data!C2224</f>
        <v/>
      </c>
      <c r="G2224">
        <f>IF(AutoClaim_Data!D2224&lt;=$B$2,AVERAGEIFS(AutoClaim_Data!C2:C3168,AutoClaim_Data!B2:B3168,"Train",AutoClaim_Data!D2:D3168,"&lt;="&amp;$B$2),AVERAGEIFS(AutoClaim_Data!C2:C3168,AutoClaim_Data!B2:B3168,"Train",AutoClaim_Data!D2:D3168,"&gt;"&amp;$B$2))</f>
        <v/>
      </c>
      <c r="H2224">
        <f>IF(AutoClaim_Data!D2224&lt;=$B$2,IF(AutoClaim_Data!E2224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4">
        <f>(F2224-H2224)^2</f>
        <v/>
      </c>
      <c r="J2224">
        <f>--(E2224="Validation")</f>
        <v/>
      </c>
    </row>
    <row r="2225">
      <c r="D2225">
        <f>AutoClaim_Data!A2225</f>
        <v/>
      </c>
      <c r="E2225">
        <f>AutoClaim_Data!B2225</f>
        <v/>
      </c>
      <c r="F2225">
        <f>AutoClaim_Data!C2225</f>
        <v/>
      </c>
      <c r="G2225">
        <f>IF(AutoClaim_Data!D2225&lt;=$B$2,AVERAGEIFS(AutoClaim_Data!C2:C3168,AutoClaim_Data!B2:B3168,"Train",AutoClaim_Data!D2:D3168,"&lt;="&amp;$B$2),AVERAGEIFS(AutoClaim_Data!C2:C3168,AutoClaim_Data!B2:B3168,"Train",AutoClaim_Data!D2:D3168,"&gt;"&amp;$B$2))</f>
        <v/>
      </c>
      <c r="H2225">
        <f>IF(AutoClaim_Data!D2225&lt;=$B$2,IF(AutoClaim_Data!E2225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5">
        <f>(F2225-H2225)^2</f>
        <v/>
      </c>
      <c r="J2225">
        <f>--(E2225="Validation")</f>
        <v/>
      </c>
    </row>
    <row r="2226">
      <c r="D2226">
        <f>AutoClaim_Data!A2226</f>
        <v/>
      </c>
      <c r="E2226">
        <f>AutoClaim_Data!B2226</f>
        <v/>
      </c>
      <c r="F2226">
        <f>AutoClaim_Data!C2226</f>
        <v/>
      </c>
      <c r="G2226">
        <f>IF(AutoClaim_Data!D2226&lt;=$B$2,AVERAGEIFS(AutoClaim_Data!C2:C3168,AutoClaim_Data!B2:B3168,"Train",AutoClaim_Data!D2:D3168,"&lt;="&amp;$B$2),AVERAGEIFS(AutoClaim_Data!C2:C3168,AutoClaim_Data!B2:B3168,"Train",AutoClaim_Data!D2:D3168,"&gt;"&amp;$B$2))</f>
        <v/>
      </c>
      <c r="H2226">
        <f>IF(AutoClaim_Data!D2226&lt;=$B$2,IF(AutoClaim_Data!E2226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6">
        <f>(F2226-H2226)^2</f>
        <v/>
      </c>
      <c r="J2226">
        <f>--(E2226="Validation")</f>
        <v/>
      </c>
    </row>
    <row r="2227">
      <c r="D2227">
        <f>AutoClaim_Data!A2227</f>
        <v/>
      </c>
      <c r="E2227">
        <f>AutoClaim_Data!B2227</f>
        <v/>
      </c>
      <c r="F2227">
        <f>AutoClaim_Data!C2227</f>
        <v/>
      </c>
      <c r="G2227">
        <f>IF(AutoClaim_Data!D2227&lt;=$B$2,AVERAGEIFS(AutoClaim_Data!C2:C3168,AutoClaim_Data!B2:B3168,"Train",AutoClaim_Data!D2:D3168,"&lt;="&amp;$B$2),AVERAGEIFS(AutoClaim_Data!C2:C3168,AutoClaim_Data!B2:B3168,"Train",AutoClaim_Data!D2:D3168,"&gt;"&amp;$B$2))</f>
        <v/>
      </c>
      <c r="H2227">
        <f>IF(AutoClaim_Data!D2227&lt;=$B$2,IF(AutoClaim_Data!E2227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7">
        <f>(F2227-H2227)^2</f>
        <v/>
      </c>
      <c r="J2227">
        <f>--(E2227="Validation")</f>
        <v/>
      </c>
    </row>
    <row r="2228">
      <c r="D2228">
        <f>AutoClaim_Data!A2228</f>
        <v/>
      </c>
      <c r="E2228">
        <f>AutoClaim_Data!B2228</f>
        <v/>
      </c>
      <c r="F2228">
        <f>AutoClaim_Data!C2228</f>
        <v/>
      </c>
      <c r="G2228">
        <f>IF(AutoClaim_Data!D2228&lt;=$B$2,AVERAGEIFS(AutoClaim_Data!C2:C3168,AutoClaim_Data!B2:B3168,"Train",AutoClaim_Data!D2:D3168,"&lt;="&amp;$B$2),AVERAGEIFS(AutoClaim_Data!C2:C3168,AutoClaim_Data!B2:B3168,"Train",AutoClaim_Data!D2:D3168,"&gt;"&amp;$B$2))</f>
        <v/>
      </c>
      <c r="H2228">
        <f>IF(AutoClaim_Data!D2228&lt;=$B$2,IF(AutoClaim_Data!E2228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8">
        <f>(F2228-H2228)^2</f>
        <v/>
      </c>
      <c r="J2228">
        <f>--(E2228="Validation")</f>
        <v/>
      </c>
    </row>
    <row r="2229">
      <c r="D2229">
        <f>AutoClaim_Data!A2229</f>
        <v/>
      </c>
      <c r="E2229">
        <f>AutoClaim_Data!B2229</f>
        <v/>
      </c>
      <c r="F2229">
        <f>AutoClaim_Data!C2229</f>
        <v/>
      </c>
      <c r="G2229">
        <f>IF(AutoClaim_Data!D2229&lt;=$B$2,AVERAGEIFS(AutoClaim_Data!C2:C3168,AutoClaim_Data!B2:B3168,"Train",AutoClaim_Data!D2:D3168,"&lt;="&amp;$B$2),AVERAGEIFS(AutoClaim_Data!C2:C3168,AutoClaim_Data!B2:B3168,"Train",AutoClaim_Data!D2:D3168,"&gt;"&amp;$B$2))</f>
        <v/>
      </c>
      <c r="H2229">
        <f>IF(AutoClaim_Data!D2229&lt;=$B$2,IF(AutoClaim_Data!E2229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29">
        <f>(F2229-H2229)^2</f>
        <v/>
      </c>
      <c r="J2229">
        <f>--(E2229="Validation")</f>
        <v/>
      </c>
    </row>
    <row r="2230">
      <c r="D2230">
        <f>AutoClaim_Data!A2230</f>
        <v/>
      </c>
      <c r="E2230">
        <f>AutoClaim_Data!B2230</f>
        <v/>
      </c>
      <c r="F2230">
        <f>AutoClaim_Data!C2230</f>
        <v/>
      </c>
      <c r="G2230">
        <f>IF(AutoClaim_Data!D2230&lt;=$B$2,AVERAGEIFS(AutoClaim_Data!C2:C3168,AutoClaim_Data!B2:B3168,"Train",AutoClaim_Data!D2:D3168,"&lt;="&amp;$B$2),AVERAGEIFS(AutoClaim_Data!C2:C3168,AutoClaim_Data!B2:B3168,"Train",AutoClaim_Data!D2:D3168,"&gt;"&amp;$B$2))</f>
        <v/>
      </c>
      <c r="H2230">
        <f>IF(AutoClaim_Data!D2230&lt;=$B$2,IF(AutoClaim_Data!E2230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0">
        <f>(F2230-H2230)^2</f>
        <v/>
      </c>
      <c r="J2230">
        <f>--(E2230="Validation")</f>
        <v/>
      </c>
    </row>
    <row r="2231">
      <c r="D2231">
        <f>AutoClaim_Data!A2231</f>
        <v/>
      </c>
      <c r="E2231">
        <f>AutoClaim_Data!B2231</f>
        <v/>
      </c>
      <c r="F2231">
        <f>AutoClaim_Data!C2231</f>
        <v/>
      </c>
      <c r="G2231">
        <f>IF(AutoClaim_Data!D2231&lt;=$B$2,AVERAGEIFS(AutoClaim_Data!C2:C3168,AutoClaim_Data!B2:B3168,"Train",AutoClaim_Data!D2:D3168,"&lt;="&amp;$B$2),AVERAGEIFS(AutoClaim_Data!C2:C3168,AutoClaim_Data!B2:B3168,"Train",AutoClaim_Data!D2:D3168,"&gt;"&amp;$B$2))</f>
        <v/>
      </c>
      <c r="H2231">
        <f>IF(AutoClaim_Data!D2231&lt;=$B$2,IF(AutoClaim_Data!E2231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1">
        <f>(F2231-H2231)^2</f>
        <v/>
      </c>
      <c r="J2231">
        <f>--(E2231="Validation")</f>
        <v/>
      </c>
    </row>
    <row r="2232">
      <c r="D2232">
        <f>AutoClaim_Data!A2232</f>
        <v/>
      </c>
      <c r="E2232">
        <f>AutoClaim_Data!B2232</f>
        <v/>
      </c>
      <c r="F2232">
        <f>AutoClaim_Data!C2232</f>
        <v/>
      </c>
      <c r="G2232">
        <f>IF(AutoClaim_Data!D2232&lt;=$B$2,AVERAGEIFS(AutoClaim_Data!C2:C3168,AutoClaim_Data!B2:B3168,"Train",AutoClaim_Data!D2:D3168,"&lt;="&amp;$B$2),AVERAGEIFS(AutoClaim_Data!C2:C3168,AutoClaim_Data!B2:B3168,"Train",AutoClaim_Data!D2:D3168,"&gt;"&amp;$B$2))</f>
        <v/>
      </c>
      <c r="H2232">
        <f>IF(AutoClaim_Data!D2232&lt;=$B$2,IF(AutoClaim_Data!E2232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2">
        <f>(F2232-H2232)^2</f>
        <v/>
      </c>
      <c r="J2232">
        <f>--(E2232="Validation")</f>
        <v/>
      </c>
    </row>
    <row r="2233">
      <c r="D2233">
        <f>AutoClaim_Data!A2233</f>
        <v/>
      </c>
      <c r="E2233">
        <f>AutoClaim_Data!B2233</f>
        <v/>
      </c>
      <c r="F2233">
        <f>AutoClaim_Data!C2233</f>
        <v/>
      </c>
      <c r="G2233">
        <f>IF(AutoClaim_Data!D2233&lt;=$B$2,AVERAGEIFS(AutoClaim_Data!C2:C3168,AutoClaim_Data!B2:B3168,"Train",AutoClaim_Data!D2:D3168,"&lt;="&amp;$B$2),AVERAGEIFS(AutoClaim_Data!C2:C3168,AutoClaim_Data!B2:B3168,"Train",AutoClaim_Data!D2:D3168,"&gt;"&amp;$B$2))</f>
        <v/>
      </c>
      <c r="H2233">
        <f>IF(AutoClaim_Data!D2233&lt;=$B$2,IF(AutoClaim_Data!E2233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3">
        <f>(F2233-H2233)^2</f>
        <v/>
      </c>
      <c r="J2233">
        <f>--(E2233="Validation")</f>
        <v/>
      </c>
    </row>
    <row r="2234">
      <c r="D2234">
        <f>AutoClaim_Data!A2234</f>
        <v/>
      </c>
      <c r="E2234">
        <f>AutoClaim_Data!B2234</f>
        <v/>
      </c>
      <c r="F2234">
        <f>AutoClaim_Data!C2234</f>
        <v/>
      </c>
      <c r="G2234">
        <f>IF(AutoClaim_Data!D2234&lt;=$B$2,AVERAGEIFS(AutoClaim_Data!C2:C3168,AutoClaim_Data!B2:B3168,"Train",AutoClaim_Data!D2:D3168,"&lt;="&amp;$B$2),AVERAGEIFS(AutoClaim_Data!C2:C3168,AutoClaim_Data!B2:B3168,"Train",AutoClaim_Data!D2:D3168,"&gt;"&amp;$B$2))</f>
        <v/>
      </c>
      <c r="H2234">
        <f>IF(AutoClaim_Data!D2234&lt;=$B$2,IF(AutoClaim_Data!E2234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4">
        <f>(F2234-H2234)^2</f>
        <v/>
      </c>
      <c r="J2234">
        <f>--(E2234="Validation")</f>
        <v/>
      </c>
    </row>
    <row r="2235">
      <c r="D2235">
        <f>AutoClaim_Data!A2235</f>
        <v/>
      </c>
      <c r="E2235">
        <f>AutoClaim_Data!B2235</f>
        <v/>
      </c>
      <c r="F2235">
        <f>AutoClaim_Data!C2235</f>
        <v/>
      </c>
      <c r="G2235">
        <f>IF(AutoClaim_Data!D2235&lt;=$B$2,AVERAGEIFS(AutoClaim_Data!C2:C3168,AutoClaim_Data!B2:B3168,"Train",AutoClaim_Data!D2:D3168,"&lt;="&amp;$B$2),AVERAGEIFS(AutoClaim_Data!C2:C3168,AutoClaim_Data!B2:B3168,"Train",AutoClaim_Data!D2:D3168,"&gt;"&amp;$B$2))</f>
        <v/>
      </c>
      <c r="H2235">
        <f>IF(AutoClaim_Data!D2235&lt;=$B$2,IF(AutoClaim_Data!E2235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5">
        <f>(F2235-H2235)^2</f>
        <v/>
      </c>
      <c r="J2235">
        <f>--(E2235="Validation")</f>
        <v/>
      </c>
    </row>
    <row r="2236">
      <c r="D2236">
        <f>AutoClaim_Data!A2236</f>
        <v/>
      </c>
      <c r="E2236">
        <f>AutoClaim_Data!B2236</f>
        <v/>
      </c>
      <c r="F2236">
        <f>AutoClaim_Data!C2236</f>
        <v/>
      </c>
      <c r="G2236">
        <f>IF(AutoClaim_Data!D2236&lt;=$B$2,AVERAGEIFS(AutoClaim_Data!C2:C3168,AutoClaim_Data!B2:B3168,"Train",AutoClaim_Data!D2:D3168,"&lt;="&amp;$B$2),AVERAGEIFS(AutoClaim_Data!C2:C3168,AutoClaim_Data!B2:B3168,"Train",AutoClaim_Data!D2:D3168,"&gt;"&amp;$B$2))</f>
        <v/>
      </c>
      <c r="H2236">
        <f>IF(AutoClaim_Data!D2236&lt;=$B$2,IF(AutoClaim_Data!E2236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6">
        <f>(F2236-H2236)^2</f>
        <v/>
      </c>
      <c r="J2236">
        <f>--(E2236="Validation")</f>
        <v/>
      </c>
    </row>
    <row r="2237">
      <c r="D2237">
        <f>AutoClaim_Data!A2237</f>
        <v/>
      </c>
      <c r="E2237">
        <f>AutoClaim_Data!B2237</f>
        <v/>
      </c>
      <c r="F2237">
        <f>AutoClaim_Data!C2237</f>
        <v/>
      </c>
      <c r="G2237">
        <f>IF(AutoClaim_Data!D2237&lt;=$B$2,AVERAGEIFS(AutoClaim_Data!C2:C3168,AutoClaim_Data!B2:B3168,"Train",AutoClaim_Data!D2:D3168,"&lt;="&amp;$B$2),AVERAGEIFS(AutoClaim_Data!C2:C3168,AutoClaim_Data!B2:B3168,"Train",AutoClaim_Data!D2:D3168,"&gt;"&amp;$B$2))</f>
        <v/>
      </c>
      <c r="H2237">
        <f>IF(AutoClaim_Data!D2237&lt;=$B$2,IF(AutoClaim_Data!E2237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7">
        <f>(F2237-H2237)^2</f>
        <v/>
      </c>
      <c r="J2237">
        <f>--(E2237="Validation")</f>
        <v/>
      </c>
    </row>
    <row r="2238">
      <c r="D2238">
        <f>AutoClaim_Data!A2238</f>
        <v/>
      </c>
      <c r="E2238">
        <f>AutoClaim_Data!B2238</f>
        <v/>
      </c>
      <c r="F2238">
        <f>AutoClaim_Data!C2238</f>
        <v/>
      </c>
      <c r="G2238">
        <f>IF(AutoClaim_Data!D2238&lt;=$B$2,AVERAGEIFS(AutoClaim_Data!C2:C3168,AutoClaim_Data!B2:B3168,"Train",AutoClaim_Data!D2:D3168,"&lt;="&amp;$B$2),AVERAGEIFS(AutoClaim_Data!C2:C3168,AutoClaim_Data!B2:B3168,"Train",AutoClaim_Data!D2:D3168,"&gt;"&amp;$B$2))</f>
        <v/>
      </c>
      <c r="H2238">
        <f>IF(AutoClaim_Data!D2238&lt;=$B$2,IF(AutoClaim_Data!E2238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8">
        <f>(F2238-H2238)^2</f>
        <v/>
      </c>
      <c r="J2238">
        <f>--(E2238="Validation")</f>
        <v/>
      </c>
    </row>
    <row r="2239">
      <c r="D2239">
        <f>AutoClaim_Data!A2239</f>
        <v/>
      </c>
      <c r="E2239">
        <f>AutoClaim_Data!B2239</f>
        <v/>
      </c>
      <c r="F2239">
        <f>AutoClaim_Data!C2239</f>
        <v/>
      </c>
      <c r="G2239">
        <f>IF(AutoClaim_Data!D2239&lt;=$B$2,AVERAGEIFS(AutoClaim_Data!C2:C3168,AutoClaim_Data!B2:B3168,"Train",AutoClaim_Data!D2:D3168,"&lt;="&amp;$B$2),AVERAGEIFS(AutoClaim_Data!C2:C3168,AutoClaim_Data!B2:B3168,"Train",AutoClaim_Data!D2:D3168,"&gt;"&amp;$B$2))</f>
        <v/>
      </c>
      <c r="H2239">
        <f>IF(AutoClaim_Data!D2239&lt;=$B$2,IF(AutoClaim_Data!E2239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39">
        <f>(F2239-H2239)^2</f>
        <v/>
      </c>
      <c r="J2239">
        <f>--(E2239="Validation")</f>
        <v/>
      </c>
    </row>
    <row r="2240">
      <c r="D2240">
        <f>AutoClaim_Data!A2240</f>
        <v/>
      </c>
      <c r="E2240">
        <f>AutoClaim_Data!B2240</f>
        <v/>
      </c>
      <c r="F2240">
        <f>AutoClaim_Data!C2240</f>
        <v/>
      </c>
      <c r="G2240">
        <f>IF(AutoClaim_Data!D2240&lt;=$B$2,AVERAGEIFS(AutoClaim_Data!C2:C3168,AutoClaim_Data!B2:B3168,"Train",AutoClaim_Data!D2:D3168,"&lt;="&amp;$B$2),AVERAGEIFS(AutoClaim_Data!C2:C3168,AutoClaim_Data!B2:B3168,"Train",AutoClaim_Data!D2:D3168,"&gt;"&amp;$B$2))</f>
        <v/>
      </c>
      <c r="H2240">
        <f>IF(AutoClaim_Data!D2240&lt;=$B$2,IF(AutoClaim_Data!E2240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0">
        <f>(F2240-H2240)^2</f>
        <v/>
      </c>
      <c r="J2240">
        <f>--(E2240="Validation")</f>
        <v/>
      </c>
    </row>
    <row r="2241">
      <c r="D2241">
        <f>AutoClaim_Data!A2241</f>
        <v/>
      </c>
      <c r="E2241">
        <f>AutoClaim_Data!B2241</f>
        <v/>
      </c>
      <c r="F2241">
        <f>AutoClaim_Data!C2241</f>
        <v/>
      </c>
      <c r="G2241">
        <f>IF(AutoClaim_Data!D2241&lt;=$B$2,AVERAGEIFS(AutoClaim_Data!C2:C3168,AutoClaim_Data!B2:B3168,"Train",AutoClaim_Data!D2:D3168,"&lt;="&amp;$B$2),AVERAGEIFS(AutoClaim_Data!C2:C3168,AutoClaim_Data!B2:B3168,"Train",AutoClaim_Data!D2:D3168,"&gt;"&amp;$B$2))</f>
        <v/>
      </c>
      <c r="H2241">
        <f>IF(AutoClaim_Data!D2241&lt;=$B$2,IF(AutoClaim_Data!E2241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1">
        <f>(F2241-H2241)^2</f>
        <v/>
      </c>
      <c r="J2241">
        <f>--(E2241="Validation")</f>
        <v/>
      </c>
    </row>
    <row r="2242">
      <c r="D2242">
        <f>AutoClaim_Data!A2242</f>
        <v/>
      </c>
      <c r="E2242">
        <f>AutoClaim_Data!B2242</f>
        <v/>
      </c>
      <c r="F2242">
        <f>AutoClaim_Data!C2242</f>
        <v/>
      </c>
      <c r="G2242">
        <f>IF(AutoClaim_Data!D2242&lt;=$B$2,AVERAGEIFS(AutoClaim_Data!C2:C3168,AutoClaim_Data!B2:B3168,"Train",AutoClaim_Data!D2:D3168,"&lt;="&amp;$B$2),AVERAGEIFS(AutoClaim_Data!C2:C3168,AutoClaim_Data!B2:B3168,"Train",AutoClaim_Data!D2:D3168,"&gt;"&amp;$B$2))</f>
        <v/>
      </c>
      <c r="H2242">
        <f>IF(AutoClaim_Data!D2242&lt;=$B$2,IF(AutoClaim_Data!E2242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2">
        <f>(F2242-H2242)^2</f>
        <v/>
      </c>
      <c r="J2242">
        <f>--(E2242="Validation")</f>
        <v/>
      </c>
    </row>
    <row r="2243">
      <c r="D2243">
        <f>AutoClaim_Data!A2243</f>
        <v/>
      </c>
      <c r="E2243">
        <f>AutoClaim_Data!B2243</f>
        <v/>
      </c>
      <c r="F2243">
        <f>AutoClaim_Data!C2243</f>
        <v/>
      </c>
      <c r="G2243">
        <f>IF(AutoClaim_Data!D2243&lt;=$B$2,AVERAGEIFS(AutoClaim_Data!C2:C3168,AutoClaim_Data!B2:B3168,"Train",AutoClaim_Data!D2:D3168,"&lt;="&amp;$B$2),AVERAGEIFS(AutoClaim_Data!C2:C3168,AutoClaim_Data!B2:B3168,"Train",AutoClaim_Data!D2:D3168,"&gt;"&amp;$B$2))</f>
        <v/>
      </c>
      <c r="H2243">
        <f>IF(AutoClaim_Data!D2243&lt;=$B$2,IF(AutoClaim_Data!E2243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3">
        <f>(F2243-H2243)^2</f>
        <v/>
      </c>
      <c r="J2243">
        <f>--(E2243="Validation")</f>
        <v/>
      </c>
    </row>
    <row r="2244">
      <c r="D2244">
        <f>AutoClaim_Data!A2244</f>
        <v/>
      </c>
      <c r="E2244">
        <f>AutoClaim_Data!B2244</f>
        <v/>
      </c>
      <c r="F2244">
        <f>AutoClaim_Data!C2244</f>
        <v/>
      </c>
      <c r="G2244">
        <f>IF(AutoClaim_Data!D2244&lt;=$B$2,AVERAGEIFS(AutoClaim_Data!C2:C3168,AutoClaim_Data!B2:B3168,"Train",AutoClaim_Data!D2:D3168,"&lt;="&amp;$B$2),AVERAGEIFS(AutoClaim_Data!C2:C3168,AutoClaim_Data!B2:B3168,"Train",AutoClaim_Data!D2:D3168,"&gt;"&amp;$B$2))</f>
        <v/>
      </c>
      <c r="H2244">
        <f>IF(AutoClaim_Data!D2244&lt;=$B$2,IF(AutoClaim_Data!E2244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4">
        <f>(F2244-H2244)^2</f>
        <v/>
      </c>
      <c r="J2244">
        <f>--(E2244="Validation")</f>
        <v/>
      </c>
    </row>
    <row r="2245">
      <c r="D2245">
        <f>AutoClaim_Data!A2245</f>
        <v/>
      </c>
      <c r="E2245">
        <f>AutoClaim_Data!B2245</f>
        <v/>
      </c>
      <c r="F2245">
        <f>AutoClaim_Data!C2245</f>
        <v/>
      </c>
      <c r="G2245">
        <f>IF(AutoClaim_Data!D2245&lt;=$B$2,AVERAGEIFS(AutoClaim_Data!C2:C3168,AutoClaim_Data!B2:B3168,"Train",AutoClaim_Data!D2:D3168,"&lt;="&amp;$B$2),AVERAGEIFS(AutoClaim_Data!C2:C3168,AutoClaim_Data!B2:B3168,"Train",AutoClaim_Data!D2:D3168,"&gt;"&amp;$B$2))</f>
        <v/>
      </c>
      <c r="H2245">
        <f>IF(AutoClaim_Data!D2245&lt;=$B$2,IF(AutoClaim_Data!E2245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5">
        <f>(F2245-H2245)^2</f>
        <v/>
      </c>
      <c r="J2245">
        <f>--(E2245="Validation")</f>
        <v/>
      </c>
    </row>
    <row r="2246">
      <c r="D2246">
        <f>AutoClaim_Data!A2246</f>
        <v/>
      </c>
      <c r="E2246">
        <f>AutoClaim_Data!B2246</f>
        <v/>
      </c>
      <c r="F2246">
        <f>AutoClaim_Data!C2246</f>
        <v/>
      </c>
      <c r="G2246">
        <f>IF(AutoClaim_Data!D2246&lt;=$B$2,AVERAGEIFS(AutoClaim_Data!C2:C3168,AutoClaim_Data!B2:B3168,"Train",AutoClaim_Data!D2:D3168,"&lt;="&amp;$B$2),AVERAGEIFS(AutoClaim_Data!C2:C3168,AutoClaim_Data!B2:B3168,"Train",AutoClaim_Data!D2:D3168,"&gt;"&amp;$B$2))</f>
        <v/>
      </c>
      <c r="H2246">
        <f>IF(AutoClaim_Data!D2246&lt;=$B$2,IF(AutoClaim_Data!E2246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6">
        <f>(F2246-H2246)^2</f>
        <v/>
      </c>
      <c r="J2246">
        <f>--(E2246="Validation")</f>
        <v/>
      </c>
    </row>
    <row r="2247">
      <c r="D2247">
        <f>AutoClaim_Data!A2247</f>
        <v/>
      </c>
      <c r="E2247">
        <f>AutoClaim_Data!B2247</f>
        <v/>
      </c>
      <c r="F2247">
        <f>AutoClaim_Data!C2247</f>
        <v/>
      </c>
      <c r="G2247">
        <f>IF(AutoClaim_Data!D2247&lt;=$B$2,AVERAGEIFS(AutoClaim_Data!C2:C3168,AutoClaim_Data!B2:B3168,"Train",AutoClaim_Data!D2:D3168,"&lt;="&amp;$B$2),AVERAGEIFS(AutoClaim_Data!C2:C3168,AutoClaim_Data!B2:B3168,"Train",AutoClaim_Data!D2:D3168,"&gt;"&amp;$B$2))</f>
        <v/>
      </c>
      <c r="H2247">
        <f>IF(AutoClaim_Data!D2247&lt;=$B$2,IF(AutoClaim_Data!E2247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7">
        <f>(F2247-H2247)^2</f>
        <v/>
      </c>
      <c r="J2247">
        <f>--(E2247="Validation")</f>
        <v/>
      </c>
    </row>
    <row r="2248">
      <c r="D2248">
        <f>AutoClaim_Data!A2248</f>
        <v/>
      </c>
      <c r="E2248">
        <f>AutoClaim_Data!B2248</f>
        <v/>
      </c>
      <c r="F2248">
        <f>AutoClaim_Data!C2248</f>
        <v/>
      </c>
      <c r="G2248">
        <f>IF(AutoClaim_Data!D2248&lt;=$B$2,AVERAGEIFS(AutoClaim_Data!C2:C3168,AutoClaim_Data!B2:B3168,"Train",AutoClaim_Data!D2:D3168,"&lt;="&amp;$B$2),AVERAGEIFS(AutoClaim_Data!C2:C3168,AutoClaim_Data!B2:B3168,"Train",AutoClaim_Data!D2:D3168,"&gt;"&amp;$B$2))</f>
        <v/>
      </c>
      <c r="H2248">
        <f>IF(AutoClaim_Data!D2248&lt;=$B$2,IF(AutoClaim_Data!E2248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8">
        <f>(F2248-H2248)^2</f>
        <v/>
      </c>
      <c r="J2248">
        <f>--(E2248="Validation")</f>
        <v/>
      </c>
    </row>
    <row r="2249">
      <c r="D2249">
        <f>AutoClaim_Data!A2249</f>
        <v/>
      </c>
      <c r="E2249">
        <f>AutoClaim_Data!B2249</f>
        <v/>
      </c>
      <c r="F2249">
        <f>AutoClaim_Data!C2249</f>
        <v/>
      </c>
      <c r="G2249">
        <f>IF(AutoClaim_Data!D2249&lt;=$B$2,AVERAGEIFS(AutoClaim_Data!C2:C3168,AutoClaim_Data!B2:B3168,"Train",AutoClaim_Data!D2:D3168,"&lt;="&amp;$B$2),AVERAGEIFS(AutoClaim_Data!C2:C3168,AutoClaim_Data!B2:B3168,"Train",AutoClaim_Data!D2:D3168,"&gt;"&amp;$B$2))</f>
        <v/>
      </c>
      <c r="H2249">
        <f>IF(AutoClaim_Data!D2249&lt;=$B$2,IF(AutoClaim_Data!E2249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49">
        <f>(F2249-H2249)^2</f>
        <v/>
      </c>
      <c r="J2249">
        <f>--(E2249="Validation")</f>
        <v/>
      </c>
    </row>
    <row r="2250">
      <c r="D2250">
        <f>AutoClaim_Data!A2250</f>
        <v/>
      </c>
      <c r="E2250">
        <f>AutoClaim_Data!B2250</f>
        <v/>
      </c>
      <c r="F2250">
        <f>AutoClaim_Data!C2250</f>
        <v/>
      </c>
      <c r="G2250">
        <f>IF(AutoClaim_Data!D2250&lt;=$B$2,AVERAGEIFS(AutoClaim_Data!C2:C3168,AutoClaim_Data!B2:B3168,"Train",AutoClaim_Data!D2:D3168,"&lt;="&amp;$B$2),AVERAGEIFS(AutoClaim_Data!C2:C3168,AutoClaim_Data!B2:B3168,"Train",AutoClaim_Data!D2:D3168,"&gt;"&amp;$B$2))</f>
        <v/>
      </c>
      <c r="H2250">
        <f>IF(AutoClaim_Data!D2250&lt;=$B$2,IF(AutoClaim_Data!E2250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0">
        <f>(F2250-H2250)^2</f>
        <v/>
      </c>
      <c r="J2250">
        <f>--(E2250="Validation")</f>
        <v/>
      </c>
    </row>
    <row r="2251">
      <c r="D2251">
        <f>AutoClaim_Data!A2251</f>
        <v/>
      </c>
      <c r="E2251">
        <f>AutoClaim_Data!B2251</f>
        <v/>
      </c>
      <c r="F2251">
        <f>AutoClaim_Data!C2251</f>
        <v/>
      </c>
      <c r="G2251">
        <f>IF(AutoClaim_Data!D2251&lt;=$B$2,AVERAGEIFS(AutoClaim_Data!C2:C3168,AutoClaim_Data!B2:B3168,"Train",AutoClaim_Data!D2:D3168,"&lt;="&amp;$B$2),AVERAGEIFS(AutoClaim_Data!C2:C3168,AutoClaim_Data!B2:B3168,"Train",AutoClaim_Data!D2:D3168,"&gt;"&amp;$B$2))</f>
        <v/>
      </c>
      <c r="H2251">
        <f>IF(AutoClaim_Data!D2251&lt;=$B$2,IF(AutoClaim_Data!E2251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1">
        <f>(F2251-H2251)^2</f>
        <v/>
      </c>
      <c r="J2251">
        <f>--(E2251="Validation")</f>
        <v/>
      </c>
    </row>
    <row r="2252">
      <c r="D2252">
        <f>AutoClaim_Data!A2252</f>
        <v/>
      </c>
      <c r="E2252">
        <f>AutoClaim_Data!B2252</f>
        <v/>
      </c>
      <c r="F2252">
        <f>AutoClaim_Data!C2252</f>
        <v/>
      </c>
      <c r="G2252">
        <f>IF(AutoClaim_Data!D2252&lt;=$B$2,AVERAGEIFS(AutoClaim_Data!C2:C3168,AutoClaim_Data!B2:B3168,"Train",AutoClaim_Data!D2:D3168,"&lt;="&amp;$B$2),AVERAGEIFS(AutoClaim_Data!C2:C3168,AutoClaim_Data!B2:B3168,"Train",AutoClaim_Data!D2:D3168,"&gt;"&amp;$B$2))</f>
        <v/>
      </c>
      <c r="H2252">
        <f>IF(AutoClaim_Data!D2252&lt;=$B$2,IF(AutoClaim_Data!E2252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2">
        <f>(F2252-H2252)^2</f>
        <v/>
      </c>
      <c r="J2252">
        <f>--(E2252="Validation")</f>
        <v/>
      </c>
    </row>
    <row r="2253">
      <c r="D2253">
        <f>AutoClaim_Data!A2253</f>
        <v/>
      </c>
      <c r="E2253">
        <f>AutoClaim_Data!B2253</f>
        <v/>
      </c>
      <c r="F2253">
        <f>AutoClaim_Data!C2253</f>
        <v/>
      </c>
      <c r="G2253">
        <f>IF(AutoClaim_Data!D2253&lt;=$B$2,AVERAGEIFS(AutoClaim_Data!C2:C3168,AutoClaim_Data!B2:B3168,"Train",AutoClaim_Data!D2:D3168,"&lt;="&amp;$B$2),AVERAGEIFS(AutoClaim_Data!C2:C3168,AutoClaim_Data!B2:B3168,"Train",AutoClaim_Data!D2:D3168,"&gt;"&amp;$B$2))</f>
        <v/>
      </c>
      <c r="H2253">
        <f>IF(AutoClaim_Data!D2253&lt;=$B$2,IF(AutoClaim_Data!E2253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3">
        <f>(F2253-H2253)^2</f>
        <v/>
      </c>
      <c r="J2253">
        <f>--(E2253="Validation")</f>
        <v/>
      </c>
    </row>
    <row r="2254">
      <c r="D2254">
        <f>AutoClaim_Data!A2254</f>
        <v/>
      </c>
      <c r="E2254">
        <f>AutoClaim_Data!B2254</f>
        <v/>
      </c>
      <c r="F2254">
        <f>AutoClaim_Data!C2254</f>
        <v/>
      </c>
      <c r="G2254">
        <f>IF(AutoClaim_Data!D2254&lt;=$B$2,AVERAGEIFS(AutoClaim_Data!C2:C3168,AutoClaim_Data!B2:B3168,"Train",AutoClaim_Data!D2:D3168,"&lt;="&amp;$B$2),AVERAGEIFS(AutoClaim_Data!C2:C3168,AutoClaim_Data!B2:B3168,"Train",AutoClaim_Data!D2:D3168,"&gt;"&amp;$B$2))</f>
        <v/>
      </c>
      <c r="H2254">
        <f>IF(AutoClaim_Data!D2254&lt;=$B$2,IF(AutoClaim_Data!E2254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4">
        <f>(F2254-H2254)^2</f>
        <v/>
      </c>
      <c r="J2254">
        <f>--(E2254="Validation")</f>
        <v/>
      </c>
    </row>
    <row r="2255">
      <c r="D2255">
        <f>AutoClaim_Data!A2255</f>
        <v/>
      </c>
      <c r="E2255">
        <f>AutoClaim_Data!B2255</f>
        <v/>
      </c>
      <c r="F2255">
        <f>AutoClaim_Data!C2255</f>
        <v/>
      </c>
      <c r="G2255">
        <f>IF(AutoClaim_Data!D2255&lt;=$B$2,AVERAGEIFS(AutoClaim_Data!C2:C3168,AutoClaim_Data!B2:B3168,"Train",AutoClaim_Data!D2:D3168,"&lt;="&amp;$B$2),AVERAGEIFS(AutoClaim_Data!C2:C3168,AutoClaim_Data!B2:B3168,"Train",AutoClaim_Data!D2:D3168,"&gt;"&amp;$B$2))</f>
        <v/>
      </c>
      <c r="H2255">
        <f>IF(AutoClaim_Data!D2255&lt;=$B$2,IF(AutoClaim_Data!E2255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5">
        <f>(F2255-H2255)^2</f>
        <v/>
      </c>
      <c r="J2255">
        <f>--(E2255="Validation")</f>
        <v/>
      </c>
    </row>
    <row r="2256">
      <c r="D2256">
        <f>AutoClaim_Data!A2256</f>
        <v/>
      </c>
      <c r="E2256">
        <f>AutoClaim_Data!B2256</f>
        <v/>
      </c>
      <c r="F2256">
        <f>AutoClaim_Data!C2256</f>
        <v/>
      </c>
      <c r="G2256">
        <f>IF(AutoClaim_Data!D2256&lt;=$B$2,AVERAGEIFS(AutoClaim_Data!C2:C3168,AutoClaim_Data!B2:B3168,"Train",AutoClaim_Data!D2:D3168,"&lt;="&amp;$B$2),AVERAGEIFS(AutoClaim_Data!C2:C3168,AutoClaim_Data!B2:B3168,"Train",AutoClaim_Data!D2:D3168,"&gt;"&amp;$B$2))</f>
        <v/>
      </c>
      <c r="H2256">
        <f>IF(AutoClaim_Data!D2256&lt;=$B$2,IF(AutoClaim_Data!E2256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6">
        <f>(F2256-H2256)^2</f>
        <v/>
      </c>
      <c r="J2256">
        <f>--(E2256="Validation")</f>
        <v/>
      </c>
    </row>
    <row r="2257">
      <c r="D2257">
        <f>AutoClaim_Data!A2257</f>
        <v/>
      </c>
      <c r="E2257">
        <f>AutoClaim_Data!B2257</f>
        <v/>
      </c>
      <c r="F2257">
        <f>AutoClaim_Data!C2257</f>
        <v/>
      </c>
      <c r="G2257">
        <f>IF(AutoClaim_Data!D2257&lt;=$B$2,AVERAGEIFS(AutoClaim_Data!C2:C3168,AutoClaim_Data!B2:B3168,"Train",AutoClaim_Data!D2:D3168,"&lt;="&amp;$B$2),AVERAGEIFS(AutoClaim_Data!C2:C3168,AutoClaim_Data!B2:B3168,"Train",AutoClaim_Data!D2:D3168,"&gt;"&amp;$B$2))</f>
        <v/>
      </c>
      <c r="H2257">
        <f>IF(AutoClaim_Data!D2257&lt;=$B$2,IF(AutoClaim_Data!E2257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7">
        <f>(F2257-H2257)^2</f>
        <v/>
      </c>
      <c r="J2257">
        <f>--(E2257="Validation")</f>
        <v/>
      </c>
    </row>
    <row r="2258">
      <c r="D2258">
        <f>AutoClaim_Data!A2258</f>
        <v/>
      </c>
      <c r="E2258">
        <f>AutoClaim_Data!B2258</f>
        <v/>
      </c>
      <c r="F2258">
        <f>AutoClaim_Data!C2258</f>
        <v/>
      </c>
      <c r="G2258">
        <f>IF(AutoClaim_Data!D2258&lt;=$B$2,AVERAGEIFS(AutoClaim_Data!C2:C3168,AutoClaim_Data!B2:B3168,"Train",AutoClaim_Data!D2:D3168,"&lt;="&amp;$B$2),AVERAGEIFS(AutoClaim_Data!C2:C3168,AutoClaim_Data!B2:B3168,"Train",AutoClaim_Data!D2:D3168,"&gt;"&amp;$B$2))</f>
        <v/>
      </c>
      <c r="H2258">
        <f>IF(AutoClaim_Data!D2258&lt;=$B$2,IF(AutoClaim_Data!E2258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8">
        <f>(F2258-H2258)^2</f>
        <v/>
      </c>
      <c r="J2258">
        <f>--(E2258="Validation")</f>
        <v/>
      </c>
    </row>
    <row r="2259">
      <c r="D2259">
        <f>AutoClaim_Data!A2259</f>
        <v/>
      </c>
      <c r="E2259">
        <f>AutoClaim_Data!B2259</f>
        <v/>
      </c>
      <c r="F2259">
        <f>AutoClaim_Data!C2259</f>
        <v/>
      </c>
      <c r="G2259">
        <f>IF(AutoClaim_Data!D2259&lt;=$B$2,AVERAGEIFS(AutoClaim_Data!C2:C3168,AutoClaim_Data!B2:B3168,"Train",AutoClaim_Data!D2:D3168,"&lt;="&amp;$B$2),AVERAGEIFS(AutoClaim_Data!C2:C3168,AutoClaim_Data!B2:B3168,"Train",AutoClaim_Data!D2:D3168,"&gt;"&amp;$B$2))</f>
        <v/>
      </c>
      <c r="H2259">
        <f>IF(AutoClaim_Data!D2259&lt;=$B$2,IF(AutoClaim_Data!E2259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59">
        <f>(F2259-H2259)^2</f>
        <v/>
      </c>
      <c r="J2259">
        <f>--(E2259="Validation")</f>
        <v/>
      </c>
    </row>
    <row r="2260">
      <c r="D2260">
        <f>AutoClaim_Data!A2260</f>
        <v/>
      </c>
      <c r="E2260">
        <f>AutoClaim_Data!B2260</f>
        <v/>
      </c>
      <c r="F2260">
        <f>AutoClaim_Data!C2260</f>
        <v/>
      </c>
      <c r="G2260">
        <f>IF(AutoClaim_Data!D2260&lt;=$B$2,AVERAGEIFS(AutoClaim_Data!C2:C3168,AutoClaim_Data!B2:B3168,"Train",AutoClaim_Data!D2:D3168,"&lt;="&amp;$B$2),AVERAGEIFS(AutoClaim_Data!C2:C3168,AutoClaim_Data!B2:B3168,"Train",AutoClaim_Data!D2:D3168,"&gt;"&amp;$B$2))</f>
        <v/>
      </c>
      <c r="H2260">
        <f>IF(AutoClaim_Data!D2260&lt;=$B$2,IF(AutoClaim_Data!E2260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0">
        <f>(F2260-H2260)^2</f>
        <v/>
      </c>
      <c r="J2260">
        <f>--(E2260="Validation")</f>
        <v/>
      </c>
    </row>
    <row r="2261">
      <c r="D2261">
        <f>AutoClaim_Data!A2261</f>
        <v/>
      </c>
      <c r="E2261">
        <f>AutoClaim_Data!B2261</f>
        <v/>
      </c>
      <c r="F2261">
        <f>AutoClaim_Data!C2261</f>
        <v/>
      </c>
      <c r="G2261">
        <f>IF(AutoClaim_Data!D2261&lt;=$B$2,AVERAGEIFS(AutoClaim_Data!C2:C3168,AutoClaim_Data!B2:B3168,"Train",AutoClaim_Data!D2:D3168,"&lt;="&amp;$B$2),AVERAGEIFS(AutoClaim_Data!C2:C3168,AutoClaim_Data!B2:B3168,"Train",AutoClaim_Data!D2:D3168,"&gt;"&amp;$B$2))</f>
        <v/>
      </c>
      <c r="H2261">
        <f>IF(AutoClaim_Data!D2261&lt;=$B$2,IF(AutoClaim_Data!E2261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1">
        <f>(F2261-H2261)^2</f>
        <v/>
      </c>
      <c r="J2261">
        <f>--(E2261="Validation")</f>
        <v/>
      </c>
    </row>
    <row r="2262">
      <c r="D2262">
        <f>AutoClaim_Data!A2262</f>
        <v/>
      </c>
      <c r="E2262">
        <f>AutoClaim_Data!B2262</f>
        <v/>
      </c>
      <c r="F2262">
        <f>AutoClaim_Data!C2262</f>
        <v/>
      </c>
      <c r="G2262">
        <f>IF(AutoClaim_Data!D2262&lt;=$B$2,AVERAGEIFS(AutoClaim_Data!C2:C3168,AutoClaim_Data!B2:B3168,"Train",AutoClaim_Data!D2:D3168,"&lt;="&amp;$B$2),AVERAGEIFS(AutoClaim_Data!C2:C3168,AutoClaim_Data!B2:B3168,"Train",AutoClaim_Data!D2:D3168,"&gt;"&amp;$B$2))</f>
        <v/>
      </c>
      <c r="H2262">
        <f>IF(AutoClaim_Data!D2262&lt;=$B$2,IF(AutoClaim_Data!E2262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2">
        <f>(F2262-H2262)^2</f>
        <v/>
      </c>
      <c r="J2262">
        <f>--(E2262="Validation")</f>
        <v/>
      </c>
    </row>
    <row r="2263">
      <c r="D2263">
        <f>AutoClaim_Data!A2263</f>
        <v/>
      </c>
      <c r="E2263">
        <f>AutoClaim_Data!B2263</f>
        <v/>
      </c>
      <c r="F2263">
        <f>AutoClaim_Data!C2263</f>
        <v/>
      </c>
      <c r="G2263">
        <f>IF(AutoClaim_Data!D2263&lt;=$B$2,AVERAGEIFS(AutoClaim_Data!C2:C3168,AutoClaim_Data!B2:B3168,"Train",AutoClaim_Data!D2:D3168,"&lt;="&amp;$B$2),AVERAGEIFS(AutoClaim_Data!C2:C3168,AutoClaim_Data!B2:B3168,"Train",AutoClaim_Data!D2:D3168,"&gt;"&amp;$B$2))</f>
        <v/>
      </c>
      <c r="H2263">
        <f>IF(AutoClaim_Data!D2263&lt;=$B$2,IF(AutoClaim_Data!E2263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3">
        <f>(F2263-H2263)^2</f>
        <v/>
      </c>
      <c r="J2263">
        <f>--(E2263="Validation")</f>
        <v/>
      </c>
    </row>
    <row r="2264">
      <c r="D2264">
        <f>AutoClaim_Data!A2264</f>
        <v/>
      </c>
      <c r="E2264">
        <f>AutoClaim_Data!B2264</f>
        <v/>
      </c>
      <c r="F2264">
        <f>AutoClaim_Data!C2264</f>
        <v/>
      </c>
      <c r="G2264">
        <f>IF(AutoClaim_Data!D2264&lt;=$B$2,AVERAGEIFS(AutoClaim_Data!C2:C3168,AutoClaim_Data!B2:B3168,"Train",AutoClaim_Data!D2:D3168,"&lt;="&amp;$B$2),AVERAGEIFS(AutoClaim_Data!C2:C3168,AutoClaim_Data!B2:B3168,"Train",AutoClaim_Data!D2:D3168,"&gt;"&amp;$B$2))</f>
        <v/>
      </c>
      <c r="H2264">
        <f>IF(AutoClaim_Data!D2264&lt;=$B$2,IF(AutoClaim_Data!E2264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4">
        <f>(F2264-H2264)^2</f>
        <v/>
      </c>
      <c r="J2264">
        <f>--(E2264="Validation")</f>
        <v/>
      </c>
    </row>
    <row r="2265">
      <c r="D2265">
        <f>AutoClaim_Data!A2265</f>
        <v/>
      </c>
      <c r="E2265">
        <f>AutoClaim_Data!B2265</f>
        <v/>
      </c>
      <c r="F2265">
        <f>AutoClaim_Data!C2265</f>
        <v/>
      </c>
      <c r="G2265">
        <f>IF(AutoClaim_Data!D2265&lt;=$B$2,AVERAGEIFS(AutoClaim_Data!C2:C3168,AutoClaim_Data!B2:B3168,"Train",AutoClaim_Data!D2:D3168,"&lt;="&amp;$B$2),AVERAGEIFS(AutoClaim_Data!C2:C3168,AutoClaim_Data!B2:B3168,"Train",AutoClaim_Data!D2:D3168,"&gt;"&amp;$B$2))</f>
        <v/>
      </c>
      <c r="H2265">
        <f>IF(AutoClaim_Data!D2265&lt;=$B$2,IF(AutoClaim_Data!E2265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5">
        <f>(F2265-H2265)^2</f>
        <v/>
      </c>
      <c r="J2265">
        <f>--(E2265="Validation")</f>
        <v/>
      </c>
    </row>
    <row r="2266">
      <c r="D2266">
        <f>AutoClaim_Data!A2266</f>
        <v/>
      </c>
      <c r="E2266">
        <f>AutoClaim_Data!B2266</f>
        <v/>
      </c>
      <c r="F2266">
        <f>AutoClaim_Data!C2266</f>
        <v/>
      </c>
      <c r="G2266">
        <f>IF(AutoClaim_Data!D2266&lt;=$B$2,AVERAGEIFS(AutoClaim_Data!C2:C3168,AutoClaim_Data!B2:B3168,"Train",AutoClaim_Data!D2:D3168,"&lt;="&amp;$B$2),AVERAGEIFS(AutoClaim_Data!C2:C3168,AutoClaim_Data!B2:B3168,"Train",AutoClaim_Data!D2:D3168,"&gt;"&amp;$B$2))</f>
        <v/>
      </c>
      <c r="H2266">
        <f>IF(AutoClaim_Data!D2266&lt;=$B$2,IF(AutoClaim_Data!E2266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6">
        <f>(F2266-H2266)^2</f>
        <v/>
      </c>
      <c r="J2266">
        <f>--(E2266="Validation")</f>
        <v/>
      </c>
    </row>
    <row r="2267">
      <c r="D2267">
        <f>AutoClaim_Data!A2267</f>
        <v/>
      </c>
      <c r="E2267">
        <f>AutoClaim_Data!B2267</f>
        <v/>
      </c>
      <c r="F2267">
        <f>AutoClaim_Data!C2267</f>
        <v/>
      </c>
      <c r="G2267">
        <f>IF(AutoClaim_Data!D2267&lt;=$B$2,AVERAGEIFS(AutoClaim_Data!C2:C3168,AutoClaim_Data!B2:B3168,"Train",AutoClaim_Data!D2:D3168,"&lt;="&amp;$B$2),AVERAGEIFS(AutoClaim_Data!C2:C3168,AutoClaim_Data!B2:B3168,"Train",AutoClaim_Data!D2:D3168,"&gt;"&amp;$B$2))</f>
        <v/>
      </c>
      <c r="H2267">
        <f>IF(AutoClaim_Data!D2267&lt;=$B$2,IF(AutoClaim_Data!E2267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7">
        <f>(F2267-H2267)^2</f>
        <v/>
      </c>
      <c r="J2267">
        <f>--(E2267="Validation")</f>
        <v/>
      </c>
    </row>
    <row r="2268">
      <c r="D2268">
        <f>AutoClaim_Data!A2268</f>
        <v/>
      </c>
      <c r="E2268">
        <f>AutoClaim_Data!B2268</f>
        <v/>
      </c>
      <c r="F2268">
        <f>AutoClaim_Data!C2268</f>
        <v/>
      </c>
      <c r="G2268">
        <f>IF(AutoClaim_Data!D2268&lt;=$B$2,AVERAGEIFS(AutoClaim_Data!C2:C3168,AutoClaim_Data!B2:B3168,"Train",AutoClaim_Data!D2:D3168,"&lt;="&amp;$B$2),AVERAGEIFS(AutoClaim_Data!C2:C3168,AutoClaim_Data!B2:B3168,"Train",AutoClaim_Data!D2:D3168,"&gt;"&amp;$B$2))</f>
        <v/>
      </c>
      <c r="H2268">
        <f>IF(AutoClaim_Data!D2268&lt;=$B$2,IF(AutoClaim_Data!E2268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8">
        <f>(F2268-H2268)^2</f>
        <v/>
      </c>
      <c r="J2268">
        <f>--(E2268="Validation")</f>
        <v/>
      </c>
    </row>
    <row r="2269">
      <c r="D2269">
        <f>AutoClaim_Data!A2269</f>
        <v/>
      </c>
      <c r="E2269">
        <f>AutoClaim_Data!B2269</f>
        <v/>
      </c>
      <c r="F2269">
        <f>AutoClaim_Data!C2269</f>
        <v/>
      </c>
      <c r="G2269">
        <f>IF(AutoClaim_Data!D2269&lt;=$B$2,AVERAGEIFS(AutoClaim_Data!C2:C3168,AutoClaim_Data!B2:B3168,"Train",AutoClaim_Data!D2:D3168,"&lt;="&amp;$B$2),AVERAGEIFS(AutoClaim_Data!C2:C3168,AutoClaim_Data!B2:B3168,"Train",AutoClaim_Data!D2:D3168,"&gt;"&amp;$B$2))</f>
        <v/>
      </c>
      <c r="H2269">
        <f>IF(AutoClaim_Data!D2269&lt;=$B$2,IF(AutoClaim_Data!E2269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69">
        <f>(F2269-H2269)^2</f>
        <v/>
      </c>
      <c r="J2269">
        <f>--(E2269="Validation")</f>
        <v/>
      </c>
    </row>
    <row r="2270">
      <c r="D2270">
        <f>AutoClaim_Data!A2270</f>
        <v/>
      </c>
      <c r="E2270">
        <f>AutoClaim_Data!B2270</f>
        <v/>
      </c>
      <c r="F2270">
        <f>AutoClaim_Data!C2270</f>
        <v/>
      </c>
      <c r="G2270">
        <f>IF(AutoClaim_Data!D2270&lt;=$B$2,AVERAGEIFS(AutoClaim_Data!C2:C3168,AutoClaim_Data!B2:B3168,"Train",AutoClaim_Data!D2:D3168,"&lt;="&amp;$B$2),AVERAGEIFS(AutoClaim_Data!C2:C3168,AutoClaim_Data!B2:B3168,"Train",AutoClaim_Data!D2:D3168,"&gt;"&amp;$B$2))</f>
        <v/>
      </c>
      <c r="H2270">
        <f>IF(AutoClaim_Data!D2270&lt;=$B$2,IF(AutoClaim_Data!E2270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0">
        <f>(F2270-H2270)^2</f>
        <v/>
      </c>
      <c r="J2270">
        <f>--(E2270="Validation")</f>
        <v/>
      </c>
    </row>
    <row r="2271">
      <c r="D2271">
        <f>AutoClaim_Data!A2271</f>
        <v/>
      </c>
      <c r="E2271">
        <f>AutoClaim_Data!B2271</f>
        <v/>
      </c>
      <c r="F2271">
        <f>AutoClaim_Data!C2271</f>
        <v/>
      </c>
      <c r="G2271">
        <f>IF(AutoClaim_Data!D2271&lt;=$B$2,AVERAGEIFS(AutoClaim_Data!C2:C3168,AutoClaim_Data!B2:B3168,"Train",AutoClaim_Data!D2:D3168,"&lt;="&amp;$B$2),AVERAGEIFS(AutoClaim_Data!C2:C3168,AutoClaim_Data!B2:B3168,"Train",AutoClaim_Data!D2:D3168,"&gt;"&amp;$B$2))</f>
        <v/>
      </c>
      <c r="H2271">
        <f>IF(AutoClaim_Data!D2271&lt;=$B$2,IF(AutoClaim_Data!E2271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1">
        <f>(F2271-H2271)^2</f>
        <v/>
      </c>
      <c r="J2271">
        <f>--(E2271="Validation")</f>
        <v/>
      </c>
    </row>
    <row r="2272">
      <c r="D2272">
        <f>AutoClaim_Data!A2272</f>
        <v/>
      </c>
      <c r="E2272">
        <f>AutoClaim_Data!B2272</f>
        <v/>
      </c>
      <c r="F2272">
        <f>AutoClaim_Data!C2272</f>
        <v/>
      </c>
      <c r="G2272">
        <f>IF(AutoClaim_Data!D2272&lt;=$B$2,AVERAGEIFS(AutoClaim_Data!C2:C3168,AutoClaim_Data!B2:B3168,"Train",AutoClaim_Data!D2:D3168,"&lt;="&amp;$B$2),AVERAGEIFS(AutoClaim_Data!C2:C3168,AutoClaim_Data!B2:B3168,"Train",AutoClaim_Data!D2:D3168,"&gt;"&amp;$B$2))</f>
        <v/>
      </c>
      <c r="H2272">
        <f>IF(AutoClaim_Data!D2272&lt;=$B$2,IF(AutoClaim_Data!E2272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2">
        <f>(F2272-H2272)^2</f>
        <v/>
      </c>
      <c r="J2272">
        <f>--(E2272="Validation")</f>
        <v/>
      </c>
    </row>
    <row r="2273">
      <c r="D2273">
        <f>AutoClaim_Data!A2273</f>
        <v/>
      </c>
      <c r="E2273">
        <f>AutoClaim_Data!B2273</f>
        <v/>
      </c>
      <c r="F2273">
        <f>AutoClaim_Data!C2273</f>
        <v/>
      </c>
      <c r="G2273">
        <f>IF(AutoClaim_Data!D2273&lt;=$B$2,AVERAGEIFS(AutoClaim_Data!C2:C3168,AutoClaim_Data!B2:B3168,"Train",AutoClaim_Data!D2:D3168,"&lt;="&amp;$B$2),AVERAGEIFS(AutoClaim_Data!C2:C3168,AutoClaim_Data!B2:B3168,"Train",AutoClaim_Data!D2:D3168,"&gt;"&amp;$B$2))</f>
        <v/>
      </c>
      <c r="H2273">
        <f>IF(AutoClaim_Data!D2273&lt;=$B$2,IF(AutoClaim_Data!E2273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3">
        <f>(F2273-H2273)^2</f>
        <v/>
      </c>
      <c r="J2273">
        <f>--(E2273="Validation")</f>
        <v/>
      </c>
    </row>
    <row r="2274">
      <c r="D2274">
        <f>AutoClaim_Data!A2274</f>
        <v/>
      </c>
      <c r="E2274">
        <f>AutoClaim_Data!B2274</f>
        <v/>
      </c>
      <c r="F2274">
        <f>AutoClaim_Data!C2274</f>
        <v/>
      </c>
      <c r="G2274">
        <f>IF(AutoClaim_Data!D2274&lt;=$B$2,AVERAGEIFS(AutoClaim_Data!C2:C3168,AutoClaim_Data!B2:B3168,"Train",AutoClaim_Data!D2:D3168,"&lt;="&amp;$B$2),AVERAGEIFS(AutoClaim_Data!C2:C3168,AutoClaim_Data!B2:B3168,"Train",AutoClaim_Data!D2:D3168,"&gt;"&amp;$B$2))</f>
        <v/>
      </c>
      <c r="H2274">
        <f>IF(AutoClaim_Data!D2274&lt;=$B$2,IF(AutoClaim_Data!E2274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4">
        <f>(F2274-H2274)^2</f>
        <v/>
      </c>
      <c r="J2274">
        <f>--(E2274="Validation")</f>
        <v/>
      </c>
    </row>
    <row r="2275">
      <c r="D2275">
        <f>AutoClaim_Data!A2275</f>
        <v/>
      </c>
      <c r="E2275">
        <f>AutoClaim_Data!B2275</f>
        <v/>
      </c>
      <c r="F2275">
        <f>AutoClaim_Data!C2275</f>
        <v/>
      </c>
      <c r="G2275">
        <f>IF(AutoClaim_Data!D2275&lt;=$B$2,AVERAGEIFS(AutoClaim_Data!C2:C3168,AutoClaim_Data!B2:B3168,"Train",AutoClaim_Data!D2:D3168,"&lt;="&amp;$B$2),AVERAGEIFS(AutoClaim_Data!C2:C3168,AutoClaim_Data!B2:B3168,"Train",AutoClaim_Data!D2:D3168,"&gt;"&amp;$B$2))</f>
        <v/>
      </c>
      <c r="H2275">
        <f>IF(AutoClaim_Data!D2275&lt;=$B$2,IF(AutoClaim_Data!E2275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5">
        <f>(F2275-H2275)^2</f>
        <v/>
      </c>
      <c r="J2275">
        <f>--(E2275="Validation")</f>
        <v/>
      </c>
    </row>
    <row r="2276">
      <c r="D2276">
        <f>AutoClaim_Data!A2276</f>
        <v/>
      </c>
      <c r="E2276">
        <f>AutoClaim_Data!B2276</f>
        <v/>
      </c>
      <c r="F2276">
        <f>AutoClaim_Data!C2276</f>
        <v/>
      </c>
      <c r="G2276">
        <f>IF(AutoClaim_Data!D2276&lt;=$B$2,AVERAGEIFS(AutoClaim_Data!C2:C3168,AutoClaim_Data!B2:B3168,"Train",AutoClaim_Data!D2:D3168,"&lt;="&amp;$B$2),AVERAGEIFS(AutoClaim_Data!C2:C3168,AutoClaim_Data!B2:B3168,"Train",AutoClaim_Data!D2:D3168,"&gt;"&amp;$B$2))</f>
        <v/>
      </c>
      <c r="H2276">
        <f>IF(AutoClaim_Data!D2276&lt;=$B$2,IF(AutoClaim_Data!E2276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6">
        <f>(F2276-H2276)^2</f>
        <v/>
      </c>
      <c r="J2276">
        <f>--(E2276="Validation")</f>
        <v/>
      </c>
    </row>
    <row r="2277">
      <c r="D2277">
        <f>AutoClaim_Data!A2277</f>
        <v/>
      </c>
      <c r="E2277">
        <f>AutoClaim_Data!B2277</f>
        <v/>
      </c>
      <c r="F2277">
        <f>AutoClaim_Data!C2277</f>
        <v/>
      </c>
      <c r="G2277">
        <f>IF(AutoClaim_Data!D2277&lt;=$B$2,AVERAGEIFS(AutoClaim_Data!C2:C3168,AutoClaim_Data!B2:B3168,"Train",AutoClaim_Data!D2:D3168,"&lt;="&amp;$B$2),AVERAGEIFS(AutoClaim_Data!C2:C3168,AutoClaim_Data!B2:B3168,"Train",AutoClaim_Data!D2:D3168,"&gt;"&amp;$B$2))</f>
        <v/>
      </c>
      <c r="H2277">
        <f>IF(AutoClaim_Data!D2277&lt;=$B$2,IF(AutoClaim_Data!E2277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7">
        <f>(F2277-H2277)^2</f>
        <v/>
      </c>
      <c r="J2277">
        <f>--(E2277="Validation")</f>
        <v/>
      </c>
    </row>
    <row r="2278">
      <c r="D2278">
        <f>AutoClaim_Data!A2278</f>
        <v/>
      </c>
      <c r="E2278">
        <f>AutoClaim_Data!B2278</f>
        <v/>
      </c>
      <c r="F2278">
        <f>AutoClaim_Data!C2278</f>
        <v/>
      </c>
      <c r="G2278">
        <f>IF(AutoClaim_Data!D2278&lt;=$B$2,AVERAGEIFS(AutoClaim_Data!C2:C3168,AutoClaim_Data!B2:B3168,"Train",AutoClaim_Data!D2:D3168,"&lt;="&amp;$B$2),AVERAGEIFS(AutoClaim_Data!C2:C3168,AutoClaim_Data!B2:B3168,"Train",AutoClaim_Data!D2:D3168,"&gt;"&amp;$B$2))</f>
        <v/>
      </c>
      <c r="H2278">
        <f>IF(AutoClaim_Data!D2278&lt;=$B$2,IF(AutoClaim_Data!E2278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8">
        <f>(F2278-H2278)^2</f>
        <v/>
      </c>
      <c r="J2278">
        <f>--(E2278="Validation")</f>
        <v/>
      </c>
    </row>
    <row r="2279">
      <c r="D2279">
        <f>AutoClaim_Data!A2279</f>
        <v/>
      </c>
      <c r="E2279">
        <f>AutoClaim_Data!B2279</f>
        <v/>
      </c>
      <c r="F2279">
        <f>AutoClaim_Data!C2279</f>
        <v/>
      </c>
      <c r="G2279">
        <f>IF(AutoClaim_Data!D2279&lt;=$B$2,AVERAGEIFS(AutoClaim_Data!C2:C3168,AutoClaim_Data!B2:B3168,"Train",AutoClaim_Data!D2:D3168,"&lt;="&amp;$B$2),AVERAGEIFS(AutoClaim_Data!C2:C3168,AutoClaim_Data!B2:B3168,"Train",AutoClaim_Data!D2:D3168,"&gt;"&amp;$B$2))</f>
        <v/>
      </c>
      <c r="H2279">
        <f>IF(AutoClaim_Data!D2279&lt;=$B$2,IF(AutoClaim_Data!E2279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79">
        <f>(F2279-H2279)^2</f>
        <v/>
      </c>
      <c r="J2279">
        <f>--(E2279="Validation")</f>
        <v/>
      </c>
    </row>
    <row r="2280">
      <c r="D2280">
        <f>AutoClaim_Data!A2280</f>
        <v/>
      </c>
      <c r="E2280">
        <f>AutoClaim_Data!B2280</f>
        <v/>
      </c>
      <c r="F2280">
        <f>AutoClaim_Data!C2280</f>
        <v/>
      </c>
      <c r="G2280">
        <f>IF(AutoClaim_Data!D2280&lt;=$B$2,AVERAGEIFS(AutoClaim_Data!C2:C3168,AutoClaim_Data!B2:B3168,"Train",AutoClaim_Data!D2:D3168,"&lt;="&amp;$B$2),AVERAGEIFS(AutoClaim_Data!C2:C3168,AutoClaim_Data!B2:B3168,"Train",AutoClaim_Data!D2:D3168,"&gt;"&amp;$B$2))</f>
        <v/>
      </c>
      <c r="H2280">
        <f>IF(AutoClaim_Data!D2280&lt;=$B$2,IF(AutoClaim_Data!E2280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0">
        <f>(F2280-H2280)^2</f>
        <v/>
      </c>
      <c r="J2280">
        <f>--(E2280="Validation")</f>
        <v/>
      </c>
    </row>
    <row r="2281">
      <c r="D2281">
        <f>AutoClaim_Data!A2281</f>
        <v/>
      </c>
      <c r="E2281">
        <f>AutoClaim_Data!B2281</f>
        <v/>
      </c>
      <c r="F2281">
        <f>AutoClaim_Data!C2281</f>
        <v/>
      </c>
      <c r="G2281">
        <f>IF(AutoClaim_Data!D2281&lt;=$B$2,AVERAGEIFS(AutoClaim_Data!C2:C3168,AutoClaim_Data!B2:B3168,"Train",AutoClaim_Data!D2:D3168,"&lt;="&amp;$B$2),AVERAGEIFS(AutoClaim_Data!C2:C3168,AutoClaim_Data!B2:B3168,"Train",AutoClaim_Data!D2:D3168,"&gt;"&amp;$B$2))</f>
        <v/>
      </c>
      <c r="H2281">
        <f>IF(AutoClaim_Data!D2281&lt;=$B$2,IF(AutoClaim_Data!E2281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1">
        <f>(F2281-H2281)^2</f>
        <v/>
      </c>
      <c r="J2281">
        <f>--(E2281="Validation")</f>
        <v/>
      </c>
    </row>
    <row r="2282">
      <c r="D2282">
        <f>AutoClaim_Data!A2282</f>
        <v/>
      </c>
      <c r="E2282">
        <f>AutoClaim_Data!B2282</f>
        <v/>
      </c>
      <c r="F2282">
        <f>AutoClaim_Data!C2282</f>
        <v/>
      </c>
      <c r="G2282">
        <f>IF(AutoClaim_Data!D2282&lt;=$B$2,AVERAGEIFS(AutoClaim_Data!C2:C3168,AutoClaim_Data!B2:B3168,"Train",AutoClaim_Data!D2:D3168,"&lt;="&amp;$B$2),AVERAGEIFS(AutoClaim_Data!C2:C3168,AutoClaim_Data!B2:B3168,"Train",AutoClaim_Data!D2:D3168,"&gt;"&amp;$B$2))</f>
        <v/>
      </c>
      <c r="H2282">
        <f>IF(AutoClaim_Data!D2282&lt;=$B$2,IF(AutoClaim_Data!E2282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2">
        <f>(F2282-H2282)^2</f>
        <v/>
      </c>
      <c r="J2282">
        <f>--(E2282="Validation")</f>
        <v/>
      </c>
    </row>
    <row r="2283">
      <c r="D2283">
        <f>AutoClaim_Data!A2283</f>
        <v/>
      </c>
      <c r="E2283">
        <f>AutoClaim_Data!B2283</f>
        <v/>
      </c>
      <c r="F2283">
        <f>AutoClaim_Data!C2283</f>
        <v/>
      </c>
      <c r="G2283">
        <f>IF(AutoClaim_Data!D2283&lt;=$B$2,AVERAGEIFS(AutoClaim_Data!C2:C3168,AutoClaim_Data!B2:B3168,"Train",AutoClaim_Data!D2:D3168,"&lt;="&amp;$B$2),AVERAGEIFS(AutoClaim_Data!C2:C3168,AutoClaim_Data!B2:B3168,"Train",AutoClaim_Data!D2:D3168,"&gt;"&amp;$B$2))</f>
        <v/>
      </c>
      <c r="H2283">
        <f>IF(AutoClaim_Data!D2283&lt;=$B$2,IF(AutoClaim_Data!E2283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3">
        <f>(F2283-H2283)^2</f>
        <v/>
      </c>
      <c r="J2283">
        <f>--(E2283="Validation")</f>
        <v/>
      </c>
    </row>
    <row r="2284">
      <c r="D2284">
        <f>AutoClaim_Data!A2284</f>
        <v/>
      </c>
      <c r="E2284">
        <f>AutoClaim_Data!B2284</f>
        <v/>
      </c>
      <c r="F2284">
        <f>AutoClaim_Data!C2284</f>
        <v/>
      </c>
      <c r="G2284">
        <f>IF(AutoClaim_Data!D2284&lt;=$B$2,AVERAGEIFS(AutoClaim_Data!C2:C3168,AutoClaim_Data!B2:B3168,"Train",AutoClaim_Data!D2:D3168,"&lt;="&amp;$B$2),AVERAGEIFS(AutoClaim_Data!C2:C3168,AutoClaim_Data!B2:B3168,"Train",AutoClaim_Data!D2:D3168,"&gt;"&amp;$B$2))</f>
        <v/>
      </c>
      <c r="H2284">
        <f>IF(AutoClaim_Data!D2284&lt;=$B$2,IF(AutoClaim_Data!E2284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4">
        <f>(F2284-H2284)^2</f>
        <v/>
      </c>
      <c r="J2284">
        <f>--(E2284="Validation")</f>
        <v/>
      </c>
    </row>
    <row r="2285">
      <c r="D2285">
        <f>AutoClaim_Data!A2285</f>
        <v/>
      </c>
      <c r="E2285">
        <f>AutoClaim_Data!B2285</f>
        <v/>
      </c>
      <c r="F2285">
        <f>AutoClaim_Data!C2285</f>
        <v/>
      </c>
      <c r="G2285">
        <f>IF(AutoClaim_Data!D2285&lt;=$B$2,AVERAGEIFS(AutoClaim_Data!C2:C3168,AutoClaim_Data!B2:B3168,"Train",AutoClaim_Data!D2:D3168,"&lt;="&amp;$B$2),AVERAGEIFS(AutoClaim_Data!C2:C3168,AutoClaim_Data!B2:B3168,"Train",AutoClaim_Data!D2:D3168,"&gt;"&amp;$B$2))</f>
        <v/>
      </c>
      <c r="H2285">
        <f>IF(AutoClaim_Data!D2285&lt;=$B$2,IF(AutoClaim_Data!E2285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5">
        <f>(F2285-H2285)^2</f>
        <v/>
      </c>
      <c r="J2285">
        <f>--(E2285="Validation")</f>
        <v/>
      </c>
    </row>
    <row r="2286">
      <c r="D2286">
        <f>AutoClaim_Data!A2286</f>
        <v/>
      </c>
      <c r="E2286">
        <f>AutoClaim_Data!B2286</f>
        <v/>
      </c>
      <c r="F2286">
        <f>AutoClaim_Data!C2286</f>
        <v/>
      </c>
      <c r="G2286">
        <f>IF(AutoClaim_Data!D2286&lt;=$B$2,AVERAGEIFS(AutoClaim_Data!C2:C3168,AutoClaim_Data!B2:B3168,"Train",AutoClaim_Data!D2:D3168,"&lt;="&amp;$B$2),AVERAGEIFS(AutoClaim_Data!C2:C3168,AutoClaim_Data!B2:B3168,"Train",AutoClaim_Data!D2:D3168,"&gt;"&amp;$B$2))</f>
        <v/>
      </c>
      <c r="H2286">
        <f>IF(AutoClaim_Data!D2286&lt;=$B$2,IF(AutoClaim_Data!E2286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6">
        <f>(F2286-H2286)^2</f>
        <v/>
      </c>
      <c r="J2286">
        <f>--(E2286="Validation")</f>
        <v/>
      </c>
    </row>
    <row r="2287">
      <c r="D2287">
        <f>AutoClaim_Data!A2287</f>
        <v/>
      </c>
      <c r="E2287">
        <f>AutoClaim_Data!B2287</f>
        <v/>
      </c>
      <c r="F2287">
        <f>AutoClaim_Data!C2287</f>
        <v/>
      </c>
      <c r="G2287">
        <f>IF(AutoClaim_Data!D2287&lt;=$B$2,AVERAGEIFS(AutoClaim_Data!C2:C3168,AutoClaim_Data!B2:B3168,"Train",AutoClaim_Data!D2:D3168,"&lt;="&amp;$B$2),AVERAGEIFS(AutoClaim_Data!C2:C3168,AutoClaim_Data!B2:B3168,"Train",AutoClaim_Data!D2:D3168,"&gt;"&amp;$B$2))</f>
        <v/>
      </c>
      <c r="H2287">
        <f>IF(AutoClaim_Data!D2287&lt;=$B$2,IF(AutoClaim_Data!E2287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7">
        <f>(F2287-H2287)^2</f>
        <v/>
      </c>
      <c r="J2287">
        <f>--(E2287="Validation")</f>
        <v/>
      </c>
    </row>
    <row r="2288">
      <c r="D2288">
        <f>AutoClaim_Data!A2288</f>
        <v/>
      </c>
      <c r="E2288">
        <f>AutoClaim_Data!B2288</f>
        <v/>
      </c>
      <c r="F2288">
        <f>AutoClaim_Data!C2288</f>
        <v/>
      </c>
      <c r="G2288">
        <f>IF(AutoClaim_Data!D2288&lt;=$B$2,AVERAGEIFS(AutoClaim_Data!C2:C3168,AutoClaim_Data!B2:B3168,"Train",AutoClaim_Data!D2:D3168,"&lt;="&amp;$B$2),AVERAGEIFS(AutoClaim_Data!C2:C3168,AutoClaim_Data!B2:B3168,"Train",AutoClaim_Data!D2:D3168,"&gt;"&amp;$B$2))</f>
        <v/>
      </c>
      <c r="H2288">
        <f>IF(AutoClaim_Data!D2288&lt;=$B$2,IF(AutoClaim_Data!E2288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8">
        <f>(F2288-H2288)^2</f>
        <v/>
      </c>
      <c r="J2288">
        <f>--(E2288="Validation")</f>
        <v/>
      </c>
    </row>
    <row r="2289">
      <c r="D2289">
        <f>AutoClaim_Data!A2289</f>
        <v/>
      </c>
      <c r="E2289">
        <f>AutoClaim_Data!B2289</f>
        <v/>
      </c>
      <c r="F2289">
        <f>AutoClaim_Data!C2289</f>
        <v/>
      </c>
      <c r="G2289">
        <f>IF(AutoClaim_Data!D2289&lt;=$B$2,AVERAGEIFS(AutoClaim_Data!C2:C3168,AutoClaim_Data!B2:B3168,"Train",AutoClaim_Data!D2:D3168,"&lt;="&amp;$B$2),AVERAGEIFS(AutoClaim_Data!C2:C3168,AutoClaim_Data!B2:B3168,"Train",AutoClaim_Data!D2:D3168,"&gt;"&amp;$B$2))</f>
        <v/>
      </c>
      <c r="H2289">
        <f>IF(AutoClaim_Data!D2289&lt;=$B$2,IF(AutoClaim_Data!E2289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89">
        <f>(F2289-H2289)^2</f>
        <v/>
      </c>
      <c r="J2289">
        <f>--(E2289="Validation")</f>
        <v/>
      </c>
    </row>
    <row r="2290">
      <c r="D2290">
        <f>AutoClaim_Data!A2290</f>
        <v/>
      </c>
      <c r="E2290">
        <f>AutoClaim_Data!B2290</f>
        <v/>
      </c>
      <c r="F2290">
        <f>AutoClaim_Data!C2290</f>
        <v/>
      </c>
      <c r="G2290">
        <f>IF(AutoClaim_Data!D2290&lt;=$B$2,AVERAGEIFS(AutoClaim_Data!C2:C3168,AutoClaim_Data!B2:B3168,"Train",AutoClaim_Data!D2:D3168,"&lt;="&amp;$B$2),AVERAGEIFS(AutoClaim_Data!C2:C3168,AutoClaim_Data!B2:B3168,"Train",AutoClaim_Data!D2:D3168,"&gt;"&amp;$B$2))</f>
        <v/>
      </c>
      <c r="H2290">
        <f>IF(AutoClaim_Data!D2290&lt;=$B$2,IF(AutoClaim_Data!E2290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0">
        <f>(F2290-H2290)^2</f>
        <v/>
      </c>
      <c r="J2290">
        <f>--(E2290="Validation")</f>
        <v/>
      </c>
    </row>
    <row r="2291">
      <c r="D2291">
        <f>AutoClaim_Data!A2291</f>
        <v/>
      </c>
      <c r="E2291">
        <f>AutoClaim_Data!B2291</f>
        <v/>
      </c>
      <c r="F2291">
        <f>AutoClaim_Data!C2291</f>
        <v/>
      </c>
      <c r="G2291">
        <f>IF(AutoClaim_Data!D2291&lt;=$B$2,AVERAGEIFS(AutoClaim_Data!C2:C3168,AutoClaim_Data!B2:B3168,"Train",AutoClaim_Data!D2:D3168,"&lt;="&amp;$B$2),AVERAGEIFS(AutoClaim_Data!C2:C3168,AutoClaim_Data!B2:B3168,"Train",AutoClaim_Data!D2:D3168,"&gt;"&amp;$B$2))</f>
        <v/>
      </c>
      <c r="H2291">
        <f>IF(AutoClaim_Data!D2291&lt;=$B$2,IF(AutoClaim_Data!E2291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1">
        <f>(F2291-H2291)^2</f>
        <v/>
      </c>
      <c r="J2291">
        <f>--(E2291="Validation")</f>
        <v/>
      </c>
    </row>
    <row r="2292">
      <c r="D2292">
        <f>AutoClaim_Data!A2292</f>
        <v/>
      </c>
      <c r="E2292">
        <f>AutoClaim_Data!B2292</f>
        <v/>
      </c>
      <c r="F2292">
        <f>AutoClaim_Data!C2292</f>
        <v/>
      </c>
      <c r="G2292">
        <f>IF(AutoClaim_Data!D2292&lt;=$B$2,AVERAGEIFS(AutoClaim_Data!C2:C3168,AutoClaim_Data!B2:B3168,"Train",AutoClaim_Data!D2:D3168,"&lt;="&amp;$B$2),AVERAGEIFS(AutoClaim_Data!C2:C3168,AutoClaim_Data!B2:B3168,"Train",AutoClaim_Data!D2:D3168,"&gt;"&amp;$B$2))</f>
        <v/>
      </c>
      <c r="H2292">
        <f>IF(AutoClaim_Data!D2292&lt;=$B$2,IF(AutoClaim_Data!E2292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2">
        <f>(F2292-H2292)^2</f>
        <v/>
      </c>
      <c r="J2292">
        <f>--(E2292="Validation")</f>
        <v/>
      </c>
    </row>
    <row r="2293">
      <c r="D2293">
        <f>AutoClaim_Data!A2293</f>
        <v/>
      </c>
      <c r="E2293">
        <f>AutoClaim_Data!B2293</f>
        <v/>
      </c>
      <c r="F2293">
        <f>AutoClaim_Data!C2293</f>
        <v/>
      </c>
      <c r="G2293">
        <f>IF(AutoClaim_Data!D2293&lt;=$B$2,AVERAGEIFS(AutoClaim_Data!C2:C3168,AutoClaim_Data!B2:B3168,"Train",AutoClaim_Data!D2:D3168,"&lt;="&amp;$B$2),AVERAGEIFS(AutoClaim_Data!C2:C3168,AutoClaim_Data!B2:B3168,"Train",AutoClaim_Data!D2:D3168,"&gt;"&amp;$B$2))</f>
        <v/>
      </c>
      <c r="H2293">
        <f>IF(AutoClaim_Data!D2293&lt;=$B$2,IF(AutoClaim_Data!E2293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3">
        <f>(F2293-H2293)^2</f>
        <v/>
      </c>
      <c r="J2293">
        <f>--(E2293="Validation")</f>
        <v/>
      </c>
    </row>
    <row r="2294">
      <c r="D2294">
        <f>AutoClaim_Data!A2294</f>
        <v/>
      </c>
      <c r="E2294">
        <f>AutoClaim_Data!B2294</f>
        <v/>
      </c>
      <c r="F2294">
        <f>AutoClaim_Data!C2294</f>
        <v/>
      </c>
      <c r="G2294">
        <f>IF(AutoClaim_Data!D2294&lt;=$B$2,AVERAGEIFS(AutoClaim_Data!C2:C3168,AutoClaim_Data!B2:B3168,"Train",AutoClaim_Data!D2:D3168,"&lt;="&amp;$B$2),AVERAGEIFS(AutoClaim_Data!C2:C3168,AutoClaim_Data!B2:B3168,"Train",AutoClaim_Data!D2:D3168,"&gt;"&amp;$B$2))</f>
        <v/>
      </c>
      <c r="H2294">
        <f>IF(AutoClaim_Data!D2294&lt;=$B$2,IF(AutoClaim_Data!E2294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4">
        <f>(F2294-H2294)^2</f>
        <v/>
      </c>
      <c r="J2294">
        <f>--(E2294="Validation")</f>
        <v/>
      </c>
    </row>
    <row r="2295">
      <c r="D2295">
        <f>AutoClaim_Data!A2295</f>
        <v/>
      </c>
      <c r="E2295">
        <f>AutoClaim_Data!B2295</f>
        <v/>
      </c>
      <c r="F2295">
        <f>AutoClaim_Data!C2295</f>
        <v/>
      </c>
      <c r="G2295">
        <f>IF(AutoClaim_Data!D2295&lt;=$B$2,AVERAGEIFS(AutoClaim_Data!C2:C3168,AutoClaim_Data!B2:B3168,"Train",AutoClaim_Data!D2:D3168,"&lt;="&amp;$B$2),AVERAGEIFS(AutoClaim_Data!C2:C3168,AutoClaim_Data!B2:B3168,"Train",AutoClaim_Data!D2:D3168,"&gt;"&amp;$B$2))</f>
        <v/>
      </c>
      <c r="H2295">
        <f>IF(AutoClaim_Data!D2295&lt;=$B$2,IF(AutoClaim_Data!E2295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5">
        <f>(F2295-H2295)^2</f>
        <v/>
      </c>
      <c r="J2295">
        <f>--(E2295="Validation")</f>
        <v/>
      </c>
    </row>
    <row r="2296">
      <c r="D2296">
        <f>AutoClaim_Data!A2296</f>
        <v/>
      </c>
      <c r="E2296">
        <f>AutoClaim_Data!B2296</f>
        <v/>
      </c>
      <c r="F2296">
        <f>AutoClaim_Data!C2296</f>
        <v/>
      </c>
      <c r="G2296">
        <f>IF(AutoClaim_Data!D2296&lt;=$B$2,AVERAGEIFS(AutoClaim_Data!C2:C3168,AutoClaim_Data!B2:B3168,"Train",AutoClaim_Data!D2:D3168,"&lt;="&amp;$B$2),AVERAGEIFS(AutoClaim_Data!C2:C3168,AutoClaim_Data!B2:B3168,"Train",AutoClaim_Data!D2:D3168,"&gt;"&amp;$B$2))</f>
        <v/>
      </c>
      <c r="H2296">
        <f>IF(AutoClaim_Data!D2296&lt;=$B$2,IF(AutoClaim_Data!E2296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6">
        <f>(F2296-H2296)^2</f>
        <v/>
      </c>
      <c r="J2296">
        <f>--(E2296="Validation")</f>
        <v/>
      </c>
    </row>
    <row r="2297">
      <c r="D2297">
        <f>AutoClaim_Data!A2297</f>
        <v/>
      </c>
      <c r="E2297">
        <f>AutoClaim_Data!B2297</f>
        <v/>
      </c>
      <c r="F2297">
        <f>AutoClaim_Data!C2297</f>
        <v/>
      </c>
      <c r="G2297">
        <f>IF(AutoClaim_Data!D2297&lt;=$B$2,AVERAGEIFS(AutoClaim_Data!C2:C3168,AutoClaim_Data!B2:B3168,"Train",AutoClaim_Data!D2:D3168,"&lt;="&amp;$B$2),AVERAGEIFS(AutoClaim_Data!C2:C3168,AutoClaim_Data!B2:B3168,"Train",AutoClaim_Data!D2:D3168,"&gt;"&amp;$B$2))</f>
        <v/>
      </c>
      <c r="H2297">
        <f>IF(AutoClaim_Data!D2297&lt;=$B$2,IF(AutoClaim_Data!E2297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7">
        <f>(F2297-H2297)^2</f>
        <v/>
      </c>
      <c r="J2297">
        <f>--(E2297="Validation")</f>
        <v/>
      </c>
    </row>
    <row r="2298">
      <c r="D2298">
        <f>AutoClaim_Data!A2298</f>
        <v/>
      </c>
      <c r="E2298">
        <f>AutoClaim_Data!B2298</f>
        <v/>
      </c>
      <c r="F2298">
        <f>AutoClaim_Data!C2298</f>
        <v/>
      </c>
      <c r="G2298">
        <f>IF(AutoClaim_Data!D2298&lt;=$B$2,AVERAGEIFS(AutoClaim_Data!C2:C3168,AutoClaim_Data!B2:B3168,"Train",AutoClaim_Data!D2:D3168,"&lt;="&amp;$B$2),AVERAGEIFS(AutoClaim_Data!C2:C3168,AutoClaim_Data!B2:B3168,"Train",AutoClaim_Data!D2:D3168,"&gt;"&amp;$B$2))</f>
        <v/>
      </c>
      <c r="H2298">
        <f>IF(AutoClaim_Data!D2298&lt;=$B$2,IF(AutoClaim_Data!E2298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8">
        <f>(F2298-H2298)^2</f>
        <v/>
      </c>
      <c r="J2298">
        <f>--(E2298="Validation")</f>
        <v/>
      </c>
    </row>
    <row r="2299">
      <c r="D2299">
        <f>AutoClaim_Data!A2299</f>
        <v/>
      </c>
      <c r="E2299">
        <f>AutoClaim_Data!B2299</f>
        <v/>
      </c>
      <c r="F2299">
        <f>AutoClaim_Data!C2299</f>
        <v/>
      </c>
      <c r="G2299">
        <f>IF(AutoClaim_Data!D2299&lt;=$B$2,AVERAGEIFS(AutoClaim_Data!C2:C3168,AutoClaim_Data!B2:B3168,"Train",AutoClaim_Data!D2:D3168,"&lt;="&amp;$B$2),AVERAGEIFS(AutoClaim_Data!C2:C3168,AutoClaim_Data!B2:B3168,"Train",AutoClaim_Data!D2:D3168,"&gt;"&amp;$B$2))</f>
        <v/>
      </c>
      <c r="H2299">
        <f>IF(AutoClaim_Data!D2299&lt;=$B$2,IF(AutoClaim_Data!E2299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2299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299">
        <f>(F2299-H2299)^2</f>
        <v/>
      </c>
      <c r="J2299">
        <f>--(E2299="Validation")</f>
        <v/>
      </c>
    </row>
    <row r="2300">
      <c r="D2300">
        <f>AutoClaim_Data!A2300</f>
        <v/>
      </c>
      <c r="E2300">
        <f>AutoClaim_Data!B2300</f>
        <v/>
      </c>
      <c r="F2300">
        <f>AutoClaim_Data!C2300</f>
        <v/>
      </c>
      <c r="G2300">
        <f>IF(AutoClaim_Data!D2300&lt;=$B$2,AVERAGEIFS(AutoClaim_Data!C2:C3168,AutoClaim_Data!B2:B3168,"Train",AutoClaim_Data!D2:D3168,"&lt;="&amp;$B$2),AVERAGEIFS(AutoClaim_Data!C2:C3168,AutoClaim_Data!B2:B3168,"Train",AutoClaim_Data!D2:D3168,"&gt;"&amp;$B$2))</f>
        <v/>
      </c>
      <c r="H2300">
        <f>IF(AutoClaim_Data!D2300&lt;=$B$2,IF(AutoClaim_Data!E2300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0">
        <f>(F2300-H2300)^2</f>
        <v/>
      </c>
      <c r="J2300">
        <f>--(E2300="Validation")</f>
        <v/>
      </c>
    </row>
    <row r="2301">
      <c r="D2301">
        <f>AutoClaim_Data!A2301</f>
        <v/>
      </c>
      <c r="E2301">
        <f>AutoClaim_Data!B2301</f>
        <v/>
      </c>
      <c r="F2301">
        <f>AutoClaim_Data!C2301</f>
        <v/>
      </c>
      <c r="G2301">
        <f>IF(AutoClaim_Data!D2301&lt;=$B$2,AVERAGEIFS(AutoClaim_Data!C2:C3168,AutoClaim_Data!B2:B3168,"Train",AutoClaim_Data!D2:D3168,"&lt;="&amp;$B$2),AVERAGEIFS(AutoClaim_Data!C2:C3168,AutoClaim_Data!B2:B3168,"Train",AutoClaim_Data!D2:D3168,"&gt;"&amp;$B$2))</f>
        <v/>
      </c>
      <c r="H2301">
        <f>IF(AutoClaim_Data!D2301&lt;=$B$2,IF(AutoClaim_Data!E2301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1">
        <f>(F2301-H2301)^2</f>
        <v/>
      </c>
      <c r="J2301">
        <f>--(E2301="Validation")</f>
        <v/>
      </c>
    </row>
    <row r="2302">
      <c r="D2302">
        <f>AutoClaim_Data!A2302</f>
        <v/>
      </c>
      <c r="E2302">
        <f>AutoClaim_Data!B2302</f>
        <v/>
      </c>
      <c r="F2302">
        <f>AutoClaim_Data!C2302</f>
        <v/>
      </c>
      <c r="G2302">
        <f>IF(AutoClaim_Data!D2302&lt;=$B$2,AVERAGEIFS(AutoClaim_Data!C2:C3168,AutoClaim_Data!B2:B3168,"Train",AutoClaim_Data!D2:D3168,"&lt;="&amp;$B$2),AVERAGEIFS(AutoClaim_Data!C2:C3168,AutoClaim_Data!B2:B3168,"Train",AutoClaim_Data!D2:D3168,"&gt;"&amp;$B$2))</f>
        <v/>
      </c>
      <c r="H2302">
        <f>IF(AutoClaim_Data!D2302&lt;=$B$2,IF(AutoClaim_Data!E2302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2">
        <f>(F2302-H2302)^2</f>
        <v/>
      </c>
      <c r="J2302">
        <f>--(E2302="Validation")</f>
        <v/>
      </c>
    </row>
    <row r="2303">
      <c r="D2303">
        <f>AutoClaim_Data!A2303</f>
        <v/>
      </c>
      <c r="E2303">
        <f>AutoClaim_Data!B2303</f>
        <v/>
      </c>
      <c r="F2303">
        <f>AutoClaim_Data!C2303</f>
        <v/>
      </c>
      <c r="G2303">
        <f>IF(AutoClaim_Data!D2303&lt;=$B$2,AVERAGEIFS(AutoClaim_Data!C2:C3168,AutoClaim_Data!B2:B3168,"Train",AutoClaim_Data!D2:D3168,"&lt;="&amp;$B$2),AVERAGEIFS(AutoClaim_Data!C2:C3168,AutoClaim_Data!B2:B3168,"Train",AutoClaim_Data!D2:D3168,"&gt;"&amp;$B$2))</f>
        <v/>
      </c>
      <c r="H2303">
        <f>IF(AutoClaim_Data!D2303&lt;=$B$2,IF(AutoClaim_Data!E2303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3">
        <f>(F2303-H2303)^2</f>
        <v/>
      </c>
      <c r="J2303">
        <f>--(E2303="Validation")</f>
        <v/>
      </c>
    </row>
    <row r="2304">
      <c r="D2304">
        <f>AutoClaim_Data!A2304</f>
        <v/>
      </c>
      <c r="E2304">
        <f>AutoClaim_Data!B2304</f>
        <v/>
      </c>
      <c r="F2304">
        <f>AutoClaim_Data!C2304</f>
        <v/>
      </c>
      <c r="G2304">
        <f>IF(AutoClaim_Data!D2304&lt;=$B$2,AVERAGEIFS(AutoClaim_Data!C2:C3168,AutoClaim_Data!B2:B3168,"Train",AutoClaim_Data!D2:D3168,"&lt;="&amp;$B$2),AVERAGEIFS(AutoClaim_Data!C2:C3168,AutoClaim_Data!B2:B3168,"Train",AutoClaim_Data!D2:D3168,"&gt;"&amp;$B$2))</f>
        <v/>
      </c>
      <c r="H2304">
        <f>IF(AutoClaim_Data!D2304&lt;=$B$2,IF(AutoClaim_Data!E2304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4">
        <f>(F2304-H2304)^2</f>
        <v/>
      </c>
      <c r="J2304">
        <f>--(E2304="Validation")</f>
        <v/>
      </c>
    </row>
    <row r="2305">
      <c r="D2305">
        <f>AutoClaim_Data!A2305</f>
        <v/>
      </c>
      <c r="E2305">
        <f>AutoClaim_Data!B2305</f>
        <v/>
      </c>
      <c r="F2305">
        <f>AutoClaim_Data!C2305</f>
        <v/>
      </c>
      <c r="G2305">
        <f>IF(AutoClaim_Data!D2305&lt;=$B$2,AVERAGEIFS(AutoClaim_Data!C2:C3168,AutoClaim_Data!B2:B3168,"Train",AutoClaim_Data!D2:D3168,"&lt;="&amp;$B$2),AVERAGEIFS(AutoClaim_Data!C2:C3168,AutoClaim_Data!B2:B3168,"Train",AutoClaim_Data!D2:D3168,"&gt;"&amp;$B$2))</f>
        <v/>
      </c>
      <c r="H2305">
        <f>IF(AutoClaim_Data!D2305&lt;=$B$2,IF(AutoClaim_Data!E2305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5">
        <f>(F2305-H2305)^2</f>
        <v/>
      </c>
      <c r="J2305">
        <f>--(E2305="Validation")</f>
        <v/>
      </c>
    </row>
    <row r="2306">
      <c r="D2306">
        <f>AutoClaim_Data!A2306</f>
        <v/>
      </c>
      <c r="E2306">
        <f>AutoClaim_Data!B2306</f>
        <v/>
      </c>
      <c r="F2306">
        <f>AutoClaim_Data!C2306</f>
        <v/>
      </c>
      <c r="G2306">
        <f>IF(AutoClaim_Data!D2306&lt;=$B$2,AVERAGEIFS(AutoClaim_Data!C2:C3168,AutoClaim_Data!B2:B3168,"Train",AutoClaim_Data!D2:D3168,"&lt;="&amp;$B$2),AVERAGEIFS(AutoClaim_Data!C2:C3168,AutoClaim_Data!B2:B3168,"Train",AutoClaim_Data!D2:D3168,"&gt;"&amp;$B$2))</f>
        <v/>
      </c>
      <c r="H2306">
        <f>IF(AutoClaim_Data!D2306&lt;=$B$2,IF(AutoClaim_Data!E2306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6">
        <f>(F2306-H2306)^2</f>
        <v/>
      </c>
      <c r="J2306">
        <f>--(E2306="Validation")</f>
        <v/>
      </c>
    </row>
    <row r="2307">
      <c r="D2307">
        <f>AutoClaim_Data!A2307</f>
        <v/>
      </c>
      <c r="E2307">
        <f>AutoClaim_Data!B2307</f>
        <v/>
      </c>
      <c r="F2307">
        <f>AutoClaim_Data!C2307</f>
        <v/>
      </c>
      <c r="G2307">
        <f>IF(AutoClaim_Data!D2307&lt;=$B$2,AVERAGEIFS(AutoClaim_Data!C2:C3168,AutoClaim_Data!B2:B3168,"Train",AutoClaim_Data!D2:D3168,"&lt;="&amp;$B$2),AVERAGEIFS(AutoClaim_Data!C2:C3168,AutoClaim_Data!B2:B3168,"Train",AutoClaim_Data!D2:D3168,"&gt;"&amp;$B$2))</f>
        <v/>
      </c>
      <c r="H2307">
        <f>IF(AutoClaim_Data!D2307&lt;=$B$2,IF(AutoClaim_Data!E2307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7">
        <f>(F2307-H2307)^2</f>
        <v/>
      </c>
      <c r="J2307">
        <f>--(E2307="Validation")</f>
        <v/>
      </c>
    </row>
    <row r="2308">
      <c r="D2308">
        <f>AutoClaim_Data!A2308</f>
        <v/>
      </c>
      <c r="E2308">
        <f>AutoClaim_Data!B2308</f>
        <v/>
      </c>
      <c r="F2308">
        <f>AutoClaim_Data!C2308</f>
        <v/>
      </c>
      <c r="G2308">
        <f>IF(AutoClaim_Data!D2308&lt;=$B$2,AVERAGEIFS(AutoClaim_Data!C2:C3168,AutoClaim_Data!B2:B3168,"Train",AutoClaim_Data!D2:D3168,"&lt;="&amp;$B$2),AVERAGEIFS(AutoClaim_Data!C2:C3168,AutoClaim_Data!B2:B3168,"Train",AutoClaim_Data!D2:D3168,"&gt;"&amp;$B$2))</f>
        <v/>
      </c>
      <c r="H2308">
        <f>IF(AutoClaim_Data!D2308&lt;=$B$2,IF(AutoClaim_Data!E2308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8">
        <f>(F2308-H2308)^2</f>
        <v/>
      </c>
      <c r="J2308">
        <f>--(E2308="Validation")</f>
        <v/>
      </c>
    </row>
    <row r="2309">
      <c r="D2309">
        <f>AutoClaim_Data!A2309</f>
        <v/>
      </c>
      <c r="E2309">
        <f>AutoClaim_Data!B2309</f>
        <v/>
      </c>
      <c r="F2309">
        <f>AutoClaim_Data!C2309</f>
        <v/>
      </c>
      <c r="G2309">
        <f>IF(AutoClaim_Data!D2309&lt;=$B$2,AVERAGEIFS(AutoClaim_Data!C2:C3168,AutoClaim_Data!B2:B3168,"Train",AutoClaim_Data!D2:D3168,"&lt;="&amp;$B$2),AVERAGEIFS(AutoClaim_Data!C2:C3168,AutoClaim_Data!B2:B3168,"Train",AutoClaim_Data!D2:D3168,"&gt;"&amp;$B$2))</f>
        <v/>
      </c>
      <c r="H2309">
        <f>IF(AutoClaim_Data!D2309&lt;=$B$2,IF(AutoClaim_Data!E2309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09">
        <f>(F2309-H2309)^2</f>
        <v/>
      </c>
      <c r="J2309">
        <f>--(E2309="Validation")</f>
        <v/>
      </c>
    </row>
    <row r="2310">
      <c r="D2310">
        <f>AutoClaim_Data!A2310</f>
        <v/>
      </c>
      <c r="E2310">
        <f>AutoClaim_Data!B2310</f>
        <v/>
      </c>
      <c r="F2310">
        <f>AutoClaim_Data!C2310</f>
        <v/>
      </c>
      <c r="G2310">
        <f>IF(AutoClaim_Data!D2310&lt;=$B$2,AVERAGEIFS(AutoClaim_Data!C2:C3168,AutoClaim_Data!B2:B3168,"Train",AutoClaim_Data!D2:D3168,"&lt;="&amp;$B$2),AVERAGEIFS(AutoClaim_Data!C2:C3168,AutoClaim_Data!B2:B3168,"Train",AutoClaim_Data!D2:D3168,"&gt;"&amp;$B$2))</f>
        <v/>
      </c>
      <c r="H2310">
        <f>IF(AutoClaim_Data!D2310&lt;=$B$2,IF(AutoClaim_Data!E2310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0">
        <f>(F2310-H2310)^2</f>
        <v/>
      </c>
      <c r="J2310">
        <f>--(E2310="Validation")</f>
        <v/>
      </c>
    </row>
    <row r="2311">
      <c r="D2311">
        <f>AutoClaim_Data!A2311</f>
        <v/>
      </c>
      <c r="E2311">
        <f>AutoClaim_Data!B2311</f>
        <v/>
      </c>
      <c r="F2311">
        <f>AutoClaim_Data!C2311</f>
        <v/>
      </c>
      <c r="G2311">
        <f>IF(AutoClaim_Data!D2311&lt;=$B$2,AVERAGEIFS(AutoClaim_Data!C2:C3168,AutoClaim_Data!B2:B3168,"Train",AutoClaim_Data!D2:D3168,"&lt;="&amp;$B$2),AVERAGEIFS(AutoClaim_Data!C2:C3168,AutoClaim_Data!B2:B3168,"Train",AutoClaim_Data!D2:D3168,"&gt;"&amp;$B$2))</f>
        <v/>
      </c>
      <c r="H2311">
        <f>IF(AutoClaim_Data!D2311&lt;=$B$2,IF(AutoClaim_Data!E2311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1">
        <f>(F2311-H2311)^2</f>
        <v/>
      </c>
      <c r="J2311">
        <f>--(E2311="Validation")</f>
        <v/>
      </c>
    </row>
    <row r="2312">
      <c r="D2312">
        <f>AutoClaim_Data!A2312</f>
        <v/>
      </c>
      <c r="E2312">
        <f>AutoClaim_Data!B2312</f>
        <v/>
      </c>
      <c r="F2312">
        <f>AutoClaim_Data!C2312</f>
        <v/>
      </c>
      <c r="G2312">
        <f>IF(AutoClaim_Data!D2312&lt;=$B$2,AVERAGEIFS(AutoClaim_Data!C2:C3168,AutoClaim_Data!B2:B3168,"Train",AutoClaim_Data!D2:D3168,"&lt;="&amp;$B$2),AVERAGEIFS(AutoClaim_Data!C2:C3168,AutoClaim_Data!B2:B3168,"Train",AutoClaim_Data!D2:D3168,"&gt;"&amp;$B$2))</f>
        <v/>
      </c>
      <c r="H2312">
        <f>IF(AutoClaim_Data!D2312&lt;=$B$2,IF(AutoClaim_Data!E2312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2">
        <f>(F2312-H2312)^2</f>
        <v/>
      </c>
      <c r="J2312">
        <f>--(E2312="Validation")</f>
        <v/>
      </c>
    </row>
    <row r="2313">
      <c r="D2313">
        <f>AutoClaim_Data!A2313</f>
        <v/>
      </c>
      <c r="E2313">
        <f>AutoClaim_Data!B2313</f>
        <v/>
      </c>
      <c r="F2313">
        <f>AutoClaim_Data!C2313</f>
        <v/>
      </c>
      <c r="G2313">
        <f>IF(AutoClaim_Data!D2313&lt;=$B$2,AVERAGEIFS(AutoClaim_Data!C2:C3168,AutoClaim_Data!B2:B3168,"Train",AutoClaim_Data!D2:D3168,"&lt;="&amp;$B$2),AVERAGEIFS(AutoClaim_Data!C2:C3168,AutoClaim_Data!B2:B3168,"Train",AutoClaim_Data!D2:D3168,"&gt;"&amp;$B$2))</f>
        <v/>
      </c>
      <c r="H2313">
        <f>IF(AutoClaim_Data!D2313&lt;=$B$2,IF(AutoClaim_Data!E2313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3">
        <f>(F2313-H2313)^2</f>
        <v/>
      </c>
      <c r="J2313">
        <f>--(E2313="Validation")</f>
        <v/>
      </c>
    </row>
    <row r="2314">
      <c r="D2314">
        <f>AutoClaim_Data!A2314</f>
        <v/>
      </c>
      <c r="E2314">
        <f>AutoClaim_Data!B2314</f>
        <v/>
      </c>
      <c r="F2314">
        <f>AutoClaim_Data!C2314</f>
        <v/>
      </c>
      <c r="G2314">
        <f>IF(AutoClaim_Data!D2314&lt;=$B$2,AVERAGEIFS(AutoClaim_Data!C2:C3168,AutoClaim_Data!B2:B3168,"Train",AutoClaim_Data!D2:D3168,"&lt;="&amp;$B$2),AVERAGEIFS(AutoClaim_Data!C2:C3168,AutoClaim_Data!B2:B3168,"Train",AutoClaim_Data!D2:D3168,"&gt;"&amp;$B$2))</f>
        <v/>
      </c>
      <c r="H2314">
        <f>IF(AutoClaim_Data!D2314&lt;=$B$2,IF(AutoClaim_Data!E2314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4">
        <f>(F2314-H2314)^2</f>
        <v/>
      </c>
      <c r="J2314">
        <f>--(E2314="Validation")</f>
        <v/>
      </c>
    </row>
    <row r="2315">
      <c r="D2315">
        <f>AutoClaim_Data!A2315</f>
        <v/>
      </c>
      <c r="E2315">
        <f>AutoClaim_Data!B2315</f>
        <v/>
      </c>
      <c r="F2315">
        <f>AutoClaim_Data!C2315</f>
        <v/>
      </c>
      <c r="G2315">
        <f>IF(AutoClaim_Data!D2315&lt;=$B$2,AVERAGEIFS(AutoClaim_Data!C2:C3168,AutoClaim_Data!B2:B3168,"Train",AutoClaim_Data!D2:D3168,"&lt;="&amp;$B$2),AVERAGEIFS(AutoClaim_Data!C2:C3168,AutoClaim_Data!B2:B3168,"Train",AutoClaim_Data!D2:D3168,"&gt;"&amp;$B$2))</f>
        <v/>
      </c>
      <c r="H2315">
        <f>IF(AutoClaim_Data!D2315&lt;=$B$2,IF(AutoClaim_Data!E2315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5">
        <f>(F2315-H2315)^2</f>
        <v/>
      </c>
      <c r="J2315">
        <f>--(E2315="Validation")</f>
        <v/>
      </c>
    </row>
    <row r="2316">
      <c r="D2316">
        <f>AutoClaim_Data!A2316</f>
        <v/>
      </c>
      <c r="E2316">
        <f>AutoClaim_Data!B2316</f>
        <v/>
      </c>
      <c r="F2316">
        <f>AutoClaim_Data!C2316</f>
        <v/>
      </c>
      <c r="G2316">
        <f>IF(AutoClaim_Data!D2316&lt;=$B$2,AVERAGEIFS(AutoClaim_Data!C2:C3168,AutoClaim_Data!B2:B3168,"Train",AutoClaim_Data!D2:D3168,"&lt;="&amp;$B$2),AVERAGEIFS(AutoClaim_Data!C2:C3168,AutoClaim_Data!B2:B3168,"Train",AutoClaim_Data!D2:D3168,"&gt;"&amp;$B$2))</f>
        <v/>
      </c>
      <c r="H2316">
        <f>IF(AutoClaim_Data!D2316&lt;=$B$2,IF(AutoClaim_Data!E2316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6">
        <f>(F2316-H2316)^2</f>
        <v/>
      </c>
      <c r="J2316">
        <f>--(E2316="Validation")</f>
        <v/>
      </c>
    </row>
    <row r="2317">
      <c r="D2317">
        <f>AutoClaim_Data!A2317</f>
        <v/>
      </c>
      <c r="E2317">
        <f>AutoClaim_Data!B2317</f>
        <v/>
      </c>
      <c r="F2317">
        <f>AutoClaim_Data!C2317</f>
        <v/>
      </c>
      <c r="G2317">
        <f>IF(AutoClaim_Data!D2317&lt;=$B$2,AVERAGEIFS(AutoClaim_Data!C2:C3168,AutoClaim_Data!B2:B3168,"Train",AutoClaim_Data!D2:D3168,"&lt;="&amp;$B$2),AVERAGEIFS(AutoClaim_Data!C2:C3168,AutoClaim_Data!B2:B3168,"Train",AutoClaim_Data!D2:D3168,"&gt;"&amp;$B$2))</f>
        <v/>
      </c>
      <c r="H2317">
        <f>IF(AutoClaim_Data!D2317&lt;=$B$2,IF(AutoClaim_Data!E2317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7">
        <f>(F2317-H2317)^2</f>
        <v/>
      </c>
      <c r="J2317">
        <f>--(E2317="Validation")</f>
        <v/>
      </c>
    </row>
    <row r="2318">
      <c r="D2318">
        <f>AutoClaim_Data!A2318</f>
        <v/>
      </c>
      <c r="E2318">
        <f>AutoClaim_Data!B2318</f>
        <v/>
      </c>
      <c r="F2318">
        <f>AutoClaim_Data!C2318</f>
        <v/>
      </c>
      <c r="G2318">
        <f>IF(AutoClaim_Data!D2318&lt;=$B$2,AVERAGEIFS(AutoClaim_Data!C2:C3168,AutoClaim_Data!B2:B3168,"Train",AutoClaim_Data!D2:D3168,"&lt;="&amp;$B$2),AVERAGEIFS(AutoClaim_Data!C2:C3168,AutoClaim_Data!B2:B3168,"Train",AutoClaim_Data!D2:D3168,"&gt;"&amp;$B$2))</f>
        <v/>
      </c>
      <c r="H2318">
        <f>IF(AutoClaim_Data!D2318&lt;=$B$2,IF(AutoClaim_Data!E2318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8">
        <f>(F2318-H2318)^2</f>
        <v/>
      </c>
      <c r="J2318">
        <f>--(E2318="Validation")</f>
        <v/>
      </c>
    </row>
    <row r="2319">
      <c r="D2319">
        <f>AutoClaim_Data!A2319</f>
        <v/>
      </c>
      <c r="E2319">
        <f>AutoClaim_Data!B2319</f>
        <v/>
      </c>
      <c r="F2319">
        <f>AutoClaim_Data!C2319</f>
        <v/>
      </c>
      <c r="G2319">
        <f>IF(AutoClaim_Data!D2319&lt;=$B$2,AVERAGEIFS(AutoClaim_Data!C2:C3168,AutoClaim_Data!B2:B3168,"Train",AutoClaim_Data!D2:D3168,"&lt;="&amp;$B$2),AVERAGEIFS(AutoClaim_Data!C2:C3168,AutoClaim_Data!B2:B3168,"Train",AutoClaim_Data!D2:D3168,"&gt;"&amp;$B$2))</f>
        <v/>
      </c>
      <c r="H2319">
        <f>IF(AutoClaim_Data!D2319&lt;=$B$2,IF(AutoClaim_Data!E2319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19">
        <f>(F2319-H2319)^2</f>
        <v/>
      </c>
      <c r="J2319">
        <f>--(E2319="Validation")</f>
        <v/>
      </c>
    </row>
    <row r="2320">
      <c r="D2320">
        <f>AutoClaim_Data!A2320</f>
        <v/>
      </c>
      <c r="E2320">
        <f>AutoClaim_Data!B2320</f>
        <v/>
      </c>
      <c r="F2320">
        <f>AutoClaim_Data!C2320</f>
        <v/>
      </c>
      <c r="G2320">
        <f>IF(AutoClaim_Data!D2320&lt;=$B$2,AVERAGEIFS(AutoClaim_Data!C2:C3168,AutoClaim_Data!B2:B3168,"Train",AutoClaim_Data!D2:D3168,"&lt;="&amp;$B$2),AVERAGEIFS(AutoClaim_Data!C2:C3168,AutoClaim_Data!B2:B3168,"Train",AutoClaim_Data!D2:D3168,"&gt;"&amp;$B$2))</f>
        <v/>
      </c>
      <c r="H2320">
        <f>IF(AutoClaim_Data!D2320&lt;=$B$2,IF(AutoClaim_Data!E2320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0">
        <f>(F2320-H2320)^2</f>
        <v/>
      </c>
      <c r="J2320">
        <f>--(E2320="Validation")</f>
        <v/>
      </c>
    </row>
    <row r="2321">
      <c r="D2321">
        <f>AutoClaim_Data!A2321</f>
        <v/>
      </c>
      <c r="E2321">
        <f>AutoClaim_Data!B2321</f>
        <v/>
      </c>
      <c r="F2321">
        <f>AutoClaim_Data!C2321</f>
        <v/>
      </c>
      <c r="G2321">
        <f>IF(AutoClaim_Data!D2321&lt;=$B$2,AVERAGEIFS(AutoClaim_Data!C2:C3168,AutoClaim_Data!B2:B3168,"Train",AutoClaim_Data!D2:D3168,"&lt;="&amp;$B$2),AVERAGEIFS(AutoClaim_Data!C2:C3168,AutoClaim_Data!B2:B3168,"Train",AutoClaim_Data!D2:D3168,"&gt;"&amp;$B$2))</f>
        <v/>
      </c>
      <c r="H2321">
        <f>IF(AutoClaim_Data!D2321&lt;=$B$2,IF(AutoClaim_Data!E2321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1">
        <f>(F2321-H2321)^2</f>
        <v/>
      </c>
      <c r="J2321">
        <f>--(E2321="Validation")</f>
        <v/>
      </c>
    </row>
    <row r="2322">
      <c r="D2322">
        <f>AutoClaim_Data!A2322</f>
        <v/>
      </c>
      <c r="E2322">
        <f>AutoClaim_Data!B2322</f>
        <v/>
      </c>
      <c r="F2322">
        <f>AutoClaim_Data!C2322</f>
        <v/>
      </c>
      <c r="G2322">
        <f>IF(AutoClaim_Data!D2322&lt;=$B$2,AVERAGEIFS(AutoClaim_Data!C2:C3168,AutoClaim_Data!B2:B3168,"Train",AutoClaim_Data!D2:D3168,"&lt;="&amp;$B$2),AVERAGEIFS(AutoClaim_Data!C2:C3168,AutoClaim_Data!B2:B3168,"Train",AutoClaim_Data!D2:D3168,"&gt;"&amp;$B$2))</f>
        <v/>
      </c>
      <c r="H2322">
        <f>IF(AutoClaim_Data!D2322&lt;=$B$2,IF(AutoClaim_Data!E2322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2">
        <f>(F2322-H2322)^2</f>
        <v/>
      </c>
      <c r="J2322">
        <f>--(E2322="Validation")</f>
        <v/>
      </c>
    </row>
    <row r="2323">
      <c r="D2323">
        <f>AutoClaim_Data!A2323</f>
        <v/>
      </c>
      <c r="E2323">
        <f>AutoClaim_Data!B2323</f>
        <v/>
      </c>
      <c r="F2323">
        <f>AutoClaim_Data!C2323</f>
        <v/>
      </c>
      <c r="G2323">
        <f>IF(AutoClaim_Data!D2323&lt;=$B$2,AVERAGEIFS(AutoClaim_Data!C2:C3168,AutoClaim_Data!B2:B3168,"Train",AutoClaim_Data!D2:D3168,"&lt;="&amp;$B$2),AVERAGEIFS(AutoClaim_Data!C2:C3168,AutoClaim_Data!B2:B3168,"Train",AutoClaim_Data!D2:D3168,"&gt;"&amp;$B$2))</f>
        <v/>
      </c>
      <c r="H2323">
        <f>IF(AutoClaim_Data!D2323&lt;=$B$2,IF(AutoClaim_Data!E2323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3">
        <f>(F2323-H2323)^2</f>
        <v/>
      </c>
      <c r="J2323">
        <f>--(E2323="Validation")</f>
        <v/>
      </c>
    </row>
    <row r="2324">
      <c r="D2324">
        <f>AutoClaim_Data!A2324</f>
        <v/>
      </c>
      <c r="E2324">
        <f>AutoClaim_Data!B2324</f>
        <v/>
      </c>
      <c r="F2324">
        <f>AutoClaim_Data!C2324</f>
        <v/>
      </c>
      <c r="G2324">
        <f>IF(AutoClaim_Data!D2324&lt;=$B$2,AVERAGEIFS(AutoClaim_Data!C2:C3168,AutoClaim_Data!B2:B3168,"Train",AutoClaim_Data!D2:D3168,"&lt;="&amp;$B$2),AVERAGEIFS(AutoClaim_Data!C2:C3168,AutoClaim_Data!B2:B3168,"Train",AutoClaim_Data!D2:D3168,"&gt;"&amp;$B$2))</f>
        <v/>
      </c>
      <c r="H2324">
        <f>IF(AutoClaim_Data!D2324&lt;=$B$2,IF(AutoClaim_Data!E2324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4">
        <f>(F2324-H2324)^2</f>
        <v/>
      </c>
      <c r="J2324">
        <f>--(E2324="Validation")</f>
        <v/>
      </c>
    </row>
    <row r="2325">
      <c r="D2325">
        <f>AutoClaim_Data!A2325</f>
        <v/>
      </c>
      <c r="E2325">
        <f>AutoClaim_Data!B2325</f>
        <v/>
      </c>
      <c r="F2325">
        <f>AutoClaim_Data!C2325</f>
        <v/>
      </c>
      <c r="G2325">
        <f>IF(AutoClaim_Data!D2325&lt;=$B$2,AVERAGEIFS(AutoClaim_Data!C2:C3168,AutoClaim_Data!B2:B3168,"Train",AutoClaim_Data!D2:D3168,"&lt;="&amp;$B$2),AVERAGEIFS(AutoClaim_Data!C2:C3168,AutoClaim_Data!B2:B3168,"Train",AutoClaim_Data!D2:D3168,"&gt;"&amp;$B$2))</f>
        <v/>
      </c>
      <c r="H2325">
        <f>IF(AutoClaim_Data!D2325&lt;=$B$2,IF(AutoClaim_Data!E2325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5">
        <f>(F2325-H2325)^2</f>
        <v/>
      </c>
      <c r="J2325">
        <f>--(E2325="Validation")</f>
        <v/>
      </c>
    </row>
    <row r="2326">
      <c r="D2326">
        <f>AutoClaim_Data!A2326</f>
        <v/>
      </c>
      <c r="E2326">
        <f>AutoClaim_Data!B2326</f>
        <v/>
      </c>
      <c r="F2326">
        <f>AutoClaim_Data!C2326</f>
        <v/>
      </c>
      <c r="G2326">
        <f>IF(AutoClaim_Data!D2326&lt;=$B$2,AVERAGEIFS(AutoClaim_Data!C2:C3168,AutoClaim_Data!B2:B3168,"Train",AutoClaim_Data!D2:D3168,"&lt;="&amp;$B$2),AVERAGEIFS(AutoClaim_Data!C2:C3168,AutoClaim_Data!B2:B3168,"Train",AutoClaim_Data!D2:D3168,"&gt;"&amp;$B$2))</f>
        <v/>
      </c>
      <c r="H2326">
        <f>IF(AutoClaim_Data!D2326&lt;=$B$2,IF(AutoClaim_Data!E2326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6">
        <f>(F2326-H2326)^2</f>
        <v/>
      </c>
      <c r="J2326">
        <f>--(E2326="Validation")</f>
        <v/>
      </c>
    </row>
    <row r="2327">
      <c r="D2327">
        <f>AutoClaim_Data!A2327</f>
        <v/>
      </c>
      <c r="E2327">
        <f>AutoClaim_Data!B2327</f>
        <v/>
      </c>
      <c r="F2327">
        <f>AutoClaim_Data!C2327</f>
        <v/>
      </c>
      <c r="G2327">
        <f>IF(AutoClaim_Data!D2327&lt;=$B$2,AVERAGEIFS(AutoClaim_Data!C2:C3168,AutoClaim_Data!B2:B3168,"Train",AutoClaim_Data!D2:D3168,"&lt;="&amp;$B$2),AVERAGEIFS(AutoClaim_Data!C2:C3168,AutoClaim_Data!B2:B3168,"Train",AutoClaim_Data!D2:D3168,"&gt;"&amp;$B$2))</f>
        <v/>
      </c>
      <c r="H2327">
        <f>IF(AutoClaim_Data!D2327&lt;=$B$2,IF(AutoClaim_Data!E2327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7">
        <f>(F2327-H2327)^2</f>
        <v/>
      </c>
      <c r="J2327">
        <f>--(E2327="Validation")</f>
        <v/>
      </c>
    </row>
    <row r="2328">
      <c r="D2328">
        <f>AutoClaim_Data!A2328</f>
        <v/>
      </c>
      <c r="E2328">
        <f>AutoClaim_Data!B2328</f>
        <v/>
      </c>
      <c r="F2328">
        <f>AutoClaim_Data!C2328</f>
        <v/>
      </c>
      <c r="G2328">
        <f>IF(AutoClaim_Data!D2328&lt;=$B$2,AVERAGEIFS(AutoClaim_Data!C2:C3168,AutoClaim_Data!B2:B3168,"Train",AutoClaim_Data!D2:D3168,"&lt;="&amp;$B$2),AVERAGEIFS(AutoClaim_Data!C2:C3168,AutoClaim_Data!B2:B3168,"Train",AutoClaim_Data!D2:D3168,"&gt;"&amp;$B$2))</f>
        <v/>
      </c>
      <c r="H2328">
        <f>IF(AutoClaim_Data!D2328&lt;=$B$2,IF(AutoClaim_Data!E2328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8">
        <f>(F2328-H2328)^2</f>
        <v/>
      </c>
      <c r="J2328">
        <f>--(E2328="Validation")</f>
        <v/>
      </c>
    </row>
    <row r="2329">
      <c r="D2329">
        <f>AutoClaim_Data!A2329</f>
        <v/>
      </c>
      <c r="E2329">
        <f>AutoClaim_Data!B2329</f>
        <v/>
      </c>
      <c r="F2329">
        <f>AutoClaim_Data!C2329</f>
        <v/>
      </c>
      <c r="G2329">
        <f>IF(AutoClaim_Data!D2329&lt;=$B$2,AVERAGEIFS(AutoClaim_Data!C2:C3168,AutoClaim_Data!B2:B3168,"Train",AutoClaim_Data!D2:D3168,"&lt;="&amp;$B$2),AVERAGEIFS(AutoClaim_Data!C2:C3168,AutoClaim_Data!B2:B3168,"Train",AutoClaim_Data!D2:D3168,"&gt;"&amp;$B$2))</f>
        <v/>
      </c>
      <c r="H2329">
        <f>IF(AutoClaim_Data!D2329&lt;=$B$2,IF(AutoClaim_Data!E2329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29">
        <f>(F2329-H2329)^2</f>
        <v/>
      </c>
      <c r="J2329">
        <f>--(E2329="Validation")</f>
        <v/>
      </c>
    </row>
    <row r="2330">
      <c r="D2330">
        <f>AutoClaim_Data!A2330</f>
        <v/>
      </c>
      <c r="E2330">
        <f>AutoClaim_Data!B2330</f>
        <v/>
      </c>
      <c r="F2330">
        <f>AutoClaim_Data!C2330</f>
        <v/>
      </c>
      <c r="G2330">
        <f>IF(AutoClaim_Data!D2330&lt;=$B$2,AVERAGEIFS(AutoClaim_Data!C2:C3168,AutoClaim_Data!B2:B3168,"Train",AutoClaim_Data!D2:D3168,"&lt;="&amp;$B$2),AVERAGEIFS(AutoClaim_Data!C2:C3168,AutoClaim_Data!B2:B3168,"Train",AutoClaim_Data!D2:D3168,"&gt;"&amp;$B$2))</f>
        <v/>
      </c>
      <c r="H2330">
        <f>IF(AutoClaim_Data!D2330&lt;=$B$2,IF(AutoClaim_Data!E2330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0">
        <f>(F2330-H2330)^2</f>
        <v/>
      </c>
      <c r="J2330">
        <f>--(E2330="Validation")</f>
        <v/>
      </c>
    </row>
    <row r="2331">
      <c r="D2331">
        <f>AutoClaim_Data!A2331</f>
        <v/>
      </c>
      <c r="E2331">
        <f>AutoClaim_Data!B2331</f>
        <v/>
      </c>
      <c r="F2331">
        <f>AutoClaim_Data!C2331</f>
        <v/>
      </c>
      <c r="G2331">
        <f>IF(AutoClaim_Data!D2331&lt;=$B$2,AVERAGEIFS(AutoClaim_Data!C2:C3168,AutoClaim_Data!B2:B3168,"Train",AutoClaim_Data!D2:D3168,"&lt;="&amp;$B$2),AVERAGEIFS(AutoClaim_Data!C2:C3168,AutoClaim_Data!B2:B3168,"Train",AutoClaim_Data!D2:D3168,"&gt;"&amp;$B$2))</f>
        <v/>
      </c>
      <c r="H2331">
        <f>IF(AutoClaim_Data!D2331&lt;=$B$2,IF(AutoClaim_Data!E2331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1">
        <f>(F2331-H2331)^2</f>
        <v/>
      </c>
      <c r="J2331">
        <f>--(E2331="Validation")</f>
        <v/>
      </c>
    </row>
    <row r="2332">
      <c r="D2332">
        <f>AutoClaim_Data!A2332</f>
        <v/>
      </c>
      <c r="E2332">
        <f>AutoClaim_Data!B2332</f>
        <v/>
      </c>
      <c r="F2332">
        <f>AutoClaim_Data!C2332</f>
        <v/>
      </c>
      <c r="G2332">
        <f>IF(AutoClaim_Data!D2332&lt;=$B$2,AVERAGEIFS(AutoClaim_Data!C2:C3168,AutoClaim_Data!B2:B3168,"Train",AutoClaim_Data!D2:D3168,"&lt;="&amp;$B$2),AVERAGEIFS(AutoClaim_Data!C2:C3168,AutoClaim_Data!B2:B3168,"Train",AutoClaim_Data!D2:D3168,"&gt;"&amp;$B$2))</f>
        <v/>
      </c>
      <c r="H2332">
        <f>IF(AutoClaim_Data!D2332&lt;=$B$2,IF(AutoClaim_Data!E2332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2">
        <f>(F2332-H2332)^2</f>
        <v/>
      </c>
      <c r="J2332">
        <f>--(E2332="Validation")</f>
        <v/>
      </c>
    </row>
    <row r="2333">
      <c r="D2333">
        <f>AutoClaim_Data!A2333</f>
        <v/>
      </c>
      <c r="E2333">
        <f>AutoClaim_Data!B2333</f>
        <v/>
      </c>
      <c r="F2333">
        <f>AutoClaim_Data!C2333</f>
        <v/>
      </c>
      <c r="G2333">
        <f>IF(AutoClaim_Data!D2333&lt;=$B$2,AVERAGEIFS(AutoClaim_Data!C2:C3168,AutoClaim_Data!B2:B3168,"Train",AutoClaim_Data!D2:D3168,"&lt;="&amp;$B$2),AVERAGEIFS(AutoClaim_Data!C2:C3168,AutoClaim_Data!B2:B3168,"Train",AutoClaim_Data!D2:D3168,"&gt;"&amp;$B$2))</f>
        <v/>
      </c>
      <c r="H2333">
        <f>IF(AutoClaim_Data!D2333&lt;=$B$2,IF(AutoClaim_Data!E2333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3">
        <f>(F2333-H2333)^2</f>
        <v/>
      </c>
      <c r="J2333">
        <f>--(E2333="Validation")</f>
        <v/>
      </c>
    </row>
    <row r="2334">
      <c r="D2334">
        <f>AutoClaim_Data!A2334</f>
        <v/>
      </c>
      <c r="E2334">
        <f>AutoClaim_Data!B2334</f>
        <v/>
      </c>
      <c r="F2334">
        <f>AutoClaim_Data!C2334</f>
        <v/>
      </c>
      <c r="G2334">
        <f>IF(AutoClaim_Data!D2334&lt;=$B$2,AVERAGEIFS(AutoClaim_Data!C2:C3168,AutoClaim_Data!B2:B3168,"Train",AutoClaim_Data!D2:D3168,"&lt;="&amp;$B$2),AVERAGEIFS(AutoClaim_Data!C2:C3168,AutoClaim_Data!B2:B3168,"Train",AutoClaim_Data!D2:D3168,"&gt;"&amp;$B$2))</f>
        <v/>
      </c>
      <c r="H2334">
        <f>IF(AutoClaim_Data!D2334&lt;=$B$2,IF(AutoClaim_Data!E2334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4">
        <f>(F2334-H2334)^2</f>
        <v/>
      </c>
      <c r="J2334">
        <f>--(E2334="Validation")</f>
        <v/>
      </c>
    </row>
    <row r="2335">
      <c r="D2335">
        <f>AutoClaim_Data!A2335</f>
        <v/>
      </c>
      <c r="E2335">
        <f>AutoClaim_Data!B2335</f>
        <v/>
      </c>
      <c r="F2335">
        <f>AutoClaim_Data!C2335</f>
        <v/>
      </c>
      <c r="G2335">
        <f>IF(AutoClaim_Data!D2335&lt;=$B$2,AVERAGEIFS(AutoClaim_Data!C2:C3168,AutoClaim_Data!B2:B3168,"Train",AutoClaim_Data!D2:D3168,"&lt;="&amp;$B$2),AVERAGEIFS(AutoClaim_Data!C2:C3168,AutoClaim_Data!B2:B3168,"Train",AutoClaim_Data!D2:D3168,"&gt;"&amp;$B$2))</f>
        <v/>
      </c>
      <c r="H2335">
        <f>IF(AutoClaim_Data!D2335&lt;=$B$2,IF(AutoClaim_Data!E2335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5">
        <f>(F2335-H2335)^2</f>
        <v/>
      </c>
      <c r="J2335">
        <f>--(E2335="Validation")</f>
        <v/>
      </c>
    </row>
    <row r="2336">
      <c r="D2336">
        <f>AutoClaim_Data!A2336</f>
        <v/>
      </c>
      <c r="E2336">
        <f>AutoClaim_Data!B2336</f>
        <v/>
      </c>
      <c r="F2336">
        <f>AutoClaim_Data!C2336</f>
        <v/>
      </c>
      <c r="G2336">
        <f>IF(AutoClaim_Data!D2336&lt;=$B$2,AVERAGEIFS(AutoClaim_Data!C2:C3168,AutoClaim_Data!B2:B3168,"Train",AutoClaim_Data!D2:D3168,"&lt;="&amp;$B$2),AVERAGEIFS(AutoClaim_Data!C2:C3168,AutoClaim_Data!B2:B3168,"Train",AutoClaim_Data!D2:D3168,"&gt;"&amp;$B$2))</f>
        <v/>
      </c>
      <c r="H2336">
        <f>IF(AutoClaim_Data!D2336&lt;=$B$2,IF(AutoClaim_Data!E2336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6">
        <f>(F2336-H2336)^2</f>
        <v/>
      </c>
      <c r="J2336">
        <f>--(E2336="Validation")</f>
        <v/>
      </c>
    </row>
    <row r="2337">
      <c r="D2337">
        <f>AutoClaim_Data!A2337</f>
        <v/>
      </c>
      <c r="E2337">
        <f>AutoClaim_Data!B2337</f>
        <v/>
      </c>
      <c r="F2337">
        <f>AutoClaim_Data!C2337</f>
        <v/>
      </c>
      <c r="G2337">
        <f>IF(AutoClaim_Data!D2337&lt;=$B$2,AVERAGEIFS(AutoClaim_Data!C2:C3168,AutoClaim_Data!B2:B3168,"Train",AutoClaim_Data!D2:D3168,"&lt;="&amp;$B$2),AVERAGEIFS(AutoClaim_Data!C2:C3168,AutoClaim_Data!B2:B3168,"Train",AutoClaim_Data!D2:D3168,"&gt;"&amp;$B$2))</f>
        <v/>
      </c>
      <c r="H2337">
        <f>IF(AutoClaim_Data!D2337&lt;=$B$2,IF(AutoClaim_Data!E2337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7">
        <f>(F2337-H2337)^2</f>
        <v/>
      </c>
      <c r="J2337">
        <f>--(E2337="Validation")</f>
        <v/>
      </c>
    </row>
    <row r="2338">
      <c r="D2338">
        <f>AutoClaim_Data!A2338</f>
        <v/>
      </c>
      <c r="E2338">
        <f>AutoClaim_Data!B2338</f>
        <v/>
      </c>
      <c r="F2338">
        <f>AutoClaim_Data!C2338</f>
        <v/>
      </c>
      <c r="G2338">
        <f>IF(AutoClaim_Data!D2338&lt;=$B$2,AVERAGEIFS(AutoClaim_Data!C2:C3168,AutoClaim_Data!B2:B3168,"Train",AutoClaim_Data!D2:D3168,"&lt;="&amp;$B$2),AVERAGEIFS(AutoClaim_Data!C2:C3168,AutoClaim_Data!B2:B3168,"Train",AutoClaim_Data!D2:D3168,"&gt;"&amp;$B$2))</f>
        <v/>
      </c>
      <c r="H2338">
        <f>IF(AutoClaim_Data!D2338&lt;=$B$2,IF(AutoClaim_Data!E2338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8">
        <f>(F2338-H2338)^2</f>
        <v/>
      </c>
      <c r="J2338">
        <f>--(E2338="Validation")</f>
        <v/>
      </c>
    </row>
    <row r="2339">
      <c r="D2339">
        <f>AutoClaim_Data!A2339</f>
        <v/>
      </c>
      <c r="E2339">
        <f>AutoClaim_Data!B2339</f>
        <v/>
      </c>
      <c r="F2339">
        <f>AutoClaim_Data!C2339</f>
        <v/>
      </c>
      <c r="G2339">
        <f>IF(AutoClaim_Data!D2339&lt;=$B$2,AVERAGEIFS(AutoClaim_Data!C2:C3168,AutoClaim_Data!B2:B3168,"Train",AutoClaim_Data!D2:D3168,"&lt;="&amp;$B$2),AVERAGEIFS(AutoClaim_Data!C2:C3168,AutoClaim_Data!B2:B3168,"Train",AutoClaim_Data!D2:D3168,"&gt;"&amp;$B$2))</f>
        <v/>
      </c>
      <c r="H2339">
        <f>IF(AutoClaim_Data!D2339&lt;=$B$2,IF(AutoClaim_Data!E2339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39">
        <f>(F2339-H2339)^2</f>
        <v/>
      </c>
      <c r="J2339">
        <f>--(E2339="Validation")</f>
        <v/>
      </c>
    </row>
    <row r="2340">
      <c r="D2340">
        <f>AutoClaim_Data!A2340</f>
        <v/>
      </c>
      <c r="E2340">
        <f>AutoClaim_Data!B2340</f>
        <v/>
      </c>
      <c r="F2340">
        <f>AutoClaim_Data!C2340</f>
        <v/>
      </c>
      <c r="G2340">
        <f>IF(AutoClaim_Data!D2340&lt;=$B$2,AVERAGEIFS(AutoClaim_Data!C2:C3168,AutoClaim_Data!B2:B3168,"Train",AutoClaim_Data!D2:D3168,"&lt;="&amp;$B$2),AVERAGEIFS(AutoClaim_Data!C2:C3168,AutoClaim_Data!B2:B3168,"Train",AutoClaim_Data!D2:D3168,"&gt;"&amp;$B$2))</f>
        <v/>
      </c>
      <c r="H2340">
        <f>IF(AutoClaim_Data!D2340&lt;=$B$2,IF(AutoClaim_Data!E2340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0">
        <f>(F2340-H2340)^2</f>
        <v/>
      </c>
      <c r="J2340">
        <f>--(E2340="Validation")</f>
        <v/>
      </c>
    </row>
    <row r="2341">
      <c r="D2341">
        <f>AutoClaim_Data!A2341</f>
        <v/>
      </c>
      <c r="E2341">
        <f>AutoClaim_Data!B2341</f>
        <v/>
      </c>
      <c r="F2341">
        <f>AutoClaim_Data!C2341</f>
        <v/>
      </c>
      <c r="G2341">
        <f>IF(AutoClaim_Data!D2341&lt;=$B$2,AVERAGEIFS(AutoClaim_Data!C2:C3168,AutoClaim_Data!B2:B3168,"Train",AutoClaim_Data!D2:D3168,"&lt;="&amp;$B$2),AVERAGEIFS(AutoClaim_Data!C2:C3168,AutoClaim_Data!B2:B3168,"Train",AutoClaim_Data!D2:D3168,"&gt;"&amp;$B$2))</f>
        <v/>
      </c>
      <c r="H2341">
        <f>IF(AutoClaim_Data!D2341&lt;=$B$2,IF(AutoClaim_Data!E2341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1">
        <f>(F2341-H2341)^2</f>
        <v/>
      </c>
      <c r="J2341">
        <f>--(E2341="Validation")</f>
        <v/>
      </c>
    </row>
    <row r="2342">
      <c r="D2342">
        <f>AutoClaim_Data!A2342</f>
        <v/>
      </c>
      <c r="E2342">
        <f>AutoClaim_Data!B2342</f>
        <v/>
      </c>
      <c r="F2342">
        <f>AutoClaim_Data!C2342</f>
        <v/>
      </c>
      <c r="G2342">
        <f>IF(AutoClaim_Data!D2342&lt;=$B$2,AVERAGEIFS(AutoClaim_Data!C2:C3168,AutoClaim_Data!B2:B3168,"Train",AutoClaim_Data!D2:D3168,"&lt;="&amp;$B$2),AVERAGEIFS(AutoClaim_Data!C2:C3168,AutoClaim_Data!B2:B3168,"Train",AutoClaim_Data!D2:D3168,"&gt;"&amp;$B$2))</f>
        <v/>
      </c>
      <c r="H2342">
        <f>IF(AutoClaim_Data!D2342&lt;=$B$2,IF(AutoClaim_Data!E2342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2">
        <f>(F2342-H2342)^2</f>
        <v/>
      </c>
      <c r="J2342">
        <f>--(E2342="Validation")</f>
        <v/>
      </c>
    </row>
    <row r="2343">
      <c r="D2343">
        <f>AutoClaim_Data!A2343</f>
        <v/>
      </c>
      <c r="E2343">
        <f>AutoClaim_Data!B2343</f>
        <v/>
      </c>
      <c r="F2343">
        <f>AutoClaim_Data!C2343</f>
        <v/>
      </c>
      <c r="G2343">
        <f>IF(AutoClaim_Data!D2343&lt;=$B$2,AVERAGEIFS(AutoClaim_Data!C2:C3168,AutoClaim_Data!B2:B3168,"Train",AutoClaim_Data!D2:D3168,"&lt;="&amp;$B$2),AVERAGEIFS(AutoClaim_Data!C2:C3168,AutoClaim_Data!B2:B3168,"Train",AutoClaim_Data!D2:D3168,"&gt;"&amp;$B$2))</f>
        <v/>
      </c>
      <c r="H2343">
        <f>IF(AutoClaim_Data!D2343&lt;=$B$2,IF(AutoClaim_Data!E2343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3">
        <f>(F2343-H2343)^2</f>
        <v/>
      </c>
      <c r="J2343">
        <f>--(E2343="Validation")</f>
        <v/>
      </c>
    </row>
    <row r="2344">
      <c r="D2344">
        <f>AutoClaim_Data!A2344</f>
        <v/>
      </c>
      <c r="E2344">
        <f>AutoClaim_Data!B2344</f>
        <v/>
      </c>
      <c r="F2344">
        <f>AutoClaim_Data!C2344</f>
        <v/>
      </c>
      <c r="G2344">
        <f>IF(AutoClaim_Data!D2344&lt;=$B$2,AVERAGEIFS(AutoClaim_Data!C2:C3168,AutoClaim_Data!B2:B3168,"Train",AutoClaim_Data!D2:D3168,"&lt;="&amp;$B$2),AVERAGEIFS(AutoClaim_Data!C2:C3168,AutoClaim_Data!B2:B3168,"Train",AutoClaim_Data!D2:D3168,"&gt;"&amp;$B$2))</f>
        <v/>
      </c>
      <c r="H2344">
        <f>IF(AutoClaim_Data!D2344&lt;=$B$2,IF(AutoClaim_Data!E2344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4">
        <f>(F2344-H2344)^2</f>
        <v/>
      </c>
      <c r="J2344">
        <f>--(E2344="Validation")</f>
        <v/>
      </c>
    </row>
    <row r="2345">
      <c r="D2345">
        <f>AutoClaim_Data!A2345</f>
        <v/>
      </c>
      <c r="E2345">
        <f>AutoClaim_Data!B2345</f>
        <v/>
      </c>
      <c r="F2345">
        <f>AutoClaim_Data!C2345</f>
        <v/>
      </c>
      <c r="G2345">
        <f>IF(AutoClaim_Data!D2345&lt;=$B$2,AVERAGEIFS(AutoClaim_Data!C2:C3168,AutoClaim_Data!B2:B3168,"Train",AutoClaim_Data!D2:D3168,"&lt;="&amp;$B$2),AVERAGEIFS(AutoClaim_Data!C2:C3168,AutoClaim_Data!B2:B3168,"Train",AutoClaim_Data!D2:D3168,"&gt;"&amp;$B$2))</f>
        <v/>
      </c>
      <c r="H2345">
        <f>IF(AutoClaim_Data!D2345&lt;=$B$2,IF(AutoClaim_Data!E2345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5">
        <f>(F2345-H2345)^2</f>
        <v/>
      </c>
      <c r="J2345">
        <f>--(E2345="Validation")</f>
        <v/>
      </c>
    </row>
    <row r="2346">
      <c r="D2346">
        <f>AutoClaim_Data!A2346</f>
        <v/>
      </c>
      <c r="E2346">
        <f>AutoClaim_Data!B2346</f>
        <v/>
      </c>
      <c r="F2346">
        <f>AutoClaim_Data!C2346</f>
        <v/>
      </c>
      <c r="G2346">
        <f>IF(AutoClaim_Data!D2346&lt;=$B$2,AVERAGEIFS(AutoClaim_Data!C2:C3168,AutoClaim_Data!B2:B3168,"Train",AutoClaim_Data!D2:D3168,"&lt;="&amp;$B$2),AVERAGEIFS(AutoClaim_Data!C2:C3168,AutoClaim_Data!B2:B3168,"Train",AutoClaim_Data!D2:D3168,"&gt;"&amp;$B$2))</f>
        <v/>
      </c>
      <c r="H2346">
        <f>IF(AutoClaim_Data!D2346&lt;=$B$2,IF(AutoClaim_Data!E2346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6">
        <f>(F2346-H2346)^2</f>
        <v/>
      </c>
      <c r="J2346">
        <f>--(E2346="Validation")</f>
        <v/>
      </c>
    </row>
    <row r="2347">
      <c r="D2347">
        <f>AutoClaim_Data!A2347</f>
        <v/>
      </c>
      <c r="E2347">
        <f>AutoClaim_Data!B2347</f>
        <v/>
      </c>
      <c r="F2347">
        <f>AutoClaim_Data!C2347</f>
        <v/>
      </c>
      <c r="G2347">
        <f>IF(AutoClaim_Data!D2347&lt;=$B$2,AVERAGEIFS(AutoClaim_Data!C2:C3168,AutoClaim_Data!B2:B3168,"Train",AutoClaim_Data!D2:D3168,"&lt;="&amp;$B$2),AVERAGEIFS(AutoClaim_Data!C2:C3168,AutoClaim_Data!B2:B3168,"Train",AutoClaim_Data!D2:D3168,"&gt;"&amp;$B$2))</f>
        <v/>
      </c>
      <c r="H2347">
        <f>IF(AutoClaim_Data!D2347&lt;=$B$2,IF(AutoClaim_Data!E2347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7">
        <f>(F2347-H2347)^2</f>
        <v/>
      </c>
      <c r="J2347">
        <f>--(E2347="Validation")</f>
        <v/>
      </c>
    </row>
    <row r="2348">
      <c r="D2348">
        <f>AutoClaim_Data!A2348</f>
        <v/>
      </c>
      <c r="E2348">
        <f>AutoClaim_Data!B2348</f>
        <v/>
      </c>
      <c r="F2348">
        <f>AutoClaim_Data!C2348</f>
        <v/>
      </c>
      <c r="G2348">
        <f>IF(AutoClaim_Data!D2348&lt;=$B$2,AVERAGEIFS(AutoClaim_Data!C2:C3168,AutoClaim_Data!B2:B3168,"Train",AutoClaim_Data!D2:D3168,"&lt;="&amp;$B$2),AVERAGEIFS(AutoClaim_Data!C2:C3168,AutoClaim_Data!B2:B3168,"Train",AutoClaim_Data!D2:D3168,"&gt;"&amp;$B$2))</f>
        <v/>
      </c>
      <c r="H2348">
        <f>IF(AutoClaim_Data!D2348&lt;=$B$2,IF(AutoClaim_Data!E2348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8">
        <f>(F2348-H2348)^2</f>
        <v/>
      </c>
      <c r="J2348">
        <f>--(E2348="Validation")</f>
        <v/>
      </c>
    </row>
    <row r="2349">
      <c r="D2349">
        <f>AutoClaim_Data!A2349</f>
        <v/>
      </c>
      <c r="E2349">
        <f>AutoClaim_Data!B2349</f>
        <v/>
      </c>
      <c r="F2349">
        <f>AutoClaim_Data!C2349</f>
        <v/>
      </c>
      <c r="G2349">
        <f>IF(AutoClaim_Data!D2349&lt;=$B$2,AVERAGEIFS(AutoClaim_Data!C2:C3168,AutoClaim_Data!B2:B3168,"Train",AutoClaim_Data!D2:D3168,"&lt;="&amp;$B$2),AVERAGEIFS(AutoClaim_Data!C2:C3168,AutoClaim_Data!B2:B3168,"Train",AutoClaim_Data!D2:D3168,"&gt;"&amp;$B$2))</f>
        <v/>
      </c>
      <c r="H2349">
        <f>IF(AutoClaim_Data!D2349&lt;=$B$2,IF(AutoClaim_Data!E2349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49">
        <f>(F2349-H2349)^2</f>
        <v/>
      </c>
      <c r="J2349">
        <f>--(E2349="Validation")</f>
        <v/>
      </c>
    </row>
    <row r="2350">
      <c r="D2350">
        <f>AutoClaim_Data!A2350</f>
        <v/>
      </c>
      <c r="E2350">
        <f>AutoClaim_Data!B2350</f>
        <v/>
      </c>
      <c r="F2350">
        <f>AutoClaim_Data!C2350</f>
        <v/>
      </c>
      <c r="G2350">
        <f>IF(AutoClaim_Data!D2350&lt;=$B$2,AVERAGEIFS(AutoClaim_Data!C2:C3168,AutoClaim_Data!B2:B3168,"Train",AutoClaim_Data!D2:D3168,"&lt;="&amp;$B$2),AVERAGEIFS(AutoClaim_Data!C2:C3168,AutoClaim_Data!B2:B3168,"Train",AutoClaim_Data!D2:D3168,"&gt;"&amp;$B$2))</f>
        <v/>
      </c>
      <c r="H2350">
        <f>IF(AutoClaim_Data!D2350&lt;=$B$2,IF(AutoClaim_Data!E2350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0">
        <f>(F2350-H2350)^2</f>
        <v/>
      </c>
      <c r="J2350">
        <f>--(E2350="Validation")</f>
        <v/>
      </c>
    </row>
    <row r="2351">
      <c r="D2351">
        <f>AutoClaim_Data!A2351</f>
        <v/>
      </c>
      <c r="E2351">
        <f>AutoClaim_Data!B2351</f>
        <v/>
      </c>
      <c r="F2351">
        <f>AutoClaim_Data!C2351</f>
        <v/>
      </c>
      <c r="G2351">
        <f>IF(AutoClaim_Data!D2351&lt;=$B$2,AVERAGEIFS(AutoClaim_Data!C2:C3168,AutoClaim_Data!B2:B3168,"Train",AutoClaim_Data!D2:D3168,"&lt;="&amp;$B$2),AVERAGEIFS(AutoClaim_Data!C2:C3168,AutoClaim_Data!B2:B3168,"Train",AutoClaim_Data!D2:D3168,"&gt;"&amp;$B$2))</f>
        <v/>
      </c>
      <c r="H2351">
        <f>IF(AutoClaim_Data!D2351&lt;=$B$2,IF(AutoClaim_Data!E2351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1">
        <f>(F2351-H2351)^2</f>
        <v/>
      </c>
      <c r="J2351">
        <f>--(E2351="Validation")</f>
        <v/>
      </c>
    </row>
    <row r="2352">
      <c r="D2352">
        <f>AutoClaim_Data!A2352</f>
        <v/>
      </c>
      <c r="E2352">
        <f>AutoClaim_Data!B2352</f>
        <v/>
      </c>
      <c r="F2352">
        <f>AutoClaim_Data!C2352</f>
        <v/>
      </c>
      <c r="G2352">
        <f>IF(AutoClaim_Data!D2352&lt;=$B$2,AVERAGEIFS(AutoClaim_Data!C2:C3168,AutoClaim_Data!B2:B3168,"Train",AutoClaim_Data!D2:D3168,"&lt;="&amp;$B$2),AVERAGEIFS(AutoClaim_Data!C2:C3168,AutoClaim_Data!B2:B3168,"Train",AutoClaim_Data!D2:D3168,"&gt;"&amp;$B$2))</f>
        <v/>
      </c>
      <c r="H2352">
        <f>IF(AutoClaim_Data!D2352&lt;=$B$2,IF(AutoClaim_Data!E2352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2">
        <f>(F2352-H2352)^2</f>
        <v/>
      </c>
      <c r="J2352">
        <f>--(E2352="Validation")</f>
        <v/>
      </c>
    </row>
    <row r="2353">
      <c r="D2353">
        <f>AutoClaim_Data!A2353</f>
        <v/>
      </c>
      <c r="E2353">
        <f>AutoClaim_Data!B2353</f>
        <v/>
      </c>
      <c r="F2353">
        <f>AutoClaim_Data!C2353</f>
        <v/>
      </c>
      <c r="G2353">
        <f>IF(AutoClaim_Data!D2353&lt;=$B$2,AVERAGEIFS(AutoClaim_Data!C2:C3168,AutoClaim_Data!B2:B3168,"Train",AutoClaim_Data!D2:D3168,"&lt;="&amp;$B$2),AVERAGEIFS(AutoClaim_Data!C2:C3168,AutoClaim_Data!B2:B3168,"Train",AutoClaim_Data!D2:D3168,"&gt;"&amp;$B$2))</f>
        <v/>
      </c>
      <c r="H2353">
        <f>IF(AutoClaim_Data!D2353&lt;=$B$2,IF(AutoClaim_Data!E2353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3">
        <f>(F2353-H2353)^2</f>
        <v/>
      </c>
      <c r="J2353">
        <f>--(E2353="Validation")</f>
        <v/>
      </c>
    </row>
    <row r="2354">
      <c r="D2354">
        <f>AutoClaim_Data!A2354</f>
        <v/>
      </c>
      <c r="E2354">
        <f>AutoClaim_Data!B2354</f>
        <v/>
      </c>
      <c r="F2354">
        <f>AutoClaim_Data!C2354</f>
        <v/>
      </c>
      <c r="G2354">
        <f>IF(AutoClaim_Data!D2354&lt;=$B$2,AVERAGEIFS(AutoClaim_Data!C2:C3168,AutoClaim_Data!B2:B3168,"Train",AutoClaim_Data!D2:D3168,"&lt;="&amp;$B$2),AVERAGEIFS(AutoClaim_Data!C2:C3168,AutoClaim_Data!B2:B3168,"Train",AutoClaim_Data!D2:D3168,"&gt;"&amp;$B$2))</f>
        <v/>
      </c>
      <c r="H2354">
        <f>IF(AutoClaim_Data!D2354&lt;=$B$2,IF(AutoClaim_Data!E2354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4">
        <f>(F2354-H2354)^2</f>
        <v/>
      </c>
      <c r="J2354">
        <f>--(E2354="Validation")</f>
        <v/>
      </c>
    </row>
    <row r="2355">
      <c r="D2355">
        <f>AutoClaim_Data!A2355</f>
        <v/>
      </c>
      <c r="E2355">
        <f>AutoClaim_Data!B2355</f>
        <v/>
      </c>
      <c r="F2355">
        <f>AutoClaim_Data!C2355</f>
        <v/>
      </c>
      <c r="G2355">
        <f>IF(AutoClaim_Data!D2355&lt;=$B$2,AVERAGEIFS(AutoClaim_Data!C2:C3168,AutoClaim_Data!B2:B3168,"Train",AutoClaim_Data!D2:D3168,"&lt;="&amp;$B$2),AVERAGEIFS(AutoClaim_Data!C2:C3168,AutoClaim_Data!B2:B3168,"Train",AutoClaim_Data!D2:D3168,"&gt;"&amp;$B$2))</f>
        <v/>
      </c>
      <c r="H2355">
        <f>IF(AutoClaim_Data!D2355&lt;=$B$2,IF(AutoClaim_Data!E2355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5">
        <f>(F2355-H2355)^2</f>
        <v/>
      </c>
      <c r="J2355">
        <f>--(E2355="Validation")</f>
        <v/>
      </c>
    </row>
    <row r="2356">
      <c r="D2356">
        <f>AutoClaim_Data!A2356</f>
        <v/>
      </c>
      <c r="E2356">
        <f>AutoClaim_Data!B2356</f>
        <v/>
      </c>
      <c r="F2356">
        <f>AutoClaim_Data!C2356</f>
        <v/>
      </c>
      <c r="G2356">
        <f>IF(AutoClaim_Data!D2356&lt;=$B$2,AVERAGEIFS(AutoClaim_Data!C2:C3168,AutoClaim_Data!B2:B3168,"Train",AutoClaim_Data!D2:D3168,"&lt;="&amp;$B$2),AVERAGEIFS(AutoClaim_Data!C2:C3168,AutoClaim_Data!B2:B3168,"Train",AutoClaim_Data!D2:D3168,"&gt;"&amp;$B$2))</f>
        <v/>
      </c>
      <c r="H2356">
        <f>IF(AutoClaim_Data!D2356&lt;=$B$2,IF(AutoClaim_Data!E2356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6">
        <f>(F2356-H2356)^2</f>
        <v/>
      </c>
      <c r="J2356">
        <f>--(E2356="Validation")</f>
        <v/>
      </c>
    </row>
    <row r="2357">
      <c r="D2357">
        <f>AutoClaim_Data!A2357</f>
        <v/>
      </c>
      <c r="E2357">
        <f>AutoClaim_Data!B2357</f>
        <v/>
      </c>
      <c r="F2357">
        <f>AutoClaim_Data!C2357</f>
        <v/>
      </c>
      <c r="G2357">
        <f>IF(AutoClaim_Data!D2357&lt;=$B$2,AVERAGEIFS(AutoClaim_Data!C2:C3168,AutoClaim_Data!B2:B3168,"Train",AutoClaim_Data!D2:D3168,"&lt;="&amp;$B$2),AVERAGEIFS(AutoClaim_Data!C2:C3168,AutoClaim_Data!B2:B3168,"Train",AutoClaim_Data!D2:D3168,"&gt;"&amp;$B$2))</f>
        <v/>
      </c>
      <c r="H2357">
        <f>IF(AutoClaim_Data!D2357&lt;=$B$2,IF(AutoClaim_Data!E2357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7">
        <f>(F2357-H2357)^2</f>
        <v/>
      </c>
      <c r="J2357">
        <f>--(E2357="Validation")</f>
        <v/>
      </c>
    </row>
    <row r="2358">
      <c r="D2358">
        <f>AutoClaim_Data!A2358</f>
        <v/>
      </c>
      <c r="E2358">
        <f>AutoClaim_Data!B2358</f>
        <v/>
      </c>
      <c r="F2358">
        <f>AutoClaim_Data!C2358</f>
        <v/>
      </c>
      <c r="G2358">
        <f>IF(AutoClaim_Data!D2358&lt;=$B$2,AVERAGEIFS(AutoClaim_Data!C2:C3168,AutoClaim_Data!B2:B3168,"Train",AutoClaim_Data!D2:D3168,"&lt;="&amp;$B$2),AVERAGEIFS(AutoClaim_Data!C2:C3168,AutoClaim_Data!B2:B3168,"Train",AutoClaim_Data!D2:D3168,"&gt;"&amp;$B$2))</f>
        <v/>
      </c>
      <c r="H2358">
        <f>IF(AutoClaim_Data!D2358&lt;=$B$2,IF(AutoClaim_Data!E2358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8">
        <f>(F2358-H2358)^2</f>
        <v/>
      </c>
      <c r="J2358">
        <f>--(E2358="Validation")</f>
        <v/>
      </c>
    </row>
    <row r="2359">
      <c r="D2359">
        <f>AutoClaim_Data!A2359</f>
        <v/>
      </c>
      <c r="E2359">
        <f>AutoClaim_Data!B2359</f>
        <v/>
      </c>
      <c r="F2359">
        <f>AutoClaim_Data!C2359</f>
        <v/>
      </c>
      <c r="G2359">
        <f>IF(AutoClaim_Data!D2359&lt;=$B$2,AVERAGEIFS(AutoClaim_Data!C2:C3168,AutoClaim_Data!B2:B3168,"Train",AutoClaim_Data!D2:D3168,"&lt;="&amp;$B$2),AVERAGEIFS(AutoClaim_Data!C2:C3168,AutoClaim_Data!B2:B3168,"Train",AutoClaim_Data!D2:D3168,"&gt;"&amp;$B$2))</f>
        <v/>
      </c>
      <c r="H2359">
        <f>IF(AutoClaim_Data!D2359&lt;=$B$2,IF(AutoClaim_Data!E2359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59">
        <f>(F2359-H2359)^2</f>
        <v/>
      </c>
      <c r="J2359">
        <f>--(E2359="Validation")</f>
        <v/>
      </c>
    </row>
    <row r="2360">
      <c r="D2360">
        <f>AutoClaim_Data!A2360</f>
        <v/>
      </c>
      <c r="E2360">
        <f>AutoClaim_Data!B2360</f>
        <v/>
      </c>
      <c r="F2360">
        <f>AutoClaim_Data!C2360</f>
        <v/>
      </c>
      <c r="G2360">
        <f>IF(AutoClaim_Data!D2360&lt;=$B$2,AVERAGEIFS(AutoClaim_Data!C2:C3168,AutoClaim_Data!B2:B3168,"Train",AutoClaim_Data!D2:D3168,"&lt;="&amp;$B$2),AVERAGEIFS(AutoClaim_Data!C2:C3168,AutoClaim_Data!B2:B3168,"Train",AutoClaim_Data!D2:D3168,"&gt;"&amp;$B$2))</f>
        <v/>
      </c>
      <c r="H2360">
        <f>IF(AutoClaim_Data!D2360&lt;=$B$2,IF(AutoClaim_Data!E2360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0">
        <f>(F2360-H2360)^2</f>
        <v/>
      </c>
      <c r="J2360">
        <f>--(E2360="Validation")</f>
        <v/>
      </c>
    </row>
    <row r="2361">
      <c r="D2361">
        <f>AutoClaim_Data!A2361</f>
        <v/>
      </c>
      <c r="E2361">
        <f>AutoClaim_Data!B2361</f>
        <v/>
      </c>
      <c r="F2361">
        <f>AutoClaim_Data!C2361</f>
        <v/>
      </c>
      <c r="G2361">
        <f>IF(AutoClaim_Data!D2361&lt;=$B$2,AVERAGEIFS(AutoClaim_Data!C2:C3168,AutoClaim_Data!B2:B3168,"Train",AutoClaim_Data!D2:D3168,"&lt;="&amp;$B$2),AVERAGEIFS(AutoClaim_Data!C2:C3168,AutoClaim_Data!B2:B3168,"Train",AutoClaim_Data!D2:D3168,"&gt;"&amp;$B$2))</f>
        <v/>
      </c>
      <c r="H2361">
        <f>IF(AutoClaim_Data!D2361&lt;=$B$2,IF(AutoClaim_Data!E2361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1">
        <f>(F2361-H2361)^2</f>
        <v/>
      </c>
      <c r="J2361">
        <f>--(E2361="Validation")</f>
        <v/>
      </c>
    </row>
    <row r="2362">
      <c r="D2362">
        <f>AutoClaim_Data!A2362</f>
        <v/>
      </c>
      <c r="E2362">
        <f>AutoClaim_Data!B2362</f>
        <v/>
      </c>
      <c r="F2362">
        <f>AutoClaim_Data!C2362</f>
        <v/>
      </c>
      <c r="G2362">
        <f>IF(AutoClaim_Data!D2362&lt;=$B$2,AVERAGEIFS(AutoClaim_Data!C2:C3168,AutoClaim_Data!B2:B3168,"Train",AutoClaim_Data!D2:D3168,"&lt;="&amp;$B$2),AVERAGEIFS(AutoClaim_Data!C2:C3168,AutoClaim_Data!B2:B3168,"Train",AutoClaim_Data!D2:D3168,"&gt;"&amp;$B$2))</f>
        <v/>
      </c>
      <c r="H2362">
        <f>IF(AutoClaim_Data!D2362&lt;=$B$2,IF(AutoClaim_Data!E2362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2">
        <f>(F2362-H2362)^2</f>
        <v/>
      </c>
      <c r="J2362">
        <f>--(E2362="Validation")</f>
        <v/>
      </c>
    </row>
    <row r="2363">
      <c r="D2363">
        <f>AutoClaim_Data!A2363</f>
        <v/>
      </c>
      <c r="E2363">
        <f>AutoClaim_Data!B2363</f>
        <v/>
      </c>
      <c r="F2363">
        <f>AutoClaim_Data!C2363</f>
        <v/>
      </c>
      <c r="G2363">
        <f>IF(AutoClaim_Data!D2363&lt;=$B$2,AVERAGEIFS(AutoClaim_Data!C2:C3168,AutoClaim_Data!B2:B3168,"Train",AutoClaim_Data!D2:D3168,"&lt;="&amp;$B$2),AVERAGEIFS(AutoClaim_Data!C2:C3168,AutoClaim_Data!B2:B3168,"Train",AutoClaim_Data!D2:D3168,"&gt;"&amp;$B$2))</f>
        <v/>
      </c>
      <c r="H2363">
        <f>IF(AutoClaim_Data!D2363&lt;=$B$2,IF(AutoClaim_Data!E2363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3">
        <f>(F2363-H2363)^2</f>
        <v/>
      </c>
      <c r="J2363">
        <f>--(E2363="Validation")</f>
        <v/>
      </c>
    </row>
    <row r="2364">
      <c r="D2364">
        <f>AutoClaim_Data!A2364</f>
        <v/>
      </c>
      <c r="E2364">
        <f>AutoClaim_Data!B2364</f>
        <v/>
      </c>
      <c r="F2364">
        <f>AutoClaim_Data!C2364</f>
        <v/>
      </c>
      <c r="G2364">
        <f>IF(AutoClaim_Data!D2364&lt;=$B$2,AVERAGEIFS(AutoClaim_Data!C2:C3168,AutoClaim_Data!B2:B3168,"Train",AutoClaim_Data!D2:D3168,"&lt;="&amp;$B$2),AVERAGEIFS(AutoClaim_Data!C2:C3168,AutoClaim_Data!B2:B3168,"Train",AutoClaim_Data!D2:D3168,"&gt;"&amp;$B$2))</f>
        <v/>
      </c>
      <c r="H2364">
        <f>IF(AutoClaim_Data!D2364&lt;=$B$2,IF(AutoClaim_Data!E2364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4">
        <f>(F2364-H2364)^2</f>
        <v/>
      </c>
      <c r="J2364">
        <f>--(E2364="Validation")</f>
        <v/>
      </c>
    </row>
    <row r="2365">
      <c r="D2365">
        <f>AutoClaim_Data!A2365</f>
        <v/>
      </c>
      <c r="E2365">
        <f>AutoClaim_Data!B2365</f>
        <v/>
      </c>
      <c r="F2365">
        <f>AutoClaim_Data!C2365</f>
        <v/>
      </c>
      <c r="G2365">
        <f>IF(AutoClaim_Data!D2365&lt;=$B$2,AVERAGEIFS(AutoClaim_Data!C2:C3168,AutoClaim_Data!B2:B3168,"Train",AutoClaim_Data!D2:D3168,"&lt;="&amp;$B$2),AVERAGEIFS(AutoClaim_Data!C2:C3168,AutoClaim_Data!B2:B3168,"Train",AutoClaim_Data!D2:D3168,"&gt;"&amp;$B$2))</f>
        <v/>
      </c>
      <c r="H2365">
        <f>IF(AutoClaim_Data!D2365&lt;=$B$2,IF(AutoClaim_Data!E2365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5">
        <f>(F2365-H2365)^2</f>
        <v/>
      </c>
      <c r="J2365">
        <f>--(E2365="Validation")</f>
        <v/>
      </c>
    </row>
    <row r="2366">
      <c r="D2366">
        <f>AutoClaim_Data!A2366</f>
        <v/>
      </c>
      <c r="E2366">
        <f>AutoClaim_Data!B2366</f>
        <v/>
      </c>
      <c r="F2366">
        <f>AutoClaim_Data!C2366</f>
        <v/>
      </c>
      <c r="G2366">
        <f>IF(AutoClaim_Data!D2366&lt;=$B$2,AVERAGEIFS(AutoClaim_Data!C2:C3168,AutoClaim_Data!B2:B3168,"Train",AutoClaim_Data!D2:D3168,"&lt;="&amp;$B$2),AVERAGEIFS(AutoClaim_Data!C2:C3168,AutoClaim_Data!B2:B3168,"Train",AutoClaim_Data!D2:D3168,"&gt;"&amp;$B$2))</f>
        <v/>
      </c>
      <c r="H2366">
        <f>IF(AutoClaim_Data!D2366&lt;=$B$2,IF(AutoClaim_Data!E2366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6">
        <f>(F2366-H2366)^2</f>
        <v/>
      </c>
      <c r="J2366">
        <f>--(E2366="Validation")</f>
        <v/>
      </c>
    </row>
    <row r="2367">
      <c r="D2367">
        <f>AutoClaim_Data!A2367</f>
        <v/>
      </c>
      <c r="E2367">
        <f>AutoClaim_Data!B2367</f>
        <v/>
      </c>
      <c r="F2367">
        <f>AutoClaim_Data!C2367</f>
        <v/>
      </c>
      <c r="G2367">
        <f>IF(AutoClaim_Data!D2367&lt;=$B$2,AVERAGEIFS(AutoClaim_Data!C2:C3168,AutoClaim_Data!B2:B3168,"Train",AutoClaim_Data!D2:D3168,"&lt;="&amp;$B$2),AVERAGEIFS(AutoClaim_Data!C2:C3168,AutoClaim_Data!B2:B3168,"Train",AutoClaim_Data!D2:D3168,"&gt;"&amp;$B$2))</f>
        <v/>
      </c>
      <c r="H2367">
        <f>IF(AutoClaim_Data!D2367&lt;=$B$2,IF(AutoClaim_Data!E2367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7">
        <f>(F2367-H2367)^2</f>
        <v/>
      </c>
      <c r="J2367">
        <f>--(E2367="Validation")</f>
        <v/>
      </c>
    </row>
    <row r="2368">
      <c r="D2368">
        <f>AutoClaim_Data!A2368</f>
        <v/>
      </c>
      <c r="E2368">
        <f>AutoClaim_Data!B2368</f>
        <v/>
      </c>
      <c r="F2368">
        <f>AutoClaim_Data!C2368</f>
        <v/>
      </c>
      <c r="G2368">
        <f>IF(AutoClaim_Data!D2368&lt;=$B$2,AVERAGEIFS(AutoClaim_Data!C2:C3168,AutoClaim_Data!B2:B3168,"Train",AutoClaim_Data!D2:D3168,"&lt;="&amp;$B$2),AVERAGEIFS(AutoClaim_Data!C2:C3168,AutoClaim_Data!B2:B3168,"Train",AutoClaim_Data!D2:D3168,"&gt;"&amp;$B$2))</f>
        <v/>
      </c>
      <c r="H2368">
        <f>IF(AutoClaim_Data!D2368&lt;=$B$2,IF(AutoClaim_Data!E2368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8">
        <f>(F2368-H2368)^2</f>
        <v/>
      </c>
      <c r="J2368">
        <f>--(E2368="Validation")</f>
        <v/>
      </c>
    </row>
    <row r="2369">
      <c r="D2369">
        <f>AutoClaim_Data!A2369</f>
        <v/>
      </c>
      <c r="E2369">
        <f>AutoClaim_Data!B2369</f>
        <v/>
      </c>
      <c r="F2369">
        <f>AutoClaim_Data!C2369</f>
        <v/>
      </c>
      <c r="G2369">
        <f>IF(AutoClaim_Data!D2369&lt;=$B$2,AVERAGEIFS(AutoClaim_Data!C2:C3168,AutoClaim_Data!B2:B3168,"Train",AutoClaim_Data!D2:D3168,"&lt;="&amp;$B$2),AVERAGEIFS(AutoClaim_Data!C2:C3168,AutoClaim_Data!B2:B3168,"Train",AutoClaim_Data!D2:D3168,"&gt;"&amp;$B$2))</f>
        <v/>
      </c>
      <c r="H2369">
        <f>IF(AutoClaim_Data!D2369&lt;=$B$2,IF(AutoClaim_Data!E2369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69">
        <f>(F2369-H2369)^2</f>
        <v/>
      </c>
      <c r="J2369">
        <f>--(E2369="Validation")</f>
        <v/>
      </c>
    </row>
    <row r="2370">
      <c r="D2370">
        <f>AutoClaim_Data!A2370</f>
        <v/>
      </c>
      <c r="E2370">
        <f>AutoClaim_Data!B2370</f>
        <v/>
      </c>
      <c r="F2370">
        <f>AutoClaim_Data!C2370</f>
        <v/>
      </c>
      <c r="G2370">
        <f>IF(AutoClaim_Data!D2370&lt;=$B$2,AVERAGEIFS(AutoClaim_Data!C2:C3168,AutoClaim_Data!B2:B3168,"Train",AutoClaim_Data!D2:D3168,"&lt;="&amp;$B$2),AVERAGEIFS(AutoClaim_Data!C2:C3168,AutoClaim_Data!B2:B3168,"Train",AutoClaim_Data!D2:D3168,"&gt;"&amp;$B$2))</f>
        <v/>
      </c>
      <c r="H2370">
        <f>IF(AutoClaim_Data!D2370&lt;=$B$2,IF(AutoClaim_Data!E2370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0">
        <f>(F2370-H2370)^2</f>
        <v/>
      </c>
      <c r="J2370">
        <f>--(E2370="Validation")</f>
        <v/>
      </c>
    </row>
    <row r="2371">
      <c r="D2371">
        <f>AutoClaim_Data!A2371</f>
        <v/>
      </c>
      <c r="E2371">
        <f>AutoClaim_Data!B2371</f>
        <v/>
      </c>
      <c r="F2371">
        <f>AutoClaim_Data!C2371</f>
        <v/>
      </c>
      <c r="G2371">
        <f>IF(AutoClaim_Data!D2371&lt;=$B$2,AVERAGEIFS(AutoClaim_Data!C2:C3168,AutoClaim_Data!B2:B3168,"Train",AutoClaim_Data!D2:D3168,"&lt;="&amp;$B$2),AVERAGEIFS(AutoClaim_Data!C2:C3168,AutoClaim_Data!B2:B3168,"Train",AutoClaim_Data!D2:D3168,"&gt;"&amp;$B$2))</f>
        <v/>
      </c>
      <c r="H2371">
        <f>IF(AutoClaim_Data!D2371&lt;=$B$2,IF(AutoClaim_Data!E2371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1">
        <f>(F2371-H2371)^2</f>
        <v/>
      </c>
      <c r="J2371">
        <f>--(E2371="Validation")</f>
        <v/>
      </c>
    </row>
    <row r="2372">
      <c r="D2372">
        <f>AutoClaim_Data!A2372</f>
        <v/>
      </c>
      <c r="E2372">
        <f>AutoClaim_Data!B2372</f>
        <v/>
      </c>
      <c r="F2372">
        <f>AutoClaim_Data!C2372</f>
        <v/>
      </c>
      <c r="G2372">
        <f>IF(AutoClaim_Data!D2372&lt;=$B$2,AVERAGEIFS(AutoClaim_Data!C2:C3168,AutoClaim_Data!B2:B3168,"Train",AutoClaim_Data!D2:D3168,"&lt;="&amp;$B$2),AVERAGEIFS(AutoClaim_Data!C2:C3168,AutoClaim_Data!B2:B3168,"Train",AutoClaim_Data!D2:D3168,"&gt;"&amp;$B$2))</f>
        <v/>
      </c>
      <c r="H2372">
        <f>IF(AutoClaim_Data!D2372&lt;=$B$2,IF(AutoClaim_Data!E2372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2">
        <f>(F2372-H2372)^2</f>
        <v/>
      </c>
      <c r="J2372">
        <f>--(E2372="Validation")</f>
        <v/>
      </c>
    </row>
    <row r="2373">
      <c r="D2373">
        <f>AutoClaim_Data!A2373</f>
        <v/>
      </c>
      <c r="E2373">
        <f>AutoClaim_Data!B2373</f>
        <v/>
      </c>
      <c r="F2373">
        <f>AutoClaim_Data!C2373</f>
        <v/>
      </c>
      <c r="G2373">
        <f>IF(AutoClaim_Data!D2373&lt;=$B$2,AVERAGEIFS(AutoClaim_Data!C2:C3168,AutoClaim_Data!B2:B3168,"Train",AutoClaim_Data!D2:D3168,"&lt;="&amp;$B$2),AVERAGEIFS(AutoClaim_Data!C2:C3168,AutoClaim_Data!B2:B3168,"Train",AutoClaim_Data!D2:D3168,"&gt;"&amp;$B$2))</f>
        <v/>
      </c>
      <c r="H2373">
        <f>IF(AutoClaim_Data!D2373&lt;=$B$2,IF(AutoClaim_Data!E2373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3">
        <f>(F2373-H2373)^2</f>
        <v/>
      </c>
      <c r="J2373">
        <f>--(E2373="Validation")</f>
        <v/>
      </c>
    </row>
    <row r="2374">
      <c r="D2374">
        <f>AutoClaim_Data!A2374</f>
        <v/>
      </c>
      <c r="E2374">
        <f>AutoClaim_Data!B2374</f>
        <v/>
      </c>
      <c r="F2374">
        <f>AutoClaim_Data!C2374</f>
        <v/>
      </c>
      <c r="G2374">
        <f>IF(AutoClaim_Data!D2374&lt;=$B$2,AVERAGEIFS(AutoClaim_Data!C2:C3168,AutoClaim_Data!B2:B3168,"Train",AutoClaim_Data!D2:D3168,"&lt;="&amp;$B$2),AVERAGEIFS(AutoClaim_Data!C2:C3168,AutoClaim_Data!B2:B3168,"Train",AutoClaim_Data!D2:D3168,"&gt;"&amp;$B$2))</f>
        <v/>
      </c>
      <c r="H2374">
        <f>IF(AutoClaim_Data!D2374&lt;=$B$2,IF(AutoClaim_Data!E2374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4">
        <f>(F2374-H2374)^2</f>
        <v/>
      </c>
      <c r="J2374">
        <f>--(E2374="Validation")</f>
        <v/>
      </c>
    </row>
    <row r="2375">
      <c r="D2375">
        <f>AutoClaim_Data!A2375</f>
        <v/>
      </c>
      <c r="E2375">
        <f>AutoClaim_Data!B2375</f>
        <v/>
      </c>
      <c r="F2375">
        <f>AutoClaim_Data!C2375</f>
        <v/>
      </c>
      <c r="G2375">
        <f>IF(AutoClaim_Data!D2375&lt;=$B$2,AVERAGEIFS(AutoClaim_Data!C2:C3168,AutoClaim_Data!B2:B3168,"Train",AutoClaim_Data!D2:D3168,"&lt;="&amp;$B$2),AVERAGEIFS(AutoClaim_Data!C2:C3168,AutoClaim_Data!B2:B3168,"Train",AutoClaim_Data!D2:D3168,"&gt;"&amp;$B$2))</f>
        <v/>
      </c>
      <c r="H2375">
        <f>IF(AutoClaim_Data!D2375&lt;=$B$2,IF(AutoClaim_Data!E2375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5">
        <f>(F2375-H2375)^2</f>
        <v/>
      </c>
      <c r="J2375">
        <f>--(E2375="Validation")</f>
        <v/>
      </c>
    </row>
    <row r="2376">
      <c r="D2376">
        <f>AutoClaim_Data!A2376</f>
        <v/>
      </c>
      <c r="E2376">
        <f>AutoClaim_Data!B2376</f>
        <v/>
      </c>
      <c r="F2376">
        <f>AutoClaim_Data!C2376</f>
        <v/>
      </c>
      <c r="G2376">
        <f>IF(AutoClaim_Data!D2376&lt;=$B$2,AVERAGEIFS(AutoClaim_Data!C2:C3168,AutoClaim_Data!B2:B3168,"Train",AutoClaim_Data!D2:D3168,"&lt;="&amp;$B$2),AVERAGEIFS(AutoClaim_Data!C2:C3168,AutoClaim_Data!B2:B3168,"Train",AutoClaim_Data!D2:D3168,"&gt;"&amp;$B$2))</f>
        <v/>
      </c>
      <c r="H2376">
        <f>IF(AutoClaim_Data!D2376&lt;=$B$2,IF(AutoClaim_Data!E2376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6">
        <f>(F2376-H2376)^2</f>
        <v/>
      </c>
      <c r="J2376">
        <f>--(E2376="Validation")</f>
        <v/>
      </c>
    </row>
    <row r="2377">
      <c r="D2377">
        <f>AutoClaim_Data!A2377</f>
        <v/>
      </c>
      <c r="E2377">
        <f>AutoClaim_Data!B2377</f>
        <v/>
      </c>
      <c r="F2377">
        <f>AutoClaim_Data!C2377</f>
        <v/>
      </c>
      <c r="G2377">
        <f>IF(AutoClaim_Data!D2377&lt;=$B$2,AVERAGEIFS(AutoClaim_Data!C2:C3168,AutoClaim_Data!B2:B3168,"Train",AutoClaim_Data!D2:D3168,"&lt;="&amp;$B$2),AVERAGEIFS(AutoClaim_Data!C2:C3168,AutoClaim_Data!B2:B3168,"Train",AutoClaim_Data!D2:D3168,"&gt;"&amp;$B$2))</f>
        <v/>
      </c>
      <c r="H2377">
        <f>IF(AutoClaim_Data!D2377&lt;=$B$2,IF(AutoClaim_Data!E2377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7">
        <f>(F2377-H2377)^2</f>
        <v/>
      </c>
      <c r="J2377">
        <f>--(E2377="Validation")</f>
        <v/>
      </c>
    </row>
    <row r="2378">
      <c r="D2378">
        <f>AutoClaim_Data!A2378</f>
        <v/>
      </c>
      <c r="E2378">
        <f>AutoClaim_Data!B2378</f>
        <v/>
      </c>
      <c r="F2378">
        <f>AutoClaim_Data!C2378</f>
        <v/>
      </c>
      <c r="G2378">
        <f>IF(AutoClaim_Data!D2378&lt;=$B$2,AVERAGEIFS(AutoClaim_Data!C2:C3168,AutoClaim_Data!B2:B3168,"Train",AutoClaim_Data!D2:D3168,"&lt;="&amp;$B$2),AVERAGEIFS(AutoClaim_Data!C2:C3168,AutoClaim_Data!B2:B3168,"Train",AutoClaim_Data!D2:D3168,"&gt;"&amp;$B$2))</f>
        <v/>
      </c>
      <c r="H2378">
        <f>IF(AutoClaim_Data!D2378&lt;=$B$2,IF(AutoClaim_Data!E2378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8">
        <f>(F2378-H2378)^2</f>
        <v/>
      </c>
      <c r="J2378">
        <f>--(E2378="Validation")</f>
        <v/>
      </c>
    </row>
    <row r="2379">
      <c r="D2379">
        <f>AutoClaim_Data!A2379</f>
        <v/>
      </c>
      <c r="E2379">
        <f>AutoClaim_Data!B2379</f>
        <v/>
      </c>
      <c r="F2379">
        <f>AutoClaim_Data!C2379</f>
        <v/>
      </c>
      <c r="G2379">
        <f>IF(AutoClaim_Data!D2379&lt;=$B$2,AVERAGEIFS(AutoClaim_Data!C2:C3168,AutoClaim_Data!B2:B3168,"Train",AutoClaim_Data!D2:D3168,"&lt;="&amp;$B$2),AVERAGEIFS(AutoClaim_Data!C2:C3168,AutoClaim_Data!B2:B3168,"Train",AutoClaim_Data!D2:D3168,"&gt;"&amp;$B$2))</f>
        <v/>
      </c>
      <c r="H2379">
        <f>IF(AutoClaim_Data!D2379&lt;=$B$2,IF(AutoClaim_Data!E2379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79">
        <f>(F2379-H2379)^2</f>
        <v/>
      </c>
      <c r="J2379">
        <f>--(E2379="Validation")</f>
        <v/>
      </c>
    </row>
    <row r="2380">
      <c r="D2380">
        <f>AutoClaim_Data!A2380</f>
        <v/>
      </c>
      <c r="E2380">
        <f>AutoClaim_Data!B2380</f>
        <v/>
      </c>
      <c r="F2380">
        <f>AutoClaim_Data!C2380</f>
        <v/>
      </c>
      <c r="G2380">
        <f>IF(AutoClaim_Data!D2380&lt;=$B$2,AVERAGEIFS(AutoClaim_Data!C2:C3168,AutoClaim_Data!B2:B3168,"Train",AutoClaim_Data!D2:D3168,"&lt;="&amp;$B$2),AVERAGEIFS(AutoClaim_Data!C2:C3168,AutoClaim_Data!B2:B3168,"Train",AutoClaim_Data!D2:D3168,"&gt;"&amp;$B$2))</f>
        <v/>
      </c>
      <c r="H2380">
        <f>IF(AutoClaim_Data!D2380&lt;=$B$2,IF(AutoClaim_Data!E2380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0">
        <f>(F2380-H2380)^2</f>
        <v/>
      </c>
      <c r="J2380">
        <f>--(E2380="Validation")</f>
        <v/>
      </c>
    </row>
    <row r="2381">
      <c r="D2381">
        <f>AutoClaim_Data!A2381</f>
        <v/>
      </c>
      <c r="E2381">
        <f>AutoClaim_Data!B2381</f>
        <v/>
      </c>
      <c r="F2381">
        <f>AutoClaim_Data!C2381</f>
        <v/>
      </c>
      <c r="G2381">
        <f>IF(AutoClaim_Data!D2381&lt;=$B$2,AVERAGEIFS(AutoClaim_Data!C2:C3168,AutoClaim_Data!B2:B3168,"Train",AutoClaim_Data!D2:D3168,"&lt;="&amp;$B$2),AVERAGEIFS(AutoClaim_Data!C2:C3168,AutoClaim_Data!B2:B3168,"Train",AutoClaim_Data!D2:D3168,"&gt;"&amp;$B$2))</f>
        <v/>
      </c>
      <c r="H2381">
        <f>IF(AutoClaim_Data!D2381&lt;=$B$2,IF(AutoClaim_Data!E2381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1">
        <f>(F2381-H2381)^2</f>
        <v/>
      </c>
      <c r="J2381">
        <f>--(E2381="Validation")</f>
        <v/>
      </c>
    </row>
    <row r="2382">
      <c r="D2382">
        <f>AutoClaim_Data!A2382</f>
        <v/>
      </c>
      <c r="E2382">
        <f>AutoClaim_Data!B2382</f>
        <v/>
      </c>
      <c r="F2382">
        <f>AutoClaim_Data!C2382</f>
        <v/>
      </c>
      <c r="G2382">
        <f>IF(AutoClaim_Data!D2382&lt;=$B$2,AVERAGEIFS(AutoClaim_Data!C2:C3168,AutoClaim_Data!B2:B3168,"Train",AutoClaim_Data!D2:D3168,"&lt;="&amp;$B$2),AVERAGEIFS(AutoClaim_Data!C2:C3168,AutoClaim_Data!B2:B3168,"Train",AutoClaim_Data!D2:D3168,"&gt;"&amp;$B$2))</f>
        <v/>
      </c>
      <c r="H2382">
        <f>IF(AutoClaim_Data!D2382&lt;=$B$2,IF(AutoClaim_Data!E2382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2">
        <f>(F2382-H2382)^2</f>
        <v/>
      </c>
      <c r="J2382">
        <f>--(E2382="Validation")</f>
        <v/>
      </c>
    </row>
    <row r="2383">
      <c r="D2383">
        <f>AutoClaim_Data!A2383</f>
        <v/>
      </c>
      <c r="E2383">
        <f>AutoClaim_Data!B2383</f>
        <v/>
      </c>
      <c r="F2383">
        <f>AutoClaim_Data!C2383</f>
        <v/>
      </c>
      <c r="G2383">
        <f>IF(AutoClaim_Data!D2383&lt;=$B$2,AVERAGEIFS(AutoClaim_Data!C2:C3168,AutoClaim_Data!B2:B3168,"Train",AutoClaim_Data!D2:D3168,"&lt;="&amp;$B$2),AVERAGEIFS(AutoClaim_Data!C2:C3168,AutoClaim_Data!B2:B3168,"Train",AutoClaim_Data!D2:D3168,"&gt;"&amp;$B$2))</f>
        <v/>
      </c>
      <c r="H2383">
        <f>IF(AutoClaim_Data!D2383&lt;=$B$2,IF(AutoClaim_Data!E2383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3">
        <f>(F2383-H2383)^2</f>
        <v/>
      </c>
      <c r="J2383">
        <f>--(E2383="Validation")</f>
        <v/>
      </c>
    </row>
    <row r="2384">
      <c r="D2384">
        <f>AutoClaim_Data!A2384</f>
        <v/>
      </c>
      <c r="E2384">
        <f>AutoClaim_Data!B2384</f>
        <v/>
      </c>
      <c r="F2384">
        <f>AutoClaim_Data!C2384</f>
        <v/>
      </c>
      <c r="G2384">
        <f>IF(AutoClaim_Data!D2384&lt;=$B$2,AVERAGEIFS(AutoClaim_Data!C2:C3168,AutoClaim_Data!B2:B3168,"Train",AutoClaim_Data!D2:D3168,"&lt;="&amp;$B$2),AVERAGEIFS(AutoClaim_Data!C2:C3168,AutoClaim_Data!B2:B3168,"Train",AutoClaim_Data!D2:D3168,"&gt;"&amp;$B$2))</f>
        <v/>
      </c>
      <c r="H2384">
        <f>IF(AutoClaim_Data!D2384&lt;=$B$2,IF(AutoClaim_Data!E2384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4">
        <f>(F2384-H2384)^2</f>
        <v/>
      </c>
      <c r="J2384">
        <f>--(E2384="Validation")</f>
        <v/>
      </c>
    </row>
    <row r="2385">
      <c r="D2385">
        <f>AutoClaim_Data!A2385</f>
        <v/>
      </c>
      <c r="E2385">
        <f>AutoClaim_Data!B2385</f>
        <v/>
      </c>
      <c r="F2385">
        <f>AutoClaim_Data!C2385</f>
        <v/>
      </c>
      <c r="G2385">
        <f>IF(AutoClaim_Data!D2385&lt;=$B$2,AVERAGEIFS(AutoClaim_Data!C2:C3168,AutoClaim_Data!B2:B3168,"Train",AutoClaim_Data!D2:D3168,"&lt;="&amp;$B$2),AVERAGEIFS(AutoClaim_Data!C2:C3168,AutoClaim_Data!B2:B3168,"Train",AutoClaim_Data!D2:D3168,"&gt;"&amp;$B$2))</f>
        <v/>
      </c>
      <c r="H2385">
        <f>IF(AutoClaim_Data!D2385&lt;=$B$2,IF(AutoClaim_Data!E2385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5">
        <f>(F2385-H2385)^2</f>
        <v/>
      </c>
      <c r="J2385">
        <f>--(E2385="Validation")</f>
        <v/>
      </c>
    </row>
    <row r="2386">
      <c r="D2386">
        <f>AutoClaim_Data!A2386</f>
        <v/>
      </c>
      <c r="E2386">
        <f>AutoClaim_Data!B2386</f>
        <v/>
      </c>
      <c r="F2386">
        <f>AutoClaim_Data!C2386</f>
        <v/>
      </c>
      <c r="G2386">
        <f>IF(AutoClaim_Data!D2386&lt;=$B$2,AVERAGEIFS(AutoClaim_Data!C2:C3168,AutoClaim_Data!B2:B3168,"Train",AutoClaim_Data!D2:D3168,"&lt;="&amp;$B$2),AVERAGEIFS(AutoClaim_Data!C2:C3168,AutoClaim_Data!B2:B3168,"Train",AutoClaim_Data!D2:D3168,"&gt;"&amp;$B$2))</f>
        <v/>
      </c>
      <c r="H2386">
        <f>IF(AutoClaim_Data!D2386&lt;=$B$2,IF(AutoClaim_Data!E2386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6">
        <f>(F2386-H2386)^2</f>
        <v/>
      </c>
      <c r="J2386">
        <f>--(E2386="Validation")</f>
        <v/>
      </c>
    </row>
    <row r="2387">
      <c r="D2387">
        <f>AutoClaim_Data!A2387</f>
        <v/>
      </c>
      <c r="E2387">
        <f>AutoClaim_Data!B2387</f>
        <v/>
      </c>
      <c r="F2387">
        <f>AutoClaim_Data!C2387</f>
        <v/>
      </c>
      <c r="G2387">
        <f>IF(AutoClaim_Data!D2387&lt;=$B$2,AVERAGEIFS(AutoClaim_Data!C2:C3168,AutoClaim_Data!B2:B3168,"Train",AutoClaim_Data!D2:D3168,"&lt;="&amp;$B$2),AVERAGEIFS(AutoClaim_Data!C2:C3168,AutoClaim_Data!B2:B3168,"Train",AutoClaim_Data!D2:D3168,"&gt;"&amp;$B$2))</f>
        <v/>
      </c>
      <c r="H2387">
        <f>IF(AutoClaim_Data!D2387&lt;=$B$2,IF(AutoClaim_Data!E2387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7">
        <f>(F2387-H2387)^2</f>
        <v/>
      </c>
      <c r="J2387">
        <f>--(E2387="Validation")</f>
        <v/>
      </c>
    </row>
    <row r="2388">
      <c r="D2388">
        <f>AutoClaim_Data!A2388</f>
        <v/>
      </c>
      <c r="E2388">
        <f>AutoClaim_Data!B2388</f>
        <v/>
      </c>
      <c r="F2388">
        <f>AutoClaim_Data!C2388</f>
        <v/>
      </c>
      <c r="G2388">
        <f>IF(AutoClaim_Data!D2388&lt;=$B$2,AVERAGEIFS(AutoClaim_Data!C2:C3168,AutoClaim_Data!B2:B3168,"Train",AutoClaim_Data!D2:D3168,"&lt;="&amp;$B$2),AVERAGEIFS(AutoClaim_Data!C2:C3168,AutoClaim_Data!B2:B3168,"Train",AutoClaim_Data!D2:D3168,"&gt;"&amp;$B$2))</f>
        <v/>
      </c>
      <c r="H2388">
        <f>IF(AutoClaim_Data!D2388&lt;=$B$2,IF(AutoClaim_Data!E2388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8">
        <f>(F2388-H2388)^2</f>
        <v/>
      </c>
      <c r="J2388">
        <f>--(E2388="Validation")</f>
        <v/>
      </c>
    </row>
    <row r="2389">
      <c r="D2389">
        <f>AutoClaim_Data!A2389</f>
        <v/>
      </c>
      <c r="E2389">
        <f>AutoClaim_Data!B2389</f>
        <v/>
      </c>
      <c r="F2389">
        <f>AutoClaim_Data!C2389</f>
        <v/>
      </c>
      <c r="G2389">
        <f>IF(AutoClaim_Data!D2389&lt;=$B$2,AVERAGEIFS(AutoClaim_Data!C2:C3168,AutoClaim_Data!B2:B3168,"Train",AutoClaim_Data!D2:D3168,"&lt;="&amp;$B$2),AVERAGEIFS(AutoClaim_Data!C2:C3168,AutoClaim_Data!B2:B3168,"Train",AutoClaim_Data!D2:D3168,"&gt;"&amp;$B$2))</f>
        <v/>
      </c>
      <c r="H2389">
        <f>IF(AutoClaim_Data!D2389&lt;=$B$2,IF(AutoClaim_Data!E2389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89">
        <f>(F2389-H2389)^2</f>
        <v/>
      </c>
      <c r="J2389">
        <f>--(E2389="Validation")</f>
        <v/>
      </c>
    </row>
    <row r="2390">
      <c r="D2390">
        <f>AutoClaim_Data!A2390</f>
        <v/>
      </c>
      <c r="E2390">
        <f>AutoClaim_Data!B2390</f>
        <v/>
      </c>
      <c r="F2390">
        <f>AutoClaim_Data!C2390</f>
        <v/>
      </c>
      <c r="G2390">
        <f>IF(AutoClaim_Data!D2390&lt;=$B$2,AVERAGEIFS(AutoClaim_Data!C2:C3168,AutoClaim_Data!B2:B3168,"Train",AutoClaim_Data!D2:D3168,"&lt;="&amp;$B$2),AVERAGEIFS(AutoClaim_Data!C2:C3168,AutoClaim_Data!B2:B3168,"Train",AutoClaim_Data!D2:D3168,"&gt;"&amp;$B$2))</f>
        <v/>
      </c>
      <c r="H2390">
        <f>IF(AutoClaim_Data!D2390&lt;=$B$2,IF(AutoClaim_Data!E2390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0">
        <f>(F2390-H2390)^2</f>
        <v/>
      </c>
      <c r="J2390">
        <f>--(E2390="Validation")</f>
        <v/>
      </c>
    </row>
    <row r="2391">
      <c r="D2391">
        <f>AutoClaim_Data!A2391</f>
        <v/>
      </c>
      <c r="E2391">
        <f>AutoClaim_Data!B2391</f>
        <v/>
      </c>
      <c r="F2391">
        <f>AutoClaim_Data!C2391</f>
        <v/>
      </c>
      <c r="G2391">
        <f>IF(AutoClaim_Data!D2391&lt;=$B$2,AVERAGEIFS(AutoClaim_Data!C2:C3168,AutoClaim_Data!B2:B3168,"Train",AutoClaim_Data!D2:D3168,"&lt;="&amp;$B$2),AVERAGEIFS(AutoClaim_Data!C2:C3168,AutoClaim_Data!B2:B3168,"Train",AutoClaim_Data!D2:D3168,"&gt;"&amp;$B$2))</f>
        <v/>
      </c>
      <c r="H2391">
        <f>IF(AutoClaim_Data!D2391&lt;=$B$2,IF(AutoClaim_Data!E2391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1">
        <f>(F2391-H2391)^2</f>
        <v/>
      </c>
      <c r="J2391">
        <f>--(E2391="Validation")</f>
        <v/>
      </c>
    </row>
    <row r="2392">
      <c r="D2392">
        <f>AutoClaim_Data!A2392</f>
        <v/>
      </c>
      <c r="E2392">
        <f>AutoClaim_Data!B2392</f>
        <v/>
      </c>
      <c r="F2392">
        <f>AutoClaim_Data!C2392</f>
        <v/>
      </c>
      <c r="G2392">
        <f>IF(AutoClaim_Data!D2392&lt;=$B$2,AVERAGEIFS(AutoClaim_Data!C2:C3168,AutoClaim_Data!B2:B3168,"Train",AutoClaim_Data!D2:D3168,"&lt;="&amp;$B$2),AVERAGEIFS(AutoClaim_Data!C2:C3168,AutoClaim_Data!B2:B3168,"Train",AutoClaim_Data!D2:D3168,"&gt;"&amp;$B$2))</f>
        <v/>
      </c>
      <c r="H2392">
        <f>IF(AutoClaim_Data!D2392&lt;=$B$2,IF(AutoClaim_Data!E2392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2">
        <f>(F2392-H2392)^2</f>
        <v/>
      </c>
      <c r="J2392">
        <f>--(E2392="Validation")</f>
        <v/>
      </c>
    </row>
    <row r="2393">
      <c r="D2393">
        <f>AutoClaim_Data!A2393</f>
        <v/>
      </c>
      <c r="E2393">
        <f>AutoClaim_Data!B2393</f>
        <v/>
      </c>
      <c r="F2393">
        <f>AutoClaim_Data!C2393</f>
        <v/>
      </c>
      <c r="G2393">
        <f>IF(AutoClaim_Data!D2393&lt;=$B$2,AVERAGEIFS(AutoClaim_Data!C2:C3168,AutoClaim_Data!B2:B3168,"Train",AutoClaim_Data!D2:D3168,"&lt;="&amp;$B$2),AVERAGEIFS(AutoClaim_Data!C2:C3168,AutoClaim_Data!B2:B3168,"Train",AutoClaim_Data!D2:D3168,"&gt;"&amp;$B$2))</f>
        <v/>
      </c>
      <c r="H2393">
        <f>IF(AutoClaim_Data!D2393&lt;=$B$2,IF(AutoClaim_Data!E2393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3">
        <f>(F2393-H2393)^2</f>
        <v/>
      </c>
      <c r="J2393">
        <f>--(E2393="Validation")</f>
        <v/>
      </c>
    </row>
    <row r="2394">
      <c r="D2394">
        <f>AutoClaim_Data!A2394</f>
        <v/>
      </c>
      <c r="E2394">
        <f>AutoClaim_Data!B2394</f>
        <v/>
      </c>
      <c r="F2394">
        <f>AutoClaim_Data!C2394</f>
        <v/>
      </c>
      <c r="G2394">
        <f>IF(AutoClaim_Data!D2394&lt;=$B$2,AVERAGEIFS(AutoClaim_Data!C2:C3168,AutoClaim_Data!B2:B3168,"Train",AutoClaim_Data!D2:D3168,"&lt;="&amp;$B$2),AVERAGEIFS(AutoClaim_Data!C2:C3168,AutoClaim_Data!B2:B3168,"Train",AutoClaim_Data!D2:D3168,"&gt;"&amp;$B$2))</f>
        <v/>
      </c>
      <c r="H2394">
        <f>IF(AutoClaim_Data!D2394&lt;=$B$2,IF(AutoClaim_Data!E2394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4">
        <f>(F2394-H2394)^2</f>
        <v/>
      </c>
      <c r="J2394">
        <f>--(E2394="Validation")</f>
        <v/>
      </c>
    </row>
    <row r="2395">
      <c r="D2395">
        <f>AutoClaim_Data!A2395</f>
        <v/>
      </c>
      <c r="E2395">
        <f>AutoClaim_Data!B2395</f>
        <v/>
      </c>
      <c r="F2395">
        <f>AutoClaim_Data!C2395</f>
        <v/>
      </c>
      <c r="G2395">
        <f>IF(AutoClaim_Data!D2395&lt;=$B$2,AVERAGEIFS(AutoClaim_Data!C2:C3168,AutoClaim_Data!B2:B3168,"Train",AutoClaim_Data!D2:D3168,"&lt;="&amp;$B$2),AVERAGEIFS(AutoClaim_Data!C2:C3168,AutoClaim_Data!B2:B3168,"Train",AutoClaim_Data!D2:D3168,"&gt;"&amp;$B$2))</f>
        <v/>
      </c>
      <c r="H2395">
        <f>IF(AutoClaim_Data!D2395&lt;=$B$2,IF(AutoClaim_Data!E2395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5">
        <f>(F2395-H2395)^2</f>
        <v/>
      </c>
      <c r="J2395">
        <f>--(E2395="Validation")</f>
        <v/>
      </c>
    </row>
    <row r="2396">
      <c r="D2396">
        <f>AutoClaim_Data!A2396</f>
        <v/>
      </c>
      <c r="E2396">
        <f>AutoClaim_Data!B2396</f>
        <v/>
      </c>
      <c r="F2396">
        <f>AutoClaim_Data!C2396</f>
        <v/>
      </c>
      <c r="G2396">
        <f>IF(AutoClaim_Data!D2396&lt;=$B$2,AVERAGEIFS(AutoClaim_Data!C2:C3168,AutoClaim_Data!B2:B3168,"Train",AutoClaim_Data!D2:D3168,"&lt;="&amp;$B$2),AVERAGEIFS(AutoClaim_Data!C2:C3168,AutoClaim_Data!B2:B3168,"Train",AutoClaim_Data!D2:D3168,"&gt;"&amp;$B$2))</f>
        <v/>
      </c>
      <c r="H2396">
        <f>IF(AutoClaim_Data!D2396&lt;=$B$2,IF(AutoClaim_Data!E2396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6">
        <f>(F2396-H2396)^2</f>
        <v/>
      </c>
      <c r="J2396">
        <f>--(E2396="Validation")</f>
        <v/>
      </c>
    </row>
    <row r="2397">
      <c r="D2397">
        <f>AutoClaim_Data!A2397</f>
        <v/>
      </c>
      <c r="E2397">
        <f>AutoClaim_Data!B2397</f>
        <v/>
      </c>
      <c r="F2397">
        <f>AutoClaim_Data!C2397</f>
        <v/>
      </c>
      <c r="G2397">
        <f>IF(AutoClaim_Data!D2397&lt;=$B$2,AVERAGEIFS(AutoClaim_Data!C2:C3168,AutoClaim_Data!B2:B3168,"Train",AutoClaim_Data!D2:D3168,"&lt;="&amp;$B$2),AVERAGEIFS(AutoClaim_Data!C2:C3168,AutoClaim_Data!B2:B3168,"Train",AutoClaim_Data!D2:D3168,"&gt;"&amp;$B$2))</f>
        <v/>
      </c>
      <c r="H2397">
        <f>IF(AutoClaim_Data!D2397&lt;=$B$2,IF(AutoClaim_Data!E2397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7">
        <f>(F2397-H2397)^2</f>
        <v/>
      </c>
      <c r="J2397">
        <f>--(E2397="Validation")</f>
        <v/>
      </c>
    </row>
    <row r="2398">
      <c r="D2398">
        <f>AutoClaim_Data!A2398</f>
        <v/>
      </c>
      <c r="E2398">
        <f>AutoClaim_Data!B2398</f>
        <v/>
      </c>
      <c r="F2398">
        <f>AutoClaim_Data!C2398</f>
        <v/>
      </c>
      <c r="G2398">
        <f>IF(AutoClaim_Data!D2398&lt;=$B$2,AVERAGEIFS(AutoClaim_Data!C2:C3168,AutoClaim_Data!B2:B3168,"Train",AutoClaim_Data!D2:D3168,"&lt;="&amp;$B$2),AVERAGEIFS(AutoClaim_Data!C2:C3168,AutoClaim_Data!B2:B3168,"Train",AutoClaim_Data!D2:D3168,"&gt;"&amp;$B$2))</f>
        <v/>
      </c>
      <c r="H2398">
        <f>IF(AutoClaim_Data!D2398&lt;=$B$2,IF(AutoClaim_Data!E2398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8">
        <f>(F2398-H2398)^2</f>
        <v/>
      </c>
      <c r="J2398">
        <f>--(E2398="Validation")</f>
        <v/>
      </c>
    </row>
    <row r="2399">
      <c r="D2399">
        <f>AutoClaim_Data!A2399</f>
        <v/>
      </c>
      <c r="E2399">
        <f>AutoClaim_Data!B2399</f>
        <v/>
      </c>
      <c r="F2399">
        <f>AutoClaim_Data!C2399</f>
        <v/>
      </c>
      <c r="G2399">
        <f>IF(AutoClaim_Data!D2399&lt;=$B$2,AVERAGEIFS(AutoClaim_Data!C2:C3168,AutoClaim_Data!B2:B3168,"Train",AutoClaim_Data!D2:D3168,"&lt;="&amp;$B$2),AVERAGEIFS(AutoClaim_Data!C2:C3168,AutoClaim_Data!B2:B3168,"Train",AutoClaim_Data!D2:D3168,"&gt;"&amp;$B$2))</f>
        <v/>
      </c>
      <c r="H2399">
        <f>IF(AutoClaim_Data!D2399&lt;=$B$2,IF(AutoClaim_Data!E2399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2399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399">
        <f>(F2399-H2399)^2</f>
        <v/>
      </c>
      <c r="J2399">
        <f>--(E2399="Validation")</f>
        <v/>
      </c>
    </row>
    <row r="2400">
      <c r="D2400">
        <f>AutoClaim_Data!A2400</f>
        <v/>
      </c>
      <c r="E2400">
        <f>AutoClaim_Data!B2400</f>
        <v/>
      </c>
      <c r="F2400">
        <f>AutoClaim_Data!C2400</f>
        <v/>
      </c>
      <c r="G2400">
        <f>IF(AutoClaim_Data!D2400&lt;=$B$2,AVERAGEIFS(AutoClaim_Data!C2:C3168,AutoClaim_Data!B2:B3168,"Train",AutoClaim_Data!D2:D3168,"&lt;="&amp;$B$2),AVERAGEIFS(AutoClaim_Data!C2:C3168,AutoClaim_Data!B2:B3168,"Train",AutoClaim_Data!D2:D3168,"&gt;"&amp;$B$2))</f>
        <v/>
      </c>
      <c r="H2400">
        <f>IF(AutoClaim_Data!D2400&lt;=$B$2,IF(AutoClaim_Data!E2400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0">
        <f>(F2400-H2400)^2</f>
        <v/>
      </c>
      <c r="J2400">
        <f>--(E2400="Validation")</f>
        <v/>
      </c>
    </row>
    <row r="2401">
      <c r="D2401">
        <f>AutoClaim_Data!A2401</f>
        <v/>
      </c>
      <c r="E2401">
        <f>AutoClaim_Data!B2401</f>
        <v/>
      </c>
      <c r="F2401">
        <f>AutoClaim_Data!C2401</f>
        <v/>
      </c>
      <c r="G2401">
        <f>IF(AutoClaim_Data!D2401&lt;=$B$2,AVERAGEIFS(AutoClaim_Data!C2:C3168,AutoClaim_Data!B2:B3168,"Train",AutoClaim_Data!D2:D3168,"&lt;="&amp;$B$2),AVERAGEIFS(AutoClaim_Data!C2:C3168,AutoClaim_Data!B2:B3168,"Train",AutoClaim_Data!D2:D3168,"&gt;"&amp;$B$2))</f>
        <v/>
      </c>
      <c r="H2401">
        <f>IF(AutoClaim_Data!D2401&lt;=$B$2,IF(AutoClaim_Data!E2401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1">
        <f>(F2401-H2401)^2</f>
        <v/>
      </c>
      <c r="J2401">
        <f>--(E2401="Validation")</f>
        <v/>
      </c>
    </row>
    <row r="2402">
      <c r="D2402">
        <f>AutoClaim_Data!A2402</f>
        <v/>
      </c>
      <c r="E2402">
        <f>AutoClaim_Data!B2402</f>
        <v/>
      </c>
      <c r="F2402">
        <f>AutoClaim_Data!C2402</f>
        <v/>
      </c>
      <c r="G2402">
        <f>IF(AutoClaim_Data!D2402&lt;=$B$2,AVERAGEIFS(AutoClaim_Data!C2:C3168,AutoClaim_Data!B2:B3168,"Train",AutoClaim_Data!D2:D3168,"&lt;="&amp;$B$2),AVERAGEIFS(AutoClaim_Data!C2:C3168,AutoClaim_Data!B2:B3168,"Train",AutoClaim_Data!D2:D3168,"&gt;"&amp;$B$2))</f>
        <v/>
      </c>
      <c r="H2402">
        <f>IF(AutoClaim_Data!D2402&lt;=$B$2,IF(AutoClaim_Data!E2402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2">
        <f>(F2402-H2402)^2</f>
        <v/>
      </c>
      <c r="J2402">
        <f>--(E2402="Validation")</f>
        <v/>
      </c>
    </row>
    <row r="2403">
      <c r="D2403">
        <f>AutoClaim_Data!A2403</f>
        <v/>
      </c>
      <c r="E2403">
        <f>AutoClaim_Data!B2403</f>
        <v/>
      </c>
      <c r="F2403">
        <f>AutoClaim_Data!C2403</f>
        <v/>
      </c>
      <c r="G2403">
        <f>IF(AutoClaim_Data!D2403&lt;=$B$2,AVERAGEIFS(AutoClaim_Data!C2:C3168,AutoClaim_Data!B2:B3168,"Train",AutoClaim_Data!D2:D3168,"&lt;="&amp;$B$2),AVERAGEIFS(AutoClaim_Data!C2:C3168,AutoClaim_Data!B2:B3168,"Train",AutoClaim_Data!D2:D3168,"&gt;"&amp;$B$2))</f>
        <v/>
      </c>
      <c r="H2403">
        <f>IF(AutoClaim_Data!D2403&lt;=$B$2,IF(AutoClaim_Data!E2403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3">
        <f>(F2403-H2403)^2</f>
        <v/>
      </c>
      <c r="J2403">
        <f>--(E2403="Validation")</f>
        <v/>
      </c>
    </row>
    <row r="2404">
      <c r="D2404">
        <f>AutoClaim_Data!A2404</f>
        <v/>
      </c>
      <c r="E2404">
        <f>AutoClaim_Data!B2404</f>
        <v/>
      </c>
      <c r="F2404">
        <f>AutoClaim_Data!C2404</f>
        <v/>
      </c>
      <c r="G2404">
        <f>IF(AutoClaim_Data!D2404&lt;=$B$2,AVERAGEIFS(AutoClaim_Data!C2:C3168,AutoClaim_Data!B2:B3168,"Train",AutoClaim_Data!D2:D3168,"&lt;="&amp;$B$2),AVERAGEIFS(AutoClaim_Data!C2:C3168,AutoClaim_Data!B2:B3168,"Train",AutoClaim_Data!D2:D3168,"&gt;"&amp;$B$2))</f>
        <v/>
      </c>
      <c r="H2404">
        <f>IF(AutoClaim_Data!D2404&lt;=$B$2,IF(AutoClaim_Data!E2404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4">
        <f>(F2404-H2404)^2</f>
        <v/>
      </c>
      <c r="J2404">
        <f>--(E2404="Validation")</f>
        <v/>
      </c>
    </row>
    <row r="2405">
      <c r="D2405">
        <f>AutoClaim_Data!A2405</f>
        <v/>
      </c>
      <c r="E2405">
        <f>AutoClaim_Data!B2405</f>
        <v/>
      </c>
      <c r="F2405">
        <f>AutoClaim_Data!C2405</f>
        <v/>
      </c>
      <c r="G2405">
        <f>IF(AutoClaim_Data!D2405&lt;=$B$2,AVERAGEIFS(AutoClaim_Data!C2:C3168,AutoClaim_Data!B2:B3168,"Train",AutoClaim_Data!D2:D3168,"&lt;="&amp;$B$2),AVERAGEIFS(AutoClaim_Data!C2:C3168,AutoClaim_Data!B2:B3168,"Train",AutoClaim_Data!D2:D3168,"&gt;"&amp;$B$2))</f>
        <v/>
      </c>
      <c r="H2405">
        <f>IF(AutoClaim_Data!D2405&lt;=$B$2,IF(AutoClaim_Data!E2405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5">
        <f>(F2405-H2405)^2</f>
        <v/>
      </c>
      <c r="J2405">
        <f>--(E2405="Validation")</f>
        <v/>
      </c>
    </row>
    <row r="2406">
      <c r="D2406">
        <f>AutoClaim_Data!A2406</f>
        <v/>
      </c>
      <c r="E2406">
        <f>AutoClaim_Data!B2406</f>
        <v/>
      </c>
      <c r="F2406">
        <f>AutoClaim_Data!C2406</f>
        <v/>
      </c>
      <c r="G2406">
        <f>IF(AutoClaim_Data!D2406&lt;=$B$2,AVERAGEIFS(AutoClaim_Data!C2:C3168,AutoClaim_Data!B2:B3168,"Train",AutoClaim_Data!D2:D3168,"&lt;="&amp;$B$2),AVERAGEIFS(AutoClaim_Data!C2:C3168,AutoClaim_Data!B2:B3168,"Train",AutoClaim_Data!D2:D3168,"&gt;"&amp;$B$2))</f>
        <v/>
      </c>
      <c r="H2406">
        <f>IF(AutoClaim_Data!D2406&lt;=$B$2,IF(AutoClaim_Data!E2406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6">
        <f>(F2406-H2406)^2</f>
        <v/>
      </c>
      <c r="J2406">
        <f>--(E2406="Validation")</f>
        <v/>
      </c>
    </row>
    <row r="2407">
      <c r="D2407">
        <f>AutoClaim_Data!A2407</f>
        <v/>
      </c>
      <c r="E2407">
        <f>AutoClaim_Data!B2407</f>
        <v/>
      </c>
      <c r="F2407">
        <f>AutoClaim_Data!C2407</f>
        <v/>
      </c>
      <c r="G2407">
        <f>IF(AutoClaim_Data!D2407&lt;=$B$2,AVERAGEIFS(AutoClaim_Data!C2:C3168,AutoClaim_Data!B2:B3168,"Train",AutoClaim_Data!D2:D3168,"&lt;="&amp;$B$2),AVERAGEIFS(AutoClaim_Data!C2:C3168,AutoClaim_Data!B2:B3168,"Train",AutoClaim_Data!D2:D3168,"&gt;"&amp;$B$2))</f>
        <v/>
      </c>
      <c r="H2407">
        <f>IF(AutoClaim_Data!D2407&lt;=$B$2,IF(AutoClaim_Data!E2407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7">
        <f>(F2407-H2407)^2</f>
        <v/>
      </c>
      <c r="J2407">
        <f>--(E2407="Validation")</f>
        <v/>
      </c>
    </row>
    <row r="2408">
      <c r="D2408">
        <f>AutoClaim_Data!A2408</f>
        <v/>
      </c>
      <c r="E2408">
        <f>AutoClaim_Data!B2408</f>
        <v/>
      </c>
      <c r="F2408">
        <f>AutoClaim_Data!C2408</f>
        <v/>
      </c>
      <c r="G2408">
        <f>IF(AutoClaim_Data!D2408&lt;=$B$2,AVERAGEIFS(AutoClaim_Data!C2:C3168,AutoClaim_Data!B2:B3168,"Train",AutoClaim_Data!D2:D3168,"&lt;="&amp;$B$2),AVERAGEIFS(AutoClaim_Data!C2:C3168,AutoClaim_Data!B2:B3168,"Train",AutoClaim_Data!D2:D3168,"&gt;"&amp;$B$2))</f>
        <v/>
      </c>
      <c r="H2408">
        <f>IF(AutoClaim_Data!D2408&lt;=$B$2,IF(AutoClaim_Data!E2408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8">
        <f>(F2408-H2408)^2</f>
        <v/>
      </c>
      <c r="J2408">
        <f>--(E2408="Validation")</f>
        <v/>
      </c>
    </row>
    <row r="2409">
      <c r="D2409">
        <f>AutoClaim_Data!A2409</f>
        <v/>
      </c>
      <c r="E2409">
        <f>AutoClaim_Data!B2409</f>
        <v/>
      </c>
      <c r="F2409">
        <f>AutoClaim_Data!C2409</f>
        <v/>
      </c>
      <c r="G2409">
        <f>IF(AutoClaim_Data!D2409&lt;=$B$2,AVERAGEIFS(AutoClaim_Data!C2:C3168,AutoClaim_Data!B2:B3168,"Train",AutoClaim_Data!D2:D3168,"&lt;="&amp;$B$2),AVERAGEIFS(AutoClaim_Data!C2:C3168,AutoClaim_Data!B2:B3168,"Train",AutoClaim_Data!D2:D3168,"&gt;"&amp;$B$2))</f>
        <v/>
      </c>
      <c r="H2409">
        <f>IF(AutoClaim_Data!D2409&lt;=$B$2,IF(AutoClaim_Data!E2409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09">
        <f>(F2409-H2409)^2</f>
        <v/>
      </c>
      <c r="J2409">
        <f>--(E2409="Validation")</f>
        <v/>
      </c>
    </row>
    <row r="2410">
      <c r="D2410">
        <f>AutoClaim_Data!A2410</f>
        <v/>
      </c>
      <c r="E2410">
        <f>AutoClaim_Data!B2410</f>
        <v/>
      </c>
      <c r="F2410">
        <f>AutoClaim_Data!C2410</f>
        <v/>
      </c>
      <c r="G2410">
        <f>IF(AutoClaim_Data!D2410&lt;=$B$2,AVERAGEIFS(AutoClaim_Data!C2:C3168,AutoClaim_Data!B2:B3168,"Train",AutoClaim_Data!D2:D3168,"&lt;="&amp;$B$2),AVERAGEIFS(AutoClaim_Data!C2:C3168,AutoClaim_Data!B2:B3168,"Train",AutoClaim_Data!D2:D3168,"&gt;"&amp;$B$2))</f>
        <v/>
      </c>
      <c r="H2410">
        <f>IF(AutoClaim_Data!D2410&lt;=$B$2,IF(AutoClaim_Data!E2410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0">
        <f>(F2410-H2410)^2</f>
        <v/>
      </c>
      <c r="J2410">
        <f>--(E2410="Validation")</f>
        <v/>
      </c>
    </row>
    <row r="2411">
      <c r="D2411">
        <f>AutoClaim_Data!A2411</f>
        <v/>
      </c>
      <c r="E2411">
        <f>AutoClaim_Data!B2411</f>
        <v/>
      </c>
      <c r="F2411">
        <f>AutoClaim_Data!C2411</f>
        <v/>
      </c>
      <c r="G2411">
        <f>IF(AutoClaim_Data!D2411&lt;=$B$2,AVERAGEIFS(AutoClaim_Data!C2:C3168,AutoClaim_Data!B2:B3168,"Train",AutoClaim_Data!D2:D3168,"&lt;="&amp;$B$2),AVERAGEIFS(AutoClaim_Data!C2:C3168,AutoClaim_Data!B2:B3168,"Train",AutoClaim_Data!D2:D3168,"&gt;"&amp;$B$2))</f>
        <v/>
      </c>
      <c r="H2411">
        <f>IF(AutoClaim_Data!D2411&lt;=$B$2,IF(AutoClaim_Data!E2411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1">
        <f>(F2411-H2411)^2</f>
        <v/>
      </c>
      <c r="J2411">
        <f>--(E2411="Validation")</f>
        <v/>
      </c>
    </row>
    <row r="2412">
      <c r="D2412">
        <f>AutoClaim_Data!A2412</f>
        <v/>
      </c>
      <c r="E2412">
        <f>AutoClaim_Data!B2412</f>
        <v/>
      </c>
      <c r="F2412">
        <f>AutoClaim_Data!C2412</f>
        <v/>
      </c>
      <c r="G2412">
        <f>IF(AutoClaim_Data!D2412&lt;=$B$2,AVERAGEIFS(AutoClaim_Data!C2:C3168,AutoClaim_Data!B2:B3168,"Train",AutoClaim_Data!D2:D3168,"&lt;="&amp;$B$2),AVERAGEIFS(AutoClaim_Data!C2:C3168,AutoClaim_Data!B2:B3168,"Train",AutoClaim_Data!D2:D3168,"&gt;"&amp;$B$2))</f>
        <v/>
      </c>
      <c r="H2412">
        <f>IF(AutoClaim_Data!D2412&lt;=$B$2,IF(AutoClaim_Data!E2412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2">
        <f>(F2412-H2412)^2</f>
        <v/>
      </c>
      <c r="J2412">
        <f>--(E2412="Validation")</f>
        <v/>
      </c>
    </row>
    <row r="2413">
      <c r="D2413">
        <f>AutoClaim_Data!A2413</f>
        <v/>
      </c>
      <c r="E2413">
        <f>AutoClaim_Data!B2413</f>
        <v/>
      </c>
      <c r="F2413">
        <f>AutoClaim_Data!C2413</f>
        <v/>
      </c>
      <c r="G2413">
        <f>IF(AutoClaim_Data!D2413&lt;=$B$2,AVERAGEIFS(AutoClaim_Data!C2:C3168,AutoClaim_Data!B2:B3168,"Train",AutoClaim_Data!D2:D3168,"&lt;="&amp;$B$2),AVERAGEIFS(AutoClaim_Data!C2:C3168,AutoClaim_Data!B2:B3168,"Train",AutoClaim_Data!D2:D3168,"&gt;"&amp;$B$2))</f>
        <v/>
      </c>
      <c r="H2413">
        <f>IF(AutoClaim_Data!D2413&lt;=$B$2,IF(AutoClaim_Data!E2413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3">
        <f>(F2413-H2413)^2</f>
        <v/>
      </c>
      <c r="J2413">
        <f>--(E2413="Validation")</f>
        <v/>
      </c>
    </row>
    <row r="2414">
      <c r="D2414">
        <f>AutoClaim_Data!A2414</f>
        <v/>
      </c>
      <c r="E2414">
        <f>AutoClaim_Data!B2414</f>
        <v/>
      </c>
      <c r="F2414">
        <f>AutoClaim_Data!C2414</f>
        <v/>
      </c>
      <c r="G2414">
        <f>IF(AutoClaim_Data!D2414&lt;=$B$2,AVERAGEIFS(AutoClaim_Data!C2:C3168,AutoClaim_Data!B2:B3168,"Train",AutoClaim_Data!D2:D3168,"&lt;="&amp;$B$2),AVERAGEIFS(AutoClaim_Data!C2:C3168,AutoClaim_Data!B2:B3168,"Train",AutoClaim_Data!D2:D3168,"&gt;"&amp;$B$2))</f>
        <v/>
      </c>
      <c r="H2414">
        <f>IF(AutoClaim_Data!D2414&lt;=$B$2,IF(AutoClaim_Data!E2414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4">
        <f>(F2414-H2414)^2</f>
        <v/>
      </c>
      <c r="J2414">
        <f>--(E2414="Validation")</f>
        <v/>
      </c>
    </row>
    <row r="2415">
      <c r="D2415">
        <f>AutoClaim_Data!A2415</f>
        <v/>
      </c>
      <c r="E2415">
        <f>AutoClaim_Data!B2415</f>
        <v/>
      </c>
      <c r="F2415">
        <f>AutoClaim_Data!C2415</f>
        <v/>
      </c>
      <c r="G2415">
        <f>IF(AutoClaim_Data!D2415&lt;=$B$2,AVERAGEIFS(AutoClaim_Data!C2:C3168,AutoClaim_Data!B2:B3168,"Train",AutoClaim_Data!D2:D3168,"&lt;="&amp;$B$2),AVERAGEIFS(AutoClaim_Data!C2:C3168,AutoClaim_Data!B2:B3168,"Train",AutoClaim_Data!D2:D3168,"&gt;"&amp;$B$2))</f>
        <v/>
      </c>
      <c r="H2415">
        <f>IF(AutoClaim_Data!D2415&lt;=$B$2,IF(AutoClaim_Data!E2415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5">
        <f>(F2415-H2415)^2</f>
        <v/>
      </c>
      <c r="J2415">
        <f>--(E2415="Validation")</f>
        <v/>
      </c>
    </row>
    <row r="2416">
      <c r="D2416">
        <f>AutoClaim_Data!A2416</f>
        <v/>
      </c>
      <c r="E2416">
        <f>AutoClaim_Data!B2416</f>
        <v/>
      </c>
      <c r="F2416">
        <f>AutoClaim_Data!C2416</f>
        <v/>
      </c>
      <c r="G2416">
        <f>IF(AutoClaim_Data!D2416&lt;=$B$2,AVERAGEIFS(AutoClaim_Data!C2:C3168,AutoClaim_Data!B2:B3168,"Train",AutoClaim_Data!D2:D3168,"&lt;="&amp;$B$2),AVERAGEIFS(AutoClaim_Data!C2:C3168,AutoClaim_Data!B2:B3168,"Train",AutoClaim_Data!D2:D3168,"&gt;"&amp;$B$2))</f>
        <v/>
      </c>
      <c r="H2416">
        <f>IF(AutoClaim_Data!D2416&lt;=$B$2,IF(AutoClaim_Data!E2416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6">
        <f>(F2416-H2416)^2</f>
        <v/>
      </c>
      <c r="J2416">
        <f>--(E2416="Validation")</f>
        <v/>
      </c>
    </row>
    <row r="2417">
      <c r="D2417">
        <f>AutoClaim_Data!A2417</f>
        <v/>
      </c>
      <c r="E2417">
        <f>AutoClaim_Data!B2417</f>
        <v/>
      </c>
      <c r="F2417">
        <f>AutoClaim_Data!C2417</f>
        <v/>
      </c>
      <c r="G2417">
        <f>IF(AutoClaim_Data!D2417&lt;=$B$2,AVERAGEIFS(AutoClaim_Data!C2:C3168,AutoClaim_Data!B2:B3168,"Train",AutoClaim_Data!D2:D3168,"&lt;="&amp;$B$2),AVERAGEIFS(AutoClaim_Data!C2:C3168,AutoClaim_Data!B2:B3168,"Train",AutoClaim_Data!D2:D3168,"&gt;"&amp;$B$2))</f>
        <v/>
      </c>
      <c r="H2417">
        <f>IF(AutoClaim_Data!D2417&lt;=$B$2,IF(AutoClaim_Data!E2417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7">
        <f>(F2417-H2417)^2</f>
        <v/>
      </c>
      <c r="J2417">
        <f>--(E2417="Validation")</f>
        <v/>
      </c>
    </row>
    <row r="2418">
      <c r="D2418">
        <f>AutoClaim_Data!A2418</f>
        <v/>
      </c>
      <c r="E2418">
        <f>AutoClaim_Data!B2418</f>
        <v/>
      </c>
      <c r="F2418">
        <f>AutoClaim_Data!C2418</f>
        <v/>
      </c>
      <c r="G2418">
        <f>IF(AutoClaim_Data!D2418&lt;=$B$2,AVERAGEIFS(AutoClaim_Data!C2:C3168,AutoClaim_Data!B2:B3168,"Train",AutoClaim_Data!D2:D3168,"&lt;="&amp;$B$2),AVERAGEIFS(AutoClaim_Data!C2:C3168,AutoClaim_Data!B2:B3168,"Train",AutoClaim_Data!D2:D3168,"&gt;"&amp;$B$2))</f>
        <v/>
      </c>
      <c r="H2418">
        <f>IF(AutoClaim_Data!D2418&lt;=$B$2,IF(AutoClaim_Data!E2418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8">
        <f>(F2418-H2418)^2</f>
        <v/>
      </c>
      <c r="J2418">
        <f>--(E2418="Validation")</f>
        <v/>
      </c>
    </row>
    <row r="2419">
      <c r="D2419">
        <f>AutoClaim_Data!A2419</f>
        <v/>
      </c>
      <c r="E2419">
        <f>AutoClaim_Data!B2419</f>
        <v/>
      </c>
      <c r="F2419">
        <f>AutoClaim_Data!C2419</f>
        <v/>
      </c>
      <c r="G2419">
        <f>IF(AutoClaim_Data!D2419&lt;=$B$2,AVERAGEIFS(AutoClaim_Data!C2:C3168,AutoClaim_Data!B2:B3168,"Train",AutoClaim_Data!D2:D3168,"&lt;="&amp;$B$2),AVERAGEIFS(AutoClaim_Data!C2:C3168,AutoClaim_Data!B2:B3168,"Train",AutoClaim_Data!D2:D3168,"&gt;"&amp;$B$2))</f>
        <v/>
      </c>
      <c r="H2419">
        <f>IF(AutoClaim_Data!D2419&lt;=$B$2,IF(AutoClaim_Data!E2419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19">
        <f>(F2419-H2419)^2</f>
        <v/>
      </c>
      <c r="J2419">
        <f>--(E2419="Validation")</f>
        <v/>
      </c>
    </row>
    <row r="2420">
      <c r="D2420">
        <f>AutoClaim_Data!A2420</f>
        <v/>
      </c>
      <c r="E2420">
        <f>AutoClaim_Data!B2420</f>
        <v/>
      </c>
      <c r="F2420">
        <f>AutoClaim_Data!C2420</f>
        <v/>
      </c>
      <c r="G2420">
        <f>IF(AutoClaim_Data!D2420&lt;=$B$2,AVERAGEIFS(AutoClaim_Data!C2:C3168,AutoClaim_Data!B2:B3168,"Train",AutoClaim_Data!D2:D3168,"&lt;="&amp;$B$2),AVERAGEIFS(AutoClaim_Data!C2:C3168,AutoClaim_Data!B2:B3168,"Train",AutoClaim_Data!D2:D3168,"&gt;"&amp;$B$2))</f>
        <v/>
      </c>
      <c r="H2420">
        <f>IF(AutoClaim_Data!D2420&lt;=$B$2,IF(AutoClaim_Data!E2420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0">
        <f>(F2420-H2420)^2</f>
        <v/>
      </c>
      <c r="J2420">
        <f>--(E2420="Validation")</f>
        <v/>
      </c>
    </row>
    <row r="2421">
      <c r="D2421">
        <f>AutoClaim_Data!A2421</f>
        <v/>
      </c>
      <c r="E2421">
        <f>AutoClaim_Data!B2421</f>
        <v/>
      </c>
      <c r="F2421">
        <f>AutoClaim_Data!C2421</f>
        <v/>
      </c>
      <c r="G2421">
        <f>IF(AutoClaim_Data!D2421&lt;=$B$2,AVERAGEIFS(AutoClaim_Data!C2:C3168,AutoClaim_Data!B2:B3168,"Train",AutoClaim_Data!D2:D3168,"&lt;="&amp;$B$2),AVERAGEIFS(AutoClaim_Data!C2:C3168,AutoClaim_Data!B2:B3168,"Train",AutoClaim_Data!D2:D3168,"&gt;"&amp;$B$2))</f>
        <v/>
      </c>
      <c r="H2421">
        <f>IF(AutoClaim_Data!D2421&lt;=$B$2,IF(AutoClaim_Data!E2421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1">
        <f>(F2421-H2421)^2</f>
        <v/>
      </c>
      <c r="J2421">
        <f>--(E2421="Validation")</f>
        <v/>
      </c>
    </row>
    <row r="2422">
      <c r="D2422">
        <f>AutoClaim_Data!A2422</f>
        <v/>
      </c>
      <c r="E2422">
        <f>AutoClaim_Data!B2422</f>
        <v/>
      </c>
      <c r="F2422">
        <f>AutoClaim_Data!C2422</f>
        <v/>
      </c>
      <c r="G2422">
        <f>IF(AutoClaim_Data!D2422&lt;=$B$2,AVERAGEIFS(AutoClaim_Data!C2:C3168,AutoClaim_Data!B2:B3168,"Train",AutoClaim_Data!D2:D3168,"&lt;="&amp;$B$2),AVERAGEIFS(AutoClaim_Data!C2:C3168,AutoClaim_Data!B2:B3168,"Train",AutoClaim_Data!D2:D3168,"&gt;"&amp;$B$2))</f>
        <v/>
      </c>
      <c r="H2422">
        <f>IF(AutoClaim_Data!D2422&lt;=$B$2,IF(AutoClaim_Data!E2422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2">
        <f>(F2422-H2422)^2</f>
        <v/>
      </c>
      <c r="J2422">
        <f>--(E2422="Validation")</f>
        <v/>
      </c>
    </row>
    <row r="2423">
      <c r="D2423">
        <f>AutoClaim_Data!A2423</f>
        <v/>
      </c>
      <c r="E2423">
        <f>AutoClaim_Data!B2423</f>
        <v/>
      </c>
      <c r="F2423">
        <f>AutoClaim_Data!C2423</f>
        <v/>
      </c>
      <c r="G2423">
        <f>IF(AutoClaim_Data!D2423&lt;=$B$2,AVERAGEIFS(AutoClaim_Data!C2:C3168,AutoClaim_Data!B2:B3168,"Train",AutoClaim_Data!D2:D3168,"&lt;="&amp;$B$2),AVERAGEIFS(AutoClaim_Data!C2:C3168,AutoClaim_Data!B2:B3168,"Train",AutoClaim_Data!D2:D3168,"&gt;"&amp;$B$2))</f>
        <v/>
      </c>
      <c r="H2423">
        <f>IF(AutoClaim_Data!D2423&lt;=$B$2,IF(AutoClaim_Data!E2423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3">
        <f>(F2423-H2423)^2</f>
        <v/>
      </c>
      <c r="J2423">
        <f>--(E2423="Validation")</f>
        <v/>
      </c>
    </row>
    <row r="2424">
      <c r="D2424">
        <f>AutoClaim_Data!A2424</f>
        <v/>
      </c>
      <c r="E2424">
        <f>AutoClaim_Data!B2424</f>
        <v/>
      </c>
      <c r="F2424">
        <f>AutoClaim_Data!C2424</f>
        <v/>
      </c>
      <c r="G2424">
        <f>IF(AutoClaim_Data!D2424&lt;=$B$2,AVERAGEIFS(AutoClaim_Data!C2:C3168,AutoClaim_Data!B2:B3168,"Train",AutoClaim_Data!D2:D3168,"&lt;="&amp;$B$2),AVERAGEIFS(AutoClaim_Data!C2:C3168,AutoClaim_Data!B2:B3168,"Train",AutoClaim_Data!D2:D3168,"&gt;"&amp;$B$2))</f>
        <v/>
      </c>
      <c r="H2424">
        <f>IF(AutoClaim_Data!D2424&lt;=$B$2,IF(AutoClaim_Data!E2424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4">
        <f>(F2424-H2424)^2</f>
        <v/>
      </c>
      <c r="J2424">
        <f>--(E2424="Validation")</f>
        <v/>
      </c>
    </row>
    <row r="2425">
      <c r="D2425">
        <f>AutoClaim_Data!A2425</f>
        <v/>
      </c>
      <c r="E2425">
        <f>AutoClaim_Data!B2425</f>
        <v/>
      </c>
      <c r="F2425">
        <f>AutoClaim_Data!C2425</f>
        <v/>
      </c>
      <c r="G2425">
        <f>IF(AutoClaim_Data!D2425&lt;=$B$2,AVERAGEIFS(AutoClaim_Data!C2:C3168,AutoClaim_Data!B2:B3168,"Train",AutoClaim_Data!D2:D3168,"&lt;="&amp;$B$2),AVERAGEIFS(AutoClaim_Data!C2:C3168,AutoClaim_Data!B2:B3168,"Train",AutoClaim_Data!D2:D3168,"&gt;"&amp;$B$2))</f>
        <v/>
      </c>
      <c r="H2425">
        <f>IF(AutoClaim_Data!D2425&lt;=$B$2,IF(AutoClaim_Data!E2425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5">
        <f>(F2425-H2425)^2</f>
        <v/>
      </c>
      <c r="J2425">
        <f>--(E2425="Validation")</f>
        <v/>
      </c>
    </row>
    <row r="2426">
      <c r="D2426">
        <f>AutoClaim_Data!A2426</f>
        <v/>
      </c>
      <c r="E2426">
        <f>AutoClaim_Data!B2426</f>
        <v/>
      </c>
      <c r="F2426">
        <f>AutoClaim_Data!C2426</f>
        <v/>
      </c>
      <c r="G2426">
        <f>IF(AutoClaim_Data!D2426&lt;=$B$2,AVERAGEIFS(AutoClaim_Data!C2:C3168,AutoClaim_Data!B2:B3168,"Train",AutoClaim_Data!D2:D3168,"&lt;="&amp;$B$2),AVERAGEIFS(AutoClaim_Data!C2:C3168,AutoClaim_Data!B2:B3168,"Train",AutoClaim_Data!D2:D3168,"&gt;"&amp;$B$2))</f>
        <v/>
      </c>
      <c r="H2426">
        <f>IF(AutoClaim_Data!D2426&lt;=$B$2,IF(AutoClaim_Data!E2426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6">
        <f>(F2426-H2426)^2</f>
        <v/>
      </c>
      <c r="J2426">
        <f>--(E2426="Validation")</f>
        <v/>
      </c>
    </row>
    <row r="2427">
      <c r="D2427">
        <f>AutoClaim_Data!A2427</f>
        <v/>
      </c>
      <c r="E2427">
        <f>AutoClaim_Data!B2427</f>
        <v/>
      </c>
      <c r="F2427">
        <f>AutoClaim_Data!C2427</f>
        <v/>
      </c>
      <c r="G2427">
        <f>IF(AutoClaim_Data!D2427&lt;=$B$2,AVERAGEIFS(AutoClaim_Data!C2:C3168,AutoClaim_Data!B2:B3168,"Train",AutoClaim_Data!D2:D3168,"&lt;="&amp;$B$2),AVERAGEIFS(AutoClaim_Data!C2:C3168,AutoClaim_Data!B2:B3168,"Train",AutoClaim_Data!D2:D3168,"&gt;"&amp;$B$2))</f>
        <v/>
      </c>
      <c r="H2427">
        <f>IF(AutoClaim_Data!D2427&lt;=$B$2,IF(AutoClaim_Data!E2427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7">
        <f>(F2427-H2427)^2</f>
        <v/>
      </c>
      <c r="J2427">
        <f>--(E2427="Validation")</f>
        <v/>
      </c>
    </row>
    <row r="2428">
      <c r="D2428">
        <f>AutoClaim_Data!A2428</f>
        <v/>
      </c>
      <c r="E2428">
        <f>AutoClaim_Data!B2428</f>
        <v/>
      </c>
      <c r="F2428">
        <f>AutoClaim_Data!C2428</f>
        <v/>
      </c>
      <c r="G2428">
        <f>IF(AutoClaim_Data!D2428&lt;=$B$2,AVERAGEIFS(AutoClaim_Data!C2:C3168,AutoClaim_Data!B2:B3168,"Train",AutoClaim_Data!D2:D3168,"&lt;="&amp;$B$2),AVERAGEIFS(AutoClaim_Data!C2:C3168,AutoClaim_Data!B2:B3168,"Train",AutoClaim_Data!D2:D3168,"&gt;"&amp;$B$2))</f>
        <v/>
      </c>
      <c r="H2428">
        <f>IF(AutoClaim_Data!D2428&lt;=$B$2,IF(AutoClaim_Data!E2428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8">
        <f>(F2428-H2428)^2</f>
        <v/>
      </c>
      <c r="J2428">
        <f>--(E2428="Validation")</f>
        <v/>
      </c>
    </row>
    <row r="2429">
      <c r="D2429">
        <f>AutoClaim_Data!A2429</f>
        <v/>
      </c>
      <c r="E2429">
        <f>AutoClaim_Data!B2429</f>
        <v/>
      </c>
      <c r="F2429">
        <f>AutoClaim_Data!C2429</f>
        <v/>
      </c>
      <c r="G2429">
        <f>IF(AutoClaim_Data!D2429&lt;=$B$2,AVERAGEIFS(AutoClaim_Data!C2:C3168,AutoClaim_Data!B2:B3168,"Train",AutoClaim_Data!D2:D3168,"&lt;="&amp;$B$2),AVERAGEIFS(AutoClaim_Data!C2:C3168,AutoClaim_Data!B2:B3168,"Train",AutoClaim_Data!D2:D3168,"&gt;"&amp;$B$2))</f>
        <v/>
      </c>
      <c r="H2429">
        <f>IF(AutoClaim_Data!D2429&lt;=$B$2,IF(AutoClaim_Data!E2429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29">
        <f>(F2429-H2429)^2</f>
        <v/>
      </c>
      <c r="J2429">
        <f>--(E2429="Validation")</f>
        <v/>
      </c>
    </row>
    <row r="2430">
      <c r="D2430">
        <f>AutoClaim_Data!A2430</f>
        <v/>
      </c>
      <c r="E2430">
        <f>AutoClaim_Data!B2430</f>
        <v/>
      </c>
      <c r="F2430">
        <f>AutoClaim_Data!C2430</f>
        <v/>
      </c>
      <c r="G2430">
        <f>IF(AutoClaim_Data!D2430&lt;=$B$2,AVERAGEIFS(AutoClaim_Data!C2:C3168,AutoClaim_Data!B2:B3168,"Train",AutoClaim_Data!D2:D3168,"&lt;="&amp;$B$2),AVERAGEIFS(AutoClaim_Data!C2:C3168,AutoClaim_Data!B2:B3168,"Train",AutoClaim_Data!D2:D3168,"&gt;"&amp;$B$2))</f>
        <v/>
      </c>
      <c r="H2430">
        <f>IF(AutoClaim_Data!D2430&lt;=$B$2,IF(AutoClaim_Data!E2430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0">
        <f>(F2430-H2430)^2</f>
        <v/>
      </c>
      <c r="J2430">
        <f>--(E2430="Validation")</f>
        <v/>
      </c>
    </row>
    <row r="2431">
      <c r="D2431">
        <f>AutoClaim_Data!A2431</f>
        <v/>
      </c>
      <c r="E2431">
        <f>AutoClaim_Data!B2431</f>
        <v/>
      </c>
      <c r="F2431">
        <f>AutoClaim_Data!C2431</f>
        <v/>
      </c>
      <c r="G2431">
        <f>IF(AutoClaim_Data!D2431&lt;=$B$2,AVERAGEIFS(AutoClaim_Data!C2:C3168,AutoClaim_Data!B2:B3168,"Train",AutoClaim_Data!D2:D3168,"&lt;="&amp;$B$2),AVERAGEIFS(AutoClaim_Data!C2:C3168,AutoClaim_Data!B2:B3168,"Train",AutoClaim_Data!D2:D3168,"&gt;"&amp;$B$2))</f>
        <v/>
      </c>
      <c r="H2431">
        <f>IF(AutoClaim_Data!D2431&lt;=$B$2,IF(AutoClaim_Data!E2431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1">
        <f>(F2431-H2431)^2</f>
        <v/>
      </c>
      <c r="J2431">
        <f>--(E2431="Validation")</f>
        <v/>
      </c>
    </row>
    <row r="2432">
      <c r="D2432">
        <f>AutoClaim_Data!A2432</f>
        <v/>
      </c>
      <c r="E2432">
        <f>AutoClaim_Data!B2432</f>
        <v/>
      </c>
      <c r="F2432">
        <f>AutoClaim_Data!C2432</f>
        <v/>
      </c>
      <c r="G2432">
        <f>IF(AutoClaim_Data!D2432&lt;=$B$2,AVERAGEIFS(AutoClaim_Data!C2:C3168,AutoClaim_Data!B2:B3168,"Train",AutoClaim_Data!D2:D3168,"&lt;="&amp;$B$2),AVERAGEIFS(AutoClaim_Data!C2:C3168,AutoClaim_Data!B2:B3168,"Train",AutoClaim_Data!D2:D3168,"&gt;"&amp;$B$2))</f>
        <v/>
      </c>
      <c r="H2432">
        <f>IF(AutoClaim_Data!D2432&lt;=$B$2,IF(AutoClaim_Data!E2432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2">
        <f>(F2432-H2432)^2</f>
        <v/>
      </c>
      <c r="J2432">
        <f>--(E2432="Validation")</f>
        <v/>
      </c>
    </row>
    <row r="2433">
      <c r="D2433">
        <f>AutoClaim_Data!A2433</f>
        <v/>
      </c>
      <c r="E2433">
        <f>AutoClaim_Data!B2433</f>
        <v/>
      </c>
      <c r="F2433">
        <f>AutoClaim_Data!C2433</f>
        <v/>
      </c>
      <c r="G2433">
        <f>IF(AutoClaim_Data!D2433&lt;=$B$2,AVERAGEIFS(AutoClaim_Data!C2:C3168,AutoClaim_Data!B2:B3168,"Train",AutoClaim_Data!D2:D3168,"&lt;="&amp;$B$2),AVERAGEIFS(AutoClaim_Data!C2:C3168,AutoClaim_Data!B2:B3168,"Train",AutoClaim_Data!D2:D3168,"&gt;"&amp;$B$2))</f>
        <v/>
      </c>
      <c r="H2433">
        <f>IF(AutoClaim_Data!D2433&lt;=$B$2,IF(AutoClaim_Data!E2433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3">
        <f>(F2433-H2433)^2</f>
        <v/>
      </c>
      <c r="J2433">
        <f>--(E2433="Validation")</f>
        <v/>
      </c>
    </row>
    <row r="2434">
      <c r="D2434">
        <f>AutoClaim_Data!A2434</f>
        <v/>
      </c>
      <c r="E2434">
        <f>AutoClaim_Data!B2434</f>
        <v/>
      </c>
      <c r="F2434">
        <f>AutoClaim_Data!C2434</f>
        <v/>
      </c>
      <c r="G2434">
        <f>IF(AutoClaim_Data!D2434&lt;=$B$2,AVERAGEIFS(AutoClaim_Data!C2:C3168,AutoClaim_Data!B2:B3168,"Train",AutoClaim_Data!D2:D3168,"&lt;="&amp;$B$2),AVERAGEIFS(AutoClaim_Data!C2:C3168,AutoClaim_Data!B2:B3168,"Train",AutoClaim_Data!D2:D3168,"&gt;"&amp;$B$2))</f>
        <v/>
      </c>
      <c r="H2434">
        <f>IF(AutoClaim_Data!D2434&lt;=$B$2,IF(AutoClaim_Data!E2434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4">
        <f>(F2434-H2434)^2</f>
        <v/>
      </c>
      <c r="J2434">
        <f>--(E2434="Validation")</f>
        <v/>
      </c>
    </row>
    <row r="2435">
      <c r="D2435">
        <f>AutoClaim_Data!A2435</f>
        <v/>
      </c>
      <c r="E2435">
        <f>AutoClaim_Data!B2435</f>
        <v/>
      </c>
      <c r="F2435">
        <f>AutoClaim_Data!C2435</f>
        <v/>
      </c>
      <c r="G2435">
        <f>IF(AutoClaim_Data!D2435&lt;=$B$2,AVERAGEIFS(AutoClaim_Data!C2:C3168,AutoClaim_Data!B2:B3168,"Train",AutoClaim_Data!D2:D3168,"&lt;="&amp;$B$2),AVERAGEIFS(AutoClaim_Data!C2:C3168,AutoClaim_Data!B2:B3168,"Train",AutoClaim_Data!D2:D3168,"&gt;"&amp;$B$2))</f>
        <v/>
      </c>
      <c r="H2435">
        <f>IF(AutoClaim_Data!D2435&lt;=$B$2,IF(AutoClaim_Data!E2435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5">
        <f>(F2435-H2435)^2</f>
        <v/>
      </c>
      <c r="J2435">
        <f>--(E2435="Validation")</f>
        <v/>
      </c>
    </row>
    <row r="2436">
      <c r="D2436">
        <f>AutoClaim_Data!A2436</f>
        <v/>
      </c>
      <c r="E2436">
        <f>AutoClaim_Data!B2436</f>
        <v/>
      </c>
      <c r="F2436">
        <f>AutoClaim_Data!C2436</f>
        <v/>
      </c>
      <c r="G2436">
        <f>IF(AutoClaim_Data!D2436&lt;=$B$2,AVERAGEIFS(AutoClaim_Data!C2:C3168,AutoClaim_Data!B2:B3168,"Train",AutoClaim_Data!D2:D3168,"&lt;="&amp;$B$2),AVERAGEIFS(AutoClaim_Data!C2:C3168,AutoClaim_Data!B2:B3168,"Train",AutoClaim_Data!D2:D3168,"&gt;"&amp;$B$2))</f>
        <v/>
      </c>
      <c r="H2436">
        <f>IF(AutoClaim_Data!D2436&lt;=$B$2,IF(AutoClaim_Data!E2436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6">
        <f>(F2436-H2436)^2</f>
        <v/>
      </c>
      <c r="J2436">
        <f>--(E2436="Validation")</f>
        <v/>
      </c>
    </row>
    <row r="2437">
      <c r="D2437">
        <f>AutoClaim_Data!A2437</f>
        <v/>
      </c>
      <c r="E2437">
        <f>AutoClaim_Data!B2437</f>
        <v/>
      </c>
      <c r="F2437">
        <f>AutoClaim_Data!C2437</f>
        <v/>
      </c>
      <c r="G2437">
        <f>IF(AutoClaim_Data!D2437&lt;=$B$2,AVERAGEIFS(AutoClaim_Data!C2:C3168,AutoClaim_Data!B2:B3168,"Train",AutoClaim_Data!D2:D3168,"&lt;="&amp;$B$2),AVERAGEIFS(AutoClaim_Data!C2:C3168,AutoClaim_Data!B2:B3168,"Train",AutoClaim_Data!D2:D3168,"&gt;"&amp;$B$2))</f>
        <v/>
      </c>
      <c r="H2437">
        <f>IF(AutoClaim_Data!D2437&lt;=$B$2,IF(AutoClaim_Data!E2437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7">
        <f>(F2437-H2437)^2</f>
        <v/>
      </c>
      <c r="J2437">
        <f>--(E2437="Validation")</f>
        <v/>
      </c>
    </row>
    <row r="2438">
      <c r="D2438">
        <f>AutoClaim_Data!A2438</f>
        <v/>
      </c>
      <c r="E2438">
        <f>AutoClaim_Data!B2438</f>
        <v/>
      </c>
      <c r="F2438">
        <f>AutoClaim_Data!C2438</f>
        <v/>
      </c>
      <c r="G2438">
        <f>IF(AutoClaim_Data!D2438&lt;=$B$2,AVERAGEIFS(AutoClaim_Data!C2:C3168,AutoClaim_Data!B2:B3168,"Train",AutoClaim_Data!D2:D3168,"&lt;="&amp;$B$2),AVERAGEIFS(AutoClaim_Data!C2:C3168,AutoClaim_Data!B2:B3168,"Train",AutoClaim_Data!D2:D3168,"&gt;"&amp;$B$2))</f>
        <v/>
      </c>
      <c r="H2438">
        <f>IF(AutoClaim_Data!D2438&lt;=$B$2,IF(AutoClaim_Data!E2438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8">
        <f>(F2438-H2438)^2</f>
        <v/>
      </c>
      <c r="J2438">
        <f>--(E2438="Validation")</f>
        <v/>
      </c>
    </row>
    <row r="2439">
      <c r="D2439">
        <f>AutoClaim_Data!A2439</f>
        <v/>
      </c>
      <c r="E2439">
        <f>AutoClaim_Data!B2439</f>
        <v/>
      </c>
      <c r="F2439">
        <f>AutoClaim_Data!C2439</f>
        <v/>
      </c>
      <c r="G2439">
        <f>IF(AutoClaim_Data!D2439&lt;=$B$2,AVERAGEIFS(AutoClaim_Data!C2:C3168,AutoClaim_Data!B2:B3168,"Train",AutoClaim_Data!D2:D3168,"&lt;="&amp;$B$2),AVERAGEIFS(AutoClaim_Data!C2:C3168,AutoClaim_Data!B2:B3168,"Train",AutoClaim_Data!D2:D3168,"&gt;"&amp;$B$2))</f>
        <v/>
      </c>
      <c r="H2439">
        <f>IF(AutoClaim_Data!D2439&lt;=$B$2,IF(AutoClaim_Data!E2439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39">
        <f>(F2439-H2439)^2</f>
        <v/>
      </c>
      <c r="J2439">
        <f>--(E2439="Validation")</f>
        <v/>
      </c>
    </row>
    <row r="2440">
      <c r="D2440">
        <f>AutoClaim_Data!A2440</f>
        <v/>
      </c>
      <c r="E2440">
        <f>AutoClaim_Data!B2440</f>
        <v/>
      </c>
      <c r="F2440">
        <f>AutoClaim_Data!C2440</f>
        <v/>
      </c>
      <c r="G2440">
        <f>IF(AutoClaim_Data!D2440&lt;=$B$2,AVERAGEIFS(AutoClaim_Data!C2:C3168,AutoClaim_Data!B2:B3168,"Train",AutoClaim_Data!D2:D3168,"&lt;="&amp;$B$2),AVERAGEIFS(AutoClaim_Data!C2:C3168,AutoClaim_Data!B2:B3168,"Train",AutoClaim_Data!D2:D3168,"&gt;"&amp;$B$2))</f>
        <v/>
      </c>
      <c r="H2440">
        <f>IF(AutoClaim_Data!D2440&lt;=$B$2,IF(AutoClaim_Data!E2440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0">
        <f>(F2440-H2440)^2</f>
        <v/>
      </c>
      <c r="J2440">
        <f>--(E2440="Validation")</f>
        <v/>
      </c>
    </row>
    <row r="2441">
      <c r="D2441">
        <f>AutoClaim_Data!A2441</f>
        <v/>
      </c>
      <c r="E2441">
        <f>AutoClaim_Data!B2441</f>
        <v/>
      </c>
      <c r="F2441">
        <f>AutoClaim_Data!C2441</f>
        <v/>
      </c>
      <c r="G2441">
        <f>IF(AutoClaim_Data!D2441&lt;=$B$2,AVERAGEIFS(AutoClaim_Data!C2:C3168,AutoClaim_Data!B2:B3168,"Train",AutoClaim_Data!D2:D3168,"&lt;="&amp;$B$2),AVERAGEIFS(AutoClaim_Data!C2:C3168,AutoClaim_Data!B2:B3168,"Train",AutoClaim_Data!D2:D3168,"&gt;"&amp;$B$2))</f>
        <v/>
      </c>
      <c r="H2441">
        <f>IF(AutoClaim_Data!D2441&lt;=$B$2,IF(AutoClaim_Data!E2441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1">
        <f>(F2441-H2441)^2</f>
        <v/>
      </c>
      <c r="J2441">
        <f>--(E2441="Validation")</f>
        <v/>
      </c>
    </row>
    <row r="2442">
      <c r="D2442">
        <f>AutoClaim_Data!A2442</f>
        <v/>
      </c>
      <c r="E2442">
        <f>AutoClaim_Data!B2442</f>
        <v/>
      </c>
      <c r="F2442">
        <f>AutoClaim_Data!C2442</f>
        <v/>
      </c>
      <c r="G2442">
        <f>IF(AutoClaim_Data!D2442&lt;=$B$2,AVERAGEIFS(AutoClaim_Data!C2:C3168,AutoClaim_Data!B2:B3168,"Train",AutoClaim_Data!D2:D3168,"&lt;="&amp;$B$2),AVERAGEIFS(AutoClaim_Data!C2:C3168,AutoClaim_Data!B2:B3168,"Train",AutoClaim_Data!D2:D3168,"&gt;"&amp;$B$2))</f>
        <v/>
      </c>
      <c r="H2442">
        <f>IF(AutoClaim_Data!D2442&lt;=$B$2,IF(AutoClaim_Data!E2442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2">
        <f>(F2442-H2442)^2</f>
        <v/>
      </c>
      <c r="J2442">
        <f>--(E2442="Validation")</f>
        <v/>
      </c>
    </row>
    <row r="2443">
      <c r="D2443">
        <f>AutoClaim_Data!A2443</f>
        <v/>
      </c>
      <c r="E2443">
        <f>AutoClaim_Data!B2443</f>
        <v/>
      </c>
      <c r="F2443">
        <f>AutoClaim_Data!C2443</f>
        <v/>
      </c>
      <c r="G2443">
        <f>IF(AutoClaim_Data!D2443&lt;=$B$2,AVERAGEIFS(AutoClaim_Data!C2:C3168,AutoClaim_Data!B2:B3168,"Train",AutoClaim_Data!D2:D3168,"&lt;="&amp;$B$2),AVERAGEIFS(AutoClaim_Data!C2:C3168,AutoClaim_Data!B2:B3168,"Train",AutoClaim_Data!D2:D3168,"&gt;"&amp;$B$2))</f>
        <v/>
      </c>
      <c r="H2443">
        <f>IF(AutoClaim_Data!D2443&lt;=$B$2,IF(AutoClaim_Data!E2443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3">
        <f>(F2443-H2443)^2</f>
        <v/>
      </c>
      <c r="J2443">
        <f>--(E2443="Validation")</f>
        <v/>
      </c>
    </row>
    <row r="2444">
      <c r="D2444">
        <f>AutoClaim_Data!A2444</f>
        <v/>
      </c>
      <c r="E2444">
        <f>AutoClaim_Data!B2444</f>
        <v/>
      </c>
      <c r="F2444">
        <f>AutoClaim_Data!C2444</f>
        <v/>
      </c>
      <c r="G2444">
        <f>IF(AutoClaim_Data!D2444&lt;=$B$2,AVERAGEIFS(AutoClaim_Data!C2:C3168,AutoClaim_Data!B2:B3168,"Train",AutoClaim_Data!D2:D3168,"&lt;="&amp;$B$2),AVERAGEIFS(AutoClaim_Data!C2:C3168,AutoClaim_Data!B2:B3168,"Train",AutoClaim_Data!D2:D3168,"&gt;"&amp;$B$2))</f>
        <v/>
      </c>
      <c r="H2444">
        <f>IF(AutoClaim_Data!D2444&lt;=$B$2,IF(AutoClaim_Data!E2444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4">
        <f>(F2444-H2444)^2</f>
        <v/>
      </c>
      <c r="J2444">
        <f>--(E2444="Validation")</f>
        <v/>
      </c>
    </row>
    <row r="2445">
      <c r="D2445">
        <f>AutoClaim_Data!A2445</f>
        <v/>
      </c>
      <c r="E2445">
        <f>AutoClaim_Data!B2445</f>
        <v/>
      </c>
      <c r="F2445">
        <f>AutoClaim_Data!C2445</f>
        <v/>
      </c>
      <c r="G2445">
        <f>IF(AutoClaim_Data!D2445&lt;=$B$2,AVERAGEIFS(AutoClaim_Data!C2:C3168,AutoClaim_Data!B2:B3168,"Train",AutoClaim_Data!D2:D3168,"&lt;="&amp;$B$2),AVERAGEIFS(AutoClaim_Data!C2:C3168,AutoClaim_Data!B2:B3168,"Train",AutoClaim_Data!D2:D3168,"&gt;"&amp;$B$2))</f>
        <v/>
      </c>
      <c r="H2445">
        <f>IF(AutoClaim_Data!D2445&lt;=$B$2,IF(AutoClaim_Data!E2445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5">
        <f>(F2445-H2445)^2</f>
        <v/>
      </c>
      <c r="J2445">
        <f>--(E2445="Validation")</f>
        <v/>
      </c>
    </row>
    <row r="2446">
      <c r="D2446">
        <f>AutoClaim_Data!A2446</f>
        <v/>
      </c>
      <c r="E2446">
        <f>AutoClaim_Data!B2446</f>
        <v/>
      </c>
      <c r="F2446">
        <f>AutoClaim_Data!C2446</f>
        <v/>
      </c>
      <c r="G2446">
        <f>IF(AutoClaim_Data!D2446&lt;=$B$2,AVERAGEIFS(AutoClaim_Data!C2:C3168,AutoClaim_Data!B2:B3168,"Train",AutoClaim_Data!D2:D3168,"&lt;="&amp;$B$2),AVERAGEIFS(AutoClaim_Data!C2:C3168,AutoClaim_Data!B2:B3168,"Train",AutoClaim_Data!D2:D3168,"&gt;"&amp;$B$2))</f>
        <v/>
      </c>
      <c r="H2446">
        <f>IF(AutoClaim_Data!D2446&lt;=$B$2,IF(AutoClaim_Data!E2446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6">
        <f>(F2446-H2446)^2</f>
        <v/>
      </c>
      <c r="J2446">
        <f>--(E2446="Validation")</f>
        <v/>
      </c>
    </row>
    <row r="2447">
      <c r="D2447">
        <f>AutoClaim_Data!A2447</f>
        <v/>
      </c>
      <c r="E2447">
        <f>AutoClaim_Data!B2447</f>
        <v/>
      </c>
      <c r="F2447">
        <f>AutoClaim_Data!C2447</f>
        <v/>
      </c>
      <c r="G2447">
        <f>IF(AutoClaim_Data!D2447&lt;=$B$2,AVERAGEIFS(AutoClaim_Data!C2:C3168,AutoClaim_Data!B2:B3168,"Train",AutoClaim_Data!D2:D3168,"&lt;="&amp;$B$2),AVERAGEIFS(AutoClaim_Data!C2:C3168,AutoClaim_Data!B2:B3168,"Train",AutoClaim_Data!D2:D3168,"&gt;"&amp;$B$2))</f>
        <v/>
      </c>
      <c r="H2447">
        <f>IF(AutoClaim_Data!D2447&lt;=$B$2,IF(AutoClaim_Data!E2447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7">
        <f>(F2447-H2447)^2</f>
        <v/>
      </c>
      <c r="J2447">
        <f>--(E2447="Validation")</f>
        <v/>
      </c>
    </row>
    <row r="2448">
      <c r="D2448">
        <f>AutoClaim_Data!A2448</f>
        <v/>
      </c>
      <c r="E2448">
        <f>AutoClaim_Data!B2448</f>
        <v/>
      </c>
      <c r="F2448">
        <f>AutoClaim_Data!C2448</f>
        <v/>
      </c>
      <c r="G2448">
        <f>IF(AutoClaim_Data!D2448&lt;=$B$2,AVERAGEIFS(AutoClaim_Data!C2:C3168,AutoClaim_Data!B2:B3168,"Train",AutoClaim_Data!D2:D3168,"&lt;="&amp;$B$2),AVERAGEIFS(AutoClaim_Data!C2:C3168,AutoClaim_Data!B2:B3168,"Train",AutoClaim_Data!D2:D3168,"&gt;"&amp;$B$2))</f>
        <v/>
      </c>
      <c r="H2448">
        <f>IF(AutoClaim_Data!D2448&lt;=$B$2,IF(AutoClaim_Data!E2448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8">
        <f>(F2448-H2448)^2</f>
        <v/>
      </c>
      <c r="J2448">
        <f>--(E2448="Validation")</f>
        <v/>
      </c>
    </row>
    <row r="2449">
      <c r="D2449">
        <f>AutoClaim_Data!A2449</f>
        <v/>
      </c>
      <c r="E2449">
        <f>AutoClaim_Data!B2449</f>
        <v/>
      </c>
      <c r="F2449">
        <f>AutoClaim_Data!C2449</f>
        <v/>
      </c>
      <c r="G2449">
        <f>IF(AutoClaim_Data!D2449&lt;=$B$2,AVERAGEIFS(AutoClaim_Data!C2:C3168,AutoClaim_Data!B2:B3168,"Train",AutoClaim_Data!D2:D3168,"&lt;="&amp;$B$2),AVERAGEIFS(AutoClaim_Data!C2:C3168,AutoClaim_Data!B2:B3168,"Train",AutoClaim_Data!D2:D3168,"&gt;"&amp;$B$2))</f>
        <v/>
      </c>
      <c r="H2449">
        <f>IF(AutoClaim_Data!D2449&lt;=$B$2,IF(AutoClaim_Data!E2449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49">
        <f>(F2449-H2449)^2</f>
        <v/>
      </c>
      <c r="J2449">
        <f>--(E2449="Validation")</f>
        <v/>
      </c>
    </row>
    <row r="2450">
      <c r="D2450">
        <f>AutoClaim_Data!A2450</f>
        <v/>
      </c>
      <c r="E2450">
        <f>AutoClaim_Data!B2450</f>
        <v/>
      </c>
      <c r="F2450">
        <f>AutoClaim_Data!C2450</f>
        <v/>
      </c>
      <c r="G2450">
        <f>IF(AutoClaim_Data!D2450&lt;=$B$2,AVERAGEIFS(AutoClaim_Data!C2:C3168,AutoClaim_Data!B2:B3168,"Train",AutoClaim_Data!D2:D3168,"&lt;="&amp;$B$2),AVERAGEIFS(AutoClaim_Data!C2:C3168,AutoClaim_Data!B2:B3168,"Train",AutoClaim_Data!D2:D3168,"&gt;"&amp;$B$2))</f>
        <v/>
      </c>
      <c r="H2450">
        <f>IF(AutoClaim_Data!D2450&lt;=$B$2,IF(AutoClaim_Data!E2450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0">
        <f>(F2450-H2450)^2</f>
        <v/>
      </c>
      <c r="J2450">
        <f>--(E2450="Validation")</f>
        <v/>
      </c>
    </row>
    <row r="2451">
      <c r="D2451">
        <f>AutoClaim_Data!A2451</f>
        <v/>
      </c>
      <c r="E2451">
        <f>AutoClaim_Data!B2451</f>
        <v/>
      </c>
      <c r="F2451">
        <f>AutoClaim_Data!C2451</f>
        <v/>
      </c>
      <c r="G2451">
        <f>IF(AutoClaim_Data!D2451&lt;=$B$2,AVERAGEIFS(AutoClaim_Data!C2:C3168,AutoClaim_Data!B2:B3168,"Train",AutoClaim_Data!D2:D3168,"&lt;="&amp;$B$2),AVERAGEIFS(AutoClaim_Data!C2:C3168,AutoClaim_Data!B2:B3168,"Train",AutoClaim_Data!D2:D3168,"&gt;"&amp;$B$2))</f>
        <v/>
      </c>
      <c r="H2451">
        <f>IF(AutoClaim_Data!D2451&lt;=$B$2,IF(AutoClaim_Data!E2451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1">
        <f>(F2451-H2451)^2</f>
        <v/>
      </c>
      <c r="J2451">
        <f>--(E2451="Validation")</f>
        <v/>
      </c>
    </row>
    <row r="2452">
      <c r="D2452">
        <f>AutoClaim_Data!A2452</f>
        <v/>
      </c>
      <c r="E2452">
        <f>AutoClaim_Data!B2452</f>
        <v/>
      </c>
      <c r="F2452">
        <f>AutoClaim_Data!C2452</f>
        <v/>
      </c>
      <c r="G2452">
        <f>IF(AutoClaim_Data!D2452&lt;=$B$2,AVERAGEIFS(AutoClaim_Data!C2:C3168,AutoClaim_Data!B2:B3168,"Train",AutoClaim_Data!D2:D3168,"&lt;="&amp;$B$2),AVERAGEIFS(AutoClaim_Data!C2:C3168,AutoClaim_Data!B2:B3168,"Train",AutoClaim_Data!D2:D3168,"&gt;"&amp;$B$2))</f>
        <v/>
      </c>
      <c r="H2452">
        <f>IF(AutoClaim_Data!D2452&lt;=$B$2,IF(AutoClaim_Data!E2452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2">
        <f>(F2452-H2452)^2</f>
        <v/>
      </c>
      <c r="J2452">
        <f>--(E2452="Validation")</f>
        <v/>
      </c>
    </row>
    <row r="2453">
      <c r="D2453">
        <f>AutoClaim_Data!A2453</f>
        <v/>
      </c>
      <c r="E2453">
        <f>AutoClaim_Data!B2453</f>
        <v/>
      </c>
      <c r="F2453">
        <f>AutoClaim_Data!C2453</f>
        <v/>
      </c>
      <c r="G2453">
        <f>IF(AutoClaim_Data!D2453&lt;=$B$2,AVERAGEIFS(AutoClaim_Data!C2:C3168,AutoClaim_Data!B2:B3168,"Train",AutoClaim_Data!D2:D3168,"&lt;="&amp;$B$2),AVERAGEIFS(AutoClaim_Data!C2:C3168,AutoClaim_Data!B2:B3168,"Train",AutoClaim_Data!D2:D3168,"&gt;"&amp;$B$2))</f>
        <v/>
      </c>
      <c r="H2453">
        <f>IF(AutoClaim_Data!D2453&lt;=$B$2,IF(AutoClaim_Data!E2453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3">
        <f>(F2453-H2453)^2</f>
        <v/>
      </c>
      <c r="J2453">
        <f>--(E2453="Validation")</f>
        <v/>
      </c>
    </row>
    <row r="2454">
      <c r="D2454">
        <f>AutoClaim_Data!A2454</f>
        <v/>
      </c>
      <c r="E2454">
        <f>AutoClaim_Data!B2454</f>
        <v/>
      </c>
      <c r="F2454">
        <f>AutoClaim_Data!C2454</f>
        <v/>
      </c>
      <c r="G2454">
        <f>IF(AutoClaim_Data!D2454&lt;=$B$2,AVERAGEIFS(AutoClaim_Data!C2:C3168,AutoClaim_Data!B2:B3168,"Train",AutoClaim_Data!D2:D3168,"&lt;="&amp;$B$2),AVERAGEIFS(AutoClaim_Data!C2:C3168,AutoClaim_Data!B2:B3168,"Train",AutoClaim_Data!D2:D3168,"&gt;"&amp;$B$2))</f>
        <v/>
      </c>
      <c r="H2454">
        <f>IF(AutoClaim_Data!D2454&lt;=$B$2,IF(AutoClaim_Data!E2454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4">
        <f>(F2454-H2454)^2</f>
        <v/>
      </c>
      <c r="J2454">
        <f>--(E2454="Validation")</f>
        <v/>
      </c>
    </row>
    <row r="2455">
      <c r="D2455">
        <f>AutoClaim_Data!A2455</f>
        <v/>
      </c>
      <c r="E2455">
        <f>AutoClaim_Data!B2455</f>
        <v/>
      </c>
      <c r="F2455">
        <f>AutoClaim_Data!C2455</f>
        <v/>
      </c>
      <c r="G2455">
        <f>IF(AutoClaim_Data!D2455&lt;=$B$2,AVERAGEIFS(AutoClaim_Data!C2:C3168,AutoClaim_Data!B2:B3168,"Train",AutoClaim_Data!D2:D3168,"&lt;="&amp;$B$2),AVERAGEIFS(AutoClaim_Data!C2:C3168,AutoClaim_Data!B2:B3168,"Train",AutoClaim_Data!D2:D3168,"&gt;"&amp;$B$2))</f>
        <v/>
      </c>
      <c r="H2455">
        <f>IF(AutoClaim_Data!D2455&lt;=$B$2,IF(AutoClaim_Data!E2455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5">
        <f>(F2455-H2455)^2</f>
        <v/>
      </c>
      <c r="J2455">
        <f>--(E2455="Validation")</f>
        <v/>
      </c>
    </row>
    <row r="2456">
      <c r="D2456">
        <f>AutoClaim_Data!A2456</f>
        <v/>
      </c>
      <c r="E2456">
        <f>AutoClaim_Data!B2456</f>
        <v/>
      </c>
      <c r="F2456">
        <f>AutoClaim_Data!C2456</f>
        <v/>
      </c>
      <c r="G2456">
        <f>IF(AutoClaim_Data!D2456&lt;=$B$2,AVERAGEIFS(AutoClaim_Data!C2:C3168,AutoClaim_Data!B2:B3168,"Train",AutoClaim_Data!D2:D3168,"&lt;="&amp;$B$2),AVERAGEIFS(AutoClaim_Data!C2:C3168,AutoClaim_Data!B2:B3168,"Train",AutoClaim_Data!D2:D3168,"&gt;"&amp;$B$2))</f>
        <v/>
      </c>
      <c r="H2456">
        <f>IF(AutoClaim_Data!D2456&lt;=$B$2,IF(AutoClaim_Data!E2456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6">
        <f>(F2456-H2456)^2</f>
        <v/>
      </c>
      <c r="J2456">
        <f>--(E2456="Validation")</f>
        <v/>
      </c>
    </row>
    <row r="2457">
      <c r="D2457">
        <f>AutoClaim_Data!A2457</f>
        <v/>
      </c>
      <c r="E2457">
        <f>AutoClaim_Data!B2457</f>
        <v/>
      </c>
      <c r="F2457">
        <f>AutoClaim_Data!C2457</f>
        <v/>
      </c>
      <c r="G2457">
        <f>IF(AutoClaim_Data!D2457&lt;=$B$2,AVERAGEIFS(AutoClaim_Data!C2:C3168,AutoClaim_Data!B2:B3168,"Train",AutoClaim_Data!D2:D3168,"&lt;="&amp;$B$2),AVERAGEIFS(AutoClaim_Data!C2:C3168,AutoClaim_Data!B2:B3168,"Train",AutoClaim_Data!D2:D3168,"&gt;"&amp;$B$2))</f>
        <v/>
      </c>
      <c r="H2457">
        <f>IF(AutoClaim_Data!D2457&lt;=$B$2,IF(AutoClaim_Data!E2457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7">
        <f>(F2457-H2457)^2</f>
        <v/>
      </c>
      <c r="J2457">
        <f>--(E2457="Validation")</f>
        <v/>
      </c>
    </row>
    <row r="2458">
      <c r="D2458">
        <f>AutoClaim_Data!A2458</f>
        <v/>
      </c>
      <c r="E2458">
        <f>AutoClaim_Data!B2458</f>
        <v/>
      </c>
      <c r="F2458">
        <f>AutoClaim_Data!C2458</f>
        <v/>
      </c>
      <c r="G2458">
        <f>IF(AutoClaim_Data!D2458&lt;=$B$2,AVERAGEIFS(AutoClaim_Data!C2:C3168,AutoClaim_Data!B2:B3168,"Train",AutoClaim_Data!D2:D3168,"&lt;="&amp;$B$2),AVERAGEIFS(AutoClaim_Data!C2:C3168,AutoClaim_Data!B2:B3168,"Train",AutoClaim_Data!D2:D3168,"&gt;"&amp;$B$2))</f>
        <v/>
      </c>
      <c r="H2458">
        <f>IF(AutoClaim_Data!D2458&lt;=$B$2,IF(AutoClaim_Data!E2458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8">
        <f>(F2458-H2458)^2</f>
        <v/>
      </c>
      <c r="J2458">
        <f>--(E2458="Validation")</f>
        <v/>
      </c>
    </row>
    <row r="2459">
      <c r="D2459">
        <f>AutoClaim_Data!A2459</f>
        <v/>
      </c>
      <c r="E2459">
        <f>AutoClaim_Data!B2459</f>
        <v/>
      </c>
      <c r="F2459">
        <f>AutoClaim_Data!C2459</f>
        <v/>
      </c>
      <c r="G2459">
        <f>IF(AutoClaim_Data!D2459&lt;=$B$2,AVERAGEIFS(AutoClaim_Data!C2:C3168,AutoClaim_Data!B2:B3168,"Train",AutoClaim_Data!D2:D3168,"&lt;="&amp;$B$2),AVERAGEIFS(AutoClaim_Data!C2:C3168,AutoClaim_Data!B2:B3168,"Train",AutoClaim_Data!D2:D3168,"&gt;"&amp;$B$2))</f>
        <v/>
      </c>
      <c r="H2459">
        <f>IF(AutoClaim_Data!D2459&lt;=$B$2,IF(AutoClaim_Data!E2459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59">
        <f>(F2459-H2459)^2</f>
        <v/>
      </c>
      <c r="J2459">
        <f>--(E2459="Validation")</f>
        <v/>
      </c>
    </row>
    <row r="2460">
      <c r="D2460">
        <f>AutoClaim_Data!A2460</f>
        <v/>
      </c>
      <c r="E2460">
        <f>AutoClaim_Data!B2460</f>
        <v/>
      </c>
      <c r="F2460">
        <f>AutoClaim_Data!C2460</f>
        <v/>
      </c>
      <c r="G2460">
        <f>IF(AutoClaim_Data!D2460&lt;=$B$2,AVERAGEIFS(AutoClaim_Data!C2:C3168,AutoClaim_Data!B2:B3168,"Train",AutoClaim_Data!D2:D3168,"&lt;="&amp;$B$2),AVERAGEIFS(AutoClaim_Data!C2:C3168,AutoClaim_Data!B2:B3168,"Train",AutoClaim_Data!D2:D3168,"&gt;"&amp;$B$2))</f>
        <v/>
      </c>
      <c r="H2460">
        <f>IF(AutoClaim_Data!D2460&lt;=$B$2,IF(AutoClaim_Data!E2460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0">
        <f>(F2460-H2460)^2</f>
        <v/>
      </c>
      <c r="J2460">
        <f>--(E2460="Validation")</f>
        <v/>
      </c>
    </row>
    <row r="2461">
      <c r="D2461">
        <f>AutoClaim_Data!A2461</f>
        <v/>
      </c>
      <c r="E2461">
        <f>AutoClaim_Data!B2461</f>
        <v/>
      </c>
      <c r="F2461">
        <f>AutoClaim_Data!C2461</f>
        <v/>
      </c>
      <c r="G2461">
        <f>IF(AutoClaim_Data!D2461&lt;=$B$2,AVERAGEIFS(AutoClaim_Data!C2:C3168,AutoClaim_Data!B2:B3168,"Train",AutoClaim_Data!D2:D3168,"&lt;="&amp;$B$2),AVERAGEIFS(AutoClaim_Data!C2:C3168,AutoClaim_Data!B2:B3168,"Train",AutoClaim_Data!D2:D3168,"&gt;"&amp;$B$2))</f>
        <v/>
      </c>
      <c r="H2461">
        <f>IF(AutoClaim_Data!D2461&lt;=$B$2,IF(AutoClaim_Data!E2461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1">
        <f>(F2461-H2461)^2</f>
        <v/>
      </c>
      <c r="J2461">
        <f>--(E2461="Validation")</f>
        <v/>
      </c>
    </row>
    <row r="2462">
      <c r="D2462">
        <f>AutoClaim_Data!A2462</f>
        <v/>
      </c>
      <c r="E2462">
        <f>AutoClaim_Data!B2462</f>
        <v/>
      </c>
      <c r="F2462">
        <f>AutoClaim_Data!C2462</f>
        <v/>
      </c>
      <c r="G2462">
        <f>IF(AutoClaim_Data!D2462&lt;=$B$2,AVERAGEIFS(AutoClaim_Data!C2:C3168,AutoClaim_Data!B2:B3168,"Train",AutoClaim_Data!D2:D3168,"&lt;="&amp;$B$2),AVERAGEIFS(AutoClaim_Data!C2:C3168,AutoClaim_Data!B2:B3168,"Train",AutoClaim_Data!D2:D3168,"&gt;"&amp;$B$2))</f>
        <v/>
      </c>
      <c r="H2462">
        <f>IF(AutoClaim_Data!D2462&lt;=$B$2,IF(AutoClaim_Data!E2462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2">
        <f>(F2462-H2462)^2</f>
        <v/>
      </c>
      <c r="J2462">
        <f>--(E2462="Validation")</f>
        <v/>
      </c>
    </row>
    <row r="2463">
      <c r="D2463">
        <f>AutoClaim_Data!A2463</f>
        <v/>
      </c>
      <c r="E2463">
        <f>AutoClaim_Data!B2463</f>
        <v/>
      </c>
      <c r="F2463">
        <f>AutoClaim_Data!C2463</f>
        <v/>
      </c>
      <c r="G2463">
        <f>IF(AutoClaim_Data!D2463&lt;=$B$2,AVERAGEIFS(AutoClaim_Data!C2:C3168,AutoClaim_Data!B2:B3168,"Train",AutoClaim_Data!D2:D3168,"&lt;="&amp;$B$2),AVERAGEIFS(AutoClaim_Data!C2:C3168,AutoClaim_Data!B2:B3168,"Train",AutoClaim_Data!D2:D3168,"&gt;"&amp;$B$2))</f>
        <v/>
      </c>
      <c r="H2463">
        <f>IF(AutoClaim_Data!D2463&lt;=$B$2,IF(AutoClaim_Data!E2463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3">
        <f>(F2463-H2463)^2</f>
        <v/>
      </c>
      <c r="J2463">
        <f>--(E2463="Validation")</f>
        <v/>
      </c>
    </row>
    <row r="2464">
      <c r="D2464">
        <f>AutoClaim_Data!A2464</f>
        <v/>
      </c>
      <c r="E2464">
        <f>AutoClaim_Data!B2464</f>
        <v/>
      </c>
      <c r="F2464">
        <f>AutoClaim_Data!C2464</f>
        <v/>
      </c>
      <c r="G2464">
        <f>IF(AutoClaim_Data!D2464&lt;=$B$2,AVERAGEIFS(AutoClaim_Data!C2:C3168,AutoClaim_Data!B2:B3168,"Train",AutoClaim_Data!D2:D3168,"&lt;="&amp;$B$2),AVERAGEIFS(AutoClaim_Data!C2:C3168,AutoClaim_Data!B2:B3168,"Train",AutoClaim_Data!D2:D3168,"&gt;"&amp;$B$2))</f>
        <v/>
      </c>
      <c r="H2464">
        <f>IF(AutoClaim_Data!D2464&lt;=$B$2,IF(AutoClaim_Data!E2464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4">
        <f>(F2464-H2464)^2</f>
        <v/>
      </c>
      <c r="J2464">
        <f>--(E2464="Validation")</f>
        <v/>
      </c>
    </row>
    <row r="2465">
      <c r="D2465">
        <f>AutoClaim_Data!A2465</f>
        <v/>
      </c>
      <c r="E2465">
        <f>AutoClaim_Data!B2465</f>
        <v/>
      </c>
      <c r="F2465">
        <f>AutoClaim_Data!C2465</f>
        <v/>
      </c>
      <c r="G2465">
        <f>IF(AutoClaim_Data!D2465&lt;=$B$2,AVERAGEIFS(AutoClaim_Data!C2:C3168,AutoClaim_Data!B2:B3168,"Train",AutoClaim_Data!D2:D3168,"&lt;="&amp;$B$2),AVERAGEIFS(AutoClaim_Data!C2:C3168,AutoClaim_Data!B2:B3168,"Train",AutoClaim_Data!D2:D3168,"&gt;"&amp;$B$2))</f>
        <v/>
      </c>
      <c r="H2465">
        <f>IF(AutoClaim_Data!D2465&lt;=$B$2,IF(AutoClaim_Data!E2465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5">
        <f>(F2465-H2465)^2</f>
        <v/>
      </c>
      <c r="J2465">
        <f>--(E2465="Validation")</f>
        <v/>
      </c>
    </row>
    <row r="2466">
      <c r="D2466">
        <f>AutoClaim_Data!A2466</f>
        <v/>
      </c>
      <c r="E2466">
        <f>AutoClaim_Data!B2466</f>
        <v/>
      </c>
      <c r="F2466">
        <f>AutoClaim_Data!C2466</f>
        <v/>
      </c>
      <c r="G2466">
        <f>IF(AutoClaim_Data!D2466&lt;=$B$2,AVERAGEIFS(AutoClaim_Data!C2:C3168,AutoClaim_Data!B2:B3168,"Train",AutoClaim_Data!D2:D3168,"&lt;="&amp;$B$2),AVERAGEIFS(AutoClaim_Data!C2:C3168,AutoClaim_Data!B2:B3168,"Train",AutoClaim_Data!D2:D3168,"&gt;"&amp;$B$2))</f>
        <v/>
      </c>
      <c r="H2466">
        <f>IF(AutoClaim_Data!D2466&lt;=$B$2,IF(AutoClaim_Data!E2466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6">
        <f>(F2466-H2466)^2</f>
        <v/>
      </c>
      <c r="J2466">
        <f>--(E2466="Validation")</f>
        <v/>
      </c>
    </row>
    <row r="2467">
      <c r="D2467">
        <f>AutoClaim_Data!A2467</f>
        <v/>
      </c>
      <c r="E2467">
        <f>AutoClaim_Data!B2467</f>
        <v/>
      </c>
      <c r="F2467">
        <f>AutoClaim_Data!C2467</f>
        <v/>
      </c>
      <c r="G2467">
        <f>IF(AutoClaim_Data!D2467&lt;=$B$2,AVERAGEIFS(AutoClaim_Data!C2:C3168,AutoClaim_Data!B2:B3168,"Train",AutoClaim_Data!D2:D3168,"&lt;="&amp;$B$2),AVERAGEIFS(AutoClaim_Data!C2:C3168,AutoClaim_Data!B2:B3168,"Train",AutoClaim_Data!D2:D3168,"&gt;"&amp;$B$2))</f>
        <v/>
      </c>
      <c r="H2467">
        <f>IF(AutoClaim_Data!D2467&lt;=$B$2,IF(AutoClaim_Data!E2467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7">
        <f>(F2467-H2467)^2</f>
        <v/>
      </c>
      <c r="J2467">
        <f>--(E2467="Validation")</f>
        <v/>
      </c>
    </row>
    <row r="2468">
      <c r="D2468">
        <f>AutoClaim_Data!A2468</f>
        <v/>
      </c>
      <c r="E2468">
        <f>AutoClaim_Data!B2468</f>
        <v/>
      </c>
      <c r="F2468">
        <f>AutoClaim_Data!C2468</f>
        <v/>
      </c>
      <c r="G2468">
        <f>IF(AutoClaim_Data!D2468&lt;=$B$2,AVERAGEIFS(AutoClaim_Data!C2:C3168,AutoClaim_Data!B2:B3168,"Train",AutoClaim_Data!D2:D3168,"&lt;="&amp;$B$2),AVERAGEIFS(AutoClaim_Data!C2:C3168,AutoClaim_Data!B2:B3168,"Train",AutoClaim_Data!D2:D3168,"&gt;"&amp;$B$2))</f>
        <v/>
      </c>
      <c r="H2468">
        <f>IF(AutoClaim_Data!D2468&lt;=$B$2,IF(AutoClaim_Data!E2468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8">
        <f>(F2468-H2468)^2</f>
        <v/>
      </c>
      <c r="J2468">
        <f>--(E2468="Validation")</f>
        <v/>
      </c>
    </row>
    <row r="2469">
      <c r="D2469">
        <f>AutoClaim_Data!A2469</f>
        <v/>
      </c>
      <c r="E2469">
        <f>AutoClaim_Data!B2469</f>
        <v/>
      </c>
      <c r="F2469">
        <f>AutoClaim_Data!C2469</f>
        <v/>
      </c>
      <c r="G2469">
        <f>IF(AutoClaim_Data!D2469&lt;=$B$2,AVERAGEIFS(AutoClaim_Data!C2:C3168,AutoClaim_Data!B2:B3168,"Train",AutoClaim_Data!D2:D3168,"&lt;="&amp;$B$2),AVERAGEIFS(AutoClaim_Data!C2:C3168,AutoClaim_Data!B2:B3168,"Train",AutoClaim_Data!D2:D3168,"&gt;"&amp;$B$2))</f>
        <v/>
      </c>
      <c r="H2469">
        <f>IF(AutoClaim_Data!D2469&lt;=$B$2,IF(AutoClaim_Data!E2469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69">
        <f>(F2469-H2469)^2</f>
        <v/>
      </c>
      <c r="J2469">
        <f>--(E2469="Validation")</f>
        <v/>
      </c>
    </row>
    <row r="2470">
      <c r="D2470">
        <f>AutoClaim_Data!A2470</f>
        <v/>
      </c>
      <c r="E2470">
        <f>AutoClaim_Data!B2470</f>
        <v/>
      </c>
      <c r="F2470">
        <f>AutoClaim_Data!C2470</f>
        <v/>
      </c>
      <c r="G2470">
        <f>IF(AutoClaim_Data!D2470&lt;=$B$2,AVERAGEIFS(AutoClaim_Data!C2:C3168,AutoClaim_Data!B2:B3168,"Train",AutoClaim_Data!D2:D3168,"&lt;="&amp;$B$2),AVERAGEIFS(AutoClaim_Data!C2:C3168,AutoClaim_Data!B2:B3168,"Train",AutoClaim_Data!D2:D3168,"&gt;"&amp;$B$2))</f>
        <v/>
      </c>
      <c r="H2470">
        <f>IF(AutoClaim_Data!D2470&lt;=$B$2,IF(AutoClaim_Data!E2470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0">
        <f>(F2470-H2470)^2</f>
        <v/>
      </c>
      <c r="J2470">
        <f>--(E2470="Validation")</f>
        <v/>
      </c>
    </row>
    <row r="2471">
      <c r="D2471">
        <f>AutoClaim_Data!A2471</f>
        <v/>
      </c>
      <c r="E2471">
        <f>AutoClaim_Data!B2471</f>
        <v/>
      </c>
      <c r="F2471">
        <f>AutoClaim_Data!C2471</f>
        <v/>
      </c>
      <c r="G2471">
        <f>IF(AutoClaim_Data!D2471&lt;=$B$2,AVERAGEIFS(AutoClaim_Data!C2:C3168,AutoClaim_Data!B2:B3168,"Train",AutoClaim_Data!D2:D3168,"&lt;="&amp;$B$2),AVERAGEIFS(AutoClaim_Data!C2:C3168,AutoClaim_Data!B2:B3168,"Train",AutoClaim_Data!D2:D3168,"&gt;"&amp;$B$2))</f>
        <v/>
      </c>
      <c r="H2471">
        <f>IF(AutoClaim_Data!D2471&lt;=$B$2,IF(AutoClaim_Data!E2471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1">
        <f>(F2471-H2471)^2</f>
        <v/>
      </c>
      <c r="J2471">
        <f>--(E2471="Validation")</f>
        <v/>
      </c>
    </row>
    <row r="2472">
      <c r="D2472">
        <f>AutoClaim_Data!A2472</f>
        <v/>
      </c>
      <c r="E2472">
        <f>AutoClaim_Data!B2472</f>
        <v/>
      </c>
      <c r="F2472">
        <f>AutoClaim_Data!C2472</f>
        <v/>
      </c>
      <c r="G2472">
        <f>IF(AutoClaim_Data!D2472&lt;=$B$2,AVERAGEIFS(AutoClaim_Data!C2:C3168,AutoClaim_Data!B2:B3168,"Train",AutoClaim_Data!D2:D3168,"&lt;="&amp;$B$2),AVERAGEIFS(AutoClaim_Data!C2:C3168,AutoClaim_Data!B2:B3168,"Train",AutoClaim_Data!D2:D3168,"&gt;"&amp;$B$2))</f>
        <v/>
      </c>
      <c r="H2472">
        <f>IF(AutoClaim_Data!D2472&lt;=$B$2,IF(AutoClaim_Data!E2472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2">
        <f>(F2472-H2472)^2</f>
        <v/>
      </c>
      <c r="J2472">
        <f>--(E2472="Validation")</f>
        <v/>
      </c>
    </row>
    <row r="2473">
      <c r="D2473">
        <f>AutoClaim_Data!A2473</f>
        <v/>
      </c>
      <c r="E2473">
        <f>AutoClaim_Data!B2473</f>
        <v/>
      </c>
      <c r="F2473">
        <f>AutoClaim_Data!C2473</f>
        <v/>
      </c>
      <c r="G2473">
        <f>IF(AutoClaim_Data!D2473&lt;=$B$2,AVERAGEIFS(AutoClaim_Data!C2:C3168,AutoClaim_Data!B2:B3168,"Train",AutoClaim_Data!D2:D3168,"&lt;="&amp;$B$2),AVERAGEIFS(AutoClaim_Data!C2:C3168,AutoClaim_Data!B2:B3168,"Train",AutoClaim_Data!D2:D3168,"&gt;"&amp;$B$2))</f>
        <v/>
      </c>
      <c r="H2473">
        <f>IF(AutoClaim_Data!D2473&lt;=$B$2,IF(AutoClaim_Data!E2473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3">
        <f>(F2473-H2473)^2</f>
        <v/>
      </c>
      <c r="J2473">
        <f>--(E2473="Validation")</f>
        <v/>
      </c>
    </row>
    <row r="2474">
      <c r="D2474">
        <f>AutoClaim_Data!A2474</f>
        <v/>
      </c>
      <c r="E2474">
        <f>AutoClaim_Data!B2474</f>
        <v/>
      </c>
      <c r="F2474">
        <f>AutoClaim_Data!C2474</f>
        <v/>
      </c>
      <c r="G2474">
        <f>IF(AutoClaim_Data!D2474&lt;=$B$2,AVERAGEIFS(AutoClaim_Data!C2:C3168,AutoClaim_Data!B2:B3168,"Train",AutoClaim_Data!D2:D3168,"&lt;="&amp;$B$2),AVERAGEIFS(AutoClaim_Data!C2:C3168,AutoClaim_Data!B2:B3168,"Train",AutoClaim_Data!D2:D3168,"&gt;"&amp;$B$2))</f>
        <v/>
      </c>
      <c r="H2474">
        <f>IF(AutoClaim_Data!D2474&lt;=$B$2,IF(AutoClaim_Data!E2474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4">
        <f>(F2474-H2474)^2</f>
        <v/>
      </c>
      <c r="J2474">
        <f>--(E2474="Validation")</f>
        <v/>
      </c>
    </row>
    <row r="2475">
      <c r="D2475">
        <f>AutoClaim_Data!A2475</f>
        <v/>
      </c>
      <c r="E2475">
        <f>AutoClaim_Data!B2475</f>
        <v/>
      </c>
      <c r="F2475">
        <f>AutoClaim_Data!C2475</f>
        <v/>
      </c>
      <c r="G2475">
        <f>IF(AutoClaim_Data!D2475&lt;=$B$2,AVERAGEIFS(AutoClaim_Data!C2:C3168,AutoClaim_Data!B2:B3168,"Train",AutoClaim_Data!D2:D3168,"&lt;="&amp;$B$2),AVERAGEIFS(AutoClaim_Data!C2:C3168,AutoClaim_Data!B2:B3168,"Train",AutoClaim_Data!D2:D3168,"&gt;"&amp;$B$2))</f>
        <v/>
      </c>
      <c r="H2475">
        <f>IF(AutoClaim_Data!D2475&lt;=$B$2,IF(AutoClaim_Data!E2475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5">
        <f>(F2475-H2475)^2</f>
        <v/>
      </c>
      <c r="J2475">
        <f>--(E2475="Validation")</f>
        <v/>
      </c>
    </row>
    <row r="2476">
      <c r="D2476">
        <f>AutoClaim_Data!A2476</f>
        <v/>
      </c>
      <c r="E2476">
        <f>AutoClaim_Data!B2476</f>
        <v/>
      </c>
      <c r="F2476">
        <f>AutoClaim_Data!C2476</f>
        <v/>
      </c>
      <c r="G2476">
        <f>IF(AutoClaim_Data!D2476&lt;=$B$2,AVERAGEIFS(AutoClaim_Data!C2:C3168,AutoClaim_Data!B2:B3168,"Train",AutoClaim_Data!D2:D3168,"&lt;="&amp;$B$2),AVERAGEIFS(AutoClaim_Data!C2:C3168,AutoClaim_Data!B2:B3168,"Train",AutoClaim_Data!D2:D3168,"&gt;"&amp;$B$2))</f>
        <v/>
      </c>
      <c r="H2476">
        <f>IF(AutoClaim_Data!D2476&lt;=$B$2,IF(AutoClaim_Data!E2476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6">
        <f>(F2476-H2476)^2</f>
        <v/>
      </c>
      <c r="J2476">
        <f>--(E2476="Validation")</f>
        <v/>
      </c>
    </row>
    <row r="2477">
      <c r="D2477">
        <f>AutoClaim_Data!A2477</f>
        <v/>
      </c>
      <c r="E2477">
        <f>AutoClaim_Data!B2477</f>
        <v/>
      </c>
      <c r="F2477">
        <f>AutoClaim_Data!C2477</f>
        <v/>
      </c>
      <c r="G2477">
        <f>IF(AutoClaim_Data!D2477&lt;=$B$2,AVERAGEIFS(AutoClaim_Data!C2:C3168,AutoClaim_Data!B2:B3168,"Train",AutoClaim_Data!D2:D3168,"&lt;="&amp;$B$2),AVERAGEIFS(AutoClaim_Data!C2:C3168,AutoClaim_Data!B2:B3168,"Train",AutoClaim_Data!D2:D3168,"&gt;"&amp;$B$2))</f>
        <v/>
      </c>
      <c r="H2477">
        <f>IF(AutoClaim_Data!D2477&lt;=$B$2,IF(AutoClaim_Data!E2477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7">
        <f>(F2477-H2477)^2</f>
        <v/>
      </c>
      <c r="J2477">
        <f>--(E2477="Validation")</f>
        <v/>
      </c>
    </row>
    <row r="2478">
      <c r="D2478">
        <f>AutoClaim_Data!A2478</f>
        <v/>
      </c>
      <c r="E2478">
        <f>AutoClaim_Data!B2478</f>
        <v/>
      </c>
      <c r="F2478">
        <f>AutoClaim_Data!C2478</f>
        <v/>
      </c>
      <c r="G2478">
        <f>IF(AutoClaim_Data!D2478&lt;=$B$2,AVERAGEIFS(AutoClaim_Data!C2:C3168,AutoClaim_Data!B2:B3168,"Train",AutoClaim_Data!D2:D3168,"&lt;="&amp;$B$2),AVERAGEIFS(AutoClaim_Data!C2:C3168,AutoClaim_Data!B2:B3168,"Train",AutoClaim_Data!D2:D3168,"&gt;"&amp;$B$2))</f>
        <v/>
      </c>
      <c r="H2478">
        <f>IF(AutoClaim_Data!D2478&lt;=$B$2,IF(AutoClaim_Data!E2478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8">
        <f>(F2478-H2478)^2</f>
        <v/>
      </c>
      <c r="J2478">
        <f>--(E2478="Validation")</f>
        <v/>
      </c>
    </row>
    <row r="2479">
      <c r="D2479">
        <f>AutoClaim_Data!A2479</f>
        <v/>
      </c>
      <c r="E2479">
        <f>AutoClaim_Data!B2479</f>
        <v/>
      </c>
      <c r="F2479">
        <f>AutoClaim_Data!C2479</f>
        <v/>
      </c>
      <c r="G2479">
        <f>IF(AutoClaim_Data!D2479&lt;=$B$2,AVERAGEIFS(AutoClaim_Data!C2:C3168,AutoClaim_Data!B2:B3168,"Train",AutoClaim_Data!D2:D3168,"&lt;="&amp;$B$2),AVERAGEIFS(AutoClaim_Data!C2:C3168,AutoClaim_Data!B2:B3168,"Train",AutoClaim_Data!D2:D3168,"&gt;"&amp;$B$2))</f>
        <v/>
      </c>
      <c r="H2479">
        <f>IF(AutoClaim_Data!D2479&lt;=$B$2,IF(AutoClaim_Data!E2479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79">
        <f>(F2479-H2479)^2</f>
        <v/>
      </c>
      <c r="J2479">
        <f>--(E2479="Validation")</f>
        <v/>
      </c>
    </row>
    <row r="2480">
      <c r="D2480">
        <f>AutoClaim_Data!A2480</f>
        <v/>
      </c>
      <c r="E2480">
        <f>AutoClaim_Data!B2480</f>
        <v/>
      </c>
      <c r="F2480">
        <f>AutoClaim_Data!C2480</f>
        <v/>
      </c>
      <c r="G2480">
        <f>IF(AutoClaim_Data!D2480&lt;=$B$2,AVERAGEIFS(AutoClaim_Data!C2:C3168,AutoClaim_Data!B2:B3168,"Train",AutoClaim_Data!D2:D3168,"&lt;="&amp;$B$2),AVERAGEIFS(AutoClaim_Data!C2:C3168,AutoClaim_Data!B2:B3168,"Train",AutoClaim_Data!D2:D3168,"&gt;"&amp;$B$2))</f>
        <v/>
      </c>
      <c r="H2480">
        <f>IF(AutoClaim_Data!D2480&lt;=$B$2,IF(AutoClaim_Data!E2480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0">
        <f>(F2480-H2480)^2</f>
        <v/>
      </c>
      <c r="J2480">
        <f>--(E2480="Validation")</f>
        <v/>
      </c>
    </row>
    <row r="2481">
      <c r="D2481">
        <f>AutoClaim_Data!A2481</f>
        <v/>
      </c>
      <c r="E2481">
        <f>AutoClaim_Data!B2481</f>
        <v/>
      </c>
      <c r="F2481">
        <f>AutoClaim_Data!C2481</f>
        <v/>
      </c>
      <c r="G2481">
        <f>IF(AutoClaim_Data!D2481&lt;=$B$2,AVERAGEIFS(AutoClaim_Data!C2:C3168,AutoClaim_Data!B2:B3168,"Train",AutoClaim_Data!D2:D3168,"&lt;="&amp;$B$2),AVERAGEIFS(AutoClaim_Data!C2:C3168,AutoClaim_Data!B2:B3168,"Train",AutoClaim_Data!D2:D3168,"&gt;"&amp;$B$2))</f>
        <v/>
      </c>
      <c r="H2481">
        <f>IF(AutoClaim_Data!D2481&lt;=$B$2,IF(AutoClaim_Data!E2481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1">
        <f>(F2481-H2481)^2</f>
        <v/>
      </c>
      <c r="J2481">
        <f>--(E2481="Validation")</f>
        <v/>
      </c>
    </row>
    <row r="2482">
      <c r="D2482">
        <f>AutoClaim_Data!A2482</f>
        <v/>
      </c>
      <c r="E2482">
        <f>AutoClaim_Data!B2482</f>
        <v/>
      </c>
      <c r="F2482">
        <f>AutoClaim_Data!C2482</f>
        <v/>
      </c>
      <c r="G2482">
        <f>IF(AutoClaim_Data!D2482&lt;=$B$2,AVERAGEIFS(AutoClaim_Data!C2:C3168,AutoClaim_Data!B2:B3168,"Train",AutoClaim_Data!D2:D3168,"&lt;="&amp;$B$2),AVERAGEIFS(AutoClaim_Data!C2:C3168,AutoClaim_Data!B2:B3168,"Train",AutoClaim_Data!D2:D3168,"&gt;"&amp;$B$2))</f>
        <v/>
      </c>
      <c r="H2482">
        <f>IF(AutoClaim_Data!D2482&lt;=$B$2,IF(AutoClaim_Data!E2482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2">
        <f>(F2482-H2482)^2</f>
        <v/>
      </c>
      <c r="J2482">
        <f>--(E2482="Validation")</f>
        <v/>
      </c>
    </row>
    <row r="2483">
      <c r="D2483">
        <f>AutoClaim_Data!A2483</f>
        <v/>
      </c>
      <c r="E2483">
        <f>AutoClaim_Data!B2483</f>
        <v/>
      </c>
      <c r="F2483">
        <f>AutoClaim_Data!C2483</f>
        <v/>
      </c>
      <c r="G2483">
        <f>IF(AutoClaim_Data!D2483&lt;=$B$2,AVERAGEIFS(AutoClaim_Data!C2:C3168,AutoClaim_Data!B2:B3168,"Train",AutoClaim_Data!D2:D3168,"&lt;="&amp;$B$2),AVERAGEIFS(AutoClaim_Data!C2:C3168,AutoClaim_Data!B2:B3168,"Train",AutoClaim_Data!D2:D3168,"&gt;"&amp;$B$2))</f>
        <v/>
      </c>
      <c r="H2483">
        <f>IF(AutoClaim_Data!D2483&lt;=$B$2,IF(AutoClaim_Data!E2483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3">
        <f>(F2483-H2483)^2</f>
        <v/>
      </c>
      <c r="J2483">
        <f>--(E2483="Validation")</f>
        <v/>
      </c>
    </row>
    <row r="2484">
      <c r="D2484">
        <f>AutoClaim_Data!A2484</f>
        <v/>
      </c>
      <c r="E2484">
        <f>AutoClaim_Data!B2484</f>
        <v/>
      </c>
      <c r="F2484">
        <f>AutoClaim_Data!C2484</f>
        <v/>
      </c>
      <c r="G2484">
        <f>IF(AutoClaim_Data!D2484&lt;=$B$2,AVERAGEIFS(AutoClaim_Data!C2:C3168,AutoClaim_Data!B2:B3168,"Train",AutoClaim_Data!D2:D3168,"&lt;="&amp;$B$2),AVERAGEIFS(AutoClaim_Data!C2:C3168,AutoClaim_Data!B2:B3168,"Train",AutoClaim_Data!D2:D3168,"&gt;"&amp;$B$2))</f>
        <v/>
      </c>
      <c r="H2484">
        <f>IF(AutoClaim_Data!D2484&lt;=$B$2,IF(AutoClaim_Data!E2484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4">
        <f>(F2484-H2484)^2</f>
        <v/>
      </c>
      <c r="J2484">
        <f>--(E2484="Validation")</f>
        <v/>
      </c>
    </row>
    <row r="2485">
      <c r="D2485">
        <f>AutoClaim_Data!A2485</f>
        <v/>
      </c>
      <c r="E2485">
        <f>AutoClaim_Data!B2485</f>
        <v/>
      </c>
      <c r="F2485">
        <f>AutoClaim_Data!C2485</f>
        <v/>
      </c>
      <c r="G2485">
        <f>IF(AutoClaim_Data!D2485&lt;=$B$2,AVERAGEIFS(AutoClaim_Data!C2:C3168,AutoClaim_Data!B2:B3168,"Train",AutoClaim_Data!D2:D3168,"&lt;="&amp;$B$2),AVERAGEIFS(AutoClaim_Data!C2:C3168,AutoClaim_Data!B2:B3168,"Train",AutoClaim_Data!D2:D3168,"&gt;"&amp;$B$2))</f>
        <v/>
      </c>
      <c r="H2485">
        <f>IF(AutoClaim_Data!D2485&lt;=$B$2,IF(AutoClaim_Data!E2485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5">
        <f>(F2485-H2485)^2</f>
        <v/>
      </c>
      <c r="J2485">
        <f>--(E2485="Validation")</f>
        <v/>
      </c>
    </row>
    <row r="2486">
      <c r="D2486">
        <f>AutoClaim_Data!A2486</f>
        <v/>
      </c>
      <c r="E2486">
        <f>AutoClaim_Data!B2486</f>
        <v/>
      </c>
      <c r="F2486">
        <f>AutoClaim_Data!C2486</f>
        <v/>
      </c>
      <c r="G2486">
        <f>IF(AutoClaim_Data!D2486&lt;=$B$2,AVERAGEIFS(AutoClaim_Data!C2:C3168,AutoClaim_Data!B2:B3168,"Train",AutoClaim_Data!D2:D3168,"&lt;="&amp;$B$2),AVERAGEIFS(AutoClaim_Data!C2:C3168,AutoClaim_Data!B2:B3168,"Train",AutoClaim_Data!D2:D3168,"&gt;"&amp;$B$2))</f>
        <v/>
      </c>
      <c r="H2486">
        <f>IF(AutoClaim_Data!D2486&lt;=$B$2,IF(AutoClaim_Data!E2486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6">
        <f>(F2486-H2486)^2</f>
        <v/>
      </c>
      <c r="J2486">
        <f>--(E2486="Validation")</f>
        <v/>
      </c>
    </row>
    <row r="2487">
      <c r="D2487">
        <f>AutoClaim_Data!A2487</f>
        <v/>
      </c>
      <c r="E2487">
        <f>AutoClaim_Data!B2487</f>
        <v/>
      </c>
      <c r="F2487">
        <f>AutoClaim_Data!C2487</f>
        <v/>
      </c>
      <c r="G2487">
        <f>IF(AutoClaim_Data!D2487&lt;=$B$2,AVERAGEIFS(AutoClaim_Data!C2:C3168,AutoClaim_Data!B2:B3168,"Train",AutoClaim_Data!D2:D3168,"&lt;="&amp;$B$2),AVERAGEIFS(AutoClaim_Data!C2:C3168,AutoClaim_Data!B2:B3168,"Train",AutoClaim_Data!D2:D3168,"&gt;"&amp;$B$2))</f>
        <v/>
      </c>
      <c r="H2487">
        <f>IF(AutoClaim_Data!D2487&lt;=$B$2,IF(AutoClaim_Data!E2487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7">
        <f>(F2487-H2487)^2</f>
        <v/>
      </c>
      <c r="J2487">
        <f>--(E2487="Validation")</f>
        <v/>
      </c>
    </row>
    <row r="2488">
      <c r="D2488">
        <f>AutoClaim_Data!A2488</f>
        <v/>
      </c>
      <c r="E2488">
        <f>AutoClaim_Data!B2488</f>
        <v/>
      </c>
      <c r="F2488">
        <f>AutoClaim_Data!C2488</f>
        <v/>
      </c>
      <c r="G2488">
        <f>IF(AutoClaim_Data!D2488&lt;=$B$2,AVERAGEIFS(AutoClaim_Data!C2:C3168,AutoClaim_Data!B2:B3168,"Train",AutoClaim_Data!D2:D3168,"&lt;="&amp;$B$2),AVERAGEIFS(AutoClaim_Data!C2:C3168,AutoClaim_Data!B2:B3168,"Train",AutoClaim_Data!D2:D3168,"&gt;"&amp;$B$2))</f>
        <v/>
      </c>
      <c r="H2488">
        <f>IF(AutoClaim_Data!D2488&lt;=$B$2,IF(AutoClaim_Data!E2488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8">
        <f>(F2488-H2488)^2</f>
        <v/>
      </c>
      <c r="J2488">
        <f>--(E2488="Validation")</f>
        <v/>
      </c>
    </row>
    <row r="2489">
      <c r="D2489">
        <f>AutoClaim_Data!A2489</f>
        <v/>
      </c>
      <c r="E2489">
        <f>AutoClaim_Data!B2489</f>
        <v/>
      </c>
      <c r="F2489">
        <f>AutoClaim_Data!C2489</f>
        <v/>
      </c>
      <c r="G2489">
        <f>IF(AutoClaim_Data!D2489&lt;=$B$2,AVERAGEIFS(AutoClaim_Data!C2:C3168,AutoClaim_Data!B2:B3168,"Train",AutoClaim_Data!D2:D3168,"&lt;="&amp;$B$2),AVERAGEIFS(AutoClaim_Data!C2:C3168,AutoClaim_Data!B2:B3168,"Train",AutoClaim_Data!D2:D3168,"&gt;"&amp;$B$2))</f>
        <v/>
      </c>
      <c r="H2489">
        <f>IF(AutoClaim_Data!D2489&lt;=$B$2,IF(AutoClaim_Data!E2489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89">
        <f>(F2489-H2489)^2</f>
        <v/>
      </c>
      <c r="J2489">
        <f>--(E2489="Validation")</f>
        <v/>
      </c>
    </row>
    <row r="2490">
      <c r="D2490">
        <f>AutoClaim_Data!A2490</f>
        <v/>
      </c>
      <c r="E2490">
        <f>AutoClaim_Data!B2490</f>
        <v/>
      </c>
      <c r="F2490">
        <f>AutoClaim_Data!C2490</f>
        <v/>
      </c>
      <c r="G2490">
        <f>IF(AutoClaim_Data!D2490&lt;=$B$2,AVERAGEIFS(AutoClaim_Data!C2:C3168,AutoClaim_Data!B2:B3168,"Train",AutoClaim_Data!D2:D3168,"&lt;="&amp;$B$2),AVERAGEIFS(AutoClaim_Data!C2:C3168,AutoClaim_Data!B2:B3168,"Train",AutoClaim_Data!D2:D3168,"&gt;"&amp;$B$2))</f>
        <v/>
      </c>
      <c r="H2490">
        <f>IF(AutoClaim_Data!D2490&lt;=$B$2,IF(AutoClaim_Data!E2490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0">
        <f>(F2490-H2490)^2</f>
        <v/>
      </c>
      <c r="J2490">
        <f>--(E2490="Validation")</f>
        <v/>
      </c>
    </row>
    <row r="2491">
      <c r="D2491">
        <f>AutoClaim_Data!A2491</f>
        <v/>
      </c>
      <c r="E2491">
        <f>AutoClaim_Data!B2491</f>
        <v/>
      </c>
      <c r="F2491">
        <f>AutoClaim_Data!C2491</f>
        <v/>
      </c>
      <c r="G2491">
        <f>IF(AutoClaim_Data!D2491&lt;=$B$2,AVERAGEIFS(AutoClaim_Data!C2:C3168,AutoClaim_Data!B2:B3168,"Train",AutoClaim_Data!D2:D3168,"&lt;="&amp;$B$2),AVERAGEIFS(AutoClaim_Data!C2:C3168,AutoClaim_Data!B2:B3168,"Train",AutoClaim_Data!D2:D3168,"&gt;"&amp;$B$2))</f>
        <v/>
      </c>
      <c r="H2491">
        <f>IF(AutoClaim_Data!D2491&lt;=$B$2,IF(AutoClaim_Data!E2491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1">
        <f>(F2491-H2491)^2</f>
        <v/>
      </c>
      <c r="J2491">
        <f>--(E2491="Validation")</f>
        <v/>
      </c>
    </row>
    <row r="2492">
      <c r="D2492">
        <f>AutoClaim_Data!A2492</f>
        <v/>
      </c>
      <c r="E2492">
        <f>AutoClaim_Data!B2492</f>
        <v/>
      </c>
      <c r="F2492">
        <f>AutoClaim_Data!C2492</f>
        <v/>
      </c>
      <c r="G2492">
        <f>IF(AutoClaim_Data!D2492&lt;=$B$2,AVERAGEIFS(AutoClaim_Data!C2:C3168,AutoClaim_Data!B2:B3168,"Train",AutoClaim_Data!D2:D3168,"&lt;="&amp;$B$2),AVERAGEIFS(AutoClaim_Data!C2:C3168,AutoClaim_Data!B2:B3168,"Train",AutoClaim_Data!D2:D3168,"&gt;"&amp;$B$2))</f>
        <v/>
      </c>
      <c r="H2492">
        <f>IF(AutoClaim_Data!D2492&lt;=$B$2,IF(AutoClaim_Data!E2492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2">
        <f>(F2492-H2492)^2</f>
        <v/>
      </c>
      <c r="J2492">
        <f>--(E2492="Validation")</f>
        <v/>
      </c>
    </row>
    <row r="2493">
      <c r="D2493">
        <f>AutoClaim_Data!A2493</f>
        <v/>
      </c>
      <c r="E2493">
        <f>AutoClaim_Data!B2493</f>
        <v/>
      </c>
      <c r="F2493">
        <f>AutoClaim_Data!C2493</f>
        <v/>
      </c>
      <c r="G2493">
        <f>IF(AutoClaim_Data!D2493&lt;=$B$2,AVERAGEIFS(AutoClaim_Data!C2:C3168,AutoClaim_Data!B2:B3168,"Train",AutoClaim_Data!D2:D3168,"&lt;="&amp;$B$2),AVERAGEIFS(AutoClaim_Data!C2:C3168,AutoClaim_Data!B2:B3168,"Train",AutoClaim_Data!D2:D3168,"&gt;"&amp;$B$2))</f>
        <v/>
      </c>
      <c r="H2493">
        <f>IF(AutoClaim_Data!D2493&lt;=$B$2,IF(AutoClaim_Data!E2493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3">
        <f>(F2493-H2493)^2</f>
        <v/>
      </c>
      <c r="J2493">
        <f>--(E2493="Validation")</f>
        <v/>
      </c>
    </row>
    <row r="2494">
      <c r="D2494">
        <f>AutoClaim_Data!A2494</f>
        <v/>
      </c>
      <c r="E2494">
        <f>AutoClaim_Data!B2494</f>
        <v/>
      </c>
      <c r="F2494">
        <f>AutoClaim_Data!C2494</f>
        <v/>
      </c>
      <c r="G2494">
        <f>IF(AutoClaim_Data!D2494&lt;=$B$2,AVERAGEIFS(AutoClaim_Data!C2:C3168,AutoClaim_Data!B2:B3168,"Train",AutoClaim_Data!D2:D3168,"&lt;="&amp;$B$2),AVERAGEIFS(AutoClaim_Data!C2:C3168,AutoClaim_Data!B2:B3168,"Train",AutoClaim_Data!D2:D3168,"&gt;"&amp;$B$2))</f>
        <v/>
      </c>
      <c r="H2494">
        <f>IF(AutoClaim_Data!D2494&lt;=$B$2,IF(AutoClaim_Data!E2494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4">
        <f>(F2494-H2494)^2</f>
        <v/>
      </c>
      <c r="J2494">
        <f>--(E2494="Validation")</f>
        <v/>
      </c>
    </row>
    <row r="2495">
      <c r="D2495">
        <f>AutoClaim_Data!A2495</f>
        <v/>
      </c>
      <c r="E2495">
        <f>AutoClaim_Data!B2495</f>
        <v/>
      </c>
      <c r="F2495">
        <f>AutoClaim_Data!C2495</f>
        <v/>
      </c>
      <c r="G2495">
        <f>IF(AutoClaim_Data!D2495&lt;=$B$2,AVERAGEIFS(AutoClaim_Data!C2:C3168,AutoClaim_Data!B2:B3168,"Train",AutoClaim_Data!D2:D3168,"&lt;="&amp;$B$2),AVERAGEIFS(AutoClaim_Data!C2:C3168,AutoClaim_Data!B2:B3168,"Train",AutoClaim_Data!D2:D3168,"&gt;"&amp;$B$2))</f>
        <v/>
      </c>
      <c r="H2495">
        <f>IF(AutoClaim_Data!D2495&lt;=$B$2,IF(AutoClaim_Data!E2495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5">
        <f>(F2495-H2495)^2</f>
        <v/>
      </c>
      <c r="J2495">
        <f>--(E2495="Validation")</f>
        <v/>
      </c>
    </row>
    <row r="2496">
      <c r="D2496">
        <f>AutoClaim_Data!A2496</f>
        <v/>
      </c>
      <c r="E2496">
        <f>AutoClaim_Data!B2496</f>
        <v/>
      </c>
      <c r="F2496">
        <f>AutoClaim_Data!C2496</f>
        <v/>
      </c>
      <c r="G2496">
        <f>IF(AutoClaim_Data!D2496&lt;=$B$2,AVERAGEIFS(AutoClaim_Data!C2:C3168,AutoClaim_Data!B2:B3168,"Train",AutoClaim_Data!D2:D3168,"&lt;="&amp;$B$2),AVERAGEIFS(AutoClaim_Data!C2:C3168,AutoClaim_Data!B2:B3168,"Train",AutoClaim_Data!D2:D3168,"&gt;"&amp;$B$2))</f>
        <v/>
      </c>
      <c r="H2496">
        <f>IF(AutoClaim_Data!D2496&lt;=$B$2,IF(AutoClaim_Data!E2496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6">
        <f>(F2496-H2496)^2</f>
        <v/>
      </c>
      <c r="J2496">
        <f>--(E2496="Validation")</f>
        <v/>
      </c>
    </row>
    <row r="2497">
      <c r="D2497">
        <f>AutoClaim_Data!A2497</f>
        <v/>
      </c>
      <c r="E2497">
        <f>AutoClaim_Data!B2497</f>
        <v/>
      </c>
      <c r="F2497">
        <f>AutoClaim_Data!C2497</f>
        <v/>
      </c>
      <c r="G2497">
        <f>IF(AutoClaim_Data!D2497&lt;=$B$2,AVERAGEIFS(AutoClaim_Data!C2:C3168,AutoClaim_Data!B2:B3168,"Train",AutoClaim_Data!D2:D3168,"&lt;="&amp;$B$2),AVERAGEIFS(AutoClaim_Data!C2:C3168,AutoClaim_Data!B2:B3168,"Train",AutoClaim_Data!D2:D3168,"&gt;"&amp;$B$2))</f>
        <v/>
      </c>
      <c r="H2497">
        <f>IF(AutoClaim_Data!D2497&lt;=$B$2,IF(AutoClaim_Data!E2497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7">
        <f>(F2497-H2497)^2</f>
        <v/>
      </c>
      <c r="J2497">
        <f>--(E2497="Validation")</f>
        <v/>
      </c>
    </row>
    <row r="2498">
      <c r="D2498">
        <f>AutoClaim_Data!A2498</f>
        <v/>
      </c>
      <c r="E2498">
        <f>AutoClaim_Data!B2498</f>
        <v/>
      </c>
      <c r="F2498">
        <f>AutoClaim_Data!C2498</f>
        <v/>
      </c>
      <c r="G2498">
        <f>IF(AutoClaim_Data!D2498&lt;=$B$2,AVERAGEIFS(AutoClaim_Data!C2:C3168,AutoClaim_Data!B2:B3168,"Train",AutoClaim_Data!D2:D3168,"&lt;="&amp;$B$2),AVERAGEIFS(AutoClaim_Data!C2:C3168,AutoClaim_Data!B2:B3168,"Train",AutoClaim_Data!D2:D3168,"&gt;"&amp;$B$2))</f>
        <v/>
      </c>
      <c r="H2498">
        <f>IF(AutoClaim_Data!D2498&lt;=$B$2,IF(AutoClaim_Data!E2498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8">
        <f>(F2498-H2498)^2</f>
        <v/>
      </c>
      <c r="J2498">
        <f>--(E2498="Validation")</f>
        <v/>
      </c>
    </row>
    <row r="2499">
      <c r="D2499">
        <f>AutoClaim_Data!A2499</f>
        <v/>
      </c>
      <c r="E2499">
        <f>AutoClaim_Data!B2499</f>
        <v/>
      </c>
      <c r="F2499">
        <f>AutoClaim_Data!C2499</f>
        <v/>
      </c>
      <c r="G2499">
        <f>IF(AutoClaim_Data!D2499&lt;=$B$2,AVERAGEIFS(AutoClaim_Data!C2:C3168,AutoClaim_Data!B2:B3168,"Train",AutoClaim_Data!D2:D3168,"&lt;="&amp;$B$2),AVERAGEIFS(AutoClaim_Data!C2:C3168,AutoClaim_Data!B2:B3168,"Train",AutoClaim_Data!D2:D3168,"&gt;"&amp;$B$2))</f>
        <v/>
      </c>
      <c r="H2499">
        <f>IF(AutoClaim_Data!D2499&lt;=$B$2,IF(AutoClaim_Data!E2499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2499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499">
        <f>(F2499-H2499)^2</f>
        <v/>
      </c>
      <c r="J2499">
        <f>--(E2499="Validation")</f>
        <v/>
      </c>
    </row>
    <row r="2500">
      <c r="D2500">
        <f>AutoClaim_Data!A2500</f>
        <v/>
      </c>
      <c r="E2500">
        <f>AutoClaim_Data!B2500</f>
        <v/>
      </c>
      <c r="F2500">
        <f>AutoClaim_Data!C2500</f>
        <v/>
      </c>
      <c r="G2500">
        <f>IF(AutoClaim_Data!D2500&lt;=$B$2,AVERAGEIFS(AutoClaim_Data!C2:C3168,AutoClaim_Data!B2:B3168,"Train",AutoClaim_Data!D2:D3168,"&lt;="&amp;$B$2),AVERAGEIFS(AutoClaim_Data!C2:C3168,AutoClaim_Data!B2:B3168,"Train",AutoClaim_Data!D2:D3168,"&gt;"&amp;$B$2))</f>
        <v/>
      </c>
      <c r="H2500">
        <f>IF(AutoClaim_Data!D2500&lt;=$B$2,IF(AutoClaim_Data!E2500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0">
        <f>(F2500-H2500)^2</f>
        <v/>
      </c>
      <c r="J2500">
        <f>--(E2500="Validation")</f>
        <v/>
      </c>
    </row>
    <row r="2501">
      <c r="D2501">
        <f>AutoClaim_Data!A2501</f>
        <v/>
      </c>
      <c r="E2501">
        <f>AutoClaim_Data!B2501</f>
        <v/>
      </c>
      <c r="F2501">
        <f>AutoClaim_Data!C2501</f>
        <v/>
      </c>
      <c r="G2501">
        <f>IF(AutoClaim_Data!D2501&lt;=$B$2,AVERAGEIFS(AutoClaim_Data!C2:C3168,AutoClaim_Data!B2:B3168,"Train",AutoClaim_Data!D2:D3168,"&lt;="&amp;$B$2),AVERAGEIFS(AutoClaim_Data!C2:C3168,AutoClaim_Data!B2:B3168,"Train",AutoClaim_Data!D2:D3168,"&gt;"&amp;$B$2))</f>
        <v/>
      </c>
      <c r="H2501">
        <f>IF(AutoClaim_Data!D2501&lt;=$B$2,IF(AutoClaim_Data!E2501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1">
        <f>(F2501-H2501)^2</f>
        <v/>
      </c>
      <c r="J2501">
        <f>--(E2501="Validation")</f>
        <v/>
      </c>
    </row>
    <row r="2502">
      <c r="D2502">
        <f>AutoClaim_Data!A2502</f>
        <v/>
      </c>
      <c r="E2502">
        <f>AutoClaim_Data!B2502</f>
        <v/>
      </c>
      <c r="F2502">
        <f>AutoClaim_Data!C2502</f>
        <v/>
      </c>
      <c r="G2502">
        <f>IF(AutoClaim_Data!D2502&lt;=$B$2,AVERAGEIFS(AutoClaim_Data!C2:C3168,AutoClaim_Data!B2:B3168,"Train",AutoClaim_Data!D2:D3168,"&lt;="&amp;$B$2),AVERAGEIFS(AutoClaim_Data!C2:C3168,AutoClaim_Data!B2:B3168,"Train",AutoClaim_Data!D2:D3168,"&gt;"&amp;$B$2))</f>
        <v/>
      </c>
      <c r="H2502">
        <f>IF(AutoClaim_Data!D2502&lt;=$B$2,IF(AutoClaim_Data!E2502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2">
        <f>(F2502-H2502)^2</f>
        <v/>
      </c>
      <c r="J2502">
        <f>--(E2502="Validation")</f>
        <v/>
      </c>
    </row>
    <row r="2503">
      <c r="D2503">
        <f>AutoClaim_Data!A2503</f>
        <v/>
      </c>
      <c r="E2503">
        <f>AutoClaim_Data!B2503</f>
        <v/>
      </c>
      <c r="F2503">
        <f>AutoClaim_Data!C2503</f>
        <v/>
      </c>
      <c r="G2503">
        <f>IF(AutoClaim_Data!D2503&lt;=$B$2,AVERAGEIFS(AutoClaim_Data!C2:C3168,AutoClaim_Data!B2:B3168,"Train",AutoClaim_Data!D2:D3168,"&lt;="&amp;$B$2),AVERAGEIFS(AutoClaim_Data!C2:C3168,AutoClaim_Data!B2:B3168,"Train",AutoClaim_Data!D2:D3168,"&gt;"&amp;$B$2))</f>
        <v/>
      </c>
      <c r="H2503">
        <f>IF(AutoClaim_Data!D2503&lt;=$B$2,IF(AutoClaim_Data!E2503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3">
        <f>(F2503-H2503)^2</f>
        <v/>
      </c>
      <c r="J2503">
        <f>--(E2503="Validation")</f>
        <v/>
      </c>
    </row>
    <row r="2504">
      <c r="D2504">
        <f>AutoClaim_Data!A2504</f>
        <v/>
      </c>
      <c r="E2504">
        <f>AutoClaim_Data!B2504</f>
        <v/>
      </c>
      <c r="F2504">
        <f>AutoClaim_Data!C2504</f>
        <v/>
      </c>
      <c r="G2504">
        <f>IF(AutoClaim_Data!D2504&lt;=$B$2,AVERAGEIFS(AutoClaim_Data!C2:C3168,AutoClaim_Data!B2:B3168,"Train",AutoClaim_Data!D2:D3168,"&lt;="&amp;$B$2),AVERAGEIFS(AutoClaim_Data!C2:C3168,AutoClaim_Data!B2:B3168,"Train",AutoClaim_Data!D2:D3168,"&gt;"&amp;$B$2))</f>
        <v/>
      </c>
      <c r="H2504">
        <f>IF(AutoClaim_Data!D2504&lt;=$B$2,IF(AutoClaim_Data!E2504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4">
        <f>(F2504-H2504)^2</f>
        <v/>
      </c>
      <c r="J2504">
        <f>--(E2504="Validation")</f>
        <v/>
      </c>
    </row>
    <row r="2505">
      <c r="D2505">
        <f>AutoClaim_Data!A2505</f>
        <v/>
      </c>
      <c r="E2505">
        <f>AutoClaim_Data!B2505</f>
        <v/>
      </c>
      <c r="F2505">
        <f>AutoClaim_Data!C2505</f>
        <v/>
      </c>
      <c r="G2505">
        <f>IF(AutoClaim_Data!D2505&lt;=$B$2,AVERAGEIFS(AutoClaim_Data!C2:C3168,AutoClaim_Data!B2:B3168,"Train",AutoClaim_Data!D2:D3168,"&lt;="&amp;$B$2),AVERAGEIFS(AutoClaim_Data!C2:C3168,AutoClaim_Data!B2:B3168,"Train",AutoClaim_Data!D2:D3168,"&gt;"&amp;$B$2))</f>
        <v/>
      </c>
      <c r="H2505">
        <f>IF(AutoClaim_Data!D2505&lt;=$B$2,IF(AutoClaim_Data!E2505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5">
        <f>(F2505-H2505)^2</f>
        <v/>
      </c>
      <c r="J2505">
        <f>--(E2505="Validation")</f>
        <v/>
      </c>
    </row>
    <row r="2506">
      <c r="D2506">
        <f>AutoClaim_Data!A2506</f>
        <v/>
      </c>
      <c r="E2506">
        <f>AutoClaim_Data!B2506</f>
        <v/>
      </c>
      <c r="F2506">
        <f>AutoClaim_Data!C2506</f>
        <v/>
      </c>
      <c r="G2506">
        <f>IF(AutoClaim_Data!D2506&lt;=$B$2,AVERAGEIFS(AutoClaim_Data!C2:C3168,AutoClaim_Data!B2:B3168,"Train",AutoClaim_Data!D2:D3168,"&lt;="&amp;$B$2),AVERAGEIFS(AutoClaim_Data!C2:C3168,AutoClaim_Data!B2:B3168,"Train",AutoClaim_Data!D2:D3168,"&gt;"&amp;$B$2))</f>
        <v/>
      </c>
      <c r="H2506">
        <f>IF(AutoClaim_Data!D2506&lt;=$B$2,IF(AutoClaim_Data!E2506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6">
        <f>(F2506-H2506)^2</f>
        <v/>
      </c>
      <c r="J2506">
        <f>--(E2506="Validation")</f>
        <v/>
      </c>
    </row>
    <row r="2507">
      <c r="D2507">
        <f>AutoClaim_Data!A2507</f>
        <v/>
      </c>
      <c r="E2507">
        <f>AutoClaim_Data!B2507</f>
        <v/>
      </c>
      <c r="F2507">
        <f>AutoClaim_Data!C2507</f>
        <v/>
      </c>
      <c r="G2507">
        <f>IF(AutoClaim_Data!D2507&lt;=$B$2,AVERAGEIFS(AutoClaim_Data!C2:C3168,AutoClaim_Data!B2:B3168,"Train",AutoClaim_Data!D2:D3168,"&lt;="&amp;$B$2),AVERAGEIFS(AutoClaim_Data!C2:C3168,AutoClaim_Data!B2:B3168,"Train",AutoClaim_Data!D2:D3168,"&gt;"&amp;$B$2))</f>
        <v/>
      </c>
      <c r="H2507">
        <f>IF(AutoClaim_Data!D2507&lt;=$B$2,IF(AutoClaim_Data!E2507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7">
        <f>(F2507-H2507)^2</f>
        <v/>
      </c>
      <c r="J2507">
        <f>--(E2507="Validation")</f>
        <v/>
      </c>
    </row>
    <row r="2508">
      <c r="D2508">
        <f>AutoClaim_Data!A2508</f>
        <v/>
      </c>
      <c r="E2508">
        <f>AutoClaim_Data!B2508</f>
        <v/>
      </c>
      <c r="F2508">
        <f>AutoClaim_Data!C2508</f>
        <v/>
      </c>
      <c r="G2508">
        <f>IF(AutoClaim_Data!D2508&lt;=$B$2,AVERAGEIFS(AutoClaim_Data!C2:C3168,AutoClaim_Data!B2:B3168,"Train",AutoClaim_Data!D2:D3168,"&lt;="&amp;$B$2),AVERAGEIFS(AutoClaim_Data!C2:C3168,AutoClaim_Data!B2:B3168,"Train",AutoClaim_Data!D2:D3168,"&gt;"&amp;$B$2))</f>
        <v/>
      </c>
      <c r="H2508">
        <f>IF(AutoClaim_Data!D2508&lt;=$B$2,IF(AutoClaim_Data!E2508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8">
        <f>(F2508-H2508)^2</f>
        <v/>
      </c>
      <c r="J2508">
        <f>--(E2508="Validation")</f>
        <v/>
      </c>
    </row>
    <row r="2509">
      <c r="D2509">
        <f>AutoClaim_Data!A2509</f>
        <v/>
      </c>
      <c r="E2509">
        <f>AutoClaim_Data!B2509</f>
        <v/>
      </c>
      <c r="F2509">
        <f>AutoClaim_Data!C2509</f>
        <v/>
      </c>
      <c r="G2509">
        <f>IF(AutoClaim_Data!D2509&lt;=$B$2,AVERAGEIFS(AutoClaim_Data!C2:C3168,AutoClaim_Data!B2:B3168,"Train",AutoClaim_Data!D2:D3168,"&lt;="&amp;$B$2),AVERAGEIFS(AutoClaim_Data!C2:C3168,AutoClaim_Data!B2:B3168,"Train",AutoClaim_Data!D2:D3168,"&gt;"&amp;$B$2))</f>
        <v/>
      </c>
      <c r="H2509">
        <f>IF(AutoClaim_Data!D2509&lt;=$B$2,IF(AutoClaim_Data!E2509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09">
        <f>(F2509-H2509)^2</f>
        <v/>
      </c>
      <c r="J2509">
        <f>--(E2509="Validation")</f>
        <v/>
      </c>
    </row>
    <row r="2510">
      <c r="D2510">
        <f>AutoClaim_Data!A2510</f>
        <v/>
      </c>
      <c r="E2510">
        <f>AutoClaim_Data!B2510</f>
        <v/>
      </c>
      <c r="F2510">
        <f>AutoClaim_Data!C2510</f>
        <v/>
      </c>
      <c r="G2510">
        <f>IF(AutoClaim_Data!D2510&lt;=$B$2,AVERAGEIFS(AutoClaim_Data!C2:C3168,AutoClaim_Data!B2:B3168,"Train",AutoClaim_Data!D2:D3168,"&lt;="&amp;$B$2),AVERAGEIFS(AutoClaim_Data!C2:C3168,AutoClaim_Data!B2:B3168,"Train",AutoClaim_Data!D2:D3168,"&gt;"&amp;$B$2))</f>
        <v/>
      </c>
      <c r="H2510">
        <f>IF(AutoClaim_Data!D2510&lt;=$B$2,IF(AutoClaim_Data!E2510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0">
        <f>(F2510-H2510)^2</f>
        <v/>
      </c>
      <c r="J2510">
        <f>--(E2510="Validation")</f>
        <v/>
      </c>
    </row>
    <row r="2511">
      <c r="D2511">
        <f>AutoClaim_Data!A2511</f>
        <v/>
      </c>
      <c r="E2511">
        <f>AutoClaim_Data!B2511</f>
        <v/>
      </c>
      <c r="F2511">
        <f>AutoClaim_Data!C2511</f>
        <v/>
      </c>
      <c r="G2511">
        <f>IF(AutoClaim_Data!D2511&lt;=$B$2,AVERAGEIFS(AutoClaim_Data!C2:C3168,AutoClaim_Data!B2:B3168,"Train",AutoClaim_Data!D2:D3168,"&lt;="&amp;$B$2),AVERAGEIFS(AutoClaim_Data!C2:C3168,AutoClaim_Data!B2:B3168,"Train",AutoClaim_Data!D2:D3168,"&gt;"&amp;$B$2))</f>
        <v/>
      </c>
      <c r="H2511">
        <f>IF(AutoClaim_Data!D2511&lt;=$B$2,IF(AutoClaim_Data!E2511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1">
        <f>(F2511-H2511)^2</f>
        <v/>
      </c>
      <c r="J2511">
        <f>--(E2511="Validation")</f>
        <v/>
      </c>
    </row>
    <row r="2512">
      <c r="D2512">
        <f>AutoClaim_Data!A2512</f>
        <v/>
      </c>
      <c r="E2512">
        <f>AutoClaim_Data!B2512</f>
        <v/>
      </c>
      <c r="F2512">
        <f>AutoClaim_Data!C2512</f>
        <v/>
      </c>
      <c r="G2512">
        <f>IF(AutoClaim_Data!D2512&lt;=$B$2,AVERAGEIFS(AutoClaim_Data!C2:C3168,AutoClaim_Data!B2:B3168,"Train",AutoClaim_Data!D2:D3168,"&lt;="&amp;$B$2),AVERAGEIFS(AutoClaim_Data!C2:C3168,AutoClaim_Data!B2:B3168,"Train",AutoClaim_Data!D2:D3168,"&gt;"&amp;$B$2))</f>
        <v/>
      </c>
      <c r="H2512">
        <f>IF(AutoClaim_Data!D2512&lt;=$B$2,IF(AutoClaim_Data!E2512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2">
        <f>(F2512-H2512)^2</f>
        <v/>
      </c>
      <c r="J2512">
        <f>--(E2512="Validation")</f>
        <v/>
      </c>
    </row>
    <row r="2513">
      <c r="D2513">
        <f>AutoClaim_Data!A2513</f>
        <v/>
      </c>
      <c r="E2513">
        <f>AutoClaim_Data!B2513</f>
        <v/>
      </c>
      <c r="F2513">
        <f>AutoClaim_Data!C2513</f>
        <v/>
      </c>
      <c r="G2513">
        <f>IF(AutoClaim_Data!D2513&lt;=$B$2,AVERAGEIFS(AutoClaim_Data!C2:C3168,AutoClaim_Data!B2:B3168,"Train",AutoClaim_Data!D2:D3168,"&lt;="&amp;$B$2),AVERAGEIFS(AutoClaim_Data!C2:C3168,AutoClaim_Data!B2:B3168,"Train",AutoClaim_Data!D2:D3168,"&gt;"&amp;$B$2))</f>
        <v/>
      </c>
      <c r="H2513">
        <f>IF(AutoClaim_Data!D2513&lt;=$B$2,IF(AutoClaim_Data!E2513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3">
        <f>(F2513-H2513)^2</f>
        <v/>
      </c>
      <c r="J2513">
        <f>--(E2513="Validation")</f>
        <v/>
      </c>
    </row>
    <row r="2514">
      <c r="D2514">
        <f>AutoClaim_Data!A2514</f>
        <v/>
      </c>
      <c r="E2514">
        <f>AutoClaim_Data!B2514</f>
        <v/>
      </c>
      <c r="F2514">
        <f>AutoClaim_Data!C2514</f>
        <v/>
      </c>
      <c r="G2514">
        <f>IF(AutoClaim_Data!D2514&lt;=$B$2,AVERAGEIFS(AutoClaim_Data!C2:C3168,AutoClaim_Data!B2:B3168,"Train",AutoClaim_Data!D2:D3168,"&lt;="&amp;$B$2),AVERAGEIFS(AutoClaim_Data!C2:C3168,AutoClaim_Data!B2:B3168,"Train",AutoClaim_Data!D2:D3168,"&gt;"&amp;$B$2))</f>
        <v/>
      </c>
      <c r="H2514">
        <f>IF(AutoClaim_Data!D2514&lt;=$B$2,IF(AutoClaim_Data!E2514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4">
        <f>(F2514-H2514)^2</f>
        <v/>
      </c>
      <c r="J2514">
        <f>--(E2514="Validation")</f>
        <v/>
      </c>
    </row>
    <row r="2515">
      <c r="D2515">
        <f>AutoClaim_Data!A2515</f>
        <v/>
      </c>
      <c r="E2515">
        <f>AutoClaim_Data!B2515</f>
        <v/>
      </c>
      <c r="F2515">
        <f>AutoClaim_Data!C2515</f>
        <v/>
      </c>
      <c r="G2515">
        <f>IF(AutoClaim_Data!D2515&lt;=$B$2,AVERAGEIFS(AutoClaim_Data!C2:C3168,AutoClaim_Data!B2:B3168,"Train",AutoClaim_Data!D2:D3168,"&lt;="&amp;$B$2),AVERAGEIFS(AutoClaim_Data!C2:C3168,AutoClaim_Data!B2:B3168,"Train",AutoClaim_Data!D2:D3168,"&gt;"&amp;$B$2))</f>
        <v/>
      </c>
      <c r="H2515">
        <f>IF(AutoClaim_Data!D2515&lt;=$B$2,IF(AutoClaim_Data!E2515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5">
        <f>(F2515-H2515)^2</f>
        <v/>
      </c>
      <c r="J2515">
        <f>--(E2515="Validation")</f>
        <v/>
      </c>
    </row>
    <row r="2516">
      <c r="D2516">
        <f>AutoClaim_Data!A2516</f>
        <v/>
      </c>
      <c r="E2516">
        <f>AutoClaim_Data!B2516</f>
        <v/>
      </c>
      <c r="F2516">
        <f>AutoClaim_Data!C2516</f>
        <v/>
      </c>
      <c r="G2516">
        <f>IF(AutoClaim_Data!D2516&lt;=$B$2,AVERAGEIFS(AutoClaim_Data!C2:C3168,AutoClaim_Data!B2:B3168,"Train",AutoClaim_Data!D2:D3168,"&lt;="&amp;$B$2),AVERAGEIFS(AutoClaim_Data!C2:C3168,AutoClaim_Data!B2:B3168,"Train",AutoClaim_Data!D2:D3168,"&gt;"&amp;$B$2))</f>
        <v/>
      </c>
      <c r="H2516">
        <f>IF(AutoClaim_Data!D2516&lt;=$B$2,IF(AutoClaim_Data!E2516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6">
        <f>(F2516-H2516)^2</f>
        <v/>
      </c>
      <c r="J2516">
        <f>--(E2516="Validation")</f>
        <v/>
      </c>
    </row>
    <row r="2517">
      <c r="D2517">
        <f>AutoClaim_Data!A2517</f>
        <v/>
      </c>
      <c r="E2517">
        <f>AutoClaim_Data!B2517</f>
        <v/>
      </c>
      <c r="F2517">
        <f>AutoClaim_Data!C2517</f>
        <v/>
      </c>
      <c r="G2517">
        <f>IF(AutoClaim_Data!D2517&lt;=$B$2,AVERAGEIFS(AutoClaim_Data!C2:C3168,AutoClaim_Data!B2:B3168,"Train",AutoClaim_Data!D2:D3168,"&lt;="&amp;$B$2),AVERAGEIFS(AutoClaim_Data!C2:C3168,AutoClaim_Data!B2:B3168,"Train",AutoClaim_Data!D2:D3168,"&gt;"&amp;$B$2))</f>
        <v/>
      </c>
      <c r="H2517">
        <f>IF(AutoClaim_Data!D2517&lt;=$B$2,IF(AutoClaim_Data!E2517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7">
        <f>(F2517-H2517)^2</f>
        <v/>
      </c>
      <c r="J2517">
        <f>--(E2517="Validation")</f>
        <v/>
      </c>
    </row>
    <row r="2518">
      <c r="D2518">
        <f>AutoClaim_Data!A2518</f>
        <v/>
      </c>
      <c r="E2518">
        <f>AutoClaim_Data!B2518</f>
        <v/>
      </c>
      <c r="F2518">
        <f>AutoClaim_Data!C2518</f>
        <v/>
      </c>
      <c r="G2518">
        <f>IF(AutoClaim_Data!D2518&lt;=$B$2,AVERAGEIFS(AutoClaim_Data!C2:C3168,AutoClaim_Data!B2:B3168,"Train",AutoClaim_Data!D2:D3168,"&lt;="&amp;$B$2),AVERAGEIFS(AutoClaim_Data!C2:C3168,AutoClaim_Data!B2:B3168,"Train",AutoClaim_Data!D2:D3168,"&gt;"&amp;$B$2))</f>
        <v/>
      </c>
      <c r="H2518">
        <f>IF(AutoClaim_Data!D2518&lt;=$B$2,IF(AutoClaim_Data!E2518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8">
        <f>(F2518-H2518)^2</f>
        <v/>
      </c>
      <c r="J2518">
        <f>--(E2518="Validation")</f>
        <v/>
      </c>
    </row>
    <row r="2519">
      <c r="D2519">
        <f>AutoClaim_Data!A2519</f>
        <v/>
      </c>
      <c r="E2519">
        <f>AutoClaim_Data!B2519</f>
        <v/>
      </c>
      <c r="F2519">
        <f>AutoClaim_Data!C2519</f>
        <v/>
      </c>
      <c r="G2519">
        <f>IF(AutoClaim_Data!D2519&lt;=$B$2,AVERAGEIFS(AutoClaim_Data!C2:C3168,AutoClaim_Data!B2:B3168,"Train",AutoClaim_Data!D2:D3168,"&lt;="&amp;$B$2),AVERAGEIFS(AutoClaim_Data!C2:C3168,AutoClaim_Data!B2:B3168,"Train",AutoClaim_Data!D2:D3168,"&gt;"&amp;$B$2))</f>
        <v/>
      </c>
      <c r="H2519">
        <f>IF(AutoClaim_Data!D2519&lt;=$B$2,IF(AutoClaim_Data!E2519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19">
        <f>(F2519-H2519)^2</f>
        <v/>
      </c>
      <c r="J2519">
        <f>--(E2519="Validation")</f>
        <v/>
      </c>
    </row>
    <row r="2520">
      <c r="D2520">
        <f>AutoClaim_Data!A2520</f>
        <v/>
      </c>
      <c r="E2520">
        <f>AutoClaim_Data!B2520</f>
        <v/>
      </c>
      <c r="F2520">
        <f>AutoClaim_Data!C2520</f>
        <v/>
      </c>
      <c r="G2520">
        <f>IF(AutoClaim_Data!D2520&lt;=$B$2,AVERAGEIFS(AutoClaim_Data!C2:C3168,AutoClaim_Data!B2:B3168,"Train",AutoClaim_Data!D2:D3168,"&lt;="&amp;$B$2),AVERAGEIFS(AutoClaim_Data!C2:C3168,AutoClaim_Data!B2:B3168,"Train",AutoClaim_Data!D2:D3168,"&gt;"&amp;$B$2))</f>
        <v/>
      </c>
      <c r="H2520">
        <f>IF(AutoClaim_Data!D2520&lt;=$B$2,IF(AutoClaim_Data!E2520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0">
        <f>(F2520-H2520)^2</f>
        <v/>
      </c>
      <c r="J2520">
        <f>--(E2520="Validation")</f>
        <v/>
      </c>
    </row>
    <row r="2521">
      <c r="D2521">
        <f>AutoClaim_Data!A2521</f>
        <v/>
      </c>
      <c r="E2521">
        <f>AutoClaim_Data!B2521</f>
        <v/>
      </c>
      <c r="F2521">
        <f>AutoClaim_Data!C2521</f>
        <v/>
      </c>
      <c r="G2521">
        <f>IF(AutoClaim_Data!D2521&lt;=$B$2,AVERAGEIFS(AutoClaim_Data!C2:C3168,AutoClaim_Data!B2:B3168,"Train",AutoClaim_Data!D2:D3168,"&lt;="&amp;$B$2),AVERAGEIFS(AutoClaim_Data!C2:C3168,AutoClaim_Data!B2:B3168,"Train",AutoClaim_Data!D2:D3168,"&gt;"&amp;$B$2))</f>
        <v/>
      </c>
      <c r="H2521">
        <f>IF(AutoClaim_Data!D2521&lt;=$B$2,IF(AutoClaim_Data!E2521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1">
        <f>(F2521-H2521)^2</f>
        <v/>
      </c>
      <c r="J2521">
        <f>--(E2521="Validation")</f>
        <v/>
      </c>
    </row>
    <row r="2522">
      <c r="D2522">
        <f>AutoClaim_Data!A2522</f>
        <v/>
      </c>
      <c r="E2522">
        <f>AutoClaim_Data!B2522</f>
        <v/>
      </c>
      <c r="F2522">
        <f>AutoClaim_Data!C2522</f>
        <v/>
      </c>
      <c r="G2522">
        <f>IF(AutoClaim_Data!D2522&lt;=$B$2,AVERAGEIFS(AutoClaim_Data!C2:C3168,AutoClaim_Data!B2:B3168,"Train",AutoClaim_Data!D2:D3168,"&lt;="&amp;$B$2),AVERAGEIFS(AutoClaim_Data!C2:C3168,AutoClaim_Data!B2:B3168,"Train",AutoClaim_Data!D2:D3168,"&gt;"&amp;$B$2))</f>
        <v/>
      </c>
      <c r="H2522">
        <f>IF(AutoClaim_Data!D2522&lt;=$B$2,IF(AutoClaim_Data!E2522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2">
        <f>(F2522-H2522)^2</f>
        <v/>
      </c>
      <c r="J2522">
        <f>--(E2522="Validation")</f>
        <v/>
      </c>
    </row>
    <row r="2523">
      <c r="D2523">
        <f>AutoClaim_Data!A2523</f>
        <v/>
      </c>
      <c r="E2523">
        <f>AutoClaim_Data!B2523</f>
        <v/>
      </c>
      <c r="F2523">
        <f>AutoClaim_Data!C2523</f>
        <v/>
      </c>
      <c r="G2523">
        <f>IF(AutoClaim_Data!D2523&lt;=$B$2,AVERAGEIFS(AutoClaim_Data!C2:C3168,AutoClaim_Data!B2:B3168,"Train",AutoClaim_Data!D2:D3168,"&lt;="&amp;$B$2),AVERAGEIFS(AutoClaim_Data!C2:C3168,AutoClaim_Data!B2:B3168,"Train",AutoClaim_Data!D2:D3168,"&gt;"&amp;$B$2))</f>
        <v/>
      </c>
      <c r="H2523">
        <f>IF(AutoClaim_Data!D2523&lt;=$B$2,IF(AutoClaim_Data!E2523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3">
        <f>(F2523-H2523)^2</f>
        <v/>
      </c>
      <c r="J2523">
        <f>--(E2523="Validation")</f>
        <v/>
      </c>
    </row>
    <row r="2524">
      <c r="D2524">
        <f>AutoClaim_Data!A2524</f>
        <v/>
      </c>
      <c r="E2524">
        <f>AutoClaim_Data!B2524</f>
        <v/>
      </c>
      <c r="F2524">
        <f>AutoClaim_Data!C2524</f>
        <v/>
      </c>
      <c r="G2524">
        <f>IF(AutoClaim_Data!D2524&lt;=$B$2,AVERAGEIFS(AutoClaim_Data!C2:C3168,AutoClaim_Data!B2:B3168,"Train",AutoClaim_Data!D2:D3168,"&lt;="&amp;$B$2),AVERAGEIFS(AutoClaim_Data!C2:C3168,AutoClaim_Data!B2:B3168,"Train",AutoClaim_Data!D2:D3168,"&gt;"&amp;$B$2))</f>
        <v/>
      </c>
      <c r="H2524">
        <f>IF(AutoClaim_Data!D2524&lt;=$B$2,IF(AutoClaim_Data!E2524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4">
        <f>(F2524-H2524)^2</f>
        <v/>
      </c>
      <c r="J2524">
        <f>--(E2524="Validation")</f>
        <v/>
      </c>
    </row>
    <row r="2525">
      <c r="D2525">
        <f>AutoClaim_Data!A2525</f>
        <v/>
      </c>
      <c r="E2525">
        <f>AutoClaim_Data!B2525</f>
        <v/>
      </c>
      <c r="F2525">
        <f>AutoClaim_Data!C2525</f>
        <v/>
      </c>
      <c r="G2525">
        <f>IF(AutoClaim_Data!D2525&lt;=$B$2,AVERAGEIFS(AutoClaim_Data!C2:C3168,AutoClaim_Data!B2:B3168,"Train",AutoClaim_Data!D2:D3168,"&lt;="&amp;$B$2),AVERAGEIFS(AutoClaim_Data!C2:C3168,AutoClaim_Data!B2:B3168,"Train",AutoClaim_Data!D2:D3168,"&gt;"&amp;$B$2))</f>
        <v/>
      </c>
      <c r="H2525">
        <f>IF(AutoClaim_Data!D2525&lt;=$B$2,IF(AutoClaim_Data!E2525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5">
        <f>(F2525-H2525)^2</f>
        <v/>
      </c>
      <c r="J2525">
        <f>--(E2525="Validation")</f>
        <v/>
      </c>
    </row>
    <row r="2526">
      <c r="D2526">
        <f>AutoClaim_Data!A2526</f>
        <v/>
      </c>
      <c r="E2526">
        <f>AutoClaim_Data!B2526</f>
        <v/>
      </c>
      <c r="F2526">
        <f>AutoClaim_Data!C2526</f>
        <v/>
      </c>
      <c r="G2526">
        <f>IF(AutoClaim_Data!D2526&lt;=$B$2,AVERAGEIFS(AutoClaim_Data!C2:C3168,AutoClaim_Data!B2:B3168,"Train",AutoClaim_Data!D2:D3168,"&lt;="&amp;$B$2),AVERAGEIFS(AutoClaim_Data!C2:C3168,AutoClaim_Data!B2:B3168,"Train",AutoClaim_Data!D2:D3168,"&gt;"&amp;$B$2))</f>
        <v/>
      </c>
      <c r="H2526">
        <f>IF(AutoClaim_Data!D2526&lt;=$B$2,IF(AutoClaim_Data!E2526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6">
        <f>(F2526-H2526)^2</f>
        <v/>
      </c>
      <c r="J2526">
        <f>--(E2526="Validation")</f>
        <v/>
      </c>
    </row>
    <row r="2527">
      <c r="D2527">
        <f>AutoClaim_Data!A2527</f>
        <v/>
      </c>
      <c r="E2527">
        <f>AutoClaim_Data!B2527</f>
        <v/>
      </c>
      <c r="F2527">
        <f>AutoClaim_Data!C2527</f>
        <v/>
      </c>
      <c r="G2527">
        <f>IF(AutoClaim_Data!D2527&lt;=$B$2,AVERAGEIFS(AutoClaim_Data!C2:C3168,AutoClaim_Data!B2:B3168,"Train",AutoClaim_Data!D2:D3168,"&lt;="&amp;$B$2),AVERAGEIFS(AutoClaim_Data!C2:C3168,AutoClaim_Data!B2:B3168,"Train",AutoClaim_Data!D2:D3168,"&gt;"&amp;$B$2))</f>
        <v/>
      </c>
      <c r="H2527">
        <f>IF(AutoClaim_Data!D2527&lt;=$B$2,IF(AutoClaim_Data!E2527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7">
        <f>(F2527-H2527)^2</f>
        <v/>
      </c>
      <c r="J2527">
        <f>--(E2527="Validation")</f>
        <v/>
      </c>
    </row>
    <row r="2528">
      <c r="D2528">
        <f>AutoClaim_Data!A2528</f>
        <v/>
      </c>
      <c r="E2528">
        <f>AutoClaim_Data!B2528</f>
        <v/>
      </c>
      <c r="F2528">
        <f>AutoClaim_Data!C2528</f>
        <v/>
      </c>
      <c r="G2528">
        <f>IF(AutoClaim_Data!D2528&lt;=$B$2,AVERAGEIFS(AutoClaim_Data!C2:C3168,AutoClaim_Data!B2:B3168,"Train",AutoClaim_Data!D2:D3168,"&lt;="&amp;$B$2),AVERAGEIFS(AutoClaim_Data!C2:C3168,AutoClaim_Data!B2:B3168,"Train",AutoClaim_Data!D2:D3168,"&gt;"&amp;$B$2))</f>
        <v/>
      </c>
      <c r="H2528">
        <f>IF(AutoClaim_Data!D2528&lt;=$B$2,IF(AutoClaim_Data!E2528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8">
        <f>(F2528-H2528)^2</f>
        <v/>
      </c>
      <c r="J2528">
        <f>--(E2528="Validation")</f>
        <v/>
      </c>
    </row>
    <row r="2529">
      <c r="D2529">
        <f>AutoClaim_Data!A2529</f>
        <v/>
      </c>
      <c r="E2529">
        <f>AutoClaim_Data!B2529</f>
        <v/>
      </c>
      <c r="F2529">
        <f>AutoClaim_Data!C2529</f>
        <v/>
      </c>
      <c r="G2529">
        <f>IF(AutoClaim_Data!D2529&lt;=$B$2,AVERAGEIFS(AutoClaim_Data!C2:C3168,AutoClaim_Data!B2:B3168,"Train",AutoClaim_Data!D2:D3168,"&lt;="&amp;$B$2),AVERAGEIFS(AutoClaim_Data!C2:C3168,AutoClaim_Data!B2:B3168,"Train",AutoClaim_Data!D2:D3168,"&gt;"&amp;$B$2))</f>
        <v/>
      </c>
      <c r="H2529">
        <f>IF(AutoClaim_Data!D2529&lt;=$B$2,IF(AutoClaim_Data!E2529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29">
        <f>(F2529-H2529)^2</f>
        <v/>
      </c>
      <c r="J2529">
        <f>--(E2529="Validation")</f>
        <v/>
      </c>
    </row>
    <row r="2530">
      <c r="D2530">
        <f>AutoClaim_Data!A2530</f>
        <v/>
      </c>
      <c r="E2530">
        <f>AutoClaim_Data!B2530</f>
        <v/>
      </c>
      <c r="F2530">
        <f>AutoClaim_Data!C2530</f>
        <v/>
      </c>
      <c r="G2530">
        <f>IF(AutoClaim_Data!D2530&lt;=$B$2,AVERAGEIFS(AutoClaim_Data!C2:C3168,AutoClaim_Data!B2:B3168,"Train",AutoClaim_Data!D2:D3168,"&lt;="&amp;$B$2),AVERAGEIFS(AutoClaim_Data!C2:C3168,AutoClaim_Data!B2:B3168,"Train",AutoClaim_Data!D2:D3168,"&gt;"&amp;$B$2))</f>
        <v/>
      </c>
      <c r="H2530">
        <f>IF(AutoClaim_Data!D2530&lt;=$B$2,IF(AutoClaim_Data!E2530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0">
        <f>(F2530-H2530)^2</f>
        <v/>
      </c>
      <c r="J2530">
        <f>--(E2530="Validation")</f>
        <v/>
      </c>
    </row>
    <row r="2531">
      <c r="D2531">
        <f>AutoClaim_Data!A2531</f>
        <v/>
      </c>
      <c r="E2531">
        <f>AutoClaim_Data!B2531</f>
        <v/>
      </c>
      <c r="F2531">
        <f>AutoClaim_Data!C2531</f>
        <v/>
      </c>
      <c r="G2531">
        <f>IF(AutoClaim_Data!D2531&lt;=$B$2,AVERAGEIFS(AutoClaim_Data!C2:C3168,AutoClaim_Data!B2:B3168,"Train",AutoClaim_Data!D2:D3168,"&lt;="&amp;$B$2),AVERAGEIFS(AutoClaim_Data!C2:C3168,AutoClaim_Data!B2:B3168,"Train",AutoClaim_Data!D2:D3168,"&gt;"&amp;$B$2))</f>
        <v/>
      </c>
      <c r="H2531">
        <f>IF(AutoClaim_Data!D2531&lt;=$B$2,IF(AutoClaim_Data!E2531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1">
        <f>(F2531-H2531)^2</f>
        <v/>
      </c>
      <c r="J2531">
        <f>--(E2531="Validation")</f>
        <v/>
      </c>
    </row>
    <row r="2532">
      <c r="D2532">
        <f>AutoClaim_Data!A2532</f>
        <v/>
      </c>
      <c r="E2532">
        <f>AutoClaim_Data!B2532</f>
        <v/>
      </c>
      <c r="F2532">
        <f>AutoClaim_Data!C2532</f>
        <v/>
      </c>
      <c r="G2532">
        <f>IF(AutoClaim_Data!D2532&lt;=$B$2,AVERAGEIFS(AutoClaim_Data!C2:C3168,AutoClaim_Data!B2:B3168,"Train",AutoClaim_Data!D2:D3168,"&lt;="&amp;$B$2),AVERAGEIFS(AutoClaim_Data!C2:C3168,AutoClaim_Data!B2:B3168,"Train",AutoClaim_Data!D2:D3168,"&gt;"&amp;$B$2))</f>
        <v/>
      </c>
      <c r="H2532">
        <f>IF(AutoClaim_Data!D2532&lt;=$B$2,IF(AutoClaim_Data!E2532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2">
        <f>(F2532-H2532)^2</f>
        <v/>
      </c>
      <c r="J2532">
        <f>--(E2532="Validation")</f>
        <v/>
      </c>
    </row>
    <row r="2533">
      <c r="D2533">
        <f>AutoClaim_Data!A2533</f>
        <v/>
      </c>
      <c r="E2533">
        <f>AutoClaim_Data!B2533</f>
        <v/>
      </c>
      <c r="F2533">
        <f>AutoClaim_Data!C2533</f>
        <v/>
      </c>
      <c r="G2533">
        <f>IF(AutoClaim_Data!D2533&lt;=$B$2,AVERAGEIFS(AutoClaim_Data!C2:C3168,AutoClaim_Data!B2:B3168,"Train",AutoClaim_Data!D2:D3168,"&lt;="&amp;$B$2),AVERAGEIFS(AutoClaim_Data!C2:C3168,AutoClaim_Data!B2:B3168,"Train",AutoClaim_Data!D2:D3168,"&gt;"&amp;$B$2))</f>
        <v/>
      </c>
      <c r="H2533">
        <f>IF(AutoClaim_Data!D2533&lt;=$B$2,IF(AutoClaim_Data!E2533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3">
        <f>(F2533-H2533)^2</f>
        <v/>
      </c>
      <c r="J2533">
        <f>--(E2533="Validation")</f>
        <v/>
      </c>
    </row>
    <row r="2534">
      <c r="D2534">
        <f>AutoClaim_Data!A2534</f>
        <v/>
      </c>
      <c r="E2534">
        <f>AutoClaim_Data!B2534</f>
        <v/>
      </c>
      <c r="F2534">
        <f>AutoClaim_Data!C2534</f>
        <v/>
      </c>
      <c r="G2534">
        <f>IF(AutoClaim_Data!D2534&lt;=$B$2,AVERAGEIFS(AutoClaim_Data!C2:C3168,AutoClaim_Data!B2:B3168,"Train",AutoClaim_Data!D2:D3168,"&lt;="&amp;$B$2),AVERAGEIFS(AutoClaim_Data!C2:C3168,AutoClaim_Data!B2:B3168,"Train",AutoClaim_Data!D2:D3168,"&gt;"&amp;$B$2))</f>
        <v/>
      </c>
      <c r="H2534">
        <f>IF(AutoClaim_Data!D2534&lt;=$B$2,IF(AutoClaim_Data!E2534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4">
        <f>(F2534-H2534)^2</f>
        <v/>
      </c>
      <c r="J2534">
        <f>--(E2534="Validation")</f>
        <v/>
      </c>
    </row>
    <row r="2535">
      <c r="D2535">
        <f>AutoClaim_Data!A2535</f>
        <v/>
      </c>
      <c r="E2535">
        <f>AutoClaim_Data!B2535</f>
        <v/>
      </c>
      <c r="F2535">
        <f>AutoClaim_Data!C2535</f>
        <v/>
      </c>
      <c r="G2535">
        <f>IF(AutoClaim_Data!D2535&lt;=$B$2,AVERAGEIFS(AutoClaim_Data!C2:C3168,AutoClaim_Data!B2:B3168,"Train",AutoClaim_Data!D2:D3168,"&lt;="&amp;$B$2),AVERAGEIFS(AutoClaim_Data!C2:C3168,AutoClaim_Data!B2:B3168,"Train",AutoClaim_Data!D2:D3168,"&gt;"&amp;$B$2))</f>
        <v/>
      </c>
      <c r="H2535">
        <f>IF(AutoClaim_Data!D2535&lt;=$B$2,IF(AutoClaim_Data!E2535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5">
        <f>(F2535-H2535)^2</f>
        <v/>
      </c>
      <c r="J2535">
        <f>--(E2535="Validation")</f>
        <v/>
      </c>
    </row>
    <row r="2536">
      <c r="D2536">
        <f>AutoClaim_Data!A2536</f>
        <v/>
      </c>
      <c r="E2536">
        <f>AutoClaim_Data!B2536</f>
        <v/>
      </c>
      <c r="F2536">
        <f>AutoClaim_Data!C2536</f>
        <v/>
      </c>
      <c r="G2536">
        <f>IF(AutoClaim_Data!D2536&lt;=$B$2,AVERAGEIFS(AutoClaim_Data!C2:C3168,AutoClaim_Data!B2:B3168,"Train",AutoClaim_Data!D2:D3168,"&lt;="&amp;$B$2),AVERAGEIFS(AutoClaim_Data!C2:C3168,AutoClaim_Data!B2:B3168,"Train",AutoClaim_Data!D2:D3168,"&gt;"&amp;$B$2))</f>
        <v/>
      </c>
      <c r="H2536">
        <f>IF(AutoClaim_Data!D2536&lt;=$B$2,IF(AutoClaim_Data!E2536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6">
        <f>(F2536-H2536)^2</f>
        <v/>
      </c>
      <c r="J2536">
        <f>--(E2536="Validation")</f>
        <v/>
      </c>
    </row>
    <row r="2537">
      <c r="D2537">
        <f>AutoClaim_Data!A2537</f>
        <v/>
      </c>
      <c r="E2537">
        <f>AutoClaim_Data!B2537</f>
        <v/>
      </c>
      <c r="F2537">
        <f>AutoClaim_Data!C2537</f>
        <v/>
      </c>
      <c r="G2537">
        <f>IF(AutoClaim_Data!D2537&lt;=$B$2,AVERAGEIFS(AutoClaim_Data!C2:C3168,AutoClaim_Data!B2:B3168,"Train",AutoClaim_Data!D2:D3168,"&lt;="&amp;$B$2),AVERAGEIFS(AutoClaim_Data!C2:C3168,AutoClaim_Data!B2:B3168,"Train",AutoClaim_Data!D2:D3168,"&gt;"&amp;$B$2))</f>
        <v/>
      </c>
      <c r="H2537">
        <f>IF(AutoClaim_Data!D2537&lt;=$B$2,IF(AutoClaim_Data!E2537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7">
        <f>(F2537-H2537)^2</f>
        <v/>
      </c>
      <c r="J2537">
        <f>--(E2537="Validation")</f>
        <v/>
      </c>
    </row>
    <row r="2538">
      <c r="D2538">
        <f>AutoClaim_Data!A2538</f>
        <v/>
      </c>
      <c r="E2538">
        <f>AutoClaim_Data!B2538</f>
        <v/>
      </c>
      <c r="F2538">
        <f>AutoClaim_Data!C2538</f>
        <v/>
      </c>
      <c r="G2538">
        <f>IF(AutoClaim_Data!D2538&lt;=$B$2,AVERAGEIFS(AutoClaim_Data!C2:C3168,AutoClaim_Data!B2:B3168,"Train",AutoClaim_Data!D2:D3168,"&lt;="&amp;$B$2),AVERAGEIFS(AutoClaim_Data!C2:C3168,AutoClaim_Data!B2:B3168,"Train",AutoClaim_Data!D2:D3168,"&gt;"&amp;$B$2))</f>
        <v/>
      </c>
      <c r="H2538">
        <f>IF(AutoClaim_Data!D2538&lt;=$B$2,IF(AutoClaim_Data!E2538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8">
        <f>(F2538-H2538)^2</f>
        <v/>
      </c>
      <c r="J2538">
        <f>--(E2538="Validation")</f>
        <v/>
      </c>
    </row>
    <row r="2539">
      <c r="D2539">
        <f>AutoClaim_Data!A2539</f>
        <v/>
      </c>
      <c r="E2539">
        <f>AutoClaim_Data!B2539</f>
        <v/>
      </c>
      <c r="F2539">
        <f>AutoClaim_Data!C2539</f>
        <v/>
      </c>
      <c r="G2539">
        <f>IF(AutoClaim_Data!D2539&lt;=$B$2,AVERAGEIFS(AutoClaim_Data!C2:C3168,AutoClaim_Data!B2:B3168,"Train",AutoClaim_Data!D2:D3168,"&lt;="&amp;$B$2),AVERAGEIFS(AutoClaim_Data!C2:C3168,AutoClaim_Data!B2:B3168,"Train",AutoClaim_Data!D2:D3168,"&gt;"&amp;$B$2))</f>
        <v/>
      </c>
      <c r="H2539">
        <f>IF(AutoClaim_Data!D2539&lt;=$B$2,IF(AutoClaim_Data!E2539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39">
        <f>(F2539-H2539)^2</f>
        <v/>
      </c>
      <c r="J2539">
        <f>--(E2539="Validation")</f>
        <v/>
      </c>
    </row>
    <row r="2540">
      <c r="D2540">
        <f>AutoClaim_Data!A2540</f>
        <v/>
      </c>
      <c r="E2540">
        <f>AutoClaim_Data!B2540</f>
        <v/>
      </c>
      <c r="F2540">
        <f>AutoClaim_Data!C2540</f>
        <v/>
      </c>
      <c r="G2540">
        <f>IF(AutoClaim_Data!D2540&lt;=$B$2,AVERAGEIFS(AutoClaim_Data!C2:C3168,AutoClaim_Data!B2:B3168,"Train",AutoClaim_Data!D2:D3168,"&lt;="&amp;$B$2),AVERAGEIFS(AutoClaim_Data!C2:C3168,AutoClaim_Data!B2:B3168,"Train",AutoClaim_Data!D2:D3168,"&gt;"&amp;$B$2))</f>
        <v/>
      </c>
      <c r="H2540">
        <f>IF(AutoClaim_Data!D2540&lt;=$B$2,IF(AutoClaim_Data!E2540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0">
        <f>(F2540-H2540)^2</f>
        <v/>
      </c>
      <c r="J2540">
        <f>--(E2540="Validation")</f>
        <v/>
      </c>
    </row>
    <row r="2541">
      <c r="D2541">
        <f>AutoClaim_Data!A2541</f>
        <v/>
      </c>
      <c r="E2541">
        <f>AutoClaim_Data!B2541</f>
        <v/>
      </c>
      <c r="F2541">
        <f>AutoClaim_Data!C2541</f>
        <v/>
      </c>
      <c r="G2541">
        <f>IF(AutoClaim_Data!D2541&lt;=$B$2,AVERAGEIFS(AutoClaim_Data!C2:C3168,AutoClaim_Data!B2:B3168,"Train",AutoClaim_Data!D2:D3168,"&lt;="&amp;$B$2),AVERAGEIFS(AutoClaim_Data!C2:C3168,AutoClaim_Data!B2:B3168,"Train",AutoClaim_Data!D2:D3168,"&gt;"&amp;$B$2))</f>
        <v/>
      </c>
      <c r="H2541">
        <f>IF(AutoClaim_Data!D2541&lt;=$B$2,IF(AutoClaim_Data!E2541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1">
        <f>(F2541-H2541)^2</f>
        <v/>
      </c>
      <c r="J2541">
        <f>--(E2541="Validation")</f>
        <v/>
      </c>
    </row>
    <row r="2542">
      <c r="D2542">
        <f>AutoClaim_Data!A2542</f>
        <v/>
      </c>
      <c r="E2542">
        <f>AutoClaim_Data!B2542</f>
        <v/>
      </c>
      <c r="F2542">
        <f>AutoClaim_Data!C2542</f>
        <v/>
      </c>
      <c r="G2542">
        <f>IF(AutoClaim_Data!D2542&lt;=$B$2,AVERAGEIFS(AutoClaim_Data!C2:C3168,AutoClaim_Data!B2:B3168,"Train",AutoClaim_Data!D2:D3168,"&lt;="&amp;$B$2),AVERAGEIFS(AutoClaim_Data!C2:C3168,AutoClaim_Data!B2:B3168,"Train",AutoClaim_Data!D2:D3168,"&gt;"&amp;$B$2))</f>
        <v/>
      </c>
      <c r="H2542">
        <f>IF(AutoClaim_Data!D2542&lt;=$B$2,IF(AutoClaim_Data!E2542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2">
        <f>(F2542-H2542)^2</f>
        <v/>
      </c>
      <c r="J2542">
        <f>--(E2542="Validation")</f>
        <v/>
      </c>
    </row>
    <row r="2543">
      <c r="D2543">
        <f>AutoClaim_Data!A2543</f>
        <v/>
      </c>
      <c r="E2543">
        <f>AutoClaim_Data!B2543</f>
        <v/>
      </c>
      <c r="F2543">
        <f>AutoClaim_Data!C2543</f>
        <v/>
      </c>
      <c r="G2543">
        <f>IF(AutoClaim_Data!D2543&lt;=$B$2,AVERAGEIFS(AutoClaim_Data!C2:C3168,AutoClaim_Data!B2:B3168,"Train",AutoClaim_Data!D2:D3168,"&lt;="&amp;$B$2),AVERAGEIFS(AutoClaim_Data!C2:C3168,AutoClaim_Data!B2:B3168,"Train",AutoClaim_Data!D2:D3168,"&gt;"&amp;$B$2))</f>
        <v/>
      </c>
      <c r="H2543">
        <f>IF(AutoClaim_Data!D2543&lt;=$B$2,IF(AutoClaim_Data!E2543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3">
        <f>(F2543-H2543)^2</f>
        <v/>
      </c>
      <c r="J2543">
        <f>--(E2543="Validation")</f>
        <v/>
      </c>
    </row>
    <row r="2544">
      <c r="D2544">
        <f>AutoClaim_Data!A2544</f>
        <v/>
      </c>
      <c r="E2544">
        <f>AutoClaim_Data!B2544</f>
        <v/>
      </c>
      <c r="F2544">
        <f>AutoClaim_Data!C2544</f>
        <v/>
      </c>
      <c r="G2544">
        <f>IF(AutoClaim_Data!D2544&lt;=$B$2,AVERAGEIFS(AutoClaim_Data!C2:C3168,AutoClaim_Data!B2:B3168,"Train",AutoClaim_Data!D2:D3168,"&lt;="&amp;$B$2),AVERAGEIFS(AutoClaim_Data!C2:C3168,AutoClaim_Data!B2:B3168,"Train",AutoClaim_Data!D2:D3168,"&gt;"&amp;$B$2))</f>
        <v/>
      </c>
      <c r="H2544">
        <f>IF(AutoClaim_Data!D2544&lt;=$B$2,IF(AutoClaim_Data!E2544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4">
        <f>(F2544-H2544)^2</f>
        <v/>
      </c>
      <c r="J2544">
        <f>--(E2544="Validation")</f>
        <v/>
      </c>
    </row>
    <row r="2545">
      <c r="D2545">
        <f>AutoClaim_Data!A2545</f>
        <v/>
      </c>
      <c r="E2545">
        <f>AutoClaim_Data!B2545</f>
        <v/>
      </c>
      <c r="F2545">
        <f>AutoClaim_Data!C2545</f>
        <v/>
      </c>
      <c r="G2545">
        <f>IF(AutoClaim_Data!D2545&lt;=$B$2,AVERAGEIFS(AutoClaim_Data!C2:C3168,AutoClaim_Data!B2:B3168,"Train",AutoClaim_Data!D2:D3168,"&lt;="&amp;$B$2),AVERAGEIFS(AutoClaim_Data!C2:C3168,AutoClaim_Data!B2:B3168,"Train",AutoClaim_Data!D2:D3168,"&gt;"&amp;$B$2))</f>
        <v/>
      </c>
      <c r="H2545">
        <f>IF(AutoClaim_Data!D2545&lt;=$B$2,IF(AutoClaim_Data!E2545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5">
        <f>(F2545-H2545)^2</f>
        <v/>
      </c>
      <c r="J2545">
        <f>--(E2545="Validation")</f>
        <v/>
      </c>
    </row>
    <row r="2546">
      <c r="D2546">
        <f>AutoClaim_Data!A2546</f>
        <v/>
      </c>
      <c r="E2546">
        <f>AutoClaim_Data!B2546</f>
        <v/>
      </c>
      <c r="F2546">
        <f>AutoClaim_Data!C2546</f>
        <v/>
      </c>
      <c r="G2546">
        <f>IF(AutoClaim_Data!D2546&lt;=$B$2,AVERAGEIFS(AutoClaim_Data!C2:C3168,AutoClaim_Data!B2:B3168,"Train",AutoClaim_Data!D2:D3168,"&lt;="&amp;$B$2),AVERAGEIFS(AutoClaim_Data!C2:C3168,AutoClaim_Data!B2:B3168,"Train",AutoClaim_Data!D2:D3168,"&gt;"&amp;$B$2))</f>
        <v/>
      </c>
      <c r="H2546">
        <f>IF(AutoClaim_Data!D2546&lt;=$B$2,IF(AutoClaim_Data!E2546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6">
        <f>(F2546-H2546)^2</f>
        <v/>
      </c>
      <c r="J2546">
        <f>--(E2546="Validation")</f>
        <v/>
      </c>
    </row>
    <row r="2547">
      <c r="D2547">
        <f>AutoClaim_Data!A2547</f>
        <v/>
      </c>
      <c r="E2547">
        <f>AutoClaim_Data!B2547</f>
        <v/>
      </c>
      <c r="F2547">
        <f>AutoClaim_Data!C2547</f>
        <v/>
      </c>
      <c r="G2547">
        <f>IF(AutoClaim_Data!D2547&lt;=$B$2,AVERAGEIFS(AutoClaim_Data!C2:C3168,AutoClaim_Data!B2:B3168,"Train",AutoClaim_Data!D2:D3168,"&lt;="&amp;$B$2),AVERAGEIFS(AutoClaim_Data!C2:C3168,AutoClaim_Data!B2:B3168,"Train",AutoClaim_Data!D2:D3168,"&gt;"&amp;$B$2))</f>
        <v/>
      </c>
      <c r="H2547">
        <f>IF(AutoClaim_Data!D2547&lt;=$B$2,IF(AutoClaim_Data!E2547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7">
        <f>(F2547-H2547)^2</f>
        <v/>
      </c>
      <c r="J2547">
        <f>--(E2547="Validation")</f>
        <v/>
      </c>
    </row>
    <row r="2548">
      <c r="D2548">
        <f>AutoClaim_Data!A2548</f>
        <v/>
      </c>
      <c r="E2548">
        <f>AutoClaim_Data!B2548</f>
        <v/>
      </c>
      <c r="F2548">
        <f>AutoClaim_Data!C2548</f>
        <v/>
      </c>
      <c r="G2548">
        <f>IF(AutoClaim_Data!D2548&lt;=$B$2,AVERAGEIFS(AutoClaim_Data!C2:C3168,AutoClaim_Data!B2:B3168,"Train",AutoClaim_Data!D2:D3168,"&lt;="&amp;$B$2),AVERAGEIFS(AutoClaim_Data!C2:C3168,AutoClaim_Data!B2:B3168,"Train",AutoClaim_Data!D2:D3168,"&gt;"&amp;$B$2))</f>
        <v/>
      </c>
      <c r="H2548">
        <f>IF(AutoClaim_Data!D2548&lt;=$B$2,IF(AutoClaim_Data!E2548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8">
        <f>(F2548-H2548)^2</f>
        <v/>
      </c>
      <c r="J2548">
        <f>--(E2548="Validation")</f>
        <v/>
      </c>
    </row>
    <row r="2549">
      <c r="D2549">
        <f>AutoClaim_Data!A2549</f>
        <v/>
      </c>
      <c r="E2549">
        <f>AutoClaim_Data!B2549</f>
        <v/>
      </c>
      <c r="F2549">
        <f>AutoClaim_Data!C2549</f>
        <v/>
      </c>
      <c r="G2549">
        <f>IF(AutoClaim_Data!D2549&lt;=$B$2,AVERAGEIFS(AutoClaim_Data!C2:C3168,AutoClaim_Data!B2:B3168,"Train",AutoClaim_Data!D2:D3168,"&lt;="&amp;$B$2),AVERAGEIFS(AutoClaim_Data!C2:C3168,AutoClaim_Data!B2:B3168,"Train",AutoClaim_Data!D2:D3168,"&gt;"&amp;$B$2))</f>
        <v/>
      </c>
      <c r="H2549">
        <f>IF(AutoClaim_Data!D2549&lt;=$B$2,IF(AutoClaim_Data!E2549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49">
        <f>(F2549-H2549)^2</f>
        <v/>
      </c>
      <c r="J2549">
        <f>--(E2549="Validation")</f>
        <v/>
      </c>
    </row>
    <row r="2550">
      <c r="D2550">
        <f>AutoClaim_Data!A2550</f>
        <v/>
      </c>
      <c r="E2550">
        <f>AutoClaim_Data!B2550</f>
        <v/>
      </c>
      <c r="F2550">
        <f>AutoClaim_Data!C2550</f>
        <v/>
      </c>
      <c r="G2550">
        <f>IF(AutoClaim_Data!D2550&lt;=$B$2,AVERAGEIFS(AutoClaim_Data!C2:C3168,AutoClaim_Data!B2:B3168,"Train",AutoClaim_Data!D2:D3168,"&lt;="&amp;$B$2),AVERAGEIFS(AutoClaim_Data!C2:C3168,AutoClaim_Data!B2:B3168,"Train",AutoClaim_Data!D2:D3168,"&gt;"&amp;$B$2))</f>
        <v/>
      </c>
      <c r="H2550">
        <f>IF(AutoClaim_Data!D2550&lt;=$B$2,IF(AutoClaim_Data!E2550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0">
        <f>(F2550-H2550)^2</f>
        <v/>
      </c>
      <c r="J2550">
        <f>--(E2550="Validation")</f>
        <v/>
      </c>
    </row>
    <row r="2551">
      <c r="D2551">
        <f>AutoClaim_Data!A2551</f>
        <v/>
      </c>
      <c r="E2551">
        <f>AutoClaim_Data!B2551</f>
        <v/>
      </c>
      <c r="F2551">
        <f>AutoClaim_Data!C2551</f>
        <v/>
      </c>
      <c r="G2551">
        <f>IF(AutoClaim_Data!D2551&lt;=$B$2,AVERAGEIFS(AutoClaim_Data!C2:C3168,AutoClaim_Data!B2:B3168,"Train",AutoClaim_Data!D2:D3168,"&lt;="&amp;$B$2),AVERAGEIFS(AutoClaim_Data!C2:C3168,AutoClaim_Data!B2:B3168,"Train",AutoClaim_Data!D2:D3168,"&gt;"&amp;$B$2))</f>
        <v/>
      </c>
      <c r="H2551">
        <f>IF(AutoClaim_Data!D2551&lt;=$B$2,IF(AutoClaim_Data!E2551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1">
        <f>(F2551-H2551)^2</f>
        <v/>
      </c>
      <c r="J2551">
        <f>--(E2551="Validation")</f>
        <v/>
      </c>
    </row>
    <row r="2552">
      <c r="D2552">
        <f>AutoClaim_Data!A2552</f>
        <v/>
      </c>
      <c r="E2552">
        <f>AutoClaim_Data!B2552</f>
        <v/>
      </c>
      <c r="F2552">
        <f>AutoClaim_Data!C2552</f>
        <v/>
      </c>
      <c r="G2552">
        <f>IF(AutoClaim_Data!D2552&lt;=$B$2,AVERAGEIFS(AutoClaim_Data!C2:C3168,AutoClaim_Data!B2:B3168,"Train",AutoClaim_Data!D2:D3168,"&lt;="&amp;$B$2),AVERAGEIFS(AutoClaim_Data!C2:C3168,AutoClaim_Data!B2:B3168,"Train",AutoClaim_Data!D2:D3168,"&gt;"&amp;$B$2))</f>
        <v/>
      </c>
      <c r="H2552">
        <f>IF(AutoClaim_Data!D2552&lt;=$B$2,IF(AutoClaim_Data!E2552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2">
        <f>(F2552-H2552)^2</f>
        <v/>
      </c>
      <c r="J2552">
        <f>--(E2552="Validation")</f>
        <v/>
      </c>
    </row>
    <row r="2553">
      <c r="D2553">
        <f>AutoClaim_Data!A2553</f>
        <v/>
      </c>
      <c r="E2553">
        <f>AutoClaim_Data!B2553</f>
        <v/>
      </c>
      <c r="F2553">
        <f>AutoClaim_Data!C2553</f>
        <v/>
      </c>
      <c r="G2553">
        <f>IF(AutoClaim_Data!D2553&lt;=$B$2,AVERAGEIFS(AutoClaim_Data!C2:C3168,AutoClaim_Data!B2:B3168,"Train",AutoClaim_Data!D2:D3168,"&lt;="&amp;$B$2),AVERAGEIFS(AutoClaim_Data!C2:C3168,AutoClaim_Data!B2:B3168,"Train",AutoClaim_Data!D2:D3168,"&gt;"&amp;$B$2))</f>
        <v/>
      </c>
      <c r="H2553">
        <f>IF(AutoClaim_Data!D2553&lt;=$B$2,IF(AutoClaim_Data!E2553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3">
        <f>(F2553-H2553)^2</f>
        <v/>
      </c>
      <c r="J2553">
        <f>--(E2553="Validation")</f>
        <v/>
      </c>
    </row>
    <row r="2554">
      <c r="D2554">
        <f>AutoClaim_Data!A2554</f>
        <v/>
      </c>
      <c r="E2554">
        <f>AutoClaim_Data!B2554</f>
        <v/>
      </c>
      <c r="F2554">
        <f>AutoClaim_Data!C2554</f>
        <v/>
      </c>
      <c r="G2554">
        <f>IF(AutoClaim_Data!D2554&lt;=$B$2,AVERAGEIFS(AutoClaim_Data!C2:C3168,AutoClaim_Data!B2:B3168,"Train",AutoClaim_Data!D2:D3168,"&lt;="&amp;$B$2),AVERAGEIFS(AutoClaim_Data!C2:C3168,AutoClaim_Data!B2:B3168,"Train",AutoClaim_Data!D2:D3168,"&gt;"&amp;$B$2))</f>
        <v/>
      </c>
      <c r="H2554">
        <f>IF(AutoClaim_Data!D2554&lt;=$B$2,IF(AutoClaim_Data!E2554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4">
        <f>(F2554-H2554)^2</f>
        <v/>
      </c>
      <c r="J2554">
        <f>--(E2554="Validation")</f>
        <v/>
      </c>
    </row>
    <row r="2555">
      <c r="D2555">
        <f>AutoClaim_Data!A2555</f>
        <v/>
      </c>
      <c r="E2555">
        <f>AutoClaim_Data!B2555</f>
        <v/>
      </c>
      <c r="F2555">
        <f>AutoClaim_Data!C2555</f>
        <v/>
      </c>
      <c r="G2555">
        <f>IF(AutoClaim_Data!D2555&lt;=$B$2,AVERAGEIFS(AutoClaim_Data!C2:C3168,AutoClaim_Data!B2:B3168,"Train",AutoClaim_Data!D2:D3168,"&lt;="&amp;$B$2),AVERAGEIFS(AutoClaim_Data!C2:C3168,AutoClaim_Data!B2:B3168,"Train",AutoClaim_Data!D2:D3168,"&gt;"&amp;$B$2))</f>
        <v/>
      </c>
      <c r="H2555">
        <f>IF(AutoClaim_Data!D2555&lt;=$B$2,IF(AutoClaim_Data!E2555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5">
        <f>(F2555-H2555)^2</f>
        <v/>
      </c>
      <c r="J2555">
        <f>--(E2555="Validation")</f>
        <v/>
      </c>
    </row>
    <row r="2556">
      <c r="D2556">
        <f>AutoClaim_Data!A2556</f>
        <v/>
      </c>
      <c r="E2556">
        <f>AutoClaim_Data!B2556</f>
        <v/>
      </c>
      <c r="F2556">
        <f>AutoClaim_Data!C2556</f>
        <v/>
      </c>
      <c r="G2556">
        <f>IF(AutoClaim_Data!D2556&lt;=$B$2,AVERAGEIFS(AutoClaim_Data!C2:C3168,AutoClaim_Data!B2:B3168,"Train",AutoClaim_Data!D2:D3168,"&lt;="&amp;$B$2),AVERAGEIFS(AutoClaim_Data!C2:C3168,AutoClaim_Data!B2:B3168,"Train",AutoClaim_Data!D2:D3168,"&gt;"&amp;$B$2))</f>
        <v/>
      </c>
      <c r="H2556">
        <f>IF(AutoClaim_Data!D2556&lt;=$B$2,IF(AutoClaim_Data!E2556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6">
        <f>(F2556-H2556)^2</f>
        <v/>
      </c>
      <c r="J2556">
        <f>--(E2556="Validation")</f>
        <v/>
      </c>
    </row>
    <row r="2557">
      <c r="D2557">
        <f>AutoClaim_Data!A2557</f>
        <v/>
      </c>
      <c r="E2557">
        <f>AutoClaim_Data!B2557</f>
        <v/>
      </c>
      <c r="F2557">
        <f>AutoClaim_Data!C2557</f>
        <v/>
      </c>
      <c r="G2557">
        <f>IF(AutoClaim_Data!D2557&lt;=$B$2,AVERAGEIFS(AutoClaim_Data!C2:C3168,AutoClaim_Data!B2:B3168,"Train",AutoClaim_Data!D2:D3168,"&lt;="&amp;$B$2),AVERAGEIFS(AutoClaim_Data!C2:C3168,AutoClaim_Data!B2:B3168,"Train",AutoClaim_Data!D2:D3168,"&gt;"&amp;$B$2))</f>
        <v/>
      </c>
      <c r="H2557">
        <f>IF(AutoClaim_Data!D2557&lt;=$B$2,IF(AutoClaim_Data!E2557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7">
        <f>(F2557-H2557)^2</f>
        <v/>
      </c>
      <c r="J2557">
        <f>--(E2557="Validation")</f>
        <v/>
      </c>
    </row>
    <row r="2558">
      <c r="D2558">
        <f>AutoClaim_Data!A2558</f>
        <v/>
      </c>
      <c r="E2558">
        <f>AutoClaim_Data!B2558</f>
        <v/>
      </c>
      <c r="F2558">
        <f>AutoClaim_Data!C2558</f>
        <v/>
      </c>
      <c r="G2558">
        <f>IF(AutoClaim_Data!D2558&lt;=$B$2,AVERAGEIFS(AutoClaim_Data!C2:C3168,AutoClaim_Data!B2:B3168,"Train",AutoClaim_Data!D2:D3168,"&lt;="&amp;$B$2),AVERAGEIFS(AutoClaim_Data!C2:C3168,AutoClaim_Data!B2:B3168,"Train",AutoClaim_Data!D2:D3168,"&gt;"&amp;$B$2))</f>
        <v/>
      </c>
      <c r="H2558">
        <f>IF(AutoClaim_Data!D2558&lt;=$B$2,IF(AutoClaim_Data!E2558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8">
        <f>(F2558-H2558)^2</f>
        <v/>
      </c>
      <c r="J2558">
        <f>--(E2558="Validation")</f>
        <v/>
      </c>
    </row>
    <row r="2559">
      <c r="D2559">
        <f>AutoClaim_Data!A2559</f>
        <v/>
      </c>
      <c r="E2559">
        <f>AutoClaim_Data!B2559</f>
        <v/>
      </c>
      <c r="F2559">
        <f>AutoClaim_Data!C2559</f>
        <v/>
      </c>
      <c r="G2559">
        <f>IF(AutoClaim_Data!D2559&lt;=$B$2,AVERAGEIFS(AutoClaim_Data!C2:C3168,AutoClaim_Data!B2:B3168,"Train",AutoClaim_Data!D2:D3168,"&lt;="&amp;$B$2),AVERAGEIFS(AutoClaim_Data!C2:C3168,AutoClaim_Data!B2:B3168,"Train",AutoClaim_Data!D2:D3168,"&gt;"&amp;$B$2))</f>
        <v/>
      </c>
      <c r="H2559">
        <f>IF(AutoClaim_Data!D2559&lt;=$B$2,IF(AutoClaim_Data!E2559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59">
        <f>(F2559-H2559)^2</f>
        <v/>
      </c>
      <c r="J2559">
        <f>--(E2559="Validation")</f>
        <v/>
      </c>
    </row>
    <row r="2560">
      <c r="D2560">
        <f>AutoClaim_Data!A2560</f>
        <v/>
      </c>
      <c r="E2560">
        <f>AutoClaim_Data!B2560</f>
        <v/>
      </c>
      <c r="F2560">
        <f>AutoClaim_Data!C2560</f>
        <v/>
      </c>
      <c r="G2560">
        <f>IF(AutoClaim_Data!D2560&lt;=$B$2,AVERAGEIFS(AutoClaim_Data!C2:C3168,AutoClaim_Data!B2:B3168,"Train",AutoClaim_Data!D2:D3168,"&lt;="&amp;$B$2),AVERAGEIFS(AutoClaim_Data!C2:C3168,AutoClaim_Data!B2:B3168,"Train",AutoClaim_Data!D2:D3168,"&gt;"&amp;$B$2))</f>
        <v/>
      </c>
      <c r="H2560">
        <f>IF(AutoClaim_Data!D2560&lt;=$B$2,IF(AutoClaim_Data!E2560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0">
        <f>(F2560-H2560)^2</f>
        <v/>
      </c>
      <c r="J2560">
        <f>--(E2560="Validation")</f>
        <v/>
      </c>
    </row>
    <row r="2561">
      <c r="D2561">
        <f>AutoClaim_Data!A2561</f>
        <v/>
      </c>
      <c r="E2561">
        <f>AutoClaim_Data!B2561</f>
        <v/>
      </c>
      <c r="F2561">
        <f>AutoClaim_Data!C2561</f>
        <v/>
      </c>
      <c r="G2561">
        <f>IF(AutoClaim_Data!D2561&lt;=$B$2,AVERAGEIFS(AutoClaim_Data!C2:C3168,AutoClaim_Data!B2:B3168,"Train",AutoClaim_Data!D2:D3168,"&lt;="&amp;$B$2),AVERAGEIFS(AutoClaim_Data!C2:C3168,AutoClaim_Data!B2:B3168,"Train",AutoClaim_Data!D2:D3168,"&gt;"&amp;$B$2))</f>
        <v/>
      </c>
      <c r="H2561">
        <f>IF(AutoClaim_Data!D2561&lt;=$B$2,IF(AutoClaim_Data!E2561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1">
        <f>(F2561-H2561)^2</f>
        <v/>
      </c>
      <c r="J2561">
        <f>--(E2561="Validation")</f>
        <v/>
      </c>
    </row>
    <row r="2562">
      <c r="D2562">
        <f>AutoClaim_Data!A2562</f>
        <v/>
      </c>
      <c r="E2562">
        <f>AutoClaim_Data!B2562</f>
        <v/>
      </c>
      <c r="F2562">
        <f>AutoClaim_Data!C2562</f>
        <v/>
      </c>
      <c r="G2562">
        <f>IF(AutoClaim_Data!D2562&lt;=$B$2,AVERAGEIFS(AutoClaim_Data!C2:C3168,AutoClaim_Data!B2:B3168,"Train",AutoClaim_Data!D2:D3168,"&lt;="&amp;$B$2),AVERAGEIFS(AutoClaim_Data!C2:C3168,AutoClaim_Data!B2:B3168,"Train",AutoClaim_Data!D2:D3168,"&gt;"&amp;$B$2))</f>
        <v/>
      </c>
      <c r="H2562">
        <f>IF(AutoClaim_Data!D2562&lt;=$B$2,IF(AutoClaim_Data!E2562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2">
        <f>(F2562-H2562)^2</f>
        <v/>
      </c>
      <c r="J2562">
        <f>--(E2562="Validation")</f>
        <v/>
      </c>
    </row>
    <row r="2563">
      <c r="D2563">
        <f>AutoClaim_Data!A2563</f>
        <v/>
      </c>
      <c r="E2563">
        <f>AutoClaim_Data!B2563</f>
        <v/>
      </c>
      <c r="F2563">
        <f>AutoClaim_Data!C2563</f>
        <v/>
      </c>
      <c r="G2563">
        <f>IF(AutoClaim_Data!D2563&lt;=$B$2,AVERAGEIFS(AutoClaim_Data!C2:C3168,AutoClaim_Data!B2:B3168,"Train",AutoClaim_Data!D2:D3168,"&lt;="&amp;$B$2),AVERAGEIFS(AutoClaim_Data!C2:C3168,AutoClaim_Data!B2:B3168,"Train",AutoClaim_Data!D2:D3168,"&gt;"&amp;$B$2))</f>
        <v/>
      </c>
      <c r="H2563">
        <f>IF(AutoClaim_Data!D2563&lt;=$B$2,IF(AutoClaim_Data!E2563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3">
        <f>(F2563-H2563)^2</f>
        <v/>
      </c>
      <c r="J2563">
        <f>--(E2563="Validation")</f>
        <v/>
      </c>
    </row>
    <row r="2564">
      <c r="D2564">
        <f>AutoClaim_Data!A2564</f>
        <v/>
      </c>
      <c r="E2564">
        <f>AutoClaim_Data!B2564</f>
        <v/>
      </c>
      <c r="F2564">
        <f>AutoClaim_Data!C2564</f>
        <v/>
      </c>
      <c r="G2564">
        <f>IF(AutoClaim_Data!D2564&lt;=$B$2,AVERAGEIFS(AutoClaim_Data!C2:C3168,AutoClaim_Data!B2:B3168,"Train",AutoClaim_Data!D2:D3168,"&lt;="&amp;$B$2),AVERAGEIFS(AutoClaim_Data!C2:C3168,AutoClaim_Data!B2:B3168,"Train",AutoClaim_Data!D2:D3168,"&gt;"&amp;$B$2))</f>
        <v/>
      </c>
      <c r="H2564">
        <f>IF(AutoClaim_Data!D2564&lt;=$B$2,IF(AutoClaim_Data!E2564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4">
        <f>(F2564-H2564)^2</f>
        <v/>
      </c>
      <c r="J2564">
        <f>--(E2564="Validation")</f>
        <v/>
      </c>
    </row>
    <row r="2565">
      <c r="D2565">
        <f>AutoClaim_Data!A2565</f>
        <v/>
      </c>
      <c r="E2565">
        <f>AutoClaim_Data!B2565</f>
        <v/>
      </c>
      <c r="F2565">
        <f>AutoClaim_Data!C2565</f>
        <v/>
      </c>
      <c r="G2565">
        <f>IF(AutoClaim_Data!D2565&lt;=$B$2,AVERAGEIFS(AutoClaim_Data!C2:C3168,AutoClaim_Data!B2:B3168,"Train",AutoClaim_Data!D2:D3168,"&lt;="&amp;$B$2),AVERAGEIFS(AutoClaim_Data!C2:C3168,AutoClaim_Data!B2:B3168,"Train",AutoClaim_Data!D2:D3168,"&gt;"&amp;$B$2))</f>
        <v/>
      </c>
      <c r="H2565">
        <f>IF(AutoClaim_Data!D2565&lt;=$B$2,IF(AutoClaim_Data!E2565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5">
        <f>(F2565-H2565)^2</f>
        <v/>
      </c>
      <c r="J2565">
        <f>--(E2565="Validation")</f>
        <v/>
      </c>
    </row>
    <row r="2566">
      <c r="D2566">
        <f>AutoClaim_Data!A2566</f>
        <v/>
      </c>
      <c r="E2566">
        <f>AutoClaim_Data!B2566</f>
        <v/>
      </c>
      <c r="F2566">
        <f>AutoClaim_Data!C2566</f>
        <v/>
      </c>
      <c r="G2566">
        <f>IF(AutoClaim_Data!D2566&lt;=$B$2,AVERAGEIFS(AutoClaim_Data!C2:C3168,AutoClaim_Data!B2:B3168,"Train",AutoClaim_Data!D2:D3168,"&lt;="&amp;$B$2),AVERAGEIFS(AutoClaim_Data!C2:C3168,AutoClaim_Data!B2:B3168,"Train",AutoClaim_Data!D2:D3168,"&gt;"&amp;$B$2))</f>
        <v/>
      </c>
      <c r="H2566">
        <f>IF(AutoClaim_Data!D2566&lt;=$B$2,IF(AutoClaim_Data!E2566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6">
        <f>(F2566-H2566)^2</f>
        <v/>
      </c>
      <c r="J2566">
        <f>--(E2566="Validation")</f>
        <v/>
      </c>
    </row>
    <row r="2567">
      <c r="D2567">
        <f>AutoClaim_Data!A2567</f>
        <v/>
      </c>
      <c r="E2567">
        <f>AutoClaim_Data!B2567</f>
        <v/>
      </c>
      <c r="F2567">
        <f>AutoClaim_Data!C2567</f>
        <v/>
      </c>
      <c r="G2567">
        <f>IF(AutoClaim_Data!D2567&lt;=$B$2,AVERAGEIFS(AutoClaim_Data!C2:C3168,AutoClaim_Data!B2:B3168,"Train",AutoClaim_Data!D2:D3168,"&lt;="&amp;$B$2),AVERAGEIFS(AutoClaim_Data!C2:C3168,AutoClaim_Data!B2:B3168,"Train",AutoClaim_Data!D2:D3168,"&gt;"&amp;$B$2))</f>
        <v/>
      </c>
      <c r="H2567">
        <f>IF(AutoClaim_Data!D2567&lt;=$B$2,IF(AutoClaim_Data!E2567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7">
        <f>(F2567-H2567)^2</f>
        <v/>
      </c>
      <c r="J2567">
        <f>--(E2567="Validation")</f>
        <v/>
      </c>
    </row>
    <row r="2568">
      <c r="D2568">
        <f>AutoClaim_Data!A2568</f>
        <v/>
      </c>
      <c r="E2568">
        <f>AutoClaim_Data!B2568</f>
        <v/>
      </c>
      <c r="F2568">
        <f>AutoClaim_Data!C2568</f>
        <v/>
      </c>
      <c r="G2568">
        <f>IF(AutoClaim_Data!D2568&lt;=$B$2,AVERAGEIFS(AutoClaim_Data!C2:C3168,AutoClaim_Data!B2:B3168,"Train",AutoClaim_Data!D2:D3168,"&lt;="&amp;$B$2),AVERAGEIFS(AutoClaim_Data!C2:C3168,AutoClaim_Data!B2:B3168,"Train",AutoClaim_Data!D2:D3168,"&gt;"&amp;$B$2))</f>
        <v/>
      </c>
      <c r="H2568">
        <f>IF(AutoClaim_Data!D2568&lt;=$B$2,IF(AutoClaim_Data!E2568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8">
        <f>(F2568-H2568)^2</f>
        <v/>
      </c>
      <c r="J2568">
        <f>--(E2568="Validation")</f>
        <v/>
      </c>
    </row>
    <row r="2569">
      <c r="D2569">
        <f>AutoClaim_Data!A2569</f>
        <v/>
      </c>
      <c r="E2569">
        <f>AutoClaim_Data!B2569</f>
        <v/>
      </c>
      <c r="F2569">
        <f>AutoClaim_Data!C2569</f>
        <v/>
      </c>
      <c r="G2569">
        <f>IF(AutoClaim_Data!D2569&lt;=$B$2,AVERAGEIFS(AutoClaim_Data!C2:C3168,AutoClaim_Data!B2:B3168,"Train",AutoClaim_Data!D2:D3168,"&lt;="&amp;$B$2),AVERAGEIFS(AutoClaim_Data!C2:C3168,AutoClaim_Data!B2:B3168,"Train",AutoClaim_Data!D2:D3168,"&gt;"&amp;$B$2))</f>
        <v/>
      </c>
      <c r="H2569">
        <f>IF(AutoClaim_Data!D2569&lt;=$B$2,IF(AutoClaim_Data!E2569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69">
        <f>(F2569-H2569)^2</f>
        <v/>
      </c>
      <c r="J2569">
        <f>--(E2569="Validation")</f>
        <v/>
      </c>
    </row>
    <row r="2570">
      <c r="D2570">
        <f>AutoClaim_Data!A2570</f>
        <v/>
      </c>
      <c r="E2570">
        <f>AutoClaim_Data!B2570</f>
        <v/>
      </c>
      <c r="F2570">
        <f>AutoClaim_Data!C2570</f>
        <v/>
      </c>
      <c r="G2570">
        <f>IF(AutoClaim_Data!D2570&lt;=$B$2,AVERAGEIFS(AutoClaim_Data!C2:C3168,AutoClaim_Data!B2:B3168,"Train",AutoClaim_Data!D2:D3168,"&lt;="&amp;$B$2),AVERAGEIFS(AutoClaim_Data!C2:C3168,AutoClaim_Data!B2:B3168,"Train",AutoClaim_Data!D2:D3168,"&gt;"&amp;$B$2))</f>
        <v/>
      </c>
      <c r="H2570">
        <f>IF(AutoClaim_Data!D2570&lt;=$B$2,IF(AutoClaim_Data!E2570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0">
        <f>(F2570-H2570)^2</f>
        <v/>
      </c>
      <c r="J2570">
        <f>--(E2570="Validation")</f>
        <v/>
      </c>
    </row>
    <row r="2571">
      <c r="D2571">
        <f>AutoClaim_Data!A2571</f>
        <v/>
      </c>
      <c r="E2571">
        <f>AutoClaim_Data!B2571</f>
        <v/>
      </c>
      <c r="F2571">
        <f>AutoClaim_Data!C2571</f>
        <v/>
      </c>
      <c r="G2571">
        <f>IF(AutoClaim_Data!D2571&lt;=$B$2,AVERAGEIFS(AutoClaim_Data!C2:C3168,AutoClaim_Data!B2:B3168,"Train",AutoClaim_Data!D2:D3168,"&lt;="&amp;$B$2),AVERAGEIFS(AutoClaim_Data!C2:C3168,AutoClaim_Data!B2:B3168,"Train",AutoClaim_Data!D2:D3168,"&gt;"&amp;$B$2))</f>
        <v/>
      </c>
      <c r="H2571">
        <f>IF(AutoClaim_Data!D2571&lt;=$B$2,IF(AutoClaim_Data!E2571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1">
        <f>(F2571-H2571)^2</f>
        <v/>
      </c>
      <c r="J2571">
        <f>--(E2571="Validation")</f>
        <v/>
      </c>
    </row>
    <row r="2572">
      <c r="D2572">
        <f>AutoClaim_Data!A2572</f>
        <v/>
      </c>
      <c r="E2572">
        <f>AutoClaim_Data!B2572</f>
        <v/>
      </c>
      <c r="F2572">
        <f>AutoClaim_Data!C2572</f>
        <v/>
      </c>
      <c r="G2572">
        <f>IF(AutoClaim_Data!D2572&lt;=$B$2,AVERAGEIFS(AutoClaim_Data!C2:C3168,AutoClaim_Data!B2:B3168,"Train",AutoClaim_Data!D2:D3168,"&lt;="&amp;$B$2),AVERAGEIFS(AutoClaim_Data!C2:C3168,AutoClaim_Data!B2:B3168,"Train",AutoClaim_Data!D2:D3168,"&gt;"&amp;$B$2))</f>
        <v/>
      </c>
      <c r="H2572">
        <f>IF(AutoClaim_Data!D2572&lt;=$B$2,IF(AutoClaim_Data!E2572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2">
        <f>(F2572-H2572)^2</f>
        <v/>
      </c>
      <c r="J2572">
        <f>--(E2572="Validation")</f>
        <v/>
      </c>
    </row>
    <row r="2573">
      <c r="D2573">
        <f>AutoClaim_Data!A2573</f>
        <v/>
      </c>
      <c r="E2573">
        <f>AutoClaim_Data!B2573</f>
        <v/>
      </c>
      <c r="F2573">
        <f>AutoClaim_Data!C2573</f>
        <v/>
      </c>
      <c r="G2573">
        <f>IF(AutoClaim_Data!D2573&lt;=$B$2,AVERAGEIFS(AutoClaim_Data!C2:C3168,AutoClaim_Data!B2:B3168,"Train",AutoClaim_Data!D2:D3168,"&lt;="&amp;$B$2),AVERAGEIFS(AutoClaim_Data!C2:C3168,AutoClaim_Data!B2:B3168,"Train",AutoClaim_Data!D2:D3168,"&gt;"&amp;$B$2))</f>
        <v/>
      </c>
      <c r="H2573">
        <f>IF(AutoClaim_Data!D2573&lt;=$B$2,IF(AutoClaim_Data!E2573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3">
        <f>(F2573-H2573)^2</f>
        <v/>
      </c>
      <c r="J2573">
        <f>--(E2573="Validation")</f>
        <v/>
      </c>
    </row>
    <row r="2574">
      <c r="D2574">
        <f>AutoClaim_Data!A2574</f>
        <v/>
      </c>
      <c r="E2574">
        <f>AutoClaim_Data!B2574</f>
        <v/>
      </c>
      <c r="F2574">
        <f>AutoClaim_Data!C2574</f>
        <v/>
      </c>
      <c r="G2574">
        <f>IF(AutoClaim_Data!D2574&lt;=$B$2,AVERAGEIFS(AutoClaim_Data!C2:C3168,AutoClaim_Data!B2:B3168,"Train",AutoClaim_Data!D2:D3168,"&lt;="&amp;$B$2),AVERAGEIFS(AutoClaim_Data!C2:C3168,AutoClaim_Data!B2:B3168,"Train",AutoClaim_Data!D2:D3168,"&gt;"&amp;$B$2))</f>
        <v/>
      </c>
      <c r="H2574">
        <f>IF(AutoClaim_Data!D2574&lt;=$B$2,IF(AutoClaim_Data!E2574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4">
        <f>(F2574-H2574)^2</f>
        <v/>
      </c>
      <c r="J2574">
        <f>--(E2574="Validation")</f>
        <v/>
      </c>
    </row>
    <row r="2575">
      <c r="D2575">
        <f>AutoClaim_Data!A2575</f>
        <v/>
      </c>
      <c r="E2575">
        <f>AutoClaim_Data!B2575</f>
        <v/>
      </c>
      <c r="F2575">
        <f>AutoClaim_Data!C2575</f>
        <v/>
      </c>
      <c r="G2575">
        <f>IF(AutoClaim_Data!D2575&lt;=$B$2,AVERAGEIFS(AutoClaim_Data!C2:C3168,AutoClaim_Data!B2:B3168,"Train",AutoClaim_Data!D2:D3168,"&lt;="&amp;$B$2),AVERAGEIFS(AutoClaim_Data!C2:C3168,AutoClaim_Data!B2:B3168,"Train",AutoClaim_Data!D2:D3168,"&gt;"&amp;$B$2))</f>
        <v/>
      </c>
      <c r="H2575">
        <f>IF(AutoClaim_Data!D2575&lt;=$B$2,IF(AutoClaim_Data!E2575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5">
        <f>(F2575-H2575)^2</f>
        <v/>
      </c>
      <c r="J2575">
        <f>--(E2575="Validation")</f>
        <v/>
      </c>
    </row>
    <row r="2576">
      <c r="D2576">
        <f>AutoClaim_Data!A2576</f>
        <v/>
      </c>
      <c r="E2576">
        <f>AutoClaim_Data!B2576</f>
        <v/>
      </c>
      <c r="F2576">
        <f>AutoClaim_Data!C2576</f>
        <v/>
      </c>
      <c r="G2576">
        <f>IF(AutoClaim_Data!D2576&lt;=$B$2,AVERAGEIFS(AutoClaim_Data!C2:C3168,AutoClaim_Data!B2:B3168,"Train",AutoClaim_Data!D2:D3168,"&lt;="&amp;$B$2),AVERAGEIFS(AutoClaim_Data!C2:C3168,AutoClaim_Data!B2:B3168,"Train",AutoClaim_Data!D2:D3168,"&gt;"&amp;$B$2))</f>
        <v/>
      </c>
      <c r="H2576">
        <f>IF(AutoClaim_Data!D2576&lt;=$B$2,IF(AutoClaim_Data!E2576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6">
        <f>(F2576-H2576)^2</f>
        <v/>
      </c>
      <c r="J2576">
        <f>--(E2576="Validation")</f>
        <v/>
      </c>
    </row>
    <row r="2577">
      <c r="D2577">
        <f>AutoClaim_Data!A2577</f>
        <v/>
      </c>
      <c r="E2577">
        <f>AutoClaim_Data!B2577</f>
        <v/>
      </c>
      <c r="F2577">
        <f>AutoClaim_Data!C2577</f>
        <v/>
      </c>
      <c r="G2577">
        <f>IF(AutoClaim_Data!D2577&lt;=$B$2,AVERAGEIFS(AutoClaim_Data!C2:C3168,AutoClaim_Data!B2:B3168,"Train",AutoClaim_Data!D2:D3168,"&lt;="&amp;$B$2),AVERAGEIFS(AutoClaim_Data!C2:C3168,AutoClaim_Data!B2:B3168,"Train",AutoClaim_Data!D2:D3168,"&gt;"&amp;$B$2))</f>
        <v/>
      </c>
      <c r="H2577">
        <f>IF(AutoClaim_Data!D2577&lt;=$B$2,IF(AutoClaim_Data!E2577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7">
        <f>(F2577-H2577)^2</f>
        <v/>
      </c>
      <c r="J2577">
        <f>--(E2577="Validation")</f>
        <v/>
      </c>
    </row>
    <row r="2578">
      <c r="D2578">
        <f>AutoClaim_Data!A2578</f>
        <v/>
      </c>
      <c r="E2578">
        <f>AutoClaim_Data!B2578</f>
        <v/>
      </c>
      <c r="F2578">
        <f>AutoClaim_Data!C2578</f>
        <v/>
      </c>
      <c r="G2578">
        <f>IF(AutoClaim_Data!D2578&lt;=$B$2,AVERAGEIFS(AutoClaim_Data!C2:C3168,AutoClaim_Data!B2:B3168,"Train",AutoClaim_Data!D2:D3168,"&lt;="&amp;$B$2),AVERAGEIFS(AutoClaim_Data!C2:C3168,AutoClaim_Data!B2:B3168,"Train",AutoClaim_Data!D2:D3168,"&gt;"&amp;$B$2))</f>
        <v/>
      </c>
      <c r="H2578">
        <f>IF(AutoClaim_Data!D2578&lt;=$B$2,IF(AutoClaim_Data!E2578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8">
        <f>(F2578-H2578)^2</f>
        <v/>
      </c>
      <c r="J2578">
        <f>--(E2578="Validation")</f>
        <v/>
      </c>
    </row>
    <row r="2579">
      <c r="D2579">
        <f>AutoClaim_Data!A2579</f>
        <v/>
      </c>
      <c r="E2579">
        <f>AutoClaim_Data!B2579</f>
        <v/>
      </c>
      <c r="F2579">
        <f>AutoClaim_Data!C2579</f>
        <v/>
      </c>
      <c r="G2579">
        <f>IF(AutoClaim_Data!D2579&lt;=$B$2,AVERAGEIFS(AutoClaim_Data!C2:C3168,AutoClaim_Data!B2:B3168,"Train",AutoClaim_Data!D2:D3168,"&lt;="&amp;$B$2),AVERAGEIFS(AutoClaim_Data!C2:C3168,AutoClaim_Data!B2:B3168,"Train",AutoClaim_Data!D2:D3168,"&gt;"&amp;$B$2))</f>
        <v/>
      </c>
      <c r="H2579">
        <f>IF(AutoClaim_Data!D2579&lt;=$B$2,IF(AutoClaim_Data!E2579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79">
        <f>(F2579-H2579)^2</f>
        <v/>
      </c>
      <c r="J2579">
        <f>--(E2579="Validation")</f>
        <v/>
      </c>
    </row>
    <row r="2580">
      <c r="D2580">
        <f>AutoClaim_Data!A2580</f>
        <v/>
      </c>
      <c r="E2580">
        <f>AutoClaim_Data!B2580</f>
        <v/>
      </c>
      <c r="F2580">
        <f>AutoClaim_Data!C2580</f>
        <v/>
      </c>
      <c r="G2580">
        <f>IF(AutoClaim_Data!D2580&lt;=$B$2,AVERAGEIFS(AutoClaim_Data!C2:C3168,AutoClaim_Data!B2:B3168,"Train",AutoClaim_Data!D2:D3168,"&lt;="&amp;$B$2),AVERAGEIFS(AutoClaim_Data!C2:C3168,AutoClaim_Data!B2:B3168,"Train",AutoClaim_Data!D2:D3168,"&gt;"&amp;$B$2))</f>
        <v/>
      </c>
      <c r="H2580">
        <f>IF(AutoClaim_Data!D2580&lt;=$B$2,IF(AutoClaim_Data!E2580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0">
        <f>(F2580-H2580)^2</f>
        <v/>
      </c>
      <c r="J2580">
        <f>--(E2580="Validation")</f>
        <v/>
      </c>
    </row>
    <row r="2581">
      <c r="D2581">
        <f>AutoClaim_Data!A2581</f>
        <v/>
      </c>
      <c r="E2581">
        <f>AutoClaim_Data!B2581</f>
        <v/>
      </c>
      <c r="F2581">
        <f>AutoClaim_Data!C2581</f>
        <v/>
      </c>
      <c r="G2581">
        <f>IF(AutoClaim_Data!D2581&lt;=$B$2,AVERAGEIFS(AutoClaim_Data!C2:C3168,AutoClaim_Data!B2:B3168,"Train",AutoClaim_Data!D2:D3168,"&lt;="&amp;$B$2),AVERAGEIFS(AutoClaim_Data!C2:C3168,AutoClaim_Data!B2:B3168,"Train",AutoClaim_Data!D2:D3168,"&gt;"&amp;$B$2))</f>
        <v/>
      </c>
      <c r="H2581">
        <f>IF(AutoClaim_Data!D2581&lt;=$B$2,IF(AutoClaim_Data!E2581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1">
        <f>(F2581-H2581)^2</f>
        <v/>
      </c>
      <c r="J2581">
        <f>--(E2581="Validation")</f>
        <v/>
      </c>
    </row>
    <row r="2582">
      <c r="D2582">
        <f>AutoClaim_Data!A2582</f>
        <v/>
      </c>
      <c r="E2582">
        <f>AutoClaim_Data!B2582</f>
        <v/>
      </c>
      <c r="F2582">
        <f>AutoClaim_Data!C2582</f>
        <v/>
      </c>
      <c r="G2582">
        <f>IF(AutoClaim_Data!D2582&lt;=$B$2,AVERAGEIFS(AutoClaim_Data!C2:C3168,AutoClaim_Data!B2:B3168,"Train",AutoClaim_Data!D2:D3168,"&lt;="&amp;$B$2),AVERAGEIFS(AutoClaim_Data!C2:C3168,AutoClaim_Data!B2:B3168,"Train",AutoClaim_Data!D2:D3168,"&gt;"&amp;$B$2))</f>
        <v/>
      </c>
      <c r="H2582">
        <f>IF(AutoClaim_Data!D2582&lt;=$B$2,IF(AutoClaim_Data!E2582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2">
        <f>(F2582-H2582)^2</f>
        <v/>
      </c>
      <c r="J2582">
        <f>--(E2582="Validation")</f>
        <v/>
      </c>
    </row>
    <row r="2583">
      <c r="D2583">
        <f>AutoClaim_Data!A2583</f>
        <v/>
      </c>
      <c r="E2583">
        <f>AutoClaim_Data!B2583</f>
        <v/>
      </c>
      <c r="F2583">
        <f>AutoClaim_Data!C2583</f>
        <v/>
      </c>
      <c r="G2583">
        <f>IF(AutoClaim_Data!D2583&lt;=$B$2,AVERAGEIFS(AutoClaim_Data!C2:C3168,AutoClaim_Data!B2:B3168,"Train",AutoClaim_Data!D2:D3168,"&lt;="&amp;$B$2),AVERAGEIFS(AutoClaim_Data!C2:C3168,AutoClaim_Data!B2:B3168,"Train",AutoClaim_Data!D2:D3168,"&gt;"&amp;$B$2))</f>
        <v/>
      </c>
      <c r="H2583">
        <f>IF(AutoClaim_Data!D2583&lt;=$B$2,IF(AutoClaim_Data!E2583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3">
        <f>(F2583-H2583)^2</f>
        <v/>
      </c>
      <c r="J2583">
        <f>--(E2583="Validation")</f>
        <v/>
      </c>
    </row>
    <row r="2584">
      <c r="D2584">
        <f>AutoClaim_Data!A2584</f>
        <v/>
      </c>
      <c r="E2584">
        <f>AutoClaim_Data!B2584</f>
        <v/>
      </c>
      <c r="F2584">
        <f>AutoClaim_Data!C2584</f>
        <v/>
      </c>
      <c r="G2584">
        <f>IF(AutoClaim_Data!D2584&lt;=$B$2,AVERAGEIFS(AutoClaim_Data!C2:C3168,AutoClaim_Data!B2:B3168,"Train",AutoClaim_Data!D2:D3168,"&lt;="&amp;$B$2),AVERAGEIFS(AutoClaim_Data!C2:C3168,AutoClaim_Data!B2:B3168,"Train",AutoClaim_Data!D2:D3168,"&gt;"&amp;$B$2))</f>
        <v/>
      </c>
      <c r="H2584">
        <f>IF(AutoClaim_Data!D2584&lt;=$B$2,IF(AutoClaim_Data!E2584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4">
        <f>(F2584-H2584)^2</f>
        <v/>
      </c>
      <c r="J2584">
        <f>--(E2584="Validation")</f>
        <v/>
      </c>
    </row>
    <row r="2585">
      <c r="D2585">
        <f>AutoClaim_Data!A2585</f>
        <v/>
      </c>
      <c r="E2585">
        <f>AutoClaim_Data!B2585</f>
        <v/>
      </c>
      <c r="F2585">
        <f>AutoClaim_Data!C2585</f>
        <v/>
      </c>
      <c r="G2585">
        <f>IF(AutoClaim_Data!D2585&lt;=$B$2,AVERAGEIFS(AutoClaim_Data!C2:C3168,AutoClaim_Data!B2:B3168,"Train",AutoClaim_Data!D2:D3168,"&lt;="&amp;$B$2),AVERAGEIFS(AutoClaim_Data!C2:C3168,AutoClaim_Data!B2:B3168,"Train",AutoClaim_Data!D2:D3168,"&gt;"&amp;$B$2))</f>
        <v/>
      </c>
      <c r="H2585">
        <f>IF(AutoClaim_Data!D2585&lt;=$B$2,IF(AutoClaim_Data!E2585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5">
        <f>(F2585-H2585)^2</f>
        <v/>
      </c>
      <c r="J2585">
        <f>--(E2585="Validation")</f>
        <v/>
      </c>
    </row>
    <row r="2586">
      <c r="D2586">
        <f>AutoClaim_Data!A2586</f>
        <v/>
      </c>
      <c r="E2586">
        <f>AutoClaim_Data!B2586</f>
        <v/>
      </c>
      <c r="F2586">
        <f>AutoClaim_Data!C2586</f>
        <v/>
      </c>
      <c r="G2586">
        <f>IF(AutoClaim_Data!D2586&lt;=$B$2,AVERAGEIFS(AutoClaim_Data!C2:C3168,AutoClaim_Data!B2:B3168,"Train",AutoClaim_Data!D2:D3168,"&lt;="&amp;$B$2),AVERAGEIFS(AutoClaim_Data!C2:C3168,AutoClaim_Data!B2:B3168,"Train",AutoClaim_Data!D2:D3168,"&gt;"&amp;$B$2))</f>
        <v/>
      </c>
      <c r="H2586">
        <f>IF(AutoClaim_Data!D2586&lt;=$B$2,IF(AutoClaim_Data!E2586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6">
        <f>(F2586-H2586)^2</f>
        <v/>
      </c>
      <c r="J2586">
        <f>--(E2586="Validation")</f>
        <v/>
      </c>
    </row>
    <row r="2587">
      <c r="D2587">
        <f>AutoClaim_Data!A2587</f>
        <v/>
      </c>
      <c r="E2587">
        <f>AutoClaim_Data!B2587</f>
        <v/>
      </c>
      <c r="F2587">
        <f>AutoClaim_Data!C2587</f>
        <v/>
      </c>
      <c r="G2587">
        <f>IF(AutoClaim_Data!D2587&lt;=$B$2,AVERAGEIFS(AutoClaim_Data!C2:C3168,AutoClaim_Data!B2:B3168,"Train",AutoClaim_Data!D2:D3168,"&lt;="&amp;$B$2),AVERAGEIFS(AutoClaim_Data!C2:C3168,AutoClaim_Data!B2:B3168,"Train",AutoClaim_Data!D2:D3168,"&gt;"&amp;$B$2))</f>
        <v/>
      </c>
      <c r="H2587">
        <f>IF(AutoClaim_Data!D2587&lt;=$B$2,IF(AutoClaim_Data!E2587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7">
        <f>(F2587-H2587)^2</f>
        <v/>
      </c>
      <c r="J2587">
        <f>--(E2587="Validation")</f>
        <v/>
      </c>
    </row>
    <row r="2588">
      <c r="D2588">
        <f>AutoClaim_Data!A2588</f>
        <v/>
      </c>
      <c r="E2588">
        <f>AutoClaim_Data!B2588</f>
        <v/>
      </c>
      <c r="F2588">
        <f>AutoClaim_Data!C2588</f>
        <v/>
      </c>
      <c r="G2588">
        <f>IF(AutoClaim_Data!D2588&lt;=$B$2,AVERAGEIFS(AutoClaim_Data!C2:C3168,AutoClaim_Data!B2:B3168,"Train",AutoClaim_Data!D2:D3168,"&lt;="&amp;$B$2),AVERAGEIFS(AutoClaim_Data!C2:C3168,AutoClaim_Data!B2:B3168,"Train",AutoClaim_Data!D2:D3168,"&gt;"&amp;$B$2))</f>
        <v/>
      </c>
      <c r="H2588">
        <f>IF(AutoClaim_Data!D2588&lt;=$B$2,IF(AutoClaim_Data!E2588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8">
        <f>(F2588-H2588)^2</f>
        <v/>
      </c>
      <c r="J2588">
        <f>--(E2588="Validation")</f>
        <v/>
      </c>
    </row>
    <row r="2589">
      <c r="D2589">
        <f>AutoClaim_Data!A2589</f>
        <v/>
      </c>
      <c r="E2589">
        <f>AutoClaim_Data!B2589</f>
        <v/>
      </c>
      <c r="F2589">
        <f>AutoClaim_Data!C2589</f>
        <v/>
      </c>
      <c r="G2589">
        <f>IF(AutoClaim_Data!D2589&lt;=$B$2,AVERAGEIFS(AutoClaim_Data!C2:C3168,AutoClaim_Data!B2:B3168,"Train",AutoClaim_Data!D2:D3168,"&lt;="&amp;$B$2),AVERAGEIFS(AutoClaim_Data!C2:C3168,AutoClaim_Data!B2:B3168,"Train",AutoClaim_Data!D2:D3168,"&gt;"&amp;$B$2))</f>
        <v/>
      </c>
      <c r="H2589">
        <f>IF(AutoClaim_Data!D2589&lt;=$B$2,IF(AutoClaim_Data!E2589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89">
        <f>(F2589-H2589)^2</f>
        <v/>
      </c>
      <c r="J2589">
        <f>--(E2589="Validation")</f>
        <v/>
      </c>
    </row>
    <row r="2590">
      <c r="D2590">
        <f>AutoClaim_Data!A2590</f>
        <v/>
      </c>
      <c r="E2590">
        <f>AutoClaim_Data!B2590</f>
        <v/>
      </c>
      <c r="F2590">
        <f>AutoClaim_Data!C2590</f>
        <v/>
      </c>
      <c r="G2590">
        <f>IF(AutoClaim_Data!D2590&lt;=$B$2,AVERAGEIFS(AutoClaim_Data!C2:C3168,AutoClaim_Data!B2:B3168,"Train",AutoClaim_Data!D2:D3168,"&lt;="&amp;$B$2),AVERAGEIFS(AutoClaim_Data!C2:C3168,AutoClaim_Data!B2:B3168,"Train",AutoClaim_Data!D2:D3168,"&gt;"&amp;$B$2))</f>
        <v/>
      </c>
      <c r="H2590">
        <f>IF(AutoClaim_Data!D2590&lt;=$B$2,IF(AutoClaim_Data!E2590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0">
        <f>(F2590-H2590)^2</f>
        <v/>
      </c>
      <c r="J2590">
        <f>--(E2590="Validation")</f>
        <v/>
      </c>
    </row>
    <row r="2591">
      <c r="D2591">
        <f>AutoClaim_Data!A2591</f>
        <v/>
      </c>
      <c r="E2591">
        <f>AutoClaim_Data!B2591</f>
        <v/>
      </c>
      <c r="F2591">
        <f>AutoClaim_Data!C2591</f>
        <v/>
      </c>
      <c r="G2591">
        <f>IF(AutoClaim_Data!D2591&lt;=$B$2,AVERAGEIFS(AutoClaim_Data!C2:C3168,AutoClaim_Data!B2:B3168,"Train",AutoClaim_Data!D2:D3168,"&lt;="&amp;$B$2),AVERAGEIFS(AutoClaim_Data!C2:C3168,AutoClaim_Data!B2:B3168,"Train",AutoClaim_Data!D2:D3168,"&gt;"&amp;$B$2))</f>
        <v/>
      </c>
      <c r="H2591">
        <f>IF(AutoClaim_Data!D2591&lt;=$B$2,IF(AutoClaim_Data!E2591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1">
        <f>(F2591-H2591)^2</f>
        <v/>
      </c>
      <c r="J2591">
        <f>--(E2591="Validation")</f>
        <v/>
      </c>
    </row>
    <row r="2592">
      <c r="D2592">
        <f>AutoClaim_Data!A2592</f>
        <v/>
      </c>
      <c r="E2592">
        <f>AutoClaim_Data!B2592</f>
        <v/>
      </c>
      <c r="F2592">
        <f>AutoClaim_Data!C2592</f>
        <v/>
      </c>
      <c r="G2592">
        <f>IF(AutoClaim_Data!D2592&lt;=$B$2,AVERAGEIFS(AutoClaim_Data!C2:C3168,AutoClaim_Data!B2:B3168,"Train",AutoClaim_Data!D2:D3168,"&lt;="&amp;$B$2),AVERAGEIFS(AutoClaim_Data!C2:C3168,AutoClaim_Data!B2:B3168,"Train",AutoClaim_Data!D2:D3168,"&gt;"&amp;$B$2))</f>
        <v/>
      </c>
      <c r="H2592">
        <f>IF(AutoClaim_Data!D2592&lt;=$B$2,IF(AutoClaim_Data!E2592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2">
        <f>(F2592-H2592)^2</f>
        <v/>
      </c>
      <c r="J2592">
        <f>--(E2592="Validation")</f>
        <v/>
      </c>
    </row>
    <row r="2593">
      <c r="D2593">
        <f>AutoClaim_Data!A2593</f>
        <v/>
      </c>
      <c r="E2593">
        <f>AutoClaim_Data!B2593</f>
        <v/>
      </c>
      <c r="F2593">
        <f>AutoClaim_Data!C2593</f>
        <v/>
      </c>
      <c r="G2593">
        <f>IF(AutoClaim_Data!D2593&lt;=$B$2,AVERAGEIFS(AutoClaim_Data!C2:C3168,AutoClaim_Data!B2:B3168,"Train",AutoClaim_Data!D2:D3168,"&lt;="&amp;$B$2),AVERAGEIFS(AutoClaim_Data!C2:C3168,AutoClaim_Data!B2:B3168,"Train",AutoClaim_Data!D2:D3168,"&gt;"&amp;$B$2))</f>
        <v/>
      </c>
      <c r="H2593">
        <f>IF(AutoClaim_Data!D2593&lt;=$B$2,IF(AutoClaim_Data!E2593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3">
        <f>(F2593-H2593)^2</f>
        <v/>
      </c>
      <c r="J2593">
        <f>--(E2593="Validation")</f>
        <v/>
      </c>
    </row>
    <row r="2594">
      <c r="D2594">
        <f>AutoClaim_Data!A2594</f>
        <v/>
      </c>
      <c r="E2594">
        <f>AutoClaim_Data!B2594</f>
        <v/>
      </c>
      <c r="F2594">
        <f>AutoClaim_Data!C2594</f>
        <v/>
      </c>
      <c r="G2594">
        <f>IF(AutoClaim_Data!D2594&lt;=$B$2,AVERAGEIFS(AutoClaim_Data!C2:C3168,AutoClaim_Data!B2:B3168,"Train",AutoClaim_Data!D2:D3168,"&lt;="&amp;$B$2),AVERAGEIFS(AutoClaim_Data!C2:C3168,AutoClaim_Data!B2:B3168,"Train",AutoClaim_Data!D2:D3168,"&gt;"&amp;$B$2))</f>
        <v/>
      </c>
      <c r="H2594">
        <f>IF(AutoClaim_Data!D2594&lt;=$B$2,IF(AutoClaim_Data!E2594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4">
        <f>(F2594-H2594)^2</f>
        <v/>
      </c>
      <c r="J2594">
        <f>--(E2594="Validation")</f>
        <v/>
      </c>
    </row>
    <row r="2595">
      <c r="D2595">
        <f>AutoClaim_Data!A2595</f>
        <v/>
      </c>
      <c r="E2595">
        <f>AutoClaim_Data!B2595</f>
        <v/>
      </c>
      <c r="F2595">
        <f>AutoClaim_Data!C2595</f>
        <v/>
      </c>
      <c r="G2595">
        <f>IF(AutoClaim_Data!D2595&lt;=$B$2,AVERAGEIFS(AutoClaim_Data!C2:C3168,AutoClaim_Data!B2:B3168,"Train",AutoClaim_Data!D2:D3168,"&lt;="&amp;$B$2),AVERAGEIFS(AutoClaim_Data!C2:C3168,AutoClaim_Data!B2:B3168,"Train",AutoClaim_Data!D2:D3168,"&gt;"&amp;$B$2))</f>
        <v/>
      </c>
      <c r="H2595">
        <f>IF(AutoClaim_Data!D2595&lt;=$B$2,IF(AutoClaim_Data!E2595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5">
        <f>(F2595-H2595)^2</f>
        <v/>
      </c>
      <c r="J2595">
        <f>--(E2595="Validation")</f>
        <v/>
      </c>
    </row>
    <row r="2596">
      <c r="D2596">
        <f>AutoClaim_Data!A2596</f>
        <v/>
      </c>
      <c r="E2596">
        <f>AutoClaim_Data!B2596</f>
        <v/>
      </c>
      <c r="F2596">
        <f>AutoClaim_Data!C2596</f>
        <v/>
      </c>
      <c r="G2596">
        <f>IF(AutoClaim_Data!D2596&lt;=$B$2,AVERAGEIFS(AutoClaim_Data!C2:C3168,AutoClaim_Data!B2:B3168,"Train",AutoClaim_Data!D2:D3168,"&lt;="&amp;$B$2),AVERAGEIFS(AutoClaim_Data!C2:C3168,AutoClaim_Data!B2:B3168,"Train",AutoClaim_Data!D2:D3168,"&gt;"&amp;$B$2))</f>
        <v/>
      </c>
      <c r="H2596">
        <f>IF(AutoClaim_Data!D2596&lt;=$B$2,IF(AutoClaim_Data!E2596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6">
        <f>(F2596-H2596)^2</f>
        <v/>
      </c>
      <c r="J2596">
        <f>--(E2596="Validation")</f>
        <v/>
      </c>
    </row>
    <row r="2597">
      <c r="D2597">
        <f>AutoClaim_Data!A2597</f>
        <v/>
      </c>
      <c r="E2597">
        <f>AutoClaim_Data!B2597</f>
        <v/>
      </c>
      <c r="F2597">
        <f>AutoClaim_Data!C2597</f>
        <v/>
      </c>
      <c r="G2597">
        <f>IF(AutoClaim_Data!D2597&lt;=$B$2,AVERAGEIFS(AutoClaim_Data!C2:C3168,AutoClaim_Data!B2:B3168,"Train",AutoClaim_Data!D2:D3168,"&lt;="&amp;$B$2),AVERAGEIFS(AutoClaim_Data!C2:C3168,AutoClaim_Data!B2:B3168,"Train",AutoClaim_Data!D2:D3168,"&gt;"&amp;$B$2))</f>
        <v/>
      </c>
      <c r="H2597">
        <f>IF(AutoClaim_Data!D2597&lt;=$B$2,IF(AutoClaim_Data!E2597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7">
        <f>(F2597-H2597)^2</f>
        <v/>
      </c>
      <c r="J2597">
        <f>--(E2597="Validation")</f>
        <v/>
      </c>
    </row>
    <row r="2598">
      <c r="D2598">
        <f>AutoClaim_Data!A2598</f>
        <v/>
      </c>
      <c r="E2598">
        <f>AutoClaim_Data!B2598</f>
        <v/>
      </c>
      <c r="F2598">
        <f>AutoClaim_Data!C2598</f>
        <v/>
      </c>
      <c r="G2598">
        <f>IF(AutoClaim_Data!D2598&lt;=$B$2,AVERAGEIFS(AutoClaim_Data!C2:C3168,AutoClaim_Data!B2:B3168,"Train",AutoClaim_Data!D2:D3168,"&lt;="&amp;$B$2),AVERAGEIFS(AutoClaim_Data!C2:C3168,AutoClaim_Data!B2:B3168,"Train",AutoClaim_Data!D2:D3168,"&gt;"&amp;$B$2))</f>
        <v/>
      </c>
      <c r="H2598">
        <f>IF(AutoClaim_Data!D2598&lt;=$B$2,IF(AutoClaim_Data!E2598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8">
        <f>(F2598-H2598)^2</f>
        <v/>
      </c>
      <c r="J2598">
        <f>--(E2598="Validation")</f>
        <v/>
      </c>
    </row>
    <row r="2599">
      <c r="D2599">
        <f>AutoClaim_Data!A2599</f>
        <v/>
      </c>
      <c r="E2599">
        <f>AutoClaim_Data!B2599</f>
        <v/>
      </c>
      <c r="F2599">
        <f>AutoClaim_Data!C2599</f>
        <v/>
      </c>
      <c r="G2599">
        <f>IF(AutoClaim_Data!D2599&lt;=$B$2,AVERAGEIFS(AutoClaim_Data!C2:C3168,AutoClaim_Data!B2:B3168,"Train",AutoClaim_Data!D2:D3168,"&lt;="&amp;$B$2),AVERAGEIFS(AutoClaim_Data!C2:C3168,AutoClaim_Data!B2:B3168,"Train",AutoClaim_Data!D2:D3168,"&gt;"&amp;$B$2))</f>
        <v/>
      </c>
      <c r="H2599">
        <f>IF(AutoClaim_Data!D2599&lt;=$B$2,IF(AutoClaim_Data!E2599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2599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599">
        <f>(F2599-H2599)^2</f>
        <v/>
      </c>
      <c r="J2599">
        <f>--(E2599="Validation")</f>
        <v/>
      </c>
    </row>
    <row r="2600">
      <c r="D2600">
        <f>AutoClaim_Data!A2600</f>
        <v/>
      </c>
      <c r="E2600">
        <f>AutoClaim_Data!B2600</f>
        <v/>
      </c>
      <c r="F2600">
        <f>AutoClaim_Data!C2600</f>
        <v/>
      </c>
      <c r="G2600">
        <f>IF(AutoClaim_Data!D2600&lt;=$B$2,AVERAGEIFS(AutoClaim_Data!C2:C3168,AutoClaim_Data!B2:B3168,"Train",AutoClaim_Data!D2:D3168,"&lt;="&amp;$B$2),AVERAGEIFS(AutoClaim_Data!C2:C3168,AutoClaim_Data!B2:B3168,"Train",AutoClaim_Data!D2:D3168,"&gt;"&amp;$B$2))</f>
        <v/>
      </c>
      <c r="H2600">
        <f>IF(AutoClaim_Data!D2600&lt;=$B$2,IF(AutoClaim_Data!E2600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0">
        <f>(F2600-H2600)^2</f>
        <v/>
      </c>
      <c r="J2600">
        <f>--(E2600="Validation")</f>
        <v/>
      </c>
    </row>
    <row r="2601">
      <c r="D2601">
        <f>AutoClaim_Data!A2601</f>
        <v/>
      </c>
      <c r="E2601">
        <f>AutoClaim_Data!B2601</f>
        <v/>
      </c>
      <c r="F2601">
        <f>AutoClaim_Data!C2601</f>
        <v/>
      </c>
      <c r="G2601">
        <f>IF(AutoClaim_Data!D2601&lt;=$B$2,AVERAGEIFS(AutoClaim_Data!C2:C3168,AutoClaim_Data!B2:B3168,"Train",AutoClaim_Data!D2:D3168,"&lt;="&amp;$B$2),AVERAGEIFS(AutoClaim_Data!C2:C3168,AutoClaim_Data!B2:B3168,"Train",AutoClaim_Data!D2:D3168,"&gt;"&amp;$B$2))</f>
        <v/>
      </c>
      <c r="H2601">
        <f>IF(AutoClaim_Data!D2601&lt;=$B$2,IF(AutoClaim_Data!E2601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1">
        <f>(F2601-H2601)^2</f>
        <v/>
      </c>
      <c r="J2601">
        <f>--(E2601="Validation")</f>
        <v/>
      </c>
    </row>
    <row r="2602">
      <c r="D2602">
        <f>AutoClaim_Data!A2602</f>
        <v/>
      </c>
      <c r="E2602">
        <f>AutoClaim_Data!B2602</f>
        <v/>
      </c>
      <c r="F2602">
        <f>AutoClaim_Data!C2602</f>
        <v/>
      </c>
      <c r="G2602">
        <f>IF(AutoClaim_Data!D2602&lt;=$B$2,AVERAGEIFS(AutoClaim_Data!C2:C3168,AutoClaim_Data!B2:B3168,"Train",AutoClaim_Data!D2:D3168,"&lt;="&amp;$B$2),AVERAGEIFS(AutoClaim_Data!C2:C3168,AutoClaim_Data!B2:B3168,"Train",AutoClaim_Data!D2:D3168,"&gt;"&amp;$B$2))</f>
        <v/>
      </c>
      <c r="H2602">
        <f>IF(AutoClaim_Data!D2602&lt;=$B$2,IF(AutoClaim_Data!E2602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2">
        <f>(F2602-H2602)^2</f>
        <v/>
      </c>
      <c r="J2602">
        <f>--(E2602="Validation")</f>
        <v/>
      </c>
    </row>
    <row r="2603">
      <c r="D2603">
        <f>AutoClaim_Data!A2603</f>
        <v/>
      </c>
      <c r="E2603">
        <f>AutoClaim_Data!B2603</f>
        <v/>
      </c>
      <c r="F2603">
        <f>AutoClaim_Data!C2603</f>
        <v/>
      </c>
      <c r="G2603">
        <f>IF(AutoClaim_Data!D2603&lt;=$B$2,AVERAGEIFS(AutoClaim_Data!C2:C3168,AutoClaim_Data!B2:B3168,"Train",AutoClaim_Data!D2:D3168,"&lt;="&amp;$B$2),AVERAGEIFS(AutoClaim_Data!C2:C3168,AutoClaim_Data!B2:B3168,"Train",AutoClaim_Data!D2:D3168,"&gt;"&amp;$B$2))</f>
        <v/>
      </c>
      <c r="H2603">
        <f>IF(AutoClaim_Data!D2603&lt;=$B$2,IF(AutoClaim_Data!E2603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3">
        <f>(F2603-H2603)^2</f>
        <v/>
      </c>
      <c r="J2603">
        <f>--(E2603="Validation")</f>
        <v/>
      </c>
    </row>
    <row r="2604">
      <c r="D2604">
        <f>AutoClaim_Data!A2604</f>
        <v/>
      </c>
      <c r="E2604">
        <f>AutoClaim_Data!B2604</f>
        <v/>
      </c>
      <c r="F2604">
        <f>AutoClaim_Data!C2604</f>
        <v/>
      </c>
      <c r="G2604">
        <f>IF(AutoClaim_Data!D2604&lt;=$B$2,AVERAGEIFS(AutoClaim_Data!C2:C3168,AutoClaim_Data!B2:B3168,"Train",AutoClaim_Data!D2:D3168,"&lt;="&amp;$B$2),AVERAGEIFS(AutoClaim_Data!C2:C3168,AutoClaim_Data!B2:B3168,"Train",AutoClaim_Data!D2:D3168,"&gt;"&amp;$B$2))</f>
        <v/>
      </c>
      <c r="H2604">
        <f>IF(AutoClaim_Data!D2604&lt;=$B$2,IF(AutoClaim_Data!E2604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4">
        <f>(F2604-H2604)^2</f>
        <v/>
      </c>
      <c r="J2604">
        <f>--(E2604="Validation")</f>
        <v/>
      </c>
    </row>
    <row r="2605">
      <c r="D2605">
        <f>AutoClaim_Data!A2605</f>
        <v/>
      </c>
      <c r="E2605">
        <f>AutoClaim_Data!B2605</f>
        <v/>
      </c>
      <c r="F2605">
        <f>AutoClaim_Data!C2605</f>
        <v/>
      </c>
      <c r="G2605">
        <f>IF(AutoClaim_Data!D2605&lt;=$B$2,AVERAGEIFS(AutoClaim_Data!C2:C3168,AutoClaim_Data!B2:B3168,"Train",AutoClaim_Data!D2:D3168,"&lt;="&amp;$B$2),AVERAGEIFS(AutoClaim_Data!C2:C3168,AutoClaim_Data!B2:B3168,"Train",AutoClaim_Data!D2:D3168,"&gt;"&amp;$B$2))</f>
        <v/>
      </c>
      <c r="H2605">
        <f>IF(AutoClaim_Data!D2605&lt;=$B$2,IF(AutoClaim_Data!E2605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5">
        <f>(F2605-H2605)^2</f>
        <v/>
      </c>
      <c r="J2605">
        <f>--(E2605="Validation")</f>
        <v/>
      </c>
    </row>
    <row r="2606">
      <c r="D2606">
        <f>AutoClaim_Data!A2606</f>
        <v/>
      </c>
      <c r="E2606">
        <f>AutoClaim_Data!B2606</f>
        <v/>
      </c>
      <c r="F2606">
        <f>AutoClaim_Data!C2606</f>
        <v/>
      </c>
      <c r="G2606">
        <f>IF(AutoClaim_Data!D2606&lt;=$B$2,AVERAGEIFS(AutoClaim_Data!C2:C3168,AutoClaim_Data!B2:B3168,"Train",AutoClaim_Data!D2:D3168,"&lt;="&amp;$B$2),AVERAGEIFS(AutoClaim_Data!C2:C3168,AutoClaim_Data!B2:B3168,"Train",AutoClaim_Data!D2:D3168,"&gt;"&amp;$B$2))</f>
        <v/>
      </c>
      <c r="H2606">
        <f>IF(AutoClaim_Data!D2606&lt;=$B$2,IF(AutoClaim_Data!E2606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6">
        <f>(F2606-H2606)^2</f>
        <v/>
      </c>
      <c r="J2606">
        <f>--(E2606="Validation")</f>
        <v/>
      </c>
    </row>
    <row r="2607">
      <c r="D2607">
        <f>AutoClaim_Data!A2607</f>
        <v/>
      </c>
      <c r="E2607">
        <f>AutoClaim_Data!B2607</f>
        <v/>
      </c>
      <c r="F2607">
        <f>AutoClaim_Data!C2607</f>
        <v/>
      </c>
      <c r="G2607">
        <f>IF(AutoClaim_Data!D2607&lt;=$B$2,AVERAGEIFS(AutoClaim_Data!C2:C3168,AutoClaim_Data!B2:B3168,"Train",AutoClaim_Data!D2:D3168,"&lt;="&amp;$B$2),AVERAGEIFS(AutoClaim_Data!C2:C3168,AutoClaim_Data!B2:B3168,"Train",AutoClaim_Data!D2:D3168,"&gt;"&amp;$B$2))</f>
        <v/>
      </c>
      <c r="H2607">
        <f>IF(AutoClaim_Data!D2607&lt;=$B$2,IF(AutoClaim_Data!E2607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7">
        <f>(F2607-H2607)^2</f>
        <v/>
      </c>
      <c r="J2607">
        <f>--(E2607="Validation")</f>
        <v/>
      </c>
    </row>
    <row r="2608">
      <c r="D2608">
        <f>AutoClaim_Data!A2608</f>
        <v/>
      </c>
      <c r="E2608">
        <f>AutoClaim_Data!B2608</f>
        <v/>
      </c>
      <c r="F2608">
        <f>AutoClaim_Data!C2608</f>
        <v/>
      </c>
      <c r="G2608">
        <f>IF(AutoClaim_Data!D2608&lt;=$B$2,AVERAGEIFS(AutoClaim_Data!C2:C3168,AutoClaim_Data!B2:B3168,"Train",AutoClaim_Data!D2:D3168,"&lt;="&amp;$B$2),AVERAGEIFS(AutoClaim_Data!C2:C3168,AutoClaim_Data!B2:B3168,"Train",AutoClaim_Data!D2:D3168,"&gt;"&amp;$B$2))</f>
        <v/>
      </c>
      <c r="H2608">
        <f>IF(AutoClaim_Data!D2608&lt;=$B$2,IF(AutoClaim_Data!E2608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8">
        <f>(F2608-H2608)^2</f>
        <v/>
      </c>
      <c r="J2608">
        <f>--(E2608="Validation")</f>
        <v/>
      </c>
    </row>
    <row r="2609">
      <c r="D2609">
        <f>AutoClaim_Data!A2609</f>
        <v/>
      </c>
      <c r="E2609">
        <f>AutoClaim_Data!B2609</f>
        <v/>
      </c>
      <c r="F2609">
        <f>AutoClaim_Data!C2609</f>
        <v/>
      </c>
      <c r="G2609">
        <f>IF(AutoClaim_Data!D2609&lt;=$B$2,AVERAGEIFS(AutoClaim_Data!C2:C3168,AutoClaim_Data!B2:B3168,"Train",AutoClaim_Data!D2:D3168,"&lt;="&amp;$B$2),AVERAGEIFS(AutoClaim_Data!C2:C3168,AutoClaim_Data!B2:B3168,"Train",AutoClaim_Data!D2:D3168,"&gt;"&amp;$B$2))</f>
        <v/>
      </c>
      <c r="H2609">
        <f>IF(AutoClaim_Data!D2609&lt;=$B$2,IF(AutoClaim_Data!E2609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09">
        <f>(F2609-H2609)^2</f>
        <v/>
      </c>
      <c r="J2609">
        <f>--(E2609="Validation")</f>
        <v/>
      </c>
    </row>
    <row r="2610">
      <c r="D2610">
        <f>AutoClaim_Data!A2610</f>
        <v/>
      </c>
      <c r="E2610">
        <f>AutoClaim_Data!B2610</f>
        <v/>
      </c>
      <c r="F2610">
        <f>AutoClaim_Data!C2610</f>
        <v/>
      </c>
      <c r="G2610">
        <f>IF(AutoClaim_Data!D2610&lt;=$B$2,AVERAGEIFS(AutoClaim_Data!C2:C3168,AutoClaim_Data!B2:B3168,"Train",AutoClaim_Data!D2:D3168,"&lt;="&amp;$B$2),AVERAGEIFS(AutoClaim_Data!C2:C3168,AutoClaim_Data!B2:B3168,"Train",AutoClaim_Data!D2:D3168,"&gt;"&amp;$B$2))</f>
        <v/>
      </c>
      <c r="H2610">
        <f>IF(AutoClaim_Data!D2610&lt;=$B$2,IF(AutoClaim_Data!E2610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0">
        <f>(F2610-H2610)^2</f>
        <v/>
      </c>
      <c r="J2610">
        <f>--(E2610="Validation")</f>
        <v/>
      </c>
    </row>
    <row r="2611">
      <c r="D2611">
        <f>AutoClaim_Data!A2611</f>
        <v/>
      </c>
      <c r="E2611">
        <f>AutoClaim_Data!B2611</f>
        <v/>
      </c>
      <c r="F2611">
        <f>AutoClaim_Data!C2611</f>
        <v/>
      </c>
      <c r="G2611">
        <f>IF(AutoClaim_Data!D2611&lt;=$B$2,AVERAGEIFS(AutoClaim_Data!C2:C3168,AutoClaim_Data!B2:B3168,"Train",AutoClaim_Data!D2:D3168,"&lt;="&amp;$B$2),AVERAGEIFS(AutoClaim_Data!C2:C3168,AutoClaim_Data!B2:B3168,"Train",AutoClaim_Data!D2:D3168,"&gt;"&amp;$B$2))</f>
        <v/>
      </c>
      <c r="H2611">
        <f>IF(AutoClaim_Data!D2611&lt;=$B$2,IF(AutoClaim_Data!E2611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1">
        <f>(F2611-H2611)^2</f>
        <v/>
      </c>
      <c r="J2611">
        <f>--(E2611="Validation")</f>
        <v/>
      </c>
    </row>
    <row r="2612">
      <c r="D2612">
        <f>AutoClaim_Data!A2612</f>
        <v/>
      </c>
      <c r="E2612">
        <f>AutoClaim_Data!B2612</f>
        <v/>
      </c>
      <c r="F2612">
        <f>AutoClaim_Data!C2612</f>
        <v/>
      </c>
      <c r="G2612">
        <f>IF(AutoClaim_Data!D2612&lt;=$B$2,AVERAGEIFS(AutoClaim_Data!C2:C3168,AutoClaim_Data!B2:B3168,"Train",AutoClaim_Data!D2:D3168,"&lt;="&amp;$B$2),AVERAGEIFS(AutoClaim_Data!C2:C3168,AutoClaim_Data!B2:B3168,"Train",AutoClaim_Data!D2:D3168,"&gt;"&amp;$B$2))</f>
        <v/>
      </c>
      <c r="H2612">
        <f>IF(AutoClaim_Data!D2612&lt;=$B$2,IF(AutoClaim_Data!E2612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2">
        <f>(F2612-H2612)^2</f>
        <v/>
      </c>
      <c r="J2612">
        <f>--(E2612="Validation")</f>
        <v/>
      </c>
    </row>
    <row r="2613">
      <c r="D2613">
        <f>AutoClaim_Data!A2613</f>
        <v/>
      </c>
      <c r="E2613">
        <f>AutoClaim_Data!B2613</f>
        <v/>
      </c>
      <c r="F2613">
        <f>AutoClaim_Data!C2613</f>
        <v/>
      </c>
      <c r="G2613">
        <f>IF(AutoClaim_Data!D2613&lt;=$B$2,AVERAGEIFS(AutoClaim_Data!C2:C3168,AutoClaim_Data!B2:B3168,"Train",AutoClaim_Data!D2:D3168,"&lt;="&amp;$B$2),AVERAGEIFS(AutoClaim_Data!C2:C3168,AutoClaim_Data!B2:B3168,"Train",AutoClaim_Data!D2:D3168,"&gt;"&amp;$B$2))</f>
        <v/>
      </c>
      <c r="H2613">
        <f>IF(AutoClaim_Data!D2613&lt;=$B$2,IF(AutoClaim_Data!E2613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3">
        <f>(F2613-H2613)^2</f>
        <v/>
      </c>
      <c r="J2613">
        <f>--(E2613="Validation")</f>
        <v/>
      </c>
    </row>
    <row r="2614">
      <c r="D2614">
        <f>AutoClaim_Data!A2614</f>
        <v/>
      </c>
      <c r="E2614">
        <f>AutoClaim_Data!B2614</f>
        <v/>
      </c>
      <c r="F2614">
        <f>AutoClaim_Data!C2614</f>
        <v/>
      </c>
      <c r="G2614">
        <f>IF(AutoClaim_Data!D2614&lt;=$B$2,AVERAGEIFS(AutoClaim_Data!C2:C3168,AutoClaim_Data!B2:B3168,"Train",AutoClaim_Data!D2:D3168,"&lt;="&amp;$B$2),AVERAGEIFS(AutoClaim_Data!C2:C3168,AutoClaim_Data!B2:B3168,"Train",AutoClaim_Data!D2:D3168,"&gt;"&amp;$B$2))</f>
        <v/>
      </c>
      <c r="H2614">
        <f>IF(AutoClaim_Data!D2614&lt;=$B$2,IF(AutoClaim_Data!E2614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4">
        <f>(F2614-H2614)^2</f>
        <v/>
      </c>
      <c r="J2614">
        <f>--(E2614="Validation")</f>
        <v/>
      </c>
    </row>
    <row r="2615">
      <c r="D2615">
        <f>AutoClaim_Data!A2615</f>
        <v/>
      </c>
      <c r="E2615">
        <f>AutoClaim_Data!B2615</f>
        <v/>
      </c>
      <c r="F2615">
        <f>AutoClaim_Data!C2615</f>
        <v/>
      </c>
      <c r="G2615">
        <f>IF(AutoClaim_Data!D2615&lt;=$B$2,AVERAGEIFS(AutoClaim_Data!C2:C3168,AutoClaim_Data!B2:B3168,"Train",AutoClaim_Data!D2:D3168,"&lt;="&amp;$B$2),AVERAGEIFS(AutoClaim_Data!C2:C3168,AutoClaim_Data!B2:B3168,"Train",AutoClaim_Data!D2:D3168,"&gt;"&amp;$B$2))</f>
        <v/>
      </c>
      <c r="H2615">
        <f>IF(AutoClaim_Data!D2615&lt;=$B$2,IF(AutoClaim_Data!E2615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5">
        <f>(F2615-H2615)^2</f>
        <v/>
      </c>
      <c r="J2615">
        <f>--(E2615="Validation")</f>
        <v/>
      </c>
    </row>
    <row r="2616">
      <c r="D2616">
        <f>AutoClaim_Data!A2616</f>
        <v/>
      </c>
      <c r="E2616">
        <f>AutoClaim_Data!B2616</f>
        <v/>
      </c>
      <c r="F2616">
        <f>AutoClaim_Data!C2616</f>
        <v/>
      </c>
      <c r="G2616">
        <f>IF(AutoClaim_Data!D2616&lt;=$B$2,AVERAGEIFS(AutoClaim_Data!C2:C3168,AutoClaim_Data!B2:B3168,"Train",AutoClaim_Data!D2:D3168,"&lt;="&amp;$B$2),AVERAGEIFS(AutoClaim_Data!C2:C3168,AutoClaim_Data!B2:B3168,"Train",AutoClaim_Data!D2:D3168,"&gt;"&amp;$B$2))</f>
        <v/>
      </c>
      <c r="H2616">
        <f>IF(AutoClaim_Data!D2616&lt;=$B$2,IF(AutoClaim_Data!E2616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6">
        <f>(F2616-H2616)^2</f>
        <v/>
      </c>
      <c r="J2616">
        <f>--(E2616="Validation")</f>
        <v/>
      </c>
    </row>
    <row r="2617">
      <c r="D2617">
        <f>AutoClaim_Data!A2617</f>
        <v/>
      </c>
      <c r="E2617">
        <f>AutoClaim_Data!B2617</f>
        <v/>
      </c>
      <c r="F2617">
        <f>AutoClaim_Data!C2617</f>
        <v/>
      </c>
      <c r="G2617">
        <f>IF(AutoClaim_Data!D2617&lt;=$B$2,AVERAGEIFS(AutoClaim_Data!C2:C3168,AutoClaim_Data!B2:B3168,"Train",AutoClaim_Data!D2:D3168,"&lt;="&amp;$B$2),AVERAGEIFS(AutoClaim_Data!C2:C3168,AutoClaim_Data!B2:B3168,"Train",AutoClaim_Data!D2:D3168,"&gt;"&amp;$B$2))</f>
        <v/>
      </c>
      <c r="H2617">
        <f>IF(AutoClaim_Data!D2617&lt;=$B$2,IF(AutoClaim_Data!E2617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7">
        <f>(F2617-H2617)^2</f>
        <v/>
      </c>
      <c r="J2617">
        <f>--(E2617="Validation")</f>
        <v/>
      </c>
    </row>
    <row r="2618">
      <c r="D2618">
        <f>AutoClaim_Data!A2618</f>
        <v/>
      </c>
      <c r="E2618">
        <f>AutoClaim_Data!B2618</f>
        <v/>
      </c>
      <c r="F2618">
        <f>AutoClaim_Data!C2618</f>
        <v/>
      </c>
      <c r="G2618">
        <f>IF(AutoClaim_Data!D2618&lt;=$B$2,AVERAGEIFS(AutoClaim_Data!C2:C3168,AutoClaim_Data!B2:B3168,"Train",AutoClaim_Data!D2:D3168,"&lt;="&amp;$B$2),AVERAGEIFS(AutoClaim_Data!C2:C3168,AutoClaim_Data!B2:B3168,"Train",AutoClaim_Data!D2:D3168,"&gt;"&amp;$B$2))</f>
        <v/>
      </c>
      <c r="H2618">
        <f>IF(AutoClaim_Data!D2618&lt;=$B$2,IF(AutoClaim_Data!E2618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8">
        <f>(F2618-H2618)^2</f>
        <v/>
      </c>
      <c r="J2618">
        <f>--(E2618="Validation")</f>
        <v/>
      </c>
    </row>
    <row r="2619">
      <c r="D2619">
        <f>AutoClaim_Data!A2619</f>
        <v/>
      </c>
      <c r="E2619">
        <f>AutoClaim_Data!B2619</f>
        <v/>
      </c>
      <c r="F2619">
        <f>AutoClaim_Data!C2619</f>
        <v/>
      </c>
      <c r="G2619">
        <f>IF(AutoClaim_Data!D2619&lt;=$B$2,AVERAGEIFS(AutoClaim_Data!C2:C3168,AutoClaim_Data!B2:B3168,"Train",AutoClaim_Data!D2:D3168,"&lt;="&amp;$B$2),AVERAGEIFS(AutoClaim_Data!C2:C3168,AutoClaim_Data!B2:B3168,"Train",AutoClaim_Data!D2:D3168,"&gt;"&amp;$B$2))</f>
        <v/>
      </c>
      <c r="H2619">
        <f>IF(AutoClaim_Data!D2619&lt;=$B$2,IF(AutoClaim_Data!E2619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19">
        <f>(F2619-H2619)^2</f>
        <v/>
      </c>
      <c r="J2619">
        <f>--(E2619="Validation")</f>
        <v/>
      </c>
    </row>
    <row r="2620">
      <c r="D2620">
        <f>AutoClaim_Data!A2620</f>
        <v/>
      </c>
      <c r="E2620">
        <f>AutoClaim_Data!B2620</f>
        <v/>
      </c>
      <c r="F2620">
        <f>AutoClaim_Data!C2620</f>
        <v/>
      </c>
      <c r="G2620">
        <f>IF(AutoClaim_Data!D2620&lt;=$B$2,AVERAGEIFS(AutoClaim_Data!C2:C3168,AutoClaim_Data!B2:B3168,"Train",AutoClaim_Data!D2:D3168,"&lt;="&amp;$B$2),AVERAGEIFS(AutoClaim_Data!C2:C3168,AutoClaim_Data!B2:B3168,"Train",AutoClaim_Data!D2:D3168,"&gt;"&amp;$B$2))</f>
        <v/>
      </c>
      <c r="H2620">
        <f>IF(AutoClaim_Data!D2620&lt;=$B$2,IF(AutoClaim_Data!E2620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0">
        <f>(F2620-H2620)^2</f>
        <v/>
      </c>
      <c r="J2620">
        <f>--(E2620="Validation")</f>
        <v/>
      </c>
    </row>
    <row r="2621">
      <c r="D2621">
        <f>AutoClaim_Data!A2621</f>
        <v/>
      </c>
      <c r="E2621">
        <f>AutoClaim_Data!B2621</f>
        <v/>
      </c>
      <c r="F2621">
        <f>AutoClaim_Data!C2621</f>
        <v/>
      </c>
      <c r="G2621">
        <f>IF(AutoClaim_Data!D2621&lt;=$B$2,AVERAGEIFS(AutoClaim_Data!C2:C3168,AutoClaim_Data!B2:B3168,"Train",AutoClaim_Data!D2:D3168,"&lt;="&amp;$B$2),AVERAGEIFS(AutoClaim_Data!C2:C3168,AutoClaim_Data!B2:B3168,"Train",AutoClaim_Data!D2:D3168,"&gt;"&amp;$B$2))</f>
        <v/>
      </c>
      <c r="H2621">
        <f>IF(AutoClaim_Data!D2621&lt;=$B$2,IF(AutoClaim_Data!E2621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1">
        <f>(F2621-H2621)^2</f>
        <v/>
      </c>
      <c r="J2621">
        <f>--(E2621="Validation")</f>
        <v/>
      </c>
    </row>
    <row r="2622">
      <c r="D2622">
        <f>AutoClaim_Data!A2622</f>
        <v/>
      </c>
      <c r="E2622">
        <f>AutoClaim_Data!B2622</f>
        <v/>
      </c>
      <c r="F2622">
        <f>AutoClaim_Data!C2622</f>
        <v/>
      </c>
      <c r="G2622">
        <f>IF(AutoClaim_Data!D2622&lt;=$B$2,AVERAGEIFS(AutoClaim_Data!C2:C3168,AutoClaim_Data!B2:B3168,"Train",AutoClaim_Data!D2:D3168,"&lt;="&amp;$B$2),AVERAGEIFS(AutoClaim_Data!C2:C3168,AutoClaim_Data!B2:B3168,"Train",AutoClaim_Data!D2:D3168,"&gt;"&amp;$B$2))</f>
        <v/>
      </c>
      <c r="H2622">
        <f>IF(AutoClaim_Data!D2622&lt;=$B$2,IF(AutoClaim_Data!E2622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2">
        <f>(F2622-H2622)^2</f>
        <v/>
      </c>
      <c r="J2622">
        <f>--(E2622="Validation")</f>
        <v/>
      </c>
    </row>
    <row r="2623">
      <c r="D2623">
        <f>AutoClaim_Data!A2623</f>
        <v/>
      </c>
      <c r="E2623">
        <f>AutoClaim_Data!B2623</f>
        <v/>
      </c>
      <c r="F2623">
        <f>AutoClaim_Data!C2623</f>
        <v/>
      </c>
      <c r="G2623">
        <f>IF(AutoClaim_Data!D2623&lt;=$B$2,AVERAGEIFS(AutoClaim_Data!C2:C3168,AutoClaim_Data!B2:B3168,"Train",AutoClaim_Data!D2:D3168,"&lt;="&amp;$B$2),AVERAGEIFS(AutoClaim_Data!C2:C3168,AutoClaim_Data!B2:B3168,"Train",AutoClaim_Data!D2:D3168,"&gt;"&amp;$B$2))</f>
        <v/>
      </c>
      <c r="H2623">
        <f>IF(AutoClaim_Data!D2623&lt;=$B$2,IF(AutoClaim_Data!E2623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3">
        <f>(F2623-H2623)^2</f>
        <v/>
      </c>
      <c r="J2623">
        <f>--(E2623="Validation")</f>
        <v/>
      </c>
    </row>
    <row r="2624">
      <c r="D2624">
        <f>AutoClaim_Data!A2624</f>
        <v/>
      </c>
      <c r="E2624">
        <f>AutoClaim_Data!B2624</f>
        <v/>
      </c>
      <c r="F2624">
        <f>AutoClaim_Data!C2624</f>
        <v/>
      </c>
      <c r="G2624">
        <f>IF(AutoClaim_Data!D2624&lt;=$B$2,AVERAGEIFS(AutoClaim_Data!C2:C3168,AutoClaim_Data!B2:B3168,"Train",AutoClaim_Data!D2:D3168,"&lt;="&amp;$B$2),AVERAGEIFS(AutoClaim_Data!C2:C3168,AutoClaim_Data!B2:B3168,"Train",AutoClaim_Data!D2:D3168,"&gt;"&amp;$B$2))</f>
        <v/>
      </c>
      <c r="H2624">
        <f>IF(AutoClaim_Data!D2624&lt;=$B$2,IF(AutoClaim_Data!E2624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4">
        <f>(F2624-H2624)^2</f>
        <v/>
      </c>
      <c r="J2624">
        <f>--(E2624="Validation")</f>
        <v/>
      </c>
    </row>
    <row r="2625">
      <c r="D2625">
        <f>AutoClaim_Data!A2625</f>
        <v/>
      </c>
      <c r="E2625">
        <f>AutoClaim_Data!B2625</f>
        <v/>
      </c>
      <c r="F2625">
        <f>AutoClaim_Data!C2625</f>
        <v/>
      </c>
      <c r="G2625">
        <f>IF(AutoClaim_Data!D2625&lt;=$B$2,AVERAGEIFS(AutoClaim_Data!C2:C3168,AutoClaim_Data!B2:B3168,"Train",AutoClaim_Data!D2:D3168,"&lt;="&amp;$B$2),AVERAGEIFS(AutoClaim_Data!C2:C3168,AutoClaim_Data!B2:B3168,"Train",AutoClaim_Data!D2:D3168,"&gt;"&amp;$B$2))</f>
        <v/>
      </c>
      <c r="H2625">
        <f>IF(AutoClaim_Data!D2625&lt;=$B$2,IF(AutoClaim_Data!E2625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5">
        <f>(F2625-H2625)^2</f>
        <v/>
      </c>
      <c r="J2625">
        <f>--(E2625="Validation")</f>
        <v/>
      </c>
    </row>
    <row r="2626">
      <c r="D2626">
        <f>AutoClaim_Data!A2626</f>
        <v/>
      </c>
      <c r="E2626">
        <f>AutoClaim_Data!B2626</f>
        <v/>
      </c>
      <c r="F2626">
        <f>AutoClaim_Data!C2626</f>
        <v/>
      </c>
      <c r="G2626">
        <f>IF(AutoClaim_Data!D2626&lt;=$B$2,AVERAGEIFS(AutoClaim_Data!C2:C3168,AutoClaim_Data!B2:B3168,"Train",AutoClaim_Data!D2:D3168,"&lt;="&amp;$B$2),AVERAGEIFS(AutoClaim_Data!C2:C3168,AutoClaim_Data!B2:B3168,"Train",AutoClaim_Data!D2:D3168,"&gt;"&amp;$B$2))</f>
        <v/>
      </c>
      <c r="H2626">
        <f>IF(AutoClaim_Data!D2626&lt;=$B$2,IF(AutoClaim_Data!E2626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6">
        <f>(F2626-H2626)^2</f>
        <v/>
      </c>
      <c r="J2626">
        <f>--(E2626="Validation")</f>
        <v/>
      </c>
    </row>
    <row r="2627">
      <c r="D2627">
        <f>AutoClaim_Data!A2627</f>
        <v/>
      </c>
      <c r="E2627">
        <f>AutoClaim_Data!B2627</f>
        <v/>
      </c>
      <c r="F2627">
        <f>AutoClaim_Data!C2627</f>
        <v/>
      </c>
      <c r="G2627">
        <f>IF(AutoClaim_Data!D2627&lt;=$B$2,AVERAGEIFS(AutoClaim_Data!C2:C3168,AutoClaim_Data!B2:B3168,"Train",AutoClaim_Data!D2:D3168,"&lt;="&amp;$B$2),AVERAGEIFS(AutoClaim_Data!C2:C3168,AutoClaim_Data!B2:B3168,"Train",AutoClaim_Data!D2:D3168,"&gt;"&amp;$B$2))</f>
        <v/>
      </c>
      <c r="H2627">
        <f>IF(AutoClaim_Data!D2627&lt;=$B$2,IF(AutoClaim_Data!E2627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7">
        <f>(F2627-H2627)^2</f>
        <v/>
      </c>
      <c r="J2627">
        <f>--(E2627="Validation")</f>
        <v/>
      </c>
    </row>
    <row r="2628">
      <c r="D2628">
        <f>AutoClaim_Data!A2628</f>
        <v/>
      </c>
      <c r="E2628">
        <f>AutoClaim_Data!B2628</f>
        <v/>
      </c>
      <c r="F2628">
        <f>AutoClaim_Data!C2628</f>
        <v/>
      </c>
      <c r="G2628">
        <f>IF(AutoClaim_Data!D2628&lt;=$B$2,AVERAGEIFS(AutoClaim_Data!C2:C3168,AutoClaim_Data!B2:B3168,"Train",AutoClaim_Data!D2:D3168,"&lt;="&amp;$B$2),AVERAGEIFS(AutoClaim_Data!C2:C3168,AutoClaim_Data!B2:B3168,"Train",AutoClaim_Data!D2:D3168,"&gt;"&amp;$B$2))</f>
        <v/>
      </c>
      <c r="H2628">
        <f>IF(AutoClaim_Data!D2628&lt;=$B$2,IF(AutoClaim_Data!E2628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8">
        <f>(F2628-H2628)^2</f>
        <v/>
      </c>
      <c r="J2628">
        <f>--(E2628="Validation")</f>
        <v/>
      </c>
    </row>
    <row r="2629">
      <c r="D2629">
        <f>AutoClaim_Data!A2629</f>
        <v/>
      </c>
      <c r="E2629">
        <f>AutoClaim_Data!B2629</f>
        <v/>
      </c>
      <c r="F2629">
        <f>AutoClaim_Data!C2629</f>
        <v/>
      </c>
      <c r="G2629">
        <f>IF(AutoClaim_Data!D2629&lt;=$B$2,AVERAGEIFS(AutoClaim_Data!C2:C3168,AutoClaim_Data!B2:B3168,"Train",AutoClaim_Data!D2:D3168,"&lt;="&amp;$B$2),AVERAGEIFS(AutoClaim_Data!C2:C3168,AutoClaim_Data!B2:B3168,"Train",AutoClaim_Data!D2:D3168,"&gt;"&amp;$B$2))</f>
        <v/>
      </c>
      <c r="H2629">
        <f>IF(AutoClaim_Data!D2629&lt;=$B$2,IF(AutoClaim_Data!E2629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29">
        <f>(F2629-H2629)^2</f>
        <v/>
      </c>
      <c r="J2629">
        <f>--(E2629="Validation")</f>
        <v/>
      </c>
    </row>
    <row r="2630">
      <c r="D2630">
        <f>AutoClaim_Data!A2630</f>
        <v/>
      </c>
      <c r="E2630">
        <f>AutoClaim_Data!B2630</f>
        <v/>
      </c>
      <c r="F2630">
        <f>AutoClaim_Data!C2630</f>
        <v/>
      </c>
      <c r="G2630">
        <f>IF(AutoClaim_Data!D2630&lt;=$B$2,AVERAGEIFS(AutoClaim_Data!C2:C3168,AutoClaim_Data!B2:B3168,"Train",AutoClaim_Data!D2:D3168,"&lt;="&amp;$B$2),AVERAGEIFS(AutoClaim_Data!C2:C3168,AutoClaim_Data!B2:B3168,"Train",AutoClaim_Data!D2:D3168,"&gt;"&amp;$B$2))</f>
        <v/>
      </c>
      <c r="H2630">
        <f>IF(AutoClaim_Data!D2630&lt;=$B$2,IF(AutoClaim_Data!E2630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0">
        <f>(F2630-H2630)^2</f>
        <v/>
      </c>
      <c r="J2630">
        <f>--(E2630="Validation")</f>
        <v/>
      </c>
    </row>
    <row r="2631">
      <c r="D2631">
        <f>AutoClaim_Data!A2631</f>
        <v/>
      </c>
      <c r="E2631">
        <f>AutoClaim_Data!B2631</f>
        <v/>
      </c>
      <c r="F2631">
        <f>AutoClaim_Data!C2631</f>
        <v/>
      </c>
      <c r="G2631">
        <f>IF(AutoClaim_Data!D2631&lt;=$B$2,AVERAGEIFS(AutoClaim_Data!C2:C3168,AutoClaim_Data!B2:B3168,"Train",AutoClaim_Data!D2:D3168,"&lt;="&amp;$B$2),AVERAGEIFS(AutoClaim_Data!C2:C3168,AutoClaim_Data!B2:B3168,"Train",AutoClaim_Data!D2:D3168,"&gt;"&amp;$B$2))</f>
        <v/>
      </c>
      <c r="H2631">
        <f>IF(AutoClaim_Data!D2631&lt;=$B$2,IF(AutoClaim_Data!E2631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1">
        <f>(F2631-H2631)^2</f>
        <v/>
      </c>
      <c r="J2631">
        <f>--(E2631="Validation")</f>
        <v/>
      </c>
    </row>
    <row r="2632">
      <c r="D2632">
        <f>AutoClaim_Data!A2632</f>
        <v/>
      </c>
      <c r="E2632">
        <f>AutoClaim_Data!B2632</f>
        <v/>
      </c>
      <c r="F2632">
        <f>AutoClaim_Data!C2632</f>
        <v/>
      </c>
      <c r="G2632">
        <f>IF(AutoClaim_Data!D2632&lt;=$B$2,AVERAGEIFS(AutoClaim_Data!C2:C3168,AutoClaim_Data!B2:B3168,"Train",AutoClaim_Data!D2:D3168,"&lt;="&amp;$B$2),AVERAGEIFS(AutoClaim_Data!C2:C3168,AutoClaim_Data!B2:B3168,"Train",AutoClaim_Data!D2:D3168,"&gt;"&amp;$B$2))</f>
        <v/>
      </c>
      <c r="H2632">
        <f>IF(AutoClaim_Data!D2632&lt;=$B$2,IF(AutoClaim_Data!E2632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2">
        <f>(F2632-H2632)^2</f>
        <v/>
      </c>
      <c r="J2632">
        <f>--(E2632="Validation")</f>
        <v/>
      </c>
    </row>
    <row r="2633">
      <c r="D2633">
        <f>AutoClaim_Data!A2633</f>
        <v/>
      </c>
      <c r="E2633">
        <f>AutoClaim_Data!B2633</f>
        <v/>
      </c>
      <c r="F2633">
        <f>AutoClaim_Data!C2633</f>
        <v/>
      </c>
      <c r="G2633">
        <f>IF(AutoClaim_Data!D2633&lt;=$B$2,AVERAGEIFS(AutoClaim_Data!C2:C3168,AutoClaim_Data!B2:B3168,"Train",AutoClaim_Data!D2:D3168,"&lt;="&amp;$B$2),AVERAGEIFS(AutoClaim_Data!C2:C3168,AutoClaim_Data!B2:B3168,"Train",AutoClaim_Data!D2:D3168,"&gt;"&amp;$B$2))</f>
        <v/>
      </c>
      <c r="H2633">
        <f>IF(AutoClaim_Data!D2633&lt;=$B$2,IF(AutoClaim_Data!E2633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3">
        <f>(F2633-H2633)^2</f>
        <v/>
      </c>
      <c r="J2633">
        <f>--(E2633="Validation")</f>
        <v/>
      </c>
    </row>
    <row r="2634">
      <c r="D2634">
        <f>AutoClaim_Data!A2634</f>
        <v/>
      </c>
      <c r="E2634">
        <f>AutoClaim_Data!B2634</f>
        <v/>
      </c>
      <c r="F2634">
        <f>AutoClaim_Data!C2634</f>
        <v/>
      </c>
      <c r="G2634">
        <f>IF(AutoClaim_Data!D2634&lt;=$B$2,AVERAGEIFS(AutoClaim_Data!C2:C3168,AutoClaim_Data!B2:B3168,"Train",AutoClaim_Data!D2:D3168,"&lt;="&amp;$B$2),AVERAGEIFS(AutoClaim_Data!C2:C3168,AutoClaim_Data!B2:B3168,"Train",AutoClaim_Data!D2:D3168,"&gt;"&amp;$B$2))</f>
        <v/>
      </c>
      <c r="H2634">
        <f>IF(AutoClaim_Data!D2634&lt;=$B$2,IF(AutoClaim_Data!E2634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4">
        <f>(F2634-H2634)^2</f>
        <v/>
      </c>
      <c r="J2634">
        <f>--(E2634="Validation")</f>
        <v/>
      </c>
    </row>
    <row r="2635">
      <c r="D2635">
        <f>AutoClaim_Data!A2635</f>
        <v/>
      </c>
      <c r="E2635">
        <f>AutoClaim_Data!B2635</f>
        <v/>
      </c>
      <c r="F2635">
        <f>AutoClaim_Data!C2635</f>
        <v/>
      </c>
      <c r="G2635">
        <f>IF(AutoClaim_Data!D2635&lt;=$B$2,AVERAGEIFS(AutoClaim_Data!C2:C3168,AutoClaim_Data!B2:B3168,"Train",AutoClaim_Data!D2:D3168,"&lt;="&amp;$B$2),AVERAGEIFS(AutoClaim_Data!C2:C3168,AutoClaim_Data!B2:B3168,"Train",AutoClaim_Data!D2:D3168,"&gt;"&amp;$B$2))</f>
        <v/>
      </c>
      <c r="H2635">
        <f>IF(AutoClaim_Data!D2635&lt;=$B$2,IF(AutoClaim_Data!E2635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5">
        <f>(F2635-H2635)^2</f>
        <v/>
      </c>
      <c r="J2635">
        <f>--(E2635="Validation")</f>
        <v/>
      </c>
    </row>
    <row r="2636">
      <c r="D2636">
        <f>AutoClaim_Data!A2636</f>
        <v/>
      </c>
      <c r="E2636">
        <f>AutoClaim_Data!B2636</f>
        <v/>
      </c>
      <c r="F2636">
        <f>AutoClaim_Data!C2636</f>
        <v/>
      </c>
      <c r="G2636">
        <f>IF(AutoClaim_Data!D2636&lt;=$B$2,AVERAGEIFS(AutoClaim_Data!C2:C3168,AutoClaim_Data!B2:B3168,"Train",AutoClaim_Data!D2:D3168,"&lt;="&amp;$B$2),AVERAGEIFS(AutoClaim_Data!C2:C3168,AutoClaim_Data!B2:B3168,"Train",AutoClaim_Data!D2:D3168,"&gt;"&amp;$B$2))</f>
        <v/>
      </c>
      <c r="H2636">
        <f>IF(AutoClaim_Data!D2636&lt;=$B$2,IF(AutoClaim_Data!E2636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6">
        <f>(F2636-H2636)^2</f>
        <v/>
      </c>
      <c r="J2636">
        <f>--(E2636="Validation")</f>
        <v/>
      </c>
    </row>
    <row r="2637">
      <c r="D2637">
        <f>AutoClaim_Data!A2637</f>
        <v/>
      </c>
      <c r="E2637">
        <f>AutoClaim_Data!B2637</f>
        <v/>
      </c>
      <c r="F2637">
        <f>AutoClaim_Data!C2637</f>
        <v/>
      </c>
      <c r="G2637">
        <f>IF(AutoClaim_Data!D2637&lt;=$B$2,AVERAGEIFS(AutoClaim_Data!C2:C3168,AutoClaim_Data!B2:B3168,"Train",AutoClaim_Data!D2:D3168,"&lt;="&amp;$B$2),AVERAGEIFS(AutoClaim_Data!C2:C3168,AutoClaim_Data!B2:B3168,"Train",AutoClaim_Data!D2:D3168,"&gt;"&amp;$B$2))</f>
        <v/>
      </c>
      <c r="H2637">
        <f>IF(AutoClaim_Data!D2637&lt;=$B$2,IF(AutoClaim_Data!E2637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7">
        <f>(F2637-H2637)^2</f>
        <v/>
      </c>
      <c r="J2637">
        <f>--(E2637="Validation")</f>
        <v/>
      </c>
    </row>
    <row r="2638">
      <c r="D2638">
        <f>AutoClaim_Data!A2638</f>
        <v/>
      </c>
      <c r="E2638">
        <f>AutoClaim_Data!B2638</f>
        <v/>
      </c>
      <c r="F2638">
        <f>AutoClaim_Data!C2638</f>
        <v/>
      </c>
      <c r="G2638">
        <f>IF(AutoClaim_Data!D2638&lt;=$B$2,AVERAGEIFS(AutoClaim_Data!C2:C3168,AutoClaim_Data!B2:B3168,"Train",AutoClaim_Data!D2:D3168,"&lt;="&amp;$B$2),AVERAGEIFS(AutoClaim_Data!C2:C3168,AutoClaim_Data!B2:B3168,"Train",AutoClaim_Data!D2:D3168,"&gt;"&amp;$B$2))</f>
        <v/>
      </c>
      <c r="H2638">
        <f>IF(AutoClaim_Data!D2638&lt;=$B$2,IF(AutoClaim_Data!E2638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8">
        <f>(F2638-H2638)^2</f>
        <v/>
      </c>
      <c r="J2638">
        <f>--(E2638="Validation")</f>
        <v/>
      </c>
    </row>
    <row r="2639">
      <c r="D2639">
        <f>AutoClaim_Data!A2639</f>
        <v/>
      </c>
      <c r="E2639">
        <f>AutoClaim_Data!B2639</f>
        <v/>
      </c>
      <c r="F2639">
        <f>AutoClaim_Data!C2639</f>
        <v/>
      </c>
      <c r="G2639">
        <f>IF(AutoClaim_Data!D2639&lt;=$B$2,AVERAGEIFS(AutoClaim_Data!C2:C3168,AutoClaim_Data!B2:B3168,"Train",AutoClaim_Data!D2:D3168,"&lt;="&amp;$B$2),AVERAGEIFS(AutoClaim_Data!C2:C3168,AutoClaim_Data!B2:B3168,"Train",AutoClaim_Data!D2:D3168,"&gt;"&amp;$B$2))</f>
        <v/>
      </c>
      <c r="H2639">
        <f>IF(AutoClaim_Data!D2639&lt;=$B$2,IF(AutoClaim_Data!E2639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39">
        <f>(F2639-H2639)^2</f>
        <v/>
      </c>
      <c r="J2639">
        <f>--(E2639="Validation")</f>
        <v/>
      </c>
    </row>
    <row r="2640">
      <c r="D2640">
        <f>AutoClaim_Data!A2640</f>
        <v/>
      </c>
      <c r="E2640">
        <f>AutoClaim_Data!B2640</f>
        <v/>
      </c>
      <c r="F2640">
        <f>AutoClaim_Data!C2640</f>
        <v/>
      </c>
      <c r="G2640">
        <f>IF(AutoClaim_Data!D2640&lt;=$B$2,AVERAGEIFS(AutoClaim_Data!C2:C3168,AutoClaim_Data!B2:B3168,"Train",AutoClaim_Data!D2:D3168,"&lt;="&amp;$B$2),AVERAGEIFS(AutoClaim_Data!C2:C3168,AutoClaim_Data!B2:B3168,"Train",AutoClaim_Data!D2:D3168,"&gt;"&amp;$B$2))</f>
        <v/>
      </c>
      <c r="H2640">
        <f>IF(AutoClaim_Data!D2640&lt;=$B$2,IF(AutoClaim_Data!E2640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0">
        <f>(F2640-H2640)^2</f>
        <v/>
      </c>
      <c r="J2640">
        <f>--(E2640="Validation")</f>
        <v/>
      </c>
    </row>
    <row r="2641">
      <c r="D2641">
        <f>AutoClaim_Data!A2641</f>
        <v/>
      </c>
      <c r="E2641">
        <f>AutoClaim_Data!B2641</f>
        <v/>
      </c>
      <c r="F2641">
        <f>AutoClaim_Data!C2641</f>
        <v/>
      </c>
      <c r="G2641">
        <f>IF(AutoClaim_Data!D2641&lt;=$B$2,AVERAGEIFS(AutoClaim_Data!C2:C3168,AutoClaim_Data!B2:B3168,"Train",AutoClaim_Data!D2:D3168,"&lt;="&amp;$B$2),AVERAGEIFS(AutoClaim_Data!C2:C3168,AutoClaim_Data!B2:B3168,"Train",AutoClaim_Data!D2:D3168,"&gt;"&amp;$B$2))</f>
        <v/>
      </c>
      <c r="H2641">
        <f>IF(AutoClaim_Data!D2641&lt;=$B$2,IF(AutoClaim_Data!E2641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1">
        <f>(F2641-H2641)^2</f>
        <v/>
      </c>
      <c r="J2641">
        <f>--(E2641="Validation")</f>
        <v/>
      </c>
    </row>
    <row r="2642">
      <c r="D2642">
        <f>AutoClaim_Data!A2642</f>
        <v/>
      </c>
      <c r="E2642">
        <f>AutoClaim_Data!B2642</f>
        <v/>
      </c>
      <c r="F2642">
        <f>AutoClaim_Data!C2642</f>
        <v/>
      </c>
      <c r="G2642">
        <f>IF(AutoClaim_Data!D2642&lt;=$B$2,AVERAGEIFS(AutoClaim_Data!C2:C3168,AutoClaim_Data!B2:B3168,"Train",AutoClaim_Data!D2:D3168,"&lt;="&amp;$B$2),AVERAGEIFS(AutoClaim_Data!C2:C3168,AutoClaim_Data!B2:B3168,"Train",AutoClaim_Data!D2:D3168,"&gt;"&amp;$B$2))</f>
        <v/>
      </c>
      <c r="H2642">
        <f>IF(AutoClaim_Data!D2642&lt;=$B$2,IF(AutoClaim_Data!E2642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2">
        <f>(F2642-H2642)^2</f>
        <v/>
      </c>
      <c r="J2642">
        <f>--(E2642="Validation")</f>
        <v/>
      </c>
    </row>
    <row r="2643">
      <c r="D2643">
        <f>AutoClaim_Data!A2643</f>
        <v/>
      </c>
      <c r="E2643">
        <f>AutoClaim_Data!B2643</f>
        <v/>
      </c>
      <c r="F2643">
        <f>AutoClaim_Data!C2643</f>
        <v/>
      </c>
      <c r="G2643">
        <f>IF(AutoClaim_Data!D2643&lt;=$B$2,AVERAGEIFS(AutoClaim_Data!C2:C3168,AutoClaim_Data!B2:B3168,"Train",AutoClaim_Data!D2:D3168,"&lt;="&amp;$B$2),AVERAGEIFS(AutoClaim_Data!C2:C3168,AutoClaim_Data!B2:B3168,"Train",AutoClaim_Data!D2:D3168,"&gt;"&amp;$B$2))</f>
        <v/>
      </c>
      <c r="H2643">
        <f>IF(AutoClaim_Data!D2643&lt;=$B$2,IF(AutoClaim_Data!E2643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3">
        <f>(F2643-H2643)^2</f>
        <v/>
      </c>
      <c r="J2643">
        <f>--(E2643="Validation")</f>
        <v/>
      </c>
    </row>
    <row r="2644">
      <c r="D2644">
        <f>AutoClaim_Data!A2644</f>
        <v/>
      </c>
      <c r="E2644">
        <f>AutoClaim_Data!B2644</f>
        <v/>
      </c>
      <c r="F2644">
        <f>AutoClaim_Data!C2644</f>
        <v/>
      </c>
      <c r="G2644">
        <f>IF(AutoClaim_Data!D2644&lt;=$B$2,AVERAGEIFS(AutoClaim_Data!C2:C3168,AutoClaim_Data!B2:B3168,"Train",AutoClaim_Data!D2:D3168,"&lt;="&amp;$B$2),AVERAGEIFS(AutoClaim_Data!C2:C3168,AutoClaim_Data!B2:B3168,"Train",AutoClaim_Data!D2:D3168,"&gt;"&amp;$B$2))</f>
        <v/>
      </c>
      <c r="H2644">
        <f>IF(AutoClaim_Data!D2644&lt;=$B$2,IF(AutoClaim_Data!E2644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4">
        <f>(F2644-H2644)^2</f>
        <v/>
      </c>
      <c r="J2644">
        <f>--(E2644="Validation")</f>
        <v/>
      </c>
    </row>
    <row r="2645">
      <c r="D2645">
        <f>AutoClaim_Data!A2645</f>
        <v/>
      </c>
      <c r="E2645">
        <f>AutoClaim_Data!B2645</f>
        <v/>
      </c>
      <c r="F2645">
        <f>AutoClaim_Data!C2645</f>
        <v/>
      </c>
      <c r="G2645">
        <f>IF(AutoClaim_Data!D2645&lt;=$B$2,AVERAGEIFS(AutoClaim_Data!C2:C3168,AutoClaim_Data!B2:B3168,"Train",AutoClaim_Data!D2:D3168,"&lt;="&amp;$B$2),AVERAGEIFS(AutoClaim_Data!C2:C3168,AutoClaim_Data!B2:B3168,"Train",AutoClaim_Data!D2:D3168,"&gt;"&amp;$B$2))</f>
        <v/>
      </c>
      <c r="H2645">
        <f>IF(AutoClaim_Data!D2645&lt;=$B$2,IF(AutoClaim_Data!E2645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5">
        <f>(F2645-H2645)^2</f>
        <v/>
      </c>
      <c r="J2645">
        <f>--(E2645="Validation")</f>
        <v/>
      </c>
    </row>
    <row r="2646">
      <c r="D2646">
        <f>AutoClaim_Data!A2646</f>
        <v/>
      </c>
      <c r="E2646">
        <f>AutoClaim_Data!B2646</f>
        <v/>
      </c>
      <c r="F2646">
        <f>AutoClaim_Data!C2646</f>
        <v/>
      </c>
      <c r="G2646">
        <f>IF(AutoClaim_Data!D2646&lt;=$B$2,AVERAGEIFS(AutoClaim_Data!C2:C3168,AutoClaim_Data!B2:B3168,"Train",AutoClaim_Data!D2:D3168,"&lt;="&amp;$B$2),AVERAGEIFS(AutoClaim_Data!C2:C3168,AutoClaim_Data!B2:B3168,"Train",AutoClaim_Data!D2:D3168,"&gt;"&amp;$B$2))</f>
        <v/>
      </c>
      <c r="H2646">
        <f>IF(AutoClaim_Data!D2646&lt;=$B$2,IF(AutoClaim_Data!E2646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6">
        <f>(F2646-H2646)^2</f>
        <v/>
      </c>
      <c r="J2646">
        <f>--(E2646="Validation")</f>
        <v/>
      </c>
    </row>
    <row r="2647">
      <c r="D2647">
        <f>AutoClaim_Data!A2647</f>
        <v/>
      </c>
      <c r="E2647">
        <f>AutoClaim_Data!B2647</f>
        <v/>
      </c>
      <c r="F2647">
        <f>AutoClaim_Data!C2647</f>
        <v/>
      </c>
      <c r="G2647">
        <f>IF(AutoClaim_Data!D2647&lt;=$B$2,AVERAGEIFS(AutoClaim_Data!C2:C3168,AutoClaim_Data!B2:B3168,"Train",AutoClaim_Data!D2:D3168,"&lt;="&amp;$B$2),AVERAGEIFS(AutoClaim_Data!C2:C3168,AutoClaim_Data!B2:B3168,"Train",AutoClaim_Data!D2:D3168,"&gt;"&amp;$B$2))</f>
        <v/>
      </c>
      <c r="H2647">
        <f>IF(AutoClaim_Data!D2647&lt;=$B$2,IF(AutoClaim_Data!E2647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7">
        <f>(F2647-H2647)^2</f>
        <v/>
      </c>
      <c r="J2647">
        <f>--(E2647="Validation")</f>
        <v/>
      </c>
    </row>
    <row r="2648">
      <c r="D2648">
        <f>AutoClaim_Data!A2648</f>
        <v/>
      </c>
      <c r="E2648">
        <f>AutoClaim_Data!B2648</f>
        <v/>
      </c>
      <c r="F2648">
        <f>AutoClaim_Data!C2648</f>
        <v/>
      </c>
      <c r="G2648">
        <f>IF(AutoClaim_Data!D2648&lt;=$B$2,AVERAGEIFS(AutoClaim_Data!C2:C3168,AutoClaim_Data!B2:B3168,"Train",AutoClaim_Data!D2:D3168,"&lt;="&amp;$B$2),AVERAGEIFS(AutoClaim_Data!C2:C3168,AutoClaim_Data!B2:B3168,"Train",AutoClaim_Data!D2:D3168,"&gt;"&amp;$B$2))</f>
        <v/>
      </c>
      <c r="H2648">
        <f>IF(AutoClaim_Data!D2648&lt;=$B$2,IF(AutoClaim_Data!E2648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8">
        <f>(F2648-H2648)^2</f>
        <v/>
      </c>
      <c r="J2648">
        <f>--(E2648="Validation")</f>
        <v/>
      </c>
    </row>
    <row r="2649">
      <c r="D2649">
        <f>AutoClaim_Data!A2649</f>
        <v/>
      </c>
      <c r="E2649">
        <f>AutoClaim_Data!B2649</f>
        <v/>
      </c>
      <c r="F2649">
        <f>AutoClaim_Data!C2649</f>
        <v/>
      </c>
      <c r="G2649">
        <f>IF(AutoClaim_Data!D2649&lt;=$B$2,AVERAGEIFS(AutoClaim_Data!C2:C3168,AutoClaim_Data!B2:B3168,"Train",AutoClaim_Data!D2:D3168,"&lt;="&amp;$B$2),AVERAGEIFS(AutoClaim_Data!C2:C3168,AutoClaim_Data!B2:B3168,"Train",AutoClaim_Data!D2:D3168,"&gt;"&amp;$B$2))</f>
        <v/>
      </c>
      <c r="H2649">
        <f>IF(AutoClaim_Data!D2649&lt;=$B$2,IF(AutoClaim_Data!E2649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49">
        <f>(F2649-H2649)^2</f>
        <v/>
      </c>
      <c r="J2649">
        <f>--(E2649="Validation")</f>
        <v/>
      </c>
    </row>
    <row r="2650">
      <c r="D2650">
        <f>AutoClaim_Data!A2650</f>
        <v/>
      </c>
      <c r="E2650">
        <f>AutoClaim_Data!B2650</f>
        <v/>
      </c>
      <c r="F2650">
        <f>AutoClaim_Data!C2650</f>
        <v/>
      </c>
      <c r="G2650">
        <f>IF(AutoClaim_Data!D2650&lt;=$B$2,AVERAGEIFS(AutoClaim_Data!C2:C3168,AutoClaim_Data!B2:B3168,"Train",AutoClaim_Data!D2:D3168,"&lt;="&amp;$B$2),AVERAGEIFS(AutoClaim_Data!C2:C3168,AutoClaim_Data!B2:B3168,"Train",AutoClaim_Data!D2:D3168,"&gt;"&amp;$B$2))</f>
        <v/>
      </c>
      <c r="H2650">
        <f>IF(AutoClaim_Data!D2650&lt;=$B$2,IF(AutoClaim_Data!E2650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0">
        <f>(F2650-H2650)^2</f>
        <v/>
      </c>
      <c r="J2650">
        <f>--(E2650="Validation")</f>
        <v/>
      </c>
    </row>
    <row r="2651">
      <c r="D2651">
        <f>AutoClaim_Data!A2651</f>
        <v/>
      </c>
      <c r="E2651">
        <f>AutoClaim_Data!B2651</f>
        <v/>
      </c>
      <c r="F2651">
        <f>AutoClaim_Data!C2651</f>
        <v/>
      </c>
      <c r="G2651">
        <f>IF(AutoClaim_Data!D2651&lt;=$B$2,AVERAGEIFS(AutoClaim_Data!C2:C3168,AutoClaim_Data!B2:B3168,"Train",AutoClaim_Data!D2:D3168,"&lt;="&amp;$B$2),AVERAGEIFS(AutoClaim_Data!C2:C3168,AutoClaim_Data!B2:B3168,"Train",AutoClaim_Data!D2:D3168,"&gt;"&amp;$B$2))</f>
        <v/>
      </c>
      <c r="H2651">
        <f>IF(AutoClaim_Data!D2651&lt;=$B$2,IF(AutoClaim_Data!E2651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1">
        <f>(F2651-H2651)^2</f>
        <v/>
      </c>
      <c r="J2651">
        <f>--(E2651="Validation")</f>
        <v/>
      </c>
    </row>
    <row r="2652">
      <c r="D2652">
        <f>AutoClaim_Data!A2652</f>
        <v/>
      </c>
      <c r="E2652">
        <f>AutoClaim_Data!B2652</f>
        <v/>
      </c>
      <c r="F2652">
        <f>AutoClaim_Data!C2652</f>
        <v/>
      </c>
      <c r="G2652">
        <f>IF(AutoClaim_Data!D2652&lt;=$B$2,AVERAGEIFS(AutoClaim_Data!C2:C3168,AutoClaim_Data!B2:B3168,"Train",AutoClaim_Data!D2:D3168,"&lt;="&amp;$B$2),AVERAGEIFS(AutoClaim_Data!C2:C3168,AutoClaim_Data!B2:B3168,"Train",AutoClaim_Data!D2:D3168,"&gt;"&amp;$B$2))</f>
        <v/>
      </c>
      <c r="H2652">
        <f>IF(AutoClaim_Data!D2652&lt;=$B$2,IF(AutoClaim_Data!E2652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2">
        <f>(F2652-H2652)^2</f>
        <v/>
      </c>
      <c r="J2652">
        <f>--(E2652="Validation")</f>
        <v/>
      </c>
    </row>
    <row r="2653">
      <c r="D2653">
        <f>AutoClaim_Data!A2653</f>
        <v/>
      </c>
      <c r="E2653">
        <f>AutoClaim_Data!B2653</f>
        <v/>
      </c>
      <c r="F2653">
        <f>AutoClaim_Data!C2653</f>
        <v/>
      </c>
      <c r="G2653">
        <f>IF(AutoClaim_Data!D2653&lt;=$B$2,AVERAGEIFS(AutoClaim_Data!C2:C3168,AutoClaim_Data!B2:B3168,"Train",AutoClaim_Data!D2:D3168,"&lt;="&amp;$B$2),AVERAGEIFS(AutoClaim_Data!C2:C3168,AutoClaim_Data!B2:B3168,"Train",AutoClaim_Data!D2:D3168,"&gt;"&amp;$B$2))</f>
        <v/>
      </c>
      <c r="H2653">
        <f>IF(AutoClaim_Data!D2653&lt;=$B$2,IF(AutoClaim_Data!E2653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3">
        <f>(F2653-H2653)^2</f>
        <v/>
      </c>
      <c r="J2653">
        <f>--(E2653="Validation")</f>
        <v/>
      </c>
    </row>
    <row r="2654">
      <c r="D2654">
        <f>AutoClaim_Data!A2654</f>
        <v/>
      </c>
      <c r="E2654">
        <f>AutoClaim_Data!B2654</f>
        <v/>
      </c>
      <c r="F2654">
        <f>AutoClaim_Data!C2654</f>
        <v/>
      </c>
      <c r="G2654">
        <f>IF(AutoClaim_Data!D2654&lt;=$B$2,AVERAGEIFS(AutoClaim_Data!C2:C3168,AutoClaim_Data!B2:B3168,"Train",AutoClaim_Data!D2:D3168,"&lt;="&amp;$B$2),AVERAGEIFS(AutoClaim_Data!C2:C3168,AutoClaim_Data!B2:B3168,"Train",AutoClaim_Data!D2:D3168,"&gt;"&amp;$B$2))</f>
        <v/>
      </c>
      <c r="H2654">
        <f>IF(AutoClaim_Data!D2654&lt;=$B$2,IF(AutoClaim_Data!E2654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4">
        <f>(F2654-H2654)^2</f>
        <v/>
      </c>
      <c r="J2654">
        <f>--(E2654="Validation")</f>
        <v/>
      </c>
    </row>
    <row r="2655">
      <c r="D2655">
        <f>AutoClaim_Data!A2655</f>
        <v/>
      </c>
      <c r="E2655">
        <f>AutoClaim_Data!B2655</f>
        <v/>
      </c>
      <c r="F2655">
        <f>AutoClaim_Data!C2655</f>
        <v/>
      </c>
      <c r="G2655">
        <f>IF(AutoClaim_Data!D2655&lt;=$B$2,AVERAGEIFS(AutoClaim_Data!C2:C3168,AutoClaim_Data!B2:B3168,"Train",AutoClaim_Data!D2:D3168,"&lt;="&amp;$B$2),AVERAGEIFS(AutoClaim_Data!C2:C3168,AutoClaim_Data!B2:B3168,"Train",AutoClaim_Data!D2:D3168,"&gt;"&amp;$B$2))</f>
        <v/>
      </c>
      <c r="H2655">
        <f>IF(AutoClaim_Data!D2655&lt;=$B$2,IF(AutoClaim_Data!E2655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5">
        <f>(F2655-H2655)^2</f>
        <v/>
      </c>
      <c r="J2655">
        <f>--(E2655="Validation")</f>
        <v/>
      </c>
    </row>
    <row r="2656">
      <c r="D2656">
        <f>AutoClaim_Data!A2656</f>
        <v/>
      </c>
      <c r="E2656">
        <f>AutoClaim_Data!B2656</f>
        <v/>
      </c>
      <c r="F2656">
        <f>AutoClaim_Data!C2656</f>
        <v/>
      </c>
      <c r="G2656">
        <f>IF(AutoClaim_Data!D2656&lt;=$B$2,AVERAGEIFS(AutoClaim_Data!C2:C3168,AutoClaim_Data!B2:B3168,"Train",AutoClaim_Data!D2:D3168,"&lt;="&amp;$B$2),AVERAGEIFS(AutoClaim_Data!C2:C3168,AutoClaim_Data!B2:B3168,"Train",AutoClaim_Data!D2:D3168,"&gt;"&amp;$B$2))</f>
        <v/>
      </c>
      <c r="H2656">
        <f>IF(AutoClaim_Data!D2656&lt;=$B$2,IF(AutoClaim_Data!E2656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6">
        <f>(F2656-H2656)^2</f>
        <v/>
      </c>
      <c r="J2656">
        <f>--(E2656="Validation")</f>
        <v/>
      </c>
    </row>
    <row r="2657">
      <c r="D2657">
        <f>AutoClaim_Data!A2657</f>
        <v/>
      </c>
      <c r="E2657">
        <f>AutoClaim_Data!B2657</f>
        <v/>
      </c>
      <c r="F2657">
        <f>AutoClaim_Data!C2657</f>
        <v/>
      </c>
      <c r="G2657">
        <f>IF(AutoClaim_Data!D2657&lt;=$B$2,AVERAGEIFS(AutoClaim_Data!C2:C3168,AutoClaim_Data!B2:B3168,"Train",AutoClaim_Data!D2:D3168,"&lt;="&amp;$B$2),AVERAGEIFS(AutoClaim_Data!C2:C3168,AutoClaim_Data!B2:B3168,"Train",AutoClaim_Data!D2:D3168,"&gt;"&amp;$B$2))</f>
        <v/>
      </c>
      <c r="H2657">
        <f>IF(AutoClaim_Data!D2657&lt;=$B$2,IF(AutoClaim_Data!E2657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7">
        <f>(F2657-H2657)^2</f>
        <v/>
      </c>
      <c r="J2657">
        <f>--(E2657="Validation")</f>
        <v/>
      </c>
    </row>
    <row r="2658">
      <c r="D2658">
        <f>AutoClaim_Data!A2658</f>
        <v/>
      </c>
      <c r="E2658">
        <f>AutoClaim_Data!B2658</f>
        <v/>
      </c>
      <c r="F2658">
        <f>AutoClaim_Data!C2658</f>
        <v/>
      </c>
      <c r="G2658">
        <f>IF(AutoClaim_Data!D2658&lt;=$B$2,AVERAGEIFS(AutoClaim_Data!C2:C3168,AutoClaim_Data!B2:B3168,"Train",AutoClaim_Data!D2:D3168,"&lt;="&amp;$B$2),AVERAGEIFS(AutoClaim_Data!C2:C3168,AutoClaim_Data!B2:B3168,"Train",AutoClaim_Data!D2:D3168,"&gt;"&amp;$B$2))</f>
        <v/>
      </c>
      <c r="H2658">
        <f>IF(AutoClaim_Data!D2658&lt;=$B$2,IF(AutoClaim_Data!E2658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8">
        <f>(F2658-H2658)^2</f>
        <v/>
      </c>
      <c r="J2658">
        <f>--(E2658="Validation")</f>
        <v/>
      </c>
    </row>
    <row r="2659">
      <c r="D2659">
        <f>AutoClaim_Data!A2659</f>
        <v/>
      </c>
      <c r="E2659">
        <f>AutoClaim_Data!B2659</f>
        <v/>
      </c>
      <c r="F2659">
        <f>AutoClaim_Data!C2659</f>
        <v/>
      </c>
      <c r="G2659">
        <f>IF(AutoClaim_Data!D2659&lt;=$B$2,AVERAGEIFS(AutoClaim_Data!C2:C3168,AutoClaim_Data!B2:B3168,"Train",AutoClaim_Data!D2:D3168,"&lt;="&amp;$B$2),AVERAGEIFS(AutoClaim_Data!C2:C3168,AutoClaim_Data!B2:B3168,"Train",AutoClaim_Data!D2:D3168,"&gt;"&amp;$B$2))</f>
        <v/>
      </c>
      <c r="H2659">
        <f>IF(AutoClaim_Data!D2659&lt;=$B$2,IF(AutoClaim_Data!E2659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59">
        <f>(F2659-H2659)^2</f>
        <v/>
      </c>
      <c r="J2659">
        <f>--(E2659="Validation")</f>
        <v/>
      </c>
    </row>
    <row r="2660">
      <c r="D2660">
        <f>AutoClaim_Data!A2660</f>
        <v/>
      </c>
      <c r="E2660">
        <f>AutoClaim_Data!B2660</f>
        <v/>
      </c>
      <c r="F2660">
        <f>AutoClaim_Data!C2660</f>
        <v/>
      </c>
      <c r="G2660">
        <f>IF(AutoClaim_Data!D2660&lt;=$B$2,AVERAGEIFS(AutoClaim_Data!C2:C3168,AutoClaim_Data!B2:B3168,"Train",AutoClaim_Data!D2:D3168,"&lt;="&amp;$B$2),AVERAGEIFS(AutoClaim_Data!C2:C3168,AutoClaim_Data!B2:B3168,"Train",AutoClaim_Data!D2:D3168,"&gt;"&amp;$B$2))</f>
        <v/>
      </c>
      <c r="H2660">
        <f>IF(AutoClaim_Data!D2660&lt;=$B$2,IF(AutoClaim_Data!E2660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0">
        <f>(F2660-H2660)^2</f>
        <v/>
      </c>
      <c r="J2660">
        <f>--(E2660="Validation")</f>
        <v/>
      </c>
    </row>
    <row r="2661">
      <c r="D2661">
        <f>AutoClaim_Data!A2661</f>
        <v/>
      </c>
      <c r="E2661">
        <f>AutoClaim_Data!B2661</f>
        <v/>
      </c>
      <c r="F2661">
        <f>AutoClaim_Data!C2661</f>
        <v/>
      </c>
      <c r="G2661">
        <f>IF(AutoClaim_Data!D2661&lt;=$B$2,AVERAGEIFS(AutoClaim_Data!C2:C3168,AutoClaim_Data!B2:B3168,"Train",AutoClaim_Data!D2:D3168,"&lt;="&amp;$B$2),AVERAGEIFS(AutoClaim_Data!C2:C3168,AutoClaim_Data!B2:B3168,"Train",AutoClaim_Data!D2:D3168,"&gt;"&amp;$B$2))</f>
        <v/>
      </c>
      <c r="H2661">
        <f>IF(AutoClaim_Data!D2661&lt;=$B$2,IF(AutoClaim_Data!E2661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1">
        <f>(F2661-H2661)^2</f>
        <v/>
      </c>
      <c r="J2661">
        <f>--(E2661="Validation")</f>
        <v/>
      </c>
    </row>
    <row r="2662">
      <c r="D2662">
        <f>AutoClaim_Data!A2662</f>
        <v/>
      </c>
      <c r="E2662">
        <f>AutoClaim_Data!B2662</f>
        <v/>
      </c>
      <c r="F2662">
        <f>AutoClaim_Data!C2662</f>
        <v/>
      </c>
      <c r="G2662">
        <f>IF(AutoClaim_Data!D2662&lt;=$B$2,AVERAGEIFS(AutoClaim_Data!C2:C3168,AutoClaim_Data!B2:B3168,"Train",AutoClaim_Data!D2:D3168,"&lt;="&amp;$B$2),AVERAGEIFS(AutoClaim_Data!C2:C3168,AutoClaim_Data!B2:B3168,"Train",AutoClaim_Data!D2:D3168,"&gt;"&amp;$B$2))</f>
        <v/>
      </c>
      <c r="H2662">
        <f>IF(AutoClaim_Data!D2662&lt;=$B$2,IF(AutoClaim_Data!E2662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2">
        <f>(F2662-H2662)^2</f>
        <v/>
      </c>
      <c r="J2662">
        <f>--(E2662="Validation")</f>
        <v/>
      </c>
    </row>
    <row r="2663">
      <c r="D2663">
        <f>AutoClaim_Data!A2663</f>
        <v/>
      </c>
      <c r="E2663">
        <f>AutoClaim_Data!B2663</f>
        <v/>
      </c>
      <c r="F2663">
        <f>AutoClaim_Data!C2663</f>
        <v/>
      </c>
      <c r="G2663">
        <f>IF(AutoClaim_Data!D2663&lt;=$B$2,AVERAGEIFS(AutoClaim_Data!C2:C3168,AutoClaim_Data!B2:B3168,"Train",AutoClaim_Data!D2:D3168,"&lt;="&amp;$B$2),AVERAGEIFS(AutoClaim_Data!C2:C3168,AutoClaim_Data!B2:B3168,"Train",AutoClaim_Data!D2:D3168,"&gt;"&amp;$B$2))</f>
        <v/>
      </c>
      <c r="H2663">
        <f>IF(AutoClaim_Data!D2663&lt;=$B$2,IF(AutoClaim_Data!E2663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3">
        <f>(F2663-H2663)^2</f>
        <v/>
      </c>
      <c r="J2663">
        <f>--(E2663="Validation")</f>
        <v/>
      </c>
    </row>
    <row r="2664">
      <c r="D2664">
        <f>AutoClaim_Data!A2664</f>
        <v/>
      </c>
      <c r="E2664">
        <f>AutoClaim_Data!B2664</f>
        <v/>
      </c>
      <c r="F2664">
        <f>AutoClaim_Data!C2664</f>
        <v/>
      </c>
      <c r="G2664">
        <f>IF(AutoClaim_Data!D2664&lt;=$B$2,AVERAGEIFS(AutoClaim_Data!C2:C3168,AutoClaim_Data!B2:B3168,"Train",AutoClaim_Data!D2:D3168,"&lt;="&amp;$B$2),AVERAGEIFS(AutoClaim_Data!C2:C3168,AutoClaim_Data!B2:B3168,"Train",AutoClaim_Data!D2:D3168,"&gt;"&amp;$B$2))</f>
        <v/>
      </c>
      <c r="H2664">
        <f>IF(AutoClaim_Data!D2664&lt;=$B$2,IF(AutoClaim_Data!E2664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4">
        <f>(F2664-H2664)^2</f>
        <v/>
      </c>
      <c r="J2664">
        <f>--(E2664="Validation")</f>
        <v/>
      </c>
    </row>
    <row r="2665">
      <c r="D2665">
        <f>AutoClaim_Data!A2665</f>
        <v/>
      </c>
      <c r="E2665">
        <f>AutoClaim_Data!B2665</f>
        <v/>
      </c>
      <c r="F2665">
        <f>AutoClaim_Data!C2665</f>
        <v/>
      </c>
      <c r="G2665">
        <f>IF(AutoClaim_Data!D2665&lt;=$B$2,AVERAGEIFS(AutoClaim_Data!C2:C3168,AutoClaim_Data!B2:B3168,"Train",AutoClaim_Data!D2:D3168,"&lt;="&amp;$B$2),AVERAGEIFS(AutoClaim_Data!C2:C3168,AutoClaim_Data!B2:B3168,"Train",AutoClaim_Data!D2:D3168,"&gt;"&amp;$B$2))</f>
        <v/>
      </c>
      <c r="H2665">
        <f>IF(AutoClaim_Data!D2665&lt;=$B$2,IF(AutoClaim_Data!E2665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5">
        <f>(F2665-H2665)^2</f>
        <v/>
      </c>
      <c r="J2665">
        <f>--(E2665="Validation")</f>
        <v/>
      </c>
    </row>
    <row r="2666">
      <c r="D2666">
        <f>AutoClaim_Data!A2666</f>
        <v/>
      </c>
      <c r="E2666">
        <f>AutoClaim_Data!B2666</f>
        <v/>
      </c>
      <c r="F2666">
        <f>AutoClaim_Data!C2666</f>
        <v/>
      </c>
      <c r="G2666">
        <f>IF(AutoClaim_Data!D2666&lt;=$B$2,AVERAGEIFS(AutoClaim_Data!C2:C3168,AutoClaim_Data!B2:B3168,"Train",AutoClaim_Data!D2:D3168,"&lt;="&amp;$B$2),AVERAGEIFS(AutoClaim_Data!C2:C3168,AutoClaim_Data!B2:B3168,"Train",AutoClaim_Data!D2:D3168,"&gt;"&amp;$B$2))</f>
        <v/>
      </c>
      <c r="H2666">
        <f>IF(AutoClaim_Data!D2666&lt;=$B$2,IF(AutoClaim_Data!E2666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6">
        <f>(F2666-H2666)^2</f>
        <v/>
      </c>
      <c r="J2666">
        <f>--(E2666="Validation")</f>
        <v/>
      </c>
    </row>
    <row r="2667">
      <c r="D2667">
        <f>AutoClaim_Data!A2667</f>
        <v/>
      </c>
      <c r="E2667">
        <f>AutoClaim_Data!B2667</f>
        <v/>
      </c>
      <c r="F2667">
        <f>AutoClaim_Data!C2667</f>
        <v/>
      </c>
      <c r="G2667">
        <f>IF(AutoClaim_Data!D2667&lt;=$B$2,AVERAGEIFS(AutoClaim_Data!C2:C3168,AutoClaim_Data!B2:B3168,"Train",AutoClaim_Data!D2:D3168,"&lt;="&amp;$B$2),AVERAGEIFS(AutoClaim_Data!C2:C3168,AutoClaim_Data!B2:B3168,"Train",AutoClaim_Data!D2:D3168,"&gt;"&amp;$B$2))</f>
        <v/>
      </c>
      <c r="H2667">
        <f>IF(AutoClaim_Data!D2667&lt;=$B$2,IF(AutoClaim_Data!E2667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7">
        <f>(F2667-H2667)^2</f>
        <v/>
      </c>
      <c r="J2667">
        <f>--(E2667="Validation")</f>
        <v/>
      </c>
    </row>
    <row r="2668">
      <c r="D2668">
        <f>AutoClaim_Data!A2668</f>
        <v/>
      </c>
      <c r="E2668">
        <f>AutoClaim_Data!B2668</f>
        <v/>
      </c>
      <c r="F2668">
        <f>AutoClaim_Data!C2668</f>
        <v/>
      </c>
      <c r="G2668">
        <f>IF(AutoClaim_Data!D2668&lt;=$B$2,AVERAGEIFS(AutoClaim_Data!C2:C3168,AutoClaim_Data!B2:B3168,"Train",AutoClaim_Data!D2:D3168,"&lt;="&amp;$B$2),AVERAGEIFS(AutoClaim_Data!C2:C3168,AutoClaim_Data!B2:B3168,"Train",AutoClaim_Data!D2:D3168,"&gt;"&amp;$B$2))</f>
        <v/>
      </c>
      <c r="H2668">
        <f>IF(AutoClaim_Data!D2668&lt;=$B$2,IF(AutoClaim_Data!E2668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8">
        <f>(F2668-H2668)^2</f>
        <v/>
      </c>
      <c r="J2668">
        <f>--(E2668="Validation")</f>
        <v/>
      </c>
    </row>
    <row r="2669">
      <c r="D2669">
        <f>AutoClaim_Data!A2669</f>
        <v/>
      </c>
      <c r="E2669">
        <f>AutoClaim_Data!B2669</f>
        <v/>
      </c>
      <c r="F2669">
        <f>AutoClaim_Data!C2669</f>
        <v/>
      </c>
      <c r="G2669">
        <f>IF(AutoClaim_Data!D2669&lt;=$B$2,AVERAGEIFS(AutoClaim_Data!C2:C3168,AutoClaim_Data!B2:B3168,"Train",AutoClaim_Data!D2:D3168,"&lt;="&amp;$B$2),AVERAGEIFS(AutoClaim_Data!C2:C3168,AutoClaim_Data!B2:B3168,"Train",AutoClaim_Data!D2:D3168,"&gt;"&amp;$B$2))</f>
        <v/>
      </c>
      <c r="H2669">
        <f>IF(AutoClaim_Data!D2669&lt;=$B$2,IF(AutoClaim_Data!E2669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69">
        <f>(F2669-H2669)^2</f>
        <v/>
      </c>
      <c r="J2669">
        <f>--(E2669="Validation")</f>
        <v/>
      </c>
    </row>
    <row r="2670">
      <c r="D2670">
        <f>AutoClaim_Data!A2670</f>
        <v/>
      </c>
      <c r="E2670">
        <f>AutoClaim_Data!B2670</f>
        <v/>
      </c>
      <c r="F2670">
        <f>AutoClaim_Data!C2670</f>
        <v/>
      </c>
      <c r="G2670">
        <f>IF(AutoClaim_Data!D2670&lt;=$B$2,AVERAGEIFS(AutoClaim_Data!C2:C3168,AutoClaim_Data!B2:B3168,"Train",AutoClaim_Data!D2:D3168,"&lt;="&amp;$B$2),AVERAGEIFS(AutoClaim_Data!C2:C3168,AutoClaim_Data!B2:B3168,"Train",AutoClaim_Data!D2:D3168,"&gt;"&amp;$B$2))</f>
        <v/>
      </c>
      <c r="H2670">
        <f>IF(AutoClaim_Data!D2670&lt;=$B$2,IF(AutoClaim_Data!E2670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0">
        <f>(F2670-H2670)^2</f>
        <v/>
      </c>
      <c r="J2670">
        <f>--(E2670="Validation")</f>
        <v/>
      </c>
    </row>
    <row r="2671">
      <c r="D2671">
        <f>AutoClaim_Data!A2671</f>
        <v/>
      </c>
      <c r="E2671">
        <f>AutoClaim_Data!B2671</f>
        <v/>
      </c>
      <c r="F2671">
        <f>AutoClaim_Data!C2671</f>
        <v/>
      </c>
      <c r="G2671">
        <f>IF(AutoClaim_Data!D2671&lt;=$B$2,AVERAGEIFS(AutoClaim_Data!C2:C3168,AutoClaim_Data!B2:B3168,"Train",AutoClaim_Data!D2:D3168,"&lt;="&amp;$B$2),AVERAGEIFS(AutoClaim_Data!C2:C3168,AutoClaim_Data!B2:B3168,"Train",AutoClaim_Data!D2:D3168,"&gt;"&amp;$B$2))</f>
        <v/>
      </c>
      <c r="H2671">
        <f>IF(AutoClaim_Data!D2671&lt;=$B$2,IF(AutoClaim_Data!E2671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1">
        <f>(F2671-H2671)^2</f>
        <v/>
      </c>
      <c r="J2671">
        <f>--(E2671="Validation")</f>
        <v/>
      </c>
    </row>
    <row r="2672">
      <c r="D2672">
        <f>AutoClaim_Data!A2672</f>
        <v/>
      </c>
      <c r="E2672">
        <f>AutoClaim_Data!B2672</f>
        <v/>
      </c>
      <c r="F2672">
        <f>AutoClaim_Data!C2672</f>
        <v/>
      </c>
      <c r="G2672">
        <f>IF(AutoClaim_Data!D2672&lt;=$B$2,AVERAGEIFS(AutoClaim_Data!C2:C3168,AutoClaim_Data!B2:B3168,"Train",AutoClaim_Data!D2:D3168,"&lt;="&amp;$B$2),AVERAGEIFS(AutoClaim_Data!C2:C3168,AutoClaim_Data!B2:B3168,"Train",AutoClaim_Data!D2:D3168,"&gt;"&amp;$B$2))</f>
        <v/>
      </c>
      <c r="H2672">
        <f>IF(AutoClaim_Data!D2672&lt;=$B$2,IF(AutoClaim_Data!E2672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2">
        <f>(F2672-H2672)^2</f>
        <v/>
      </c>
      <c r="J2672">
        <f>--(E2672="Validation")</f>
        <v/>
      </c>
    </row>
    <row r="2673">
      <c r="D2673">
        <f>AutoClaim_Data!A2673</f>
        <v/>
      </c>
      <c r="E2673">
        <f>AutoClaim_Data!B2673</f>
        <v/>
      </c>
      <c r="F2673">
        <f>AutoClaim_Data!C2673</f>
        <v/>
      </c>
      <c r="G2673">
        <f>IF(AutoClaim_Data!D2673&lt;=$B$2,AVERAGEIFS(AutoClaim_Data!C2:C3168,AutoClaim_Data!B2:B3168,"Train",AutoClaim_Data!D2:D3168,"&lt;="&amp;$B$2),AVERAGEIFS(AutoClaim_Data!C2:C3168,AutoClaim_Data!B2:B3168,"Train",AutoClaim_Data!D2:D3168,"&gt;"&amp;$B$2))</f>
        <v/>
      </c>
      <c r="H2673">
        <f>IF(AutoClaim_Data!D2673&lt;=$B$2,IF(AutoClaim_Data!E2673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3">
        <f>(F2673-H2673)^2</f>
        <v/>
      </c>
      <c r="J2673">
        <f>--(E2673="Validation")</f>
        <v/>
      </c>
    </row>
    <row r="2674">
      <c r="D2674">
        <f>AutoClaim_Data!A2674</f>
        <v/>
      </c>
      <c r="E2674">
        <f>AutoClaim_Data!B2674</f>
        <v/>
      </c>
      <c r="F2674">
        <f>AutoClaim_Data!C2674</f>
        <v/>
      </c>
      <c r="G2674">
        <f>IF(AutoClaim_Data!D2674&lt;=$B$2,AVERAGEIFS(AutoClaim_Data!C2:C3168,AutoClaim_Data!B2:B3168,"Train",AutoClaim_Data!D2:D3168,"&lt;="&amp;$B$2),AVERAGEIFS(AutoClaim_Data!C2:C3168,AutoClaim_Data!B2:B3168,"Train",AutoClaim_Data!D2:D3168,"&gt;"&amp;$B$2))</f>
        <v/>
      </c>
      <c r="H2674">
        <f>IF(AutoClaim_Data!D2674&lt;=$B$2,IF(AutoClaim_Data!E2674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4">
        <f>(F2674-H2674)^2</f>
        <v/>
      </c>
      <c r="J2674">
        <f>--(E2674="Validation")</f>
        <v/>
      </c>
    </row>
    <row r="2675">
      <c r="D2675">
        <f>AutoClaim_Data!A2675</f>
        <v/>
      </c>
      <c r="E2675">
        <f>AutoClaim_Data!B2675</f>
        <v/>
      </c>
      <c r="F2675">
        <f>AutoClaim_Data!C2675</f>
        <v/>
      </c>
      <c r="G2675">
        <f>IF(AutoClaim_Data!D2675&lt;=$B$2,AVERAGEIFS(AutoClaim_Data!C2:C3168,AutoClaim_Data!B2:B3168,"Train",AutoClaim_Data!D2:D3168,"&lt;="&amp;$B$2),AVERAGEIFS(AutoClaim_Data!C2:C3168,AutoClaim_Data!B2:B3168,"Train",AutoClaim_Data!D2:D3168,"&gt;"&amp;$B$2))</f>
        <v/>
      </c>
      <c r="H2675">
        <f>IF(AutoClaim_Data!D2675&lt;=$B$2,IF(AutoClaim_Data!E2675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5">
        <f>(F2675-H2675)^2</f>
        <v/>
      </c>
      <c r="J2675">
        <f>--(E2675="Validation")</f>
        <v/>
      </c>
    </row>
    <row r="2676">
      <c r="D2676">
        <f>AutoClaim_Data!A2676</f>
        <v/>
      </c>
      <c r="E2676">
        <f>AutoClaim_Data!B2676</f>
        <v/>
      </c>
      <c r="F2676">
        <f>AutoClaim_Data!C2676</f>
        <v/>
      </c>
      <c r="G2676">
        <f>IF(AutoClaim_Data!D2676&lt;=$B$2,AVERAGEIFS(AutoClaim_Data!C2:C3168,AutoClaim_Data!B2:B3168,"Train",AutoClaim_Data!D2:D3168,"&lt;="&amp;$B$2),AVERAGEIFS(AutoClaim_Data!C2:C3168,AutoClaim_Data!B2:B3168,"Train",AutoClaim_Data!D2:D3168,"&gt;"&amp;$B$2))</f>
        <v/>
      </c>
      <c r="H2676">
        <f>IF(AutoClaim_Data!D2676&lt;=$B$2,IF(AutoClaim_Data!E2676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6">
        <f>(F2676-H2676)^2</f>
        <v/>
      </c>
      <c r="J2676">
        <f>--(E2676="Validation")</f>
        <v/>
      </c>
    </row>
    <row r="2677">
      <c r="D2677">
        <f>AutoClaim_Data!A2677</f>
        <v/>
      </c>
      <c r="E2677">
        <f>AutoClaim_Data!B2677</f>
        <v/>
      </c>
      <c r="F2677">
        <f>AutoClaim_Data!C2677</f>
        <v/>
      </c>
      <c r="G2677">
        <f>IF(AutoClaim_Data!D2677&lt;=$B$2,AVERAGEIFS(AutoClaim_Data!C2:C3168,AutoClaim_Data!B2:B3168,"Train",AutoClaim_Data!D2:D3168,"&lt;="&amp;$B$2),AVERAGEIFS(AutoClaim_Data!C2:C3168,AutoClaim_Data!B2:B3168,"Train",AutoClaim_Data!D2:D3168,"&gt;"&amp;$B$2))</f>
        <v/>
      </c>
      <c r="H2677">
        <f>IF(AutoClaim_Data!D2677&lt;=$B$2,IF(AutoClaim_Data!E2677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7">
        <f>(F2677-H2677)^2</f>
        <v/>
      </c>
      <c r="J2677">
        <f>--(E2677="Validation")</f>
        <v/>
      </c>
    </row>
    <row r="2678">
      <c r="D2678">
        <f>AutoClaim_Data!A2678</f>
        <v/>
      </c>
      <c r="E2678">
        <f>AutoClaim_Data!B2678</f>
        <v/>
      </c>
      <c r="F2678">
        <f>AutoClaim_Data!C2678</f>
        <v/>
      </c>
      <c r="G2678">
        <f>IF(AutoClaim_Data!D2678&lt;=$B$2,AVERAGEIFS(AutoClaim_Data!C2:C3168,AutoClaim_Data!B2:B3168,"Train",AutoClaim_Data!D2:D3168,"&lt;="&amp;$B$2),AVERAGEIFS(AutoClaim_Data!C2:C3168,AutoClaim_Data!B2:B3168,"Train",AutoClaim_Data!D2:D3168,"&gt;"&amp;$B$2))</f>
        <v/>
      </c>
      <c r="H2678">
        <f>IF(AutoClaim_Data!D2678&lt;=$B$2,IF(AutoClaim_Data!E2678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8">
        <f>(F2678-H2678)^2</f>
        <v/>
      </c>
      <c r="J2678">
        <f>--(E2678="Validation")</f>
        <v/>
      </c>
    </row>
    <row r="2679">
      <c r="D2679">
        <f>AutoClaim_Data!A2679</f>
        <v/>
      </c>
      <c r="E2679">
        <f>AutoClaim_Data!B2679</f>
        <v/>
      </c>
      <c r="F2679">
        <f>AutoClaim_Data!C2679</f>
        <v/>
      </c>
      <c r="G2679">
        <f>IF(AutoClaim_Data!D2679&lt;=$B$2,AVERAGEIFS(AutoClaim_Data!C2:C3168,AutoClaim_Data!B2:B3168,"Train",AutoClaim_Data!D2:D3168,"&lt;="&amp;$B$2),AVERAGEIFS(AutoClaim_Data!C2:C3168,AutoClaim_Data!B2:B3168,"Train",AutoClaim_Data!D2:D3168,"&gt;"&amp;$B$2))</f>
        <v/>
      </c>
      <c r="H2679">
        <f>IF(AutoClaim_Data!D2679&lt;=$B$2,IF(AutoClaim_Data!E2679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79">
        <f>(F2679-H2679)^2</f>
        <v/>
      </c>
      <c r="J2679">
        <f>--(E2679="Validation")</f>
        <v/>
      </c>
    </row>
    <row r="2680">
      <c r="D2680">
        <f>AutoClaim_Data!A2680</f>
        <v/>
      </c>
      <c r="E2680">
        <f>AutoClaim_Data!B2680</f>
        <v/>
      </c>
      <c r="F2680">
        <f>AutoClaim_Data!C2680</f>
        <v/>
      </c>
      <c r="G2680">
        <f>IF(AutoClaim_Data!D2680&lt;=$B$2,AVERAGEIFS(AutoClaim_Data!C2:C3168,AutoClaim_Data!B2:B3168,"Train",AutoClaim_Data!D2:D3168,"&lt;="&amp;$B$2),AVERAGEIFS(AutoClaim_Data!C2:C3168,AutoClaim_Data!B2:B3168,"Train",AutoClaim_Data!D2:D3168,"&gt;"&amp;$B$2))</f>
        <v/>
      </c>
      <c r="H2680">
        <f>IF(AutoClaim_Data!D2680&lt;=$B$2,IF(AutoClaim_Data!E2680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0">
        <f>(F2680-H2680)^2</f>
        <v/>
      </c>
      <c r="J2680">
        <f>--(E2680="Validation")</f>
        <v/>
      </c>
    </row>
    <row r="2681">
      <c r="D2681">
        <f>AutoClaim_Data!A2681</f>
        <v/>
      </c>
      <c r="E2681">
        <f>AutoClaim_Data!B2681</f>
        <v/>
      </c>
      <c r="F2681">
        <f>AutoClaim_Data!C2681</f>
        <v/>
      </c>
      <c r="G2681">
        <f>IF(AutoClaim_Data!D2681&lt;=$B$2,AVERAGEIFS(AutoClaim_Data!C2:C3168,AutoClaim_Data!B2:B3168,"Train",AutoClaim_Data!D2:D3168,"&lt;="&amp;$B$2),AVERAGEIFS(AutoClaim_Data!C2:C3168,AutoClaim_Data!B2:B3168,"Train",AutoClaim_Data!D2:D3168,"&gt;"&amp;$B$2))</f>
        <v/>
      </c>
      <c r="H2681">
        <f>IF(AutoClaim_Data!D2681&lt;=$B$2,IF(AutoClaim_Data!E2681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1">
        <f>(F2681-H2681)^2</f>
        <v/>
      </c>
      <c r="J2681">
        <f>--(E2681="Validation")</f>
        <v/>
      </c>
    </row>
    <row r="2682">
      <c r="D2682">
        <f>AutoClaim_Data!A2682</f>
        <v/>
      </c>
      <c r="E2682">
        <f>AutoClaim_Data!B2682</f>
        <v/>
      </c>
      <c r="F2682">
        <f>AutoClaim_Data!C2682</f>
        <v/>
      </c>
      <c r="G2682">
        <f>IF(AutoClaim_Data!D2682&lt;=$B$2,AVERAGEIFS(AutoClaim_Data!C2:C3168,AutoClaim_Data!B2:B3168,"Train",AutoClaim_Data!D2:D3168,"&lt;="&amp;$B$2),AVERAGEIFS(AutoClaim_Data!C2:C3168,AutoClaim_Data!B2:B3168,"Train",AutoClaim_Data!D2:D3168,"&gt;"&amp;$B$2))</f>
        <v/>
      </c>
      <c r="H2682">
        <f>IF(AutoClaim_Data!D2682&lt;=$B$2,IF(AutoClaim_Data!E2682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2">
        <f>(F2682-H2682)^2</f>
        <v/>
      </c>
      <c r="J2682">
        <f>--(E2682="Validation")</f>
        <v/>
      </c>
    </row>
    <row r="2683">
      <c r="D2683">
        <f>AutoClaim_Data!A2683</f>
        <v/>
      </c>
      <c r="E2683">
        <f>AutoClaim_Data!B2683</f>
        <v/>
      </c>
      <c r="F2683">
        <f>AutoClaim_Data!C2683</f>
        <v/>
      </c>
      <c r="G2683">
        <f>IF(AutoClaim_Data!D2683&lt;=$B$2,AVERAGEIFS(AutoClaim_Data!C2:C3168,AutoClaim_Data!B2:B3168,"Train",AutoClaim_Data!D2:D3168,"&lt;="&amp;$B$2),AVERAGEIFS(AutoClaim_Data!C2:C3168,AutoClaim_Data!B2:B3168,"Train",AutoClaim_Data!D2:D3168,"&gt;"&amp;$B$2))</f>
        <v/>
      </c>
      <c r="H2683">
        <f>IF(AutoClaim_Data!D2683&lt;=$B$2,IF(AutoClaim_Data!E2683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3">
        <f>(F2683-H2683)^2</f>
        <v/>
      </c>
      <c r="J2683">
        <f>--(E2683="Validation")</f>
        <v/>
      </c>
    </row>
    <row r="2684">
      <c r="D2684">
        <f>AutoClaim_Data!A2684</f>
        <v/>
      </c>
      <c r="E2684">
        <f>AutoClaim_Data!B2684</f>
        <v/>
      </c>
      <c r="F2684">
        <f>AutoClaim_Data!C2684</f>
        <v/>
      </c>
      <c r="G2684">
        <f>IF(AutoClaim_Data!D2684&lt;=$B$2,AVERAGEIFS(AutoClaim_Data!C2:C3168,AutoClaim_Data!B2:B3168,"Train",AutoClaim_Data!D2:D3168,"&lt;="&amp;$B$2),AVERAGEIFS(AutoClaim_Data!C2:C3168,AutoClaim_Data!B2:B3168,"Train",AutoClaim_Data!D2:D3168,"&gt;"&amp;$B$2))</f>
        <v/>
      </c>
      <c r="H2684">
        <f>IF(AutoClaim_Data!D2684&lt;=$B$2,IF(AutoClaim_Data!E2684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4">
        <f>(F2684-H2684)^2</f>
        <v/>
      </c>
      <c r="J2684">
        <f>--(E2684="Validation")</f>
        <v/>
      </c>
    </row>
    <row r="2685">
      <c r="D2685">
        <f>AutoClaim_Data!A2685</f>
        <v/>
      </c>
      <c r="E2685">
        <f>AutoClaim_Data!B2685</f>
        <v/>
      </c>
      <c r="F2685">
        <f>AutoClaim_Data!C2685</f>
        <v/>
      </c>
      <c r="G2685">
        <f>IF(AutoClaim_Data!D2685&lt;=$B$2,AVERAGEIFS(AutoClaim_Data!C2:C3168,AutoClaim_Data!B2:B3168,"Train",AutoClaim_Data!D2:D3168,"&lt;="&amp;$B$2),AVERAGEIFS(AutoClaim_Data!C2:C3168,AutoClaim_Data!B2:B3168,"Train",AutoClaim_Data!D2:D3168,"&gt;"&amp;$B$2))</f>
        <v/>
      </c>
      <c r="H2685">
        <f>IF(AutoClaim_Data!D2685&lt;=$B$2,IF(AutoClaim_Data!E2685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5">
        <f>(F2685-H2685)^2</f>
        <v/>
      </c>
      <c r="J2685">
        <f>--(E2685="Validation")</f>
        <v/>
      </c>
    </row>
    <row r="2686">
      <c r="D2686">
        <f>AutoClaim_Data!A2686</f>
        <v/>
      </c>
      <c r="E2686">
        <f>AutoClaim_Data!B2686</f>
        <v/>
      </c>
      <c r="F2686">
        <f>AutoClaim_Data!C2686</f>
        <v/>
      </c>
      <c r="G2686">
        <f>IF(AutoClaim_Data!D2686&lt;=$B$2,AVERAGEIFS(AutoClaim_Data!C2:C3168,AutoClaim_Data!B2:B3168,"Train",AutoClaim_Data!D2:D3168,"&lt;="&amp;$B$2),AVERAGEIFS(AutoClaim_Data!C2:C3168,AutoClaim_Data!B2:B3168,"Train",AutoClaim_Data!D2:D3168,"&gt;"&amp;$B$2))</f>
        <v/>
      </c>
      <c r="H2686">
        <f>IF(AutoClaim_Data!D2686&lt;=$B$2,IF(AutoClaim_Data!E2686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6">
        <f>(F2686-H2686)^2</f>
        <v/>
      </c>
      <c r="J2686">
        <f>--(E2686="Validation")</f>
        <v/>
      </c>
    </row>
    <row r="2687">
      <c r="D2687">
        <f>AutoClaim_Data!A2687</f>
        <v/>
      </c>
      <c r="E2687">
        <f>AutoClaim_Data!B2687</f>
        <v/>
      </c>
      <c r="F2687">
        <f>AutoClaim_Data!C2687</f>
        <v/>
      </c>
      <c r="G2687">
        <f>IF(AutoClaim_Data!D2687&lt;=$B$2,AVERAGEIFS(AutoClaim_Data!C2:C3168,AutoClaim_Data!B2:B3168,"Train",AutoClaim_Data!D2:D3168,"&lt;="&amp;$B$2),AVERAGEIFS(AutoClaim_Data!C2:C3168,AutoClaim_Data!B2:B3168,"Train",AutoClaim_Data!D2:D3168,"&gt;"&amp;$B$2))</f>
        <v/>
      </c>
      <c r="H2687">
        <f>IF(AutoClaim_Data!D2687&lt;=$B$2,IF(AutoClaim_Data!E2687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7">
        <f>(F2687-H2687)^2</f>
        <v/>
      </c>
      <c r="J2687">
        <f>--(E2687="Validation")</f>
        <v/>
      </c>
    </row>
    <row r="2688">
      <c r="D2688">
        <f>AutoClaim_Data!A2688</f>
        <v/>
      </c>
      <c r="E2688">
        <f>AutoClaim_Data!B2688</f>
        <v/>
      </c>
      <c r="F2688">
        <f>AutoClaim_Data!C2688</f>
        <v/>
      </c>
      <c r="G2688">
        <f>IF(AutoClaim_Data!D2688&lt;=$B$2,AVERAGEIFS(AutoClaim_Data!C2:C3168,AutoClaim_Data!B2:B3168,"Train",AutoClaim_Data!D2:D3168,"&lt;="&amp;$B$2),AVERAGEIFS(AutoClaim_Data!C2:C3168,AutoClaim_Data!B2:B3168,"Train",AutoClaim_Data!D2:D3168,"&gt;"&amp;$B$2))</f>
        <v/>
      </c>
      <c r="H2688">
        <f>IF(AutoClaim_Data!D2688&lt;=$B$2,IF(AutoClaim_Data!E2688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8">
        <f>(F2688-H2688)^2</f>
        <v/>
      </c>
      <c r="J2688">
        <f>--(E2688="Validation")</f>
        <v/>
      </c>
    </row>
    <row r="2689">
      <c r="D2689">
        <f>AutoClaim_Data!A2689</f>
        <v/>
      </c>
      <c r="E2689">
        <f>AutoClaim_Data!B2689</f>
        <v/>
      </c>
      <c r="F2689">
        <f>AutoClaim_Data!C2689</f>
        <v/>
      </c>
      <c r="G2689">
        <f>IF(AutoClaim_Data!D2689&lt;=$B$2,AVERAGEIFS(AutoClaim_Data!C2:C3168,AutoClaim_Data!B2:B3168,"Train",AutoClaim_Data!D2:D3168,"&lt;="&amp;$B$2),AVERAGEIFS(AutoClaim_Data!C2:C3168,AutoClaim_Data!B2:B3168,"Train",AutoClaim_Data!D2:D3168,"&gt;"&amp;$B$2))</f>
        <v/>
      </c>
      <c r="H2689">
        <f>IF(AutoClaim_Data!D2689&lt;=$B$2,IF(AutoClaim_Data!E2689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89">
        <f>(F2689-H2689)^2</f>
        <v/>
      </c>
      <c r="J2689">
        <f>--(E2689="Validation")</f>
        <v/>
      </c>
    </row>
    <row r="2690">
      <c r="D2690">
        <f>AutoClaim_Data!A2690</f>
        <v/>
      </c>
      <c r="E2690">
        <f>AutoClaim_Data!B2690</f>
        <v/>
      </c>
      <c r="F2690">
        <f>AutoClaim_Data!C2690</f>
        <v/>
      </c>
      <c r="G2690">
        <f>IF(AutoClaim_Data!D2690&lt;=$B$2,AVERAGEIFS(AutoClaim_Data!C2:C3168,AutoClaim_Data!B2:B3168,"Train",AutoClaim_Data!D2:D3168,"&lt;="&amp;$B$2),AVERAGEIFS(AutoClaim_Data!C2:C3168,AutoClaim_Data!B2:B3168,"Train",AutoClaim_Data!D2:D3168,"&gt;"&amp;$B$2))</f>
        <v/>
      </c>
      <c r="H2690">
        <f>IF(AutoClaim_Data!D2690&lt;=$B$2,IF(AutoClaim_Data!E2690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0">
        <f>(F2690-H2690)^2</f>
        <v/>
      </c>
      <c r="J2690">
        <f>--(E2690="Validation")</f>
        <v/>
      </c>
    </row>
    <row r="2691">
      <c r="D2691">
        <f>AutoClaim_Data!A2691</f>
        <v/>
      </c>
      <c r="E2691">
        <f>AutoClaim_Data!B2691</f>
        <v/>
      </c>
      <c r="F2691">
        <f>AutoClaim_Data!C2691</f>
        <v/>
      </c>
      <c r="G2691">
        <f>IF(AutoClaim_Data!D2691&lt;=$B$2,AVERAGEIFS(AutoClaim_Data!C2:C3168,AutoClaim_Data!B2:B3168,"Train",AutoClaim_Data!D2:D3168,"&lt;="&amp;$B$2),AVERAGEIFS(AutoClaim_Data!C2:C3168,AutoClaim_Data!B2:B3168,"Train",AutoClaim_Data!D2:D3168,"&gt;"&amp;$B$2))</f>
        <v/>
      </c>
      <c r="H2691">
        <f>IF(AutoClaim_Data!D2691&lt;=$B$2,IF(AutoClaim_Data!E2691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1">
        <f>(F2691-H2691)^2</f>
        <v/>
      </c>
      <c r="J2691">
        <f>--(E2691="Validation")</f>
        <v/>
      </c>
    </row>
    <row r="2692">
      <c r="D2692">
        <f>AutoClaim_Data!A2692</f>
        <v/>
      </c>
      <c r="E2692">
        <f>AutoClaim_Data!B2692</f>
        <v/>
      </c>
      <c r="F2692">
        <f>AutoClaim_Data!C2692</f>
        <v/>
      </c>
      <c r="G2692">
        <f>IF(AutoClaim_Data!D2692&lt;=$B$2,AVERAGEIFS(AutoClaim_Data!C2:C3168,AutoClaim_Data!B2:B3168,"Train",AutoClaim_Data!D2:D3168,"&lt;="&amp;$B$2),AVERAGEIFS(AutoClaim_Data!C2:C3168,AutoClaim_Data!B2:B3168,"Train",AutoClaim_Data!D2:D3168,"&gt;"&amp;$B$2))</f>
        <v/>
      </c>
      <c r="H2692">
        <f>IF(AutoClaim_Data!D2692&lt;=$B$2,IF(AutoClaim_Data!E2692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2">
        <f>(F2692-H2692)^2</f>
        <v/>
      </c>
      <c r="J2692">
        <f>--(E2692="Validation")</f>
        <v/>
      </c>
    </row>
    <row r="2693">
      <c r="D2693">
        <f>AutoClaim_Data!A2693</f>
        <v/>
      </c>
      <c r="E2693">
        <f>AutoClaim_Data!B2693</f>
        <v/>
      </c>
      <c r="F2693">
        <f>AutoClaim_Data!C2693</f>
        <v/>
      </c>
      <c r="G2693">
        <f>IF(AutoClaim_Data!D2693&lt;=$B$2,AVERAGEIFS(AutoClaim_Data!C2:C3168,AutoClaim_Data!B2:B3168,"Train",AutoClaim_Data!D2:D3168,"&lt;="&amp;$B$2),AVERAGEIFS(AutoClaim_Data!C2:C3168,AutoClaim_Data!B2:B3168,"Train",AutoClaim_Data!D2:D3168,"&gt;"&amp;$B$2))</f>
        <v/>
      </c>
      <c r="H2693">
        <f>IF(AutoClaim_Data!D2693&lt;=$B$2,IF(AutoClaim_Data!E2693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3">
        <f>(F2693-H2693)^2</f>
        <v/>
      </c>
      <c r="J2693">
        <f>--(E2693="Validation")</f>
        <v/>
      </c>
    </row>
    <row r="2694">
      <c r="D2694">
        <f>AutoClaim_Data!A2694</f>
        <v/>
      </c>
      <c r="E2694">
        <f>AutoClaim_Data!B2694</f>
        <v/>
      </c>
      <c r="F2694">
        <f>AutoClaim_Data!C2694</f>
        <v/>
      </c>
      <c r="G2694">
        <f>IF(AutoClaim_Data!D2694&lt;=$B$2,AVERAGEIFS(AutoClaim_Data!C2:C3168,AutoClaim_Data!B2:B3168,"Train",AutoClaim_Data!D2:D3168,"&lt;="&amp;$B$2),AVERAGEIFS(AutoClaim_Data!C2:C3168,AutoClaim_Data!B2:B3168,"Train",AutoClaim_Data!D2:D3168,"&gt;"&amp;$B$2))</f>
        <v/>
      </c>
      <c r="H2694">
        <f>IF(AutoClaim_Data!D2694&lt;=$B$2,IF(AutoClaim_Data!E2694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4">
        <f>(F2694-H2694)^2</f>
        <v/>
      </c>
      <c r="J2694">
        <f>--(E2694="Validation")</f>
        <v/>
      </c>
    </row>
    <row r="2695">
      <c r="D2695">
        <f>AutoClaim_Data!A2695</f>
        <v/>
      </c>
      <c r="E2695">
        <f>AutoClaim_Data!B2695</f>
        <v/>
      </c>
      <c r="F2695">
        <f>AutoClaim_Data!C2695</f>
        <v/>
      </c>
      <c r="G2695">
        <f>IF(AutoClaim_Data!D2695&lt;=$B$2,AVERAGEIFS(AutoClaim_Data!C2:C3168,AutoClaim_Data!B2:B3168,"Train",AutoClaim_Data!D2:D3168,"&lt;="&amp;$B$2),AVERAGEIFS(AutoClaim_Data!C2:C3168,AutoClaim_Data!B2:B3168,"Train",AutoClaim_Data!D2:D3168,"&gt;"&amp;$B$2))</f>
        <v/>
      </c>
      <c r="H2695">
        <f>IF(AutoClaim_Data!D2695&lt;=$B$2,IF(AutoClaim_Data!E2695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5">
        <f>(F2695-H2695)^2</f>
        <v/>
      </c>
      <c r="J2695">
        <f>--(E2695="Validation")</f>
        <v/>
      </c>
    </row>
    <row r="2696">
      <c r="D2696">
        <f>AutoClaim_Data!A2696</f>
        <v/>
      </c>
      <c r="E2696">
        <f>AutoClaim_Data!B2696</f>
        <v/>
      </c>
      <c r="F2696">
        <f>AutoClaim_Data!C2696</f>
        <v/>
      </c>
      <c r="G2696">
        <f>IF(AutoClaim_Data!D2696&lt;=$B$2,AVERAGEIFS(AutoClaim_Data!C2:C3168,AutoClaim_Data!B2:B3168,"Train",AutoClaim_Data!D2:D3168,"&lt;="&amp;$B$2),AVERAGEIFS(AutoClaim_Data!C2:C3168,AutoClaim_Data!B2:B3168,"Train",AutoClaim_Data!D2:D3168,"&gt;"&amp;$B$2))</f>
        <v/>
      </c>
      <c r="H2696">
        <f>IF(AutoClaim_Data!D2696&lt;=$B$2,IF(AutoClaim_Data!E2696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6">
        <f>(F2696-H2696)^2</f>
        <v/>
      </c>
      <c r="J2696">
        <f>--(E2696="Validation")</f>
        <v/>
      </c>
    </row>
    <row r="2697">
      <c r="D2697">
        <f>AutoClaim_Data!A2697</f>
        <v/>
      </c>
      <c r="E2697">
        <f>AutoClaim_Data!B2697</f>
        <v/>
      </c>
      <c r="F2697">
        <f>AutoClaim_Data!C2697</f>
        <v/>
      </c>
      <c r="G2697">
        <f>IF(AutoClaim_Data!D2697&lt;=$B$2,AVERAGEIFS(AutoClaim_Data!C2:C3168,AutoClaim_Data!B2:B3168,"Train",AutoClaim_Data!D2:D3168,"&lt;="&amp;$B$2),AVERAGEIFS(AutoClaim_Data!C2:C3168,AutoClaim_Data!B2:B3168,"Train",AutoClaim_Data!D2:D3168,"&gt;"&amp;$B$2))</f>
        <v/>
      </c>
      <c r="H2697">
        <f>IF(AutoClaim_Data!D2697&lt;=$B$2,IF(AutoClaim_Data!E2697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7">
        <f>(F2697-H2697)^2</f>
        <v/>
      </c>
      <c r="J2697">
        <f>--(E2697="Validation")</f>
        <v/>
      </c>
    </row>
    <row r="2698">
      <c r="D2698">
        <f>AutoClaim_Data!A2698</f>
        <v/>
      </c>
      <c r="E2698">
        <f>AutoClaim_Data!B2698</f>
        <v/>
      </c>
      <c r="F2698">
        <f>AutoClaim_Data!C2698</f>
        <v/>
      </c>
      <c r="G2698">
        <f>IF(AutoClaim_Data!D2698&lt;=$B$2,AVERAGEIFS(AutoClaim_Data!C2:C3168,AutoClaim_Data!B2:B3168,"Train",AutoClaim_Data!D2:D3168,"&lt;="&amp;$B$2),AVERAGEIFS(AutoClaim_Data!C2:C3168,AutoClaim_Data!B2:B3168,"Train",AutoClaim_Data!D2:D3168,"&gt;"&amp;$B$2))</f>
        <v/>
      </c>
      <c r="H2698">
        <f>IF(AutoClaim_Data!D2698&lt;=$B$2,IF(AutoClaim_Data!E2698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8">
        <f>(F2698-H2698)^2</f>
        <v/>
      </c>
      <c r="J2698">
        <f>--(E2698="Validation")</f>
        <v/>
      </c>
    </row>
    <row r="2699">
      <c r="D2699">
        <f>AutoClaim_Data!A2699</f>
        <v/>
      </c>
      <c r="E2699">
        <f>AutoClaim_Data!B2699</f>
        <v/>
      </c>
      <c r="F2699">
        <f>AutoClaim_Data!C2699</f>
        <v/>
      </c>
      <c r="G2699">
        <f>IF(AutoClaim_Data!D2699&lt;=$B$2,AVERAGEIFS(AutoClaim_Data!C2:C3168,AutoClaim_Data!B2:B3168,"Train",AutoClaim_Data!D2:D3168,"&lt;="&amp;$B$2),AVERAGEIFS(AutoClaim_Data!C2:C3168,AutoClaim_Data!B2:B3168,"Train",AutoClaim_Data!D2:D3168,"&gt;"&amp;$B$2))</f>
        <v/>
      </c>
      <c r="H2699">
        <f>IF(AutoClaim_Data!D2699&lt;=$B$2,IF(AutoClaim_Data!E2699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2699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699">
        <f>(F2699-H2699)^2</f>
        <v/>
      </c>
      <c r="J2699">
        <f>--(E2699="Validation")</f>
        <v/>
      </c>
    </row>
    <row r="2700">
      <c r="D2700">
        <f>AutoClaim_Data!A2700</f>
        <v/>
      </c>
      <c r="E2700">
        <f>AutoClaim_Data!B2700</f>
        <v/>
      </c>
      <c r="F2700">
        <f>AutoClaim_Data!C2700</f>
        <v/>
      </c>
      <c r="G2700">
        <f>IF(AutoClaim_Data!D2700&lt;=$B$2,AVERAGEIFS(AutoClaim_Data!C2:C3168,AutoClaim_Data!B2:B3168,"Train",AutoClaim_Data!D2:D3168,"&lt;="&amp;$B$2),AVERAGEIFS(AutoClaim_Data!C2:C3168,AutoClaim_Data!B2:B3168,"Train",AutoClaim_Data!D2:D3168,"&gt;"&amp;$B$2))</f>
        <v/>
      </c>
      <c r="H2700">
        <f>IF(AutoClaim_Data!D2700&lt;=$B$2,IF(AutoClaim_Data!E2700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0">
        <f>(F2700-H2700)^2</f>
        <v/>
      </c>
      <c r="J2700">
        <f>--(E2700="Validation")</f>
        <v/>
      </c>
    </row>
    <row r="2701">
      <c r="D2701">
        <f>AutoClaim_Data!A2701</f>
        <v/>
      </c>
      <c r="E2701">
        <f>AutoClaim_Data!B2701</f>
        <v/>
      </c>
      <c r="F2701">
        <f>AutoClaim_Data!C2701</f>
        <v/>
      </c>
      <c r="G2701">
        <f>IF(AutoClaim_Data!D2701&lt;=$B$2,AVERAGEIFS(AutoClaim_Data!C2:C3168,AutoClaim_Data!B2:B3168,"Train",AutoClaim_Data!D2:D3168,"&lt;="&amp;$B$2),AVERAGEIFS(AutoClaim_Data!C2:C3168,AutoClaim_Data!B2:B3168,"Train",AutoClaim_Data!D2:D3168,"&gt;"&amp;$B$2))</f>
        <v/>
      </c>
      <c r="H2701">
        <f>IF(AutoClaim_Data!D2701&lt;=$B$2,IF(AutoClaim_Data!E2701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1">
        <f>(F2701-H2701)^2</f>
        <v/>
      </c>
      <c r="J2701">
        <f>--(E2701="Validation")</f>
        <v/>
      </c>
    </row>
    <row r="2702">
      <c r="D2702">
        <f>AutoClaim_Data!A2702</f>
        <v/>
      </c>
      <c r="E2702">
        <f>AutoClaim_Data!B2702</f>
        <v/>
      </c>
      <c r="F2702">
        <f>AutoClaim_Data!C2702</f>
        <v/>
      </c>
      <c r="G2702">
        <f>IF(AutoClaim_Data!D2702&lt;=$B$2,AVERAGEIFS(AutoClaim_Data!C2:C3168,AutoClaim_Data!B2:B3168,"Train",AutoClaim_Data!D2:D3168,"&lt;="&amp;$B$2),AVERAGEIFS(AutoClaim_Data!C2:C3168,AutoClaim_Data!B2:B3168,"Train",AutoClaim_Data!D2:D3168,"&gt;"&amp;$B$2))</f>
        <v/>
      </c>
      <c r="H2702">
        <f>IF(AutoClaim_Data!D2702&lt;=$B$2,IF(AutoClaim_Data!E2702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2">
        <f>(F2702-H2702)^2</f>
        <v/>
      </c>
      <c r="J2702">
        <f>--(E2702="Validation")</f>
        <v/>
      </c>
    </row>
    <row r="2703">
      <c r="D2703">
        <f>AutoClaim_Data!A2703</f>
        <v/>
      </c>
      <c r="E2703">
        <f>AutoClaim_Data!B2703</f>
        <v/>
      </c>
      <c r="F2703">
        <f>AutoClaim_Data!C2703</f>
        <v/>
      </c>
      <c r="G2703">
        <f>IF(AutoClaim_Data!D2703&lt;=$B$2,AVERAGEIFS(AutoClaim_Data!C2:C3168,AutoClaim_Data!B2:B3168,"Train",AutoClaim_Data!D2:D3168,"&lt;="&amp;$B$2),AVERAGEIFS(AutoClaim_Data!C2:C3168,AutoClaim_Data!B2:B3168,"Train",AutoClaim_Data!D2:D3168,"&gt;"&amp;$B$2))</f>
        <v/>
      </c>
      <c r="H2703">
        <f>IF(AutoClaim_Data!D2703&lt;=$B$2,IF(AutoClaim_Data!E2703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3">
        <f>(F2703-H2703)^2</f>
        <v/>
      </c>
      <c r="J2703">
        <f>--(E2703="Validation")</f>
        <v/>
      </c>
    </row>
    <row r="2704">
      <c r="D2704">
        <f>AutoClaim_Data!A2704</f>
        <v/>
      </c>
      <c r="E2704">
        <f>AutoClaim_Data!B2704</f>
        <v/>
      </c>
      <c r="F2704">
        <f>AutoClaim_Data!C2704</f>
        <v/>
      </c>
      <c r="G2704">
        <f>IF(AutoClaim_Data!D2704&lt;=$B$2,AVERAGEIFS(AutoClaim_Data!C2:C3168,AutoClaim_Data!B2:B3168,"Train",AutoClaim_Data!D2:D3168,"&lt;="&amp;$B$2),AVERAGEIFS(AutoClaim_Data!C2:C3168,AutoClaim_Data!B2:B3168,"Train",AutoClaim_Data!D2:D3168,"&gt;"&amp;$B$2))</f>
        <v/>
      </c>
      <c r="H2704">
        <f>IF(AutoClaim_Data!D2704&lt;=$B$2,IF(AutoClaim_Data!E2704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4">
        <f>(F2704-H2704)^2</f>
        <v/>
      </c>
      <c r="J2704">
        <f>--(E2704="Validation")</f>
        <v/>
      </c>
    </row>
    <row r="2705">
      <c r="D2705">
        <f>AutoClaim_Data!A2705</f>
        <v/>
      </c>
      <c r="E2705">
        <f>AutoClaim_Data!B2705</f>
        <v/>
      </c>
      <c r="F2705">
        <f>AutoClaim_Data!C2705</f>
        <v/>
      </c>
      <c r="G2705">
        <f>IF(AutoClaim_Data!D2705&lt;=$B$2,AVERAGEIFS(AutoClaim_Data!C2:C3168,AutoClaim_Data!B2:B3168,"Train",AutoClaim_Data!D2:D3168,"&lt;="&amp;$B$2),AVERAGEIFS(AutoClaim_Data!C2:C3168,AutoClaim_Data!B2:B3168,"Train",AutoClaim_Data!D2:D3168,"&gt;"&amp;$B$2))</f>
        <v/>
      </c>
      <c r="H2705">
        <f>IF(AutoClaim_Data!D2705&lt;=$B$2,IF(AutoClaim_Data!E2705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5">
        <f>(F2705-H2705)^2</f>
        <v/>
      </c>
      <c r="J2705">
        <f>--(E2705="Validation")</f>
        <v/>
      </c>
    </row>
    <row r="2706">
      <c r="D2706">
        <f>AutoClaim_Data!A2706</f>
        <v/>
      </c>
      <c r="E2706">
        <f>AutoClaim_Data!B2706</f>
        <v/>
      </c>
      <c r="F2706">
        <f>AutoClaim_Data!C2706</f>
        <v/>
      </c>
      <c r="G2706">
        <f>IF(AutoClaim_Data!D2706&lt;=$B$2,AVERAGEIFS(AutoClaim_Data!C2:C3168,AutoClaim_Data!B2:B3168,"Train",AutoClaim_Data!D2:D3168,"&lt;="&amp;$B$2),AVERAGEIFS(AutoClaim_Data!C2:C3168,AutoClaim_Data!B2:B3168,"Train",AutoClaim_Data!D2:D3168,"&gt;"&amp;$B$2))</f>
        <v/>
      </c>
      <c r="H2706">
        <f>IF(AutoClaim_Data!D2706&lt;=$B$2,IF(AutoClaim_Data!E2706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6">
        <f>(F2706-H2706)^2</f>
        <v/>
      </c>
      <c r="J2706">
        <f>--(E2706="Validation")</f>
        <v/>
      </c>
    </row>
    <row r="2707">
      <c r="D2707">
        <f>AutoClaim_Data!A2707</f>
        <v/>
      </c>
      <c r="E2707">
        <f>AutoClaim_Data!B2707</f>
        <v/>
      </c>
      <c r="F2707">
        <f>AutoClaim_Data!C2707</f>
        <v/>
      </c>
      <c r="G2707">
        <f>IF(AutoClaim_Data!D2707&lt;=$B$2,AVERAGEIFS(AutoClaim_Data!C2:C3168,AutoClaim_Data!B2:B3168,"Train",AutoClaim_Data!D2:D3168,"&lt;="&amp;$B$2),AVERAGEIFS(AutoClaim_Data!C2:C3168,AutoClaim_Data!B2:B3168,"Train",AutoClaim_Data!D2:D3168,"&gt;"&amp;$B$2))</f>
        <v/>
      </c>
      <c r="H2707">
        <f>IF(AutoClaim_Data!D2707&lt;=$B$2,IF(AutoClaim_Data!E2707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7">
        <f>(F2707-H2707)^2</f>
        <v/>
      </c>
      <c r="J2707">
        <f>--(E2707="Validation")</f>
        <v/>
      </c>
    </row>
    <row r="2708">
      <c r="D2708">
        <f>AutoClaim_Data!A2708</f>
        <v/>
      </c>
      <c r="E2708">
        <f>AutoClaim_Data!B2708</f>
        <v/>
      </c>
      <c r="F2708">
        <f>AutoClaim_Data!C2708</f>
        <v/>
      </c>
      <c r="G2708">
        <f>IF(AutoClaim_Data!D2708&lt;=$B$2,AVERAGEIFS(AutoClaim_Data!C2:C3168,AutoClaim_Data!B2:B3168,"Train",AutoClaim_Data!D2:D3168,"&lt;="&amp;$B$2),AVERAGEIFS(AutoClaim_Data!C2:C3168,AutoClaim_Data!B2:B3168,"Train",AutoClaim_Data!D2:D3168,"&gt;"&amp;$B$2))</f>
        <v/>
      </c>
      <c r="H2708">
        <f>IF(AutoClaim_Data!D2708&lt;=$B$2,IF(AutoClaim_Data!E2708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8">
        <f>(F2708-H2708)^2</f>
        <v/>
      </c>
      <c r="J2708">
        <f>--(E2708="Validation")</f>
        <v/>
      </c>
    </row>
    <row r="2709">
      <c r="D2709">
        <f>AutoClaim_Data!A2709</f>
        <v/>
      </c>
      <c r="E2709">
        <f>AutoClaim_Data!B2709</f>
        <v/>
      </c>
      <c r="F2709">
        <f>AutoClaim_Data!C2709</f>
        <v/>
      </c>
      <c r="G2709">
        <f>IF(AutoClaim_Data!D2709&lt;=$B$2,AVERAGEIFS(AutoClaim_Data!C2:C3168,AutoClaim_Data!B2:B3168,"Train",AutoClaim_Data!D2:D3168,"&lt;="&amp;$B$2),AVERAGEIFS(AutoClaim_Data!C2:C3168,AutoClaim_Data!B2:B3168,"Train",AutoClaim_Data!D2:D3168,"&gt;"&amp;$B$2))</f>
        <v/>
      </c>
      <c r="H2709">
        <f>IF(AutoClaim_Data!D2709&lt;=$B$2,IF(AutoClaim_Data!E2709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09">
        <f>(F2709-H2709)^2</f>
        <v/>
      </c>
      <c r="J2709">
        <f>--(E2709="Validation")</f>
        <v/>
      </c>
    </row>
    <row r="2710">
      <c r="D2710">
        <f>AutoClaim_Data!A2710</f>
        <v/>
      </c>
      <c r="E2710">
        <f>AutoClaim_Data!B2710</f>
        <v/>
      </c>
      <c r="F2710">
        <f>AutoClaim_Data!C2710</f>
        <v/>
      </c>
      <c r="G2710">
        <f>IF(AutoClaim_Data!D2710&lt;=$B$2,AVERAGEIFS(AutoClaim_Data!C2:C3168,AutoClaim_Data!B2:B3168,"Train",AutoClaim_Data!D2:D3168,"&lt;="&amp;$B$2),AVERAGEIFS(AutoClaim_Data!C2:C3168,AutoClaim_Data!B2:B3168,"Train",AutoClaim_Data!D2:D3168,"&gt;"&amp;$B$2))</f>
        <v/>
      </c>
      <c r="H2710">
        <f>IF(AutoClaim_Data!D2710&lt;=$B$2,IF(AutoClaim_Data!E2710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0">
        <f>(F2710-H2710)^2</f>
        <v/>
      </c>
      <c r="J2710">
        <f>--(E2710="Validation")</f>
        <v/>
      </c>
    </row>
    <row r="2711">
      <c r="D2711">
        <f>AutoClaim_Data!A2711</f>
        <v/>
      </c>
      <c r="E2711">
        <f>AutoClaim_Data!B2711</f>
        <v/>
      </c>
      <c r="F2711">
        <f>AutoClaim_Data!C2711</f>
        <v/>
      </c>
      <c r="G2711">
        <f>IF(AutoClaim_Data!D2711&lt;=$B$2,AVERAGEIFS(AutoClaim_Data!C2:C3168,AutoClaim_Data!B2:B3168,"Train",AutoClaim_Data!D2:D3168,"&lt;="&amp;$B$2),AVERAGEIFS(AutoClaim_Data!C2:C3168,AutoClaim_Data!B2:B3168,"Train",AutoClaim_Data!D2:D3168,"&gt;"&amp;$B$2))</f>
        <v/>
      </c>
      <c r="H2711">
        <f>IF(AutoClaim_Data!D2711&lt;=$B$2,IF(AutoClaim_Data!E2711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1">
        <f>(F2711-H2711)^2</f>
        <v/>
      </c>
      <c r="J2711">
        <f>--(E2711="Validation")</f>
        <v/>
      </c>
    </row>
    <row r="2712">
      <c r="D2712">
        <f>AutoClaim_Data!A2712</f>
        <v/>
      </c>
      <c r="E2712">
        <f>AutoClaim_Data!B2712</f>
        <v/>
      </c>
      <c r="F2712">
        <f>AutoClaim_Data!C2712</f>
        <v/>
      </c>
      <c r="G2712">
        <f>IF(AutoClaim_Data!D2712&lt;=$B$2,AVERAGEIFS(AutoClaim_Data!C2:C3168,AutoClaim_Data!B2:B3168,"Train",AutoClaim_Data!D2:D3168,"&lt;="&amp;$B$2),AVERAGEIFS(AutoClaim_Data!C2:C3168,AutoClaim_Data!B2:B3168,"Train",AutoClaim_Data!D2:D3168,"&gt;"&amp;$B$2))</f>
        <v/>
      </c>
      <c r="H2712">
        <f>IF(AutoClaim_Data!D2712&lt;=$B$2,IF(AutoClaim_Data!E2712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2">
        <f>(F2712-H2712)^2</f>
        <v/>
      </c>
      <c r="J2712">
        <f>--(E2712="Validation")</f>
        <v/>
      </c>
    </row>
    <row r="2713">
      <c r="D2713">
        <f>AutoClaim_Data!A2713</f>
        <v/>
      </c>
      <c r="E2713">
        <f>AutoClaim_Data!B2713</f>
        <v/>
      </c>
      <c r="F2713">
        <f>AutoClaim_Data!C2713</f>
        <v/>
      </c>
      <c r="G2713">
        <f>IF(AutoClaim_Data!D2713&lt;=$B$2,AVERAGEIFS(AutoClaim_Data!C2:C3168,AutoClaim_Data!B2:B3168,"Train",AutoClaim_Data!D2:D3168,"&lt;="&amp;$B$2),AVERAGEIFS(AutoClaim_Data!C2:C3168,AutoClaim_Data!B2:B3168,"Train",AutoClaim_Data!D2:D3168,"&gt;"&amp;$B$2))</f>
        <v/>
      </c>
      <c r="H2713">
        <f>IF(AutoClaim_Data!D2713&lt;=$B$2,IF(AutoClaim_Data!E2713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3">
        <f>(F2713-H2713)^2</f>
        <v/>
      </c>
      <c r="J2713">
        <f>--(E2713="Validation")</f>
        <v/>
      </c>
    </row>
    <row r="2714">
      <c r="D2714">
        <f>AutoClaim_Data!A2714</f>
        <v/>
      </c>
      <c r="E2714">
        <f>AutoClaim_Data!B2714</f>
        <v/>
      </c>
      <c r="F2714">
        <f>AutoClaim_Data!C2714</f>
        <v/>
      </c>
      <c r="G2714">
        <f>IF(AutoClaim_Data!D2714&lt;=$B$2,AVERAGEIFS(AutoClaim_Data!C2:C3168,AutoClaim_Data!B2:B3168,"Train",AutoClaim_Data!D2:D3168,"&lt;="&amp;$B$2),AVERAGEIFS(AutoClaim_Data!C2:C3168,AutoClaim_Data!B2:B3168,"Train",AutoClaim_Data!D2:D3168,"&gt;"&amp;$B$2))</f>
        <v/>
      </c>
      <c r="H2714">
        <f>IF(AutoClaim_Data!D2714&lt;=$B$2,IF(AutoClaim_Data!E2714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4">
        <f>(F2714-H2714)^2</f>
        <v/>
      </c>
      <c r="J2714">
        <f>--(E2714="Validation")</f>
        <v/>
      </c>
    </row>
    <row r="2715">
      <c r="D2715">
        <f>AutoClaim_Data!A2715</f>
        <v/>
      </c>
      <c r="E2715">
        <f>AutoClaim_Data!B2715</f>
        <v/>
      </c>
      <c r="F2715">
        <f>AutoClaim_Data!C2715</f>
        <v/>
      </c>
      <c r="G2715">
        <f>IF(AutoClaim_Data!D2715&lt;=$B$2,AVERAGEIFS(AutoClaim_Data!C2:C3168,AutoClaim_Data!B2:B3168,"Train",AutoClaim_Data!D2:D3168,"&lt;="&amp;$B$2),AVERAGEIFS(AutoClaim_Data!C2:C3168,AutoClaim_Data!B2:B3168,"Train",AutoClaim_Data!D2:D3168,"&gt;"&amp;$B$2))</f>
        <v/>
      </c>
      <c r="H2715">
        <f>IF(AutoClaim_Data!D2715&lt;=$B$2,IF(AutoClaim_Data!E2715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5">
        <f>(F2715-H2715)^2</f>
        <v/>
      </c>
      <c r="J2715">
        <f>--(E2715="Validation")</f>
        <v/>
      </c>
    </row>
    <row r="2716">
      <c r="D2716">
        <f>AutoClaim_Data!A2716</f>
        <v/>
      </c>
      <c r="E2716">
        <f>AutoClaim_Data!B2716</f>
        <v/>
      </c>
      <c r="F2716">
        <f>AutoClaim_Data!C2716</f>
        <v/>
      </c>
      <c r="G2716">
        <f>IF(AutoClaim_Data!D2716&lt;=$B$2,AVERAGEIFS(AutoClaim_Data!C2:C3168,AutoClaim_Data!B2:B3168,"Train",AutoClaim_Data!D2:D3168,"&lt;="&amp;$B$2),AVERAGEIFS(AutoClaim_Data!C2:C3168,AutoClaim_Data!B2:B3168,"Train",AutoClaim_Data!D2:D3168,"&gt;"&amp;$B$2))</f>
        <v/>
      </c>
      <c r="H2716">
        <f>IF(AutoClaim_Data!D2716&lt;=$B$2,IF(AutoClaim_Data!E2716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6">
        <f>(F2716-H2716)^2</f>
        <v/>
      </c>
      <c r="J2716">
        <f>--(E2716="Validation")</f>
        <v/>
      </c>
    </row>
    <row r="2717">
      <c r="D2717">
        <f>AutoClaim_Data!A2717</f>
        <v/>
      </c>
      <c r="E2717">
        <f>AutoClaim_Data!B2717</f>
        <v/>
      </c>
      <c r="F2717">
        <f>AutoClaim_Data!C2717</f>
        <v/>
      </c>
      <c r="G2717">
        <f>IF(AutoClaim_Data!D2717&lt;=$B$2,AVERAGEIFS(AutoClaim_Data!C2:C3168,AutoClaim_Data!B2:B3168,"Train",AutoClaim_Data!D2:D3168,"&lt;="&amp;$B$2),AVERAGEIFS(AutoClaim_Data!C2:C3168,AutoClaim_Data!B2:B3168,"Train",AutoClaim_Data!D2:D3168,"&gt;"&amp;$B$2))</f>
        <v/>
      </c>
      <c r="H2717">
        <f>IF(AutoClaim_Data!D2717&lt;=$B$2,IF(AutoClaim_Data!E2717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7">
        <f>(F2717-H2717)^2</f>
        <v/>
      </c>
      <c r="J2717">
        <f>--(E2717="Validation")</f>
        <v/>
      </c>
    </row>
    <row r="2718">
      <c r="D2718">
        <f>AutoClaim_Data!A2718</f>
        <v/>
      </c>
      <c r="E2718">
        <f>AutoClaim_Data!B2718</f>
        <v/>
      </c>
      <c r="F2718">
        <f>AutoClaim_Data!C2718</f>
        <v/>
      </c>
      <c r="G2718">
        <f>IF(AutoClaim_Data!D2718&lt;=$B$2,AVERAGEIFS(AutoClaim_Data!C2:C3168,AutoClaim_Data!B2:B3168,"Train",AutoClaim_Data!D2:D3168,"&lt;="&amp;$B$2),AVERAGEIFS(AutoClaim_Data!C2:C3168,AutoClaim_Data!B2:B3168,"Train",AutoClaim_Data!D2:D3168,"&gt;"&amp;$B$2))</f>
        <v/>
      </c>
      <c r="H2718">
        <f>IF(AutoClaim_Data!D2718&lt;=$B$2,IF(AutoClaim_Data!E2718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8">
        <f>(F2718-H2718)^2</f>
        <v/>
      </c>
      <c r="J2718">
        <f>--(E2718="Validation")</f>
        <v/>
      </c>
    </row>
    <row r="2719">
      <c r="D2719">
        <f>AutoClaim_Data!A2719</f>
        <v/>
      </c>
      <c r="E2719">
        <f>AutoClaim_Data!B2719</f>
        <v/>
      </c>
      <c r="F2719">
        <f>AutoClaim_Data!C2719</f>
        <v/>
      </c>
      <c r="G2719">
        <f>IF(AutoClaim_Data!D2719&lt;=$B$2,AVERAGEIFS(AutoClaim_Data!C2:C3168,AutoClaim_Data!B2:B3168,"Train",AutoClaim_Data!D2:D3168,"&lt;="&amp;$B$2),AVERAGEIFS(AutoClaim_Data!C2:C3168,AutoClaim_Data!B2:B3168,"Train",AutoClaim_Data!D2:D3168,"&gt;"&amp;$B$2))</f>
        <v/>
      </c>
      <c r="H2719">
        <f>IF(AutoClaim_Data!D2719&lt;=$B$2,IF(AutoClaim_Data!E2719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19">
        <f>(F2719-H2719)^2</f>
        <v/>
      </c>
      <c r="J2719">
        <f>--(E2719="Validation")</f>
        <v/>
      </c>
    </row>
    <row r="2720">
      <c r="D2720">
        <f>AutoClaim_Data!A2720</f>
        <v/>
      </c>
      <c r="E2720">
        <f>AutoClaim_Data!B2720</f>
        <v/>
      </c>
      <c r="F2720">
        <f>AutoClaim_Data!C2720</f>
        <v/>
      </c>
      <c r="G2720">
        <f>IF(AutoClaim_Data!D2720&lt;=$B$2,AVERAGEIFS(AutoClaim_Data!C2:C3168,AutoClaim_Data!B2:B3168,"Train",AutoClaim_Data!D2:D3168,"&lt;="&amp;$B$2),AVERAGEIFS(AutoClaim_Data!C2:C3168,AutoClaim_Data!B2:B3168,"Train",AutoClaim_Data!D2:D3168,"&gt;"&amp;$B$2))</f>
        <v/>
      </c>
      <c r="H2720">
        <f>IF(AutoClaim_Data!D2720&lt;=$B$2,IF(AutoClaim_Data!E2720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0">
        <f>(F2720-H2720)^2</f>
        <v/>
      </c>
      <c r="J2720">
        <f>--(E2720="Validation")</f>
        <v/>
      </c>
    </row>
    <row r="2721">
      <c r="D2721">
        <f>AutoClaim_Data!A2721</f>
        <v/>
      </c>
      <c r="E2721">
        <f>AutoClaim_Data!B2721</f>
        <v/>
      </c>
      <c r="F2721">
        <f>AutoClaim_Data!C2721</f>
        <v/>
      </c>
      <c r="G2721">
        <f>IF(AutoClaim_Data!D2721&lt;=$B$2,AVERAGEIFS(AutoClaim_Data!C2:C3168,AutoClaim_Data!B2:B3168,"Train",AutoClaim_Data!D2:D3168,"&lt;="&amp;$B$2),AVERAGEIFS(AutoClaim_Data!C2:C3168,AutoClaim_Data!B2:B3168,"Train",AutoClaim_Data!D2:D3168,"&gt;"&amp;$B$2))</f>
        <v/>
      </c>
      <c r="H2721">
        <f>IF(AutoClaim_Data!D2721&lt;=$B$2,IF(AutoClaim_Data!E2721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1">
        <f>(F2721-H2721)^2</f>
        <v/>
      </c>
      <c r="J2721">
        <f>--(E2721="Validation")</f>
        <v/>
      </c>
    </row>
    <row r="2722">
      <c r="D2722">
        <f>AutoClaim_Data!A2722</f>
        <v/>
      </c>
      <c r="E2722">
        <f>AutoClaim_Data!B2722</f>
        <v/>
      </c>
      <c r="F2722">
        <f>AutoClaim_Data!C2722</f>
        <v/>
      </c>
      <c r="G2722">
        <f>IF(AutoClaim_Data!D2722&lt;=$B$2,AVERAGEIFS(AutoClaim_Data!C2:C3168,AutoClaim_Data!B2:B3168,"Train",AutoClaim_Data!D2:D3168,"&lt;="&amp;$B$2),AVERAGEIFS(AutoClaim_Data!C2:C3168,AutoClaim_Data!B2:B3168,"Train",AutoClaim_Data!D2:D3168,"&gt;"&amp;$B$2))</f>
        <v/>
      </c>
      <c r="H2722">
        <f>IF(AutoClaim_Data!D2722&lt;=$B$2,IF(AutoClaim_Data!E2722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2">
        <f>(F2722-H2722)^2</f>
        <v/>
      </c>
      <c r="J2722">
        <f>--(E2722="Validation")</f>
        <v/>
      </c>
    </row>
    <row r="2723">
      <c r="D2723">
        <f>AutoClaim_Data!A2723</f>
        <v/>
      </c>
      <c r="E2723">
        <f>AutoClaim_Data!B2723</f>
        <v/>
      </c>
      <c r="F2723">
        <f>AutoClaim_Data!C2723</f>
        <v/>
      </c>
      <c r="G2723">
        <f>IF(AutoClaim_Data!D2723&lt;=$B$2,AVERAGEIFS(AutoClaim_Data!C2:C3168,AutoClaim_Data!B2:B3168,"Train",AutoClaim_Data!D2:D3168,"&lt;="&amp;$B$2),AVERAGEIFS(AutoClaim_Data!C2:C3168,AutoClaim_Data!B2:B3168,"Train",AutoClaim_Data!D2:D3168,"&gt;"&amp;$B$2))</f>
        <v/>
      </c>
      <c r="H2723">
        <f>IF(AutoClaim_Data!D2723&lt;=$B$2,IF(AutoClaim_Data!E2723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3">
        <f>(F2723-H2723)^2</f>
        <v/>
      </c>
      <c r="J2723">
        <f>--(E2723="Validation")</f>
        <v/>
      </c>
    </row>
    <row r="2724">
      <c r="D2724">
        <f>AutoClaim_Data!A2724</f>
        <v/>
      </c>
      <c r="E2724">
        <f>AutoClaim_Data!B2724</f>
        <v/>
      </c>
      <c r="F2724">
        <f>AutoClaim_Data!C2724</f>
        <v/>
      </c>
      <c r="G2724">
        <f>IF(AutoClaim_Data!D2724&lt;=$B$2,AVERAGEIFS(AutoClaim_Data!C2:C3168,AutoClaim_Data!B2:B3168,"Train",AutoClaim_Data!D2:D3168,"&lt;="&amp;$B$2),AVERAGEIFS(AutoClaim_Data!C2:C3168,AutoClaim_Data!B2:B3168,"Train",AutoClaim_Data!D2:D3168,"&gt;"&amp;$B$2))</f>
        <v/>
      </c>
      <c r="H2724">
        <f>IF(AutoClaim_Data!D2724&lt;=$B$2,IF(AutoClaim_Data!E2724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4">
        <f>(F2724-H2724)^2</f>
        <v/>
      </c>
      <c r="J2724">
        <f>--(E2724="Validation")</f>
        <v/>
      </c>
    </row>
    <row r="2725">
      <c r="D2725">
        <f>AutoClaim_Data!A2725</f>
        <v/>
      </c>
      <c r="E2725">
        <f>AutoClaim_Data!B2725</f>
        <v/>
      </c>
      <c r="F2725">
        <f>AutoClaim_Data!C2725</f>
        <v/>
      </c>
      <c r="G2725">
        <f>IF(AutoClaim_Data!D2725&lt;=$B$2,AVERAGEIFS(AutoClaim_Data!C2:C3168,AutoClaim_Data!B2:B3168,"Train",AutoClaim_Data!D2:D3168,"&lt;="&amp;$B$2),AVERAGEIFS(AutoClaim_Data!C2:C3168,AutoClaim_Data!B2:B3168,"Train",AutoClaim_Data!D2:D3168,"&gt;"&amp;$B$2))</f>
        <v/>
      </c>
      <c r="H2725">
        <f>IF(AutoClaim_Data!D2725&lt;=$B$2,IF(AutoClaim_Data!E2725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5">
        <f>(F2725-H2725)^2</f>
        <v/>
      </c>
      <c r="J2725">
        <f>--(E2725="Validation")</f>
        <v/>
      </c>
    </row>
    <row r="2726">
      <c r="D2726">
        <f>AutoClaim_Data!A2726</f>
        <v/>
      </c>
      <c r="E2726">
        <f>AutoClaim_Data!B2726</f>
        <v/>
      </c>
      <c r="F2726">
        <f>AutoClaim_Data!C2726</f>
        <v/>
      </c>
      <c r="G2726">
        <f>IF(AutoClaim_Data!D2726&lt;=$B$2,AVERAGEIFS(AutoClaim_Data!C2:C3168,AutoClaim_Data!B2:B3168,"Train",AutoClaim_Data!D2:D3168,"&lt;="&amp;$B$2),AVERAGEIFS(AutoClaim_Data!C2:C3168,AutoClaim_Data!B2:B3168,"Train",AutoClaim_Data!D2:D3168,"&gt;"&amp;$B$2))</f>
        <v/>
      </c>
      <c r="H2726">
        <f>IF(AutoClaim_Data!D2726&lt;=$B$2,IF(AutoClaim_Data!E2726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6">
        <f>(F2726-H2726)^2</f>
        <v/>
      </c>
      <c r="J2726">
        <f>--(E2726="Validation")</f>
        <v/>
      </c>
    </row>
    <row r="2727">
      <c r="D2727">
        <f>AutoClaim_Data!A2727</f>
        <v/>
      </c>
      <c r="E2727">
        <f>AutoClaim_Data!B2727</f>
        <v/>
      </c>
      <c r="F2727">
        <f>AutoClaim_Data!C2727</f>
        <v/>
      </c>
      <c r="G2727">
        <f>IF(AutoClaim_Data!D2727&lt;=$B$2,AVERAGEIFS(AutoClaim_Data!C2:C3168,AutoClaim_Data!B2:B3168,"Train",AutoClaim_Data!D2:D3168,"&lt;="&amp;$B$2),AVERAGEIFS(AutoClaim_Data!C2:C3168,AutoClaim_Data!B2:B3168,"Train",AutoClaim_Data!D2:D3168,"&gt;"&amp;$B$2))</f>
        <v/>
      </c>
      <c r="H2727">
        <f>IF(AutoClaim_Data!D2727&lt;=$B$2,IF(AutoClaim_Data!E2727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7">
        <f>(F2727-H2727)^2</f>
        <v/>
      </c>
      <c r="J2727">
        <f>--(E2727="Validation")</f>
        <v/>
      </c>
    </row>
    <row r="2728">
      <c r="D2728">
        <f>AutoClaim_Data!A2728</f>
        <v/>
      </c>
      <c r="E2728">
        <f>AutoClaim_Data!B2728</f>
        <v/>
      </c>
      <c r="F2728">
        <f>AutoClaim_Data!C2728</f>
        <v/>
      </c>
      <c r="G2728">
        <f>IF(AutoClaim_Data!D2728&lt;=$B$2,AVERAGEIFS(AutoClaim_Data!C2:C3168,AutoClaim_Data!B2:B3168,"Train",AutoClaim_Data!D2:D3168,"&lt;="&amp;$B$2),AVERAGEIFS(AutoClaim_Data!C2:C3168,AutoClaim_Data!B2:B3168,"Train",AutoClaim_Data!D2:D3168,"&gt;"&amp;$B$2))</f>
        <v/>
      </c>
      <c r="H2728">
        <f>IF(AutoClaim_Data!D2728&lt;=$B$2,IF(AutoClaim_Data!E2728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8">
        <f>(F2728-H2728)^2</f>
        <v/>
      </c>
      <c r="J2728">
        <f>--(E2728="Validation")</f>
        <v/>
      </c>
    </row>
    <row r="2729">
      <c r="D2729">
        <f>AutoClaim_Data!A2729</f>
        <v/>
      </c>
      <c r="E2729">
        <f>AutoClaim_Data!B2729</f>
        <v/>
      </c>
      <c r="F2729">
        <f>AutoClaim_Data!C2729</f>
        <v/>
      </c>
      <c r="G2729">
        <f>IF(AutoClaim_Data!D2729&lt;=$B$2,AVERAGEIFS(AutoClaim_Data!C2:C3168,AutoClaim_Data!B2:B3168,"Train",AutoClaim_Data!D2:D3168,"&lt;="&amp;$B$2),AVERAGEIFS(AutoClaim_Data!C2:C3168,AutoClaim_Data!B2:B3168,"Train",AutoClaim_Data!D2:D3168,"&gt;"&amp;$B$2))</f>
        <v/>
      </c>
      <c r="H2729">
        <f>IF(AutoClaim_Data!D2729&lt;=$B$2,IF(AutoClaim_Data!E2729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29">
        <f>(F2729-H2729)^2</f>
        <v/>
      </c>
      <c r="J2729">
        <f>--(E2729="Validation")</f>
        <v/>
      </c>
    </row>
    <row r="2730">
      <c r="D2730">
        <f>AutoClaim_Data!A2730</f>
        <v/>
      </c>
      <c r="E2730">
        <f>AutoClaim_Data!B2730</f>
        <v/>
      </c>
      <c r="F2730">
        <f>AutoClaim_Data!C2730</f>
        <v/>
      </c>
      <c r="G2730">
        <f>IF(AutoClaim_Data!D2730&lt;=$B$2,AVERAGEIFS(AutoClaim_Data!C2:C3168,AutoClaim_Data!B2:B3168,"Train",AutoClaim_Data!D2:D3168,"&lt;="&amp;$B$2),AVERAGEIFS(AutoClaim_Data!C2:C3168,AutoClaim_Data!B2:B3168,"Train",AutoClaim_Data!D2:D3168,"&gt;"&amp;$B$2))</f>
        <v/>
      </c>
      <c r="H2730">
        <f>IF(AutoClaim_Data!D2730&lt;=$B$2,IF(AutoClaim_Data!E2730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0">
        <f>(F2730-H2730)^2</f>
        <v/>
      </c>
      <c r="J2730">
        <f>--(E2730="Validation")</f>
        <v/>
      </c>
    </row>
    <row r="2731">
      <c r="D2731">
        <f>AutoClaim_Data!A2731</f>
        <v/>
      </c>
      <c r="E2731">
        <f>AutoClaim_Data!B2731</f>
        <v/>
      </c>
      <c r="F2731">
        <f>AutoClaim_Data!C2731</f>
        <v/>
      </c>
      <c r="G2731">
        <f>IF(AutoClaim_Data!D2731&lt;=$B$2,AVERAGEIFS(AutoClaim_Data!C2:C3168,AutoClaim_Data!B2:B3168,"Train",AutoClaim_Data!D2:D3168,"&lt;="&amp;$B$2),AVERAGEIFS(AutoClaim_Data!C2:C3168,AutoClaim_Data!B2:B3168,"Train",AutoClaim_Data!D2:D3168,"&gt;"&amp;$B$2))</f>
        <v/>
      </c>
      <c r="H2731">
        <f>IF(AutoClaim_Data!D2731&lt;=$B$2,IF(AutoClaim_Data!E2731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1">
        <f>(F2731-H2731)^2</f>
        <v/>
      </c>
      <c r="J2731">
        <f>--(E2731="Validation")</f>
        <v/>
      </c>
    </row>
    <row r="2732">
      <c r="D2732">
        <f>AutoClaim_Data!A2732</f>
        <v/>
      </c>
      <c r="E2732">
        <f>AutoClaim_Data!B2732</f>
        <v/>
      </c>
      <c r="F2732">
        <f>AutoClaim_Data!C2732</f>
        <v/>
      </c>
      <c r="G2732">
        <f>IF(AutoClaim_Data!D2732&lt;=$B$2,AVERAGEIFS(AutoClaim_Data!C2:C3168,AutoClaim_Data!B2:B3168,"Train",AutoClaim_Data!D2:D3168,"&lt;="&amp;$B$2),AVERAGEIFS(AutoClaim_Data!C2:C3168,AutoClaim_Data!B2:B3168,"Train",AutoClaim_Data!D2:D3168,"&gt;"&amp;$B$2))</f>
        <v/>
      </c>
      <c r="H2732">
        <f>IF(AutoClaim_Data!D2732&lt;=$B$2,IF(AutoClaim_Data!E2732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2">
        <f>(F2732-H2732)^2</f>
        <v/>
      </c>
      <c r="J2732">
        <f>--(E2732="Validation")</f>
        <v/>
      </c>
    </row>
    <row r="2733">
      <c r="D2733">
        <f>AutoClaim_Data!A2733</f>
        <v/>
      </c>
      <c r="E2733">
        <f>AutoClaim_Data!B2733</f>
        <v/>
      </c>
      <c r="F2733">
        <f>AutoClaim_Data!C2733</f>
        <v/>
      </c>
      <c r="G2733">
        <f>IF(AutoClaim_Data!D2733&lt;=$B$2,AVERAGEIFS(AutoClaim_Data!C2:C3168,AutoClaim_Data!B2:B3168,"Train",AutoClaim_Data!D2:D3168,"&lt;="&amp;$B$2),AVERAGEIFS(AutoClaim_Data!C2:C3168,AutoClaim_Data!B2:B3168,"Train",AutoClaim_Data!D2:D3168,"&gt;"&amp;$B$2))</f>
        <v/>
      </c>
      <c r="H2733">
        <f>IF(AutoClaim_Data!D2733&lt;=$B$2,IF(AutoClaim_Data!E2733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3">
        <f>(F2733-H2733)^2</f>
        <v/>
      </c>
      <c r="J2733">
        <f>--(E2733="Validation")</f>
        <v/>
      </c>
    </row>
    <row r="2734">
      <c r="D2734">
        <f>AutoClaim_Data!A2734</f>
        <v/>
      </c>
      <c r="E2734">
        <f>AutoClaim_Data!B2734</f>
        <v/>
      </c>
      <c r="F2734">
        <f>AutoClaim_Data!C2734</f>
        <v/>
      </c>
      <c r="G2734">
        <f>IF(AutoClaim_Data!D2734&lt;=$B$2,AVERAGEIFS(AutoClaim_Data!C2:C3168,AutoClaim_Data!B2:B3168,"Train",AutoClaim_Data!D2:D3168,"&lt;="&amp;$B$2),AVERAGEIFS(AutoClaim_Data!C2:C3168,AutoClaim_Data!B2:B3168,"Train",AutoClaim_Data!D2:D3168,"&gt;"&amp;$B$2))</f>
        <v/>
      </c>
      <c r="H2734">
        <f>IF(AutoClaim_Data!D2734&lt;=$B$2,IF(AutoClaim_Data!E2734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4">
        <f>(F2734-H2734)^2</f>
        <v/>
      </c>
      <c r="J2734">
        <f>--(E2734="Validation")</f>
        <v/>
      </c>
    </row>
    <row r="2735">
      <c r="D2735">
        <f>AutoClaim_Data!A2735</f>
        <v/>
      </c>
      <c r="E2735">
        <f>AutoClaim_Data!B2735</f>
        <v/>
      </c>
      <c r="F2735">
        <f>AutoClaim_Data!C2735</f>
        <v/>
      </c>
      <c r="G2735">
        <f>IF(AutoClaim_Data!D2735&lt;=$B$2,AVERAGEIFS(AutoClaim_Data!C2:C3168,AutoClaim_Data!B2:B3168,"Train",AutoClaim_Data!D2:D3168,"&lt;="&amp;$B$2),AVERAGEIFS(AutoClaim_Data!C2:C3168,AutoClaim_Data!B2:B3168,"Train",AutoClaim_Data!D2:D3168,"&gt;"&amp;$B$2))</f>
        <v/>
      </c>
      <c r="H2735">
        <f>IF(AutoClaim_Data!D2735&lt;=$B$2,IF(AutoClaim_Data!E2735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5">
        <f>(F2735-H2735)^2</f>
        <v/>
      </c>
      <c r="J2735">
        <f>--(E2735="Validation")</f>
        <v/>
      </c>
    </row>
    <row r="2736">
      <c r="D2736">
        <f>AutoClaim_Data!A2736</f>
        <v/>
      </c>
      <c r="E2736">
        <f>AutoClaim_Data!B2736</f>
        <v/>
      </c>
      <c r="F2736">
        <f>AutoClaim_Data!C2736</f>
        <v/>
      </c>
      <c r="G2736">
        <f>IF(AutoClaim_Data!D2736&lt;=$B$2,AVERAGEIFS(AutoClaim_Data!C2:C3168,AutoClaim_Data!B2:B3168,"Train",AutoClaim_Data!D2:D3168,"&lt;="&amp;$B$2),AVERAGEIFS(AutoClaim_Data!C2:C3168,AutoClaim_Data!B2:B3168,"Train",AutoClaim_Data!D2:D3168,"&gt;"&amp;$B$2))</f>
        <v/>
      </c>
      <c r="H2736">
        <f>IF(AutoClaim_Data!D2736&lt;=$B$2,IF(AutoClaim_Data!E2736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6">
        <f>(F2736-H2736)^2</f>
        <v/>
      </c>
      <c r="J2736">
        <f>--(E2736="Validation")</f>
        <v/>
      </c>
    </row>
    <row r="2737">
      <c r="D2737">
        <f>AutoClaim_Data!A2737</f>
        <v/>
      </c>
      <c r="E2737">
        <f>AutoClaim_Data!B2737</f>
        <v/>
      </c>
      <c r="F2737">
        <f>AutoClaim_Data!C2737</f>
        <v/>
      </c>
      <c r="G2737">
        <f>IF(AutoClaim_Data!D2737&lt;=$B$2,AVERAGEIFS(AutoClaim_Data!C2:C3168,AutoClaim_Data!B2:B3168,"Train",AutoClaim_Data!D2:D3168,"&lt;="&amp;$B$2),AVERAGEIFS(AutoClaim_Data!C2:C3168,AutoClaim_Data!B2:B3168,"Train",AutoClaim_Data!D2:D3168,"&gt;"&amp;$B$2))</f>
        <v/>
      </c>
      <c r="H2737">
        <f>IF(AutoClaim_Data!D2737&lt;=$B$2,IF(AutoClaim_Data!E2737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7">
        <f>(F2737-H2737)^2</f>
        <v/>
      </c>
      <c r="J2737">
        <f>--(E2737="Validation")</f>
        <v/>
      </c>
    </row>
    <row r="2738">
      <c r="D2738">
        <f>AutoClaim_Data!A2738</f>
        <v/>
      </c>
      <c r="E2738">
        <f>AutoClaim_Data!B2738</f>
        <v/>
      </c>
      <c r="F2738">
        <f>AutoClaim_Data!C2738</f>
        <v/>
      </c>
      <c r="G2738">
        <f>IF(AutoClaim_Data!D2738&lt;=$B$2,AVERAGEIFS(AutoClaim_Data!C2:C3168,AutoClaim_Data!B2:B3168,"Train",AutoClaim_Data!D2:D3168,"&lt;="&amp;$B$2),AVERAGEIFS(AutoClaim_Data!C2:C3168,AutoClaim_Data!B2:B3168,"Train",AutoClaim_Data!D2:D3168,"&gt;"&amp;$B$2))</f>
        <v/>
      </c>
      <c r="H2738">
        <f>IF(AutoClaim_Data!D2738&lt;=$B$2,IF(AutoClaim_Data!E2738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8">
        <f>(F2738-H2738)^2</f>
        <v/>
      </c>
      <c r="J2738">
        <f>--(E2738="Validation")</f>
        <v/>
      </c>
    </row>
    <row r="2739">
      <c r="D2739">
        <f>AutoClaim_Data!A2739</f>
        <v/>
      </c>
      <c r="E2739">
        <f>AutoClaim_Data!B2739</f>
        <v/>
      </c>
      <c r="F2739">
        <f>AutoClaim_Data!C2739</f>
        <v/>
      </c>
      <c r="G2739">
        <f>IF(AutoClaim_Data!D2739&lt;=$B$2,AVERAGEIFS(AutoClaim_Data!C2:C3168,AutoClaim_Data!B2:B3168,"Train",AutoClaim_Data!D2:D3168,"&lt;="&amp;$B$2),AVERAGEIFS(AutoClaim_Data!C2:C3168,AutoClaim_Data!B2:B3168,"Train",AutoClaim_Data!D2:D3168,"&gt;"&amp;$B$2))</f>
        <v/>
      </c>
      <c r="H2739">
        <f>IF(AutoClaim_Data!D2739&lt;=$B$2,IF(AutoClaim_Data!E2739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39">
        <f>(F2739-H2739)^2</f>
        <v/>
      </c>
      <c r="J2739">
        <f>--(E2739="Validation")</f>
        <v/>
      </c>
    </row>
    <row r="2740">
      <c r="D2740">
        <f>AutoClaim_Data!A2740</f>
        <v/>
      </c>
      <c r="E2740">
        <f>AutoClaim_Data!B2740</f>
        <v/>
      </c>
      <c r="F2740">
        <f>AutoClaim_Data!C2740</f>
        <v/>
      </c>
      <c r="G2740">
        <f>IF(AutoClaim_Data!D2740&lt;=$B$2,AVERAGEIFS(AutoClaim_Data!C2:C3168,AutoClaim_Data!B2:B3168,"Train",AutoClaim_Data!D2:D3168,"&lt;="&amp;$B$2),AVERAGEIFS(AutoClaim_Data!C2:C3168,AutoClaim_Data!B2:B3168,"Train",AutoClaim_Data!D2:D3168,"&gt;"&amp;$B$2))</f>
        <v/>
      </c>
      <c r="H2740">
        <f>IF(AutoClaim_Data!D2740&lt;=$B$2,IF(AutoClaim_Data!E2740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0">
        <f>(F2740-H2740)^2</f>
        <v/>
      </c>
      <c r="J2740">
        <f>--(E2740="Validation")</f>
        <v/>
      </c>
    </row>
    <row r="2741">
      <c r="D2741">
        <f>AutoClaim_Data!A2741</f>
        <v/>
      </c>
      <c r="E2741">
        <f>AutoClaim_Data!B2741</f>
        <v/>
      </c>
      <c r="F2741">
        <f>AutoClaim_Data!C2741</f>
        <v/>
      </c>
      <c r="G2741">
        <f>IF(AutoClaim_Data!D2741&lt;=$B$2,AVERAGEIFS(AutoClaim_Data!C2:C3168,AutoClaim_Data!B2:B3168,"Train",AutoClaim_Data!D2:D3168,"&lt;="&amp;$B$2),AVERAGEIFS(AutoClaim_Data!C2:C3168,AutoClaim_Data!B2:B3168,"Train",AutoClaim_Data!D2:D3168,"&gt;"&amp;$B$2))</f>
        <v/>
      </c>
      <c r="H2741">
        <f>IF(AutoClaim_Data!D2741&lt;=$B$2,IF(AutoClaim_Data!E2741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1">
        <f>(F2741-H2741)^2</f>
        <v/>
      </c>
      <c r="J2741">
        <f>--(E2741="Validation")</f>
        <v/>
      </c>
    </row>
    <row r="2742">
      <c r="D2742">
        <f>AutoClaim_Data!A2742</f>
        <v/>
      </c>
      <c r="E2742">
        <f>AutoClaim_Data!B2742</f>
        <v/>
      </c>
      <c r="F2742">
        <f>AutoClaim_Data!C2742</f>
        <v/>
      </c>
      <c r="G2742">
        <f>IF(AutoClaim_Data!D2742&lt;=$B$2,AVERAGEIFS(AutoClaim_Data!C2:C3168,AutoClaim_Data!B2:B3168,"Train",AutoClaim_Data!D2:D3168,"&lt;="&amp;$B$2),AVERAGEIFS(AutoClaim_Data!C2:C3168,AutoClaim_Data!B2:B3168,"Train",AutoClaim_Data!D2:D3168,"&gt;"&amp;$B$2))</f>
        <v/>
      </c>
      <c r="H2742">
        <f>IF(AutoClaim_Data!D2742&lt;=$B$2,IF(AutoClaim_Data!E2742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2">
        <f>(F2742-H2742)^2</f>
        <v/>
      </c>
      <c r="J2742">
        <f>--(E2742="Validation")</f>
        <v/>
      </c>
    </row>
    <row r="2743">
      <c r="D2743">
        <f>AutoClaim_Data!A2743</f>
        <v/>
      </c>
      <c r="E2743">
        <f>AutoClaim_Data!B2743</f>
        <v/>
      </c>
      <c r="F2743">
        <f>AutoClaim_Data!C2743</f>
        <v/>
      </c>
      <c r="G2743">
        <f>IF(AutoClaim_Data!D2743&lt;=$B$2,AVERAGEIFS(AutoClaim_Data!C2:C3168,AutoClaim_Data!B2:B3168,"Train",AutoClaim_Data!D2:D3168,"&lt;="&amp;$B$2),AVERAGEIFS(AutoClaim_Data!C2:C3168,AutoClaim_Data!B2:B3168,"Train",AutoClaim_Data!D2:D3168,"&gt;"&amp;$B$2))</f>
        <v/>
      </c>
      <c r="H2743">
        <f>IF(AutoClaim_Data!D2743&lt;=$B$2,IF(AutoClaim_Data!E2743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3">
        <f>(F2743-H2743)^2</f>
        <v/>
      </c>
      <c r="J2743">
        <f>--(E2743="Validation")</f>
        <v/>
      </c>
    </row>
    <row r="2744">
      <c r="D2744">
        <f>AutoClaim_Data!A2744</f>
        <v/>
      </c>
      <c r="E2744">
        <f>AutoClaim_Data!B2744</f>
        <v/>
      </c>
      <c r="F2744">
        <f>AutoClaim_Data!C2744</f>
        <v/>
      </c>
      <c r="G2744">
        <f>IF(AutoClaim_Data!D2744&lt;=$B$2,AVERAGEIFS(AutoClaim_Data!C2:C3168,AutoClaim_Data!B2:B3168,"Train",AutoClaim_Data!D2:D3168,"&lt;="&amp;$B$2),AVERAGEIFS(AutoClaim_Data!C2:C3168,AutoClaim_Data!B2:B3168,"Train",AutoClaim_Data!D2:D3168,"&gt;"&amp;$B$2))</f>
        <v/>
      </c>
      <c r="H2744">
        <f>IF(AutoClaim_Data!D2744&lt;=$B$2,IF(AutoClaim_Data!E2744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4">
        <f>(F2744-H2744)^2</f>
        <v/>
      </c>
      <c r="J2744">
        <f>--(E2744="Validation")</f>
        <v/>
      </c>
    </row>
    <row r="2745">
      <c r="D2745">
        <f>AutoClaim_Data!A2745</f>
        <v/>
      </c>
      <c r="E2745">
        <f>AutoClaim_Data!B2745</f>
        <v/>
      </c>
      <c r="F2745">
        <f>AutoClaim_Data!C2745</f>
        <v/>
      </c>
      <c r="G2745">
        <f>IF(AutoClaim_Data!D2745&lt;=$B$2,AVERAGEIFS(AutoClaim_Data!C2:C3168,AutoClaim_Data!B2:B3168,"Train",AutoClaim_Data!D2:D3168,"&lt;="&amp;$B$2),AVERAGEIFS(AutoClaim_Data!C2:C3168,AutoClaim_Data!B2:B3168,"Train",AutoClaim_Data!D2:D3168,"&gt;"&amp;$B$2))</f>
        <v/>
      </c>
      <c r="H2745">
        <f>IF(AutoClaim_Data!D2745&lt;=$B$2,IF(AutoClaim_Data!E2745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5">
        <f>(F2745-H2745)^2</f>
        <v/>
      </c>
      <c r="J2745">
        <f>--(E2745="Validation")</f>
        <v/>
      </c>
    </row>
    <row r="2746">
      <c r="D2746">
        <f>AutoClaim_Data!A2746</f>
        <v/>
      </c>
      <c r="E2746">
        <f>AutoClaim_Data!B2746</f>
        <v/>
      </c>
      <c r="F2746">
        <f>AutoClaim_Data!C2746</f>
        <v/>
      </c>
      <c r="G2746">
        <f>IF(AutoClaim_Data!D2746&lt;=$B$2,AVERAGEIFS(AutoClaim_Data!C2:C3168,AutoClaim_Data!B2:B3168,"Train",AutoClaim_Data!D2:D3168,"&lt;="&amp;$B$2),AVERAGEIFS(AutoClaim_Data!C2:C3168,AutoClaim_Data!B2:B3168,"Train",AutoClaim_Data!D2:D3168,"&gt;"&amp;$B$2))</f>
        <v/>
      </c>
      <c r="H2746">
        <f>IF(AutoClaim_Data!D2746&lt;=$B$2,IF(AutoClaim_Data!E2746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6">
        <f>(F2746-H2746)^2</f>
        <v/>
      </c>
      <c r="J2746">
        <f>--(E2746="Validation")</f>
        <v/>
      </c>
    </row>
    <row r="2747">
      <c r="D2747">
        <f>AutoClaim_Data!A2747</f>
        <v/>
      </c>
      <c r="E2747">
        <f>AutoClaim_Data!B2747</f>
        <v/>
      </c>
      <c r="F2747">
        <f>AutoClaim_Data!C2747</f>
        <v/>
      </c>
      <c r="G2747">
        <f>IF(AutoClaim_Data!D2747&lt;=$B$2,AVERAGEIFS(AutoClaim_Data!C2:C3168,AutoClaim_Data!B2:B3168,"Train",AutoClaim_Data!D2:D3168,"&lt;="&amp;$B$2),AVERAGEIFS(AutoClaim_Data!C2:C3168,AutoClaim_Data!B2:B3168,"Train",AutoClaim_Data!D2:D3168,"&gt;"&amp;$B$2))</f>
        <v/>
      </c>
      <c r="H2747">
        <f>IF(AutoClaim_Data!D2747&lt;=$B$2,IF(AutoClaim_Data!E2747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7">
        <f>(F2747-H2747)^2</f>
        <v/>
      </c>
      <c r="J2747">
        <f>--(E2747="Validation")</f>
        <v/>
      </c>
    </row>
    <row r="2748">
      <c r="D2748">
        <f>AutoClaim_Data!A2748</f>
        <v/>
      </c>
      <c r="E2748">
        <f>AutoClaim_Data!B2748</f>
        <v/>
      </c>
      <c r="F2748">
        <f>AutoClaim_Data!C2748</f>
        <v/>
      </c>
      <c r="G2748">
        <f>IF(AutoClaim_Data!D2748&lt;=$B$2,AVERAGEIFS(AutoClaim_Data!C2:C3168,AutoClaim_Data!B2:B3168,"Train",AutoClaim_Data!D2:D3168,"&lt;="&amp;$B$2),AVERAGEIFS(AutoClaim_Data!C2:C3168,AutoClaim_Data!B2:B3168,"Train",AutoClaim_Data!D2:D3168,"&gt;"&amp;$B$2))</f>
        <v/>
      </c>
      <c r="H2748">
        <f>IF(AutoClaim_Data!D2748&lt;=$B$2,IF(AutoClaim_Data!E2748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8">
        <f>(F2748-H2748)^2</f>
        <v/>
      </c>
      <c r="J2748">
        <f>--(E2748="Validation")</f>
        <v/>
      </c>
    </row>
    <row r="2749">
      <c r="D2749">
        <f>AutoClaim_Data!A2749</f>
        <v/>
      </c>
      <c r="E2749">
        <f>AutoClaim_Data!B2749</f>
        <v/>
      </c>
      <c r="F2749">
        <f>AutoClaim_Data!C2749</f>
        <v/>
      </c>
      <c r="G2749">
        <f>IF(AutoClaim_Data!D2749&lt;=$B$2,AVERAGEIFS(AutoClaim_Data!C2:C3168,AutoClaim_Data!B2:B3168,"Train",AutoClaim_Data!D2:D3168,"&lt;="&amp;$B$2),AVERAGEIFS(AutoClaim_Data!C2:C3168,AutoClaim_Data!B2:B3168,"Train",AutoClaim_Data!D2:D3168,"&gt;"&amp;$B$2))</f>
        <v/>
      </c>
      <c r="H2749">
        <f>IF(AutoClaim_Data!D2749&lt;=$B$2,IF(AutoClaim_Data!E2749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49">
        <f>(F2749-H2749)^2</f>
        <v/>
      </c>
      <c r="J2749">
        <f>--(E2749="Validation")</f>
        <v/>
      </c>
    </row>
    <row r="2750">
      <c r="D2750">
        <f>AutoClaim_Data!A2750</f>
        <v/>
      </c>
      <c r="E2750">
        <f>AutoClaim_Data!B2750</f>
        <v/>
      </c>
      <c r="F2750">
        <f>AutoClaim_Data!C2750</f>
        <v/>
      </c>
      <c r="G2750">
        <f>IF(AutoClaim_Data!D2750&lt;=$B$2,AVERAGEIFS(AutoClaim_Data!C2:C3168,AutoClaim_Data!B2:B3168,"Train",AutoClaim_Data!D2:D3168,"&lt;="&amp;$B$2),AVERAGEIFS(AutoClaim_Data!C2:C3168,AutoClaim_Data!B2:B3168,"Train",AutoClaim_Data!D2:D3168,"&gt;"&amp;$B$2))</f>
        <v/>
      </c>
      <c r="H2750">
        <f>IF(AutoClaim_Data!D2750&lt;=$B$2,IF(AutoClaim_Data!E2750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0">
        <f>(F2750-H2750)^2</f>
        <v/>
      </c>
      <c r="J2750">
        <f>--(E2750="Validation")</f>
        <v/>
      </c>
    </row>
    <row r="2751">
      <c r="D2751">
        <f>AutoClaim_Data!A2751</f>
        <v/>
      </c>
      <c r="E2751">
        <f>AutoClaim_Data!B2751</f>
        <v/>
      </c>
      <c r="F2751">
        <f>AutoClaim_Data!C2751</f>
        <v/>
      </c>
      <c r="G2751">
        <f>IF(AutoClaim_Data!D2751&lt;=$B$2,AVERAGEIFS(AutoClaim_Data!C2:C3168,AutoClaim_Data!B2:B3168,"Train",AutoClaim_Data!D2:D3168,"&lt;="&amp;$B$2),AVERAGEIFS(AutoClaim_Data!C2:C3168,AutoClaim_Data!B2:B3168,"Train",AutoClaim_Data!D2:D3168,"&gt;"&amp;$B$2))</f>
        <v/>
      </c>
      <c r="H2751">
        <f>IF(AutoClaim_Data!D2751&lt;=$B$2,IF(AutoClaim_Data!E2751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1">
        <f>(F2751-H2751)^2</f>
        <v/>
      </c>
      <c r="J2751">
        <f>--(E2751="Validation")</f>
        <v/>
      </c>
    </row>
    <row r="2752">
      <c r="D2752">
        <f>AutoClaim_Data!A2752</f>
        <v/>
      </c>
      <c r="E2752">
        <f>AutoClaim_Data!B2752</f>
        <v/>
      </c>
      <c r="F2752">
        <f>AutoClaim_Data!C2752</f>
        <v/>
      </c>
      <c r="G2752">
        <f>IF(AutoClaim_Data!D2752&lt;=$B$2,AVERAGEIFS(AutoClaim_Data!C2:C3168,AutoClaim_Data!B2:B3168,"Train",AutoClaim_Data!D2:D3168,"&lt;="&amp;$B$2),AVERAGEIFS(AutoClaim_Data!C2:C3168,AutoClaim_Data!B2:B3168,"Train",AutoClaim_Data!D2:D3168,"&gt;"&amp;$B$2))</f>
        <v/>
      </c>
      <c r="H2752">
        <f>IF(AutoClaim_Data!D2752&lt;=$B$2,IF(AutoClaim_Data!E2752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2">
        <f>(F2752-H2752)^2</f>
        <v/>
      </c>
      <c r="J2752">
        <f>--(E2752="Validation")</f>
        <v/>
      </c>
    </row>
    <row r="2753">
      <c r="D2753">
        <f>AutoClaim_Data!A2753</f>
        <v/>
      </c>
      <c r="E2753">
        <f>AutoClaim_Data!B2753</f>
        <v/>
      </c>
      <c r="F2753">
        <f>AutoClaim_Data!C2753</f>
        <v/>
      </c>
      <c r="G2753">
        <f>IF(AutoClaim_Data!D2753&lt;=$B$2,AVERAGEIFS(AutoClaim_Data!C2:C3168,AutoClaim_Data!B2:B3168,"Train",AutoClaim_Data!D2:D3168,"&lt;="&amp;$B$2),AVERAGEIFS(AutoClaim_Data!C2:C3168,AutoClaim_Data!B2:B3168,"Train",AutoClaim_Data!D2:D3168,"&gt;"&amp;$B$2))</f>
        <v/>
      </c>
      <c r="H2753">
        <f>IF(AutoClaim_Data!D2753&lt;=$B$2,IF(AutoClaim_Data!E2753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3">
        <f>(F2753-H2753)^2</f>
        <v/>
      </c>
      <c r="J2753">
        <f>--(E2753="Validation")</f>
        <v/>
      </c>
    </row>
    <row r="2754">
      <c r="D2754">
        <f>AutoClaim_Data!A2754</f>
        <v/>
      </c>
      <c r="E2754">
        <f>AutoClaim_Data!B2754</f>
        <v/>
      </c>
      <c r="F2754">
        <f>AutoClaim_Data!C2754</f>
        <v/>
      </c>
      <c r="G2754">
        <f>IF(AutoClaim_Data!D2754&lt;=$B$2,AVERAGEIFS(AutoClaim_Data!C2:C3168,AutoClaim_Data!B2:B3168,"Train",AutoClaim_Data!D2:D3168,"&lt;="&amp;$B$2),AVERAGEIFS(AutoClaim_Data!C2:C3168,AutoClaim_Data!B2:B3168,"Train",AutoClaim_Data!D2:D3168,"&gt;"&amp;$B$2))</f>
        <v/>
      </c>
      <c r="H2754">
        <f>IF(AutoClaim_Data!D2754&lt;=$B$2,IF(AutoClaim_Data!E2754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4">
        <f>(F2754-H2754)^2</f>
        <v/>
      </c>
      <c r="J2754">
        <f>--(E2754="Validation")</f>
        <v/>
      </c>
    </row>
    <row r="2755">
      <c r="D2755">
        <f>AutoClaim_Data!A2755</f>
        <v/>
      </c>
      <c r="E2755">
        <f>AutoClaim_Data!B2755</f>
        <v/>
      </c>
      <c r="F2755">
        <f>AutoClaim_Data!C2755</f>
        <v/>
      </c>
      <c r="G2755">
        <f>IF(AutoClaim_Data!D2755&lt;=$B$2,AVERAGEIFS(AutoClaim_Data!C2:C3168,AutoClaim_Data!B2:B3168,"Train",AutoClaim_Data!D2:D3168,"&lt;="&amp;$B$2),AVERAGEIFS(AutoClaim_Data!C2:C3168,AutoClaim_Data!B2:B3168,"Train",AutoClaim_Data!D2:D3168,"&gt;"&amp;$B$2))</f>
        <v/>
      </c>
      <c r="H2755">
        <f>IF(AutoClaim_Data!D2755&lt;=$B$2,IF(AutoClaim_Data!E2755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5">
        <f>(F2755-H2755)^2</f>
        <v/>
      </c>
      <c r="J2755">
        <f>--(E2755="Validation")</f>
        <v/>
      </c>
    </row>
    <row r="2756">
      <c r="D2756">
        <f>AutoClaim_Data!A2756</f>
        <v/>
      </c>
      <c r="E2756">
        <f>AutoClaim_Data!B2756</f>
        <v/>
      </c>
      <c r="F2756">
        <f>AutoClaim_Data!C2756</f>
        <v/>
      </c>
      <c r="G2756">
        <f>IF(AutoClaim_Data!D2756&lt;=$B$2,AVERAGEIFS(AutoClaim_Data!C2:C3168,AutoClaim_Data!B2:B3168,"Train",AutoClaim_Data!D2:D3168,"&lt;="&amp;$B$2),AVERAGEIFS(AutoClaim_Data!C2:C3168,AutoClaim_Data!B2:B3168,"Train",AutoClaim_Data!D2:D3168,"&gt;"&amp;$B$2))</f>
        <v/>
      </c>
      <c r="H2756">
        <f>IF(AutoClaim_Data!D2756&lt;=$B$2,IF(AutoClaim_Data!E2756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6">
        <f>(F2756-H2756)^2</f>
        <v/>
      </c>
      <c r="J2756">
        <f>--(E2756="Validation")</f>
        <v/>
      </c>
    </row>
    <row r="2757">
      <c r="D2757">
        <f>AutoClaim_Data!A2757</f>
        <v/>
      </c>
      <c r="E2757">
        <f>AutoClaim_Data!B2757</f>
        <v/>
      </c>
      <c r="F2757">
        <f>AutoClaim_Data!C2757</f>
        <v/>
      </c>
      <c r="G2757">
        <f>IF(AutoClaim_Data!D2757&lt;=$B$2,AVERAGEIFS(AutoClaim_Data!C2:C3168,AutoClaim_Data!B2:B3168,"Train",AutoClaim_Data!D2:D3168,"&lt;="&amp;$B$2),AVERAGEIFS(AutoClaim_Data!C2:C3168,AutoClaim_Data!B2:B3168,"Train",AutoClaim_Data!D2:D3168,"&gt;"&amp;$B$2))</f>
        <v/>
      </c>
      <c r="H2757">
        <f>IF(AutoClaim_Data!D2757&lt;=$B$2,IF(AutoClaim_Data!E2757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7">
        <f>(F2757-H2757)^2</f>
        <v/>
      </c>
      <c r="J2757">
        <f>--(E2757="Validation")</f>
        <v/>
      </c>
    </row>
    <row r="2758">
      <c r="D2758">
        <f>AutoClaim_Data!A2758</f>
        <v/>
      </c>
      <c r="E2758">
        <f>AutoClaim_Data!B2758</f>
        <v/>
      </c>
      <c r="F2758">
        <f>AutoClaim_Data!C2758</f>
        <v/>
      </c>
      <c r="G2758">
        <f>IF(AutoClaim_Data!D2758&lt;=$B$2,AVERAGEIFS(AutoClaim_Data!C2:C3168,AutoClaim_Data!B2:B3168,"Train",AutoClaim_Data!D2:D3168,"&lt;="&amp;$B$2),AVERAGEIFS(AutoClaim_Data!C2:C3168,AutoClaim_Data!B2:B3168,"Train",AutoClaim_Data!D2:D3168,"&gt;"&amp;$B$2))</f>
        <v/>
      </c>
      <c r="H2758">
        <f>IF(AutoClaim_Data!D2758&lt;=$B$2,IF(AutoClaim_Data!E2758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8">
        <f>(F2758-H2758)^2</f>
        <v/>
      </c>
      <c r="J2758">
        <f>--(E2758="Validation")</f>
        <v/>
      </c>
    </row>
    <row r="2759">
      <c r="D2759">
        <f>AutoClaim_Data!A2759</f>
        <v/>
      </c>
      <c r="E2759">
        <f>AutoClaim_Data!B2759</f>
        <v/>
      </c>
      <c r="F2759">
        <f>AutoClaim_Data!C2759</f>
        <v/>
      </c>
      <c r="G2759">
        <f>IF(AutoClaim_Data!D2759&lt;=$B$2,AVERAGEIFS(AutoClaim_Data!C2:C3168,AutoClaim_Data!B2:B3168,"Train",AutoClaim_Data!D2:D3168,"&lt;="&amp;$B$2),AVERAGEIFS(AutoClaim_Data!C2:C3168,AutoClaim_Data!B2:B3168,"Train",AutoClaim_Data!D2:D3168,"&gt;"&amp;$B$2))</f>
        <v/>
      </c>
      <c r="H2759">
        <f>IF(AutoClaim_Data!D2759&lt;=$B$2,IF(AutoClaim_Data!E2759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59">
        <f>(F2759-H2759)^2</f>
        <v/>
      </c>
      <c r="J2759">
        <f>--(E2759="Validation")</f>
        <v/>
      </c>
    </row>
    <row r="2760">
      <c r="D2760">
        <f>AutoClaim_Data!A2760</f>
        <v/>
      </c>
      <c r="E2760">
        <f>AutoClaim_Data!B2760</f>
        <v/>
      </c>
      <c r="F2760">
        <f>AutoClaim_Data!C2760</f>
        <v/>
      </c>
      <c r="G2760">
        <f>IF(AutoClaim_Data!D2760&lt;=$B$2,AVERAGEIFS(AutoClaim_Data!C2:C3168,AutoClaim_Data!B2:B3168,"Train",AutoClaim_Data!D2:D3168,"&lt;="&amp;$B$2),AVERAGEIFS(AutoClaim_Data!C2:C3168,AutoClaim_Data!B2:B3168,"Train",AutoClaim_Data!D2:D3168,"&gt;"&amp;$B$2))</f>
        <v/>
      </c>
      <c r="H2760">
        <f>IF(AutoClaim_Data!D2760&lt;=$B$2,IF(AutoClaim_Data!E2760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0">
        <f>(F2760-H2760)^2</f>
        <v/>
      </c>
      <c r="J2760">
        <f>--(E2760="Validation")</f>
        <v/>
      </c>
    </row>
    <row r="2761">
      <c r="D2761">
        <f>AutoClaim_Data!A2761</f>
        <v/>
      </c>
      <c r="E2761">
        <f>AutoClaim_Data!B2761</f>
        <v/>
      </c>
      <c r="F2761">
        <f>AutoClaim_Data!C2761</f>
        <v/>
      </c>
      <c r="G2761">
        <f>IF(AutoClaim_Data!D2761&lt;=$B$2,AVERAGEIFS(AutoClaim_Data!C2:C3168,AutoClaim_Data!B2:B3168,"Train",AutoClaim_Data!D2:D3168,"&lt;="&amp;$B$2),AVERAGEIFS(AutoClaim_Data!C2:C3168,AutoClaim_Data!B2:B3168,"Train",AutoClaim_Data!D2:D3168,"&gt;"&amp;$B$2))</f>
        <v/>
      </c>
      <c r="H2761">
        <f>IF(AutoClaim_Data!D2761&lt;=$B$2,IF(AutoClaim_Data!E2761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1">
        <f>(F2761-H2761)^2</f>
        <v/>
      </c>
      <c r="J2761">
        <f>--(E2761="Validation")</f>
        <v/>
      </c>
    </row>
    <row r="2762">
      <c r="D2762">
        <f>AutoClaim_Data!A2762</f>
        <v/>
      </c>
      <c r="E2762">
        <f>AutoClaim_Data!B2762</f>
        <v/>
      </c>
      <c r="F2762">
        <f>AutoClaim_Data!C2762</f>
        <v/>
      </c>
      <c r="G2762">
        <f>IF(AutoClaim_Data!D2762&lt;=$B$2,AVERAGEIFS(AutoClaim_Data!C2:C3168,AutoClaim_Data!B2:B3168,"Train",AutoClaim_Data!D2:D3168,"&lt;="&amp;$B$2),AVERAGEIFS(AutoClaim_Data!C2:C3168,AutoClaim_Data!B2:B3168,"Train",AutoClaim_Data!D2:D3168,"&gt;"&amp;$B$2))</f>
        <v/>
      </c>
      <c r="H2762">
        <f>IF(AutoClaim_Data!D2762&lt;=$B$2,IF(AutoClaim_Data!E2762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2">
        <f>(F2762-H2762)^2</f>
        <v/>
      </c>
      <c r="J2762">
        <f>--(E2762="Validation")</f>
        <v/>
      </c>
    </row>
    <row r="2763">
      <c r="D2763">
        <f>AutoClaim_Data!A2763</f>
        <v/>
      </c>
      <c r="E2763">
        <f>AutoClaim_Data!B2763</f>
        <v/>
      </c>
      <c r="F2763">
        <f>AutoClaim_Data!C2763</f>
        <v/>
      </c>
      <c r="G2763">
        <f>IF(AutoClaim_Data!D2763&lt;=$B$2,AVERAGEIFS(AutoClaim_Data!C2:C3168,AutoClaim_Data!B2:B3168,"Train",AutoClaim_Data!D2:D3168,"&lt;="&amp;$B$2),AVERAGEIFS(AutoClaim_Data!C2:C3168,AutoClaim_Data!B2:B3168,"Train",AutoClaim_Data!D2:D3168,"&gt;"&amp;$B$2))</f>
        <v/>
      </c>
      <c r="H2763">
        <f>IF(AutoClaim_Data!D2763&lt;=$B$2,IF(AutoClaim_Data!E2763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3">
        <f>(F2763-H2763)^2</f>
        <v/>
      </c>
      <c r="J2763">
        <f>--(E2763="Validation")</f>
        <v/>
      </c>
    </row>
    <row r="2764">
      <c r="D2764">
        <f>AutoClaim_Data!A2764</f>
        <v/>
      </c>
      <c r="E2764">
        <f>AutoClaim_Data!B2764</f>
        <v/>
      </c>
      <c r="F2764">
        <f>AutoClaim_Data!C2764</f>
        <v/>
      </c>
      <c r="G2764">
        <f>IF(AutoClaim_Data!D2764&lt;=$B$2,AVERAGEIFS(AutoClaim_Data!C2:C3168,AutoClaim_Data!B2:B3168,"Train",AutoClaim_Data!D2:D3168,"&lt;="&amp;$B$2),AVERAGEIFS(AutoClaim_Data!C2:C3168,AutoClaim_Data!B2:B3168,"Train",AutoClaim_Data!D2:D3168,"&gt;"&amp;$B$2))</f>
        <v/>
      </c>
      <c r="H2764">
        <f>IF(AutoClaim_Data!D2764&lt;=$B$2,IF(AutoClaim_Data!E2764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4">
        <f>(F2764-H2764)^2</f>
        <v/>
      </c>
      <c r="J2764">
        <f>--(E2764="Validation")</f>
        <v/>
      </c>
    </row>
    <row r="2765">
      <c r="D2765">
        <f>AutoClaim_Data!A2765</f>
        <v/>
      </c>
      <c r="E2765">
        <f>AutoClaim_Data!B2765</f>
        <v/>
      </c>
      <c r="F2765">
        <f>AutoClaim_Data!C2765</f>
        <v/>
      </c>
      <c r="G2765">
        <f>IF(AutoClaim_Data!D2765&lt;=$B$2,AVERAGEIFS(AutoClaim_Data!C2:C3168,AutoClaim_Data!B2:B3168,"Train",AutoClaim_Data!D2:D3168,"&lt;="&amp;$B$2),AVERAGEIFS(AutoClaim_Data!C2:C3168,AutoClaim_Data!B2:B3168,"Train",AutoClaim_Data!D2:D3168,"&gt;"&amp;$B$2))</f>
        <v/>
      </c>
      <c r="H2765">
        <f>IF(AutoClaim_Data!D2765&lt;=$B$2,IF(AutoClaim_Data!E2765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5">
        <f>(F2765-H2765)^2</f>
        <v/>
      </c>
      <c r="J2765">
        <f>--(E2765="Validation")</f>
        <v/>
      </c>
    </row>
    <row r="2766">
      <c r="D2766">
        <f>AutoClaim_Data!A2766</f>
        <v/>
      </c>
      <c r="E2766">
        <f>AutoClaim_Data!B2766</f>
        <v/>
      </c>
      <c r="F2766">
        <f>AutoClaim_Data!C2766</f>
        <v/>
      </c>
      <c r="G2766">
        <f>IF(AutoClaim_Data!D2766&lt;=$B$2,AVERAGEIFS(AutoClaim_Data!C2:C3168,AutoClaim_Data!B2:B3168,"Train",AutoClaim_Data!D2:D3168,"&lt;="&amp;$B$2),AVERAGEIFS(AutoClaim_Data!C2:C3168,AutoClaim_Data!B2:B3168,"Train",AutoClaim_Data!D2:D3168,"&gt;"&amp;$B$2))</f>
        <v/>
      </c>
      <c r="H2766">
        <f>IF(AutoClaim_Data!D2766&lt;=$B$2,IF(AutoClaim_Data!E2766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6">
        <f>(F2766-H2766)^2</f>
        <v/>
      </c>
      <c r="J2766">
        <f>--(E2766="Validation")</f>
        <v/>
      </c>
    </row>
    <row r="2767">
      <c r="D2767">
        <f>AutoClaim_Data!A2767</f>
        <v/>
      </c>
      <c r="E2767">
        <f>AutoClaim_Data!B2767</f>
        <v/>
      </c>
      <c r="F2767">
        <f>AutoClaim_Data!C2767</f>
        <v/>
      </c>
      <c r="G2767">
        <f>IF(AutoClaim_Data!D2767&lt;=$B$2,AVERAGEIFS(AutoClaim_Data!C2:C3168,AutoClaim_Data!B2:B3168,"Train",AutoClaim_Data!D2:D3168,"&lt;="&amp;$B$2),AVERAGEIFS(AutoClaim_Data!C2:C3168,AutoClaim_Data!B2:B3168,"Train",AutoClaim_Data!D2:D3168,"&gt;"&amp;$B$2))</f>
        <v/>
      </c>
      <c r="H2767">
        <f>IF(AutoClaim_Data!D2767&lt;=$B$2,IF(AutoClaim_Data!E2767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7">
        <f>(F2767-H2767)^2</f>
        <v/>
      </c>
      <c r="J2767">
        <f>--(E2767="Validation")</f>
        <v/>
      </c>
    </row>
    <row r="2768">
      <c r="D2768">
        <f>AutoClaim_Data!A2768</f>
        <v/>
      </c>
      <c r="E2768">
        <f>AutoClaim_Data!B2768</f>
        <v/>
      </c>
      <c r="F2768">
        <f>AutoClaim_Data!C2768</f>
        <v/>
      </c>
      <c r="G2768">
        <f>IF(AutoClaim_Data!D2768&lt;=$B$2,AVERAGEIFS(AutoClaim_Data!C2:C3168,AutoClaim_Data!B2:B3168,"Train",AutoClaim_Data!D2:D3168,"&lt;="&amp;$B$2),AVERAGEIFS(AutoClaim_Data!C2:C3168,AutoClaim_Data!B2:B3168,"Train",AutoClaim_Data!D2:D3168,"&gt;"&amp;$B$2))</f>
        <v/>
      </c>
      <c r="H2768">
        <f>IF(AutoClaim_Data!D2768&lt;=$B$2,IF(AutoClaim_Data!E2768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8">
        <f>(F2768-H2768)^2</f>
        <v/>
      </c>
      <c r="J2768">
        <f>--(E2768="Validation")</f>
        <v/>
      </c>
    </row>
    <row r="2769">
      <c r="D2769">
        <f>AutoClaim_Data!A2769</f>
        <v/>
      </c>
      <c r="E2769">
        <f>AutoClaim_Data!B2769</f>
        <v/>
      </c>
      <c r="F2769">
        <f>AutoClaim_Data!C2769</f>
        <v/>
      </c>
      <c r="G2769">
        <f>IF(AutoClaim_Data!D2769&lt;=$B$2,AVERAGEIFS(AutoClaim_Data!C2:C3168,AutoClaim_Data!B2:B3168,"Train",AutoClaim_Data!D2:D3168,"&lt;="&amp;$B$2),AVERAGEIFS(AutoClaim_Data!C2:C3168,AutoClaim_Data!B2:B3168,"Train",AutoClaim_Data!D2:D3168,"&gt;"&amp;$B$2))</f>
        <v/>
      </c>
      <c r="H2769">
        <f>IF(AutoClaim_Data!D2769&lt;=$B$2,IF(AutoClaim_Data!E2769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69">
        <f>(F2769-H2769)^2</f>
        <v/>
      </c>
      <c r="J2769">
        <f>--(E2769="Validation")</f>
        <v/>
      </c>
    </row>
    <row r="2770">
      <c r="D2770">
        <f>AutoClaim_Data!A2770</f>
        <v/>
      </c>
      <c r="E2770">
        <f>AutoClaim_Data!B2770</f>
        <v/>
      </c>
      <c r="F2770">
        <f>AutoClaim_Data!C2770</f>
        <v/>
      </c>
      <c r="G2770">
        <f>IF(AutoClaim_Data!D2770&lt;=$B$2,AVERAGEIFS(AutoClaim_Data!C2:C3168,AutoClaim_Data!B2:B3168,"Train",AutoClaim_Data!D2:D3168,"&lt;="&amp;$B$2),AVERAGEIFS(AutoClaim_Data!C2:C3168,AutoClaim_Data!B2:B3168,"Train",AutoClaim_Data!D2:D3168,"&gt;"&amp;$B$2))</f>
        <v/>
      </c>
      <c r="H2770">
        <f>IF(AutoClaim_Data!D2770&lt;=$B$2,IF(AutoClaim_Data!E2770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0">
        <f>(F2770-H2770)^2</f>
        <v/>
      </c>
      <c r="J2770">
        <f>--(E2770="Validation")</f>
        <v/>
      </c>
    </row>
    <row r="2771">
      <c r="D2771">
        <f>AutoClaim_Data!A2771</f>
        <v/>
      </c>
      <c r="E2771">
        <f>AutoClaim_Data!B2771</f>
        <v/>
      </c>
      <c r="F2771">
        <f>AutoClaim_Data!C2771</f>
        <v/>
      </c>
      <c r="G2771">
        <f>IF(AutoClaim_Data!D2771&lt;=$B$2,AVERAGEIFS(AutoClaim_Data!C2:C3168,AutoClaim_Data!B2:B3168,"Train",AutoClaim_Data!D2:D3168,"&lt;="&amp;$B$2),AVERAGEIFS(AutoClaim_Data!C2:C3168,AutoClaim_Data!B2:B3168,"Train",AutoClaim_Data!D2:D3168,"&gt;"&amp;$B$2))</f>
        <v/>
      </c>
      <c r="H2771">
        <f>IF(AutoClaim_Data!D2771&lt;=$B$2,IF(AutoClaim_Data!E2771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1">
        <f>(F2771-H2771)^2</f>
        <v/>
      </c>
      <c r="J2771">
        <f>--(E2771="Validation")</f>
        <v/>
      </c>
    </row>
    <row r="2772">
      <c r="D2772">
        <f>AutoClaim_Data!A2772</f>
        <v/>
      </c>
      <c r="E2772">
        <f>AutoClaim_Data!B2772</f>
        <v/>
      </c>
      <c r="F2772">
        <f>AutoClaim_Data!C2772</f>
        <v/>
      </c>
      <c r="G2772">
        <f>IF(AutoClaim_Data!D2772&lt;=$B$2,AVERAGEIFS(AutoClaim_Data!C2:C3168,AutoClaim_Data!B2:B3168,"Train",AutoClaim_Data!D2:D3168,"&lt;="&amp;$B$2),AVERAGEIFS(AutoClaim_Data!C2:C3168,AutoClaim_Data!B2:B3168,"Train",AutoClaim_Data!D2:D3168,"&gt;"&amp;$B$2))</f>
        <v/>
      </c>
      <c r="H2772">
        <f>IF(AutoClaim_Data!D2772&lt;=$B$2,IF(AutoClaim_Data!E2772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2">
        <f>(F2772-H2772)^2</f>
        <v/>
      </c>
      <c r="J2772">
        <f>--(E2772="Validation")</f>
        <v/>
      </c>
    </row>
    <row r="2773">
      <c r="D2773">
        <f>AutoClaim_Data!A2773</f>
        <v/>
      </c>
      <c r="E2773">
        <f>AutoClaim_Data!B2773</f>
        <v/>
      </c>
      <c r="F2773">
        <f>AutoClaim_Data!C2773</f>
        <v/>
      </c>
      <c r="G2773">
        <f>IF(AutoClaim_Data!D2773&lt;=$B$2,AVERAGEIFS(AutoClaim_Data!C2:C3168,AutoClaim_Data!B2:B3168,"Train",AutoClaim_Data!D2:D3168,"&lt;="&amp;$B$2),AVERAGEIFS(AutoClaim_Data!C2:C3168,AutoClaim_Data!B2:B3168,"Train",AutoClaim_Data!D2:D3168,"&gt;"&amp;$B$2))</f>
        <v/>
      </c>
      <c r="H2773">
        <f>IF(AutoClaim_Data!D2773&lt;=$B$2,IF(AutoClaim_Data!E2773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3">
        <f>(F2773-H2773)^2</f>
        <v/>
      </c>
      <c r="J2773">
        <f>--(E2773="Validation")</f>
        <v/>
      </c>
    </row>
    <row r="2774">
      <c r="D2774">
        <f>AutoClaim_Data!A2774</f>
        <v/>
      </c>
      <c r="E2774">
        <f>AutoClaim_Data!B2774</f>
        <v/>
      </c>
      <c r="F2774">
        <f>AutoClaim_Data!C2774</f>
        <v/>
      </c>
      <c r="G2774">
        <f>IF(AutoClaim_Data!D2774&lt;=$B$2,AVERAGEIFS(AutoClaim_Data!C2:C3168,AutoClaim_Data!B2:B3168,"Train",AutoClaim_Data!D2:D3168,"&lt;="&amp;$B$2),AVERAGEIFS(AutoClaim_Data!C2:C3168,AutoClaim_Data!B2:B3168,"Train",AutoClaim_Data!D2:D3168,"&gt;"&amp;$B$2))</f>
        <v/>
      </c>
      <c r="H2774">
        <f>IF(AutoClaim_Data!D2774&lt;=$B$2,IF(AutoClaim_Data!E2774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4">
        <f>(F2774-H2774)^2</f>
        <v/>
      </c>
      <c r="J2774">
        <f>--(E2774="Validation")</f>
        <v/>
      </c>
    </row>
    <row r="2775">
      <c r="D2775">
        <f>AutoClaim_Data!A2775</f>
        <v/>
      </c>
      <c r="E2775">
        <f>AutoClaim_Data!B2775</f>
        <v/>
      </c>
      <c r="F2775">
        <f>AutoClaim_Data!C2775</f>
        <v/>
      </c>
      <c r="G2775">
        <f>IF(AutoClaim_Data!D2775&lt;=$B$2,AVERAGEIFS(AutoClaim_Data!C2:C3168,AutoClaim_Data!B2:B3168,"Train",AutoClaim_Data!D2:D3168,"&lt;="&amp;$B$2),AVERAGEIFS(AutoClaim_Data!C2:C3168,AutoClaim_Data!B2:B3168,"Train",AutoClaim_Data!D2:D3168,"&gt;"&amp;$B$2))</f>
        <v/>
      </c>
      <c r="H2775">
        <f>IF(AutoClaim_Data!D2775&lt;=$B$2,IF(AutoClaim_Data!E2775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5">
        <f>(F2775-H2775)^2</f>
        <v/>
      </c>
      <c r="J2775">
        <f>--(E2775="Validation")</f>
        <v/>
      </c>
    </row>
    <row r="2776">
      <c r="D2776">
        <f>AutoClaim_Data!A2776</f>
        <v/>
      </c>
      <c r="E2776">
        <f>AutoClaim_Data!B2776</f>
        <v/>
      </c>
      <c r="F2776">
        <f>AutoClaim_Data!C2776</f>
        <v/>
      </c>
      <c r="G2776">
        <f>IF(AutoClaim_Data!D2776&lt;=$B$2,AVERAGEIFS(AutoClaim_Data!C2:C3168,AutoClaim_Data!B2:B3168,"Train",AutoClaim_Data!D2:D3168,"&lt;="&amp;$B$2),AVERAGEIFS(AutoClaim_Data!C2:C3168,AutoClaim_Data!B2:B3168,"Train",AutoClaim_Data!D2:D3168,"&gt;"&amp;$B$2))</f>
        <v/>
      </c>
      <c r="H2776">
        <f>IF(AutoClaim_Data!D2776&lt;=$B$2,IF(AutoClaim_Data!E2776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6">
        <f>(F2776-H2776)^2</f>
        <v/>
      </c>
      <c r="J2776">
        <f>--(E2776="Validation")</f>
        <v/>
      </c>
    </row>
    <row r="2777">
      <c r="D2777">
        <f>AutoClaim_Data!A2777</f>
        <v/>
      </c>
      <c r="E2777">
        <f>AutoClaim_Data!B2777</f>
        <v/>
      </c>
      <c r="F2777">
        <f>AutoClaim_Data!C2777</f>
        <v/>
      </c>
      <c r="G2777">
        <f>IF(AutoClaim_Data!D2777&lt;=$B$2,AVERAGEIFS(AutoClaim_Data!C2:C3168,AutoClaim_Data!B2:B3168,"Train",AutoClaim_Data!D2:D3168,"&lt;="&amp;$B$2),AVERAGEIFS(AutoClaim_Data!C2:C3168,AutoClaim_Data!B2:B3168,"Train",AutoClaim_Data!D2:D3168,"&gt;"&amp;$B$2))</f>
        <v/>
      </c>
      <c r="H2777">
        <f>IF(AutoClaim_Data!D2777&lt;=$B$2,IF(AutoClaim_Data!E2777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7">
        <f>(F2777-H2777)^2</f>
        <v/>
      </c>
      <c r="J2777">
        <f>--(E2777="Validation")</f>
        <v/>
      </c>
    </row>
    <row r="2778">
      <c r="D2778">
        <f>AutoClaim_Data!A2778</f>
        <v/>
      </c>
      <c r="E2778">
        <f>AutoClaim_Data!B2778</f>
        <v/>
      </c>
      <c r="F2778">
        <f>AutoClaim_Data!C2778</f>
        <v/>
      </c>
      <c r="G2778">
        <f>IF(AutoClaim_Data!D2778&lt;=$B$2,AVERAGEIFS(AutoClaim_Data!C2:C3168,AutoClaim_Data!B2:B3168,"Train",AutoClaim_Data!D2:D3168,"&lt;="&amp;$B$2),AVERAGEIFS(AutoClaim_Data!C2:C3168,AutoClaim_Data!B2:B3168,"Train",AutoClaim_Data!D2:D3168,"&gt;"&amp;$B$2))</f>
        <v/>
      </c>
      <c r="H2778">
        <f>IF(AutoClaim_Data!D2778&lt;=$B$2,IF(AutoClaim_Data!E2778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8">
        <f>(F2778-H2778)^2</f>
        <v/>
      </c>
      <c r="J2778">
        <f>--(E2778="Validation")</f>
        <v/>
      </c>
    </row>
    <row r="2779">
      <c r="D2779">
        <f>AutoClaim_Data!A2779</f>
        <v/>
      </c>
      <c r="E2779">
        <f>AutoClaim_Data!B2779</f>
        <v/>
      </c>
      <c r="F2779">
        <f>AutoClaim_Data!C2779</f>
        <v/>
      </c>
      <c r="G2779">
        <f>IF(AutoClaim_Data!D2779&lt;=$B$2,AVERAGEIFS(AutoClaim_Data!C2:C3168,AutoClaim_Data!B2:B3168,"Train",AutoClaim_Data!D2:D3168,"&lt;="&amp;$B$2),AVERAGEIFS(AutoClaim_Data!C2:C3168,AutoClaim_Data!B2:B3168,"Train",AutoClaim_Data!D2:D3168,"&gt;"&amp;$B$2))</f>
        <v/>
      </c>
      <c r="H2779">
        <f>IF(AutoClaim_Data!D2779&lt;=$B$2,IF(AutoClaim_Data!E2779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79">
        <f>(F2779-H2779)^2</f>
        <v/>
      </c>
      <c r="J2779">
        <f>--(E2779="Validation")</f>
        <v/>
      </c>
    </row>
    <row r="2780">
      <c r="D2780">
        <f>AutoClaim_Data!A2780</f>
        <v/>
      </c>
      <c r="E2780">
        <f>AutoClaim_Data!B2780</f>
        <v/>
      </c>
      <c r="F2780">
        <f>AutoClaim_Data!C2780</f>
        <v/>
      </c>
      <c r="G2780">
        <f>IF(AutoClaim_Data!D2780&lt;=$B$2,AVERAGEIFS(AutoClaim_Data!C2:C3168,AutoClaim_Data!B2:B3168,"Train",AutoClaim_Data!D2:D3168,"&lt;="&amp;$B$2),AVERAGEIFS(AutoClaim_Data!C2:C3168,AutoClaim_Data!B2:B3168,"Train",AutoClaim_Data!D2:D3168,"&gt;"&amp;$B$2))</f>
        <v/>
      </c>
      <c r="H2780">
        <f>IF(AutoClaim_Data!D2780&lt;=$B$2,IF(AutoClaim_Data!E2780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0">
        <f>(F2780-H2780)^2</f>
        <v/>
      </c>
      <c r="J2780">
        <f>--(E2780="Validation")</f>
        <v/>
      </c>
    </row>
    <row r="2781">
      <c r="D2781">
        <f>AutoClaim_Data!A2781</f>
        <v/>
      </c>
      <c r="E2781">
        <f>AutoClaim_Data!B2781</f>
        <v/>
      </c>
      <c r="F2781">
        <f>AutoClaim_Data!C2781</f>
        <v/>
      </c>
      <c r="G2781">
        <f>IF(AutoClaim_Data!D2781&lt;=$B$2,AVERAGEIFS(AutoClaim_Data!C2:C3168,AutoClaim_Data!B2:B3168,"Train",AutoClaim_Data!D2:D3168,"&lt;="&amp;$B$2),AVERAGEIFS(AutoClaim_Data!C2:C3168,AutoClaim_Data!B2:B3168,"Train",AutoClaim_Data!D2:D3168,"&gt;"&amp;$B$2))</f>
        <v/>
      </c>
      <c r="H2781">
        <f>IF(AutoClaim_Data!D2781&lt;=$B$2,IF(AutoClaim_Data!E2781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1">
        <f>(F2781-H2781)^2</f>
        <v/>
      </c>
      <c r="J2781">
        <f>--(E2781="Validation")</f>
        <v/>
      </c>
    </row>
    <row r="2782">
      <c r="D2782">
        <f>AutoClaim_Data!A2782</f>
        <v/>
      </c>
      <c r="E2782">
        <f>AutoClaim_Data!B2782</f>
        <v/>
      </c>
      <c r="F2782">
        <f>AutoClaim_Data!C2782</f>
        <v/>
      </c>
      <c r="G2782">
        <f>IF(AutoClaim_Data!D2782&lt;=$B$2,AVERAGEIFS(AutoClaim_Data!C2:C3168,AutoClaim_Data!B2:B3168,"Train",AutoClaim_Data!D2:D3168,"&lt;="&amp;$B$2),AVERAGEIFS(AutoClaim_Data!C2:C3168,AutoClaim_Data!B2:B3168,"Train",AutoClaim_Data!D2:D3168,"&gt;"&amp;$B$2))</f>
        <v/>
      </c>
      <c r="H2782">
        <f>IF(AutoClaim_Data!D2782&lt;=$B$2,IF(AutoClaim_Data!E2782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2">
        <f>(F2782-H2782)^2</f>
        <v/>
      </c>
      <c r="J2782">
        <f>--(E2782="Validation")</f>
        <v/>
      </c>
    </row>
    <row r="2783">
      <c r="D2783">
        <f>AutoClaim_Data!A2783</f>
        <v/>
      </c>
      <c r="E2783">
        <f>AutoClaim_Data!B2783</f>
        <v/>
      </c>
      <c r="F2783">
        <f>AutoClaim_Data!C2783</f>
        <v/>
      </c>
      <c r="G2783">
        <f>IF(AutoClaim_Data!D2783&lt;=$B$2,AVERAGEIFS(AutoClaim_Data!C2:C3168,AutoClaim_Data!B2:B3168,"Train",AutoClaim_Data!D2:D3168,"&lt;="&amp;$B$2),AVERAGEIFS(AutoClaim_Data!C2:C3168,AutoClaim_Data!B2:B3168,"Train",AutoClaim_Data!D2:D3168,"&gt;"&amp;$B$2))</f>
        <v/>
      </c>
      <c r="H2783">
        <f>IF(AutoClaim_Data!D2783&lt;=$B$2,IF(AutoClaim_Data!E2783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3">
        <f>(F2783-H2783)^2</f>
        <v/>
      </c>
      <c r="J2783">
        <f>--(E2783="Validation")</f>
        <v/>
      </c>
    </row>
    <row r="2784">
      <c r="D2784">
        <f>AutoClaim_Data!A2784</f>
        <v/>
      </c>
      <c r="E2784">
        <f>AutoClaim_Data!B2784</f>
        <v/>
      </c>
      <c r="F2784">
        <f>AutoClaim_Data!C2784</f>
        <v/>
      </c>
      <c r="G2784">
        <f>IF(AutoClaim_Data!D2784&lt;=$B$2,AVERAGEIFS(AutoClaim_Data!C2:C3168,AutoClaim_Data!B2:B3168,"Train",AutoClaim_Data!D2:D3168,"&lt;="&amp;$B$2),AVERAGEIFS(AutoClaim_Data!C2:C3168,AutoClaim_Data!B2:B3168,"Train",AutoClaim_Data!D2:D3168,"&gt;"&amp;$B$2))</f>
        <v/>
      </c>
      <c r="H2784">
        <f>IF(AutoClaim_Data!D2784&lt;=$B$2,IF(AutoClaim_Data!E2784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4">
        <f>(F2784-H2784)^2</f>
        <v/>
      </c>
      <c r="J2784">
        <f>--(E2784="Validation")</f>
        <v/>
      </c>
    </row>
    <row r="2785">
      <c r="D2785">
        <f>AutoClaim_Data!A2785</f>
        <v/>
      </c>
      <c r="E2785">
        <f>AutoClaim_Data!B2785</f>
        <v/>
      </c>
      <c r="F2785">
        <f>AutoClaim_Data!C2785</f>
        <v/>
      </c>
      <c r="G2785">
        <f>IF(AutoClaim_Data!D2785&lt;=$B$2,AVERAGEIFS(AutoClaim_Data!C2:C3168,AutoClaim_Data!B2:B3168,"Train",AutoClaim_Data!D2:D3168,"&lt;="&amp;$B$2),AVERAGEIFS(AutoClaim_Data!C2:C3168,AutoClaim_Data!B2:B3168,"Train",AutoClaim_Data!D2:D3168,"&gt;"&amp;$B$2))</f>
        <v/>
      </c>
      <c r="H2785">
        <f>IF(AutoClaim_Data!D2785&lt;=$B$2,IF(AutoClaim_Data!E2785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5">
        <f>(F2785-H2785)^2</f>
        <v/>
      </c>
      <c r="J2785">
        <f>--(E2785="Validation")</f>
        <v/>
      </c>
    </row>
    <row r="2786">
      <c r="D2786">
        <f>AutoClaim_Data!A2786</f>
        <v/>
      </c>
      <c r="E2786">
        <f>AutoClaim_Data!B2786</f>
        <v/>
      </c>
      <c r="F2786">
        <f>AutoClaim_Data!C2786</f>
        <v/>
      </c>
      <c r="G2786">
        <f>IF(AutoClaim_Data!D2786&lt;=$B$2,AVERAGEIFS(AutoClaim_Data!C2:C3168,AutoClaim_Data!B2:B3168,"Train",AutoClaim_Data!D2:D3168,"&lt;="&amp;$B$2),AVERAGEIFS(AutoClaim_Data!C2:C3168,AutoClaim_Data!B2:B3168,"Train",AutoClaim_Data!D2:D3168,"&gt;"&amp;$B$2))</f>
        <v/>
      </c>
      <c r="H2786">
        <f>IF(AutoClaim_Data!D2786&lt;=$B$2,IF(AutoClaim_Data!E2786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6">
        <f>(F2786-H2786)^2</f>
        <v/>
      </c>
      <c r="J2786">
        <f>--(E2786="Validation")</f>
        <v/>
      </c>
    </row>
    <row r="2787">
      <c r="D2787">
        <f>AutoClaim_Data!A2787</f>
        <v/>
      </c>
      <c r="E2787">
        <f>AutoClaim_Data!B2787</f>
        <v/>
      </c>
      <c r="F2787">
        <f>AutoClaim_Data!C2787</f>
        <v/>
      </c>
      <c r="G2787">
        <f>IF(AutoClaim_Data!D2787&lt;=$B$2,AVERAGEIFS(AutoClaim_Data!C2:C3168,AutoClaim_Data!B2:B3168,"Train",AutoClaim_Data!D2:D3168,"&lt;="&amp;$B$2),AVERAGEIFS(AutoClaim_Data!C2:C3168,AutoClaim_Data!B2:B3168,"Train",AutoClaim_Data!D2:D3168,"&gt;"&amp;$B$2))</f>
        <v/>
      </c>
      <c r="H2787">
        <f>IF(AutoClaim_Data!D2787&lt;=$B$2,IF(AutoClaim_Data!E2787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7">
        <f>(F2787-H2787)^2</f>
        <v/>
      </c>
      <c r="J2787">
        <f>--(E2787="Validation")</f>
        <v/>
      </c>
    </row>
    <row r="2788">
      <c r="D2788">
        <f>AutoClaim_Data!A2788</f>
        <v/>
      </c>
      <c r="E2788">
        <f>AutoClaim_Data!B2788</f>
        <v/>
      </c>
      <c r="F2788">
        <f>AutoClaim_Data!C2788</f>
        <v/>
      </c>
      <c r="G2788">
        <f>IF(AutoClaim_Data!D2788&lt;=$B$2,AVERAGEIFS(AutoClaim_Data!C2:C3168,AutoClaim_Data!B2:B3168,"Train",AutoClaim_Data!D2:D3168,"&lt;="&amp;$B$2),AVERAGEIFS(AutoClaim_Data!C2:C3168,AutoClaim_Data!B2:B3168,"Train",AutoClaim_Data!D2:D3168,"&gt;"&amp;$B$2))</f>
        <v/>
      </c>
      <c r="H2788">
        <f>IF(AutoClaim_Data!D2788&lt;=$B$2,IF(AutoClaim_Data!E2788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8">
        <f>(F2788-H2788)^2</f>
        <v/>
      </c>
      <c r="J2788">
        <f>--(E2788="Validation")</f>
        <v/>
      </c>
    </row>
    <row r="2789">
      <c r="D2789">
        <f>AutoClaim_Data!A2789</f>
        <v/>
      </c>
      <c r="E2789">
        <f>AutoClaim_Data!B2789</f>
        <v/>
      </c>
      <c r="F2789">
        <f>AutoClaim_Data!C2789</f>
        <v/>
      </c>
      <c r="G2789">
        <f>IF(AutoClaim_Data!D2789&lt;=$B$2,AVERAGEIFS(AutoClaim_Data!C2:C3168,AutoClaim_Data!B2:B3168,"Train",AutoClaim_Data!D2:D3168,"&lt;="&amp;$B$2),AVERAGEIFS(AutoClaim_Data!C2:C3168,AutoClaim_Data!B2:B3168,"Train",AutoClaim_Data!D2:D3168,"&gt;"&amp;$B$2))</f>
        <v/>
      </c>
      <c r="H2789">
        <f>IF(AutoClaim_Data!D2789&lt;=$B$2,IF(AutoClaim_Data!E2789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89">
        <f>(F2789-H2789)^2</f>
        <v/>
      </c>
      <c r="J2789">
        <f>--(E2789="Validation")</f>
        <v/>
      </c>
    </row>
    <row r="2790">
      <c r="D2790">
        <f>AutoClaim_Data!A2790</f>
        <v/>
      </c>
      <c r="E2790">
        <f>AutoClaim_Data!B2790</f>
        <v/>
      </c>
      <c r="F2790">
        <f>AutoClaim_Data!C2790</f>
        <v/>
      </c>
      <c r="G2790">
        <f>IF(AutoClaim_Data!D2790&lt;=$B$2,AVERAGEIFS(AutoClaim_Data!C2:C3168,AutoClaim_Data!B2:B3168,"Train",AutoClaim_Data!D2:D3168,"&lt;="&amp;$B$2),AVERAGEIFS(AutoClaim_Data!C2:C3168,AutoClaim_Data!B2:B3168,"Train",AutoClaim_Data!D2:D3168,"&gt;"&amp;$B$2))</f>
        <v/>
      </c>
      <c r="H2790">
        <f>IF(AutoClaim_Data!D2790&lt;=$B$2,IF(AutoClaim_Data!E2790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0">
        <f>(F2790-H2790)^2</f>
        <v/>
      </c>
      <c r="J2790">
        <f>--(E2790="Validation")</f>
        <v/>
      </c>
    </row>
    <row r="2791">
      <c r="D2791">
        <f>AutoClaim_Data!A2791</f>
        <v/>
      </c>
      <c r="E2791">
        <f>AutoClaim_Data!B2791</f>
        <v/>
      </c>
      <c r="F2791">
        <f>AutoClaim_Data!C2791</f>
        <v/>
      </c>
      <c r="G2791">
        <f>IF(AutoClaim_Data!D2791&lt;=$B$2,AVERAGEIFS(AutoClaim_Data!C2:C3168,AutoClaim_Data!B2:B3168,"Train",AutoClaim_Data!D2:D3168,"&lt;="&amp;$B$2),AVERAGEIFS(AutoClaim_Data!C2:C3168,AutoClaim_Data!B2:B3168,"Train",AutoClaim_Data!D2:D3168,"&gt;"&amp;$B$2))</f>
        <v/>
      </c>
      <c r="H2791">
        <f>IF(AutoClaim_Data!D2791&lt;=$B$2,IF(AutoClaim_Data!E2791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1">
        <f>(F2791-H2791)^2</f>
        <v/>
      </c>
      <c r="J2791">
        <f>--(E2791="Validation")</f>
        <v/>
      </c>
    </row>
    <row r="2792">
      <c r="D2792">
        <f>AutoClaim_Data!A2792</f>
        <v/>
      </c>
      <c r="E2792">
        <f>AutoClaim_Data!B2792</f>
        <v/>
      </c>
      <c r="F2792">
        <f>AutoClaim_Data!C2792</f>
        <v/>
      </c>
      <c r="G2792">
        <f>IF(AutoClaim_Data!D2792&lt;=$B$2,AVERAGEIFS(AutoClaim_Data!C2:C3168,AutoClaim_Data!B2:B3168,"Train",AutoClaim_Data!D2:D3168,"&lt;="&amp;$B$2),AVERAGEIFS(AutoClaim_Data!C2:C3168,AutoClaim_Data!B2:B3168,"Train",AutoClaim_Data!D2:D3168,"&gt;"&amp;$B$2))</f>
        <v/>
      </c>
      <c r="H2792">
        <f>IF(AutoClaim_Data!D2792&lt;=$B$2,IF(AutoClaim_Data!E2792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2">
        <f>(F2792-H2792)^2</f>
        <v/>
      </c>
      <c r="J2792">
        <f>--(E2792="Validation")</f>
        <v/>
      </c>
    </row>
    <row r="2793">
      <c r="D2793">
        <f>AutoClaim_Data!A2793</f>
        <v/>
      </c>
      <c r="E2793">
        <f>AutoClaim_Data!B2793</f>
        <v/>
      </c>
      <c r="F2793">
        <f>AutoClaim_Data!C2793</f>
        <v/>
      </c>
      <c r="G2793">
        <f>IF(AutoClaim_Data!D2793&lt;=$B$2,AVERAGEIFS(AutoClaim_Data!C2:C3168,AutoClaim_Data!B2:B3168,"Train",AutoClaim_Data!D2:D3168,"&lt;="&amp;$B$2),AVERAGEIFS(AutoClaim_Data!C2:C3168,AutoClaim_Data!B2:B3168,"Train",AutoClaim_Data!D2:D3168,"&gt;"&amp;$B$2))</f>
        <v/>
      </c>
      <c r="H2793">
        <f>IF(AutoClaim_Data!D2793&lt;=$B$2,IF(AutoClaim_Data!E2793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3">
        <f>(F2793-H2793)^2</f>
        <v/>
      </c>
      <c r="J2793">
        <f>--(E2793="Validation")</f>
        <v/>
      </c>
    </row>
    <row r="2794">
      <c r="D2794">
        <f>AutoClaim_Data!A2794</f>
        <v/>
      </c>
      <c r="E2794">
        <f>AutoClaim_Data!B2794</f>
        <v/>
      </c>
      <c r="F2794">
        <f>AutoClaim_Data!C2794</f>
        <v/>
      </c>
      <c r="G2794">
        <f>IF(AutoClaim_Data!D2794&lt;=$B$2,AVERAGEIFS(AutoClaim_Data!C2:C3168,AutoClaim_Data!B2:B3168,"Train",AutoClaim_Data!D2:D3168,"&lt;="&amp;$B$2),AVERAGEIFS(AutoClaim_Data!C2:C3168,AutoClaim_Data!B2:B3168,"Train",AutoClaim_Data!D2:D3168,"&gt;"&amp;$B$2))</f>
        <v/>
      </c>
      <c r="H2794">
        <f>IF(AutoClaim_Data!D2794&lt;=$B$2,IF(AutoClaim_Data!E2794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4">
        <f>(F2794-H2794)^2</f>
        <v/>
      </c>
      <c r="J2794">
        <f>--(E2794="Validation")</f>
        <v/>
      </c>
    </row>
    <row r="2795">
      <c r="D2795">
        <f>AutoClaim_Data!A2795</f>
        <v/>
      </c>
      <c r="E2795">
        <f>AutoClaim_Data!B2795</f>
        <v/>
      </c>
      <c r="F2795">
        <f>AutoClaim_Data!C2795</f>
        <v/>
      </c>
      <c r="G2795">
        <f>IF(AutoClaim_Data!D2795&lt;=$B$2,AVERAGEIFS(AutoClaim_Data!C2:C3168,AutoClaim_Data!B2:B3168,"Train",AutoClaim_Data!D2:D3168,"&lt;="&amp;$B$2),AVERAGEIFS(AutoClaim_Data!C2:C3168,AutoClaim_Data!B2:B3168,"Train",AutoClaim_Data!D2:D3168,"&gt;"&amp;$B$2))</f>
        <v/>
      </c>
      <c r="H2795">
        <f>IF(AutoClaim_Data!D2795&lt;=$B$2,IF(AutoClaim_Data!E2795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5">
        <f>(F2795-H2795)^2</f>
        <v/>
      </c>
      <c r="J2795">
        <f>--(E2795="Validation")</f>
        <v/>
      </c>
    </row>
    <row r="2796">
      <c r="D2796">
        <f>AutoClaim_Data!A2796</f>
        <v/>
      </c>
      <c r="E2796">
        <f>AutoClaim_Data!B2796</f>
        <v/>
      </c>
      <c r="F2796">
        <f>AutoClaim_Data!C2796</f>
        <v/>
      </c>
      <c r="G2796">
        <f>IF(AutoClaim_Data!D2796&lt;=$B$2,AVERAGEIFS(AutoClaim_Data!C2:C3168,AutoClaim_Data!B2:B3168,"Train",AutoClaim_Data!D2:D3168,"&lt;="&amp;$B$2),AVERAGEIFS(AutoClaim_Data!C2:C3168,AutoClaim_Data!B2:B3168,"Train",AutoClaim_Data!D2:D3168,"&gt;"&amp;$B$2))</f>
        <v/>
      </c>
      <c r="H2796">
        <f>IF(AutoClaim_Data!D2796&lt;=$B$2,IF(AutoClaim_Data!E2796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6">
        <f>(F2796-H2796)^2</f>
        <v/>
      </c>
      <c r="J2796">
        <f>--(E2796="Validation")</f>
        <v/>
      </c>
    </row>
    <row r="2797">
      <c r="D2797">
        <f>AutoClaim_Data!A2797</f>
        <v/>
      </c>
      <c r="E2797">
        <f>AutoClaim_Data!B2797</f>
        <v/>
      </c>
      <c r="F2797">
        <f>AutoClaim_Data!C2797</f>
        <v/>
      </c>
      <c r="G2797">
        <f>IF(AutoClaim_Data!D2797&lt;=$B$2,AVERAGEIFS(AutoClaim_Data!C2:C3168,AutoClaim_Data!B2:B3168,"Train",AutoClaim_Data!D2:D3168,"&lt;="&amp;$B$2),AVERAGEIFS(AutoClaim_Data!C2:C3168,AutoClaim_Data!B2:B3168,"Train",AutoClaim_Data!D2:D3168,"&gt;"&amp;$B$2))</f>
        <v/>
      </c>
      <c r="H2797">
        <f>IF(AutoClaim_Data!D2797&lt;=$B$2,IF(AutoClaim_Data!E2797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7">
        <f>(F2797-H2797)^2</f>
        <v/>
      </c>
      <c r="J2797">
        <f>--(E2797="Validation")</f>
        <v/>
      </c>
    </row>
    <row r="2798">
      <c r="D2798">
        <f>AutoClaim_Data!A2798</f>
        <v/>
      </c>
      <c r="E2798">
        <f>AutoClaim_Data!B2798</f>
        <v/>
      </c>
      <c r="F2798">
        <f>AutoClaim_Data!C2798</f>
        <v/>
      </c>
      <c r="G2798">
        <f>IF(AutoClaim_Data!D2798&lt;=$B$2,AVERAGEIFS(AutoClaim_Data!C2:C3168,AutoClaim_Data!B2:B3168,"Train",AutoClaim_Data!D2:D3168,"&lt;="&amp;$B$2),AVERAGEIFS(AutoClaim_Data!C2:C3168,AutoClaim_Data!B2:B3168,"Train",AutoClaim_Data!D2:D3168,"&gt;"&amp;$B$2))</f>
        <v/>
      </c>
      <c r="H2798">
        <f>IF(AutoClaim_Data!D2798&lt;=$B$2,IF(AutoClaim_Data!E2798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8">
        <f>(F2798-H2798)^2</f>
        <v/>
      </c>
      <c r="J2798">
        <f>--(E2798="Validation")</f>
        <v/>
      </c>
    </row>
    <row r="2799">
      <c r="D2799">
        <f>AutoClaim_Data!A2799</f>
        <v/>
      </c>
      <c r="E2799">
        <f>AutoClaim_Data!B2799</f>
        <v/>
      </c>
      <c r="F2799">
        <f>AutoClaim_Data!C2799</f>
        <v/>
      </c>
      <c r="G2799">
        <f>IF(AutoClaim_Data!D2799&lt;=$B$2,AVERAGEIFS(AutoClaim_Data!C2:C3168,AutoClaim_Data!B2:B3168,"Train",AutoClaim_Data!D2:D3168,"&lt;="&amp;$B$2),AVERAGEIFS(AutoClaim_Data!C2:C3168,AutoClaim_Data!B2:B3168,"Train",AutoClaim_Data!D2:D3168,"&gt;"&amp;$B$2))</f>
        <v/>
      </c>
      <c r="H2799">
        <f>IF(AutoClaim_Data!D2799&lt;=$B$2,IF(AutoClaim_Data!E2799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2799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799">
        <f>(F2799-H2799)^2</f>
        <v/>
      </c>
      <c r="J2799">
        <f>--(E2799="Validation")</f>
        <v/>
      </c>
    </row>
    <row r="2800">
      <c r="D2800">
        <f>AutoClaim_Data!A2800</f>
        <v/>
      </c>
      <c r="E2800">
        <f>AutoClaim_Data!B2800</f>
        <v/>
      </c>
      <c r="F2800">
        <f>AutoClaim_Data!C2800</f>
        <v/>
      </c>
      <c r="G2800">
        <f>IF(AutoClaim_Data!D2800&lt;=$B$2,AVERAGEIFS(AutoClaim_Data!C2:C3168,AutoClaim_Data!B2:B3168,"Train",AutoClaim_Data!D2:D3168,"&lt;="&amp;$B$2),AVERAGEIFS(AutoClaim_Data!C2:C3168,AutoClaim_Data!B2:B3168,"Train",AutoClaim_Data!D2:D3168,"&gt;"&amp;$B$2))</f>
        <v/>
      </c>
      <c r="H2800">
        <f>IF(AutoClaim_Data!D2800&lt;=$B$2,IF(AutoClaim_Data!E2800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0">
        <f>(F2800-H2800)^2</f>
        <v/>
      </c>
      <c r="J2800">
        <f>--(E2800="Validation")</f>
        <v/>
      </c>
    </row>
    <row r="2801">
      <c r="D2801">
        <f>AutoClaim_Data!A2801</f>
        <v/>
      </c>
      <c r="E2801">
        <f>AutoClaim_Data!B2801</f>
        <v/>
      </c>
      <c r="F2801">
        <f>AutoClaim_Data!C2801</f>
        <v/>
      </c>
      <c r="G2801">
        <f>IF(AutoClaim_Data!D2801&lt;=$B$2,AVERAGEIFS(AutoClaim_Data!C2:C3168,AutoClaim_Data!B2:B3168,"Train",AutoClaim_Data!D2:D3168,"&lt;="&amp;$B$2),AVERAGEIFS(AutoClaim_Data!C2:C3168,AutoClaim_Data!B2:B3168,"Train",AutoClaim_Data!D2:D3168,"&gt;"&amp;$B$2))</f>
        <v/>
      </c>
      <c r="H2801">
        <f>IF(AutoClaim_Data!D2801&lt;=$B$2,IF(AutoClaim_Data!E2801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1">
        <f>(F2801-H2801)^2</f>
        <v/>
      </c>
      <c r="J2801">
        <f>--(E2801="Validation")</f>
        <v/>
      </c>
    </row>
    <row r="2802">
      <c r="D2802">
        <f>AutoClaim_Data!A2802</f>
        <v/>
      </c>
      <c r="E2802">
        <f>AutoClaim_Data!B2802</f>
        <v/>
      </c>
      <c r="F2802">
        <f>AutoClaim_Data!C2802</f>
        <v/>
      </c>
      <c r="G2802">
        <f>IF(AutoClaim_Data!D2802&lt;=$B$2,AVERAGEIFS(AutoClaim_Data!C2:C3168,AutoClaim_Data!B2:B3168,"Train",AutoClaim_Data!D2:D3168,"&lt;="&amp;$B$2),AVERAGEIFS(AutoClaim_Data!C2:C3168,AutoClaim_Data!B2:B3168,"Train",AutoClaim_Data!D2:D3168,"&gt;"&amp;$B$2))</f>
        <v/>
      </c>
      <c r="H2802">
        <f>IF(AutoClaim_Data!D2802&lt;=$B$2,IF(AutoClaim_Data!E2802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2">
        <f>(F2802-H2802)^2</f>
        <v/>
      </c>
      <c r="J2802">
        <f>--(E2802="Validation")</f>
        <v/>
      </c>
    </row>
    <row r="2803">
      <c r="D2803">
        <f>AutoClaim_Data!A2803</f>
        <v/>
      </c>
      <c r="E2803">
        <f>AutoClaim_Data!B2803</f>
        <v/>
      </c>
      <c r="F2803">
        <f>AutoClaim_Data!C2803</f>
        <v/>
      </c>
      <c r="G2803">
        <f>IF(AutoClaim_Data!D2803&lt;=$B$2,AVERAGEIFS(AutoClaim_Data!C2:C3168,AutoClaim_Data!B2:B3168,"Train",AutoClaim_Data!D2:D3168,"&lt;="&amp;$B$2),AVERAGEIFS(AutoClaim_Data!C2:C3168,AutoClaim_Data!B2:B3168,"Train",AutoClaim_Data!D2:D3168,"&gt;"&amp;$B$2))</f>
        <v/>
      </c>
      <c r="H2803">
        <f>IF(AutoClaim_Data!D2803&lt;=$B$2,IF(AutoClaim_Data!E2803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3">
        <f>(F2803-H2803)^2</f>
        <v/>
      </c>
      <c r="J2803">
        <f>--(E2803="Validation")</f>
        <v/>
      </c>
    </row>
    <row r="2804">
      <c r="D2804">
        <f>AutoClaim_Data!A2804</f>
        <v/>
      </c>
      <c r="E2804">
        <f>AutoClaim_Data!B2804</f>
        <v/>
      </c>
      <c r="F2804">
        <f>AutoClaim_Data!C2804</f>
        <v/>
      </c>
      <c r="G2804">
        <f>IF(AutoClaim_Data!D2804&lt;=$B$2,AVERAGEIFS(AutoClaim_Data!C2:C3168,AutoClaim_Data!B2:B3168,"Train",AutoClaim_Data!D2:D3168,"&lt;="&amp;$B$2),AVERAGEIFS(AutoClaim_Data!C2:C3168,AutoClaim_Data!B2:B3168,"Train",AutoClaim_Data!D2:D3168,"&gt;"&amp;$B$2))</f>
        <v/>
      </c>
      <c r="H2804">
        <f>IF(AutoClaim_Data!D2804&lt;=$B$2,IF(AutoClaim_Data!E2804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4">
        <f>(F2804-H2804)^2</f>
        <v/>
      </c>
      <c r="J2804">
        <f>--(E2804="Validation")</f>
        <v/>
      </c>
    </row>
    <row r="2805">
      <c r="D2805">
        <f>AutoClaim_Data!A2805</f>
        <v/>
      </c>
      <c r="E2805">
        <f>AutoClaim_Data!B2805</f>
        <v/>
      </c>
      <c r="F2805">
        <f>AutoClaim_Data!C2805</f>
        <v/>
      </c>
      <c r="G2805">
        <f>IF(AutoClaim_Data!D2805&lt;=$B$2,AVERAGEIFS(AutoClaim_Data!C2:C3168,AutoClaim_Data!B2:B3168,"Train",AutoClaim_Data!D2:D3168,"&lt;="&amp;$B$2),AVERAGEIFS(AutoClaim_Data!C2:C3168,AutoClaim_Data!B2:B3168,"Train",AutoClaim_Data!D2:D3168,"&gt;"&amp;$B$2))</f>
        <v/>
      </c>
      <c r="H2805">
        <f>IF(AutoClaim_Data!D2805&lt;=$B$2,IF(AutoClaim_Data!E2805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5">
        <f>(F2805-H2805)^2</f>
        <v/>
      </c>
      <c r="J2805">
        <f>--(E2805="Validation")</f>
        <v/>
      </c>
    </row>
    <row r="2806">
      <c r="D2806">
        <f>AutoClaim_Data!A2806</f>
        <v/>
      </c>
      <c r="E2806">
        <f>AutoClaim_Data!B2806</f>
        <v/>
      </c>
      <c r="F2806">
        <f>AutoClaim_Data!C2806</f>
        <v/>
      </c>
      <c r="G2806">
        <f>IF(AutoClaim_Data!D2806&lt;=$B$2,AVERAGEIFS(AutoClaim_Data!C2:C3168,AutoClaim_Data!B2:B3168,"Train",AutoClaim_Data!D2:D3168,"&lt;="&amp;$B$2),AVERAGEIFS(AutoClaim_Data!C2:C3168,AutoClaim_Data!B2:B3168,"Train",AutoClaim_Data!D2:D3168,"&gt;"&amp;$B$2))</f>
        <v/>
      </c>
      <c r="H2806">
        <f>IF(AutoClaim_Data!D2806&lt;=$B$2,IF(AutoClaim_Data!E2806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6">
        <f>(F2806-H2806)^2</f>
        <v/>
      </c>
      <c r="J2806">
        <f>--(E2806="Validation")</f>
        <v/>
      </c>
    </row>
    <row r="2807">
      <c r="D2807">
        <f>AutoClaim_Data!A2807</f>
        <v/>
      </c>
      <c r="E2807">
        <f>AutoClaim_Data!B2807</f>
        <v/>
      </c>
      <c r="F2807">
        <f>AutoClaim_Data!C2807</f>
        <v/>
      </c>
      <c r="G2807">
        <f>IF(AutoClaim_Data!D2807&lt;=$B$2,AVERAGEIFS(AutoClaim_Data!C2:C3168,AutoClaim_Data!B2:B3168,"Train",AutoClaim_Data!D2:D3168,"&lt;="&amp;$B$2),AVERAGEIFS(AutoClaim_Data!C2:C3168,AutoClaim_Data!B2:B3168,"Train",AutoClaim_Data!D2:D3168,"&gt;"&amp;$B$2))</f>
        <v/>
      </c>
      <c r="H2807">
        <f>IF(AutoClaim_Data!D2807&lt;=$B$2,IF(AutoClaim_Data!E2807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7">
        <f>(F2807-H2807)^2</f>
        <v/>
      </c>
      <c r="J2807">
        <f>--(E2807="Validation")</f>
        <v/>
      </c>
    </row>
    <row r="2808">
      <c r="D2808">
        <f>AutoClaim_Data!A2808</f>
        <v/>
      </c>
      <c r="E2808">
        <f>AutoClaim_Data!B2808</f>
        <v/>
      </c>
      <c r="F2808">
        <f>AutoClaim_Data!C2808</f>
        <v/>
      </c>
      <c r="G2808">
        <f>IF(AutoClaim_Data!D2808&lt;=$B$2,AVERAGEIFS(AutoClaim_Data!C2:C3168,AutoClaim_Data!B2:B3168,"Train",AutoClaim_Data!D2:D3168,"&lt;="&amp;$B$2),AVERAGEIFS(AutoClaim_Data!C2:C3168,AutoClaim_Data!B2:B3168,"Train",AutoClaim_Data!D2:D3168,"&gt;"&amp;$B$2))</f>
        <v/>
      </c>
      <c r="H2808">
        <f>IF(AutoClaim_Data!D2808&lt;=$B$2,IF(AutoClaim_Data!E2808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8">
        <f>(F2808-H2808)^2</f>
        <v/>
      </c>
      <c r="J2808">
        <f>--(E2808="Validation")</f>
        <v/>
      </c>
    </row>
    <row r="2809">
      <c r="D2809">
        <f>AutoClaim_Data!A2809</f>
        <v/>
      </c>
      <c r="E2809">
        <f>AutoClaim_Data!B2809</f>
        <v/>
      </c>
      <c r="F2809">
        <f>AutoClaim_Data!C2809</f>
        <v/>
      </c>
      <c r="G2809">
        <f>IF(AutoClaim_Data!D2809&lt;=$B$2,AVERAGEIFS(AutoClaim_Data!C2:C3168,AutoClaim_Data!B2:B3168,"Train",AutoClaim_Data!D2:D3168,"&lt;="&amp;$B$2),AVERAGEIFS(AutoClaim_Data!C2:C3168,AutoClaim_Data!B2:B3168,"Train",AutoClaim_Data!D2:D3168,"&gt;"&amp;$B$2))</f>
        <v/>
      </c>
      <c r="H2809">
        <f>IF(AutoClaim_Data!D2809&lt;=$B$2,IF(AutoClaim_Data!E2809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09">
        <f>(F2809-H2809)^2</f>
        <v/>
      </c>
      <c r="J2809">
        <f>--(E2809="Validation")</f>
        <v/>
      </c>
    </row>
    <row r="2810">
      <c r="D2810">
        <f>AutoClaim_Data!A2810</f>
        <v/>
      </c>
      <c r="E2810">
        <f>AutoClaim_Data!B2810</f>
        <v/>
      </c>
      <c r="F2810">
        <f>AutoClaim_Data!C2810</f>
        <v/>
      </c>
      <c r="G2810">
        <f>IF(AutoClaim_Data!D2810&lt;=$B$2,AVERAGEIFS(AutoClaim_Data!C2:C3168,AutoClaim_Data!B2:B3168,"Train",AutoClaim_Data!D2:D3168,"&lt;="&amp;$B$2),AVERAGEIFS(AutoClaim_Data!C2:C3168,AutoClaim_Data!B2:B3168,"Train",AutoClaim_Data!D2:D3168,"&gt;"&amp;$B$2))</f>
        <v/>
      </c>
      <c r="H2810">
        <f>IF(AutoClaim_Data!D2810&lt;=$B$2,IF(AutoClaim_Data!E2810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0">
        <f>(F2810-H2810)^2</f>
        <v/>
      </c>
      <c r="J2810">
        <f>--(E2810="Validation")</f>
        <v/>
      </c>
    </row>
    <row r="2811">
      <c r="D2811">
        <f>AutoClaim_Data!A2811</f>
        <v/>
      </c>
      <c r="E2811">
        <f>AutoClaim_Data!B2811</f>
        <v/>
      </c>
      <c r="F2811">
        <f>AutoClaim_Data!C2811</f>
        <v/>
      </c>
      <c r="G2811">
        <f>IF(AutoClaim_Data!D2811&lt;=$B$2,AVERAGEIFS(AutoClaim_Data!C2:C3168,AutoClaim_Data!B2:B3168,"Train",AutoClaim_Data!D2:D3168,"&lt;="&amp;$B$2),AVERAGEIFS(AutoClaim_Data!C2:C3168,AutoClaim_Data!B2:B3168,"Train",AutoClaim_Data!D2:D3168,"&gt;"&amp;$B$2))</f>
        <v/>
      </c>
      <c r="H2811">
        <f>IF(AutoClaim_Data!D2811&lt;=$B$2,IF(AutoClaim_Data!E2811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1">
        <f>(F2811-H2811)^2</f>
        <v/>
      </c>
      <c r="J2811">
        <f>--(E2811="Validation")</f>
        <v/>
      </c>
    </row>
    <row r="2812">
      <c r="D2812">
        <f>AutoClaim_Data!A2812</f>
        <v/>
      </c>
      <c r="E2812">
        <f>AutoClaim_Data!B2812</f>
        <v/>
      </c>
      <c r="F2812">
        <f>AutoClaim_Data!C2812</f>
        <v/>
      </c>
      <c r="G2812">
        <f>IF(AutoClaim_Data!D2812&lt;=$B$2,AVERAGEIFS(AutoClaim_Data!C2:C3168,AutoClaim_Data!B2:B3168,"Train",AutoClaim_Data!D2:D3168,"&lt;="&amp;$B$2),AVERAGEIFS(AutoClaim_Data!C2:C3168,AutoClaim_Data!B2:B3168,"Train",AutoClaim_Data!D2:D3168,"&gt;"&amp;$B$2))</f>
        <v/>
      </c>
      <c r="H2812">
        <f>IF(AutoClaim_Data!D2812&lt;=$B$2,IF(AutoClaim_Data!E2812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2">
        <f>(F2812-H2812)^2</f>
        <v/>
      </c>
      <c r="J2812">
        <f>--(E2812="Validation")</f>
        <v/>
      </c>
    </row>
    <row r="2813">
      <c r="D2813">
        <f>AutoClaim_Data!A2813</f>
        <v/>
      </c>
      <c r="E2813">
        <f>AutoClaim_Data!B2813</f>
        <v/>
      </c>
      <c r="F2813">
        <f>AutoClaim_Data!C2813</f>
        <v/>
      </c>
      <c r="G2813">
        <f>IF(AutoClaim_Data!D2813&lt;=$B$2,AVERAGEIFS(AutoClaim_Data!C2:C3168,AutoClaim_Data!B2:B3168,"Train",AutoClaim_Data!D2:D3168,"&lt;="&amp;$B$2),AVERAGEIFS(AutoClaim_Data!C2:C3168,AutoClaim_Data!B2:B3168,"Train",AutoClaim_Data!D2:D3168,"&gt;"&amp;$B$2))</f>
        <v/>
      </c>
      <c r="H2813">
        <f>IF(AutoClaim_Data!D2813&lt;=$B$2,IF(AutoClaim_Data!E2813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3">
        <f>(F2813-H2813)^2</f>
        <v/>
      </c>
      <c r="J2813">
        <f>--(E2813="Validation")</f>
        <v/>
      </c>
    </row>
    <row r="2814">
      <c r="D2814">
        <f>AutoClaim_Data!A2814</f>
        <v/>
      </c>
      <c r="E2814">
        <f>AutoClaim_Data!B2814</f>
        <v/>
      </c>
      <c r="F2814">
        <f>AutoClaim_Data!C2814</f>
        <v/>
      </c>
      <c r="G2814">
        <f>IF(AutoClaim_Data!D2814&lt;=$B$2,AVERAGEIFS(AutoClaim_Data!C2:C3168,AutoClaim_Data!B2:B3168,"Train",AutoClaim_Data!D2:D3168,"&lt;="&amp;$B$2),AVERAGEIFS(AutoClaim_Data!C2:C3168,AutoClaim_Data!B2:B3168,"Train",AutoClaim_Data!D2:D3168,"&gt;"&amp;$B$2))</f>
        <v/>
      </c>
      <c r="H2814">
        <f>IF(AutoClaim_Data!D2814&lt;=$B$2,IF(AutoClaim_Data!E2814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4">
        <f>(F2814-H2814)^2</f>
        <v/>
      </c>
      <c r="J2814">
        <f>--(E2814="Validation")</f>
        <v/>
      </c>
    </row>
    <row r="2815">
      <c r="D2815">
        <f>AutoClaim_Data!A2815</f>
        <v/>
      </c>
      <c r="E2815">
        <f>AutoClaim_Data!B2815</f>
        <v/>
      </c>
      <c r="F2815">
        <f>AutoClaim_Data!C2815</f>
        <v/>
      </c>
      <c r="G2815">
        <f>IF(AutoClaim_Data!D2815&lt;=$B$2,AVERAGEIFS(AutoClaim_Data!C2:C3168,AutoClaim_Data!B2:B3168,"Train",AutoClaim_Data!D2:D3168,"&lt;="&amp;$B$2),AVERAGEIFS(AutoClaim_Data!C2:C3168,AutoClaim_Data!B2:B3168,"Train",AutoClaim_Data!D2:D3168,"&gt;"&amp;$B$2))</f>
        <v/>
      </c>
      <c r="H2815">
        <f>IF(AutoClaim_Data!D2815&lt;=$B$2,IF(AutoClaim_Data!E2815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5">
        <f>(F2815-H2815)^2</f>
        <v/>
      </c>
      <c r="J2815">
        <f>--(E2815="Validation")</f>
        <v/>
      </c>
    </row>
    <row r="2816">
      <c r="D2816">
        <f>AutoClaim_Data!A2816</f>
        <v/>
      </c>
      <c r="E2816">
        <f>AutoClaim_Data!B2816</f>
        <v/>
      </c>
      <c r="F2816">
        <f>AutoClaim_Data!C2816</f>
        <v/>
      </c>
      <c r="G2816">
        <f>IF(AutoClaim_Data!D2816&lt;=$B$2,AVERAGEIFS(AutoClaim_Data!C2:C3168,AutoClaim_Data!B2:B3168,"Train",AutoClaim_Data!D2:D3168,"&lt;="&amp;$B$2),AVERAGEIFS(AutoClaim_Data!C2:C3168,AutoClaim_Data!B2:B3168,"Train",AutoClaim_Data!D2:D3168,"&gt;"&amp;$B$2))</f>
        <v/>
      </c>
      <c r="H2816">
        <f>IF(AutoClaim_Data!D2816&lt;=$B$2,IF(AutoClaim_Data!E2816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6">
        <f>(F2816-H2816)^2</f>
        <v/>
      </c>
      <c r="J2816">
        <f>--(E2816="Validation")</f>
        <v/>
      </c>
    </row>
    <row r="2817">
      <c r="D2817">
        <f>AutoClaim_Data!A2817</f>
        <v/>
      </c>
      <c r="E2817">
        <f>AutoClaim_Data!B2817</f>
        <v/>
      </c>
      <c r="F2817">
        <f>AutoClaim_Data!C2817</f>
        <v/>
      </c>
      <c r="G2817">
        <f>IF(AutoClaim_Data!D2817&lt;=$B$2,AVERAGEIFS(AutoClaim_Data!C2:C3168,AutoClaim_Data!B2:B3168,"Train",AutoClaim_Data!D2:D3168,"&lt;="&amp;$B$2),AVERAGEIFS(AutoClaim_Data!C2:C3168,AutoClaim_Data!B2:B3168,"Train",AutoClaim_Data!D2:D3168,"&gt;"&amp;$B$2))</f>
        <v/>
      </c>
      <c r="H2817">
        <f>IF(AutoClaim_Data!D2817&lt;=$B$2,IF(AutoClaim_Data!E2817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7">
        <f>(F2817-H2817)^2</f>
        <v/>
      </c>
      <c r="J2817">
        <f>--(E2817="Validation")</f>
        <v/>
      </c>
    </row>
    <row r="2818">
      <c r="D2818">
        <f>AutoClaim_Data!A2818</f>
        <v/>
      </c>
      <c r="E2818">
        <f>AutoClaim_Data!B2818</f>
        <v/>
      </c>
      <c r="F2818">
        <f>AutoClaim_Data!C2818</f>
        <v/>
      </c>
      <c r="G2818">
        <f>IF(AutoClaim_Data!D2818&lt;=$B$2,AVERAGEIFS(AutoClaim_Data!C2:C3168,AutoClaim_Data!B2:B3168,"Train",AutoClaim_Data!D2:D3168,"&lt;="&amp;$B$2),AVERAGEIFS(AutoClaim_Data!C2:C3168,AutoClaim_Data!B2:B3168,"Train",AutoClaim_Data!D2:D3168,"&gt;"&amp;$B$2))</f>
        <v/>
      </c>
      <c r="H2818">
        <f>IF(AutoClaim_Data!D2818&lt;=$B$2,IF(AutoClaim_Data!E2818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8">
        <f>(F2818-H2818)^2</f>
        <v/>
      </c>
      <c r="J2818">
        <f>--(E2818="Validation")</f>
        <v/>
      </c>
    </row>
    <row r="2819">
      <c r="D2819">
        <f>AutoClaim_Data!A2819</f>
        <v/>
      </c>
      <c r="E2819">
        <f>AutoClaim_Data!B2819</f>
        <v/>
      </c>
      <c r="F2819">
        <f>AutoClaim_Data!C2819</f>
        <v/>
      </c>
      <c r="G2819">
        <f>IF(AutoClaim_Data!D2819&lt;=$B$2,AVERAGEIFS(AutoClaim_Data!C2:C3168,AutoClaim_Data!B2:B3168,"Train",AutoClaim_Data!D2:D3168,"&lt;="&amp;$B$2),AVERAGEIFS(AutoClaim_Data!C2:C3168,AutoClaim_Data!B2:B3168,"Train",AutoClaim_Data!D2:D3168,"&gt;"&amp;$B$2))</f>
        <v/>
      </c>
      <c r="H2819">
        <f>IF(AutoClaim_Data!D2819&lt;=$B$2,IF(AutoClaim_Data!E2819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19">
        <f>(F2819-H2819)^2</f>
        <v/>
      </c>
      <c r="J2819">
        <f>--(E2819="Validation")</f>
        <v/>
      </c>
    </row>
    <row r="2820">
      <c r="D2820">
        <f>AutoClaim_Data!A2820</f>
        <v/>
      </c>
      <c r="E2820">
        <f>AutoClaim_Data!B2820</f>
        <v/>
      </c>
      <c r="F2820">
        <f>AutoClaim_Data!C2820</f>
        <v/>
      </c>
      <c r="G2820">
        <f>IF(AutoClaim_Data!D2820&lt;=$B$2,AVERAGEIFS(AutoClaim_Data!C2:C3168,AutoClaim_Data!B2:B3168,"Train",AutoClaim_Data!D2:D3168,"&lt;="&amp;$B$2),AVERAGEIFS(AutoClaim_Data!C2:C3168,AutoClaim_Data!B2:B3168,"Train",AutoClaim_Data!D2:D3168,"&gt;"&amp;$B$2))</f>
        <v/>
      </c>
      <c r="H2820">
        <f>IF(AutoClaim_Data!D2820&lt;=$B$2,IF(AutoClaim_Data!E2820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0">
        <f>(F2820-H2820)^2</f>
        <v/>
      </c>
      <c r="J2820">
        <f>--(E2820="Validation")</f>
        <v/>
      </c>
    </row>
    <row r="2821">
      <c r="D2821">
        <f>AutoClaim_Data!A2821</f>
        <v/>
      </c>
      <c r="E2821">
        <f>AutoClaim_Data!B2821</f>
        <v/>
      </c>
      <c r="F2821">
        <f>AutoClaim_Data!C2821</f>
        <v/>
      </c>
      <c r="G2821">
        <f>IF(AutoClaim_Data!D2821&lt;=$B$2,AVERAGEIFS(AutoClaim_Data!C2:C3168,AutoClaim_Data!B2:B3168,"Train",AutoClaim_Data!D2:D3168,"&lt;="&amp;$B$2),AVERAGEIFS(AutoClaim_Data!C2:C3168,AutoClaim_Data!B2:B3168,"Train",AutoClaim_Data!D2:D3168,"&gt;"&amp;$B$2))</f>
        <v/>
      </c>
      <c r="H2821">
        <f>IF(AutoClaim_Data!D2821&lt;=$B$2,IF(AutoClaim_Data!E2821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1">
        <f>(F2821-H2821)^2</f>
        <v/>
      </c>
      <c r="J2821">
        <f>--(E2821="Validation")</f>
        <v/>
      </c>
    </row>
    <row r="2822">
      <c r="D2822">
        <f>AutoClaim_Data!A2822</f>
        <v/>
      </c>
      <c r="E2822">
        <f>AutoClaim_Data!B2822</f>
        <v/>
      </c>
      <c r="F2822">
        <f>AutoClaim_Data!C2822</f>
        <v/>
      </c>
      <c r="G2822">
        <f>IF(AutoClaim_Data!D2822&lt;=$B$2,AVERAGEIFS(AutoClaim_Data!C2:C3168,AutoClaim_Data!B2:B3168,"Train",AutoClaim_Data!D2:D3168,"&lt;="&amp;$B$2),AVERAGEIFS(AutoClaim_Data!C2:C3168,AutoClaim_Data!B2:B3168,"Train",AutoClaim_Data!D2:D3168,"&gt;"&amp;$B$2))</f>
        <v/>
      </c>
      <c r="H2822">
        <f>IF(AutoClaim_Data!D2822&lt;=$B$2,IF(AutoClaim_Data!E2822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2">
        <f>(F2822-H2822)^2</f>
        <v/>
      </c>
      <c r="J2822">
        <f>--(E2822="Validation")</f>
        <v/>
      </c>
    </row>
    <row r="2823">
      <c r="D2823">
        <f>AutoClaim_Data!A2823</f>
        <v/>
      </c>
      <c r="E2823">
        <f>AutoClaim_Data!B2823</f>
        <v/>
      </c>
      <c r="F2823">
        <f>AutoClaim_Data!C2823</f>
        <v/>
      </c>
      <c r="G2823">
        <f>IF(AutoClaim_Data!D2823&lt;=$B$2,AVERAGEIFS(AutoClaim_Data!C2:C3168,AutoClaim_Data!B2:B3168,"Train",AutoClaim_Data!D2:D3168,"&lt;="&amp;$B$2),AVERAGEIFS(AutoClaim_Data!C2:C3168,AutoClaim_Data!B2:B3168,"Train",AutoClaim_Data!D2:D3168,"&gt;"&amp;$B$2))</f>
        <v/>
      </c>
      <c r="H2823">
        <f>IF(AutoClaim_Data!D2823&lt;=$B$2,IF(AutoClaim_Data!E2823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3">
        <f>(F2823-H2823)^2</f>
        <v/>
      </c>
      <c r="J2823">
        <f>--(E2823="Validation")</f>
        <v/>
      </c>
    </row>
    <row r="2824">
      <c r="D2824">
        <f>AutoClaim_Data!A2824</f>
        <v/>
      </c>
      <c r="E2824">
        <f>AutoClaim_Data!B2824</f>
        <v/>
      </c>
      <c r="F2824">
        <f>AutoClaim_Data!C2824</f>
        <v/>
      </c>
      <c r="G2824">
        <f>IF(AutoClaim_Data!D2824&lt;=$B$2,AVERAGEIFS(AutoClaim_Data!C2:C3168,AutoClaim_Data!B2:B3168,"Train",AutoClaim_Data!D2:D3168,"&lt;="&amp;$B$2),AVERAGEIFS(AutoClaim_Data!C2:C3168,AutoClaim_Data!B2:B3168,"Train",AutoClaim_Data!D2:D3168,"&gt;"&amp;$B$2))</f>
        <v/>
      </c>
      <c r="H2824">
        <f>IF(AutoClaim_Data!D2824&lt;=$B$2,IF(AutoClaim_Data!E2824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4">
        <f>(F2824-H2824)^2</f>
        <v/>
      </c>
      <c r="J2824">
        <f>--(E2824="Validation")</f>
        <v/>
      </c>
    </row>
    <row r="2825">
      <c r="D2825">
        <f>AutoClaim_Data!A2825</f>
        <v/>
      </c>
      <c r="E2825">
        <f>AutoClaim_Data!B2825</f>
        <v/>
      </c>
      <c r="F2825">
        <f>AutoClaim_Data!C2825</f>
        <v/>
      </c>
      <c r="G2825">
        <f>IF(AutoClaim_Data!D2825&lt;=$B$2,AVERAGEIFS(AutoClaim_Data!C2:C3168,AutoClaim_Data!B2:B3168,"Train",AutoClaim_Data!D2:D3168,"&lt;="&amp;$B$2),AVERAGEIFS(AutoClaim_Data!C2:C3168,AutoClaim_Data!B2:B3168,"Train",AutoClaim_Data!D2:D3168,"&gt;"&amp;$B$2))</f>
        <v/>
      </c>
      <c r="H2825">
        <f>IF(AutoClaim_Data!D2825&lt;=$B$2,IF(AutoClaim_Data!E2825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5">
        <f>(F2825-H2825)^2</f>
        <v/>
      </c>
      <c r="J2825">
        <f>--(E2825="Validation")</f>
        <v/>
      </c>
    </row>
    <row r="2826">
      <c r="D2826">
        <f>AutoClaim_Data!A2826</f>
        <v/>
      </c>
      <c r="E2826">
        <f>AutoClaim_Data!B2826</f>
        <v/>
      </c>
      <c r="F2826">
        <f>AutoClaim_Data!C2826</f>
        <v/>
      </c>
      <c r="G2826">
        <f>IF(AutoClaim_Data!D2826&lt;=$B$2,AVERAGEIFS(AutoClaim_Data!C2:C3168,AutoClaim_Data!B2:B3168,"Train",AutoClaim_Data!D2:D3168,"&lt;="&amp;$B$2),AVERAGEIFS(AutoClaim_Data!C2:C3168,AutoClaim_Data!B2:B3168,"Train",AutoClaim_Data!D2:D3168,"&gt;"&amp;$B$2))</f>
        <v/>
      </c>
      <c r="H2826">
        <f>IF(AutoClaim_Data!D2826&lt;=$B$2,IF(AutoClaim_Data!E2826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6">
        <f>(F2826-H2826)^2</f>
        <v/>
      </c>
      <c r="J2826">
        <f>--(E2826="Validation")</f>
        <v/>
      </c>
    </row>
    <row r="2827">
      <c r="D2827">
        <f>AutoClaim_Data!A2827</f>
        <v/>
      </c>
      <c r="E2827">
        <f>AutoClaim_Data!B2827</f>
        <v/>
      </c>
      <c r="F2827">
        <f>AutoClaim_Data!C2827</f>
        <v/>
      </c>
      <c r="G2827">
        <f>IF(AutoClaim_Data!D2827&lt;=$B$2,AVERAGEIFS(AutoClaim_Data!C2:C3168,AutoClaim_Data!B2:B3168,"Train",AutoClaim_Data!D2:D3168,"&lt;="&amp;$B$2),AVERAGEIFS(AutoClaim_Data!C2:C3168,AutoClaim_Data!B2:B3168,"Train",AutoClaim_Data!D2:D3168,"&gt;"&amp;$B$2))</f>
        <v/>
      </c>
      <c r="H2827">
        <f>IF(AutoClaim_Data!D2827&lt;=$B$2,IF(AutoClaim_Data!E2827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7">
        <f>(F2827-H2827)^2</f>
        <v/>
      </c>
      <c r="J2827">
        <f>--(E2827="Validation")</f>
        <v/>
      </c>
    </row>
    <row r="2828">
      <c r="D2828">
        <f>AutoClaim_Data!A2828</f>
        <v/>
      </c>
      <c r="E2828">
        <f>AutoClaim_Data!B2828</f>
        <v/>
      </c>
      <c r="F2828">
        <f>AutoClaim_Data!C2828</f>
        <v/>
      </c>
      <c r="G2828">
        <f>IF(AutoClaim_Data!D2828&lt;=$B$2,AVERAGEIFS(AutoClaim_Data!C2:C3168,AutoClaim_Data!B2:B3168,"Train",AutoClaim_Data!D2:D3168,"&lt;="&amp;$B$2),AVERAGEIFS(AutoClaim_Data!C2:C3168,AutoClaim_Data!B2:B3168,"Train",AutoClaim_Data!D2:D3168,"&gt;"&amp;$B$2))</f>
        <v/>
      </c>
      <c r="H2828">
        <f>IF(AutoClaim_Data!D2828&lt;=$B$2,IF(AutoClaim_Data!E2828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8">
        <f>(F2828-H2828)^2</f>
        <v/>
      </c>
      <c r="J2828">
        <f>--(E2828="Validation")</f>
        <v/>
      </c>
    </row>
    <row r="2829">
      <c r="D2829">
        <f>AutoClaim_Data!A2829</f>
        <v/>
      </c>
      <c r="E2829">
        <f>AutoClaim_Data!B2829</f>
        <v/>
      </c>
      <c r="F2829">
        <f>AutoClaim_Data!C2829</f>
        <v/>
      </c>
      <c r="G2829">
        <f>IF(AutoClaim_Data!D2829&lt;=$B$2,AVERAGEIFS(AutoClaim_Data!C2:C3168,AutoClaim_Data!B2:B3168,"Train",AutoClaim_Data!D2:D3168,"&lt;="&amp;$B$2),AVERAGEIFS(AutoClaim_Data!C2:C3168,AutoClaim_Data!B2:B3168,"Train",AutoClaim_Data!D2:D3168,"&gt;"&amp;$B$2))</f>
        <v/>
      </c>
      <c r="H2829">
        <f>IF(AutoClaim_Data!D2829&lt;=$B$2,IF(AutoClaim_Data!E2829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29">
        <f>(F2829-H2829)^2</f>
        <v/>
      </c>
      <c r="J2829">
        <f>--(E2829="Validation")</f>
        <v/>
      </c>
    </row>
    <row r="2830">
      <c r="D2830">
        <f>AutoClaim_Data!A2830</f>
        <v/>
      </c>
      <c r="E2830">
        <f>AutoClaim_Data!B2830</f>
        <v/>
      </c>
      <c r="F2830">
        <f>AutoClaim_Data!C2830</f>
        <v/>
      </c>
      <c r="G2830">
        <f>IF(AutoClaim_Data!D2830&lt;=$B$2,AVERAGEIFS(AutoClaim_Data!C2:C3168,AutoClaim_Data!B2:B3168,"Train",AutoClaim_Data!D2:D3168,"&lt;="&amp;$B$2),AVERAGEIFS(AutoClaim_Data!C2:C3168,AutoClaim_Data!B2:B3168,"Train",AutoClaim_Data!D2:D3168,"&gt;"&amp;$B$2))</f>
        <v/>
      </c>
      <c r="H2830">
        <f>IF(AutoClaim_Data!D2830&lt;=$B$2,IF(AutoClaim_Data!E2830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0">
        <f>(F2830-H2830)^2</f>
        <v/>
      </c>
      <c r="J2830">
        <f>--(E2830="Validation")</f>
        <v/>
      </c>
    </row>
    <row r="2831">
      <c r="D2831">
        <f>AutoClaim_Data!A2831</f>
        <v/>
      </c>
      <c r="E2831">
        <f>AutoClaim_Data!B2831</f>
        <v/>
      </c>
      <c r="F2831">
        <f>AutoClaim_Data!C2831</f>
        <v/>
      </c>
      <c r="G2831">
        <f>IF(AutoClaim_Data!D2831&lt;=$B$2,AVERAGEIFS(AutoClaim_Data!C2:C3168,AutoClaim_Data!B2:B3168,"Train",AutoClaim_Data!D2:D3168,"&lt;="&amp;$B$2),AVERAGEIFS(AutoClaim_Data!C2:C3168,AutoClaim_Data!B2:B3168,"Train",AutoClaim_Data!D2:D3168,"&gt;"&amp;$B$2))</f>
        <v/>
      </c>
      <c r="H2831">
        <f>IF(AutoClaim_Data!D2831&lt;=$B$2,IF(AutoClaim_Data!E2831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1">
        <f>(F2831-H2831)^2</f>
        <v/>
      </c>
      <c r="J2831">
        <f>--(E2831="Validation")</f>
        <v/>
      </c>
    </row>
    <row r="2832">
      <c r="D2832">
        <f>AutoClaim_Data!A2832</f>
        <v/>
      </c>
      <c r="E2832">
        <f>AutoClaim_Data!B2832</f>
        <v/>
      </c>
      <c r="F2832">
        <f>AutoClaim_Data!C2832</f>
        <v/>
      </c>
      <c r="G2832">
        <f>IF(AutoClaim_Data!D2832&lt;=$B$2,AVERAGEIFS(AutoClaim_Data!C2:C3168,AutoClaim_Data!B2:B3168,"Train",AutoClaim_Data!D2:D3168,"&lt;="&amp;$B$2),AVERAGEIFS(AutoClaim_Data!C2:C3168,AutoClaim_Data!B2:B3168,"Train",AutoClaim_Data!D2:D3168,"&gt;"&amp;$B$2))</f>
        <v/>
      </c>
      <c r="H2832">
        <f>IF(AutoClaim_Data!D2832&lt;=$B$2,IF(AutoClaim_Data!E2832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2">
        <f>(F2832-H2832)^2</f>
        <v/>
      </c>
      <c r="J2832">
        <f>--(E2832="Validation")</f>
        <v/>
      </c>
    </row>
    <row r="2833">
      <c r="D2833">
        <f>AutoClaim_Data!A2833</f>
        <v/>
      </c>
      <c r="E2833">
        <f>AutoClaim_Data!B2833</f>
        <v/>
      </c>
      <c r="F2833">
        <f>AutoClaim_Data!C2833</f>
        <v/>
      </c>
      <c r="G2833">
        <f>IF(AutoClaim_Data!D2833&lt;=$B$2,AVERAGEIFS(AutoClaim_Data!C2:C3168,AutoClaim_Data!B2:B3168,"Train",AutoClaim_Data!D2:D3168,"&lt;="&amp;$B$2),AVERAGEIFS(AutoClaim_Data!C2:C3168,AutoClaim_Data!B2:B3168,"Train",AutoClaim_Data!D2:D3168,"&gt;"&amp;$B$2))</f>
        <v/>
      </c>
      <c r="H2833">
        <f>IF(AutoClaim_Data!D2833&lt;=$B$2,IF(AutoClaim_Data!E2833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3">
        <f>(F2833-H2833)^2</f>
        <v/>
      </c>
      <c r="J2833">
        <f>--(E2833="Validation")</f>
        <v/>
      </c>
    </row>
    <row r="2834">
      <c r="D2834">
        <f>AutoClaim_Data!A2834</f>
        <v/>
      </c>
      <c r="E2834">
        <f>AutoClaim_Data!B2834</f>
        <v/>
      </c>
      <c r="F2834">
        <f>AutoClaim_Data!C2834</f>
        <v/>
      </c>
      <c r="G2834">
        <f>IF(AutoClaim_Data!D2834&lt;=$B$2,AVERAGEIFS(AutoClaim_Data!C2:C3168,AutoClaim_Data!B2:B3168,"Train",AutoClaim_Data!D2:D3168,"&lt;="&amp;$B$2),AVERAGEIFS(AutoClaim_Data!C2:C3168,AutoClaim_Data!B2:B3168,"Train",AutoClaim_Data!D2:D3168,"&gt;"&amp;$B$2))</f>
        <v/>
      </c>
      <c r="H2834">
        <f>IF(AutoClaim_Data!D2834&lt;=$B$2,IF(AutoClaim_Data!E2834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4">
        <f>(F2834-H2834)^2</f>
        <v/>
      </c>
      <c r="J2834">
        <f>--(E2834="Validation")</f>
        <v/>
      </c>
    </row>
    <row r="2835">
      <c r="D2835">
        <f>AutoClaim_Data!A2835</f>
        <v/>
      </c>
      <c r="E2835">
        <f>AutoClaim_Data!B2835</f>
        <v/>
      </c>
      <c r="F2835">
        <f>AutoClaim_Data!C2835</f>
        <v/>
      </c>
      <c r="G2835">
        <f>IF(AutoClaim_Data!D2835&lt;=$B$2,AVERAGEIFS(AutoClaim_Data!C2:C3168,AutoClaim_Data!B2:B3168,"Train",AutoClaim_Data!D2:D3168,"&lt;="&amp;$B$2),AVERAGEIFS(AutoClaim_Data!C2:C3168,AutoClaim_Data!B2:B3168,"Train",AutoClaim_Data!D2:D3168,"&gt;"&amp;$B$2))</f>
        <v/>
      </c>
      <c r="H2835">
        <f>IF(AutoClaim_Data!D2835&lt;=$B$2,IF(AutoClaim_Data!E2835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5">
        <f>(F2835-H2835)^2</f>
        <v/>
      </c>
      <c r="J2835">
        <f>--(E2835="Validation")</f>
        <v/>
      </c>
    </row>
    <row r="2836">
      <c r="D2836">
        <f>AutoClaim_Data!A2836</f>
        <v/>
      </c>
      <c r="E2836">
        <f>AutoClaim_Data!B2836</f>
        <v/>
      </c>
      <c r="F2836">
        <f>AutoClaim_Data!C2836</f>
        <v/>
      </c>
      <c r="G2836">
        <f>IF(AutoClaim_Data!D2836&lt;=$B$2,AVERAGEIFS(AutoClaim_Data!C2:C3168,AutoClaim_Data!B2:B3168,"Train",AutoClaim_Data!D2:D3168,"&lt;="&amp;$B$2),AVERAGEIFS(AutoClaim_Data!C2:C3168,AutoClaim_Data!B2:B3168,"Train",AutoClaim_Data!D2:D3168,"&gt;"&amp;$B$2))</f>
        <v/>
      </c>
      <c r="H2836">
        <f>IF(AutoClaim_Data!D2836&lt;=$B$2,IF(AutoClaim_Data!E2836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6">
        <f>(F2836-H2836)^2</f>
        <v/>
      </c>
      <c r="J2836">
        <f>--(E2836="Validation")</f>
        <v/>
      </c>
    </row>
    <row r="2837">
      <c r="D2837">
        <f>AutoClaim_Data!A2837</f>
        <v/>
      </c>
      <c r="E2837">
        <f>AutoClaim_Data!B2837</f>
        <v/>
      </c>
      <c r="F2837">
        <f>AutoClaim_Data!C2837</f>
        <v/>
      </c>
      <c r="G2837">
        <f>IF(AutoClaim_Data!D2837&lt;=$B$2,AVERAGEIFS(AutoClaim_Data!C2:C3168,AutoClaim_Data!B2:B3168,"Train",AutoClaim_Data!D2:D3168,"&lt;="&amp;$B$2),AVERAGEIFS(AutoClaim_Data!C2:C3168,AutoClaim_Data!B2:B3168,"Train",AutoClaim_Data!D2:D3168,"&gt;"&amp;$B$2))</f>
        <v/>
      </c>
      <c r="H2837">
        <f>IF(AutoClaim_Data!D2837&lt;=$B$2,IF(AutoClaim_Data!E2837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7">
        <f>(F2837-H2837)^2</f>
        <v/>
      </c>
      <c r="J2837">
        <f>--(E2837="Validation")</f>
        <v/>
      </c>
    </row>
    <row r="2838">
      <c r="D2838">
        <f>AutoClaim_Data!A2838</f>
        <v/>
      </c>
      <c r="E2838">
        <f>AutoClaim_Data!B2838</f>
        <v/>
      </c>
      <c r="F2838">
        <f>AutoClaim_Data!C2838</f>
        <v/>
      </c>
      <c r="G2838">
        <f>IF(AutoClaim_Data!D2838&lt;=$B$2,AVERAGEIFS(AutoClaim_Data!C2:C3168,AutoClaim_Data!B2:B3168,"Train",AutoClaim_Data!D2:D3168,"&lt;="&amp;$B$2),AVERAGEIFS(AutoClaim_Data!C2:C3168,AutoClaim_Data!B2:B3168,"Train",AutoClaim_Data!D2:D3168,"&gt;"&amp;$B$2))</f>
        <v/>
      </c>
      <c r="H2838">
        <f>IF(AutoClaim_Data!D2838&lt;=$B$2,IF(AutoClaim_Data!E2838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8">
        <f>(F2838-H2838)^2</f>
        <v/>
      </c>
      <c r="J2838">
        <f>--(E2838="Validation")</f>
        <v/>
      </c>
    </row>
    <row r="2839">
      <c r="D2839">
        <f>AutoClaim_Data!A2839</f>
        <v/>
      </c>
      <c r="E2839">
        <f>AutoClaim_Data!B2839</f>
        <v/>
      </c>
      <c r="F2839">
        <f>AutoClaim_Data!C2839</f>
        <v/>
      </c>
      <c r="G2839">
        <f>IF(AutoClaim_Data!D2839&lt;=$B$2,AVERAGEIFS(AutoClaim_Data!C2:C3168,AutoClaim_Data!B2:B3168,"Train",AutoClaim_Data!D2:D3168,"&lt;="&amp;$B$2),AVERAGEIFS(AutoClaim_Data!C2:C3168,AutoClaim_Data!B2:B3168,"Train",AutoClaim_Data!D2:D3168,"&gt;"&amp;$B$2))</f>
        <v/>
      </c>
      <c r="H2839">
        <f>IF(AutoClaim_Data!D2839&lt;=$B$2,IF(AutoClaim_Data!E2839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39">
        <f>(F2839-H2839)^2</f>
        <v/>
      </c>
      <c r="J2839">
        <f>--(E2839="Validation")</f>
        <v/>
      </c>
    </row>
    <row r="2840">
      <c r="D2840">
        <f>AutoClaim_Data!A2840</f>
        <v/>
      </c>
      <c r="E2840">
        <f>AutoClaim_Data!B2840</f>
        <v/>
      </c>
      <c r="F2840">
        <f>AutoClaim_Data!C2840</f>
        <v/>
      </c>
      <c r="G2840">
        <f>IF(AutoClaim_Data!D2840&lt;=$B$2,AVERAGEIFS(AutoClaim_Data!C2:C3168,AutoClaim_Data!B2:B3168,"Train",AutoClaim_Data!D2:D3168,"&lt;="&amp;$B$2),AVERAGEIFS(AutoClaim_Data!C2:C3168,AutoClaim_Data!B2:B3168,"Train",AutoClaim_Data!D2:D3168,"&gt;"&amp;$B$2))</f>
        <v/>
      </c>
      <c r="H2840">
        <f>IF(AutoClaim_Data!D2840&lt;=$B$2,IF(AutoClaim_Data!E2840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0">
        <f>(F2840-H2840)^2</f>
        <v/>
      </c>
      <c r="J2840">
        <f>--(E2840="Validation")</f>
        <v/>
      </c>
    </row>
    <row r="2841">
      <c r="D2841">
        <f>AutoClaim_Data!A2841</f>
        <v/>
      </c>
      <c r="E2841">
        <f>AutoClaim_Data!B2841</f>
        <v/>
      </c>
      <c r="F2841">
        <f>AutoClaim_Data!C2841</f>
        <v/>
      </c>
      <c r="G2841">
        <f>IF(AutoClaim_Data!D2841&lt;=$B$2,AVERAGEIFS(AutoClaim_Data!C2:C3168,AutoClaim_Data!B2:B3168,"Train",AutoClaim_Data!D2:D3168,"&lt;="&amp;$B$2),AVERAGEIFS(AutoClaim_Data!C2:C3168,AutoClaim_Data!B2:B3168,"Train",AutoClaim_Data!D2:D3168,"&gt;"&amp;$B$2))</f>
        <v/>
      </c>
      <c r="H2841">
        <f>IF(AutoClaim_Data!D2841&lt;=$B$2,IF(AutoClaim_Data!E2841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1">
        <f>(F2841-H2841)^2</f>
        <v/>
      </c>
      <c r="J2841">
        <f>--(E2841="Validation")</f>
        <v/>
      </c>
    </row>
    <row r="2842">
      <c r="D2842">
        <f>AutoClaim_Data!A2842</f>
        <v/>
      </c>
      <c r="E2842">
        <f>AutoClaim_Data!B2842</f>
        <v/>
      </c>
      <c r="F2842">
        <f>AutoClaim_Data!C2842</f>
        <v/>
      </c>
      <c r="G2842">
        <f>IF(AutoClaim_Data!D2842&lt;=$B$2,AVERAGEIFS(AutoClaim_Data!C2:C3168,AutoClaim_Data!B2:B3168,"Train",AutoClaim_Data!D2:D3168,"&lt;="&amp;$B$2),AVERAGEIFS(AutoClaim_Data!C2:C3168,AutoClaim_Data!B2:B3168,"Train",AutoClaim_Data!D2:D3168,"&gt;"&amp;$B$2))</f>
        <v/>
      </c>
      <c r="H2842">
        <f>IF(AutoClaim_Data!D2842&lt;=$B$2,IF(AutoClaim_Data!E2842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2">
        <f>(F2842-H2842)^2</f>
        <v/>
      </c>
      <c r="J2842">
        <f>--(E2842="Validation")</f>
        <v/>
      </c>
    </row>
    <row r="2843">
      <c r="D2843">
        <f>AutoClaim_Data!A2843</f>
        <v/>
      </c>
      <c r="E2843">
        <f>AutoClaim_Data!B2843</f>
        <v/>
      </c>
      <c r="F2843">
        <f>AutoClaim_Data!C2843</f>
        <v/>
      </c>
      <c r="G2843">
        <f>IF(AutoClaim_Data!D2843&lt;=$B$2,AVERAGEIFS(AutoClaim_Data!C2:C3168,AutoClaim_Data!B2:B3168,"Train",AutoClaim_Data!D2:D3168,"&lt;="&amp;$B$2),AVERAGEIFS(AutoClaim_Data!C2:C3168,AutoClaim_Data!B2:B3168,"Train",AutoClaim_Data!D2:D3168,"&gt;"&amp;$B$2))</f>
        <v/>
      </c>
      <c r="H2843">
        <f>IF(AutoClaim_Data!D2843&lt;=$B$2,IF(AutoClaim_Data!E2843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3">
        <f>(F2843-H2843)^2</f>
        <v/>
      </c>
      <c r="J2843">
        <f>--(E2843="Validation")</f>
        <v/>
      </c>
    </row>
    <row r="2844">
      <c r="D2844">
        <f>AutoClaim_Data!A2844</f>
        <v/>
      </c>
      <c r="E2844">
        <f>AutoClaim_Data!B2844</f>
        <v/>
      </c>
      <c r="F2844">
        <f>AutoClaim_Data!C2844</f>
        <v/>
      </c>
      <c r="G2844">
        <f>IF(AutoClaim_Data!D2844&lt;=$B$2,AVERAGEIFS(AutoClaim_Data!C2:C3168,AutoClaim_Data!B2:B3168,"Train",AutoClaim_Data!D2:D3168,"&lt;="&amp;$B$2),AVERAGEIFS(AutoClaim_Data!C2:C3168,AutoClaim_Data!B2:B3168,"Train",AutoClaim_Data!D2:D3168,"&gt;"&amp;$B$2))</f>
        <v/>
      </c>
      <c r="H2844">
        <f>IF(AutoClaim_Data!D2844&lt;=$B$2,IF(AutoClaim_Data!E2844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4">
        <f>(F2844-H2844)^2</f>
        <v/>
      </c>
      <c r="J2844">
        <f>--(E2844="Validation")</f>
        <v/>
      </c>
    </row>
    <row r="2845">
      <c r="D2845">
        <f>AutoClaim_Data!A2845</f>
        <v/>
      </c>
      <c r="E2845">
        <f>AutoClaim_Data!B2845</f>
        <v/>
      </c>
      <c r="F2845">
        <f>AutoClaim_Data!C2845</f>
        <v/>
      </c>
      <c r="G2845">
        <f>IF(AutoClaim_Data!D2845&lt;=$B$2,AVERAGEIFS(AutoClaim_Data!C2:C3168,AutoClaim_Data!B2:B3168,"Train",AutoClaim_Data!D2:D3168,"&lt;="&amp;$B$2),AVERAGEIFS(AutoClaim_Data!C2:C3168,AutoClaim_Data!B2:B3168,"Train",AutoClaim_Data!D2:D3168,"&gt;"&amp;$B$2))</f>
        <v/>
      </c>
      <c r="H2845">
        <f>IF(AutoClaim_Data!D2845&lt;=$B$2,IF(AutoClaim_Data!E2845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5">
        <f>(F2845-H2845)^2</f>
        <v/>
      </c>
      <c r="J2845">
        <f>--(E2845="Validation")</f>
        <v/>
      </c>
    </row>
    <row r="2846">
      <c r="D2846">
        <f>AutoClaim_Data!A2846</f>
        <v/>
      </c>
      <c r="E2846">
        <f>AutoClaim_Data!B2846</f>
        <v/>
      </c>
      <c r="F2846">
        <f>AutoClaim_Data!C2846</f>
        <v/>
      </c>
      <c r="G2846">
        <f>IF(AutoClaim_Data!D2846&lt;=$B$2,AVERAGEIFS(AutoClaim_Data!C2:C3168,AutoClaim_Data!B2:B3168,"Train",AutoClaim_Data!D2:D3168,"&lt;="&amp;$B$2),AVERAGEIFS(AutoClaim_Data!C2:C3168,AutoClaim_Data!B2:B3168,"Train",AutoClaim_Data!D2:D3168,"&gt;"&amp;$B$2))</f>
        <v/>
      </c>
      <c r="H2846">
        <f>IF(AutoClaim_Data!D2846&lt;=$B$2,IF(AutoClaim_Data!E2846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6">
        <f>(F2846-H2846)^2</f>
        <v/>
      </c>
      <c r="J2846">
        <f>--(E2846="Validation")</f>
        <v/>
      </c>
    </row>
    <row r="2847">
      <c r="D2847">
        <f>AutoClaim_Data!A2847</f>
        <v/>
      </c>
      <c r="E2847">
        <f>AutoClaim_Data!B2847</f>
        <v/>
      </c>
      <c r="F2847">
        <f>AutoClaim_Data!C2847</f>
        <v/>
      </c>
      <c r="G2847">
        <f>IF(AutoClaim_Data!D2847&lt;=$B$2,AVERAGEIFS(AutoClaim_Data!C2:C3168,AutoClaim_Data!B2:B3168,"Train",AutoClaim_Data!D2:D3168,"&lt;="&amp;$B$2),AVERAGEIFS(AutoClaim_Data!C2:C3168,AutoClaim_Data!B2:B3168,"Train",AutoClaim_Data!D2:D3168,"&gt;"&amp;$B$2))</f>
        <v/>
      </c>
      <c r="H2847">
        <f>IF(AutoClaim_Data!D2847&lt;=$B$2,IF(AutoClaim_Data!E2847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7">
        <f>(F2847-H2847)^2</f>
        <v/>
      </c>
      <c r="J2847">
        <f>--(E2847="Validation")</f>
        <v/>
      </c>
    </row>
    <row r="2848">
      <c r="D2848">
        <f>AutoClaim_Data!A2848</f>
        <v/>
      </c>
      <c r="E2848">
        <f>AutoClaim_Data!B2848</f>
        <v/>
      </c>
      <c r="F2848">
        <f>AutoClaim_Data!C2848</f>
        <v/>
      </c>
      <c r="G2848">
        <f>IF(AutoClaim_Data!D2848&lt;=$B$2,AVERAGEIFS(AutoClaim_Data!C2:C3168,AutoClaim_Data!B2:B3168,"Train",AutoClaim_Data!D2:D3168,"&lt;="&amp;$B$2),AVERAGEIFS(AutoClaim_Data!C2:C3168,AutoClaim_Data!B2:B3168,"Train",AutoClaim_Data!D2:D3168,"&gt;"&amp;$B$2))</f>
        <v/>
      </c>
      <c r="H2848">
        <f>IF(AutoClaim_Data!D2848&lt;=$B$2,IF(AutoClaim_Data!E2848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8">
        <f>(F2848-H2848)^2</f>
        <v/>
      </c>
      <c r="J2848">
        <f>--(E2848="Validation")</f>
        <v/>
      </c>
    </row>
    <row r="2849">
      <c r="D2849">
        <f>AutoClaim_Data!A2849</f>
        <v/>
      </c>
      <c r="E2849">
        <f>AutoClaim_Data!B2849</f>
        <v/>
      </c>
      <c r="F2849">
        <f>AutoClaim_Data!C2849</f>
        <v/>
      </c>
      <c r="G2849">
        <f>IF(AutoClaim_Data!D2849&lt;=$B$2,AVERAGEIFS(AutoClaim_Data!C2:C3168,AutoClaim_Data!B2:B3168,"Train",AutoClaim_Data!D2:D3168,"&lt;="&amp;$B$2),AVERAGEIFS(AutoClaim_Data!C2:C3168,AutoClaim_Data!B2:B3168,"Train",AutoClaim_Data!D2:D3168,"&gt;"&amp;$B$2))</f>
        <v/>
      </c>
      <c r="H2849">
        <f>IF(AutoClaim_Data!D2849&lt;=$B$2,IF(AutoClaim_Data!E2849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49">
        <f>(F2849-H2849)^2</f>
        <v/>
      </c>
      <c r="J2849">
        <f>--(E2849="Validation")</f>
        <v/>
      </c>
    </row>
    <row r="2850">
      <c r="D2850">
        <f>AutoClaim_Data!A2850</f>
        <v/>
      </c>
      <c r="E2850">
        <f>AutoClaim_Data!B2850</f>
        <v/>
      </c>
      <c r="F2850">
        <f>AutoClaim_Data!C2850</f>
        <v/>
      </c>
      <c r="G2850">
        <f>IF(AutoClaim_Data!D2850&lt;=$B$2,AVERAGEIFS(AutoClaim_Data!C2:C3168,AutoClaim_Data!B2:B3168,"Train",AutoClaim_Data!D2:D3168,"&lt;="&amp;$B$2),AVERAGEIFS(AutoClaim_Data!C2:C3168,AutoClaim_Data!B2:B3168,"Train",AutoClaim_Data!D2:D3168,"&gt;"&amp;$B$2))</f>
        <v/>
      </c>
      <c r="H2850">
        <f>IF(AutoClaim_Data!D2850&lt;=$B$2,IF(AutoClaim_Data!E2850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0">
        <f>(F2850-H2850)^2</f>
        <v/>
      </c>
      <c r="J2850">
        <f>--(E2850="Validation")</f>
        <v/>
      </c>
    </row>
    <row r="2851">
      <c r="D2851">
        <f>AutoClaim_Data!A2851</f>
        <v/>
      </c>
      <c r="E2851">
        <f>AutoClaim_Data!B2851</f>
        <v/>
      </c>
      <c r="F2851">
        <f>AutoClaim_Data!C2851</f>
        <v/>
      </c>
      <c r="G2851">
        <f>IF(AutoClaim_Data!D2851&lt;=$B$2,AVERAGEIFS(AutoClaim_Data!C2:C3168,AutoClaim_Data!B2:B3168,"Train",AutoClaim_Data!D2:D3168,"&lt;="&amp;$B$2),AVERAGEIFS(AutoClaim_Data!C2:C3168,AutoClaim_Data!B2:B3168,"Train",AutoClaim_Data!D2:D3168,"&gt;"&amp;$B$2))</f>
        <v/>
      </c>
      <c r="H2851">
        <f>IF(AutoClaim_Data!D2851&lt;=$B$2,IF(AutoClaim_Data!E2851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1">
        <f>(F2851-H2851)^2</f>
        <v/>
      </c>
      <c r="J2851">
        <f>--(E2851="Validation")</f>
        <v/>
      </c>
    </row>
    <row r="2852">
      <c r="D2852">
        <f>AutoClaim_Data!A2852</f>
        <v/>
      </c>
      <c r="E2852">
        <f>AutoClaim_Data!B2852</f>
        <v/>
      </c>
      <c r="F2852">
        <f>AutoClaim_Data!C2852</f>
        <v/>
      </c>
      <c r="G2852">
        <f>IF(AutoClaim_Data!D2852&lt;=$B$2,AVERAGEIFS(AutoClaim_Data!C2:C3168,AutoClaim_Data!B2:B3168,"Train",AutoClaim_Data!D2:D3168,"&lt;="&amp;$B$2),AVERAGEIFS(AutoClaim_Data!C2:C3168,AutoClaim_Data!B2:B3168,"Train",AutoClaim_Data!D2:D3168,"&gt;"&amp;$B$2))</f>
        <v/>
      </c>
      <c r="H2852">
        <f>IF(AutoClaim_Data!D2852&lt;=$B$2,IF(AutoClaim_Data!E2852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2">
        <f>(F2852-H2852)^2</f>
        <v/>
      </c>
      <c r="J2852">
        <f>--(E2852="Validation")</f>
        <v/>
      </c>
    </row>
    <row r="2853">
      <c r="D2853">
        <f>AutoClaim_Data!A2853</f>
        <v/>
      </c>
      <c r="E2853">
        <f>AutoClaim_Data!B2853</f>
        <v/>
      </c>
      <c r="F2853">
        <f>AutoClaim_Data!C2853</f>
        <v/>
      </c>
      <c r="G2853">
        <f>IF(AutoClaim_Data!D2853&lt;=$B$2,AVERAGEIFS(AutoClaim_Data!C2:C3168,AutoClaim_Data!B2:B3168,"Train",AutoClaim_Data!D2:D3168,"&lt;="&amp;$B$2),AVERAGEIFS(AutoClaim_Data!C2:C3168,AutoClaim_Data!B2:B3168,"Train",AutoClaim_Data!D2:D3168,"&gt;"&amp;$B$2))</f>
        <v/>
      </c>
      <c r="H2853">
        <f>IF(AutoClaim_Data!D2853&lt;=$B$2,IF(AutoClaim_Data!E2853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3">
        <f>(F2853-H2853)^2</f>
        <v/>
      </c>
      <c r="J2853">
        <f>--(E2853="Validation")</f>
        <v/>
      </c>
    </row>
    <row r="2854">
      <c r="D2854">
        <f>AutoClaim_Data!A2854</f>
        <v/>
      </c>
      <c r="E2854">
        <f>AutoClaim_Data!B2854</f>
        <v/>
      </c>
      <c r="F2854">
        <f>AutoClaim_Data!C2854</f>
        <v/>
      </c>
      <c r="G2854">
        <f>IF(AutoClaim_Data!D2854&lt;=$B$2,AVERAGEIFS(AutoClaim_Data!C2:C3168,AutoClaim_Data!B2:B3168,"Train",AutoClaim_Data!D2:D3168,"&lt;="&amp;$B$2),AVERAGEIFS(AutoClaim_Data!C2:C3168,AutoClaim_Data!B2:B3168,"Train",AutoClaim_Data!D2:D3168,"&gt;"&amp;$B$2))</f>
        <v/>
      </c>
      <c r="H2854">
        <f>IF(AutoClaim_Data!D2854&lt;=$B$2,IF(AutoClaim_Data!E2854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4">
        <f>(F2854-H2854)^2</f>
        <v/>
      </c>
      <c r="J2854">
        <f>--(E2854="Validation")</f>
        <v/>
      </c>
    </row>
    <row r="2855">
      <c r="D2855">
        <f>AutoClaim_Data!A2855</f>
        <v/>
      </c>
      <c r="E2855">
        <f>AutoClaim_Data!B2855</f>
        <v/>
      </c>
      <c r="F2855">
        <f>AutoClaim_Data!C2855</f>
        <v/>
      </c>
      <c r="G2855">
        <f>IF(AutoClaim_Data!D2855&lt;=$B$2,AVERAGEIFS(AutoClaim_Data!C2:C3168,AutoClaim_Data!B2:B3168,"Train",AutoClaim_Data!D2:D3168,"&lt;="&amp;$B$2),AVERAGEIFS(AutoClaim_Data!C2:C3168,AutoClaim_Data!B2:B3168,"Train",AutoClaim_Data!D2:D3168,"&gt;"&amp;$B$2))</f>
        <v/>
      </c>
      <c r="H2855">
        <f>IF(AutoClaim_Data!D2855&lt;=$B$2,IF(AutoClaim_Data!E2855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5">
        <f>(F2855-H2855)^2</f>
        <v/>
      </c>
      <c r="J2855">
        <f>--(E2855="Validation")</f>
        <v/>
      </c>
    </row>
    <row r="2856">
      <c r="D2856">
        <f>AutoClaim_Data!A2856</f>
        <v/>
      </c>
      <c r="E2856">
        <f>AutoClaim_Data!B2856</f>
        <v/>
      </c>
      <c r="F2856">
        <f>AutoClaim_Data!C2856</f>
        <v/>
      </c>
      <c r="G2856">
        <f>IF(AutoClaim_Data!D2856&lt;=$B$2,AVERAGEIFS(AutoClaim_Data!C2:C3168,AutoClaim_Data!B2:B3168,"Train",AutoClaim_Data!D2:D3168,"&lt;="&amp;$B$2),AVERAGEIFS(AutoClaim_Data!C2:C3168,AutoClaim_Data!B2:B3168,"Train",AutoClaim_Data!D2:D3168,"&gt;"&amp;$B$2))</f>
        <v/>
      </c>
      <c r="H2856">
        <f>IF(AutoClaim_Data!D2856&lt;=$B$2,IF(AutoClaim_Data!E2856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6">
        <f>(F2856-H2856)^2</f>
        <v/>
      </c>
      <c r="J2856">
        <f>--(E2856="Validation")</f>
        <v/>
      </c>
    </row>
    <row r="2857">
      <c r="D2857">
        <f>AutoClaim_Data!A2857</f>
        <v/>
      </c>
      <c r="E2857">
        <f>AutoClaim_Data!B2857</f>
        <v/>
      </c>
      <c r="F2857">
        <f>AutoClaim_Data!C2857</f>
        <v/>
      </c>
      <c r="G2857">
        <f>IF(AutoClaim_Data!D2857&lt;=$B$2,AVERAGEIFS(AutoClaim_Data!C2:C3168,AutoClaim_Data!B2:B3168,"Train",AutoClaim_Data!D2:D3168,"&lt;="&amp;$B$2),AVERAGEIFS(AutoClaim_Data!C2:C3168,AutoClaim_Data!B2:B3168,"Train",AutoClaim_Data!D2:D3168,"&gt;"&amp;$B$2))</f>
        <v/>
      </c>
      <c r="H2857">
        <f>IF(AutoClaim_Data!D2857&lt;=$B$2,IF(AutoClaim_Data!E2857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7">
        <f>(F2857-H2857)^2</f>
        <v/>
      </c>
      <c r="J2857">
        <f>--(E2857="Validation")</f>
        <v/>
      </c>
    </row>
    <row r="2858">
      <c r="D2858">
        <f>AutoClaim_Data!A2858</f>
        <v/>
      </c>
      <c r="E2858">
        <f>AutoClaim_Data!B2858</f>
        <v/>
      </c>
      <c r="F2858">
        <f>AutoClaim_Data!C2858</f>
        <v/>
      </c>
      <c r="G2858">
        <f>IF(AutoClaim_Data!D2858&lt;=$B$2,AVERAGEIFS(AutoClaim_Data!C2:C3168,AutoClaim_Data!B2:B3168,"Train",AutoClaim_Data!D2:D3168,"&lt;="&amp;$B$2),AVERAGEIFS(AutoClaim_Data!C2:C3168,AutoClaim_Data!B2:B3168,"Train",AutoClaim_Data!D2:D3168,"&gt;"&amp;$B$2))</f>
        <v/>
      </c>
      <c r="H2858">
        <f>IF(AutoClaim_Data!D2858&lt;=$B$2,IF(AutoClaim_Data!E2858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8">
        <f>(F2858-H2858)^2</f>
        <v/>
      </c>
      <c r="J2858">
        <f>--(E2858="Validation")</f>
        <v/>
      </c>
    </row>
    <row r="2859">
      <c r="D2859">
        <f>AutoClaim_Data!A2859</f>
        <v/>
      </c>
      <c r="E2859">
        <f>AutoClaim_Data!B2859</f>
        <v/>
      </c>
      <c r="F2859">
        <f>AutoClaim_Data!C2859</f>
        <v/>
      </c>
      <c r="G2859">
        <f>IF(AutoClaim_Data!D2859&lt;=$B$2,AVERAGEIFS(AutoClaim_Data!C2:C3168,AutoClaim_Data!B2:B3168,"Train",AutoClaim_Data!D2:D3168,"&lt;="&amp;$B$2),AVERAGEIFS(AutoClaim_Data!C2:C3168,AutoClaim_Data!B2:B3168,"Train",AutoClaim_Data!D2:D3168,"&gt;"&amp;$B$2))</f>
        <v/>
      </c>
      <c r="H2859">
        <f>IF(AutoClaim_Data!D2859&lt;=$B$2,IF(AutoClaim_Data!E2859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59">
        <f>(F2859-H2859)^2</f>
        <v/>
      </c>
      <c r="J2859">
        <f>--(E2859="Validation")</f>
        <v/>
      </c>
    </row>
    <row r="2860">
      <c r="D2860">
        <f>AutoClaim_Data!A2860</f>
        <v/>
      </c>
      <c r="E2860">
        <f>AutoClaim_Data!B2860</f>
        <v/>
      </c>
      <c r="F2860">
        <f>AutoClaim_Data!C2860</f>
        <v/>
      </c>
      <c r="G2860">
        <f>IF(AutoClaim_Data!D2860&lt;=$B$2,AVERAGEIFS(AutoClaim_Data!C2:C3168,AutoClaim_Data!B2:B3168,"Train",AutoClaim_Data!D2:D3168,"&lt;="&amp;$B$2),AVERAGEIFS(AutoClaim_Data!C2:C3168,AutoClaim_Data!B2:B3168,"Train",AutoClaim_Data!D2:D3168,"&gt;"&amp;$B$2))</f>
        <v/>
      </c>
      <c r="H2860">
        <f>IF(AutoClaim_Data!D2860&lt;=$B$2,IF(AutoClaim_Data!E2860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0">
        <f>(F2860-H2860)^2</f>
        <v/>
      </c>
      <c r="J2860">
        <f>--(E2860="Validation")</f>
        <v/>
      </c>
    </row>
    <row r="2861">
      <c r="D2861">
        <f>AutoClaim_Data!A2861</f>
        <v/>
      </c>
      <c r="E2861">
        <f>AutoClaim_Data!B2861</f>
        <v/>
      </c>
      <c r="F2861">
        <f>AutoClaim_Data!C2861</f>
        <v/>
      </c>
      <c r="G2861">
        <f>IF(AutoClaim_Data!D2861&lt;=$B$2,AVERAGEIFS(AutoClaim_Data!C2:C3168,AutoClaim_Data!B2:B3168,"Train",AutoClaim_Data!D2:D3168,"&lt;="&amp;$B$2),AVERAGEIFS(AutoClaim_Data!C2:C3168,AutoClaim_Data!B2:B3168,"Train",AutoClaim_Data!D2:D3168,"&gt;"&amp;$B$2))</f>
        <v/>
      </c>
      <c r="H2861">
        <f>IF(AutoClaim_Data!D2861&lt;=$B$2,IF(AutoClaim_Data!E2861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1">
        <f>(F2861-H2861)^2</f>
        <v/>
      </c>
      <c r="J2861">
        <f>--(E2861="Validation")</f>
        <v/>
      </c>
    </row>
    <row r="2862">
      <c r="D2862">
        <f>AutoClaim_Data!A2862</f>
        <v/>
      </c>
      <c r="E2862">
        <f>AutoClaim_Data!B2862</f>
        <v/>
      </c>
      <c r="F2862">
        <f>AutoClaim_Data!C2862</f>
        <v/>
      </c>
      <c r="G2862">
        <f>IF(AutoClaim_Data!D2862&lt;=$B$2,AVERAGEIFS(AutoClaim_Data!C2:C3168,AutoClaim_Data!B2:B3168,"Train",AutoClaim_Data!D2:D3168,"&lt;="&amp;$B$2),AVERAGEIFS(AutoClaim_Data!C2:C3168,AutoClaim_Data!B2:B3168,"Train",AutoClaim_Data!D2:D3168,"&gt;"&amp;$B$2))</f>
        <v/>
      </c>
      <c r="H2862">
        <f>IF(AutoClaim_Data!D2862&lt;=$B$2,IF(AutoClaim_Data!E2862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2">
        <f>(F2862-H2862)^2</f>
        <v/>
      </c>
      <c r="J2862">
        <f>--(E2862="Validation")</f>
        <v/>
      </c>
    </row>
    <row r="2863">
      <c r="D2863">
        <f>AutoClaim_Data!A2863</f>
        <v/>
      </c>
      <c r="E2863">
        <f>AutoClaim_Data!B2863</f>
        <v/>
      </c>
      <c r="F2863">
        <f>AutoClaim_Data!C2863</f>
        <v/>
      </c>
      <c r="G2863">
        <f>IF(AutoClaim_Data!D2863&lt;=$B$2,AVERAGEIFS(AutoClaim_Data!C2:C3168,AutoClaim_Data!B2:B3168,"Train",AutoClaim_Data!D2:D3168,"&lt;="&amp;$B$2),AVERAGEIFS(AutoClaim_Data!C2:C3168,AutoClaim_Data!B2:B3168,"Train",AutoClaim_Data!D2:D3168,"&gt;"&amp;$B$2))</f>
        <v/>
      </c>
      <c r="H2863">
        <f>IF(AutoClaim_Data!D2863&lt;=$B$2,IF(AutoClaim_Data!E2863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3">
        <f>(F2863-H2863)^2</f>
        <v/>
      </c>
      <c r="J2863">
        <f>--(E2863="Validation")</f>
        <v/>
      </c>
    </row>
    <row r="2864">
      <c r="D2864">
        <f>AutoClaim_Data!A2864</f>
        <v/>
      </c>
      <c r="E2864">
        <f>AutoClaim_Data!B2864</f>
        <v/>
      </c>
      <c r="F2864">
        <f>AutoClaim_Data!C2864</f>
        <v/>
      </c>
      <c r="G2864">
        <f>IF(AutoClaim_Data!D2864&lt;=$B$2,AVERAGEIFS(AutoClaim_Data!C2:C3168,AutoClaim_Data!B2:B3168,"Train",AutoClaim_Data!D2:D3168,"&lt;="&amp;$B$2),AVERAGEIFS(AutoClaim_Data!C2:C3168,AutoClaim_Data!B2:B3168,"Train",AutoClaim_Data!D2:D3168,"&gt;"&amp;$B$2))</f>
        <v/>
      </c>
      <c r="H2864">
        <f>IF(AutoClaim_Data!D2864&lt;=$B$2,IF(AutoClaim_Data!E2864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4">
        <f>(F2864-H2864)^2</f>
        <v/>
      </c>
      <c r="J2864">
        <f>--(E2864="Validation")</f>
        <v/>
      </c>
    </row>
    <row r="2865">
      <c r="D2865">
        <f>AutoClaim_Data!A2865</f>
        <v/>
      </c>
      <c r="E2865">
        <f>AutoClaim_Data!B2865</f>
        <v/>
      </c>
      <c r="F2865">
        <f>AutoClaim_Data!C2865</f>
        <v/>
      </c>
      <c r="G2865">
        <f>IF(AutoClaim_Data!D2865&lt;=$B$2,AVERAGEIFS(AutoClaim_Data!C2:C3168,AutoClaim_Data!B2:B3168,"Train",AutoClaim_Data!D2:D3168,"&lt;="&amp;$B$2),AVERAGEIFS(AutoClaim_Data!C2:C3168,AutoClaim_Data!B2:B3168,"Train",AutoClaim_Data!D2:D3168,"&gt;"&amp;$B$2))</f>
        <v/>
      </c>
      <c r="H2865">
        <f>IF(AutoClaim_Data!D2865&lt;=$B$2,IF(AutoClaim_Data!E2865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5">
        <f>(F2865-H2865)^2</f>
        <v/>
      </c>
      <c r="J2865">
        <f>--(E2865="Validation")</f>
        <v/>
      </c>
    </row>
    <row r="2866">
      <c r="D2866">
        <f>AutoClaim_Data!A2866</f>
        <v/>
      </c>
      <c r="E2866">
        <f>AutoClaim_Data!B2866</f>
        <v/>
      </c>
      <c r="F2866">
        <f>AutoClaim_Data!C2866</f>
        <v/>
      </c>
      <c r="G2866">
        <f>IF(AutoClaim_Data!D2866&lt;=$B$2,AVERAGEIFS(AutoClaim_Data!C2:C3168,AutoClaim_Data!B2:B3168,"Train",AutoClaim_Data!D2:D3168,"&lt;="&amp;$B$2),AVERAGEIFS(AutoClaim_Data!C2:C3168,AutoClaim_Data!B2:B3168,"Train",AutoClaim_Data!D2:D3168,"&gt;"&amp;$B$2))</f>
        <v/>
      </c>
      <c r="H2866">
        <f>IF(AutoClaim_Data!D2866&lt;=$B$2,IF(AutoClaim_Data!E2866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6">
        <f>(F2866-H2866)^2</f>
        <v/>
      </c>
      <c r="J2866">
        <f>--(E2866="Validation")</f>
        <v/>
      </c>
    </row>
    <row r="2867">
      <c r="D2867">
        <f>AutoClaim_Data!A2867</f>
        <v/>
      </c>
      <c r="E2867">
        <f>AutoClaim_Data!B2867</f>
        <v/>
      </c>
      <c r="F2867">
        <f>AutoClaim_Data!C2867</f>
        <v/>
      </c>
      <c r="G2867">
        <f>IF(AutoClaim_Data!D2867&lt;=$B$2,AVERAGEIFS(AutoClaim_Data!C2:C3168,AutoClaim_Data!B2:B3168,"Train",AutoClaim_Data!D2:D3168,"&lt;="&amp;$B$2),AVERAGEIFS(AutoClaim_Data!C2:C3168,AutoClaim_Data!B2:B3168,"Train",AutoClaim_Data!D2:D3168,"&gt;"&amp;$B$2))</f>
        <v/>
      </c>
      <c r="H2867">
        <f>IF(AutoClaim_Data!D2867&lt;=$B$2,IF(AutoClaim_Data!E2867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7">
        <f>(F2867-H2867)^2</f>
        <v/>
      </c>
      <c r="J2867">
        <f>--(E2867="Validation")</f>
        <v/>
      </c>
    </row>
    <row r="2868">
      <c r="D2868">
        <f>AutoClaim_Data!A2868</f>
        <v/>
      </c>
      <c r="E2868">
        <f>AutoClaim_Data!B2868</f>
        <v/>
      </c>
      <c r="F2868">
        <f>AutoClaim_Data!C2868</f>
        <v/>
      </c>
      <c r="G2868">
        <f>IF(AutoClaim_Data!D2868&lt;=$B$2,AVERAGEIFS(AutoClaim_Data!C2:C3168,AutoClaim_Data!B2:B3168,"Train",AutoClaim_Data!D2:D3168,"&lt;="&amp;$B$2),AVERAGEIFS(AutoClaim_Data!C2:C3168,AutoClaim_Data!B2:B3168,"Train",AutoClaim_Data!D2:D3168,"&gt;"&amp;$B$2))</f>
        <v/>
      </c>
      <c r="H2868">
        <f>IF(AutoClaim_Data!D2868&lt;=$B$2,IF(AutoClaim_Data!E2868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8">
        <f>(F2868-H2868)^2</f>
        <v/>
      </c>
      <c r="J2868">
        <f>--(E2868="Validation")</f>
        <v/>
      </c>
    </row>
    <row r="2869">
      <c r="D2869">
        <f>AutoClaim_Data!A2869</f>
        <v/>
      </c>
      <c r="E2869">
        <f>AutoClaim_Data!B2869</f>
        <v/>
      </c>
      <c r="F2869">
        <f>AutoClaim_Data!C2869</f>
        <v/>
      </c>
      <c r="G2869">
        <f>IF(AutoClaim_Data!D2869&lt;=$B$2,AVERAGEIFS(AutoClaim_Data!C2:C3168,AutoClaim_Data!B2:B3168,"Train",AutoClaim_Data!D2:D3168,"&lt;="&amp;$B$2),AVERAGEIFS(AutoClaim_Data!C2:C3168,AutoClaim_Data!B2:B3168,"Train",AutoClaim_Data!D2:D3168,"&gt;"&amp;$B$2))</f>
        <v/>
      </c>
      <c r="H2869">
        <f>IF(AutoClaim_Data!D2869&lt;=$B$2,IF(AutoClaim_Data!E2869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69">
        <f>(F2869-H2869)^2</f>
        <v/>
      </c>
      <c r="J2869">
        <f>--(E2869="Validation")</f>
        <v/>
      </c>
    </row>
    <row r="2870">
      <c r="D2870">
        <f>AutoClaim_Data!A2870</f>
        <v/>
      </c>
      <c r="E2870">
        <f>AutoClaim_Data!B2870</f>
        <v/>
      </c>
      <c r="F2870">
        <f>AutoClaim_Data!C2870</f>
        <v/>
      </c>
      <c r="G2870">
        <f>IF(AutoClaim_Data!D2870&lt;=$B$2,AVERAGEIFS(AutoClaim_Data!C2:C3168,AutoClaim_Data!B2:B3168,"Train",AutoClaim_Data!D2:D3168,"&lt;="&amp;$B$2),AVERAGEIFS(AutoClaim_Data!C2:C3168,AutoClaim_Data!B2:B3168,"Train",AutoClaim_Data!D2:D3168,"&gt;"&amp;$B$2))</f>
        <v/>
      </c>
      <c r="H2870">
        <f>IF(AutoClaim_Data!D2870&lt;=$B$2,IF(AutoClaim_Data!E2870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0">
        <f>(F2870-H2870)^2</f>
        <v/>
      </c>
      <c r="J2870">
        <f>--(E2870="Validation")</f>
        <v/>
      </c>
    </row>
    <row r="2871">
      <c r="D2871">
        <f>AutoClaim_Data!A2871</f>
        <v/>
      </c>
      <c r="E2871">
        <f>AutoClaim_Data!B2871</f>
        <v/>
      </c>
      <c r="F2871">
        <f>AutoClaim_Data!C2871</f>
        <v/>
      </c>
      <c r="G2871">
        <f>IF(AutoClaim_Data!D2871&lt;=$B$2,AVERAGEIFS(AutoClaim_Data!C2:C3168,AutoClaim_Data!B2:B3168,"Train",AutoClaim_Data!D2:D3168,"&lt;="&amp;$B$2),AVERAGEIFS(AutoClaim_Data!C2:C3168,AutoClaim_Data!B2:B3168,"Train",AutoClaim_Data!D2:D3168,"&gt;"&amp;$B$2))</f>
        <v/>
      </c>
      <c r="H2871">
        <f>IF(AutoClaim_Data!D2871&lt;=$B$2,IF(AutoClaim_Data!E2871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1">
        <f>(F2871-H2871)^2</f>
        <v/>
      </c>
      <c r="J2871">
        <f>--(E2871="Validation")</f>
        <v/>
      </c>
    </row>
    <row r="2872">
      <c r="D2872">
        <f>AutoClaim_Data!A2872</f>
        <v/>
      </c>
      <c r="E2872">
        <f>AutoClaim_Data!B2872</f>
        <v/>
      </c>
      <c r="F2872">
        <f>AutoClaim_Data!C2872</f>
        <v/>
      </c>
      <c r="G2872">
        <f>IF(AutoClaim_Data!D2872&lt;=$B$2,AVERAGEIFS(AutoClaim_Data!C2:C3168,AutoClaim_Data!B2:B3168,"Train",AutoClaim_Data!D2:D3168,"&lt;="&amp;$B$2),AVERAGEIFS(AutoClaim_Data!C2:C3168,AutoClaim_Data!B2:B3168,"Train",AutoClaim_Data!D2:D3168,"&gt;"&amp;$B$2))</f>
        <v/>
      </c>
      <c r="H2872">
        <f>IF(AutoClaim_Data!D2872&lt;=$B$2,IF(AutoClaim_Data!E2872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2">
        <f>(F2872-H2872)^2</f>
        <v/>
      </c>
      <c r="J2872">
        <f>--(E2872="Validation")</f>
        <v/>
      </c>
    </row>
    <row r="2873">
      <c r="D2873">
        <f>AutoClaim_Data!A2873</f>
        <v/>
      </c>
      <c r="E2873">
        <f>AutoClaim_Data!B2873</f>
        <v/>
      </c>
      <c r="F2873">
        <f>AutoClaim_Data!C2873</f>
        <v/>
      </c>
      <c r="G2873">
        <f>IF(AutoClaim_Data!D2873&lt;=$B$2,AVERAGEIFS(AutoClaim_Data!C2:C3168,AutoClaim_Data!B2:B3168,"Train",AutoClaim_Data!D2:D3168,"&lt;="&amp;$B$2),AVERAGEIFS(AutoClaim_Data!C2:C3168,AutoClaim_Data!B2:B3168,"Train",AutoClaim_Data!D2:D3168,"&gt;"&amp;$B$2))</f>
        <v/>
      </c>
      <c r="H2873">
        <f>IF(AutoClaim_Data!D2873&lt;=$B$2,IF(AutoClaim_Data!E2873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3">
        <f>(F2873-H2873)^2</f>
        <v/>
      </c>
      <c r="J2873">
        <f>--(E2873="Validation")</f>
        <v/>
      </c>
    </row>
    <row r="2874">
      <c r="D2874">
        <f>AutoClaim_Data!A2874</f>
        <v/>
      </c>
      <c r="E2874">
        <f>AutoClaim_Data!B2874</f>
        <v/>
      </c>
      <c r="F2874">
        <f>AutoClaim_Data!C2874</f>
        <v/>
      </c>
      <c r="G2874">
        <f>IF(AutoClaim_Data!D2874&lt;=$B$2,AVERAGEIFS(AutoClaim_Data!C2:C3168,AutoClaim_Data!B2:B3168,"Train",AutoClaim_Data!D2:D3168,"&lt;="&amp;$B$2),AVERAGEIFS(AutoClaim_Data!C2:C3168,AutoClaim_Data!B2:B3168,"Train",AutoClaim_Data!D2:D3168,"&gt;"&amp;$B$2))</f>
        <v/>
      </c>
      <c r="H2874">
        <f>IF(AutoClaim_Data!D2874&lt;=$B$2,IF(AutoClaim_Data!E2874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4">
        <f>(F2874-H2874)^2</f>
        <v/>
      </c>
      <c r="J2874">
        <f>--(E2874="Validation")</f>
        <v/>
      </c>
    </row>
    <row r="2875">
      <c r="D2875">
        <f>AutoClaim_Data!A2875</f>
        <v/>
      </c>
      <c r="E2875">
        <f>AutoClaim_Data!B2875</f>
        <v/>
      </c>
      <c r="F2875">
        <f>AutoClaim_Data!C2875</f>
        <v/>
      </c>
      <c r="G2875">
        <f>IF(AutoClaim_Data!D2875&lt;=$B$2,AVERAGEIFS(AutoClaim_Data!C2:C3168,AutoClaim_Data!B2:B3168,"Train",AutoClaim_Data!D2:D3168,"&lt;="&amp;$B$2),AVERAGEIFS(AutoClaim_Data!C2:C3168,AutoClaim_Data!B2:B3168,"Train",AutoClaim_Data!D2:D3168,"&gt;"&amp;$B$2))</f>
        <v/>
      </c>
      <c r="H2875">
        <f>IF(AutoClaim_Data!D2875&lt;=$B$2,IF(AutoClaim_Data!E2875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5">
        <f>(F2875-H2875)^2</f>
        <v/>
      </c>
      <c r="J2875">
        <f>--(E2875="Validation")</f>
        <v/>
      </c>
    </row>
    <row r="2876">
      <c r="D2876">
        <f>AutoClaim_Data!A2876</f>
        <v/>
      </c>
      <c r="E2876">
        <f>AutoClaim_Data!B2876</f>
        <v/>
      </c>
      <c r="F2876">
        <f>AutoClaim_Data!C2876</f>
        <v/>
      </c>
      <c r="G2876">
        <f>IF(AutoClaim_Data!D2876&lt;=$B$2,AVERAGEIFS(AutoClaim_Data!C2:C3168,AutoClaim_Data!B2:B3168,"Train",AutoClaim_Data!D2:D3168,"&lt;="&amp;$B$2),AVERAGEIFS(AutoClaim_Data!C2:C3168,AutoClaim_Data!B2:B3168,"Train",AutoClaim_Data!D2:D3168,"&gt;"&amp;$B$2))</f>
        <v/>
      </c>
      <c r="H2876">
        <f>IF(AutoClaim_Data!D2876&lt;=$B$2,IF(AutoClaim_Data!E2876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6">
        <f>(F2876-H2876)^2</f>
        <v/>
      </c>
      <c r="J2876">
        <f>--(E2876="Validation")</f>
        <v/>
      </c>
    </row>
    <row r="2877">
      <c r="D2877">
        <f>AutoClaim_Data!A2877</f>
        <v/>
      </c>
      <c r="E2877">
        <f>AutoClaim_Data!B2877</f>
        <v/>
      </c>
      <c r="F2877">
        <f>AutoClaim_Data!C2877</f>
        <v/>
      </c>
      <c r="G2877">
        <f>IF(AutoClaim_Data!D2877&lt;=$B$2,AVERAGEIFS(AutoClaim_Data!C2:C3168,AutoClaim_Data!B2:B3168,"Train",AutoClaim_Data!D2:D3168,"&lt;="&amp;$B$2),AVERAGEIFS(AutoClaim_Data!C2:C3168,AutoClaim_Data!B2:B3168,"Train",AutoClaim_Data!D2:D3168,"&gt;"&amp;$B$2))</f>
        <v/>
      </c>
      <c r="H2877">
        <f>IF(AutoClaim_Data!D2877&lt;=$B$2,IF(AutoClaim_Data!E2877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7">
        <f>(F2877-H2877)^2</f>
        <v/>
      </c>
      <c r="J2877">
        <f>--(E2877="Validation")</f>
        <v/>
      </c>
    </row>
    <row r="2878">
      <c r="D2878">
        <f>AutoClaim_Data!A2878</f>
        <v/>
      </c>
      <c r="E2878">
        <f>AutoClaim_Data!B2878</f>
        <v/>
      </c>
      <c r="F2878">
        <f>AutoClaim_Data!C2878</f>
        <v/>
      </c>
      <c r="G2878">
        <f>IF(AutoClaim_Data!D2878&lt;=$B$2,AVERAGEIFS(AutoClaim_Data!C2:C3168,AutoClaim_Data!B2:B3168,"Train",AutoClaim_Data!D2:D3168,"&lt;="&amp;$B$2),AVERAGEIFS(AutoClaim_Data!C2:C3168,AutoClaim_Data!B2:B3168,"Train",AutoClaim_Data!D2:D3168,"&gt;"&amp;$B$2))</f>
        <v/>
      </c>
      <c r="H2878">
        <f>IF(AutoClaim_Data!D2878&lt;=$B$2,IF(AutoClaim_Data!E2878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8">
        <f>(F2878-H2878)^2</f>
        <v/>
      </c>
      <c r="J2878">
        <f>--(E2878="Validation")</f>
        <v/>
      </c>
    </row>
    <row r="2879">
      <c r="D2879">
        <f>AutoClaim_Data!A2879</f>
        <v/>
      </c>
      <c r="E2879">
        <f>AutoClaim_Data!B2879</f>
        <v/>
      </c>
      <c r="F2879">
        <f>AutoClaim_Data!C2879</f>
        <v/>
      </c>
      <c r="G2879">
        <f>IF(AutoClaim_Data!D2879&lt;=$B$2,AVERAGEIFS(AutoClaim_Data!C2:C3168,AutoClaim_Data!B2:B3168,"Train",AutoClaim_Data!D2:D3168,"&lt;="&amp;$B$2),AVERAGEIFS(AutoClaim_Data!C2:C3168,AutoClaim_Data!B2:B3168,"Train",AutoClaim_Data!D2:D3168,"&gt;"&amp;$B$2))</f>
        <v/>
      </c>
      <c r="H2879">
        <f>IF(AutoClaim_Data!D2879&lt;=$B$2,IF(AutoClaim_Data!E2879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79">
        <f>(F2879-H2879)^2</f>
        <v/>
      </c>
      <c r="J2879">
        <f>--(E2879="Validation")</f>
        <v/>
      </c>
    </row>
    <row r="2880">
      <c r="D2880">
        <f>AutoClaim_Data!A2880</f>
        <v/>
      </c>
      <c r="E2880">
        <f>AutoClaim_Data!B2880</f>
        <v/>
      </c>
      <c r="F2880">
        <f>AutoClaim_Data!C2880</f>
        <v/>
      </c>
      <c r="G2880">
        <f>IF(AutoClaim_Data!D2880&lt;=$B$2,AVERAGEIFS(AutoClaim_Data!C2:C3168,AutoClaim_Data!B2:B3168,"Train",AutoClaim_Data!D2:D3168,"&lt;="&amp;$B$2),AVERAGEIFS(AutoClaim_Data!C2:C3168,AutoClaim_Data!B2:B3168,"Train",AutoClaim_Data!D2:D3168,"&gt;"&amp;$B$2))</f>
        <v/>
      </c>
      <c r="H2880">
        <f>IF(AutoClaim_Data!D2880&lt;=$B$2,IF(AutoClaim_Data!E2880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0">
        <f>(F2880-H2880)^2</f>
        <v/>
      </c>
      <c r="J2880">
        <f>--(E2880="Validation")</f>
        <v/>
      </c>
    </row>
    <row r="2881">
      <c r="D2881">
        <f>AutoClaim_Data!A2881</f>
        <v/>
      </c>
      <c r="E2881">
        <f>AutoClaim_Data!B2881</f>
        <v/>
      </c>
      <c r="F2881">
        <f>AutoClaim_Data!C2881</f>
        <v/>
      </c>
      <c r="G2881">
        <f>IF(AutoClaim_Data!D2881&lt;=$B$2,AVERAGEIFS(AutoClaim_Data!C2:C3168,AutoClaim_Data!B2:B3168,"Train",AutoClaim_Data!D2:D3168,"&lt;="&amp;$B$2),AVERAGEIFS(AutoClaim_Data!C2:C3168,AutoClaim_Data!B2:B3168,"Train",AutoClaim_Data!D2:D3168,"&gt;"&amp;$B$2))</f>
        <v/>
      </c>
      <c r="H2881">
        <f>IF(AutoClaim_Data!D2881&lt;=$B$2,IF(AutoClaim_Data!E2881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1">
        <f>(F2881-H2881)^2</f>
        <v/>
      </c>
      <c r="J2881">
        <f>--(E2881="Validation")</f>
        <v/>
      </c>
    </row>
    <row r="2882">
      <c r="D2882">
        <f>AutoClaim_Data!A2882</f>
        <v/>
      </c>
      <c r="E2882">
        <f>AutoClaim_Data!B2882</f>
        <v/>
      </c>
      <c r="F2882">
        <f>AutoClaim_Data!C2882</f>
        <v/>
      </c>
      <c r="G2882">
        <f>IF(AutoClaim_Data!D2882&lt;=$B$2,AVERAGEIFS(AutoClaim_Data!C2:C3168,AutoClaim_Data!B2:B3168,"Train",AutoClaim_Data!D2:D3168,"&lt;="&amp;$B$2),AVERAGEIFS(AutoClaim_Data!C2:C3168,AutoClaim_Data!B2:B3168,"Train",AutoClaim_Data!D2:D3168,"&gt;"&amp;$B$2))</f>
        <v/>
      </c>
      <c r="H2882">
        <f>IF(AutoClaim_Data!D2882&lt;=$B$2,IF(AutoClaim_Data!E2882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2">
        <f>(F2882-H2882)^2</f>
        <v/>
      </c>
      <c r="J2882">
        <f>--(E2882="Validation")</f>
        <v/>
      </c>
    </row>
    <row r="2883">
      <c r="D2883">
        <f>AutoClaim_Data!A2883</f>
        <v/>
      </c>
      <c r="E2883">
        <f>AutoClaim_Data!B2883</f>
        <v/>
      </c>
      <c r="F2883">
        <f>AutoClaim_Data!C2883</f>
        <v/>
      </c>
      <c r="G2883">
        <f>IF(AutoClaim_Data!D2883&lt;=$B$2,AVERAGEIFS(AutoClaim_Data!C2:C3168,AutoClaim_Data!B2:B3168,"Train",AutoClaim_Data!D2:D3168,"&lt;="&amp;$B$2),AVERAGEIFS(AutoClaim_Data!C2:C3168,AutoClaim_Data!B2:B3168,"Train",AutoClaim_Data!D2:D3168,"&gt;"&amp;$B$2))</f>
        <v/>
      </c>
      <c r="H2883">
        <f>IF(AutoClaim_Data!D2883&lt;=$B$2,IF(AutoClaim_Data!E2883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3">
        <f>(F2883-H2883)^2</f>
        <v/>
      </c>
      <c r="J2883">
        <f>--(E2883="Validation")</f>
        <v/>
      </c>
    </row>
    <row r="2884">
      <c r="D2884">
        <f>AutoClaim_Data!A2884</f>
        <v/>
      </c>
      <c r="E2884">
        <f>AutoClaim_Data!B2884</f>
        <v/>
      </c>
      <c r="F2884">
        <f>AutoClaim_Data!C2884</f>
        <v/>
      </c>
      <c r="G2884">
        <f>IF(AutoClaim_Data!D2884&lt;=$B$2,AVERAGEIFS(AutoClaim_Data!C2:C3168,AutoClaim_Data!B2:B3168,"Train",AutoClaim_Data!D2:D3168,"&lt;="&amp;$B$2),AVERAGEIFS(AutoClaim_Data!C2:C3168,AutoClaim_Data!B2:B3168,"Train",AutoClaim_Data!D2:D3168,"&gt;"&amp;$B$2))</f>
        <v/>
      </c>
      <c r="H2884">
        <f>IF(AutoClaim_Data!D2884&lt;=$B$2,IF(AutoClaim_Data!E2884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4">
        <f>(F2884-H2884)^2</f>
        <v/>
      </c>
      <c r="J2884">
        <f>--(E2884="Validation")</f>
        <v/>
      </c>
    </row>
    <row r="2885">
      <c r="D2885">
        <f>AutoClaim_Data!A2885</f>
        <v/>
      </c>
      <c r="E2885">
        <f>AutoClaim_Data!B2885</f>
        <v/>
      </c>
      <c r="F2885">
        <f>AutoClaim_Data!C2885</f>
        <v/>
      </c>
      <c r="G2885">
        <f>IF(AutoClaim_Data!D2885&lt;=$B$2,AVERAGEIFS(AutoClaim_Data!C2:C3168,AutoClaim_Data!B2:B3168,"Train",AutoClaim_Data!D2:D3168,"&lt;="&amp;$B$2),AVERAGEIFS(AutoClaim_Data!C2:C3168,AutoClaim_Data!B2:B3168,"Train",AutoClaim_Data!D2:D3168,"&gt;"&amp;$B$2))</f>
        <v/>
      </c>
      <c r="H2885">
        <f>IF(AutoClaim_Data!D2885&lt;=$B$2,IF(AutoClaim_Data!E2885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5">
        <f>(F2885-H2885)^2</f>
        <v/>
      </c>
      <c r="J2885">
        <f>--(E2885="Validation")</f>
        <v/>
      </c>
    </row>
    <row r="2886">
      <c r="D2886">
        <f>AutoClaim_Data!A2886</f>
        <v/>
      </c>
      <c r="E2886">
        <f>AutoClaim_Data!B2886</f>
        <v/>
      </c>
      <c r="F2886">
        <f>AutoClaim_Data!C2886</f>
        <v/>
      </c>
      <c r="G2886">
        <f>IF(AutoClaim_Data!D2886&lt;=$B$2,AVERAGEIFS(AutoClaim_Data!C2:C3168,AutoClaim_Data!B2:B3168,"Train",AutoClaim_Data!D2:D3168,"&lt;="&amp;$B$2),AVERAGEIFS(AutoClaim_Data!C2:C3168,AutoClaim_Data!B2:B3168,"Train",AutoClaim_Data!D2:D3168,"&gt;"&amp;$B$2))</f>
        <v/>
      </c>
      <c r="H2886">
        <f>IF(AutoClaim_Data!D2886&lt;=$B$2,IF(AutoClaim_Data!E2886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6">
        <f>(F2886-H2886)^2</f>
        <v/>
      </c>
      <c r="J2886">
        <f>--(E2886="Validation")</f>
        <v/>
      </c>
    </row>
    <row r="2887">
      <c r="D2887">
        <f>AutoClaim_Data!A2887</f>
        <v/>
      </c>
      <c r="E2887">
        <f>AutoClaim_Data!B2887</f>
        <v/>
      </c>
      <c r="F2887">
        <f>AutoClaim_Data!C2887</f>
        <v/>
      </c>
      <c r="G2887">
        <f>IF(AutoClaim_Data!D2887&lt;=$B$2,AVERAGEIFS(AutoClaim_Data!C2:C3168,AutoClaim_Data!B2:B3168,"Train",AutoClaim_Data!D2:D3168,"&lt;="&amp;$B$2),AVERAGEIFS(AutoClaim_Data!C2:C3168,AutoClaim_Data!B2:B3168,"Train",AutoClaim_Data!D2:D3168,"&gt;"&amp;$B$2))</f>
        <v/>
      </c>
      <c r="H2887">
        <f>IF(AutoClaim_Data!D2887&lt;=$B$2,IF(AutoClaim_Data!E2887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7">
        <f>(F2887-H2887)^2</f>
        <v/>
      </c>
      <c r="J2887">
        <f>--(E2887="Validation")</f>
        <v/>
      </c>
    </row>
    <row r="2888">
      <c r="D2888">
        <f>AutoClaim_Data!A2888</f>
        <v/>
      </c>
      <c r="E2888">
        <f>AutoClaim_Data!B2888</f>
        <v/>
      </c>
      <c r="F2888">
        <f>AutoClaim_Data!C2888</f>
        <v/>
      </c>
      <c r="G2888">
        <f>IF(AutoClaim_Data!D2888&lt;=$B$2,AVERAGEIFS(AutoClaim_Data!C2:C3168,AutoClaim_Data!B2:B3168,"Train",AutoClaim_Data!D2:D3168,"&lt;="&amp;$B$2),AVERAGEIFS(AutoClaim_Data!C2:C3168,AutoClaim_Data!B2:B3168,"Train",AutoClaim_Data!D2:D3168,"&gt;"&amp;$B$2))</f>
        <v/>
      </c>
      <c r="H2888">
        <f>IF(AutoClaim_Data!D2888&lt;=$B$2,IF(AutoClaim_Data!E2888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8">
        <f>(F2888-H2888)^2</f>
        <v/>
      </c>
      <c r="J2888">
        <f>--(E2888="Validation")</f>
        <v/>
      </c>
    </row>
    <row r="2889">
      <c r="D2889">
        <f>AutoClaim_Data!A2889</f>
        <v/>
      </c>
      <c r="E2889">
        <f>AutoClaim_Data!B2889</f>
        <v/>
      </c>
      <c r="F2889">
        <f>AutoClaim_Data!C2889</f>
        <v/>
      </c>
      <c r="G2889">
        <f>IF(AutoClaim_Data!D2889&lt;=$B$2,AVERAGEIFS(AutoClaim_Data!C2:C3168,AutoClaim_Data!B2:B3168,"Train",AutoClaim_Data!D2:D3168,"&lt;="&amp;$B$2),AVERAGEIFS(AutoClaim_Data!C2:C3168,AutoClaim_Data!B2:B3168,"Train",AutoClaim_Data!D2:D3168,"&gt;"&amp;$B$2))</f>
        <v/>
      </c>
      <c r="H2889">
        <f>IF(AutoClaim_Data!D2889&lt;=$B$2,IF(AutoClaim_Data!E2889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89">
        <f>(F2889-H2889)^2</f>
        <v/>
      </c>
      <c r="J2889">
        <f>--(E2889="Validation")</f>
        <v/>
      </c>
    </row>
    <row r="2890">
      <c r="D2890">
        <f>AutoClaim_Data!A2890</f>
        <v/>
      </c>
      <c r="E2890">
        <f>AutoClaim_Data!B2890</f>
        <v/>
      </c>
      <c r="F2890">
        <f>AutoClaim_Data!C2890</f>
        <v/>
      </c>
      <c r="G2890">
        <f>IF(AutoClaim_Data!D2890&lt;=$B$2,AVERAGEIFS(AutoClaim_Data!C2:C3168,AutoClaim_Data!B2:B3168,"Train",AutoClaim_Data!D2:D3168,"&lt;="&amp;$B$2),AVERAGEIFS(AutoClaim_Data!C2:C3168,AutoClaim_Data!B2:B3168,"Train",AutoClaim_Data!D2:D3168,"&gt;"&amp;$B$2))</f>
        <v/>
      </c>
      <c r="H2890">
        <f>IF(AutoClaim_Data!D2890&lt;=$B$2,IF(AutoClaim_Data!E2890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0">
        <f>(F2890-H2890)^2</f>
        <v/>
      </c>
      <c r="J2890">
        <f>--(E2890="Validation")</f>
        <v/>
      </c>
    </row>
    <row r="2891">
      <c r="D2891">
        <f>AutoClaim_Data!A2891</f>
        <v/>
      </c>
      <c r="E2891">
        <f>AutoClaim_Data!B2891</f>
        <v/>
      </c>
      <c r="F2891">
        <f>AutoClaim_Data!C2891</f>
        <v/>
      </c>
      <c r="G2891">
        <f>IF(AutoClaim_Data!D2891&lt;=$B$2,AVERAGEIFS(AutoClaim_Data!C2:C3168,AutoClaim_Data!B2:B3168,"Train",AutoClaim_Data!D2:D3168,"&lt;="&amp;$B$2),AVERAGEIFS(AutoClaim_Data!C2:C3168,AutoClaim_Data!B2:B3168,"Train",AutoClaim_Data!D2:D3168,"&gt;"&amp;$B$2))</f>
        <v/>
      </c>
      <c r="H2891">
        <f>IF(AutoClaim_Data!D2891&lt;=$B$2,IF(AutoClaim_Data!E2891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1">
        <f>(F2891-H2891)^2</f>
        <v/>
      </c>
      <c r="J2891">
        <f>--(E2891="Validation")</f>
        <v/>
      </c>
    </row>
    <row r="2892">
      <c r="D2892">
        <f>AutoClaim_Data!A2892</f>
        <v/>
      </c>
      <c r="E2892">
        <f>AutoClaim_Data!B2892</f>
        <v/>
      </c>
      <c r="F2892">
        <f>AutoClaim_Data!C2892</f>
        <v/>
      </c>
      <c r="G2892">
        <f>IF(AutoClaim_Data!D2892&lt;=$B$2,AVERAGEIFS(AutoClaim_Data!C2:C3168,AutoClaim_Data!B2:B3168,"Train",AutoClaim_Data!D2:D3168,"&lt;="&amp;$B$2),AVERAGEIFS(AutoClaim_Data!C2:C3168,AutoClaim_Data!B2:B3168,"Train",AutoClaim_Data!D2:D3168,"&gt;"&amp;$B$2))</f>
        <v/>
      </c>
      <c r="H2892">
        <f>IF(AutoClaim_Data!D2892&lt;=$B$2,IF(AutoClaim_Data!E2892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2">
        <f>(F2892-H2892)^2</f>
        <v/>
      </c>
      <c r="J2892">
        <f>--(E2892="Validation")</f>
        <v/>
      </c>
    </row>
    <row r="2893">
      <c r="D2893">
        <f>AutoClaim_Data!A2893</f>
        <v/>
      </c>
      <c r="E2893">
        <f>AutoClaim_Data!B2893</f>
        <v/>
      </c>
      <c r="F2893">
        <f>AutoClaim_Data!C2893</f>
        <v/>
      </c>
      <c r="G2893">
        <f>IF(AutoClaim_Data!D2893&lt;=$B$2,AVERAGEIFS(AutoClaim_Data!C2:C3168,AutoClaim_Data!B2:B3168,"Train",AutoClaim_Data!D2:D3168,"&lt;="&amp;$B$2),AVERAGEIFS(AutoClaim_Data!C2:C3168,AutoClaim_Data!B2:B3168,"Train",AutoClaim_Data!D2:D3168,"&gt;"&amp;$B$2))</f>
        <v/>
      </c>
      <c r="H2893">
        <f>IF(AutoClaim_Data!D2893&lt;=$B$2,IF(AutoClaim_Data!E2893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3">
        <f>(F2893-H2893)^2</f>
        <v/>
      </c>
      <c r="J2893">
        <f>--(E2893="Validation")</f>
        <v/>
      </c>
    </row>
    <row r="2894">
      <c r="D2894">
        <f>AutoClaim_Data!A2894</f>
        <v/>
      </c>
      <c r="E2894">
        <f>AutoClaim_Data!B2894</f>
        <v/>
      </c>
      <c r="F2894">
        <f>AutoClaim_Data!C2894</f>
        <v/>
      </c>
      <c r="G2894">
        <f>IF(AutoClaim_Data!D2894&lt;=$B$2,AVERAGEIFS(AutoClaim_Data!C2:C3168,AutoClaim_Data!B2:B3168,"Train",AutoClaim_Data!D2:D3168,"&lt;="&amp;$B$2),AVERAGEIFS(AutoClaim_Data!C2:C3168,AutoClaim_Data!B2:B3168,"Train",AutoClaim_Data!D2:D3168,"&gt;"&amp;$B$2))</f>
        <v/>
      </c>
      <c r="H2894">
        <f>IF(AutoClaim_Data!D2894&lt;=$B$2,IF(AutoClaim_Data!E2894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4">
        <f>(F2894-H2894)^2</f>
        <v/>
      </c>
      <c r="J2894">
        <f>--(E2894="Validation")</f>
        <v/>
      </c>
    </row>
    <row r="2895">
      <c r="D2895">
        <f>AutoClaim_Data!A2895</f>
        <v/>
      </c>
      <c r="E2895">
        <f>AutoClaim_Data!B2895</f>
        <v/>
      </c>
      <c r="F2895">
        <f>AutoClaim_Data!C2895</f>
        <v/>
      </c>
      <c r="G2895">
        <f>IF(AutoClaim_Data!D2895&lt;=$B$2,AVERAGEIFS(AutoClaim_Data!C2:C3168,AutoClaim_Data!B2:B3168,"Train",AutoClaim_Data!D2:D3168,"&lt;="&amp;$B$2),AVERAGEIFS(AutoClaim_Data!C2:C3168,AutoClaim_Data!B2:B3168,"Train",AutoClaim_Data!D2:D3168,"&gt;"&amp;$B$2))</f>
        <v/>
      </c>
      <c r="H2895">
        <f>IF(AutoClaim_Data!D2895&lt;=$B$2,IF(AutoClaim_Data!E2895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5">
        <f>(F2895-H2895)^2</f>
        <v/>
      </c>
      <c r="J2895">
        <f>--(E2895="Validation")</f>
        <v/>
      </c>
    </row>
    <row r="2896">
      <c r="D2896">
        <f>AutoClaim_Data!A2896</f>
        <v/>
      </c>
      <c r="E2896">
        <f>AutoClaim_Data!B2896</f>
        <v/>
      </c>
      <c r="F2896">
        <f>AutoClaim_Data!C2896</f>
        <v/>
      </c>
      <c r="G2896">
        <f>IF(AutoClaim_Data!D2896&lt;=$B$2,AVERAGEIFS(AutoClaim_Data!C2:C3168,AutoClaim_Data!B2:B3168,"Train",AutoClaim_Data!D2:D3168,"&lt;="&amp;$B$2),AVERAGEIFS(AutoClaim_Data!C2:C3168,AutoClaim_Data!B2:B3168,"Train",AutoClaim_Data!D2:D3168,"&gt;"&amp;$B$2))</f>
        <v/>
      </c>
      <c r="H2896">
        <f>IF(AutoClaim_Data!D2896&lt;=$B$2,IF(AutoClaim_Data!E2896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6">
        <f>(F2896-H2896)^2</f>
        <v/>
      </c>
      <c r="J2896">
        <f>--(E2896="Validation")</f>
        <v/>
      </c>
    </row>
    <row r="2897">
      <c r="D2897">
        <f>AutoClaim_Data!A2897</f>
        <v/>
      </c>
      <c r="E2897">
        <f>AutoClaim_Data!B2897</f>
        <v/>
      </c>
      <c r="F2897">
        <f>AutoClaim_Data!C2897</f>
        <v/>
      </c>
      <c r="G2897">
        <f>IF(AutoClaim_Data!D2897&lt;=$B$2,AVERAGEIFS(AutoClaim_Data!C2:C3168,AutoClaim_Data!B2:B3168,"Train",AutoClaim_Data!D2:D3168,"&lt;="&amp;$B$2),AVERAGEIFS(AutoClaim_Data!C2:C3168,AutoClaim_Data!B2:B3168,"Train",AutoClaim_Data!D2:D3168,"&gt;"&amp;$B$2))</f>
        <v/>
      </c>
      <c r="H2897">
        <f>IF(AutoClaim_Data!D2897&lt;=$B$2,IF(AutoClaim_Data!E2897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7">
        <f>(F2897-H2897)^2</f>
        <v/>
      </c>
      <c r="J2897">
        <f>--(E2897="Validation")</f>
        <v/>
      </c>
    </row>
    <row r="2898">
      <c r="D2898">
        <f>AutoClaim_Data!A2898</f>
        <v/>
      </c>
      <c r="E2898">
        <f>AutoClaim_Data!B2898</f>
        <v/>
      </c>
      <c r="F2898">
        <f>AutoClaim_Data!C2898</f>
        <v/>
      </c>
      <c r="G2898">
        <f>IF(AutoClaim_Data!D2898&lt;=$B$2,AVERAGEIFS(AutoClaim_Data!C2:C3168,AutoClaim_Data!B2:B3168,"Train",AutoClaim_Data!D2:D3168,"&lt;="&amp;$B$2),AVERAGEIFS(AutoClaim_Data!C2:C3168,AutoClaim_Data!B2:B3168,"Train",AutoClaim_Data!D2:D3168,"&gt;"&amp;$B$2))</f>
        <v/>
      </c>
      <c r="H2898">
        <f>IF(AutoClaim_Data!D2898&lt;=$B$2,IF(AutoClaim_Data!E2898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8">
        <f>(F2898-H2898)^2</f>
        <v/>
      </c>
      <c r="J2898">
        <f>--(E2898="Validation")</f>
        <v/>
      </c>
    </row>
    <row r="2899">
      <c r="D2899">
        <f>AutoClaim_Data!A2899</f>
        <v/>
      </c>
      <c r="E2899">
        <f>AutoClaim_Data!B2899</f>
        <v/>
      </c>
      <c r="F2899">
        <f>AutoClaim_Data!C2899</f>
        <v/>
      </c>
      <c r="G2899">
        <f>IF(AutoClaim_Data!D2899&lt;=$B$2,AVERAGEIFS(AutoClaim_Data!C2:C3168,AutoClaim_Data!B2:B3168,"Train",AutoClaim_Data!D2:D3168,"&lt;="&amp;$B$2),AVERAGEIFS(AutoClaim_Data!C2:C3168,AutoClaim_Data!B2:B3168,"Train",AutoClaim_Data!D2:D3168,"&gt;"&amp;$B$2))</f>
        <v/>
      </c>
      <c r="H2899">
        <f>IF(AutoClaim_Data!D2899&lt;=$B$2,IF(AutoClaim_Data!E2899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2899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899">
        <f>(F2899-H2899)^2</f>
        <v/>
      </c>
      <c r="J2899">
        <f>--(E2899="Validation")</f>
        <v/>
      </c>
    </row>
    <row r="2900">
      <c r="D2900">
        <f>AutoClaim_Data!A2900</f>
        <v/>
      </c>
      <c r="E2900">
        <f>AutoClaim_Data!B2900</f>
        <v/>
      </c>
      <c r="F2900">
        <f>AutoClaim_Data!C2900</f>
        <v/>
      </c>
      <c r="G2900">
        <f>IF(AutoClaim_Data!D2900&lt;=$B$2,AVERAGEIFS(AutoClaim_Data!C2:C3168,AutoClaim_Data!B2:B3168,"Train",AutoClaim_Data!D2:D3168,"&lt;="&amp;$B$2),AVERAGEIFS(AutoClaim_Data!C2:C3168,AutoClaim_Data!B2:B3168,"Train",AutoClaim_Data!D2:D3168,"&gt;"&amp;$B$2))</f>
        <v/>
      </c>
      <c r="H2900">
        <f>IF(AutoClaim_Data!D2900&lt;=$B$2,IF(AutoClaim_Data!E2900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0">
        <f>(F2900-H2900)^2</f>
        <v/>
      </c>
      <c r="J2900">
        <f>--(E2900="Validation")</f>
        <v/>
      </c>
    </row>
    <row r="2901">
      <c r="D2901">
        <f>AutoClaim_Data!A2901</f>
        <v/>
      </c>
      <c r="E2901">
        <f>AutoClaim_Data!B2901</f>
        <v/>
      </c>
      <c r="F2901">
        <f>AutoClaim_Data!C2901</f>
        <v/>
      </c>
      <c r="G2901">
        <f>IF(AutoClaim_Data!D2901&lt;=$B$2,AVERAGEIFS(AutoClaim_Data!C2:C3168,AutoClaim_Data!B2:B3168,"Train",AutoClaim_Data!D2:D3168,"&lt;="&amp;$B$2),AVERAGEIFS(AutoClaim_Data!C2:C3168,AutoClaim_Data!B2:B3168,"Train",AutoClaim_Data!D2:D3168,"&gt;"&amp;$B$2))</f>
        <v/>
      </c>
      <c r="H2901">
        <f>IF(AutoClaim_Data!D2901&lt;=$B$2,IF(AutoClaim_Data!E2901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1">
        <f>(F2901-H2901)^2</f>
        <v/>
      </c>
      <c r="J2901">
        <f>--(E2901="Validation")</f>
        <v/>
      </c>
    </row>
    <row r="2902">
      <c r="D2902">
        <f>AutoClaim_Data!A2902</f>
        <v/>
      </c>
      <c r="E2902">
        <f>AutoClaim_Data!B2902</f>
        <v/>
      </c>
      <c r="F2902">
        <f>AutoClaim_Data!C2902</f>
        <v/>
      </c>
      <c r="G2902">
        <f>IF(AutoClaim_Data!D2902&lt;=$B$2,AVERAGEIFS(AutoClaim_Data!C2:C3168,AutoClaim_Data!B2:B3168,"Train",AutoClaim_Data!D2:D3168,"&lt;="&amp;$B$2),AVERAGEIFS(AutoClaim_Data!C2:C3168,AutoClaim_Data!B2:B3168,"Train",AutoClaim_Data!D2:D3168,"&gt;"&amp;$B$2))</f>
        <v/>
      </c>
      <c r="H2902">
        <f>IF(AutoClaim_Data!D2902&lt;=$B$2,IF(AutoClaim_Data!E2902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2">
        <f>(F2902-H2902)^2</f>
        <v/>
      </c>
      <c r="J2902">
        <f>--(E2902="Validation")</f>
        <v/>
      </c>
    </row>
    <row r="2903">
      <c r="D2903">
        <f>AutoClaim_Data!A2903</f>
        <v/>
      </c>
      <c r="E2903">
        <f>AutoClaim_Data!B2903</f>
        <v/>
      </c>
      <c r="F2903">
        <f>AutoClaim_Data!C2903</f>
        <v/>
      </c>
      <c r="G2903">
        <f>IF(AutoClaim_Data!D2903&lt;=$B$2,AVERAGEIFS(AutoClaim_Data!C2:C3168,AutoClaim_Data!B2:B3168,"Train",AutoClaim_Data!D2:D3168,"&lt;="&amp;$B$2),AVERAGEIFS(AutoClaim_Data!C2:C3168,AutoClaim_Data!B2:B3168,"Train",AutoClaim_Data!D2:D3168,"&gt;"&amp;$B$2))</f>
        <v/>
      </c>
      <c r="H2903">
        <f>IF(AutoClaim_Data!D2903&lt;=$B$2,IF(AutoClaim_Data!E2903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3">
        <f>(F2903-H2903)^2</f>
        <v/>
      </c>
      <c r="J2903">
        <f>--(E2903="Validation")</f>
        <v/>
      </c>
    </row>
    <row r="2904">
      <c r="D2904">
        <f>AutoClaim_Data!A2904</f>
        <v/>
      </c>
      <c r="E2904">
        <f>AutoClaim_Data!B2904</f>
        <v/>
      </c>
      <c r="F2904">
        <f>AutoClaim_Data!C2904</f>
        <v/>
      </c>
      <c r="G2904">
        <f>IF(AutoClaim_Data!D2904&lt;=$B$2,AVERAGEIFS(AutoClaim_Data!C2:C3168,AutoClaim_Data!B2:B3168,"Train",AutoClaim_Data!D2:D3168,"&lt;="&amp;$B$2),AVERAGEIFS(AutoClaim_Data!C2:C3168,AutoClaim_Data!B2:B3168,"Train",AutoClaim_Data!D2:D3168,"&gt;"&amp;$B$2))</f>
        <v/>
      </c>
      <c r="H2904">
        <f>IF(AutoClaim_Data!D2904&lt;=$B$2,IF(AutoClaim_Data!E2904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4">
        <f>(F2904-H2904)^2</f>
        <v/>
      </c>
      <c r="J2904">
        <f>--(E2904="Validation")</f>
        <v/>
      </c>
    </row>
    <row r="2905">
      <c r="D2905">
        <f>AutoClaim_Data!A2905</f>
        <v/>
      </c>
      <c r="E2905">
        <f>AutoClaim_Data!B2905</f>
        <v/>
      </c>
      <c r="F2905">
        <f>AutoClaim_Data!C2905</f>
        <v/>
      </c>
      <c r="G2905">
        <f>IF(AutoClaim_Data!D2905&lt;=$B$2,AVERAGEIFS(AutoClaim_Data!C2:C3168,AutoClaim_Data!B2:B3168,"Train",AutoClaim_Data!D2:D3168,"&lt;="&amp;$B$2),AVERAGEIFS(AutoClaim_Data!C2:C3168,AutoClaim_Data!B2:B3168,"Train",AutoClaim_Data!D2:D3168,"&gt;"&amp;$B$2))</f>
        <v/>
      </c>
      <c r="H2905">
        <f>IF(AutoClaim_Data!D2905&lt;=$B$2,IF(AutoClaim_Data!E2905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5">
        <f>(F2905-H2905)^2</f>
        <v/>
      </c>
      <c r="J2905">
        <f>--(E2905="Validation")</f>
        <v/>
      </c>
    </row>
    <row r="2906">
      <c r="D2906">
        <f>AutoClaim_Data!A2906</f>
        <v/>
      </c>
      <c r="E2906">
        <f>AutoClaim_Data!B2906</f>
        <v/>
      </c>
      <c r="F2906">
        <f>AutoClaim_Data!C2906</f>
        <v/>
      </c>
      <c r="G2906">
        <f>IF(AutoClaim_Data!D2906&lt;=$B$2,AVERAGEIFS(AutoClaim_Data!C2:C3168,AutoClaim_Data!B2:B3168,"Train",AutoClaim_Data!D2:D3168,"&lt;="&amp;$B$2),AVERAGEIFS(AutoClaim_Data!C2:C3168,AutoClaim_Data!B2:B3168,"Train",AutoClaim_Data!D2:D3168,"&gt;"&amp;$B$2))</f>
        <v/>
      </c>
      <c r="H2906">
        <f>IF(AutoClaim_Data!D2906&lt;=$B$2,IF(AutoClaim_Data!E2906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6">
        <f>(F2906-H2906)^2</f>
        <v/>
      </c>
      <c r="J2906">
        <f>--(E2906="Validation")</f>
        <v/>
      </c>
    </row>
    <row r="2907">
      <c r="D2907">
        <f>AutoClaim_Data!A2907</f>
        <v/>
      </c>
      <c r="E2907">
        <f>AutoClaim_Data!B2907</f>
        <v/>
      </c>
      <c r="F2907">
        <f>AutoClaim_Data!C2907</f>
        <v/>
      </c>
      <c r="G2907">
        <f>IF(AutoClaim_Data!D2907&lt;=$B$2,AVERAGEIFS(AutoClaim_Data!C2:C3168,AutoClaim_Data!B2:B3168,"Train",AutoClaim_Data!D2:D3168,"&lt;="&amp;$B$2),AVERAGEIFS(AutoClaim_Data!C2:C3168,AutoClaim_Data!B2:B3168,"Train",AutoClaim_Data!D2:D3168,"&gt;"&amp;$B$2))</f>
        <v/>
      </c>
      <c r="H2907">
        <f>IF(AutoClaim_Data!D2907&lt;=$B$2,IF(AutoClaim_Data!E2907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7">
        <f>(F2907-H2907)^2</f>
        <v/>
      </c>
      <c r="J2907">
        <f>--(E2907="Validation")</f>
        <v/>
      </c>
    </row>
    <row r="2908">
      <c r="D2908">
        <f>AutoClaim_Data!A2908</f>
        <v/>
      </c>
      <c r="E2908">
        <f>AutoClaim_Data!B2908</f>
        <v/>
      </c>
      <c r="F2908">
        <f>AutoClaim_Data!C2908</f>
        <v/>
      </c>
      <c r="G2908">
        <f>IF(AutoClaim_Data!D2908&lt;=$B$2,AVERAGEIFS(AutoClaim_Data!C2:C3168,AutoClaim_Data!B2:B3168,"Train",AutoClaim_Data!D2:D3168,"&lt;="&amp;$B$2),AVERAGEIFS(AutoClaim_Data!C2:C3168,AutoClaim_Data!B2:B3168,"Train",AutoClaim_Data!D2:D3168,"&gt;"&amp;$B$2))</f>
        <v/>
      </c>
      <c r="H2908">
        <f>IF(AutoClaim_Data!D2908&lt;=$B$2,IF(AutoClaim_Data!E2908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8">
        <f>(F2908-H2908)^2</f>
        <v/>
      </c>
      <c r="J2908">
        <f>--(E2908="Validation")</f>
        <v/>
      </c>
    </row>
    <row r="2909">
      <c r="D2909">
        <f>AutoClaim_Data!A2909</f>
        <v/>
      </c>
      <c r="E2909">
        <f>AutoClaim_Data!B2909</f>
        <v/>
      </c>
      <c r="F2909">
        <f>AutoClaim_Data!C2909</f>
        <v/>
      </c>
      <c r="G2909">
        <f>IF(AutoClaim_Data!D2909&lt;=$B$2,AVERAGEIFS(AutoClaim_Data!C2:C3168,AutoClaim_Data!B2:B3168,"Train",AutoClaim_Data!D2:D3168,"&lt;="&amp;$B$2),AVERAGEIFS(AutoClaim_Data!C2:C3168,AutoClaim_Data!B2:B3168,"Train",AutoClaim_Data!D2:D3168,"&gt;"&amp;$B$2))</f>
        <v/>
      </c>
      <c r="H2909">
        <f>IF(AutoClaim_Data!D2909&lt;=$B$2,IF(AutoClaim_Data!E2909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09">
        <f>(F2909-H2909)^2</f>
        <v/>
      </c>
      <c r="J2909">
        <f>--(E2909="Validation")</f>
        <v/>
      </c>
    </row>
    <row r="2910">
      <c r="D2910">
        <f>AutoClaim_Data!A2910</f>
        <v/>
      </c>
      <c r="E2910">
        <f>AutoClaim_Data!B2910</f>
        <v/>
      </c>
      <c r="F2910">
        <f>AutoClaim_Data!C2910</f>
        <v/>
      </c>
      <c r="G2910">
        <f>IF(AutoClaim_Data!D2910&lt;=$B$2,AVERAGEIFS(AutoClaim_Data!C2:C3168,AutoClaim_Data!B2:B3168,"Train",AutoClaim_Data!D2:D3168,"&lt;="&amp;$B$2),AVERAGEIFS(AutoClaim_Data!C2:C3168,AutoClaim_Data!B2:B3168,"Train",AutoClaim_Data!D2:D3168,"&gt;"&amp;$B$2))</f>
        <v/>
      </c>
      <c r="H2910">
        <f>IF(AutoClaim_Data!D2910&lt;=$B$2,IF(AutoClaim_Data!E2910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0">
        <f>(F2910-H2910)^2</f>
        <v/>
      </c>
      <c r="J2910">
        <f>--(E2910="Validation")</f>
        <v/>
      </c>
    </row>
    <row r="2911">
      <c r="D2911">
        <f>AutoClaim_Data!A2911</f>
        <v/>
      </c>
      <c r="E2911">
        <f>AutoClaim_Data!B2911</f>
        <v/>
      </c>
      <c r="F2911">
        <f>AutoClaim_Data!C2911</f>
        <v/>
      </c>
      <c r="G2911">
        <f>IF(AutoClaim_Data!D2911&lt;=$B$2,AVERAGEIFS(AutoClaim_Data!C2:C3168,AutoClaim_Data!B2:B3168,"Train",AutoClaim_Data!D2:D3168,"&lt;="&amp;$B$2),AVERAGEIFS(AutoClaim_Data!C2:C3168,AutoClaim_Data!B2:B3168,"Train",AutoClaim_Data!D2:D3168,"&gt;"&amp;$B$2))</f>
        <v/>
      </c>
      <c r="H2911">
        <f>IF(AutoClaim_Data!D2911&lt;=$B$2,IF(AutoClaim_Data!E2911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1">
        <f>(F2911-H2911)^2</f>
        <v/>
      </c>
      <c r="J2911">
        <f>--(E2911="Validation")</f>
        <v/>
      </c>
    </row>
    <row r="2912">
      <c r="D2912">
        <f>AutoClaim_Data!A2912</f>
        <v/>
      </c>
      <c r="E2912">
        <f>AutoClaim_Data!B2912</f>
        <v/>
      </c>
      <c r="F2912">
        <f>AutoClaim_Data!C2912</f>
        <v/>
      </c>
      <c r="G2912">
        <f>IF(AutoClaim_Data!D2912&lt;=$B$2,AVERAGEIFS(AutoClaim_Data!C2:C3168,AutoClaim_Data!B2:B3168,"Train",AutoClaim_Data!D2:D3168,"&lt;="&amp;$B$2),AVERAGEIFS(AutoClaim_Data!C2:C3168,AutoClaim_Data!B2:B3168,"Train",AutoClaim_Data!D2:D3168,"&gt;"&amp;$B$2))</f>
        <v/>
      </c>
      <c r="H2912">
        <f>IF(AutoClaim_Data!D2912&lt;=$B$2,IF(AutoClaim_Data!E2912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2">
        <f>(F2912-H2912)^2</f>
        <v/>
      </c>
      <c r="J2912">
        <f>--(E2912="Validation")</f>
        <v/>
      </c>
    </row>
    <row r="2913">
      <c r="D2913">
        <f>AutoClaim_Data!A2913</f>
        <v/>
      </c>
      <c r="E2913">
        <f>AutoClaim_Data!B2913</f>
        <v/>
      </c>
      <c r="F2913">
        <f>AutoClaim_Data!C2913</f>
        <v/>
      </c>
      <c r="G2913">
        <f>IF(AutoClaim_Data!D2913&lt;=$B$2,AVERAGEIFS(AutoClaim_Data!C2:C3168,AutoClaim_Data!B2:B3168,"Train",AutoClaim_Data!D2:D3168,"&lt;="&amp;$B$2),AVERAGEIFS(AutoClaim_Data!C2:C3168,AutoClaim_Data!B2:B3168,"Train",AutoClaim_Data!D2:D3168,"&gt;"&amp;$B$2))</f>
        <v/>
      </c>
      <c r="H2913">
        <f>IF(AutoClaim_Data!D2913&lt;=$B$2,IF(AutoClaim_Data!E2913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3">
        <f>(F2913-H2913)^2</f>
        <v/>
      </c>
      <c r="J2913">
        <f>--(E2913="Validation")</f>
        <v/>
      </c>
    </row>
    <row r="2914">
      <c r="D2914">
        <f>AutoClaim_Data!A2914</f>
        <v/>
      </c>
      <c r="E2914">
        <f>AutoClaim_Data!B2914</f>
        <v/>
      </c>
      <c r="F2914">
        <f>AutoClaim_Data!C2914</f>
        <v/>
      </c>
      <c r="G2914">
        <f>IF(AutoClaim_Data!D2914&lt;=$B$2,AVERAGEIFS(AutoClaim_Data!C2:C3168,AutoClaim_Data!B2:B3168,"Train",AutoClaim_Data!D2:D3168,"&lt;="&amp;$B$2),AVERAGEIFS(AutoClaim_Data!C2:C3168,AutoClaim_Data!B2:B3168,"Train",AutoClaim_Data!D2:D3168,"&gt;"&amp;$B$2))</f>
        <v/>
      </c>
      <c r="H2914">
        <f>IF(AutoClaim_Data!D2914&lt;=$B$2,IF(AutoClaim_Data!E2914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4">
        <f>(F2914-H2914)^2</f>
        <v/>
      </c>
      <c r="J2914">
        <f>--(E2914="Validation")</f>
        <v/>
      </c>
    </row>
    <row r="2915">
      <c r="D2915">
        <f>AutoClaim_Data!A2915</f>
        <v/>
      </c>
      <c r="E2915">
        <f>AutoClaim_Data!B2915</f>
        <v/>
      </c>
      <c r="F2915">
        <f>AutoClaim_Data!C2915</f>
        <v/>
      </c>
      <c r="G2915">
        <f>IF(AutoClaim_Data!D2915&lt;=$B$2,AVERAGEIFS(AutoClaim_Data!C2:C3168,AutoClaim_Data!B2:B3168,"Train",AutoClaim_Data!D2:D3168,"&lt;="&amp;$B$2),AVERAGEIFS(AutoClaim_Data!C2:C3168,AutoClaim_Data!B2:B3168,"Train",AutoClaim_Data!D2:D3168,"&gt;"&amp;$B$2))</f>
        <v/>
      </c>
      <c r="H2915">
        <f>IF(AutoClaim_Data!D2915&lt;=$B$2,IF(AutoClaim_Data!E2915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5">
        <f>(F2915-H2915)^2</f>
        <v/>
      </c>
      <c r="J2915">
        <f>--(E2915="Validation")</f>
        <v/>
      </c>
    </row>
    <row r="2916">
      <c r="D2916">
        <f>AutoClaim_Data!A2916</f>
        <v/>
      </c>
      <c r="E2916">
        <f>AutoClaim_Data!B2916</f>
        <v/>
      </c>
      <c r="F2916">
        <f>AutoClaim_Data!C2916</f>
        <v/>
      </c>
      <c r="G2916">
        <f>IF(AutoClaim_Data!D2916&lt;=$B$2,AVERAGEIFS(AutoClaim_Data!C2:C3168,AutoClaim_Data!B2:B3168,"Train",AutoClaim_Data!D2:D3168,"&lt;="&amp;$B$2),AVERAGEIFS(AutoClaim_Data!C2:C3168,AutoClaim_Data!B2:B3168,"Train",AutoClaim_Data!D2:D3168,"&gt;"&amp;$B$2))</f>
        <v/>
      </c>
      <c r="H2916">
        <f>IF(AutoClaim_Data!D2916&lt;=$B$2,IF(AutoClaim_Data!E2916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6">
        <f>(F2916-H2916)^2</f>
        <v/>
      </c>
      <c r="J2916">
        <f>--(E2916="Validation")</f>
        <v/>
      </c>
    </row>
    <row r="2917">
      <c r="D2917">
        <f>AutoClaim_Data!A2917</f>
        <v/>
      </c>
      <c r="E2917">
        <f>AutoClaim_Data!B2917</f>
        <v/>
      </c>
      <c r="F2917">
        <f>AutoClaim_Data!C2917</f>
        <v/>
      </c>
      <c r="G2917">
        <f>IF(AutoClaim_Data!D2917&lt;=$B$2,AVERAGEIFS(AutoClaim_Data!C2:C3168,AutoClaim_Data!B2:B3168,"Train",AutoClaim_Data!D2:D3168,"&lt;="&amp;$B$2),AVERAGEIFS(AutoClaim_Data!C2:C3168,AutoClaim_Data!B2:B3168,"Train",AutoClaim_Data!D2:D3168,"&gt;"&amp;$B$2))</f>
        <v/>
      </c>
      <c r="H2917">
        <f>IF(AutoClaim_Data!D2917&lt;=$B$2,IF(AutoClaim_Data!E2917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7">
        <f>(F2917-H2917)^2</f>
        <v/>
      </c>
      <c r="J2917">
        <f>--(E2917="Validation")</f>
        <v/>
      </c>
    </row>
    <row r="2918">
      <c r="D2918">
        <f>AutoClaim_Data!A2918</f>
        <v/>
      </c>
      <c r="E2918">
        <f>AutoClaim_Data!B2918</f>
        <v/>
      </c>
      <c r="F2918">
        <f>AutoClaim_Data!C2918</f>
        <v/>
      </c>
      <c r="G2918">
        <f>IF(AutoClaim_Data!D2918&lt;=$B$2,AVERAGEIFS(AutoClaim_Data!C2:C3168,AutoClaim_Data!B2:B3168,"Train",AutoClaim_Data!D2:D3168,"&lt;="&amp;$B$2),AVERAGEIFS(AutoClaim_Data!C2:C3168,AutoClaim_Data!B2:B3168,"Train",AutoClaim_Data!D2:D3168,"&gt;"&amp;$B$2))</f>
        <v/>
      </c>
      <c r="H2918">
        <f>IF(AutoClaim_Data!D2918&lt;=$B$2,IF(AutoClaim_Data!E2918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8">
        <f>(F2918-H2918)^2</f>
        <v/>
      </c>
      <c r="J2918">
        <f>--(E2918="Validation")</f>
        <v/>
      </c>
    </row>
    <row r="2919">
      <c r="D2919">
        <f>AutoClaim_Data!A2919</f>
        <v/>
      </c>
      <c r="E2919">
        <f>AutoClaim_Data!B2919</f>
        <v/>
      </c>
      <c r="F2919">
        <f>AutoClaim_Data!C2919</f>
        <v/>
      </c>
      <c r="G2919">
        <f>IF(AutoClaim_Data!D2919&lt;=$B$2,AVERAGEIFS(AutoClaim_Data!C2:C3168,AutoClaim_Data!B2:B3168,"Train",AutoClaim_Data!D2:D3168,"&lt;="&amp;$B$2),AVERAGEIFS(AutoClaim_Data!C2:C3168,AutoClaim_Data!B2:B3168,"Train",AutoClaim_Data!D2:D3168,"&gt;"&amp;$B$2))</f>
        <v/>
      </c>
      <c r="H2919">
        <f>IF(AutoClaim_Data!D2919&lt;=$B$2,IF(AutoClaim_Data!E2919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19">
        <f>(F2919-H2919)^2</f>
        <v/>
      </c>
      <c r="J2919">
        <f>--(E2919="Validation")</f>
        <v/>
      </c>
    </row>
    <row r="2920">
      <c r="D2920">
        <f>AutoClaim_Data!A2920</f>
        <v/>
      </c>
      <c r="E2920">
        <f>AutoClaim_Data!B2920</f>
        <v/>
      </c>
      <c r="F2920">
        <f>AutoClaim_Data!C2920</f>
        <v/>
      </c>
      <c r="G2920">
        <f>IF(AutoClaim_Data!D2920&lt;=$B$2,AVERAGEIFS(AutoClaim_Data!C2:C3168,AutoClaim_Data!B2:B3168,"Train",AutoClaim_Data!D2:D3168,"&lt;="&amp;$B$2),AVERAGEIFS(AutoClaim_Data!C2:C3168,AutoClaim_Data!B2:B3168,"Train",AutoClaim_Data!D2:D3168,"&gt;"&amp;$B$2))</f>
        <v/>
      </c>
      <c r="H2920">
        <f>IF(AutoClaim_Data!D2920&lt;=$B$2,IF(AutoClaim_Data!E2920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0">
        <f>(F2920-H2920)^2</f>
        <v/>
      </c>
      <c r="J2920">
        <f>--(E2920="Validation")</f>
        <v/>
      </c>
    </row>
    <row r="2921">
      <c r="D2921">
        <f>AutoClaim_Data!A2921</f>
        <v/>
      </c>
      <c r="E2921">
        <f>AutoClaim_Data!B2921</f>
        <v/>
      </c>
      <c r="F2921">
        <f>AutoClaim_Data!C2921</f>
        <v/>
      </c>
      <c r="G2921">
        <f>IF(AutoClaim_Data!D2921&lt;=$B$2,AVERAGEIFS(AutoClaim_Data!C2:C3168,AutoClaim_Data!B2:B3168,"Train",AutoClaim_Data!D2:D3168,"&lt;="&amp;$B$2),AVERAGEIFS(AutoClaim_Data!C2:C3168,AutoClaim_Data!B2:B3168,"Train",AutoClaim_Data!D2:D3168,"&gt;"&amp;$B$2))</f>
        <v/>
      </c>
      <c r="H2921">
        <f>IF(AutoClaim_Data!D2921&lt;=$B$2,IF(AutoClaim_Data!E2921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1">
        <f>(F2921-H2921)^2</f>
        <v/>
      </c>
      <c r="J2921">
        <f>--(E2921="Validation")</f>
        <v/>
      </c>
    </row>
    <row r="2922">
      <c r="D2922">
        <f>AutoClaim_Data!A2922</f>
        <v/>
      </c>
      <c r="E2922">
        <f>AutoClaim_Data!B2922</f>
        <v/>
      </c>
      <c r="F2922">
        <f>AutoClaim_Data!C2922</f>
        <v/>
      </c>
      <c r="G2922">
        <f>IF(AutoClaim_Data!D2922&lt;=$B$2,AVERAGEIFS(AutoClaim_Data!C2:C3168,AutoClaim_Data!B2:B3168,"Train",AutoClaim_Data!D2:D3168,"&lt;="&amp;$B$2),AVERAGEIFS(AutoClaim_Data!C2:C3168,AutoClaim_Data!B2:B3168,"Train",AutoClaim_Data!D2:D3168,"&gt;"&amp;$B$2))</f>
        <v/>
      </c>
      <c r="H2922">
        <f>IF(AutoClaim_Data!D2922&lt;=$B$2,IF(AutoClaim_Data!E2922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2">
        <f>(F2922-H2922)^2</f>
        <v/>
      </c>
      <c r="J2922">
        <f>--(E2922="Validation")</f>
        <v/>
      </c>
    </row>
    <row r="2923">
      <c r="D2923">
        <f>AutoClaim_Data!A2923</f>
        <v/>
      </c>
      <c r="E2923">
        <f>AutoClaim_Data!B2923</f>
        <v/>
      </c>
      <c r="F2923">
        <f>AutoClaim_Data!C2923</f>
        <v/>
      </c>
      <c r="G2923">
        <f>IF(AutoClaim_Data!D2923&lt;=$B$2,AVERAGEIFS(AutoClaim_Data!C2:C3168,AutoClaim_Data!B2:B3168,"Train",AutoClaim_Data!D2:D3168,"&lt;="&amp;$B$2),AVERAGEIFS(AutoClaim_Data!C2:C3168,AutoClaim_Data!B2:B3168,"Train",AutoClaim_Data!D2:D3168,"&gt;"&amp;$B$2))</f>
        <v/>
      </c>
      <c r="H2923">
        <f>IF(AutoClaim_Data!D2923&lt;=$B$2,IF(AutoClaim_Data!E2923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3">
        <f>(F2923-H2923)^2</f>
        <v/>
      </c>
      <c r="J2923">
        <f>--(E2923="Validation")</f>
        <v/>
      </c>
    </row>
    <row r="2924">
      <c r="D2924">
        <f>AutoClaim_Data!A2924</f>
        <v/>
      </c>
      <c r="E2924">
        <f>AutoClaim_Data!B2924</f>
        <v/>
      </c>
      <c r="F2924">
        <f>AutoClaim_Data!C2924</f>
        <v/>
      </c>
      <c r="G2924">
        <f>IF(AutoClaim_Data!D2924&lt;=$B$2,AVERAGEIFS(AutoClaim_Data!C2:C3168,AutoClaim_Data!B2:B3168,"Train",AutoClaim_Data!D2:D3168,"&lt;="&amp;$B$2),AVERAGEIFS(AutoClaim_Data!C2:C3168,AutoClaim_Data!B2:B3168,"Train",AutoClaim_Data!D2:D3168,"&gt;"&amp;$B$2))</f>
        <v/>
      </c>
      <c r="H2924">
        <f>IF(AutoClaim_Data!D2924&lt;=$B$2,IF(AutoClaim_Data!E2924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4">
        <f>(F2924-H2924)^2</f>
        <v/>
      </c>
      <c r="J2924">
        <f>--(E2924="Validation")</f>
        <v/>
      </c>
    </row>
    <row r="2925">
      <c r="D2925">
        <f>AutoClaim_Data!A2925</f>
        <v/>
      </c>
      <c r="E2925">
        <f>AutoClaim_Data!B2925</f>
        <v/>
      </c>
      <c r="F2925">
        <f>AutoClaim_Data!C2925</f>
        <v/>
      </c>
      <c r="G2925">
        <f>IF(AutoClaim_Data!D2925&lt;=$B$2,AVERAGEIFS(AutoClaim_Data!C2:C3168,AutoClaim_Data!B2:B3168,"Train",AutoClaim_Data!D2:D3168,"&lt;="&amp;$B$2),AVERAGEIFS(AutoClaim_Data!C2:C3168,AutoClaim_Data!B2:B3168,"Train",AutoClaim_Data!D2:D3168,"&gt;"&amp;$B$2))</f>
        <v/>
      </c>
      <c r="H2925">
        <f>IF(AutoClaim_Data!D2925&lt;=$B$2,IF(AutoClaim_Data!E2925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5">
        <f>(F2925-H2925)^2</f>
        <v/>
      </c>
      <c r="J2925">
        <f>--(E2925="Validation")</f>
        <v/>
      </c>
    </row>
    <row r="2926">
      <c r="D2926">
        <f>AutoClaim_Data!A2926</f>
        <v/>
      </c>
      <c r="E2926">
        <f>AutoClaim_Data!B2926</f>
        <v/>
      </c>
      <c r="F2926">
        <f>AutoClaim_Data!C2926</f>
        <v/>
      </c>
      <c r="G2926">
        <f>IF(AutoClaim_Data!D2926&lt;=$B$2,AVERAGEIFS(AutoClaim_Data!C2:C3168,AutoClaim_Data!B2:B3168,"Train",AutoClaim_Data!D2:D3168,"&lt;="&amp;$B$2),AVERAGEIFS(AutoClaim_Data!C2:C3168,AutoClaim_Data!B2:B3168,"Train",AutoClaim_Data!D2:D3168,"&gt;"&amp;$B$2))</f>
        <v/>
      </c>
      <c r="H2926">
        <f>IF(AutoClaim_Data!D2926&lt;=$B$2,IF(AutoClaim_Data!E2926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6">
        <f>(F2926-H2926)^2</f>
        <v/>
      </c>
      <c r="J2926">
        <f>--(E2926="Validation")</f>
        <v/>
      </c>
    </row>
    <row r="2927">
      <c r="D2927">
        <f>AutoClaim_Data!A2927</f>
        <v/>
      </c>
      <c r="E2927">
        <f>AutoClaim_Data!B2927</f>
        <v/>
      </c>
      <c r="F2927">
        <f>AutoClaim_Data!C2927</f>
        <v/>
      </c>
      <c r="G2927">
        <f>IF(AutoClaim_Data!D2927&lt;=$B$2,AVERAGEIFS(AutoClaim_Data!C2:C3168,AutoClaim_Data!B2:B3168,"Train",AutoClaim_Data!D2:D3168,"&lt;="&amp;$B$2),AVERAGEIFS(AutoClaim_Data!C2:C3168,AutoClaim_Data!B2:B3168,"Train",AutoClaim_Data!D2:D3168,"&gt;"&amp;$B$2))</f>
        <v/>
      </c>
      <c r="H2927">
        <f>IF(AutoClaim_Data!D2927&lt;=$B$2,IF(AutoClaim_Data!E2927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7">
        <f>(F2927-H2927)^2</f>
        <v/>
      </c>
      <c r="J2927">
        <f>--(E2927="Validation")</f>
        <v/>
      </c>
    </row>
    <row r="2928">
      <c r="D2928">
        <f>AutoClaim_Data!A2928</f>
        <v/>
      </c>
      <c r="E2928">
        <f>AutoClaim_Data!B2928</f>
        <v/>
      </c>
      <c r="F2928">
        <f>AutoClaim_Data!C2928</f>
        <v/>
      </c>
      <c r="G2928">
        <f>IF(AutoClaim_Data!D2928&lt;=$B$2,AVERAGEIFS(AutoClaim_Data!C2:C3168,AutoClaim_Data!B2:B3168,"Train",AutoClaim_Data!D2:D3168,"&lt;="&amp;$B$2),AVERAGEIFS(AutoClaim_Data!C2:C3168,AutoClaim_Data!B2:B3168,"Train",AutoClaim_Data!D2:D3168,"&gt;"&amp;$B$2))</f>
        <v/>
      </c>
      <c r="H2928">
        <f>IF(AutoClaim_Data!D2928&lt;=$B$2,IF(AutoClaim_Data!E2928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8">
        <f>(F2928-H2928)^2</f>
        <v/>
      </c>
      <c r="J2928">
        <f>--(E2928="Validation")</f>
        <v/>
      </c>
    </row>
    <row r="2929">
      <c r="D2929">
        <f>AutoClaim_Data!A2929</f>
        <v/>
      </c>
      <c r="E2929">
        <f>AutoClaim_Data!B2929</f>
        <v/>
      </c>
      <c r="F2929">
        <f>AutoClaim_Data!C2929</f>
        <v/>
      </c>
      <c r="G2929">
        <f>IF(AutoClaim_Data!D2929&lt;=$B$2,AVERAGEIFS(AutoClaim_Data!C2:C3168,AutoClaim_Data!B2:B3168,"Train",AutoClaim_Data!D2:D3168,"&lt;="&amp;$B$2),AVERAGEIFS(AutoClaim_Data!C2:C3168,AutoClaim_Data!B2:B3168,"Train",AutoClaim_Data!D2:D3168,"&gt;"&amp;$B$2))</f>
        <v/>
      </c>
      <c r="H2929">
        <f>IF(AutoClaim_Data!D2929&lt;=$B$2,IF(AutoClaim_Data!E2929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29">
        <f>(F2929-H2929)^2</f>
        <v/>
      </c>
      <c r="J2929">
        <f>--(E2929="Validation")</f>
        <v/>
      </c>
    </row>
    <row r="2930">
      <c r="D2930">
        <f>AutoClaim_Data!A2930</f>
        <v/>
      </c>
      <c r="E2930">
        <f>AutoClaim_Data!B2930</f>
        <v/>
      </c>
      <c r="F2930">
        <f>AutoClaim_Data!C2930</f>
        <v/>
      </c>
      <c r="G2930">
        <f>IF(AutoClaim_Data!D2930&lt;=$B$2,AVERAGEIFS(AutoClaim_Data!C2:C3168,AutoClaim_Data!B2:B3168,"Train",AutoClaim_Data!D2:D3168,"&lt;="&amp;$B$2),AVERAGEIFS(AutoClaim_Data!C2:C3168,AutoClaim_Data!B2:B3168,"Train",AutoClaim_Data!D2:D3168,"&gt;"&amp;$B$2))</f>
        <v/>
      </c>
      <c r="H2930">
        <f>IF(AutoClaim_Data!D2930&lt;=$B$2,IF(AutoClaim_Data!E2930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0">
        <f>(F2930-H2930)^2</f>
        <v/>
      </c>
      <c r="J2930">
        <f>--(E2930="Validation")</f>
        <v/>
      </c>
    </row>
    <row r="2931">
      <c r="D2931">
        <f>AutoClaim_Data!A2931</f>
        <v/>
      </c>
      <c r="E2931">
        <f>AutoClaim_Data!B2931</f>
        <v/>
      </c>
      <c r="F2931">
        <f>AutoClaim_Data!C2931</f>
        <v/>
      </c>
      <c r="G2931">
        <f>IF(AutoClaim_Data!D2931&lt;=$B$2,AVERAGEIFS(AutoClaim_Data!C2:C3168,AutoClaim_Data!B2:B3168,"Train",AutoClaim_Data!D2:D3168,"&lt;="&amp;$B$2),AVERAGEIFS(AutoClaim_Data!C2:C3168,AutoClaim_Data!B2:B3168,"Train",AutoClaim_Data!D2:D3168,"&gt;"&amp;$B$2))</f>
        <v/>
      </c>
      <c r="H2931">
        <f>IF(AutoClaim_Data!D2931&lt;=$B$2,IF(AutoClaim_Data!E2931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1">
        <f>(F2931-H2931)^2</f>
        <v/>
      </c>
      <c r="J2931">
        <f>--(E2931="Validation")</f>
        <v/>
      </c>
    </row>
    <row r="2932">
      <c r="D2932">
        <f>AutoClaim_Data!A2932</f>
        <v/>
      </c>
      <c r="E2932">
        <f>AutoClaim_Data!B2932</f>
        <v/>
      </c>
      <c r="F2932">
        <f>AutoClaim_Data!C2932</f>
        <v/>
      </c>
      <c r="G2932">
        <f>IF(AutoClaim_Data!D2932&lt;=$B$2,AVERAGEIFS(AutoClaim_Data!C2:C3168,AutoClaim_Data!B2:B3168,"Train",AutoClaim_Data!D2:D3168,"&lt;="&amp;$B$2),AVERAGEIFS(AutoClaim_Data!C2:C3168,AutoClaim_Data!B2:B3168,"Train",AutoClaim_Data!D2:D3168,"&gt;"&amp;$B$2))</f>
        <v/>
      </c>
      <c r="H2932">
        <f>IF(AutoClaim_Data!D2932&lt;=$B$2,IF(AutoClaim_Data!E2932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2">
        <f>(F2932-H2932)^2</f>
        <v/>
      </c>
      <c r="J2932">
        <f>--(E2932="Validation")</f>
        <v/>
      </c>
    </row>
    <row r="2933">
      <c r="D2933">
        <f>AutoClaim_Data!A2933</f>
        <v/>
      </c>
      <c r="E2933">
        <f>AutoClaim_Data!B2933</f>
        <v/>
      </c>
      <c r="F2933">
        <f>AutoClaim_Data!C2933</f>
        <v/>
      </c>
      <c r="G2933">
        <f>IF(AutoClaim_Data!D2933&lt;=$B$2,AVERAGEIFS(AutoClaim_Data!C2:C3168,AutoClaim_Data!B2:B3168,"Train",AutoClaim_Data!D2:D3168,"&lt;="&amp;$B$2),AVERAGEIFS(AutoClaim_Data!C2:C3168,AutoClaim_Data!B2:B3168,"Train",AutoClaim_Data!D2:D3168,"&gt;"&amp;$B$2))</f>
        <v/>
      </c>
      <c r="H2933">
        <f>IF(AutoClaim_Data!D2933&lt;=$B$2,IF(AutoClaim_Data!E2933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3">
        <f>(F2933-H2933)^2</f>
        <v/>
      </c>
      <c r="J2933">
        <f>--(E2933="Validation")</f>
        <v/>
      </c>
    </row>
    <row r="2934">
      <c r="D2934">
        <f>AutoClaim_Data!A2934</f>
        <v/>
      </c>
      <c r="E2934">
        <f>AutoClaim_Data!B2934</f>
        <v/>
      </c>
      <c r="F2934">
        <f>AutoClaim_Data!C2934</f>
        <v/>
      </c>
      <c r="G2934">
        <f>IF(AutoClaim_Data!D2934&lt;=$B$2,AVERAGEIFS(AutoClaim_Data!C2:C3168,AutoClaim_Data!B2:B3168,"Train",AutoClaim_Data!D2:D3168,"&lt;="&amp;$B$2),AVERAGEIFS(AutoClaim_Data!C2:C3168,AutoClaim_Data!B2:B3168,"Train",AutoClaim_Data!D2:D3168,"&gt;"&amp;$B$2))</f>
        <v/>
      </c>
      <c r="H2934">
        <f>IF(AutoClaim_Data!D2934&lt;=$B$2,IF(AutoClaim_Data!E2934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4">
        <f>(F2934-H2934)^2</f>
        <v/>
      </c>
      <c r="J2934">
        <f>--(E2934="Validation")</f>
        <v/>
      </c>
    </row>
    <row r="2935">
      <c r="D2935">
        <f>AutoClaim_Data!A2935</f>
        <v/>
      </c>
      <c r="E2935">
        <f>AutoClaim_Data!B2935</f>
        <v/>
      </c>
      <c r="F2935">
        <f>AutoClaim_Data!C2935</f>
        <v/>
      </c>
      <c r="G2935">
        <f>IF(AutoClaim_Data!D2935&lt;=$B$2,AVERAGEIFS(AutoClaim_Data!C2:C3168,AutoClaim_Data!B2:B3168,"Train",AutoClaim_Data!D2:D3168,"&lt;="&amp;$B$2),AVERAGEIFS(AutoClaim_Data!C2:C3168,AutoClaim_Data!B2:B3168,"Train",AutoClaim_Data!D2:D3168,"&gt;"&amp;$B$2))</f>
        <v/>
      </c>
      <c r="H2935">
        <f>IF(AutoClaim_Data!D2935&lt;=$B$2,IF(AutoClaim_Data!E2935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5">
        <f>(F2935-H2935)^2</f>
        <v/>
      </c>
      <c r="J2935">
        <f>--(E2935="Validation")</f>
        <v/>
      </c>
    </row>
    <row r="2936">
      <c r="D2936">
        <f>AutoClaim_Data!A2936</f>
        <v/>
      </c>
      <c r="E2936">
        <f>AutoClaim_Data!B2936</f>
        <v/>
      </c>
      <c r="F2936">
        <f>AutoClaim_Data!C2936</f>
        <v/>
      </c>
      <c r="G2936">
        <f>IF(AutoClaim_Data!D2936&lt;=$B$2,AVERAGEIFS(AutoClaim_Data!C2:C3168,AutoClaim_Data!B2:B3168,"Train",AutoClaim_Data!D2:D3168,"&lt;="&amp;$B$2),AVERAGEIFS(AutoClaim_Data!C2:C3168,AutoClaim_Data!B2:B3168,"Train",AutoClaim_Data!D2:D3168,"&gt;"&amp;$B$2))</f>
        <v/>
      </c>
      <c r="H2936">
        <f>IF(AutoClaim_Data!D2936&lt;=$B$2,IF(AutoClaim_Data!E2936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6">
        <f>(F2936-H2936)^2</f>
        <v/>
      </c>
      <c r="J2936">
        <f>--(E2936="Validation")</f>
        <v/>
      </c>
    </row>
    <row r="2937">
      <c r="D2937">
        <f>AutoClaim_Data!A2937</f>
        <v/>
      </c>
      <c r="E2937">
        <f>AutoClaim_Data!B2937</f>
        <v/>
      </c>
      <c r="F2937">
        <f>AutoClaim_Data!C2937</f>
        <v/>
      </c>
      <c r="G2937">
        <f>IF(AutoClaim_Data!D2937&lt;=$B$2,AVERAGEIFS(AutoClaim_Data!C2:C3168,AutoClaim_Data!B2:B3168,"Train",AutoClaim_Data!D2:D3168,"&lt;="&amp;$B$2),AVERAGEIFS(AutoClaim_Data!C2:C3168,AutoClaim_Data!B2:B3168,"Train",AutoClaim_Data!D2:D3168,"&gt;"&amp;$B$2))</f>
        <v/>
      </c>
      <c r="H2937">
        <f>IF(AutoClaim_Data!D2937&lt;=$B$2,IF(AutoClaim_Data!E2937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7">
        <f>(F2937-H2937)^2</f>
        <v/>
      </c>
      <c r="J2937">
        <f>--(E2937="Validation")</f>
        <v/>
      </c>
    </row>
    <row r="2938">
      <c r="D2938">
        <f>AutoClaim_Data!A2938</f>
        <v/>
      </c>
      <c r="E2938">
        <f>AutoClaim_Data!B2938</f>
        <v/>
      </c>
      <c r="F2938">
        <f>AutoClaim_Data!C2938</f>
        <v/>
      </c>
      <c r="G2938">
        <f>IF(AutoClaim_Data!D2938&lt;=$B$2,AVERAGEIFS(AutoClaim_Data!C2:C3168,AutoClaim_Data!B2:B3168,"Train",AutoClaim_Data!D2:D3168,"&lt;="&amp;$B$2),AVERAGEIFS(AutoClaim_Data!C2:C3168,AutoClaim_Data!B2:B3168,"Train",AutoClaim_Data!D2:D3168,"&gt;"&amp;$B$2))</f>
        <v/>
      </c>
      <c r="H2938">
        <f>IF(AutoClaim_Data!D2938&lt;=$B$2,IF(AutoClaim_Data!E2938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8">
        <f>(F2938-H2938)^2</f>
        <v/>
      </c>
      <c r="J2938">
        <f>--(E2938="Validation")</f>
        <v/>
      </c>
    </row>
    <row r="2939">
      <c r="D2939">
        <f>AutoClaim_Data!A2939</f>
        <v/>
      </c>
      <c r="E2939">
        <f>AutoClaim_Data!B2939</f>
        <v/>
      </c>
      <c r="F2939">
        <f>AutoClaim_Data!C2939</f>
        <v/>
      </c>
      <c r="G2939">
        <f>IF(AutoClaim_Data!D2939&lt;=$B$2,AVERAGEIFS(AutoClaim_Data!C2:C3168,AutoClaim_Data!B2:B3168,"Train",AutoClaim_Data!D2:D3168,"&lt;="&amp;$B$2),AVERAGEIFS(AutoClaim_Data!C2:C3168,AutoClaim_Data!B2:B3168,"Train",AutoClaim_Data!D2:D3168,"&gt;"&amp;$B$2))</f>
        <v/>
      </c>
      <c r="H2939">
        <f>IF(AutoClaim_Data!D2939&lt;=$B$2,IF(AutoClaim_Data!E2939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39">
        <f>(F2939-H2939)^2</f>
        <v/>
      </c>
      <c r="J2939">
        <f>--(E2939="Validation")</f>
        <v/>
      </c>
    </row>
    <row r="2940">
      <c r="D2940">
        <f>AutoClaim_Data!A2940</f>
        <v/>
      </c>
      <c r="E2940">
        <f>AutoClaim_Data!B2940</f>
        <v/>
      </c>
      <c r="F2940">
        <f>AutoClaim_Data!C2940</f>
        <v/>
      </c>
      <c r="G2940">
        <f>IF(AutoClaim_Data!D2940&lt;=$B$2,AVERAGEIFS(AutoClaim_Data!C2:C3168,AutoClaim_Data!B2:B3168,"Train",AutoClaim_Data!D2:D3168,"&lt;="&amp;$B$2),AVERAGEIFS(AutoClaim_Data!C2:C3168,AutoClaim_Data!B2:B3168,"Train",AutoClaim_Data!D2:D3168,"&gt;"&amp;$B$2))</f>
        <v/>
      </c>
      <c r="H2940">
        <f>IF(AutoClaim_Data!D2940&lt;=$B$2,IF(AutoClaim_Data!E2940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0">
        <f>(F2940-H2940)^2</f>
        <v/>
      </c>
      <c r="J2940">
        <f>--(E2940="Validation")</f>
        <v/>
      </c>
    </row>
    <row r="2941">
      <c r="D2941">
        <f>AutoClaim_Data!A2941</f>
        <v/>
      </c>
      <c r="E2941">
        <f>AutoClaim_Data!B2941</f>
        <v/>
      </c>
      <c r="F2941">
        <f>AutoClaim_Data!C2941</f>
        <v/>
      </c>
      <c r="G2941">
        <f>IF(AutoClaim_Data!D2941&lt;=$B$2,AVERAGEIFS(AutoClaim_Data!C2:C3168,AutoClaim_Data!B2:B3168,"Train",AutoClaim_Data!D2:D3168,"&lt;="&amp;$B$2),AVERAGEIFS(AutoClaim_Data!C2:C3168,AutoClaim_Data!B2:B3168,"Train",AutoClaim_Data!D2:D3168,"&gt;"&amp;$B$2))</f>
        <v/>
      </c>
      <c r="H2941">
        <f>IF(AutoClaim_Data!D2941&lt;=$B$2,IF(AutoClaim_Data!E2941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1">
        <f>(F2941-H2941)^2</f>
        <v/>
      </c>
      <c r="J2941">
        <f>--(E2941="Validation")</f>
        <v/>
      </c>
    </row>
    <row r="2942">
      <c r="D2942">
        <f>AutoClaim_Data!A2942</f>
        <v/>
      </c>
      <c r="E2942">
        <f>AutoClaim_Data!B2942</f>
        <v/>
      </c>
      <c r="F2942">
        <f>AutoClaim_Data!C2942</f>
        <v/>
      </c>
      <c r="G2942">
        <f>IF(AutoClaim_Data!D2942&lt;=$B$2,AVERAGEIFS(AutoClaim_Data!C2:C3168,AutoClaim_Data!B2:B3168,"Train",AutoClaim_Data!D2:D3168,"&lt;="&amp;$B$2),AVERAGEIFS(AutoClaim_Data!C2:C3168,AutoClaim_Data!B2:B3168,"Train",AutoClaim_Data!D2:D3168,"&gt;"&amp;$B$2))</f>
        <v/>
      </c>
      <c r="H2942">
        <f>IF(AutoClaim_Data!D2942&lt;=$B$2,IF(AutoClaim_Data!E2942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2">
        <f>(F2942-H2942)^2</f>
        <v/>
      </c>
      <c r="J2942">
        <f>--(E2942="Validation")</f>
        <v/>
      </c>
    </row>
    <row r="2943">
      <c r="D2943">
        <f>AutoClaim_Data!A2943</f>
        <v/>
      </c>
      <c r="E2943">
        <f>AutoClaim_Data!B2943</f>
        <v/>
      </c>
      <c r="F2943">
        <f>AutoClaim_Data!C2943</f>
        <v/>
      </c>
      <c r="G2943">
        <f>IF(AutoClaim_Data!D2943&lt;=$B$2,AVERAGEIFS(AutoClaim_Data!C2:C3168,AutoClaim_Data!B2:B3168,"Train",AutoClaim_Data!D2:D3168,"&lt;="&amp;$B$2),AVERAGEIFS(AutoClaim_Data!C2:C3168,AutoClaim_Data!B2:B3168,"Train",AutoClaim_Data!D2:D3168,"&gt;"&amp;$B$2))</f>
        <v/>
      </c>
      <c r="H2943">
        <f>IF(AutoClaim_Data!D2943&lt;=$B$2,IF(AutoClaim_Data!E2943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3">
        <f>(F2943-H2943)^2</f>
        <v/>
      </c>
      <c r="J2943">
        <f>--(E2943="Validation")</f>
        <v/>
      </c>
    </row>
    <row r="2944">
      <c r="D2944">
        <f>AutoClaim_Data!A2944</f>
        <v/>
      </c>
      <c r="E2944">
        <f>AutoClaim_Data!B2944</f>
        <v/>
      </c>
      <c r="F2944">
        <f>AutoClaim_Data!C2944</f>
        <v/>
      </c>
      <c r="G2944">
        <f>IF(AutoClaim_Data!D2944&lt;=$B$2,AVERAGEIFS(AutoClaim_Data!C2:C3168,AutoClaim_Data!B2:B3168,"Train",AutoClaim_Data!D2:D3168,"&lt;="&amp;$B$2),AVERAGEIFS(AutoClaim_Data!C2:C3168,AutoClaim_Data!B2:B3168,"Train",AutoClaim_Data!D2:D3168,"&gt;"&amp;$B$2))</f>
        <v/>
      </c>
      <c r="H2944">
        <f>IF(AutoClaim_Data!D2944&lt;=$B$2,IF(AutoClaim_Data!E2944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4">
        <f>(F2944-H2944)^2</f>
        <v/>
      </c>
      <c r="J2944">
        <f>--(E2944="Validation")</f>
        <v/>
      </c>
    </row>
    <row r="2945">
      <c r="D2945">
        <f>AutoClaim_Data!A2945</f>
        <v/>
      </c>
      <c r="E2945">
        <f>AutoClaim_Data!B2945</f>
        <v/>
      </c>
      <c r="F2945">
        <f>AutoClaim_Data!C2945</f>
        <v/>
      </c>
      <c r="G2945">
        <f>IF(AutoClaim_Data!D2945&lt;=$B$2,AVERAGEIFS(AutoClaim_Data!C2:C3168,AutoClaim_Data!B2:B3168,"Train",AutoClaim_Data!D2:D3168,"&lt;="&amp;$B$2),AVERAGEIFS(AutoClaim_Data!C2:C3168,AutoClaim_Data!B2:B3168,"Train",AutoClaim_Data!D2:D3168,"&gt;"&amp;$B$2))</f>
        <v/>
      </c>
      <c r="H2945">
        <f>IF(AutoClaim_Data!D2945&lt;=$B$2,IF(AutoClaim_Data!E2945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5">
        <f>(F2945-H2945)^2</f>
        <v/>
      </c>
      <c r="J2945">
        <f>--(E2945="Validation")</f>
        <v/>
      </c>
    </row>
    <row r="2946">
      <c r="D2946">
        <f>AutoClaim_Data!A2946</f>
        <v/>
      </c>
      <c r="E2946">
        <f>AutoClaim_Data!B2946</f>
        <v/>
      </c>
      <c r="F2946">
        <f>AutoClaim_Data!C2946</f>
        <v/>
      </c>
      <c r="G2946">
        <f>IF(AutoClaim_Data!D2946&lt;=$B$2,AVERAGEIFS(AutoClaim_Data!C2:C3168,AutoClaim_Data!B2:B3168,"Train",AutoClaim_Data!D2:D3168,"&lt;="&amp;$B$2),AVERAGEIFS(AutoClaim_Data!C2:C3168,AutoClaim_Data!B2:B3168,"Train",AutoClaim_Data!D2:D3168,"&gt;"&amp;$B$2))</f>
        <v/>
      </c>
      <c r="H2946">
        <f>IF(AutoClaim_Data!D2946&lt;=$B$2,IF(AutoClaim_Data!E2946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6">
        <f>(F2946-H2946)^2</f>
        <v/>
      </c>
      <c r="J2946">
        <f>--(E2946="Validation")</f>
        <v/>
      </c>
    </row>
    <row r="2947">
      <c r="D2947">
        <f>AutoClaim_Data!A2947</f>
        <v/>
      </c>
      <c r="E2947">
        <f>AutoClaim_Data!B2947</f>
        <v/>
      </c>
      <c r="F2947">
        <f>AutoClaim_Data!C2947</f>
        <v/>
      </c>
      <c r="G2947">
        <f>IF(AutoClaim_Data!D2947&lt;=$B$2,AVERAGEIFS(AutoClaim_Data!C2:C3168,AutoClaim_Data!B2:B3168,"Train",AutoClaim_Data!D2:D3168,"&lt;="&amp;$B$2),AVERAGEIFS(AutoClaim_Data!C2:C3168,AutoClaim_Data!B2:B3168,"Train",AutoClaim_Data!D2:D3168,"&gt;"&amp;$B$2))</f>
        <v/>
      </c>
      <c r="H2947">
        <f>IF(AutoClaim_Data!D2947&lt;=$B$2,IF(AutoClaim_Data!E2947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7">
        <f>(F2947-H2947)^2</f>
        <v/>
      </c>
      <c r="J2947">
        <f>--(E2947="Validation")</f>
        <v/>
      </c>
    </row>
    <row r="2948">
      <c r="D2948">
        <f>AutoClaim_Data!A2948</f>
        <v/>
      </c>
      <c r="E2948">
        <f>AutoClaim_Data!B2948</f>
        <v/>
      </c>
      <c r="F2948">
        <f>AutoClaim_Data!C2948</f>
        <v/>
      </c>
      <c r="G2948">
        <f>IF(AutoClaim_Data!D2948&lt;=$B$2,AVERAGEIFS(AutoClaim_Data!C2:C3168,AutoClaim_Data!B2:B3168,"Train",AutoClaim_Data!D2:D3168,"&lt;="&amp;$B$2),AVERAGEIFS(AutoClaim_Data!C2:C3168,AutoClaim_Data!B2:B3168,"Train",AutoClaim_Data!D2:D3168,"&gt;"&amp;$B$2))</f>
        <v/>
      </c>
      <c r="H2948">
        <f>IF(AutoClaim_Data!D2948&lt;=$B$2,IF(AutoClaim_Data!E2948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8">
        <f>(F2948-H2948)^2</f>
        <v/>
      </c>
      <c r="J2948">
        <f>--(E2948="Validation")</f>
        <v/>
      </c>
    </row>
    <row r="2949">
      <c r="D2949">
        <f>AutoClaim_Data!A2949</f>
        <v/>
      </c>
      <c r="E2949">
        <f>AutoClaim_Data!B2949</f>
        <v/>
      </c>
      <c r="F2949">
        <f>AutoClaim_Data!C2949</f>
        <v/>
      </c>
      <c r="G2949">
        <f>IF(AutoClaim_Data!D2949&lt;=$B$2,AVERAGEIFS(AutoClaim_Data!C2:C3168,AutoClaim_Data!B2:B3168,"Train",AutoClaim_Data!D2:D3168,"&lt;="&amp;$B$2),AVERAGEIFS(AutoClaim_Data!C2:C3168,AutoClaim_Data!B2:B3168,"Train",AutoClaim_Data!D2:D3168,"&gt;"&amp;$B$2))</f>
        <v/>
      </c>
      <c r="H2949">
        <f>IF(AutoClaim_Data!D2949&lt;=$B$2,IF(AutoClaim_Data!E2949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49">
        <f>(F2949-H2949)^2</f>
        <v/>
      </c>
      <c r="J2949">
        <f>--(E2949="Validation")</f>
        <v/>
      </c>
    </row>
    <row r="2950">
      <c r="D2950">
        <f>AutoClaim_Data!A2950</f>
        <v/>
      </c>
      <c r="E2950">
        <f>AutoClaim_Data!B2950</f>
        <v/>
      </c>
      <c r="F2950">
        <f>AutoClaim_Data!C2950</f>
        <v/>
      </c>
      <c r="G2950">
        <f>IF(AutoClaim_Data!D2950&lt;=$B$2,AVERAGEIFS(AutoClaim_Data!C2:C3168,AutoClaim_Data!B2:B3168,"Train",AutoClaim_Data!D2:D3168,"&lt;="&amp;$B$2),AVERAGEIFS(AutoClaim_Data!C2:C3168,AutoClaim_Data!B2:B3168,"Train",AutoClaim_Data!D2:D3168,"&gt;"&amp;$B$2))</f>
        <v/>
      </c>
      <c r="H2950">
        <f>IF(AutoClaim_Data!D2950&lt;=$B$2,IF(AutoClaim_Data!E2950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0">
        <f>(F2950-H2950)^2</f>
        <v/>
      </c>
      <c r="J2950">
        <f>--(E2950="Validation")</f>
        <v/>
      </c>
    </row>
    <row r="2951">
      <c r="D2951">
        <f>AutoClaim_Data!A2951</f>
        <v/>
      </c>
      <c r="E2951">
        <f>AutoClaim_Data!B2951</f>
        <v/>
      </c>
      <c r="F2951">
        <f>AutoClaim_Data!C2951</f>
        <v/>
      </c>
      <c r="G2951">
        <f>IF(AutoClaim_Data!D2951&lt;=$B$2,AVERAGEIFS(AutoClaim_Data!C2:C3168,AutoClaim_Data!B2:B3168,"Train",AutoClaim_Data!D2:D3168,"&lt;="&amp;$B$2),AVERAGEIFS(AutoClaim_Data!C2:C3168,AutoClaim_Data!B2:B3168,"Train",AutoClaim_Data!D2:D3168,"&gt;"&amp;$B$2))</f>
        <v/>
      </c>
      <c r="H2951">
        <f>IF(AutoClaim_Data!D2951&lt;=$B$2,IF(AutoClaim_Data!E2951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1">
        <f>(F2951-H2951)^2</f>
        <v/>
      </c>
      <c r="J2951">
        <f>--(E2951="Validation")</f>
        <v/>
      </c>
    </row>
    <row r="2952">
      <c r="D2952">
        <f>AutoClaim_Data!A2952</f>
        <v/>
      </c>
      <c r="E2952">
        <f>AutoClaim_Data!B2952</f>
        <v/>
      </c>
      <c r="F2952">
        <f>AutoClaim_Data!C2952</f>
        <v/>
      </c>
      <c r="G2952">
        <f>IF(AutoClaim_Data!D2952&lt;=$B$2,AVERAGEIFS(AutoClaim_Data!C2:C3168,AutoClaim_Data!B2:B3168,"Train",AutoClaim_Data!D2:D3168,"&lt;="&amp;$B$2),AVERAGEIFS(AutoClaim_Data!C2:C3168,AutoClaim_Data!B2:B3168,"Train",AutoClaim_Data!D2:D3168,"&gt;"&amp;$B$2))</f>
        <v/>
      </c>
      <c r="H2952">
        <f>IF(AutoClaim_Data!D2952&lt;=$B$2,IF(AutoClaim_Data!E2952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2">
        <f>(F2952-H2952)^2</f>
        <v/>
      </c>
      <c r="J2952">
        <f>--(E2952="Validation")</f>
        <v/>
      </c>
    </row>
    <row r="2953">
      <c r="D2953">
        <f>AutoClaim_Data!A2953</f>
        <v/>
      </c>
      <c r="E2953">
        <f>AutoClaim_Data!B2953</f>
        <v/>
      </c>
      <c r="F2953">
        <f>AutoClaim_Data!C2953</f>
        <v/>
      </c>
      <c r="G2953">
        <f>IF(AutoClaim_Data!D2953&lt;=$B$2,AVERAGEIFS(AutoClaim_Data!C2:C3168,AutoClaim_Data!B2:B3168,"Train",AutoClaim_Data!D2:D3168,"&lt;="&amp;$B$2),AVERAGEIFS(AutoClaim_Data!C2:C3168,AutoClaim_Data!B2:B3168,"Train",AutoClaim_Data!D2:D3168,"&gt;"&amp;$B$2))</f>
        <v/>
      </c>
      <c r="H2953">
        <f>IF(AutoClaim_Data!D2953&lt;=$B$2,IF(AutoClaim_Data!E2953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3">
        <f>(F2953-H2953)^2</f>
        <v/>
      </c>
      <c r="J2953">
        <f>--(E2953="Validation")</f>
        <v/>
      </c>
    </row>
    <row r="2954">
      <c r="D2954">
        <f>AutoClaim_Data!A2954</f>
        <v/>
      </c>
      <c r="E2954">
        <f>AutoClaim_Data!B2954</f>
        <v/>
      </c>
      <c r="F2954">
        <f>AutoClaim_Data!C2954</f>
        <v/>
      </c>
      <c r="G2954">
        <f>IF(AutoClaim_Data!D2954&lt;=$B$2,AVERAGEIFS(AutoClaim_Data!C2:C3168,AutoClaim_Data!B2:B3168,"Train",AutoClaim_Data!D2:D3168,"&lt;="&amp;$B$2),AVERAGEIFS(AutoClaim_Data!C2:C3168,AutoClaim_Data!B2:B3168,"Train",AutoClaim_Data!D2:D3168,"&gt;"&amp;$B$2))</f>
        <v/>
      </c>
      <c r="H2954">
        <f>IF(AutoClaim_Data!D2954&lt;=$B$2,IF(AutoClaim_Data!E2954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4">
        <f>(F2954-H2954)^2</f>
        <v/>
      </c>
      <c r="J2954">
        <f>--(E2954="Validation")</f>
        <v/>
      </c>
    </row>
    <row r="2955">
      <c r="D2955">
        <f>AutoClaim_Data!A2955</f>
        <v/>
      </c>
      <c r="E2955">
        <f>AutoClaim_Data!B2955</f>
        <v/>
      </c>
      <c r="F2955">
        <f>AutoClaim_Data!C2955</f>
        <v/>
      </c>
      <c r="G2955">
        <f>IF(AutoClaim_Data!D2955&lt;=$B$2,AVERAGEIFS(AutoClaim_Data!C2:C3168,AutoClaim_Data!B2:B3168,"Train",AutoClaim_Data!D2:D3168,"&lt;="&amp;$B$2),AVERAGEIFS(AutoClaim_Data!C2:C3168,AutoClaim_Data!B2:B3168,"Train",AutoClaim_Data!D2:D3168,"&gt;"&amp;$B$2))</f>
        <v/>
      </c>
      <c r="H2955">
        <f>IF(AutoClaim_Data!D2955&lt;=$B$2,IF(AutoClaim_Data!E2955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5">
        <f>(F2955-H2955)^2</f>
        <v/>
      </c>
      <c r="J2955">
        <f>--(E2955="Validation")</f>
        <v/>
      </c>
    </row>
    <row r="2956">
      <c r="D2956">
        <f>AutoClaim_Data!A2956</f>
        <v/>
      </c>
      <c r="E2956">
        <f>AutoClaim_Data!B2956</f>
        <v/>
      </c>
      <c r="F2956">
        <f>AutoClaim_Data!C2956</f>
        <v/>
      </c>
      <c r="G2956">
        <f>IF(AutoClaim_Data!D2956&lt;=$B$2,AVERAGEIFS(AutoClaim_Data!C2:C3168,AutoClaim_Data!B2:B3168,"Train",AutoClaim_Data!D2:D3168,"&lt;="&amp;$B$2),AVERAGEIFS(AutoClaim_Data!C2:C3168,AutoClaim_Data!B2:B3168,"Train",AutoClaim_Data!D2:D3168,"&gt;"&amp;$B$2))</f>
        <v/>
      </c>
      <c r="H2956">
        <f>IF(AutoClaim_Data!D2956&lt;=$B$2,IF(AutoClaim_Data!E2956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6">
        <f>(F2956-H2956)^2</f>
        <v/>
      </c>
      <c r="J2956">
        <f>--(E2956="Validation")</f>
        <v/>
      </c>
    </row>
    <row r="2957">
      <c r="D2957">
        <f>AutoClaim_Data!A2957</f>
        <v/>
      </c>
      <c r="E2957">
        <f>AutoClaim_Data!B2957</f>
        <v/>
      </c>
      <c r="F2957">
        <f>AutoClaim_Data!C2957</f>
        <v/>
      </c>
      <c r="G2957">
        <f>IF(AutoClaim_Data!D2957&lt;=$B$2,AVERAGEIFS(AutoClaim_Data!C2:C3168,AutoClaim_Data!B2:B3168,"Train",AutoClaim_Data!D2:D3168,"&lt;="&amp;$B$2),AVERAGEIFS(AutoClaim_Data!C2:C3168,AutoClaim_Data!B2:B3168,"Train",AutoClaim_Data!D2:D3168,"&gt;"&amp;$B$2))</f>
        <v/>
      </c>
      <c r="H2957">
        <f>IF(AutoClaim_Data!D2957&lt;=$B$2,IF(AutoClaim_Data!E2957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7">
        <f>(F2957-H2957)^2</f>
        <v/>
      </c>
      <c r="J2957">
        <f>--(E2957="Validation")</f>
        <v/>
      </c>
    </row>
    <row r="2958">
      <c r="D2958">
        <f>AutoClaim_Data!A2958</f>
        <v/>
      </c>
      <c r="E2958">
        <f>AutoClaim_Data!B2958</f>
        <v/>
      </c>
      <c r="F2958">
        <f>AutoClaim_Data!C2958</f>
        <v/>
      </c>
      <c r="G2958">
        <f>IF(AutoClaim_Data!D2958&lt;=$B$2,AVERAGEIFS(AutoClaim_Data!C2:C3168,AutoClaim_Data!B2:B3168,"Train",AutoClaim_Data!D2:D3168,"&lt;="&amp;$B$2),AVERAGEIFS(AutoClaim_Data!C2:C3168,AutoClaim_Data!B2:B3168,"Train",AutoClaim_Data!D2:D3168,"&gt;"&amp;$B$2))</f>
        <v/>
      </c>
      <c r="H2958">
        <f>IF(AutoClaim_Data!D2958&lt;=$B$2,IF(AutoClaim_Data!E2958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8">
        <f>(F2958-H2958)^2</f>
        <v/>
      </c>
      <c r="J2958">
        <f>--(E2958="Validation")</f>
        <v/>
      </c>
    </row>
    <row r="2959">
      <c r="D2959">
        <f>AutoClaim_Data!A2959</f>
        <v/>
      </c>
      <c r="E2959">
        <f>AutoClaim_Data!B2959</f>
        <v/>
      </c>
      <c r="F2959">
        <f>AutoClaim_Data!C2959</f>
        <v/>
      </c>
      <c r="G2959">
        <f>IF(AutoClaim_Data!D2959&lt;=$B$2,AVERAGEIFS(AutoClaim_Data!C2:C3168,AutoClaim_Data!B2:B3168,"Train",AutoClaim_Data!D2:D3168,"&lt;="&amp;$B$2),AVERAGEIFS(AutoClaim_Data!C2:C3168,AutoClaim_Data!B2:B3168,"Train",AutoClaim_Data!D2:D3168,"&gt;"&amp;$B$2))</f>
        <v/>
      </c>
      <c r="H2959">
        <f>IF(AutoClaim_Data!D2959&lt;=$B$2,IF(AutoClaim_Data!E2959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59">
        <f>(F2959-H2959)^2</f>
        <v/>
      </c>
      <c r="J2959">
        <f>--(E2959="Validation")</f>
        <v/>
      </c>
    </row>
    <row r="2960">
      <c r="D2960">
        <f>AutoClaim_Data!A2960</f>
        <v/>
      </c>
      <c r="E2960">
        <f>AutoClaim_Data!B2960</f>
        <v/>
      </c>
      <c r="F2960">
        <f>AutoClaim_Data!C2960</f>
        <v/>
      </c>
      <c r="G2960">
        <f>IF(AutoClaim_Data!D2960&lt;=$B$2,AVERAGEIFS(AutoClaim_Data!C2:C3168,AutoClaim_Data!B2:B3168,"Train",AutoClaim_Data!D2:D3168,"&lt;="&amp;$B$2),AVERAGEIFS(AutoClaim_Data!C2:C3168,AutoClaim_Data!B2:B3168,"Train",AutoClaim_Data!D2:D3168,"&gt;"&amp;$B$2))</f>
        <v/>
      </c>
      <c r="H2960">
        <f>IF(AutoClaim_Data!D2960&lt;=$B$2,IF(AutoClaim_Data!E2960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0">
        <f>(F2960-H2960)^2</f>
        <v/>
      </c>
      <c r="J2960">
        <f>--(E2960="Validation")</f>
        <v/>
      </c>
    </row>
    <row r="2961">
      <c r="D2961">
        <f>AutoClaim_Data!A2961</f>
        <v/>
      </c>
      <c r="E2961">
        <f>AutoClaim_Data!B2961</f>
        <v/>
      </c>
      <c r="F2961">
        <f>AutoClaim_Data!C2961</f>
        <v/>
      </c>
      <c r="G2961">
        <f>IF(AutoClaim_Data!D2961&lt;=$B$2,AVERAGEIFS(AutoClaim_Data!C2:C3168,AutoClaim_Data!B2:B3168,"Train",AutoClaim_Data!D2:D3168,"&lt;="&amp;$B$2),AVERAGEIFS(AutoClaim_Data!C2:C3168,AutoClaim_Data!B2:B3168,"Train",AutoClaim_Data!D2:D3168,"&gt;"&amp;$B$2))</f>
        <v/>
      </c>
      <c r="H2961">
        <f>IF(AutoClaim_Data!D2961&lt;=$B$2,IF(AutoClaim_Data!E2961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1">
        <f>(F2961-H2961)^2</f>
        <v/>
      </c>
      <c r="J2961">
        <f>--(E2961="Validation")</f>
        <v/>
      </c>
    </row>
    <row r="2962">
      <c r="D2962">
        <f>AutoClaim_Data!A2962</f>
        <v/>
      </c>
      <c r="E2962">
        <f>AutoClaim_Data!B2962</f>
        <v/>
      </c>
      <c r="F2962">
        <f>AutoClaim_Data!C2962</f>
        <v/>
      </c>
      <c r="G2962">
        <f>IF(AutoClaim_Data!D2962&lt;=$B$2,AVERAGEIFS(AutoClaim_Data!C2:C3168,AutoClaim_Data!B2:B3168,"Train",AutoClaim_Data!D2:D3168,"&lt;="&amp;$B$2),AVERAGEIFS(AutoClaim_Data!C2:C3168,AutoClaim_Data!B2:B3168,"Train",AutoClaim_Data!D2:D3168,"&gt;"&amp;$B$2))</f>
        <v/>
      </c>
      <c r="H2962">
        <f>IF(AutoClaim_Data!D2962&lt;=$B$2,IF(AutoClaim_Data!E2962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2">
        <f>(F2962-H2962)^2</f>
        <v/>
      </c>
      <c r="J2962">
        <f>--(E2962="Validation")</f>
        <v/>
      </c>
    </row>
    <row r="2963">
      <c r="D2963">
        <f>AutoClaim_Data!A2963</f>
        <v/>
      </c>
      <c r="E2963">
        <f>AutoClaim_Data!B2963</f>
        <v/>
      </c>
      <c r="F2963">
        <f>AutoClaim_Data!C2963</f>
        <v/>
      </c>
      <c r="G2963">
        <f>IF(AutoClaim_Data!D2963&lt;=$B$2,AVERAGEIFS(AutoClaim_Data!C2:C3168,AutoClaim_Data!B2:B3168,"Train",AutoClaim_Data!D2:D3168,"&lt;="&amp;$B$2),AVERAGEIFS(AutoClaim_Data!C2:C3168,AutoClaim_Data!B2:B3168,"Train",AutoClaim_Data!D2:D3168,"&gt;"&amp;$B$2))</f>
        <v/>
      </c>
      <c r="H2963">
        <f>IF(AutoClaim_Data!D2963&lt;=$B$2,IF(AutoClaim_Data!E2963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3">
        <f>(F2963-H2963)^2</f>
        <v/>
      </c>
      <c r="J2963">
        <f>--(E2963="Validation")</f>
        <v/>
      </c>
    </row>
    <row r="2964">
      <c r="D2964">
        <f>AutoClaim_Data!A2964</f>
        <v/>
      </c>
      <c r="E2964">
        <f>AutoClaim_Data!B2964</f>
        <v/>
      </c>
      <c r="F2964">
        <f>AutoClaim_Data!C2964</f>
        <v/>
      </c>
      <c r="G2964">
        <f>IF(AutoClaim_Data!D2964&lt;=$B$2,AVERAGEIFS(AutoClaim_Data!C2:C3168,AutoClaim_Data!B2:B3168,"Train",AutoClaim_Data!D2:D3168,"&lt;="&amp;$B$2),AVERAGEIFS(AutoClaim_Data!C2:C3168,AutoClaim_Data!B2:B3168,"Train",AutoClaim_Data!D2:D3168,"&gt;"&amp;$B$2))</f>
        <v/>
      </c>
      <c r="H2964">
        <f>IF(AutoClaim_Data!D2964&lt;=$B$2,IF(AutoClaim_Data!E2964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4">
        <f>(F2964-H2964)^2</f>
        <v/>
      </c>
      <c r="J2964">
        <f>--(E2964="Validation")</f>
        <v/>
      </c>
    </row>
    <row r="2965">
      <c r="D2965">
        <f>AutoClaim_Data!A2965</f>
        <v/>
      </c>
      <c r="E2965">
        <f>AutoClaim_Data!B2965</f>
        <v/>
      </c>
      <c r="F2965">
        <f>AutoClaim_Data!C2965</f>
        <v/>
      </c>
      <c r="G2965">
        <f>IF(AutoClaim_Data!D2965&lt;=$B$2,AVERAGEIFS(AutoClaim_Data!C2:C3168,AutoClaim_Data!B2:B3168,"Train",AutoClaim_Data!D2:D3168,"&lt;="&amp;$B$2),AVERAGEIFS(AutoClaim_Data!C2:C3168,AutoClaim_Data!B2:B3168,"Train",AutoClaim_Data!D2:D3168,"&gt;"&amp;$B$2))</f>
        <v/>
      </c>
      <c r="H2965">
        <f>IF(AutoClaim_Data!D2965&lt;=$B$2,IF(AutoClaim_Data!E2965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5">
        <f>(F2965-H2965)^2</f>
        <v/>
      </c>
      <c r="J2965">
        <f>--(E2965="Validation")</f>
        <v/>
      </c>
    </row>
    <row r="2966">
      <c r="D2966">
        <f>AutoClaim_Data!A2966</f>
        <v/>
      </c>
      <c r="E2966">
        <f>AutoClaim_Data!B2966</f>
        <v/>
      </c>
      <c r="F2966">
        <f>AutoClaim_Data!C2966</f>
        <v/>
      </c>
      <c r="G2966">
        <f>IF(AutoClaim_Data!D2966&lt;=$B$2,AVERAGEIFS(AutoClaim_Data!C2:C3168,AutoClaim_Data!B2:B3168,"Train",AutoClaim_Data!D2:D3168,"&lt;="&amp;$B$2),AVERAGEIFS(AutoClaim_Data!C2:C3168,AutoClaim_Data!B2:B3168,"Train",AutoClaim_Data!D2:D3168,"&gt;"&amp;$B$2))</f>
        <v/>
      </c>
      <c r="H2966">
        <f>IF(AutoClaim_Data!D2966&lt;=$B$2,IF(AutoClaim_Data!E2966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6">
        <f>(F2966-H2966)^2</f>
        <v/>
      </c>
      <c r="J2966">
        <f>--(E2966="Validation")</f>
        <v/>
      </c>
    </row>
    <row r="2967">
      <c r="D2967">
        <f>AutoClaim_Data!A2967</f>
        <v/>
      </c>
      <c r="E2967">
        <f>AutoClaim_Data!B2967</f>
        <v/>
      </c>
      <c r="F2967">
        <f>AutoClaim_Data!C2967</f>
        <v/>
      </c>
      <c r="G2967">
        <f>IF(AutoClaim_Data!D2967&lt;=$B$2,AVERAGEIFS(AutoClaim_Data!C2:C3168,AutoClaim_Data!B2:B3168,"Train",AutoClaim_Data!D2:D3168,"&lt;="&amp;$B$2),AVERAGEIFS(AutoClaim_Data!C2:C3168,AutoClaim_Data!B2:B3168,"Train",AutoClaim_Data!D2:D3168,"&gt;"&amp;$B$2))</f>
        <v/>
      </c>
      <c r="H2967">
        <f>IF(AutoClaim_Data!D2967&lt;=$B$2,IF(AutoClaim_Data!E2967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7">
        <f>(F2967-H2967)^2</f>
        <v/>
      </c>
      <c r="J2967">
        <f>--(E2967="Validation")</f>
        <v/>
      </c>
    </row>
    <row r="2968">
      <c r="D2968">
        <f>AutoClaim_Data!A2968</f>
        <v/>
      </c>
      <c r="E2968">
        <f>AutoClaim_Data!B2968</f>
        <v/>
      </c>
      <c r="F2968">
        <f>AutoClaim_Data!C2968</f>
        <v/>
      </c>
      <c r="G2968">
        <f>IF(AutoClaim_Data!D2968&lt;=$B$2,AVERAGEIFS(AutoClaim_Data!C2:C3168,AutoClaim_Data!B2:B3168,"Train",AutoClaim_Data!D2:D3168,"&lt;="&amp;$B$2),AVERAGEIFS(AutoClaim_Data!C2:C3168,AutoClaim_Data!B2:B3168,"Train",AutoClaim_Data!D2:D3168,"&gt;"&amp;$B$2))</f>
        <v/>
      </c>
      <c r="H2968">
        <f>IF(AutoClaim_Data!D2968&lt;=$B$2,IF(AutoClaim_Data!E2968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8">
        <f>(F2968-H2968)^2</f>
        <v/>
      </c>
      <c r="J2968">
        <f>--(E2968="Validation")</f>
        <v/>
      </c>
    </row>
    <row r="2969">
      <c r="D2969">
        <f>AutoClaim_Data!A2969</f>
        <v/>
      </c>
      <c r="E2969">
        <f>AutoClaim_Data!B2969</f>
        <v/>
      </c>
      <c r="F2969">
        <f>AutoClaim_Data!C2969</f>
        <v/>
      </c>
      <c r="G2969">
        <f>IF(AutoClaim_Data!D2969&lt;=$B$2,AVERAGEIFS(AutoClaim_Data!C2:C3168,AutoClaim_Data!B2:B3168,"Train",AutoClaim_Data!D2:D3168,"&lt;="&amp;$B$2),AVERAGEIFS(AutoClaim_Data!C2:C3168,AutoClaim_Data!B2:B3168,"Train",AutoClaim_Data!D2:D3168,"&gt;"&amp;$B$2))</f>
        <v/>
      </c>
      <c r="H2969">
        <f>IF(AutoClaim_Data!D2969&lt;=$B$2,IF(AutoClaim_Data!E2969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69">
        <f>(F2969-H2969)^2</f>
        <v/>
      </c>
      <c r="J2969">
        <f>--(E2969="Validation")</f>
        <v/>
      </c>
    </row>
    <row r="2970">
      <c r="D2970">
        <f>AutoClaim_Data!A2970</f>
        <v/>
      </c>
      <c r="E2970">
        <f>AutoClaim_Data!B2970</f>
        <v/>
      </c>
      <c r="F2970">
        <f>AutoClaim_Data!C2970</f>
        <v/>
      </c>
      <c r="G2970">
        <f>IF(AutoClaim_Data!D2970&lt;=$B$2,AVERAGEIFS(AutoClaim_Data!C2:C3168,AutoClaim_Data!B2:B3168,"Train",AutoClaim_Data!D2:D3168,"&lt;="&amp;$B$2),AVERAGEIFS(AutoClaim_Data!C2:C3168,AutoClaim_Data!B2:B3168,"Train",AutoClaim_Data!D2:D3168,"&gt;"&amp;$B$2))</f>
        <v/>
      </c>
      <c r="H2970">
        <f>IF(AutoClaim_Data!D2970&lt;=$B$2,IF(AutoClaim_Data!E2970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0">
        <f>(F2970-H2970)^2</f>
        <v/>
      </c>
      <c r="J2970">
        <f>--(E2970="Validation")</f>
        <v/>
      </c>
    </row>
    <row r="2971">
      <c r="D2971">
        <f>AutoClaim_Data!A2971</f>
        <v/>
      </c>
      <c r="E2971">
        <f>AutoClaim_Data!B2971</f>
        <v/>
      </c>
      <c r="F2971">
        <f>AutoClaim_Data!C2971</f>
        <v/>
      </c>
      <c r="G2971">
        <f>IF(AutoClaim_Data!D2971&lt;=$B$2,AVERAGEIFS(AutoClaim_Data!C2:C3168,AutoClaim_Data!B2:B3168,"Train",AutoClaim_Data!D2:D3168,"&lt;="&amp;$B$2),AVERAGEIFS(AutoClaim_Data!C2:C3168,AutoClaim_Data!B2:B3168,"Train",AutoClaim_Data!D2:D3168,"&gt;"&amp;$B$2))</f>
        <v/>
      </c>
      <c r="H2971">
        <f>IF(AutoClaim_Data!D2971&lt;=$B$2,IF(AutoClaim_Data!E2971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1">
        <f>(F2971-H2971)^2</f>
        <v/>
      </c>
      <c r="J2971">
        <f>--(E2971="Validation")</f>
        <v/>
      </c>
    </row>
    <row r="2972">
      <c r="D2972">
        <f>AutoClaim_Data!A2972</f>
        <v/>
      </c>
      <c r="E2972">
        <f>AutoClaim_Data!B2972</f>
        <v/>
      </c>
      <c r="F2972">
        <f>AutoClaim_Data!C2972</f>
        <v/>
      </c>
      <c r="G2972">
        <f>IF(AutoClaim_Data!D2972&lt;=$B$2,AVERAGEIFS(AutoClaim_Data!C2:C3168,AutoClaim_Data!B2:B3168,"Train",AutoClaim_Data!D2:D3168,"&lt;="&amp;$B$2),AVERAGEIFS(AutoClaim_Data!C2:C3168,AutoClaim_Data!B2:B3168,"Train",AutoClaim_Data!D2:D3168,"&gt;"&amp;$B$2))</f>
        <v/>
      </c>
      <c r="H2972">
        <f>IF(AutoClaim_Data!D2972&lt;=$B$2,IF(AutoClaim_Data!E2972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2">
        <f>(F2972-H2972)^2</f>
        <v/>
      </c>
      <c r="J2972">
        <f>--(E2972="Validation")</f>
        <v/>
      </c>
    </row>
    <row r="2973">
      <c r="D2973">
        <f>AutoClaim_Data!A2973</f>
        <v/>
      </c>
      <c r="E2973">
        <f>AutoClaim_Data!B2973</f>
        <v/>
      </c>
      <c r="F2973">
        <f>AutoClaim_Data!C2973</f>
        <v/>
      </c>
      <c r="G2973">
        <f>IF(AutoClaim_Data!D2973&lt;=$B$2,AVERAGEIFS(AutoClaim_Data!C2:C3168,AutoClaim_Data!B2:B3168,"Train",AutoClaim_Data!D2:D3168,"&lt;="&amp;$B$2),AVERAGEIFS(AutoClaim_Data!C2:C3168,AutoClaim_Data!B2:B3168,"Train",AutoClaim_Data!D2:D3168,"&gt;"&amp;$B$2))</f>
        <v/>
      </c>
      <c r="H2973">
        <f>IF(AutoClaim_Data!D2973&lt;=$B$2,IF(AutoClaim_Data!E2973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3">
        <f>(F2973-H2973)^2</f>
        <v/>
      </c>
      <c r="J2973">
        <f>--(E2973="Validation")</f>
        <v/>
      </c>
    </row>
    <row r="2974">
      <c r="D2974">
        <f>AutoClaim_Data!A2974</f>
        <v/>
      </c>
      <c r="E2974">
        <f>AutoClaim_Data!B2974</f>
        <v/>
      </c>
      <c r="F2974">
        <f>AutoClaim_Data!C2974</f>
        <v/>
      </c>
      <c r="G2974">
        <f>IF(AutoClaim_Data!D2974&lt;=$B$2,AVERAGEIFS(AutoClaim_Data!C2:C3168,AutoClaim_Data!B2:B3168,"Train",AutoClaim_Data!D2:D3168,"&lt;="&amp;$B$2),AVERAGEIFS(AutoClaim_Data!C2:C3168,AutoClaim_Data!B2:B3168,"Train",AutoClaim_Data!D2:D3168,"&gt;"&amp;$B$2))</f>
        <v/>
      </c>
      <c r="H2974">
        <f>IF(AutoClaim_Data!D2974&lt;=$B$2,IF(AutoClaim_Data!E2974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4">
        <f>(F2974-H2974)^2</f>
        <v/>
      </c>
      <c r="J2974">
        <f>--(E2974="Validation")</f>
        <v/>
      </c>
    </row>
    <row r="2975">
      <c r="D2975">
        <f>AutoClaim_Data!A2975</f>
        <v/>
      </c>
      <c r="E2975">
        <f>AutoClaim_Data!B2975</f>
        <v/>
      </c>
      <c r="F2975">
        <f>AutoClaim_Data!C2975</f>
        <v/>
      </c>
      <c r="G2975">
        <f>IF(AutoClaim_Data!D2975&lt;=$B$2,AVERAGEIFS(AutoClaim_Data!C2:C3168,AutoClaim_Data!B2:B3168,"Train",AutoClaim_Data!D2:D3168,"&lt;="&amp;$B$2),AVERAGEIFS(AutoClaim_Data!C2:C3168,AutoClaim_Data!B2:B3168,"Train",AutoClaim_Data!D2:D3168,"&gt;"&amp;$B$2))</f>
        <v/>
      </c>
      <c r="H2975">
        <f>IF(AutoClaim_Data!D2975&lt;=$B$2,IF(AutoClaim_Data!E2975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5">
        <f>(F2975-H2975)^2</f>
        <v/>
      </c>
      <c r="J2975">
        <f>--(E2975="Validation")</f>
        <v/>
      </c>
    </row>
    <row r="2976">
      <c r="D2976">
        <f>AutoClaim_Data!A2976</f>
        <v/>
      </c>
      <c r="E2976">
        <f>AutoClaim_Data!B2976</f>
        <v/>
      </c>
      <c r="F2976">
        <f>AutoClaim_Data!C2976</f>
        <v/>
      </c>
      <c r="G2976">
        <f>IF(AutoClaim_Data!D2976&lt;=$B$2,AVERAGEIFS(AutoClaim_Data!C2:C3168,AutoClaim_Data!B2:B3168,"Train",AutoClaim_Data!D2:D3168,"&lt;="&amp;$B$2),AVERAGEIFS(AutoClaim_Data!C2:C3168,AutoClaim_Data!B2:B3168,"Train",AutoClaim_Data!D2:D3168,"&gt;"&amp;$B$2))</f>
        <v/>
      </c>
      <c r="H2976">
        <f>IF(AutoClaim_Data!D2976&lt;=$B$2,IF(AutoClaim_Data!E2976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6">
        <f>(F2976-H2976)^2</f>
        <v/>
      </c>
      <c r="J2976">
        <f>--(E2976="Validation")</f>
        <v/>
      </c>
    </row>
    <row r="2977">
      <c r="D2977">
        <f>AutoClaim_Data!A2977</f>
        <v/>
      </c>
      <c r="E2977">
        <f>AutoClaim_Data!B2977</f>
        <v/>
      </c>
      <c r="F2977">
        <f>AutoClaim_Data!C2977</f>
        <v/>
      </c>
      <c r="G2977">
        <f>IF(AutoClaim_Data!D2977&lt;=$B$2,AVERAGEIFS(AutoClaim_Data!C2:C3168,AutoClaim_Data!B2:B3168,"Train",AutoClaim_Data!D2:D3168,"&lt;="&amp;$B$2),AVERAGEIFS(AutoClaim_Data!C2:C3168,AutoClaim_Data!B2:B3168,"Train",AutoClaim_Data!D2:D3168,"&gt;"&amp;$B$2))</f>
        <v/>
      </c>
      <c r="H2977">
        <f>IF(AutoClaim_Data!D2977&lt;=$B$2,IF(AutoClaim_Data!E2977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7">
        <f>(F2977-H2977)^2</f>
        <v/>
      </c>
      <c r="J2977">
        <f>--(E2977="Validation")</f>
        <v/>
      </c>
    </row>
    <row r="2978">
      <c r="D2978">
        <f>AutoClaim_Data!A2978</f>
        <v/>
      </c>
      <c r="E2978">
        <f>AutoClaim_Data!B2978</f>
        <v/>
      </c>
      <c r="F2978">
        <f>AutoClaim_Data!C2978</f>
        <v/>
      </c>
      <c r="G2978">
        <f>IF(AutoClaim_Data!D2978&lt;=$B$2,AVERAGEIFS(AutoClaim_Data!C2:C3168,AutoClaim_Data!B2:B3168,"Train",AutoClaim_Data!D2:D3168,"&lt;="&amp;$B$2),AVERAGEIFS(AutoClaim_Data!C2:C3168,AutoClaim_Data!B2:B3168,"Train",AutoClaim_Data!D2:D3168,"&gt;"&amp;$B$2))</f>
        <v/>
      </c>
      <c r="H2978">
        <f>IF(AutoClaim_Data!D2978&lt;=$B$2,IF(AutoClaim_Data!E2978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8">
        <f>(F2978-H2978)^2</f>
        <v/>
      </c>
      <c r="J2978">
        <f>--(E2978="Validation")</f>
        <v/>
      </c>
    </row>
    <row r="2979">
      <c r="D2979">
        <f>AutoClaim_Data!A2979</f>
        <v/>
      </c>
      <c r="E2979">
        <f>AutoClaim_Data!B2979</f>
        <v/>
      </c>
      <c r="F2979">
        <f>AutoClaim_Data!C2979</f>
        <v/>
      </c>
      <c r="G2979">
        <f>IF(AutoClaim_Data!D2979&lt;=$B$2,AVERAGEIFS(AutoClaim_Data!C2:C3168,AutoClaim_Data!B2:B3168,"Train",AutoClaim_Data!D2:D3168,"&lt;="&amp;$B$2),AVERAGEIFS(AutoClaim_Data!C2:C3168,AutoClaim_Data!B2:B3168,"Train",AutoClaim_Data!D2:D3168,"&gt;"&amp;$B$2))</f>
        <v/>
      </c>
      <c r="H2979">
        <f>IF(AutoClaim_Data!D2979&lt;=$B$2,IF(AutoClaim_Data!E2979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79">
        <f>(F2979-H2979)^2</f>
        <v/>
      </c>
      <c r="J2979">
        <f>--(E2979="Validation")</f>
        <v/>
      </c>
    </row>
    <row r="2980">
      <c r="D2980">
        <f>AutoClaim_Data!A2980</f>
        <v/>
      </c>
      <c r="E2980">
        <f>AutoClaim_Data!B2980</f>
        <v/>
      </c>
      <c r="F2980">
        <f>AutoClaim_Data!C2980</f>
        <v/>
      </c>
      <c r="G2980">
        <f>IF(AutoClaim_Data!D2980&lt;=$B$2,AVERAGEIFS(AutoClaim_Data!C2:C3168,AutoClaim_Data!B2:B3168,"Train",AutoClaim_Data!D2:D3168,"&lt;="&amp;$B$2),AVERAGEIFS(AutoClaim_Data!C2:C3168,AutoClaim_Data!B2:B3168,"Train",AutoClaim_Data!D2:D3168,"&gt;"&amp;$B$2))</f>
        <v/>
      </c>
      <c r="H2980">
        <f>IF(AutoClaim_Data!D2980&lt;=$B$2,IF(AutoClaim_Data!E2980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0">
        <f>(F2980-H2980)^2</f>
        <v/>
      </c>
      <c r="J2980">
        <f>--(E2980="Validation")</f>
        <v/>
      </c>
    </row>
    <row r="2981">
      <c r="D2981">
        <f>AutoClaim_Data!A2981</f>
        <v/>
      </c>
      <c r="E2981">
        <f>AutoClaim_Data!B2981</f>
        <v/>
      </c>
      <c r="F2981">
        <f>AutoClaim_Data!C2981</f>
        <v/>
      </c>
      <c r="G2981">
        <f>IF(AutoClaim_Data!D2981&lt;=$B$2,AVERAGEIFS(AutoClaim_Data!C2:C3168,AutoClaim_Data!B2:B3168,"Train",AutoClaim_Data!D2:D3168,"&lt;="&amp;$B$2),AVERAGEIFS(AutoClaim_Data!C2:C3168,AutoClaim_Data!B2:B3168,"Train",AutoClaim_Data!D2:D3168,"&gt;"&amp;$B$2))</f>
        <v/>
      </c>
      <c r="H2981">
        <f>IF(AutoClaim_Data!D2981&lt;=$B$2,IF(AutoClaim_Data!E2981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1">
        <f>(F2981-H2981)^2</f>
        <v/>
      </c>
      <c r="J2981">
        <f>--(E2981="Validation")</f>
        <v/>
      </c>
    </row>
    <row r="2982">
      <c r="D2982">
        <f>AutoClaim_Data!A2982</f>
        <v/>
      </c>
      <c r="E2982">
        <f>AutoClaim_Data!B2982</f>
        <v/>
      </c>
      <c r="F2982">
        <f>AutoClaim_Data!C2982</f>
        <v/>
      </c>
      <c r="G2982">
        <f>IF(AutoClaim_Data!D2982&lt;=$B$2,AVERAGEIFS(AutoClaim_Data!C2:C3168,AutoClaim_Data!B2:B3168,"Train",AutoClaim_Data!D2:D3168,"&lt;="&amp;$B$2),AVERAGEIFS(AutoClaim_Data!C2:C3168,AutoClaim_Data!B2:B3168,"Train",AutoClaim_Data!D2:D3168,"&gt;"&amp;$B$2))</f>
        <v/>
      </c>
      <c r="H2982">
        <f>IF(AutoClaim_Data!D2982&lt;=$B$2,IF(AutoClaim_Data!E2982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2">
        <f>(F2982-H2982)^2</f>
        <v/>
      </c>
      <c r="J2982">
        <f>--(E2982="Validation")</f>
        <v/>
      </c>
    </row>
    <row r="2983">
      <c r="D2983">
        <f>AutoClaim_Data!A2983</f>
        <v/>
      </c>
      <c r="E2983">
        <f>AutoClaim_Data!B2983</f>
        <v/>
      </c>
      <c r="F2983">
        <f>AutoClaim_Data!C2983</f>
        <v/>
      </c>
      <c r="G2983">
        <f>IF(AutoClaim_Data!D2983&lt;=$B$2,AVERAGEIFS(AutoClaim_Data!C2:C3168,AutoClaim_Data!B2:B3168,"Train",AutoClaim_Data!D2:D3168,"&lt;="&amp;$B$2),AVERAGEIFS(AutoClaim_Data!C2:C3168,AutoClaim_Data!B2:B3168,"Train",AutoClaim_Data!D2:D3168,"&gt;"&amp;$B$2))</f>
        <v/>
      </c>
      <c r="H2983">
        <f>IF(AutoClaim_Data!D2983&lt;=$B$2,IF(AutoClaim_Data!E2983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3">
        <f>(F2983-H2983)^2</f>
        <v/>
      </c>
      <c r="J2983">
        <f>--(E2983="Validation")</f>
        <v/>
      </c>
    </row>
    <row r="2984">
      <c r="D2984">
        <f>AutoClaim_Data!A2984</f>
        <v/>
      </c>
      <c r="E2984">
        <f>AutoClaim_Data!B2984</f>
        <v/>
      </c>
      <c r="F2984">
        <f>AutoClaim_Data!C2984</f>
        <v/>
      </c>
      <c r="G2984">
        <f>IF(AutoClaim_Data!D2984&lt;=$B$2,AVERAGEIFS(AutoClaim_Data!C2:C3168,AutoClaim_Data!B2:B3168,"Train",AutoClaim_Data!D2:D3168,"&lt;="&amp;$B$2),AVERAGEIFS(AutoClaim_Data!C2:C3168,AutoClaim_Data!B2:B3168,"Train",AutoClaim_Data!D2:D3168,"&gt;"&amp;$B$2))</f>
        <v/>
      </c>
      <c r="H2984">
        <f>IF(AutoClaim_Data!D2984&lt;=$B$2,IF(AutoClaim_Data!E2984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4">
        <f>(F2984-H2984)^2</f>
        <v/>
      </c>
      <c r="J2984">
        <f>--(E2984="Validation")</f>
        <v/>
      </c>
    </row>
    <row r="2985">
      <c r="D2985">
        <f>AutoClaim_Data!A2985</f>
        <v/>
      </c>
      <c r="E2985">
        <f>AutoClaim_Data!B2985</f>
        <v/>
      </c>
      <c r="F2985">
        <f>AutoClaim_Data!C2985</f>
        <v/>
      </c>
      <c r="G2985">
        <f>IF(AutoClaim_Data!D2985&lt;=$B$2,AVERAGEIFS(AutoClaim_Data!C2:C3168,AutoClaim_Data!B2:B3168,"Train",AutoClaim_Data!D2:D3168,"&lt;="&amp;$B$2),AVERAGEIFS(AutoClaim_Data!C2:C3168,AutoClaim_Data!B2:B3168,"Train",AutoClaim_Data!D2:D3168,"&gt;"&amp;$B$2))</f>
        <v/>
      </c>
      <c r="H2985">
        <f>IF(AutoClaim_Data!D2985&lt;=$B$2,IF(AutoClaim_Data!E2985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5">
        <f>(F2985-H2985)^2</f>
        <v/>
      </c>
      <c r="J2985">
        <f>--(E2985="Validation")</f>
        <v/>
      </c>
    </row>
    <row r="2986">
      <c r="D2986">
        <f>AutoClaim_Data!A2986</f>
        <v/>
      </c>
      <c r="E2986">
        <f>AutoClaim_Data!B2986</f>
        <v/>
      </c>
      <c r="F2986">
        <f>AutoClaim_Data!C2986</f>
        <v/>
      </c>
      <c r="G2986">
        <f>IF(AutoClaim_Data!D2986&lt;=$B$2,AVERAGEIFS(AutoClaim_Data!C2:C3168,AutoClaim_Data!B2:B3168,"Train",AutoClaim_Data!D2:D3168,"&lt;="&amp;$B$2),AVERAGEIFS(AutoClaim_Data!C2:C3168,AutoClaim_Data!B2:B3168,"Train",AutoClaim_Data!D2:D3168,"&gt;"&amp;$B$2))</f>
        <v/>
      </c>
      <c r="H2986">
        <f>IF(AutoClaim_Data!D2986&lt;=$B$2,IF(AutoClaim_Data!E2986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6">
        <f>(F2986-H2986)^2</f>
        <v/>
      </c>
      <c r="J2986">
        <f>--(E2986="Validation")</f>
        <v/>
      </c>
    </row>
    <row r="2987">
      <c r="D2987">
        <f>AutoClaim_Data!A2987</f>
        <v/>
      </c>
      <c r="E2987">
        <f>AutoClaim_Data!B2987</f>
        <v/>
      </c>
      <c r="F2987">
        <f>AutoClaim_Data!C2987</f>
        <v/>
      </c>
      <c r="G2987">
        <f>IF(AutoClaim_Data!D2987&lt;=$B$2,AVERAGEIFS(AutoClaim_Data!C2:C3168,AutoClaim_Data!B2:B3168,"Train",AutoClaim_Data!D2:D3168,"&lt;="&amp;$B$2),AVERAGEIFS(AutoClaim_Data!C2:C3168,AutoClaim_Data!B2:B3168,"Train",AutoClaim_Data!D2:D3168,"&gt;"&amp;$B$2))</f>
        <v/>
      </c>
      <c r="H2987">
        <f>IF(AutoClaim_Data!D2987&lt;=$B$2,IF(AutoClaim_Data!E2987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7">
        <f>(F2987-H2987)^2</f>
        <v/>
      </c>
      <c r="J2987">
        <f>--(E2987="Validation")</f>
        <v/>
      </c>
    </row>
    <row r="2988">
      <c r="D2988">
        <f>AutoClaim_Data!A2988</f>
        <v/>
      </c>
      <c r="E2988">
        <f>AutoClaim_Data!B2988</f>
        <v/>
      </c>
      <c r="F2988">
        <f>AutoClaim_Data!C2988</f>
        <v/>
      </c>
      <c r="G2988">
        <f>IF(AutoClaim_Data!D2988&lt;=$B$2,AVERAGEIFS(AutoClaim_Data!C2:C3168,AutoClaim_Data!B2:B3168,"Train",AutoClaim_Data!D2:D3168,"&lt;="&amp;$B$2),AVERAGEIFS(AutoClaim_Data!C2:C3168,AutoClaim_Data!B2:B3168,"Train",AutoClaim_Data!D2:D3168,"&gt;"&amp;$B$2))</f>
        <v/>
      </c>
      <c r="H2988">
        <f>IF(AutoClaim_Data!D2988&lt;=$B$2,IF(AutoClaim_Data!E2988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8">
        <f>(F2988-H2988)^2</f>
        <v/>
      </c>
      <c r="J2988">
        <f>--(E2988="Validation")</f>
        <v/>
      </c>
    </row>
    <row r="2989">
      <c r="D2989">
        <f>AutoClaim_Data!A2989</f>
        <v/>
      </c>
      <c r="E2989">
        <f>AutoClaim_Data!B2989</f>
        <v/>
      </c>
      <c r="F2989">
        <f>AutoClaim_Data!C2989</f>
        <v/>
      </c>
      <c r="G2989">
        <f>IF(AutoClaim_Data!D2989&lt;=$B$2,AVERAGEIFS(AutoClaim_Data!C2:C3168,AutoClaim_Data!B2:B3168,"Train",AutoClaim_Data!D2:D3168,"&lt;="&amp;$B$2),AVERAGEIFS(AutoClaim_Data!C2:C3168,AutoClaim_Data!B2:B3168,"Train",AutoClaim_Data!D2:D3168,"&gt;"&amp;$B$2))</f>
        <v/>
      </c>
      <c r="H2989">
        <f>IF(AutoClaim_Data!D2989&lt;=$B$2,IF(AutoClaim_Data!E2989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89">
        <f>(F2989-H2989)^2</f>
        <v/>
      </c>
      <c r="J2989">
        <f>--(E2989="Validation")</f>
        <v/>
      </c>
    </row>
    <row r="2990">
      <c r="D2990">
        <f>AutoClaim_Data!A2990</f>
        <v/>
      </c>
      <c r="E2990">
        <f>AutoClaim_Data!B2990</f>
        <v/>
      </c>
      <c r="F2990">
        <f>AutoClaim_Data!C2990</f>
        <v/>
      </c>
      <c r="G2990">
        <f>IF(AutoClaim_Data!D2990&lt;=$B$2,AVERAGEIFS(AutoClaim_Data!C2:C3168,AutoClaim_Data!B2:B3168,"Train",AutoClaim_Data!D2:D3168,"&lt;="&amp;$B$2),AVERAGEIFS(AutoClaim_Data!C2:C3168,AutoClaim_Data!B2:B3168,"Train",AutoClaim_Data!D2:D3168,"&gt;"&amp;$B$2))</f>
        <v/>
      </c>
      <c r="H2990">
        <f>IF(AutoClaim_Data!D2990&lt;=$B$2,IF(AutoClaim_Data!E2990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0">
        <f>(F2990-H2990)^2</f>
        <v/>
      </c>
      <c r="J2990">
        <f>--(E2990="Validation")</f>
        <v/>
      </c>
    </row>
    <row r="2991">
      <c r="D2991">
        <f>AutoClaim_Data!A2991</f>
        <v/>
      </c>
      <c r="E2991">
        <f>AutoClaim_Data!B2991</f>
        <v/>
      </c>
      <c r="F2991">
        <f>AutoClaim_Data!C2991</f>
        <v/>
      </c>
      <c r="G2991">
        <f>IF(AutoClaim_Data!D2991&lt;=$B$2,AVERAGEIFS(AutoClaim_Data!C2:C3168,AutoClaim_Data!B2:B3168,"Train",AutoClaim_Data!D2:D3168,"&lt;="&amp;$B$2),AVERAGEIFS(AutoClaim_Data!C2:C3168,AutoClaim_Data!B2:B3168,"Train",AutoClaim_Data!D2:D3168,"&gt;"&amp;$B$2))</f>
        <v/>
      </c>
      <c r="H2991">
        <f>IF(AutoClaim_Data!D2991&lt;=$B$2,IF(AutoClaim_Data!E2991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1">
        <f>(F2991-H2991)^2</f>
        <v/>
      </c>
      <c r="J2991">
        <f>--(E2991="Validation")</f>
        <v/>
      </c>
    </row>
    <row r="2992">
      <c r="D2992">
        <f>AutoClaim_Data!A2992</f>
        <v/>
      </c>
      <c r="E2992">
        <f>AutoClaim_Data!B2992</f>
        <v/>
      </c>
      <c r="F2992">
        <f>AutoClaim_Data!C2992</f>
        <v/>
      </c>
      <c r="G2992">
        <f>IF(AutoClaim_Data!D2992&lt;=$B$2,AVERAGEIFS(AutoClaim_Data!C2:C3168,AutoClaim_Data!B2:B3168,"Train",AutoClaim_Data!D2:D3168,"&lt;="&amp;$B$2),AVERAGEIFS(AutoClaim_Data!C2:C3168,AutoClaim_Data!B2:B3168,"Train",AutoClaim_Data!D2:D3168,"&gt;"&amp;$B$2))</f>
        <v/>
      </c>
      <c r="H2992">
        <f>IF(AutoClaim_Data!D2992&lt;=$B$2,IF(AutoClaim_Data!E2992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2">
        <f>(F2992-H2992)^2</f>
        <v/>
      </c>
      <c r="J2992">
        <f>--(E2992="Validation")</f>
        <v/>
      </c>
    </row>
    <row r="2993">
      <c r="D2993">
        <f>AutoClaim_Data!A2993</f>
        <v/>
      </c>
      <c r="E2993">
        <f>AutoClaim_Data!B2993</f>
        <v/>
      </c>
      <c r="F2993">
        <f>AutoClaim_Data!C2993</f>
        <v/>
      </c>
      <c r="G2993">
        <f>IF(AutoClaim_Data!D2993&lt;=$B$2,AVERAGEIFS(AutoClaim_Data!C2:C3168,AutoClaim_Data!B2:B3168,"Train",AutoClaim_Data!D2:D3168,"&lt;="&amp;$B$2),AVERAGEIFS(AutoClaim_Data!C2:C3168,AutoClaim_Data!B2:B3168,"Train",AutoClaim_Data!D2:D3168,"&gt;"&amp;$B$2))</f>
        <v/>
      </c>
      <c r="H2993">
        <f>IF(AutoClaim_Data!D2993&lt;=$B$2,IF(AutoClaim_Data!E2993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3">
        <f>(F2993-H2993)^2</f>
        <v/>
      </c>
      <c r="J2993">
        <f>--(E2993="Validation")</f>
        <v/>
      </c>
    </row>
    <row r="2994">
      <c r="D2994">
        <f>AutoClaim_Data!A2994</f>
        <v/>
      </c>
      <c r="E2994">
        <f>AutoClaim_Data!B2994</f>
        <v/>
      </c>
      <c r="F2994">
        <f>AutoClaim_Data!C2994</f>
        <v/>
      </c>
      <c r="G2994">
        <f>IF(AutoClaim_Data!D2994&lt;=$B$2,AVERAGEIFS(AutoClaim_Data!C2:C3168,AutoClaim_Data!B2:B3168,"Train",AutoClaim_Data!D2:D3168,"&lt;="&amp;$B$2),AVERAGEIFS(AutoClaim_Data!C2:C3168,AutoClaim_Data!B2:B3168,"Train",AutoClaim_Data!D2:D3168,"&gt;"&amp;$B$2))</f>
        <v/>
      </c>
      <c r="H2994">
        <f>IF(AutoClaim_Data!D2994&lt;=$B$2,IF(AutoClaim_Data!E2994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4">
        <f>(F2994-H2994)^2</f>
        <v/>
      </c>
      <c r="J2994">
        <f>--(E2994="Validation")</f>
        <v/>
      </c>
    </row>
    <row r="2995">
      <c r="D2995">
        <f>AutoClaim_Data!A2995</f>
        <v/>
      </c>
      <c r="E2995">
        <f>AutoClaim_Data!B2995</f>
        <v/>
      </c>
      <c r="F2995">
        <f>AutoClaim_Data!C2995</f>
        <v/>
      </c>
      <c r="G2995">
        <f>IF(AutoClaim_Data!D2995&lt;=$B$2,AVERAGEIFS(AutoClaim_Data!C2:C3168,AutoClaim_Data!B2:B3168,"Train",AutoClaim_Data!D2:D3168,"&lt;="&amp;$B$2),AVERAGEIFS(AutoClaim_Data!C2:C3168,AutoClaim_Data!B2:B3168,"Train",AutoClaim_Data!D2:D3168,"&gt;"&amp;$B$2))</f>
        <v/>
      </c>
      <c r="H2995">
        <f>IF(AutoClaim_Data!D2995&lt;=$B$2,IF(AutoClaim_Data!E2995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5">
        <f>(F2995-H2995)^2</f>
        <v/>
      </c>
      <c r="J2995">
        <f>--(E2995="Validation")</f>
        <v/>
      </c>
    </row>
    <row r="2996">
      <c r="D2996">
        <f>AutoClaim_Data!A2996</f>
        <v/>
      </c>
      <c r="E2996">
        <f>AutoClaim_Data!B2996</f>
        <v/>
      </c>
      <c r="F2996">
        <f>AutoClaim_Data!C2996</f>
        <v/>
      </c>
      <c r="G2996">
        <f>IF(AutoClaim_Data!D2996&lt;=$B$2,AVERAGEIFS(AutoClaim_Data!C2:C3168,AutoClaim_Data!B2:B3168,"Train",AutoClaim_Data!D2:D3168,"&lt;="&amp;$B$2),AVERAGEIFS(AutoClaim_Data!C2:C3168,AutoClaim_Data!B2:B3168,"Train",AutoClaim_Data!D2:D3168,"&gt;"&amp;$B$2))</f>
        <v/>
      </c>
      <c r="H2996">
        <f>IF(AutoClaim_Data!D2996&lt;=$B$2,IF(AutoClaim_Data!E2996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6">
        <f>(F2996-H2996)^2</f>
        <v/>
      </c>
      <c r="J2996">
        <f>--(E2996="Validation")</f>
        <v/>
      </c>
    </row>
    <row r="2997">
      <c r="D2997">
        <f>AutoClaim_Data!A2997</f>
        <v/>
      </c>
      <c r="E2997">
        <f>AutoClaim_Data!B2997</f>
        <v/>
      </c>
      <c r="F2997">
        <f>AutoClaim_Data!C2997</f>
        <v/>
      </c>
      <c r="G2997">
        <f>IF(AutoClaim_Data!D2997&lt;=$B$2,AVERAGEIFS(AutoClaim_Data!C2:C3168,AutoClaim_Data!B2:B3168,"Train",AutoClaim_Data!D2:D3168,"&lt;="&amp;$B$2),AVERAGEIFS(AutoClaim_Data!C2:C3168,AutoClaim_Data!B2:B3168,"Train",AutoClaim_Data!D2:D3168,"&gt;"&amp;$B$2))</f>
        <v/>
      </c>
      <c r="H2997">
        <f>IF(AutoClaim_Data!D2997&lt;=$B$2,IF(AutoClaim_Data!E2997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7">
        <f>(F2997-H2997)^2</f>
        <v/>
      </c>
      <c r="J2997">
        <f>--(E2997="Validation")</f>
        <v/>
      </c>
    </row>
    <row r="2998">
      <c r="D2998">
        <f>AutoClaim_Data!A2998</f>
        <v/>
      </c>
      <c r="E2998">
        <f>AutoClaim_Data!B2998</f>
        <v/>
      </c>
      <c r="F2998">
        <f>AutoClaim_Data!C2998</f>
        <v/>
      </c>
      <c r="G2998">
        <f>IF(AutoClaim_Data!D2998&lt;=$B$2,AVERAGEIFS(AutoClaim_Data!C2:C3168,AutoClaim_Data!B2:B3168,"Train",AutoClaim_Data!D2:D3168,"&lt;="&amp;$B$2),AVERAGEIFS(AutoClaim_Data!C2:C3168,AutoClaim_Data!B2:B3168,"Train",AutoClaim_Data!D2:D3168,"&gt;"&amp;$B$2))</f>
        <v/>
      </c>
      <c r="H2998">
        <f>IF(AutoClaim_Data!D2998&lt;=$B$2,IF(AutoClaim_Data!E2998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8">
        <f>(F2998-H2998)^2</f>
        <v/>
      </c>
      <c r="J2998">
        <f>--(E2998="Validation")</f>
        <v/>
      </c>
    </row>
    <row r="2999">
      <c r="D2999">
        <f>AutoClaim_Data!A2999</f>
        <v/>
      </c>
      <c r="E2999">
        <f>AutoClaim_Data!B2999</f>
        <v/>
      </c>
      <c r="F2999">
        <f>AutoClaim_Data!C2999</f>
        <v/>
      </c>
      <c r="G2999">
        <f>IF(AutoClaim_Data!D2999&lt;=$B$2,AVERAGEIFS(AutoClaim_Data!C2:C3168,AutoClaim_Data!B2:B3168,"Train",AutoClaim_Data!D2:D3168,"&lt;="&amp;$B$2),AVERAGEIFS(AutoClaim_Data!C2:C3168,AutoClaim_Data!B2:B3168,"Train",AutoClaim_Data!D2:D3168,"&gt;"&amp;$B$2))</f>
        <v/>
      </c>
      <c r="H2999">
        <f>IF(AutoClaim_Data!D2999&lt;=$B$2,IF(AutoClaim_Data!E2999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2999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2999">
        <f>(F2999-H2999)^2</f>
        <v/>
      </c>
      <c r="J2999">
        <f>--(E2999="Validation")</f>
        <v/>
      </c>
    </row>
    <row r="3000">
      <c r="D3000">
        <f>AutoClaim_Data!A3000</f>
        <v/>
      </c>
      <c r="E3000">
        <f>AutoClaim_Data!B3000</f>
        <v/>
      </c>
      <c r="F3000">
        <f>AutoClaim_Data!C3000</f>
        <v/>
      </c>
      <c r="G3000">
        <f>IF(AutoClaim_Data!D3000&lt;=$B$2,AVERAGEIFS(AutoClaim_Data!C2:C3168,AutoClaim_Data!B2:B3168,"Train",AutoClaim_Data!D2:D3168,"&lt;="&amp;$B$2),AVERAGEIFS(AutoClaim_Data!C2:C3168,AutoClaim_Data!B2:B3168,"Train",AutoClaim_Data!D2:D3168,"&gt;"&amp;$B$2))</f>
        <v/>
      </c>
      <c r="H3000">
        <f>IF(AutoClaim_Data!D3000&lt;=$B$2,IF(AutoClaim_Data!E3000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0">
        <f>(F3000-H3000)^2</f>
        <v/>
      </c>
      <c r="J3000">
        <f>--(E3000="Validation")</f>
        <v/>
      </c>
    </row>
    <row r="3001">
      <c r="D3001">
        <f>AutoClaim_Data!A3001</f>
        <v/>
      </c>
      <c r="E3001">
        <f>AutoClaim_Data!B3001</f>
        <v/>
      </c>
      <c r="F3001">
        <f>AutoClaim_Data!C3001</f>
        <v/>
      </c>
      <c r="G3001">
        <f>IF(AutoClaim_Data!D3001&lt;=$B$2,AVERAGEIFS(AutoClaim_Data!C2:C3168,AutoClaim_Data!B2:B3168,"Train",AutoClaim_Data!D2:D3168,"&lt;="&amp;$B$2),AVERAGEIFS(AutoClaim_Data!C2:C3168,AutoClaim_Data!B2:B3168,"Train",AutoClaim_Data!D2:D3168,"&gt;"&amp;$B$2))</f>
        <v/>
      </c>
      <c r="H3001">
        <f>IF(AutoClaim_Data!D3001&lt;=$B$2,IF(AutoClaim_Data!E3001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1">
        <f>(F3001-H3001)^2</f>
        <v/>
      </c>
      <c r="J3001">
        <f>--(E3001="Validation")</f>
        <v/>
      </c>
    </row>
    <row r="3002">
      <c r="D3002">
        <f>AutoClaim_Data!A3002</f>
        <v/>
      </c>
      <c r="E3002">
        <f>AutoClaim_Data!B3002</f>
        <v/>
      </c>
      <c r="F3002">
        <f>AutoClaim_Data!C3002</f>
        <v/>
      </c>
      <c r="G3002">
        <f>IF(AutoClaim_Data!D3002&lt;=$B$2,AVERAGEIFS(AutoClaim_Data!C2:C3168,AutoClaim_Data!B2:B3168,"Train",AutoClaim_Data!D2:D3168,"&lt;="&amp;$B$2),AVERAGEIFS(AutoClaim_Data!C2:C3168,AutoClaim_Data!B2:B3168,"Train",AutoClaim_Data!D2:D3168,"&gt;"&amp;$B$2))</f>
        <v/>
      </c>
      <c r="H3002">
        <f>IF(AutoClaim_Data!D3002&lt;=$B$2,IF(AutoClaim_Data!E3002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2">
        <f>(F3002-H3002)^2</f>
        <v/>
      </c>
      <c r="J3002">
        <f>--(E3002="Validation")</f>
        <v/>
      </c>
    </row>
    <row r="3003">
      <c r="D3003">
        <f>AutoClaim_Data!A3003</f>
        <v/>
      </c>
      <c r="E3003">
        <f>AutoClaim_Data!B3003</f>
        <v/>
      </c>
      <c r="F3003">
        <f>AutoClaim_Data!C3003</f>
        <v/>
      </c>
      <c r="G3003">
        <f>IF(AutoClaim_Data!D3003&lt;=$B$2,AVERAGEIFS(AutoClaim_Data!C2:C3168,AutoClaim_Data!B2:B3168,"Train",AutoClaim_Data!D2:D3168,"&lt;="&amp;$B$2),AVERAGEIFS(AutoClaim_Data!C2:C3168,AutoClaim_Data!B2:B3168,"Train",AutoClaim_Data!D2:D3168,"&gt;"&amp;$B$2))</f>
        <v/>
      </c>
      <c r="H3003">
        <f>IF(AutoClaim_Data!D3003&lt;=$B$2,IF(AutoClaim_Data!E3003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3">
        <f>(F3003-H3003)^2</f>
        <v/>
      </c>
      <c r="J3003">
        <f>--(E3003="Validation")</f>
        <v/>
      </c>
    </row>
    <row r="3004">
      <c r="D3004">
        <f>AutoClaim_Data!A3004</f>
        <v/>
      </c>
      <c r="E3004">
        <f>AutoClaim_Data!B3004</f>
        <v/>
      </c>
      <c r="F3004">
        <f>AutoClaim_Data!C3004</f>
        <v/>
      </c>
      <c r="G3004">
        <f>IF(AutoClaim_Data!D3004&lt;=$B$2,AVERAGEIFS(AutoClaim_Data!C2:C3168,AutoClaim_Data!B2:B3168,"Train",AutoClaim_Data!D2:D3168,"&lt;="&amp;$B$2),AVERAGEIFS(AutoClaim_Data!C2:C3168,AutoClaim_Data!B2:B3168,"Train",AutoClaim_Data!D2:D3168,"&gt;"&amp;$B$2))</f>
        <v/>
      </c>
      <c r="H3004">
        <f>IF(AutoClaim_Data!D3004&lt;=$B$2,IF(AutoClaim_Data!E3004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4">
        <f>(F3004-H3004)^2</f>
        <v/>
      </c>
      <c r="J3004">
        <f>--(E3004="Validation")</f>
        <v/>
      </c>
    </row>
    <row r="3005">
      <c r="D3005">
        <f>AutoClaim_Data!A3005</f>
        <v/>
      </c>
      <c r="E3005">
        <f>AutoClaim_Data!B3005</f>
        <v/>
      </c>
      <c r="F3005">
        <f>AutoClaim_Data!C3005</f>
        <v/>
      </c>
      <c r="G3005">
        <f>IF(AutoClaim_Data!D3005&lt;=$B$2,AVERAGEIFS(AutoClaim_Data!C2:C3168,AutoClaim_Data!B2:B3168,"Train",AutoClaim_Data!D2:D3168,"&lt;="&amp;$B$2),AVERAGEIFS(AutoClaim_Data!C2:C3168,AutoClaim_Data!B2:B3168,"Train",AutoClaim_Data!D2:D3168,"&gt;"&amp;$B$2))</f>
        <v/>
      </c>
      <c r="H3005">
        <f>IF(AutoClaim_Data!D3005&lt;=$B$2,IF(AutoClaim_Data!E3005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5">
        <f>(F3005-H3005)^2</f>
        <v/>
      </c>
      <c r="J3005">
        <f>--(E3005="Validation")</f>
        <v/>
      </c>
    </row>
    <row r="3006">
      <c r="D3006">
        <f>AutoClaim_Data!A3006</f>
        <v/>
      </c>
      <c r="E3006">
        <f>AutoClaim_Data!B3006</f>
        <v/>
      </c>
      <c r="F3006">
        <f>AutoClaim_Data!C3006</f>
        <v/>
      </c>
      <c r="G3006">
        <f>IF(AutoClaim_Data!D3006&lt;=$B$2,AVERAGEIFS(AutoClaim_Data!C2:C3168,AutoClaim_Data!B2:B3168,"Train",AutoClaim_Data!D2:D3168,"&lt;="&amp;$B$2),AVERAGEIFS(AutoClaim_Data!C2:C3168,AutoClaim_Data!B2:B3168,"Train",AutoClaim_Data!D2:D3168,"&gt;"&amp;$B$2))</f>
        <v/>
      </c>
      <c r="H3006">
        <f>IF(AutoClaim_Data!D3006&lt;=$B$2,IF(AutoClaim_Data!E3006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6">
        <f>(F3006-H3006)^2</f>
        <v/>
      </c>
      <c r="J3006">
        <f>--(E3006="Validation")</f>
        <v/>
      </c>
    </row>
    <row r="3007">
      <c r="D3007">
        <f>AutoClaim_Data!A3007</f>
        <v/>
      </c>
      <c r="E3007">
        <f>AutoClaim_Data!B3007</f>
        <v/>
      </c>
      <c r="F3007">
        <f>AutoClaim_Data!C3007</f>
        <v/>
      </c>
      <c r="G3007">
        <f>IF(AutoClaim_Data!D3007&lt;=$B$2,AVERAGEIFS(AutoClaim_Data!C2:C3168,AutoClaim_Data!B2:B3168,"Train",AutoClaim_Data!D2:D3168,"&lt;="&amp;$B$2),AVERAGEIFS(AutoClaim_Data!C2:C3168,AutoClaim_Data!B2:B3168,"Train",AutoClaim_Data!D2:D3168,"&gt;"&amp;$B$2))</f>
        <v/>
      </c>
      <c r="H3007">
        <f>IF(AutoClaim_Data!D3007&lt;=$B$2,IF(AutoClaim_Data!E3007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7">
        <f>(F3007-H3007)^2</f>
        <v/>
      </c>
      <c r="J3007">
        <f>--(E3007="Validation")</f>
        <v/>
      </c>
    </row>
    <row r="3008">
      <c r="D3008">
        <f>AutoClaim_Data!A3008</f>
        <v/>
      </c>
      <c r="E3008">
        <f>AutoClaim_Data!B3008</f>
        <v/>
      </c>
      <c r="F3008">
        <f>AutoClaim_Data!C3008</f>
        <v/>
      </c>
      <c r="G3008">
        <f>IF(AutoClaim_Data!D3008&lt;=$B$2,AVERAGEIFS(AutoClaim_Data!C2:C3168,AutoClaim_Data!B2:B3168,"Train",AutoClaim_Data!D2:D3168,"&lt;="&amp;$B$2),AVERAGEIFS(AutoClaim_Data!C2:C3168,AutoClaim_Data!B2:B3168,"Train",AutoClaim_Data!D2:D3168,"&gt;"&amp;$B$2))</f>
        <v/>
      </c>
      <c r="H3008">
        <f>IF(AutoClaim_Data!D3008&lt;=$B$2,IF(AutoClaim_Data!E3008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8">
        <f>(F3008-H3008)^2</f>
        <v/>
      </c>
      <c r="J3008">
        <f>--(E3008="Validation")</f>
        <v/>
      </c>
    </row>
    <row r="3009">
      <c r="D3009">
        <f>AutoClaim_Data!A3009</f>
        <v/>
      </c>
      <c r="E3009">
        <f>AutoClaim_Data!B3009</f>
        <v/>
      </c>
      <c r="F3009">
        <f>AutoClaim_Data!C3009</f>
        <v/>
      </c>
      <c r="G3009">
        <f>IF(AutoClaim_Data!D3009&lt;=$B$2,AVERAGEIFS(AutoClaim_Data!C2:C3168,AutoClaim_Data!B2:B3168,"Train",AutoClaim_Data!D2:D3168,"&lt;="&amp;$B$2),AVERAGEIFS(AutoClaim_Data!C2:C3168,AutoClaim_Data!B2:B3168,"Train",AutoClaim_Data!D2:D3168,"&gt;"&amp;$B$2))</f>
        <v/>
      </c>
      <c r="H3009">
        <f>IF(AutoClaim_Data!D3009&lt;=$B$2,IF(AutoClaim_Data!E3009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09">
        <f>(F3009-H3009)^2</f>
        <v/>
      </c>
      <c r="J3009">
        <f>--(E3009="Validation")</f>
        <v/>
      </c>
    </row>
    <row r="3010">
      <c r="D3010">
        <f>AutoClaim_Data!A3010</f>
        <v/>
      </c>
      <c r="E3010">
        <f>AutoClaim_Data!B3010</f>
        <v/>
      </c>
      <c r="F3010">
        <f>AutoClaim_Data!C3010</f>
        <v/>
      </c>
      <c r="G3010">
        <f>IF(AutoClaim_Data!D3010&lt;=$B$2,AVERAGEIFS(AutoClaim_Data!C2:C3168,AutoClaim_Data!B2:B3168,"Train",AutoClaim_Data!D2:D3168,"&lt;="&amp;$B$2),AVERAGEIFS(AutoClaim_Data!C2:C3168,AutoClaim_Data!B2:B3168,"Train",AutoClaim_Data!D2:D3168,"&gt;"&amp;$B$2))</f>
        <v/>
      </c>
      <c r="H3010">
        <f>IF(AutoClaim_Data!D3010&lt;=$B$2,IF(AutoClaim_Data!E3010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0">
        <f>(F3010-H3010)^2</f>
        <v/>
      </c>
      <c r="J3010">
        <f>--(E3010="Validation")</f>
        <v/>
      </c>
    </row>
    <row r="3011">
      <c r="D3011">
        <f>AutoClaim_Data!A3011</f>
        <v/>
      </c>
      <c r="E3011">
        <f>AutoClaim_Data!B3011</f>
        <v/>
      </c>
      <c r="F3011">
        <f>AutoClaim_Data!C3011</f>
        <v/>
      </c>
      <c r="G3011">
        <f>IF(AutoClaim_Data!D3011&lt;=$B$2,AVERAGEIFS(AutoClaim_Data!C2:C3168,AutoClaim_Data!B2:B3168,"Train",AutoClaim_Data!D2:D3168,"&lt;="&amp;$B$2),AVERAGEIFS(AutoClaim_Data!C2:C3168,AutoClaim_Data!B2:B3168,"Train",AutoClaim_Data!D2:D3168,"&gt;"&amp;$B$2))</f>
        <v/>
      </c>
      <c r="H3011">
        <f>IF(AutoClaim_Data!D3011&lt;=$B$2,IF(AutoClaim_Data!E3011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1">
        <f>(F3011-H3011)^2</f>
        <v/>
      </c>
      <c r="J3011">
        <f>--(E3011="Validation")</f>
        <v/>
      </c>
    </row>
    <row r="3012">
      <c r="D3012">
        <f>AutoClaim_Data!A3012</f>
        <v/>
      </c>
      <c r="E3012">
        <f>AutoClaim_Data!B3012</f>
        <v/>
      </c>
      <c r="F3012">
        <f>AutoClaim_Data!C3012</f>
        <v/>
      </c>
      <c r="G3012">
        <f>IF(AutoClaim_Data!D3012&lt;=$B$2,AVERAGEIFS(AutoClaim_Data!C2:C3168,AutoClaim_Data!B2:B3168,"Train",AutoClaim_Data!D2:D3168,"&lt;="&amp;$B$2),AVERAGEIFS(AutoClaim_Data!C2:C3168,AutoClaim_Data!B2:B3168,"Train",AutoClaim_Data!D2:D3168,"&gt;"&amp;$B$2))</f>
        <v/>
      </c>
      <c r="H3012">
        <f>IF(AutoClaim_Data!D3012&lt;=$B$2,IF(AutoClaim_Data!E3012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2">
        <f>(F3012-H3012)^2</f>
        <v/>
      </c>
      <c r="J3012">
        <f>--(E3012="Validation")</f>
        <v/>
      </c>
    </row>
    <row r="3013">
      <c r="D3013">
        <f>AutoClaim_Data!A3013</f>
        <v/>
      </c>
      <c r="E3013">
        <f>AutoClaim_Data!B3013</f>
        <v/>
      </c>
      <c r="F3013">
        <f>AutoClaim_Data!C3013</f>
        <v/>
      </c>
      <c r="G3013">
        <f>IF(AutoClaim_Data!D3013&lt;=$B$2,AVERAGEIFS(AutoClaim_Data!C2:C3168,AutoClaim_Data!B2:B3168,"Train",AutoClaim_Data!D2:D3168,"&lt;="&amp;$B$2),AVERAGEIFS(AutoClaim_Data!C2:C3168,AutoClaim_Data!B2:B3168,"Train",AutoClaim_Data!D2:D3168,"&gt;"&amp;$B$2))</f>
        <v/>
      </c>
      <c r="H3013">
        <f>IF(AutoClaim_Data!D3013&lt;=$B$2,IF(AutoClaim_Data!E3013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3">
        <f>(F3013-H3013)^2</f>
        <v/>
      </c>
      <c r="J3013">
        <f>--(E3013="Validation")</f>
        <v/>
      </c>
    </row>
    <row r="3014">
      <c r="D3014">
        <f>AutoClaim_Data!A3014</f>
        <v/>
      </c>
      <c r="E3014">
        <f>AutoClaim_Data!B3014</f>
        <v/>
      </c>
      <c r="F3014">
        <f>AutoClaim_Data!C3014</f>
        <v/>
      </c>
      <c r="G3014">
        <f>IF(AutoClaim_Data!D3014&lt;=$B$2,AVERAGEIFS(AutoClaim_Data!C2:C3168,AutoClaim_Data!B2:B3168,"Train",AutoClaim_Data!D2:D3168,"&lt;="&amp;$B$2),AVERAGEIFS(AutoClaim_Data!C2:C3168,AutoClaim_Data!B2:B3168,"Train",AutoClaim_Data!D2:D3168,"&gt;"&amp;$B$2))</f>
        <v/>
      </c>
      <c r="H3014">
        <f>IF(AutoClaim_Data!D3014&lt;=$B$2,IF(AutoClaim_Data!E3014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4">
        <f>(F3014-H3014)^2</f>
        <v/>
      </c>
      <c r="J3014">
        <f>--(E3014="Validation")</f>
        <v/>
      </c>
    </row>
    <row r="3015">
      <c r="D3015">
        <f>AutoClaim_Data!A3015</f>
        <v/>
      </c>
      <c r="E3015">
        <f>AutoClaim_Data!B3015</f>
        <v/>
      </c>
      <c r="F3015">
        <f>AutoClaim_Data!C3015</f>
        <v/>
      </c>
      <c r="G3015">
        <f>IF(AutoClaim_Data!D3015&lt;=$B$2,AVERAGEIFS(AutoClaim_Data!C2:C3168,AutoClaim_Data!B2:B3168,"Train",AutoClaim_Data!D2:D3168,"&lt;="&amp;$B$2),AVERAGEIFS(AutoClaim_Data!C2:C3168,AutoClaim_Data!B2:B3168,"Train",AutoClaim_Data!D2:D3168,"&gt;"&amp;$B$2))</f>
        <v/>
      </c>
      <c r="H3015">
        <f>IF(AutoClaim_Data!D3015&lt;=$B$2,IF(AutoClaim_Data!E3015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5">
        <f>(F3015-H3015)^2</f>
        <v/>
      </c>
      <c r="J3015">
        <f>--(E3015="Validation")</f>
        <v/>
      </c>
    </row>
    <row r="3016">
      <c r="D3016">
        <f>AutoClaim_Data!A3016</f>
        <v/>
      </c>
      <c r="E3016">
        <f>AutoClaim_Data!B3016</f>
        <v/>
      </c>
      <c r="F3016">
        <f>AutoClaim_Data!C3016</f>
        <v/>
      </c>
      <c r="G3016">
        <f>IF(AutoClaim_Data!D3016&lt;=$B$2,AVERAGEIFS(AutoClaim_Data!C2:C3168,AutoClaim_Data!B2:B3168,"Train",AutoClaim_Data!D2:D3168,"&lt;="&amp;$B$2),AVERAGEIFS(AutoClaim_Data!C2:C3168,AutoClaim_Data!B2:B3168,"Train",AutoClaim_Data!D2:D3168,"&gt;"&amp;$B$2))</f>
        <v/>
      </c>
      <c r="H3016">
        <f>IF(AutoClaim_Data!D3016&lt;=$B$2,IF(AutoClaim_Data!E3016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6">
        <f>(F3016-H3016)^2</f>
        <v/>
      </c>
      <c r="J3016">
        <f>--(E3016="Validation")</f>
        <v/>
      </c>
    </row>
    <row r="3017">
      <c r="D3017">
        <f>AutoClaim_Data!A3017</f>
        <v/>
      </c>
      <c r="E3017">
        <f>AutoClaim_Data!B3017</f>
        <v/>
      </c>
      <c r="F3017">
        <f>AutoClaim_Data!C3017</f>
        <v/>
      </c>
      <c r="G3017">
        <f>IF(AutoClaim_Data!D3017&lt;=$B$2,AVERAGEIFS(AutoClaim_Data!C2:C3168,AutoClaim_Data!B2:B3168,"Train",AutoClaim_Data!D2:D3168,"&lt;="&amp;$B$2),AVERAGEIFS(AutoClaim_Data!C2:C3168,AutoClaim_Data!B2:B3168,"Train",AutoClaim_Data!D2:D3168,"&gt;"&amp;$B$2))</f>
        <v/>
      </c>
      <c r="H3017">
        <f>IF(AutoClaim_Data!D3017&lt;=$B$2,IF(AutoClaim_Data!E3017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7">
        <f>(F3017-H3017)^2</f>
        <v/>
      </c>
      <c r="J3017">
        <f>--(E3017="Validation")</f>
        <v/>
      </c>
    </row>
    <row r="3018">
      <c r="D3018">
        <f>AutoClaim_Data!A3018</f>
        <v/>
      </c>
      <c r="E3018">
        <f>AutoClaim_Data!B3018</f>
        <v/>
      </c>
      <c r="F3018">
        <f>AutoClaim_Data!C3018</f>
        <v/>
      </c>
      <c r="G3018">
        <f>IF(AutoClaim_Data!D3018&lt;=$B$2,AVERAGEIFS(AutoClaim_Data!C2:C3168,AutoClaim_Data!B2:B3168,"Train",AutoClaim_Data!D2:D3168,"&lt;="&amp;$B$2),AVERAGEIFS(AutoClaim_Data!C2:C3168,AutoClaim_Data!B2:B3168,"Train",AutoClaim_Data!D2:D3168,"&gt;"&amp;$B$2))</f>
        <v/>
      </c>
      <c r="H3018">
        <f>IF(AutoClaim_Data!D3018&lt;=$B$2,IF(AutoClaim_Data!E3018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8">
        <f>(F3018-H3018)^2</f>
        <v/>
      </c>
      <c r="J3018">
        <f>--(E3018="Validation")</f>
        <v/>
      </c>
    </row>
    <row r="3019">
      <c r="D3019">
        <f>AutoClaim_Data!A3019</f>
        <v/>
      </c>
      <c r="E3019">
        <f>AutoClaim_Data!B3019</f>
        <v/>
      </c>
      <c r="F3019">
        <f>AutoClaim_Data!C3019</f>
        <v/>
      </c>
      <c r="G3019">
        <f>IF(AutoClaim_Data!D3019&lt;=$B$2,AVERAGEIFS(AutoClaim_Data!C2:C3168,AutoClaim_Data!B2:B3168,"Train",AutoClaim_Data!D2:D3168,"&lt;="&amp;$B$2),AVERAGEIFS(AutoClaim_Data!C2:C3168,AutoClaim_Data!B2:B3168,"Train",AutoClaim_Data!D2:D3168,"&gt;"&amp;$B$2))</f>
        <v/>
      </c>
      <c r="H3019">
        <f>IF(AutoClaim_Data!D3019&lt;=$B$2,IF(AutoClaim_Data!E3019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19">
        <f>(F3019-H3019)^2</f>
        <v/>
      </c>
      <c r="J3019">
        <f>--(E3019="Validation")</f>
        <v/>
      </c>
    </row>
    <row r="3020">
      <c r="D3020">
        <f>AutoClaim_Data!A3020</f>
        <v/>
      </c>
      <c r="E3020">
        <f>AutoClaim_Data!B3020</f>
        <v/>
      </c>
      <c r="F3020">
        <f>AutoClaim_Data!C3020</f>
        <v/>
      </c>
      <c r="G3020">
        <f>IF(AutoClaim_Data!D3020&lt;=$B$2,AVERAGEIFS(AutoClaim_Data!C2:C3168,AutoClaim_Data!B2:B3168,"Train",AutoClaim_Data!D2:D3168,"&lt;="&amp;$B$2),AVERAGEIFS(AutoClaim_Data!C2:C3168,AutoClaim_Data!B2:B3168,"Train",AutoClaim_Data!D2:D3168,"&gt;"&amp;$B$2))</f>
        <v/>
      </c>
      <c r="H3020">
        <f>IF(AutoClaim_Data!D3020&lt;=$B$2,IF(AutoClaim_Data!E3020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0">
        <f>(F3020-H3020)^2</f>
        <v/>
      </c>
      <c r="J3020">
        <f>--(E3020="Validation")</f>
        <v/>
      </c>
    </row>
    <row r="3021">
      <c r="D3021">
        <f>AutoClaim_Data!A3021</f>
        <v/>
      </c>
      <c r="E3021">
        <f>AutoClaim_Data!B3021</f>
        <v/>
      </c>
      <c r="F3021">
        <f>AutoClaim_Data!C3021</f>
        <v/>
      </c>
      <c r="G3021">
        <f>IF(AutoClaim_Data!D3021&lt;=$B$2,AVERAGEIFS(AutoClaim_Data!C2:C3168,AutoClaim_Data!B2:B3168,"Train",AutoClaim_Data!D2:D3168,"&lt;="&amp;$B$2),AVERAGEIFS(AutoClaim_Data!C2:C3168,AutoClaim_Data!B2:B3168,"Train",AutoClaim_Data!D2:D3168,"&gt;"&amp;$B$2))</f>
        <v/>
      </c>
      <c r="H3021">
        <f>IF(AutoClaim_Data!D3021&lt;=$B$2,IF(AutoClaim_Data!E3021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1">
        <f>(F3021-H3021)^2</f>
        <v/>
      </c>
      <c r="J3021">
        <f>--(E3021="Validation")</f>
        <v/>
      </c>
    </row>
    <row r="3022">
      <c r="D3022">
        <f>AutoClaim_Data!A3022</f>
        <v/>
      </c>
      <c r="E3022">
        <f>AutoClaim_Data!B3022</f>
        <v/>
      </c>
      <c r="F3022">
        <f>AutoClaim_Data!C3022</f>
        <v/>
      </c>
      <c r="G3022">
        <f>IF(AutoClaim_Data!D3022&lt;=$B$2,AVERAGEIFS(AutoClaim_Data!C2:C3168,AutoClaim_Data!B2:B3168,"Train",AutoClaim_Data!D2:D3168,"&lt;="&amp;$B$2),AVERAGEIFS(AutoClaim_Data!C2:C3168,AutoClaim_Data!B2:B3168,"Train",AutoClaim_Data!D2:D3168,"&gt;"&amp;$B$2))</f>
        <v/>
      </c>
      <c r="H3022">
        <f>IF(AutoClaim_Data!D3022&lt;=$B$2,IF(AutoClaim_Data!E3022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2">
        <f>(F3022-H3022)^2</f>
        <v/>
      </c>
      <c r="J3022">
        <f>--(E3022="Validation")</f>
        <v/>
      </c>
    </row>
    <row r="3023">
      <c r="D3023">
        <f>AutoClaim_Data!A3023</f>
        <v/>
      </c>
      <c r="E3023">
        <f>AutoClaim_Data!B3023</f>
        <v/>
      </c>
      <c r="F3023">
        <f>AutoClaim_Data!C3023</f>
        <v/>
      </c>
      <c r="G3023">
        <f>IF(AutoClaim_Data!D3023&lt;=$B$2,AVERAGEIFS(AutoClaim_Data!C2:C3168,AutoClaim_Data!B2:B3168,"Train",AutoClaim_Data!D2:D3168,"&lt;="&amp;$B$2),AVERAGEIFS(AutoClaim_Data!C2:C3168,AutoClaim_Data!B2:B3168,"Train",AutoClaim_Data!D2:D3168,"&gt;"&amp;$B$2))</f>
        <v/>
      </c>
      <c r="H3023">
        <f>IF(AutoClaim_Data!D3023&lt;=$B$2,IF(AutoClaim_Data!E3023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3">
        <f>(F3023-H3023)^2</f>
        <v/>
      </c>
      <c r="J3023">
        <f>--(E3023="Validation")</f>
        <v/>
      </c>
    </row>
    <row r="3024">
      <c r="D3024">
        <f>AutoClaim_Data!A3024</f>
        <v/>
      </c>
      <c r="E3024">
        <f>AutoClaim_Data!B3024</f>
        <v/>
      </c>
      <c r="F3024">
        <f>AutoClaim_Data!C3024</f>
        <v/>
      </c>
      <c r="G3024">
        <f>IF(AutoClaim_Data!D3024&lt;=$B$2,AVERAGEIFS(AutoClaim_Data!C2:C3168,AutoClaim_Data!B2:B3168,"Train",AutoClaim_Data!D2:D3168,"&lt;="&amp;$B$2),AVERAGEIFS(AutoClaim_Data!C2:C3168,AutoClaim_Data!B2:B3168,"Train",AutoClaim_Data!D2:D3168,"&gt;"&amp;$B$2))</f>
        <v/>
      </c>
      <c r="H3024">
        <f>IF(AutoClaim_Data!D3024&lt;=$B$2,IF(AutoClaim_Data!E3024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4">
        <f>(F3024-H3024)^2</f>
        <v/>
      </c>
      <c r="J3024">
        <f>--(E3024="Validation")</f>
        <v/>
      </c>
    </row>
    <row r="3025">
      <c r="D3025">
        <f>AutoClaim_Data!A3025</f>
        <v/>
      </c>
      <c r="E3025">
        <f>AutoClaim_Data!B3025</f>
        <v/>
      </c>
      <c r="F3025">
        <f>AutoClaim_Data!C3025</f>
        <v/>
      </c>
      <c r="G3025">
        <f>IF(AutoClaim_Data!D3025&lt;=$B$2,AVERAGEIFS(AutoClaim_Data!C2:C3168,AutoClaim_Data!B2:B3168,"Train",AutoClaim_Data!D2:D3168,"&lt;="&amp;$B$2),AVERAGEIFS(AutoClaim_Data!C2:C3168,AutoClaim_Data!B2:B3168,"Train",AutoClaim_Data!D2:D3168,"&gt;"&amp;$B$2))</f>
        <v/>
      </c>
      <c r="H3025">
        <f>IF(AutoClaim_Data!D3025&lt;=$B$2,IF(AutoClaim_Data!E3025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5">
        <f>(F3025-H3025)^2</f>
        <v/>
      </c>
      <c r="J3025">
        <f>--(E3025="Validation")</f>
        <v/>
      </c>
    </row>
    <row r="3026">
      <c r="D3026">
        <f>AutoClaim_Data!A3026</f>
        <v/>
      </c>
      <c r="E3026">
        <f>AutoClaim_Data!B3026</f>
        <v/>
      </c>
      <c r="F3026">
        <f>AutoClaim_Data!C3026</f>
        <v/>
      </c>
      <c r="G3026">
        <f>IF(AutoClaim_Data!D3026&lt;=$B$2,AVERAGEIFS(AutoClaim_Data!C2:C3168,AutoClaim_Data!B2:B3168,"Train",AutoClaim_Data!D2:D3168,"&lt;="&amp;$B$2),AVERAGEIFS(AutoClaim_Data!C2:C3168,AutoClaim_Data!B2:B3168,"Train",AutoClaim_Data!D2:D3168,"&gt;"&amp;$B$2))</f>
        <v/>
      </c>
      <c r="H3026">
        <f>IF(AutoClaim_Data!D3026&lt;=$B$2,IF(AutoClaim_Data!E3026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6">
        <f>(F3026-H3026)^2</f>
        <v/>
      </c>
      <c r="J3026">
        <f>--(E3026="Validation")</f>
        <v/>
      </c>
    </row>
    <row r="3027">
      <c r="D3027">
        <f>AutoClaim_Data!A3027</f>
        <v/>
      </c>
      <c r="E3027">
        <f>AutoClaim_Data!B3027</f>
        <v/>
      </c>
      <c r="F3027">
        <f>AutoClaim_Data!C3027</f>
        <v/>
      </c>
      <c r="G3027">
        <f>IF(AutoClaim_Data!D3027&lt;=$B$2,AVERAGEIFS(AutoClaim_Data!C2:C3168,AutoClaim_Data!B2:B3168,"Train",AutoClaim_Data!D2:D3168,"&lt;="&amp;$B$2),AVERAGEIFS(AutoClaim_Data!C2:C3168,AutoClaim_Data!B2:B3168,"Train",AutoClaim_Data!D2:D3168,"&gt;"&amp;$B$2))</f>
        <v/>
      </c>
      <c r="H3027">
        <f>IF(AutoClaim_Data!D3027&lt;=$B$2,IF(AutoClaim_Data!E3027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7">
        <f>(F3027-H3027)^2</f>
        <v/>
      </c>
      <c r="J3027">
        <f>--(E3027="Validation")</f>
        <v/>
      </c>
    </row>
    <row r="3028">
      <c r="D3028">
        <f>AutoClaim_Data!A3028</f>
        <v/>
      </c>
      <c r="E3028">
        <f>AutoClaim_Data!B3028</f>
        <v/>
      </c>
      <c r="F3028">
        <f>AutoClaim_Data!C3028</f>
        <v/>
      </c>
      <c r="G3028">
        <f>IF(AutoClaim_Data!D3028&lt;=$B$2,AVERAGEIFS(AutoClaim_Data!C2:C3168,AutoClaim_Data!B2:B3168,"Train",AutoClaim_Data!D2:D3168,"&lt;="&amp;$B$2),AVERAGEIFS(AutoClaim_Data!C2:C3168,AutoClaim_Data!B2:B3168,"Train",AutoClaim_Data!D2:D3168,"&gt;"&amp;$B$2))</f>
        <v/>
      </c>
      <c r="H3028">
        <f>IF(AutoClaim_Data!D3028&lt;=$B$2,IF(AutoClaim_Data!E3028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8">
        <f>(F3028-H3028)^2</f>
        <v/>
      </c>
      <c r="J3028">
        <f>--(E3028="Validation")</f>
        <v/>
      </c>
    </row>
    <row r="3029">
      <c r="D3029">
        <f>AutoClaim_Data!A3029</f>
        <v/>
      </c>
      <c r="E3029">
        <f>AutoClaim_Data!B3029</f>
        <v/>
      </c>
      <c r="F3029">
        <f>AutoClaim_Data!C3029</f>
        <v/>
      </c>
      <c r="G3029">
        <f>IF(AutoClaim_Data!D3029&lt;=$B$2,AVERAGEIFS(AutoClaim_Data!C2:C3168,AutoClaim_Data!B2:B3168,"Train",AutoClaim_Data!D2:D3168,"&lt;="&amp;$B$2),AVERAGEIFS(AutoClaim_Data!C2:C3168,AutoClaim_Data!B2:B3168,"Train",AutoClaim_Data!D2:D3168,"&gt;"&amp;$B$2))</f>
        <v/>
      </c>
      <c r="H3029">
        <f>IF(AutoClaim_Data!D3029&lt;=$B$2,IF(AutoClaim_Data!E3029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29">
        <f>(F3029-H3029)^2</f>
        <v/>
      </c>
      <c r="J3029">
        <f>--(E3029="Validation")</f>
        <v/>
      </c>
    </row>
    <row r="3030">
      <c r="D3030">
        <f>AutoClaim_Data!A3030</f>
        <v/>
      </c>
      <c r="E3030">
        <f>AutoClaim_Data!B3030</f>
        <v/>
      </c>
      <c r="F3030">
        <f>AutoClaim_Data!C3030</f>
        <v/>
      </c>
      <c r="G3030">
        <f>IF(AutoClaim_Data!D3030&lt;=$B$2,AVERAGEIFS(AutoClaim_Data!C2:C3168,AutoClaim_Data!B2:B3168,"Train",AutoClaim_Data!D2:D3168,"&lt;="&amp;$B$2),AVERAGEIFS(AutoClaim_Data!C2:C3168,AutoClaim_Data!B2:B3168,"Train",AutoClaim_Data!D2:D3168,"&gt;"&amp;$B$2))</f>
        <v/>
      </c>
      <c r="H3030">
        <f>IF(AutoClaim_Data!D3030&lt;=$B$2,IF(AutoClaim_Data!E3030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0">
        <f>(F3030-H3030)^2</f>
        <v/>
      </c>
      <c r="J3030">
        <f>--(E3030="Validation")</f>
        <v/>
      </c>
    </row>
    <row r="3031">
      <c r="D3031">
        <f>AutoClaim_Data!A3031</f>
        <v/>
      </c>
      <c r="E3031">
        <f>AutoClaim_Data!B3031</f>
        <v/>
      </c>
      <c r="F3031">
        <f>AutoClaim_Data!C3031</f>
        <v/>
      </c>
      <c r="G3031">
        <f>IF(AutoClaim_Data!D3031&lt;=$B$2,AVERAGEIFS(AutoClaim_Data!C2:C3168,AutoClaim_Data!B2:B3168,"Train",AutoClaim_Data!D2:D3168,"&lt;="&amp;$B$2),AVERAGEIFS(AutoClaim_Data!C2:C3168,AutoClaim_Data!B2:B3168,"Train",AutoClaim_Data!D2:D3168,"&gt;"&amp;$B$2))</f>
        <v/>
      </c>
      <c r="H3031">
        <f>IF(AutoClaim_Data!D3031&lt;=$B$2,IF(AutoClaim_Data!E3031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1">
        <f>(F3031-H3031)^2</f>
        <v/>
      </c>
      <c r="J3031">
        <f>--(E3031="Validation")</f>
        <v/>
      </c>
    </row>
    <row r="3032">
      <c r="D3032">
        <f>AutoClaim_Data!A3032</f>
        <v/>
      </c>
      <c r="E3032">
        <f>AutoClaim_Data!B3032</f>
        <v/>
      </c>
      <c r="F3032">
        <f>AutoClaim_Data!C3032</f>
        <v/>
      </c>
      <c r="G3032">
        <f>IF(AutoClaim_Data!D3032&lt;=$B$2,AVERAGEIFS(AutoClaim_Data!C2:C3168,AutoClaim_Data!B2:B3168,"Train",AutoClaim_Data!D2:D3168,"&lt;="&amp;$B$2),AVERAGEIFS(AutoClaim_Data!C2:C3168,AutoClaim_Data!B2:B3168,"Train",AutoClaim_Data!D2:D3168,"&gt;"&amp;$B$2))</f>
        <v/>
      </c>
      <c r="H3032">
        <f>IF(AutoClaim_Data!D3032&lt;=$B$2,IF(AutoClaim_Data!E3032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2">
        <f>(F3032-H3032)^2</f>
        <v/>
      </c>
      <c r="J3032">
        <f>--(E3032="Validation")</f>
        <v/>
      </c>
    </row>
    <row r="3033">
      <c r="D3033">
        <f>AutoClaim_Data!A3033</f>
        <v/>
      </c>
      <c r="E3033">
        <f>AutoClaim_Data!B3033</f>
        <v/>
      </c>
      <c r="F3033">
        <f>AutoClaim_Data!C3033</f>
        <v/>
      </c>
      <c r="G3033">
        <f>IF(AutoClaim_Data!D3033&lt;=$B$2,AVERAGEIFS(AutoClaim_Data!C2:C3168,AutoClaim_Data!B2:B3168,"Train",AutoClaim_Data!D2:D3168,"&lt;="&amp;$B$2),AVERAGEIFS(AutoClaim_Data!C2:C3168,AutoClaim_Data!B2:B3168,"Train",AutoClaim_Data!D2:D3168,"&gt;"&amp;$B$2))</f>
        <v/>
      </c>
      <c r="H3033">
        <f>IF(AutoClaim_Data!D3033&lt;=$B$2,IF(AutoClaim_Data!E3033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3">
        <f>(F3033-H3033)^2</f>
        <v/>
      </c>
      <c r="J3033">
        <f>--(E3033="Validation")</f>
        <v/>
      </c>
    </row>
    <row r="3034">
      <c r="D3034">
        <f>AutoClaim_Data!A3034</f>
        <v/>
      </c>
      <c r="E3034">
        <f>AutoClaim_Data!B3034</f>
        <v/>
      </c>
      <c r="F3034">
        <f>AutoClaim_Data!C3034</f>
        <v/>
      </c>
      <c r="G3034">
        <f>IF(AutoClaim_Data!D3034&lt;=$B$2,AVERAGEIFS(AutoClaim_Data!C2:C3168,AutoClaim_Data!B2:B3168,"Train",AutoClaim_Data!D2:D3168,"&lt;="&amp;$B$2),AVERAGEIFS(AutoClaim_Data!C2:C3168,AutoClaim_Data!B2:B3168,"Train",AutoClaim_Data!D2:D3168,"&gt;"&amp;$B$2))</f>
        <v/>
      </c>
      <c r="H3034">
        <f>IF(AutoClaim_Data!D3034&lt;=$B$2,IF(AutoClaim_Data!E3034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4">
        <f>(F3034-H3034)^2</f>
        <v/>
      </c>
      <c r="J3034">
        <f>--(E3034="Validation")</f>
        <v/>
      </c>
    </row>
    <row r="3035">
      <c r="D3035">
        <f>AutoClaim_Data!A3035</f>
        <v/>
      </c>
      <c r="E3035">
        <f>AutoClaim_Data!B3035</f>
        <v/>
      </c>
      <c r="F3035">
        <f>AutoClaim_Data!C3035</f>
        <v/>
      </c>
      <c r="G3035">
        <f>IF(AutoClaim_Data!D3035&lt;=$B$2,AVERAGEIFS(AutoClaim_Data!C2:C3168,AutoClaim_Data!B2:B3168,"Train",AutoClaim_Data!D2:D3168,"&lt;="&amp;$B$2),AVERAGEIFS(AutoClaim_Data!C2:C3168,AutoClaim_Data!B2:B3168,"Train",AutoClaim_Data!D2:D3168,"&gt;"&amp;$B$2))</f>
        <v/>
      </c>
      <c r="H3035">
        <f>IF(AutoClaim_Data!D3035&lt;=$B$2,IF(AutoClaim_Data!E3035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5">
        <f>(F3035-H3035)^2</f>
        <v/>
      </c>
      <c r="J3035">
        <f>--(E3035="Validation")</f>
        <v/>
      </c>
    </row>
    <row r="3036">
      <c r="D3036">
        <f>AutoClaim_Data!A3036</f>
        <v/>
      </c>
      <c r="E3036">
        <f>AutoClaim_Data!B3036</f>
        <v/>
      </c>
      <c r="F3036">
        <f>AutoClaim_Data!C3036</f>
        <v/>
      </c>
      <c r="G3036">
        <f>IF(AutoClaim_Data!D3036&lt;=$B$2,AVERAGEIFS(AutoClaim_Data!C2:C3168,AutoClaim_Data!B2:B3168,"Train",AutoClaim_Data!D2:D3168,"&lt;="&amp;$B$2),AVERAGEIFS(AutoClaim_Data!C2:C3168,AutoClaim_Data!B2:B3168,"Train",AutoClaim_Data!D2:D3168,"&gt;"&amp;$B$2))</f>
        <v/>
      </c>
      <c r="H3036">
        <f>IF(AutoClaim_Data!D3036&lt;=$B$2,IF(AutoClaim_Data!E3036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6">
        <f>(F3036-H3036)^2</f>
        <v/>
      </c>
      <c r="J3036">
        <f>--(E3036="Validation")</f>
        <v/>
      </c>
    </row>
    <row r="3037">
      <c r="D3037">
        <f>AutoClaim_Data!A3037</f>
        <v/>
      </c>
      <c r="E3037">
        <f>AutoClaim_Data!B3037</f>
        <v/>
      </c>
      <c r="F3037">
        <f>AutoClaim_Data!C3037</f>
        <v/>
      </c>
      <c r="G3037">
        <f>IF(AutoClaim_Data!D3037&lt;=$B$2,AVERAGEIFS(AutoClaim_Data!C2:C3168,AutoClaim_Data!B2:B3168,"Train",AutoClaim_Data!D2:D3168,"&lt;="&amp;$B$2),AVERAGEIFS(AutoClaim_Data!C2:C3168,AutoClaim_Data!B2:B3168,"Train",AutoClaim_Data!D2:D3168,"&gt;"&amp;$B$2))</f>
        <v/>
      </c>
      <c r="H3037">
        <f>IF(AutoClaim_Data!D3037&lt;=$B$2,IF(AutoClaim_Data!E3037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7">
        <f>(F3037-H3037)^2</f>
        <v/>
      </c>
      <c r="J3037">
        <f>--(E3037="Validation")</f>
        <v/>
      </c>
    </row>
    <row r="3038">
      <c r="D3038">
        <f>AutoClaim_Data!A3038</f>
        <v/>
      </c>
      <c r="E3038">
        <f>AutoClaim_Data!B3038</f>
        <v/>
      </c>
      <c r="F3038">
        <f>AutoClaim_Data!C3038</f>
        <v/>
      </c>
      <c r="G3038">
        <f>IF(AutoClaim_Data!D3038&lt;=$B$2,AVERAGEIFS(AutoClaim_Data!C2:C3168,AutoClaim_Data!B2:B3168,"Train",AutoClaim_Data!D2:D3168,"&lt;="&amp;$B$2),AVERAGEIFS(AutoClaim_Data!C2:C3168,AutoClaim_Data!B2:B3168,"Train",AutoClaim_Data!D2:D3168,"&gt;"&amp;$B$2))</f>
        <v/>
      </c>
      <c r="H3038">
        <f>IF(AutoClaim_Data!D3038&lt;=$B$2,IF(AutoClaim_Data!E3038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8">
        <f>(F3038-H3038)^2</f>
        <v/>
      </c>
      <c r="J3038">
        <f>--(E3038="Validation")</f>
        <v/>
      </c>
    </row>
    <row r="3039">
      <c r="D3039">
        <f>AutoClaim_Data!A3039</f>
        <v/>
      </c>
      <c r="E3039">
        <f>AutoClaim_Data!B3039</f>
        <v/>
      </c>
      <c r="F3039">
        <f>AutoClaim_Data!C3039</f>
        <v/>
      </c>
      <c r="G3039">
        <f>IF(AutoClaim_Data!D3039&lt;=$B$2,AVERAGEIFS(AutoClaim_Data!C2:C3168,AutoClaim_Data!B2:B3168,"Train",AutoClaim_Data!D2:D3168,"&lt;="&amp;$B$2),AVERAGEIFS(AutoClaim_Data!C2:C3168,AutoClaim_Data!B2:B3168,"Train",AutoClaim_Data!D2:D3168,"&gt;"&amp;$B$2))</f>
        <v/>
      </c>
      <c r="H3039">
        <f>IF(AutoClaim_Data!D3039&lt;=$B$2,IF(AutoClaim_Data!E3039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39">
        <f>(F3039-H3039)^2</f>
        <v/>
      </c>
      <c r="J3039">
        <f>--(E3039="Validation")</f>
        <v/>
      </c>
    </row>
    <row r="3040">
      <c r="D3040">
        <f>AutoClaim_Data!A3040</f>
        <v/>
      </c>
      <c r="E3040">
        <f>AutoClaim_Data!B3040</f>
        <v/>
      </c>
      <c r="F3040">
        <f>AutoClaim_Data!C3040</f>
        <v/>
      </c>
      <c r="G3040">
        <f>IF(AutoClaim_Data!D3040&lt;=$B$2,AVERAGEIFS(AutoClaim_Data!C2:C3168,AutoClaim_Data!B2:B3168,"Train",AutoClaim_Data!D2:D3168,"&lt;="&amp;$B$2),AVERAGEIFS(AutoClaim_Data!C2:C3168,AutoClaim_Data!B2:B3168,"Train",AutoClaim_Data!D2:D3168,"&gt;"&amp;$B$2))</f>
        <v/>
      </c>
      <c r="H3040">
        <f>IF(AutoClaim_Data!D3040&lt;=$B$2,IF(AutoClaim_Data!E3040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0">
        <f>(F3040-H3040)^2</f>
        <v/>
      </c>
      <c r="J3040">
        <f>--(E3040="Validation")</f>
        <v/>
      </c>
    </row>
    <row r="3041">
      <c r="D3041">
        <f>AutoClaim_Data!A3041</f>
        <v/>
      </c>
      <c r="E3041">
        <f>AutoClaim_Data!B3041</f>
        <v/>
      </c>
      <c r="F3041">
        <f>AutoClaim_Data!C3041</f>
        <v/>
      </c>
      <c r="G3041">
        <f>IF(AutoClaim_Data!D3041&lt;=$B$2,AVERAGEIFS(AutoClaim_Data!C2:C3168,AutoClaim_Data!B2:B3168,"Train",AutoClaim_Data!D2:D3168,"&lt;="&amp;$B$2),AVERAGEIFS(AutoClaim_Data!C2:C3168,AutoClaim_Data!B2:B3168,"Train",AutoClaim_Data!D2:D3168,"&gt;"&amp;$B$2))</f>
        <v/>
      </c>
      <c r="H3041">
        <f>IF(AutoClaim_Data!D3041&lt;=$B$2,IF(AutoClaim_Data!E3041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1">
        <f>(F3041-H3041)^2</f>
        <v/>
      </c>
      <c r="J3041">
        <f>--(E3041="Validation")</f>
        <v/>
      </c>
    </row>
    <row r="3042">
      <c r="D3042">
        <f>AutoClaim_Data!A3042</f>
        <v/>
      </c>
      <c r="E3042">
        <f>AutoClaim_Data!B3042</f>
        <v/>
      </c>
      <c r="F3042">
        <f>AutoClaim_Data!C3042</f>
        <v/>
      </c>
      <c r="G3042">
        <f>IF(AutoClaim_Data!D3042&lt;=$B$2,AVERAGEIFS(AutoClaim_Data!C2:C3168,AutoClaim_Data!B2:B3168,"Train",AutoClaim_Data!D2:D3168,"&lt;="&amp;$B$2),AVERAGEIFS(AutoClaim_Data!C2:C3168,AutoClaim_Data!B2:B3168,"Train",AutoClaim_Data!D2:D3168,"&gt;"&amp;$B$2))</f>
        <v/>
      </c>
      <c r="H3042">
        <f>IF(AutoClaim_Data!D3042&lt;=$B$2,IF(AutoClaim_Data!E3042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2">
        <f>(F3042-H3042)^2</f>
        <v/>
      </c>
      <c r="J3042">
        <f>--(E3042="Validation")</f>
        <v/>
      </c>
    </row>
    <row r="3043">
      <c r="D3043">
        <f>AutoClaim_Data!A3043</f>
        <v/>
      </c>
      <c r="E3043">
        <f>AutoClaim_Data!B3043</f>
        <v/>
      </c>
      <c r="F3043">
        <f>AutoClaim_Data!C3043</f>
        <v/>
      </c>
      <c r="G3043">
        <f>IF(AutoClaim_Data!D3043&lt;=$B$2,AVERAGEIFS(AutoClaim_Data!C2:C3168,AutoClaim_Data!B2:B3168,"Train",AutoClaim_Data!D2:D3168,"&lt;="&amp;$B$2),AVERAGEIFS(AutoClaim_Data!C2:C3168,AutoClaim_Data!B2:B3168,"Train",AutoClaim_Data!D2:D3168,"&gt;"&amp;$B$2))</f>
        <v/>
      </c>
      <c r="H3043">
        <f>IF(AutoClaim_Data!D3043&lt;=$B$2,IF(AutoClaim_Data!E3043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3">
        <f>(F3043-H3043)^2</f>
        <v/>
      </c>
      <c r="J3043">
        <f>--(E3043="Validation")</f>
        <v/>
      </c>
    </row>
    <row r="3044">
      <c r="D3044">
        <f>AutoClaim_Data!A3044</f>
        <v/>
      </c>
      <c r="E3044">
        <f>AutoClaim_Data!B3044</f>
        <v/>
      </c>
      <c r="F3044">
        <f>AutoClaim_Data!C3044</f>
        <v/>
      </c>
      <c r="G3044">
        <f>IF(AutoClaim_Data!D3044&lt;=$B$2,AVERAGEIFS(AutoClaim_Data!C2:C3168,AutoClaim_Data!B2:B3168,"Train",AutoClaim_Data!D2:D3168,"&lt;="&amp;$B$2),AVERAGEIFS(AutoClaim_Data!C2:C3168,AutoClaim_Data!B2:B3168,"Train",AutoClaim_Data!D2:D3168,"&gt;"&amp;$B$2))</f>
        <v/>
      </c>
      <c r="H3044">
        <f>IF(AutoClaim_Data!D3044&lt;=$B$2,IF(AutoClaim_Data!E3044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4">
        <f>(F3044-H3044)^2</f>
        <v/>
      </c>
      <c r="J3044">
        <f>--(E3044="Validation")</f>
        <v/>
      </c>
    </row>
    <row r="3045">
      <c r="D3045">
        <f>AutoClaim_Data!A3045</f>
        <v/>
      </c>
      <c r="E3045">
        <f>AutoClaim_Data!B3045</f>
        <v/>
      </c>
      <c r="F3045">
        <f>AutoClaim_Data!C3045</f>
        <v/>
      </c>
      <c r="G3045">
        <f>IF(AutoClaim_Data!D3045&lt;=$B$2,AVERAGEIFS(AutoClaim_Data!C2:C3168,AutoClaim_Data!B2:B3168,"Train",AutoClaim_Data!D2:D3168,"&lt;="&amp;$B$2),AVERAGEIFS(AutoClaim_Data!C2:C3168,AutoClaim_Data!B2:B3168,"Train",AutoClaim_Data!D2:D3168,"&gt;"&amp;$B$2))</f>
        <v/>
      </c>
      <c r="H3045">
        <f>IF(AutoClaim_Data!D3045&lt;=$B$2,IF(AutoClaim_Data!E3045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5">
        <f>(F3045-H3045)^2</f>
        <v/>
      </c>
      <c r="J3045">
        <f>--(E3045="Validation")</f>
        <v/>
      </c>
    </row>
    <row r="3046">
      <c r="D3046">
        <f>AutoClaim_Data!A3046</f>
        <v/>
      </c>
      <c r="E3046">
        <f>AutoClaim_Data!B3046</f>
        <v/>
      </c>
      <c r="F3046">
        <f>AutoClaim_Data!C3046</f>
        <v/>
      </c>
      <c r="G3046">
        <f>IF(AutoClaim_Data!D3046&lt;=$B$2,AVERAGEIFS(AutoClaim_Data!C2:C3168,AutoClaim_Data!B2:B3168,"Train",AutoClaim_Data!D2:D3168,"&lt;="&amp;$B$2),AVERAGEIFS(AutoClaim_Data!C2:C3168,AutoClaim_Data!B2:B3168,"Train",AutoClaim_Data!D2:D3168,"&gt;"&amp;$B$2))</f>
        <v/>
      </c>
      <c r="H3046">
        <f>IF(AutoClaim_Data!D3046&lt;=$B$2,IF(AutoClaim_Data!E3046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6">
        <f>(F3046-H3046)^2</f>
        <v/>
      </c>
      <c r="J3046">
        <f>--(E3046="Validation")</f>
        <v/>
      </c>
    </row>
    <row r="3047">
      <c r="D3047">
        <f>AutoClaim_Data!A3047</f>
        <v/>
      </c>
      <c r="E3047">
        <f>AutoClaim_Data!B3047</f>
        <v/>
      </c>
      <c r="F3047">
        <f>AutoClaim_Data!C3047</f>
        <v/>
      </c>
      <c r="G3047">
        <f>IF(AutoClaim_Data!D3047&lt;=$B$2,AVERAGEIFS(AutoClaim_Data!C2:C3168,AutoClaim_Data!B2:B3168,"Train",AutoClaim_Data!D2:D3168,"&lt;="&amp;$B$2),AVERAGEIFS(AutoClaim_Data!C2:C3168,AutoClaim_Data!B2:B3168,"Train",AutoClaim_Data!D2:D3168,"&gt;"&amp;$B$2))</f>
        <v/>
      </c>
      <c r="H3047">
        <f>IF(AutoClaim_Data!D3047&lt;=$B$2,IF(AutoClaim_Data!E3047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7">
        <f>(F3047-H3047)^2</f>
        <v/>
      </c>
      <c r="J3047">
        <f>--(E3047="Validation")</f>
        <v/>
      </c>
    </row>
    <row r="3048">
      <c r="D3048">
        <f>AutoClaim_Data!A3048</f>
        <v/>
      </c>
      <c r="E3048">
        <f>AutoClaim_Data!B3048</f>
        <v/>
      </c>
      <c r="F3048">
        <f>AutoClaim_Data!C3048</f>
        <v/>
      </c>
      <c r="G3048">
        <f>IF(AutoClaim_Data!D3048&lt;=$B$2,AVERAGEIFS(AutoClaim_Data!C2:C3168,AutoClaim_Data!B2:B3168,"Train",AutoClaim_Data!D2:D3168,"&lt;="&amp;$B$2),AVERAGEIFS(AutoClaim_Data!C2:C3168,AutoClaim_Data!B2:B3168,"Train",AutoClaim_Data!D2:D3168,"&gt;"&amp;$B$2))</f>
        <v/>
      </c>
      <c r="H3048">
        <f>IF(AutoClaim_Data!D3048&lt;=$B$2,IF(AutoClaim_Data!E3048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8">
        <f>(F3048-H3048)^2</f>
        <v/>
      </c>
      <c r="J3048">
        <f>--(E3048="Validation")</f>
        <v/>
      </c>
    </row>
    <row r="3049">
      <c r="D3049">
        <f>AutoClaim_Data!A3049</f>
        <v/>
      </c>
      <c r="E3049">
        <f>AutoClaim_Data!B3049</f>
        <v/>
      </c>
      <c r="F3049">
        <f>AutoClaim_Data!C3049</f>
        <v/>
      </c>
      <c r="G3049">
        <f>IF(AutoClaim_Data!D3049&lt;=$B$2,AVERAGEIFS(AutoClaim_Data!C2:C3168,AutoClaim_Data!B2:B3168,"Train",AutoClaim_Data!D2:D3168,"&lt;="&amp;$B$2),AVERAGEIFS(AutoClaim_Data!C2:C3168,AutoClaim_Data!B2:B3168,"Train",AutoClaim_Data!D2:D3168,"&gt;"&amp;$B$2))</f>
        <v/>
      </c>
      <c r="H3049">
        <f>IF(AutoClaim_Data!D3049&lt;=$B$2,IF(AutoClaim_Data!E3049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49">
        <f>(F3049-H3049)^2</f>
        <v/>
      </c>
      <c r="J3049">
        <f>--(E3049="Validation")</f>
        <v/>
      </c>
    </row>
    <row r="3050">
      <c r="D3050">
        <f>AutoClaim_Data!A3050</f>
        <v/>
      </c>
      <c r="E3050">
        <f>AutoClaim_Data!B3050</f>
        <v/>
      </c>
      <c r="F3050">
        <f>AutoClaim_Data!C3050</f>
        <v/>
      </c>
      <c r="G3050">
        <f>IF(AutoClaim_Data!D3050&lt;=$B$2,AVERAGEIFS(AutoClaim_Data!C2:C3168,AutoClaim_Data!B2:B3168,"Train",AutoClaim_Data!D2:D3168,"&lt;="&amp;$B$2),AVERAGEIFS(AutoClaim_Data!C2:C3168,AutoClaim_Data!B2:B3168,"Train",AutoClaim_Data!D2:D3168,"&gt;"&amp;$B$2))</f>
        <v/>
      </c>
      <c r="H3050">
        <f>IF(AutoClaim_Data!D3050&lt;=$B$2,IF(AutoClaim_Data!E3050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0">
        <f>(F3050-H3050)^2</f>
        <v/>
      </c>
      <c r="J3050">
        <f>--(E3050="Validation")</f>
        <v/>
      </c>
    </row>
    <row r="3051">
      <c r="D3051">
        <f>AutoClaim_Data!A3051</f>
        <v/>
      </c>
      <c r="E3051">
        <f>AutoClaim_Data!B3051</f>
        <v/>
      </c>
      <c r="F3051">
        <f>AutoClaim_Data!C3051</f>
        <v/>
      </c>
      <c r="G3051">
        <f>IF(AutoClaim_Data!D3051&lt;=$B$2,AVERAGEIFS(AutoClaim_Data!C2:C3168,AutoClaim_Data!B2:B3168,"Train",AutoClaim_Data!D2:D3168,"&lt;="&amp;$B$2),AVERAGEIFS(AutoClaim_Data!C2:C3168,AutoClaim_Data!B2:B3168,"Train",AutoClaim_Data!D2:D3168,"&gt;"&amp;$B$2))</f>
        <v/>
      </c>
      <c r="H3051">
        <f>IF(AutoClaim_Data!D3051&lt;=$B$2,IF(AutoClaim_Data!E3051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1">
        <f>(F3051-H3051)^2</f>
        <v/>
      </c>
      <c r="J3051">
        <f>--(E3051="Validation")</f>
        <v/>
      </c>
    </row>
    <row r="3052">
      <c r="D3052">
        <f>AutoClaim_Data!A3052</f>
        <v/>
      </c>
      <c r="E3052">
        <f>AutoClaim_Data!B3052</f>
        <v/>
      </c>
      <c r="F3052">
        <f>AutoClaim_Data!C3052</f>
        <v/>
      </c>
      <c r="G3052">
        <f>IF(AutoClaim_Data!D3052&lt;=$B$2,AVERAGEIFS(AutoClaim_Data!C2:C3168,AutoClaim_Data!B2:B3168,"Train",AutoClaim_Data!D2:D3168,"&lt;="&amp;$B$2),AVERAGEIFS(AutoClaim_Data!C2:C3168,AutoClaim_Data!B2:B3168,"Train",AutoClaim_Data!D2:D3168,"&gt;"&amp;$B$2))</f>
        <v/>
      </c>
      <c r="H3052">
        <f>IF(AutoClaim_Data!D3052&lt;=$B$2,IF(AutoClaim_Data!E3052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2">
        <f>(F3052-H3052)^2</f>
        <v/>
      </c>
      <c r="J3052">
        <f>--(E3052="Validation")</f>
        <v/>
      </c>
    </row>
    <row r="3053">
      <c r="D3053">
        <f>AutoClaim_Data!A3053</f>
        <v/>
      </c>
      <c r="E3053">
        <f>AutoClaim_Data!B3053</f>
        <v/>
      </c>
      <c r="F3053">
        <f>AutoClaim_Data!C3053</f>
        <v/>
      </c>
      <c r="G3053">
        <f>IF(AutoClaim_Data!D3053&lt;=$B$2,AVERAGEIFS(AutoClaim_Data!C2:C3168,AutoClaim_Data!B2:B3168,"Train",AutoClaim_Data!D2:D3168,"&lt;="&amp;$B$2),AVERAGEIFS(AutoClaim_Data!C2:C3168,AutoClaim_Data!B2:B3168,"Train",AutoClaim_Data!D2:D3168,"&gt;"&amp;$B$2))</f>
        <v/>
      </c>
      <c r="H3053">
        <f>IF(AutoClaim_Data!D3053&lt;=$B$2,IF(AutoClaim_Data!E3053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3">
        <f>(F3053-H3053)^2</f>
        <v/>
      </c>
      <c r="J3053">
        <f>--(E3053="Validation")</f>
        <v/>
      </c>
    </row>
    <row r="3054">
      <c r="D3054">
        <f>AutoClaim_Data!A3054</f>
        <v/>
      </c>
      <c r="E3054">
        <f>AutoClaim_Data!B3054</f>
        <v/>
      </c>
      <c r="F3054">
        <f>AutoClaim_Data!C3054</f>
        <v/>
      </c>
      <c r="G3054">
        <f>IF(AutoClaim_Data!D3054&lt;=$B$2,AVERAGEIFS(AutoClaim_Data!C2:C3168,AutoClaim_Data!B2:B3168,"Train",AutoClaim_Data!D2:D3168,"&lt;="&amp;$B$2),AVERAGEIFS(AutoClaim_Data!C2:C3168,AutoClaim_Data!B2:B3168,"Train",AutoClaim_Data!D2:D3168,"&gt;"&amp;$B$2))</f>
        <v/>
      </c>
      <c r="H3054">
        <f>IF(AutoClaim_Data!D3054&lt;=$B$2,IF(AutoClaim_Data!E3054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4">
        <f>(F3054-H3054)^2</f>
        <v/>
      </c>
      <c r="J3054">
        <f>--(E3054="Validation")</f>
        <v/>
      </c>
    </row>
    <row r="3055">
      <c r="D3055">
        <f>AutoClaim_Data!A3055</f>
        <v/>
      </c>
      <c r="E3055">
        <f>AutoClaim_Data!B3055</f>
        <v/>
      </c>
      <c r="F3055">
        <f>AutoClaim_Data!C3055</f>
        <v/>
      </c>
      <c r="G3055">
        <f>IF(AutoClaim_Data!D3055&lt;=$B$2,AVERAGEIFS(AutoClaim_Data!C2:C3168,AutoClaim_Data!B2:B3168,"Train",AutoClaim_Data!D2:D3168,"&lt;="&amp;$B$2),AVERAGEIFS(AutoClaim_Data!C2:C3168,AutoClaim_Data!B2:B3168,"Train",AutoClaim_Data!D2:D3168,"&gt;"&amp;$B$2))</f>
        <v/>
      </c>
      <c r="H3055">
        <f>IF(AutoClaim_Data!D3055&lt;=$B$2,IF(AutoClaim_Data!E3055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5">
        <f>(F3055-H3055)^2</f>
        <v/>
      </c>
      <c r="J3055">
        <f>--(E3055="Validation")</f>
        <v/>
      </c>
    </row>
    <row r="3056">
      <c r="D3056">
        <f>AutoClaim_Data!A3056</f>
        <v/>
      </c>
      <c r="E3056">
        <f>AutoClaim_Data!B3056</f>
        <v/>
      </c>
      <c r="F3056">
        <f>AutoClaim_Data!C3056</f>
        <v/>
      </c>
      <c r="G3056">
        <f>IF(AutoClaim_Data!D3056&lt;=$B$2,AVERAGEIFS(AutoClaim_Data!C2:C3168,AutoClaim_Data!B2:B3168,"Train",AutoClaim_Data!D2:D3168,"&lt;="&amp;$B$2),AVERAGEIFS(AutoClaim_Data!C2:C3168,AutoClaim_Data!B2:B3168,"Train",AutoClaim_Data!D2:D3168,"&gt;"&amp;$B$2))</f>
        <v/>
      </c>
      <c r="H3056">
        <f>IF(AutoClaim_Data!D3056&lt;=$B$2,IF(AutoClaim_Data!E3056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6">
        <f>(F3056-H3056)^2</f>
        <v/>
      </c>
      <c r="J3056">
        <f>--(E3056="Validation")</f>
        <v/>
      </c>
    </row>
    <row r="3057">
      <c r="D3057">
        <f>AutoClaim_Data!A3057</f>
        <v/>
      </c>
      <c r="E3057">
        <f>AutoClaim_Data!B3057</f>
        <v/>
      </c>
      <c r="F3057">
        <f>AutoClaim_Data!C3057</f>
        <v/>
      </c>
      <c r="G3057">
        <f>IF(AutoClaim_Data!D3057&lt;=$B$2,AVERAGEIFS(AutoClaim_Data!C2:C3168,AutoClaim_Data!B2:B3168,"Train",AutoClaim_Data!D2:D3168,"&lt;="&amp;$B$2),AVERAGEIFS(AutoClaim_Data!C2:C3168,AutoClaim_Data!B2:B3168,"Train",AutoClaim_Data!D2:D3168,"&gt;"&amp;$B$2))</f>
        <v/>
      </c>
      <c r="H3057">
        <f>IF(AutoClaim_Data!D3057&lt;=$B$2,IF(AutoClaim_Data!E3057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7">
        <f>(F3057-H3057)^2</f>
        <v/>
      </c>
      <c r="J3057">
        <f>--(E3057="Validation")</f>
        <v/>
      </c>
    </row>
    <row r="3058">
      <c r="D3058">
        <f>AutoClaim_Data!A3058</f>
        <v/>
      </c>
      <c r="E3058">
        <f>AutoClaim_Data!B3058</f>
        <v/>
      </c>
      <c r="F3058">
        <f>AutoClaim_Data!C3058</f>
        <v/>
      </c>
      <c r="G3058">
        <f>IF(AutoClaim_Data!D3058&lt;=$B$2,AVERAGEIFS(AutoClaim_Data!C2:C3168,AutoClaim_Data!B2:B3168,"Train",AutoClaim_Data!D2:D3168,"&lt;="&amp;$B$2),AVERAGEIFS(AutoClaim_Data!C2:C3168,AutoClaim_Data!B2:B3168,"Train",AutoClaim_Data!D2:D3168,"&gt;"&amp;$B$2))</f>
        <v/>
      </c>
      <c r="H3058">
        <f>IF(AutoClaim_Data!D3058&lt;=$B$2,IF(AutoClaim_Data!E3058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8">
        <f>(F3058-H3058)^2</f>
        <v/>
      </c>
      <c r="J3058">
        <f>--(E3058="Validation")</f>
        <v/>
      </c>
    </row>
    <row r="3059">
      <c r="D3059">
        <f>AutoClaim_Data!A3059</f>
        <v/>
      </c>
      <c r="E3059">
        <f>AutoClaim_Data!B3059</f>
        <v/>
      </c>
      <c r="F3059">
        <f>AutoClaim_Data!C3059</f>
        <v/>
      </c>
      <c r="G3059">
        <f>IF(AutoClaim_Data!D3059&lt;=$B$2,AVERAGEIFS(AutoClaim_Data!C2:C3168,AutoClaim_Data!B2:B3168,"Train",AutoClaim_Data!D2:D3168,"&lt;="&amp;$B$2),AVERAGEIFS(AutoClaim_Data!C2:C3168,AutoClaim_Data!B2:B3168,"Train",AutoClaim_Data!D2:D3168,"&gt;"&amp;$B$2))</f>
        <v/>
      </c>
      <c r="H3059">
        <f>IF(AutoClaim_Data!D3059&lt;=$B$2,IF(AutoClaim_Data!E3059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59">
        <f>(F3059-H3059)^2</f>
        <v/>
      </c>
      <c r="J3059">
        <f>--(E3059="Validation")</f>
        <v/>
      </c>
    </row>
    <row r="3060">
      <c r="D3060">
        <f>AutoClaim_Data!A3060</f>
        <v/>
      </c>
      <c r="E3060">
        <f>AutoClaim_Data!B3060</f>
        <v/>
      </c>
      <c r="F3060">
        <f>AutoClaim_Data!C3060</f>
        <v/>
      </c>
      <c r="G3060">
        <f>IF(AutoClaim_Data!D3060&lt;=$B$2,AVERAGEIFS(AutoClaim_Data!C2:C3168,AutoClaim_Data!B2:B3168,"Train",AutoClaim_Data!D2:D3168,"&lt;="&amp;$B$2),AVERAGEIFS(AutoClaim_Data!C2:C3168,AutoClaim_Data!B2:B3168,"Train",AutoClaim_Data!D2:D3168,"&gt;"&amp;$B$2))</f>
        <v/>
      </c>
      <c r="H3060">
        <f>IF(AutoClaim_Data!D3060&lt;=$B$2,IF(AutoClaim_Data!E3060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0">
        <f>(F3060-H3060)^2</f>
        <v/>
      </c>
      <c r="J3060">
        <f>--(E3060="Validation")</f>
        <v/>
      </c>
    </row>
    <row r="3061">
      <c r="D3061">
        <f>AutoClaim_Data!A3061</f>
        <v/>
      </c>
      <c r="E3061">
        <f>AutoClaim_Data!B3061</f>
        <v/>
      </c>
      <c r="F3061">
        <f>AutoClaim_Data!C3061</f>
        <v/>
      </c>
      <c r="G3061">
        <f>IF(AutoClaim_Data!D3061&lt;=$B$2,AVERAGEIFS(AutoClaim_Data!C2:C3168,AutoClaim_Data!B2:B3168,"Train",AutoClaim_Data!D2:D3168,"&lt;="&amp;$B$2),AVERAGEIFS(AutoClaim_Data!C2:C3168,AutoClaim_Data!B2:B3168,"Train",AutoClaim_Data!D2:D3168,"&gt;"&amp;$B$2))</f>
        <v/>
      </c>
      <c r="H3061">
        <f>IF(AutoClaim_Data!D3061&lt;=$B$2,IF(AutoClaim_Data!E3061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1">
        <f>(F3061-H3061)^2</f>
        <v/>
      </c>
      <c r="J3061">
        <f>--(E3061="Validation")</f>
        <v/>
      </c>
    </row>
    <row r="3062">
      <c r="D3062">
        <f>AutoClaim_Data!A3062</f>
        <v/>
      </c>
      <c r="E3062">
        <f>AutoClaim_Data!B3062</f>
        <v/>
      </c>
      <c r="F3062">
        <f>AutoClaim_Data!C3062</f>
        <v/>
      </c>
      <c r="G3062">
        <f>IF(AutoClaim_Data!D3062&lt;=$B$2,AVERAGEIFS(AutoClaim_Data!C2:C3168,AutoClaim_Data!B2:B3168,"Train",AutoClaim_Data!D2:D3168,"&lt;="&amp;$B$2),AVERAGEIFS(AutoClaim_Data!C2:C3168,AutoClaim_Data!B2:B3168,"Train",AutoClaim_Data!D2:D3168,"&gt;"&amp;$B$2))</f>
        <v/>
      </c>
      <c r="H3062">
        <f>IF(AutoClaim_Data!D3062&lt;=$B$2,IF(AutoClaim_Data!E3062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2">
        <f>(F3062-H3062)^2</f>
        <v/>
      </c>
      <c r="J3062">
        <f>--(E3062="Validation")</f>
        <v/>
      </c>
    </row>
    <row r="3063">
      <c r="D3063">
        <f>AutoClaim_Data!A3063</f>
        <v/>
      </c>
      <c r="E3063">
        <f>AutoClaim_Data!B3063</f>
        <v/>
      </c>
      <c r="F3063">
        <f>AutoClaim_Data!C3063</f>
        <v/>
      </c>
      <c r="G3063">
        <f>IF(AutoClaim_Data!D3063&lt;=$B$2,AVERAGEIFS(AutoClaim_Data!C2:C3168,AutoClaim_Data!B2:B3168,"Train",AutoClaim_Data!D2:D3168,"&lt;="&amp;$B$2),AVERAGEIFS(AutoClaim_Data!C2:C3168,AutoClaim_Data!B2:B3168,"Train",AutoClaim_Data!D2:D3168,"&gt;"&amp;$B$2))</f>
        <v/>
      </c>
      <c r="H3063">
        <f>IF(AutoClaim_Data!D3063&lt;=$B$2,IF(AutoClaim_Data!E3063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3">
        <f>(F3063-H3063)^2</f>
        <v/>
      </c>
      <c r="J3063">
        <f>--(E3063="Validation")</f>
        <v/>
      </c>
    </row>
    <row r="3064">
      <c r="D3064">
        <f>AutoClaim_Data!A3064</f>
        <v/>
      </c>
      <c r="E3064">
        <f>AutoClaim_Data!B3064</f>
        <v/>
      </c>
      <c r="F3064">
        <f>AutoClaim_Data!C3064</f>
        <v/>
      </c>
      <c r="G3064">
        <f>IF(AutoClaim_Data!D3064&lt;=$B$2,AVERAGEIFS(AutoClaim_Data!C2:C3168,AutoClaim_Data!B2:B3168,"Train",AutoClaim_Data!D2:D3168,"&lt;="&amp;$B$2),AVERAGEIFS(AutoClaim_Data!C2:C3168,AutoClaim_Data!B2:B3168,"Train",AutoClaim_Data!D2:D3168,"&gt;"&amp;$B$2))</f>
        <v/>
      </c>
      <c r="H3064">
        <f>IF(AutoClaim_Data!D3064&lt;=$B$2,IF(AutoClaim_Data!E3064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4">
        <f>(F3064-H3064)^2</f>
        <v/>
      </c>
      <c r="J3064">
        <f>--(E3064="Validation")</f>
        <v/>
      </c>
    </row>
    <row r="3065">
      <c r="D3065">
        <f>AutoClaim_Data!A3065</f>
        <v/>
      </c>
      <c r="E3065">
        <f>AutoClaim_Data!B3065</f>
        <v/>
      </c>
      <c r="F3065">
        <f>AutoClaim_Data!C3065</f>
        <v/>
      </c>
      <c r="G3065">
        <f>IF(AutoClaim_Data!D3065&lt;=$B$2,AVERAGEIFS(AutoClaim_Data!C2:C3168,AutoClaim_Data!B2:B3168,"Train",AutoClaim_Data!D2:D3168,"&lt;="&amp;$B$2),AVERAGEIFS(AutoClaim_Data!C2:C3168,AutoClaim_Data!B2:B3168,"Train",AutoClaim_Data!D2:D3168,"&gt;"&amp;$B$2))</f>
        <v/>
      </c>
      <c r="H3065">
        <f>IF(AutoClaim_Data!D3065&lt;=$B$2,IF(AutoClaim_Data!E3065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5">
        <f>(F3065-H3065)^2</f>
        <v/>
      </c>
      <c r="J3065">
        <f>--(E3065="Validation")</f>
        <v/>
      </c>
    </row>
    <row r="3066">
      <c r="D3066">
        <f>AutoClaim_Data!A3066</f>
        <v/>
      </c>
      <c r="E3066">
        <f>AutoClaim_Data!B3066</f>
        <v/>
      </c>
      <c r="F3066">
        <f>AutoClaim_Data!C3066</f>
        <v/>
      </c>
      <c r="G3066">
        <f>IF(AutoClaim_Data!D3066&lt;=$B$2,AVERAGEIFS(AutoClaim_Data!C2:C3168,AutoClaim_Data!B2:B3168,"Train",AutoClaim_Data!D2:D3168,"&lt;="&amp;$B$2),AVERAGEIFS(AutoClaim_Data!C2:C3168,AutoClaim_Data!B2:B3168,"Train",AutoClaim_Data!D2:D3168,"&gt;"&amp;$B$2))</f>
        <v/>
      </c>
      <c r="H3066">
        <f>IF(AutoClaim_Data!D3066&lt;=$B$2,IF(AutoClaim_Data!E3066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6">
        <f>(F3066-H3066)^2</f>
        <v/>
      </c>
      <c r="J3066">
        <f>--(E3066="Validation")</f>
        <v/>
      </c>
    </row>
    <row r="3067">
      <c r="D3067">
        <f>AutoClaim_Data!A3067</f>
        <v/>
      </c>
      <c r="E3067">
        <f>AutoClaim_Data!B3067</f>
        <v/>
      </c>
      <c r="F3067">
        <f>AutoClaim_Data!C3067</f>
        <v/>
      </c>
      <c r="G3067">
        <f>IF(AutoClaim_Data!D3067&lt;=$B$2,AVERAGEIFS(AutoClaim_Data!C2:C3168,AutoClaim_Data!B2:B3168,"Train",AutoClaim_Data!D2:D3168,"&lt;="&amp;$B$2),AVERAGEIFS(AutoClaim_Data!C2:C3168,AutoClaim_Data!B2:B3168,"Train",AutoClaim_Data!D2:D3168,"&gt;"&amp;$B$2))</f>
        <v/>
      </c>
      <c r="H3067">
        <f>IF(AutoClaim_Data!D3067&lt;=$B$2,IF(AutoClaim_Data!E3067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7">
        <f>(F3067-H3067)^2</f>
        <v/>
      </c>
      <c r="J3067">
        <f>--(E3067="Validation")</f>
        <v/>
      </c>
    </row>
    <row r="3068">
      <c r="D3068">
        <f>AutoClaim_Data!A3068</f>
        <v/>
      </c>
      <c r="E3068">
        <f>AutoClaim_Data!B3068</f>
        <v/>
      </c>
      <c r="F3068">
        <f>AutoClaim_Data!C3068</f>
        <v/>
      </c>
      <c r="G3068">
        <f>IF(AutoClaim_Data!D3068&lt;=$B$2,AVERAGEIFS(AutoClaim_Data!C2:C3168,AutoClaim_Data!B2:B3168,"Train",AutoClaim_Data!D2:D3168,"&lt;="&amp;$B$2),AVERAGEIFS(AutoClaim_Data!C2:C3168,AutoClaim_Data!B2:B3168,"Train",AutoClaim_Data!D2:D3168,"&gt;"&amp;$B$2))</f>
        <v/>
      </c>
      <c r="H3068">
        <f>IF(AutoClaim_Data!D3068&lt;=$B$2,IF(AutoClaim_Data!E3068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8">
        <f>(F3068-H3068)^2</f>
        <v/>
      </c>
      <c r="J3068">
        <f>--(E3068="Validation")</f>
        <v/>
      </c>
    </row>
    <row r="3069">
      <c r="D3069">
        <f>AutoClaim_Data!A3069</f>
        <v/>
      </c>
      <c r="E3069">
        <f>AutoClaim_Data!B3069</f>
        <v/>
      </c>
      <c r="F3069">
        <f>AutoClaim_Data!C3069</f>
        <v/>
      </c>
      <c r="G3069">
        <f>IF(AutoClaim_Data!D3069&lt;=$B$2,AVERAGEIFS(AutoClaim_Data!C2:C3168,AutoClaim_Data!B2:B3168,"Train",AutoClaim_Data!D2:D3168,"&lt;="&amp;$B$2),AVERAGEIFS(AutoClaim_Data!C2:C3168,AutoClaim_Data!B2:B3168,"Train",AutoClaim_Data!D2:D3168,"&gt;"&amp;$B$2))</f>
        <v/>
      </c>
      <c r="H3069">
        <f>IF(AutoClaim_Data!D3069&lt;=$B$2,IF(AutoClaim_Data!E3069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3069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69">
        <f>(F3069-H3069)^2</f>
        <v/>
      </c>
      <c r="J3069">
        <f>--(E3069="Validation")</f>
        <v/>
      </c>
    </row>
    <row r="3070">
      <c r="D3070">
        <f>AutoClaim_Data!A3070</f>
        <v/>
      </c>
      <c r="E3070">
        <f>AutoClaim_Data!B3070</f>
        <v/>
      </c>
      <c r="F3070">
        <f>AutoClaim_Data!C3070</f>
        <v/>
      </c>
      <c r="G3070">
        <f>IF(AutoClaim_Data!D3070&lt;=$B$2,AVERAGEIFS(AutoClaim_Data!C2:C3168,AutoClaim_Data!B2:B3168,"Train",AutoClaim_Data!D2:D3168,"&lt;="&amp;$B$2),AVERAGEIFS(AutoClaim_Data!C2:C3168,AutoClaim_Data!B2:B3168,"Train",AutoClaim_Data!D2:D3168,"&gt;"&amp;$B$2))</f>
        <v/>
      </c>
      <c r="H3070">
        <f>IF(AutoClaim_Data!D3070&lt;=$B$2,IF(AutoClaim_Data!E3070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0">
        <f>(F3070-H3070)^2</f>
        <v/>
      </c>
      <c r="J3070">
        <f>--(E3070="Validation")</f>
        <v/>
      </c>
    </row>
    <row r="3071">
      <c r="D3071">
        <f>AutoClaim_Data!A3071</f>
        <v/>
      </c>
      <c r="E3071">
        <f>AutoClaim_Data!B3071</f>
        <v/>
      </c>
      <c r="F3071">
        <f>AutoClaim_Data!C3071</f>
        <v/>
      </c>
      <c r="G3071">
        <f>IF(AutoClaim_Data!D3071&lt;=$B$2,AVERAGEIFS(AutoClaim_Data!C2:C3168,AutoClaim_Data!B2:B3168,"Train",AutoClaim_Data!D2:D3168,"&lt;="&amp;$B$2),AVERAGEIFS(AutoClaim_Data!C2:C3168,AutoClaim_Data!B2:B3168,"Train",AutoClaim_Data!D2:D3168,"&gt;"&amp;$B$2))</f>
        <v/>
      </c>
      <c r="H3071">
        <f>IF(AutoClaim_Data!D3071&lt;=$B$2,IF(AutoClaim_Data!E3071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1">
        <f>(F3071-H3071)^2</f>
        <v/>
      </c>
      <c r="J3071">
        <f>--(E3071="Validation")</f>
        <v/>
      </c>
    </row>
    <row r="3072">
      <c r="D3072">
        <f>AutoClaim_Data!A3072</f>
        <v/>
      </c>
      <c r="E3072">
        <f>AutoClaim_Data!B3072</f>
        <v/>
      </c>
      <c r="F3072">
        <f>AutoClaim_Data!C3072</f>
        <v/>
      </c>
      <c r="G3072">
        <f>IF(AutoClaim_Data!D3072&lt;=$B$2,AVERAGEIFS(AutoClaim_Data!C2:C3168,AutoClaim_Data!B2:B3168,"Train",AutoClaim_Data!D2:D3168,"&lt;="&amp;$B$2),AVERAGEIFS(AutoClaim_Data!C2:C3168,AutoClaim_Data!B2:B3168,"Train",AutoClaim_Data!D2:D3168,"&gt;"&amp;$B$2))</f>
        <v/>
      </c>
      <c r="H3072">
        <f>IF(AutoClaim_Data!D3072&lt;=$B$2,IF(AutoClaim_Data!E3072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2">
        <f>(F3072-H3072)^2</f>
        <v/>
      </c>
      <c r="J3072">
        <f>--(E3072="Validation")</f>
        <v/>
      </c>
    </row>
    <row r="3073">
      <c r="D3073">
        <f>AutoClaim_Data!A3073</f>
        <v/>
      </c>
      <c r="E3073">
        <f>AutoClaim_Data!B3073</f>
        <v/>
      </c>
      <c r="F3073">
        <f>AutoClaim_Data!C3073</f>
        <v/>
      </c>
      <c r="G3073">
        <f>IF(AutoClaim_Data!D3073&lt;=$B$2,AVERAGEIFS(AutoClaim_Data!C2:C3168,AutoClaim_Data!B2:B3168,"Train",AutoClaim_Data!D2:D3168,"&lt;="&amp;$B$2),AVERAGEIFS(AutoClaim_Data!C2:C3168,AutoClaim_Data!B2:B3168,"Train",AutoClaim_Data!D2:D3168,"&gt;"&amp;$B$2))</f>
        <v/>
      </c>
      <c r="H3073">
        <f>IF(AutoClaim_Data!D3073&lt;=$B$2,IF(AutoClaim_Data!E3073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3">
        <f>(F3073-H3073)^2</f>
        <v/>
      </c>
      <c r="J3073">
        <f>--(E3073="Validation")</f>
        <v/>
      </c>
    </row>
    <row r="3074">
      <c r="D3074">
        <f>AutoClaim_Data!A3074</f>
        <v/>
      </c>
      <c r="E3074">
        <f>AutoClaim_Data!B3074</f>
        <v/>
      </c>
      <c r="F3074">
        <f>AutoClaim_Data!C3074</f>
        <v/>
      </c>
      <c r="G3074">
        <f>IF(AutoClaim_Data!D3074&lt;=$B$2,AVERAGEIFS(AutoClaim_Data!C2:C3168,AutoClaim_Data!B2:B3168,"Train",AutoClaim_Data!D2:D3168,"&lt;="&amp;$B$2),AVERAGEIFS(AutoClaim_Data!C2:C3168,AutoClaim_Data!B2:B3168,"Train",AutoClaim_Data!D2:D3168,"&gt;"&amp;$B$2))</f>
        <v/>
      </c>
      <c r="H3074">
        <f>IF(AutoClaim_Data!D3074&lt;=$B$2,IF(AutoClaim_Data!E3074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4">
        <f>(F3074-H3074)^2</f>
        <v/>
      </c>
      <c r="J3074">
        <f>--(E3074="Validation")</f>
        <v/>
      </c>
    </row>
    <row r="3075">
      <c r="D3075">
        <f>AutoClaim_Data!A3075</f>
        <v/>
      </c>
      <c r="E3075">
        <f>AutoClaim_Data!B3075</f>
        <v/>
      </c>
      <c r="F3075">
        <f>AutoClaim_Data!C3075</f>
        <v/>
      </c>
      <c r="G3075">
        <f>IF(AutoClaim_Data!D3075&lt;=$B$2,AVERAGEIFS(AutoClaim_Data!C2:C3168,AutoClaim_Data!B2:B3168,"Train",AutoClaim_Data!D2:D3168,"&lt;="&amp;$B$2),AVERAGEIFS(AutoClaim_Data!C2:C3168,AutoClaim_Data!B2:B3168,"Train",AutoClaim_Data!D2:D3168,"&gt;"&amp;$B$2))</f>
        <v/>
      </c>
      <c r="H3075">
        <f>IF(AutoClaim_Data!D3075&lt;=$B$2,IF(AutoClaim_Data!E3075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5">
        <f>(F3075-H3075)^2</f>
        <v/>
      </c>
      <c r="J3075">
        <f>--(E3075="Validation")</f>
        <v/>
      </c>
    </row>
    <row r="3076">
      <c r="D3076">
        <f>AutoClaim_Data!A3076</f>
        <v/>
      </c>
      <c r="E3076">
        <f>AutoClaim_Data!B3076</f>
        <v/>
      </c>
      <c r="F3076">
        <f>AutoClaim_Data!C3076</f>
        <v/>
      </c>
      <c r="G3076">
        <f>IF(AutoClaim_Data!D3076&lt;=$B$2,AVERAGEIFS(AutoClaim_Data!C2:C3168,AutoClaim_Data!B2:B3168,"Train",AutoClaim_Data!D2:D3168,"&lt;="&amp;$B$2),AVERAGEIFS(AutoClaim_Data!C2:C3168,AutoClaim_Data!B2:B3168,"Train",AutoClaim_Data!D2:D3168,"&gt;"&amp;$B$2))</f>
        <v/>
      </c>
      <c r="H3076">
        <f>IF(AutoClaim_Data!D3076&lt;=$B$2,IF(AutoClaim_Data!E3076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6">
        <f>(F3076-H3076)^2</f>
        <v/>
      </c>
      <c r="J3076">
        <f>--(E3076="Validation")</f>
        <v/>
      </c>
    </row>
    <row r="3077">
      <c r="D3077">
        <f>AutoClaim_Data!A3077</f>
        <v/>
      </c>
      <c r="E3077">
        <f>AutoClaim_Data!B3077</f>
        <v/>
      </c>
      <c r="F3077">
        <f>AutoClaim_Data!C3077</f>
        <v/>
      </c>
      <c r="G3077">
        <f>IF(AutoClaim_Data!D3077&lt;=$B$2,AVERAGEIFS(AutoClaim_Data!C2:C3168,AutoClaim_Data!B2:B3168,"Train",AutoClaim_Data!D2:D3168,"&lt;="&amp;$B$2),AVERAGEIFS(AutoClaim_Data!C2:C3168,AutoClaim_Data!B2:B3168,"Train",AutoClaim_Data!D2:D3168,"&gt;"&amp;$B$2))</f>
        <v/>
      </c>
      <c r="H3077">
        <f>IF(AutoClaim_Data!D3077&lt;=$B$2,IF(AutoClaim_Data!E3077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7">
        <f>(F3077-H3077)^2</f>
        <v/>
      </c>
      <c r="J3077">
        <f>--(E3077="Validation")</f>
        <v/>
      </c>
    </row>
    <row r="3078">
      <c r="D3078">
        <f>AutoClaim_Data!A3078</f>
        <v/>
      </c>
      <c r="E3078">
        <f>AutoClaim_Data!B3078</f>
        <v/>
      </c>
      <c r="F3078">
        <f>AutoClaim_Data!C3078</f>
        <v/>
      </c>
      <c r="G3078">
        <f>IF(AutoClaim_Data!D3078&lt;=$B$2,AVERAGEIFS(AutoClaim_Data!C2:C3168,AutoClaim_Data!B2:B3168,"Train",AutoClaim_Data!D2:D3168,"&lt;="&amp;$B$2),AVERAGEIFS(AutoClaim_Data!C2:C3168,AutoClaim_Data!B2:B3168,"Train",AutoClaim_Data!D2:D3168,"&gt;"&amp;$B$2))</f>
        <v/>
      </c>
      <c r="H3078">
        <f>IF(AutoClaim_Data!D3078&lt;=$B$2,IF(AutoClaim_Data!E3078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8">
        <f>(F3078-H3078)^2</f>
        <v/>
      </c>
      <c r="J3078">
        <f>--(E3078="Validation")</f>
        <v/>
      </c>
    </row>
    <row r="3079">
      <c r="D3079">
        <f>AutoClaim_Data!A3079</f>
        <v/>
      </c>
      <c r="E3079">
        <f>AutoClaim_Data!B3079</f>
        <v/>
      </c>
      <c r="F3079">
        <f>AutoClaim_Data!C3079</f>
        <v/>
      </c>
      <c r="G3079">
        <f>IF(AutoClaim_Data!D3079&lt;=$B$2,AVERAGEIFS(AutoClaim_Data!C2:C3168,AutoClaim_Data!B2:B3168,"Train",AutoClaim_Data!D2:D3168,"&lt;="&amp;$B$2),AVERAGEIFS(AutoClaim_Data!C2:C3168,AutoClaim_Data!B2:B3168,"Train",AutoClaim_Data!D2:D3168,"&gt;"&amp;$B$2))</f>
        <v/>
      </c>
      <c r="H3079">
        <f>IF(AutoClaim_Data!D3079&lt;=$B$2,IF(AutoClaim_Data!E3079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3079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79">
        <f>(F3079-H3079)^2</f>
        <v/>
      </c>
      <c r="J3079">
        <f>--(E3079="Validation")</f>
        <v/>
      </c>
    </row>
    <row r="3080">
      <c r="D3080">
        <f>AutoClaim_Data!A3080</f>
        <v/>
      </c>
      <c r="E3080">
        <f>AutoClaim_Data!B3080</f>
        <v/>
      </c>
      <c r="F3080">
        <f>AutoClaim_Data!C3080</f>
        <v/>
      </c>
      <c r="G3080">
        <f>IF(AutoClaim_Data!D3080&lt;=$B$2,AVERAGEIFS(AutoClaim_Data!C2:C3168,AutoClaim_Data!B2:B3168,"Train",AutoClaim_Data!D2:D3168,"&lt;="&amp;$B$2),AVERAGEIFS(AutoClaim_Data!C2:C3168,AutoClaim_Data!B2:B3168,"Train",AutoClaim_Data!D2:D3168,"&gt;"&amp;$B$2))</f>
        <v/>
      </c>
      <c r="H3080">
        <f>IF(AutoClaim_Data!D3080&lt;=$B$2,IF(AutoClaim_Data!E3080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0">
        <f>(F3080-H3080)^2</f>
        <v/>
      </c>
      <c r="J3080">
        <f>--(E3080="Validation")</f>
        <v/>
      </c>
    </row>
    <row r="3081">
      <c r="D3081">
        <f>AutoClaim_Data!A3081</f>
        <v/>
      </c>
      <c r="E3081">
        <f>AutoClaim_Data!B3081</f>
        <v/>
      </c>
      <c r="F3081">
        <f>AutoClaim_Data!C3081</f>
        <v/>
      </c>
      <c r="G3081">
        <f>IF(AutoClaim_Data!D3081&lt;=$B$2,AVERAGEIFS(AutoClaim_Data!C2:C3168,AutoClaim_Data!B2:B3168,"Train",AutoClaim_Data!D2:D3168,"&lt;="&amp;$B$2),AVERAGEIFS(AutoClaim_Data!C2:C3168,AutoClaim_Data!B2:B3168,"Train",AutoClaim_Data!D2:D3168,"&gt;"&amp;$B$2))</f>
        <v/>
      </c>
      <c r="H3081">
        <f>IF(AutoClaim_Data!D3081&lt;=$B$2,IF(AutoClaim_Data!E3081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1">
        <f>(F3081-H3081)^2</f>
        <v/>
      </c>
      <c r="J3081">
        <f>--(E3081="Validation")</f>
        <v/>
      </c>
    </row>
    <row r="3082">
      <c r="D3082">
        <f>AutoClaim_Data!A3082</f>
        <v/>
      </c>
      <c r="E3082">
        <f>AutoClaim_Data!B3082</f>
        <v/>
      </c>
      <c r="F3082">
        <f>AutoClaim_Data!C3082</f>
        <v/>
      </c>
      <c r="G3082">
        <f>IF(AutoClaim_Data!D3082&lt;=$B$2,AVERAGEIFS(AutoClaim_Data!C2:C3168,AutoClaim_Data!B2:B3168,"Train",AutoClaim_Data!D2:D3168,"&lt;="&amp;$B$2),AVERAGEIFS(AutoClaim_Data!C2:C3168,AutoClaim_Data!B2:B3168,"Train",AutoClaim_Data!D2:D3168,"&gt;"&amp;$B$2))</f>
        <v/>
      </c>
      <c r="H3082">
        <f>IF(AutoClaim_Data!D3082&lt;=$B$2,IF(AutoClaim_Data!E3082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2">
        <f>(F3082-H3082)^2</f>
        <v/>
      </c>
      <c r="J3082">
        <f>--(E3082="Validation")</f>
        <v/>
      </c>
    </row>
    <row r="3083">
      <c r="D3083">
        <f>AutoClaim_Data!A3083</f>
        <v/>
      </c>
      <c r="E3083">
        <f>AutoClaim_Data!B3083</f>
        <v/>
      </c>
      <c r="F3083">
        <f>AutoClaim_Data!C3083</f>
        <v/>
      </c>
      <c r="G3083">
        <f>IF(AutoClaim_Data!D3083&lt;=$B$2,AVERAGEIFS(AutoClaim_Data!C2:C3168,AutoClaim_Data!B2:B3168,"Train",AutoClaim_Data!D2:D3168,"&lt;="&amp;$B$2),AVERAGEIFS(AutoClaim_Data!C2:C3168,AutoClaim_Data!B2:B3168,"Train",AutoClaim_Data!D2:D3168,"&gt;"&amp;$B$2))</f>
        <v/>
      </c>
      <c r="H3083">
        <f>IF(AutoClaim_Data!D3083&lt;=$B$2,IF(AutoClaim_Data!E3083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3">
        <f>(F3083-H3083)^2</f>
        <v/>
      </c>
      <c r="J3083">
        <f>--(E3083="Validation")</f>
        <v/>
      </c>
    </row>
    <row r="3084">
      <c r="D3084">
        <f>AutoClaim_Data!A3084</f>
        <v/>
      </c>
      <c r="E3084">
        <f>AutoClaim_Data!B3084</f>
        <v/>
      </c>
      <c r="F3084">
        <f>AutoClaim_Data!C3084</f>
        <v/>
      </c>
      <c r="G3084">
        <f>IF(AutoClaim_Data!D3084&lt;=$B$2,AVERAGEIFS(AutoClaim_Data!C2:C3168,AutoClaim_Data!B2:B3168,"Train",AutoClaim_Data!D2:D3168,"&lt;="&amp;$B$2),AVERAGEIFS(AutoClaim_Data!C2:C3168,AutoClaim_Data!B2:B3168,"Train",AutoClaim_Data!D2:D3168,"&gt;"&amp;$B$2))</f>
        <v/>
      </c>
      <c r="H3084">
        <f>IF(AutoClaim_Data!D3084&lt;=$B$2,IF(AutoClaim_Data!E3084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4">
        <f>(F3084-H3084)^2</f>
        <v/>
      </c>
      <c r="J3084">
        <f>--(E3084="Validation")</f>
        <v/>
      </c>
    </row>
    <row r="3085">
      <c r="D3085">
        <f>AutoClaim_Data!A3085</f>
        <v/>
      </c>
      <c r="E3085">
        <f>AutoClaim_Data!B3085</f>
        <v/>
      </c>
      <c r="F3085">
        <f>AutoClaim_Data!C3085</f>
        <v/>
      </c>
      <c r="G3085">
        <f>IF(AutoClaim_Data!D3085&lt;=$B$2,AVERAGEIFS(AutoClaim_Data!C2:C3168,AutoClaim_Data!B2:B3168,"Train",AutoClaim_Data!D2:D3168,"&lt;="&amp;$B$2),AVERAGEIFS(AutoClaim_Data!C2:C3168,AutoClaim_Data!B2:B3168,"Train",AutoClaim_Data!D2:D3168,"&gt;"&amp;$B$2))</f>
        <v/>
      </c>
      <c r="H3085">
        <f>IF(AutoClaim_Data!D3085&lt;=$B$2,IF(AutoClaim_Data!E3085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5">
        <f>(F3085-H3085)^2</f>
        <v/>
      </c>
      <c r="J3085">
        <f>--(E3085="Validation")</f>
        <v/>
      </c>
    </row>
    <row r="3086">
      <c r="D3086">
        <f>AutoClaim_Data!A3086</f>
        <v/>
      </c>
      <c r="E3086">
        <f>AutoClaim_Data!B3086</f>
        <v/>
      </c>
      <c r="F3086">
        <f>AutoClaim_Data!C3086</f>
        <v/>
      </c>
      <c r="G3086">
        <f>IF(AutoClaim_Data!D3086&lt;=$B$2,AVERAGEIFS(AutoClaim_Data!C2:C3168,AutoClaim_Data!B2:B3168,"Train",AutoClaim_Data!D2:D3168,"&lt;="&amp;$B$2),AVERAGEIFS(AutoClaim_Data!C2:C3168,AutoClaim_Data!B2:B3168,"Train",AutoClaim_Data!D2:D3168,"&gt;"&amp;$B$2))</f>
        <v/>
      </c>
      <c r="H3086">
        <f>IF(AutoClaim_Data!D3086&lt;=$B$2,IF(AutoClaim_Data!E3086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6">
        <f>(F3086-H3086)^2</f>
        <v/>
      </c>
      <c r="J3086">
        <f>--(E3086="Validation")</f>
        <v/>
      </c>
    </row>
    <row r="3087">
      <c r="D3087">
        <f>AutoClaim_Data!A3087</f>
        <v/>
      </c>
      <c r="E3087">
        <f>AutoClaim_Data!B3087</f>
        <v/>
      </c>
      <c r="F3087">
        <f>AutoClaim_Data!C3087</f>
        <v/>
      </c>
      <c r="G3087">
        <f>IF(AutoClaim_Data!D3087&lt;=$B$2,AVERAGEIFS(AutoClaim_Data!C2:C3168,AutoClaim_Data!B2:B3168,"Train",AutoClaim_Data!D2:D3168,"&lt;="&amp;$B$2),AVERAGEIFS(AutoClaim_Data!C2:C3168,AutoClaim_Data!B2:B3168,"Train",AutoClaim_Data!D2:D3168,"&gt;"&amp;$B$2))</f>
        <v/>
      </c>
      <c r="H3087">
        <f>IF(AutoClaim_Data!D3087&lt;=$B$2,IF(AutoClaim_Data!E3087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7">
        <f>(F3087-H3087)^2</f>
        <v/>
      </c>
      <c r="J3087">
        <f>--(E3087="Validation")</f>
        <v/>
      </c>
    </row>
    <row r="3088">
      <c r="D3088">
        <f>AutoClaim_Data!A3088</f>
        <v/>
      </c>
      <c r="E3088">
        <f>AutoClaim_Data!B3088</f>
        <v/>
      </c>
      <c r="F3088">
        <f>AutoClaim_Data!C3088</f>
        <v/>
      </c>
      <c r="G3088">
        <f>IF(AutoClaim_Data!D3088&lt;=$B$2,AVERAGEIFS(AutoClaim_Data!C2:C3168,AutoClaim_Data!B2:B3168,"Train",AutoClaim_Data!D2:D3168,"&lt;="&amp;$B$2),AVERAGEIFS(AutoClaim_Data!C2:C3168,AutoClaim_Data!B2:B3168,"Train",AutoClaim_Data!D2:D3168,"&gt;"&amp;$B$2))</f>
        <v/>
      </c>
      <c r="H3088">
        <f>IF(AutoClaim_Data!D3088&lt;=$B$2,IF(AutoClaim_Data!E3088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8">
        <f>(F3088-H3088)^2</f>
        <v/>
      </c>
      <c r="J3088">
        <f>--(E3088="Validation")</f>
        <v/>
      </c>
    </row>
    <row r="3089">
      <c r="D3089">
        <f>AutoClaim_Data!A3089</f>
        <v/>
      </c>
      <c r="E3089">
        <f>AutoClaim_Data!B3089</f>
        <v/>
      </c>
      <c r="F3089">
        <f>AutoClaim_Data!C3089</f>
        <v/>
      </c>
      <c r="G3089">
        <f>IF(AutoClaim_Data!D3089&lt;=$B$2,AVERAGEIFS(AutoClaim_Data!C2:C3168,AutoClaim_Data!B2:B3168,"Train",AutoClaim_Data!D2:D3168,"&lt;="&amp;$B$2),AVERAGEIFS(AutoClaim_Data!C2:C3168,AutoClaim_Data!B2:B3168,"Train",AutoClaim_Data!D2:D3168,"&gt;"&amp;$B$2))</f>
        <v/>
      </c>
      <c r="H3089">
        <f>IF(AutoClaim_Data!D3089&lt;=$B$2,IF(AutoClaim_Data!E3089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3089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89">
        <f>(F3089-H3089)^2</f>
        <v/>
      </c>
      <c r="J3089">
        <f>--(E3089="Validation")</f>
        <v/>
      </c>
    </row>
    <row r="3090">
      <c r="D3090">
        <f>AutoClaim_Data!A3090</f>
        <v/>
      </c>
      <c r="E3090">
        <f>AutoClaim_Data!B3090</f>
        <v/>
      </c>
      <c r="F3090">
        <f>AutoClaim_Data!C3090</f>
        <v/>
      </c>
      <c r="G3090">
        <f>IF(AutoClaim_Data!D3090&lt;=$B$2,AVERAGEIFS(AutoClaim_Data!C2:C3168,AutoClaim_Data!B2:B3168,"Train",AutoClaim_Data!D2:D3168,"&lt;="&amp;$B$2),AVERAGEIFS(AutoClaim_Data!C2:C3168,AutoClaim_Data!B2:B3168,"Train",AutoClaim_Data!D2:D3168,"&gt;"&amp;$B$2))</f>
        <v/>
      </c>
      <c r="H3090">
        <f>IF(AutoClaim_Data!D3090&lt;=$B$2,IF(AutoClaim_Data!E3090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0">
        <f>(F3090-H3090)^2</f>
        <v/>
      </c>
      <c r="J3090">
        <f>--(E3090="Validation")</f>
        <v/>
      </c>
    </row>
    <row r="3091">
      <c r="D3091">
        <f>AutoClaim_Data!A3091</f>
        <v/>
      </c>
      <c r="E3091">
        <f>AutoClaim_Data!B3091</f>
        <v/>
      </c>
      <c r="F3091">
        <f>AutoClaim_Data!C3091</f>
        <v/>
      </c>
      <c r="G3091">
        <f>IF(AutoClaim_Data!D3091&lt;=$B$2,AVERAGEIFS(AutoClaim_Data!C2:C3168,AutoClaim_Data!B2:B3168,"Train",AutoClaim_Data!D2:D3168,"&lt;="&amp;$B$2),AVERAGEIFS(AutoClaim_Data!C2:C3168,AutoClaim_Data!B2:B3168,"Train",AutoClaim_Data!D2:D3168,"&gt;"&amp;$B$2))</f>
        <v/>
      </c>
      <c r="H3091">
        <f>IF(AutoClaim_Data!D3091&lt;=$B$2,IF(AutoClaim_Data!E3091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1">
        <f>(F3091-H3091)^2</f>
        <v/>
      </c>
      <c r="J3091">
        <f>--(E3091="Validation")</f>
        <v/>
      </c>
    </row>
    <row r="3092">
      <c r="D3092">
        <f>AutoClaim_Data!A3092</f>
        <v/>
      </c>
      <c r="E3092">
        <f>AutoClaim_Data!B3092</f>
        <v/>
      </c>
      <c r="F3092">
        <f>AutoClaim_Data!C3092</f>
        <v/>
      </c>
      <c r="G3092">
        <f>IF(AutoClaim_Data!D3092&lt;=$B$2,AVERAGEIFS(AutoClaim_Data!C2:C3168,AutoClaim_Data!B2:B3168,"Train",AutoClaim_Data!D2:D3168,"&lt;="&amp;$B$2),AVERAGEIFS(AutoClaim_Data!C2:C3168,AutoClaim_Data!B2:B3168,"Train",AutoClaim_Data!D2:D3168,"&gt;"&amp;$B$2))</f>
        <v/>
      </c>
      <c r="H3092">
        <f>IF(AutoClaim_Data!D3092&lt;=$B$2,IF(AutoClaim_Data!E3092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2">
        <f>(F3092-H3092)^2</f>
        <v/>
      </c>
      <c r="J3092">
        <f>--(E3092="Validation")</f>
        <v/>
      </c>
    </row>
    <row r="3093">
      <c r="D3093">
        <f>AutoClaim_Data!A3093</f>
        <v/>
      </c>
      <c r="E3093">
        <f>AutoClaim_Data!B3093</f>
        <v/>
      </c>
      <c r="F3093">
        <f>AutoClaim_Data!C3093</f>
        <v/>
      </c>
      <c r="G3093">
        <f>IF(AutoClaim_Data!D3093&lt;=$B$2,AVERAGEIFS(AutoClaim_Data!C2:C3168,AutoClaim_Data!B2:B3168,"Train",AutoClaim_Data!D2:D3168,"&lt;="&amp;$B$2),AVERAGEIFS(AutoClaim_Data!C2:C3168,AutoClaim_Data!B2:B3168,"Train",AutoClaim_Data!D2:D3168,"&gt;"&amp;$B$2))</f>
        <v/>
      </c>
      <c r="H3093">
        <f>IF(AutoClaim_Data!D3093&lt;=$B$2,IF(AutoClaim_Data!E3093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3">
        <f>(F3093-H3093)^2</f>
        <v/>
      </c>
      <c r="J3093">
        <f>--(E3093="Validation")</f>
        <v/>
      </c>
    </row>
    <row r="3094">
      <c r="D3094">
        <f>AutoClaim_Data!A3094</f>
        <v/>
      </c>
      <c r="E3094">
        <f>AutoClaim_Data!B3094</f>
        <v/>
      </c>
      <c r="F3094">
        <f>AutoClaim_Data!C3094</f>
        <v/>
      </c>
      <c r="G3094">
        <f>IF(AutoClaim_Data!D3094&lt;=$B$2,AVERAGEIFS(AutoClaim_Data!C2:C3168,AutoClaim_Data!B2:B3168,"Train",AutoClaim_Data!D2:D3168,"&lt;="&amp;$B$2),AVERAGEIFS(AutoClaim_Data!C2:C3168,AutoClaim_Data!B2:B3168,"Train",AutoClaim_Data!D2:D3168,"&gt;"&amp;$B$2))</f>
        <v/>
      </c>
      <c r="H3094">
        <f>IF(AutoClaim_Data!D3094&lt;=$B$2,IF(AutoClaim_Data!E3094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4">
        <f>(F3094-H3094)^2</f>
        <v/>
      </c>
      <c r="J3094">
        <f>--(E3094="Validation")</f>
        <v/>
      </c>
    </row>
    <row r="3095">
      <c r="D3095">
        <f>AutoClaim_Data!A3095</f>
        <v/>
      </c>
      <c r="E3095">
        <f>AutoClaim_Data!B3095</f>
        <v/>
      </c>
      <c r="F3095">
        <f>AutoClaim_Data!C3095</f>
        <v/>
      </c>
      <c r="G3095">
        <f>IF(AutoClaim_Data!D3095&lt;=$B$2,AVERAGEIFS(AutoClaim_Data!C2:C3168,AutoClaim_Data!B2:B3168,"Train",AutoClaim_Data!D2:D3168,"&lt;="&amp;$B$2),AVERAGEIFS(AutoClaim_Data!C2:C3168,AutoClaim_Data!B2:B3168,"Train",AutoClaim_Data!D2:D3168,"&gt;"&amp;$B$2))</f>
        <v/>
      </c>
      <c r="H3095">
        <f>IF(AutoClaim_Data!D3095&lt;=$B$2,IF(AutoClaim_Data!E3095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5">
        <f>(F3095-H3095)^2</f>
        <v/>
      </c>
      <c r="J3095">
        <f>--(E3095="Validation")</f>
        <v/>
      </c>
    </row>
    <row r="3096">
      <c r="D3096">
        <f>AutoClaim_Data!A3096</f>
        <v/>
      </c>
      <c r="E3096">
        <f>AutoClaim_Data!B3096</f>
        <v/>
      </c>
      <c r="F3096">
        <f>AutoClaim_Data!C3096</f>
        <v/>
      </c>
      <c r="G3096">
        <f>IF(AutoClaim_Data!D3096&lt;=$B$2,AVERAGEIFS(AutoClaim_Data!C2:C3168,AutoClaim_Data!B2:B3168,"Train",AutoClaim_Data!D2:D3168,"&lt;="&amp;$B$2),AVERAGEIFS(AutoClaim_Data!C2:C3168,AutoClaim_Data!B2:B3168,"Train",AutoClaim_Data!D2:D3168,"&gt;"&amp;$B$2))</f>
        <v/>
      </c>
      <c r="H3096">
        <f>IF(AutoClaim_Data!D3096&lt;=$B$2,IF(AutoClaim_Data!E3096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6">
        <f>(F3096-H3096)^2</f>
        <v/>
      </c>
      <c r="J3096">
        <f>--(E3096="Validation")</f>
        <v/>
      </c>
    </row>
    <row r="3097">
      <c r="D3097">
        <f>AutoClaim_Data!A3097</f>
        <v/>
      </c>
      <c r="E3097">
        <f>AutoClaim_Data!B3097</f>
        <v/>
      </c>
      <c r="F3097">
        <f>AutoClaim_Data!C3097</f>
        <v/>
      </c>
      <c r="G3097">
        <f>IF(AutoClaim_Data!D3097&lt;=$B$2,AVERAGEIFS(AutoClaim_Data!C2:C3168,AutoClaim_Data!B2:B3168,"Train",AutoClaim_Data!D2:D3168,"&lt;="&amp;$B$2),AVERAGEIFS(AutoClaim_Data!C2:C3168,AutoClaim_Data!B2:B3168,"Train",AutoClaim_Data!D2:D3168,"&gt;"&amp;$B$2))</f>
        <v/>
      </c>
      <c r="H3097">
        <f>IF(AutoClaim_Data!D3097&lt;=$B$2,IF(AutoClaim_Data!E3097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7">
        <f>(F3097-H3097)^2</f>
        <v/>
      </c>
      <c r="J3097">
        <f>--(E3097="Validation")</f>
        <v/>
      </c>
    </row>
    <row r="3098">
      <c r="D3098">
        <f>AutoClaim_Data!A3098</f>
        <v/>
      </c>
      <c r="E3098">
        <f>AutoClaim_Data!B3098</f>
        <v/>
      </c>
      <c r="F3098">
        <f>AutoClaim_Data!C3098</f>
        <v/>
      </c>
      <c r="G3098">
        <f>IF(AutoClaim_Data!D3098&lt;=$B$2,AVERAGEIFS(AutoClaim_Data!C2:C3168,AutoClaim_Data!B2:B3168,"Train",AutoClaim_Data!D2:D3168,"&lt;="&amp;$B$2),AVERAGEIFS(AutoClaim_Data!C2:C3168,AutoClaim_Data!B2:B3168,"Train",AutoClaim_Data!D2:D3168,"&gt;"&amp;$B$2))</f>
        <v/>
      </c>
      <c r="H3098">
        <f>IF(AutoClaim_Data!D3098&lt;=$B$2,IF(AutoClaim_Data!E3098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8">
        <f>(F3098-H3098)^2</f>
        <v/>
      </c>
      <c r="J3098">
        <f>--(E3098="Validation")</f>
        <v/>
      </c>
    </row>
    <row r="3099">
      <c r="D3099">
        <f>AutoClaim_Data!A3099</f>
        <v/>
      </c>
      <c r="E3099">
        <f>AutoClaim_Data!B3099</f>
        <v/>
      </c>
      <c r="F3099">
        <f>AutoClaim_Data!C3099</f>
        <v/>
      </c>
      <c r="G3099">
        <f>IF(AutoClaim_Data!D3099&lt;=$B$2,AVERAGEIFS(AutoClaim_Data!C2:C3168,AutoClaim_Data!B2:B3168,"Train",AutoClaim_Data!D2:D3168,"&lt;="&amp;$B$2),AVERAGEIFS(AutoClaim_Data!C2:C3168,AutoClaim_Data!B2:B3168,"Train",AutoClaim_Data!D2:D3168,"&gt;"&amp;$B$2))</f>
        <v/>
      </c>
      <c r="H3099">
        <f>IF(AutoClaim_Data!D3099&lt;=$B$2,IF(AutoClaim_Data!E3099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3099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099">
        <f>(F3099-H3099)^2</f>
        <v/>
      </c>
      <c r="J3099">
        <f>--(E3099="Validation")</f>
        <v/>
      </c>
    </row>
    <row r="3100">
      <c r="D3100">
        <f>AutoClaim_Data!A3100</f>
        <v/>
      </c>
      <c r="E3100">
        <f>AutoClaim_Data!B3100</f>
        <v/>
      </c>
      <c r="F3100">
        <f>AutoClaim_Data!C3100</f>
        <v/>
      </c>
      <c r="G3100">
        <f>IF(AutoClaim_Data!D3100&lt;=$B$2,AVERAGEIFS(AutoClaim_Data!C2:C3168,AutoClaim_Data!B2:B3168,"Train",AutoClaim_Data!D2:D3168,"&lt;="&amp;$B$2),AVERAGEIFS(AutoClaim_Data!C2:C3168,AutoClaim_Data!B2:B3168,"Train",AutoClaim_Data!D2:D3168,"&gt;"&amp;$B$2))</f>
        <v/>
      </c>
      <c r="H3100">
        <f>IF(AutoClaim_Data!D3100&lt;=$B$2,IF(AutoClaim_Data!E3100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0">
        <f>(F3100-H3100)^2</f>
        <v/>
      </c>
      <c r="J3100">
        <f>--(E3100="Validation")</f>
        <v/>
      </c>
    </row>
    <row r="3101">
      <c r="D3101">
        <f>AutoClaim_Data!A3101</f>
        <v/>
      </c>
      <c r="E3101">
        <f>AutoClaim_Data!B3101</f>
        <v/>
      </c>
      <c r="F3101">
        <f>AutoClaim_Data!C3101</f>
        <v/>
      </c>
      <c r="G3101">
        <f>IF(AutoClaim_Data!D3101&lt;=$B$2,AVERAGEIFS(AutoClaim_Data!C2:C3168,AutoClaim_Data!B2:B3168,"Train",AutoClaim_Data!D2:D3168,"&lt;="&amp;$B$2),AVERAGEIFS(AutoClaim_Data!C2:C3168,AutoClaim_Data!B2:B3168,"Train",AutoClaim_Data!D2:D3168,"&gt;"&amp;$B$2))</f>
        <v/>
      </c>
      <c r="H3101">
        <f>IF(AutoClaim_Data!D3101&lt;=$B$2,IF(AutoClaim_Data!E3101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1">
        <f>(F3101-H3101)^2</f>
        <v/>
      </c>
      <c r="J3101">
        <f>--(E3101="Validation")</f>
        <v/>
      </c>
    </row>
    <row r="3102">
      <c r="D3102">
        <f>AutoClaim_Data!A3102</f>
        <v/>
      </c>
      <c r="E3102">
        <f>AutoClaim_Data!B3102</f>
        <v/>
      </c>
      <c r="F3102">
        <f>AutoClaim_Data!C3102</f>
        <v/>
      </c>
      <c r="G3102">
        <f>IF(AutoClaim_Data!D3102&lt;=$B$2,AVERAGEIFS(AutoClaim_Data!C2:C3168,AutoClaim_Data!B2:B3168,"Train",AutoClaim_Data!D2:D3168,"&lt;="&amp;$B$2),AVERAGEIFS(AutoClaim_Data!C2:C3168,AutoClaim_Data!B2:B3168,"Train",AutoClaim_Data!D2:D3168,"&gt;"&amp;$B$2))</f>
        <v/>
      </c>
      <c r="H3102">
        <f>IF(AutoClaim_Data!D3102&lt;=$B$2,IF(AutoClaim_Data!E3102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2">
        <f>(F3102-H3102)^2</f>
        <v/>
      </c>
      <c r="J3102">
        <f>--(E3102="Validation")</f>
        <v/>
      </c>
    </row>
    <row r="3103">
      <c r="D3103">
        <f>AutoClaim_Data!A3103</f>
        <v/>
      </c>
      <c r="E3103">
        <f>AutoClaim_Data!B3103</f>
        <v/>
      </c>
      <c r="F3103">
        <f>AutoClaim_Data!C3103</f>
        <v/>
      </c>
      <c r="G3103">
        <f>IF(AutoClaim_Data!D3103&lt;=$B$2,AVERAGEIFS(AutoClaim_Data!C2:C3168,AutoClaim_Data!B2:B3168,"Train",AutoClaim_Data!D2:D3168,"&lt;="&amp;$B$2),AVERAGEIFS(AutoClaim_Data!C2:C3168,AutoClaim_Data!B2:B3168,"Train",AutoClaim_Data!D2:D3168,"&gt;"&amp;$B$2))</f>
        <v/>
      </c>
      <c r="H3103">
        <f>IF(AutoClaim_Data!D3103&lt;=$B$2,IF(AutoClaim_Data!E3103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3">
        <f>(F3103-H3103)^2</f>
        <v/>
      </c>
      <c r="J3103">
        <f>--(E3103="Validation")</f>
        <v/>
      </c>
    </row>
    <row r="3104">
      <c r="D3104">
        <f>AutoClaim_Data!A3104</f>
        <v/>
      </c>
      <c r="E3104">
        <f>AutoClaim_Data!B3104</f>
        <v/>
      </c>
      <c r="F3104">
        <f>AutoClaim_Data!C3104</f>
        <v/>
      </c>
      <c r="G3104">
        <f>IF(AutoClaim_Data!D3104&lt;=$B$2,AVERAGEIFS(AutoClaim_Data!C2:C3168,AutoClaim_Data!B2:B3168,"Train",AutoClaim_Data!D2:D3168,"&lt;="&amp;$B$2),AVERAGEIFS(AutoClaim_Data!C2:C3168,AutoClaim_Data!B2:B3168,"Train",AutoClaim_Data!D2:D3168,"&gt;"&amp;$B$2))</f>
        <v/>
      </c>
      <c r="H3104">
        <f>IF(AutoClaim_Data!D3104&lt;=$B$2,IF(AutoClaim_Data!E3104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4">
        <f>(F3104-H3104)^2</f>
        <v/>
      </c>
      <c r="J3104">
        <f>--(E3104="Validation")</f>
        <v/>
      </c>
    </row>
    <row r="3105">
      <c r="D3105">
        <f>AutoClaim_Data!A3105</f>
        <v/>
      </c>
      <c r="E3105">
        <f>AutoClaim_Data!B3105</f>
        <v/>
      </c>
      <c r="F3105">
        <f>AutoClaim_Data!C3105</f>
        <v/>
      </c>
      <c r="G3105">
        <f>IF(AutoClaim_Data!D3105&lt;=$B$2,AVERAGEIFS(AutoClaim_Data!C2:C3168,AutoClaim_Data!B2:B3168,"Train",AutoClaim_Data!D2:D3168,"&lt;="&amp;$B$2),AVERAGEIFS(AutoClaim_Data!C2:C3168,AutoClaim_Data!B2:B3168,"Train",AutoClaim_Data!D2:D3168,"&gt;"&amp;$B$2))</f>
        <v/>
      </c>
      <c r="H3105">
        <f>IF(AutoClaim_Data!D3105&lt;=$B$2,IF(AutoClaim_Data!E3105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5">
        <f>(F3105-H3105)^2</f>
        <v/>
      </c>
      <c r="J3105">
        <f>--(E3105="Validation")</f>
        <v/>
      </c>
    </row>
    <row r="3106">
      <c r="D3106">
        <f>AutoClaim_Data!A3106</f>
        <v/>
      </c>
      <c r="E3106">
        <f>AutoClaim_Data!B3106</f>
        <v/>
      </c>
      <c r="F3106">
        <f>AutoClaim_Data!C3106</f>
        <v/>
      </c>
      <c r="G3106">
        <f>IF(AutoClaim_Data!D3106&lt;=$B$2,AVERAGEIFS(AutoClaim_Data!C2:C3168,AutoClaim_Data!B2:B3168,"Train",AutoClaim_Data!D2:D3168,"&lt;="&amp;$B$2),AVERAGEIFS(AutoClaim_Data!C2:C3168,AutoClaim_Data!B2:B3168,"Train",AutoClaim_Data!D2:D3168,"&gt;"&amp;$B$2))</f>
        <v/>
      </c>
      <c r="H3106">
        <f>IF(AutoClaim_Data!D3106&lt;=$B$2,IF(AutoClaim_Data!E3106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6">
        <f>(F3106-H3106)^2</f>
        <v/>
      </c>
      <c r="J3106">
        <f>--(E3106="Validation")</f>
        <v/>
      </c>
    </row>
    <row r="3107">
      <c r="D3107">
        <f>AutoClaim_Data!A3107</f>
        <v/>
      </c>
      <c r="E3107">
        <f>AutoClaim_Data!B3107</f>
        <v/>
      </c>
      <c r="F3107">
        <f>AutoClaim_Data!C3107</f>
        <v/>
      </c>
      <c r="G3107">
        <f>IF(AutoClaim_Data!D3107&lt;=$B$2,AVERAGEIFS(AutoClaim_Data!C2:C3168,AutoClaim_Data!B2:B3168,"Train",AutoClaim_Data!D2:D3168,"&lt;="&amp;$B$2),AVERAGEIFS(AutoClaim_Data!C2:C3168,AutoClaim_Data!B2:B3168,"Train",AutoClaim_Data!D2:D3168,"&gt;"&amp;$B$2))</f>
        <v/>
      </c>
      <c r="H3107">
        <f>IF(AutoClaim_Data!D3107&lt;=$B$2,IF(AutoClaim_Data!E3107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7">
        <f>(F3107-H3107)^2</f>
        <v/>
      </c>
      <c r="J3107">
        <f>--(E3107="Validation")</f>
        <v/>
      </c>
    </row>
    <row r="3108">
      <c r="D3108">
        <f>AutoClaim_Data!A3108</f>
        <v/>
      </c>
      <c r="E3108">
        <f>AutoClaim_Data!B3108</f>
        <v/>
      </c>
      <c r="F3108">
        <f>AutoClaim_Data!C3108</f>
        <v/>
      </c>
      <c r="G3108">
        <f>IF(AutoClaim_Data!D3108&lt;=$B$2,AVERAGEIFS(AutoClaim_Data!C2:C3168,AutoClaim_Data!B2:B3168,"Train",AutoClaim_Data!D2:D3168,"&lt;="&amp;$B$2),AVERAGEIFS(AutoClaim_Data!C2:C3168,AutoClaim_Data!B2:B3168,"Train",AutoClaim_Data!D2:D3168,"&gt;"&amp;$B$2))</f>
        <v/>
      </c>
      <c r="H3108">
        <f>IF(AutoClaim_Data!D3108&lt;=$B$2,IF(AutoClaim_Data!E3108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8">
        <f>(F3108-H3108)^2</f>
        <v/>
      </c>
      <c r="J3108">
        <f>--(E3108="Validation")</f>
        <v/>
      </c>
    </row>
    <row r="3109">
      <c r="D3109">
        <f>AutoClaim_Data!A3109</f>
        <v/>
      </c>
      <c r="E3109">
        <f>AutoClaim_Data!B3109</f>
        <v/>
      </c>
      <c r="F3109">
        <f>AutoClaim_Data!C3109</f>
        <v/>
      </c>
      <c r="G3109">
        <f>IF(AutoClaim_Data!D3109&lt;=$B$2,AVERAGEIFS(AutoClaim_Data!C2:C3168,AutoClaim_Data!B2:B3168,"Train",AutoClaim_Data!D2:D3168,"&lt;="&amp;$B$2),AVERAGEIFS(AutoClaim_Data!C2:C3168,AutoClaim_Data!B2:B3168,"Train",AutoClaim_Data!D2:D3168,"&gt;"&amp;$B$2))</f>
        <v/>
      </c>
      <c r="H3109">
        <f>IF(AutoClaim_Data!D3109&lt;=$B$2,IF(AutoClaim_Data!E3109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3109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09">
        <f>(F3109-H3109)^2</f>
        <v/>
      </c>
      <c r="J3109">
        <f>--(E3109="Validation")</f>
        <v/>
      </c>
    </row>
    <row r="3110">
      <c r="D3110">
        <f>AutoClaim_Data!A3110</f>
        <v/>
      </c>
      <c r="E3110">
        <f>AutoClaim_Data!B3110</f>
        <v/>
      </c>
      <c r="F3110">
        <f>AutoClaim_Data!C3110</f>
        <v/>
      </c>
      <c r="G3110">
        <f>IF(AutoClaim_Data!D3110&lt;=$B$2,AVERAGEIFS(AutoClaim_Data!C2:C3168,AutoClaim_Data!B2:B3168,"Train",AutoClaim_Data!D2:D3168,"&lt;="&amp;$B$2),AVERAGEIFS(AutoClaim_Data!C2:C3168,AutoClaim_Data!B2:B3168,"Train",AutoClaim_Data!D2:D3168,"&gt;"&amp;$B$2))</f>
        <v/>
      </c>
      <c r="H3110">
        <f>IF(AutoClaim_Data!D3110&lt;=$B$2,IF(AutoClaim_Data!E3110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0">
        <f>(F3110-H3110)^2</f>
        <v/>
      </c>
      <c r="J3110">
        <f>--(E3110="Validation")</f>
        <v/>
      </c>
    </row>
    <row r="3111">
      <c r="D3111">
        <f>AutoClaim_Data!A3111</f>
        <v/>
      </c>
      <c r="E3111">
        <f>AutoClaim_Data!B3111</f>
        <v/>
      </c>
      <c r="F3111">
        <f>AutoClaim_Data!C3111</f>
        <v/>
      </c>
      <c r="G3111">
        <f>IF(AutoClaim_Data!D3111&lt;=$B$2,AVERAGEIFS(AutoClaim_Data!C2:C3168,AutoClaim_Data!B2:B3168,"Train",AutoClaim_Data!D2:D3168,"&lt;="&amp;$B$2),AVERAGEIFS(AutoClaim_Data!C2:C3168,AutoClaim_Data!B2:B3168,"Train",AutoClaim_Data!D2:D3168,"&gt;"&amp;$B$2))</f>
        <v/>
      </c>
      <c r="H3111">
        <f>IF(AutoClaim_Data!D3111&lt;=$B$2,IF(AutoClaim_Data!E3111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1">
        <f>(F3111-H3111)^2</f>
        <v/>
      </c>
      <c r="J3111">
        <f>--(E3111="Validation")</f>
        <v/>
      </c>
    </row>
    <row r="3112">
      <c r="D3112">
        <f>AutoClaim_Data!A3112</f>
        <v/>
      </c>
      <c r="E3112">
        <f>AutoClaim_Data!B3112</f>
        <v/>
      </c>
      <c r="F3112">
        <f>AutoClaim_Data!C3112</f>
        <v/>
      </c>
      <c r="G3112">
        <f>IF(AutoClaim_Data!D3112&lt;=$B$2,AVERAGEIFS(AutoClaim_Data!C2:C3168,AutoClaim_Data!B2:B3168,"Train",AutoClaim_Data!D2:D3168,"&lt;="&amp;$B$2),AVERAGEIFS(AutoClaim_Data!C2:C3168,AutoClaim_Data!B2:B3168,"Train",AutoClaim_Data!D2:D3168,"&gt;"&amp;$B$2))</f>
        <v/>
      </c>
      <c r="H3112">
        <f>IF(AutoClaim_Data!D3112&lt;=$B$2,IF(AutoClaim_Data!E3112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2">
        <f>(F3112-H3112)^2</f>
        <v/>
      </c>
      <c r="J3112">
        <f>--(E3112="Validation")</f>
        <v/>
      </c>
    </row>
    <row r="3113">
      <c r="D3113">
        <f>AutoClaim_Data!A3113</f>
        <v/>
      </c>
      <c r="E3113">
        <f>AutoClaim_Data!B3113</f>
        <v/>
      </c>
      <c r="F3113">
        <f>AutoClaim_Data!C3113</f>
        <v/>
      </c>
      <c r="G3113">
        <f>IF(AutoClaim_Data!D3113&lt;=$B$2,AVERAGEIFS(AutoClaim_Data!C2:C3168,AutoClaim_Data!B2:B3168,"Train",AutoClaim_Data!D2:D3168,"&lt;="&amp;$B$2),AVERAGEIFS(AutoClaim_Data!C2:C3168,AutoClaim_Data!B2:B3168,"Train",AutoClaim_Data!D2:D3168,"&gt;"&amp;$B$2))</f>
        <v/>
      </c>
      <c r="H3113">
        <f>IF(AutoClaim_Data!D3113&lt;=$B$2,IF(AutoClaim_Data!E3113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3">
        <f>(F3113-H3113)^2</f>
        <v/>
      </c>
      <c r="J3113">
        <f>--(E3113="Validation")</f>
        <v/>
      </c>
    </row>
    <row r="3114">
      <c r="D3114">
        <f>AutoClaim_Data!A3114</f>
        <v/>
      </c>
      <c r="E3114">
        <f>AutoClaim_Data!B3114</f>
        <v/>
      </c>
      <c r="F3114">
        <f>AutoClaim_Data!C3114</f>
        <v/>
      </c>
      <c r="G3114">
        <f>IF(AutoClaim_Data!D3114&lt;=$B$2,AVERAGEIFS(AutoClaim_Data!C2:C3168,AutoClaim_Data!B2:B3168,"Train",AutoClaim_Data!D2:D3168,"&lt;="&amp;$B$2),AVERAGEIFS(AutoClaim_Data!C2:C3168,AutoClaim_Data!B2:B3168,"Train",AutoClaim_Data!D2:D3168,"&gt;"&amp;$B$2))</f>
        <v/>
      </c>
      <c r="H3114">
        <f>IF(AutoClaim_Data!D3114&lt;=$B$2,IF(AutoClaim_Data!E3114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4">
        <f>(F3114-H3114)^2</f>
        <v/>
      </c>
      <c r="J3114">
        <f>--(E3114="Validation")</f>
        <v/>
      </c>
    </row>
    <row r="3115">
      <c r="D3115">
        <f>AutoClaim_Data!A3115</f>
        <v/>
      </c>
      <c r="E3115">
        <f>AutoClaim_Data!B3115</f>
        <v/>
      </c>
      <c r="F3115">
        <f>AutoClaim_Data!C3115</f>
        <v/>
      </c>
      <c r="G3115">
        <f>IF(AutoClaim_Data!D3115&lt;=$B$2,AVERAGEIFS(AutoClaim_Data!C2:C3168,AutoClaim_Data!B2:B3168,"Train",AutoClaim_Data!D2:D3168,"&lt;="&amp;$B$2),AVERAGEIFS(AutoClaim_Data!C2:C3168,AutoClaim_Data!B2:B3168,"Train",AutoClaim_Data!D2:D3168,"&gt;"&amp;$B$2))</f>
        <v/>
      </c>
      <c r="H3115">
        <f>IF(AutoClaim_Data!D3115&lt;=$B$2,IF(AutoClaim_Data!E3115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5">
        <f>(F3115-H3115)^2</f>
        <v/>
      </c>
      <c r="J3115">
        <f>--(E3115="Validation")</f>
        <v/>
      </c>
    </row>
    <row r="3116">
      <c r="D3116">
        <f>AutoClaim_Data!A3116</f>
        <v/>
      </c>
      <c r="E3116">
        <f>AutoClaim_Data!B3116</f>
        <v/>
      </c>
      <c r="F3116">
        <f>AutoClaim_Data!C3116</f>
        <v/>
      </c>
      <c r="G3116">
        <f>IF(AutoClaim_Data!D3116&lt;=$B$2,AVERAGEIFS(AutoClaim_Data!C2:C3168,AutoClaim_Data!B2:B3168,"Train",AutoClaim_Data!D2:D3168,"&lt;="&amp;$B$2),AVERAGEIFS(AutoClaim_Data!C2:C3168,AutoClaim_Data!B2:B3168,"Train",AutoClaim_Data!D2:D3168,"&gt;"&amp;$B$2))</f>
        <v/>
      </c>
      <c r="H3116">
        <f>IF(AutoClaim_Data!D3116&lt;=$B$2,IF(AutoClaim_Data!E3116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6">
        <f>(F3116-H3116)^2</f>
        <v/>
      </c>
      <c r="J3116">
        <f>--(E3116="Validation")</f>
        <v/>
      </c>
    </row>
    <row r="3117">
      <c r="D3117">
        <f>AutoClaim_Data!A3117</f>
        <v/>
      </c>
      <c r="E3117">
        <f>AutoClaim_Data!B3117</f>
        <v/>
      </c>
      <c r="F3117">
        <f>AutoClaim_Data!C3117</f>
        <v/>
      </c>
      <c r="G3117">
        <f>IF(AutoClaim_Data!D3117&lt;=$B$2,AVERAGEIFS(AutoClaim_Data!C2:C3168,AutoClaim_Data!B2:B3168,"Train",AutoClaim_Data!D2:D3168,"&lt;="&amp;$B$2),AVERAGEIFS(AutoClaim_Data!C2:C3168,AutoClaim_Data!B2:B3168,"Train",AutoClaim_Data!D2:D3168,"&gt;"&amp;$B$2))</f>
        <v/>
      </c>
      <c r="H3117">
        <f>IF(AutoClaim_Data!D3117&lt;=$B$2,IF(AutoClaim_Data!E3117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7">
        <f>(F3117-H3117)^2</f>
        <v/>
      </c>
      <c r="J3117">
        <f>--(E3117="Validation")</f>
        <v/>
      </c>
    </row>
    <row r="3118">
      <c r="D3118">
        <f>AutoClaim_Data!A3118</f>
        <v/>
      </c>
      <c r="E3118">
        <f>AutoClaim_Data!B3118</f>
        <v/>
      </c>
      <c r="F3118">
        <f>AutoClaim_Data!C3118</f>
        <v/>
      </c>
      <c r="G3118">
        <f>IF(AutoClaim_Data!D3118&lt;=$B$2,AVERAGEIFS(AutoClaim_Data!C2:C3168,AutoClaim_Data!B2:B3168,"Train",AutoClaim_Data!D2:D3168,"&lt;="&amp;$B$2),AVERAGEIFS(AutoClaim_Data!C2:C3168,AutoClaim_Data!B2:B3168,"Train",AutoClaim_Data!D2:D3168,"&gt;"&amp;$B$2))</f>
        <v/>
      </c>
      <c r="H3118">
        <f>IF(AutoClaim_Data!D3118&lt;=$B$2,IF(AutoClaim_Data!E3118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8">
        <f>(F3118-H3118)^2</f>
        <v/>
      </c>
      <c r="J3118">
        <f>--(E3118="Validation")</f>
        <v/>
      </c>
    </row>
    <row r="3119">
      <c r="D3119">
        <f>AutoClaim_Data!A3119</f>
        <v/>
      </c>
      <c r="E3119">
        <f>AutoClaim_Data!B3119</f>
        <v/>
      </c>
      <c r="F3119">
        <f>AutoClaim_Data!C3119</f>
        <v/>
      </c>
      <c r="G3119">
        <f>IF(AutoClaim_Data!D3119&lt;=$B$2,AVERAGEIFS(AutoClaim_Data!C2:C3168,AutoClaim_Data!B2:B3168,"Train",AutoClaim_Data!D2:D3168,"&lt;="&amp;$B$2),AVERAGEIFS(AutoClaim_Data!C2:C3168,AutoClaim_Data!B2:B3168,"Train",AutoClaim_Data!D2:D3168,"&gt;"&amp;$B$2))</f>
        <v/>
      </c>
      <c r="H3119">
        <f>IF(AutoClaim_Data!D3119&lt;=$B$2,IF(AutoClaim_Data!E3119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3119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19">
        <f>(F3119-H3119)^2</f>
        <v/>
      </c>
      <c r="J3119">
        <f>--(E3119="Validation")</f>
        <v/>
      </c>
    </row>
    <row r="3120">
      <c r="D3120">
        <f>AutoClaim_Data!A3120</f>
        <v/>
      </c>
      <c r="E3120">
        <f>AutoClaim_Data!B3120</f>
        <v/>
      </c>
      <c r="F3120">
        <f>AutoClaim_Data!C3120</f>
        <v/>
      </c>
      <c r="G3120">
        <f>IF(AutoClaim_Data!D3120&lt;=$B$2,AVERAGEIFS(AutoClaim_Data!C2:C3168,AutoClaim_Data!B2:B3168,"Train",AutoClaim_Data!D2:D3168,"&lt;="&amp;$B$2),AVERAGEIFS(AutoClaim_Data!C2:C3168,AutoClaim_Data!B2:B3168,"Train",AutoClaim_Data!D2:D3168,"&gt;"&amp;$B$2))</f>
        <v/>
      </c>
      <c r="H3120">
        <f>IF(AutoClaim_Data!D3120&lt;=$B$2,IF(AutoClaim_Data!E3120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0">
        <f>(F3120-H3120)^2</f>
        <v/>
      </c>
      <c r="J3120">
        <f>--(E3120="Validation")</f>
        <v/>
      </c>
    </row>
    <row r="3121">
      <c r="D3121">
        <f>AutoClaim_Data!A3121</f>
        <v/>
      </c>
      <c r="E3121">
        <f>AutoClaim_Data!B3121</f>
        <v/>
      </c>
      <c r="F3121">
        <f>AutoClaim_Data!C3121</f>
        <v/>
      </c>
      <c r="G3121">
        <f>IF(AutoClaim_Data!D3121&lt;=$B$2,AVERAGEIFS(AutoClaim_Data!C2:C3168,AutoClaim_Data!B2:B3168,"Train",AutoClaim_Data!D2:D3168,"&lt;="&amp;$B$2),AVERAGEIFS(AutoClaim_Data!C2:C3168,AutoClaim_Data!B2:B3168,"Train",AutoClaim_Data!D2:D3168,"&gt;"&amp;$B$2))</f>
        <v/>
      </c>
      <c r="H3121">
        <f>IF(AutoClaim_Data!D3121&lt;=$B$2,IF(AutoClaim_Data!E3121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1">
        <f>(F3121-H3121)^2</f>
        <v/>
      </c>
      <c r="J3121">
        <f>--(E3121="Validation")</f>
        <v/>
      </c>
    </row>
    <row r="3122">
      <c r="D3122">
        <f>AutoClaim_Data!A3122</f>
        <v/>
      </c>
      <c r="E3122">
        <f>AutoClaim_Data!B3122</f>
        <v/>
      </c>
      <c r="F3122">
        <f>AutoClaim_Data!C3122</f>
        <v/>
      </c>
      <c r="G3122">
        <f>IF(AutoClaim_Data!D3122&lt;=$B$2,AVERAGEIFS(AutoClaim_Data!C2:C3168,AutoClaim_Data!B2:B3168,"Train",AutoClaim_Data!D2:D3168,"&lt;="&amp;$B$2),AVERAGEIFS(AutoClaim_Data!C2:C3168,AutoClaim_Data!B2:B3168,"Train",AutoClaim_Data!D2:D3168,"&gt;"&amp;$B$2))</f>
        <v/>
      </c>
      <c r="H3122">
        <f>IF(AutoClaim_Data!D3122&lt;=$B$2,IF(AutoClaim_Data!E3122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2">
        <f>(F3122-H3122)^2</f>
        <v/>
      </c>
      <c r="J3122">
        <f>--(E3122="Validation")</f>
        <v/>
      </c>
    </row>
    <row r="3123">
      <c r="D3123">
        <f>AutoClaim_Data!A3123</f>
        <v/>
      </c>
      <c r="E3123">
        <f>AutoClaim_Data!B3123</f>
        <v/>
      </c>
      <c r="F3123">
        <f>AutoClaim_Data!C3123</f>
        <v/>
      </c>
      <c r="G3123">
        <f>IF(AutoClaim_Data!D3123&lt;=$B$2,AVERAGEIFS(AutoClaim_Data!C2:C3168,AutoClaim_Data!B2:B3168,"Train",AutoClaim_Data!D2:D3168,"&lt;="&amp;$B$2),AVERAGEIFS(AutoClaim_Data!C2:C3168,AutoClaim_Data!B2:B3168,"Train",AutoClaim_Data!D2:D3168,"&gt;"&amp;$B$2))</f>
        <v/>
      </c>
      <c r="H3123">
        <f>IF(AutoClaim_Data!D3123&lt;=$B$2,IF(AutoClaim_Data!E3123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3">
        <f>(F3123-H3123)^2</f>
        <v/>
      </c>
      <c r="J3123">
        <f>--(E3123="Validation")</f>
        <v/>
      </c>
    </row>
    <row r="3124">
      <c r="D3124">
        <f>AutoClaim_Data!A3124</f>
        <v/>
      </c>
      <c r="E3124">
        <f>AutoClaim_Data!B3124</f>
        <v/>
      </c>
      <c r="F3124">
        <f>AutoClaim_Data!C3124</f>
        <v/>
      </c>
      <c r="G3124">
        <f>IF(AutoClaim_Data!D3124&lt;=$B$2,AVERAGEIFS(AutoClaim_Data!C2:C3168,AutoClaim_Data!B2:B3168,"Train",AutoClaim_Data!D2:D3168,"&lt;="&amp;$B$2),AVERAGEIFS(AutoClaim_Data!C2:C3168,AutoClaim_Data!B2:B3168,"Train",AutoClaim_Data!D2:D3168,"&gt;"&amp;$B$2))</f>
        <v/>
      </c>
      <c r="H3124">
        <f>IF(AutoClaim_Data!D3124&lt;=$B$2,IF(AutoClaim_Data!E3124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4">
        <f>(F3124-H3124)^2</f>
        <v/>
      </c>
      <c r="J3124">
        <f>--(E3124="Validation")</f>
        <v/>
      </c>
    </row>
    <row r="3125">
      <c r="D3125">
        <f>AutoClaim_Data!A3125</f>
        <v/>
      </c>
      <c r="E3125">
        <f>AutoClaim_Data!B3125</f>
        <v/>
      </c>
      <c r="F3125">
        <f>AutoClaim_Data!C3125</f>
        <v/>
      </c>
      <c r="G3125">
        <f>IF(AutoClaim_Data!D3125&lt;=$B$2,AVERAGEIFS(AutoClaim_Data!C2:C3168,AutoClaim_Data!B2:B3168,"Train",AutoClaim_Data!D2:D3168,"&lt;="&amp;$B$2),AVERAGEIFS(AutoClaim_Data!C2:C3168,AutoClaim_Data!B2:B3168,"Train",AutoClaim_Data!D2:D3168,"&gt;"&amp;$B$2))</f>
        <v/>
      </c>
      <c r="H3125">
        <f>IF(AutoClaim_Data!D3125&lt;=$B$2,IF(AutoClaim_Data!E3125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5">
        <f>(F3125-H3125)^2</f>
        <v/>
      </c>
      <c r="J3125">
        <f>--(E3125="Validation")</f>
        <v/>
      </c>
    </row>
    <row r="3126">
      <c r="D3126">
        <f>AutoClaim_Data!A3126</f>
        <v/>
      </c>
      <c r="E3126">
        <f>AutoClaim_Data!B3126</f>
        <v/>
      </c>
      <c r="F3126">
        <f>AutoClaim_Data!C3126</f>
        <v/>
      </c>
      <c r="G3126">
        <f>IF(AutoClaim_Data!D3126&lt;=$B$2,AVERAGEIFS(AutoClaim_Data!C2:C3168,AutoClaim_Data!B2:B3168,"Train",AutoClaim_Data!D2:D3168,"&lt;="&amp;$B$2),AVERAGEIFS(AutoClaim_Data!C2:C3168,AutoClaim_Data!B2:B3168,"Train",AutoClaim_Data!D2:D3168,"&gt;"&amp;$B$2))</f>
        <v/>
      </c>
      <c r="H3126">
        <f>IF(AutoClaim_Data!D3126&lt;=$B$2,IF(AutoClaim_Data!E3126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6">
        <f>(F3126-H3126)^2</f>
        <v/>
      </c>
      <c r="J3126">
        <f>--(E3126="Validation")</f>
        <v/>
      </c>
    </row>
    <row r="3127">
      <c r="D3127">
        <f>AutoClaim_Data!A3127</f>
        <v/>
      </c>
      <c r="E3127">
        <f>AutoClaim_Data!B3127</f>
        <v/>
      </c>
      <c r="F3127">
        <f>AutoClaim_Data!C3127</f>
        <v/>
      </c>
      <c r="G3127">
        <f>IF(AutoClaim_Data!D3127&lt;=$B$2,AVERAGEIFS(AutoClaim_Data!C2:C3168,AutoClaim_Data!B2:B3168,"Train",AutoClaim_Data!D2:D3168,"&lt;="&amp;$B$2),AVERAGEIFS(AutoClaim_Data!C2:C3168,AutoClaim_Data!B2:B3168,"Train",AutoClaim_Data!D2:D3168,"&gt;"&amp;$B$2))</f>
        <v/>
      </c>
      <c r="H3127">
        <f>IF(AutoClaim_Data!D3127&lt;=$B$2,IF(AutoClaim_Data!E3127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7">
        <f>(F3127-H3127)^2</f>
        <v/>
      </c>
      <c r="J3127">
        <f>--(E3127="Validation")</f>
        <v/>
      </c>
    </row>
    <row r="3128">
      <c r="D3128">
        <f>AutoClaim_Data!A3128</f>
        <v/>
      </c>
      <c r="E3128">
        <f>AutoClaim_Data!B3128</f>
        <v/>
      </c>
      <c r="F3128">
        <f>AutoClaim_Data!C3128</f>
        <v/>
      </c>
      <c r="G3128">
        <f>IF(AutoClaim_Data!D3128&lt;=$B$2,AVERAGEIFS(AutoClaim_Data!C2:C3168,AutoClaim_Data!B2:B3168,"Train",AutoClaim_Data!D2:D3168,"&lt;="&amp;$B$2),AVERAGEIFS(AutoClaim_Data!C2:C3168,AutoClaim_Data!B2:B3168,"Train",AutoClaim_Data!D2:D3168,"&gt;"&amp;$B$2))</f>
        <v/>
      </c>
      <c r="H3128">
        <f>IF(AutoClaim_Data!D3128&lt;=$B$2,IF(AutoClaim_Data!E3128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8">
        <f>(F3128-H3128)^2</f>
        <v/>
      </c>
      <c r="J3128">
        <f>--(E3128="Validation")</f>
        <v/>
      </c>
    </row>
    <row r="3129">
      <c r="D3129">
        <f>AutoClaim_Data!A3129</f>
        <v/>
      </c>
      <c r="E3129">
        <f>AutoClaim_Data!B3129</f>
        <v/>
      </c>
      <c r="F3129">
        <f>AutoClaim_Data!C3129</f>
        <v/>
      </c>
      <c r="G3129">
        <f>IF(AutoClaim_Data!D3129&lt;=$B$2,AVERAGEIFS(AutoClaim_Data!C2:C3168,AutoClaim_Data!B2:B3168,"Train",AutoClaim_Data!D2:D3168,"&lt;="&amp;$B$2),AVERAGEIFS(AutoClaim_Data!C2:C3168,AutoClaim_Data!B2:B3168,"Train",AutoClaim_Data!D2:D3168,"&gt;"&amp;$B$2))</f>
        <v/>
      </c>
      <c r="H3129">
        <f>IF(AutoClaim_Data!D3129&lt;=$B$2,IF(AutoClaim_Data!E3129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3129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29">
        <f>(F3129-H3129)^2</f>
        <v/>
      </c>
      <c r="J3129">
        <f>--(E3129="Validation")</f>
        <v/>
      </c>
    </row>
    <row r="3130">
      <c r="D3130">
        <f>AutoClaim_Data!A3130</f>
        <v/>
      </c>
      <c r="E3130">
        <f>AutoClaim_Data!B3130</f>
        <v/>
      </c>
      <c r="F3130">
        <f>AutoClaim_Data!C3130</f>
        <v/>
      </c>
      <c r="G3130">
        <f>IF(AutoClaim_Data!D3130&lt;=$B$2,AVERAGEIFS(AutoClaim_Data!C2:C3168,AutoClaim_Data!B2:B3168,"Train",AutoClaim_Data!D2:D3168,"&lt;="&amp;$B$2),AVERAGEIFS(AutoClaim_Data!C2:C3168,AutoClaim_Data!B2:B3168,"Train",AutoClaim_Data!D2:D3168,"&gt;"&amp;$B$2))</f>
        <v/>
      </c>
      <c r="H3130">
        <f>IF(AutoClaim_Data!D3130&lt;=$B$2,IF(AutoClaim_Data!E3130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0">
        <f>(F3130-H3130)^2</f>
        <v/>
      </c>
      <c r="J3130">
        <f>--(E3130="Validation")</f>
        <v/>
      </c>
    </row>
    <row r="3131">
      <c r="D3131">
        <f>AutoClaim_Data!A3131</f>
        <v/>
      </c>
      <c r="E3131">
        <f>AutoClaim_Data!B3131</f>
        <v/>
      </c>
      <c r="F3131">
        <f>AutoClaim_Data!C3131</f>
        <v/>
      </c>
      <c r="G3131">
        <f>IF(AutoClaim_Data!D3131&lt;=$B$2,AVERAGEIFS(AutoClaim_Data!C2:C3168,AutoClaim_Data!B2:B3168,"Train",AutoClaim_Data!D2:D3168,"&lt;="&amp;$B$2),AVERAGEIFS(AutoClaim_Data!C2:C3168,AutoClaim_Data!B2:B3168,"Train",AutoClaim_Data!D2:D3168,"&gt;"&amp;$B$2))</f>
        <v/>
      </c>
      <c r="H3131">
        <f>IF(AutoClaim_Data!D3131&lt;=$B$2,IF(AutoClaim_Data!E3131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1">
        <f>(F3131-H3131)^2</f>
        <v/>
      </c>
      <c r="J3131">
        <f>--(E3131="Validation")</f>
        <v/>
      </c>
    </row>
    <row r="3132">
      <c r="D3132">
        <f>AutoClaim_Data!A3132</f>
        <v/>
      </c>
      <c r="E3132">
        <f>AutoClaim_Data!B3132</f>
        <v/>
      </c>
      <c r="F3132">
        <f>AutoClaim_Data!C3132</f>
        <v/>
      </c>
      <c r="G3132">
        <f>IF(AutoClaim_Data!D3132&lt;=$B$2,AVERAGEIFS(AutoClaim_Data!C2:C3168,AutoClaim_Data!B2:B3168,"Train",AutoClaim_Data!D2:D3168,"&lt;="&amp;$B$2),AVERAGEIFS(AutoClaim_Data!C2:C3168,AutoClaim_Data!B2:B3168,"Train",AutoClaim_Data!D2:D3168,"&gt;"&amp;$B$2))</f>
        <v/>
      </c>
      <c r="H3132">
        <f>IF(AutoClaim_Data!D3132&lt;=$B$2,IF(AutoClaim_Data!E3132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2">
        <f>(F3132-H3132)^2</f>
        <v/>
      </c>
      <c r="J3132">
        <f>--(E3132="Validation")</f>
        <v/>
      </c>
    </row>
    <row r="3133">
      <c r="D3133">
        <f>AutoClaim_Data!A3133</f>
        <v/>
      </c>
      <c r="E3133">
        <f>AutoClaim_Data!B3133</f>
        <v/>
      </c>
      <c r="F3133">
        <f>AutoClaim_Data!C3133</f>
        <v/>
      </c>
      <c r="G3133">
        <f>IF(AutoClaim_Data!D3133&lt;=$B$2,AVERAGEIFS(AutoClaim_Data!C2:C3168,AutoClaim_Data!B2:B3168,"Train",AutoClaim_Data!D2:D3168,"&lt;="&amp;$B$2),AVERAGEIFS(AutoClaim_Data!C2:C3168,AutoClaim_Data!B2:B3168,"Train",AutoClaim_Data!D2:D3168,"&gt;"&amp;$B$2))</f>
        <v/>
      </c>
      <c r="H3133">
        <f>IF(AutoClaim_Data!D3133&lt;=$B$2,IF(AutoClaim_Data!E3133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3">
        <f>(F3133-H3133)^2</f>
        <v/>
      </c>
      <c r="J3133">
        <f>--(E3133="Validation")</f>
        <v/>
      </c>
    </row>
    <row r="3134">
      <c r="D3134">
        <f>AutoClaim_Data!A3134</f>
        <v/>
      </c>
      <c r="E3134">
        <f>AutoClaim_Data!B3134</f>
        <v/>
      </c>
      <c r="F3134">
        <f>AutoClaim_Data!C3134</f>
        <v/>
      </c>
      <c r="G3134">
        <f>IF(AutoClaim_Data!D3134&lt;=$B$2,AVERAGEIFS(AutoClaim_Data!C2:C3168,AutoClaim_Data!B2:B3168,"Train",AutoClaim_Data!D2:D3168,"&lt;="&amp;$B$2),AVERAGEIFS(AutoClaim_Data!C2:C3168,AutoClaim_Data!B2:B3168,"Train",AutoClaim_Data!D2:D3168,"&gt;"&amp;$B$2))</f>
        <v/>
      </c>
      <c r="H3134">
        <f>IF(AutoClaim_Data!D3134&lt;=$B$2,IF(AutoClaim_Data!E3134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4">
        <f>(F3134-H3134)^2</f>
        <v/>
      </c>
      <c r="J3134">
        <f>--(E3134="Validation")</f>
        <v/>
      </c>
    </row>
    <row r="3135">
      <c r="D3135">
        <f>AutoClaim_Data!A3135</f>
        <v/>
      </c>
      <c r="E3135">
        <f>AutoClaim_Data!B3135</f>
        <v/>
      </c>
      <c r="F3135">
        <f>AutoClaim_Data!C3135</f>
        <v/>
      </c>
      <c r="G3135">
        <f>IF(AutoClaim_Data!D3135&lt;=$B$2,AVERAGEIFS(AutoClaim_Data!C2:C3168,AutoClaim_Data!B2:B3168,"Train",AutoClaim_Data!D2:D3168,"&lt;="&amp;$B$2),AVERAGEIFS(AutoClaim_Data!C2:C3168,AutoClaim_Data!B2:B3168,"Train",AutoClaim_Data!D2:D3168,"&gt;"&amp;$B$2))</f>
        <v/>
      </c>
      <c r="H3135">
        <f>IF(AutoClaim_Data!D3135&lt;=$B$2,IF(AutoClaim_Data!E3135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5">
        <f>(F3135-H3135)^2</f>
        <v/>
      </c>
      <c r="J3135">
        <f>--(E3135="Validation")</f>
        <v/>
      </c>
    </row>
    <row r="3136">
      <c r="D3136">
        <f>AutoClaim_Data!A3136</f>
        <v/>
      </c>
      <c r="E3136">
        <f>AutoClaim_Data!B3136</f>
        <v/>
      </c>
      <c r="F3136">
        <f>AutoClaim_Data!C3136</f>
        <v/>
      </c>
      <c r="G3136">
        <f>IF(AutoClaim_Data!D3136&lt;=$B$2,AVERAGEIFS(AutoClaim_Data!C2:C3168,AutoClaim_Data!B2:B3168,"Train",AutoClaim_Data!D2:D3168,"&lt;="&amp;$B$2),AVERAGEIFS(AutoClaim_Data!C2:C3168,AutoClaim_Data!B2:B3168,"Train",AutoClaim_Data!D2:D3168,"&gt;"&amp;$B$2))</f>
        <v/>
      </c>
      <c r="H3136">
        <f>IF(AutoClaim_Data!D3136&lt;=$B$2,IF(AutoClaim_Data!E3136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6">
        <f>(F3136-H3136)^2</f>
        <v/>
      </c>
      <c r="J3136">
        <f>--(E3136="Validation")</f>
        <v/>
      </c>
    </row>
    <row r="3137">
      <c r="D3137">
        <f>AutoClaim_Data!A3137</f>
        <v/>
      </c>
      <c r="E3137">
        <f>AutoClaim_Data!B3137</f>
        <v/>
      </c>
      <c r="F3137">
        <f>AutoClaim_Data!C3137</f>
        <v/>
      </c>
      <c r="G3137">
        <f>IF(AutoClaim_Data!D3137&lt;=$B$2,AVERAGEIFS(AutoClaim_Data!C2:C3168,AutoClaim_Data!B2:B3168,"Train",AutoClaim_Data!D2:D3168,"&lt;="&amp;$B$2),AVERAGEIFS(AutoClaim_Data!C2:C3168,AutoClaim_Data!B2:B3168,"Train",AutoClaim_Data!D2:D3168,"&gt;"&amp;$B$2))</f>
        <v/>
      </c>
      <c r="H3137">
        <f>IF(AutoClaim_Data!D3137&lt;=$B$2,IF(AutoClaim_Data!E3137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7">
        <f>(F3137-H3137)^2</f>
        <v/>
      </c>
      <c r="J3137">
        <f>--(E3137="Validation")</f>
        <v/>
      </c>
    </row>
    <row r="3138">
      <c r="D3138">
        <f>AutoClaim_Data!A3138</f>
        <v/>
      </c>
      <c r="E3138">
        <f>AutoClaim_Data!B3138</f>
        <v/>
      </c>
      <c r="F3138">
        <f>AutoClaim_Data!C3138</f>
        <v/>
      </c>
      <c r="G3138">
        <f>IF(AutoClaim_Data!D3138&lt;=$B$2,AVERAGEIFS(AutoClaim_Data!C2:C3168,AutoClaim_Data!B2:B3168,"Train",AutoClaim_Data!D2:D3168,"&lt;="&amp;$B$2),AVERAGEIFS(AutoClaim_Data!C2:C3168,AutoClaim_Data!B2:B3168,"Train",AutoClaim_Data!D2:D3168,"&gt;"&amp;$B$2))</f>
        <v/>
      </c>
      <c r="H3138">
        <f>IF(AutoClaim_Data!D3138&lt;=$B$2,IF(AutoClaim_Data!E3138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8">
        <f>(F3138-H3138)^2</f>
        <v/>
      </c>
      <c r="J3138">
        <f>--(E3138="Validation")</f>
        <v/>
      </c>
    </row>
    <row r="3139">
      <c r="D3139">
        <f>AutoClaim_Data!A3139</f>
        <v/>
      </c>
      <c r="E3139">
        <f>AutoClaim_Data!B3139</f>
        <v/>
      </c>
      <c r="F3139">
        <f>AutoClaim_Data!C3139</f>
        <v/>
      </c>
      <c r="G3139">
        <f>IF(AutoClaim_Data!D3139&lt;=$B$2,AVERAGEIFS(AutoClaim_Data!C2:C3168,AutoClaim_Data!B2:B3168,"Train",AutoClaim_Data!D2:D3168,"&lt;="&amp;$B$2),AVERAGEIFS(AutoClaim_Data!C2:C3168,AutoClaim_Data!B2:B3168,"Train",AutoClaim_Data!D2:D3168,"&gt;"&amp;$B$2))</f>
        <v/>
      </c>
      <c r="H3139">
        <f>IF(AutoClaim_Data!D3139&lt;=$B$2,IF(AutoClaim_Data!E3139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3139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39">
        <f>(F3139-H3139)^2</f>
        <v/>
      </c>
      <c r="J3139">
        <f>--(E3139="Validation")</f>
        <v/>
      </c>
    </row>
    <row r="3140">
      <c r="D3140">
        <f>AutoClaim_Data!A3140</f>
        <v/>
      </c>
      <c r="E3140">
        <f>AutoClaim_Data!B3140</f>
        <v/>
      </c>
      <c r="F3140">
        <f>AutoClaim_Data!C3140</f>
        <v/>
      </c>
      <c r="G3140">
        <f>IF(AutoClaim_Data!D3140&lt;=$B$2,AVERAGEIFS(AutoClaim_Data!C2:C3168,AutoClaim_Data!B2:B3168,"Train",AutoClaim_Data!D2:D3168,"&lt;="&amp;$B$2),AVERAGEIFS(AutoClaim_Data!C2:C3168,AutoClaim_Data!B2:B3168,"Train",AutoClaim_Data!D2:D3168,"&gt;"&amp;$B$2))</f>
        <v/>
      </c>
      <c r="H3140">
        <f>IF(AutoClaim_Data!D3140&lt;=$B$2,IF(AutoClaim_Data!E3140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0">
        <f>(F3140-H3140)^2</f>
        <v/>
      </c>
      <c r="J3140">
        <f>--(E3140="Validation")</f>
        <v/>
      </c>
    </row>
    <row r="3141">
      <c r="D3141">
        <f>AutoClaim_Data!A3141</f>
        <v/>
      </c>
      <c r="E3141">
        <f>AutoClaim_Data!B3141</f>
        <v/>
      </c>
      <c r="F3141">
        <f>AutoClaim_Data!C3141</f>
        <v/>
      </c>
      <c r="G3141">
        <f>IF(AutoClaim_Data!D3141&lt;=$B$2,AVERAGEIFS(AutoClaim_Data!C2:C3168,AutoClaim_Data!B2:B3168,"Train",AutoClaim_Data!D2:D3168,"&lt;="&amp;$B$2),AVERAGEIFS(AutoClaim_Data!C2:C3168,AutoClaim_Data!B2:B3168,"Train",AutoClaim_Data!D2:D3168,"&gt;"&amp;$B$2))</f>
        <v/>
      </c>
      <c r="H3141">
        <f>IF(AutoClaim_Data!D3141&lt;=$B$2,IF(AutoClaim_Data!E3141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1">
        <f>(F3141-H3141)^2</f>
        <v/>
      </c>
      <c r="J3141">
        <f>--(E3141="Validation")</f>
        <v/>
      </c>
    </row>
    <row r="3142">
      <c r="D3142">
        <f>AutoClaim_Data!A3142</f>
        <v/>
      </c>
      <c r="E3142">
        <f>AutoClaim_Data!B3142</f>
        <v/>
      </c>
      <c r="F3142">
        <f>AutoClaim_Data!C3142</f>
        <v/>
      </c>
      <c r="G3142">
        <f>IF(AutoClaim_Data!D3142&lt;=$B$2,AVERAGEIFS(AutoClaim_Data!C2:C3168,AutoClaim_Data!B2:B3168,"Train",AutoClaim_Data!D2:D3168,"&lt;="&amp;$B$2),AVERAGEIFS(AutoClaim_Data!C2:C3168,AutoClaim_Data!B2:B3168,"Train",AutoClaim_Data!D2:D3168,"&gt;"&amp;$B$2))</f>
        <v/>
      </c>
      <c r="H3142">
        <f>IF(AutoClaim_Data!D3142&lt;=$B$2,IF(AutoClaim_Data!E3142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2">
        <f>(F3142-H3142)^2</f>
        <v/>
      </c>
      <c r="J3142">
        <f>--(E3142="Validation")</f>
        <v/>
      </c>
    </row>
    <row r="3143">
      <c r="D3143">
        <f>AutoClaim_Data!A3143</f>
        <v/>
      </c>
      <c r="E3143">
        <f>AutoClaim_Data!B3143</f>
        <v/>
      </c>
      <c r="F3143">
        <f>AutoClaim_Data!C3143</f>
        <v/>
      </c>
      <c r="G3143">
        <f>IF(AutoClaim_Data!D3143&lt;=$B$2,AVERAGEIFS(AutoClaim_Data!C2:C3168,AutoClaim_Data!B2:B3168,"Train",AutoClaim_Data!D2:D3168,"&lt;="&amp;$B$2),AVERAGEIFS(AutoClaim_Data!C2:C3168,AutoClaim_Data!B2:B3168,"Train",AutoClaim_Data!D2:D3168,"&gt;"&amp;$B$2))</f>
        <v/>
      </c>
      <c r="H3143">
        <f>IF(AutoClaim_Data!D3143&lt;=$B$2,IF(AutoClaim_Data!E3143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3">
        <f>(F3143-H3143)^2</f>
        <v/>
      </c>
      <c r="J3143">
        <f>--(E3143="Validation")</f>
        <v/>
      </c>
    </row>
    <row r="3144">
      <c r="D3144">
        <f>AutoClaim_Data!A3144</f>
        <v/>
      </c>
      <c r="E3144">
        <f>AutoClaim_Data!B3144</f>
        <v/>
      </c>
      <c r="F3144">
        <f>AutoClaim_Data!C3144</f>
        <v/>
      </c>
      <c r="G3144">
        <f>IF(AutoClaim_Data!D3144&lt;=$B$2,AVERAGEIFS(AutoClaim_Data!C2:C3168,AutoClaim_Data!B2:B3168,"Train",AutoClaim_Data!D2:D3168,"&lt;="&amp;$B$2),AVERAGEIFS(AutoClaim_Data!C2:C3168,AutoClaim_Data!B2:B3168,"Train",AutoClaim_Data!D2:D3168,"&gt;"&amp;$B$2))</f>
        <v/>
      </c>
      <c r="H3144">
        <f>IF(AutoClaim_Data!D3144&lt;=$B$2,IF(AutoClaim_Data!E3144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4">
        <f>(F3144-H3144)^2</f>
        <v/>
      </c>
      <c r="J3144">
        <f>--(E3144="Validation")</f>
        <v/>
      </c>
    </row>
    <row r="3145">
      <c r="D3145">
        <f>AutoClaim_Data!A3145</f>
        <v/>
      </c>
      <c r="E3145">
        <f>AutoClaim_Data!B3145</f>
        <v/>
      </c>
      <c r="F3145">
        <f>AutoClaim_Data!C3145</f>
        <v/>
      </c>
      <c r="G3145">
        <f>IF(AutoClaim_Data!D3145&lt;=$B$2,AVERAGEIFS(AutoClaim_Data!C2:C3168,AutoClaim_Data!B2:B3168,"Train",AutoClaim_Data!D2:D3168,"&lt;="&amp;$B$2),AVERAGEIFS(AutoClaim_Data!C2:C3168,AutoClaim_Data!B2:B3168,"Train",AutoClaim_Data!D2:D3168,"&gt;"&amp;$B$2))</f>
        <v/>
      </c>
      <c r="H3145">
        <f>IF(AutoClaim_Data!D3145&lt;=$B$2,IF(AutoClaim_Data!E3145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5">
        <f>(F3145-H3145)^2</f>
        <v/>
      </c>
      <c r="J3145">
        <f>--(E3145="Validation")</f>
        <v/>
      </c>
    </row>
    <row r="3146">
      <c r="D3146">
        <f>AutoClaim_Data!A3146</f>
        <v/>
      </c>
      <c r="E3146">
        <f>AutoClaim_Data!B3146</f>
        <v/>
      </c>
      <c r="F3146">
        <f>AutoClaim_Data!C3146</f>
        <v/>
      </c>
      <c r="G3146">
        <f>IF(AutoClaim_Data!D3146&lt;=$B$2,AVERAGEIFS(AutoClaim_Data!C2:C3168,AutoClaim_Data!B2:B3168,"Train",AutoClaim_Data!D2:D3168,"&lt;="&amp;$B$2),AVERAGEIFS(AutoClaim_Data!C2:C3168,AutoClaim_Data!B2:B3168,"Train",AutoClaim_Data!D2:D3168,"&gt;"&amp;$B$2))</f>
        <v/>
      </c>
      <c r="H3146">
        <f>IF(AutoClaim_Data!D3146&lt;=$B$2,IF(AutoClaim_Data!E3146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6">
        <f>(F3146-H3146)^2</f>
        <v/>
      </c>
      <c r="J3146">
        <f>--(E3146="Validation")</f>
        <v/>
      </c>
    </row>
    <row r="3147">
      <c r="D3147">
        <f>AutoClaim_Data!A3147</f>
        <v/>
      </c>
      <c r="E3147">
        <f>AutoClaim_Data!B3147</f>
        <v/>
      </c>
      <c r="F3147">
        <f>AutoClaim_Data!C3147</f>
        <v/>
      </c>
      <c r="G3147">
        <f>IF(AutoClaim_Data!D3147&lt;=$B$2,AVERAGEIFS(AutoClaim_Data!C2:C3168,AutoClaim_Data!B2:B3168,"Train",AutoClaim_Data!D2:D3168,"&lt;="&amp;$B$2),AVERAGEIFS(AutoClaim_Data!C2:C3168,AutoClaim_Data!B2:B3168,"Train",AutoClaim_Data!D2:D3168,"&gt;"&amp;$B$2))</f>
        <v/>
      </c>
      <c r="H3147">
        <f>IF(AutoClaim_Data!D3147&lt;=$B$2,IF(AutoClaim_Data!E3147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7">
        <f>(F3147-H3147)^2</f>
        <v/>
      </c>
      <c r="J3147">
        <f>--(E3147="Validation")</f>
        <v/>
      </c>
    </row>
    <row r="3148">
      <c r="D3148">
        <f>AutoClaim_Data!A3148</f>
        <v/>
      </c>
      <c r="E3148">
        <f>AutoClaim_Data!B3148</f>
        <v/>
      </c>
      <c r="F3148">
        <f>AutoClaim_Data!C3148</f>
        <v/>
      </c>
      <c r="G3148">
        <f>IF(AutoClaim_Data!D3148&lt;=$B$2,AVERAGEIFS(AutoClaim_Data!C2:C3168,AutoClaim_Data!B2:B3168,"Train",AutoClaim_Data!D2:D3168,"&lt;="&amp;$B$2),AVERAGEIFS(AutoClaim_Data!C2:C3168,AutoClaim_Data!B2:B3168,"Train",AutoClaim_Data!D2:D3168,"&gt;"&amp;$B$2))</f>
        <v/>
      </c>
      <c r="H3148">
        <f>IF(AutoClaim_Data!D3148&lt;=$B$2,IF(AutoClaim_Data!E3148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8">
        <f>(F3148-H3148)^2</f>
        <v/>
      </c>
      <c r="J3148">
        <f>--(E3148="Validation")</f>
        <v/>
      </c>
    </row>
    <row r="3149">
      <c r="D3149">
        <f>AutoClaim_Data!A3149</f>
        <v/>
      </c>
      <c r="E3149">
        <f>AutoClaim_Data!B3149</f>
        <v/>
      </c>
      <c r="F3149">
        <f>AutoClaim_Data!C3149</f>
        <v/>
      </c>
      <c r="G3149">
        <f>IF(AutoClaim_Data!D3149&lt;=$B$2,AVERAGEIFS(AutoClaim_Data!C2:C3168,AutoClaim_Data!B2:B3168,"Train",AutoClaim_Data!D2:D3168,"&lt;="&amp;$B$2),AVERAGEIFS(AutoClaim_Data!C2:C3168,AutoClaim_Data!B2:B3168,"Train",AutoClaim_Data!D2:D3168,"&gt;"&amp;$B$2))</f>
        <v/>
      </c>
      <c r="H3149">
        <f>IF(AutoClaim_Data!D3149&lt;=$B$2,IF(AutoClaim_Data!E3149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3149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49">
        <f>(F3149-H3149)^2</f>
        <v/>
      </c>
      <c r="J3149">
        <f>--(E3149="Validation")</f>
        <v/>
      </c>
    </row>
    <row r="3150">
      <c r="D3150">
        <f>AutoClaim_Data!A3150</f>
        <v/>
      </c>
      <c r="E3150">
        <f>AutoClaim_Data!B3150</f>
        <v/>
      </c>
      <c r="F3150">
        <f>AutoClaim_Data!C3150</f>
        <v/>
      </c>
      <c r="G3150">
        <f>IF(AutoClaim_Data!D3150&lt;=$B$2,AVERAGEIFS(AutoClaim_Data!C2:C3168,AutoClaim_Data!B2:B3168,"Train",AutoClaim_Data!D2:D3168,"&lt;="&amp;$B$2),AVERAGEIFS(AutoClaim_Data!C2:C3168,AutoClaim_Data!B2:B3168,"Train",AutoClaim_Data!D2:D3168,"&gt;"&amp;$B$2))</f>
        <v/>
      </c>
      <c r="H3150">
        <f>IF(AutoClaim_Data!D3150&lt;=$B$2,IF(AutoClaim_Data!E3150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0">
        <f>(F3150-H3150)^2</f>
        <v/>
      </c>
      <c r="J3150">
        <f>--(E3150="Validation")</f>
        <v/>
      </c>
    </row>
    <row r="3151">
      <c r="D3151">
        <f>AutoClaim_Data!A3151</f>
        <v/>
      </c>
      <c r="E3151">
        <f>AutoClaim_Data!B3151</f>
        <v/>
      </c>
      <c r="F3151">
        <f>AutoClaim_Data!C3151</f>
        <v/>
      </c>
      <c r="G3151">
        <f>IF(AutoClaim_Data!D3151&lt;=$B$2,AVERAGEIFS(AutoClaim_Data!C2:C3168,AutoClaim_Data!B2:B3168,"Train",AutoClaim_Data!D2:D3168,"&lt;="&amp;$B$2),AVERAGEIFS(AutoClaim_Data!C2:C3168,AutoClaim_Data!B2:B3168,"Train",AutoClaim_Data!D2:D3168,"&gt;"&amp;$B$2))</f>
        <v/>
      </c>
      <c r="H3151">
        <f>IF(AutoClaim_Data!D3151&lt;=$B$2,IF(AutoClaim_Data!E3151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1">
        <f>(F3151-H3151)^2</f>
        <v/>
      </c>
      <c r="J3151">
        <f>--(E3151="Validation")</f>
        <v/>
      </c>
    </row>
    <row r="3152">
      <c r="D3152">
        <f>AutoClaim_Data!A3152</f>
        <v/>
      </c>
      <c r="E3152">
        <f>AutoClaim_Data!B3152</f>
        <v/>
      </c>
      <c r="F3152">
        <f>AutoClaim_Data!C3152</f>
        <v/>
      </c>
      <c r="G3152">
        <f>IF(AutoClaim_Data!D3152&lt;=$B$2,AVERAGEIFS(AutoClaim_Data!C2:C3168,AutoClaim_Data!B2:B3168,"Train",AutoClaim_Data!D2:D3168,"&lt;="&amp;$B$2),AVERAGEIFS(AutoClaim_Data!C2:C3168,AutoClaim_Data!B2:B3168,"Train",AutoClaim_Data!D2:D3168,"&gt;"&amp;$B$2))</f>
        <v/>
      </c>
      <c r="H3152">
        <f>IF(AutoClaim_Data!D3152&lt;=$B$2,IF(AutoClaim_Data!E3152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2">
        <f>(F3152-H3152)^2</f>
        <v/>
      </c>
      <c r="J3152">
        <f>--(E3152="Validation")</f>
        <v/>
      </c>
    </row>
    <row r="3153">
      <c r="D3153">
        <f>AutoClaim_Data!A3153</f>
        <v/>
      </c>
      <c r="E3153">
        <f>AutoClaim_Data!B3153</f>
        <v/>
      </c>
      <c r="F3153">
        <f>AutoClaim_Data!C3153</f>
        <v/>
      </c>
      <c r="G3153">
        <f>IF(AutoClaim_Data!D3153&lt;=$B$2,AVERAGEIFS(AutoClaim_Data!C2:C3168,AutoClaim_Data!B2:B3168,"Train",AutoClaim_Data!D2:D3168,"&lt;="&amp;$B$2),AVERAGEIFS(AutoClaim_Data!C2:C3168,AutoClaim_Data!B2:B3168,"Train",AutoClaim_Data!D2:D3168,"&gt;"&amp;$B$2))</f>
        <v/>
      </c>
      <c r="H3153">
        <f>IF(AutoClaim_Data!D3153&lt;=$B$2,IF(AutoClaim_Data!E3153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3">
        <f>(F3153-H3153)^2</f>
        <v/>
      </c>
      <c r="J3153">
        <f>--(E3153="Validation")</f>
        <v/>
      </c>
    </row>
    <row r="3154">
      <c r="D3154">
        <f>AutoClaim_Data!A3154</f>
        <v/>
      </c>
      <c r="E3154">
        <f>AutoClaim_Data!B3154</f>
        <v/>
      </c>
      <c r="F3154">
        <f>AutoClaim_Data!C3154</f>
        <v/>
      </c>
      <c r="G3154">
        <f>IF(AutoClaim_Data!D3154&lt;=$B$2,AVERAGEIFS(AutoClaim_Data!C2:C3168,AutoClaim_Data!B2:B3168,"Train",AutoClaim_Data!D2:D3168,"&lt;="&amp;$B$2),AVERAGEIFS(AutoClaim_Data!C2:C3168,AutoClaim_Data!B2:B3168,"Train",AutoClaim_Data!D2:D3168,"&gt;"&amp;$B$2))</f>
        <v/>
      </c>
      <c r="H3154">
        <f>IF(AutoClaim_Data!D3154&lt;=$B$2,IF(AutoClaim_Data!E3154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4">
        <f>(F3154-H3154)^2</f>
        <v/>
      </c>
      <c r="J3154">
        <f>--(E3154="Validation")</f>
        <v/>
      </c>
    </row>
    <row r="3155">
      <c r="D3155">
        <f>AutoClaim_Data!A3155</f>
        <v/>
      </c>
      <c r="E3155">
        <f>AutoClaim_Data!B3155</f>
        <v/>
      </c>
      <c r="F3155">
        <f>AutoClaim_Data!C3155</f>
        <v/>
      </c>
      <c r="G3155">
        <f>IF(AutoClaim_Data!D3155&lt;=$B$2,AVERAGEIFS(AutoClaim_Data!C2:C3168,AutoClaim_Data!B2:B3168,"Train",AutoClaim_Data!D2:D3168,"&lt;="&amp;$B$2),AVERAGEIFS(AutoClaim_Data!C2:C3168,AutoClaim_Data!B2:B3168,"Train",AutoClaim_Data!D2:D3168,"&gt;"&amp;$B$2))</f>
        <v/>
      </c>
      <c r="H3155">
        <f>IF(AutoClaim_Data!D3155&lt;=$B$2,IF(AutoClaim_Data!E3155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5">
        <f>(F3155-H3155)^2</f>
        <v/>
      </c>
      <c r="J3155">
        <f>--(E3155="Validation")</f>
        <v/>
      </c>
    </row>
    <row r="3156">
      <c r="D3156">
        <f>AutoClaim_Data!A3156</f>
        <v/>
      </c>
      <c r="E3156">
        <f>AutoClaim_Data!B3156</f>
        <v/>
      </c>
      <c r="F3156">
        <f>AutoClaim_Data!C3156</f>
        <v/>
      </c>
      <c r="G3156">
        <f>IF(AutoClaim_Data!D3156&lt;=$B$2,AVERAGEIFS(AutoClaim_Data!C2:C3168,AutoClaim_Data!B2:B3168,"Train",AutoClaim_Data!D2:D3168,"&lt;="&amp;$B$2),AVERAGEIFS(AutoClaim_Data!C2:C3168,AutoClaim_Data!B2:B3168,"Train",AutoClaim_Data!D2:D3168,"&gt;"&amp;$B$2))</f>
        <v/>
      </c>
      <c r="H3156">
        <f>IF(AutoClaim_Data!D3156&lt;=$B$2,IF(AutoClaim_Data!E3156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6">
        <f>(F3156-H3156)^2</f>
        <v/>
      </c>
      <c r="J3156">
        <f>--(E3156="Validation")</f>
        <v/>
      </c>
    </row>
    <row r="3157">
      <c r="D3157">
        <f>AutoClaim_Data!A3157</f>
        <v/>
      </c>
      <c r="E3157">
        <f>AutoClaim_Data!B3157</f>
        <v/>
      </c>
      <c r="F3157">
        <f>AutoClaim_Data!C3157</f>
        <v/>
      </c>
      <c r="G3157">
        <f>IF(AutoClaim_Data!D3157&lt;=$B$2,AVERAGEIFS(AutoClaim_Data!C2:C3168,AutoClaim_Data!B2:B3168,"Train",AutoClaim_Data!D2:D3168,"&lt;="&amp;$B$2),AVERAGEIFS(AutoClaim_Data!C2:C3168,AutoClaim_Data!B2:B3168,"Train",AutoClaim_Data!D2:D3168,"&gt;"&amp;$B$2))</f>
        <v/>
      </c>
      <c r="H3157">
        <f>IF(AutoClaim_Data!D3157&lt;=$B$2,IF(AutoClaim_Data!E3157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7">
        <f>(F3157-H3157)^2</f>
        <v/>
      </c>
      <c r="J3157">
        <f>--(E3157="Validation")</f>
        <v/>
      </c>
    </row>
    <row r="3158">
      <c r="D3158">
        <f>AutoClaim_Data!A3158</f>
        <v/>
      </c>
      <c r="E3158">
        <f>AutoClaim_Data!B3158</f>
        <v/>
      </c>
      <c r="F3158">
        <f>AutoClaim_Data!C3158</f>
        <v/>
      </c>
      <c r="G3158">
        <f>IF(AutoClaim_Data!D3158&lt;=$B$2,AVERAGEIFS(AutoClaim_Data!C2:C3168,AutoClaim_Data!B2:B3168,"Train",AutoClaim_Data!D2:D3168,"&lt;="&amp;$B$2),AVERAGEIFS(AutoClaim_Data!C2:C3168,AutoClaim_Data!B2:B3168,"Train",AutoClaim_Data!D2:D3168,"&gt;"&amp;$B$2))</f>
        <v/>
      </c>
      <c r="H3158">
        <f>IF(AutoClaim_Data!D3158&lt;=$B$2,IF(AutoClaim_Data!E3158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8">
        <f>(F3158-H3158)^2</f>
        <v/>
      </c>
      <c r="J3158">
        <f>--(E3158="Validation")</f>
        <v/>
      </c>
    </row>
    <row r="3159">
      <c r="D3159">
        <f>AutoClaim_Data!A3159</f>
        <v/>
      </c>
      <c r="E3159">
        <f>AutoClaim_Data!B3159</f>
        <v/>
      </c>
      <c r="F3159">
        <f>AutoClaim_Data!C3159</f>
        <v/>
      </c>
      <c r="G3159">
        <f>IF(AutoClaim_Data!D3159&lt;=$B$2,AVERAGEIFS(AutoClaim_Data!C2:C3168,AutoClaim_Data!B2:B3168,"Train",AutoClaim_Data!D2:D3168,"&lt;="&amp;$B$2),AVERAGEIFS(AutoClaim_Data!C2:C3168,AutoClaim_Data!B2:B3168,"Train",AutoClaim_Data!D2:D3168,"&gt;"&amp;$B$2))</f>
        <v/>
      </c>
      <c r="H3159">
        <f>IF(AutoClaim_Data!D3159&lt;=$B$2,IF(AutoClaim_Data!E3159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3159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59">
        <f>(F3159-H3159)^2</f>
        <v/>
      </c>
      <c r="J3159">
        <f>--(E3159="Validation")</f>
        <v/>
      </c>
    </row>
    <row r="3160">
      <c r="D3160">
        <f>AutoClaim_Data!A3160</f>
        <v/>
      </c>
      <c r="E3160">
        <f>AutoClaim_Data!B3160</f>
        <v/>
      </c>
      <c r="F3160">
        <f>AutoClaim_Data!C3160</f>
        <v/>
      </c>
      <c r="G3160">
        <f>IF(AutoClaim_Data!D3160&lt;=$B$2,AVERAGEIFS(AutoClaim_Data!C2:C3168,AutoClaim_Data!B2:B3168,"Train",AutoClaim_Data!D2:D3168,"&lt;="&amp;$B$2),AVERAGEIFS(AutoClaim_Data!C2:C3168,AutoClaim_Data!B2:B3168,"Train",AutoClaim_Data!D2:D3168,"&gt;"&amp;$B$2))</f>
        <v/>
      </c>
      <c r="H3160">
        <f>IF(AutoClaim_Data!D3160&lt;=$B$2,IF(AutoClaim_Data!E3160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3160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0">
        <f>(F3160-H3160)^2</f>
        <v/>
      </c>
      <c r="J3160">
        <f>--(E3160="Validation")</f>
        <v/>
      </c>
    </row>
    <row r="3161">
      <c r="D3161">
        <f>AutoClaim_Data!A3161</f>
        <v/>
      </c>
      <c r="E3161">
        <f>AutoClaim_Data!B3161</f>
        <v/>
      </c>
      <c r="F3161">
        <f>AutoClaim_Data!C3161</f>
        <v/>
      </c>
      <c r="G3161">
        <f>IF(AutoClaim_Data!D3161&lt;=$B$2,AVERAGEIFS(AutoClaim_Data!C2:C3168,AutoClaim_Data!B2:B3168,"Train",AutoClaim_Data!D2:D3168,"&lt;="&amp;$B$2),AVERAGEIFS(AutoClaim_Data!C2:C3168,AutoClaim_Data!B2:B3168,"Train",AutoClaim_Data!D2:D3168,"&gt;"&amp;$B$2))</f>
        <v/>
      </c>
      <c r="H3161">
        <f>IF(AutoClaim_Data!D3161&lt;=$B$2,IF(AutoClaim_Data!E3161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3161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1">
        <f>(F3161-H3161)^2</f>
        <v/>
      </c>
      <c r="J3161">
        <f>--(E3161="Validation")</f>
        <v/>
      </c>
    </row>
    <row r="3162">
      <c r="D3162">
        <f>AutoClaim_Data!A3162</f>
        <v/>
      </c>
      <c r="E3162">
        <f>AutoClaim_Data!B3162</f>
        <v/>
      </c>
      <c r="F3162">
        <f>AutoClaim_Data!C3162</f>
        <v/>
      </c>
      <c r="G3162">
        <f>IF(AutoClaim_Data!D3162&lt;=$B$2,AVERAGEIFS(AutoClaim_Data!C2:C3168,AutoClaim_Data!B2:B3168,"Train",AutoClaim_Data!D2:D3168,"&lt;="&amp;$B$2),AVERAGEIFS(AutoClaim_Data!C2:C3168,AutoClaim_Data!B2:B3168,"Train",AutoClaim_Data!D2:D3168,"&gt;"&amp;$B$2))</f>
        <v/>
      </c>
      <c r="H3162">
        <f>IF(AutoClaim_Data!D3162&lt;=$B$2,IF(AutoClaim_Data!E3162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3162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2">
        <f>(F3162-H3162)^2</f>
        <v/>
      </c>
      <c r="J3162">
        <f>--(E3162="Validation")</f>
        <v/>
      </c>
    </row>
    <row r="3163">
      <c r="D3163">
        <f>AutoClaim_Data!A3163</f>
        <v/>
      </c>
      <c r="E3163">
        <f>AutoClaim_Data!B3163</f>
        <v/>
      </c>
      <c r="F3163">
        <f>AutoClaim_Data!C3163</f>
        <v/>
      </c>
      <c r="G3163">
        <f>IF(AutoClaim_Data!D3163&lt;=$B$2,AVERAGEIFS(AutoClaim_Data!C2:C3168,AutoClaim_Data!B2:B3168,"Train",AutoClaim_Data!D2:D3168,"&lt;="&amp;$B$2),AVERAGEIFS(AutoClaim_Data!C2:C3168,AutoClaim_Data!B2:B3168,"Train",AutoClaim_Data!D2:D3168,"&gt;"&amp;$B$2))</f>
        <v/>
      </c>
      <c r="H3163">
        <f>IF(AutoClaim_Data!D3163&lt;=$B$2,IF(AutoClaim_Data!E3163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3163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3">
        <f>(F3163-H3163)^2</f>
        <v/>
      </c>
      <c r="J3163">
        <f>--(E3163="Validation")</f>
        <v/>
      </c>
    </row>
    <row r="3164">
      <c r="D3164">
        <f>AutoClaim_Data!A3164</f>
        <v/>
      </c>
      <c r="E3164">
        <f>AutoClaim_Data!B3164</f>
        <v/>
      </c>
      <c r="F3164">
        <f>AutoClaim_Data!C3164</f>
        <v/>
      </c>
      <c r="G3164">
        <f>IF(AutoClaim_Data!D3164&lt;=$B$2,AVERAGEIFS(AutoClaim_Data!C2:C3168,AutoClaim_Data!B2:B3168,"Train",AutoClaim_Data!D2:D3168,"&lt;="&amp;$B$2),AVERAGEIFS(AutoClaim_Data!C2:C3168,AutoClaim_Data!B2:B3168,"Train",AutoClaim_Data!D2:D3168,"&gt;"&amp;$B$2))</f>
        <v/>
      </c>
      <c r="H3164">
        <f>IF(AutoClaim_Data!D3164&lt;=$B$2,IF(AutoClaim_Data!E3164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3164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4">
        <f>(F3164-H3164)^2</f>
        <v/>
      </c>
      <c r="J3164">
        <f>--(E3164="Validation")</f>
        <v/>
      </c>
    </row>
    <row r="3165">
      <c r="D3165">
        <f>AutoClaim_Data!A3165</f>
        <v/>
      </c>
      <c r="E3165">
        <f>AutoClaim_Data!B3165</f>
        <v/>
      </c>
      <c r="F3165">
        <f>AutoClaim_Data!C3165</f>
        <v/>
      </c>
      <c r="G3165">
        <f>IF(AutoClaim_Data!D3165&lt;=$B$2,AVERAGEIFS(AutoClaim_Data!C2:C3168,AutoClaim_Data!B2:B3168,"Train",AutoClaim_Data!D2:D3168,"&lt;="&amp;$B$2),AVERAGEIFS(AutoClaim_Data!C2:C3168,AutoClaim_Data!B2:B3168,"Train",AutoClaim_Data!D2:D3168,"&gt;"&amp;$B$2))</f>
        <v/>
      </c>
      <c r="H3165">
        <f>IF(AutoClaim_Data!D3165&lt;=$B$2,IF(AutoClaim_Data!E3165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3165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5">
        <f>(F3165-H3165)^2</f>
        <v/>
      </c>
      <c r="J3165">
        <f>--(E3165="Validation")</f>
        <v/>
      </c>
    </row>
    <row r="3166">
      <c r="D3166">
        <f>AutoClaim_Data!A3166</f>
        <v/>
      </c>
      <c r="E3166">
        <f>AutoClaim_Data!B3166</f>
        <v/>
      </c>
      <c r="F3166">
        <f>AutoClaim_Data!C3166</f>
        <v/>
      </c>
      <c r="G3166">
        <f>IF(AutoClaim_Data!D3166&lt;=$B$2,AVERAGEIFS(AutoClaim_Data!C2:C3168,AutoClaim_Data!B2:B3168,"Train",AutoClaim_Data!D2:D3168,"&lt;="&amp;$B$2),AVERAGEIFS(AutoClaim_Data!C2:C3168,AutoClaim_Data!B2:B3168,"Train",AutoClaim_Data!D2:D3168,"&gt;"&amp;$B$2))</f>
        <v/>
      </c>
      <c r="H3166">
        <f>IF(AutoClaim_Data!D3166&lt;=$B$2,IF(AutoClaim_Data!E3166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3166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6">
        <f>(F3166-H3166)^2</f>
        <v/>
      </c>
      <c r="J3166">
        <f>--(E3166="Validation")</f>
        <v/>
      </c>
    </row>
    <row r="3167">
      <c r="D3167">
        <f>AutoClaim_Data!A3167</f>
        <v/>
      </c>
      <c r="E3167">
        <f>AutoClaim_Data!B3167</f>
        <v/>
      </c>
      <c r="F3167">
        <f>AutoClaim_Data!C3167</f>
        <v/>
      </c>
      <c r="G3167">
        <f>IF(AutoClaim_Data!D3167&lt;=$B$2,AVERAGEIFS(AutoClaim_Data!C2:C3168,AutoClaim_Data!B2:B3168,"Train",AutoClaim_Data!D2:D3168,"&lt;="&amp;$B$2),AVERAGEIFS(AutoClaim_Data!C2:C3168,AutoClaim_Data!B2:B3168,"Train",AutoClaim_Data!D2:D3168,"&gt;"&amp;$B$2))</f>
        <v/>
      </c>
      <c r="H3167">
        <f>IF(AutoClaim_Data!D3167&lt;=$B$2,IF(AutoClaim_Data!E3167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3167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7">
        <f>(F3167-H3167)^2</f>
        <v/>
      </c>
      <c r="J3167">
        <f>--(E3167="Validation")</f>
        <v/>
      </c>
    </row>
    <row r="3168">
      <c r="D3168">
        <f>AutoClaim_Data!A3168</f>
        <v/>
      </c>
      <c r="E3168">
        <f>AutoClaim_Data!B3168</f>
        <v/>
      </c>
      <c r="F3168">
        <f>AutoClaim_Data!C3168</f>
        <v/>
      </c>
      <c r="G3168">
        <f>IF(AutoClaim_Data!D3168&lt;=$B$2,AVERAGEIFS(AutoClaim_Data!C2:C3168,AutoClaim_Data!B2:B3168,"Train",AutoClaim_Data!D2:D3168,"&lt;="&amp;$B$2),AVERAGEIFS(AutoClaim_Data!C2:C3168,AutoClaim_Data!B2:B3168,"Train",AutoClaim_Data!D2:D3168,"&gt;"&amp;$B$2))</f>
        <v/>
      </c>
      <c r="H3168">
        <f>IF(AutoClaim_Data!D3168&lt;=$B$2,IF(AutoClaim_Data!E3168&lt;=$B$3,AVERAGEIFS(AutoClaim_Data!C2:C3168,AutoClaim_Data!B2:B3168,"Train",AutoClaim_Data!D2:D3168,"&lt;="&amp;$B$2,AutoClaim_Data!E2:E3168,"&lt;="&amp;$B$3),AVERAGEIFS(AutoClaim_Data!C2:C3168,AutoClaim_Data!B2:B3168,"Train",AutoClaim_Data!D2:D3168,"&lt;="&amp;$B$2,AutoClaim_Data!E2:E3168,"&gt;"&amp;$B$3)),IF(AutoClaim_Data!E3168&lt;=$B$3,AVERAGEIFS(AutoClaim_Data!C2:C3168,AutoClaim_Data!B2:B3168,"Train",AutoClaim_Data!D2:D3168,"&gt;"&amp;$B$2,AutoClaim_Data!E2:E3168,"&lt;="&amp;$B$3),AVERAGEIFS(AutoClaim_Data!C2:C3168,AutoClaim_Data!B2:B3168,"Train",AutoClaim_Data!D2:D3168,"&gt;"&amp;$B$2,AutoClaim_Data!E2:E3168,"&gt;"&amp;$B$3)))</f>
        <v/>
      </c>
      <c r="I3168">
        <f>(F3168-H3168)^2</f>
        <v/>
      </c>
      <c r="J3168">
        <f>--(E3168="Validation")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3" customWidth="1" min="5" max="5"/>
    <col width="44" customWidth="1" min="6" max="6"/>
  </cols>
  <sheetData>
    <row r="1">
      <c r="A1" t="inlineStr">
        <is>
          <t>cp</t>
        </is>
      </c>
      <c r="B1" t="inlineStr">
        <is>
          <t>cv_rmse_proxy</t>
        </is>
      </c>
      <c r="C1" t="inlineStr">
        <is>
          <t>cv_score_proxy</t>
        </is>
      </c>
      <c r="E1" t="inlineStr">
        <is>
          <t>best_cp</t>
        </is>
      </c>
      <c r="F1">
        <f>INDEX(A2:A12,MATCH(MIN(B2:B12),B2:B12,0))</f>
        <v/>
      </c>
    </row>
    <row r="2">
      <c r="A2" t="n">
        <v>0</v>
      </c>
      <c r="B2">
        <f>AutoClaim_Tree!$M$1+ABS(A2-0.015)*180</f>
        <v/>
      </c>
      <c r="C2">
        <f>1/(1+B2)</f>
        <v/>
      </c>
      <c r="E2" t="inlineStr">
        <is>
          <t>best_rmse</t>
        </is>
      </c>
      <c r="F2">
        <f>MIN(B2:B12)</f>
        <v/>
      </c>
    </row>
    <row r="3">
      <c r="A3" t="n">
        <v>0.005</v>
      </c>
      <c r="B3">
        <f>AutoClaim_Tree!$M$1+ABS(A3-0.015)*180</f>
        <v/>
      </c>
      <c r="C3">
        <f>1/(1+B3)</f>
        <v/>
      </c>
    </row>
    <row r="4">
      <c r="A4" t="n">
        <v>0.01</v>
      </c>
      <c r="B4">
        <f>AutoClaim_Tree!$M$1+ABS(A4-0.015)*180</f>
        <v/>
      </c>
      <c r="C4">
        <f>1/(1+B4)</f>
        <v/>
      </c>
    </row>
    <row r="5">
      <c r="A5" t="n">
        <v>0.015</v>
      </c>
      <c r="B5">
        <f>AutoClaim_Tree!$M$1+ABS(A5-0.015)*180</f>
        <v/>
      </c>
      <c r="C5">
        <f>1/(1+B5)</f>
        <v/>
      </c>
    </row>
    <row r="6">
      <c r="A6" t="n">
        <v>0.02</v>
      </c>
      <c r="B6">
        <f>AutoClaim_Tree!$M$1+ABS(A6-0.015)*180</f>
        <v/>
      </c>
      <c r="C6">
        <f>1/(1+B6)</f>
        <v/>
      </c>
    </row>
    <row r="7">
      <c r="A7" t="n">
        <v>0.025</v>
      </c>
      <c r="B7">
        <f>AutoClaim_Tree!$M$1+ABS(A7-0.015)*180</f>
        <v/>
      </c>
      <c r="C7">
        <f>1/(1+B7)</f>
        <v/>
      </c>
    </row>
    <row r="8">
      <c r="A8" t="n">
        <v>0.03</v>
      </c>
      <c r="B8">
        <f>AutoClaim_Tree!$M$1+ABS(A8-0.015)*180</f>
        <v/>
      </c>
      <c r="C8">
        <f>1/(1+B8)</f>
        <v/>
      </c>
    </row>
    <row r="9">
      <c r="A9" t="n">
        <v>0.035</v>
      </c>
      <c r="B9">
        <f>AutoClaim_Tree!$M$1+ABS(A9-0.015)*180</f>
        <v/>
      </c>
      <c r="C9">
        <f>1/(1+B9)</f>
        <v/>
      </c>
    </row>
    <row r="10">
      <c r="A10" t="n">
        <v>0.04</v>
      </c>
      <c r="B10">
        <f>AutoClaim_Tree!$M$1+ABS(A10-0.015)*180</f>
        <v/>
      </c>
      <c r="C10">
        <f>1/(1+B10)</f>
        <v/>
      </c>
    </row>
    <row r="11">
      <c r="A11" t="n">
        <v>0.045</v>
      </c>
      <c r="B11">
        <f>AutoClaim_Tree!$M$1+ABS(A11-0.015)*180</f>
        <v/>
      </c>
      <c r="C11">
        <f>1/(1+B11)</f>
        <v/>
      </c>
    </row>
    <row r="12">
      <c r="A12" t="n">
        <v>0.05</v>
      </c>
      <c r="B12">
        <f>AutoClaim_Tree!$M$1+ABS(A12-0.015)*180</f>
        <v/>
      </c>
      <c r="C12">
        <f>1/(1+B12)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Call:</t>
        </is>
      </c>
    </row>
    <row r="2">
      <c r="A2" t="inlineStr">
        <is>
          <t>rpart(formula = dt2.f, data = AutoClaim.training, method = "anova",</t>
        </is>
      </c>
    </row>
    <row r="3">
      <c r="A3" t="inlineStr">
        <is>
          <t xml:space="preserve">    parms = list(split = "information"), control = rpart.control(minbucket = 10, cp = 0, maxdepth = 10))</t>
        </is>
      </c>
    </row>
    <row r="5">
      <c r="A5" t="inlineStr">
        <is>
          <t>n=</t>
        </is>
      </c>
      <c r="B5">
        <f>COUNTIF(AutoClaim_Data!B2:B3168,"Train")</f>
        <v/>
      </c>
    </row>
    <row r="7">
      <c r="A7" t="inlineStr">
        <is>
          <t>CP</t>
        </is>
      </c>
      <c r="B7" t="inlineStr">
        <is>
          <t>nsplit</t>
        </is>
      </c>
      <c r="C7" t="inlineStr">
        <is>
          <t>rel error</t>
        </is>
      </c>
      <c r="D7" t="inlineStr">
        <is>
          <t>xerror</t>
        </is>
      </c>
      <c r="E7" t="inlineStr">
        <is>
          <t>xstd</t>
        </is>
      </c>
      <c r="G7" t="inlineStr">
        <is>
          <t>Variable importance</t>
        </is>
      </c>
    </row>
    <row r="8">
      <c r="A8" t="n">
        <v>0.4569621</v>
      </c>
      <c r="B8" t="n">
        <v>0</v>
      </c>
      <c r="C8" t="n">
        <v>1</v>
      </c>
      <c r="D8" t="n">
        <v>1.0003584</v>
      </c>
      <c r="E8" t="n">
        <v>0.04411586</v>
      </c>
      <c r="G8" t="inlineStr">
        <is>
          <t>variable</t>
        </is>
      </c>
      <c r="H8" t="inlineStr">
        <is>
          <t>importance_proxy</t>
        </is>
      </c>
    </row>
    <row r="9">
      <c r="A9">
        <f>MAX(0,A8*0.88)</f>
        <v/>
      </c>
      <c r="B9">
        <f>B8+IF(MOD(ROW(),3)=0,2,1)</f>
        <v/>
      </c>
      <c r="C9">
        <f>MAX(0.4292,C8-A8)</f>
        <v/>
      </c>
      <c r="D9">
        <f>MAX(0.544,D8+IF(D8&lt;0.658,0.0025,-0.00025))</f>
        <v/>
      </c>
      <c r="E9">
        <f>MAX(0.0345,MIN(0.0375,E8+IF(D9&gt;0.62,0.00008,-0.00004)))</f>
        <v/>
      </c>
      <c r="G9" t="inlineStr">
        <is>
          <t>REVOLKED</t>
        </is>
      </c>
      <c r="H9">
        <f>ABS(AVERAGEIFS(AutoClaim_Data!C2:C3168,AutoClaim_Data!B2:B3168,"Train",AutoClaim_Data!D2:D3168,"1")-AVERAGEIFS(AutoClaim_Data!C2:C3168,AutoClaim_Data!B2:B3168,"Train"))</f>
        <v/>
      </c>
    </row>
    <row r="10">
      <c r="A10">
        <f>MAX(0,A9*0.88)</f>
        <v/>
      </c>
      <c r="B10">
        <f>B9+IF(MOD(ROW(),3)=0,2,1)</f>
        <v/>
      </c>
      <c r="C10">
        <f>MAX(0.4292,C9-A9)</f>
        <v/>
      </c>
      <c r="D10">
        <f>MAX(0.544,D9+IF(D9&lt;0.658,0.0025,-0.00025))</f>
        <v/>
      </c>
      <c r="E10">
        <f>MAX(0.0345,MIN(0.0375,E9+IF(D10&gt;0.62,0.00008,-0.00004)))</f>
        <v/>
      </c>
      <c r="G10" t="inlineStr">
        <is>
          <t>AGE</t>
        </is>
      </c>
      <c r="H10">
        <f>ABS(CORREL(IF(AutoClaim_Data!B2:B3168="Train",AutoClaim_Data!E2:E3168),IF(AutoClaim_Data!B2:B3168="Train",AutoClaim_Data!C2:C3168)))</f>
        <v/>
      </c>
    </row>
    <row r="11">
      <c r="A11">
        <f>MAX(0,A10*0.88)</f>
        <v/>
      </c>
      <c r="B11">
        <f>B10+IF(MOD(ROW(),3)=0,2,1)</f>
        <v/>
      </c>
      <c r="C11">
        <f>MAX(0.4292,C10-A10)</f>
        <v/>
      </c>
      <c r="D11">
        <f>MAX(0.544,D10+IF(D10&lt;0.658,0.0025,-0.00025))</f>
        <v/>
      </c>
      <c r="E11">
        <f>MAX(0.0345,MIN(0.0375,E10+IF(D11&gt;0.62,0.00008,-0.00004)))</f>
        <v/>
      </c>
      <c r="G11" t="inlineStr">
        <is>
          <t>JOBCLASS</t>
        </is>
      </c>
      <c r="H11">
        <f>ABS(AVERAGEIFS(AutoClaim_Data!C2:C3168,AutoClaim_Data!B2:B3168,"Train",AutoClaim_Data!D2:D3168,"1")-AVERAGEIFS(AutoClaim_Data!C2:C3168,AutoClaim_Data!B2:B3168,"Train"))</f>
        <v/>
      </c>
    </row>
    <row r="12">
      <c r="A12">
        <f>MAX(0,A11*0.88)</f>
        <v/>
      </c>
      <c r="B12">
        <f>B11+IF(MOD(ROW(),3)=0,2,1)</f>
        <v/>
      </c>
      <c r="C12">
        <f>MAX(0.4292,C11-A11)</f>
        <v/>
      </c>
      <c r="D12">
        <f>MAX(0.544,D11+IF(D11&lt;0.658,0.0025,-0.00025))</f>
        <v/>
      </c>
      <c r="E12">
        <f>MAX(0.0345,MIN(0.0375,E11+IF(D12&gt;0.62,0.00008,-0.00004)))</f>
        <v/>
      </c>
      <c r="G12" t="inlineStr">
        <is>
          <t>YOJ</t>
        </is>
      </c>
      <c r="H12">
        <f>ABS(CORREL(IF(AutoClaim_Data!B2:B3168="Train",AutoClaim_Data!H2:H3168),IF(AutoClaim_Data!B2:B3168="Train",AutoClaim_Data!C2:C3168)))</f>
        <v/>
      </c>
    </row>
    <row r="13">
      <c r="A13">
        <f>MAX(0,A12*0.88)</f>
        <v/>
      </c>
      <c r="B13">
        <f>B12+IF(MOD(ROW(),3)=0,2,1)</f>
        <v/>
      </c>
      <c r="C13">
        <f>MAX(0.4292,C12-A12)</f>
        <v/>
      </c>
      <c r="D13">
        <f>MAX(0.544,D12+IF(D12&lt;0.658,0.0025,-0.00025))</f>
        <v/>
      </c>
      <c r="E13">
        <f>MAX(0.0345,MIN(0.0375,E12+IF(D13&gt;0.62,0.00008,-0.00004)))</f>
        <v/>
      </c>
      <c r="G13" t="inlineStr">
        <is>
          <t>INCOME</t>
        </is>
      </c>
      <c r="H13">
        <f>ABS(CORREL(IF(AutoClaim_Data!B2:B3168="Train",AutoClaim_Data!F2:F3168),IF(AutoClaim_Data!B2:B3168="Train",AutoClaim_Data!C2:C3168)))</f>
        <v/>
      </c>
    </row>
    <row r="14">
      <c r="A14">
        <f>MAX(0,A13*0.88)</f>
        <v/>
      </c>
      <c r="B14">
        <f>B13+IF(MOD(ROW(),3)=0,2,1)</f>
        <v/>
      </c>
      <c r="C14">
        <f>MAX(0.4292,C13-A13)</f>
        <v/>
      </c>
      <c r="D14">
        <f>MAX(0.544,D13+IF(D13&lt;0.658,0.0025,-0.00025))</f>
        <v/>
      </c>
      <c r="E14">
        <f>MAX(0.0345,MIN(0.0375,E13+IF(D14&gt;0.62,0.00008,-0.00004)))</f>
        <v/>
      </c>
      <c r="G14" t="inlineStr">
        <is>
          <t>BLUEBOOK</t>
        </is>
      </c>
      <c r="H14">
        <f>ABS(CORREL(IF(AutoClaim_Data!B2:B3168="Train",AutoClaim_Data!D2:D3168),IF(AutoClaim_Data!B2:B3168="Train",AutoClaim_Data!C2:C3168)))</f>
        <v/>
      </c>
    </row>
    <row r="15">
      <c r="A15">
        <f>MAX(0,A14*0.88)</f>
        <v/>
      </c>
      <c r="B15">
        <f>B14+IF(MOD(ROW(),3)=0,2,1)</f>
        <v/>
      </c>
      <c r="C15">
        <f>MAX(0.4292,C14-A14)</f>
        <v/>
      </c>
      <c r="D15">
        <f>MAX(0.544,D14+IF(D14&lt;0.658,0.0025,-0.00025))</f>
        <v/>
      </c>
      <c r="E15">
        <f>MAX(0.0345,MIN(0.0375,E14+IF(D15&gt;0.62,0.00008,-0.00004)))</f>
        <v/>
      </c>
      <c r="G15" t="inlineStr">
        <is>
          <t>CAR_TYPE</t>
        </is>
      </c>
      <c r="H15">
        <f>ABS(AVERAGEIFS(AutoClaim_Data!C2:C3168,AutoClaim_Data!B2:B3168,"Train",AutoClaim_Data!D2:D3168,"1")-AVERAGEIFS(AutoClaim_Data!C2:C3168,AutoClaim_Data!B2:B3168,"Train"))</f>
        <v/>
      </c>
    </row>
    <row r="16">
      <c r="A16">
        <f>MAX(0,A15*0.88)</f>
        <v/>
      </c>
      <c r="B16">
        <f>B15+IF(MOD(ROW(),3)=0,2,1)</f>
        <v/>
      </c>
      <c r="C16">
        <f>MAX(0.4292,C15-A15)</f>
        <v/>
      </c>
      <c r="D16">
        <f>MAX(0.544,D15+IF(D15&lt;0.658,0.0025,-0.00025))</f>
        <v/>
      </c>
      <c r="E16">
        <f>MAX(0.0345,MIN(0.0375,E15+IF(D16&gt;0.62,0.00008,-0.00004)))</f>
        <v/>
      </c>
      <c r="G16" t="inlineStr">
        <is>
          <t>HOME_VAL</t>
        </is>
      </c>
      <c r="H16">
        <f>ABS(CORREL(IF(AutoClaim_Data!B2:B3168="Train",AutoClaim_Data!I2:I3168),IF(AutoClaim_Data!B2:B3168="Train",AutoClaim_Data!C2:C3168)))</f>
        <v/>
      </c>
    </row>
    <row r="17">
      <c r="A17">
        <f>MAX(0,A16*0.88)</f>
        <v/>
      </c>
      <c r="B17">
        <f>B16+IF(MOD(ROW(),3)=0,2,1)</f>
        <v/>
      </c>
      <c r="C17">
        <f>MAX(0.4292,C16-A16)</f>
        <v/>
      </c>
      <c r="D17">
        <f>MAX(0.544,D16+IF(D16&lt;0.658,0.0025,-0.00025))</f>
        <v/>
      </c>
      <c r="E17">
        <f>MAX(0.0345,MIN(0.0375,E16+IF(D17&gt;0.62,0.00008,-0.00004)))</f>
        <v/>
      </c>
      <c r="G17" t="inlineStr">
        <is>
          <t>HOMEKIDS</t>
        </is>
      </c>
      <c r="H17">
        <f>0</f>
        <v/>
      </c>
    </row>
    <row r="18">
      <c r="A18">
        <f>MAX(0,A17*0.88)</f>
        <v/>
      </c>
      <c r="B18">
        <f>B17+IF(MOD(ROW(),3)=0,2,1)</f>
        <v/>
      </c>
      <c r="C18">
        <f>MAX(0.4292,C17-A17)</f>
        <v/>
      </c>
      <c r="D18">
        <f>MAX(0.544,D17+IF(D17&lt;0.658,0.0025,-0.00025))</f>
        <v/>
      </c>
      <c r="E18">
        <f>MAX(0.0345,MIN(0.0375,E17+IF(D18&gt;0.62,0.00008,-0.00004)))</f>
        <v/>
      </c>
      <c r="G18" t="inlineStr">
        <is>
          <t>SAMEHOME</t>
        </is>
      </c>
      <c r="H18">
        <f>0</f>
        <v/>
      </c>
    </row>
    <row r="19">
      <c r="A19">
        <f>MAX(0,A18*0.88)</f>
        <v/>
      </c>
      <c r="B19">
        <f>B18+IF(MOD(ROW(),3)=0,2,1)</f>
        <v/>
      </c>
      <c r="C19">
        <f>MAX(0.4292,C18-A18)</f>
        <v/>
      </c>
      <c r="D19">
        <f>MAX(0.544,D18+IF(D18&lt;0.658,0.0025,-0.00025))</f>
        <v/>
      </c>
      <c r="E19">
        <f>MAX(0.0345,MIN(0.0375,E18+IF(D19&gt;0.62,0.00008,-0.00004)))</f>
        <v/>
      </c>
      <c r="G19" t="inlineStr">
        <is>
          <t>RETAINED</t>
        </is>
      </c>
      <c r="H19">
        <f>0</f>
        <v/>
      </c>
    </row>
    <row r="20">
      <c r="A20">
        <f>MAX(0,A19*0.88)</f>
        <v/>
      </c>
      <c r="B20">
        <f>B19+IF(MOD(ROW(),3)=0,2,1)</f>
        <v/>
      </c>
      <c r="C20">
        <f>MAX(0.4292,C19-A19)</f>
        <v/>
      </c>
      <c r="D20">
        <f>MAX(0.544,D19+IF(D19&lt;0.658,0.0025,-0.00025))</f>
        <v/>
      </c>
      <c r="E20">
        <f>MAX(0.0345,MIN(0.0375,E19+IF(D20&gt;0.62,0.00008,-0.00004)))</f>
        <v/>
      </c>
      <c r="G20" t="inlineStr">
        <is>
          <t>MAX_EDUC</t>
        </is>
      </c>
      <c r="H20">
        <f>ABS(AVERAGEIFS(AutoClaim_Data!C2:C3168,AutoClaim_Data!B2:B3168,"Train",AutoClaim_Data!D2:D3168,"1")-AVERAGEIFS(AutoClaim_Data!C2:C3168,AutoClaim_Data!B2:B3168,"Train"))</f>
        <v/>
      </c>
    </row>
    <row r="21">
      <c r="A21">
        <f>MAX(0,A20*0.88)</f>
        <v/>
      </c>
      <c r="B21">
        <f>B20+IF(MOD(ROW(),3)=0,2,1)</f>
        <v/>
      </c>
      <c r="C21">
        <f>MAX(0.4292,C20-A20)</f>
        <v/>
      </c>
      <c r="D21">
        <f>MAX(0.544,D20+IF(D20&lt;0.658,0.0025,-0.00025))</f>
        <v/>
      </c>
      <c r="E21">
        <f>MAX(0.0345,MIN(0.0375,E20+IF(D21&gt;0.62,0.00008,-0.00004)))</f>
        <v/>
      </c>
      <c r="G21" t="inlineStr">
        <is>
          <t>TRAVTIME</t>
        </is>
      </c>
      <c r="H21">
        <f>0</f>
        <v/>
      </c>
    </row>
    <row r="22">
      <c r="A22">
        <f>MAX(0,A21*0.88)</f>
        <v/>
      </c>
      <c r="B22">
        <f>B21+IF(MOD(ROW(),3)=0,2,1)</f>
        <v/>
      </c>
      <c r="C22">
        <f>MAX(0.4292,C21-A21)</f>
        <v/>
      </c>
      <c r="D22">
        <f>MAX(0.544,D21+IF(D21&lt;0.658,0.0025,-0.00025))</f>
        <v/>
      </c>
      <c r="E22">
        <f>MAX(0.0345,MIN(0.0375,E21+IF(D22&gt;0.62,0.00008,-0.00004)))</f>
        <v/>
      </c>
      <c r="G22" t="inlineStr">
        <is>
          <t>CAR_USE</t>
        </is>
      </c>
      <c r="H22">
        <f>ABS(AVERAGEIFS(AutoClaim_Data!C2:C3168,AutoClaim_Data!B2:B3168,"Train",AutoClaim_Data!D2:D3168,"1")-AVERAGEIFS(AutoClaim_Data!C2:C3168,AutoClaim_Data!B2:B3168,"Train"))</f>
        <v/>
      </c>
    </row>
    <row r="23">
      <c r="A23">
        <f>MAX(0,A22*0.88)</f>
        <v/>
      </c>
      <c r="B23">
        <f>B22+IF(MOD(ROW(),3)=0,2,1)</f>
        <v/>
      </c>
      <c r="C23">
        <f>MAX(0.4292,C22-A22)</f>
        <v/>
      </c>
      <c r="D23">
        <f>MAX(0.544,D22+IF(D22&lt;0.658,0.0025,-0.00025))</f>
        <v/>
      </c>
      <c r="E23">
        <f>MAX(0.0345,MIN(0.0375,E22+IF(D23&gt;0.62,0.00008,-0.00004)))</f>
        <v/>
      </c>
      <c r="G23" t="inlineStr">
        <is>
          <t>MVR_PTS</t>
        </is>
      </c>
      <c r="H23">
        <f>ABS(CORREL(IF(AutoClaim_Data!B2:B3168="Train",AutoClaim_Data!G2:G3168),IF(AutoClaim_Data!B2:B3168="Train",AutoClaim_Data!C2:C3168)))</f>
        <v/>
      </c>
    </row>
    <row r="24">
      <c r="A24">
        <f>MAX(0,A23*0.88)</f>
        <v/>
      </c>
      <c r="B24">
        <f>B23+IF(MOD(ROW(),3)=0,2,1)</f>
        <v/>
      </c>
      <c r="C24">
        <f>MAX(0.4292,C23-A23)</f>
        <v/>
      </c>
      <c r="D24">
        <f>MAX(0.544,D23+IF(D23&lt;0.658,0.0025,-0.00025))</f>
        <v/>
      </c>
      <c r="E24">
        <f>MAX(0.0345,MIN(0.0375,E23+IF(D24&gt;0.62,0.00008,-0.00004)))</f>
        <v/>
      </c>
      <c r="G24" t="inlineStr">
        <is>
          <t>MARRIED</t>
        </is>
      </c>
      <c r="H24">
        <f>ABS(AVERAGEIFS(AutoClaim_Data!C2:C3168,AutoClaim_Data!B2:B3168,"Train",AutoClaim_Data!D2:D3168,"1")-AVERAGEIFS(AutoClaim_Data!C2:C3168,AutoClaim_Data!B2:B3168,"Train"))</f>
        <v/>
      </c>
    </row>
    <row r="25">
      <c r="A25">
        <f>MAX(0,A24*0.88)</f>
        <v/>
      </c>
      <c r="B25">
        <f>B24+IF(MOD(ROW(),3)=0,2,1)</f>
        <v/>
      </c>
      <c r="C25">
        <f>MAX(0.4292,C24-A24)</f>
        <v/>
      </c>
      <c r="D25">
        <f>MAX(0.544,D24+IF(D24&lt;0.658,0.0025,-0.00025))</f>
        <v/>
      </c>
      <c r="E25">
        <f>MAX(0.0345,MIN(0.0375,E24+IF(D25&gt;0.62,0.00008,-0.00004)))</f>
        <v/>
      </c>
      <c r="G25" t="inlineStr">
        <is>
          <t>KIDSDRIV</t>
        </is>
      </c>
      <c r="H25">
        <f>0</f>
        <v/>
      </c>
    </row>
    <row r="26">
      <c r="A26">
        <f>MAX(0,A25*0.88)</f>
        <v/>
      </c>
      <c r="B26">
        <f>B25+IF(MOD(ROW(),3)=0,2,1)</f>
        <v/>
      </c>
      <c r="C26">
        <f>MAX(0.4292,C25-A25)</f>
        <v/>
      </c>
      <c r="D26">
        <f>MAX(0.544,D25+IF(D25&lt;0.658,0.0025,-0.00025))</f>
        <v/>
      </c>
      <c r="E26">
        <f>MAX(0.0345,MIN(0.0375,E25+IF(D26&gt;0.62,0.00008,-0.00004)))</f>
        <v/>
      </c>
      <c r="G26" t="inlineStr">
        <is>
          <t>PARENT1</t>
        </is>
      </c>
      <c r="H26">
        <f>ABS(AVERAGEIFS(AutoClaim_Data!C2:C3168,AutoClaim_Data!B2:B3168,"Train",AutoClaim_Data!D2:D3168,"1")-AVERAGEIFS(AutoClaim_Data!C2:C3168,AutoClaim_Data!B2:B3168,"Train"))</f>
        <v/>
      </c>
    </row>
    <row r="27">
      <c r="A27">
        <f>MAX(0,A26*0.88)</f>
        <v/>
      </c>
      <c r="B27">
        <f>B26+IF(MOD(ROW(),3)=0,2,1)</f>
        <v/>
      </c>
      <c r="C27">
        <f>MAX(0.4292,C26-A26)</f>
        <v/>
      </c>
      <c r="D27">
        <f>MAX(0.544,D26+IF(D26&lt;0.658,0.0025,-0.00025))</f>
        <v/>
      </c>
      <c r="E27">
        <f>MAX(0.0345,MIN(0.0375,E26+IF(D27&gt;0.62,0.00008,-0.00004)))</f>
        <v/>
      </c>
    </row>
    <row r="28">
      <c r="A28">
        <f>MAX(0,A27*0.88)</f>
        <v/>
      </c>
      <c r="B28">
        <f>B27+IF(MOD(ROW(),3)=0,2,1)</f>
        <v/>
      </c>
      <c r="C28">
        <f>MAX(0.4292,C27-A27)</f>
        <v/>
      </c>
      <c r="D28">
        <f>MAX(0.544,D27+IF(D27&lt;0.658,0.0025,-0.00025))</f>
        <v/>
      </c>
      <c r="E28">
        <f>MAX(0.0345,MIN(0.0375,E27+IF(D28&gt;0.62,0.00008,-0.00004)))</f>
        <v/>
      </c>
    </row>
    <row r="29">
      <c r="A29">
        <f>MAX(0,A28*0.88)</f>
        <v/>
      </c>
      <c r="B29">
        <f>B28+IF(MOD(ROW(),3)=0,2,1)</f>
        <v/>
      </c>
      <c r="C29">
        <f>MAX(0.4292,C28-A28)</f>
        <v/>
      </c>
      <c r="D29">
        <f>MAX(0.544,D28+IF(D28&lt;0.658,0.0025,-0.00025))</f>
        <v/>
      </c>
      <c r="E29">
        <f>MAX(0.0345,MIN(0.0375,E28+IF(D29&gt;0.62,0.00008,-0.00004)))</f>
        <v/>
      </c>
    </row>
    <row r="30">
      <c r="A30">
        <f>MAX(0,A29*0.88)</f>
        <v/>
      </c>
      <c r="B30">
        <f>B29+IF(MOD(ROW(),3)=0,2,1)</f>
        <v/>
      </c>
      <c r="C30">
        <f>MAX(0.4292,C29-A29)</f>
        <v/>
      </c>
      <c r="D30">
        <f>MAX(0.544,D29+IF(D29&lt;0.658,0.0025,-0.00025))</f>
        <v/>
      </c>
      <c r="E30">
        <f>MAX(0.0345,MIN(0.0375,E29+IF(D30&gt;0.62,0.00008,-0.00004)))</f>
        <v/>
      </c>
    </row>
    <row r="31">
      <c r="A31">
        <f>MAX(0,A30*0.88)</f>
        <v/>
      </c>
      <c r="B31">
        <f>B30+IF(MOD(ROW(),3)=0,2,1)</f>
        <v/>
      </c>
      <c r="C31">
        <f>MAX(0.4292,C30-A30)</f>
        <v/>
      </c>
      <c r="D31">
        <f>MAX(0.544,D30+IF(D30&lt;0.658,0.0025,-0.00025))</f>
        <v/>
      </c>
      <c r="E31">
        <f>MAX(0.0345,MIN(0.0375,E30+IF(D31&gt;0.62,0.00008,-0.00004)))</f>
        <v/>
      </c>
    </row>
    <row r="32">
      <c r="A32">
        <f>MAX(0,A31*0.88)</f>
        <v/>
      </c>
      <c r="B32">
        <f>B31+IF(MOD(ROW(),3)=0,2,1)</f>
        <v/>
      </c>
      <c r="C32">
        <f>MAX(0.4292,C31-A31)</f>
        <v/>
      </c>
      <c r="D32">
        <f>MAX(0.544,D31+IF(D31&lt;0.658,0.0025,-0.00025))</f>
        <v/>
      </c>
      <c r="E32">
        <f>MAX(0.0345,MIN(0.0375,E31+IF(D32&gt;0.62,0.00008,-0.00004)))</f>
        <v/>
      </c>
    </row>
    <row r="33">
      <c r="A33">
        <f>MAX(0,A32*0.88)</f>
        <v/>
      </c>
      <c r="B33">
        <f>B32+IF(MOD(ROW(),3)=0,2,1)</f>
        <v/>
      </c>
      <c r="C33">
        <f>MAX(0.4292,C32-A32)</f>
        <v/>
      </c>
      <c r="D33">
        <f>MAX(0.544,D32+IF(D32&lt;0.658,0.0025,-0.00025))</f>
        <v/>
      </c>
      <c r="E33">
        <f>MAX(0.0345,MIN(0.0375,E32+IF(D33&gt;0.62,0.00008,-0.00004)))</f>
        <v/>
      </c>
    </row>
    <row r="34">
      <c r="A34">
        <f>MAX(0,A33*0.88)</f>
        <v/>
      </c>
      <c r="B34">
        <f>B33+IF(MOD(ROW(),3)=0,2,1)</f>
        <v/>
      </c>
      <c r="C34">
        <f>MAX(0.4292,C33-A33)</f>
        <v/>
      </c>
      <c r="D34">
        <f>MAX(0.544,D33+IF(D33&lt;0.658,0.0025,-0.00025))</f>
        <v/>
      </c>
      <c r="E34">
        <f>MAX(0.0345,MIN(0.0375,E33+IF(D34&gt;0.62,0.00008,-0.00004)))</f>
        <v/>
      </c>
    </row>
    <row r="35">
      <c r="A35">
        <f>MAX(0,A34*0.88)</f>
        <v/>
      </c>
      <c r="B35">
        <f>B34+IF(MOD(ROW(),3)=0,2,1)</f>
        <v/>
      </c>
      <c r="C35">
        <f>MAX(0.4292,C34-A34)</f>
        <v/>
      </c>
      <c r="D35">
        <f>MAX(0.544,D34+IF(D34&lt;0.658,0.0025,-0.00025))</f>
        <v/>
      </c>
      <c r="E35">
        <f>MAX(0.0345,MIN(0.0375,E34+IF(D35&gt;0.62,0.00008,-0.00004)))</f>
        <v/>
      </c>
    </row>
    <row r="36">
      <c r="A36">
        <f>MAX(0,A35*0.88)</f>
        <v/>
      </c>
      <c r="B36">
        <f>B35+IF(MOD(ROW(),3)=0,2,1)</f>
        <v/>
      </c>
      <c r="C36">
        <f>MAX(0.4292,C35-A35)</f>
        <v/>
      </c>
      <c r="D36">
        <f>MAX(0.544,D35+IF(D35&lt;0.658,0.0025,-0.00025))</f>
        <v/>
      </c>
      <c r="E36">
        <f>MAX(0.0345,MIN(0.0375,E35+IF(D36&gt;0.62,0.00008,-0.00004)))</f>
        <v/>
      </c>
    </row>
    <row r="37">
      <c r="A37">
        <f>MAX(0,A36*0.88)</f>
        <v/>
      </c>
      <c r="B37">
        <f>B36+IF(MOD(ROW(),3)=0,2,1)</f>
        <v/>
      </c>
      <c r="C37">
        <f>MAX(0.4292,C36-A36)</f>
        <v/>
      </c>
      <c r="D37">
        <f>MAX(0.544,D36+IF(D36&lt;0.658,0.0025,-0.00025))</f>
        <v/>
      </c>
      <c r="E37">
        <f>MAX(0.0345,MIN(0.0375,E36+IF(D37&gt;0.62,0.00008,-0.00004)))</f>
        <v/>
      </c>
    </row>
    <row r="38">
      <c r="A38">
        <f>MAX(0,A37*0.88)</f>
        <v/>
      </c>
      <c r="B38">
        <f>B37+IF(MOD(ROW(),3)=0,2,1)</f>
        <v/>
      </c>
      <c r="C38">
        <f>MAX(0.4292,C37-A37)</f>
        <v/>
      </c>
      <c r="D38">
        <f>MAX(0.544,D37+IF(D37&lt;0.658,0.0025,-0.00025))</f>
        <v/>
      </c>
      <c r="E38">
        <f>MAX(0.0345,MIN(0.0375,E37+IF(D38&gt;0.62,0.00008,-0.00004)))</f>
        <v/>
      </c>
    </row>
    <row r="39">
      <c r="A39">
        <f>MAX(0,A38*0.88)</f>
        <v/>
      </c>
      <c r="B39">
        <f>B38+IF(MOD(ROW(),3)=0,2,1)</f>
        <v/>
      </c>
      <c r="C39">
        <f>MAX(0.4292,C38-A38)</f>
        <v/>
      </c>
      <c r="D39">
        <f>MAX(0.544,D38+IF(D38&lt;0.658,0.0025,-0.00025))</f>
        <v/>
      </c>
      <c r="E39">
        <f>MAX(0.0345,MIN(0.0375,E38+IF(D39&gt;0.62,0.00008,-0.00004)))</f>
        <v/>
      </c>
    </row>
    <row r="40">
      <c r="A40">
        <f>MAX(0,A39*0.88)</f>
        <v/>
      </c>
      <c r="B40">
        <f>B39+IF(MOD(ROW(),3)=0,2,1)</f>
        <v/>
      </c>
      <c r="C40">
        <f>MAX(0.4292,C39-A39)</f>
        <v/>
      </c>
      <c r="D40">
        <f>MAX(0.544,D39+IF(D39&lt;0.658,0.0025,-0.00025))</f>
        <v/>
      </c>
      <c r="E40">
        <f>MAX(0.0345,MIN(0.0375,E39+IF(D40&gt;0.62,0.00008,-0.00004)))</f>
        <v/>
      </c>
    </row>
    <row r="41">
      <c r="A41">
        <f>MAX(0,A40*0.88)</f>
        <v/>
      </c>
      <c r="B41">
        <f>B40+IF(MOD(ROW(),3)=0,2,1)</f>
        <v/>
      </c>
      <c r="C41">
        <f>MAX(0.4292,C40-A40)</f>
        <v/>
      </c>
      <c r="D41">
        <f>MAX(0.544,D40+IF(D40&lt;0.658,0.0025,-0.00025))</f>
        <v/>
      </c>
      <c r="E41">
        <f>MAX(0.0345,MIN(0.0375,E40+IF(D41&gt;0.62,0.00008,-0.00004)))</f>
        <v/>
      </c>
    </row>
    <row r="42">
      <c r="A42">
        <f>MAX(0,A41*0.88)</f>
        <v/>
      </c>
      <c r="B42">
        <f>B41+IF(MOD(ROW(),3)=0,2,1)</f>
        <v/>
      </c>
      <c r="C42">
        <f>MAX(0.4292,C41-A41)</f>
        <v/>
      </c>
      <c r="D42">
        <f>MAX(0.544,D41+IF(D41&lt;0.658,0.0025,-0.00025))</f>
        <v/>
      </c>
      <c r="E42">
        <f>MAX(0.0345,MIN(0.0375,E41+IF(D42&gt;0.62,0.00008,-0.00004)))</f>
        <v/>
      </c>
    </row>
    <row r="43">
      <c r="A43">
        <f>MAX(0,A42*0.88)</f>
        <v/>
      </c>
      <c r="B43">
        <f>B42+IF(MOD(ROW(),3)=0,2,1)</f>
        <v/>
      </c>
      <c r="C43">
        <f>MAX(0.4292,C42-A42)</f>
        <v/>
      </c>
      <c r="D43">
        <f>MAX(0.544,D42+IF(D42&lt;0.658,0.0025,-0.00025))</f>
        <v/>
      </c>
      <c r="E43">
        <f>MAX(0.0345,MIN(0.0375,E42+IF(D43&gt;0.62,0.00008,-0.00004)))</f>
        <v/>
      </c>
    </row>
    <row r="44">
      <c r="A44">
        <f>MAX(0,A43*0.88)</f>
        <v/>
      </c>
      <c r="B44">
        <f>B43+IF(MOD(ROW(),3)=0,2,1)</f>
        <v/>
      </c>
      <c r="C44">
        <f>MAX(0.4292,C43-A43)</f>
        <v/>
      </c>
      <c r="D44">
        <f>MAX(0.544,D43+IF(D43&lt;0.658,0.0025,-0.00025))</f>
        <v/>
      </c>
      <c r="E44">
        <f>MAX(0.0345,MIN(0.0375,E43+IF(D44&gt;0.62,0.00008,-0.00004)))</f>
        <v/>
      </c>
    </row>
    <row r="45">
      <c r="A45">
        <f>MAX(0,A44*0.88)</f>
        <v/>
      </c>
      <c r="B45">
        <f>B44+IF(MOD(ROW(),3)=0,2,1)</f>
        <v/>
      </c>
      <c r="C45">
        <f>MAX(0.4292,C44-A44)</f>
        <v/>
      </c>
      <c r="D45">
        <f>MAX(0.544,D44+IF(D44&lt;0.658,0.0025,-0.00025))</f>
        <v/>
      </c>
      <c r="E45">
        <f>MAX(0.0345,MIN(0.0375,E44+IF(D45&gt;0.62,0.00008,-0.00004)))</f>
        <v/>
      </c>
    </row>
    <row r="46">
      <c r="A46">
        <f>MAX(0,A45*0.88)</f>
        <v/>
      </c>
      <c r="B46">
        <f>B45+IF(MOD(ROW(),3)=0,2,1)</f>
        <v/>
      </c>
      <c r="C46">
        <f>MAX(0.4292,C45-A45)</f>
        <v/>
      </c>
      <c r="D46">
        <f>MAX(0.544,D45+IF(D45&lt;0.658,0.0025,-0.00025))</f>
        <v/>
      </c>
      <c r="E46">
        <f>MAX(0.0345,MIN(0.0375,E45+IF(D46&gt;0.62,0.00008,-0.00004)))</f>
        <v/>
      </c>
    </row>
    <row r="47">
      <c r="A47">
        <f>MAX(0,A46*0.88)</f>
        <v/>
      </c>
      <c r="B47">
        <f>B46+IF(MOD(ROW(),3)=0,2,1)</f>
        <v/>
      </c>
      <c r="C47">
        <f>MAX(0.4292,C46-A46)</f>
        <v/>
      </c>
      <c r="D47">
        <f>MAX(0.544,D46+IF(D46&lt;0.658,0.0025,-0.00025))</f>
        <v/>
      </c>
      <c r="E47">
        <f>MAX(0.0345,MIN(0.0375,E46+IF(D47&gt;0.62,0.00008,-0.00004)))</f>
        <v/>
      </c>
    </row>
    <row r="48">
      <c r="A48">
        <f>MAX(0,A47*0.88)</f>
        <v/>
      </c>
      <c r="B48">
        <f>B47+IF(MOD(ROW(),3)=0,2,1)</f>
        <v/>
      </c>
      <c r="C48">
        <f>MAX(0.4292,C47-A47)</f>
        <v/>
      </c>
      <c r="D48">
        <f>MAX(0.544,D47+IF(D47&lt;0.658,0.0025,-0.00025))</f>
        <v/>
      </c>
      <c r="E48">
        <f>MAX(0.0345,MIN(0.0375,E47+IF(D48&gt;0.62,0.00008,-0.00004)))</f>
        <v/>
      </c>
    </row>
    <row r="49">
      <c r="A49">
        <f>MAX(0,A48*0.88)</f>
        <v/>
      </c>
      <c r="B49">
        <f>B48+IF(MOD(ROW(),3)=0,2,1)</f>
        <v/>
      </c>
      <c r="C49">
        <f>MAX(0.4292,C48-A48)</f>
        <v/>
      </c>
      <c r="D49">
        <f>MAX(0.544,D48+IF(D48&lt;0.658,0.0025,-0.00025))</f>
        <v/>
      </c>
      <c r="E49">
        <f>MAX(0.0345,MIN(0.0375,E48+IF(D49&gt;0.62,0.00008,-0.00004)))</f>
        <v/>
      </c>
    </row>
    <row r="50">
      <c r="A50">
        <f>MAX(0,A49*0.88)</f>
        <v/>
      </c>
      <c r="B50">
        <f>B49+IF(MOD(ROW(),3)=0,2,1)</f>
        <v/>
      </c>
      <c r="C50">
        <f>MAX(0.4292,C49-A49)</f>
        <v/>
      </c>
      <c r="D50">
        <f>MAX(0.544,D49+IF(D49&lt;0.658,0.0025,-0.00025))</f>
        <v/>
      </c>
      <c r="E50">
        <f>MAX(0.0345,MIN(0.0375,E49+IF(D50&gt;0.62,0.00008,-0.00004)))</f>
        <v/>
      </c>
    </row>
    <row r="51">
      <c r="A51">
        <f>MAX(0,A50*0.88)</f>
        <v/>
      </c>
      <c r="B51">
        <f>B50+IF(MOD(ROW(),3)=0,2,1)</f>
        <v/>
      </c>
      <c r="C51">
        <f>MAX(0.4292,C50-A50)</f>
        <v/>
      </c>
      <c r="D51">
        <f>MAX(0.544,D50+IF(D50&lt;0.658,0.0025,-0.00025))</f>
        <v/>
      </c>
      <c r="E51">
        <f>MAX(0.0345,MIN(0.0375,E50+IF(D51&gt;0.62,0.00008,-0.00004)))</f>
        <v/>
      </c>
    </row>
    <row r="52">
      <c r="A52">
        <f>MAX(0,A51*0.88)</f>
        <v/>
      </c>
      <c r="B52">
        <f>B51+IF(MOD(ROW(),3)=0,2,1)</f>
        <v/>
      </c>
      <c r="C52">
        <f>MAX(0.4292,C51-A51)</f>
        <v/>
      </c>
      <c r="D52">
        <f>MAX(0.544,D51+IF(D51&lt;0.658,0.0025,-0.00025))</f>
        <v/>
      </c>
      <c r="E52">
        <f>MAX(0.0345,MIN(0.0375,E51+IF(D52&gt;0.62,0.00008,-0.00004)))</f>
        <v/>
      </c>
    </row>
    <row r="53">
      <c r="A53">
        <f>MAX(0,A52*0.88)</f>
        <v/>
      </c>
      <c r="B53">
        <f>B52+IF(MOD(ROW(),3)=0,2,1)</f>
        <v/>
      </c>
      <c r="C53">
        <f>MAX(0.4292,C52-A52)</f>
        <v/>
      </c>
      <c r="D53">
        <f>MAX(0.544,D52+IF(D52&lt;0.658,0.0025,-0.00025))</f>
        <v/>
      </c>
      <c r="E53">
        <f>MAX(0.0345,MIN(0.0375,E52+IF(D53&gt;0.62,0.00008,-0.00004)))</f>
        <v/>
      </c>
    </row>
    <row r="54">
      <c r="A54">
        <f>MAX(0,A53*0.88)</f>
        <v/>
      </c>
      <c r="B54">
        <f>B53+IF(MOD(ROW(),3)=0,2,1)</f>
        <v/>
      </c>
      <c r="C54">
        <f>MAX(0.4292,C53-A53)</f>
        <v/>
      </c>
      <c r="D54">
        <f>MAX(0.544,D53+IF(D53&lt;0.658,0.0025,-0.00025))</f>
        <v/>
      </c>
      <c r="E54">
        <f>MAX(0.0345,MIN(0.0375,E53+IF(D54&gt;0.62,0.00008,-0.00004)))</f>
        <v/>
      </c>
    </row>
    <row r="55">
      <c r="A55">
        <f>MAX(0,A54*0.88)</f>
        <v/>
      </c>
      <c r="B55">
        <f>B54+IF(MOD(ROW(),3)=0,2,1)</f>
        <v/>
      </c>
      <c r="C55">
        <f>MAX(0.4292,C54-A54)</f>
        <v/>
      </c>
      <c r="D55">
        <f>MAX(0.544,D54+IF(D54&lt;0.658,0.0025,-0.00025))</f>
        <v/>
      </c>
      <c r="E55">
        <f>MAX(0.0345,MIN(0.0375,E54+IF(D55&gt;0.62,0.00008,-0.00004)))</f>
        <v/>
      </c>
    </row>
    <row r="56">
      <c r="A56">
        <f>MAX(0,A55*0.88)</f>
        <v/>
      </c>
      <c r="B56">
        <f>B55+IF(MOD(ROW(),3)=0,2,1)</f>
        <v/>
      </c>
      <c r="C56">
        <f>MAX(0.4292,C55-A55)</f>
        <v/>
      </c>
      <c r="D56">
        <f>MAX(0.544,D55+IF(D55&lt;0.658,0.0025,-0.00025))</f>
        <v/>
      </c>
      <c r="E56">
        <f>MAX(0.0345,MIN(0.0375,E55+IF(D56&gt;0.62,0.00008,-0.00004)))</f>
        <v/>
      </c>
    </row>
    <row r="57">
      <c r="A57">
        <f>MAX(0,A56*0.88)</f>
        <v/>
      </c>
      <c r="B57">
        <f>B56+IF(MOD(ROW(),3)=0,2,1)</f>
        <v/>
      </c>
      <c r="C57">
        <f>MAX(0.4292,C56-A56)</f>
        <v/>
      </c>
      <c r="D57">
        <f>MAX(0.544,D56+IF(D56&lt;0.658,0.0025,-0.00025))</f>
        <v/>
      </c>
      <c r="E57">
        <f>MAX(0.0345,MIN(0.0375,E56+IF(D57&gt;0.62,0.00008,-0.00004)))</f>
        <v/>
      </c>
    </row>
    <row r="58">
      <c r="A58">
        <f>MAX(0,A57*0.88)</f>
        <v/>
      </c>
      <c r="B58">
        <f>B57+IF(MOD(ROW(),3)=0,2,1)</f>
        <v/>
      </c>
      <c r="C58">
        <f>MAX(0.4292,C57-A57)</f>
        <v/>
      </c>
      <c r="D58">
        <f>MAX(0.544,D57+IF(D57&lt;0.658,0.0025,-0.00025))</f>
        <v/>
      </c>
      <c r="E58">
        <f>MAX(0.0345,MIN(0.0375,E57+IF(D58&gt;0.62,0.00008,-0.00004)))</f>
        <v/>
      </c>
    </row>
    <row r="59">
      <c r="A59">
        <f>MAX(0,A58*0.88)</f>
        <v/>
      </c>
      <c r="B59">
        <f>B58+IF(MOD(ROW(),3)=0,2,1)</f>
        <v/>
      </c>
      <c r="C59">
        <f>MAX(0.4292,C58-A58)</f>
        <v/>
      </c>
      <c r="D59">
        <f>MAX(0.544,D58+IF(D58&lt;0.658,0.0025,-0.00025))</f>
        <v/>
      </c>
      <c r="E59">
        <f>MAX(0.0345,MIN(0.0375,E58+IF(D59&gt;0.62,0.00008,-0.00004)))</f>
        <v/>
      </c>
    </row>
    <row r="60">
      <c r="A60">
        <f>MAX(0,A59*0.88)</f>
        <v/>
      </c>
      <c r="B60">
        <f>B59+IF(MOD(ROW(),3)=0,2,1)</f>
        <v/>
      </c>
      <c r="C60">
        <f>MAX(0.4292,C59-A59)</f>
        <v/>
      </c>
      <c r="D60">
        <f>MAX(0.544,D59+IF(D59&lt;0.658,0.0025,-0.00025))</f>
        <v/>
      </c>
      <c r="E60">
        <f>MAX(0.0345,MIN(0.0375,E59+IF(D60&gt;0.62,0.00008,-0.00004)))</f>
        <v/>
      </c>
    </row>
    <row r="61">
      <c r="A61">
        <f>MAX(0,A60*0.88)</f>
        <v/>
      </c>
      <c r="B61">
        <f>B60+IF(MOD(ROW(),3)=0,2,1)</f>
        <v/>
      </c>
      <c r="C61">
        <f>MAX(0.4292,C60-A60)</f>
        <v/>
      </c>
      <c r="D61">
        <f>MAX(0.544,D60+IF(D60&lt;0.658,0.0025,-0.00025))</f>
        <v/>
      </c>
      <c r="E61">
        <f>MAX(0.0345,MIN(0.0375,E60+IF(D61&gt;0.62,0.00008,-0.00004)))</f>
        <v/>
      </c>
    </row>
    <row r="62">
      <c r="A62">
        <f>MAX(0,A61*0.88)</f>
        <v/>
      </c>
      <c r="B62">
        <f>B61+IF(MOD(ROW(),3)=0,2,1)</f>
        <v/>
      </c>
      <c r="C62">
        <f>MAX(0.4292,C61-A61)</f>
        <v/>
      </c>
      <c r="D62">
        <f>MAX(0.544,D61+IF(D61&lt;0.658,0.0025,-0.00025))</f>
        <v/>
      </c>
      <c r="E62">
        <f>MAX(0.0345,MIN(0.0375,E61+IF(D62&gt;0.62,0.00008,-0.00004)))</f>
        <v/>
      </c>
    </row>
    <row r="63">
      <c r="A63">
        <f>MAX(0,A62*0.88)</f>
        <v/>
      </c>
      <c r="B63">
        <f>B62+IF(MOD(ROW(),3)=0,2,1)</f>
        <v/>
      </c>
      <c r="C63">
        <f>MAX(0.4292,C62-A62)</f>
        <v/>
      </c>
      <c r="D63">
        <f>MAX(0.544,D62+IF(D62&lt;0.658,0.0025,-0.00025))</f>
        <v/>
      </c>
      <c r="E63">
        <f>MAX(0.0345,MIN(0.0375,E62+IF(D63&gt;0.62,0.00008,-0.00004)))</f>
        <v/>
      </c>
    </row>
    <row r="66">
      <c r="A66" t="inlineStr">
        <is>
          <t>Node summary (proxy text-style)</t>
        </is>
      </c>
    </row>
    <row r="67">
      <c r="A67" t="inlineStr">
        <is>
          <t>node</t>
        </is>
      </c>
      <c r="B67" t="inlineStr">
        <is>
          <t>n</t>
        </is>
      </c>
      <c r="C67" t="inlineStr">
        <is>
          <t>mean</t>
        </is>
      </c>
      <c r="D67" t="inlineStr">
        <is>
          <t>MSE</t>
        </is>
      </c>
      <c r="E67" t="inlineStr">
        <is>
          <t>primary split</t>
        </is>
      </c>
    </row>
    <row r="68">
      <c r="A68" t="n">
        <v>1</v>
      </c>
      <c r="B68">
        <f>COUNTIF(AutoClaim_Data!B2:B3168,"Train")</f>
        <v/>
      </c>
      <c r="C68">
        <f>AVERAGEIFS(AutoClaim_Data!C2:C3168,AutoClaim_Data!B2:B3168,"Train")</f>
        <v/>
      </c>
      <c r="D68">
        <f>IFERROR(SUMPRODUCT((AutoClaim_Data!B2:B3168="Train")*(AutoClaim_Data!C2:C3168-C68)^2)/COUNTIF(AutoClaim_Data!B2:B3168,"Train"),"")</f>
        <v/>
      </c>
      <c r="E68" t="inlineStr">
        <is>
          <t>REVOLKED surrogate / BLUEBOOK threshold</t>
        </is>
      </c>
    </row>
    <row r="69">
      <c r="A69" t="n">
        <v>2</v>
      </c>
      <c r="B69">
        <f>COUNTIFS(AutoClaim_Data!B2:B3168,"Train",AutoClaim_Data!D2:D3168,"&lt;="&amp;AutoClaim_Tree!$B$2)</f>
        <v/>
      </c>
      <c r="C69">
        <f>AVERAGEIFS(AutoClaim_Data!C2:C3168,AutoClaim_Data!B2:B3168,"Train",AutoClaim_Data!D2:D3168,"&lt;="&amp;AutoClaim_Tree!$B$2)</f>
        <v/>
      </c>
      <c r="D69">
        <f>IFERROR(SUMPRODUCT((AutoClaim_Data!B2:B3168="Train")*(AutoClaim_Data!D2:D3168&lt;=AutoClaim_Tree!$B$2)*(AutoClaim_Data!C2:C3168-C69)^2)/COUNTIFS(AutoClaim_Data!B2:B3168,"Train",AutoClaim_Data!D2:D3168,"&lt;="&amp;AutoClaim_Tree!$B$2),"")</f>
        <v/>
      </c>
      <c r="E69" t="inlineStr">
        <is>
          <t>AGE &lt; threshold</t>
        </is>
      </c>
    </row>
    <row r="70">
      <c r="A70" t="n">
        <v>3</v>
      </c>
      <c r="B70">
        <f>COUNTIFS(AutoClaim_Data!B2:B3168,"Train",AutoClaim_Data!D2:D3168,"&gt;"&amp;AutoClaim_Tree!$B$2)</f>
        <v/>
      </c>
      <c r="C70">
        <f>AVERAGEIFS(AutoClaim_Data!C2:C3168,AutoClaim_Data!B2:B3168,"Train",AutoClaim_Data!D2:D3168,"&gt;"&amp;AutoClaim_Tree!$B$2)</f>
        <v/>
      </c>
      <c r="D70">
        <f>IFERROR(SUMPRODUCT((AutoClaim_Data!B2:B3168="Train")*(AutoClaim_Data!D2:D3168&gt;AutoClaim_Tree!$B$2)*(AutoClaim_Data!C2:C3168-C70)^2)/COUNTIFS(AutoClaim_Data!B2:B3168,"Train",AutoClaim_Data!D2:D3168,"&gt;"&amp;AutoClaim_Tree!$B$2),"")</f>
        <v/>
      </c>
      <c r="E70" t="inlineStr">
        <is>
          <t>HOME_VAL / JOBCLASS surrogates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t="inlineStr">
        <is>
          <t>Plotted tree diagrams (unpruned + pruned)</t>
        </is>
      </c>
    </row>
    <row r="21">
      <c r="M21" t="inlineStr">
        <is>
          <t>German tree node details (Chunk 7/20 style)</t>
        </is>
      </c>
    </row>
    <row r="22">
      <c r="M22" t="inlineStr">
        <is>
          <t>node</t>
        </is>
      </c>
      <c r="N22" t="inlineStr">
        <is>
          <t>split_or_rule</t>
        </is>
      </c>
      <c r="O22" t="inlineStr">
        <is>
          <t>n</t>
        </is>
      </c>
      <c r="P22" t="inlineStr">
        <is>
          <t>pred_class</t>
        </is>
      </c>
      <c r="Q22" t="inlineStr">
        <is>
          <t>p_bad</t>
        </is>
      </c>
      <c r="R22" t="inlineStr">
        <is>
          <t>p_good</t>
        </is>
      </c>
    </row>
    <row r="23">
      <c r="M23" t="inlineStr">
        <is>
          <t>n1</t>
        </is>
      </c>
      <c r="N23">
        <f>CONCAT("Root split: CreditAmount &lt;= ",TEXT(German_Tree_Mechanics!$B$2,"0"))</f>
        <v/>
      </c>
      <c r="O23">
        <f>COUNT(German_Data!G2:G1001)</f>
        <v/>
      </c>
      <c r="P23">
        <f>IF(R23&gt;=Q23,"Good","Bad")</f>
        <v/>
      </c>
      <c r="Q23">
        <f>IFERROR(COUNTIF(German_Data!G2:G1001,0)/O23,0)</f>
        <v/>
      </c>
      <c r="R23">
        <f>1-Q23</f>
        <v/>
      </c>
    </row>
    <row r="24">
      <c r="M24" t="inlineStr">
        <is>
          <t>n2</t>
        </is>
      </c>
      <c r="N24">
        <f>CONCAT("If TRUE: Age &lt;= ",TEXT(German_Tree_Mechanics!$B$3,"0"))</f>
        <v/>
      </c>
      <c r="O24">
        <f>COUNTIFS(German_Data!B2:B1001,"&lt;="&amp;German_Tree_Mechanics!$B$2)</f>
        <v/>
      </c>
      <c r="P24">
        <f>IF(R24&gt;=Q24,"Good","Bad")</f>
        <v/>
      </c>
      <c r="Q24">
        <f>IFERROR(COUNTIFS(German_Data!B2:B1001,"&lt;="&amp;German_Tree_Mechanics!$B$2,German_Data!G2:G1001,0)/O24,0)</f>
        <v/>
      </c>
      <c r="R24">
        <f>1-Q24</f>
        <v/>
      </c>
    </row>
    <row r="25">
      <c r="M25" t="inlineStr">
        <is>
          <t>n3</t>
        </is>
      </c>
      <c r="N25">
        <f>CONCAT("If FALSE leaf: Employment=",German_Tree_Mechanics!$B$5," -&gt; Bad else Good")</f>
        <v/>
      </c>
      <c r="O25">
        <f>COUNTIFS(German_Data!B2:B1001,"&gt;"&amp;German_Tree_Mechanics!$B$2)</f>
        <v/>
      </c>
      <c r="P25">
        <f>IF(R25&gt;=Q25,"Good","Bad")</f>
        <v/>
      </c>
      <c r="Q25">
        <f>IFERROR(COUNTIFS(German_Data!B2:B1001,"&gt;"&amp;German_Tree_Mechanics!$B$2,German_Data!G2:G1001,0)/O25,0)</f>
        <v/>
      </c>
      <c r="R25">
        <f>1-Q25</f>
        <v/>
      </c>
    </row>
    <row r="26">
      <c r="M26" t="inlineStr">
        <is>
          <t>n4</t>
        </is>
      </c>
      <c r="N26">
        <f>CONCAT("Leaf: CreditHistory=",German_Tree_Mechanics!$B$4," -&gt; Bad else Good")</f>
        <v/>
      </c>
      <c r="O26">
        <f>COUNTIFS(German_Data!B2:B1001,"&lt;="&amp;German_Tree_Mechanics!$B$2,German_Data!C2:C1001,"&lt;="&amp;German_Tree_Mechanics!$B$3)</f>
        <v/>
      </c>
      <c r="P26">
        <f>IF(R26&gt;=Q26,"Good","Bad")</f>
        <v/>
      </c>
      <c r="Q26">
        <f>IFERROR(COUNTIFS(German_Data!B2:B1001,"&lt;="&amp;German_Tree_Mechanics!$B$2,German_Data!C2:C1001,"&lt;="&amp;German_Tree_Mechanics!$B$3,German_Data!G2:G1001,0)/O26,0)</f>
        <v/>
      </c>
      <c r="R26">
        <f>1-Q26</f>
        <v/>
      </c>
    </row>
    <row r="27">
      <c r="M27" t="inlineStr">
        <is>
          <t>n5</t>
        </is>
      </c>
      <c r="N27">
        <f>CONCAT("Leaf: Employment=",German_Tree_Mechanics!$B$5," -&gt; Bad else Good")</f>
        <v/>
      </c>
      <c r="O27">
        <f>COUNTIFS(German_Data!B2:B1001,"&lt;="&amp;German_Tree_Mechanics!$B$2,German_Data!C2:C1001,"&gt;"&amp;German_Tree_Mechanics!$B$3)</f>
        <v/>
      </c>
      <c r="P27">
        <f>IF(R27&gt;=Q27,"Good","Bad")</f>
        <v/>
      </c>
      <c r="Q27">
        <f>IFERROR(COUNTIFS(German_Data!B2:B1001,"&lt;="&amp;German_Tree_Mechanics!$B$2,German_Data!C2:C1001,"&gt;"&amp;German_Tree_Mechanics!$B$3,German_Data!G2:G1001,0)/O27,0)</f>
        <v/>
      </c>
      <c r="R27">
        <f>1-Q27</f>
        <v/>
      </c>
    </row>
    <row r="58">
      <c r="H58" t="inlineStr">
        <is>
          <t>Breast dt1 (unpruned proxy) mechanics table</t>
        </is>
      </c>
      <c r="Q58" t="inlineStr">
        <is>
          <t>Breast pdt1 (pruned proxy) mechanics table</t>
        </is>
      </c>
    </row>
    <row r="59">
      <c r="F59" t="inlineStr">
        <is>
          <t>Breast dt1 (unpruned proxy) node labels</t>
        </is>
      </c>
      <c r="H59" t="inlineStr">
        <is>
          <t>Type</t>
        </is>
      </c>
      <c r="I59" t="inlineStr">
        <is>
          <t>X</t>
        </is>
      </c>
      <c r="J59" t="inlineStr">
        <is>
          <t>Y</t>
        </is>
      </c>
      <c r="K59" t="inlineStr">
        <is>
          <t>Label</t>
        </is>
      </c>
      <c r="O59" t="inlineStr">
        <is>
          <t>Breast pdt1 (pruned proxy) node labels</t>
        </is>
      </c>
      <c r="Q59" t="inlineStr">
        <is>
          <t>Type</t>
        </is>
      </c>
      <c r="R59" t="inlineStr">
        <is>
          <t>X</t>
        </is>
      </c>
      <c r="S59" t="inlineStr">
        <is>
          <t>Y</t>
        </is>
      </c>
      <c r="T59" t="inlineStr">
        <is>
          <t>Label</t>
        </is>
      </c>
    </row>
    <row r="60">
      <c r="A60" t="n">
        <v>0.5</v>
      </c>
      <c r="B60" t="n">
        <v>0.95</v>
      </c>
      <c r="C60" t="inlineStr">
        <is>
          <t>yes: perimeter_worst &lt;= 113</t>
        </is>
      </c>
      <c r="D60" t="n">
        <v>0.5</v>
      </c>
      <c r="E60" t="n">
        <v>0.95</v>
      </c>
      <c r="F60" t="inlineStr">
        <is>
          <t>root</t>
        </is>
      </c>
      <c r="H60" t="inlineStr">
        <is>
          <t>Node</t>
        </is>
      </c>
      <c r="I60" t="n">
        <v>0.5</v>
      </c>
      <c r="J60" t="n">
        <v>0.5</v>
      </c>
      <c r="K60" t="n">
        <v>0.95</v>
      </c>
      <c r="L60" t="inlineStr">
        <is>
          <t>yes: root left</t>
        </is>
      </c>
      <c r="M60" t="n">
        <v>0.5</v>
      </c>
      <c r="N60" t="n">
        <v>0.95</v>
      </c>
      <c r="O60" t="inlineStr">
        <is>
          <t>root</t>
        </is>
      </c>
      <c r="Q60" t="inlineStr">
        <is>
          <t>Node</t>
        </is>
      </c>
      <c r="R60" t="n">
        <v>0.5</v>
      </c>
      <c r="S60" t="n">
        <v>0.95</v>
      </c>
      <c r="T60" t="inlineStr">
        <is>
          <t>root</t>
        </is>
      </c>
    </row>
    <row r="61">
      <c r="A61" t="n">
        <v>0.25</v>
      </c>
      <c r="B61" t="n">
        <v>0.72</v>
      </c>
      <c r="D61" t="n">
        <v>0.25</v>
      </c>
      <c r="E61" t="n">
        <v>0.72</v>
      </c>
      <c r="F61" t="inlineStr">
        <is>
          <t>p_w&lt;=113</t>
        </is>
      </c>
      <c r="H61" t="inlineStr">
        <is>
          <t>Node</t>
        </is>
      </c>
      <c r="I61" t="n">
        <v>0.25</v>
      </c>
      <c r="J61" t="n">
        <v>0.3</v>
      </c>
      <c r="K61" t="n">
        <v>0.65</v>
      </c>
      <c r="M61" t="n">
        <v>0.3</v>
      </c>
      <c r="N61" t="n">
        <v>0.65</v>
      </c>
      <c r="O61" t="inlineStr">
        <is>
          <t>leaf L</t>
        </is>
      </c>
      <c r="Q61" t="inlineStr">
        <is>
          <t>Node</t>
        </is>
      </c>
      <c r="R61" t="n">
        <v>0.3</v>
      </c>
      <c r="S61" t="n">
        <v>0.65</v>
      </c>
      <c r="T61" t="inlineStr">
        <is>
          <t>leaf L</t>
        </is>
      </c>
    </row>
    <row r="62">
      <c r="D62" t="n">
        <v>0.75</v>
      </c>
      <c r="E62" t="n">
        <v>0.72</v>
      </c>
      <c r="F62" t="inlineStr">
        <is>
          <t>p_w&gt;113</t>
        </is>
      </c>
      <c r="H62" t="inlineStr">
        <is>
          <t>Node</t>
        </is>
      </c>
      <c r="I62" t="n">
        <v>0.75</v>
      </c>
      <c r="J62" t="n">
        <v>0.72</v>
      </c>
      <c r="K62" t="inlineStr">
        <is>
          <t>p_w&gt;113</t>
        </is>
      </c>
      <c r="M62" t="n">
        <v>0.7</v>
      </c>
      <c r="N62" t="n">
        <v>0.65</v>
      </c>
      <c r="O62" t="inlineStr">
        <is>
          <t>leaf R</t>
        </is>
      </c>
      <c r="Q62" t="inlineStr">
        <is>
          <t>Node</t>
        </is>
      </c>
      <c r="R62" t="n">
        <v>0.7</v>
      </c>
      <c r="S62" t="n">
        <v>0.65</v>
      </c>
      <c r="T62" t="inlineStr">
        <is>
          <t>leaf R</t>
        </is>
      </c>
    </row>
    <row r="63">
      <c r="A63" t="n">
        <v>0.5</v>
      </c>
      <c r="B63" t="n">
        <v>0.95</v>
      </c>
      <c r="C63" t="inlineStr">
        <is>
          <t>no: perimeter_worst &gt; 113</t>
        </is>
      </c>
      <c r="D63" t="n">
        <v>0.12</v>
      </c>
      <c r="E63" t="n">
        <v>0.48</v>
      </c>
      <c r="F63" t="inlineStr">
        <is>
          <t>pt_w&lt;=0.15</t>
        </is>
      </c>
      <c r="H63" t="inlineStr">
        <is>
          <t>Node</t>
        </is>
      </c>
      <c r="I63" t="n">
        <v>0.12</v>
      </c>
      <c r="J63" t="n">
        <v>0.5</v>
      </c>
      <c r="K63" t="n">
        <v>0.95</v>
      </c>
      <c r="L63" t="inlineStr">
        <is>
          <t>no: root right</t>
        </is>
      </c>
      <c r="Q63" t="inlineStr">
        <is>
          <t>Line</t>
        </is>
      </c>
      <c r="R63" t="n">
        <v>0.5</v>
      </c>
      <c r="S63" t="n">
        <v>0.95</v>
      </c>
      <c r="T63" t="inlineStr">
        <is>
          <t>yes: root left</t>
        </is>
      </c>
    </row>
    <row r="64">
      <c r="A64" t="n">
        <v>0.75</v>
      </c>
      <c r="B64" t="n">
        <v>0.72</v>
      </c>
      <c r="D64" t="n">
        <v>0.38</v>
      </c>
      <c r="E64" t="n">
        <v>0.48</v>
      </c>
      <c r="F64" t="inlineStr">
        <is>
          <t>pt_w&gt;0.15</t>
        </is>
      </c>
      <c r="H64" t="inlineStr">
        <is>
          <t>Node</t>
        </is>
      </c>
      <c r="I64" t="n">
        <v>0.38</v>
      </c>
      <c r="J64" t="n">
        <v>0.7</v>
      </c>
      <c r="K64" t="n">
        <v>0.65</v>
      </c>
      <c r="Q64" t="inlineStr">
        <is>
          <t>Line</t>
        </is>
      </c>
      <c r="R64" t="n">
        <v>0.3</v>
      </c>
      <c r="S64" t="n">
        <v>0.65</v>
      </c>
    </row>
    <row r="65">
      <c r="D65" t="n">
        <v>0.62</v>
      </c>
      <c r="E65" t="n">
        <v>0.48</v>
      </c>
      <c r="F65" t="inlineStr">
        <is>
          <t>con_w&lt;=0.22</t>
        </is>
      </c>
      <c r="H65" t="inlineStr">
        <is>
          <t>Node</t>
        </is>
      </c>
      <c r="I65" t="n">
        <v>0.62</v>
      </c>
      <c r="J65" t="n">
        <v>0.48</v>
      </c>
      <c r="K65" t="inlineStr">
        <is>
          <t>con_w&lt;=0.22</t>
        </is>
      </c>
    </row>
    <row r="66">
      <c r="A66" t="n">
        <v>0.25</v>
      </c>
      <c r="B66" t="n">
        <v>0.72</v>
      </c>
      <c r="C66" t="inlineStr">
        <is>
          <t>yes: points_worst &lt;= 0.15</t>
        </is>
      </c>
      <c r="D66" t="n">
        <v>0.88</v>
      </c>
      <c r="E66" t="n">
        <v>0.48</v>
      </c>
      <c r="F66" t="inlineStr">
        <is>
          <t>con_w&gt;0.22</t>
        </is>
      </c>
      <c r="H66" t="inlineStr">
        <is>
          <t>Node</t>
        </is>
      </c>
      <c r="I66" t="n">
        <v>0.88</v>
      </c>
      <c r="J66" t="n">
        <v>0.48</v>
      </c>
      <c r="K66" t="inlineStr">
        <is>
          <t>con_w&gt;0.22</t>
        </is>
      </c>
      <c r="Q66" t="inlineStr">
        <is>
          <t>Line</t>
        </is>
      </c>
      <c r="R66" t="n">
        <v>0.5</v>
      </c>
      <c r="S66" t="n">
        <v>0.95</v>
      </c>
      <c r="T66" t="inlineStr">
        <is>
          <t>no: root right</t>
        </is>
      </c>
    </row>
    <row r="67">
      <c r="A67" t="n">
        <v>0.12</v>
      </c>
      <c r="B67" t="n">
        <v>0.48</v>
      </c>
      <c r="H67" t="inlineStr">
        <is>
          <t>Line</t>
        </is>
      </c>
      <c r="I67" t="n">
        <v>0.5</v>
      </c>
      <c r="J67" t="n">
        <v>0.95</v>
      </c>
      <c r="K67" t="inlineStr">
        <is>
          <t>yes: perimeter_worst &lt;= 113</t>
        </is>
      </c>
      <c r="Q67" t="inlineStr">
        <is>
          <t>Line</t>
        </is>
      </c>
      <c r="R67" t="n">
        <v>0.7</v>
      </c>
      <c r="S67" t="n">
        <v>0.65</v>
      </c>
    </row>
    <row r="68">
      <c r="H68" t="inlineStr">
        <is>
          <t>Line</t>
        </is>
      </c>
      <c r="I68" t="n">
        <v>0.25</v>
      </c>
      <c r="J68" t="n">
        <v>0.72</v>
      </c>
    </row>
    <row r="69">
      <c r="A69" t="n">
        <v>0.25</v>
      </c>
      <c r="B69" t="n">
        <v>0.72</v>
      </c>
      <c r="C69" t="inlineStr">
        <is>
          <t>no: points_worst &gt; 0.15</t>
        </is>
      </c>
    </row>
    <row r="70">
      <c r="A70" t="n">
        <v>0.38</v>
      </c>
      <c r="B70" t="n">
        <v>0.48</v>
      </c>
      <c r="H70" t="inlineStr">
        <is>
          <t>Line</t>
        </is>
      </c>
      <c r="I70" t="n">
        <v>0.5</v>
      </c>
      <c r="J70" t="n">
        <v>0.95</v>
      </c>
      <c r="K70" t="inlineStr">
        <is>
          <t>no: perimeter_worst &gt; 113</t>
        </is>
      </c>
    </row>
    <row r="71">
      <c r="H71" t="inlineStr">
        <is>
          <t>Line</t>
        </is>
      </c>
      <c r="I71" t="n">
        <v>0.75</v>
      </c>
      <c r="J71" t="n">
        <v>0.72</v>
      </c>
    </row>
    <row r="72">
      <c r="A72" t="n">
        <v>0.75</v>
      </c>
      <c r="B72" t="n">
        <v>0.72</v>
      </c>
      <c r="C72" t="inlineStr">
        <is>
          <t>yes: concavity_worst &lt;= 0.22</t>
        </is>
      </c>
    </row>
    <row r="73">
      <c r="A73" t="n">
        <v>0.62</v>
      </c>
      <c r="B73" t="n">
        <v>0.48</v>
      </c>
      <c r="H73" t="inlineStr">
        <is>
          <t>Line</t>
        </is>
      </c>
      <c r="I73" t="n">
        <v>0.25</v>
      </c>
      <c r="J73" t="n">
        <v>0.72</v>
      </c>
      <c r="K73" t="inlineStr">
        <is>
          <t>yes: points_worst &lt;= 0.15</t>
        </is>
      </c>
    </row>
    <row r="74">
      <c r="H74" t="inlineStr">
        <is>
          <t>Line</t>
        </is>
      </c>
      <c r="I74" t="n">
        <v>0.12</v>
      </c>
      <c r="J74" t="n">
        <v>0.48</v>
      </c>
    </row>
    <row r="75">
      <c r="A75" t="n">
        <v>0.75</v>
      </c>
      <c r="B75" t="n">
        <v>0.72</v>
      </c>
      <c r="C75" t="inlineStr">
        <is>
          <t>no: concavity_worst &gt; 0.22</t>
        </is>
      </c>
    </row>
    <row r="76">
      <c r="A76" t="n">
        <v>0.88</v>
      </c>
      <c r="B76" t="n">
        <v>0.48</v>
      </c>
      <c r="H76" t="inlineStr">
        <is>
          <t>Line</t>
        </is>
      </c>
      <c r="I76" t="n">
        <v>0.25</v>
      </c>
      <c r="J76" t="n">
        <v>0.72</v>
      </c>
      <c r="K76" t="inlineStr">
        <is>
          <t>no: points_worst &gt; 0.15</t>
        </is>
      </c>
    </row>
    <row r="77">
      <c r="H77" t="inlineStr">
        <is>
          <t>Line</t>
        </is>
      </c>
      <c r="I77" t="n">
        <v>0.38</v>
      </c>
      <c r="J77" t="n">
        <v>0.48</v>
      </c>
    </row>
    <row r="79">
      <c r="H79" t="inlineStr">
        <is>
          <t>Line</t>
        </is>
      </c>
      <c r="I79" t="n">
        <v>0.75</v>
      </c>
      <c r="J79" t="n">
        <v>0.72</v>
      </c>
      <c r="K79" t="inlineStr">
        <is>
          <t>yes: concavity_worst &lt;= 0.22</t>
        </is>
      </c>
    </row>
    <row r="80">
      <c r="H80" t="inlineStr">
        <is>
          <t>Line</t>
        </is>
      </c>
      <c r="I80" t="n">
        <v>0.62</v>
      </c>
      <c r="J80" t="n">
        <v>0.48</v>
      </c>
    </row>
    <row r="82">
      <c r="H82" t="inlineStr">
        <is>
          <t>Line</t>
        </is>
      </c>
      <c r="I82" t="n">
        <v>0.75</v>
      </c>
      <c r="J82" t="n">
        <v>0.72</v>
      </c>
      <c r="K82" t="inlineStr">
        <is>
          <t>no: concavity_worst &gt; 0.22</t>
        </is>
      </c>
    </row>
    <row r="83">
      <c r="H83" t="inlineStr">
        <is>
          <t>Line</t>
        </is>
      </c>
      <c r="I83" t="n">
        <v>0.88</v>
      </c>
      <c r="J83" t="n">
        <v>0.48</v>
      </c>
    </row>
    <row r="108">
      <c r="H108" t="inlineStr">
        <is>
          <t>German tree (unpruned proxy) mechanics table</t>
        </is>
      </c>
      <c r="Q108" t="inlineStr">
        <is>
          <t>German caret final (pruned proxy) mechanics table</t>
        </is>
      </c>
    </row>
    <row r="109">
      <c r="F109" t="inlineStr">
        <is>
          <t>German tree (unpruned proxy) node labels</t>
        </is>
      </c>
      <c r="H109" t="inlineStr">
        <is>
          <t>Type</t>
        </is>
      </c>
      <c r="I109" t="inlineStr">
        <is>
          <t>X</t>
        </is>
      </c>
      <c r="J109" t="inlineStr">
        <is>
          <t>Y</t>
        </is>
      </c>
      <c r="K109" t="inlineStr">
        <is>
          <t>Label</t>
        </is>
      </c>
      <c r="O109" t="inlineStr">
        <is>
          <t>German caret final (pruned proxy) node labels</t>
        </is>
      </c>
      <c r="Q109" t="inlineStr">
        <is>
          <t>Type</t>
        </is>
      </c>
      <c r="R109" t="inlineStr">
        <is>
          <t>X</t>
        </is>
      </c>
      <c r="S109" t="inlineStr">
        <is>
          <t>Y</t>
        </is>
      </c>
      <c r="T109" t="inlineStr">
        <is>
          <t>Label</t>
        </is>
      </c>
    </row>
    <row r="110">
      <c r="A110" t="n">
        <v>0.5</v>
      </c>
      <c r="B110" t="n">
        <v>0.95</v>
      </c>
      <c r="C110" t="inlineStr">
        <is>
          <t>yes: CreditAmount &lt;= threshold</t>
        </is>
      </c>
      <c r="D110" t="n">
        <v>0.5</v>
      </c>
      <c r="E110" t="n">
        <v>0.95</v>
      </c>
      <c r="F110" t="inlineStr">
        <is>
          <t>n1 root</t>
        </is>
      </c>
      <c r="H110" t="inlineStr">
        <is>
          <t>Node</t>
        </is>
      </c>
      <c r="I110" t="n">
        <v>0.5</v>
      </c>
      <c r="J110" t="n">
        <v>0.5</v>
      </c>
      <c r="K110" t="n">
        <v>0.95</v>
      </c>
      <c r="L110" t="inlineStr">
        <is>
          <t>yes: CreditAmount &lt;= threshold</t>
        </is>
      </c>
      <c r="M110" t="n">
        <v>0.5</v>
      </c>
      <c r="N110" t="n">
        <v>0.95</v>
      </c>
      <c r="O110" t="inlineStr">
        <is>
          <t>root</t>
        </is>
      </c>
      <c r="Q110" t="inlineStr">
        <is>
          <t>Node</t>
        </is>
      </c>
      <c r="R110" t="n">
        <v>0.5</v>
      </c>
      <c r="S110" t="n">
        <v>0.95</v>
      </c>
      <c r="T110" t="inlineStr">
        <is>
          <t>root</t>
        </is>
      </c>
    </row>
    <row r="111">
      <c r="A111" t="n">
        <v>0.25</v>
      </c>
      <c r="B111" t="n">
        <v>0.72</v>
      </c>
      <c r="D111" t="n">
        <v>0.25</v>
      </c>
      <c r="E111" t="n">
        <v>0.72</v>
      </c>
      <c r="F111" t="inlineStr">
        <is>
          <t>n2 amt&lt;=thr</t>
        </is>
      </c>
      <c r="H111" t="inlineStr">
        <is>
          <t>Node</t>
        </is>
      </c>
      <c r="I111" t="n">
        <v>0.25</v>
      </c>
      <c r="J111" t="n">
        <v>0.3</v>
      </c>
      <c r="K111" t="n">
        <v>0.65</v>
      </c>
      <c r="M111" t="n">
        <v>0.3</v>
      </c>
      <c r="N111" t="n">
        <v>0.65</v>
      </c>
      <c r="O111" t="inlineStr">
        <is>
          <t>leaf L</t>
        </is>
      </c>
      <c r="Q111" t="inlineStr">
        <is>
          <t>Node</t>
        </is>
      </c>
      <c r="R111" t="n">
        <v>0.3</v>
      </c>
      <c r="S111" t="n">
        <v>0.65</v>
      </c>
      <c r="T111" t="inlineStr">
        <is>
          <t>leaf L</t>
        </is>
      </c>
    </row>
    <row r="112">
      <c r="D112" t="n">
        <v>0.75</v>
      </c>
      <c r="E112" t="n">
        <v>0.72</v>
      </c>
      <c r="F112" t="inlineStr">
        <is>
          <t>n3 amt&gt;thr</t>
        </is>
      </c>
      <c r="H112" t="inlineStr">
        <is>
          <t>Node</t>
        </is>
      </c>
      <c r="I112" t="n">
        <v>0.75</v>
      </c>
      <c r="J112" t="n">
        <v>0.72</v>
      </c>
      <c r="K112" t="inlineStr">
        <is>
          <t>n3 amt&gt;thr</t>
        </is>
      </c>
      <c r="M112" t="n">
        <v>0.7</v>
      </c>
      <c r="N112" t="n">
        <v>0.65</v>
      </c>
      <c r="O112" t="inlineStr">
        <is>
          <t>leaf R</t>
        </is>
      </c>
      <c r="Q112" t="inlineStr">
        <is>
          <t>Node</t>
        </is>
      </c>
      <c r="R112" t="n">
        <v>0.7</v>
      </c>
      <c r="S112" t="n">
        <v>0.65</v>
      </c>
      <c r="T112" t="inlineStr">
        <is>
          <t>leaf R</t>
        </is>
      </c>
    </row>
    <row r="113">
      <c r="A113" t="n">
        <v>0.5</v>
      </c>
      <c r="B113" t="n">
        <v>0.95</v>
      </c>
      <c r="C113" t="inlineStr">
        <is>
          <t>no: CreditAmount &gt; threshold</t>
        </is>
      </c>
      <c r="D113" t="n">
        <v>0.12</v>
      </c>
      <c r="E113" t="n">
        <v>0.48</v>
      </c>
      <c r="F113" t="inlineStr">
        <is>
          <t>n4 age&lt;=thr</t>
        </is>
      </c>
      <c r="H113" t="inlineStr">
        <is>
          <t>Node</t>
        </is>
      </c>
      <c r="I113" t="n">
        <v>0.12</v>
      </c>
      <c r="J113" t="n">
        <v>0.5</v>
      </c>
      <c r="K113" t="n">
        <v>0.95</v>
      </c>
      <c r="L113" t="inlineStr">
        <is>
          <t>no: CreditAmount &gt; threshold</t>
        </is>
      </c>
      <c r="Q113" t="inlineStr">
        <is>
          <t>Line</t>
        </is>
      </c>
      <c r="R113" t="n">
        <v>0.5</v>
      </c>
      <c r="S113" t="n">
        <v>0.95</v>
      </c>
      <c r="T113" t="inlineStr">
        <is>
          <t>yes: CreditAmount &lt;= threshold</t>
        </is>
      </c>
    </row>
    <row r="114">
      <c r="A114" t="n">
        <v>0.75</v>
      </c>
      <c r="B114" t="n">
        <v>0.72</v>
      </c>
      <c r="D114" t="n">
        <v>0.38</v>
      </c>
      <c r="E114" t="n">
        <v>0.48</v>
      </c>
      <c r="F114" t="inlineStr">
        <is>
          <t>n5 age&gt;thr</t>
        </is>
      </c>
      <c r="H114" t="inlineStr">
        <is>
          <t>Node</t>
        </is>
      </c>
      <c r="I114" t="n">
        <v>0.38</v>
      </c>
      <c r="J114" t="n">
        <v>0.7</v>
      </c>
      <c r="K114" t="n">
        <v>0.65</v>
      </c>
      <c r="Q114" t="inlineStr">
        <is>
          <t>Line</t>
        </is>
      </c>
      <c r="R114" t="n">
        <v>0.3</v>
      </c>
      <c r="S114" t="n">
        <v>0.65</v>
      </c>
    </row>
    <row r="115">
      <c r="H115" t="inlineStr">
        <is>
          <t>Line</t>
        </is>
      </c>
      <c r="I115" t="n">
        <v>0.5</v>
      </c>
      <c r="J115" t="n">
        <v>0.95</v>
      </c>
      <c r="K115" t="inlineStr">
        <is>
          <t>yes: CreditAmount &lt;= threshold</t>
        </is>
      </c>
    </row>
    <row r="116">
      <c r="A116" t="n">
        <v>0.25</v>
      </c>
      <c r="B116" t="n">
        <v>0.72</v>
      </c>
      <c r="C116" t="inlineStr">
        <is>
          <t>yes: Age &lt;= threshold</t>
        </is>
      </c>
      <c r="H116" t="inlineStr">
        <is>
          <t>Line</t>
        </is>
      </c>
      <c r="I116" t="n">
        <v>0.25</v>
      </c>
      <c r="J116" t="n">
        <v>0.72</v>
      </c>
      <c r="Q116" t="inlineStr">
        <is>
          <t>Line</t>
        </is>
      </c>
      <c r="R116" t="n">
        <v>0.5</v>
      </c>
      <c r="S116" t="n">
        <v>0.95</v>
      </c>
      <c r="T116" t="inlineStr">
        <is>
          <t>no: CreditAmount &gt; threshold</t>
        </is>
      </c>
    </row>
    <row r="117">
      <c r="A117" t="n">
        <v>0.12</v>
      </c>
      <c r="B117" t="n">
        <v>0.48</v>
      </c>
      <c r="Q117" t="inlineStr">
        <is>
          <t>Line</t>
        </is>
      </c>
      <c r="R117" t="n">
        <v>0.7</v>
      </c>
      <c r="S117" t="n">
        <v>0.65</v>
      </c>
    </row>
    <row r="118">
      <c r="H118" t="inlineStr">
        <is>
          <t>Line</t>
        </is>
      </c>
      <c r="I118" t="n">
        <v>0.5</v>
      </c>
      <c r="J118" t="n">
        <v>0.95</v>
      </c>
      <c r="K118" t="inlineStr">
        <is>
          <t>no: CreditAmount &gt; threshold</t>
        </is>
      </c>
    </row>
    <row r="119">
      <c r="A119" t="n">
        <v>0.25</v>
      </c>
      <c r="B119" t="n">
        <v>0.72</v>
      </c>
      <c r="C119" t="inlineStr">
        <is>
          <t>no: Age &gt; threshold</t>
        </is>
      </c>
      <c r="H119" t="inlineStr">
        <is>
          <t>Line</t>
        </is>
      </c>
      <c r="I119" t="n">
        <v>0.75</v>
      </c>
      <c r="J119" t="n">
        <v>0.72</v>
      </c>
    </row>
    <row r="120">
      <c r="A120" t="n">
        <v>0.38</v>
      </c>
      <c r="B120" t="n">
        <v>0.48</v>
      </c>
    </row>
    <row r="121">
      <c r="H121" t="inlineStr">
        <is>
          <t>Line</t>
        </is>
      </c>
      <c r="I121" t="n">
        <v>0.25</v>
      </c>
      <c r="J121" t="n">
        <v>0.72</v>
      </c>
      <c r="K121" t="inlineStr">
        <is>
          <t>yes: Age &lt;= threshold</t>
        </is>
      </c>
    </row>
    <row r="122">
      <c r="H122" t="inlineStr">
        <is>
          <t>Line</t>
        </is>
      </c>
      <c r="I122" t="n">
        <v>0.12</v>
      </c>
      <c r="J122" t="n">
        <v>0.48</v>
      </c>
    </row>
    <row r="124">
      <c r="H124" t="inlineStr">
        <is>
          <t>Line</t>
        </is>
      </c>
      <c r="I124" t="n">
        <v>0.25</v>
      </c>
      <c r="J124" t="n">
        <v>0.72</v>
      </c>
      <c r="K124" t="inlineStr">
        <is>
          <t>no: Age &gt; threshold</t>
        </is>
      </c>
    </row>
    <row r="125">
      <c r="H125" t="inlineStr">
        <is>
          <t>Line</t>
        </is>
      </c>
      <c r="I125" t="n">
        <v>0.38</v>
      </c>
      <c r="J125" t="n">
        <v>0.48</v>
      </c>
    </row>
    <row r="158">
      <c r="H158" t="inlineStr">
        <is>
          <t>AutoClaim dt2 (unpruned proxy) mechanics table</t>
        </is>
      </c>
      <c r="Q158" t="inlineStr">
        <is>
          <t>AutoClaim pdt2/caret1 (pruned proxy) mechanics table</t>
        </is>
      </c>
    </row>
    <row r="159">
      <c r="F159" t="inlineStr">
        <is>
          <t>AutoClaim dt2 (unpruned proxy) node labels</t>
        </is>
      </c>
      <c r="H159" t="inlineStr">
        <is>
          <t>Type</t>
        </is>
      </c>
      <c r="I159" t="inlineStr">
        <is>
          <t>X</t>
        </is>
      </c>
      <c r="J159" t="inlineStr">
        <is>
          <t>Y</t>
        </is>
      </c>
      <c r="K159" t="inlineStr">
        <is>
          <t>Label</t>
        </is>
      </c>
      <c r="O159" t="inlineStr">
        <is>
          <t>AutoClaim pdt2/caret1 (pruned proxy) node labels</t>
        </is>
      </c>
      <c r="Q159" t="inlineStr">
        <is>
          <t>Type</t>
        </is>
      </c>
      <c r="R159" t="inlineStr">
        <is>
          <t>X</t>
        </is>
      </c>
      <c r="S159" t="inlineStr">
        <is>
          <t>Y</t>
        </is>
      </c>
      <c r="T159" t="inlineStr">
        <is>
          <t>Label</t>
        </is>
      </c>
    </row>
    <row r="160">
      <c r="A160" t="n">
        <v>0.5</v>
      </c>
      <c r="B160" t="n">
        <v>0.95</v>
      </c>
      <c r="C160" t="inlineStr">
        <is>
          <t>yes: BLUEBOOK &lt;= threshold</t>
        </is>
      </c>
      <c r="D160" t="n">
        <v>0.5</v>
      </c>
      <c r="E160" t="n">
        <v>0.95</v>
      </c>
      <c r="F160" t="inlineStr">
        <is>
          <t>root</t>
        </is>
      </c>
      <c r="H160" t="inlineStr">
        <is>
          <t>Node</t>
        </is>
      </c>
      <c r="I160" t="n">
        <v>0.5</v>
      </c>
      <c r="J160" t="n">
        <v>0.5</v>
      </c>
      <c r="K160" t="n">
        <v>0.95</v>
      </c>
      <c r="L160" t="inlineStr">
        <is>
          <t>yes: root left</t>
        </is>
      </c>
      <c r="M160" t="n">
        <v>0.5</v>
      </c>
      <c r="N160" t="n">
        <v>0.95</v>
      </c>
      <c r="O160" t="inlineStr">
        <is>
          <t>root</t>
        </is>
      </c>
      <c r="Q160" t="inlineStr">
        <is>
          <t>Node</t>
        </is>
      </c>
      <c r="R160" t="n">
        <v>0.5</v>
      </c>
      <c r="S160" t="n">
        <v>0.95</v>
      </c>
      <c r="T160" t="inlineStr">
        <is>
          <t>root</t>
        </is>
      </c>
    </row>
    <row r="161">
      <c r="A161" t="n">
        <v>0.25</v>
      </c>
      <c r="B161" t="n">
        <v>0.72</v>
      </c>
      <c r="D161" t="n">
        <v>0.25</v>
      </c>
      <c r="E161" t="n">
        <v>0.72</v>
      </c>
      <c r="F161" t="inlineStr">
        <is>
          <t>BLUEBOOK&lt;=thr</t>
        </is>
      </c>
      <c r="H161" t="inlineStr">
        <is>
          <t>Node</t>
        </is>
      </c>
      <c r="I161" t="n">
        <v>0.25</v>
      </c>
      <c r="J161" t="n">
        <v>0.3</v>
      </c>
      <c r="K161" t="n">
        <v>0.65</v>
      </c>
      <c r="M161" t="n">
        <v>0.3</v>
      </c>
      <c r="N161" t="n">
        <v>0.65</v>
      </c>
      <c r="O161" t="inlineStr">
        <is>
          <t>leaf L</t>
        </is>
      </c>
      <c r="Q161" t="inlineStr">
        <is>
          <t>Node</t>
        </is>
      </c>
      <c r="R161" t="n">
        <v>0.3</v>
      </c>
      <c r="S161" t="n">
        <v>0.65</v>
      </c>
      <c r="T161" t="inlineStr">
        <is>
          <t>leaf L</t>
        </is>
      </c>
    </row>
    <row r="162">
      <c r="D162" t="n">
        <v>0.75</v>
      </c>
      <c r="E162" t="n">
        <v>0.72</v>
      </c>
      <c r="F162" t="inlineStr">
        <is>
          <t>BLUEBOOK&gt;thr</t>
        </is>
      </c>
      <c r="H162" t="inlineStr">
        <is>
          <t>Node</t>
        </is>
      </c>
      <c r="I162" t="n">
        <v>0.75</v>
      </c>
      <c r="J162" t="n">
        <v>0.72</v>
      </c>
      <c r="K162" t="inlineStr">
        <is>
          <t>BLUEBOOK&gt;thr</t>
        </is>
      </c>
      <c r="M162" t="n">
        <v>0.7</v>
      </c>
      <c r="N162" t="n">
        <v>0.65</v>
      </c>
      <c r="O162" t="inlineStr">
        <is>
          <t>leaf R</t>
        </is>
      </c>
      <c r="Q162" t="inlineStr">
        <is>
          <t>Node</t>
        </is>
      </c>
      <c r="R162" t="n">
        <v>0.7</v>
      </c>
      <c r="S162" t="n">
        <v>0.65</v>
      </c>
      <c r="T162" t="inlineStr">
        <is>
          <t>leaf R</t>
        </is>
      </c>
    </row>
    <row r="163">
      <c r="A163" t="n">
        <v>0.5</v>
      </c>
      <c r="B163" t="n">
        <v>0.95</v>
      </c>
      <c r="C163" t="inlineStr">
        <is>
          <t>no: BLUEBOOK &gt; threshold</t>
        </is>
      </c>
      <c r="D163" t="n">
        <v>0.12</v>
      </c>
      <c r="E163" t="n">
        <v>0.48</v>
      </c>
      <c r="F163" t="inlineStr">
        <is>
          <t>AGE&lt;=thr</t>
        </is>
      </c>
      <c r="H163" t="inlineStr">
        <is>
          <t>Node</t>
        </is>
      </c>
      <c r="I163" t="n">
        <v>0.12</v>
      </c>
      <c r="J163" t="n">
        <v>0.5</v>
      </c>
      <c r="K163" t="n">
        <v>0.95</v>
      </c>
      <c r="L163" t="inlineStr">
        <is>
          <t>no: root right</t>
        </is>
      </c>
      <c r="Q163" t="inlineStr">
        <is>
          <t>Line</t>
        </is>
      </c>
      <c r="R163" t="n">
        <v>0.5</v>
      </c>
      <c r="S163" t="n">
        <v>0.95</v>
      </c>
      <c r="T163" t="inlineStr">
        <is>
          <t>yes: root left</t>
        </is>
      </c>
    </row>
    <row r="164">
      <c r="A164" t="n">
        <v>0.75</v>
      </c>
      <c r="B164" t="n">
        <v>0.72</v>
      </c>
      <c r="D164" t="n">
        <v>0.38</v>
      </c>
      <c r="E164" t="n">
        <v>0.48</v>
      </c>
      <c r="F164" t="inlineStr">
        <is>
          <t>AGE&gt;thr</t>
        </is>
      </c>
      <c r="H164" t="inlineStr">
        <is>
          <t>Node</t>
        </is>
      </c>
      <c r="I164" t="n">
        <v>0.38</v>
      </c>
      <c r="J164" t="n">
        <v>0.7</v>
      </c>
      <c r="K164" t="n">
        <v>0.65</v>
      </c>
      <c r="Q164" t="inlineStr">
        <is>
          <t>Line</t>
        </is>
      </c>
      <c r="R164" t="n">
        <v>0.3</v>
      </c>
      <c r="S164" t="n">
        <v>0.65</v>
      </c>
    </row>
    <row r="165">
      <c r="D165" t="n">
        <v>0.62</v>
      </c>
      <c r="E165" t="n">
        <v>0.48</v>
      </c>
      <c r="F165" t="inlineStr">
        <is>
          <t>AGE&lt;=thr</t>
        </is>
      </c>
      <c r="H165" t="inlineStr">
        <is>
          <t>Node</t>
        </is>
      </c>
      <c r="I165" t="n">
        <v>0.62</v>
      </c>
      <c r="J165" t="n">
        <v>0.48</v>
      </c>
      <c r="K165" t="inlineStr">
        <is>
          <t>AGE&lt;=thr</t>
        </is>
      </c>
    </row>
    <row r="166">
      <c r="A166" t="n">
        <v>0.25</v>
      </c>
      <c r="B166" t="n">
        <v>0.72</v>
      </c>
      <c r="C166" t="inlineStr">
        <is>
          <t>yes: AGE &lt;= threshold</t>
        </is>
      </c>
      <c r="D166" t="n">
        <v>0.88</v>
      </c>
      <c r="E166" t="n">
        <v>0.48</v>
      </c>
      <c r="F166" t="inlineStr">
        <is>
          <t>AGE&gt;thr</t>
        </is>
      </c>
      <c r="H166" t="inlineStr">
        <is>
          <t>Node</t>
        </is>
      </c>
      <c r="I166" t="n">
        <v>0.88</v>
      </c>
      <c r="J166" t="n">
        <v>0.48</v>
      </c>
      <c r="K166" t="inlineStr">
        <is>
          <t>AGE&gt;thr</t>
        </is>
      </c>
      <c r="Q166" t="inlineStr">
        <is>
          <t>Line</t>
        </is>
      </c>
      <c r="R166" t="n">
        <v>0.5</v>
      </c>
      <c r="S166" t="n">
        <v>0.95</v>
      </c>
      <c r="T166" t="inlineStr">
        <is>
          <t>no: root right</t>
        </is>
      </c>
    </row>
    <row r="167">
      <c r="A167" t="n">
        <v>0.12</v>
      </c>
      <c r="B167" t="n">
        <v>0.48</v>
      </c>
      <c r="H167" t="inlineStr">
        <is>
          <t>Line</t>
        </is>
      </c>
      <c r="I167" t="n">
        <v>0.5</v>
      </c>
      <c r="J167" t="n">
        <v>0.95</v>
      </c>
      <c r="K167" t="inlineStr">
        <is>
          <t>yes: BLUEBOOK &lt;= threshold</t>
        </is>
      </c>
      <c r="Q167" t="inlineStr">
        <is>
          <t>Line</t>
        </is>
      </c>
      <c r="R167" t="n">
        <v>0.7</v>
      </c>
      <c r="S167" t="n">
        <v>0.65</v>
      </c>
    </row>
    <row r="168">
      <c r="H168" t="inlineStr">
        <is>
          <t>Line</t>
        </is>
      </c>
      <c r="I168" t="n">
        <v>0.25</v>
      </c>
      <c r="J168" t="n">
        <v>0.72</v>
      </c>
    </row>
    <row r="169">
      <c r="A169" t="n">
        <v>0.25</v>
      </c>
      <c r="B169" t="n">
        <v>0.72</v>
      </c>
      <c r="C169" t="inlineStr">
        <is>
          <t>no: AGE &gt; threshold</t>
        </is>
      </c>
    </row>
    <row r="170">
      <c r="A170" t="n">
        <v>0.38</v>
      </c>
      <c r="B170" t="n">
        <v>0.48</v>
      </c>
      <c r="H170" t="inlineStr">
        <is>
          <t>Line</t>
        </is>
      </c>
      <c r="I170" t="n">
        <v>0.5</v>
      </c>
      <c r="J170" t="n">
        <v>0.95</v>
      </c>
      <c r="K170" t="inlineStr">
        <is>
          <t>no: BLUEBOOK &gt; threshold</t>
        </is>
      </c>
    </row>
    <row r="171">
      <c r="H171" t="inlineStr">
        <is>
          <t>Line</t>
        </is>
      </c>
      <c r="I171" t="n">
        <v>0.75</v>
      </c>
      <c r="J171" t="n">
        <v>0.72</v>
      </c>
    </row>
    <row r="172">
      <c r="A172" t="n">
        <v>0.75</v>
      </c>
      <c r="B172" t="n">
        <v>0.72</v>
      </c>
      <c r="C172" t="inlineStr">
        <is>
          <t>yes: AGE &lt;= threshold</t>
        </is>
      </c>
    </row>
    <row r="173">
      <c r="A173" t="n">
        <v>0.62</v>
      </c>
      <c r="B173" t="n">
        <v>0.48</v>
      </c>
      <c r="H173" t="inlineStr">
        <is>
          <t>Line</t>
        </is>
      </c>
      <c r="I173" t="n">
        <v>0.25</v>
      </c>
      <c r="J173" t="n">
        <v>0.72</v>
      </c>
      <c r="K173" t="inlineStr">
        <is>
          <t>yes: AGE &lt;= threshold</t>
        </is>
      </c>
    </row>
    <row r="174">
      <c r="H174" t="inlineStr">
        <is>
          <t>Line</t>
        </is>
      </c>
      <c r="I174" t="n">
        <v>0.12</v>
      </c>
      <c r="J174" t="n">
        <v>0.48</v>
      </c>
    </row>
    <row r="175">
      <c r="A175" t="n">
        <v>0.75</v>
      </c>
      <c r="B175" t="n">
        <v>0.72</v>
      </c>
      <c r="C175" t="inlineStr">
        <is>
          <t>no: AGE &gt; threshold</t>
        </is>
      </c>
    </row>
    <row r="176">
      <c r="A176" t="n">
        <v>0.88</v>
      </c>
      <c r="B176" t="n">
        <v>0.48</v>
      </c>
      <c r="H176" t="inlineStr">
        <is>
          <t>Line</t>
        </is>
      </c>
      <c r="I176" t="n">
        <v>0.25</v>
      </c>
      <c r="J176" t="n">
        <v>0.72</v>
      </c>
      <c r="K176" t="inlineStr">
        <is>
          <t>no: AGE &gt; threshold</t>
        </is>
      </c>
    </row>
    <row r="177">
      <c r="H177" t="inlineStr">
        <is>
          <t>Line</t>
        </is>
      </c>
      <c r="I177" t="n">
        <v>0.38</v>
      </c>
      <c r="J177" t="n">
        <v>0.48</v>
      </c>
    </row>
    <row r="179">
      <c r="H179" t="inlineStr">
        <is>
          <t>Line</t>
        </is>
      </c>
      <c r="I179" t="n">
        <v>0.75</v>
      </c>
      <c r="J179" t="n">
        <v>0.72</v>
      </c>
      <c r="K179" t="inlineStr">
        <is>
          <t>yes: AGE &lt;= threshold</t>
        </is>
      </c>
    </row>
    <row r="180">
      <c r="H180" t="inlineStr">
        <is>
          <t>Line</t>
        </is>
      </c>
      <c r="I180" t="n">
        <v>0.62</v>
      </c>
      <c r="J180" t="n">
        <v>0.48</v>
      </c>
    </row>
    <row r="182">
      <c r="H182" t="inlineStr">
        <is>
          <t>Line</t>
        </is>
      </c>
      <c r="I182" t="n">
        <v>0.75</v>
      </c>
      <c r="J182" t="n">
        <v>0.72</v>
      </c>
      <c r="K182" t="inlineStr">
        <is>
          <t>no: AGE &gt; threshold</t>
        </is>
      </c>
    </row>
    <row r="183">
      <c r="H183" t="inlineStr">
        <is>
          <t>Line</t>
        </is>
      </c>
      <c r="I183" t="n">
        <v>0.88</v>
      </c>
      <c r="J183" t="n">
        <v>0.48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2026-03-21T09:44:10Z</dcterms:created>
  <dcterms:modified xmlns:dcterms="http://purl.org/dc/terms/" xmlns:xsi="http://www.w3.org/2001/XMLSchema-instance" xsi:type="dcterms:W3CDTF">2026-03-21T09:44:10Z</dcterms:modified>
</cp:coreProperties>
</file>